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P:\02 - Documentação Empresa\9.Veiculos\2. Locação Veicular\3.Controle de Avarias_Recebimento 01 e 16 de cada mes\"/>
    </mc:Choice>
  </mc:AlternateContent>
  <xr:revisionPtr revIDLastSave="0" documentId="13_ncr:1_{34651E80-6A5D-40A9-8586-C588BBDD711B}" xr6:coauthVersionLast="47" xr6:coauthVersionMax="47" xr10:uidLastSave="{00000000-0000-0000-0000-000000000000}"/>
  <bookViews>
    <workbookView xWindow="-120" yWindow="-120" windowWidth="29040" windowHeight="15720" xr2:uid="{2C7707D2-0E93-468E-82AA-9F8B45B0EC16}"/>
  </bookViews>
  <sheets>
    <sheet name="AVARIAS ATUAIS" sheetId="1" r:id="rId1"/>
    <sheet name="AVARIAS RESOLVIDAS" sheetId="3" r:id="rId2"/>
    <sheet name="ANÁLISE CHECKLIST" sheetId="4" r:id="rId3"/>
    <sheet name="Manutenção - Locadoras" sheetId="5" r:id="rId4"/>
  </sheets>
  <definedNames>
    <definedName name="_xlnm._FilterDatabase" localSheetId="2" hidden="1">'ANÁLISE CHECKLIST'!$A$3:$U$101</definedName>
    <definedName name="_xlnm._FilterDatabase" localSheetId="0" hidden="1">'AVARIAS ATUAIS'!$A$2:$L$138</definedName>
    <definedName name="_xlnm._FilterDatabase" localSheetId="1" hidden="1">'AVARIAS RESOLVIDAS'!$A$2:$K$90</definedName>
    <definedName name="_xlnm._FilterDatabase" localSheetId="3" hidden="1">'Manutenção - Locadoras'!$A$2:$T$56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2" i="3" l="1"/>
  <c r="N4" i="5" l="1"/>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5" i="5"/>
  <c r="F54" i="3" l="1"/>
  <c r="I13" i="3" l="1"/>
  <c r="E40" i="3" l="1"/>
  <c r="E63" i="3" l="1"/>
  <c r="E59" i="3" l="1"/>
  <c r="E49" i="3" l="1"/>
  <c r="F21" i="3" l="1"/>
  <c r="E21" i="3"/>
  <c r="G31" i="3" l="1"/>
  <c r="I32" i="3" l="1"/>
  <c r="I33" i="3"/>
  <c r="I34" i="3"/>
  <c r="I45" i="3"/>
  <c r="I46" i="3"/>
  <c r="I47" i="3"/>
  <c r="I48" i="3"/>
  <c r="E24" i="3" l="1"/>
  <c r="I24" i="3" l="1"/>
  <c r="I31" i="3"/>
  <c r="N3" i="5" l="1"/>
  <c r="I50" i="3" l="1"/>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E43" i="3" l="1"/>
  <c r="G43" i="3"/>
  <c r="E28" i="3" l="1"/>
  <c r="E90" i="3" s="1"/>
  <c r="G26" i="3" l="1"/>
  <c r="G92" i="3" s="1"/>
  <c r="I16" i="3" l="1"/>
  <c r="I17" i="3" l="1"/>
  <c r="I12" i="3" l="1"/>
  <c r="I30" i="3" l="1"/>
  <c r="I29" i="3"/>
  <c r="I23" i="3" l="1"/>
  <c r="I28" i="3"/>
  <c r="I27" i="3"/>
  <c r="I22" i="3" l="1"/>
  <c r="I36" i="3" l="1"/>
  <c r="I37" i="3"/>
  <c r="I38" i="3"/>
  <c r="I11" i="3" l="1"/>
  <c r="I10" i="3"/>
  <c r="I9" i="3"/>
  <c r="H90" i="3" l="1"/>
  <c r="G90" i="3"/>
  <c r="F90" i="3"/>
  <c r="D90" i="3"/>
  <c r="I18" i="3"/>
  <c r="I19" i="3"/>
  <c r="I20" i="3"/>
  <c r="I21" i="3"/>
  <c r="I25" i="3"/>
  <c r="I26" i="3"/>
  <c r="I35" i="3"/>
  <c r="I39" i="3"/>
  <c r="I40" i="3"/>
  <c r="I41" i="3"/>
  <c r="I42" i="3"/>
  <c r="I43" i="3"/>
  <c r="I44" i="3"/>
  <c r="I49" i="3"/>
  <c r="I15" i="3"/>
  <c r="I14" i="3"/>
  <c r="I8" i="3"/>
  <c r="I93" i="3" l="1"/>
  <c r="I92" i="3"/>
  <c r="I4" i="3"/>
  <c r="I5" i="3"/>
  <c r="I6" i="3"/>
  <c r="I7" i="3"/>
  <c r="I3" i="3"/>
  <c r="I90"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tc={53704B9A-7899-4A51-A7BE-F381E8253069}</author>
    <author>Administrativo2</author>
    <author>tc={F822CA05-3DB8-472A-9BAA-671BDD174CE6}</author>
    <author>tc={78EFF5F3-7F8E-43DB-BCDC-31923741AF3E}</author>
    <author>tc={FC2072AD-CC61-4A3F-A62C-239B2F74A5D1}</author>
    <author>tc={B8DE54B5-11CC-4CE0-88AB-9F89214D37DB}</author>
    <author>tc={D5999AFD-9473-4498-8EFC-D0AEA5C404F9}</author>
    <author>tc={1BFA4A73-BB3E-4538-851B-EE8819C354A5}</author>
  </authors>
  <commentList>
    <comment ref="B27" authorId="0" shapeId="0" xr:uid="{53704B9A-7899-4A51-A7BE-F381E8253069}">
      <text>
        <t>[Comentário encadeado]
Sua versão do Excel permite que você leia este comentário encadeado, no entanto, as edições serão removidas se o arquivo for aberto em uma versão mais recente do Excel. Saiba mais: https://go.microsoft.com/fwlink/?linkid=870924
Comentário:
    Devolução 30/04/2026</t>
      </text>
    </comment>
    <comment ref="D44" authorId="1" shapeId="0" xr:uid="{3AA79BF5-D097-428C-8265-151DA937DE0F}">
      <text>
        <r>
          <rPr>
            <b/>
            <sz val="9"/>
            <color indexed="81"/>
            <rFont val="Segoe UI"/>
            <family val="2"/>
          </rPr>
          <t>Veículo retirado por Marcilio e repassado para Breno</t>
        </r>
        <r>
          <rPr>
            <sz val="9"/>
            <color indexed="81"/>
            <rFont val="Segoe UI"/>
            <family val="2"/>
          </rPr>
          <t xml:space="preserve">
</t>
        </r>
      </text>
    </comment>
    <comment ref="G49" authorId="2" shapeId="0" xr:uid="{F822CA05-3DB8-472A-9BAA-671BDD174CE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Devolvido sem identificação de avaria pela locadora e locado novamente </t>
      </text>
    </comment>
    <comment ref="D51" authorId="3" shapeId="0" xr:uid="{78EFF5F3-7F8E-43DB-BCDC-31923741AF3E}">
      <text>
        <t>[Comentário encadeado]
Sua versão do Excel permite que você leia este comentário encadeado, no entanto, as edições serão removidas se o arquivo for aberto em uma versão mais recente do Excel. Saiba mais: https://go.microsoft.com/fwlink/?linkid=870924
Comentário:
    ANTERIORMENTE ERA DE wILDSON</t>
      </text>
    </comment>
    <comment ref="D64" authorId="4" shapeId="0" xr:uid="{FC2072AD-CC61-4A3F-A62C-239B2F74A5D1}">
      <text>
        <t>[Comentário encadeado]
Sua versão do Excel permite que você leia este comentário encadeado, no entanto, as edições serão removidas se o arquivo for aberto em uma versão mais recente do Excel. Saiba mais: https://go.microsoft.com/fwlink/?linkid=870924
Comentário:
    Antes de Herik</t>
      </text>
    </comment>
    <comment ref="D73" authorId="5" shapeId="0" xr:uid="{B8DE54B5-11CC-4CE0-88AB-9F89214D37DB}">
      <text>
        <t>[Comentário encadeado]
Sua versão do Excel permite que você leia este comentário encadeado, no entanto, as edições serão removidas se o arquivo for aberto em uma versão mais recente do Excel. Saiba mais: https://go.microsoft.com/fwlink/?linkid=870924
Comentário:
    Antes era de Jurandir</t>
      </text>
    </comment>
    <comment ref="D76" authorId="1" shapeId="0" xr:uid="{A047B2BF-E1A0-41EB-94F1-AECA79DB5AFB}">
      <text>
        <r>
          <rPr>
            <b/>
            <sz val="9"/>
            <color indexed="81"/>
            <rFont val="Segoe UI"/>
            <family val="2"/>
          </rPr>
          <t>Troca de Condutor:</t>
        </r>
        <r>
          <rPr>
            <sz val="9"/>
            <color indexed="81"/>
            <rFont val="Segoe UI"/>
            <family val="2"/>
          </rPr>
          <t xml:space="preserve">
Onix PVR3B92 - Este veículo foi locado por Idalecio em 02/07/2025 e ficou sendo utilizado por ele até 12/08/2025, após foi transferido para Alverson e o Polo STZ7D92 que estava sendo utilizado por Alverson foi passado para o Idalecio - Devido o Polo ser 15cm mais alto que o Onix .
</t>
        </r>
        <r>
          <rPr>
            <b/>
            <sz val="9"/>
            <color indexed="81"/>
            <rFont val="Segoe UI"/>
            <family val="2"/>
          </rPr>
          <t>Troca de Condutor 2:</t>
        </r>
        <r>
          <rPr>
            <sz val="9"/>
            <color indexed="81"/>
            <rFont val="Segoe UI"/>
            <family val="2"/>
          </rPr>
          <t xml:space="preserve">
24/02/2026 - Polo TJL7E95 17.956km - Na desmobilização de Alverson ficou alinhado de que o veículo permaneceria no projeto, ficando com Idalecio até a chegada de Elisson, o qual recebeu o veículo em 04/03/26.
</t>
        </r>
      </text>
    </comment>
    <comment ref="D84" authorId="6" shapeId="0" xr:uid="{D5999AFD-9473-4498-8EFC-D0AEA5C404F9}">
      <text>
        <t>[Comentário encadeado]
Sua versão do Excel permite que você leia este comentário encadeado, no entanto, as edições serão removidas se o arquivo for aberto em uma versão mais recente do Excel. Saiba mais: https://go.microsoft.com/fwlink/?linkid=870924
Comentário:
    LOCADO POR JURANDIR 04/01/26 E TRANSFERIDO PARA AUGUSTO 17/01/26</t>
      </text>
    </comment>
    <comment ref="C89" authorId="7" shapeId="0" xr:uid="{1BFA4A73-BB3E-4538-851B-EE8819C354A5}">
      <text>
        <t>[Comentário encadeado]
Sua versão do Excel permite que você leia este comentário encadeado, no entanto, as edições serão removidas se o arquivo for aberto em uma versão mais recente do Excel. Saiba mais: https://go.microsoft.com/fwlink/?linkid=870924
Comentário:
    Antes de ser devolvido, era utilizado por Eider Breno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Recepção</author>
    <author>Administrativo2</author>
    <author>tc={F4CA52F4-B4BA-4CB1-A411-5B2BB56644C9}</author>
    <author>tc={39100D02-EFDA-4A99-A989-C64E89577061}</author>
    <author>tc={FAC80BE8-2801-43B2-992A-979FE31AB9F4}</author>
    <author>tc={EE2966D8-F408-40D9-A1A0-FA29776F7B5B}</author>
    <author>tc={0A4FABFF-1D26-4FB4-9087-E6F1E730FFC5}</author>
    <author>tc={D84EB848-72F3-4A7B-AA6D-BB5D93C7958A}</author>
    <author>tc={32DAD896-27EB-4B9A-98F6-C88C965F4798}</author>
    <author>tc={BD2EC5A2-BE57-443A-A14E-0B8A222C48AA}</author>
    <author>tc={C65BB40C-2D45-4133-872C-BFBEB5CA34AE}</author>
    <author>tc={39D26095-D792-48C3-A4FB-6C3F70C0D7AF}</author>
    <author>tc={B487F7EB-3311-4CD2-A0C6-D5F538E49509}</author>
    <author>tc={5019938D-DED0-4CB8-952A-E22C1728A3D2}</author>
    <author>tc={DD792346-693C-4074-A91F-86183B42F097}</author>
    <author>tc={179529B0-4C5C-4CB9-99DE-64AF60B29BA9}</author>
    <author>tc={EA6FB679-44DE-4DBF-9CCA-3B7391D1BC64}</author>
    <author>tc={9652F8CB-55DD-48A8-B1D6-F7E9D879289A}</author>
    <author>tc={7B30535D-B0B9-4340-AB65-1FCF7701E22A}</author>
    <author>tc={574AC61A-F77C-49A9-8A50-5C897F685D7A}</author>
    <author>tc={EFB36B89-1375-4BAA-B092-D6CE9BC2C54B}</author>
    <author>tc={83749E91-1894-4ECD-9E04-C3D7A5A8D39B}</author>
    <author>tc={84E86411-F33F-4F3B-A535-13D2CC0B6C52}</author>
  </authors>
  <commentList>
    <comment ref="E3" authorId="0" shapeId="0" xr:uid="{B5616422-E2CF-4892-A944-A52E16846651}">
      <text>
        <r>
          <rPr>
            <b/>
            <sz val="9"/>
            <color indexed="81"/>
            <rFont val="Segoe UI"/>
            <family val="2"/>
          </rPr>
          <t>Recepção:</t>
        </r>
        <r>
          <rPr>
            <sz val="9"/>
            <color indexed="81"/>
            <rFont val="Segoe UI"/>
            <family val="2"/>
          </rPr>
          <t xml:space="preserve">
Compra de Tampão do porta malas</t>
        </r>
      </text>
    </comment>
    <comment ref="F3" authorId="1" shapeId="0" xr:uid="{0D2C8BA8-9764-4071-A62F-4F6FDBCEF885}">
      <text>
        <r>
          <rPr>
            <b/>
            <sz val="9"/>
            <color indexed="81"/>
            <rFont val="Segoe UI"/>
            <family val="2"/>
          </rPr>
          <t>Reparo no para-brisas</t>
        </r>
        <r>
          <rPr>
            <sz val="9"/>
            <color indexed="81"/>
            <rFont val="Segoe UI"/>
            <family val="2"/>
          </rPr>
          <t xml:space="preserve">
</t>
        </r>
      </text>
    </comment>
    <comment ref="F4" authorId="1" shapeId="0" xr:uid="{ACECEA57-EAB2-4EDF-8D54-D1964D2C52C9}">
      <text>
        <r>
          <rPr>
            <b/>
            <sz val="9"/>
            <color indexed="81"/>
            <rFont val="Segoe UI"/>
            <family val="2"/>
          </rPr>
          <t>Troca de para-brisas em 10/04/2025</t>
        </r>
        <r>
          <rPr>
            <sz val="9"/>
            <color indexed="81"/>
            <rFont val="Segoe UI"/>
            <family val="2"/>
          </rPr>
          <t xml:space="preserve">
</t>
        </r>
      </text>
    </comment>
    <comment ref="D5" authorId="0" shapeId="0" xr:uid="{2E814B35-5DAB-470D-A1D2-AFB9258DF7B7}">
      <text>
        <r>
          <rPr>
            <b/>
            <sz val="9"/>
            <color indexed="81"/>
            <rFont val="Segoe UI"/>
            <family val="2"/>
          </rPr>
          <t>Recepção:</t>
        </r>
        <r>
          <rPr>
            <sz val="9"/>
            <color indexed="81"/>
            <rFont val="Segoe UI"/>
            <family val="2"/>
          </rPr>
          <t xml:space="preserve">
260,00 POLIMENTO + LIMPEZA INTERNA-EXTERNA
250,00 BANCOS
100,00 MOTOR
</t>
        </r>
      </text>
    </comment>
    <comment ref="E5" authorId="1" shapeId="0" xr:uid="{E94F63B0-DDC2-4BA7-88C0-6F06D0205D75}">
      <text>
        <r>
          <rPr>
            <sz val="9"/>
            <color indexed="81"/>
            <rFont val="Segoe UI"/>
            <family val="2"/>
          </rPr>
          <t xml:space="preserve">serviço de repintura, retirada de amasado, arranhões e furo na carroceria da caminhonete devido a carregamento de inversores na obra
</t>
        </r>
      </text>
    </comment>
    <comment ref="F5" authorId="0" shapeId="0" xr:uid="{E6257077-8AC2-4478-8A28-1EF664F89014}">
      <text>
        <r>
          <rPr>
            <b/>
            <sz val="9"/>
            <color indexed="81"/>
            <rFont val="Segoe UI"/>
            <family val="2"/>
          </rPr>
          <t>Recepção:</t>
        </r>
        <r>
          <rPr>
            <sz val="9"/>
            <color indexed="81"/>
            <rFont val="Segoe UI"/>
            <family val="2"/>
          </rPr>
          <t xml:space="preserve">
O Para-brisas foi trocado duas vezes antes da devolução - 06/03/2025 e 01/04/2025</t>
        </r>
      </text>
    </comment>
    <comment ref="E6" authorId="1" shapeId="0" xr:uid="{093542D3-80E3-46B5-A7DD-700606ECBEBB}">
      <text>
        <r>
          <rPr>
            <b/>
            <sz val="9"/>
            <color indexed="81"/>
            <rFont val="Segoe UI"/>
            <family val="2"/>
          </rPr>
          <t xml:space="preserve">18/02/2025: Serviço realizado na GoldenCar para retirada de arranhões e amassados na carroceria da S10 TDA9D59, em decorrencia de algumas ativades na obra </t>
        </r>
        <r>
          <rPr>
            <sz val="9"/>
            <color indexed="81"/>
            <rFont val="Segoe UI"/>
            <family val="2"/>
          </rPr>
          <t xml:space="preserve">
</t>
        </r>
      </text>
    </comment>
    <comment ref="D7" authorId="0" shapeId="0" xr:uid="{72CC1FEA-8EF0-4293-83DC-02D0150701CD}">
      <text>
        <r>
          <rPr>
            <b/>
            <sz val="9"/>
            <color indexed="81"/>
            <rFont val="Segoe UI"/>
            <family val="2"/>
          </rPr>
          <t>Recepção:</t>
        </r>
        <r>
          <rPr>
            <sz val="9"/>
            <color indexed="81"/>
            <rFont val="Segoe UI"/>
            <family val="2"/>
          </rPr>
          <t xml:space="preserve">
130,00 LIMPEZA INTERNA-EXTERNA
100,00 MOTOR
230,00 - 20,00 DE DESCONTO (JAQUELINE)</t>
        </r>
      </text>
    </comment>
    <comment ref="H7" authorId="0" shapeId="0" xr:uid="{F68E5DE9-7584-4DE9-8ADB-F40C6619E8CF}">
      <text>
        <r>
          <rPr>
            <b/>
            <sz val="9"/>
            <color indexed="81"/>
            <rFont val="Segoe UI"/>
            <family val="2"/>
          </rPr>
          <t>TAXA COMPLETA
R$1.077,40 FICOU COMBINADO CUSTEAR A METADE</t>
        </r>
      </text>
    </comment>
    <comment ref="F8" authorId="1" shapeId="0" xr:uid="{52A9CF52-ACEE-4E1B-99F3-4589306C7A75}">
      <text>
        <r>
          <rPr>
            <b/>
            <sz val="9"/>
            <color indexed="81"/>
            <rFont val="Segoe UI"/>
            <family val="2"/>
          </rPr>
          <t xml:space="preserve">Para-brisa trocado em 28/03/2025
</t>
        </r>
        <r>
          <rPr>
            <sz val="9"/>
            <color indexed="81"/>
            <rFont val="Segoe UI"/>
            <family val="2"/>
          </rPr>
          <t xml:space="preserve">
</t>
        </r>
      </text>
    </comment>
    <comment ref="F9" authorId="1" shapeId="0" xr:uid="{03216D5A-FFCD-419C-9550-75FFC302AE72}">
      <text>
        <r>
          <rPr>
            <sz val="9"/>
            <color indexed="81"/>
            <rFont val="Segoe UI"/>
            <family val="2"/>
          </rPr>
          <t xml:space="preserve">Para-brisas trocado 2 vezes - foi trincado em 09/01/2025 e em 27/01/2025 (na ultima vez tinhamos já recebido a informação da desmobilização e por isso precisou trocar novamente para devolver o carro)
</t>
        </r>
      </text>
    </comment>
    <comment ref="J10" authorId="1" shapeId="0" xr:uid="{EBDB6471-31C3-403D-90F4-3BE0BCBF43FD}">
      <text>
        <r>
          <rPr>
            <b/>
            <sz val="9"/>
            <color indexed="81"/>
            <rFont val="Segoe UI"/>
            <family val="2"/>
          </rPr>
          <t xml:space="preserve">Na saída do iliichi em 30/01/25 a s10 tct0h26 ficou com Wesley e o carro passeio procisório que estava com Wesley foi devolvido
</t>
        </r>
        <r>
          <rPr>
            <sz val="9"/>
            <color indexed="81"/>
            <rFont val="Segoe UI"/>
            <family val="2"/>
          </rPr>
          <t xml:space="preserve">
A troca do para-brisas foi em 10/01/2025 quando o carro ainda estava com o Iliichi</t>
        </r>
      </text>
    </comment>
    <comment ref="E12" authorId="1" shapeId="0" xr:uid="{999D0D1A-9EE7-4598-9B8C-5D7B280E7F82}">
      <text>
        <r>
          <rPr>
            <sz val="9"/>
            <color indexed="81"/>
            <rFont val="Segoe UI"/>
            <family val="2"/>
          </rPr>
          <t xml:space="preserve">
Veículo Argo TCY1C54 - condutor Vitor Pessoa
Em 26/08/25 quando estava dando inicio a devolução do veículo na locadora, o atendente identificou a avaria (pintura), até então não tinha sido sinalizada antes, nesse caso a orientação foi fazer a tratativa antes e em seguida devolver o veículo na mesma data - pagamento realizado com cartão corporativo.
</t>
        </r>
      </text>
    </comment>
    <comment ref="E13" authorId="2" shapeId="0" xr:uid="{F4CA52F4-B4BA-4CB1-A411-5B2BB56644C9}">
      <text>
        <t>[Comentário encadeado]
Sua versão do Excel permite que você leia este comentário encadeado, no entanto, as edições serão removidas se o arquivo for aberto em uma versão mais recente do Excel. Saiba mais: https://go.microsoft.com/fwlink/?linkid=870924
Comentário:
    Authenticar 38 9848-8843 -Janauba MG
Funilaria e pintura caixa de ar lado direito Argo - placa TCU0B50 R$250,00 + 10% Taxa maquineta - pagamento cartão corporativo</t>
      </text>
    </comment>
    <comment ref="F14" authorId="1" shapeId="0" xr:uid="{CE6C2A7C-7AC9-47DB-B8DC-8A2E2BE4BDF5}">
      <text>
        <r>
          <rPr>
            <b/>
            <sz val="9"/>
            <color indexed="81"/>
            <rFont val="Segoe UI"/>
            <family val="2"/>
          </rPr>
          <t>Reparo no para-brisas</t>
        </r>
        <r>
          <rPr>
            <sz val="9"/>
            <color indexed="81"/>
            <rFont val="Segoe UI"/>
            <family val="2"/>
          </rPr>
          <t xml:space="preserve">
</t>
        </r>
      </text>
    </comment>
    <comment ref="G15" authorId="1" shapeId="0" xr:uid="{AE988F97-B298-45A7-91E3-453358339D92}">
      <text>
        <r>
          <rPr>
            <sz val="9"/>
            <color indexed="81"/>
            <rFont val="Segoe UI"/>
            <family val="2"/>
          </rPr>
          <t xml:space="preserve">Realizado em 07/03/2025: troca de 2 pneus cada um no valor de R$498,00 + 110,00 de alinhamento e balanceamento 
</t>
        </r>
      </text>
    </comment>
    <comment ref="E16" authorId="1" shapeId="0" xr:uid="{B993B71D-30D8-4A12-BECD-1D45F17DB0EB}">
      <text>
        <r>
          <rPr>
            <b/>
            <sz val="9"/>
            <color indexed="81"/>
            <rFont val="Segoe UI"/>
            <family val="2"/>
          </rPr>
          <t xml:space="preserve">Instalação do protetor de carter que havia soltado - cartão corporativo
</t>
        </r>
        <r>
          <rPr>
            <sz val="9"/>
            <color indexed="81"/>
            <rFont val="Segoe UI"/>
            <family val="2"/>
          </rPr>
          <t xml:space="preserve">
</t>
        </r>
      </text>
    </comment>
    <comment ref="F16" authorId="1" shapeId="0" xr:uid="{B80AA30B-1AFD-42D3-B94C-58BEB9CAD240}">
      <text>
        <r>
          <rPr>
            <b/>
            <sz val="9"/>
            <color indexed="81"/>
            <rFont val="Segoe UI"/>
            <family val="2"/>
          </rPr>
          <t>paragamento por transferencia 50% no pedido e 50% após termino</t>
        </r>
        <r>
          <rPr>
            <sz val="9"/>
            <color indexed="81"/>
            <rFont val="Segoe UI"/>
            <family val="2"/>
          </rPr>
          <t xml:space="preserve">
</t>
        </r>
      </text>
    </comment>
    <comment ref="G16" authorId="1" shapeId="0" xr:uid="{060CBDF9-9E2C-47C3-83F4-45C1979C495F}">
      <text>
        <r>
          <rPr>
            <sz val="9"/>
            <color indexed="81"/>
            <rFont val="Segoe UI"/>
            <family val="2"/>
          </rPr>
          <t xml:space="preserve">Na devolução do veículo TJB2D87 em 01/10/2025 o atendente da locadora identificou que 2 pneus estavam com bucho e foi necessário fazer a troca para não ter cobrança posterior pela locadora - R$549,90 cada pneu - foram 2 no total
</t>
        </r>
      </text>
    </comment>
    <comment ref="E17" authorId="1" shapeId="0" xr:uid="{13145D58-BE2B-417C-BDE9-CFA15462CD22}">
      <text>
        <r>
          <rPr>
            <sz val="9"/>
            <color indexed="81"/>
            <rFont val="Segoe UI"/>
            <family val="2"/>
          </rPr>
          <t xml:space="preserve">R$174,00 compra da lente da lanterna traseira (lado direito) + 60,00 (valor da instalação)
</t>
        </r>
      </text>
    </comment>
    <comment ref="E18" authorId="1" shapeId="0" xr:uid="{BBE348EB-72E5-422E-BA22-40643D708BF6}">
      <text>
        <r>
          <rPr>
            <b/>
            <sz val="9"/>
            <color indexed="81"/>
            <rFont val="Segoe UI"/>
            <family val="2"/>
          </rPr>
          <t>Para-choque quebrado (buraco na lataria próximo as lanternas) - reparo realizado para devolução do veículo</t>
        </r>
        <r>
          <rPr>
            <sz val="9"/>
            <color indexed="81"/>
            <rFont val="Segoe UI"/>
            <family val="2"/>
          </rPr>
          <t xml:space="preserve">
</t>
        </r>
      </text>
    </comment>
    <comment ref="E19" authorId="1" shapeId="0" xr:uid="{BCBF602D-428F-4D2F-B67F-89B2D76FF073}">
      <text>
        <r>
          <rPr>
            <b/>
            <sz val="9"/>
            <color indexed="81"/>
            <rFont val="Segoe UI"/>
            <family val="2"/>
          </rPr>
          <t>Pintura na base das duas porta dianteiras (caixa de ar)</t>
        </r>
        <r>
          <rPr>
            <sz val="9"/>
            <color indexed="81"/>
            <rFont val="Segoe UI"/>
            <family val="2"/>
          </rPr>
          <t xml:space="preserve">
</t>
        </r>
      </text>
    </comment>
    <comment ref="G20" authorId="1" shapeId="0" xr:uid="{7711AD43-252E-4737-8116-4FE2A9F783CE}">
      <text>
        <r>
          <rPr>
            <sz val="9"/>
            <color indexed="81"/>
            <rFont val="Segoe UI"/>
            <family val="2"/>
          </rPr>
          <t xml:space="preserve">Realizado em 17/06/2025: R$650,00 pneu + R$150,00 alinhamento e balanceamento das 4 rodas 
</t>
        </r>
      </text>
    </comment>
    <comment ref="E21" authorId="3" shapeId="0" xr:uid="{39100D02-EFDA-4A99-A989-C64E89577061}">
      <text>
        <t>[Comentário encadeado]
Sua versão do Excel permite que você leia este comentário encadeado, no entanto, as edições serão removidas se o arquivo for aberto em uma versão mais recente do Excel. Saiba mais: https://go.microsoft.com/fwlink/?linkid=870924
Comentário:
    Lava-jato Kaio 09/02/26 - 1.540,00 faturado 2x
Capa retrovisor 200,00
Tampa tanque 100,00
Pára-choque 300,00
Polimento 350,00
Martelinho de ouro 400,00 duas portas
Lavagem chassi 50,00
Lavagem motor 50,00
Lavagem carpete 40,00
Mao de obra lanterna 50,00
Compra lanterna 661,50 cartão corporativo - mercado livre (pago a Kaio do lava-jato)</t>
      </text>
    </comment>
    <comment ref="F21" authorId="1" shapeId="0" xr:uid="{E2E7DCEF-3B98-452E-845E-B722148D55A0}">
      <text>
        <r>
          <rPr>
            <b/>
            <sz val="9"/>
            <color indexed="81"/>
            <rFont val="Segoe UI"/>
            <family val="2"/>
          </rPr>
          <t xml:space="preserve">Troca de para-brisas em 22/05/2025 1.410,00
</t>
        </r>
        <r>
          <rPr>
            <sz val="9"/>
            <color indexed="81"/>
            <rFont val="Segoe UI"/>
            <family val="2"/>
          </rPr>
          <t xml:space="preserve">
</t>
        </r>
      </text>
    </comment>
    <comment ref="C22" authorId="1" shapeId="0" xr:uid="{8CC2AF3E-BDA3-43C2-95CA-8C57D32166FE}">
      <text>
        <r>
          <rPr>
            <b/>
            <sz val="9"/>
            <color indexed="81"/>
            <rFont val="Segoe UI"/>
            <family val="2"/>
          </rPr>
          <t>Veículo locado pelo período: 14 a 18/07/2025 para visita da obra VSE</t>
        </r>
        <r>
          <rPr>
            <sz val="9"/>
            <color indexed="81"/>
            <rFont val="Segoe UI"/>
            <family val="2"/>
          </rPr>
          <t xml:space="preserve">
</t>
        </r>
      </text>
    </comment>
    <comment ref="D22" authorId="1" shapeId="0" xr:uid="{7EED8267-3AB1-4617-B735-73E6FEF2F4DF}">
      <text>
        <r>
          <rPr>
            <b/>
            <sz val="9"/>
            <color indexed="81"/>
            <rFont val="Segoe UI"/>
            <family val="2"/>
          </rPr>
          <t>Taxa de lavagem R$130,00 + 15% taxa administrativa cobrado pela locadora Unidas na devolução do carro em 18/07/2025</t>
        </r>
        <r>
          <rPr>
            <sz val="9"/>
            <color indexed="81"/>
            <rFont val="Segoe UI"/>
            <family val="2"/>
          </rPr>
          <t xml:space="preserve">
</t>
        </r>
      </text>
    </comment>
    <comment ref="F22" authorId="1" shapeId="0" xr:uid="{7CACF04C-1AB2-430E-A111-293C1994703F}">
      <text>
        <r>
          <rPr>
            <b/>
            <sz val="9"/>
            <color indexed="81"/>
            <rFont val="Segoe UI"/>
            <family val="2"/>
          </rPr>
          <t>Para-brisa trincado a caminho da locadora para devolução, Roldão informou que estava tendo obra em feira de santana e tinha muitos pedregulhos nas pistas, o que ocasionou a trinca e não possibilitou resolver antecipadamente. 
Valor cobrado pela Unidas R$1.156,16 + 15% taxa administrativa = R$1.329,58</t>
        </r>
        <r>
          <rPr>
            <sz val="9"/>
            <color indexed="81"/>
            <rFont val="Segoe UI"/>
            <family val="2"/>
          </rPr>
          <t xml:space="preserve">
</t>
        </r>
      </text>
    </comment>
    <comment ref="D23" authorId="1" shapeId="0" xr:uid="{4ECBC12C-8C94-4168-BEED-40F5106714A7}">
      <text>
        <r>
          <rPr>
            <sz val="9"/>
            <color indexed="81"/>
            <rFont val="Segoe UI"/>
            <family val="2"/>
          </rPr>
          <t>Lavagem R$70,00 + R$40,00 do produto devido está com sujeira mais grosseira e estofados sujos
 350,00 Polimento completo, a S10 estava com avarias na pintura - Pagamento faturado no lava-jato 74steticar</t>
        </r>
      </text>
    </comment>
    <comment ref="E23" authorId="1" shapeId="0" xr:uid="{99195F1A-2A9C-4FD7-ABA4-287E0490A8D7}">
      <text>
        <r>
          <rPr>
            <sz val="9"/>
            <color indexed="81"/>
            <rFont val="Segoe UI"/>
            <family val="2"/>
          </rPr>
          <t>Para-choque estava desalinhado, com furo e necessário fazer pintura 
 Pagamento faturado no lava-jato 74steticar</t>
        </r>
      </text>
    </comment>
    <comment ref="E24" authorId="1" shapeId="0" xr:uid="{4B3E7695-554D-42AB-9365-650CA8217ECC}">
      <text>
        <r>
          <rPr>
            <sz val="9"/>
            <color indexed="81"/>
            <rFont val="Segoe UI"/>
            <family val="2"/>
          </rPr>
          <t xml:space="preserve">Lava-jato 74steticar 74 9807-7532 Kaio  - 18/12/2025:
Polimento 350,00
Lavagem motor 50,00
Trava porta malas 100,00
Restauração saia pára-choque 100,00 
Total R$600,00 (pago no faturamento do lava-jato)
Concessionária Hyundai Creta (Irece) 74 988247267 - 17/12/25:
Compra do tampão do porta malas R$550,00 - cartão corporativo
</t>
        </r>
      </text>
    </comment>
    <comment ref="G25" authorId="1" shapeId="0" xr:uid="{1870FC0C-5B46-4C43-916B-B095E36C8F36}">
      <text>
        <r>
          <rPr>
            <sz val="9"/>
            <color indexed="81"/>
            <rFont val="Segoe UI"/>
            <family val="2"/>
          </rPr>
          <t xml:space="preserve">Tampa da calota da S10 comprada em 25/05/2025 antes da substituição do veículo.
</t>
        </r>
      </text>
    </comment>
    <comment ref="B26" authorId="1" shapeId="0" xr:uid="{4141E963-FB5E-47F8-9CD7-50E16708E240}">
      <text>
        <r>
          <rPr>
            <b/>
            <sz val="9"/>
            <color indexed="81"/>
            <rFont val="Segoe UI"/>
            <family val="2"/>
          </rPr>
          <t>ANTES ERA DE EIDER BRENO</t>
        </r>
        <r>
          <rPr>
            <sz val="9"/>
            <color indexed="81"/>
            <rFont val="Segoe UI"/>
            <family val="2"/>
          </rPr>
          <t xml:space="preserve">
</t>
        </r>
      </text>
    </comment>
    <comment ref="G26" authorId="1" shapeId="0" xr:uid="{774524C3-F305-4F18-87BA-C553C8CA1BF9}">
      <text>
        <r>
          <rPr>
            <sz val="9"/>
            <color indexed="81"/>
            <rFont val="Segoe UI"/>
            <family val="2"/>
          </rPr>
          <t>04/06/2025: Veículo TDP1E16 estava sob a responsabilidade de Eider Breno - com 12000KM: Troca de 2 pneus traseiros R$810,00 cada, alinhamento R$40,00 e balanceamento das 4 rodas R$80,00 - Total R$1.740,00.
S10 TDP1E16 20.557km - condutor Alain: Em 21/08/2025 realizado a troca de 2 pneus dianteiros R$810,00 cada, o alinhamento e balanceamento foi possivel incluir no chamado de revisão da locadora, total R$1.620,00 pagamento faturado - Solicitado 50% do valor dos pneus a Eider Breno devido a grande quantidade de Uso particular que influenciou nos desgastes prematuros dos pneus.
S10 TDP1E16 25.223km - condutor Alain: Solicitado troca de pneu em 23/09 e atroca dos 2 pneus dianteiros + alinhamento e balanceamento das 4 rodas foi realizada em 11/10/25 - R$1.580,00 pagamento faturado 30/60 dias - o custo de R$790,00 referente a 1 pneu da S10 TDP1E16 será deduzido na nota fiscal de Alain divido em 3 parcelas de R$263,33.</t>
        </r>
      </text>
    </comment>
    <comment ref="B27" authorId="1" shapeId="0" xr:uid="{FDBAB215-FE2F-482D-8B16-678E2D9FB193}">
      <text>
        <r>
          <rPr>
            <b/>
            <sz val="9"/>
            <color indexed="81"/>
            <rFont val="Segoe UI"/>
            <family val="2"/>
          </rPr>
          <t>ANTES ERA DE ALVERSON - PASSOU PARA BRENO - PASSOU PARA MARCILIO</t>
        </r>
        <r>
          <rPr>
            <sz val="9"/>
            <color indexed="81"/>
            <rFont val="Segoe UI"/>
            <family val="2"/>
          </rPr>
          <t xml:space="preserve">
</t>
        </r>
      </text>
    </comment>
    <comment ref="E27" authorId="1" shapeId="0" xr:uid="{06BF8D40-BE26-4D2C-8573-2660BBF4B648}">
      <text>
        <r>
          <rPr>
            <b/>
            <sz val="9"/>
            <color indexed="81"/>
            <rFont val="Segoe UI"/>
            <family val="2"/>
          </rPr>
          <t xml:space="preserve">18/08/2025 R$20,00 - Duster TDJ7G97: </t>
        </r>
        <r>
          <rPr>
            <sz val="9"/>
            <color indexed="81"/>
            <rFont val="Segoe UI"/>
            <family val="2"/>
          </rPr>
          <t xml:space="preserve">comprou pilha/bateria do controle da chave do veículo que estava sem funcionar, com </t>
        </r>
        <r>
          <rPr>
            <b/>
            <sz val="9"/>
            <color indexed="81"/>
            <rFont val="Segoe UI"/>
            <family val="2"/>
          </rPr>
          <t>cartão corporativo</t>
        </r>
        <r>
          <rPr>
            <sz val="9"/>
            <color indexed="81"/>
            <rFont val="Segoe UI"/>
            <family val="2"/>
          </rPr>
          <t xml:space="preserve">.
</t>
        </r>
      </text>
    </comment>
    <comment ref="G27" authorId="1" shapeId="0" xr:uid="{11C7E4C2-2070-4E5B-A5DA-82F567CEACEF}">
      <text>
        <r>
          <rPr>
            <b/>
            <sz val="9"/>
            <color indexed="81"/>
            <rFont val="Segoe UI"/>
            <family val="2"/>
          </rPr>
          <t>11/08/2025 Duster TJD7G97 17.745KM - Troca de 1 pneu 215/60 R17 - R$830,00 + montagem 40,00 + alinhamento 40,00 + balanceamento das 4 rodas 80,00 = 990,00 pagamento faturado 30/60 dias (vencimento 10/09 e 10/10/25)</t>
        </r>
        <r>
          <rPr>
            <sz val="9"/>
            <color indexed="81"/>
            <rFont val="Segoe UI"/>
            <family val="2"/>
          </rPr>
          <t xml:space="preserve">
</t>
        </r>
      </text>
    </comment>
    <comment ref="E28" authorId="1" shapeId="0" xr:uid="{9685D214-1F47-4AB2-A1A3-DA35F26E9CC1}">
      <text>
        <r>
          <rPr>
            <sz val="9"/>
            <color indexed="81"/>
            <rFont val="Segoe UI"/>
            <family val="2"/>
          </rPr>
          <t>Argo TDQ6D38 - Tanque avariado na sexta-feira 08/08/25 às 16:03h e ficou vazando o óleo na segunda 11/08 foi levado para a oficina Center Car em Cerro Corá RN - R$200,00 cartão corporativo
Argo TDQ6D38 - Tanque avariado</t>
        </r>
      </text>
    </comment>
    <comment ref="G28" authorId="1" shapeId="0" xr:uid="{98257F9E-21AB-494E-8BE5-92B36EE9A823}">
      <text>
        <r>
          <rPr>
            <b/>
            <sz val="9"/>
            <color indexed="81"/>
            <rFont val="Segoe UI"/>
            <family val="2"/>
          </rPr>
          <t>24/07/2025 Argo TDQ6D38 11.768km- troca dos 2 pneus dianteiros 450,00 cada (900,00) + 40,00 alinhamento + 80,00 balanceamento das 4 rodas = R$1.020,00 pagamento faturado 30/60 Oficina Medeiros Lajes</t>
        </r>
        <r>
          <rPr>
            <sz val="9"/>
            <color indexed="81"/>
            <rFont val="Segoe UI"/>
            <family val="2"/>
          </rPr>
          <t xml:space="preserve">
</t>
        </r>
      </text>
    </comment>
    <comment ref="G29" authorId="1" shapeId="0" xr:uid="{B340884A-39E9-4027-9C71-FE3EE8633F32}">
      <text>
        <r>
          <rPr>
            <sz val="9"/>
            <color indexed="81"/>
            <rFont val="Segoe UI"/>
            <family val="2"/>
          </rPr>
          <t xml:space="preserve">18/08/2025 Onix PVR3B92 Alverson: Troca de pneu R$450,00 (traseiro lado motorista 185/70 R14) faturado na oficina medeiros, o alinhamento e balanceamento conseguiu incluir na revisão pela locadora que foi realizada no mesmo dia com 29.773km
</t>
        </r>
      </text>
    </comment>
    <comment ref="E30" authorId="1" shapeId="0" xr:uid="{66087700-34A2-46F3-AB0B-F8170758798A}">
      <text>
        <r>
          <rPr>
            <b/>
            <sz val="9"/>
            <color indexed="81"/>
            <rFont val="Segoe UI"/>
            <family val="2"/>
          </rPr>
          <t>Serviço de funilaria e pintura - oficina Clinicar em Cerro Corá - pagamento por transferencia</t>
        </r>
        <r>
          <rPr>
            <sz val="9"/>
            <color indexed="81"/>
            <rFont val="Segoe UI"/>
            <family val="2"/>
          </rPr>
          <t xml:space="preserve">
</t>
        </r>
      </text>
    </comment>
    <comment ref="E31" authorId="4" shapeId="0" xr:uid="{FAC80BE8-2801-43B2-992A-979FE31AB9F4}">
      <text>
        <t>[Comentário encadeado]
Sua versão do Excel permite que você leia este comentário encadeado, no entanto, as edições serão removidas se o arquivo for aberto em uma versão mais recente do Excel. Saiba mais: https://go.microsoft.com/fwlink/?linkid=870924
Comentário:
    Geifran pintor - 350,00 amassado na porta e pintura</t>
      </text>
    </comment>
    <comment ref="G31" authorId="1" shapeId="0" xr:uid="{820CD8E9-3AA0-41D3-9767-A05D4983B715}">
      <text>
        <r>
          <rPr>
            <b/>
            <sz val="9"/>
            <color indexed="81"/>
            <rFont val="Segoe UI"/>
            <family val="2"/>
          </rPr>
          <t xml:space="preserve">Oficina Medeiros:
</t>
        </r>
        <r>
          <rPr>
            <sz val="9"/>
            <color indexed="81"/>
            <rFont val="Segoe UI"/>
            <family val="2"/>
          </rPr>
          <t>06/12/2025 13.088km: troca de 2 pneus traseiros 245/70 R16 Trazano A/T
R$800,00 cada pneu + alinhamento e balanceamento 2rodas R$80,00
Não houve coparticipação porque não consta viagem de uso particular, desgaste do projeto. Pagamento faturado 30/60/90 cada parcela 560,00
09/01- joão das rodas compra de 2 tampas de calotas R$140,90 total</t>
        </r>
      </text>
    </comment>
    <comment ref="G34" authorId="5" shapeId="0" xr:uid="{EE2966D8-F408-40D9-A1A0-FA29776F7B5B}">
      <text>
        <t>[Comentário encadeado]
Sua versão do Excel permite que você leia este comentário encadeado, no entanto, as edições serão removidas se o arquivo for aberto em uma versão mais recente do Excel. Saiba mais: https://go.microsoft.com/fwlink/?linkid=870924
Comentário:
    09/01 joão das rodas - compra de 1 calota R$70,44 (teve desconto porque comprou 3, 1 para Ubiratan e 2 para Tiago gonçalves)</t>
      </text>
    </comment>
    <comment ref="E35" authorId="1" shapeId="0" xr:uid="{31EBACD1-4923-47A6-BD1D-1E2FE7F941D6}">
      <text>
        <r>
          <rPr>
            <sz val="9"/>
            <color indexed="81"/>
            <rFont val="Segoe UI"/>
            <family val="2"/>
          </rPr>
          <t xml:space="preserve">Amassado na porta traseira (lado passageiro) - alguém estacionou próximo do carro do Ademir e na ocasião que o responsável abriu a porta deste outro carro bateu no carro do Ademir e ocasionou o amassado que foi sinalizado por Ademir no dia 03/07/2025.
</t>
        </r>
      </text>
    </comment>
    <comment ref="F36" authorId="1" shapeId="0" xr:uid="{C4AB89F4-69DE-41CD-98D1-19AE92B19059}">
      <text>
        <r>
          <rPr>
            <sz val="9"/>
            <color indexed="81"/>
            <rFont val="Segoe UI"/>
            <family val="2"/>
          </rPr>
          <t xml:space="preserve">O para-brisas tinha serigrafia de camera e sensor de chuva
</t>
        </r>
      </text>
    </comment>
    <comment ref="G37" authorId="1" shapeId="0" xr:uid="{7599D838-CD08-4F7B-8398-EEA4028A8EA5}">
      <text>
        <r>
          <rPr>
            <sz val="9"/>
            <color indexed="81"/>
            <rFont val="Segoe UI"/>
            <family val="2"/>
          </rPr>
          <t xml:space="preserve">Pneu com bucho, na borracharia não resolveria - trocado em 11/03/2025
</t>
        </r>
      </text>
    </comment>
    <comment ref="F39" authorId="1" shapeId="0" xr:uid="{7FEF6805-3884-4B8D-A8A0-AA52DDC6918D}">
      <text>
        <r>
          <rPr>
            <b/>
            <sz val="9"/>
            <color indexed="81"/>
            <rFont val="Segoe UI"/>
            <family val="2"/>
          </rPr>
          <t>Troca de Para-brisas em 24/03/2025 - Total R$818,00 Ficou acordado ser 50% da Proyfe e 50% do condutor</t>
        </r>
        <r>
          <rPr>
            <sz val="9"/>
            <color indexed="81"/>
            <rFont val="Segoe UI"/>
            <family val="2"/>
          </rPr>
          <t xml:space="preserve">
</t>
        </r>
      </text>
    </comment>
    <comment ref="E40" authorId="1" shapeId="0" xr:uid="{F0C872EE-44AC-4CAD-B178-7AFA77A724C9}">
      <text>
        <r>
          <rPr>
            <b/>
            <sz val="9"/>
            <color indexed="81"/>
            <rFont val="Segoe UI"/>
            <family val="2"/>
          </rPr>
          <t>* R$590,00 pago com cartão corporativo</t>
        </r>
        <r>
          <rPr>
            <sz val="9"/>
            <color indexed="81"/>
            <rFont val="Segoe UI"/>
            <family val="2"/>
          </rPr>
          <t xml:space="preserve"> - Compra da grade do para-choque dianteiro que foi quebrada devido a uma colisão com um pombo enquanto o carro estava em movimento, troca da grade realizada em </t>
        </r>
        <r>
          <rPr>
            <b/>
            <sz val="9"/>
            <color indexed="81"/>
            <rFont val="Segoe UI"/>
            <family val="2"/>
          </rPr>
          <t>24/07/2025.</t>
        </r>
        <r>
          <rPr>
            <sz val="9"/>
            <color indexed="81"/>
            <rFont val="Segoe UI"/>
            <family val="2"/>
          </rPr>
          <t xml:space="preserve">
*</t>
        </r>
        <r>
          <rPr>
            <b/>
            <sz val="9"/>
            <color indexed="81"/>
            <rFont val="Segoe UI"/>
            <family val="2"/>
          </rPr>
          <t>Oficenter Diego 62 8466-7443 (faturamento 30 dias)</t>
        </r>
        <r>
          <rPr>
            <sz val="9"/>
            <color indexed="81"/>
            <rFont val="Segoe UI"/>
            <family val="2"/>
          </rPr>
          <t xml:space="preserve"> - 
Serviços de Funilaria e Pintura das longarinas direito e esquerdo, Parachoques Traseiro e Esquerdo e Polimento Técnico Geral no veículo FIAT ARGO RTE1I62
Peças : Parachoque Dianteiro 450,00
Parabarros Lado Esquerdo 240,00</t>
        </r>
      </text>
    </comment>
    <comment ref="D41" authorId="1" shapeId="0" xr:uid="{B070B8AA-F2B1-4AFD-8ECF-2F9E4CAE717C}">
      <text>
        <r>
          <rPr>
            <sz val="9"/>
            <color indexed="81"/>
            <rFont val="Segoe UI"/>
            <family val="2"/>
          </rPr>
          <t>R$580,00 - Polimento completo realizado em 01/08/2025 para retirar arranhões que constava no veículo - Pago com cartão corporativo
R$110,00 - lavagem do veículo e do motor - cartão</t>
        </r>
      </text>
    </comment>
    <comment ref="E42" authorId="1" shapeId="0" xr:uid="{CB1D1DE8-1910-4472-AB4F-9BE3A6FBB28B}">
      <text>
        <r>
          <rPr>
            <sz val="9"/>
            <color indexed="81"/>
            <rFont val="Segoe UI"/>
            <family val="2"/>
          </rPr>
          <t xml:space="preserve">Pintura 600,00 em cima do para-lamas da roda dianteira lado passageiro (risco ocasionado por vandalismo) e arranhão na porta dianteira lado do passageiro
</t>
        </r>
      </text>
    </comment>
    <comment ref="F42" authorId="1" shapeId="0" xr:uid="{1B12451E-45B1-45D5-8D7E-7301EE21821A}">
      <text>
        <r>
          <rPr>
            <sz val="9"/>
            <color indexed="81"/>
            <rFont val="Segoe UI"/>
            <family val="2"/>
          </rPr>
          <t xml:space="preserve">Renegade SIG2E45 para-brisas trincado em 19/08/2025 e foi trocado na loja Rei dos Parabrisas em Petrolina PE em 25/08/2025 - R$1.675,00 - pagamento faturado.
</t>
        </r>
      </text>
    </comment>
    <comment ref="E43" authorId="1" shapeId="0" xr:uid="{672A291D-5875-45FC-895B-68DB319D35A5}">
      <text>
        <r>
          <rPr>
            <b/>
            <sz val="9"/>
            <color indexed="81"/>
            <rFont val="Segoe UI"/>
            <family val="2"/>
          </rPr>
          <t xml:space="preserve">oficina Center Car R$350,00 - </t>
        </r>
        <r>
          <rPr>
            <sz val="9"/>
            <color indexed="81"/>
            <rFont val="Segoe UI"/>
            <family val="2"/>
          </rPr>
          <t xml:space="preserve">serviço de soldagem, cano de escape soltou e estava batendo e fazendo barulho, foi necessário soldar o cano na saída do catalizador;
</t>
        </r>
        <r>
          <rPr>
            <b/>
            <sz val="9"/>
            <color indexed="81"/>
            <rFont val="Segoe UI"/>
            <family val="2"/>
          </rPr>
          <t>Geifran Pintor R$280,00</t>
        </r>
        <r>
          <rPr>
            <sz val="9"/>
            <color indexed="81"/>
            <rFont val="Segoe UI"/>
            <family val="2"/>
          </rPr>
          <t xml:space="preserve"> - Porta com dos pequenos amassados (cartão)</t>
        </r>
      </text>
    </comment>
    <comment ref="G43" authorId="1" shapeId="0" xr:uid="{B695369B-E4B3-4197-8A07-8651CEF64502}">
      <text>
        <r>
          <rPr>
            <b/>
            <sz val="9"/>
            <color indexed="81"/>
            <rFont val="Segoe UI"/>
            <family val="2"/>
          </rPr>
          <t>Compra de 1 tampa da calota R$80,00 e paralameira R$150,00</t>
        </r>
        <r>
          <rPr>
            <sz val="9"/>
            <color indexed="81"/>
            <rFont val="Segoe UI"/>
            <family val="2"/>
          </rPr>
          <t xml:space="preserve">
</t>
        </r>
      </text>
    </comment>
    <comment ref="B49" authorId="6" shapeId="0" xr:uid="{0A4FABFF-1D26-4FB4-9087-E6F1E730FFC5}">
      <text>
        <t>[Comentário encadeado]
Sua versão do Excel permite que você leia este comentário encadeado, no entanto, as edições serão removidas se o arquivo for aberto em uma versão mais recente do Excel. Saiba mais: https://go.microsoft.com/fwlink/?linkid=870924
Comentário:
    Oficina Gilson - 05/03/26</t>
      </text>
    </comment>
    <comment ref="E49" authorId="1" shapeId="0" xr:uid="{86AEC387-7D74-4381-99AD-30A3C7364BDF}">
      <text>
        <r>
          <rPr>
            <sz val="9"/>
            <color indexed="81"/>
            <rFont val="Segoe UI"/>
            <family val="2"/>
          </rPr>
          <t>30/10/25 Oficina Center Car - compra de peça ( parafuso que se chama arrebite - ele segura a peça que fica entre a cantoneira e o parachoque ) que soltou na trepidação
09/03/26 Oficina Medeiros - compra limpador de para-brisas traseiro (foi furtado) - 40,00 cartão corporativo</t>
        </r>
      </text>
    </comment>
    <comment ref="F49" authorId="1" shapeId="0" xr:uid="{BC55EEC8-30DA-4915-B273-6E85595D2655}">
      <text>
        <r>
          <rPr>
            <b/>
            <sz val="9"/>
            <color indexed="81"/>
            <rFont val="Segoe UI"/>
            <family val="2"/>
          </rPr>
          <t xml:space="preserve">Soskap 849925-6677 - 26/09/25 </t>
        </r>
        <r>
          <rPr>
            <sz val="9"/>
            <color indexed="81"/>
            <rFont val="Segoe UI"/>
            <family val="2"/>
          </rPr>
          <t xml:space="preserve">troca de para-brisas sem sensores.
</t>
        </r>
      </text>
    </comment>
    <comment ref="G51" authorId="1" shapeId="0" xr:uid="{18003461-B4F7-43EB-B197-E03092E87F6D}">
      <text>
        <r>
          <rPr>
            <b/>
            <sz val="9"/>
            <color indexed="81"/>
            <rFont val="Segoe UI"/>
            <family val="2"/>
          </rPr>
          <t xml:space="preserve">24/11/2025 R$930,00 - Troca de 2 pneus (Oficina Só Pneus - Tanque Novo BA) </t>
        </r>
        <r>
          <rPr>
            <sz val="9"/>
            <color indexed="81"/>
            <rFont val="Segoe UI"/>
            <family val="2"/>
          </rPr>
          <t xml:space="preserve">- 390,00 cada pneu + 120,00 alinhar e balancear + 30,00 taxa da máquina de cartão (pessoal do Jurandir - não possue cartão corporativo. Obs: na mesma NF para reembolso foi acrescentado o valor de R$50,00 referente a reparo no pneu realizado na mesma data, ficando o total de R$980,00 e ficou dividido 50% de Jerfferson devido a uso particular do veículo e 50% Proyfe).
</t>
        </r>
      </text>
    </comment>
    <comment ref="E52" authorId="1" shapeId="0" xr:uid="{F8146CA3-053C-4741-8D00-6C34392C38A4}">
      <text>
        <r>
          <rPr>
            <b/>
            <sz val="9"/>
            <color indexed="81"/>
            <rFont val="Segoe UI"/>
            <family val="2"/>
          </rPr>
          <t>28/11/2025</t>
        </r>
        <r>
          <rPr>
            <sz val="9"/>
            <color indexed="81"/>
            <rFont val="Segoe UI"/>
            <family val="2"/>
          </rPr>
          <t xml:space="preserve"> - </t>
        </r>
        <r>
          <rPr>
            <b/>
            <sz val="9"/>
            <color indexed="81"/>
            <rFont val="Segoe UI"/>
            <family val="2"/>
          </rPr>
          <t xml:space="preserve">Orçamento Lava-jato 74Steticar - IrecÊ BA </t>
        </r>
        <r>
          <rPr>
            <sz val="9"/>
            <color indexed="81"/>
            <rFont val="Segoe UI"/>
            <family val="2"/>
          </rPr>
          <t xml:space="preserve">
Pintura 5 peças de plástico 250,00
Polimento cristalizado 350,00
Lavagem bancos carpete e motor 250,00
Pintura pára-choque 300,00
Chaparia e pintura porta traseira direita 350,00
Martelinho de ouro pára-lama dianteiro esquerdo 300,00
(</t>
        </r>
        <r>
          <rPr>
            <b/>
            <sz val="9"/>
            <color indexed="81"/>
            <rFont val="Segoe UI"/>
            <family val="2"/>
          </rPr>
          <t>De 1.800,00 foi cobrado R$1450,00 para pagamento por faturamento no lava-jato 74Steticar que já temos credenciado - 50% em 16/12/25 e 50% 16/01/26</t>
        </r>
        <r>
          <rPr>
            <sz val="9"/>
            <color indexed="81"/>
            <rFont val="Segoe UI"/>
            <family val="2"/>
          </rPr>
          <t xml:space="preserve">)
</t>
        </r>
      </text>
    </comment>
    <comment ref="G53" authorId="1" shapeId="0" xr:uid="{4340700F-AC15-414A-8278-CCB17799E2B8}">
      <text>
        <r>
          <rPr>
            <b/>
            <sz val="9"/>
            <color indexed="81"/>
            <rFont val="Segoe UI"/>
            <family val="2"/>
          </rPr>
          <t>15/12/25 - COMPRA DE 1 PNEU R$299,00 + R$15,00 MONTAGEM</t>
        </r>
        <r>
          <rPr>
            <sz val="9"/>
            <color indexed="81"/>
            <rFont val="Segoe UI"/>
            <family val="2"/>
          </rPr>
          <t xml:space="preserve">
</t>
        </r>
      </text>
    </comment>
    <comment ref="F54" authorId="1" shapeId="0" xr:uid="{278F06F3-AFDB-42B8-AB15-99B28A9B9B3B}">
      <text>
        <r>
          <rPr>
            <b/>
            <sz val="9"/>
            <color indexed="81"/>
            <rFont val="Segoe UI"/>
            <charset val="1"/>
          </rPr>
          <t>reparo de avaria realizado em 05/01/2026 Car Center</t>
        </r>
        <r>
          <rPr>
            <sz val="9"/>
            <color indexed="81"/>
            <rFont val="Segoe UI"/>
            <charset val="1"/>
          </rPr>
          <t xml:space="preserve">
Troca de parabrisas 06/04/26 Car center faturado 1.090,00</t>
        </r>
      </text>
    </comment>
    <comment ref="E55" authorId="7" shapeId="0" xr:uid="{D84EB848-72F3-4A7B-AA6D-BB5D93C7958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Lava-jato Kaio 74 9807-7532 - 19/12/25
350,00 polimento
250,00 martelinho porta traseira (lado do carona)  
100,00 limpeza das lanternas traseiras (muito poeira interna)
</t>
      </text>
    </comment>
    <comment ref="E56" authorId="8" shapeId="0" xr:uid="{32DAD896-27EB-4B9A-98F6-C88C965F4798}">
      <text>
        <t>[Comentário encadeado]
Sua versão do Excel permite que você leia este comentário encadeado, no entanto, as edições serão removidas se o arquivo for aberto em uma versão mais recente do Excel. Saiba mais: https://go.microsoft.com/fwlink/?linkid=870924
Comentário:
    Lava-jato Kaio - faturado
Pintura pára-choque completo dianteiro 350,00
Lavagem de chassi 80,00
Pára-choque traseiro retoque 250,00
Polimento 350,00</t>
      </text>
    </comment>
    <comment ref="E57" authorId="9" shapeId="0" xr:uid="{BD2EC5A2-BE57-443A-A14E-0B8A222C48A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Lava-jato Kaio - faturado
Polimento 350,00
Lavagem motor 50,00
Lavagem chassi 50,00
Lavagem carpete 50,00
Retoque tampa da mala 350,00
Retoque porta 300,00
</t>
      </text>
    </comment>
    <comment ref="E58" authorId="10" shapeId="0" xr:uid="{C65BB40C-2D45-4133-872C-BFBEB5CA34AE}">
      <text>
        <t>[Comentário encadeado]
Sua versão do Excel permite que você leia este comentário encadeado, no entanto, as edições serão removidas se o arquivo for aberto em uma versão mais recente do Excel. Saiba mais: https://go.microsoft.com/fwlink/?linkid=870924
Comentário:
     1 pára-choque dianteiro 2.800,00 reais 
 1 moldura do farol de milha LAD direito 100,00 reias 
 1 par de farol de milha 680,00 reais : 
Serviço a serem realizados;
Desmontagem das peças danificadas e e retirada das peças que serão reaproveitadas  na montagem da nova peça , ex grades frontais e detalhes que compõem o pára-choque que não foram danificado .
2 pintura da nova peça em seguida montagem , e instalação no veículo valor cobrado pelo serviço 1.500,00 reais.</t>
      </text>
    </comment>
    <comment ref="E59" authorId="11" shapeId="0" xr:uid="{39D26095-D792-48C3-A4FB-6C3F70C0D7AF}">
      <text>
        <t>[Comentário encadeado]
Sua versão do Excel permite que você leia este comentário encadeado, no entanto, as edições serão removidas se o arquivo for aberto em uma versão mais recente do Excel. Saiba mais: https://go.microsoft.com/fwlink/?linkid=870924
Comentário:
    24/02/2026 R$473,64 - O REI DOS FÁROIS (Afogados PE - 81 98756-7919): Compra da lente da lanterna do farol dianteiro lado esquerdo S10 2024/2024 R$450,00 + juros da maquineta, pago com cartão corporativo.
Responder:
    12/03/2026 R$1.000,00 Daniel Martelinho de Ouro (Transferência) - Pintura e lanternagem lateral para-lama e para-choque dianteiro lado esquerdo e recuperação e encaixe da parte plástica inferior do para-choque dianteiro.</t>
      </text>
    </comment>
    <comment ref="E60" authorId="12" shapeId="0" xr:uid="{B487F7EB-3311-4CD2-A0C6-D5F538E49509}">
      <text>
        <t>[Comentário encadeado]
Sua versão do Excel permite que você leia este comentário encadeado, no entanto, as edições serão removidas se o arquivo for aberto em uma versão mais recente do Excel. Saiba mais: https://go.microsoft.com/fwlink/?linkid=870924
Comentário:
    Fluxo Car Gilmar 38 98851-4640
Pintura e lanternagem R$600,00 (500,00 Proyfe e 100,00 Ualace para deduzir na NF dele - o valor total foi pago no cartão corporativo)</t>
      </text>
    </comment>
    <comment ref="F62" authorId="13" shapeId="0" xr:uid="{5019938D-DED0-4CB8-952A-E22C1728A3D2}">
      <text>
        <t>[Comentário encadeado]
Sua versão do Excel permite que você leia este comentário encadeado, no entanto, as edições serão removidas se o arquivo for aberto em uma versão mais recente do Excel. Saiba mais: https://go.microsoft.com/fwlink/?linkid=870924
Comentário:
    REPARO NO PARA-BRISAS R$80,00 SOSKAP CURRAIS NOVOS
Responder:
    Troca de Para-brisas R$900,00, reparo não atendeu
Responder:
    06/06/26 R$50,00 Reparo no para-brisas Edinho - Natal (cartão corporativo)</t>
      </text>
    </comment>
    <comment ref="B63" authorId="14" shapeId="0" xr:uid="{DD792346-693C-4074-A91F-86183B42F097}">
      <text>
        <t>[Comentário encadeado]
Sua versão do Excel permite que você leia este comentário encadeado, no entanto, as edições serão removidas se o arquivo for aberto em uma versão mais recente do Excel. Saiba mais: https://go.microsoft.com/fwlink/?linkid=870924
Comentário:
    ANTES ERA DE ACÁCIO - TROCA DE CONDUTOR 01/04/25</t>
      </text>
    </comment>
    <comment ref="E63" authorId="15" shapeId="0" xr:uid="{179529B0-4C5C-4CB9-99DE-64AF60B29BA9}">
      <text>
        <t>[Comentário encadeado]
Sua versão do Excel permite que você leia este comentário encadeado, no entanto, as edições serão removidas se o arquivo for aberto em uma versão mais recente do Excel. Saiba mais: https://go.microsoft.com/fwlink/?linkid=870924
Comentário:
    Funilaria, pintura, limpeza adicional - Lava-jato Kaio Irece
Lavagem bancos 80,00
Lavagem carpete 40,00
Lavagem motor 50,00
Concerto e pintura pára-choque dianteiro 400,00
Martelinho de ouro porta 900,00
Polimento geral 350,00
Limpeza 3 lanternas traseiras 300,00
Responder:
    Compra da moldura do para-lama dianteiro esquerdo R$280,00 - soltou no trajeto para devolução do veículo 21/03/2026</t>
      </text>
    </comment>
    <comment ref="E64" authorId="16" shapeId="0" xr:uid="{EA6FB679-44DE-4DBF-9CCA-3B7391D1BC64}">
      <text>
        <t>[Comentário encadeado]
Sua versão do Excel permite que você leia este comentário encadeado, no entanto, as edições serão removidas se o arquivo for aberto em uma versão mais recente do Excel. Saiba mais: https://go.microsoft.com/fwlink/?linkid=870924
Comentário:
    Lava-jato Kaio - R$1.100,00 faturamento 2x
350,00 polimento
Para-choque dianteiro direito 3 peças 500,00
Martelinho porta motorista 250,00</t>
      </text>
    </comment>
    <comment ref="E65" authorId="17" shapeId="0" xr:uid="{9652F8CB-55DD-48A8-B1D6-F7E9D879289A}">
      <text>
        <t>[Comentário encadeado]
Sua versão do Excel permite que você leia este comentário encadeado, no entanto, as edições serão removidas se o arquivo for aberto em uma versão mais recente do Excel. Saiba mais: https://go.microsoft.com/fwlink/?linkid=870924
Comentário:
    Polimento geral e pintura no para-choque dianteiro</t>
      </text>
    </comment>
    <comment ref="F66" authorId="18" shapeId="0" xr:uid="{7B30535D-B0B9-4340-AB65-1FCF7701E22A}">
      <text>
        <t>[Comentário encadeado]
Sua versão do Excel permite que você leia este comentário encadeado, no entanto, as edições serão removidas se o arquivo for aberto em uma versão mais recente do Excel. Saiba mais: https://go.microsoft.com/fwlink/?linkid=870924
Comentário:
    22/04/26 - Troca de para-brisas SOSKAP 84 9925-6677 - faturamento</t>
      </text>
    </comment>
    <comment ref="H67" authorId="19" shapeId="0" xr:uid="{574AC61A-F77C-49A9-8A50-5C897F685D7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S10 PVR4B99 – Veículo é do Ademir, mas na ocorrência estava sendo utilizado por Marcilio, o qual informou que na estrada tinha esse arame que foi identificado só após escutar o barulho quando ele enrolou na parte inferior do veículo e ocasionou o vazamento, indicando possível avaria no tanque de combustível que tem o material de plástico e não de ferro como outros veículos.
Devido ao vazamento, foi necessário solicitar o guincho (Francisco 84 9962-4510) e o veículo foi direcionado para a oficina do Geifran (84 9937-8818) em Cerro Corá – no dia 29/04/26 Geifran sinalizou que na verdade não houve avaria no tanque de combustível, o arame enganchou e soltou o suspiro (válvula de escape) que possui no tanque e o Geifran colou a peça no lugar e não houve mais o vazamento – Geifran não cobrou pelo serviço realizado. 
</t>
      </text>
    </comment>
    <comment ref="G68" authorId="20" shapeId="0" xr:uid="{EFB36B89-1375-4BAA-B092-D6CE9BC2C54B}">
      <text>
        <t>[Comentário encadeado]
Sua versão do Excel permite que você leia este comentário encadeado, no entanto, as edições serão removidas se o arquivo for aberto em uma versão mais recente do Excel. Saiba mais: https://go.microsoft.com/fwlink/?linkid=870924
Comentário:
    08/06/26 - Assibi iniciou as atividades em 08/06, se perdeu no trajeto e ocorreu avaria no pneu, trocou pelo do step e avariou novamente e como ela rodou com o pneu do step murcho amassou a roda - R$250,00 inclui a vulcanização de ambos os pneus e desamassar a roda - pago cartão corporativo de Geferson;</t>
      </text>
    </comment>
    <comment ref="G69" authorId="21" shapeId="0" xr:uid="{83749E91-1894-4ECD-9E04-C3D7A5A8D39B}">
      <text>
        <t>[Comentário encadeado]
Sua versão do Excel permite que você leia este comentário encadeado, no entanto, as edições serão removidas se o arquivo for aberto em uma versão mais recente do Excel. Saiba mais: https://go.microsoft.com/fwlink/?linkid=870924
Comentário:
    Pneu dianteiro (esquerda) desgastado e sem condições de uso - Troca de pneu realizada em 08/06/26 R$580,00 (coparticipação 50% proyfe e augusto) - Filinto Pneus (pagamento cartão corporativo)</t>
      </text>
    </comment>
    <comment ref="E70" authorId="22" shapeId="0" xr:uid="{84E86411-F33F-4F3B-A535-13D2CC0B6C52}">
      <text>
        <t>[Comentário encadeado]
Sua versão do Excel permite que você leia este comentário encadeado, no entanto, as edições serão removidas se o arquivo for aberto em uma versão mais recente do Excel. Saiba mais: https://go.microsoft.com/fwlink/?linkid=870924
Comentário:
    Troca de para-brisas 11/06/26 - Equipadora Equivale R$1.170,00 cartão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Administrativo2</author>
    <author>tc={C19A4BB0-EC01-49EB-8485-7805925A1496}</author>
    <author>Recepção</author>
    <author>tc={52A23C31-C8E6-47B1-88E4-63D8BC679921}</author>
    <author>tc={F8753225-8E6B-4592-8E69-E84E1F22EFC2}</author>
    <author>tc={B63CE639-6E7F-45C6-81A1-2A77B36F76A7}</author>
    <author>tc={4ADC8C71-0D6D-41FC-BC0B-64F092199A40}</author>
    <author>tc={F80B9A7A-5096-427F-BA4D-69116F33D276}</author>
    <author>tc={ACA5FF72-C772-44B8-9C01-AC68805B31CA}</author>
    <author>tc={319B8DF6-A79D-4266-BF2F-D640DAF9E435}</author>
    <author>tc={7A9BCDCE-0997-4E09-8A84-8198209ADA75}</author>
    <author>tc={FE9DCF57-202B-4127-8651-042675EBEEFE}</author>
    <author>tc={8EBC8B91-ADA8-4FEE-97E4-02BE4E6D650A}</author>
    <author>tc={E63E8309-E524-46F6-9BC5-CE40253B232A}</author>
    <author>tc={3466E01F-5380-4B4E-B48C-B414F3E74578}</author>
    <author>tc={B184C563-7AF4-420C-88C3-42D3057ACFB3}</author>
    <author>tc={47C7F065-1682-496C-9636-7FC4F0811F8E}</author>
    <author>tc={E041DA4A-CD27-42F1-B62B-1069F824196D}</author>
    <author>tc={7FC5D053-0A25-42FF-A410-9AEB93C9D904}</author>
    <author>tc={4ABF9809-5574-45C1-AD0D-4365E2B8B46B}</author>
    <author>tc={F8661A89-83C8-4A98-83FE-076824E80B30}</author>
    <author>tc={054EE535-ED3A-4315-8437-19DC32793E45}</author>
    <author>tc={E2521A33-EB90-480F-BA00-9D8189907956}</author>
    <author>tc={C6BDFBFD-5932-4852-8A46-562D6ED1C335}</author>
    <author>tc={769F6D80-F0D7-4895-A7B2-977728FA1B87}</author>
    <author>tc={F54BDDF2-542D-4A29-A320-2D73492F48A0}</author>
  </authors>
  <commentList>
    <comment ref="D4" authorId="0" shapeId="0" xr:uid="{4C9CD8EE-DAE4-4E5D-9852-ECDFB1461868}">
      <text>
        <r>
          <rPr>
            <b/>
            <sz val="9"/>
            <color indexed="81"/>
            <rFont val="Segoe UI"/>
            <family val="2"/>
          </rPr>
          <t>Troca de Condutor:</t>
        </r>
        <r>
          <rPr>
            <sz val="9"/>
            <color indexed="81"/>
            <rFont val="Segoe UI"/>
            <family val="2"/>
          </rPr>
          <t xml:space="preserve">
de 26/02/2025 a 11/06/2025 a S10 TDP1E16 era de Eider Breno e no dia 11/06/2025 foi transferido para Alain, decisão tomada em conjunto entre Alain, Breno e Alverson porque identificaram que o Alain precisa muito da caminhonete pra andar na Rede de Média Tensão  RMT que são atividades de postes.</t>
        </r>
      </text>
    </comment>
    <comment ref="H4" authorId="0" shapeId="0" xr:uid="{B0FDE94F-11A9-4E1A-BB45-48F76C0F00AA}">
      <text>
        <r>
          <rPr>
            <b/>
            <sz val="9"/>
            <color indexed="81"/>
            <rFont val="Segoe UI"/>
            <family val="2"/>
          </rPr>
          <t>Enviou o controle de km, mas não enviou o checklist e fotos do veículo.</t>
        </r>
        <r>
          <rPr>
            <sz val="9"/>
            <color indexed="81"/>
            <rFont val="Segoe UI"/>
            <family val="2"/>
          </rPr>
          <t xml:space="preserve">
</t>
        </r>
      </text>
    </comment>
    <comment ref="J4" authorId="0" shapeId="0" xr:uid="{FA2BDD7A-191D-4F4D-8D21-7DDC8AD02949}">
      <text>
        <r>
          <rPr>
            <b/>
            <sz val="9"/>
            <color indexed="81"/>
            <rFont val="Segoe UI"/>
            <charset val="1"/>
          </rPr>
          <t xml:space="preserve">apenas fotos e km, falta checklist
</t>
        </r>
        <r>
          <rPr>
            <sz val="9"/>
            <color indexed="81"/>
            <rFont val="Segoe UI"/>
            <charset val="1"/>
          </rPr>
          <t xml:space="preserve">
</t>
        </r>
      </text>
    </comment>
    <comment ref="L4" authorId="1" shapeId="0" xr:uid="{C19A4BB0-EC01-49EB-8485-7805925A1496}">
      <text>
        <t>[Comentário encadeado]
Sua versão do Excel permite que você leia este comentário encadeado, no entanto, as edições serão removidas se o arquivo for aberto em uma versão mais recente do Excel. Saiba mais: https://go.microsoft.com/fwlink/?linkid=870924
Comentário:
    Falta checklist, recebido controle de km e fotos - cobrado</t>
      </text>
    </comment>
    <comment ref="D6" authorId="0" shapeId="0" xr:uid="{A0343CE2-EEC5-4737-A694-608FF117AB87}">
      <text>
        <r>
          <rPr>
            <b/>
            <sz val="9"/>
            <color indexed="81"/>
            <rFont val="Segoe UI"/>
            <family val="2"/>
          </rPr>
          <t>Troca de Condutor:</t>
        </r>
        <r>
          <rPr>
            <sz val="9"/>
            <color indexed="81"/>
            <rFont val="Segoe UI"/>
            <family val="2"/>
          </rPr>
          <t xml:space="preserve">
Onix PVR3B92 - Este veículo foi locado por Idalecio em 02/07/2025 e ficou sendo utilizado por ele até 12/08/2025, após foi transferido para Alverson e o Polo STZ7D92 que estava sendo utilizado por Alverson foi passado para o Idalecio - Devido o Polo ser 15cm mais alto que o Onix .
</t>
        </r>
      </text>
    </comment>
    <comment ref="E7" authorId="2" shapeId="0" xr:uid="{12515A7D-19AC-4AE5-ABAA-483EB6D435AF}">
      <text>
        <r>
          <rPr>
            <b/>
            <sz val="9"/>
            <color indexed="81"/>
            <rFont val="Segoe UI"/>
            <family val="2"/>
          </rPr>
          <t>Recepção:</t>
        </r>
        <r>
          <rPr>
            <sz val="9"/>
            <color indexed="81"/>
            <rFont val="Segoe UI"/>
            <family val="2"/>
          </rPr>
          <t xml:space="preserve">
Ar-condicionado não estava funcionando, foi realizada a substituição do veículo 15/04/2025</t>
        </r>
      </text>
    </comment>
    <comment ref="D10" authorId="0" shapeId="0" xr:uid="{970CCD42-2C2B-4788-A32E-5AA92BF407D8}">
      <text>
        <r>
          <rPr>
            <b/>
            <sz val="9"/>
            <color indexed="81"/>
            <rFont val="Segoe UI"/>
            <family val="2"/>
          </rPr>
          <t>Troca de Condutor - de Antonio Willian para Herik</t>
        </r>
        <r>
          <rPr>
            <sz val="9"/>
            <color indexed="81"/>
            <rFont val="Segoe UI"/>
            <family val="2"/>
          </rPr>
          <t xml:space="preserve">
Em 06/09/2025 Antonio Willian foi mobilizado da Obra VSE para MDC e no período de 06/09 a 13/09/25 o veículo Tracker TEL5D17 ficou sendo utilizado por Jhonny enquanto aguardava a chegada do Herik e a partir do dia 15/09/25 o veículo ficou sob a responsabilidade do Herik
Transferencia de Herik para Jair</t>
        </r>
      </text>
    </comment>
    <comment ref="L10" authorId="3" shapeId="0" xr:uid="{52A23C31-C8E6-47B1-88E4-63D8BC679921}">
      <text>
        <t>[Comentário encadeado]
Sua versão do Excel permite que você leia este comentário encadeado, no entanto, as edições serão removidas se o arquivo for aberto em uma versão mais recente do Excel. Saiba mais: https://go.microsoft.com/fwlink/?linkid=870924
Comentário:
    Ocorrência de avarias</t>
      </text>
    </comment>
    <comment ref="D12" authorId="2" shapeId="0" xr:uid="{5BAFF3D1-ACC6-4352-8701-9ECDC3D12946}">
      <text>
        <r>
          <rPr>
            <b/>
            <sz val="9"/>
            <color indexed="81"/>
            <rFont val="Segoe UI"/>
            <family val="2"/>
          </rPr>
          <t>Recepção:</t>
        </r>
        <r>
          <rPr>
            <sz val="9"/>
            <color indexed="81"/>
            <rFont val="Segoe UI"/>
            <family val="2"/>
          </rPr>
          <t xml:space="preserve">
Veículo TCY1C25 retirado por Ualace - transferido para Claudio em 28/03/2025</t>
        </r>
      </text>
    </comment>
    <comment ref="D14" authorId="0" shapeId="0" xr:uid="{4D7EE2C1-3D16-4D03-B2D5-70B0CDC69E7D}">
      <text>
        <r>
          <rPr>
            <b/>
            <sz val="9"/>
            <color indexed="81"/>
            <rFont val="Segoe UI"/>
            <family val="2"/>
          </rPr>
          <t>Troca de Condutor:</t>
        </r>
        <r>
          <rPr>
            <sz val="9"/>
            <color indexed="81"/>
            <rFont val="Segoe UI"/>
            <family val="2"/>
          </rPr>
          <t xml:space="preserve">
</t>
        </r>
        <r>
          <rPr>
            <b/>
            <sz val="9"/>
            <color indexed="81"/>
            <rFont val="Segoe UI"/>
            <family val="2"/>
          </rPr>
          <t xml:space="preserve"> Onix STZ7D92 </t>
        </r>
        <r>
          <rPr>
            <sz val="9"/>
            <color indexed="81"/>
            <rFont val="Segoe UI"/>
            <family val="2"/>
          </rPr>
          <t xml:space="preserve">foi locado em 23/07/2025 por Marcilio e em </t>
        </r>
        <r>
          <rPr>
            <b/>
            <sz val="9"/>
            <color indexed="81"/>
            <rFont val="Segoe UI"/>
            <family val="2"/>
          </rPr>
          <t xml:space="preserve">01/08/2025 </t>
        </r>
        <r>
          <rPr>
            <sz val="9"/>
            <color indexed="81"/>
            <rFont val="Segoe UI"/>
            <family val="2"/>
          </rPr>
          <t xml:space="preserve">foi transferido para Eider Breno.
</t>
        </r>
      </text>
    </comment>
    <comment ref="L16" authorId="4" shapeId="0" xr:uid="{F8753225-8E6B-4592-8E69-E84E1F22EFC2}">
      <text>
        <t>[Comentário encadeado]
Sua versão do Excel permite que você leia este comentário encadeado, no entanto, as edições serão removidas se o arquivo for aberto em uma versão mais recente do Excel. Saiba mais: https://go.microsoft.com/fwlink/?linkid=870924
Comentário:
    Retornou de viagem da CGN no sábado 14/02/26 e o carro estava parado em queimada nova PI, por este motivo não enviou antes</t>
      </text>
    </comment>
    <comment ref="B17" authorId="0" shapeId="0" xr:uid="{E10143C5-65FA-4480-999E-A1ED539AF4DC}">
      <text>
        <r>
          <rPr>
            <b/>
            <sz val="9"/>
            <color indexed="81"/>
            <rFont val="Segoe UI"/>
            <family val="2"/>
          </rPr>
          <t>Administrativo2:</t>
        </r>
        <r>
          <rPr>
            <sz val="9"/>
            <color indexed="81"/>
            <rFont val="Segoe UI"/>
            <family val="2"/>
          </rPr>
          <t xml:space="preserve">
Projeto Eng. Do Proprietário Filtro Harmonico - Folha Larga EDF</t>
        </r>
      </text>
    </comment>
    <comment ref="J18" authorId="0" shapeId="0" xr:uid="{8635E167-4A4F-49C5-9754-9623C5416B5B}">
      <text>
        <r>
          <rPr>
            <b/>
            <sz val="9"/>
            <color indexed="81"/>
            <rFont val="Segoe UI"/>
            <charset val="1"/>
          </rPr>
          <t xml:space="preserve">carro devolvido em 20/12/2025
</t>
        </r>
        <r>
          <rPr>
            <sz val="9"/>
            <color indexed="81"/>
            <rFont val="Segoe UI"/>
            <charset val="1"/>
          </rPr>
          <t xml:space="preserve">
</t>
        </r>
      </text>
    </comment>
    <comment ref="D19" authorId="2" shapeId="0" xr:uid="{AA289DAC-1F1A-4C60-815D-25D2D17F9638}">
      <text>
        <r>
          <rPr>
            <b/>
            <sz val="9"/>
            <color indexed="81"/>
            <rFont val="Segoe UI"/>
            <family val="2"/>
          </rPr>
          <t>Recepção: Profissional era da obra MDC e em 22/04/2025 foi mobilizado com o carro EJA1H12 para VSE</t>
        </r>
      </text>
    </comment>
    <comment ref="D20" authorId="2" shapeId="0" xr:uid="{89DDAD01-90FA-4A46-92ED-F9DD29502023}">
      <text>
        <r>
          <rPr>
            <b/>
            <sz val="9"/>
            <color indexed="81"/>
            <rFont val="Segoe UI"/>
            <family val="2"/>
          </rPr>
          <t>Recepção:</t>
        </r>
        <r>
          <rPr>
            <sz val="9"/>
            <color indexed="81"/>
            <rFont val="Segoe UI"/>
            <family val="2"/>
          </rPr>
          <t xml:space="preserve">
até 31/03/2025 o veículo era utilizado por Acácio, após foi transferido para Junior</t>
        </r>
      </text>
    </comment>
    <comment ref="L21" authorId="5" shapeId="0" xr:uid="{B63CE639-6E7F-45C6-81A1-2A77B36F76A7}">
      <text>
        <t>[Comentário encadeado]
Sua versão do Excel permite que você leia este comentário encadeado, no entanto, as edições serão removidas se o arquivo for aberto em uma versão mais recente do Excel. Saiba mais: https://go.microsoft.com/fwlink/?linkid=870924
Comentário:
    OCORRENCIA DE AVARIA</t>
      </text>
    </comment>
    <comment ref="D23" authorId="0" shapeId="0" xr:uid="{9521EFCA-8035-486B-8FA3-204B156B49B3}">
      <text>
        <r>
          <rPr>
            <b/>
            <sz val="9"/>
            <color indexed="81"/>
            <rFont val="Segoe UI"/>
            <family val="2"/>
          </rPr>
          <t xml:space="preserve">Troca de Condutor:
</t>
        </r>
        <r>
          <rPr>
            <sz val="9"/>
            <color indexed="81"/>
            <rFont val="Segoe UI"/>
            <family val="2"/>
          </rPr>
          <t xml:space="preserve">de 02/06/2025 a 11/06/2025 o Polo STZ7D92 era de Alain e no dia 11/06/2025 às 07:30h foi transferido para Alverson, decisão tomada em conjunto entre Alain, Breno e Alverson.
</t>
        </r>
        <r>
          <rPr>
            <b/>
            <sz val="9"/>
            <color indexed="81"/>
            <rFont val="Segoe UI"/>
            <family val="2"/>
          </rPr>
          <t xml:space="preserve">Troca de Condutor 2:
</t>
        </r>
        <r>
          <rPr>
            <sz val="9"/>
            <color indexed="81"/>
            <rFont val="Segoe UI"/>
            <family val="2"/>
          </rPr>
          <t xml:space="preserve">Polo STZ7D92 que estava sendo utilizado por Alverson desde o dia 11/06/2025 foi transferido Idalecio em 12/08/2025 devido este modelo ser 15cm mais alto que o Onix. E o Onix PVR3B92  que foi locado por Idalecio em 02/07/2025 foi repassado para o Alverson no dia 12/08/2025. </t>
        </r>
      </text>
    </comment>
    <comment ref="L23" authorId="6" shapeId="0" xr:uid="{4ADC8C71-0D6D-41FC-BC0B-64F092199A4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Enviado por Yanca
</t>
      </text>
    </comment>
    <comment ref="L26" authorId="7" shapeId="0" xr:uid="{F80B9A7A-5096-427F-BA4D-69116F33D276}">
      <text>
        <t>[Comentário encadeado]
Sua versão do Excel permite que você leia este comentário encadeado, no entanto, as edições serão removidas se o arquivo for aberto em uma versão mais recente do Excel. Saiba mais: https://go.microsoft.com/fwlink/?linkid=870924
Comentário:
    23/01/2026 viajou de tanque novo BA para Queimada nova PI</t>
      </text>
    </comment>
    <comment ref="M29" authorId="8" shapeId="0" xr:uid="{ACA5FF72-C772-44B8-9C01-AC68805B31CA}">
      <text>
        <t>[Comentário encadeado]
Sua versão do Excel permite que você leia este comentário encadeado, no entanto, as edições serão removidas se o arquivo for aberto em uma versão mais recente do Excel. Saiba mais: https://go.microsoft.com/fwlink/?linkid=870924
Comentário:
    Devolvido 28/02/2026</t>
      </text>
    </comment>
    <comment ref="D30" authorId="0" shapeId="0" xr:uid="{6E8BF989-A247-45E5-8D6B-9AE32DD93EBA}">
      <text>
        <r>
          <rPr>
            <b/>
            <sz val="9"/>
            <color indexed="81"/>
            <rFont val="Segoe UI"/>
            <family val="2"/>
          </rPr>
          <t xml:space="preserve">Troca de Condutor:
</t>
        </r>
        <r>
          <rPr>
            <sz val="9"/>
            <color indexed="81"/>
            <rFont val="Segoe UI"/>
            <family val="2"/>
          </rPr>
          <t xml:space="preserve">De 24/03/2025 a 11/06/2025 a Duster TDJ7G97 era utilizada por Alverson e a partir do dia </t>
        </r>
        <r>
          <rPr>
            <b/>
            <sz val="9"/>
            <color indexed="81"/>
            <rFont val="Segoe UI"/>
            <family val="2"/>
          </rPr>
          <t xml:space="preserve">11/06/2025 </t>
        </r>
        <r>
          <rPr>
            <sz val="9"/>
            <color indexed="81"/>
            <rFont val="Segoe UI"/>
            <family val="2"/>
          </rPr>
          <t xml:space="preserve">foi transferida para Eider Breno que compartilha o uso com Yanca.
</t>
        </r>
        <r>
          <rPr>
            <b/>
            <sz val="9"/>
            <color indexed="81"/>
            <rFont val="Segoe UI"/>
            <family val="2"/>
          </rPr>
          <t xml:space="preserve">
Troca de Condutor 2:</t>
        </r>
        <r>
          <rPr>
            <sz val="9"/>
            <color indexed="81"/>
            <rFont val="Segoe UI"/>
            <family val="2"/>
          </rPr>
          <t xml:space="preserve">
01/08/2025 a Duster TDJ7G97 foi transferida de Breno para Marcilio.</t>
        </r>
      </text>
    </comment>
    <comment ref="D31" authorId="0" shapeId="0" xr:uid="{20A5F7BA-931D-486B-9F3B-DCE02BACE281}">
      <text>
        <r>
          <rPr>
            <b/>
            <sz val="9"/>
            <color indexed="81"/>
            <rFont val="Segoe UI"/>
            <family val="2"/>
          </rPr>
          <t>Administrativo2:</t>
        </r>
        <r>
          <rPr>
            <sz val="9"/>
            <color indexed="81"/>
            <rFont val="Segoe UI"/>
            <family val="2"/>
          </rPr>
          <t xml:space="preserve">
Até o dia 29/04/2025 o veículo EKB5J96 ficava com a Rute, após foi transferido para Nilberto</t>
        </r>
      </text>
    </comment>
    <comment ref="L32" authorId="9" shapeId="0" xr:uid="{319B8DF6-A79D-4266-BF2F-D640DAF9E435}">
      <text>
        <t>[Comentário encadeado]
Sua versão do Excel permite que você leia este comentário encadeado, no entanto, as edições serão removidas se o arquivo for aberto em uma versão mais recente do Excel. Saiba mais: https://go.microsoft.com/fwlink/?linkid=870924
Comentário:
    Ocorrência de avaria no para-choque dianteiro, consta apenas a foto no checklist, sem detalhamento e sem comunicação imediata</t>
      </text>
    </comment>
    <comment ref="D33" authorId="2" shapeId="0" xr:uid="{8FA996E6-9417-41AE-B4F9-8B5191832EDB}">
      <text>
        <r>
          <rPr>
            <b/>
            <sz val="9"/>
            <color indexed="81"/>
            <rFont val="Segoe UI"/>
            <family val="2"/>
          </rPr>
          <t>Recepção:</t>
        </r>
        <r>
          <rPr>
            <sz val="9"/>
            <color indexed="81"/>
            <rFont val="Segoe UI"/>
            <family val="2"/>
          </rPr>
          <t xml:space="preserve">
Em 12/03/25 veículo retirado por Bruno Laboratorio, retornou dia 18/03 e em 21/03/25 Roberto seguiu para obra Auren
</t>
        </r>
      </text>
    </comment>
    <comment ref="B35" authorId="0" shapeId="0" xr:uid="{50261633-5352-48C0-A692-D6D76DB3E1DA}">
      <text>
        <r>
          <rPr>
            <b/>
            <sz val="9"/>
            <color indexed="81"/>
            <rFont val="Segoe UI"/>
            <family val="2"/>
          </rPr>
          <t>Administrativo2:</t>
        </r>
        <r>
          <rPr>
            <sz val="9"/>
            <color indexed="81"/>
            <rFont val="Segoe UI"/>
            <family val="2"/>
          </rPr>
          <t xml:space="preserve">
O T-Cross SVW2F07 era da obra 24.008 CGN Russas do dia 14/10/2024 a 30/06/2025, a partir de 01/07/2025 o veículo e o profissional Felipe Silva iniciou na medição da obra 25.011  Eng. Do Proprietário Lapa CGN.
Obs: apesar do veículo e do Felipe Silva só iniciar na medição na obra CGN Lapa em 01/07/2025, o Felipe mobilizou para a cidade de Bom Jesus da Lapa BA desde 28/02/2025.</t>
        </r>
      </text>
    </comment>
    <comment ref="D35" authorId="0" shapeId="0" xr:uid="{C6AA2576-BE6E-4EEA-90FC-7A242EE00C71}">
      <text>
        <r>
          <rPr>
            <b/>
            <sz val="9"/>
            <color indexed="81"/>
            <rFont val="Segoe UI"/>
            <family val="2"/>
          </rPr>
          <t>Troca de Condutor:
de 14/10/2024 a 20/08/2025 o T-Cross SVW2F07 pertencia a Felipe Silva  e em 21/08/2025 o veículo foi transferido para Rogerio</t>
        </r>
        <r>
          <rPr>
            <sz val="9"/>
            <color indexed="81"/>
            <rFont val="Segoe UI"/>
            <family val="2"/>
          </rPr>
          <t xml:space="preserve">
</t>
        </r>
      </text>
    </comment>
    <comment ref="E35" authorId="0" shapeId="0" xr:uid="{2C95ED09-4B5D-4B68-B87F-07710EBDBE04}">
      <text>
        <r>
          <rPr>
            <b/>
            <sz val="9"/>
            <color indexed="81"/>
            <rFont val="Segoe UI"/>
            <family val="2"/>
          </rPr>
          <t>Administrativo2:</t>
        </r>
        <r>
          <rPr>
            <sz val="9"/>
            <color indexed="81"/>
            <rFont val="Segoe UI"/>
            <family val="2"/>
          </rPr>
          <t xml:space="preserve">
O T-Cross SVW2F07 era da obra 24.008 CGN Russas do dia 14/10/2024 a 30/06/2025, a partir de 01/07/2025 o veículo e o profissional Felipe Silva iniciou na medição da obra 25.011  Eng. Do Proprietário Lapa CGN.
Obs: apesar do veículo e do Felipe Silva só iniciar na medição na obra CGN Lapa em 01/07/2025, o Felipe mobilizou para a cidade de Bom Jesus da Lapa BA desde 28/02/2025.</t>
        </r>
      </text>
    </comment>
    <comment ref="D40" authorId="0" shapeId="0" xr:uid="{44CC5A2B-6D83-484C-B6B4-B6B9B9168D85}">
      <text>
        <r>
          <rPr>
            <sz val="9"/>
            <color indexed="81"/>
            <rFont val="Segoe UI"/>
            <family val="2"/>
          </rPr>
          <t xml:space="preserve">Creta SJE5D96 era utilizado por 25/07/2025, após este dia foi transferido para Washington.
</t>
        </r>
      </text>
    </comment>
    <comment ref="I40" authorId="0" shapeId="0" xr:uid="{2ED1D0AB-A977-426D-BA5B-22EC3FE5A209}">
      <text>
        <r>
          <rPr>
            <b/>
            <sz val="9"/>
            <color indexed="81"/>
            <rFont val="Segoe UI"/>
            <family val="2"/>
          </rPr>
          <t>no dia 01/12 enviou apenas o controle de km e após ser solicitado enviou o checklist e fotos que estavam pendentes.</t>
        </r>
        <r>
          <rPr>
            <sz val="9"/>
            <color indexed="81"/>
            <rFont val="Segoe UI"/>
            <family val="2"/>
          </rPr>
          <t xml:space="preserve">
</t>
        </r>
      </text>
    </comment>
    <comment ref="M41" authorId="10" shapeId="0" xr:uid="{7A9BCDCE-0997-4E09-8A84-8198209ADA75}">
      <text>
        <t>[Comentário encadeado]
Sua versão do Excel permite que você leia este comentário encadeado, no entanto, as edições serão removidas se o arquivo for aberto em uma versão mais recente do Excel. Saiba mais: https://go.microsoft.com/fwlink/?linkid=870924
Comentário:
    Devolvido 28/02/2026</t>
      </text>
    </comment>
    <comment ref="D42" authorId="11" shapeId="0" xr:uid="{FE9DCF57-202B-4127-8651-042675EBEEFE}">
      <text>
        <t>[Comentário encadeado]
Sua versão do Excel permite que você leia este comentário encadeado, no entanto, as edições serão removidas se o arquivo for aberto em uma versão mais recente do Excel. Saiba mais: https://go.microsoft.com/fwlink/?linkid=870924
Comentário:
    ANTERIORMENTE DE WILDSON - TRANSFERIDO PARA UBIRATAN EM 10/01/26</t>
      </text>
    </comment>
    <comment ref="J45" authorId="0" shapeId="0" xr:uid="{56BF81A4-51A6-4A54-99DF-1D2B2FB33C61}">
      <text>
        <r>
          <rPr>
            <sz val="9"/>
            <color indexed="81"/>
            <rFont val="Segoe UI"/>
            <family val="2"/>
          </rPr>
          <t xml:space="preserve">Uso particular de 19/12 a 04/01/26 e o primeiro registro foi enviado só no dia 22/12.
</t>
        </r>
      </text>
    </comment>
    <comment ref="M51" authorId="12" shapeId="0" xr:uid="{8EBC8B91-ADA8-4FEE-97E4-02BE4E6D650A}">
      <text>
        <t>[Comentário encadeado]
Sua versão do Excel permite que você leia este comentário encadeado, no entanto, as edições serão removidas se o arquivo for aberto em uma versão mais recente do Excel. Saiba mais: https://go.microsoft.com/fwlink/?linkid=870924
Comentário:
    Viajou de noronha para Recife em 10/02/2026 e o veículo foi devolvido 09/02/2026</t>
      </text>
    </comment>
    <comment ref="J55" authorId="0" shapeId="0" xr:uid="{7A38CFCA-B868-4FC6-9F2A-10B3E333874E}">
      <text>
        <r>
          <rPr>
            <b/>
            <sz val="9"/>
            <color indexed="81"/>
            <rFont val="Segoe UI"/>
            <charset val="1"/>
          </rPr>
          <t>Willian iniciou as folgas no dia 13/12/25 e imendou com o recesso de final de ano (19/12 a 04/01), retornando as atividades só no dia 05/01/26 - enviou as informações no dia 11/12 e durante o recesso o carro ficou na casa de Geferson</t>
        </r>
        <r>
          <rPr>
            <sz val="9"/>
            <color indexed="81"/>
            <rFont val="Segoe UI"/>
            <charset val="1"/>
          </rPr>
          <t xml:space="preserve">
</t>
        </r>
      </text>
    </comment>
    <comment ref="L60" authorId="13" shapeId="0" xr:uid="{E63E8309-E524-46F6-9BC5-CE40253B232A}">
      <text>
        <t>[Comentário encadeado]
Sua versão do Excel permite que você leia este comentário encadeado, no entanto, as edições serão removidas se o arquivo for aberto em uma versão mais recente do Excel. Saiba mais: https://go.microsoft.com/fwlink/?linkid=870924
Comentário:
    Enviou apenas o controle de km em 09/02, ficou de enviar o checklist e fotos no dia seguinte - recebido 10/02</t>
      </text>
    </comment>
    <comment ref="L62" authorId="14" shapeId="0" xr:uid="{3466E01F-5380-4B4E-B48C-B414F3E74578}">
      <text>
        <t>[Comentário encadeado]
Sua versão do Excel permite que você leia este comentário encadeado, no entanto, as edições serão removidas se o arquivo for aberto em uma versão mais recente do Excel. Saiba mais: https://go.microsoft.com/fwlink/?linkid=870924
Comentário:
    SINALIZOU AVARIA OCORRIDA NO ESTACIONAMENTO DO AEROPORTO DE NATAL, DURANTE USO PARTICULAR RECESSO 2025</t>
      </text>
    </comment>
    <comment ref="N65" authorId="15" shapeId="0" xr:uid="{B184C563-7AF4-420C-88C3-42D3057ACFB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Verificar troca de pneu dianteiro
</t>
      </text>
    </comment>
    <comment ref="D66" authorId="16" shapeId="0" xr:uid="{47C7F065-1682-496C-9636-7FC4F0811F8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Estava com o marcilio repassado para Mizael em 08/02/2026
</t>
      </text>
    </comment>
    <comment ref="L66" authorId="17" shapeId="0" xr:uid="{E041DA4A-CD27-42F1-B62B-1069F824196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Veículo devolvido e locado novamente em 31/01/2026 - transferido para Mizael em 08/02/2026
</t>
      </text>
    </comment>
    <comment ref="N66" authorId="18" shapeId="0" xr:uid="{7FC5D053-0A25-42FF-A410-9AEB93C9D90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Folga Mizael 26/03 a 05/04/26 - veículo parado no residencial Bela vista em Lajes e chave com Rigoberto.
</t>
      </text>
    </comment>
    <comment ref="L69" authorId="19" shapeId="0" xr:uid="{4ABF9809-5574-45C1-AD0D-4365E2B8B46B}">
      <text>
        <t>[Comentário encadeado]
Sua versão do Excel permite que você leia este comentário encadeado, no entanto, as edições serão removidas se o arquivo for aberto em uma versão mais recente do Excel. Saiba mais: https://go.microsoft.com/fwlink/?linkid=870924
Comentário:
    ENVIADO NO WHATSAPP</t>
      </text>
    </comment>
    <comment ref="D70" authorId="20" shapeId="0" xr:uid="{F8661A89-83C8-4A98-83FE-076824E80B30}">
      <text>
        <t>[Comentário encadeado]
Sua versão do Excel permite que você leia este comentário encadeado, no entanto, as edições serão removidas se o arquivo for aberto em uma versão mais recente do Excel. Saiba mais: https://go.microsoft.com/fwlink/?linkid=870924
Comentário:
    Locado por jurandir 04/01/26 e transferido para augusto 17/01/26</t>
      </text>
    </comment>
    <comment ref="L70" authorId="21" shapeId="0" xr:uid="{054EE535-ED3A-4315-8437-19DC32793E45}">
      <text>
        <t>[Comentário encadeado]
Sua versão do Excel permite que você leia este comentário encadeado, no entanto, as edições serão removidas se o arquivo for aberto em uma versão mais recente do Excel. Saiba mais: https://go.microsoft.com/fwlink/?linkid=870924
Comentário:
    Enviou apenas o checklist e fotos no recebimento do veículo em 17/01 e os relatórios do fechamento de janeiro estão pendentes</t>
      </text>
    </comment>
    <comment ref="E73" authorId="22" shapeId="0" xr:uid="{E2521A33-EB90-480F-BA00-9D8189907956}">
      <text>
        <t>[Comentário encadeado]
Sua versão do Excel permite que você leia este comentário encadeado, no entanto, as edições serão removidas se o arquivo for aberto em uma versão mais recente do Excel. Saiba mais: https://go.microsoft.com/fwlink/?linkid=870924
Comentário:
    Locado em 09/02/2026</t>
      </text>
    </comment>
    <comment ref="N74" authorId="23" shapeId="0" xr:uid="{C6BDFBFD-5932-4852-8A46-562D6ED1C335}">
      <text>
        <t>[Comentário encadeado]
Sua versão do Excel permite que você leia este comentário encadeado, no entanto, as edições serão removidas se o arquivo for aberto em uma versão mais recente do Excel. Saiba mais: https://go.microsoft.com/fwlink/?linkid=870924
Comentário:
    Devolução veículo 01/04/26</t>
      </text>
    </comment>
    <comment ref="E80" authorId="24" shapeId="0" xr:uid="{769F6D80-F0D7-4895-A7B2-977728FA1B87}">
      <text>
        <t>[Comentário encadeado]
Sua versão do Excel permite que você leia este comentário encadeado, no entanto, as edições serão removidas se o arquivo for aberto em uma versão mais recente do Excel. Saiba mais: https://go.microsoft.com/fwlink/?linkid=870924
Comentário:
    Locado 31/03/26</t>
      </text>
    </comment>
    <comment ref="L90" authorId="25" shapeId="0" xr:uid="{F54BDDF2-542D-4A29-A320-2D73492F48A0}">
      <text>
        <t>[Comentário encadeado]
Sua versão do Excel permite que você leia este comentário encadeado, no entanto, as edições serão removidas se o arquivo for aberto em uma versão mais recente do Excel. Saiba mais: https://go.microsoft.com/fwlink/?linkid=870924
Comentário:
    Controle de km com divergencia - cobrado 10/02</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Administrativo2</author>
    <author>Recepção</author>
  </authors>
  <commentList>
    <comment ref="C5" authorId="0" shapeId="0" xr:uid="{42046428-D5F4-4887-B613-CC15FB955E4E}">
      <text>
        <r>
          <rPr>
            <b/>
            <sz val="9"/>
            <color indexed="81"/>
            <rFont val="Segoe UI"/>
            <family val="2"/>
          </rPr>
          <t>Troca de Condutor:</t>
        </r>
        <r>
          <rPr>
            <sz val="9"/>
            <color indexed="81"/>
            <rFont val="Segoe UI"/>
            <family val="2"/>
          </rPr>
          <t xml:space="preserve">
de 26/02/2025 a 11/06/2025 a S10 TDP1E16 era de Eider Breno e no dia 11/06/2025 foi transferido para Alain, decisão tomada em conjunto entre Alain, Breno e Alverson porque identificaram que o Alain precisa muito da caminhonete pra andar na Rede de Média Tensão  RMT que são atividades de postes.</t>
        </r>
      </text>
    </comment>
    <comment ref="C7" authorId="0" shapeId="0" xr:uid="{83543CAD-D410-40A5-874D-3F1FE0751D62}">
      <text>
        <r>
          <rPr>
            <b/>
            <sz val="9"/>
            <color indexed="81"/>
            <rFont val="Segoe UI"/>
            <family val="2"/>
          </rPr>
          <t>Troca de Condutor:</t>
        </r>
        <r>
          <rPr>
            <sz val="9"/>
            <color indexed="81"/>
            <rFont val="Segoe UI"/>
            <family val="2"/>
          </rPr>
          <t xml:space="preserve">
Onix PVR3B92 - Este veículo foi locado por Idalecio em 02/07/2025 e ficou sendo utilizado por ele até 12/08/2025, após foi transferido para Alverson e o Polo STZ7D92 que estava sendo utilizado por Alverson foi passado para o Idalecio - Devido o Polo ser 15cm mais alto que o Onix .
</t>
        </r>
      </text>
    </comment>
    <comment ref="E8" authorId="1" shapeId="0" xr:uid="{6F73A37F-69A0-43A8-BA0A-26F46E78FF0E}">
      <text>
        <r>
          <rPr>
            <b/>
            <sz val="9"/>
            <color indexed="81"/>
            <rFont val="Segoe UI"/>
            <family val="2"/>
          </rPr>
          <t>Recepção:</t>
        </r>
        <r>
          <rPr>
            <sz val="9"/>
            <color indexed="81"/>
            <rFont val="Segoe UI"/>
            <family val="2"/>
          </rPr>
          <t xml:space="preserve">
Ar-condicionado não estava funcionando, foi realizada a substituição do veículo 15/04/2025</t>
        </r>
      </text>
    </comment>
    <comment ref="C11" authorId="0" shapeId="0" xr:uid="{FEF5F22F-58CE-40EE-A7DC-4F0E5F56236B}">
      <text>
        <r>
          <rPr>
            <b/>
            <sz val="9"/>
            <color indexed="81"/>
            <rFont val="Segoe UI"/>
            <family val="2"/>
          </rPr>
          <t>Troca de Condutor - de Antonio Willian para Herik</t>
        </r>
        <r>
          <rPr>
            <sz val="9"/>
            <color indexed="81"/>
            <rFont val="Segoe UI"/>
            <family val="2"/>
          </rPr>
          <t xml:space="preserve">
Em 06/09/2025 Antonio Willian foi mobilizado da Obra VSE para MDC e no período de 06/09 a 13/09/25 o veículo Tracker TEL5D17 ficou sendo utilizado por Jhonny enquanto aguardava a chegada do Herik e a partir do dia 15/09/25 o veículo ficou sob a responsabilidade do Herik
</t>
        </r>
      </text>
    </comment>
    <comment ref="C12" authorId="1" shapeId="0" xr:uid="{A615BB5F-CD31-4F0F-9C8C-ED2ED838D524}">
      <text>
        <r>
          <rPr>
            <b/>
            <sz val="9"/>
            <color indexed="81"/>
            <rFont val="Segoe UI"/>
            <family val="2"/>
          </rPr>
          <t>Recepção:</t>
        </r>
        <r>
          <rPr>
            <sz val="9"/>
            <color indexed="81"/>
            <rFont val="Segoe UI"/>
            <family val="2"/>
          </rPr>
          <t xml:space="preserve">
Veículo TCY1C25 retirado por Ualace - transferido para Claudio em 28/03/2025</t>
        </r>
      </text>
    </comment>
    <comment ref="C14" authorId="0" shapeId="0" xr:uid="{DDAAEE90-D348-4AF1-AA19-BD05E2A3D734}">
      <text>
        <r>
          <rPr>
            <b/>
            <sz val="9"/>
            <color indexed="81"/>
            <rFont val="Segoe UI"/>
            <family val="2"/>
          </rPr>
          <t>Troca de Condutor:</t>
        </r>
        <r>
          <rPr>
            <sz val="9"/>
            <color indexed="81"/>
            <rFont val="Segoe UI"/>
            <family val="2"/>
          </rPr>
          <t xml:space="preserve">
</t>
        </r>
        <r>
          <rPr>
            <b/>
            <sz val="9"/>
            <color indexed="81"/>
            <rFont val="Segoe UI"/>
            <family val="2"/>
          </rPr>
          <t xml:space="preserve"> Onix STZ7D92 </t>
        </r>
        <r>
          <rPr>
            <sz val="9"/>
            <color indexed="81"/>
            <rFont val="Segoe UI"/>
            <family val="2"/>
          </rPr>
          <t xml:space="preserve">foi locado em 23/07/2025 por Marcilio e em </t>
        </r>
        <r>
          <rPr>
            <b/>
            <sz val="9"/>
            <color indexed="81"/>
            <rFont val="Segoe UI"/>
            <family val="2"/>
          </rPr>
          <t xml:space="preserve">01/08/2025 </t>
        </r>
        <r>
          <rPr>
            <sz val="9"/>
            <color indexed="81"/>
            <rFont val="Segoe UI"/>
            <family val="2"/>
          </rPr>
          <t xml:space="preserve">foi transferido para Eider Breno.
</t>
        </r>
      </text>
    </comment>
    <comment ref="C18" authorId="1" shapeId="0" xr:uid="{A8395448-8FE3-4AB9-A15C-763C6D1EBD67}">
      <text>
        <r>
          <rPr>
            <b/>
            <sz val="9"/>
            <color indexed="81"/>
            <rFont val="Segoe UI"/>
            <family val="2"/>
          </rPr>
          <t>Recepção: Profissional era da obra MDC e em 22/04/2025 foi mobilizado com o carro EJA1H12 para VSE</t>
        </r>
      </text>
    </comment>
    <comment ref="C19" authorId="1" shapeId="0" xr:uid="{8A17DE41-7B5B-4D59-9157-A3D4AC759498}">
      <text>
        <r>
          <rPr>
            <b/>
            <sz val="9"/>
            <color indexed="81"/>
            <rFont val="Segoe UI"/>
            <family val="2"/>
          </rPr>
          <t>Recepção:</t>
        </r>
        <r>
          <rPr>
            <sz val="9"/>
            <color indexed="81"/>
            <rFont val="Segoe UI"/>
            <family val="2"/>
          </rPr>
          <t xml:space="preserve">
até 31/03/2025 o veículo era utilizado por Acácio, após foi transferido para Junior</t>
        </r>
      </text>
    </comment>
    <comment ref="C21" authorId="0" shapeId="0" xr:uid="{1E416578-90A6-42FD-9843-E681B6BDFFDA}">
      <text>
        <r>
          <rPr>
            <b/>
            <sz val="9"/>
            <color indexed="81"/>
            <rFont val="Segoe UI"/>
            <family val="2"/>
          </rPr>
          <t xml:space="preserve">Troca de Condutor:
</t>
        </r>
        <r>
          <rPr>
            <sz val="9"/>
            <color indexed="81"/>
            <rFont val="Segoe UI"/>
            <family val="2"/>
          </rPr>
          <t xml:space="preserve">de 02/06/2025 a 11/06/2025 o Polo STZ7D92 era de Alain e no dia 11/06/2025 às 07:30h foi transferido para Alverson, decisão tomada em conjunto entre Alain, Breno e Alverson.
</t>
        </r>
        <r>
          <rPr>
            <b/>
            <sz val="9"/>
            <color indexed="81"/>
            <rFont val="Segoe UI"/>
            <family val="2"/>
          </rPr>
          <t xml:space="preserve">Troca de Condutor 2:
</t>
        </r>
        <r>
          <rPr>
            <sz val="9"/>
            <color indexed="81"/>
            <rFont val="Segoe UI"/>
            <family val="2"/>
          </rPr>
          <t xml:space="preserve">Polo STZ7D92 que estava sendo utilizado por Alverson desde o dia 11/06/2025 foi transferido Idalecio em 12/08/2025 devido este modelo ser 15cm mais alto que o Onix. E o Onix PVR3B92  que foi locado por Idalecio em 02/07/2025 foi repassado para o Alverson no dia 12/08/2025. </t>
        </r>
      </text>
    </comment>
    <comment ref="E23" authorId="0" shapeId="0" xr:uid="{9580196F-CCEE-49BC-8827-E8E209ED71DE}">
      <text>
        <r>
          <rPr>
            <sz val="9"/>
            <color indexed="81"/>
            <rFont val="Segoe UI"/>
            <family val="2"/>
          </rPr>
          <t xml:space="preserve">o veículo SUI0E07 antes era medido na obra 23.026 CGN Lagoa e a partir de novembro 2025 passou a ser medido por 24.011 BackOffice de projetos CGN
</t>
        </r>
      </text>
    </comment>
    <comment ref="C24" authorId="0" shapeId="0" xr:uid="{C7AB13A5-565F-4BE2-98ED-F2310E8B7D68}">
      <text>
        <r>
          <rPr>
            <sz val="9"/>
            <color indexed="81"/>
            <rFont val="Segoe UI"/>
            <family val="2"/>
          </rPr>
          <t xml:space="preserve">Jurandir e o veículo EVW1E22 eram do projeto 24.019 Morro do Cruzeiro e em 01/04/2025 ambos foram transferidos para 24.019 VSE.
</t>
        </r>
      </text>
    </comment>
    <comment ref="C26" authorId="0" shapeId="0" xr:uid="{96D253E1-BFEA-4EB5-87D6-C859027DE951}">
      <text>
        <r>
          <rPr>
            <b/>
            <sz val="9"/>
            <color indexed="81"/>
            <rFont val="Segoe UI"/>
            <family val="2"/>
          </rPr>
          <t xml:space="preserve">Troca de Condutor:
</t>
        </r>
        <r>
          <rPr>
            <sz val="9"/>
            <color indexed="81"/>
            <rFont val="Segoe UI"/>
            <family val="2"/>
          </rPr>
          <t xml:space="preserve">De 24/03/2025 a 11/06/2025 a Duster TDJ7G97 era utilizada por Alverson e a partir do dia </t>
        </r>
        <r>
          <rPr>
            <b/>
            <sz val="9"/>
            <color indexed="81"/>
            <rFont val="Segoe UI"/>
            <family val="2"/>
          </rPr>
          <t xml:space="preserve">11/06/2025 </t>
        </r>
        <r>
          <rPr>
            <sz val="9"/>
            <color indexed="81"/>
            <rFont val="Segoe UI"/>
            <family val="2"/>
          </rPr>
          <t xml:space="preserve">foi transferida para Eider Breno que compartilha o uso com Yanca.
</t>
        </r>
        <r>
          <rPr>
            <b/>
            <sz val="9"/>
            <color indexed="81"/>
            <rFont val="Segoe UI"/>
            <family val="2"/>
          </rPr>
          <t xml:space="preserve">
Troca de Condutor 2:</t>
        </r>
        <r>
          <rPr>
            <sz val="9"/>
            <color indexed="81"/>
            <rFont val="Segoe UI"/>
            <family val="2"/>
          </rPr>
          <t xml:space="preserve">
01/08/2025 a Duster TDJ7G97 foi transferida de Breno para Marcilio.</t>
        </r>
      </text>
    </comment>
    <comment ref="C32" authorId="0" shapeId="0" xr:uid="{D28A57CE-EE4B-4ED9-BE6E-2C1CDECA5631}">
      <text>
        <r>
          <rPr>
            <sz val="9"/>
            <color indexed="81"/>
            <rFont val="Segoe UI"/>
            <family val="2"/>
          </rPr>
          <t xml:space="preserve">Creta SJE5D96 era utilizado por 25/07/2025, após este dia foi transferido para Washington.
</t>
        </r>
      </text>
    </comment>
    <comment ref="C39" authorId="0" shapeId="0" xr:uid="{87D815DD-815A-486E-AC89-A0CE5458C106}">
      <text>
        <r>
          <rPr>
            <b/>
            <sz val="9"/>
            <color indexed="81"/>
            <rFont val="Segoe UI"/>
            <family val="2"/>
          </rPr>
          <t>Veículo Locado por Marcilio no sábado 11/10/2025 para ser repassado ao Ilo Hilton, que recebeu o carro DHQ9H62 na segunda-feira 13/10/2025.</t>
        </r>
      </text>
    </comment>
  </commentList>
</comments>
</file>

<file path=xl/sharedStrings.xml><?xml version="1.0" encoding="utf-8"?>
<sst xmlns="http://schemas.openxmlformats.org/spreadsheetml/2006/main" count="2021" uniqueCount="669">
  <si>
    <t>CARRO</t>
  </si>
  <si>
    <t>AVARIAS</t>
  </si>
  <si>
    <t>USUARIO</t>
  </si>
  <si>
    <t>OBRA</t>
  </si>
  <si>
    <t>GPS</t>
  </si>
  <si>
    <t>ADESIVO</t>
  </si>
  <si>
    <t>POSTO</t>
  </si>
  <si>
    <t>DIAS DE ABASTECIMENTO</t>
  </si>
  <si>
    <t>CONDIÇÃO DE PAGAMENTO</t>
  </si>
  <si>
    <t>CONTROLE DE VEICULOS</t>
  </si>
  <si>
    <t>QUANT</t>
  </si>
  <si>
    <t>TDP1E16</t>
  </si>
  <si>
    <t xml:space="preserve">TDQ6D38 </t>
  </si>
  <si>
    <t>CHRIS</t>
  </si>
  <si>
    <t>ROBERTO</t>
  </si>
  <si>
    <t>AUREN</t>
  </si>
  <si>
    <t>Sim</t>
  </si>
  <si>
    <t>Posto Grupo São Tomé</t>
  </si>
  <si>
    <t>Mensal</t>
  </si>
  <si>
    <t>terças e sábados</t>
  </si>
  <si>
    <t>SIJ3F45</t>
  </si>
  <si>
    <t>Eliomar</t>
  </si>
  <si>
    <t>SIN6C94</t>
  </si>
  <si>
    <t>Gadelha</t>
  </si>
  <si>
    <t>GEQ0G23</t>
  </si>
  <si>
    <t>ELI4J04</t>
  </si>
  <si>
    <t>Rogerio</t>
  </si>
  <si>
    <t>Ademir</t>
  </si>
  <si>
    <t>SVW2F07</t>
  </si>
  <si>
    <t>SUI0E07</t>
  </si>
  <si>
    <t>Jerfferson</t>
  </si>
  <si>
    <t>CGN Lagoinha</t>
  </si>
  <si>
    <t>Posto Rede Dom Pedro</t>
  </si>
  <si>
    <t>Terças e quintas</t>
  </si>
  <si>
    <t>PEDRO PAULO</t>
  </si>
  <si>
    <t>DEVALDO</t>
  </si>
  <si>
    <t>ANTONIO FLAVIO</t>
  </si>
  <si>
    <t>Elera</t>
  </si>
  <si>
    <t>Posto Confiança</t>
  </si>
  <si>
    <t>terça a sábado</t>
  </si>
  <si>
    <t>RTE1I62</t>
  </si>
  <si>
    <t>Gleison</t>
  </si>
  <si>
    <t>Rainor</t>
  </si>
  <si>
    <t>Goiania</t>
  </si>
  <si>
    <t>*</t>
  </si>
  <si>
    <t>EVW1E22</t>
  </si>
  <si>
    <t>SVG7A45</t>
  </si>
  <si>
    <t>EJA1H12</t>
  </si>
  <si>
    <t>TJB2D87</t>
  </si>
  <si>
    <t>SYD7G06</t>
  </si>
  <si>
    <t>SYD0E93</t>
  </si>
  <si>
    <t>Ana Paula</t>
  </si>
  <si>
    <t>Morro do Cruzeiro</t>
  </si>
  <si>
    <t>JURANDIR</t>
  </si>
  <si>
    <t>JOÃO CARLOS</t>
  </si>
  <si>
    <t>ASSIBI</t>
  </si>
  <si>
    <t xml:space="preserve"> AUGUSTO</t>
  </si>
  <si>
    <t>Posto Cocal / Posto DDD</t>
  </si>
  <si>
    <t xml:space="preserve">TJR5F89 </t>
  </si>
  <si>
    <t>SWD0G64</t>
  </si>
  <si>
    <t>PVR3C22</t>
  </si>
  <si>
    <t>JHONNY WEIDE</t>
  </si>
  <si>
    <t>RONIERI</t>
  </si>
  <si>
    <t>WASHINGTON</t>
  </si>
  <si>
    <t>RILDSON</t>
  </si>
  <si>
    <t>ANA LUIZA</t>
  </si>
  <si>
    <t>JAIR</t>
  </si>
  <si>
    <t>ERIC</t>
  </si>
  <si>
    <t>Ventos S. Eugenia</t>
  </si>
  <si>
    <t>Posto Midas Copa 70</t>
  </si>
  <si>
    <t>terça, quinta e sábado</t>
  </si>
  <si>
    <t>SYD7E62</t>
  </si>
  <si>
    <t>SIG2E45</t>
  </si>
  <si>
    <t xml:space="preserve">ALIRE  </t>
  </si>
  <si>
    <t xml:space="preserve">LUCIANE </t>
  </si>
  <si>
    <t>Sustentabilidade</t>
  </si>
  <si>
    <t>FZP1E71</t>
  </si>
  <si>
    <t>DKU8J41</t>
  </si>
  <si>
    <t>TCZ6B67</t>
  </si>
  <si>
    <t>TCY1C25</t>
  </si>
  <si>
    <t>SVR2H85</t>
  </si>
  <si>
    <t>LAZARO</t>
  </si>
  <si>
    <t>ANDRÉ PLÁCIDO</t>
  </si>
  <si>
    <t>ISAAC</t>
  </si>
  <si>
    <t>EDNEI</t>
  </si>
  <si>
    <t>UALACE</t>
  </si>
  <si>
    <t>Riacho</t>
  </si>
  <si>
    <t xml:space="preserve">WENDEL </t>
  </si>
  <si>
    <t>Posto Barranqueiro</t>
  </si>
  <si>
    <t>terças e sextas</t>
  </si>
  <si>
    <t>Semanal</t>
  </si>
  <si>
    <t>LAVA-JATO</t>
  </si>
  <si>
    <t>OBSERVAÇÕES</t>
  </si>
  <si>
    <t>DESMOBILIZAÇÃO</t>
  </si>
  <si>
    <t>Medição até 21/02/2025</t>
  </si>
  <si>
    <t>PARABRISAS</t>
  </si>
  <si>
    <t>TOTAL</t>
  </si>
  <si>
    <t>DESLOCAMENTO</t>
  </si>
  <si>
    <t>VEÍCULO</t>
  </si>
  <si>
    <t>HB20 EXO7J94</t>
  </si>
  <si>
    <t>S10 TCT0H53</t>
  </si>
  <si>
    <t>S10 TDA9D59</t>
  </si>
  <si>
    <t>S10 TCT0H34</t>
  </si>
  <si>
    <t xml:space="preserve">RODOLFO </t>
  </si>
  <si>
    <t xml:space="preserve">IGOR </t>
  </si>
  <si>
    <t xml:space="preserve">IVNNA </t>
  </si>
  <si>
    <t xml:space="preserve">  01	Veículo se encontra com o para-choque dianteiro danificado, devido o carro ser muito baixo. 
  02	Veículo se encontra com arranhões no para-choque traseiro, devido á andar e muita estrada de chão e de difícil acesso.
  03	Veículo se encontra com a duas caixas de Ar amassadas, devido o carro ser baixo para região que trabalhamos, e de ir em lugares de difícil acesso.
   04	Veículo se encontra com as grades dianteiras quebradas, devido o carro ser baixo e os locais de difícil acesso a ser percorrido, como por exemplo estradas de chão.  Porque as rotas aqui são mais rurais.</t>
  </si>
  <si>
    <t>02/12/2024 Conforme informado, o para brisas está com uma pequena avaria que não impede o carro de ser utilizado, conforme foto abaixo. O registro é somente informativo e fica a disposição da Proyfe as providencias.</t>
  </si>
  <si>
    <t>Assibi</t>
  </si>
  <si>
    <t xml:space="preserve">ARGO TCV9F12 </t>
  </si>
  <si>
    <t>Proteção de para-choque (parte de baixo do veículo) soltando</t>
  </si>
  <si>
    <t>SIS6B61</t>
  </si>
  <si>
    <t>Auren</t>
  </si>
  <si>
    <t>TDJ7G97</t>
  </si>
  <si>
    <t>MARLUCIA</t>
  </si>
  <si>
    <t>FRANCISCO DE MORAIS</t>
  </si>
  <si>
    <t>S10 UAI4B92</t>
  </si>
  <si>
    <t>24.019 MDC</t>
  </si>
  <si>
    <t>TCROSS SVG7A45</t>
  </si>
  <si>
    <t xml:space="preserve">ARGOTCY1C54 </t>
  </si>
  <si>
    <t>ATIVO</t>
  </si>
  <si>
    <t>OBRAS</t>
  </si>
  <si>
    <t>CONDUTORES</t>
  </si>
  <si>
    <t>AVARIAS VEÍCULOS - CUSTEADAS PELA PROYFE</t>
  </si>
  <si>
    <t>24.019 VSE</t>
  </si>
  <si>
    <t>25.001 AUREN</t>
  </si>
  <si>
    <t>PNEUS</t>
  </si>
  <si>
    <t>S10 TDP1E16</t>
  </si>
  <si>
    <t>S10 QMZ5D58</t>
  </si>
  <si>
    <t>ADEMIR</t>
  </si>
  <si>
    <t>Será devolvido julho 2025</t>
  </si>
  <si>
    <t>TCROSS ELI4J04</t>
  </si>
  <si>
    <t>24.024 RIACHO</t>
  </si>
  <si>
    <t>24.008 LAGOINHA</t>
  </si>
  <si>
    <t>WENDEL</t>
  </si>
  <si>
    <t>POLO DKU8J41</t>
  </si>
  <si>
    <t>ANDRÉ GADELHA</t>
  </si>
  <si>
    <t>RENEGADE SIN6C94</t>
  </si>
  <si>
    <t>RUTE</t>
  </si>
  <si>
    <t>HILUX SEO0E19</t>
  </si>
  <si>
    <t>ANTONIO PAIXÃO</t>
  </si>
  <si>
    <t>ONIX SIS0I24</t>
  </si>
  <si>
    <t>SUBSTITUIDO 03/05/2025</t>
  </si>
  <si>
    <t xml:space="preserve"> 15/03/2025</t>
  </si>
  <si>
    <t>Veículo substituido em 27/05/2025</t>
  </si>
  <si>
    <t>Veículo substituido em 16/04/2025</t>
  </si>
  <si>
    <t>ILIICHI</t>
  </si>
  <si>
    <t>S10 TCT0H26</t>
  </si>
  <si>
    <t>ARGO SYX0J55</t>
  </si>
  <si>
    <t>WAGNER</t>
  </si>
  <si>
    <t>24.002 ELERA</t>
  </si>
  <si>
    <t>FELIPE SILVA</t>
  </si>
  <si>
    <t>TCROSS SVW2F07</t>
  </si>
  <si>
    <t>POLO TIY9E72</t>
  </si>
  <si>
    <t>JHONATAS</t>
  </si>
  <si>
    <t>TCROSS ENH4J51</t>
  </si>
  <si>
    <t>TCROSS TPL7F80</t>
  </si>
  <si>
    <t>TCROSS EBO3D71</t>
  </si>
  <si>
    <t>TCROSS TJR5F89</t>
  </si>
  <si>
    <t>NILBERTO</t>
  </si>
  <si>
    <t>RODRIGO ROLDÃO</t>
  </si>
  <si>
    <t xml:space="preserve">CRONOS RUH5A71   </t>
  </si>
  <si>
    <t>21.029 GOIANIA</t>
  </si>
  <si>
    <t>GLEISON</t>
  </si>
  <si>
    <t>ARGO RTE1I62</t>
  </si>
  <si>
    <t>S10 PVR3C22</t>
  </si>
  <si>
    <t>RAINOR</t>
  </si>
  <si>
    <t>ARGO RUM5I29</t>
  </si>
  <si>
    <t xml:space="preserve">limpador de para-brisa sem borracha - Para choque traseiro do veículo com danos -  ( Trincou no trecho) - Capô do veículo com danos visíveis  -  Para choque dianteiro do veículo com danos no lado esquerdo. </t>
  </si>
  <si>
    <t xml:space="preserve">O veículo apresenta arranhões superficiais na lataria, ocasionados pelo contato com galhos nos acessos da obra, conforme indicado nas imagens abaixo. </t>
  </si>
  <si>
    <t xml:space="preserve">Avaria no para-choque dianteiro lado direito (arranhões) </t>
  </si>
  <si>
    <t>Tayonara</t>
  </si>
  <si>
    <t>TEJ8H62</t>
  </si>
  <si>
    <t>07/08/25 - para-choque do veículo encostou em uma rocha, ocasionando um arranhão (Weiller)</t>
  </si>
  <si>
    <t>DUSTER TDJ7G97</t>
  </si>
  <si>
    <t>ALAIN</t>
  </si>
  <si>
    <t>ARGO TDQ6D38</t>
  </si>
  <si>
    <t>ALVERSON</t>
  </si>
  <si>
    <t>PVR3B92</t>
  </si>
  <si>
    <t>RENEGADE SIG2E45</t>
  </si>
  <si>
    <t>24.006 SUSTENTABILIDADE</t>
  </si>
  <si>
    <t>Devolvido 26/08/2025</t>
  </si>
  <si>
    <t xml:space="preserve">ARGO TCY1C54 </t>
  </si>
  <si>
    <t>VITOR PESSOA</t>
  </si>
  <si>
    <t>Marcilio</t>
  </si>
  <si>
    <t>AVARIAS LOCAÇÃO</t>
  </si>
  <si>
    <t>AVARIAS APÓS O USO</t>
  </si>
  <si>
    <t>Geovani</t>
  </si>
  <si>
    <t>SSW2I35</t>
  </si>
  <si>
    <t>porta traseira do lado esquerdo apresentando riscos; para-choque dianteiro do lado esquerdo e direito o apresentando risco; para-choque traseiro do lado esquerdo apresentando riscos;</t>
  </si>
  <si>
    <t xml:space="preserve">Para-choque dianteiro do lado esquerdo danificado (Em baixo); Lataria do veículo do lado do pneu esquerdo a cima amassado; lataria do veículo (Teto) com dois amassos próximo à antena de rádio; diversas riscos na pintura da lataria do lado da porta do motorista e carona, na mala, para choque dianteiro e traseiro; cano de escape danificado (Flexível) por batida contra (Dano) e outras partes em baixo amassadas (apenas esta foi resolvida - Todas as avarias acima foram sinalizadas pelo Geovani após o veículo ter sido utilizado por Rhuan nos dias 08 a 19/08/2025). </t>
  </si>
  <si>
    <t>SJH8E03</t>
  </si>
  <si>
    <t>Eider Breno</t>
  </si>
  <si>
    <t>Para-choque dianteiro com arranhões frontais e laterais, falta bigode Inferior; Para-choque traseiro com arranhões ambos os lados, reparo existente repintado; Pintura grosseira lado do passageiro prox. acesso gasolina, paralama amassado; Longarina abaixo da porta com avaria lado passageiro; Banco estofado com manchas, coluna interna plástica avaria; Motor bastante sujo com acumulo de areia e carter de oleo com avaria, amassado; Forro interno das portas traseira e Consoe Central aranhado.</t>
  </si>
  <si>
    <t xml:space="preserve">Em 31/08/2025 o Onix SJH8E03 estava em uso particular por Breno e ele danificou o retrovisor lado direito, no dia 01/09 Breno trocou o retrovisor </t>
  </si>
  <si>
    <t xml:space="preserve">Amassado na parte superior traseira lado esquerdo </t>
  </si>
  <si>
    <t>Sem avaria</t>
  </si>
  <si>
    <t>Folha Larga</t>
  </si>
  <si>
    <t xml:space="preserve">Para – choques dianteiro e traseiro com avarias, ambos no lado esquerdo </t>
  </si>
  <si>
    <t>Emerson</t>
  </si>
  <si>
    <t>TJW0B84</t>
  </si>
  <si>
    <t>TJZ9J36</t>
  </si>
  <si>
    <t>Kroma</t>
  </si>
  <si>
    <t>Elikesth</t>
  </si>
  <si>
    <t>TDT7A83</t>
  </si>
  <si>
    <t>Sem avarias</t>
  </si>
  <si>
    <t xml:space="preserve"> Para choque traseiro do veículo com danos -  ( Trincou no trecho) Barra de instabilidade lado direito danificada. </t>
  </si>
  <si>
    <t xml:space="preserve">Há manchas no estofado dos bancos e portas, conforme book fotográfico.; Consta uma avaria na parte inferior do para-choque, conforme demonstrado na foto no book fotográfico. O dano é superficial e não impede o uso do veículo; Atenção ao detalhe de que os vidros do carro estão com película. A película do vidro traseiro já apresenta alguns furos. </t>
  </si>
  <si>
    <t xml:space="preserve">PARA-CHOQUE DIANTEIRO RISCADO, PORTA DIAN/TRAS  RISCADA  PORTA  PARALAMA DIANTEIRO RISCADO PARALAMA DIANTEIRO RISCADO PARALAMA DIANTEIRO RISCADO MOSSA. </t>
  </si>
  <si>
    <t>TKX8G73</t>
  </si>
  <si>
    <t xml:space="preserve">Para-choque com leve desalinhado, bancos com manchas no estofado, Borracha inferior do para-choque / saia traseira fora de encaixe (tanto lateral esquerda quanto direita), maçaneta porta do motorista com risco, risco com moça porta passageiro lado esquerdo, paralama dianteiro lado direito riscado, arranhado na porta de combustível, risco próximo aos piscas alertas lado direito, risco maçaneta lado da porta dianteira lado direito, riscos porta traseira do lado direito, riscos próximo maçaneta lado esquerdo passageiro, riscos porta lado esquerdo traseiro do passageiro, riscos traseiros do veículo. </t>
  </si>
  <si>
    <t>SJE5D96</t>
  </si>
  <si>
    <t>SÁVIO</t>
  </si>
  <si>
    <t>TEU5A95</t>
  </si>
  <si>
    <t>PB Protetor cárter com abraçadeiras
PTD Amassado menor 2 cm
PDE Amassado menor 2 cm
D Arranhões superficiais no para-choque dianteiro Esquerdo                                                   Para-brisa Trincado reparo não atendeu  - dia 28/05/2025 para-choque traseiro danificado, bateu num tronco que fica no estacionamento do canteiro da obra - dia 09/06/25 comunicou via whatsapp arranhões na lateral do capô realizado por terceiros não identificados (veículo estacionado na rua); Lanternas Traseiras entrando poeira</t>
  </si>
  <si>
    <t xml:space="preserve">Carpete manchado, Amassado na porta traseira e Para-Barro danificado. </t>
  </si>
  <si>
    <t>TEL5D67</t>
  </si>
  <si>
    <t>Avarias na lataria lado do passageiro, arranhões (INFORMAÇÃO DE Joseane) / marlucia: LIMPADOR DE PARA-BRISA TRASEIRO DANIFICADO / Avarias na lataria lado do passageiro, arranhões./ Avaria (amasso) na quina da trazeira direita (resolvido)</t>
  </si>
  <si>
    <t>O veículo apresenta pequenos arranhões na lataria e calota, conforme mostrado nas figuras abaixo;  laterais com respingo de tinta.</t>
  </si>
  <si>
    <t>O veículo apresenta pequenos arranhões na parte traseira</t>
  </si>
  <si>
    <t xml:space="preserve">Para-brisa danificado durante trajeto. Um objeto, provavelmente uma pedra, foi projetado em direção
ao mesmo ocasionando uma trinca, no dia 08/04/2025. Devido aos acompanhamentos de sondagens, acesso a estradas carroçais e vegetação fechada, a pintura do veículo apresenta arranhados no verniz que, provavelmente, serão tratadas com polimento (resolvido o polimento). Ralado na parte inferior do para-choque dianteiro lado do motorista </t>
  </si>
  <si>
    <t>SVW5E64</t>
  </si>
  <si>
    <t>RVC9D71</t>
  </si>
  <si>
    <t>SYG2I07</t>
  </si>
  <si>
    <t>TLP7F80</t>
  </si>
  <si>
    <t xml:space="preserve">Arranhão na parte inferior do para choque dianteiro (C); Arranhão leve no paralama dianteiro (LD); Arranhão e moça do para choque traseiro (E e D) </t>
  </si>
  <si>
    <t>GEFERSON</t>
  </si>
  <si>
    <t>TCROSS</t>
  </si>
  <si>
    <t xml:space="preserve">28 Há um risco na lateral do veículo no lado passageiro o qual foi registrado na vistoria.
01 Para-brisas com 2 danos devido a choque com pedras provenientes de carro a frente.
16 01 pneu furou 02 vezes causando 3 rasgos e realizado vulcanização. Apresenta bolhas. O protetor de cárter se desprendeu pela segunda vez. Ele foi retirado e guardado no porta-malas. </t>
  </si>
  <si>
    <t xml:space="preserve">Após o período do último final de semana, 16 e 17/08, foi identificada uma avaria na lente da lanterna traseira direita do veículo, caracterizada por um furo, provavelmente proveniente de vandalismo e/ou danos matérias por terceiros enquanto o veículo estava estacionado. Durante esse período, o veículo permaneceu estacionado na rua, em frente ao apartamento do colaborador do projeto, Sr. Edertânio Cruz. Ressalta-se que tal avaria não estava presente anteriormente e foi constatada na data de hoje, 18/08.  Riscos para-choque traseiro LD; 
Riscos para-choque traseiro próximos aos sensores de ré; 
Riscos para-choque traseiro LE; 
Riscos para-choque tampa porta-malas; 
Riscos porta da frente LE próximo a proteção de plástico; 
Proteção plástica para-lamas dianteiro LE folgada (leve abertura); 
Trinca e riscos no para-choque dianteiro LD próximo ao farol; 
Riscos e abertura na junção das peças para-choque e para-lamas dianteiro LD; Proteção plástica para-lamas dianteiro LD folgada (leve abertura); 
Riscos proteção plástica porta traseira LD; 
Para-barro traseiro LD avariado. </t>
  </si>
  <si>
    <t>TEL5D86</t>
  </si>
  <si>
    <t xml:space="preserve">Ponto de arranhão lado esquerdo do para-choque  - retirada do veículo / Veículo ponto de arranhão copô - retirada do veículo / Veículo ponto de arranhões no painel (Interior) - retirada do veículo </t>
  </si>
  <si>
    <t>TCU0B50</t>
  </si>
  <si>
    <t>Robson</t>
  </si>
  <si>
    <t xml:space="preserve">Está com arranhões no para-choque / Faltando uma peça no painel </t>
  </si>
  <si>
    <t>STZ7D92</t>
  </si>
  <si>
    <t>Novembro</t>
  </si>
  <si>
    <t>Dezembro</t>
  </si>
  <si>
    <t>1ª Quinzena</t>
  </si>
  <si>
    <t>2ª Quinzena</t>
  </si>
  <si>
    <t>CONTROLE - Checklist</t>
  </si>
  <si>
    <t>STATUS</t>
  </si>
  <si>
    <t>CÓDIGO</t>
  </si>
  <si>
    <t>PLACA</t>
  </si>
  <si>
    <t>LOCADORA</t>
  </si>
  <si>
    <t>S10</t>
  </si>
  <si>
    <t>UNIDAS</t>
  </si>
  <si>
    <t>SUSTENTABILIDADE</t>
  </si>
  <si>
    <t xml:space="preserve">ALIRE CAVALCANTE </t>
  </si>
  <si>
    <t>TRACKER</t>
  </si>
  <si>
    <t>TJL7E95</t>
  </si>
  <si>
    <t>POLO</t>
  </si>
  <si>
    <t>STATKRAFT VSE</t>
  </si>
  <si>
    <t>NIVUS</t>
  </si>
  <si>
    <t>STATKRAFT MDC</t>
  </si>
  <si>
    <t>ANA PAULA</t>
  </si>
  <si>
    <t>SYD7F82</t>
  </si>
  <si>
    <t>UFV RIACHO</t>
  </si>
  <si>
    <t>HERIK</t>
  </si>
  <si>
    <t>TEL5D17</t>
  </si>
  <si>
    <t>ENG. AGRONOMO</t>
  </si>
  <si>
    <t>ARGO</t>
  </si>
  <si>
    <t>CLAUDIO</t>
  </si>
  <si>
    <t>HB20</t>
  </si>
  <si>
    <t>EIDER BRENO</t>
  </si>
  <si>
    <t>ONIX</t>
  </si>
  <si>
    <t>KROMA</t>
  </si>
  <si>
    <t>ELIKESTH ALEX</t>
  </si>
  <si>
    <t>CGN RUSSAS</t>
  </si>
  <si>
    <t>ELIOMAR</t>
  </si>
  <si>
    <t>FOLHA LARGA</t>
  </si>
  <si>
    <t>EMERSON</t>
  </si>
  <si>
    <t>FRANCISCO AUGUSTO</t>
  </si>
  <si>
    <t>TCross</t>
  </si>
  <si>
    <t>ANTONIO WILLIAN</t>
  </si>
  <si>
    <t>GEOVANI</t>
  </si>
  <si>
    <t xml:space="preserve"> GOIANIA</t>
  </si>
  <si>
    <t>IDALECIO</t>
  </si>
  <si>
    <t>JERFFERSON MOREIRA</t>
  </si>
  <si>
    <t>MARCILIO</t>
  </si>
  <si>
    <t>DUSTER</t>
  </si>
  <si>
    <t>UAI4B92</t>
  </si>
  <si>
    <t>ELERA</t>
  </si>
  <si>
    <t>ROBSON COSTA</t>
  </si>
  <si>
    <t>ROGERIO</t>
  </si>
  <si>
    <t>RANGER</t>
  </si>
  <si>
    <t>TAYONARA</t>
  </si>
  <si>
    <t>RENEGADE</t>
  </si>
  <si>
    <t>LOCALIZA</t>
  </si>
  <si>
    <t>TIAGO GONÇALVES</t>
  </si>
  <si>
    <t>TEZ5D42</t>
  </si>
  <si>
    <t>CRETA</t>
  </si>
  <si>
    <t>WENDEL MATIAS</t>
  </si>
  <si>
    <t xml:space="preserve">POLO TRACK </t>
  </si>
  <si>
    <t>WILDSON</t>
  </si>
  <si>
    <t xml:space="preserve">TJF8C34 </t>
  </si>
  <si>
    <t xml:space="preserve">RSH RIO SOLAR HYBRID </t>
  </si>
  <si>
    <t>TEU0E78</t>
  </si>
  <si>
    <t>TDA0G20</t>
  </si>
  <si>
    <t>SFH SÃO FERNANDO HYBRID SOLAR</t>
  </si>
  <si>
    <t>AIRISMILA</t>
  </si>
  <si>
    <t>TYA5C94</t>
  </si>
  <si>
    <t>UBIRATAN</t>
  </si>
  <si>
    <t>TDP1D97</t>
  </si>
  <si>
    <t>EUCILENE</t>
  </si>
  <si>
    <t>SUO8H64</t>
  </si>
  <si>
    <t>FRANCISCO IRANILDO</t>
  </si>
  <si>
    <t>SWH5H35</t>
  </si>
  <si>
    <t>Veículos</t>
  </si>
  <si>
    <t>TCROSS TJB2D87</t>
  </si>
  <si>
    <t>Eucilene</t>
  </si>
  <si>
    <t xml:space="preserve">
	Calota dianteira esquerda amassada -  15/05/25 Amassado na porta traseira direita - Amassado no assoalho logo abaixo das portas dianteiras (lado direito e esquerdo)</t>
  </si>
  <si>
    <t>Willian</t>
  </si>
  <si>
    <t xml:space="preserve">Foi verificado um pequeno amassando no porta malas conforme imagem. </t>
  </si>
  <si>
    <t>POLO SSW2I35</t>
  </si>
  <si>
    <t>INATIVO</t>
  </si>
  <si>
    <t xml:space="preserve">Perdeu uma tampa da calota - Paralameira Quebrado lado esquerdo - </t>
  </si>
  <si>
    <t>TWZ9A06</t>
  </si>
  <si>
    <t>Tiago Gonçalves</t>
  </si>
  <si>
    <t>Wildson</t>
  </si>
  <si>
    <t>TJF8C34</t>
  </si>
  <si>
    <t xml:space="preserve">Apresentando alguns arranhões superficiais na lanternagem (conforme check list e fotos); Apresentando pontos com sujeiras pretas nas laterais abaixo das portas e ponto com cola adesivas; </t>
  </si>
  <si>
    <t>Ubiratan</t>
  </si>
  <si>
    <t>Ilo Hilton</t>
  </si>
  <si>
    <t>DHQ9H62</t>
  </si>
  <si>
    <t xml:space="preserve">Porta traseira lado motorista, apresenta pequenos arranhões em modo circular; Estofados apresentando manchas, banco do motorista e banco traseiro; Pneu traseiro lado passageiro, apresenta TWI desgastado (dentro do limite). Porém, com desgaste diferente dos outros pneus que estão com o TWI em ótimo estado. 
Pneu dianteiro lado passageiro, está baixando lentamente sua pressão. Já irei programar verificação e consequente reparo se necessário. Longarina apresenta pequeno amassado, localizado próximo ao pneu dianteiro do lado do motorista; Para-Choque apresenta aranhões do lado esquerdo lado motorista, bem como a grade central apresenta-se desencaichada. 
Desencaixe de parte plástica de proteção da parte de baixo do para-choque. </t>
  </si>
  <si>
    <t>TDQ6I22</t>
  </si>
  <si>
    <t>Chris</t>
  </si>
  <si>
    <t xml:space="preserve">Porta dianteira direita amassada e traseira arranhada / Lataria do veículo do capô e traseiro do lado esquerdo com arranhões / Para-Choque dianteiro esquerdo com arranhões e traseiro esquerdo com arranhões </t>
  </si>
  <si>
    <t>Geferson</t>
  </si>
  <si>
    <t>RSH</t>
  </si>
  <si>
    <t>Francisco Iranildo</t>
  </si>
  <si>
    <t>Riscos leves para-choque dianteiro e traseiro / Risco leve porta dianteira lado do passageiro</t>
  </si>
  <si>
    <t>Izadora</t>
  </si>
  <si>
    <t>Airismila</t>
  </si>
  <si>
    <t>SFH</t>
  </si>
  <si>
    <t>JHONNY</t>
  </si>
  <si>
    <t>POLO STZ7D92</t>
  </si>
  <si>
    <t>Linsmar</t>
  </si>
  <si>
    <t xml:space="preserve">Avaria na chaparia do paralamas e para-choque no lado do carona. </t>
  </si>
  <si>
    <t>TEU0F35</t>
  </si>
  <si>
    <t>Rhuan</t>
  </si>
  <si>
    <t>Evidenciada para-choque dianteiro lado esquerdo, riscos e marcas de uso / Nas caixas de roda (parte plástica) foram identificados vários arranhões / Evidenciado na porta do passageiro (lado direito) na parte de baixo arranhões / Evidenciado na porta do passageiro traseira (lado direito) arranhões e pequena morsa / Evidenciado no porta malas a tampa do estepe com carpete rasgado / Foi evidenciado o acabamento do painel do lado do motorista está desencaixado, provavelmente com conectores quebrados / Ausência de protetor de carte mancha de óleo apresentando possível vazamento.</t>
  </si>
  <si>
    <t>TEL5C48</t>
  </si>
  <si>
    <t>FJH3D91</t>
  </si>
  <si>
    <t>Avarias de pedriscos no para-brisas / Portas com ruído quando o carro está em movimento / manchas de água nos estofamentos dos bancos (onde senta) / lataria do veículo com arranhões e marcas / marcas no para-choque do carro / possui protetor de carter</t>
  </si>
  <si>
    <t>TEU0E76</t>
  </si>
  <si>
    <t>Rodrigo Silvio</t>
  </si>
  <si>
    <t>Irapuru</t>
  </si>
  <si>
    <t xml:space="preserve">O farolete do lado direito estar queimado / Observei que o para-barro do lado direito não tem também, mais no vídeo que gravei no dia da retirada do veículo não costa também.  </t>
  </si>
  <si>
    <t>Arranhões na lataria dos ambos os lados / Arranhões no para choque traseiro   / Arranhões no capô / Arranhão no retrovisor direito.</t>
  </si>
  <si>
    <t>STQ7C53</t>
  </si>
  <si>
    <t>Eric</t>
  </si>
  <si>
    <t xml:space="preserve">
Pneu dianteiro do lado do passageiro com pequeno rasgo. Não impactado com o uso.;  Lanterna traseira com poeira 
Para-choque dianteiro do lado do motorista quebrado.
Amassado na porta traseira do lado do passageiro.
Pequeno Amassado na parte traseira do lado do motorista  /  Lanterna traseira com poeira do lado do piloto </t>
  </si>
  <si>
    <t xml:space="preserve">Para-brisas / O friso da moldura do Para-choque traseiro lado esquerdo foi danificado aqui na Pousada por outro veículo. Informo que  está sendo providenciado a aquisição para substituição. </t>
  </si>
  <si>
    <t>. As avarias na lataria (aranhões) próximo ao pneu dianteiro lado direito / A avaria na lavanca de abertura do capuz / Pneus dianteiros meia vida (resolvido) / Pneus dianteiros faltando um parafuso (resolvido)</t>
  </si>
  <si>
    <t xml:space="preserve">Carpete com manchas / Amassado na porta traseira e Para-Barro danificado. </t>
  </si>
  <si>
    <t>Cajuínas até 07/11/25</t>
  </si>
  <si>
    <t>25.018 SFH</t>
  </si>
  <si>
    <t>ESDRAS</t>
  </si>
  <si>
    <t>TRACKER TEL5D58</t>
  </si>
  <si>
    <t>TEL5D58</t>
  </si>
  <si>
    <t>TJM2E88</t>
  </si>
  <si>
    <t>Antonio Willian</t>
  </si>
  <si>
    <t xml:space="preserve">Junção para-lamas dianteiro LE com para-choque com leve abertura; Riscos leves no capô; Diversas marcas de pedriscos no para-brisa dianteiro; Para-choque dianteiro LD com pequenos riscos; Para-choque dianteiro LE abaixo do farol com avaria; Porta dianteira LD com pequenos descascados; Porta traseira LE com pequenos riscos próximo ao para-lamas e próximo da maçaneta; Risco próximo a tampa do combustível; Para-choque traseiro com pequenos riscos; Pequena morsa próximo ao para-lamas traseiro LE; Morsa na porta traseira LE; Riscos na porta traseira LE; Riscos na porta dianteira LE; </t>
  </si>
  <si>
    <t xml:space="preserve">Do lado do farol esquerdo e direito estar com avarias na lataria, o pessoal da unidas, estão ciente / Arranhão próximo ao teto, conforme foto / Observei (checklist 15/11/25) que o para-barro do lado direito não tem também, mais no vídeo que gravei no dia da retirada do veículo não costa também. </t>
  </si>
  <si>
    <t>TEU5B03</t>
  </si>
  <si>
    <t>Roberto</t>
  </si>
  <si>
    <t xml:space="preserve">Mancha Na porta traseira lado esquerdo / Mancha na Lataria dianteita e traseira da roda ambos direita /  Mancha Na porta traseira lado Direito  /  Mancha Na porta Da Frente  lado Direito </t>
  </si>
  <si>
    <t>João Carlos</t>
  </si>
  <si>
    <t>TJD9D17</t>
  </si>
  <si>
    <t xml:space="preserve">Sem protetor de cárter motor / Sem defletor caixa de roda dianteira direita / Sem defletor caixa de roda dianteira esquerda / Amassado com arranhão Lado esquerdo parte traseira / Borracha de acabamento do vidro danificado porta traseira esquerda / Amassados superficiais porta dianteira esquerda / Amassados superficiais paralama esquerdo / Arranhões na sai do para-choque dianteiro / Arranhão para-choque traseiro </t>
  </si>
  <si>
    <t>Geraldo</t>
  </si>
  <si>
    <t>SWM9B65</t>
  </si>
  <si>
    <t xml:space="preserve"> Porta traseira esquerda está com um arranhão e um amassado / Porta traseira direita está com um arranhão / Existe arranhões na parte traseira do veículo, próximo ao porta malas / Existe um arranhão no lado direito do capô / Existe arranhões na lateral direita e ao lado da placa / O protetor de carter está amarrado com um pedaço de arrame em um dos seus lados</t>
  </si>
  <si>
    <t>Claudio Uliana</t>
  </si>
  <si>
    <t xml:space="preserve">Para-choque traseiro amasado (lado esquerdo e para-choque dianteiro lado direito arranhando, sinalizado em 02/09/25 por Sávio e informou que foi durantes o uso de outras pessoas. / Lado do motorísta  trazeiro amassado,devido colizão com um caminhão em irecê quando foi abastecer - motorista do caminhão vai custear / Riscos Finos na Lateral Do Lado do Passageiro  / Riscos finos no Para-choque do lado do passageiro e motorista / Falta macaco, não enccoontrado na inspeção; </t>
  </si>
  <si>
    <t xml:space="preserve">Arranhão no para-choque dianteiro do lado do motorista  / saia do para-choque dianteiro quebrada /
Ausência da tampa da mala traseira / Mult mídia parou de acencder o display / Soltando peças inferior do parachoque / </t>
  </si>
  <si>
    <t>Andre Gadelha</t>
  </si>
  <si>
    <t>CGN</t>
  </si>
  <si>
    <t>TYA5C83</t>
  </si>
  <si>
    <t xml:space="preserve">Morsa na porta traseira direita  / Arranhões nas portas lado direito  / Arranhão no para-choque traseiro </t>
  </si>
  <si>
    <t xml:space="preserve">   Arranhado em para-choque dianteiro do lado esquerdo, ocasionado por uma pedra não vista no subcampo do complexo SES, durante o serviço noturno. / Porta traseira do lado direito, com um pequeno amassado, devido a uma batida, proveniente da porta de outro veículo não identificado no estacionamento da Statkraft/Proyfe no site / Arranhões provenientes de galhos e raízes em certos trechos da obra. </t>
  </si>
  <si>
    <t>TCROSS EVW1E22</t>
  </si>
  <si>
    <t>JERFFERSON</t>
  </si>
  <si>
    <t>24.011 BackOffice de projetos CGN</t>
  </si>
  <si>
    <t>TCROSS SIS6B61</t>
  </si>
  <si>
    <t>TXL2A44</t>
  </si>
  <si>
    <t>Jurandir</t>
  </si>
  <si>
    <t xml:space="preserve">Em 13/10/2025, Eucilene informou que no deslocamento de Petrolina PE para Queimada Nova PI -  um motoqueiro atravessou na sua frente e bateu no carro, danificou o para-choque dianteiro: Lataria rachada próximo ao para-choque / Aranhão no capô / Parte da lataria faltando lado direito próximo ao para-choque / Protetor de cárter quebrado </t>
  </si>
  <si>
    <t>TES6H46</t>
  </si>
  <si>
    <t>Claudio Gomes</t>
  </si>
  <si>
    <t>Para-choque traseiro um lado desencaixando</t>
  </si>
  <si>
    <t>Não enviou</t>
  </si>
  <si>
    <t>21.029 Goiania</t>
  </si>
  <si>
    <t>CONDUTOR</t>
  </si>
  <si>
    <t>DATA CHEGADA</t>
  </si>
  <si>
    <t>DATA LIBERAÇÃO</t>
  </si>
  <si>
    <t>DIAS NA OFICINA</t>
  </si>
  <si>
    <t>KM</t>
  </si>
  <si>
    <t>OFICINA</t>
  </si>
  <si>
    <t>ENDEREÇO</t>
  </si>
  <si>
    <t>CONTATO</t>
  </si>
  <si>
    <t>REVISÃO</t>
  </si>
  <si>
    <t>PROXIMA REVISÃO</t>
  </si>
  <si>
    <t>TROCA DE PNEUS</t>
  </si>
  <si>
    <t>MANUTENÇÃO</t>
  </si>
  <si>
    <t>SERVIÇOS INCLUIDOS - OFICINA</t>
  </si>
  <si>
    <t>APROVADO</t>
  </si>
  <si>
    <t>REPROVADO</t>
  </si>
  <si>
    <t>Unidas</t>
  </si>
  <si>
    <t xml:space="preserve">VIP AUTO SERVICE </t>
  </si>
  <si>
    <t>Rua Antonio Constant, 27 - S/N- Jardim Goncalves- Anapolis - GO</t>
  </si>
  <si>
    <t>Não</t>
  </si>
  <si>
    <t>Revisão do carro Fiat argo.
Troca do óleo 
Filtro de óleo do motor
Filtro do ar do motor
Filtro do ar condicionado 
Conferir alinhamento e balanceamento.
Regulagem do freio de mão 
E das pastilhas de freio Dianteira</t>
  </si>
  <si>
    <t>Tudo</t>
  </si>
  <si>
    <t>.</t>
  </si>
  <si>
    <t>Pane - Bateria</t>
  </si>
  <si>
    <t>Troca de Bateria</t>
  </si>
  <si>
    <t>Manutenção / Revisão Locadoras</t>
  </si>
  <si>
    <t>Observações</t>
  </si>
  <si>
    <t>Polo</t>
  </si>
  <si>
    <t>nivus</t>
  </si>
  <si>
    <t>C3</t>
  </si>
  <si>
    <t>Argo</t>
  </si>
  <si>
    <t>Renegade</t>
  </si>
  <si>
    <t>Duster</t>
  </si>
  <si>
    <t>Creta</t>
  </si>
  <si>
    <t>RHUAN</t>
  </si>
  <si>
    <t>ILO HILTON</t>
  </si>
  <si>
    <t>IZADORA</t>
  </si>
  <si>
    <t>TXB9I08</t>
  </si>
  <si>
    <t>LINSMAR GUILHERME</t>
  </si>
  <si>
    <t>CLAUDIO ULIANA</t>
  </si>
  <si>
    <t>RODRIGO SILVIO</t>
  </si>
  <si>
    <t>GERALDO</t>
  </si>
  <si>
    <t>TEU0E62</t>
  </si>
  <si>
    <t>ANDRE GADELHA</t>
  </si>
  <si>
    <t>BackOffice de projetos CGN</t>
  </si>
  <si>
    <t>NORONHA VERDE</t>
  </si>
  <si>
    <t>Parachoque dianteiro Risco / Paralama traseiro esquerdo risco  / Porta dianteira esquerda mossa e danos na pintura / Veículo Sem proteção de carter.</t>
  </si>
  <si>
    <t>S10 TEZ5D42</t>
  </si>
  <si>
    <t>MARCELO OLIVEIRA</t>
  </si>
  <si>
    <t>TXW4I71</t>
  </si>
  <si>
    <t>Marcelo Oliveira</t>
  </si>
  <si>
    <t>Sem avarias, locado com 7km - sem protetor de carter</t>
  </si>
  <si>
    <t>Troca de pneu</t>
  </si>
  <si>
    <t>Cajuínas total até 16/12/25</t>
  </si>
  <si>
    <t>25.007 KROMA</t>
  </si>
  <si>
    <t>ELIKESTH</t>
  </si>
  <si>
    <t>HB20 TDT7A83</t>
  </si>
  <si>
    <t>VERIFICAR</t>
  </si>
  <si>
    <t>GGM4J35</t>
  </si>
  <si>
    <t>ASX</t>
  </si>
  <si>
    <t>JOÃO ADRIANO</t>
  </si>
  <si>
    <t>FEELING</t>
  </si>
  <si>
    <t>Houve um dano no Para-Choque na parte de baixo do lado esquerdo.</t>
  </si>
  <si>
    <t>ROGERIO SALUSTIANO</t>
  </si>
  <si>
    <t>TDA9D62</t>
  </si>
  <si>
    <t>Rogerio Salustiano</t>
  </si>
  <si>
    <t xml:space="preserve">2 PORTAS DIANTEIRAS COM MARCA RESTO DE COLA DE ADEVISO / BANCOS ESTAVAM APRESENTANDO SUJEIRA-MANCHA / MANCHANDO / PORTA DIANTEIRA LADO ESQUERDO COM MORSA / TETO ARRANHADO / PORTA TRAZEIRA LADO ESQUERDO COM MORSA / CARROÇERIA COM MARCAS DE USO / SOLEIRA COM MARCAS DE USO </t>
  </si>
  <si>
    <t xml:space="preserve">TEL5D58 </t>
  </si>
  <si>
    <t>pendente</t>
  </si>
  <si>
    <t>Creta SJE5D96</t>
  </si>
  <si>
    <t>PENDENTE</t>
  </si>
  <si>
    <t>Pequeno dano na moldura da porta traseira esquerda</t>
  </si>
  <si>
    <t>A roda dianteira do lado direito está arranhada devido a um contato com meio fio - avaria ocorrida com Breno / Para-Choque dianteiro lado passageiro pequeno arranhão. Identificado no estacionamento.</t>
  </si>
  <si>
    <t xml:space="preserve">o guidão da motocicleta atingiu a lateral direita do meu veículo e Roberto corrigiu a avaria na pintura </t>
  </si>
  <si>
    <t xml:space="preserve">Arranhões no para-choque da frente lado esquerdo/ Amassado na porta do motorista/ Arranhões na porta do passageiro / Um pequeno arranhão na maçaneta da porta do motorista (Todas sinalizadas 03/11/25 onde Breno informa que identificou após lavagem do carro em 01/11, não avisou de imediato e tentou associar as avarias ao lava-jato, questionado por e-mail) / Pequenos arranhões na Calota (lado Motorista, sinalizado no checklist 02/12/25). </t>
  </si>
  <si>
    <t>CLAUDIO GOMES</t>
  </si>
  <si>
    <t xml:space="preserve">Calota Miolo Tampa Roda soltou de alguma forma e perdeu (tampa da calota da roda dianteira lado passageiro) - </t>
  </si>
  <si>
    <t>TCROSS EJA1H12</t>
  </si>
  <si>
    <r>
      <t xml:space="preserve">Para-brisa apresentando um pequeno trinco </t>
    </r>
    <r>
      <rPr>
        <sz val="11"/>
        <color rgb="FFFF0000"/>
        <rFont val="Calibri"/>
        <family val="2"/>
        <scheme val="minor"/>
      </rPr>
      <t>pendente (efetuar a troca quando for realmente devolver)</t>
    </r>
    <r>
      <rPr>
        <sz val="11"/>
        <color theme="1"/>
        <rFont val="Calibri"/>
        <family val="2"/>
        <scheme val="minor"/>
      </rPr>
      <t xml:space="preserve">
Para-Barro soltando Para-choque soltando   </t>
    </r>
    <r>
      <rPr>
        <sz val="11"/>
        <color theme="9"/>
        <rFont val="Calibri"/>
        <family val="2"/>
        <scheme val="minor"/>
      </rPr>
      <t xml:space="preserve">corrigido 19/12/25  </t>
    </r>
    <r>
      <rPr>
        <sz val="11"/>
        <color theme="1"/>
        <rFont val="Calibri"/>
        <family val="2"/>
        <scheme val="minor"/>
      </rPr>
      <t xml:space="preserve">                                                                                      mossa na porta traseira (lado do carona) </t>
    </r>
    <r>
      <rPr>
        <sz val="11"/>
        <color theme="9"/>
        <rFont val="Calibri"/>
        <family val="2"/>
        <scheme val="minor"/>
      </rPr>
      <t xml:space="preserve">corrigido 19/12/25    </t>
    </r>
    <r>
      <rPr>
        <sz val="11"/>
        <color theme="1"/>
        <rFont val="Calibri"/>
        <family val="2"/>
        <scheme val="minor"/>
      </rPr>
      <t xml:space="preserve"> </t>
    </r>
  </si>
  <si>
    <t>Acidente 08/01/26 - Por conta do incidente a tampa inferior do reservatório de água quebrou / Por conta do incidente o para-choque do lado direto + a lente do led quebrou / Por conta do incidente o vidro de proteção da seta que fica no led na parte inferior do para-choque quebrou;</t>
  </si>
  <si>
    <t>João Adriano</t>
  </si>
  <si>
    <t>Noronha Verde</t>
  </si>
  <si>
    <t>A função elétrica do botão está danificada, os ajustes dos retrovisores foram feitos manuais (apertando o vidro do retrovisor)/ Alguns arranhões nos bancos de couro (passageiro e motorista) / Para-choque quebrado na parte inferior no lado do motorista (relatado por fotos) /  Alguns arranhões na lataria (relatado em fotos retirada 01/12/25); No recesso 19/12 a 04/01/26 o veículo estava com a locadora Feeling,  foi recebido no dia 04/01 e constatado Marca no painel um aviso de problema do serviço do sistema de airbag (mostra na foto do painel) / Foi identificado dois amassados no lado direito próximo a porta traseira e porta dianteira (fotos);</t>
  </si>
  <si>
    <t>Fevereiro</t>
  </si>
  <si>
    <t>Março</t>
  </si>
  <si>
    <t>Abril</t>
  </si>
  <si>
    <t>Maio</t>
  </si>
  <si>
    <t>Janeiro</t>
  </si>
  <si>
    <t>Junho</t>
  </si>
  <si>
    <t>Julho</t>
  </si>
  <si>
    <t>Agosto</t>
  </si>
  <si>
    <t>Setembro</t>
  </si>
  <si>
    <t>Outubro</t>
  </si>
  <si>
    <t>TJE8B31</t>
  </si>
  <si>
    <t>Ana Caroline</t>
  </si>
  <si>
    <t>01 Bancos dianteiros e traseiros com machas; 02 Protetor de para-lama de pneu traseiro direito avariado; 03 Risco na borracha do para-choque lado direito; 04 Trinca no para-choque; 05  Risco no farol dianteiro direito; 06 Risco na lataria traseira perto do porta malas; 07 Risco lateral para choque esquerdo</t>
  </si>
  <si>
    <t>TXW4I66</t>
  </si>
  <si>
    <t xml:space="preserve">TXW4I66 </t>
  </si>
  <si>
    <t>WEILLER</t>
  </si>
  <si>
    <t>TXW4I63</t>
  </si>
  <si>
    <t>TCT9C97</t>
  </si>
  <si>
    <t>MIZAEL</t>
  </si>
  <si>
    <t>SUI9F93</t>
  </si>
  <si>
    <t>CLEBERSON MORDELLI</t>
  </si>
  <si>
    <t>Cleberson Modelli</t>
  </si>
  <si>
    <t>BATIDA/ARRANHADO NA PORTA TRASEIRA LATERAL ESQUERDA / BATIDA NO PARA-CHOQUE TRASEIRO – LADO ESQUERDO / RASPADO NO PARA-CHOQUE DIANTEIRO – LADO DIREITO / SEM PROTETOR DE CARTER</t>
  </si>
  <si>
    <t>locado em 03/02/2026</t>
  </si>
  <si>
    <t>Avaria no para-choque dianteiro lado direito (arranhões) - sinalizado no checklist 05/02/26</t>
  </si>
  <si>
    <t>SAVIO</t>
  </si>
  <si>
    <t xml:space="preserve">RANGER TEU5A95 </t>
  </si>
  <si>
    <t>NIVUS SYG2I07</t>
  </si>
  <si>
    <t>25.030 NORONHA VERDE</t>
  </si>
  <si>
    <t>ASX GGM4J35</t>
  </si>
  <si>
    <t>Porta traseira do lado direito, com um pequeno
desalinhamento / Para choque dianteiro lado direito, com arranhões.</t>
  </si>
  <si>
    <t>Jair</t>
  </si>
  <si>
    <t>Para-choque trazeiro coom pequenos arranhões 
Leve Arranhado e Pequenos amassado menor 2 cm porta esqueda trazeeira 
Algumas manchas no banco do motorista 
Algumas manchas no bbaanco do passageiro 
Pequenos arranhões naa  roda dianteira direita 
Os pontos marcados naass duas portas dianteiras são referente ao manchhaado nos ba</t>
  </si>
  <si>
    <t>Para-brisas trincado 10/04/2025 (resolvido) - Lanterna trincada (resolvido) / Danos na pintura para-choque dianteiro e traseiro, descascado na tinta e arranhões profundos / amassado porta dianteira e traseira.</t>
  </si>
  <si>
    <t>TXZ1G58</t>
  </si>
  <si>
    <t>Francisco Augusto</t>
  </si>
  <si>
    <t>ANA CAROLINE</t>
  </si>
  <si>
    <t>01/12/25 - Avaria para-brisas dianteiro (provavelmente quando o veículo estava estacionado e foi lançado uma pedra)- Reparo realizado em 05/01/26 quando for devolver precisa trocar o para-brisas</t>
  </si>
  <si>
    <t>Um pequeno risco na lataria do carro (para-lama lado esquerdo) no dia 14/05/2025 / Um amassado no para-choque do carro do lado do motorista foi encontrado. Pegou em uma pedra (com ualace) / Avaria no assoalho do veículo - amassado e uma parte quebrada (ocorrida com Ualace) / Hoje 03/02/26 depois do almoço percebi que a proteção de plástico do carro em baixo dele esta solto, hoje teve uma chuva muito forte e as estradas da obra não tá ajudando muito. Acumulou muito bairro em baixo do carro e o peso do barro pode ter soltado essa proteção. Quero ver com você para deixar ele para lavar, para ver o q se pode fazer nesse caso.</t>
  </si>
  <si>
    <t>Rigoberto</t>
  </si>
  <si>
    <t>Estofado apresenta manchas e sujeira de barro no encontro dos estofados / Para-Choque dianteiro e traseiro com avarias, identificadas na retirada pela unidas</t>
  </si>
  <si>
    <t>TEZ7A32</t>
  </si>
  <si>
    <t>Savio</t>
  </si>
  <si>
    <t>O TANGUE DE COMBUSTÍVEL NÃO VEIO CHEIO. UM POUCO ACIMA DE MEIO, COMO VECÊ PODE VÊ NAS FOTOS / TODOS OS BANCOS ESTÃO MANCHADOS / TAMPA TRAZEIRA PINTURA COM ALGUNS ARANHÕES LEVES / PORTA DO LADO DO PASSAGEIRO DIANTEIRA COM ALGUNS ARANHÕES LEVES / PORTA DO LADO DO MOTORISTA DIANTEIRA COM ALGUNS ARANHÕES LEVES / Para-Choque DO LADO DO MOTORÍSTA COM ARANHÃO.</t>
  </si>
  <si>
    <t>SEDE</t>
  </si>
  <si>
    <t>TONY</t>
  </si>
  <si>
    <t>S10 UAI4B71</t>
  </si>
  <si>
    <t>Avaria na lateral do parachoque dianteiro em cima do pneu  / Avaria na porta passageiro do lado do motorista  / Avaria na porta do lado do passageiro.</t>
  </si>
  <si>
    <t>LÁZARO</t>
  </si>
  <si>
    <t>TCROSS SVR2H85</t>
  </si>
  <si>
    <t>TDY8E51</t>
  </si>
  <si>
    <t>TXD7J30</t>
  </si>
  <si>
    <t>Arranhão no parachoque trazeiro, próximo ao peneu esquerdo trazeiro / Arranhão no para choque frontal lado esquerdo próximoo a grade / Arranhão no para choque frontal abaixo do farol direito / Arranhão próximo a porta trazeira direita / Arranhão na porta do passageiro próximo a maçaneta e o retrovisor / Calota direita frontal bastante arranhada / Arranhão próximo a tampa do porta malas / Arranhão próximo a placa trazeira / Arranhão no parachoque trazeiro lado direito próximo a lanterna de sinalização.</t>
  </si>
  <si>
    <t>YANCA</t>
  </si>
  <si>
    <t>Paralama e porta já pintada lado motorista, capo com aranhão / Amassado figura conforme marcações em x (para-lama) / Para-choque dianteiro e traseiro com arranhões</t>
  </si>
  <si>
    <t>RIGOBERTO</t>
  </si>
  <si>
    <t>Sem Avarias</t>
  </si>
  <si>
    <t>Calota dianteira lado motorista com arranhões
(Item já registrado no relatório de foto no recebimento do veículo) / Motor com sujeira (poeira) / Ausência do protetor de Carter (Item já registrado no relatório de foto no recebimento do veículo)</t>
  </si>
  <si>
    <t>Carro está com amassado na caixa de ar, do lado direito, devido uma pedra em uma poça de lama - ocorrido em 12/02/26</t>
  </si>
  <si>
    <t xml:space="preserve"> Para-choque está amassado e com arranhões - Bateu em um Toco no campo 12/12/25 (informei que como se trata de condução o custo da avaria seria da Izadora) / Avaria no para-choque dianteiro ocorrido 04/03/26 no final da tarde, no retorno do projeto para João Camara RN</t>
  </si>
  <si>
    <t xml:space="preserve">Arranhão durante atividade porta esquerda motorista / Arranhão durante atividade paralama direito / Proteção de baixo do para-choque estava solta e foi parafusado 04/03/26 </t>
  </si>
  <si>
    <t>Weiller</t>
  </si>
  <si>
    <t>TXE1H23</t>
  </si>
  <si>
    <t>TERA</t>
  </si>
  <si>
    <t xml:space="preserve">Lado direito do carro para-choque, passageiro / Arranhão e amassado Lado direito do carro para-choque dianteiro; / Arranhão Teto do carro em cima da porta do motorista / Desencaixe Lado esquerdo do carro, para-lama lado motorista / Porta do motorista - Alguns risco na pinturas. </t>
  </si>
  <si>
    <t>locado 28/02</t>
  </si>
  <si>
    <t>ELISSON</t>
  </si>
  <si>
    <t>Yanca</t>
  </si>
  <si>
    <t>03/04/25 houve um pequeno acidente, a S10 encostou em outro carro e fez um pequeno arranhão na lateral do veículo (conduzido por Yanca)
05/05/25 arranhões no para-choque dianteiro ao atingir uma pedra que estava no acesso (Breno). Fárois com arranhões, lanterna trincada / Limpador de para-brisa e janelas amassado e com arranhões / Pneu dianteiro LD apresenta corte. Painel apresenta luz indicadora de Calibragem do pneu (informação de Breno 12 a 22/09/25) / Pneu com desgaste para trocar</t>
  </si>
  <si>
    <t>Sinal sonoro do cinto ativa sozinho e só desliga quando o carro é desligado/ Buzina está falhando</t>
  </si>
  <si>
    <t>Weiller - No dia 11/09/2025, ao utilizar o veículo T-Cross, placa TKX 8G73, identifiquei que a porta do carro apresentava uma avaria. Não presenciei o momento em que ocorreu o dano, mas pelas fotos é possível observar que parece ter sido causado pelo impacto da porta de outro veículo / Moldura do paralama dianteiro esquerdo danificado (resolvido) / Avaria no pneu dianteiro lado do motorista (ao desviar de um buraco o pneu bateu numa pedra e rasgou - ocorrido 11/03/26 pela manhã e resolvido no mesmo dia)</t>
  </si>
  <si>
    <t>25.018 RSH</t>
  </si>
  <si>
    <t>TCROSS TJD9D17</t>
  </si>
  <si>
    <t>CRETA TXB9I08</t>
  </si>
  <si>
    <t>Lazaro/Ualace</t>
  </si>
  <si>
    <t>ISAAC/Ualace</t>
  </si>
  <si>
    <t>Arranhões na lateral do veículo lado do motorista (sinalizado no checklist 13/03/26 na troca de condutor de Isaac para Ualace)</t>
  </si>
  <si>
    <t>TEL2B29</t>
  </si>
  <si>
    <t>Os vidros apresentam marcas, resíduos de insulfilme / As “portas” USB do veículo não estão funcionando / O couro de cobertura do volante encontra-se descascando / Arranhões em todas as áreas do “puxador” das portas / Amassado ao lado do “puxador” do lado do motorista / Amassado no capô do veículo.</t>
  </si>
  <si>
    <t>TCROSS SWD0G64</t>
  </si>
  <si>
    <t>Avaria no assoalho-caixa de ar AVARIA NA FRENTE, LADO DO PASSAGEIRO / Avaria para-choque dianteiro ABERTURA NA FRENTE, LADO DO PASSAGEIRO / arranhão para-choque traseiro DO LADO DO MOTORISTA / AVARIA NA PINTURA PARA-CHOQUE TRASEIRO LADO DO PASSAGEIRO / TAPETE DIANTEIRO LADO DO MOTORISTA SUJO / COMPARTIMENTO ENTRE OS BANCOS DIANTEIROS COM ASPECTO SUJO / sem protetor de carter</t>
  </si>
  <si>
    <t>Ualace</t>
  </si>
  <si>
    <t>RUAN</t>
  </si>
  <si>
    <t xml:space="preserve">Apresentando vários arranhões e manchas superficiais na pintura das latarias, como: Teto, capô, tampa 
do porta-malas (traseira), portas, paralamas e para-choques (dianteiro e traseiro). Nas colunas entre as 
portas e abaixo também / Toda a pintura da tampa do porta-malas traseira, está fosca (visivelmente sem verniz ou queimada do 
sol) / </t>
  </si>
  <si>
    <t>EWF6F13</t>
  </si>
  <si>
    <t>EDUARDO SILVA</t>
  </si>
  <si>
    <t>Troca de pneu danificado - trocado em 07/03/26 (pneu usado)</t>
  </si>
  <si>
    <t>PCW1B58</t>
  </si>
  <si>
    <t>Farois e lanterna Marcas de arranhado e desgaste devido sol / Marca de arranhado no para-choque traseiro e dianteiro (pequeno)</t>
  </si>
  <si>
    <t xml:space="preserve"> Lado Direito arranhões na porta do passageiro e do carona / Lado Direito arranhões na porta do carona identificado no ato do recebimento e embaixo no assoalho. Na porta do passageiro na parte da frente/ sem protetor de carter </t>
  </si>
  <si>
    <t>Avaria ( pequeno ponto da pintura) na carroceria, lado direito, no meio entre a cabine e carroceria / Avaria na carroceria lado direito</t>
  </si>
  <si>
    <t>Um pequeno risco em toda lateral esquerda do carro no dia 14/05/2025, onde ao sair para trabalhar me deparei com o carro riscado. O carro é guardado na frente de casa no final do expediente.  Parte inferior do parachoque está se soltando, vide foto em anexo. / O veículo, quando estava sob a supervisão civil (Wendel), teve o pneu do lado do motorista danificado, além de apresentar avaria na parte 
lateral dianteira do mesmo lado. No entanto, a supervisão civil realizou o reparo na lateral dianteira após a ocorrência do dano.</t>
  </si>
  <si>
    <t>Eduardo Silva</t>
  </si>
  <si>
    <t>Riscos no para choque dianteiro do lado direito / Riscos na porta traseira do lado direito / Riscos na porta dianteira do lado esquerdo.</t>
  </si>
  <si>
    <t>Avaria no para-brisas</t>
  </si>
  <si>
    <t>TXW4H18</t>
  </si>
  <si>
    <t>Portas e assoalhos com Arranhões (de ponta a ponta do veículo) / Lataria do veículo com arranhões e marcas / Bancos Manchas de algum tipo de líquido / Limpeza superficial e motor sujo de barro / Marcas no para-choque  (traseiro) / Veiculo sem protetor de cárter / Veículo veio da Locadora sem a tampa traseira(Interna - porta malas).</t>
  </si>
  <si>
    <t xml:space="preserve">Não foi feito uma boa limpeza e higienação para a entrega, quando cheguei na loja estava sendo 
lavada as pressas para ser entregue / A lataria com riscos nos quatro lados e pequenos amassados, todos pontuados pela locadora / Para choque dianteiro quebrado, pontuado pela locadora / Para- barro do lado esquerdo dianteiro quebrado, pontuado pela locadora / Luz da iluminação da placa não está ascendendo, foi confirmado pela locadora e pontuado na hora / </t>
  </si>
  <si>
    <t>Para-brisa trincado, em trajeto nas vias do parque. Data do ocorrido Yanca: 19/12/2025 / Ao passar por uma porteira do empreendimento, o carro bateu em uma pedra que estava
escorando um dos lados, e amassou a parte inferior a porta do motorista - ocorrido com Yanca (sinalizado que ela precisa resolver) / 04/03/26 veículo amanheceu sem o limpador do para-brisas traseiro; Suspensão dianteira direita em movimentação apresenta ruido (resolvido revisão Medeiros).</t>
  </si>
  <si>
    <t>ARGO TCU0B50</t>
  </si>
  <si>
    <t>ROBSON</t>
  </si>
  <si>
    <t>Claudio</t>
  </si>
  <si>
    <t>SHK5D77</t>
  </si>
  <si>
    <t>Arranhões no para-choque dianteiro / Sem lameira no pára-choque / Arranhões no retrovisor lado passageiro / Calotas com arranhões superficiais / Arranhões na saia lateral / Sem o tirante do tampão do porta malas / amassado no teto próximo ao para-brisa dianteiro</t>
  </si>
  <si>
    <t>PVR4B99</t>
  </si>
  <si>
    <t>Andre Placido</t>
  </si>
  <si>
    <t xml:space="preserve">2 pneus dianteiros e 1 pneu traseiro esquerdo com arranhões na calota / Arranhão no para-choque dianteiro lado do passageiro / Avaria na pintura da porta lado do motorista / Sem protetor de carter / Arranhão no para-choque traseiro lado do passageiro / respingo de piche nas bases das portas das duas laterais do veículo / Tinta raspada na lateral do para-choque traseiro lado do motorista / Avaria na traseira lado do motorista </t>
  </si>
  <si>
    <t>SYS9D28</t>
  </si>
  <si>
    <t>Ednei</t>
  </si>
  <si>
    <t>C3 TES6H46</t>
  </si>
  <si>
    <t>Arranhão na porta do carona / 2 pontos da Pintura descascada no para-choque traseiro / Pintura descascada no para-choque traseiro / Para-choque baixo quebrado lado direito e esquerdo / Para-choque baixo quebrado / Peça plastica na junção com o para-choque quebrado / 2 pontos da Pintura descascada no para-choque dianteiro / Parafuso de fixação do retrovisor quebrado impossibilitando o ajuste do retrovisor / Motor sujo</t>
  </si>
  <si>
    <t>TYX9I38</t>
  </si>
  <si>
    <t>LOCADO 25/04/26</t>
  </si>
  <si>
    <t>TJA7B20</t>
  </si>
  <si>
    <t>TDX0E39</t>
  </si>
  <si>
    <t>RAILSON</t>
  </si>
  <si>
    <t>TCY1C84</t>
  </si>
  <si>
    <t>CLABERSON</t>
  </si>
  <si>
    <t>farol do lado direito falhando</t>
  </si>
  <si>
    <t>TEL5C58</t>
  </si>
  <si>
    <t>Avaria mo teto do veiculo / Lanterna lateral de seta cheia de agua / Avaria porta LD / Avaria lateral na porta passageiro e motorista LE / Avaria parachoque dianteiro LE / Avaria parachoque traseiro LE / Avaria no quebra sol LE quebrado / Avaria no pneus dianteiros bem gastos</t>
  </si>
  <si>
    <t>S10 PVR4B99</t>
  </si>
  <si>
    <t>Wendel</t>
  </si>
  <si>
    <t>Perda de tampa de calota lado direiro em campo (encontrou) / barulho na caixa de direção</t>
  </si>
  <si>
    <t xml:space="preserve">O veiculo apresenta sujidade em sua parte interna / Área do motor estava muito sujo quando retirado da Unidas /  Veículo está com cabos soltos na parte interna, embaixo do volante, próximo aos pedais de embreagem, freio e acelerador / Veículo apresenta arranhões nas laterais próximos às portas (todas) / Arranhão na parte interna próximo à porta do motorista / Porta malas arranhado / Veículo apresenta arranhões no teto na parte interna /  Veículo apresenta oxidação nas dobradiças das portas na parte interna / Veículo não possui proteção na parte inferior onde localiza-se o motor / Bancos apresentam escoriações / Arranhões no para-choque traseiro / Arranhões para-choque dianteiro / Amassado próximo ao para-barro dianteiro lado passageiro / Plástico das portas apresentam arranhões / Veículo apresenta arranhões nas laterais embaixo das portas de motorista e passageiros / Existe pequenos amassados nas portas / Arranhões próximo à lanterna traseira do lado do motorista / Arranhão na porta do lado do passageiro. </t>
  </si>
  <si>
    <t>Desprendimento de peça plástica abaixo do para-choque. A peça foi reposta;                       Presença de arranhadura na parte preta do para-choque (informado 23/12/25);                         Detectado ruido anormal oriundo do sistema de arrefecimento (ventoinha) - 30/01/2026 - checklist 02/02;                                                                                                                                                                           Extremidade (tampa) do freio de mão, apresentou avaria e desencaixe (checklist 02/02/26); Porta-Malas apresenta dificuldade em abrir após o acionamento via chave (controle) ou no painel, tendo que apertar diversas vezes para a abertura ser realizada (checklist 02/03/26); Porta dianteira lado motorista, apresenta ruido anormal em sua abertura (checklist 02/03/26) / Pneus traseiros desgastados precocemente nas laterais. Obs.: pneus furando com facilidade, 
tive que na semana de 16 a 22 de março o veículo passou por 4 reparos de pneus. 
Obs.: Foi realizada a substituição de dois pneus, na data de 27/03/2026 / Veículo com dificuldade de ligar (no 1º acionamento do dia);</t>
  </si>
  <si>
    <t>DEVOLVIDO 14/11/25</t>
  </si>
  <si>
    <t>UBT5I55</t>
  </si>
  <si>
    <t>Fernando</t>
  </si>
  <si>
    <t>Francisco de Morais</t>
  </si>
  <si>
    <t>12/05/26 - Pneu Dianteiro do lado do motorista baixando sem avaria aparente, na borracharia identificaram um pequeno bucho/relevo no meio do pneu que estava ocasionando vazamento, foi realizado o reparo.</t>
  </si>
  <si>
    <t>Jeso</t>
  </si>
  <si>
    <t xml:space="preserve">UBT5H05 </t>
  </si>
  <si>
    <t>Arranhão na parte superior do para-choque dianteiro lado direito</t>
  </si>
  <si>
    <t>LUIS DALADIUER</t>
  </si>
  <si>
    <t>TXL2A88</t>
  </si>
  <si>
    <t>TJU3G71</t>
  </si>
  <si>
    <t>FERNANDO</t>
  </si>
  <si>
    <t>GIDEONI</t>
  </si>
  <si>
    <t>ESQUINA DO VENTO</t>
  </si>
  <si>
    <t>MARCIA</t>
  </si>
  <si>
    <t>MARILIA</t>
  </si>
  <si>
    <t>MICHEL</t>
  </si>
  <si>
    <t>VITOR</t>
  </si>
  <si>
    <t>THYARA</t>
  </si>
  <si>
    <t>PROPRIO</t>
  </si>
  <si>
    <t>LEONARDO</t>
  </si>
  <si>
    <t>SAO7E46</t>
  </si>
  <si>
    <t>UDV0G39</t>
  </si>
  <si>
    <t>QSU0C72</t>
  </si>
  <si>
    <t>OPP6J36</t>
  </si>
  <si>
    <t>Avaria no parabrisas - realizado o reparo / Os dois pneus dianteiros se encontram bastante desgastados e no período de troca</t>
  </si>
  <si>
    <t xml:space="preserve">em 29/10/2025 ocorreu o incidente durante a inspeção de campo ao passar pela porteira houve uma batida contra na porta dianteira esquerda do carro - provocou um amassado e arranhões, onde eu estava só, abri as porteiras, entrei no carro para passar e foi nesse momento que o vento fechou uma das porteiras / Farol alto dianteiro esquerdo luz queimada (checklist 03/03/26) resolvido / farol alto lado direito queimada (cehcklist 30/04/26) - resolvido / </t>
  </si>
  <si>
    <t xml:space="preserve">Foi detectado que O Freio de Estacionamento (Freio de Mão) não funcionou. Vale salientar que o veículo estava estacionado e com o Freio de Mão aplicado, ao me deslocar da Subestação para o Refeitório, chegando ao Canteiro, ao estacionar, foi notado que o Freio de Estacionamento não funcionou, em uma inspeção minuciosa, verificou-se que o botão de liberação/trava de aplicação está emperrando, conforme registro fotográfico e vídeo em anexo / No dia 25/03/2026, no deslocamento da cidade para a obra, por volta das 06:21:32h, um veículo que havia largado do turno da noite, arremessou uma pedra que se encontrava solta na estrada de acesso, vindo a colidir com o para-brisas do veículo por mim conduzido onde fez uma pequena trinca chamada popularmente de “olho de gato”, vide registro fotográfico. No mesmo dia, à tarde, por volta das 17:07:40, notou-se que o “olho de gato” evoluiu para uma trinca de,mais ou menos, 30 cm que se mantém. Foi realizado inspeção de SMS e liberado para tráfego. Porém, quando o veículo for para a revisão (17.673 km), se faz necessário a troca do para-brisa. Vale salientar que a revisão de 10.000 km foi antecipada devido a problemas que foram apresentados com a baixa do nível de óleo. Hoje o veículo se encontra na casa de 14.500 km rodados, onde poderá ser antecipada a revisão / Para-Choque traseiro lado motorista, próximo ao pneu apresenta um aranhão / Constado (lateral do pneu) lado direito dianteiro apresenta avaria - Pneus apresentam TWI próximos dos limites permitidos. O veículo já tem quase 20 mil km rodado (CHECKLIST 02/06/26) /               </t>
  </si>
  <si>
    <t xml:space="preserve">No dia 25 de março de 2026, durante a inspeção de rotina do sistema "OBRASOFT", realizada pelo 
técnico de segurança Roberto Mendes, foi identificado um desgaste avançado na borracha dos pneus 
dianteiros do veículo Argo. O desgaste foi devidamente sinalizado e fotografado para referência 
(fotos em anexo). / 25/03/26 - apontado a necessidade de trocar 2 pneus dianteiros / 27/04/26 - amassado de aproximadamente 2 cm na porta traseira do lado do passageiro / 
• Em 15/05/2026, foi realizada a substituição dos pneus dianteiros do veículo, quando este registrava 26.932 km / Em 26/05/2026, foi realizada a substituição da bateria, em decorrência de falhas mecânicas identificadas, com o veículo registrando 27.650 km / </t>
  </si>
  <si>
    <t>Pintura na área das borrachas e assoalho das portas apresentando desgaste 
(4 portas – condição dos acessos e excesso de poeira do trajeto)</t>
  </si>
  <si>
    <t>trava do freio de mão danificada (checklist 01/06/26)</t>
  </si>
  <si>
    <t xml:space="preserve">Identificado banda de rodagem com desgaste irregular e acentuado, apresentando redução 
significativa de sua vida útil dos quatro pneus (checklist 02/06/26) - os 2 pneus dianteiros foram trocado em 03/06/26 / </t>
  </si>
  <si>
    <t>Medeiros</t>
  </si>
  <si>
    <t>Lajes RN</t>
  </si>
  <si>
    <t>SIM</t>
  </si>
  <si>
    <t>Revisão, troca de óleo, 2 pneus dianteiros, alinhamento e balanceamento</t>
  </si>
  <si>
    <t>tudo</t>
  </si>
  <si>
    <t>LEANDRO</t>
  </si>
  <si>
    <t>Leandro</t>
  </si>
  <si>
    <t>FILTRO HARMONICO</t>
  </si>
  <si>
    <t>Filtro Harmonico</t>
  </si>
  <si>
    <t>Avaria na calota dianteira lado do passageiro / ocorrencia de avaria no para-brisas e Elikesth agendou por conta propria na locadora / 3 arranhões na lateral direita</t>
  </si>
  <si>
    <t xml:space="preserve">Dia 13/11/25- Ao realizar a troca do pneu para reparo, o borracheiro encaixou o macaco hidráulico próximo ao para-barro dianteiro LE do veículo, vindo a causar uma pequena trinca no mesmo / Dia 05/12/25- Evidenciado pneu com leves avarias (bolha na lateral e rachadura no rastro) / Junção para-lamas dianteiro LE com para-choque com leve abertura; 08/12/25- A junção está se abrindo e agravando a situação / 08/12/25- Saia do para-barro LE que se perdeu / 21/12/26 (09h:58) - Veículo deixado na oficina para realizar manutenção e no local supracitado ocorreu uma avaria na porta traseira LE. As imagens das câmeras do estabelecimento registraram o ocorrido. A empresa já entrou em contato se comprometendo arcar com toda despesa para realização do reparo, pois o veículo estava sob responsabilidade da mesma durante a realização da manutenção - 10/2/26- Realização de reparo na porta do veículo e correção da avaria. Serviço ficou ótimo. / 6/4/26- Saia do para-barro LD que se perdeu. ( Acesso do parque encharcado , o mesmo deve ter 
perdido na lama.) / 14/5/26- Pequena morsa de pedrisco identificada. </t>
  </si>
  <si>
    <t>Railson</t>
  </si>
  <si>
    <t>05/05/26 - AUTORIZADO TROCA DE PNEU DIANTEIRO LADO DIREITO JAQUELINE/LAURA / 25/05/26 - UM PEDAÇO DE PAU FUROU O PNEU E NÃO FOI POSSIVEL REPARO, RAILSON FEZ A COMPRA DO PNEU E APÓS COMUNICOU</t>
  </si>
  <si>
    <t>Painel apresentando alerta de manutenção de troca de óleo. Contudo a troca já foi realizada (checklist março - 01/04) / Nível de água do sistema de arrefecimento está baixa após manutenção de substituição da peça 29/04/2026 - houve vazamento / Para barro traseiro (esquerdo) apresentou um possível desencaixe se mantendo fora da posição 
(precisa lavar o veículo para observar melhor) 30/04/2026 / 29/05/2026 – Arranhão na lateral direita traseira causado pela cerca perimetral, pós furto de cabos 
solares / 30/05/2026 – Foi observado que o nível de água do radiador abaixou novamente. Possivelmente há vazamentos.</t>
  </si>
  <si>
    <t xml:space="preserve">Motor - Devido o acumulo de poeira e barro no motor, o mesmo gera um ruído fazendo que com que o processo 
de ventilação dispare com frequência (checklist 01/06/26) / </t>
  </si>
  <si>
    <t>O VEÍCULO ESTAVA PARADO NO ESTACIONAMENTO DO AEROPORTO STANDART QUANDO VOLTEI DE FOLGA O MESMO TINHA SIDO BATIDO POR UMA MULHER. AVARIA BEM MINIMA, DE IMEDIATO INFORMEI AOS RESPONSAVEIS DO AEROPORTO E FIZ A RECLAÇÃO PELO SITE CONFORME SOLICITADO POR ELES, AGUARDANDO RETORNO DA ZURICH ESTACIONAMENTO AIRPORT /  Segue evidencia também do painel do veículo o mesmo não está apagando a luz da injeção, 
conforme 1º foto do painel. Solicito que veja com a locadora ver o que é (checklist 01/04/26) / A porta trazeira do carro está em bom estado porem acho que por conta da trepidação dos acessos 
internos e externos apresentou uma pequena abertura no Frizzo (01/04/26) / Venho informar que o motor do veiculo está muito sujo devido as chuvas intensas (01/04/26) / fui pegar o carro que estava em posso de Airismila e Claudio o mesmo ao ligar apresentou um barulho estranho de imediato chamei os mesmo para verificarmos juntos, que aqui deixar informado que, antes de sair de folga o mesmo não apresentava este barulho, solicito uma manutenção urgente deste veiculo</t>
  </si>
  <si>
    <t>Foi identificado falha na porta do passageiro no dia 25/05/2026 (lado esquerdo), que permanece 
travada e sem possibilidade de abertura. Foram executados os procedimentos de destravamento 
previstos no manual do fabricante, porém sem sucesso. A condição permanece inalterada (checklist 01/06/26)</t>
  </si>
  <si>
    <t>Gideoni</t>
  </si>
  <si>
    <t>Riscos com descascamento de pintura, no para-choque dianteiro (próximo a placa) / Riscos com descascamento de pintura, no para-choque traseiro / Para-barro da caixa de roda traseira (lado direito) com ruptura/rasgo / Manchas no estofado dos bancos, sem presença de rasgos / Sensor de estacionamento traseiro com avaria (lado direito) / Lanterna traseira dianteira com presença de umidade</t>
  </si>
  <si>
    <t>Sinalizados no checklist 02/06/26: Para-barro da caixa de roda traseira (lado esquerdo) com avaria / Para-barro da caixa de roda dianteira (lado esquerdo) com avaria / Para-barro da caixa de roda dianteira (lado direito) com avaria / Quebra/desprendimento parcial da peça plástica inferior central (Defletor de ar inferior do 
para-choque dianteiro) lado esquerdo.</t>
  </si>
  <si>
    <t>CRETA TXZ1G58</t>
  </si>
  <si>
    <t>24.019 vse</t>
  </si>
  <si>
    <t>UFL3I50</t>
  </si>
  <si>
    <t>Avaria (pequeno ponto na pintura) na carroceria, lado direito, no meio entre a cabine e carroceria / Avaria na carroceria lado direito / Amassado lado esquerdo, próximo porta traseira (verificado que já tinha na foto enviada pela Localiza) /</t>
  </si>
  <si>
    <t>Riscos na lateral traseira do lado do passageiro conforme foto em anexo (André vai resolver conforme ele já informou por e-mail checklist 01/06/26)</t>
  </si>
  <si>
    <t>TEU0E77</t>
  </si>
  <si>
    <t>Não possui protetor de carter</t>
  </si>
  <si>
    <t>Arranhão no parachoque traseiro, próximo ao peneu esquerdo traseiro / Arranhão no para choque frontal lado esquerdo próximoo a grade / Arranhão próximo a porta traseira direita / Calota direita frontal bastante arranhada / Arranhão próximo a placa traseira / Arranhão no parachoque traseiro lado direito próximo a lanterna de sinalização / Pneu estepe em uso e o original encontra-se furado (Resolvido em 23/04 ) / Porta barro traseiro esquerdo danificado / 2 avarias – amassado e descascado porta dianteira direita e arranhão na porta traseira direita</t>
  </si>
  <si>
    <t xml:space="preserve">TCT9C97 </t>
  </si>
  <si>
    <t>trocado o óleo, filtro de óleo, filtro de ar condicionado e filtro de ar do motor</t>
  </si>
  <si>
    <t>Arranhões e amassado na porta traseira direita na parte inferior - leandro irá tratar</t>
  </si>
  <si>
    <t>TCROSS TYA5C83</t>
  </si>
  <si>
    <t>Pequeno amassado próximo ao vidro, raio de 3 cm (checklist 01/06/26) - manchas no veículo</t>
  </si>
  <si>
    <t>em 17/01/2026 ao receber o veículo - Francisco Augusto sinalizou um pequeno arranhão na maçaneta da porta dianteira esquerda - Pneu dianteiro (esquerda) desgastado e sem condições de uso (trocado 08/06/26 - coparticipação) / Hoje 16/06/26 pela manhã no trajeto a obra, um pássaro de grande porte (carcará) saiu da mata e voou de forma repentina na frente do veículo, ocasionando uma avaria na tela do para-choque.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</si>
</sst>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quot;\ #,##0.00;[Red]\-&quot;R$&quot;\ #,##0.00"/>
    <numFmt numFmtId="164" formatCode="&quot;R$&quot;\ #,##0.00"/>
  </numFmts>
  <fonts count="17" x14ac:knownFonts="1">
    <font>
      <sz val="11"/>
      <color theme="1"/>
      <name val="Calibri"/>
      <family val="2"/>
      <scheme val="minor"/>
    </font>
    <font>
      <b/>
      <sz val="11"/>
      <color theme="5" tint="-0.499984740745262"/>
      <name val="Calibri"/>
      <family val="2"/>
      <scheme val="minor"/>
    </font>
    <font>
      <sz val="11"/>
      <color theme="5" tint="-0.249977111117893"/>
      <name val="Calibri"/>
      <family val="2"/>
      <scheme val="minor"/>
    </font>
    <font>
      <b/>
      <sz val="11"/>
      <color theme="1"/>
      <name val="Calibri"/>
      <family val="2"/>
      <scheme val="minor"/>
    </font>
    <font>
      <sz val="11"/>
      <name val="Calibri"/>
      <family val="2"/>
      <scheme val="minor"/>
    </font>
    <font>
      <sz val="8"/>
      <name val="Calibri"/>
      <family val="2"/>
      <scheme val="minor"/>
    </font>
    <font>
      <sz val="10"/>
      <color theme="1"/>
      <name val="Calibri"/>
      <family val="2"/>
      <scheme val="minor"/>
    </font>
    <font>
      <b/>
      <sz val="10"/>
      <color theme="1"/>
      <name val="Calibri"/>
      <family val="2"/>
      <scheme val="minor"/>
    </font>
    <font>
      <sz val="9"/>
      <color indexed="81"/>
      <name val="Segoe UI"/>
      <family val="2"/>
    </font>
    <font>
      <b/>
      <sz val="9"/>
      <color indexed="81"/>
      <name val="Segoe UI"/>
      <family val="2"/>
    </font>
    <font>
      <b/>
      <sz val="10"/>
      <name val="Calibri"/>
      <family val="2"/>
      <scheme val="minor"/>
    </font>
    <font>
      <sz val="10"/>
      <name val="Calibri"/>
      <family val="2"/>
      <scheme val="minor"/>
    </font>
    <font>
      <b/>
      <sz val="11"/>
      <color theme="0"/>
      <name val="Calibri"/>
      <family val="2"/>
      <scheme val="minor"/>
    </font>
    <font>
      <sz val="9"/>
      <color indexed="81"/>
      <name val="Segoe UI"/>
      <charset val="1"/>
    </font>
    <font>
      <b/>
      <sz val="9"/>
      <color indexed="81"/>
      <name val="Segoe UI"/>
      <charset val="1"/>
    </font>
    <font>
      <sz val="11"/>
      <color rgb="FFFF0000"/>
      <name val="Calibri"/>
      <family val="2"/>
      <scheme val="minor"/>
    </font>
    <font>
      <sz val="11"/>
      <color theme="9"/>
      <name val="Calibri"/>
      <family val="2"/>
      <scheme val="minor"/>
    </font>
  </fonts>
  <fills count="20">
    <fill>
      <patternFill patternType="none"/>
    </fill>
    <fill>
      <patternFill patternType="gray125"/>
    </fill>
    <fill>
      <patternFill patternType="solid">
        <fgColor theme="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6600"/>
        <bgColor indexed="64"/>
      </patternFill>
    </fill>
    <fill>
      <patternFill patternType="solid">
        <fgColor theme="5" tint="0.79998168889431442"/>
        <bgColor theme="5" tint="0.79998168889431442"/>
      </patternFill>
    </fill>
    <fill>
      <patternFill patternType="solid">
        <fgColor theme="8"/>
        <bgColor indexed="64"/>
      </patternFill>
    </fill>
    <fill>
      <patternFill patternType="solid">
        <fgColor theme="8" tint="0.79998168889431442"/>
        <bgColor indexed="64"/>
      </patternFill>
    </fill>
    <fill>
      <patternFill patternType="solid">
        <fgColor theme="8" tint="0.79998168889431442"/>
        <bgColor theme="5"/>
      </patternFill>
    </fill>
    <fill>
      <patternFill patternType="solid">
        <fgColor theme="9"/>
        <bgColor indexed="64"/>
      </patternFill>
    </fill>
    <fill>
      <patternFill patternType="solid">
        <fgColor theme="9"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theme="5" tint="0.39997558519241921"/>
      </top>
      <bottom style="thin">
        <color indexed="64"/>
      </bottom>
      <diagonal/>
    </border>
    <border>
      <left style="thin">
        <color indexed="64"/>
      </left>
      <right style="thin">
        <color indexed="64"/>
      </right>
      <top style="thin">
        <color indexed="64"/>
      </top>
      <bottom style="thin">
        <color theme="5" tint="0.39997558519241921"/>
      </bottom>
      <diagonal/>
    </border>
    <border>
      <left/>
      <right/>
      <top style="thin">
        <color theme="5" tint="0.39997558519241921"/>
      </top>
      <bottom style="thin">
        <color theme="5" tint="0.39997558519241921"/>
      </bottom>
      <diagonal/>
    </border>
    <border>
      <left style="thin">
        <color indexed="64"/>
      </left>
      <right/>
      <top style="thin">
        <color indexed="64"/>
      </top>
      <bottom style="thin">
        <color theme="5" tint="0.3999755851924192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theme="5" tint="0.39997558519241921"/>
      </bottom>
      <diagonal/>
    </border>
  </borders>
  <cellStyleXfs count="1">
    <xf numFmtId="0" fontId="0" fillId="0" borderId="0"/>
  </cellStyleXfs>
  <cellXfs count="146">
    <xf numFmtId="0" fontId="0" fillId="0" borderId="0" xfId="0"/>
    <xf numFmtId="0" fontId="2" fillId="0" borderId="1" xfId="0" applyFont="1" applyBorder="1"/>
    <xf numFmtId="0" fontId="1" fillId="0" borderId="1" xfId="0" applyFont="1" applyBorder="1" applyAlignment="1">
      <alignment horizontal="center"/>
    </xf>
    <xf numFmtId="0" fontId="2" fillId="0" borderId="1" xfId="0" applyFont="1" applyBorder="1" applyAlignment="1">
      <alignment horizontal="center"/>
    </xf>
    <xf numFmtId="3" fontId="6" fillId="0" borderId="1" xfId="0" applyNumberFormat="1" applyFont="1" applyBorder="1" applyAlignment="1">
      <alignment horizontal="center" vertical="center" wrapText="1"/>
    </xf>
    <xf numFmtId="0" fontId="0" fillId="0" borderId="1" xfId="0" applyBorder="1" applyAlignment="1">
      <alignment horizontal="center"/>
    </xf>
    <xf numFmtId="0" fontId="7" fillId="0" borderId="1" xfId="0" applyFont="1" applyBorder="1" applyAlignment="1">
      <alignment horizontal="center" vertical="center"/>
    </xf>
    <xf numFmtId="3" fontId="6" fillId="0" borderId="3"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3" fontId="7" fillId="0" borderId="5" xfId="0" applyNumberFormat="1" applyFont="1" applyBorder="1" applyAlignment="1">
      <alignment horizontal="center" vertical="center" wrapText="1"/>
    </xf>
    <xf numFmtId="0" fontId="3" fillId="0" borderId="1" xfId="0" applyFont="1" applyBorder="1" applyAlignment="1">
      <alignment horizontal="center"/>
    </xf>
    <xf numFmtId="0" fontId="4" fillId="0" borderId="1" xfId="0" applyFont="1" applyBorder="1" applyAlignment="1">
      <alignment horizontal="center"/>
    </xf>
    <xf numFmtId="8" fontId="0" fillId="0" borderId="1" xfId="0" applyNumberFormat="1" applyBorder="1" applyAlignment="1">
      <alignment horizontal="center"/>
    </xf>
    <xf numFmtId="0" fontId="0" fillId="0" borderId="1" xfId="0" applyBorder="1" applyAlignment="1">
      <alignment horizontal="center" wrapText="1"/>
    </xf>
    <xf numFmtId="164" fontId="0" fillId="0" borderId="1" xfId="0" applyNumberFormat="1" applyBorder="1" applyAlignment="1">
      <alignment horizontal="center"/>
    </xf>
    <xf numFmtId="0" fontId="0" fillId="3" borderId="1" xfId="0" applyFill="1" applyBorder="1" applyAlignment="1">
      <alignment horizontal="center"/>
    </xf>
    <xf numFmtId="14" fontId="4" fillId="4" borderId="1" xfId="0" applyNumberFormat="1" applyFont="1" applyFill="1" applyBorder="1" applyAlignment="1">
      <alignment horizontal="center"/>
    </xf>
    <xf numFmtId="0" fontId="0" fillId="2" borderId="0" xfId="0" applyFill="1"/>
    <xf numFmtId="0" fontId="3" fillId="5" borderId="1" xfId="0" applyFont="1" applyFill="1" applyBorder="1" applyAlignment="1">
      <alignment horizontal="center"/>
    </xf>
    <xf numFmtId="3" fontId="0" fillId="0" borderId="1" xfId="0" applyNumberFormat="1" applyBorder="1" applyAlignment="1">
      <alignment horizontal="center"/>
    </xf>
    <xf numFmtId="14" fontId="4" fillId="6" borderId="1" xfId="0" applyNumberFormat="1" applyFont="1"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wrapText="1"/>
    </xf>
    <xf numFmtId="0" fontId="0" fillId="2" borderId="1" xfId="0" applyFill="1" applyBorder="1" applyAlignment="1">
      <alignment horizontal="center" wrapText="1"/>
    </xf>
    <xf numFmtId="0" fontId="0" fillId="0" borderId="1" xfId="0" applyBorder="1" applyAlignment="1">
      <alignment horizontal="center" vertical="center"/>
    </xf>
    <xf numFmtId="0" fontId="2" fillId="0" borderId="1" xfId="0" applyFont="1" applyBorder="1" applyAlignment="1">
      <alignment vertical="center"/>
    </xf>
    <xf numFmtId="0" fontId="0" fillId="0" borderId="1" xfId="0" applyBorder="1" applyAlignment="1">
      <alignment horizontal="center" vertical="center" wrapText="1"/>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Alignment="1">
      <alignment vertical="center"/>
    </xf>
    <xf numFmtId="3" fontId="7" fillId="0" borderId="3" xfId="0" applyNumberFormat="1" applyFont="1" applyBorder="1" applyAlignment="1">
      <alignment horizontal="center" vertical="center"/>
    </xf>
    <xf numFmtId="0" fontId="3" fillId="0" borderId="1" xfId="0" applyFont="1" applyBorder="1" applyAlignment="1">
      <alignment horizontal="center" vertical="center"/>
    </xf>
    <xf numFmtId="0" fontId="3" fillId="0" borderId="0" xfId="0" applyFont="1"/>
    <xf numFmtId="0" fontId="0" fillId="0" borderId="4" xfId="0" applyBorder="1" applyAlignment="1">
      <alignment horizontal="center" vertical="center"/>
    </xf>
    <xf numFmtId="164" fontId="0" fillId="0" borderId="0" xfId="0" applyNumberFormat="1"/>
    <xf numFmtId="0" fontId="3" fillId="10" borderId="8" xfId="0" applyFont="1" applyFill="1" applyBorder="1" applyAlignment="1">
      <alignment horizontal="center"/>
    </xf>
    <xf numFmtId="0" fontId="4" fillId="0" borderId="1" xfId="0" applyFont="1" applyBorder="1" applyAlignment="1">
      <alignment horizontal="center" vertical="center" wrapText="1"/>
    </xf>
    <xf numFmtId="0" fontId="0" fillId="0" borderId="9" xfId="0" applyBorder="1" applyAlignment="1">
      <alignment horizontal="center"/>
    </xf>
    <xf numFmtId="3" fontId="11" fillId="0" borderId="1" xfId="0" applyNumberFormat="1" applyFont="1" applyBorder="1" applyAlignment="1">
      <alignment horizontal="center" vertical="center"/>
    </xf>
    <xf numFmtId="1" fontId="11" fillId="0" borderId="1" xfId="0" applyNumberFormat="1" applyFont="1" applyBorder="1" applyAlignment="1">
      <alignment horizontal="center" vertical="center" wrapText="1"/>
    </xf>
    <xf numFmtId="3" fontId="11" fillId="0" borderId="1" xfId="0" applyNumberFormat="1" applyFont="1" applyBorder="1" applyAlignment="1">
      <alignment horizontal="center" vertical="center" wrapText="1"/>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1" fillId="11" borderId="1" xfId="0" applyFont="1" applyFill="1" applyBorder="1" applyAlignment="1">
      <alignment horizontal="center" vertical="center"/>
    </xf>
    <xf numFmtId="1" fontId="11" fillId="0" borderId="3" xfId="0" applyNumberFormat="1" applyFont="1" applyBorder="1" applyAlignment="1">
      <alignment horizontal="center" vertical="center"/>
    </xf>
    <xf numFmtId="1" fontId="11" fillId="0" borderId="3" xfId="0" applyNumberFormat="1" applyFont="1" applyBorder="1" applyAlignment="1">
      <alignment horizontal="center" vertical="center" wrapText="1"/>
    </xf>
    <xf numFmtId="3" fontId="11" fillId="0" borderId="3" xfId="0" applyNumberFormat="1" applyFont="1" applyBorder="1" applyAlignment="1">
      <alignment horizontal="center" vertical="center"/>
    </xf>
    <xf numFmtId="3" fontId="11" fillId="0" borderId="3" xfId="0" applyNumberFormat="1" applyFont="1" applyBorder="1" applyAlignment="1">
      <alignment horizontal="center" vertical="center" wrapText="1"/>
    </xf>
    <xf numFmtId="0" fontId="11" fillId="0" borderId="3" xfId="0" applyFont="1" applyBorder="1" applyAlignment="1">
      <alignment horizontal="center" vertical="center"/>
    </xf>
    <xf numFmtId="0" fontId="10" fillId="0" borderId="2" xfId="0" applyFont="1" applyBorder="1" applyAlignment="1">
      <alignment horizontal="center" vertical="center"/>
    </xf>
    <xf numFmtId="1" fontId="11" fillId="0" borderId="1" xfId="0" applyNumberFormat="1" applyFont="1" applyBorder="1" applyAlignment="1">
      <alignment horizontal="center" vertical="center"/>
    </xf>
    <xf numFmtId="0" fontId="11" fillId="0" borderId="5" xfId="0" applyFont="1" applyBorder="1" applyAlignment="1">
      <alignment horizontal="center" vertical="center"/>
    </xf>
    <xf numFmtId="0" fontId="10" fillId="0" borderId="5" xfId="0" applyFont="1" applyBorder="1" applyAlignment="1">
      <alignment horizontal="center" vertical="center"/>
    </xf>
    <xf numFmtId="0" fontId="11" fillId="0" borderId="11" xfId="0" applyFont="1" applyBorder="1" applyAlignment="1">
      <alignment horizontal="center" vertical="center"/>
    </xf>
    <xf numFmtId="0" fontId="10" fillId="0" borderId="3" xfId="0" applyFont="1" applyBorder="1" applyAlignment="1">
      <alignment horizontal="center" vertical="center"/>
    </xf>
    <xf numFmtId="3" fontId="10" fillId="0" borderId="1" xfId="0" applyNumberFormat="1" applyFont="1" applyBorder="1" applyAlignment="1">
      <alignment horizontal="center" vertical="center"/>
    </xf>
    <xf numFmtId="0" fontId="11" fillId="0" borderId="1" xfId="0" applyFont="1" applyBorder="1" applyAlignment="1">
      <alignment horizontal="center"/>
    </xf>
    <xf numFmtId="3" fontId="11" fillId="0" borderId="4" xfId="0" applyNumberFormat="1" applyFont="1" applyBorder="1" applyAlignment="1">
      <alignment horizontal="center" vertical="center" wrapText="1"/>
    </xf>
    <xf numFmtId="0" fontId="10" fillId="0" borderId="4" xfId="0" applyFont="1" applyBorder="1" applyAlignment="1">
      <alignment horizontal="center" vertical="center"/>
    </xf>
    <xf numFmtId="3" fontId="10" fillId="0" borderId="1" xfId="0" applyNumberFormat="1" applyFont="1" applyBorder="1" applyAlignment="1">
      <alignment horizontal="center" vertical="center" wrapText="1"/>
    </xf>
    <xf numFmtId="0" fontId="0" fillId="0" borderId="0" xfId="0" applyAlignment="1">
      <alignment horizontal="center"/>
    </xf>
    <xf numFmtId="0" fontId="2" fillId="0" borderId="8" xfId="0" applyFont="1" applyBorder="1" applyAlignment="1">
      <alignment horizontal="center" vertical="center"/>
    </xf>
    <xf numFmtId="0" fontId="2" fillId="0" borderId="0" xfId="0" applyFont="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0" fillId="8" borderId="1" xfId="0" applyFill="1" applyBorder="1" applyAlignment="1">
      <alignment horizontal="center" vertical="center" wrapText="1"/>
    </xf>
    <xf numFmtId="14" fontId="0" fillId="0" borderId="1" xfId="0" applyNumberFormat="1" applyBorder="1" applyAlignment="1">
      <alignment horizontal="center"/>
    </xf>
    <xf numFmtId="3" fontId="0" fillId="0" borderId="1" xfId="0" applyNumberFormat="1" applyBorder="1" applyAlignment="1">
      <alignment horizontal="center" vertical="center" wrapText="1"/>
    </xf>
    <xf numFmtId="0" fontId="1" fillId="0" borderId="1" xfId="0" applyFont="1" applyBorder="1" applyAlignment="1">
      <alignment horizontal="center" vertical="center"/>
    </xf>
    <xf numFmtId="164" fontId="0" fillId="0" borderId="1" xfId="0" applyNumberFormat="1" applyBorder="1"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vertical="center"/>
    </xf>
    <xf numFmtId="3" fontId="0" fillId="0" borderId="1" xfId="0" applyNumberFormat="1" applyBorder="1" applyAlignment="1">
      <alignment vertical="center"/>
    </xf>
    <xf numFmtId="164" fontId="0" fillId="0" borderId="1" xfId="0" applyNumberFormat="1" applyBorder="1" applyAlignment="1">
      <alignment vertical="center"/>
    </xf>
    <xf numFmtId="8" fontId="0" fillId="0" borderId="1" xfId="0" applyNumberFormat="1" applyBorder="1" applyAlignment="1">
      <alignment vertical="center"/>
    </xf>
    <xf numFmtId="14" fontId="4" fillId="0" borderId="1" xfId="0" applyNumberFormat="1" applyFont="1" applyBorder="1" applyAlignment="1">
      <alignment horizontal="center" vertical="center" wrapText="1"/>
    </xf>
    <xf numFmtId="14" fontId="0" fillId="0" borderId="1" xfId="0" applyNumberFormat="1" applyBorder="1" applyAlignment="1">
      <alignment horizontal="center" vertical="center" wrapText="1"/>
    </xf>
    <xf numFmtId="14" fontId="0" fillId="0" borderId="9" xfId="0" applyNumberFormat="1" applyBorder="1" applyAlignment="1">
      <alignment horizontal="center"/>
    </xf>
    <xf numFmtId="14" fontId="11" fillId="0" borderId="7" xfId="0" applyNumberFormat="1" applyFont="1" applyBorder="1" applyAlignment="1">
      <alignment horizontal="center" vertical="center"/>
    </xf>
    <xf numFmtId="14" fontId="11" fillId="0" borderId="1" xfId="0" applyNumberFormat="1" applyFont="1" applyBorder="1" applyAlignment="1">
      <alignment horizontal="center" vertical="center"/>
    </xf>
    <xf numFmtId="3" fontId="5" fillId="0" borderId="1" xfId="0" applyNumberFormat="1" applyFont="1" applyBorder="1" applyAlignment="1">
      <alignment horizontal="center" vertical="center"/>
    </xf>
    <xf numFmtId="3" fontId="5" fillId="0" borderId="1" xfId="0" applyNumberFormat="1" applyFont="1" applyBorder="1" applyAlignment="1">
      <alignment horizontal="center" vertical="center" wrapText="1"/>
    </xf>
    <xf numFmtId="14" fontId="11" fillId="0" borderId="3" xfId="0" applyNumberFormat="1" applyFont="1" applyBorder="1" applyAlignment="1">
      <alignment horizontal="center" vertical="center"/>
    </xf>
    <xf numFmtId="0" fontId="10" fillId="0" borderId="1" xfId="0" applyFont="1" applyBorder="1" applyAlignment="1">
      <alignment horizontal="center" vertical="center" wrapText="1"/>
    </xf>
    <xf numFmtId="14" fontId="11" fillId="0" borderId="8" xfId="0" applyNumberFormat="1" applyFont="1" applyBorder="1" applyAlignment="1">
      <alignment horizontal="center" vertical="center"/>
    </xf>
    <xf numFmtId="0" fontId="7" fillId="13" borderId="1" xfId="0" applyFont="1" applyFill="1" applyBorder="1" applyAlignment="1">
      <alignment horizontal="center" vertical="center"/>
    </xf>
    <xf numFmtId="0" fontId="10" fillId="13" borderId="15" xfId="0" applyFont="1" applyFill="1" applyBorder="1" applyAlignment="1">
      <alignment horizontal="center" vertical="center" wrapText="1"/>
    </xf>
    <xf numFmtId="0" fontId="10" fillId="13" borderId="16" xfId="0" applyFont="1" applyFill="1" applyBorder="1" applyAlignment="1">
      <alignment horizontal="center" vertical="center" wrapText="1"/>
    </xf>
    <xf numFmtId="0" fontId="10" fillId="14" borderId="16" xfId="0" applyFont="1" applyFill="1" applyBorder="1" applyAlignment="1">
      <alignment horizontal="center" vertical="center" wrapText="1"/>
    </xf>
    <xf numFmtId="0" fontId="0" fillId="0" borderId="1" xfId="0" applyBorder="1"/>
    <xf numFmtId="14" fontId="11" fillId="0" borderId="17" xfId="0" applyNumberFormat="1" applyFont="1" applyBorder="1" applyAlignment="1">
      <alignment horizontal="center" vertical="center"/>
    </xf>
    <xf numFmtId="0" fontId="3" fillId="15" borderId="0" xfId="0" applyFont="1" applyFill="1"/>
    <xf numFmtId="164" fontId="3" fillId="15" borderId="0" xfId="0" applyNumberFormat="1" applyFont="1" applyFill="1" applyAlignment="1">
      <alignment horizontal="left"/>
    </xf>
    <xf numFmtId="164" fontId="0" fillId="15" borderId="0" xfId="0" applyNumberFormat="1" applyFill="1"/>
    <xf numFmtId="0" fontId="0" fillId="0" borderId="0" xfId="0" applyAlignment="1">
      <alignment horizontal="center" vertical="center"/>
    </xf>
    <xf numFmtId="14" fontId="0" fillId="7" borderId="1" xfId="0" applyNumberFormat="1" applyFill="1" applyBorder="1" applyAlignment="1">
      <alignment horizontal="center" vertical="center" wrapText="1"/>
    </xf>
    <xf numFmtId="14" fontId="0" fillId="7" borderId="1" xfId="0" applyNumberFormat="1" applyFill="1" applyBorder="1" applyAlignment="1">
      <alignment horizontal="center"/>
    </xf>
    <xf numFmtId="14" fontId="0" fillId="16" borderId="1" xfId="0" applyNumberFormat="1" applyFill="1" applyBorder="1" applyAlignment="1">
      <alignment horizontal="center"/>
    </xf>
    <xf numFmtId="14" fontId="0" fillId="16" borderId="1" xfId="0" applyNumberFormat="1" applyFill="1" applyBorder="1" applyAlignment="1">
      <alignment horizontal="center" vertical="center" wrapText="1"/>
    </xf>
    <xf numFmtId="0" fontId="0" fillId="16" borderId="1" xfId="0" applyFill="1" applyBorder="1" applyAlignment="1">
      <alignment horizontal="center"/>
    </xf>
    <xf numFmtId="0" fontId="6" fillId="0" borderId="1" xfId="0" applyFont="1" applyBorder="1" applyAlignment="1">
      <alignment horizontal="center" vertical="center" wrapText="1"/>
    </xf>
    <xf numFmtId="14" fontId="0" fillId="3" borderId="1" xfId="0" applyNumberFormat="1" applyFill="1" applyBorder="1" applyAlignment="1">
      <alignment horizontal="center" vertical="center" wrapText="1"/>
    </xf>
    <xf numFmtId="14" fontId="0" fillId="4" borderId="1" xfId="0" applyNumberFormat="1" applyFill="1" applyBorder="1" applyAlignment="1">
      <alignment horizontal="center"/>
    </xf>
    <xf numFmtId="17" fontId="3" fillId="10" borderId="6" xfId="0" applyNumberFormat="1" applyFont="1" applyFill="1" applyBorder="1" applyAlignment="1">
      <alignment horizontal="center"/>
    </xf>
    <xf numFmtId="0" fontId="3" fillId="10" borderId="1" xfId="0" applyFont="1" applyFill="1" applyBorder="1" applyAlignment="1">
      <alignment horizontal="center"/>
    </xf>
    <xf numFmtId="14" fontId="0" fillId="0" borderId="1" xfId="0" applyNumberFormat="1" applyBorder="1" applyAlignment="1">
      <alignment horizontal="center" vertical="center"/>
    </xf>
    <xf numFmtId="14" fontId="0" fillId="0" borderId="1" xfId="0" applyNumberFormat="1" applyBorder="1"/>
    <xf numFmtId="14" fontId="0" fillId="17" borderId="1" xfId="0" applyNumberFormat="1" applyFill="1" applyBorder="1" applyAlignment="1">
      <alignment horizontal="center" vertical="center" wrapText="1"/>
    </xf>
    <xf numFmtId="0" fontId="3" fillId="0" borderId="1" xfId="0" applyFont="1" applyBorder="1"/>
    <xf numFmtId="0" fontId="0" fillId="18" borderId="1" xfId="0" applyFill="1" applyBorder="1" applyAlignment="1">
      <alignment horizontal="center" vertical="center"/>
    </xf>
    <xf numFmtId="0" fontId="0" fillId="18" borderId="7" xfId="0" applyFill="1" applyBorder="1" applyAlignment="1">
      <alignment horizontal="center" vertical="center"/>
    </xf>
    <xf numFmtId="1" fontId="11" fillId="18" borderId="1" xfId="0" applyNumberFormat="1" applyFont="1" applyFill="1" applyBorder="1" applyAlignment="1">
      <alignment horizontal="center" vertical="center" wrapText="1"/>
    </xf>
    <xf numFmtId="3" fontId="11" fillId="18" borderId="1" xfId="0" applyNumberFormat="1" applyFont="1" applyFill="1" applyBorder="1" applyAlignment="1">
      <alignment horizontal="center" vertical="center" wrapText="1"/>
    </xf>
    <xf numFmtId="0" fontId="11" fillId="18" borderId="1" xfId="0" applyFont="1" applyFill="1" applyBorder="1" applyAlignment="1">
      <alignment horizontal="center" vertical="center"/>
    </xf>
    <xf numFmtId="0" fontId="10" fillId="18" borderId="1" xfId="0" applyFont="1" applyFill="1" applyBorder="1" applyAlignment="1">
      <alignment horizontal="center" vertical="center"/>
    </xf>
    <xf numFmtId="1" fontId="11" fillId="18" borderId="3" xfId="0" applyNumberFormat="1" applyFont="1" applyFill="1" applyBorder="1" applyAlignment="1">
      <alignment horizontal="center" vertical="center" wrapText="1"/>
    </xf>
    <xf numFmtId="3" fontId="11" fillId="18" borderId="3" xfId="0" applyNumberFormat="1" applyFont="1" applyFill="1" applyBorder="1" applyAlignment="1">
      <alignment horizontal="center" vertical="center" wrapText="1"/>
    </xf>
    <xf numFmtId="0" fontId="11" fillId="18" borderId="3" xfId="0" applyFont="1" applyFill="1" applyBorder="1" applyAlignment="1">
      <alignment horizontal="center" vertical="center"/>
    </xf>
    <xf numFmtId="0" fontId="10" fillId="18" borderId="2" xfId="0" applyFont="1" applyFill="1" applyBorder="1" applyAlignment="1">
      <alignment horizontal="center" vertical="center"/>
    </xf>
    <xf numFmtId="0" fontId="11" fillId="18" borderId="11" xfId="0" applyFont="1" applyFill="1" applyBorder="1" applyAlignment="1">
      <alignment horizontal="center" vertical="center"/>
    </xf>
    <xf numFmtId="0" fontId="11" fillId="18" borderId="1" xfId="0" applyFont="1" applyFill="1" applyBorder="1" applyAlignment="1">
      <alignment horizontal="center"/>
    </xf>
    <xf numFmtId="3" fontId="11" fillId="18" borderId="4" xfId="0" applyNumberFormat="1" applyFont="1" applyFill="1" applyBorder="1" applyAlignment="1">
      <alignment horizontal="center" vertical="center" wrapText="1"/>
    </xf>
    <xf numFmtId="0" fontId="10" fillId="18" borderId="4" xfId="0" applyFont="1" applyFill="1" applyBorder="1" applyAlignment="1">
      <alignment horizontal="center" vertical="center"/>
    </xf>
    <xf numFmtId="3" fontId="10" fillId="18" borderId="1" xfId="0" applyNumberFormat="1" applyFont="1" applyFill="1" applyBorder="1" applyAlignment="1">
      <alignment horizontal="center" vertical="center" wrapText="1"/>
    </xf>
    <xf numFmtId="0" fontId="0" fillId="18" borderId="1" xfId="0" applyFill="1" applyBorder="1" applyAlignment="1">
      <alignment horizontal="center"/>
    </xf>
    <xf numFmtId="0" fontId="3" fillId="18" borderId="1" xfId="0" applyFont="1" applyFill="1" applyBorder="1" applyAlignment="1">
      <alignment horizontal="center"/>
    </xf>
    <xf numFmtId="0" fontId="0" fillId="18" borderId="1" xfId="0" applyFill="1" applyBorder="1"/>
    <xf numFmtId="0" fontId="3" fillId="18" borderId="7" xfId="0" applyFont="1" applyFill="1" applyBorder="1" applyAlignment="1">
      <alignment horizontal="center" vertical="center"/>
    </xf>
    <xf numFmtId="0" fontId="10" fillId="18" borderId="5" xfId="0" applyFont="1" applyFill="1" applyBorder="1" applyAlignment="1">
      <alignment horizontal="center" vertical="center"/>
    </xf>
    <xf numFmtId="0" fontId="10" fillId="18" borderId="3" xfId="0" applyFont="1" applyFill="1" applyBorder="1" applyAlignment="1">
      <alignment horizontal="center" vertical="center"/>
    </xf>
    <xf numFmtId="3" fontId="10" fillId="18" borderId="1" xfId="0" applyNumberFormat="1" applyFont="1" applyFill="1" applyBorder="1" applyAlignment="1">
      <alignment horizontal="center" vertical="center"/>
    </xf>
    <xf numFmtId="0" fontId="3" fillId="18" borderId="1" xfId="0" applyFont="1" applyFill="1" applyBorder="1"/>
    <xf numFmtId="0" fontId="0" fillId="18" borderId="1" xfId="0" applyFill="1" applyBorder="1" applyAlignment="1">
      <alignment horizontal="center" wrapText="1"/>
    </xf>
    <xf numFmtId="0" fontId="0" fillId="19" borderId="1" xfId="0" applyFill="1" applyBorder="1" applyAlignment="1">
      <alignment horizontal="center"/>
    </xf>
    <xf numFmtId="0" fontId="15" fillId="0" borderId="1" xfId="0" applyFont="1" applyBorder="1" applyAlignment="1">
      <alignment horizontal="center" vertical="center"/>
    </xf>
    <xf numFmtId="0" fontId="3" fillId="10" borderId="6" xfId="0" applyFont="1" applyFill="1" applyBorder="1" applyAlignment="1">
      <alignment horizontal="center"/>
    </xf>
    <xf numFmtId="0" fontId="3" fillId="10" borderId="7" xfId="0" applyFont="1" applyFill="1" applyBorder="1" applyAlignment="1">
      <alignment horizontal="center"/>
    </xf>
    <xf numFmtId="0" fontId="3" fillId="9" borderId="0" xfId="0" applyFont="1" applyFill="1" applyAlignment="1">
      <alignment horizontal="center" vertical="center"/>
    </xf>
    <xf numFmtId="0" fontId="3" fillId="9" borderId="10" xfId="0" applyFont="1" applyFill="1" applyBorder="1" applyAlignment="1">
      <alignment horizontal="center" vertical="center"/>
    </xf>
    <xf numFmtId="0" fontId="3" fillId="10" borderId="12" xfId="0" applyFont="1" applyFill="1" applyBorder="1" applyAlignment="1">
      <alignment horizontal="center"/>
    </xf>
    <xf numFmtId="0" fontId="1" fillId="0" borderId="0" xfId="0" applyFont="1" applyAlignment="1">
      <alignment horizontal="center"/>
    </xf>
    <xf numFmtId="0" fontId="3" fillId="2" borderId="0" xfId="0" applyFont="1" applyFill="1" applyAlignment="1">
      <alignment horizontal="center" vertical="center"/>
    </xf>
    <xf numFmtId="0" fontId="12" fillId="12" borderId="6" xfId="0" applyFont="1" applyFill="1" applyBorder="1" applyAlignment="1">
      <alignment horizontal="center" vertical="center"/>
    </xf>
    <xf numFmtId="0" fontId="12" fillId="12" borderId="12" xfId="0" applyFont="1" applyFill="1" applyBorder="1" applyAlignment="1">
      <alignment horizontal="center" vertical="center"/>
    </xf>
    <xf numFmtId="0" fontId="12" fillId="12"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161925</xdr:colOff>
      <xdr:row>0</xdr:row>
      <xdr:rowOff>19051</xdr:rowOff>
    </xdr:from>
    <xdr:ext cx="847725" cy="238124"/>
    <xdr:pic>
      <xdr:nvPicPr>
        <xdr:cNvPr id="2" name="Imagem 1">
          <a:extLst>
            <a:ext uri="{FF2B5EF4-FFF2-40B4-BE49-F238E27FC236}">
              <a16:creationId xmlns:a16="http://schemas.microsoft.com/office/drawing/2014/main" id="{A852A4B1-761A-4C55-9C9F-8B27867D4A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573000" y="19051"/>
          <a:ext cx="847725" cy="238124"/>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Office 6" id="{B2FD636B-36D0-473C-BD66-51B9CFA69F6D}" userId="S::office.6@proyfebrasil.com.br::fdc362f8-eb02-4ca9-bcee-c84e19200558" providerId="AD"/>
</personList>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7" dT="2026-05-04T11:00:17.78" personId="{B2FD636B-36D0-473C-BD66-51B9CFA69F6D}" id="{53704B9A-7899-4A51-A7BE-F381E8253069}">
    <text>Devolução 30/04/2026</text>
  </threadedComment>
  <threadedComment ref="G49" dT="2026-03-03T17:41:56.93" personId="{B2FD636B-36D0-473C-BD66-51B9CFA69F6D}" id="{F822CA05-3DB8-472A-9BAA-671BDD174CE6}">
    <text xml:space="preserve">Devolvido sem identificação de avaria pela locadora e locado novamente </text>
  </threadedComment>
  <threadedComment ref="D51" dT="2026-02-10T13:47:35.10" personId="{B2FD636B-36D0-473C-BD66-51B9CFA69F6D}" id="{78EFF5F3-7F8E-43DB-BCDC-31923741AF3E}">
    <text>ANTERIORMENTE ERA DE wILDSON</text>
  </threadedComment>
  <threadedComment ref="D64" dT="2026-02-11T11:51:09.98" personId="{B2FD636B-36D0-473C-BD66-51B9CFA69F6D}" id="{FC2072AD-CC61-4A3F-A62C-239B2F74A5D1}">
    <text>Antes de Herik</text>
  </threadedComment>
  <threadedComment ref="D73" dT="2026-02-11T12:43:00.19" personId="{B2FD636B-36D0-473C-BD66-51B9CFA69F6D}" id="{B8DE54B5-11CC-4CE0-88AB-9F89214D37DB}">
    <text>Antes era de Jurandir</text>
  </threadedComment>
  <threadedComment ref="D84" dT="2026-02-11T14:06:54.67" personId="{B2FD636B-36D0-473C-BD66-51B9CFA69F6D}" id="{D5999AFD-9473-4498-8EFC-D0AEA5C404F9}">
    <text>LOCADO POR JURANDIR 04/01/26 E TRANSFERIDO PARA AUGUSTO 17/01/26</text>
  </threadedComment>
  <threadedComment ref="C89" dT="2026-03-03T17:43:52.29" personId="{B2FD636B-36D0-473C-BD66-51B9CFA69F6D}" id="{1BFA4A73-BB3E-4538-851B-EE8819C354A5}">
    <text>Antes de ser devolvido, era utilizado por Eider Breno</text>
  </threadedComment>
</ThreadedComments>
</file>

<file path=xl/threadedComments/threadedComment2.xml><?xml version="1.0" encoding="utf-8"?>
<ThreadedComments xmlns="http://schemas.microsoft.com/office/spreadsheetml/2018/threadedcomments" xmlns:x="http://schemas.openxmlformats.org/spreadsheetml/2006/main">
  <threadedComment ref="E13" dT="2026-04-16T12:57:39.87" personId="{B2FD636B-36D0-473C-BD66-51B9CFA69F6D}" id="{F4CA52F4-B4BA-4CB1-A411-5B2BB56644C9}">
    <text>Authenticar 38 9848-8843 -Janauba MG
Funilaria e pintura caixa de ar lado direito Argo - placa TCU0B50 R$250,00 + 10% Taxa maquineta - pagamento cartão corporativo</text>
  </threadedComment>
  <threadedComment ref="E21" dT="2026-02-10T19:24:58.42" personId="{B2FD636B-36D0-473C-BD66-51B9CFA69F6D}" id="{39100D02-EFDA-4A99-A989-C64E89577061}">
    <text>Lava-jato Kaio 09/02/26 - 1.540,00 faturado 2x
Capa retrovisor 200,00
Tampa tanque 100,00
Pára-choque 300,00
Polimento 350,00
Martelinho de ouro 400,00 duas portas
Lavagem chassi 50,00
Lavagem motor 50,00
Lavagem carpete 40,00
Mao de obra lanterna 50,00
Compra lanterna 661,50 cartão corporativo - mercado livre (pago a Kaio do lava-jato)</text>
  </threadedComment>
  <threadedComment ref="E31" dT="2026-01-09T19:50:05.82" personId="{B2FD636B-36D0-473C-BD66-51B9CFA69F6D}" id="{FAC80BE8-2801-43B2-992A-979FE31AB9F4}">
    <text>Geifran pintor - 350,00 amassado na porta e pintura</text>
  </threadedComment>
  <threadedComment ref="G34" dT="2026-01-09T19:54:24.81" personId="{B2FD636B-36D0-473C-BD66-51B9CFA69F6D}" id="{EE2966D8-F408-40D9-A1A0-FA29776F7B5B}">
    <text>09/01 joão das rodas - compra de 1 calota R$70,44 (teve desconto porque comprou 3, 1 para Ubiratan e 2 para Tiago gonçalves)</text>
  </threadedComment>
  <threadedComment ref="B49" dT="2026-03-11T19:48:00.57" personId="{B2FD636B-36D0-473C-BD66-51B9CFA69F6D}" id="{0A4FABFF-1D26-4FB4-9087-E6F1E730FFC5}">
    <text>Oficina Gilson - 05/03/26</text>
  </threadedComment>
  <threadedComment ref="E55" dT="2026-01-07T19:33:52.30" personId="{B2FD636B-36D0-473C-BD66-51B9CFA69F6D}" id="{D84EB848-72F3-4A7B-AA6D-BB5D93C7958A}">
    <text xml:space="preserve">Lava-jato Kaio 74 9807-7532 - 19/12/25
350,00 polimento
250,00 martelinho porta traseira (lado do carona)  
100,00 limpeza das lanternas traseiras (muito poeira interna)
</text>
  </threadedComment>
  <threadedComment ref="E56" dT="2026-02-10T19:18:52.68" personId="{B2FD636B-36D0-473C-BD66-51B9CFA69F6D}" id="{32DAD896-27EB-4B9A-98F6-C88C965F4798}">
    <text>Lava-jato Kaio - faturado
Pintura pára-choque completo dianteiro 350,00
Lavagem de chassi 80,00
Pára-choque traseiro retoque 250,00
Polimento 350,00</text>
  </threadedComment>
  <threadedComment ref="E57" dT="2026-02-10T19:20:42.66" personId="{B2FD636B-36D0-473C-BD66-51B9CFA69F6D}" id="{BD2EC5A2-BE57-443A-A14E-0B8A222C48AA}">
    <text xml:space="preserve">Lava-jato Kaio - faturado
Polimento 350,00
Lavagem motor 50,00
Lavagem chassi 50,00
Lavagem carpete 50,00
Retoque tampa da mala 350,00
Retoque porta 300,00
</text>
  </threadedComment>
  <threadedComment ref="E58" dT="2026-02-11T10:53:23.83" personId="{B2FD636B-36D0-473C-BD66-51B9CFA69F6D}" id="{C65BB40C-2D45-4133-872C-BFBEB5CA34AE}">
    <text xml:space="preserve"> 1 pára-choque dianteiro 2.800,00 reais 
 1 moldura do farol de milha LAD direito 100,00 reias 
 1 par de farol de milha 680,00 reais : 
Serviço a serem realizados;
Desmontagem das peças danificadas e e retirada das peças que serão reaproveitadas  na montagem da nova peça , ex grades frontais e detalhes que compõem o pára-choque que não foram danificado .
2 pintura da nova peça em seguida montagem , e instalação no veículo valor cobrado pelo serviço 1.500,00 reais.</text>
  </threadedComment>
  <threadedComment ref="E59" dT="2026-02-24T17:58:50.48" personId="{B2FD636B-36D0-473C-BD66-51B9CFA69F6D}" id="{39D26095-D792-48C3-A4FB-6C3F70C0D7AF}">
    <text>24/02/2026 R$473,64 - O REI DOS FÁROIS (Afogados PE - 81 98756-7919): Compra da lente da lanterna do farol dianteiro lado esquerdo S10 2024/2024 R$450,00 + juros da maquineta, pago com cartão corporativo.</text>
  </threadedComment>
  <threadedComment ref="E59" dT="2026-03-12T12:54:16.67" personId="{B2FD636B-36D0-473C-BD66-51B9CFA69F6D}" id="{DB6A0EE2-EBD8-42A8-AC10-5394F0D4BC08}" parentId="{39D26095-D792-48C3-A4FB-6C3F70C0D7AF}">
    <text>12/03/2026 R$1.000,00 Daniel Martelinho de Ouro (Transferência) - Pintura e lanternagem lateral para-lama e para-choque dianteiro lado esquerdo e recuperação e encaixe da parte plástica inferior do para-choque dianteiro.</text>
  </threadedComment>
  <threadedComment ref="E60" dT="2026-03-02T14:13:34.67" personId="{B2FD636B-36D0-473C-BD66-51B9CFA69F6D}" id="{B487F7EB-3311-4CD2-A0C6-D5F538E49509}">
    <text>Fluxo Car Gilmar 38 98851-4640
Pintura e lanternagem R$600,00 (500,00 Proyfe e 100,00 Ualace para deduzir na NF dele - o valor total foi pago no cartão corporativo)</text>
  </threadedComment>
  <threadedComment ref="F62" dT="2026-03-11T19:48:15.23" personId="{B2FD636B-36D0-473C-BD66-51B9CFA69F6D}" id="{5019938D-DED0-4CB8-952A-E22C1728A3D2}">
    <text>REPARO NO PARA-BRISAS R$80,00 SOSKAP CURRAIS NOVOS</text>
  </threadedComment>
  <threadedComment ref="F62" dT="2026-03-18T12:55:13.44" personId="{B2FD636B-36D0-473C-BD66-51B9CFA69F6D}" id="{37627127-C5D7-4507-9A53-9C10BE60E10C}" parentId="{5019938D-DED0-4CB8-952A-E22C1728A3D2}">
    <text>Troca de Para-brisas R$900,00, reparo não atendeu</text>
  </threadedComment>
  <threadedComment ref="F62" dT="2026-06-08T14:25:43.20" personId="{B2FD636B-36D0-473C-BD66-51B9CFA69F6D}" id="{58A62006-C4BB-4315-85CC-B4B598187486}" parentId="{5019938D-DED0-4CB8-952A-E22C1728A3D2}">
    <text>06/06/26 R$50,00 Reparo no para-brisas Edinho - Natal (cartão corporativo)</text>
  </threadedComment>
  <threadedComment ref="B63" dT="2026-03-24T17:38:31.18" personId="{B2FD636B-36D0-473C-BD66-51B9CFA69F6D}" id="{DD792346-693C-4074-A91F-86183B42F097}">
    <text>ANTES ERA DE ACÁCIO - TROCA DE CONDUTOR 01/04/25</text>
  </threadedComment>
  <threadedComment ref="E63" dT="2026-03-24T17:42:00.43" personId="{B2FD636B-36D0-473C-BD66-51B9CFA69F6D}" id="{179529B0-4C5C-4CB9-99DE-64AF60B29BA9}">
    <text>Funilaria, pintura, limpeza adicional - Lava-jato Kaio Irece
Lavagem bancos 80,00
Lavagem carpete 40,00
Lavagem motor 50,00
Concerto e pintura pára-choque dianteiro 400,00
Martelinho de ouro porta 900,00
Polimento geral 350,00
Limpeza 3 lanternas traseiras 300,00</text>
  </threadedComment>
  <threadedComment ref="E63" dT="2026-03-24T17:42:50.42" personId="{B2FD636B-36D0-473C-BD66-51B9CFA69F6D}" id="{F882DE9D-9EDE-4EC2-BA6A-30D4075D1DE7}" parentId="{179529B0-4C5C-4CB9-99DE-64AF60B29BA9}">
    <text>Compra da moldura do para-lama dianteiro esquerdo R$280,00 - soltou no trajeto para devolução do veículo 21/03/2026</text>
  </threadedComment>
  <threadedComment ref="E64" dT="2026-03-25T12:54:24.89" personId="{B2FD636B-36D0-473C-BD66-51B9CFA69F6D}" id="{EA6FB679-44DE-4DBF-9CCA-3B7391D1BC64}">
    <text>Lava-jato Kaio - R$1.100,00 faturamento 2x
350,00 polimento
Para-choque dianteiro direito 3 peças 500,00
Martelinho porta motorista 250,00</text>
  </threadedComment>
  <threadedComment ref="E65" dT="2026-04-02T10:54:54.51" personId="{B2FD636B-36D0-473C-BD66-51B9CFA69F6D}" id="{9652F8CB-55DD-48A8-B1D6-F7E9D879289A}">
    <text>Polimento geral e pintura no para-choque dianteiro</text>
  </threadedComment>
  <threadedComment ref="F66" dT="2026-04-23T19:56:30.96" personId="{B2FD636B-36D0-473C-BD66-51B9CFA69F6D}" id="{7B30535D-B0B9-4340-AB65-1FCF7701E22A}">
    <text>22/04/26 - Troca de para-brisas SOSKAP 84 9925-6677 - faturamento</text>
  </threadedComment>
  <threadedComment ref="H67" dT="2026-05-05T12:38:40.91" personId="{B2FD636B-36D0-473C-BD66-51B9CFA69F6D}" id="{574AC61A-F77C-49A9-8A50-5C897F685D7A}">
    <text xml:space="preserve">S10 PVR4B99 – Veículo é do Ademir, mas na ocorrência estava sendo utilizado por Marcilio, o qual informou que na estrada tinha esse arame que foi identificado só após escutar o barulho quando ele enrolou na parte inferior do veículo e ocasionou o vazamento, indicando possível avaria no tanque de combustível que tem o material de plástico e não de ferro como outros veículos.
Devido ao vazamento, foi necessário solicitar o guincho (Francisco 84 9962-4510) e o veículo foi direcionado para a oficina do Geifran (84 9937-8818) em Cerro Corá – no dia 29/04/26 Geifran sinalizou que na verdade não houve avaria no tanque de combustível, o arame enganchou e soltou o suspiro (válvula de escape) que possui no tanque e o Geifran colou a peça no lugar e não houve mais o vazamento – Geifran não cobrou pelo serviço realizado. 
</text>
  </threadedComment>
  <threadedComment ref="G68" dT="2026-06-08T14:31:57.78" personId="{B2FD636B-36D0-473C-BD66-51B9CFA69F6D}" id="{EFB36B89-1375-4BAA-B092-D6CE9BC2C54B}">
    <text>08/06/26 - Assibi iniciou as atividades em 08/06, se perdeu no trajeto e ocorreu avaria no pneu, trocou pelo do step e avariou novamente e como ela rodou com o pneu do step murcho amassou a roda - R$250,00 inclui a vulcanização de ambos os pneus e desamassar a roda - pago cartão corporativo de Geferson;</text>
  </threadedComment>
  <threadedComment ref="G69" dT="2026-06-08T17:39:58.47" personId="{B2FD636B-36D0-473C-BD66-51B9CFA69F6D}" id="{83749E91-1894-4ECD-9E04-C3D7A5A8D39B}">
    <text>Pneu dianteiro (esquerda) desgastado e sem condições de uso - Troca de pneu realizada em 08/06/26 R$580,00 (coparticipação 50% proyfe e augusto) - Filinto Pneus (pagamento cartão corporativo)</text>
  </threadedComment>
  <threadedComment ref="E70" dT="2026-06-12T16:30:58.32" personId="{B2FD636B-36D0-473C-BD66-51B9CFA69F6D}" id="{84E86411-F33F-4F3B-A535-13D2CC0B6C52}">
    <text>Troca de para-brisas 11/06/26 - Equipadora Equivale R$1.170,00 cartão</text>
  </threadedComment>
</ThreadedComments>
</file>

<file path=xl/threadedComments/threadedComment3.xml><?xml version="1.0" encoding="utf-8"?>
<ThreadedComments xmlns="http://schemas.microsoft.com/office/spreadsheetml/2018/threadedcomments" xmlns:x="http://schemas.openxmlformats.org/spreadsheetml/2006/main">
  <threadedComment ref="L4" dT="2026-02-05T19:52:20.25" personId="{B2FD636B-36D0-473C-BD66-51B9CFA69F6D}" id="{C19A4BB0-EC01-49EB-8485-7805925A1496}">
    <text>Falta checklist, recebido controle de km e fotos - cobrado</text>
  </threadedComment>
  <threadedComment ref="L10" dT="2026-02-11T12:25:29.70" personId="{B2FD636B-36D0-473C-BD66-51B9CFA69F6D}" id="{52A23C31-C8E6-47B1-88E4-63D8BC679921}">
    <text>Ocorrência de avarias</text>
  </threadedComment>
  <threadedComment ref="L16" dT="2026-02-19T18:57:14.12" personId="{B2FD636B-36D0-473C-BD66-51B9CFA69F6D}" id="{F8753225-8E6B-4592-8E69-E84E1F22EFC2}">
    <text>Retornou de viagem da CGN no sábado 14/02/26 e o carro estava parado em queimada nova PI, por este motivo não enviou antes</text>
  </threadedComment>
  <threadedComment ref="L21" dT="2026-02-10T13:10:24.51" personId="{B2FD636B-36D0-473C-BD66-51B9CFA69F6D}" id="{B63CE639-6E7F-45C6-81A1-2A77B36F76A7}">
    <text>OCORRENCIA DE AVARIA</text>
  </threadedComment>
  <threadedComment ref="L23" dT="2026-02-10T12:22:05.15" personId="{B2FD636B-36D0-473C-BD66-51B9CFA69F6D}" id="{4ADC8C71-0D6D-41FC-BC0B-64F092199A40}">
    <text xml:space="preserve">Enviado por Yanca
</text>
  </threadedComment>
  <threadedComment ref="L26" dT="2026-02-10T16:53:02.52" personId="{B2FD636B-36D0-473C-BD66-51B9CFA69F6D}" id="{F80B9A7A-5096-427F-BA4D-69116F33D276}">
    <text>23/01/2026 viajou de tanque novo BA para Queimada nova PI</text>
  </threadedComment>
  <threadedComment ref="M29" dT="2026-03-02T17:48:11.81" personId="{B2FD636B-36D0-473C-BD66-51B9CFA69F6D}" id="{ACA5FF72-C772-44B8-9C01-AC68805B31CA}">
    <text>Devolvido 28/02/2026</text>
  </threadedComment>
  <threadedComment ref="L32" dT="2026-02-10T19:18:07.20" personId="{B2FD636B-36D0-473C-BD66-51B9CFA69F6D}" id="{319B8DF6-A79D-4266-BF2F-D640DAF9E435}">
    <text>Ocorrência de avaria no para-choque dianteiro, consta apenas a foto no checklist, sem detalhamento e sem comunicação imediata</text>
  </threadedComment>
  <threadedComment ref="M41" dT="2026-03-02T17:48:11.81" personId="{B2FD636B-36D0-473C-BD66-51B9CFA69F6D}" id="{7A9BCDCE-0997-4E09-8A84-8198209ADA75}">
    <text>Devolvido 28/02/2026</text>
  </threadedComment>
  <threadedComment ref="D42" dT="2026-02-10T13:06:49.99" personId="{B2FD636B-36D0-473C-BD66-51B9CFA69F6D}" id="{FE9DCF57-202B-4127-8651-042675EBEEFE}">
    <text>ANTERIORMENTE DE WILDSON - TRANSFERIDO PARA UBIRATAN EM 10/01/26</text>
  </threadedComment>
  <threadedComment ref="M51" dT="2026-02-11T11:15:31.87" personId="{B2FD636B-36D0-473C-BD66-51B9CFA69F6D}" id="{8EBC8B91-ADA8-4FEE-97E4-02BE4E6D650A}">
    <text>Viajou de noronha para Recife em 10/02/2026 e o veículo foi devolvido 09/02/2026</text>
  </threadedComment>
  <threadedComment ref="L60" dT="2026-02-09T17:29:40.24" personId="{B2FD636B-36D0-473C-BD66-51B9CFA69F6D}" id="{E63E8309-E524-46F6-9BC5-CE40253B232A}">
    <text>Enviou apenas o controle de km em 09/02, ficou de enviar o checklist e fotos no dia seguinte - recebido 10/02</text>
  </threadedComment>
  <threadedComment ref="L62" dT="2026-02-09T16:41:36.89" personId="{B2FD636B-36D0-473C-BD66-51B9CFA69F6D}" id="{3466E01F-5380-4B4E-B48C-B414F3E74578}">
    <text>SINALIZOU AVARIA OCORRIDA NO ESTACIONAMENTO DO AEROPORTO DE NATAL, DURANTE USO PARTICULAR RECESSO 2025</text>
  </threadedComment>
  <threadedComment ref="N65" dT="2026-04-01T18:48:15.89" personId="{B2FD636B-36D0-473C-BD66-51B9CFA69F6D}" id="{B184C563-7AF4-420C-88C3-42D3057ACFB3}">
    <text xml:space="preserve">Verificar troca de pneu dianteiro
</text>
  </threadedComment>
  <threadedComment ref="D66" dT="2026-02-10T14:46:30.34" personId="{B2FD636B-36D0-473C-BD66-51B9CFA69F6D}" id="{47C7F065-1682-496C-9636-7FC4F0811F8E}">
    <text xml:space="preserve">Estava com o marcilio repassado para Mizael em 08/02/2026
</text>
  </threadedComment>
  <threadedComment ref="L66" dT="2026-02-10T14:45:53.05" personId="{B2FD636B-36D0-473C-BD66-51B9CFA69F6D}" id="{E041DA4A-CD27-42F1-B62B-1069F824196D}">
    <text xml:space="preserve">Veículo devolvido e locado novamente em 31/01/2026 - transferido para Mizael em 08/02/2026
</text>
  </threadedComment>
  <threadedComment ref="N66" dT="2026-03-27T14:54:51.33" personId="{B2FD636B-36D0-473C-BD66-51B9CFA69F6D}" id="{7FC5D053-0A25-42FF-A410-9AEB93C9D904}">
    <text xml:space="preserve">Folga Mizael 26/03 a 05/04/26 - veículo parado no residencial Bela vista em Lajes e chave com Rigoberto.
</text>
  </threadedComment>
  <threadedComment ref="L69" dT="2026-02-11T12:45:04.58" personId="{B2FD636B-36D0-473C-BD66-51B9CFA69F6D}" id="{4ABF9809-5574-45C1-AD0D-4365E2B8B46B}">
    <text>ENVIADO NO WHATSAPP</text>
  </threadedComment>
  <threadedComment ref="D70" dT="2026-02-11T14:12:49.06" personId="{B2FD636B-36D0-473C-BD66-51B9CFA69F6D}" id="{F8661A89-83C8-4A98-83FE-076824E80B30}">
    <text>Locado por jurandir 04/01/26 e transferido para augusto 17/01/26</text>
  </threadedComment>
  <threadedComment ref="L70" dT="2026-02-11T14:14:09.25" personId="{B2FD636B-36D0-473C-BD66-51B9CFA69F6D}" id="{054EE535-ED3A-4315-8437-19DC32793E45}">
    <text>Enviou apenas o checklist e fotos no recebimento do veículo em 17/01 e os relatórios do fechamento de janeiro estão pendentes</text>
  </threadedComment>
  <threadedComment ref="E73" dT="2026-02-19T18:26:04.40" personId="{B2FD636B-36D0-473C-BD66-51B9CFA69F6D}" id="{E2521A33-EB90-480F-BA00-9D8189907956}">
    <text>Locado em 09/02/2026</text>
  </threadedComment>
  <threadedComment ref="N74" dT="2026-04-07T13:19:12.69" personId="{B2FD636B-36D0-473C-BD66-51B9CFA69F6D}" id="{C6BDFBFD-5932-4852-8A46-562D6ED1C335}">
    <text>Devolução veículo 01/04/26</text>
  </threadedComment>
  <threadedComment ref="E80" dT="2026-04-01T19:30:12.09" personId="{B2FD636B-36D0-473C-BD66-51B9CFA69F6D}" id="{769F6D80-F0D7-4895-A7B2-977728FA1B87}">
    <text>Locado 31/03/26</text>
  </threadedComment>
  <threadedComment ref="L90" dT="2026-02-10T17:28:06.40" personId="{B2FD636B-36D0-473C-BD66-51B9CFA69F6D}" id="{F54BDDF2-542D-4A29-A320-2D73492F48A0}">
    <text>Controle de km com divergencia - cobrado 10/02</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167BA-BCEB-46D2-B6DF-D3DDE10FBA49}">
  <sheetPr filterMode="1"/>
  <dimension ref="A1:L138"/>
  <sheetViews>
    <sheetView showGridLines="0" tabSelected="1" zoomScale="90" zoomScaleNormal="90" workbookViewId="0">
      <pane ySplit="2" topLeftCell="A84" activePane="bottomLeft" state="frozen"/>
      <selection pane="bottomLeft" activeCell="G143" sqref="G143"/>
    </sheetView>
  </sheetViews>
  <sheetFormatPr defaultRowHeight="15" x14ac:dyDescent="0.25"/>
  <cols>
    <col min="2" max="2" width="9.140625" style="61"/>
    <col min="3" max="3" width="14.7109375" style="33" customWidth="1"/>
    <col min="4" max="4" width="17.7109375" bestFit="1" customWidth="1"/>
    <col min="5" max="5" width="16.7109375" customWidth="1"/>
    <col min="6" max="6" width="51.140625" customWidth="1"/>
    <col min="7" max="7" width="80" customWidth="1"/>
    <col min="8" max="8" width="10" customWidth="1"/>
    <col min="9" max="9" width="12.85546875" customWidth="1"/>
    <col min="10" max="10" width="25.28515625" customWidth="1"/>
    <col min="11" max="11" width="28.42578125" customWidth="1"/>
    <col min="12" max="12" width="23.5703125" customWidth="1"/>
  </cols>
  <sheetData>
    <row r="1" spans="1:12" x14ac:dyDescent="0.25">
      <c r="C1" s="141" t="s">
        <v>9</v>
      </c>
      <c r="D1" s="141"/>
      <c r="E1" s="141"/>
      <c r="F1" s="141"/>
      <c r="G1" s="141"/>
      <c r="H1" s="141"/>
      <c r="I1" s="141"/>
      <c r="J1" s="141"/>
      <c r="K1" s="141"/>
      <c r="L1" s="141"/>
    </row>
    <row r="2" spans="1:12" x14ac:dyDescent="0.25">
      <c r="A2" s="2" t="s">
        <v>10</v>
      </c>
      <c r="B2" s="2" t="s">
        <v>241</v>
      </c>
      <c r="C2" s="2" t="s">
        <v>0</v>
      </c>
      <c r="D2" s="2" t="s">
        <v>2</v>
      </c>
      <c r="E2" s="2" t="s">
        <v>3</v>
      </c>
      <c r="F2" s="2" t="s">
        <v>185</v>
      </c>
      <c r="G2" s="2" t="s">
        <v>186</v>
      </c>
      <c r="H2" s="2" t="s">
        <v>4</v>
      </c>
      <c r="I2" s="2" t="s">
        <v>5</v>
      </c>
      <c r="J2" s="2" t="s">
        <v>6</v>
      </c>
      <c r="K2" s="2" t="s">
        <v>8</v>
      </c>
      <c r="L2" s="2" t="s">
        <v>7</v>
      </c>
    </row>
    <row r="3" spans="1:12" s="30" customFormat="1" ht="105" hidden="1" x14ac:dyDescent="0.25">
      <c r="A3" s="26">
        <v>1</v>
      </c>
      <c r="B3" s="29" t="s">
        <v>315</v>
      </c>
      <c r="C3" s="6" t="s">
        <v>11</v>
      </c>
      <c r="D3" s="4" t="s">
        <v>175</v>
      </c>
      <c r="E3" s="25" t="s">
        <v>15</v>
      </c>
      <c r="F3" s="25" t="s">
        <v>205</v>
      </c>
      <c r="G3" s="27" t="s">
        <v>545</v>
      </c>
      <c r="H3" s="28" t="s">
        <v>16</v>
      </c>
      <c r="I3" s="28" t="s">
        <v>16</v>
      </c>
      <c r="J3" s="28" t="s">
        <v>17</v>
      </c>
      <c r="K3" s="28" t="s">
        <v>18</v>
      </c>
      <c r="L3" s="28" t="s">
        <v>19</v>
      </c>
    </row>
    <row r="4" spans="1:12" s="30" customFormat="1" ht="45" hidden="1" x14ac:dyDescent="0.25">
      <c r="A4" s="26">
        <v>2</v>
      </c>
      <c r="B4" s="29" t="s">
        <v>315</v>
      </c>
      <c r="C4" s="6" t="s">
        <v>12</v>
      </c>
      <c r="D4" s="4" t="s">
        <v>13</v>
      </c>
      <c r="E4" s="25" t="s">
        <v>15</v>
      </c>
      <c r="F4" s="25"/>
      <c r="G4" s="27" t="s">
        <v>311</v>
      </c>
      <c r="H4" s="28" t="s">
        <v>16</v>
      </c>
      <c r="I4" s="28" t="s">
        <v>16</v>
      </c>
      <c r="J4" s="28" t="s">
        <v>17</v>
      </c>
      <c r="K4" s="28" t="s">
        <v>18</v>
      </c>
      <c r="L4" s="28" t="s">
        <v>19</v>
      </c>
    </row>
    <row r="5" spans="1:12" s="30" customFormat="1" hidden="1" x14ac:dyDescent="0.25">
      <c r="A5" s="26">
        <v>3</v>
      </c>
      <c r="B5" s="29" t="s">
        <v>315</v>
      </c>
      <c r="C5" s="6" t="s">
        <v>116</v>
      </c>
      <c r="D5" s="4" t="s">
        <v>14</v>
      </c>
      <c r="E5" s="25" t="s">
        <v>15</v>
      </c>
      <c r="F5" s="25"/>
      <c r="G5" s="25" t="s">
        <v>316</v>
      </c>
      <c r="H5" s="28" t="s">
        <v>16</v>
      </c>
      <c r="I5" s="28" t="s">
        <v>16</v>
      </c>
      <c r="J5" s="28" t="s">
        <v>17</v>
      </c>
      <c r="K5" s="28" t="s">
        <v>18</v>
      </c>
      <c r="L5" s="28" t="s">
        <v>19</v>
      </c>
    </row>
    <row r="6" spans="1:12" hidden="1" x14ac:dyDescent="0.25">
      <c r="A6" s="1">
        <v>4</v>
      </c>
      <c r="B6" s="29" t="s">
        <v>315</v>
      </c>
      <c r="C6" s="9" t="s">
        <v>20</v>
      </c>
      <c r="D6" s="5" t="s">
        <v>21</v>
      </c>
      <c r="E6" s="5" t="s">
        <v>31</v>
      </c>
      <c r="F6" s="5" t="s">
        <v>196</v>
      </c>
      <c r="G6" s="5" t="s">
        <v>195</v>
      </c>
      <c r="H6" s="12" t="s">
        <v>16</v>
      </c>
      <c r="I6" s="12" t="s">
        <v>16</v>
      </c>
      <c r="J6" s="12" t="s">
        <v>32</v>
      </c>
      <c r="K6" s="12" t="s">
        <v>90</v>
      </c>
      <c r="L6" s="12" t="s">
        <v>33</v>
      </c>
    </row>
    <row r="7" spans="1:12" hidden="1" x14ac:dyDescent="0.25">
      <c r="A7" s="1">
        <v>5</v>
      </c>
      <c r="B7" s="3" t="s">
        <v>315</v>
      </c>
      <c r="C7" s="11" t="s">
        <v>22</v>
      </c>
      <c r="D7" s="5" t="s">
        <v>23</v>
      </c>
      <c r="E7" s="5" t="s">
        <v>31</v>
      </c>
      <c r="F7" s="5"/>
      <c r="G7" s="5"/>
      <c r="H7" s="12" t="s">
        <v>16</v>
      </c>
      <c r="I7" s="12" t="s">
        <v>16</v>
      </c>
      <c r="J7" s="12" t="s">
        <v>32</v>
      </c>
      <c r="K7" s="12" t="s">
        <v>90</v>
      </c>
      <c r="L7" s="12" t="s">
        <v>33</v>
      </c>
    </row>
    <row r="8" spans="1:12" hidden="1" x14ac:dyDescent="0.25">
      <c r="A8" s="1">
        <v>6</v>
      </c>
      <c r="B8" s="3" t="s">
        <v>315</v>
      </c>
      <c r="C8" s="6" t="s">
        <v>24</v>
      </c>
      <c r="D8" s="5" t="s">
        <v>26</v>
      </c>
      <c r="E8" s="5" t="s">
        <v>31</v>
      </c>
      <c r="F8" s="5"/>
      <c r="G8" s="5"/>
      <c r="H8" s="12" t="s">
        <v>16</v>
      </c>
      <c r="I8" s="12" t="s">
        <v>16</v>
      </c>
      <c r="J8" s="12" t="s">
        <v>32</v>
      </c>
      <c r="K8" s="12" t="s">
        <v>90</v>
      </c>
      <c r="L8" s="12" t="s">
        <v>33</v>
      </c>
    </row>
    <row r="9" spans="1:12" hidden="1" x14ac:dyDescent="0.25">
      <c r="A9" s="1">
        <v>7</v>
      </c>
      <c r="B9" s="3" t="s">
        <v>315</v>
      </c>
      <c r="C9" s="6" t="s">
        <v>25</v>
      </c>
      <c r="D9" s="5" t="s">
        <v>27</v>
      </c>
      <c r="E9" s="5" t="s">
        <v>31</v>
      </c>
      <c r="F9" s="5"/>
      <c r="G9" s="22" t="s">
        <v>107</v>
      </c>
      <c r="H9" s="12" t="s">
        <v>16</v>
      </c>
      <c r="I9" s="12" t="s">
        <v>16</v>
      </c>
      <c r="J9" s="12" t="s">
        <v>32</v>
      </c>
      <c r="K9" s="12" t="s">
        <v>90</v>
      </c>
      <c r="L9" s="12" t="s">
        <v>33</v>
      </c>
    </row>
    <row r="10" spans="1:12" s="30" customFormat="1" ht="105" hidden="1" x14ac:dyDescent="0.25">
      <c r="A10" s="26">
        <v>9</v>
      </c>
      <c r="B10" s="29" t="s">
        <v>315</v>
      </c>
      <c r="C10" s="6" t="s">
        <v>28</v>
      </c>
      <c r="D10" s="25" t="s">
        <v>26</v>
      </c>
      <c r="E10" s="25" t="s">
        <v>31</v>
      </c>
      <c r="F10" s="25"/>
      <c r="G10" s="66" t="s">
        <v>220</v>
      </c>
      <c r="H10" s="28" t="s">
        <v>16</v>
      </c>
      <c r="I10" s="28" t="s">
        <v>16</v>
      </c>
      <c r="J10" s="28" t="s">
        <v>32</v>
      </c>
      <c r="K10" s="28" t="s">
        <v>90</v>
      </c>
      <c r="L10" s="28" t="s">
        <v>33</v>
      </c>
    </row>
    <row r="11" spans="1:12" s="30" customFormat="1" ht="30" hidden="1" x14ac:dyDescent="0.25">
      <c r="A11" s="26">
        <v>10</v>
      </c>
      <c r="B11" s="29" t="s">
        <v>315</v>
      </c>
      <c r="C11" s="6" t="s">
        <v>29</v>
      </c>
      <c r="D11" s="25" t="s">
        <v>30</v>
      </c>
      <c r="E11" s="25" t="s">
        <v>31</v>
      </c>
      <c r="F11" s="25"/>
      <c r="G11" s="27" t="s">
        <v>524</v>
      </c>
      <c r="H11" s="28" t="s">
        <v>16</v>
      </c>
      <c r="I11" s="28" t="s">
        <v>16</v>
      </c>
      <c r="J11" s="28" t="s">
        <v>32</v>
      </c>
      <c r="K11" s="28" t="s">
        <v>90</v>
      </c>
      <c r="L11" s="28" t="s">
        <v>33</v>
      </c>
    </row>
    <row r="12" spans="1:12" s="30" customFormat="1" ht="30" hidden="1" x14ac:dyDescent="0.25">
      <c r="A12" s="26">
        <v>14</v>
      </c>
      <c r="B12" s="29" t="s">
        <v>315</v>
      </c>
      <c r="C12" s="6" t="s">
        <v>232</v>
      </c>
      <c r="D12" s="4" t="s">
        <v>233</v>
      </c>
      <c r="E12" s="25" t="s">
        <v>37</v>
      </c>
      <c r="F12" s="27" t="s">
        <v>234</v>
      </c>
      <c r="G12" s="27" t="s">
        <v>535</v>
      </c>
      <c r="H12" s="28" t="s">
        <v>16</v>
      </c>
      <c r="I12" s="28" t="s">
        <v>16</v>
      </c>
      <c r="J12" s="28" t="s">
        <v>38</v>
      </c>
      <c r="K12" s="28" t="s">
        <v>18</v>
      </c>
      <c r="L12" s="28" t="s">
        <v>39</v>
      </c>
    </row>
    <row r="13" spans="1:12" ht="135" hidden="1" x14ac:dyDescent="0.25">
      <c r="A13" s="1">
        <v>17</v>
      </c>
      <c r="B13" s="135" t="s">
        <v>315</v>
      </c>
      <c r="C13" s="11" t="s">
        <v>40</v>
      </c>
      <c r="D13" s="5" t="s">
        <v>41</v>
      </c>
      <c r="E13" s="5" t="s">
        <v>43</v>
      </c>
      <c r="F13" s="5"/>
      <c r="G13" s="23" t="s">
        <v>106</v>
      </c>
      <c r="H13" s="12" t="s">
        <v>16</v>
      </c>
      <c r="I13" s="12" t="s">
        <v>16</v>
      </c>
      <c r="J13" s="12" t="s">
        <v>44</v>
      </c>
      <c r="K13" s="12" t="s">
        <v>44</v>
      </c>
      <c r="L13" s="12" t="s">
        <v>44</v>
      </c>
    </row>
    <row r="14" spans="1:12" hidden="1" x14ac:dyDescent="0.25">
      <c r="A14" s="1">
        <v>18</v>
      </c>
      <c r="B14" s="29" t="s">
        <v>315</v>
      </c>
      <c r="C14" s="11" t="s">
        <v>201</v>
      </c>
      <c r="D14" s="5" t="s">
        <v>42</v>
      </c>
      <c r="E14" s="5" t="s">
        <v>43</v>
      </c>
      <c r="F14" s="5" t="s">
        <v>196</v>
      </c>
      <c r="G14" s="5" t="s">
        <v>501</v>
      </c>
      <c r="H14" s="12" t="s">
        <v>16</v>
      </c>
      <c r="I14" s="12" t="s">
        <v>16</v>
      </c>
      <c r="J14" s="12" t="s">
        <v>44</v>
      </c>
      <c r="K14" s="12" t="s">
        <v>44</v>
      </c>
      <c r="L14" s="12" t="s">
        <v>44</v>
      </c>
    </row>
    <row r="15" spans="1:12" s="30" customFormat="1" ht="255" hidden="1" x14ac:dyDescent="0.25">
      <c r="A15" s="26">
        <v>19</v>
      </c>
      <c r="B15" s="29" t="s">
        <v>315</v>
      </c>
      <c r="C15" s="6" t="s">
        <v>49</v>
      </c>
      <c r="D15" s="25" t="s">
        <v>312</v>
      </c>
      <c r="E15" s="25" t="s">
        <v>52</v>
      </c>
      <c r="F15" s="25"/>
      <c r="G15" s="27" t="s">
        <v>229</v>
      </c>
      <c r="H15" s="28" t="s">
        <v>16</v>
      </c>
      <c r="I15" s="28" t="s">
        <v>16</v>
      </c>
      <c r="J15" s="28" t="s">
        <v>57</v>
      </c>
      <c r="K15" s="28" t="s">
        <v>90</v>
      </c>
      <c r="L15" s="28" t="s">
        <v>39</v>
      </c>
    </row>
    <row r="16" spans="1:12" ht="30" hidden="1" x14ac:dyDescent="0.25">
      <c r="A16" s="1">
        <v>20</v>
      </c>
      <c r="B16" s="3" t="s">
        <v>315</v>
      </c>
      <c r="C16" s="6" t="s">
        <v>50</v>
      </c>
      <c r="D16" s="5" t="s">
        <v>51</v>
      </c>
      <c r="E16" s="5" t="s">
        <v>52</v>
      </c>
      <c r="F16" s="14" t="s">
        <v>215</v>
      </c>
      <c r="G16" s="23"/>
      <c r="H16" s="12" t="s">
        <v>16</v>
      </c>
      <c r="I16" s="12" t="s">
        <v>16</v>
      </c>
      <c r="J16" s="12" t="s">
        <v>57</v>
      </c>
      <c r="K16" s="12" t="s">
        <v>90</v>
      </c>
      <c r="L16" s="12" t="s">
        <v>39</v>
      </c>
    </row>
    <row r="17" spans="1:12" ht="90" hidden="1" x14ac:dyDescent="0.25">
      <c r="A17" s="1"/>
      <c r="B17" s="29" t="s">
        <v>315</v>
      </c>
      <c r="C17" s="6" t="s">
        <v>48</v>
      </c>
      <c r="D17" s="5" t="s">
        <v>108</v>
      </c>
      <c r="E17" s="5" t="s">
        <v>52</v>
      </c>
      <c r="F17" s="5"/>
      <c r="G17" s="24" t="s">
        <v>228</v>
      </c>
      <c r="H17" s="12"/>
      <c r="I17" s="12"/>
      <c r="J17" s="12"/>
      <c r="K17" s="12"/>
      <c r="L17" s="12"/>
    </row>
    <row r="18" spans="1:12" s="30" customFormat="1" ht="45" hidden="1" x14ac:dyDescent="0.25">
      <c r="A18" s="26">
        <v>21</v>
      </c>
      <c r="B18" s="29" t="s">
        <v>315</v>
      </c>
      <c r="C18" s="6" t="s">
        <v>45</v>
      </c>
      <c r="D18" s="4" t="s">
        <v>53</v>
      </c>
      <c r="E18" s="25" t="s">
        <v>68</v>
      </c>
      <c r="F18" s="25"/>
      <c r="G18" s="27" t="s">
        <v>354</v>
      </c>
      <c r="H18" s="28" t="s">
        <v>16</v>
      </c>
      <c r="I18" s="28" t="s">
        <v>16</v>
      </c>
      <c r="J18" s="28" t="s">
        <v>57</v>
      </c>
      <c r="K18" s="28" t="s">
        <v>90</v>
      </c>
      <c r="L18" s="28" t="s">
        <v>39</v>
      </c>
    </row>
    <row r="19" spans="1:12" ht="120" hidden="1" x14ac:dyDescent="0.25">
      <c r="A19" s="1">
        <v>22</v>
      </c>
      <c r="B19" s="62" t="s">
        <v>315</v>
      </c>
      <c r="C19" s="31" t="s">
        <v>46</v>
      </c>
      <c r="D19" s="7" t="s">
        <v>54</v>
      </c>
      <c r="E19" s="25" t="s">
        <v>52</v>
      </c>
      <c r="F19" s="25"/>
      <c r="G19" s="24" t="s">
        <v>214</v>
      </c>
      <c r="H19" s="12" t="s">
        <v>16</v>
      </c>
      <c r="I19" s="12" t="s">
        <v>16</v>
      </c>
      <c r="J19" s="12" t="s">
        <v>57</v>
      </c>
      <c r="K19" s="12" t="s">
        <v>90</v>
      </c>
      <c r="L19" s="12" t="s">
        <v>39</v>
      </c>
    </row>
    <row r="20" spans="1:12" s="30" customFormat="1" ht="60" hidden="1" x14ac:dyDescent="0.25">
      <c r="A20" s="26">
        <v>23</v>
      </c>
      <c r="B20" s="29" t="s">
        <v>315</v>
      </c>
      <c r="C20" s="31" t="s">
        <v>47</v>
      </c>
      <c r="D20" s="7" t="s">
        <v>56</v>
      </c>
      <c r="E20" s="25" t="s">
        <v>68</v>
      </c>
      <c r="F20" s="27" t="s">
        <v>225</v>
      </c>
      <c r="G20" s="27" t="s">
        <v>472</v>
      </c>
      <c r="H20" s="28" t="s">
        <v>16</v>
      </c>
      <c r="I20" s="28" t="s">
        <v>16</v>
      </c>
      <c r="J20" s="28" t="s">
        <v>57</v>
      </c>
      <c r="K20" s="28" t="s">
        <v>90</v>
      </c>
      <c r="L20" s="28" t="s">
        <v>39</v>
      </c>
    </row>
    <row r="21" spans="1:12" s="30" customFormat="1" ht="60" hidden="1" x14ac:dyDescent="0.25">
      <c r="A21" s="26">
        <v>25</v>
      </c>
      <c r="B21" s="29" t="s">
        <v>315</v>
      </c>
      <c r="C21" s="6" t="s">
        <v>222</v>
      </c>
      <c r="D21" s="4" t="s">
        <v>61</v>
      </c>
      <c r="E21" s="25" t="s">
        <v>68</v>
      </c>
      <c r="F21" s="27" t="s">
        <v>168</v>
      </c>
      <c r="G21" s="27" t="s">
        <v>206</v>
      </c>
      <c r="H21" s="28" t="s">
        <v>16</v>
      </c>
      <c r="I21" s="28" t="s">
        <v>16</v>
      </c>
      <c r="J21" s="28" t="s">
        <v>69</v>
      </c>
      <c r="K21" s="28" t="s">
        <v>90</v>
      </c>
      <c r="L21" s="28" t="s">
        <v>70</v>
      </c>
    </row>
    <row r="22" spans="1:12" s="30" customFormat="1" ht="60" hidden="1" x14ac:dyDescent="0.25">
      <c r="A22" s="26"/>
      <c r="B22" s="29" t="s">
        <v>315</v>
      </c>
      <c r="C22" s="6" t="s">
        <v>230</v>
      </c>
      <c r="D22" s="4" t="s">
        <v>61</v>
      </c>
      <c r="E22" s="25" t="s">
        <v>68</v>
      </c>
      <c r="F22" s="27" t="s">
        <v>231</v>
      </c>
      <c r="G22" s="27" t="s">
        <v>313</v>
      </c>
      <c r="H22" s="28"/>
      <c r="I22" s="28"/>
      <c r="J22" s="28"/>
      <c r="K22" s="28"/>
      <c r="L22" s="28"/>
    </row>
    <row r="23" spans="1:12" s="30" customFormat="1" ht="45" hidden="1" x14ac:dyDescent="0.25">
      <c r="A23" s="26">
        <v>26</v>
      </c>
      <c r="B23" s="62" t="s">
        <v>120</v>
      </c>
      <c r="C23" s="6" t="s">
        <v>58</v>
      </c>
      <c r="D23" s="4" t="s">
        <v>62</v>
      </c>
      <c r="E23" s="25" t="s">
        <v>68</v>
      </c>
      <c r="F23" s="25"/>
      <c r="G23" s="27" t="s">
        <v>510</v>
      </c>
      <c r="H23" s="28" t="s">
        <v>16</v>
      </c>
      <c r="I23" s="28" t="s">
        <v>16</v>
      </c>
      <c r="J23" s="28" t="s">
        <v>69</v>
      </c>
      <c r="K23" s="28" t="s">
        <v>90</v>
      </c>
      <c r="L23" s="28" t="s">
        <v>70</v>
      </c>
    </row>
    <row r="24" spans="1:12" s="30" customFormat="1" ht="150" hidden="1" x14ac:dyDescent="0.25">
      <c r="A24" s="26">
        <v>27</v>
      </c>
      <c r="B24" s="29" t="s">
        <v>315</v>
      </c>
      <c r="C24" s="6" t="s">
        <v>59</v>
      </c>
      <c r="D24" s="4" t="s">
        <v>115</v>
      </c>
      <c r="E24" s="25" t="s">
        <v>68</v>
      </c>
      <c r="F24" s="27" t="s">
        <v>208</v>
      </c>
      <c r="G24" s="27" t="s">
        <v>353</v>
      </c>
      <c r="H24" s="28" t="s">
        <v>16</v>
      </c>
      <c r="I24" s="28" t="s">
        <v>16</v>
      </c>
      <c r="J24" s="28" t="s">
        <v>69</v>
      </c>
      <c r="K24" s="28" t="s">
        <v>90</v>
      </c>
      <c r="L24" s="28" t="s">
        <v>70</v>
      </c>
    </row>
    <row r="25" spans="1:12" s="30" customFormat="1" ht="180" hidden="1" x14ac:dyDescent="0.25">
      <c r="A25" s="26">
        <v>28</v>
      </c>
      <c r="B25" s="63" t="s">
        <v>315</v>
      </c>
      <c r="C25" s="6" t="s">
        <v>211</v>
      </c>
      <c r="D25" s="4" t="s">
        <v>63</v>
      </c>
      <c r="E25" s="25" t="s">
        <v>68</v>
      </c>
      <c r="F25" s="27" t="s">
        <v>210</v>
      </c>
      <c r="G25" s="27" t="s">
        <v>377</v>
      </c>
      <c r="H25" s="28" t="s">
        <v>16</v>
      </c>
      <c r="I25" s="28" t="s">
        <v>16</v>
      </c>
      <c r="J25" s="28" t="s">
        <v>69</v>
      </c>
      <c r="K25" s="28" t="s">
        <v>90</v>
      </c>
      <c r="L25" s="28" t="s">
        <v>70</v>
      </c>
    </row>
    <row r="26" spans="1:12" hidden="1" x14ac:dyDescent="0.25">
      <c r="A26" s="1">
        <v>29</v>
      </c>
      <c r="B26" s="3" t="s">
        <v>315</v>
      </c>
      <c r="C26" s="6" t="s">
        <v>60</v>
      </c>
      <c r="D26" s="4" t="s">
        <v>64</v>
      </c>
      <c r="E26" s="5" t="s">
        <v>68</v>
      </c>
      <c r="F26" s="5"/>
      <c r="G26" s="5"/>
      <c r="H26" s="12" t="s">
        <v>16</v>
      </c>
      <c r="I26" s="12" t="s">
        <v>16</v>
      </c>
      <c r="J26" s="12" t="s">
        <v>69</v>
      </c>
      <c r="K26" s="12" t="s">
        <v>90</v>
      </c>
      <c r="L26" s="12" t="s">
        <v>70</v>
      </c>
    </row>
    <row r="27" spans="1:12" s="30" customFormat="1" ht="120" hidden="1" x14ac:dyDescent="0.25">
      <c r="A27" s="26">
        <v>30</v>
      </c>
      <c r="B27" s="29" t="s">
        <v>315</v>
      </c>
      <c r="C27" s="6" t="s">
        <v>209</v>
      </c>
      <c r="D27" s="4" t="s">
        <v>159</v>
      </c>
      <c r="E27" s="25" t="s">
        <v>68</v>
      </c>
      <c r="F27" s="27" t="s">
        <v>509</v>
      </c>
      <c r="G27" s="27" t="s">
        <v>547</v>
      </c>
      <c r="H27" s="28" t="s">
        <v>16</v>
      </c>
      <c r="I27" s="28" t="s">
        <v>16</v>
      </c>
      <c r="J27" s="28" t="s">
        <v>69</v>
      </c>
      <c r="K27" s="28" t="s">
        <v>90</v>
      </c>
      <c r="L27" s="28" t="s">
        <v>70</v>
      </c>
    </row>
    <row r="28" spans="1:12" s="30" customFormat="1" ht="105" hidden="1" x14ac:dyDescent="0.25">
      <c r="A28" s="26">
        <v>31</v>
      </c>
      <c r="B28" s="29" t="s">
        <v>315</v>
      </c>
      <c r="C28" s="6" t="s">
        <v>223</v>
      </c>
      <c r="D28" s="4" t="s">
        <v>65</v>
      </c>
      <c r="E28" s="25" t="s">
        <v>68</v>
      </c>
      <c r="F28" s="27" t="s">
        <v>207</v>
      </c>
      <c r="G28" s="25" t="s">
        <v>169</v>
      </c>
      <c r="H28" s="28" t="s">
        <v>16</v>
      </c>
      <c r="I28" s="28" t="s">
        <v>16</v>
      </c>
      <c r="J28" s="28" t="s">
        <v>69</v>
      </c>
      <c r="K28" s="28" t="s">
        <v>90</v>
      </c>
      <c r="L28" s="28" t="s">
        <v>70</v>
      </c>
    </row>
    <row r="29" spans="1:12" s="30" customFormat="1" ht="90" hidden="1" x14ac:dyDescent="0.25">
      <c r="A29" s="26">
        <v>32</v>
      </c>
      <c r="B29" s="29" t="s">
        <v>315</v>
      </c>
      <c r="C29" s="6" t="s">
        <v>213</v>
      </c>
      <c r="D29" s="4" t="s">
        <v>212</v>
      </c>
      <c r="E29" s="25" t="s">
        <v>68</v>
      </c>
      <c r="F29" s="25"/>
      <c r="G29" s="27" t="s">
        <v>376</v>
      </c>
      <c r="H29" s="28" t="s">
        <v>16</v>
      </c>
      <c r="I29" s="28" t="s">
        <v>16</v>
      </c>
      <c r="J29" s="28" t="s">
        <v>69</v>
      </c>
      <c r="K29" s="28" t="s">
        <v>90</v>
      </c>
      <c r="L29" s="28" t="s">
        <v>70</v>
      </c>
    </row>
    <row r="30" spans="1:12" s="30" customFormat="1" ht="75" hidden="1" x14ac:dyDescent="0.25">
      <c r="A30" s="26">
        <v>33</v>
      </c>
      <c r="B30" s="29" t="s">
        <v>315</v>
      </c>
      <c r="C30" s="6" t="s">
        <v>111</v>
      </c>
      <c r="D30" s="4" t="s">
        <v>66</v>
      </c>
      <c r="E30" s="25" t="s">
        <v>68</v>
      </c>
      <c r="F30" s="25"/>
      <c r="G30" s="27" t="s">
        <v>382</v>
      </c>
      <c r="H30" s="28" t="s">
        <v>16</v>
      </c>
      <c r="I30" s="28" t="s">
        <v>16</v>
      </c>
      <c r="J30" s="28" t="s">
        <v>69</v>
      </c>
      <c r="K30" s="28" t="s">
        <v>90</v>
      </c>
      <c r="L30" s="28" t="s">
        <v>70</v>
      </c>
    </row>
    <row r="31" spans="1:12" hidden="1" x14ac:dyDescent="0.25">
      <c r="A31" s="1">
        <v>34</v>
      </c>
      <c r="B31" s="3" t="s">
        <v>315</v>
      </c>
      <c r="C31" s="6" t="s">
        <v>224</v>
      </c>
      <c r="D31" s="4" t="s">
        <v>67</v>
      </c>
      <c r="E31" s="5" t="s">
        <v>68</v>
      </c>
      <c r="F31" s="5"/>
      <c r="G31" s="5" t="s">
        <v>173</v>
      </c>
      <c r="H31" s="12" t="s">
        <v>16</v>
      </c>
      <c r="I31" s="12" t="s">
        <v>16</v>
      </c>
      <c r="J31" s="12" t="s">
        <v>69</v>
      </c>
      <c r="K31" s="12" t="s">
        <v>90</v>
      </c>
      <c r="L31" s="12" t="s">
        <v>70</v>
      </c>
    </row>
    <row r="32" spans="1:12" hidden="1" x14ac:dyDescent="0.25">
      <c r="A32" s="1">
        <v>35</v>
      </c>
      <c r="B32" s="3" t="s">
        <v>315</v>
      </c>
      <c r="C32" s="6" t="s">
        <v>71</v>
      </c>
      <c r="D32" s="7" t="s">
        <v>74</v>
      </c>
      <c r="E32" s="5" t="s">
        <v>75</v>
      </c>
      <c r="F32" s="5"/>
      <c r="G32" s="14"/>
      <c r="H32" s="12" t="s">
        <v>16</v>
      </c>
      <c r="I32" s="12" t="s">
        <v>16</v>
      </c>
      <c r="J32" s="12" t="s">
        <v>44</v>
      </c>
      <c r="K32" s="12" t="s">
        <v>44</v>
      </c>
      <c r="L32" s="12" t="s">
        <v>44</v>
      </c>
    </row>
    <row r="33" spans="1:12" s="30" customFormat="1" ht="45" hidden="1" x14ac:dyDescent="0.25">
      <c r="A33" s="26">
        <v>36</v>
      </c>
      <c r="B33" s="64" t="s">
        <v>315</v>
      </c>
      <c r="C33" s="8" t="s">
        <v>72</v>
      </c>
      <c r="D33" s="7" t="s">
        <v>114</v>
      </c>
      <c r="E33" s="25" t="s">
        <v>75</v>
      </c>
      <c r="F33" s="25"/>
      <c r="G33" s="27" t="s">
        <v>217</v>
      </c>
      <c r="H33" s="28" t="s">
        <v>16</v>
      </c>
      <c r="I33" s="28" t="s">
        <v>16</v>
      </c>
      <c r="J33" s="28" t="s">
        <v>44</v>
      </c>
      <c r="K33" s="28" t="s">
        <v>44</v>
      </c>
      <c r="L33" s="28" t="s">
        <v>44</v>
      </c>
    </row>
    <row r="34" spans="1:12" s="30" customFormat="1" ht="90" hidden="1" x14ac:dyDescent="0.25">
      <c r="A34" s="26">
        <v>37</v>
      </c>
      <c r="B34" s="64" t="s">
        <v>120</v>
      </c>
      <c r="C34" s="9" t="s">
        <v>554</v>
      </c>
      <c r="D34" s="4" t="s">
        <v>73</v>
      </c>
      <c r="E34" s="25" t="s">
        <v>75</v>
      </c>
      <c r="F34" s="27" t="s">
        <v>555</v>
      </c>
      <c r="G34" s="25"/>
      <c r="H34" s="28" t="s">
        <v>16</v>
      </c>
      <c r="I34" s="28" t="s">
        <v>16</v>
      </c>
      <c r="J34" s="28" t="s">
        <v>44</v>
      </c>
      <c r="K34" s="28" t="s">
        <v>44</v>
      </c>
      <c r="L34" s="28" t="s">
        <v>44</v>
      </c>
    </row>
    <row r="35" spans="1:12" s="30" customFormat="1" ht="120" hidden="1" x14ac:dyDescent="0.25">
      <c r="A35" s="26">
        <v>38</v>
      </c>
      <c r="B35" s="65" t="s">
        <v>315</v>
      </c>
      <c r="C35" s="10" t="s">
        <v>80</v>
      </c>
      <c r="D35" s="7" t="s">
        <v>81</v>
      </c>
      <c r="E35" s="25" t="s">
        <v>86</v>
      </c>
      <c r="F35" s="25"/>
      <c r="G35" s="27" t="s">
        <v>515</v>
      </c>
      <c r="H35" s="28" t="s">
        <v>16</v>
      </c>
      <c r="I35" s="28" t="s">
        <v>16</v>
      </c>
      <c r="J35" s="28" t="s">
        <v>88</v>
      </c>
      <c r="K35" s="28" t="s">
        <v>18</v>
      </c>
      <c r="L35" s="28" t="s">
        <v>89</v>
      </c>
    </row>
    <row r="36" spans="1:12" s="30" customFormat="1" ht="105" hidden="1" x14ac:dyDescent="0.25">
      <c r="A36" s="26">
        <v>39</v>
      </c>
      <c r="B36" s="65" t="s">
        <v>315</v>
      </c>
      <c r="C36" s="6" t="s">
        <v>221</v>
      </c>
      <c r="D36" s="4" t="s">
        <v>82</v>
      </c>
      <c r="E36" s="25" t="s">
        <v>86</v>
      </c>
      <c r="F36" s="25"/>
      <c r="G36" s="27" t="s">
        <v>568</v>
      </c>
      <c r="H36" s="28" t="s">
        <v>16</v>
      </c>
      <c r="I36" s="28" t="s">
        <v>16</v>
      </c>
      <c r="J36" s="28" t="s">
        <v>88</v>
      </c>
      <c r="K36" s="28" t="s">
        <v>18</v>
      </c>
      <c r="L36" s="28" t="s">
        <v>89</v>
      </c>
    </row>
    <row r="37" spans="1:12" s="30" customFormat="1" ht="30" hidden="1" x14ac:dyDescent="0.25">
      <c r="A37" s="26">
        <v>40</v>
      </c>
      <c r="B37" s="65" t="s">
        <v>315</v>
      </c>
      <c r="C37" s="6" t="s">
        <v>76</v>
      </c>
      <c r="D37" s="4" t="s">
        <v>552</v>
      </c>
      <c r="E37" s="25" t="s">
        <v>86</v>
      </c>
      <c r="F37" s="25" t="s">
        <v>219</v>
      </c>
      <c r="G37" s="27" t="s">
        <v>553</v>
      </c>
      <c r="H37" s="28" t="s">
        <v>16</v>
      </c>
      <c r="I37" s="28" t="s">
        <v>16</v>
      </c>
      <c r="J37" s="28" t="s">
        <v>88</v>
      </c>
      <c r="K37" s="28" t="s">
        <v>18</v>
      </c>
      <c r="L37" s="28" t="s">
        <v>89</v>
      </c>
    </row>
    <row r="38" spans="1:12" s="30" customFormat="1" ht="45" hidden="1" x14ac:dyDescent="0.25">
      <c r="A38" s="26">
        <v>41</v>
      </c>
      <c r="B38" s="65" t="s">
        <v>315</v>
      </c>
      <c r="C38" s="32" t="s">
        <v>77</v>
      </c>
      <c r="D38" s="34" t="s">
        <v>87</v>
      </c>
      <c r="E38" s="25" t="s">
        <v>86</v>
      </c>
      <c r="F38" s="27" t="s">
        <v>218</v>
      </c>
      <c r="G38" s="25"/>
      <c r="H38" s="28" t="s">
        <v>16</v>
      </c>
      <c r="I38" s="28" t="s">
        <v>16</v>
      </c>
      <c r="J38" s="28" t="s">
        <v>88</v>
      </c>
      <c r="K38" s="28" t="s">
        <v>18</v>
      </c>
      <c r="L38" s="28" t="s">
        <v>89</v>
      </c>
    </row>
    <row r="39" spans="1:12" s="30" customFormat="1" hidden="1" x14ac:dyDescent="0.25">
      <c r="A39" s="26">
        <v>42</v>
      </c>
      <c r="B39" s="65" t="s">
        <v>315</v>
      </c>
      <c r="C39" s="6" t="s">
        <v>78</v>
      </c>
      <c r="D39" s="4" t="s">
        <v>84</v>
      </c>
      <c r="E39" s="25" t="s">
        <v>86</v>
      </c>
      <c r="F39" s="25"/>
      <c r="G39" s="25"/>
      <c r="H39" s="28" t="s">
        <v>16</v>
      </c>
      <c r="I39" s="28" t="s">
        <v>16</v>
      </c>
      <c r="J39" s="28" t="s">
        <v>88</v>
      </c>
      <c r="K39" s="28" t="s">
        <v>18</v>
      </c>
      <c r="L39" s="28" t="s">
        <v>89</v>
      </c>
    </row>
    <row r="40" spans="1:12" s="30" customFormat="1" hidden="1" x14ac:dyDescent="0.25">
      <c r="A40" s="26">
        <v>43</v>
      </c>
      <c r="B40" s="29" t="s">
        <v>315</v>
      </c>
      <c r="C40" s="6" t="s">
        <v>79</v>
      </c>
      <c r="D40" s="4" t="s">
        <v>85</v>
      </c>
      <c r="E40" s="25" t="s">
        <v>86</v>
      </c>
      <c r="F40" s="25"/>
      <c r="G40" s="25" t="s">
        <v>110</v>
      </c>
      <c r="H40" s="28" t="s">
        <v>16</v>
      </c>
      <c r="I40" s="28" t="s">
        <v>16</v>
      </c>
      <c r="J40" s="28" t="s">
        <v>88</v>
      </c>
      <c r="K40" s="28" t="s">
        <v>18</v>
      </c>
      <c r="L40" s="28" t="s">
        <v>89</v>
      </c>
    </row>
    <row r="41" spans="1:12" s="30" customFormat="1" ht="45" hidden="1" x14ac:dyDescent="0.25">
      <c r="A41" s="26">
        <v>44</v>
      </c>
      <c r="B41" s="29" t="s">
        <v>315</v>
      </c>
      <c r="C41" s="32" t="s">
        <v>113</v>
      </c>
      <c r="D41" s="25" t="s">
        <v>184</v>
      </c>
      <c r="E41" s="25" t="s">
        <v>112</v>
      </c>
      <c r="F41" s="25" t="s">
        <v>205</v>
      </c>
      <c r="G41" s="27" t="s">
        <v>466</v>
      </c>
      <c r="H41" s="28" t="s">
        <v>16</v>
      </c>
      <c r="I41" s="28" t="s">
        <v>16</v>
      </c>
      <c r="J41" s="28"/>
      <c r="K41" s="28"/>
      <c r="L41" s="28"/>
    </row>
    <row r="42" spans="1:12" ht="45" hidden="1" x14ac:dyDescent="0.25">
      <c r="A42" s="1">
        <v>45</v>
      </c>
      <c r="B42" s="29" t="s">
        <v>315</v>
      </c>
      <c r="C42" s="11" t="s">
        <v>172</v>
      </c>
      <c r="D42" s="5" t="s">
        <v>171</v>
      </c>
      <c r="E42" s="5" t="s">
        <v>75</v>
      </c>
      <c r="F42" s="14" t="s">
        <v>567</v>
      </c>
      <c r="G42" s="5" t="s">
        <v>170</v>
      </c>
      <c r="H42" s="12" t="s">
        <v>16</v>
      </c>
      <c r="I42" s="12" t="s">
        <v>16</v>
      </c>
      <c r="J42" s="12"/>
      <c r="K42" s="12"/>
      <c r="L42" s="12"/>
    </row>
    <row r="43" spans="1:12" s="30" customFormat="1" ht="105" hidden="1" x14ac:dyDescent="0.25">
      <c r="A43" s="26">
        <v>46</v>
      </c>
      <c r="B43" s="29" t="s">
        <v>315</v>
      </c>
      <c r="C43" s="32" t="s">
        <v>188</v>
      </c>
      <c r="D43" s="25" t="s">
        <v>187</v>
      </c>
      <c r="E43" s="25" t="s">
        <v>112</v>
      </c>
      <c r="F43" s="27" t="s">
        <v>189</v>
      </c>
      <c r="G43" s="27" t="s">
        <v>190</v>
      </c>
      <c r="H43" s="28" t="s">
        <v>16</v>
      </c>
      <c r="I43" s="28" t="s">
        <v>16</v>
      </c>
      <c r="J43" s="28"/>
      <c r="K43" s="28"/>
      <c r="L43" s="28"/>
    </row>
    <row r="44" spans="1:12" s="30" customFormat="1" ht="150" hidden="1" x14ac:dyDescent="0.25">
      <c r="A44" s="26">
        <v>47</v>
      </c>
      <c r="B44" s="29" t="s">
        <v>315</v>
      </c>
      <c r="C44" s="32" t="s">
        <v>191</v>
      </c>
      <c r="D44" s="25" t="s">
        <v>192</v>
      </c>
      <c r="E44" s="25" t="s">
        <v>112</v>
      </c>
      <c r="F44" s="27" t="s">
        <v>193</v>
      </c>
      <c r="G44" s="27" t="s">
        <v>194</v>
      </c>
      <c r="H44" s="28"/>
      <c r="I44" s="29"/>
      <c r="J44" s="28"/>
      <c r="K44" s="28"/>
      <c r="L44" s="28"/>
    </row>
    <row r="45" spans="1:12" s="30" customFormat="1" ht="30" hidden="1" x14ac:dyDescent="0.25">
      <c r="A45" s="26">
        <v>48</v>
      </c>
      <c r="B45" s="29" t="s">
        <v>315</v>
      </c>
      <c r="C45" s="32" t="s">
        <v>200</v>
      </c>
      <c r="D45" s="25" t="s">
        <v>199</v>
      </c>
      <c r="E45" s="25" t="s">
        <v>197</v>
      </c>
      <c r="F45" s="27" t="s">
        <v>198</v>
      </c>
      <c r="G45" s="25"/>
      <c r="H45" s="28"/>
      <c r="I45" s="29"/>
      <c r="J45" s="28"/>
      <c r="K45" s="28"/>
      <c r="L45" s="28"/>
    </row>
    <row r="46" spans="1:12" s="30" customFormat="1" ht="30" hidden="1" x14ac:dyDescent="0.25">
      <c r="A46" s="26">
        <v>49</v>
      </c>
      <c r="B46" s="29" t="s">
        <v>120</v>
      </c>
      <c r="C46" s="32" t="s">
        <v>204</v>
      </c>
      <c r="D46" s="25" t="s">
        <v>203</v>
      </c>
      <c r="E46" s="25" t="s">
        <v>202</v>
      </c>
      <c r="F46" s="25" t="s">
        <v>205</v>
      </c>
      <c r="G46" s="27" t="s">
        <v>644</v>
      </c>
      <c r="H46" s="28"/>
      <c r="I46" s="29"/>
      <c r="J46" s="28"/>
      <c r="K46" s="28"/>
      <c r="L46" s="28"/>
    </row>
    <row r="47" spans="1:12" s="30" customFormat="1" ht="105" hidden="1" x14ac:dyDescent="0.25">
      <c r="A47" s="26">
        <v>50</v>
      </c>
      <c r="B47" s="29" t="s">
        <v>315</v>
      </c>
      <c r="C47" s="32" t="s">
        <v>235</v>
      </c>
      <c r="D47" s="25" t="s">
        <v>544</v>
      </c>
      <c r="E47" s="25" t="s">
        <v>112</v>
      </c>
      <c r="F47" s="27" t="s">
        <v>531</v>
      </c>
      <c r="G47" s="27" t="s">
        <v>575</v>
      </c>
      <c r="H47" s="28"/>
      <c r="I47" s="29"/>
      <c r="J47" s="28"/>
      <c r="K47" s="28"/>
      <c r="L47" s="28"/>
    </row>
    <row r="48" spans="1:12" s="30" customFormat="1" ht="75" hidden="1" x14ac:dyDescent="0.25">
      <c r="A48" s="26">
        <v>51</v>
      </c>
      <c r="B48" s="29" t="s">
        <v>315</v>
      </c>
      <c r="C48" s="32" t="s">
        <v>305</v>
      </c>
      <c r="D48" s="25" t="s">
        <v>310</v>
      </c>
      <c r="E48" s="25" t="s">
        <v>75</v>
      </c>
      <c r="F48" s="27" t="s">
        <v>355</v>
      </c>
      <c r="G48" s="27" t="s">
        <v>389</v>
      </c>
      <c r="H48" s="28"/>
      <c r="I48" s="29"/>
      <c r="J48" s="28"/>
      <c r="K48" s="28"/>
      <c r="L48" s="28"/>
    </row>
    <row r="49" spans="1:12" s="30" customFormat="1" ht="90" hidden="1" x14ac:dyDescent="0.25">
      <c r="A49" s="26">
        <v>52</v>
      </c>
      <c r="B49" s="29" t="s">
        <v>315</v>
      </c>
      <c r="C49" s="32" t="s">
        <v>317</v>
      </c>
      <c r="D49" s="25" t="s">
        <v>192</v>
      </c>
      <c r="E49" s="25" t="s">
        <v>112</v>
      </c>
      <c r="F49" s="25" t="s">
        <v>533</v>
      </c>
      <c r="G49" s="27" t="s">
        <v>468</v>
      </c>
      <c r="H49" s="28"/>
      <c r="I49" s="29"/>
      <c r="J49" s="28"/>
      <c r="K49" s="28"/>
      <c r="L49" s="28"/>
    </row>
    <row r="50" spans="1:12" s="30" customFormat="1" ht="30" hidden="1" x14ac:dyDescent="0.25">
      <c r="A50" s="26">
        <v>53</v>
      </c>
      <c r="B50" s="29" t="s">
        <v>315</v>
      </c>
      <c r="C50" s="32" t="s">
        <v>290</v>
      </c>
      <c r="D50" s="25" t="s">
        <v>318</v>
      </c>
      <c r="E50" s="25" t="s">
        <v>112</v>
      </c>
      <c r="F50" s="25" t="s">
        <v>205</v>
      </c>
      <c r="G50" s="27" t="s">
        <v>470</v>
      </c>
      <c r="H50" s="28"/>
      <c r="I50" s="29"/>
      <c r="J50" s="28"/>
      <c r="K50" s="28"/>
      <c r="L50" s="28"/>
    </row>
    <row r="51" spans="1:12" s="30" customFormat="1" ht="300" hidden="1" x14ac:dyDescent="0.25">
      <c r="A51" s="26">
        <v>54</v>
      </c>
      <c r="B51" s="29" t="s">
        <v>120</v>
      </c>
      <c r="C51" s="32" t="s">
        <v>320</v>
      </c>
      <c r="D51" s="25" t="s">
        <v>323</v>
      </c>
      <c r="E51" s="25" t="s">
        <v>112</v>
      </c>
      <c r="F51" s="27" t="s">
        <v>321</v>
      </c>
      <c r="G51" s="27" t="s">
        <v>630</v>
      </c>
      <c r="H51" s="28"/>
      <c r="I51" s="29"/>
      <c r="J51" s="28"/>
      <c r="K51" s="28"/>
      <c r="L51" s="28"/>
    </row>
    <row r="52" spans="1:12" s="30" customFormat="1" hidden="1" x14ac:dyDescent="0.25">
      <c r="A52" s="26">
        <v>55</v>
      </c>
      <c r="B52" s="29" t="s">
        <v>315</v>
      </c>
      <c r="C52" s="32" t="s">
        <v>303</v>
      </c>
      <c r="D52" s="25" t="s">
        <v>322</v>
      </c>
      <c r="E52" s="25" t="s">
        <v>112</v>
      </c>
      <c r="F52" s="25" t="s">
        <v>205</v>
      </c>
      <c r="G52" s="25"/>
      <c r="H52" s="28"/>
      <c r="I52" s="29"/>
      <c r="J52" s="28"/>
      <c r="K52" s="28"/>
      <c r="L52" s="28"/>
    </row>
    <row r="53" spans="1:12" s="30" customFormat="1" ht="225" hidden="1" x14ac:dyDescent="0.25">
      <c r="A53" s="26">
        <v>56</v>
      </c>
      <c r="B53" s="29" t="s">
        <v>315</v>
      </c>
      <c r="C53" s="32" t="s">
        <v>324</v>
      </c>
      <c r="D53" s="25" t="s">
        <v>323</v>
      </c>
      <c r="E53" s="25" t="s">
        <v>112</v>
      </c>
      <c r="F53" s="27" t="s">
        <v>325</v>
      </c>
      <c r="G53" s="27" t="s">
        <v>602</v>
      </c>
      <c r="H53" s="28"/>
      <c r="I53" s="29"/>
      <c r="J53" s="28"/>
      <c r="K53" s="28"/>
      <c r="L53" s="28"/>
    </row>
    <row r="54" spans="1:12" s="30" customFormat="1" ht="90" hidden="1" x14ac:dyDescent="0.25">
      <c r="A54" s="26">
        <v>57</v>
      </c>
      <c r="B54" s="29" t="s">
        <v>120</v>
      </c>
      <c r="C54" s="32" t="s">
        <v>326</v>
      </c>
      <c r="D54" s="25" t="s">
        <v>327</v>
      </c>
      <c r="E54" s="25" t="s">
        <v>112</v>
      </c>
      <c r="F54" s="27" t="s">
        <v>328</v>
      </c>
      <c r="G54" s="27" t="s">
        <v>629</v>
      </c>
      <c r="H54" s="28"/>
      <c r="I54" s="29"/>
      <c r="J54" s="28"/>
      <c r="K54" s="28"/>
      <c r="L54" s="28"/>
    </row>
    <row r="55" spans="1:12" s="30" customFormat="1" hidden="1" x14ac:dyDescent="0.25">
      <c r="A55" s="26">
        <v>58</v>
      </c>
      <c r="B55" s="29" t="s">
        <v>120</v>
      </c>
      <c r="C55" s="32" t="s">
        <v>297</v>
      </c>
      <c r="D55" s="25" t="s">
        <v>329</v>
      </c>
      <c r="E55" s="25" t="s">
        <v>330</v>
      </c>
      <c r="F55" s="25" t="s">
        <v>205</v>
      </c>
      <c r="G55" s="25"/>
      <c r="H55" s="28"/>
      <c r="I55" s="29"/>
      <c r="J55" s="28"/>
      <c r="K55" s="28"/>
      <c r="L55" s="28"/>
    </row>
    <row r="56" spans="1:12" s="30" customFormat="1" ht="30" hidden="1" x14ac:dyDescent="0.25">
      <c r="A56" s="26">
        <v>59</v>
      </c>
      <c r="B56" s="29" t="s">
        <v>315</v>
      </c>
      <c r="C56" s="32" t="s">
        <v>307</v>
      </c>
      <c r="D56" s="25" t="s">
        <v>331</v>
      </c>
      <c r="E56" s="25" t="s">
        <v>330</v>
      </c>
      <c r="F56" s="27" t="s">
        <v>332</v>
      </c>
      <c r="G56" s="25"/>
      <c r="H56" s="28"/>
      <c r="I56" s="29"/>
      <c r="J56" s="28"/>
      <c r="K56" s="28"/>
      <c r="L56" s="28"/>
    </row>
    <row r="57" spans="1:12" s="30" customFormat="1" ht="60" hidden="1" x14ac:dyDescent="0.25">
      <c r="A57" s="26">
        <v>60</v>
      </c>
      <c r="B57" s="29" t="s">
        <v>120</v>
      </c>
      <c r="C57" s="32" t="s">
        <v>431</v>
      </c>
      <c r="D57" s="25" t="s">
        <v>333</v>
      </c>
      <c r="E57" s="25" t="s">
        <v>330</v>
      </c>
      <c r="F57" s="25" t="s">
        <v>205</v>
      </c>
      <c r="G57" s="27" t="s">
        <v>536</v>
      </c>
      <c r="H57" s="28"/>
      <c r="I57" s="29"/>
      <c r="J57" s="28"/>
      <c r="K57" s="28"/>
      <c r="L57" s="28"/>
    </row>
    <row r="58" spans="1:12" s="30" customFormat="1" hidden="1" x14ac:dyDescent="0.25">
      <c r="A58" s="26">
        <v>61</v>
      </c>
      <c r="B58" s="29" t="s">
        <v>120</v>
      </c>
      <c r="C58" s="32" t="s">
        <v>301</v>
      </c>
      <c r="D58" s="25" t="s">
        <v>334</v>
      </c>
      <c r="E58" s="25" t="s">
        <v>335</v>
      </c>
      <c r="F58" s="25" t="s">
        <v>205</v>
      </c>
      <c r="G58" s="25"/>
      <c r="H58" s="28"/>
      <c r="I58" s="29"/>
      <c r="J58" s="28"/>
      <c r="K58" s="28"/>
      <c r="L58" s="28"/>
    </row>
    <row r="59" spans="1:12" s="30" customFormat="1" ht="45" hidden="1" x14ac:dyDescent="0.25">
      <c r="A59" s="26">
        <v>62</v>
      </c>
      <c r="B59" s="29" t="s">
        <v>120</v>
      </c>
      <c r="C59" s="32" t="s">
        <v>340</v>
      </c>
      <c r="D59" s="25" t="s">
        <v>338</v>
      </c>
      <c r="E59" s="25" t="s">
        <v>335</v>
      </c>
      <c r="F59" s="27" t="s">
        <v>339</v>
      </c>
      <c r="G59" s="27" t="s">
        <v>649</v>
      </c>
      <c r="H59" s="28"/>
      <c r="I59" s="29"/>
      <c r="J59" s="28"/>
      <c r="K59" s="28"/>
      <c r="L59" s="28"/>
    </row>
    <row r="60" spans="1:12" s="30" customFormat="1" ht="180" hidden="1" x14ac:dyDescent="0.25">
      <c r="A60" s="26">
        <v>63</v>
      </c>
      <c r="B60" s="29" t="s">
        <v>120</v>
      </c>
      <c r="C60" s="32" t="s">
        <v>343</v>
      </c>
      <c r="D60" s="25" t="s">
        <v>341</v>
      </c>
      <c r="E60" s="25" t="s">
        <v>335</v>
      </c>
      <c r="F60" s="27" t="s">
        <v>342</v>
      </c>
      <c r="G60" s="27" t="s">
        <v>648</v>
      </c>
      <c r="H60" s="28"/>
      <c r="I60" s="29"/>
      <c r="J60" s="28"/>
      <c r="K60" s="28"/>
      <c r="L60" s="28"/>
    </row>
    <row r="61" spans="1:12" s="30" customFormat="1" ht="75" hidden="1" x14ac:dyDescent="0.25">
      <c r="A61" s="26">
        <v>64</v>
      </c>
      <c r="B61" s="29" t="s">
        <v>315</v>
      </c>
      <c r="C61" s="32" t="s">
        <v>344</v>
      </c>
      <c r="D61" s="25" t="s">
        <v>375</v>
      </c>
      <c r="E61" s="25" t="s">
        <v>335</v>
      </c>
      <c r="F61" s="27" t="s">
        <v>345</v>
      </c>
      <c r="G61" s="27" t="s">
        <v>546</v>
      </c>
      <c r="H61" s="28"/>
      <c r="I61" s="29"/>
      <c r="J61" s="28"/>
      <c r="K61" s="28"/>
      <c r="L61" s="28"/>
    </row>
    <row r="62" spans="1:12" s="30" customFormat="1" hidden="1" x14ac:dyDescent="0.25">
      <c r="A62" s="26">
        <v>65</v>
      </c>
      <c r="B62" s="29" t="s">
        <v>120</v>
      </c>
      <c r="C62" s="32" t="s">
        <v>346</v>
      </c>
      <c r="D62" s="25" t="s">
        <v>347</v>
      </c>
      <c r="E62" s="25" t="s">
        <v>335</v>
      </c>
      <c r="F62" s="25" t="s">
        <v>205</v>
      </c>
      <c r="G62" s="25"/>
      <c r="H62" s="28"/>
      <c r="I62" s="29"/>
      <c r="J62" s="28"/>
      <c r="K62" s="28"/>
      <c r="L62" s="28"/>
    </row>
    <row r="63" spans="1:12" s="30" customFormat="1" ht="90" hidden="1" x14ac:dyDescent="0.25">
      <c r="A63" s="26">
        <v>66</v>
      </c>
      <c r="B63" s="29" t="s">
        <v>315</v>
      </c>
      <c r="C63" s="32" t="s">
        <v>298</v>
      </c>
      <c r="D63" s="25" t="s">
        <v>641</v>
      </c>
      <c r="E63" s="25" t="s">
        <v>348</v>
      </c>
      <c r="F63" s="27" t="s">
        <v>365</v>
      </c>
      <c r="G63" s="27" t="s">
        <v>349</v>
      </c>
      <c r="H63" s="28"/>
      <c r="I63" s="29"/>
      <c r="J63" s="28"/>
      <c r="K63" s="28"/>
      <c r="L63" s="28"/>
    </row>
    <row r="64" spans="1:12" s="30" customFormat="1" ht="45" hidden="1" x14ac:dyDescent="0.25">
      <c r="A64" s="26">
        <v>67</v>
      </c>
      <c r="B64" s="29" t="s">
        <v>120</v>
      </c>
      <c r="C64" s="32" t="s">
        <v>259</v>
      </c>
      <c r="D64" s="25" t="s">
        <v>508</v>
      </c>
      <c r="E64" s="25" t="s">
        <v>68</v>
      </c>
      <c r="F64" s="27" t="s">
        <v>350</v>
      </c>
      <c r="G64" s="27" t="s">
        <v>507</v>
      </c>
      <c r="H64" s="28"/>
      <c r="I64" s="29"/>
      <c r="J64" s="28"/>
      <c r="K64" s="28"/>
      <c r="L64" s="28"/>
    </row>
    <row r="65" spans="1:12" s="30" customFormat="1" ht="45" hidden="1" x14ac:dyDescent="0.25">
      <c r="A65" s="26">
        <v>68</v>
      </c>
      <c r="B65" s="29" t="s">
        <v>315</v>
      </c>
      <c r="C65" s="32" t="s">
        <v>351</v>
      </c>
      <c r="D65" s="25" t="s">
        <v>352</v>
      </c>
      <c r="E65" s="25" t="s">
        <v>68</v>
      </c>
      <c r="F65" s="27" t="s">
        <v>440</v>
      </c>
      <c r="G65" s="25"/>
      <c r="H65" s="28"/>
      <c r="I65" s="29"/>
      <c r="J65" s="28"/>
      <c r="K65" s="28"/>
      <c r="L65" s="28"/>
    </row>
    <row r="66" spans="1:12" s="30" customFormat="1" ht="30" hidden="1" x14ac:dyDescent="0.25">
      <c r="A66" s="26">
        <v>69</v>
      </c>
      <c r="B66" s="29" t="s">
        <v>315</v>
      </c>
      <c r="C66" s="32" t="s">
        <v>256</v>
      </c>
      <c r="D66" s="25" t="s">
        <v>51</v>
      </c>
      <c r="E66" s="25" t="s">
        <v>52</v>
      </c>
      <c r="F66" s="27" t="s">
        <v>356</v>
      </c>
      <c r="G66" s="25"/>
      <c r="H66" s="28"/>
      <c r="I66" s="29"/>
      <c r="J66" s="28"/>
      <c r="K66" s="28"/>
      <c r="L66" s="28"/>
    </row>
    <row r="67" spans="1:12" s="30" customFormat="1" ht="225" hidden="1" x14ac:dyDescent="0.25">
      <c r="A67" s="26">
        <v>70</v>
      </c>
      <c r="B67" s="29" t="s">
        <v>120</v>
      </c>
      <c r="C67" s="32" t="s">
        <v>361</v>
      </c>
      <c r="D67" s="25" t="s">
        <v>359</v>
      </c>
      <c r="E67" s="25" t="s">
        <v>335</v>
      </c>
      <c r="F67" s="27" t="s">
        <v>566</v>
      </c>
      <c r="G67" s="27" t="s">
        <v>650</v>
      </c>
      <c r="H67" s="28"/>
      <c r="I67" s="29"/>
      <c r="J67" s="28"/>
      <c r="K67" s="28"/>
      <c r="L67" s="28"/>
    </row>
    <row r="68" spans="1:12" ht="210" hidden="1" x14ac:dyDescent="0.25">
      <c r="A68" s="26">
        <v>71</v>
      </c>
      <c r="B68" s="29" t="s">
        <v>120</v>
      </c>
      <c r="C68" s="32" t="s">
        <v>362</v>
      </c>
      <c r="D68" s="25" t="s">
        <v>363</v>
      </c>
      <c r="E68" s="25" t="s">
        <v>330</v>
      </c>
      <c r="F68" s="27" t="s">
        <v>364</v>
      </c>
      <c r="G68" s="27" t="s">
        <v>645</v>
      </c>
      <c r="H68" s="28"/>
      <c r="I68" s="29"/>
      <c r="J68" s="28"/>
      <c r="K68" s="28"/>
      <c r="L68" s="28"/>
    </row>
    <row r="69" spans="1:12" ht="60" hidden="1" x14ac:dyDescent="0.25">
      <c r="A69" s="26">
        <v>72</v>
      </c>
      <c r="B69" s="29" t="s">
        <v>315</v>
      </c>
      <c r="C69" s="32" t="s">
        <v>366</v>
      </c>
      <c r="D69" s="25" t="s">
        <v>367</v>
      </c>
      <c r="E69" s="25" t="s">
        <v>112</v>
      </c>
      <c r="F69" s="27" t="s">
        <v>368</v>
      </c>
      <c r="G69" s="27" t="s">
        <v>467</v>
      </c>
      <c r="H69" s="28"/>
      <c r="I69" s="29"/>
      <c r="J69" s="28"/>
      <c r="K69" s="28"/>
      <c r="L69" s="28"/>
    </row>
    <row r="70" spans="1:12" ht="120" hidden="1" x14ac:dyDescent="0.25">
      <c r="A70" s="26">
        <v>73</v>
      </c>
      <c r="B70" s="29" t="s">
        <v>315</v>
      </c>
      <c r="C70" s="32" t="s">
        <v>370</v>
      </c>
      <c r="D70" s="25" t="s">
        <v>369</v>
      </c>
      <c r="E70" s="25" t="s">
        <v>330</v>
      </c>
      <c r="F70" s="27" t="s">
        <v>371</v>
      </c>
      <c r="G70" s="27" t="s">
        <v>537</v>
      </c>
      <c r="H70" s="28"/>
      <c r="I70" s="29"/>
      <c r="J70" s="28"/>
      <c r="K70" s="28"/>
      <c r="L70" s="28"/>
    </row>
    <row r="71" spans="1:12" ht="105" hidden="1" x14ac:dyDescent="0.25">
      <c r="A71" s="26">
        <v>74</v>
      </c>
      <c r="B71" s="29" t="s">
        <v>120</v>
      </c>
      <c r="C71" s="32" t="s">
        <v>373</v>
      </c>
      <c r="D71" s="25" t="s">
        <v>372</v>
      </c>
      <c r="E71" s="25" t="s">
        <v>330</v>
      </c>
      <c r="F71" s="27" t="s">
        <v>374</v>
      </c>
      <c r="G71" s="25" t="s">
        <v>456</v>
      </c>
      <c r="H71" s="28"/>
      <c r="I71" s="29"/>
      <c r="J71" s="28"/>
      <c r="K71" s="28"/>
      <c r="L71" s="28"/>
    </row>
    <row r="72" spans="1:12" ht="30" hidden="1" x14ac:dyDescent="0.25">
      <c r="A72" s="26">
        <v>75</v>
      </c>
      <c r="B72" s="29" t="s">
        <v>120</v>
      </c>
      <c r="C72" s="32" t="s">
        <v>380</v>
      </c>
      <c r="D72" s="25" t="s">
        <v>378</v>
      </c>
      <c r="E72" s="25" t="s">
        <v>379</v>
      </c>
      <c r="F72" s="27" t="s">
        <v>381</v>
      </c>
      <c r="G72" s="25" t="s">
        <v>571</v>
      </c>
      <c r="H72" s="28"/>
      <c r="I72" s="29"/>
      <c r="J72" s="28"/>
      <c r="K72" s="28"/>
      <c r="L72" s="28"/>
    </row>
    <row r="73" spans="1:12" hidden="1" x14ac:dyDescent="0.25">
      <c r="A73" s="26">
        <v>76</v>
      </c>
      <c r="B73" s="29" t="s">
        <v>120</v>
      </c>
      <c r="C73" s="32" t="s">
        <v>387</v>
      </c>
      <c r="D73" s="25" t="s">
        <v>352</v>
      </c>
      <c r="E73" s="25" t="s">
        <v>68</v>
      </c>
      <c r="F73" s="25" t="s">
        <v>465</v>
      </c>
      <c r="G73" s="25" t="s">
        <v>667</v>
      </c>
      <c r="H73" s="28"/>
      <c r="I73" s="29"/>
      <c r="J73" s="28"/>
      <c r="K73" s="28"/>
      <c r="L73" s="28"/>
    </row>
    <row r="74" spans="1:12" ht="45" hidden="1" x14ac:dyDescent="0.25">
      <c r="A74" s="26">
        <v>77</v>
      </c>
      <c r="B74" s="29" t="s">
        <v>315</v>
      </c>
      <c r="C74" s="32" t="s">
        <v>390</v>
      </c>
      <c r="D74" s="25" t="s">
        <v>391</v>
      </c>
      <c r="E74" s="25" t="s">
        <v>86</v>
      </c>
      <c r="F74" s="25" t="s">
        <v>392</v>
      </c>
      <c r="G74" s="27" t="s">
        <v>514</v>
      </c>
      <c r="H74" s="28"/>
      <c r="I74" s="29"/>
      <c r="J74" s="28"/>
      <c r="K74" s="28"/>
      <c r="L74" s="28"/>
    </row>
    <row r="75" spans="1:12" hidden="1" x14ac:dyDescent="0.25">
      <c r="A75" s="26">
        <v>78</v>
      </c>
      <c r="B75" s="29" t="s">
        <v>120</v>
      </c>
      <c r="C75" s="32" t="s">
        <v>443</v>
      </c>
      <c r="D75" s="25" t="s">
        <v>444</v>
      </c>
      <c r="E75" s="25" t="s">
        <v>335</v>
      </c>
      <c r="F75" s="25" t="s">
        <v>445</v>
      </c>
      <c r="G75" s="25"/>
      <c r="H75" s="28"/>
      <c r="I75" s="29"/>
      <c r="J75" s="28"/>
      <c r="K75" s="28"/>
      <c r="L75" s="28"/>
    </row>
    <row r="76" spans="1:12" ht="30" hidden="1" x14ac:dyDescent="0.25">
      <c r="A76" s="26">
        <v>79</v>
      </c>
      <c r="B76" s="29" t="s">
        <v>120</v>
      </c>
      <c r="C76" s="32" t="s">
        <v>250</v>
      </c>
      <c r="D76" s="58" t="s">
        <v>543</v>
      </c>
      <c r="E76" s="25" t="s">
        <v>112</v>
      </c>
      <c r="F76" s="25" t="s">
        <v>205</v>
      </c>
      <c r="G76" s="27" t="s">
        <v>628</v>
      </c>
      <c r="H76" s="28"/>
      <c r="I76" s="29"/>
      <c r="J76" s="28"/>
      <c r="K76" s="28"/>
      <c r="L76" s="28"/>
    </row>
    <row r="77" spans="1:12" ht="76.5" hidden="1" x14ac:dyDescent="0.25">
      <c r="A77" s="26">
        <v>80</v>
      </c>
      <c r="B77" s="29" t="s">
        <v>120</v>
      </c>
      <c r="C77" s="32" t="s">
        <v>458</v>
      </c>
      <c r="D77" s="25" t="s">
        <v>459</v>
      </c>
      <c r="E77" s="25" t="s">
        <v>330</v>
      </c>
      <c r="F77" s="101" t="s">
        <v>460</v>
      </c>
      <c r="G77" s="25" t="s">
        <v>600</v>
      </c>
      <c r="H77" s="28"/>
      <c r="I77" s="29"/>
      <c r="J77" s="28"/>
      <c r="K77" s="28"/>
      <c r="L77" s="28"/>
    </row>
    <row r="78" spans="1:12" ht="153" hidden="1" x14ac:dyDescent="0.25">
      <c r="A78" s="26">
        <v>81</v>
      </c>
      <c r="B78" s="29" t="s">
        <v>315</v>
      </c>
      <c r="C78" s="32" t="s">
        <v>452</v>
      </c>
      <c r="D78" s="25" t="s">
        <v>474</v>
      </c>
      <c r="E78" s="25" t="s">
        <v>475</v>
      </c>
      <c r="F78" s="101" t="s">
        <v>476</v>
      </c>
      <c r="G78" s="27" t="s">
        <v>473</v>
      </c>
      <c r="H78" s="28"/>
      <c r="I78" s="29"/>
      <c r="J78" s="28"/>
      <c r="K78" s="28"/>
      <c r="L78" s="28"/>
    </row>
    <row r="79" spans="1:12" ht="76.5" hidden="1" x14ac:dyDescent="0.25">
      <c r="A79" s="26"/>
      <c r="B79" s="29" t="s">
        <v>120</v>
      </c>
      <c r="C79" s="32" t="s">
        <v>487</v>
      </c>
      <c r="D79" s="25" t="s">
        <v>488</v>
      </c>
      <c r="E79" s="25" t="s">
        <v>68</v>
      </c>
      <c r="F79" s="101" t="s">
        <v>489</v>
      </c>
      <c r="G79" s="25"/>
      <c r="H79" s="28"/>
      <c r="I79" s="29"/>
      <c r="J79" s="28"/>
      <c r="K79" s="28"/>
      <c r="L79" s="28"/>
    </row>
    <row r="80" spans="1:12" hidden="1" x14ac:dyDescent="0.25">
      <c r="A80" s="26"/>
      <c r="B80" s="29" t="s">
        <v>120</v>
      </c>
      <c r="C80" s="32" t="s">
        <v>491</v>
      </c>
      <c r="D80" s="25" t="s">
        <v>388</v>
      </c>
      <c r="E80" s="25" t="s">
        <v>330</v>
      </c>
      <c r="F80" s="101" t="s">
        <v>205</v>
      </c>
      <c r="G80" s="25"/>
      <c r="H80" s="28"/>
      <c r="I80" s="29"/>
      <c r="J80" s="28"/>
      <c r="K80" s="28"/>
      <c r="L80" s="28"/>
    </row>
    <row r="81" spans="1:12" ht="180" hidden="1" x14ac:dyDescent="0.25">
      <c r="A81" s="26"/>
      <c r="B81" s="29" t="s">
        <v>120</v>
      </c>
      <c r="C81" s="32" t="s">
        <v>494</v>
      </c>
      <c r="D81" s="25" t="s">
        <v>319</v>
      </c>
      <c r="E81" s="25" t="s">
        <v>112</v>
      </c>
      <c r="F81" s="101" t="s">
        <v>560</v>
      </c>
      <c r="G81" s="27" t="s">
        <v>631</v>
      </c>
      <c r="H81" s="28"/>
      <c r="I81" s="29"/>
      <c r="J81" s="28"/>
      <c r="K81" s="28"/>
      <c r="L81" s="28"/>
    </row>
    <row r="82" spans="1:12" hidden="1" x14ac:dyDescent="0.25">
      <c r="A82" s="26"/>
      <c r="B82" s="29" t="s">
        <v>120</v>
      </c>
      <c r="C82" s="32" t="s">
        <v>436</v>
      </c>
      <c r="D82" s="25" t="s">
        <v>26</v>
      </c>
      <c r="E82" s="25" t="s">
        <v>379</v>
      </c>
      <c r="F82" s="101"/>
      <c r="G82" s="25"/>
      <c r="H82" s="28"/>
      <c r="I82" s="29"/>
      <c r="J82" s="28"/>
      <c r="K82" s="28"/>
      <c r="L82" s="28"/>
    </row>
    <row r="83" spans="1:12" ht="51" hidden="1" x14ac:dyDescent="0.25">
      <c r="A83" s="26"/>
      <c r="B83" s="29" t="s">
        <v>120</v>
      </c>
      <c r="C83" s="32" t="s">
        <v>224</v>
      </c>
      <c r="D83" s="25" t="s">
        <v>498</v>
      </c>
      <c r="E83" s="25" t="s">
        <v>379</v>
      </c>
      <c r="F83" s="101" t="s">
        <v>499</v>
      </c>
      <c r="G83" s="25" t="s">
        <v>563</v>
      </c>
      <c r="H83" s="28"/>
      <c r="I83" s="29"/>
      <c r="J83" s="28"/>
      <c r="K83" s="28"/>
      <c r="L83" s="28"/>
    </row>
    <row r="84" spans="1:12" ht="90" x14ac:dyDescent="0.25">
      <c r="A84" s="26"/>
      <c r="B84" s="29" t="s">
        <v>120</v>
      </c>
      <c r="C84" s="32" t="s">
        <v>511</v>
      </c>
      <c r="D84" s="25" t="s">
        <v>512</v>
      </c>
      <c r="E84" s="25" t="s">
        <v>68</v>
      </c>
      <c r="F84" s="101" t="s">
        <v>205</v>
      </c>
      <c r="G84" s="27" t="s">
        <v>668</v>
      </c>
      <c r="H84" s="28"/>
      <c r="I84" s="29"/>
      <c r="J84" s="28"/>
      <c r="K84" s="28"/>
      <c r="L84" s="28"/>
    </row>
    <row r="85" spans="1:12" ht="60" hidden="1" x14ac:dyDescent="0.25">
      <c r="A85" s="26"/>
      <c r="B85" s="29" t="s">
        <v>120</v>
      </c>
      <c r="C85" s="32" t="s">
        <v>496</v>
      </c>
      <c r="D85" s="25" t="s">
        <v>516</v>
      </c>
      <c r="E85" s="25" t="s">
        <v>112</v>
      </c>
      <c r="F85" s="101" t="s">
        <v>517</v>
      </c>
      <c r="G85" s="27" t="s">
        <v>634</v>
      </c>
      <c r="H85" s="28"/>
      <c r="I85" s="29"/>
      <c r="J85" s="28"/>
      <c r="K85" s="28"/>
      <c r="L85" s="28"/>
    </row>
    <row r="86" spans="1:12" ht="102.75" hidden="1" customHeight="1" x14ac:dyDescent="0.25">
      <c r="A86" s="26"/>
      <c r="B86" s="29" t="s">
        <v>315</v>
      </c>
      <c r="C86" s="32" t="s">
        <v>518</v>
      </c>
      <c r="D86" s="25" t="s">
        <v>519</v>
      </c>
      <c r="E86" s="25" t="s">
        <v>112</v>
      </c>
      <c r="F86" s="101" t="s">
        <v>520</v>
      </c>
      <c r="G86" s="25"/>
      <c r="H86" s="28"/>
      <c r="I86" s="29"/>
      <c r="J86" s="28"/>
      <c r="K86" s="28"/>
      <c r="L86" s="28"/>
    </row>
    <row r="87" spans="1:12" ht="114.75" hidden="1" x14ac:dyDescent="0.25">
      <c r="A87" s="26"/>
      <c r="B87" s="29" t="s">
        <v>315</v>
      </c>
      <c r="C87" s="32" t="s">
        <v>527</v>
      </c>
      <c r="D87" s="25" t="s">
        <v>87</v>
      </c>
      <c r="E87" s="25" t="s">
        <v>86</v>
      </c>
      <c r="F87" s="101" t="s">
        <v>529</v>
      </c>
      <c r="G87" s="25"/>
      <c r="H87" s="28"/>
      <c r="I87" s="29"/>
      <c r="J87" s="28"/>
      <c r="K87" s="28"/>
      <c r="L87" s="28"/>
    </row>
    <row r="88" spans="1:12" ht="63.75" hidden="1" x14ac:dyDescent="0.25">
      <c r="A88" s="26"/>
      <c r="B88" s="29" t="s">
        <v>315</v>
      </c>
      <c r="C88" s="32" t="s">
        <v>528</v>
      </c>
      <c r="D88" s="25" t="s">
        <v>551</v>
      </c>
      <c r="E88" s="25" t="s">
        <v>86</v>
      </c>
      <c r="F88" s="101" t="s">
        <v>541</v>
      </c>
      <c r="G88" s="25"/>
      <c r="H88" s="28"/>
      <c r="I88" s="29"/>
      <c r="J88" s="28"/>
      <c r="K88" s="28"/>
      <c r="L88" s="28"/>
    </row>
    <row r="89" spans="1:12" ht="63.75" hidden="1" x14ac:dyDescent="0.25">
      <c r="A89" s="26"/>
      <c r="B89" s="29" t="s">
        <v>120</v>
      </c>
      <c r="C89" s="32" t="s">
        <v>317</v>
      </c>
      <c r="D89" s="25" t="s">
        <v>495</v>
      </c>
      <c r="E89" s="25" t="s">
        <v>112</v>
      </c>
      <c r="F89" s="101" t="s">
        <v>534</v>
      </c>
      <c r="G89" s="27" t="s">
        <v>632</v>
      </c>
      <c r="H89" s="28"/>
      <c r="I89" s="29"/>
      <c r="J89" s="28"/>
      <c r="K89" s="28"/>
      <c r="L89" s="28"/>
    </row>
    <row r="90" spans="1:12" hidden="1" x14ac:dyDescent="0.25">
      <c r="A90" s="26"/>
      <c r="B90" s="29" t="s">
        <v>120</v>
      </c>
      <c r="C90" s="32" t="s">
        <v>493</v>
      </c>
      <c r="D90" s="25" t="s">
        <v>538</v>
      </c>
      <c r="E90" s="25" t="s">
        <v>335</v>
      </c>
      <c r="F90" s="101"/>
      <c r="G90" s="25"/>
      <c r="H90" s="28"/>
      <c r="I90" s="29"/>
      <c r="J90" s="28"/>
      <c r="K90" s="28"/>
      <c r="L90" s="28"/>
    </row>
    <row r="91" spans="1:12" ht="102" hidden="1" x14ac:dyDescent="0.25">
      <c r="A91" s="26"/>
      <c r="B91" s="29" t="s">
        <v>315</v>
      </c>
      <c r="C91" s="32" t="s">
        <v>80</v>
      </c>
      <c r="D91" s="25" t="s">
        <v>558</v>
      </c>
      <c r="E91" s="25" t="s">
        <v>86</v>
      </c>
      <c r="F91" s="101" t="s">
        <v>557</v>
      </c>
      <c r="G91" s="25"/>
      <c r="H91" s="28"/>
      <c r="I91" s="29"/>
      <c r="J91" s="28"/>
      <c r="K91" s="28"/>
      <c r="L91" s="28"/>
    </row>
    <row r="92" spans="1:12" ht="38.25" hidden="1" x14ac:dyDescent="0.25">
      <c r="A92" s="26"/>
      <c r="B92" s="29" t="s">
        <v>315</v>
      </c>
      <c r="C92" s="32" t="s">
        <v>564</v>
      </c>
      <c r="D92" s="25" t="s">
        <v>474</v>
      </c>
      <c r="E92" s="25" t="s">
        <v>475</v>
      </c>
      <c r="F92" s="101" t="s">
        <v>565</v>
      </c>
      <c r="G92" s="25"/>
      <c r="H92" s="28"/>
      <c r="I92" s="29"/>
      <c r="J92" s="28"/>
      <c r="K92" s="28"/>
      <c r="L92" s="28"/>
    </row>
    <row r="93" spans="1:12" ht="38.25" hidden="1" x14ac:dyDescent="0.25">
      <c r="A93" s="26"/>
      <c r="B93" s="29" t="s">
        <v>120</v>
      </c>
      <c r="C93" s="32" t="s">
        <v>561</v>
      </c>
      <c r="D93" s="25" t="s">
        <v>569</v>
      </c>
      <c r="E93" s="25" t="s">
        <v>112</v>
      </c>
      <c r="F93" s="101" t="s">
        <v>570</v>
      </c>
      <c r="G93" s="25" t="s">
        <v>633</v>
      </c>
      <c r="H93" s="28"/>
      <c r="I93" s="29"/>
      <c r="J93" s="28"/>
      <c r="K93" s="28"/>
      <c r="L93" s="28"/>
    </row>
    <row r="94" spans="1:12" ht="93" hidden="1" customHeight="1" x14ac:dyDescent="0.25">
      <c r="A94" s="26"/>
      <c r="B94" s="29" t="s">
        <v>120</v>
      </c>
      <c r="C94" s="32" t="s">
        <v>572</v>
      </c>
      <c r="D94" s="25" t="s">
        <v>375</v>
      </c>
      <c r="E94" s="25" t="s">
        <v>335</v>
      </c>
      <c r="F94" s="101" t="s">
        <v>573</v>
      </c>
      <c r="G94" s="25"/>
      <c r="H94" s="28"/>
      <c r="I94" s="29"/>
      <c r="J94" s="28"/>
      <c r="K94" s="28"/>
      <c r="L94" s="28"/>
    </row>
    <row r="95" spans="1:12" ht="114.75" hidden="1" x14ac:dyDescent="0.25">
      <c r="A95" s="26"/>
      <c r="B95" s="29" t="s">
        <v>120</v>
      </c>
      <c r="C95" s="32" t="s">
        <v>581</v>
      </c>
      <c r="D95" s="25" t="s">
        <v>27</v>
      </c>
      <c r="E95" s="25" t="s">
        <v>112</v>
      </c>
      <c r="F95" s="101" t="s">
        <v>574</v>
      </c>
      <c r="G95" s="25"/>
      <c r="H95" s="28"/>
      <c r="I95" s="29"/>
      <c r="J95" s="28"/>
      <c r="K95" s="28"/>
      <c r="L95" s="28"/>
    </row>
    <row r="96" spans="1:12" ht="63.75" hidden="1" x14ac:dyDescent="0.25">
      <c r="A96" s="26"/>
      <c r="B96" s="29" t="s">
        <v>315</v>
      </c>
      <c r="C96" s="32" t="s">
        <v>579</v>
      </c>
      <c r="D96" s="25" t="s">
        <v>578</v>
      </c>
      <c r="E96" s="25" t="s">
        <v>86</v>
      </c>
      <c r="F96" s="101" t="s">
        <v>580</v>
      </c>
      <c r="G96" s="25"/>
      <c r="H96" s="28"/>
      <c r="I96" s="29"/>
      <c r="J96" s="28"/>
      <c r="K96" s="28"/>
      <c r="L96" s="28"/>
    </row>
    <row r="97" spans="1:12" ht="102" hidden="1" x14ac:dyDescent="0.25">
      <c r="A97" s="26"/>
      <c r="B97" s="29" t="s">
        <v>120</v>
      </c>
      <c r="C97" s="32" t="s">
        <v>527</v>
      </c>
      <c r="D97" s="25" t="s">
        <v>582</v>
      </c>
      <c r="E97" s="25" t="s">
        <v>86</v>
      </c>
      <c r="F97" s="101" t="s">
        <v>583</v>
      </c>
      <c r="G97" s="25"/>
      <c r="H97" s="28"/>
      <c r="I97" s="29"/>
      <c r="J97" s="28"/>
      <c r="K97" s="28"/>
      <c r="L97" s="28"/>
    </row>
    <row r="98" spans="1:12" ht="102" hidden="1" x14ac:dyDescent="0.25">
      <c r="A98" s="26"/>
      <c r="B98" s="29" t="s">
        <v>120</v>
      </c>
      <c r="C98" s="32" t="s">
        <v>584</v>
      </c>
      <c r="D98" s="25" t="s">
        <v>585</v>
      </c>
      <c r="E98" s="25" t="s">
        <v>86</v>
      </c>
      <c r="F98" s="101" t="s">
        <v>587</v>
      </c>
      <c r="G98" s="27" t="s">
        <v>659</v>
      </c>
      <c r="H98" s="28"/>
      <c r="I98" s="29"/>
      <c r="J98" s="28"/>
      <c r="K98" s="28"/>
      <c r="L98" s="28"/>
    </row>
    <row r="99" spans="1:12" hidden="1" x14ac:dyDescent="0.25">
      <c r="A99" s="26"/>
      <c r="B99" s="29" t="s">
        <v>120</v>
      </c>
      <c r="C99" s="32" t="s">
        <v>588</v>
      </c>
      <c r="D99" s="25" t="s">
        <v>544</v>
      </c>
      <c r="E99" s="25" t="s">
        <v>112</v>
      </c>
      <c r="F99" s="101" t="s">
        <v>205</v>
      </c>
      <c r="G99" s="25"/>
      <c r="H99" s="28"/>
      <c r="I99" s="29"/>
      <c r="J99" s="28"/>
      <c r="K99" s="28"/>
      <c r="L99" s="28"/>
    </row>
    <row r="100" spans="1:12" ht="63.75" hidden="1" x14ac:dyDescent="0.25">
      <c r="A100" s="26"/>
      <c r="B100" s="29" t="s">
        <v>120</v>
      </c>
      <c r="C100" s="32" t="s">
        <v>596</v>
      </c>
      <c r="D100" s="25" t="s">
        <v>30</v>
      </c>
      <c r="E100" s="25" t="s">
        <v>379</v>
      </c>
      <c r="F100" s="101" t="s">
        <v>597</v>
      </c>
      <c r="G100" s="25"/>
      <c r="H100" s="28"/>
      <c r="I100" s="29"/>
      <c r="J100" s="28"/>
      <c r="K100" s="28"/>
      <c r="L100" s="28"/>
    </row>
    <row r="101" spans="1:12" ht="143.25" hidden="1" customHeight="1" x14ac:dyDescent="0.25">
      <c r="A101" s="26"/>
      <c r="B101" s="29" t="s">
        <v>120</v>
      </c>
      <c r="C101" s="32" t="s">
        <v>590</v>
      </c>
      <c r="D101" s="25" t="s">
        <v>599</v>
      </c>
      <c r="E101" s="25" t="s">
        <v>348</v>
      </c>
      <c r="F101" s="101" t="s">
        <v>662</v>
      </c>
      <c r="G101" s="25" t="s">
        <v>665</v>
      </c>
      <c r="H101" s="28"/>
      <c r="I101" s="29"/>
      <c r="J101" s="28"/>
      <c r="K101" s="28"/>
      <c r="L101" s="28"/>
    </row>
    <row r="102" spans="1:12" ht="245.25" hidden="1" customHeight="1" x14ac:dyDescent="0.25">
      <c r="A102" s="26"/>
      <c r="B102" s="29" t="s">
        <v>120</v>
      </c>
      <c r="C102" s="32" t="s">
        <v>593</v>
      </c>
      <c r="D102" s="25" t="s">
        <v>85</v>
      </c>
      <c r="E102" s="25" t="s">
        <v>643</v>
      </c>
      <c r="F102" s="101" t="s">
        <v>601</v>
      </c>
      <c r="G102" s="25"/>
      <c r="H102" s="28"/>
      <c r="I102" s="29"/>
      <c r="J102" s="28"/>
      <c r="K102" s="28"/>
      <c r="L102" s="28"/>
    </row>
    <row r="103" spans="1:12" ht="90" hidden="1" x14ac:dyDescent="0.25">
      <c r="A103" s="26"/>
      <c r="B103" s="29" t="s">
        <v>120</v>
      </c>
      <c r="C103" s="32" t="s">
        <v>604</v>
      </c>
      <c r="D103" s="25" t="s">
        <v>605</v>
      </c>
      <c r="E103" s="25" t="s">
        <v>335</v>
      </c>
      <c r="F103" s="101" t="s">
        <v>205</v>
      </c>
      <c r="G103" s="27" t="s">
        <v>651</v>
      </c>
      <c r="H103" s="28"/>
      <c r="I103" s="29"/>
      <c r="J103" s="28"/>
      <c r="K103" s="28"/>
      <c r="L103" s="28"/>
    </row>
    <row r="104" spans="1:12" ht="45" hidden="1" x14ac:dyDescent="0.25">
      <c r="A104" s="26"/>
      <c r="B104" s="29" t="s">
        <v>120</v>
      </c>
      <c r="C104" s="32"/>
      <c r="D104" s="25" t="s">
        <v>606</v>
      </c>
      <c r="E104" s="25" t="s">
        <v>68</v>
      </c>
      <c r="F104" s="101" t="s">
        <v>205</v>
      </c>
      <c r="G104" s="27" t="s">
        <v>607</v>
      </c>
      <c r="H104" s="28"/>
      <c r="I104" s="29"/>
      <c r="J104" s="28"/>
      <c r="K104" s="28"/>
      <c r="L104" s="28"/>
    </row>
    <row r="105" spans="1:12" ht="25.5" hidden="1" x14ac:dyDescent="0.25">
      <c r="A105" s="26"/>
      <c r="B105" s="29" t="s">
        <v>120</v>
      </c>
      <c r="C105" s="32" t="s">
        <v>609</v>
      </c>
      <c r="D105" s="25" t="s">
        <v>369</v>
      </c>
      <c r="E105" s="25" t="s">
        <v>330</v>
      </c>
      <c r="F105" s="101" t="s">
        <v>610</v>
      </c>
      <c r="G105" s="25"/>
      <c r="H105" s="28"/>
      <c r="I105" s="29"/>
      <c r="J105" s="28"/>
      <c r="K105" s="28"/>
      <c r="L105" s="28"/>
    </row>
    <row r="106" spans="1:12" ht="45" hidden="1" x14ac:dyDescent="0.25">
      <c r="A106" s="26"/>
      <c r="B106" s="29" t="s">
        <v>120</v>
      </c>
      <c r="C106" s="32"/>
      <c r="D106" s="25" t="s">
        <v>646</v>
      </c>
      <c r="E106" s="25" t="s">
        <v>330</v>
      </c>
      <c r="F106" s="101"/>
      <c r="G106" s="27" t="s">
        <v>647</v>
      </c>
      <c r="H106" s="28"/>
      <c r="I106" s="29"/>
      <c r="J106" s="28"/>
      <c r="K106" s="28"/>
      <c r="L106" s="28"/>
    </row>
    <row r="107" spans="1:12" ht="99.75" hidden="1" customHeight="1" x14ac:dyDescent="0.25">
      <c r="A107" s="26"/>
      <c r="B107" s="29" t="s">
        <v>120</v>
      </c>
      <c r="C107" s="32" t="s">
        <v>613</v>
      </c>
      <c r="D107" s="25" t="s">
        <v>652</v>
      </c>
      <c r="E107" s="25" t="s">
        <v>335</v>
      </c>
      <c r="F107" s="101" t="s">
        <v>653</v>
      </c>
      <c r="G107" s="27" t="s">
        <v>654</v>
      </c>
      <c r="H107" s="28"/>
      <c r="I107" s="29"/>
      <c r="J107" s="28"/>
      <c r="K107" s="28"/>
      <c r="L107" s="28"/>
    </row>
    <row r="108" spans="1:12" ht="63.75" hidden="1" x14ac:dyDescent="0.25">
      <c r="A108" s="26"/>
      <c r="B108" s="29" t="s">
        <v>120</v>
      </c>
      <c r="C108" s="32" t="s">
        <v>657</v>
      </c>
      <c r="D108" s="25" t="s">
        <v>286</v>
      </c>
      <c r="E108" s="25" t="s">
        <v>75</v>
      </c>
      <c r="F108" s="101" t="s">
        <v>658</v>
      </c>
      <c r="G108" s="25"/>
      <c r="H108" s="28"/>
      <c r="I108" s="29"/>
      <c r="J108" s="28"/>
      <c r="K108" s="28"/>
      <c r="L108" s="28"/>
    </row>
    <row r="109" spans="1:12" ht="12" hidden="1" customHeight="1" x14ac:dyDescent="0.25">
      <c r="A109" s="26"/>
      <c r="B109" s="29" t="s">
        <v>120</v>
      </c>
      <c r="C109" s="32" t="s">
        <v>660</v>
      </c>
      <c r="D109" s="25" t="s">
        <v>108</v>
      </c>
      <c r="E109" s="25" t="s">
        <v>330</v>
      </c>
      <c r="F109" s="101" t="s">
        <v>661</v>
      </c>
      <c r="G109" s="25"/>
      <c r="H109" s="28"/>
      <c r="I109" s="29"/>
      <c r="J109" s="28"/>
      <c r="K109" s="28"/>
      <c r="L109" s="28"/>
    </row>
    <row r="110" spans="1:12" hidden="1" x14ac:dyDescent="0.25">
      <c r="A110" s="26"/>
      <c r="B110" s="29" t="s">
        <v>120</v>
      </c>
      <c r="C110" s="32"/>
      <c r="D110" s="25"/>
      <c r="E110" s="25"/>
      <c r="F110" s="101"/>
      <c r="G110" s="25"/>
      <c r="H110" s="28"/>
      <c r="I110" s="29"/>
      <c r="J110" s="28"/>
      <c r="K110" s="28"/>
      <c r="L110" s="28"/>
    </row>
    <row r="111" spans="1:12" hidden="1" x14ac:dyDescent="0.25">
      <c r="A111" s="26"/>
      <c r="B111" s="29" t="s">
        <v>120</v>
      </c>
      <c r="C111" s="32"/>
      <c r="D111" s="25"/>
      <c r="E111" s="25"/>
      <c r="F111" s="101"/>
      <c r="G111" s="25"/>
      <c r="H111" s="28"/>
      <c r="I111" s="29"/>
      <c r="J111" s="28"/>
      <c r="K111" s="28"/>
      <c r="L111" s="28"/>
    </row>
    <row r="112" spans="1:12" hidden="1" x14ac:dyDescent="0.25">
      <c r="A112" s="26"/>
      <c r="B112" s="29" t="s">
        <v>120</v>
      </c>
      <c r="C112" s="32"/>
      <c r="D112" s="25"/>
      <c r="E112" s="25"/>
      <c r="F112" s="101"/>
      <c r="G112" s="25"/>
      <c r="H112" s="28"/>
      <c r="I112" s="29"/>
      <c r="J112" s="28"/>
      <c r="K112" s="28"/>
      <c r="L112" s="28"/>
    </row>
    <row r="113" spans="1:12" hidden="1" x14ac:dyDescent="0.25">
      <c r="A113" s="26"/>
      <c r="B113" s="29" t="s">
        <v>120</v>
      </c>
      <c r="C113" s="32"/>
      <c r="D113" s="25"/>
      <c r="E113" s="25"/>
      <c r="F113" s="101"/>
      <c r="G113" s="25"/>
      <c r="H113" s="28"/>
      <c r="I113" s="29"/>
      <c r="J113" s="28"/>
      <c r="K113" s="28"/>
      <c r="L113" s="28"/>
    </row>
    <row r="114" spans="1:12" hidden="1" x14ac:dyDescent="0.25">
      <c r="A114" s="26"/>
      <c r="B114" s="29" t="s">
        <v>120</v>
      </c>
      <c r="C114" s="32"/>
      <c r="D114" s="25"/>
      <c r="E114" s="25"/>
      <c r="F114" s="101"/>
      <c r="G114" s="25"/>
      <c r="H114" s="28"/>
      <c r="I114" s="29"/>
      <c r="J114" s="28"/>
      <c r="K114" s="28"/>
      <c r="L114" s="28"/>
    </row>
    <row r="115" spans="1:12" hidden="1" x14ac:dyDescent="0.25">
      <c r="A115" s="26"/>
      <c r="B115" s="29" t="s">
        <v>120</v>
      </c>
      <c r="C115" s="32"/>
      <c r="D115" s="25"/>
      <c r="E115" s="25"/>
      <c r="F115" s="101"/>
      <c r="G115" s="25"/>
      <c r="H115" s="28"/>
      <c r="I115" s="29"/>
      <c r="J115" s="28"/>
      <c r="K115" s="28"/>
      <c r="L115" s="28"/>
    </row>
    <row r="116" spans="1:12" hidden="1" x14ac:dyDescent="0.25">
      <c r="A116" s="26"/>
      <c r="B116" s="29" t="s">
        <v>120</v>
      </c>
      <c r="C116" s="32"/>
      <c r="D116" s="25"/>
      <c r="E116" s="25"/>
      <c r="F116" s="101"/>
      <c r="G116" s="25"/>
      <c r="H116" s="28"/>
      <c r="I116" s="29"/>
      <c r="J116" s="28"/>
      <c r="K116" s="28"/>
      <c r="L116" s="28"/>
    </row>
    <row r="117" spans="1:12" hidden="1" x14ac:dyDescent="0.25">
      <c r="A117" s="26"/>
      <c r="B117" s="29" t="s">
        <v>120</v>
      </c>
      <c r="C117" s="32"/>
      <c r="D117" s="25"/>
      <c r="E117" s="25"/>
      <c r="F117" s="101"/>
      <c r="G117" s="25"/>
      <c r="H117" s="28"/>
      <c r="I117" s="29"/>
      <c r="J117" s="28"/>
      <c r="K117" s="28"/>
      <c r="L117" s="28"/>
    </row>
    <row r="118" spans="1:12" hidden="1" x14ac:dyDescent="0.25">
      <c r="A118" s="26"/>
      <c r="B118" s="29" t="s">
        <v>120</v>
      </c>
      <c r="C118" s="32"/>
      <c r="D118" s="25"/>
      <c r="E118" s="25"/>
      <c r="F118" s="101"/>
      <c r="G118" s="25"/>
      <c r="H118" s="28"/>
      <c r="I118" s="29"/>
      <c r="J118" s="28"/>
      <c r="K118" s="28"/>
      <c r="L118" s="28"/>
    </row>
    <row r="119" spans="1:12" hidden="1" x14ac:dyDescent="0.25">
      <c r="A119" s="26"/>
      <c r="B119" s="29" t="s">
        <v>120</v>
      </c>
      <c r="C119" s="32"/>
      <c r="D119" s="25"/>
      <c r="E119" s="25"/>
      <c r="F119" s="101"/>
      <c r="G119" s="25"/>
      <c r="H119" s="28"/>
      <c r="I119" s="29"/>
      <c r="J119" s="28"/>
      <c r="K119" s="28"/>
      <c r="L119" s="28"/>
    </row>
    <row r="120" spans="1:12" hidden="1" x14ac:dyDescent="0.25">
      <c r="A120" s="26"/>
      <c r="B120" s="29" t="s">
        <v>120</v>
      </c>
      <c r="C120" s="32"/>
      <c r="D120" s="25"/>
      <c r="E120" s="25"/>
      <c r="F120" s="101"/>
      <c r="G120" s="25"/>
      <c r="H120" s="28"/>
      <c r="I120" s="29"/>
      <c r="J120" s="28"/>
      <c r="K120" s="28"/>
      <c r="L120" s="28"/>
    </row>
    <row r="121" spans="1:12" hidden="1" x14ac:dyDescent="0.25">
      <c r="A121" s="26"/>
      <c r="B121" s="29" t="s">
        <v>120</v>
      </c>
      <c r="C121" s="32"/>
      <c r="D121" s="25"/>
      <c r="E121" s="25"/>
      <c r="F121" s="101"/>
      <c r="G121" s="25"/>
      <c r="H121" s="28"/>
      <c r="I121" s="29"/>
      <c r="J121" s="28"/>
      <c r="K121" s="28"/>
      <c r="L121" s="28"/>
    </row>
    <row r="122" spans="1:12" hidden="1" x14ac:dyDescent="0.25">
      <c r="A122" s="26"/>
      <c r="B122" s="29" t="s">
        <v>120</v>
      </c>
      <c r="C122" s="32"/>
      <c r="D122" s="25"/>
      <c r="E122" s="25"/>
      <c r="F122" s="101"/>
      <c r="G122" s="25"/>
      <c r="H122" s="28"/>
      <c r="I122" s="29"/>
      <c r="J122" s="28"/>
      <c r="K122" s="28"/>
      <c r="L122" s="28"/>
    </row>
    <row r="123" spans="1:12" hidden="1" x14ac:dyDescent="0.25">
      <c r="A123" s="26"/>
      <c r="B123" s="29" t="s">
        <v>120</v>
      </c>
      <c r="C123" s="32"/>
      <c r="D123" s="25"/>
      <c r="E123" s="25"/>
      <c r="F123" s="25"/>
      <c r="G123" s="25"/>
      <c r="H123" s="28"/>
      <c r="I123" s="29"/>
      <c r="J123" s="28"/>
      <c r="K123" s="28"/>
      <c r="L123" s="28"/>
    </row>
    <row r="124" spans="1:12" hidden="1" x14ac:dyDescent="0.25">
      <c r="A124" s="26"/>
      <c r="B124" s="29" t="s">
        <v>120</v>
      </c>
      <c r="C124" s="32"/>
      <c r="D124" s="25"/>
      <c r="E124" s="25"/>
      <c r="F124" s="25"/>
      <c r="G124" s="25"/>
      <c r="H124" s="28"/>
      <c r="I124" s="29"/>
      <c r="J124" s="28"/>
      <c r="K124" s="28"/>
      <c r="L124" s="28"/>
    </row>
    <row r="125" spans="1:12" hidden="1" x14ac:dyDescent="0.25">
      <c r="A125" s="26"/>
      <c r="B125" s="29" t="s">
        <v>120</v>
      </c>
      <c r="C125" s="32"/>
      <c r="D125" s="25"/>
      <c r="E125" s="25"/>
      <c r="F125" s="25"/>
      <c r="G125" s="25"/>
      <c r="H125" s="28"/>
      <c r="I125" s="29"/>
      <c r="J125" s="28"/>
      <c r="K125" s="28"/>
      <c r="L125" s="28"/>
    </row>
    <row r="126" spans="1:12" hidden="1" x14ac:dyDescent="0.25">
      <c r="A126" s="26"/>
      <c r="B126" s="29" t="s">
        <v>120</v>
      </c>
      <c r="C126" s="32"/>
      <c r="D126" s="25"/>
      <c r="E126" s="25"/>
      <c r="F126" s="25"/>
      <c r="G126" s="25"/>
      <c r="H126" s="28"/>
      <c r="I126" s="29"/>
      <c r="J126" s="28"/>
      <c r="K126" s="28"/>
      <c r="L126" s="28"/>
    </row>
    <row r="127" spans="1:12" hidden="1" x14ac:dyDescent="0.25">
      <c r="A127" s="26"/>
      <c r="B127" s="29" t="s">
        <v>120</v>
      </c>
      <c r="C127" s="32"/>
      <c r="D127" s="25"/>
      <c r="E127" s="25"/>
      <c r="F127" s="25"/>
      <c r="G127" s="25"/>
      <c r="H127" s="28"/>
      <c r="I127" s="29"/>
      <c r="J127" s="28"/>
      <c r="K127" s="28"/>
      <c r="L127" s="28"/>
    </row>
    <row r="128" spans="1:12" hidden="1" x14ac:dyDescent="0.25">
      <c r="A128" s="26"/>
      <c r="B128" s="29" t="s">
        <v>120</v>
      </c>
      <c r="C128" s="32"/>
      <c r="D128" s="25"/>
      <c r="E128" s="25"/>
      <c r="F128" s="25"/>
      <c r="G128" s="25"/>
      <c r="H128" s="28"/>
      <c r="I128" s="29"/>
      <c r="J128" s="28"/>
      <c r="K128" s="28"/>
      <c r="L128" s="28"/>
    </row>
    <row r="129" spans="1:12" hidden="1" x14ac:dyDescent="0.25">
      <c r="A129" s="26"/>
      <c r="B129" s="29" t="s">
        <v>120</v>
      </c>
      <c r="C129" s="32"/>
      <c r="D129" s="25"/>
      <c r="E129" s="25"/>
      <c r="F129" s="25"/>
      <c r="G129" s="25"/>
      <c r="H129" s="28"/>
      <c r="I129" s="29"/>
      <c r="J129" s="28"/>
      <c r="K129" s="28"/>
      <c r="L129" s="28"/>
    </row>
    <row r="130" spans="1:12" hidden="1" x14ac:dyDescent="0.25">
      <c r="A130" s="26"/>
      <c r="B130" s="29" t="s">
        <v>120</v>
      </c>
      <c r="C130" s="32"/>
      <c r="D130" s="25"/>
      <c r="E130" s="25"/>
      <c r="F130" s="25"/>
      <c r="G130" s="25"/>
      <c r="H130" s="28"/>
      <c r="I130" s="29"/>
      <c r="J130" s="28"/>
      <c r="K130" s="28"/>
      <c r="L130" s="28"/>
    </row>
    <row r="131" spans="1:12" hidden="1" x14ac:dyDescent="0.25">
      <c r="A131" s="26"/>
      <c r="B131" s="29" t="s">
        <v>120</v>
      </c>
      <c r="C131" s="32"/>
      <c r="D131" s="25"/>
      <c r="E131" s="25"/>
      <c r="F131" s="25"/>
      <c r="G131" s="25"/>
      <c r="H131" s="28"/>
      <c r="I131" s="29"/>
      <c r="J131" s="28"/>
      <c r="K131" s="28"/>
      <c r="L131" s="28"/>
    </row>
    <row r="132" spans="1:12" hidden="1" x14ac:dyDescent="0.25">
      <c r="A132" s="26"/>
      <c r="B132" s="29" t="s">
        <v>120</v>
      </c>
      <c r="C132" s="32"/>
      <c r="D132" s="25"/>
      <c r="E132" s="25"/>
      <c r="F132" s="25"/>
      <c r="G132" s="25"/>
      <c r="H132" s="28"/>
      <c r="I132" s="29"/>
      <c r="J132" s="28"/>
      <c r="K132" s="28"/>
      <c r="L132" s="28"/>
    </row>
    <row r="133" spans="1:12" hidden="1" x14ac:dyDescent="0.25">
      <c r="A133" s="26"/>
      <c r="B133" s="29" t="s">
        <v>120</v>
      </c>
      <c r="C133" s="32"/>
      <c r="D133" s="25"/>
      <c r="E133" s="25"/>
      <c r="F133" s="25"/>
      <c r="G133" s="25"/>
      <c r="H133" s="28"/>
      <c r="I133" s="29"/>
      <c r="J133" s="28"/>
      <c r="K133" s="28"/>
      <c r="L133" s="28"/>
    </row>
    <row r="134" spans="1:12" hidden="1" x14ac:dyDescent="0.25">
      <c r="A134" s="26"/>
      <c r="B134" s="29" t="s">
        <v>120</v>
      </c>
      <c r="C134" s="32"/>
      <c r="D134" s="25"/>
      <c r="E134" s="25"/>
      <c r="F134" s="25"/>
      <c r="G134" s="25"/>
      <c r="H134" s="28"/>
      <c r="I134" s="29"/>
      <c r="J134" s="28"/>
      <c r="K134" s="28"/>
      <c r="L134" s="28"/>
    </row>
    <row r="135" spans="1:12" hidden="1" x14ac:dyDescent="0.25">
      <c r="A135" s="26"/>
      <c r="B135" s="29" t="s">
        <v>120</v>
      </c>
      <c r="C135" s="32"/>
      <c r="D135" s="25"/>
      <c r="E135" s="25"/>
      <c r="F135" s="25"/>
      <c r="G135" s="25"/>
      <c r="H135" s="28"/>
      <c r="I135" s="29"/>
      <c r="J135" s="28"/>
      <c r="K135" s="28"/>
      <c r="L135" s="28"/>
    </row>
    <row r="136" spans="1:12" hidden="1" x14ac:dyDescent="0.25">
      <c r="A136" s="26"/>
      <c r="B136" s="29" t="s">
        <v>120</v>
      </c>
      <c r="C136" s="32"/>
      <c r="D136" s="25"/>
      <c r="E136" s="25"/>
      <c r="F136" s="25"/>
      <c r="G136" s="25"/>
      <c r="H136" s="28"/>
      <c r="I136" s="29"/>
      <c r="J136" s="28"/>
      <c r="K136" s="28"/>
      <c r="L136" s="28"/>
    </row>
    <row r="137" spans="1:12" hidden="1" x14ac:dyDescent="0.25">
      <c r="A137" s="26"/>
      <c r="B137" s="29" t="s">
        <v>120</v>
      </c>
      <c r="C137" s="32"/>
      <c r="D137" s="25"/>
      <c r="E137" s="25"/>
      <c r="F137" s="25"/>
      <c r="G137" s="25"/>
      <c r="H137" s="28"/>
      <c r="I137" s="29"/>
      <c r="J137" s="28"/>
      <c r="K137" s="28"/>
      <c r="L137" s="28"/>
    </row>
    <row r="138" spans="1:12" hidden="1" x14ac:dyDescent="0.25">
      <c r="B138" s="29" t="s">
        <v>120</v>
      </c>
      <c r="C138" s="32" t="s">
        <v>453</v>
      </c>
      <c r="D138" s="25" t="s">
        <v>474</v>
      </c>
      <c r="E138" s="25" t="s">
        <v>475</v>
      </c>
      <c r="F138" s="101"/>
      <c r="G138" s="25"/>
      <c r="H138" s="28"/>
      <c r="I138" s="29"/>
      <c r="J138" s="28"/>
      <c r="K138" s="28"/>
      <c r="L138" s="28"/>
    </row>
  </sheetData>
  <autoFilter ref="A2:L138" xr:uid="{926167BA-BCEB-46D2-B6DF-D3DDE10FBA49}">
    <filterColumn colId="1">
      <filters>
        <filter val="ATIVO"/>
      </filters>
    </filterColumn>
    <filterColumn colId="3">
      <filters>
        <filter val="Francisco Augusto"/>
      </filters>
    </filterColumn>
  </autoFilter>
  <mergeCells count="1">
    <mergeCell ref="C1:L1"/>
  </mergeCells>
  <phoneticPr fontId="5" type="noConversion"/>
  <pageMargins left="0.511811024" right="0.511811024" top="0.78740157499999996" bottom="0.78740157499999996" header="0.31496062000000002" footer="0.31496062000000002"/>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D3AD8-3F0A-4A94-A1B1-0A25122764D6}">
  <sheetPr filterMode="1"/>
  <dimension ref="A1:K99"/>
  <sheetViews>
    <sheetView workbookViewId="0">
      <pane xSplit="3" ySplit="2" topLeftCell="D14" activePane="bottomRight" state="frozen"/>
      <selection pane="topRight" activeCell="D1" sqref="D1"/>
      <selection pane="bottomLeft" activeCell="A3" sqref="A3"/>
      <selection pane="bottomRight" activeCell="E73" sqref="E73"/>
    </sheetView>
  </sheetViews>
  <sheetFormatPr defaultRowHeight="15" x14ac:dyDescent="0.25"/>
  <cols>
    <col min="1" max="1" width="24.42578125" bestFit="1" customWidth="1"/>
    <col min="2" max="2" width="22" bestFit="1" customWidth="1"/>
    <col min="3" max="3" width="16.140625" bestFit="1" customWidth="1"/>
    <col min="4" max="4" width="13.5703125" bestFit="1" customWidth="1"/>
    <col min="5" max="5" width="15" bestFit="1" customWidth="1"/>
    <col min="6" max="6" width="16.5703125" bestFit="1" customWidth="1"/>
    <col min="7" max="7" width="16.5703125" customWidth="1"/>
    <col min="8" max="8" width="24.140625" customWidth="1"/>
    <col min="9" max="9" width="12.42578125" customWidth="1"/>
    <col min="10" max="10" width="32.140625" bestFit="1" customWidth="1"/>
    <col min="11" max="11" width="23.85546875" bestFit="1" customWidth="1"/>
  </cols>
  <sheetData>
    <row r="1" spans="1:11" ht="31.5" customHeight="1" x14ac:dyDescent="0.25">
      <c r="A1" s="18"/>
      <c r="B1" s="142" t="s">
        <v>123</v>
      </c>
      <c r="C1" s="142"/>
      <c r="D1" s="142"/>
      <c r="E1" s="142"/>
      <c r="F1" s="142"/>
      <c r="G1" s="142"/>
      <c r="H1" s="142"/>
      <c r="I1" s="142"/>
      <c r="J1" s="142"/>
      <c r="K1" s="142"/>
    </row>
    <row r="2" spans="1:11" x14ac:dyDescent="0.25">
      <c r="A2" s="19" t="s">
        <v>121</v>
      </c>
      <c r="B2" s="19" t="s">
        <v>122</v>
      </c>
      <c r="C2" s="19" t="s">
        <v>98</v>
      </c>
      <c r="D2" s="19" t="s">
        <v>91</v>
      </c>
      <c r="E2" s="19" t="s">
        <v>1</v>
      </c>
      <c r="F2" s="19" t="s">
        <v>95</v>
      </c>
      <c r="G2" s="19" t="s">
        <v>126</v>
      </c>
      <c r="H2" s="19" t="s">
        <v>97</v>
      </c>
      <c r="I2" s="19" t="s">
        <v>96</v>
      </c>
      <c r="J2" s="19" t="s">
        <v>93</v>
      </c>
      <c r="K2" s="19" t="s">
        <v>92</v>
      </c>
    </row>
    <row r="3" spans="1:11" hidden="1" x14ac:dyDescent="0.25">
      <c r="A3" s="5" t="s">
        <v>150</v>
      </c>
      <c r="B3" s="2" t="s">
        <v>105</v>
      </c>
      <c r="C3" s="4" t="s">
        <v>99</v>
      </c>
      <c r="D3" s="5"/>
      <c r="E3" s="13">
        <v>125.02</v>
      </c>
      <c r="F3" s="13">
        <v>120</v>
      </c>
      <c r="G3" s="13"/>
      <c r="H3" s="13"/>
      <c r="I3" s="13">
        <f>SUM(D3:H3)</f>
        <v>245.01999999999998</v>
      </c>
      <c r="J3" s="17">
        <v>45752</v>
      </c>
      <c r="K3" s="12"/>
    </row>
    <row r="4" spans="1:11" hidden="1" x14ac:dyDescent="0.25">
      <c r="A4" s="5" t="s">
        <v>150</v>
      </c>
      <c r="B4" s="2" t="s">
        <v>104</v>
      </c>
      <c r="C4" s="4" t="s">
        <v>109</v>
      </c>
      <c r="D4" s="5"/>
      <c r="E4" s="5"/>
      <c r="F4" s="15">
        <v>1150</v>
      </c>
      <c r="G4" s="15"/>
      <c r="H4" s="5"/>
      <c r="I4" s="13">
        <f t="shared" ref="I4:I7" si="0">SUM(D4:H4)</f>
        <v>1150</v>
      </c>
      <c r="J4" s="17">
        <v>45762</v>
      </c>
      <c r="K4" s="12"/>
    </row>
    <row r="5" spans="1:11" hidden="1" x14ac:dyDescent="0.25">
      <c r="A5" s="5" t="s">
        <v>150</v>
      </c>
      <c r="B5" s="2" t="s">
        <v>34</v>
      </c>
      <c r="C5" s="4" t="s">
        <v>100</v>
      </c>
      <c r="D5" s="13">
        <v>610</v>
      </c>
      <c r="E5" s="13">
        <v>4100</v>
      </c>
      <c r="F5" s="13">
        <v>2500</v>
      </c>
      <c r="G5" s="13"/>
      <c r="H5" s="13"/>
      <c r="I5" s="13">
        <f t="shared" si="0"/>
        <v>7210</v>
      </c>
      <c r="J5" s="17">
        <v>45745</v>
      </c>
      <c r="K5" s="12"/>
    </row>
    <row r="6" spans="1:11" hidden="1" x14ac:dyDescent="0.25">
      <c r="A6" s="5" t="s">
        <v>150</v>
      </c>
      <c r="B6" s="2" t="s">
        <v>36</v>
      </c>
      <c r="C6" s="4" t="s">
        <v>101</v>
      </c>
      <c r="D6" s="5"/>
      <c r="E6" s="13">
        <v>500</v>
      </c>
      <c r="F6" s="5"/>
      <c r="G6" s="5"/>
      <c r="H6" s="5"/>
      <c r="I6" s="13">
        <f t="shared" si="0"/>
        <v>500</v>
      </c>
      <c r="J6" s="17">
        <v>45712</v>
      </c>
      <c r="K6" s="12" t="s">
        <v>94</v>
      </c>
    </row>
    <row r="7" spans="1:11" hidden="1" x14ac:dyDescent="0.25">
      <c r="A7" s="5" t="s">
        <v>150</v>
      </c>
      <c r="B7" s="2" t="s">
        <v>103</v>
      </c>
      <c r="C7" s="4" t="s">
        <v>102</v>
      </c>
      <c r="D7" s="13">
        <v>210</v>
      </c>
      <c r="E7" s="13">
        <v>132</v>
      </c>
      <c r="F7" s="13">
        <v>1250</v>
      </c>
      <c r="G7" s="13"/>
      <c r="H7" s="13">
        <v>538.70000000000005</v>
      </c>
      <c r="I7" s="13">
        <f t="shared" si="0"/>
        <v>2130.6999999999998</v>
      </c>
      <c r="J7" s="17">
        <v>45702</v>
      </c>
      <c r="K7" s="12"/>
    </row>
    <row r="8" spans="1:11" hidden="1" x14ac:dyDescent="0.25">
      <c r="A8" s="5" t="s">
        <v>150</v>
      </c>
      <c r="B8" s="2" t="s">
        <v>35</v>
      </c>
      <c r="C8" s="4" t="s">
        <v>119</v>
      </c>
      <c r="D8" s="13"/>
      <c r="E8" s="13"/>
      <c r="F8" s="13">
        <v>1150</v>
      </c>
      <c r="G8" s="13"/>
      <c r="H8" s="13"/>
      <c r="I8" s="13">
        <f t="shared" ref="I8:I17" si="1">SUM(D8:H8)</f>
        <v>1150</v>
      </c>
      <c r="J8" s="17" t="s">
        <v>142</v>
      </c>
      <c r="K8" s="12"/>
    </row>
    <row r="9" spans="1:11" hidden="1" x14ac:dyDescent="0.25">
      <c r="A9" s="5" t="s">
        <v>150</v>
      </c>
      <c r="B9" s="2" t="s">
        <v>140</v>
      </c>
      <c r="C9" s="4" t="s">
        <v>141</v>
      </c>
      <c r="D9" s="13"/>
      <c r="E9" s="13"/>
      <c r="F9" s="13">
        <v>2200</v>
      </c>
      <c r="G9" s="13"/>
      <c r="H9" s="13"/>
      <c r="I9" s="13">
        <f t="shared" si="1"/>
        <v>2200</v>
      </c>
      <c r="J9" s="17">
        <v>45687</v>
      </c>
      <c r="K9" s="12"/>
    </row>
    <row r="10" spans="1:11" hidden="1" x14ac:dyDescent="0.25">
      <c r="A10" s="5" t="s">
        <v>150</v>
      </c>
      <c r="B10" s="2" t="s">
        <v>146</v>
      </c>
      <c r="C10" s="4" t="s">
        <v>147</v>
      </c>
      <c r="D10" s="13"/>
      <c r="E10" s="13"/>
      <c r="F10" s="13">
        <v>1250</v>
      </c>
      <c r="G10" s="13"/>
      <c r="H10" s="13"/>
      <c r="I10" s="13">
        <f t="shared" si="1"/>
        <v>1250</v>
      </c>
      <c r="J10" s="17">
        <v>45713</v>
      </c>
      <c r="K10" s="12"/>
    </row>
    <row r="11" spans="1:11" hidden="1" x14ac:dyDescent="0.25">
      <c r="A11" s="5" t="s">
        <v>150</v>
      </c>
      <c r="B11" s="2" t="s">
        <v>149</v>
      </c>
      <c r="C11" s="4" t="s">
        <v>148</v>
      </c>
      <c r="D11" s="13"/>
      <c r="E11" s="13"/>
      <c r="F11" s="13">
        <v>1150</v>
      </c>
      <c r="G11" s="13"/>
      <c r="H11" s="13"/>
      <c r="I11" s="13">
        <f t="shared" si="1"/>
        <v>1150</v>
      </c>
      <c r="J11" s="17">
        <v>45766</v>
      </c>
      <c r="K11" s="12"/>
    </row>
    <row r="12" spans="1:11" hidden="1" x14ac:dyDescent="0.25">
      <c r="A12" s="5" t="s">
        <v>150</v>
      </c>
      <c r="B12" s="2" t="s">
        <v>183</v>
      </c>
      <c r="C12" s="4" t="s">
        <v>182</v>
      </c>
      <c r="D12" s="13"/>
      <c r="E12" s="13">
        <v>175</v>
      </c>
      <c r="F12" s="13"/>
      <c r="G12" s="13"/>
      <c r="H12" s="13"/>
      <c r="I12" s="13">
        <f t="shared" si="1"/>
        <v>175</v>
      </c>
      <c r="J12" s="17" t="s">
        <v>181</v>
      </c>
      <c r="K12" s="12"/>
    </row>
    <row r="13" spans="1:11" hidden="1" x14ac:dyDescent="0.25">
      <c r="A13" s="5" t="s">
        <v>150</v>
      </c>
      <c r="B13" s="2" t="s">
        <v>577</v>
      </c>
      <c r="C13" s="4" t="s">
        <v>576</v>
      </c>
      <c r="D13" s="13"/>
      <c r="E13" s="13">
        <v>275</v>
      </c>
      <c r="F13" s="13"/>
      <c r="G13" s="13"/>
      <c r="H13" s="13"/>
      <c r="I13" s="13">
        <f t="shared" si="1"/>
        <v>275</v>
      </c>
      <c r="J13" s="17"/>
      <c r="K13" s="12"/>
    </row>
    <row r="14" spans="1:11" x14ac:dyDescent="0.25">
      <c r="A14" s="5" t="s">
        <v>117</v>
      </c>
      <c r="B14" s="2" t="s">
        <v>54</v>
      </c>
      <c r="C14" s="4" t="s">
        <v>118</v>
      </c>
      <c r="D14" s="15"/>
      <c r="E14" s="15"/>
      <c r="F14" s="13">
        <v>80</v>
      </c>
      <c r="G14" s="13"/>
      <c r="H14" s="15"/>
      <c r="I14" s="13">
        <f t="shared" si="1"/>
        <v>80</v>
      </c>
      <c r="J14" s="16" t="s">
        <v>120</v>
      </c>
      <c r="K14" s="5"/>
    </row>
    <row r="15" spans="1:11" hidden="1" x14ac:dyDescent="0.25">
      <c r="A15" s="5" t="s">
        <v>117</v>
      </c>
      <c r="B15" s="2" t="s">
        <v>55</v>
      </c>
      <c r="C15" s="4" t="s">
        <v>157</v>
      </c>
      <c r="D15" s="15"/>
      <c r="E15" s="15"/>
      <c r="F15" s="15"/>
      <c r="G15" s="15">
        <v>1106</v>
      </c>
      <c r="H15" s="15"/>
      <c r="I15" s="15">
        <f t="shared" si="1"/>
        <v>1106</v>
      </c>
      <c r="J15" s="17">
        <v>45724</v>
      </c>
      <c r="K15" s="5"/>
    </row>
    <row r="16" spans="1:11" hidden="1" x14ac:dyDescent="0.25">
      <c r="A16" s="5" t="s">
        <v>117</v>
      </c>
      <c r="B16" s="2" t="s">
        <v>55</v>
      </c>
      <c r="C16" s="4" t="s">
        <v>309</v>
      </c>
      <c r="D16" s="15"/>
      <c r="E16" s="15">
        <v>60</v>
      </c>
      <c r="F16" s="15">
        <v>980</v>
      </c>
      <c r="G16" s="15">
        <v>1099.8</v>
      </c>
      <c r="H16" s="15"/>
      <c r="I16" s="15">
        <f t="shared" si="1"/>
        <v>2139.8000000000002</v>
      </c>
      <c r="J16" s="17">
        <v>45931</v>
      </c>
      <c r="K16" s="5"/>
    </row>
    <row r="17" spans="1:11" hidden="1" x14ac:dyDescent="0.25">
      <c r="A17" s="5" t="s">
        <v>117</v>
      </c>
      <c r="B17" s="2" t="s">
        <v>226</v>
      </c>
      <c r="C17" s="4" t="s">
        <v>227</v>
      </c>
      <c r="D17" s="15"/>
      <c r="E17" s="15">
        <v>234</v>
      </c>
      <c r="F17" s="15"/>
      <c r="G17" s="15"/>
      <c r="H17" s="15"/>
      <c r="I17" s="15">
        <f t="shared" si="1"/>
        <v>234</v>
      </c>
      <c r="J17" s="17"/>
      <c r="K17" s="5"/>
    </row>
    <row r="18" spans="1:11" hidden="1" x14ac:dyDescent="0.25">
      <c r="A18" s="5" t="s">
        <v>124</v>
      </c>
      <c r="B18" s="2" t="s">
        <v>138</v>
      </c>
      <c r="C18" s="4" t="s">
        <v>139</v>
      </c>
      <c r="D18" s="15"/>
      <c r="E18" s="15">
        <v>1100</v>
      </c>
      <c r="F18" s="15"/>
      <c r="G18" s="15"/>
      <c r="H18" s="15"/>
      <c r="I18" s="15">
        <f t="shared" ref="I18:I89" si="2">SUM(D18:H18)</f>
        <v>1100</v>
      </c>
      <c r="J18" s="17" t="s">
        <v>143</v>
      </c>
      <c r="K18" s="5"/>
    </row>
    <row r="19" spans="1:11" hidden="1" x14ac:dyDescent="0.25">
      <c r="A19" s="5" t="s">
        <v>124</v>
      </c>
      <c r="B19" s="2" t="s">
        <v>63</v>
      </c>
      <c r="C19" s="4" t="s">
        <v>153</v>
      </c>
      <c r="D19" s="15"/>
      <c r="E19" s="15">
        <v>300</v>
      </c>
      <c r="F19" s="15"/>
      <c r="G19" s="15"/>
      <c r="H19" s="15"/>
      <c r="I19" s="15">
        <f t="shared" si="2"/>
        <v>300</v>
      </c>
      <c r="J19" s="17">
        <v>45759</v>
      </c>
      <c r="K19" s="5"/>
    </row>
    <row r="20" spans="1:11" x14ac:dyDescent="0.25">
      <c r="A20" s="5" t="s">
        <v>124</v>
      </c>
      <c r="B20" s="2" t="s">
        <v>67</v>
      </c>
      <c r="C20" s="4" t="s">
        <v>156</v>
      </c>
      <c r="D20" s="15"/>
      <c r="E20" s="15">
        <v>1700</v>
      </c>
      <c r="F20" s="15"/>
      <c r="G20" s="15">
        <v>800</v>
      </c>
      <c r="H20" s="15"/>
      <c r="I20" s="15">
        <f t="shared" si="2"/>
        <v>2500</v>
      </c>
      <c r="J20" s="16" t="s">
        <v>120</v>
      </c>
      <c r="K20" s="5"/>
    </row>
    <row r="21" spans="1:11" x14ac:dyDescent="0.25">
      <c r="A21" s="5" t="s">
        <v>124</v>
      </c>
      <c r="B21" s="2" t="s">
        <v>62</v>
      </c>
      <c r="C21" s="4" t="s">
        <v>158</v>
      </c>
      <c r="D21" s="15"/>
      <c r="E21" s="15">
        <f>1540+661.5</f>
        <v>2201.5</v>
      </c>
      <c r="F21" s="15">
        <f>1410</f>
        <v>1410</v>
      </c>
      <c r="G21" s="15"/>
      <c r="H21" s="15"/>
      <c r="I21" s="15">
        <f t="shared" si="2"/>
        <v>3611.5</v>
      </c>
      <c r="J21" s="16" t="s">
        <v>120</v>
      </c>
      <c r="K21" s="5"/>
    </row>
    <row r="22" spans="1:11" hidden="1" x14ac:dyDescent="0.25">
      <c r="A22" s="5" t="s">
        <v>124</v>
      </c>
      <c r="B22" s="2" t="s">
        <v>160</v>
      </c>
      <c r="C22" s="4" t="s">
        <v>161</v>
      </c>
      <c r="D22" s="15">
        <v>149.5</v>
      </c>
      <c r="E22" s="15"/>
      <c r="F22" s="15">
        <v>1329.6</v>
      </c>
      <c r="G22" s="15"/>
      <c r="H22" s="15"/>
      <c r="I22" s="15">
        <f>SUM(D22:H22)</f>
        <v>1479.1</v>
      </c>
      <c r="J22" s="17">
        <v>45869</v>
      </c>
      <c r="K22" s="5"/>
    </row>
    <row r="23" spans="1:11" x14ac:dyDescent="0.25">
      <c r="A23" s="5" t="s">
        <v>124</v>
      </c>
      <c r="B23" s="2" t="s">
        <v>64</v>
      </c>
      <c r="C23" s="4" t="s">
        <v>165</v>
      </c>
      <c r="D23" s="15">
        <v>460</v>
      </c>
      <c r="E23" s="15">
        <v>400</v>
      </c>
      <c r="F23" s="15"/>
      <c r="G23" s="15"/>
      <c r="H23" s="15"/>
      <c r="I23" s="15">
        <f>SUM(D23:H23)</f>
        <v>860</v>
      </c>
      <c r="J23" s="16" t="s">
        <v>120</v>
      </c>
      <c r="K23" s="5"/>
    </row>
    <row r="24" spans="1:11" hidden="1" x14ac:dyDescent="0.25">
      <c r="A24" s="5" t="s">
        <v>124</v>
      </c>
      <c r="B24" s="2" t="s">
        <v>63</v>
      </c>
      <c r="C24" s="4" t="s">
        <v>463</v>
      </c>
      <c r="D24" s="15"/>
      <c r="E24" s="15">
        <f>600+550</f>
        <v>1150</v>
      </c>
      <c r="F24" s="15"/>
      <c r="G24" s="15"/>
      <c r="H24" s="15"/>
      <c r="I24" s="15">
        <f>SUM(D24:H24)</f>
        <v>1150</v>
      </c>
      <c r="J24" s="103">
        <v>46010</v>
      </c>
      <c r="K24" s="5"/>
    </row>
    <row r="25" spans="1:11" hidden="1" x14ac:dyDescent="0.25">
      <c r="A25" s="20" t="s">
        <v>125</v>
      </c>
      <c r="B25" s="2" t="s">
        <v>14</v>
      </c>
      <c r="C25" s="4" t="s">
        <v>128</v>
      </c>
      <c r="D25" s="15"/>
      <c r="E25" s="15"/>
      <c r="F25" s="15"/>
      <c r="G25" s="15">
        <v>170</v>
      </c>
      <c r="H25" s="15"/>
      <c r="I25" s="15">
        <f t="shared" si="2"/>
        <v>170</v>
      </c>
      <c r="J25" s="17" t="s">
        <v>144</v>
      </c>
      <c r="K25" s="5"/>
    </row>
    <row r="26" spans="1:11" x14ac:dyDescent="0.25">
      <c r="A26" s="20" t="s">
        <v>125</v>
      </c>
      <c r="B26" s="2" t="s">
        <v>175</v>
      </c>
      <c r="C26" s="4" t="s">
        <v>127</v>
      </c>
      <c r="D26" s="15"/>
      <c r="E26" s="15"/>
      <c r="F26" s="15"/>
      <c r="G26" s="15">
        <f>1740+1620+1580</f>
        <v>4940</v>
      </c>
      <c r="H26" s="15"/>
      <c r="I26" s="15">
        <f t="shared" si="2"/>
        <v>4940</v>
      </c>
      <c r="J26" s="16" t="s">
        <v>120</v>
      </c>
      <c r="K26" s="5"/>
    </row>
    <row r="27" spans="1:11" x14ac:dyDescent="0.25">
      <c r="A27" s="20" t="s">
        <v>125</v>
      </c>
      <c r="B27" s="2" t="s">
        <v>279</v>
      </c>
      <c r="C27" s="4" t="s">
        <v>174</v>
      </c>
      <c r="D27" s="15"/>
      <c r="E27" s="15">
        <v>20</v>
      </c>
      <c r="F27" s="15"/>
      <c r="G27" s="15">
        <v>990</v>
      </c>
      <c r="H27" s="15"/>
      <c r="I27" s="15">
        <f>SUM(D27:H27)</f>
        <v>1010</v>
      </c>
      <c r="J27" s="16" t="s">
        <v>120</v>
      </c>
      <c r="K27" s="5"/>
    </row>
    <row r="28" spans="1:11" hidden="1" x14ac:dyDescent="0.25">
      <c r="A28" s="20" t="s">
        <v>125</v>
      </c>
      <c r="B28" s="2" t="s">
        <v>13</v>
      </c>
      <c r="C28" s="4" t="s">
        <v>176</v>
      </c>
      <c r="D28" s="15"/>
      <c r="E28" s="15">
        <f>200+260+780</f>
        <v>1240</v>
      </c>
      <c r="F28" s="15"/>
      <c r="G28" s="15">
        <v>1020</v>
      </c>
      <c r="H28" s="15"/>
      <c r="I28" s="15">
        <f>SUM(D28:H28)</f>
        <v>2260</v>
      </c>
      <c r="J28" s="17">
        <v>45955</v>
      </c>
      <c r="K28" s="5"/>
    </row>
    <row r="29" spans="1:11" hidden="1" x14ac:dyDescent="0.25">
      <c r="A29" s="20" t="s">
        <v>125</v>
      </c>
      <c r="B29" s="2" t="s">
        <v>177</v>
      </c>
      <c r="C29" s="4" t="s">
        <v>178</v>
      </c>
      <c r="D29" s="15"/>
      <c r="E29" s="15"/>
      <c r="F29" s="15"/>
      <c r="G29" s="15">
        <v>450</v>
      </c>
      <c r="H29" s="15"/>
      <c r="I29" s="15">
        <f>SUM(D29:H29)</f>
        <v>450</v>
      </c>
      <c r="J29" s="17">
        <v>45892</v>
      </c>
      <c r="K29" s="5"/>
    </row>
    <row r="30" spans="1:11" hidden="1" x14ac:dyDescent="0.25">
      <c r="A30" s="20" t="s">
        <v>125</v>
      </c>
      <c r="B30" s="2" t="s">
        <v>275</v>
      </c>
      <c r="C30" s="4" t="s">
        <v>314</v>
      </c>
      <c r="D30" s="15"/>
      <c r="E30" s="15">
        <v>400</v>
      </c>
      <c r="F30" s="15"/>
      <c r="G30" s="15"/>
      <c r="H30" s="15"/>
      <c r="I30" s="15">
        <f>SUM(D30:H30)</f>
        <v>400</v>
      </c>
      <c r="J30" s="17">
        <v>45941</v>
      </c>
      <c r="K30" s="5"/>
    </row>
    <row r="31" spans="1:11" x14ac:dyDescent="0.25">
      <c r="A31" s="20" t="s">
        <v>125</v>
      </c>
      <c r="B31" s="2" t="s">
        <v>289</v>
      </c>
      <c r="C31" s="4" t="s">
        <v>441</v>
      </c>
      <c r="D31" s="15"/>
      <c r="E31" s="15">
        <v>350</v>
      </c>
      <c r="F31" s="15"/>
      <c r="G31" s="15">
        <f>1680+140.9</f>
        <v>1820.9</v>
      </c>
      <c r="H31" s="15"/>
      <c r="I31" s="15">
        <f>SUM(D31:H31)</f>
        <v>2170.9</v>
      </c>
      <c r="J31" s="16" t="s">
        <v>120</v>
      </c>
      <c r="K31" s="5"/>
    </row>
    <row r="32" spans="1:11" x14ac:dyDescent="0.25">
      <c r="A32" s="20" t="s">
        <v>125</v>
      </c>
      <c r="B32" s="2" t="s">
        <v>294</v>
      </c>
      <c r="C32" s="4" t="s">
        <v>320</v>
      </c>
      <c r="D32" s="15"/>
      <c r="E32" s="15"/>
      <c r="F32" s="15"/>
      <c r="G32" s="15"/>
      <c r="H32" s="15"/>
      <c r="I32" s="15">
        <f t="shared" ref="I32:I34" si="3">SUM(D32:H32)</f>
        <v>0</v>
      </c>
      <c r="J32" s="16" t="s">
        <v>120</v>
      </c>
      <c r="K32" s="5"/>
    </row>
    <row r="33" spans="1:11" x14ac:dyDescent="0.25">
      <c r="A33" s="20" t="s">
        <v>125</v>
      </c>
      <c r="B33" s="2" t="s">
        <v>429</v>
      </c>
      <c r="C33" s="4" t="s">
        <v>324</v>
      </c>
      <c r="D33" s="15"/>
      <c r="E33" s="15"/>
      <c r="F33" s="15"/>
      <c r="G33" s="15"/>
      <c r="H33" s="15"/>
      <c r="I33" s="15">
        <f t="shared" si="3"/>
        <v>0</v>
      </c>
      <c r="J33" s="16" t="s">
        <v>120</v>
      </c>
      <c r="K33" s="5"/>
    </row>
    <row r="34" spans="1:11" x14ac:dyDescent="0.25">
      <c r="A34" s="20" t="s">
        <v>125</v>
      </c>
      <c r="B34" s="2" t="s">
        <v>302</v>
      </c>
      <c r="C34" s="4" t="s">
        <v>303</v>
      </c>
      <c r="D34" s="15"/>
      <c r="E34" s="15"/>
      <c r="F34" s="15"/>
      <c r="G34" s="15">
        <v>70.44</v>
      </c>
      <c r="H34" s="15"/>
      <c r="I34" s="15">
        <f t="shared" si="3"/>
        <v>70.44</v>
      </c>
      <c r="J34" s="16" t="s">
        <v>120</v>
      </c>
      <c r="K34" s="5"/>
    </row>
    <row r="35" spans="1:11" hidden="1" x14ac:dyDescent="0.25">
      <c r="A35" s="5" t="s">
        <v>133</v>
      </c>
      <c r="B35" s="2" t="s">
        <v>129</v>
      </c>
      <c r="C35" s="4" t="s">
        <v>131</v>
      </c>
      <c r="D35" s="15"/>
      <c r="E35" s="15">
        <v>600</v>
      </c>
      <c r="F35" s="15">
        <v>980</v>
      </c>
      <c r="G35" s="15"/>
      <c r="H35" s="15"/>
      <c r="I35" s="15">
        <f t="shared" si="2"/>
        <v>1580</v>
      </c>
      <c r="J35" s="21" t="s">
        <v>130</v>
      </c>
      <c r="K35" s="5"/>
    </row>
    <row r="36" spans="1:11" hidden="1" x14ac:dyDescent="0.25">
      <c r="A36" s="5" t="s">
        <v>133</v>
      </c>
      <c r="B36" s="2" t="s">
        <v>136</v>
      </c>
      <c r="C36" s="4" t="s">
        <v>137</v>
      </c>
      <c r="D36" s="15"/>
      <c r="E36" s="15"/>
      <c r="F36" s="15">
        <v>1350</v>
      </c>
      <c r="G36" s="15"/>
      <c r="H36" s="15"/>
      <c r="I36" s="15">
        <f t="shared" si="2"/>
        <v>1350</v>
      </c>
      <c r="J36" s="17" t="s">
        <v>145</v>
      </c>
      <c r="K36" s="5"/>
    </row>
    <row r="37" spans="1:11" x14ac:dyDescent="0.25">
      <c r="A37" s="5" t="s">
        <v>133</v>
      </c>
      <c r="B37" s="2" t="s">
        <v>151</v>
      </c>
      <c r="C37" s="4" t="s">
        <v>152</v>
      </c>
      <c r="D37" s="15"/>
      <c r="E37" s="15"/>
      <c r="F37" s="15"/>
      <c r="G37" s="15">
        <v>589</v>
      </c>
      <c r="H37" s="15"/>
      <c r="I37" s="15">
        <f t="shared" si="2"/>
        <v>589</v>
      </c>
      <c r="J37" s="16" t="s">
        <v>120</v>
      </c>
      <c r="K37" s="5"/>
    </row>
    <row r="38" spans="1:11" hidden="1" x14ac:dyDescent="0.25">
      <c r="A38" s="5" t="s">
        <v>133</v>
      </c>
      <c r="B38" s="2" t="s">
        <v>154</v>
      </c>
      <c r="C38" s="4" t="s">
        <v>155</v>
      </c>
      <c r="D38" s="15"/>
      <c r="E38" s="15"/>
      <c r="F38" s="15"/>
      <c r="G38" s="15">
        <v>569</v>
      </c>
      <c r="H38" s="15"/>
      <c r="I38" s="15">
        <f t="shared" si="2"/>
        <v>569</v>
      </c>
      <c r="J38" s="16"/>
      <c r="K38" s="5"/>
    </row>
    <row r="39" spans="1:11" x14ac:dyDescent="0.25">
      <c r="A39" s="5" t="s">
        <v>132</v>
      </c>
      <c r="B39" s="2" t="s">
        <v>134</v>
      </c>
      <c r="C39" s="4" t="s">
        <v>135</v>
      </c>
      <c r="D39" s="15"/>
      <c r="E39" s="15"/>
      <c r="F39" s="15">
        <v>409</v>
      </c>
      <c r="G39" s="15"/>
      <c r="H39" s="15"/>
      <c r="I39" s="15">
        <f t="shared" si="2"/>
        <v>409</v>
      </c>
      <c r="J39" s="16" t="s">
        <v>120</v>
      </c>
      <c r="K39" s="5"/>
    </row>
    <row r="40" spans="1:11" x14ac:dyDescent="0.25">
      <c r="A40" s="5" t="s">
        <v>162</v>
      </c>
      <c r="B40" s="2" t="s">
        <v>163</v>
      </c>
      <c r="C40" s="4" t="s">
        <v>164</v>
      </c>
      <c r="D40" s="15"/>
      <c r="E40" s="15">
        <f>590+2840</f>
        <v>3430</v>
      </c>
      <c r="F40" s="15"/>
      <c r="G40" s="15"/>
      <c r="H40" s="15"/>
      <c r="I40" s="15">
        <f t="shared" si="2"/>
        <v>3430</v>
      </c>
      <c r="J40" s="16" t="s">
        <v>120</v>
      </c>
      <c r="K40" s="5"/>
    </row>
    <row r="41" spans="1:11" x14ac:dyDescent="0.25">
      <c r="A41" s="5" t="s">
        <v>162</v>
      </c>
      <c r="B41" s="2" t="s">
        <v>166</v>
      </c>
      <c r="C41" s="4" t="s">
        <v>167</v>
      </c>
      <c r="D41" s="15">
        <v>690</v>
      </c>
      <c r="E41" s="15"/>
      <c r="F41" s="15"/>
      <c r="G41" s="15"/>
      <c r="H41" s="15"/>
      <c r="I41" s="15">
        <f t="shared" si="2"/>
        <v>690</v>
      </c>
      <c r="J41" s="16" t="s">
        <v>120</v>
      </c>
      <c r="K41" s="5"/>
    </row>
    <row r="42" spans="1:11" x14ac:dyDescent="0.25">
      <c r="A42" s="5" t="s">
        <v>180</v>
      </c>
      <c r="B42" s="2" t="s">
        <v>114</v>
      </c>
      <c r="C42" s="4" t="s">
        <v>179</v>
      </c>
      <c r="D42" s="15"/>
      <c r="E42" s="15">
        <v>600</v>
      </c>
      <c r="F42" s="15">
        <v>1675</v>
      </c>
      <c r="G42" s="15"/>
      <c r="H42" s="15"/>
      <c r="I42" s="15">
        <f t="shared" si="2"/>
        <v>2275</v>
      </c>
      <c r="J42" s="16" t="s">
        <v>120</v>
      </c>
      <c r="K42" s="5"/>
    </row>
    <row r="43" spans="1:11" hidden="1" x14ac:dyDescent="0.25">
      <c r="A43" s="20" t="s">
        <v>125</v>
      </c>
      <c r="B43" s="2" t="s">
        <v>14</v>
      </c>
      <c r="C43" s="4" t="s">
        <v>116</v>
      </c>
      <c r="D43" s="15"/>
      <c r="E43" s="15">
        <f>350+280</f>
        <v>630</v>
      </c>
      <c r="F43" s="15"/>
      <c r="G43" s="15">
        <f>80+150</f>
        <v>230</v>
      </c>
      <c r="H43" s="15"/>
      <c r="I43" s="15">
        <f t="shared" si="2"/>
        <v>860</v>
      </c>
      <c r="J43" s="17">
        <v>45968</v>
      </c>
      <c r="K43" s="5"/>
    </row>
    <row r="44" spans="1:11" x14ac:dyDescent="0.25">
      <c r="A44" s="5" t="s">
        <v>124</v>
      </c>
      <c r="B44" s="2" t="s">
        <v>336</v>
      </c>
      <c r="C44" s="4" t="s">
        <v>222</v>
      </c>
      <c r="D44" s="15"/>
      <c r="E44" s="15"/>
      <c r="F44" s="15"/>
      <c r="G44" s="15"/>
      <c r="H44" s="15"/>
      <c r="I44" s="15">
        <f t="shared" si="2"/>
        <v>0</v>
      </c>
      <c r="J44" s="16" t="s">
        <v>120</v>
      </c>
      <c r="K44" s="5"/>
    </row>
    <row r="45" spans="1:11" x14ac:dyDescent="0.25">
      <c r="A45" s="20" t="s">
        <v>125</v>
      </c>
      <c r="B45" s="2" t="s">
        <v>177</v>
      </c>
      <c r="C45" s="4" t="s">
        <v>250</v>
      </c>
      <c r="D45" s="15"/>
      <c r="E45" s="15"/>
      <c r="F45" s="15"/>
      <c r="G45" s="15"/>
      <c r="H45" s="15"/>
      <c r="I45" s="15">
        <f t="shared" si="2"/>
        <v>0</v>
      </c>
      <c r="J45" s="16" t="s">
        <v>120</v>
      </c>
      <c r="K45" s="5"/>
    </row>
    <row r="46" spans="1:11" x14ac:dyDescent="0.25">
      <c r="A46" s="20" t="s">
        <v>125</v>
      </c>
      <c r="B46" s="2" t="s">
        <v>264</v>
      </c>
      <c r="C46" s="4" t="s">
        <v>317</v>
      </c>
      <c r="D46" s="15"/>
      <c r="E46" s="15"/>
      <c r="F46" s="15"/>
      <c r="G46" s="15"/>
      <c r="H46" s="15"/>
      <c r="I46" s="15">
        <f t="shared" si="2"/>
        <v>0</v>
      </c>
      <c r="J46" s="16" t="s">
        <v>120</v>
      </c>
      <c r="K46" s="5"/>
    </row>
    <row r="47" spans="1:11" x14ac:dyDescent="0.25">
      <c r="A47" s="20" t="s">
        <v>125</v>
      </c>
      <c r="B47" s="2" t="s">
        <v>14</v>
      </c>
      <c r="C47" s="43" t="s">
        <v>366</v>
      </c>
      <c r="D47" s="15"/>
      <c r="E47" s="15"/>
      <c r="F47" s="15"/>
      <c r="G47" s="15"/>
      <c r="H47" s="15"/>
      <c r="I47" s="15">
        <f t="shared" si="2"/>
        <v>0</v>
      </c>
      <c r="J47" s="16" t="s">
        <v>120</v>
      </c>
      <c r="K47" s="5"/>
    </row>
    <row r="48" spans="1:11" x14ac:dyDescent="0.25">
      <c r="A48" s="20" t="s">
        <v>125</v>
      </c>
      <c r="B48" s="2" t="s">
        <v>13</v>
      </c>
      <c r="C48" s="43" t="s">
        <v>326</v>
      </c>
      <c r="D48" s="15"/>
      <c r="E48" s="15"/>
      <c r="F48" s="15"/>
      <c r="G48" s="15"/>
      <c r="H48" s="15"/>
      <c r="I48" s="15">
        <f t="shared" si="2"/>
        <v>0</v>
      </c>
      <c r="J48" s="16" t="s">
        <v>120</v>
      </c>
      <c r="K48" s="5"/>
    </row>
    <row r="49" spans="1:11" x14ac:dyDescent="0.25">
      <c r="A49" s="20" t="s">
        <v>125</v>
      </c>
      <c r="B49" s="2" t="s">
        <v>277</v>
      </c>
      <c r="C49" s="4" t="s">
        <v>337</v>
      </c>
      <c r="D49" s="15"/>
      <c r="E49" s="15">
        <f>50+40</f>
        <v>90</v>
      </c>
      <c r="F49" s="15">
        <v>890</v>
      </c>
      <c r="G49" s="15"/>
      <c r="H49" s="15"/>
      <c r="I49" s="15">
        <f t="shared" si="2"/>
        <v>980</v>
      </c>
      <c r="J49" s="16" t="s">
        <v>120</v>
      </c>
      <c r="K49" s="5"/>
    </row>
    <row r="50" spans="1:11" x14ac:dyDescent="0.25">
      <c r="A50" s="20" t="s">
        <v>358</v>
      </c>
      <c r="B50" s="2" t="s">
        <v>359</v>
      </c>
      <c r="C50" s="4" t="s">
        <v>360</v>
      </c>
      <c r="D50" s="15"/>
      <c r="E50" s="15"/>
      <c r="F50" s="15"/>
      <c r="G50" s="15"/>
      <c r="H50" s="15"/>
      <c r="I50" s="15">
        <f t="shared" si="2"/>
        <v>0</v>
      </c>
      <c r="J50" s="16" t="s">
        <v>120</v>
      </c>
      <c r="K50" s="5"/>
    </row>
    <row r="51" spans="1:11" s="30" customFormat="1" ht="30" x14ac:dyDescent="0.25">
      <c r="A51" s="68" t="s">
        <v>385</v>
      </c>
      <c r="B51" s="69" t="s">
        <v>384</v>
      </c>
      <c r="C51" s="4" t="s">
        <v>383</v>
      </c>
      <c r="D51" s="70"/>
      <c r="E51" s="70"/>
      <c r="F51" s="70"/>
      <c r="G51" s="70">
        <v>930</v>
      </c>
      <c r="H51" s="70"/>
      <c r="I51" s="70">
        <f t="shared" si="2"/>
        <v>930</v>
      </c>
      <c r="J51" s="16" t="s">
        <v>120</v>
      </c>
      <c r="K51" s="25"/>
    </row>
    <row r="52" spans="1:11" s="30" customFormat="1" x14ac:dyDescent="0.25">
      <c r="A52" s="5" t="s">
        <v>124</v>
      </c>
      <c r="B52" s="69" t="s">
        <v>66</v>
      </c>
      <c r="C52" s="4" t="s">
        <v>386</v>
      </c>
      <c r="D52" s="70"/>
      <c r="E52" s="70">
        <v>1450</v>
      </c>
      <c r="F52" s="70"/>
      <c r="G52" s="70"/>
      <c r="H52" s="70"/>
      <c r="I52" s="70">
        <f t="shared" si="2"/>
        <v>1450</v>
      </c>
      <c r="J52" s="16" t="s">
        <v>120</v>
      </c>
      <c r="K52" s="25"/>
    </row>
    <row r="53" spans="1:11" s="30" customFormat="1" x14ac:dyDescent="0.25">
      <c r="A53" s="71" t="s">
        <v>448</v>
      </c>
      <c r="B53" s="69" t="s">
        <v>449</v>
      </c>
      <c r="C53" s="4" t="s">
        <v>450</v>
      </c>
      <c r="D53" s="70"/>
      <c r="E53" s="70"/>
      <c r="F53" s="70" t="s">
        <v>451</v>
      </c>
      <c r="G53" s="70">
        <v>314</v>
      </c>
      <c r="H53" s="70"/>
      <c r="I53" s="70">
        <f t="shared" si="2"/>
        <v>314</v>
      </c>
      <c r="J53" s="16" t="s">
        <v>120</v>
      </c>
      <c r="K53" s="25"/>
    </row>
    <row r="54" spans="1:11" s="30" customFormat="1" x14ac:dyDescent="0.25">
      <c r="A54" s="5" t="s">
        <v>132</v>
      </c>
      <c r="B54" s="69" t="s">
        <v>469</v>
      </c>
      <c r="C54" s="4" t="s">
        <v>586</v>
      </c>
      <c r="D54" s="70"/>
      <c r="E54" s="70"/>
      <c r="F54" s="70">
        <f>140+1090</f>
        <v>1230</v>
      </c>
      <c r="G54" s="70"/>
      <c r="H54" s="70"/>
      <c r="I54" s="70">
        <f t="shared" si="2"/>
        <v>1230</v>
      </c>
      <c r="J54" s="16" t="s">
        <v>120</v>
      </c>
      <c r="K54" s="25"/>
    </row>
    <row r="55" spans="1:11" s="30" customFormat="1" x14ac:dyDescent="0.25">
      <c r="A55" s="5" t="s">
        <v>124</v>
      </c>
      <c r="B55" s="69" t="s">
        <v>272</v>
      </c>
      <c r="C55" s="4" t="s">
        <v>471</v>
      </c>
      <c r="D55" s="70"/>
      <c r="E55" s="70">
        <v>700</v>
      </c>
      <c r="F55" s="70"/>
      <c r="G55" s="70"/>
      <c r="H55" s="70"/>
      <c r="I55" s="70">
        <f t="shared" si="2"/>
        <v>700</v>
      </c>
      <c r="J55" s="16" t="s">
        <v>120</v>
      </c>
      <c r="K55" s="25"/>
    </row>
    <row r="56" spans="1:11" s="30" customFormat="1" x14ac:dyDescent="0.25">
      <c r="A56" s="5" t="s">
        <v>124</v>
      </c>
      <c r="B56" s="69" t="s">
        <v>502</v>
      </c>
      <c r="C56" s="4" t="s">
        <v>503</v>
      </c>
      <c r="D56" s="70"/>
      <c r="E56" s="70">
        <v>1030</v>
      </c>
      <c r="F56" s="70"/>
      <c r="G56" s="70"/>
      <c r="H56" s="70"/>
      <c r="I56" s="70">
        <f t="shared" si="2"/>
        <v>1030</v>
      </c>
      <c r="J56" s="16" t="s">
        <v>120</v>
      </c>
      <c r="K56" s="25"/>
    </row>
    <row r="57" spans="1:11" s="30" customFormat="1" x14ac:dyDescent="0.25">
      <c r="A57" s="5" t="s">
        <v>124</v>
      </c>
      <c r="B57" s="69" t="s">
        <v>65</v>
      </c>
      <c r="C57" s="4" t="s">
        <v>504</v>
      </c>
      <c r="D57" s="70"/>
      <c r="E57" s="70">
        <v>1150</v>
      </c>
      <c r="F57" s="70"/>
      <c r="G57" s="70"/>
      <c r="H57" s="70"/>
      <c r="I57" s="70">
        <f t="shared" si="2"/>
        <v>1150</v>
      </c>
      <c r="J57" s="16" t="s">
        <v>120</v>
      </c>
      <c r="K57" s="25"/>
    </row>
    <row r="58" spans="1:11" s="30" customFormat="1" x14ac:dyDescent="0.25">
      <c r="A58" s="71" t="s">
        <v>505</v>
      </c>
      <c r="B58" s="69" t="s">
        <v>454</v>
      </c>
      <c r="C58" s="4" t="s">
        <v>506</v>
      </c>
      <c r="D58" s="70"/>
      <c r="E58" s="70">
        <v>5080</v>
      </c>
      <c r="F58" s="70"/>
      <c r="G58" s="70"/>
      <c r="H58" s="70"/>
      <c r="I58" s="70">
        <f t="shared" si="2"/>
        <v>5080</v>
      </c>
      <c r="J58" s="16" t="s">
        <v>120</v>
      </c>
      <c r="K58" s="25"/>
    </row>
    <row r="59" spans="1:11" s="30" customFormat="1" x14ac:dyDescent="0.25">
      <c r="A59" s="71" t="s">
        <v>521</v>
      </c>
      <c r="B59" s="69" t="s">
        <v>522</v>
      </c>
      <c r="C59" s="4" t="s">
        <v>523</v>
      </c>
      <c r="D59" s="70"/>
      <c r="E59" s="70">
        <f>473.64+1000</f>
        <v>1473.6399999999999</v>
      </c>
      <c r="F59" s="70"/>
      <c r="G59" s="70"/>
      <c r="H59" s="70"/>
      <c r="I59" s="70">
        <f t="shared" si="2"/>
        <v>1473.6399999999999</v>
      </c>
      <c r="J59" s="16" t="s">
        <v>120</v>
      </c>
      <c r="K59" s="25"/>
    </row>
    <row r="60" spans="1:11" s="30" customFormat="1" x14ac:dyDescent="0.25">
      <c r="A60" s="5" t="s">
        <v>132</v>
      </c>
      <c r="B60" s="69" t="s">
        <v>525</v>
      </c>
      <c r="C60" s="4" t="s">
        <v>526</v>
      </c>
      <c r="D60" s="70"/>
      <c r="E60" s="70">
        <v>600</v>
      </c>
      <c r="F60" s="70"/>
      <c r="G60" s="70"/>
      <c r="H60" s="70"/>
      <c r="I60" s="70">
        <f t="shared" si="2"/>
        <v>600</v>
      </c>
      <c r="J60" s="16" t="s">
        <v>120</v>
      </c>
      <c r="K60" s="25"/>
    </row>
    <row r="61" spans="1:11" s="30" customFormat="1" x14ac:dyDescent="0.25">
      <c r="A61" s="71" t="s">
        <v>548</v>
      </c>
      <c r="B61" s="69" t="s">
        <v>54</v>
      </c>
      <c r="C61" s="4" t="s">
        <v>549</v>
      </c>
      <c r="D61" s="70"/>
      <c r="E61" s="70">
        <v>150</v>
      </c>
      <c r="F61" s="70"/>
      <c r="G61" s="70"/>
      <c r="H61" s="70"/>
      <c r="I61" s="70">
        <f t="shared" si="2"/>
        <v>150</v>
      </c>
      <c r="J61" s="16" t="s">
        <v>120</v>
      </c>
      <c r="K61" s="25"/>
    </row>
    <row r="62" spans="1:11" s="30" customFormat="1" x14ac:dyDescent="0.25">
      <c r="A62" s="71" t="s">
        <v>548</v>
      </c>
      <c r="B62" s="69" t="s">
        <v>430</v>
      </c>
      <c r="C62" s="4" t="s">
        <v>550</v>
      </c>
      <c r="D62" s="70"/>
      <c r="E62" s="70"/>
      <c r="F62" s="70">
        <f>80+900+50</f>
        <v>1030</v>
      </c>
      <c r="G62" s="70"/>
      <c r="H62" s="70"/>
      <c r="I62" s="70">
        <f t="shared" si="2"/>
        <v>1030</v>
      </c>
      <c r="J62" s="16" t="s">
        <v>120</v>
      </c>
      <c r="K62" s="25"/>
    </row>
    <row r="63" spans="1:11" s="30" customFormat="1" x14ac:dyDescent="0.25">
      <c r="A63" s="5" t="s">
        <v>124</v>
      </c>
      <c r="B63" s="69" t="s">
        <v>115</v>
      </c>
      <c r="C63" s="4" t="s">
        <v>556</v>
      </c>
      <c r="D63" s="70"/>
      <c r="E63" s="70">
        <f>2120+280</f>
        <v>2400</v>
      </c>
      <c r="F63" s="70"/>
      <c r="G63" s="70"/>
      <c r="H63" s="70"/>
      <c r="I63" s="70">
        <f t="shared" si="2"/>
        <v>2400</v>
      </c>
      <c r="J63" s="16" t="s">
        <v>120</v>
      </c>
      <c r="K63" s="25"/>
    </row>
    <row r="64" spans="1:11" s="30" customFormat="1" x14ac:dyDescent="0.25">
      <c r="A64" s="5" t="s">
        <v>124</v>
      </c>
      <c r="B64" s="69" t="s">
        <v>66</v>
      </c>
      <c r="C64" s="4"/>
      <c r="D64" s="70"/>
      <c r="E64" s="70">
        <v>1100</v>
      </c>
      <c r="F64" s="70"/>
      <c r="G64" s="70"/>
      <c r="H64" s="70"/>
      <c r="I64" s="70">
        <f t="shared" si="2"/>
        <v>1100</v>
      </c>
      <c r="J64" s="16" t="s">
        <v>120</v>
      </c>
      <c r="K64" s="25"/>
    </row>
    <row r="65" spans="1:11" s="30" customFormat="1" x14ac:dyDescent="0.25">
      <c r="A65" s="5" t="s">
        <v>162</v>
      </c>
      <c r="B65" s="2" t="s">
        <v>166</v>
      </c>
      <c r="C65" s="4"/>
      <c r="D65" s="70"/>
      <c r="E65" s="70">
        <v>900</v>
      </c>
      <c r="F65" s="70"/>
      <c r="G65" s="70"/>
      <c r="H65" s="70"/>
      <c r="I65" s="70">
        <f t="shared" si="2"/>
        <v>900</v>
      </c>
      <c r="J65" s="16" t="s">
        <v>120</v>
      </c>
      <c r="K65" s="25"/>
    </row>
    <row r="66" spans="1:11" s="30" customFormat="1" x14ac:dyDescent="0.25">
      <c r="A66" s="71" t="s">
        <v>125</v>
      </c>
      <c r="B66" s="69" t="s">
        <v>530</v>
      </c>
      <c r="C66" s="4" t="s">
        <v>337</v>
      </c>
      <c r="D66" s="70"/>
      <c r="E66" s="70"/>
      <c r="F66" s="70">
        <v>930</v>
      </c>
      <c r="G66" s="70"/>
      <c r="H66" s="70"/>
      <c r="I66" s="70">
        <f t="shared" si="2"/>
        <v>930</v>
      </c>
      <c r="J66" s="16" t="s">
        <v>120</v>
      </c>
      <c r="K66" s="25"/>
    </row>
    <row r="67" spans="1:11" s="30" customFormat="1" x14ac:dyDescent="0.25">
      <c r="A67" s="71" t="s">
        <v>125</v>
      </c>
      <c r="B67" s="69" t="s">
        <v>129</v>
      </c>
      <c r="C67" s="4" t="s">
        <v>598</v>
      </c>
      <c r="D67" s="70"/>
      <c r="E67" s="70"/>
      <c r="F67" s="70"/>
      <c r="G67" s="70"/>
      <c r="H67" s="70">
        <v>750</v>
      </c>
      <c r="I67" s="70">
        <f t="shared" si="2"/>
        <v>750</v>
      </c>
      <c r="J67" s="16" t="s">
        <v>120</v>
      </c>
      <c r="K67" s="25"/>
    </row>
    <row r="68" spans="1:11" s="30" customFormat="1" x14ac:dyDescent="0.25">
      <c r="A68" s="71"/>
      <c r="B68" s="69" t="s">
        <v>55</v>
      </c>
      <c r="C68" s="4"/>
      <c r="D68" s="70"/>
      <c r="E68" s="70"/>
      <c r="F68" s="70"/>
      <c r="G68" s="70">
        <v>250</v>
      </c>
      <c r="H68" s="70"/>
      <c r="I68" s="70">
        <f t="shared" si="2"/>
        <v>250</v>
      </c>
      <c r="J68" s="16" t="s">
        <v>120</v>
      </c>
      <c r="K68" s="25"/>
    </row>
    <row r="69" spans="1:11" s="30" customFormat="1" x14ac:dyDescent="0.25">
      <c r="A69" s="71" t="s">
        <v>656</v>
      </c>
      <c r="B69" s="69" t="s">
        <v>272</v>
      </c>
      <c r="C69" s="4" t="s">
        <v>655</v>
      </c>
      <c r="D69" s="70"/>
      <c r="E69" s="70"/>
      <c r="F69" s="70"/>
      <c r="G69" s="70">
        <v>580</v>
      </c>
      <c r="H69" s="70"/>
      <c r="I69" s="70">
        <f t="shared" si="2"/>
        <v>580</v>
      </c>
      <c r="J69" s="16" t="s">
        <v>120</v>
      </c>
      <c r="K69" s="25"/>
    </row>
    <row r="70" spans="1:11" s="30" customFormat="1" ht="30" x14ac:dyDescent="0.25">
      <c r="A70" s="68" t="s">
        <v>385</v>
      </c>
      <c r="B70" s="69" t="s">
        <v>136</v>
      </c>
      <c r="C70" s="4" t="s">
        <v>666</v>
      </c>
      <c r="D70" s="70"/>
      <c r="E70" s="70">
        <v>1170</v>
      </c>
      <c r="F70" s="70"/>
      <c r="G70" s="70"/>
      <c r="H70" s="70"/>
      <c r="I70" s="70">
        <f t="shared" si="2"/>
        <v>1170</v>
      </c>
      <c r="J70" s="16" t="s">
        <v>120</v>
      </c>
      <c r="K70" s="25"/>
    </row>
    <row r="71" spans="1:11" s="30" customFormat="1" x14ac:dyDescent="0.25">
      <c r="A71" s="71"/>
      <c r="B71" s="69"/>
      <c r="C71" s="4"/>
      <c r="D71" s="70"/>
      <c r="E71" s="70"/>
      <c r="F71" s="70"/>
      <c r="G71" s="70"/>
      <c r="H71" s="70"/>
      <c r="I71" s="70">
        <f t="shared" si="2"/>
        <v>0</v>
      </c>
      <c r="J71" s="16" t="s">
        <v>120</v>
      </c>
      <c r="K71" s="25"/>
    </row>
    <row r="72" spans="1:11" s="30" customFormat="1" x14ac:dyDescent="0.25">
      <c r="A72" s="71"/>
      <c r="B72" s="69"/>
      <c r="C72" s="4"/>
      <c r="D72" s="70"/>
      <c r="E72" s="70"/>
      <c r="F72" s="70"/>
      <c r="G72" s="70"/>
      <c r="H72" s="70"/>
      <c r="I72" s="70">
        <f t="shared" si="2"/>
        <v>0</v>
      </c>
      <c r="J72" s="16" t="s">
        <v>120</v>
      </c>
      <c r="K72" s="25"/>
    </row>
    <row r="73" spans="1:11" s="30" customFormat="1" x14ac:dyDescent="0.25">
      <c r="A73" s="71"/>
      <c r="B73" s="69"/>
      <c r="C73" s="4"/>
      <c r="D73" s="70"/>
      <c r="E73" s="70"/>
      <c r="F73" s="70"/>
      <c r="G73" s="70"/>
      <c r="H73" s="70"/>
      <c r="I73" s="70">
        <f t="shared" si="2"/>
        <v>0</v>
      </c>
      <c r="J73" s="16" t="s">
        <v>120</v>
      </c>
      <c r="K73" s="25"/>
    </row>
    <row r="74" spans="1:11" s="30" customFormat="1" x14ac:dyDescent="0.25">
      <c r="A74" s="71"/>
      <c r="B74" s="69"/>
      <c r="C74" s="4"/>
      <c r="D74" s="70"/>
      <c r="E74" s="70"/>
      <c r="F74" s="70"/>
      <c r="G74" s="70"/>
      <c r="H74" s="70"/>
      <c r="I74" s="70">
        <f t="shared" si="2"/>
        <v>0</v>
      </c>
      <c r="J74" s="16" t="s">
        <v>120</v>
      </c>
      <c r="K74" s="25"/>
    </row>
    <row r="75" spans="1:11" s="30" customFormat="1" x14ac:dyDescent="0.25">
      <c r="A75" s="71"/>
      <c r="B75" s="69"/>
      <c r="C75" s="4"/>
      <c r="D75" s="70"/>
      <c r="E75" s="70"/>
      <c r="F75" s="70"/>
      <c r="G75" s="70"/>
      <c r="H75" s="70"/>
      <c r="I75" s="70">
        <f t="shared" si="2"/>
        <v>0</v>
      </c>
      <c r="J75" s="16" t="s">
        <v>120</v>
      </c>
      <c r="K75" s="25"/>
    </row>
    <row r="76" spans="1:11" s="30" customFormat="1" x14ac:dyDescent="0.25">
      <c r="A76" s="71"/>
      <c r="B76" s="69"/>
      <c r="C76" s="4"/>
      <c r="D76" s="70"/>
      <c r="E76" s="70"/>
      <c r="F76" s="70"/>
      <c r="G76" s="70"/>
      <c r="H76" s="70"/>
      <c r="I76" s="70">
        <f t="shared" si="2"/>
        <v>0</v>
      </c>
      <c r="J76" s="16" t="s">
        <v>120</v>
      </c>
      <c r="K76" s="25"/>
    </row>
    <row r="77" spans="1:11" s="30" customFormat="1" x14ac:dyDescent="0.25">
      <c r="A77" s="71"/>
      <c r="B77" s="69"/>
      <c r="C77" s="4"/>
      <c r="D77" s="70"/>
      <c r="E77" s="70"/>
      <c r="F77" s="70"/>
      <c r="G77" s="70"/>
      <c r="H77" s="70"/>
      <c r="I77" s="70">
        <f t="shared" si="2"/>
        <v>0</v>
      </c>
      <c r="J77" s="16" t="s">
        <v>120</v>
      </c>
      <c r="K77" s="25"/>
    </row>
    <row r="78" spans="1:11" s="30" customFormat="1" x14ac:dyDescent="0.25">
      <c r="A78" s="71"/>
      <c r="B78" s="69"/>
      <c r="C78" s="4"/>
      <c r="D78" s="70"/>
      <c r="E78" s="70"/>
      <c r="F78" s="70"/>
      <c r="G78" s="70"/>
      <c r="H78" s="70"/>
      <c r="I78" s="70">
        <f t="shared" si="2"/>
        <v>0</v>
      </c>
      <c r="J78" s="16" t="s">
        <v>120</v>
      </c>
      <c r="K78" s="25"/>
    </row>
    <row r="79" spans="1:11" s="30" customFormat="1" x14ac:dyDescent="0.25">
      <c r="A79" s="71"/>
      <c r="B79" s="69"/>
      <c r="C79" s="4"/>
      <c r="D79" s="70"/>
      <c r="E79" s="70"/>
      <c r="F79" s="70"/>
      <c r="G79" s="70"/>
      <c r="H79" s="70"/>
      <c r="I79" s="70">
        <f t="shared" si="2"/>
        <v>0</v>
      </c>
      <c r="J79" s="16" t="s">
        <v>120</v>
      </c>
      <c r="K79" s="25"/>
    </row>
    <row r="80" spans="1:11" s="30" customFormat="1" x14ac:dyDescent="0.25">
      <c r="A80" s="25"/>
      <c r="B80" s="69"/>
      <c r="C80" s="4"/>
      <c r="D80" s="70"/>
      <c r="E80" s="70"/>
      <c r="F80" s="70"/>
      <c r="G80" s="70"/>
      <c r="H80" s="70"/>
      <c r="I80" s="70">
        <f t="shared" si="2"/>
        <v>0</v>
      </c>
      <c r="J80" s="16" t="s">
        <v>120</v>
      </c>
      <c r="K80" s="25"/>
    </row>
    <row r="81" spans="1:11" s="30" customFormat="1" x14ac:dyDescent="0.25">
      <c r="A81" s="25"/>
      <c r="B81" s="69"/>
      <c r="C81" s="4"/>
      <c r="D81" s="70"/>
      <c r="E81" s="70"/>
      <c r="F81" s="70"/>
      <c r="G81" s="70"/>
      <c r="H81" s="70"/>
      <c r="I81" s="70">
        <f t="shared" si="2"/>
        <v>0</v>
      </c>
      <c r="J81" s="16" t="s">
        <v>120</v>
      </c>
      <c r="K81" s="25"/>
    </row>
    <row r="82" spans="1:11" s="30" customFormat="1" x14ac:dyDescent="0.25">
      <c r="A82" s="25"/>
      <c r="B82" s="69"/>
      <c r="C82" s="4"/>
      <c r="D82" s="70"/>
      <c r="E82" s="70"/>
      <c r="F82" s="70"/>
      <c r="G82" s="70"/>
      <c r="H82" s="70"/>
      <c r="I82" s="70">
        <f t="shared" si="2"/>
        <v>0</v>
      </c>
      <c r="J82" s="16" t="s">
        <v>120</v>
      </c>
      <c r="K82" s="25"/>
    </row>
    <row r="83" spans="1:11" s="30" customFormat="1" x14ac:dyDescent="0.25">
      <c r="A83" s="25"/>
      <c r="B83" s="69"/>
      <c r="C83" s="4"/>
      <c r="D83" s="70"/>
      <c r="E83" s="70"/>
      <c r="F83" s="70"/>
      <c r="G83" s="70"/>
      <c r="H83" s="70"/>
      <c r="I83" s="70">
        <f t="shared" si="2"/>
        <v>0</v>
      </c>
      <c r="J83" s="16" t="s">
        <v>120</v>
      </c>
      <c r="K83" s="25"/>
    </row>
    <row r="84" spans="1:11" s="30" customFormat="1" x14ac:dyDescent="0.25">
      <c r="A84" s="25"/>
      <c r="B84" s="69"/>
      <c r="C84" s="4"/>
      <c r="D84" s="70"/>
      <c r="E84" s="70"/>
      <c r="F84" s="70"/>
      <c r="G84" s="70"/>
      <c r="H84" s="70"/>
      <c r="I84" s="70">
        <f t="shared" si="2"/>
        <v>0</v>
      </c>
      <c r="J84" s="16" t="s">
        <v>120</v>
      </c>
      <c r="K84" s="25"/>
    </row>
    <row r="85" spans="1:11" s="30" customFormat="1" x14ac:dyDescent="0.25">
      <c r="A85" s="25"/>
      <c r="B85" s="69"/>
      <c r="C85" s="4"/>
      <c r="D85" s="70"/>
      <c r="E85" s="70"/>
      <c r="F85" s="70"/>
      <c r="G85" s="70"/>
      <c r="H85" s="70"/>
      <c r="I85" s="70">
        <f t="shared" si="2"/>
        <v>0</v>
      </c>
      <c r="J85" s="16" t="s">
        <v>120</v>
      </c>
      <c r="K85" s="25"/>
    </row>
    <row r="86" spans="1:11" s="30" customFormat="1" x14ac:dyDescent="0.25">
      <c r="A86" s="25"/>
      <c r="B86" s="69"/>
      <c r="C86" s="4"/>
      <c r="D86" s="70"/>
      <c r="E86" s="70"/>
      <c r="F86" s="70"/>
      <c r="G86" s="70"/>
      <c r="H86" s="70"/>
      <c r="I86" s="70">
        <f t="shared" si="2"/>
        <v>0</v>
      </c>
      <c r="J86" s="16" t="s">
        <v>120</v>
      </c>
      <c r="K86" s="25"/>
    </row>
    <row r="87" spans="1:11" s="30" customFormat="1" x14ac:dyDescent="0.25">
      <c r="A87" s="25"/>
      <c r="B87" s="69"/>
      <c r="C87" s="4"/>
      <c r="D87" s="70"/>
      <c r="E87" s="70"/>
      <c r="F87" s="70"/>
      <c r="G87" s="70"/>
      <c r="H87" s="70"/>
      <c r="I87" s="70">
        <f t="shared" si="2"/>
        <v>0</v>
      </c>
      <c r="J87" s="16" t="s">
        <v>120</v>
      </c>
      <c r="K87" s="25"/>
    </row>
    <row r="88" spans="1:11" s="30" customFormat="1" x14ac:dyDescent="0.25">
      <c r="A88" s="25"/>
      <c r="B88" s="69"/>
      <c r="C88" s="4"/>
      <c r="D88" s="70"/>
      <c r="E88" s="70"/>
      <c r="F88" s="70"/>
      <c r="G88" s="70"/>
      <c r="H88" s="70"/>
      <c r="I88" s="70">
        <f t="shared" si="2"/>
        <v>0</v>
      </c>
      <c r="J88" s="16" t="s">
        <v>120</v>
      </c>
      <c r="K88" s="25"/>
    </row>
    <row r="89" spans="1:11" s="30" customFormat="1" x14ac:dyDescent="0.25">
      <c r="A89" s="25"/>
      <c r="B89" s="69"/>
      <c r="C89" s="4"/>
      <c r="D89" s="70"/>
      <c r="E89" s="70"/>
      <c r="F89" s="70"/>
      <c r="G89" s="70"/>
      <c r="H89" s="70"/>
      <c r="I89" s="70">
        <f t="shared" si="2"/>
        <v>0</v>
      </c>
      <c r="J89" s="16" t="s">
        <v>120</v>
      </c>
      <c r="K89" s="25"/>
    </row>
    <row r="90" spans="1:11" s="30" customFormat="1" x14ac:dyDescent="0.25">
      <c r="A90" s="72" t="s">
        <v>96</v>
      </c>
      <c r="B90" s="72"/>
      <c r="C90" s="73"/>
      <c r="D90" s="74">
        <f t="shared" ref="D90:H90" si="4">SUM(D3:D89)</f>
        <v>2119.5</v>
      </c>
      <c r="E90" s="75">
        <f>SUM(E3:E89)</f>
        <v>37016.160000000003</v>
      </c>
      <c r="F90" s="75">
        <f t="shared" si="4"/>
        <v>23063.599999999999</v>
      </c>
      <c r="G90" s="75">
        <f t="shared" si="4"/>
        <v>15929.14</v>
      </c>
      <c r="H90" s="75">
        <f t="shared" si="4"/>
        <v>1288.7</v>
      </c>
      <c r="I90" s="75">
        <f>SUM(I3:I89)</f>
        <v>79417.099999999991</v>
      </c>
      <c r="J90" s="16" t="s">
        <v>120</v>
      </c>
      <c r="K90" s="72"/>
    </row>
    <row r="92" spans="1:11" x14ac:dyDescent="0.25">
      <c r="F92" s="92" t="s">
        <v>446</v>
      </c>
      <c r="G92" s="93">
        <f>G26+G27+G28+G29+G31</f>
        <v>9220.9</v>
      </c>
      <c r="H92" t="s">
        <v>357</v>
      </c>
      <c r="I92" s="35">
        <f>I25+I26+I27+I28+I29+I30+I43+I49</f>
        <v>11070</v>
      </c>
    </row>
    <row r="93" spans="1:11" x14ac:dyDescent="0.25">
      <c r="H93" s="92" t="s">
        <v>447</v>
      </c>
      <c r="I93" s="94">
        <f>I25+I26+I27+I28+I29+I30+I31+I43+I49</f>
        <v>13240.9</v>
      </c>
    </row>
    <row r="96" spans="1:11" x14ac:dyDescent="0.25">
      <c r="I96" s="35"/>
    </row>
    <row r="99" spans="9:9" x14ac:dyDescent="0.25">
      <c r="I99" s="35"/>
    </row>
  </sheetData>
  <autoFilter ref="A2:K90" xr:uid="{076D3AD8-3F0A-4A94-A1B1-0A25122764D6}">
    <filterColumn colId="9">
      <filters>
        <filter val="ATIVO"/>
      </filters>
    </filterColumn>
  </autoFilter>
  <mergeCells count="1">
    <mergeCell ref="B1:K1"/>
  </mergeCells>
  <pageMargins left="0.511811024" right="0.511811024" top="0.78740157499999996" bottom="0.78740157499999996" header="0.31496062000000002" footer="0.31496062000000002"/>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249AF-B926-4B51-8515-01288877E4E7}">
  <sheetPr filterMode="1"/>
  <dimension ref="A1:U136"/>
  <sheetViews>
    <sheetView workbookViewId="0">
      <pane ySplit="3" topLeftCell="A69" activePane="bottomLeft" state="frozen"/>
      <selection pane="bottomLeft" activeCell="D103" sqref="D103"/>
    </sheetView>
  </sheetViews>
  <sheetFormatPr defaultRowHeight="15" x14ac:dyDescent="0.25"/>
  <cols>
    <col min="2" max="2" width="16.140625" customWidth="1"/>
    <col min="4" max="4" width="20.85546875" bestFit="1" customWidth="1"/>
    <col min="6" max="6" width="11.7109375" bestFit="1" customWidth="1"/>
    <col min="7" max="7" width="11.5703125" customWidth="1"/>
    <col min="8" max="8" width="13.5703125" customWidth="1"/>
    <col min="9" max="9" width="15.7109375" customWidth="1"/>
    <col min="10" max="10" width="18.140625" customWidth="1"/>
    <col min="11" max="11" width="13.5703125" customWidth="1"/>
    <col min="12" max="12" width="14.42578125" customWidth="1"/>
    <col min="13" max="13" width="11.7109375" customWidth="1"/>
    <col min="14" max="14" width="11.85546875" customWidth="1"/>
    <col min="15" max="15" width="16.7109375" bestFit="1" customWidth="1"/>
    <col min="16" max="16" width="10.7109375" bestFit="1" customWidth="1"/>
  </cols>
  <sheetData>
    <row r="1" spans="1:21" ht="25.5" customHeight="1" x14ac:dyDescent="0.25">
      <c r="A1" s="138" t="s">
        <v>240</v>
      </c>
      <c r="B1" s="138"/>
      <c r="C1" s="138"/>
      <c r="D1" s="138"/>
      <c r="E1" s="138"/>
      <c r="F1" s="138"/>
      <c r="G1" s="138"/>
      <c r="H1" s="138"/>
      <c r="I1" s="138"/>
      <c r="J1" s="138"/>
      <c r="K1" s="138"/>
      <c r="L1" s="138"/>
      <c r="M1" s="139"/>
    </row>
    <row r="2" spans="1:21" x14ac:dyDescent="0.25">
      <c r="A2" s="136" t="s">
        <v>308</v>
      </c>
      <c r="B2" s="140"/>
      <c r="C2" s="140"/>
      <c r="D2" s="140"/>
      <c r="E2" s="140"/>
      <c r="F2" s="140"/>
      <c r="G2" s="137"/>
      <c r="H2" s="136" t="s">
        <v>236</v>
      </c>
      <c r="I2" s="137"/>
      <c r="J2" s="136" t="s">
        <v>237</v>
      </c>
      <c r="K2" s="137"/>
      <c r="L2" s="104" t="s">
        <v>481</v>
      </c>
      <c r="M2" s="105" t="s">
        <v>477</v>
      </c>
      <c r="N2" s="105" t="s">
        <v>478</v>
      </c>
      <c r="O2" s="105" t="s">
        <v>479</v>
      </c>
      <c r="P2" s="105" t="s">
        <v>480</v>
      </c>
      <c r="Q2" s="105" t="s">
        <v>482</v>
      </c>
      <c r="R2" s="105" t="s">
        <v>483</v>
      </c>
      <c r="S2" s="105" t="s">
        <v>484</v>
      </c>
      <c r="T2" s="105" t="s">
        <v>485</v>
      </c>
      <c r="U2" s="105" t="s">
        <v>486</v>
      </c>
    </row>
    <row r="3" spans="1:21" x14ac:dyDescent="0.25">
      <c r="A3" s="36" t="s">
        <v>241</v>
      </c>
      <c r="B3" s="36" t="s">
        <v>3</v>
      </c>
      <c r="C3" s="36" t="s">
        <v>242</v>
      </c>
      <c r="D3" s="36" t="s">
        <v>2</v>
      </c>
      <c r="E3" s="36" t="s">
        <v>243</v>
      </c>
      <c r="F3" s="36" t="s">
        <v>0</v>
      </c>
      <c r="G3" s="36" t="s">
        <v>244</v>
      </c>
      <c r="H3" s="36" t="s">
        <v>238</v>
      </c>
      <c r="I3" s="36" t="s">
        <v>239</v>
      </c>
      <c r="J3" s="36" t="s">
        <v>238</v>
      </c>
      <c r="K3" s="36" t="s">
        <v>239</v>
      </c>
      <c r="L3" s="36"/>
      <c r="M3" s="36"/>
      <c r="N3" s="36"/>
      <c r="O3" s="36"/>
      <c r="P3" s="36"/>
      <c r="Q3" s="36"/>
      <c r="R3" s="36"/>
      <c r="S3" s="36"/>
      <c r="T3" s="36"/>
      <c r="U3" s="36"/>
    </row>
    <row r="4" spans="1:21" hidden="1" x14ac:dyDescent="0.25">
      <c r="A4" s="39" t="s">
        <v>315</v>
      </c>
      <c r="B4" s="40" t="s">
        <v>15</v>
      </c>
      <c r="C4" s="39">
        <v>25001</v>
      </c>
      <c r="D4" s="41" t="s">
        <v>175</v>
      </c>
      <c r="E4" s="42" t="s">
        <v>11</v>
      </c>
      <c r="F4" s="43" t="s">
        <v>245</v>
      </c>
      <c r="G4" s="44" t="s">
        <v>246</v>
      </c>
      <c r="H4" s="76">
        <v>45979</v>
      </c>
      <c r="I4" s="77">
        <v>46000</v>
      </c>
      <c r="J4" s="97">
        <v>46016</v>
      </c>
      <c r="K4" s="27"/>
      <c r="L4" s="76">
        <v>46056</v>
      </c>
      <c r="M4" s="108">
        <v>46091</v>
      </c>
      <c r="N4" s="76">
        <v>46121</v>
      </c>
      <c r="O4" s="27"/>
      <c r="P4" s="37"/>
      <c r="Q4" s="27"/>
      <c r="R4" s="37"/>
      <c r="S4" s="27"/>
      <c r="T4" s="37"/>
      <c r="U4" s="27"/>
    </row>
    <row r="5" spans="1:21" hidden="1" x14ac:dyDescent="0.25">
      <c r="A5" s="39" t="s">
        <v>315</v>
      </c>
      <c r="B5" s="40" t="s">
        <v>247</v>
      </c>
      <c r="C5" s="39">
        <v>24006</v>
      </c>
      <c r="D5" s="41" t="s">
        <v>248</v>
      </c>
      <c r="E5" s="42" t="s">
        <v>216</v>
      </c>
      <c r="F5" s="43" t="s">
        <v>249</v>
      </c>
      <c r="G5" s="44" t="s">
        <v>246</v>
      </c>
      <c r="H5" s="27"/>
      <c r="I5" s="27"/>
      <c r="J5" s="99">
        <v>46014</v>
      </c>
      <c r="K5" s="27"/>
      <c r="L5" s="77">
        <v>46055</v>
      </c>
      <c r="M5" s="77">
        <v>46085</v>
      </c>
      <c r="N5" s="27"/>
      <c r="O5" s="27"/>
      <c r="P5" s="27"/>
      <c r="Q5" s="27"/>
      <c r="R5" s="27"/>
      <c r="S5" s="27"/>
      <c r="T5" s="27"/>
      <c r="U5" s="27"/>
    </row>
    <row r="6" spans="1:21" hidden="1" x14ac:dyDescent="0.25">
      <c r="A6" s="45" t="s">
        <v>120</v>
      </c>
      <c r="B6" s="40" t="s">
        <v>15</v>
      </c>
      <c r="C6" s="39">
        <v>25001</v>
      </c>
      <c r="D6" s="41" t="s">
        <v>543</v>
      </c>
      <c r="E6" s="42" t="s">
        <v>250</v>
      </c>
      <c r="F6" s="43" t="s">
        <v>251</v>
      </c>
      <c r="G6" s="44" t="s">
        <v>246</v>
      </c>
      <c r="H6" s="27"/>
      <c r="I6" s="27"/>
      <c r="J6" s="96">
        <v>46007</v>
      </c>
      <c r="K6" s="27"/>
      <c r="L6" s="77">
        <v>46055</v>
      </c>
      <c r="M6" s="77">
        <v>46083</v>
      </c>
      <c r="N6" s="67">
        <v>46113</v>
      </c>
      <c r="O6" s="77">
        <v>46143</v>
      </c>
      <c r="P6" s="77">
        <v>46174</v>
      </c>
      <c r="Q6" s="27"/>
      <c r="R6" s="27"/>
      <c r="S6" s="27"/>
      <c r="T6" s="27"/>
      <c r="U6" s="27"/>
    </row>
    <row r="7" spans="1:21" hidden="1" x14ac:dyDescent="0.25">
      <c r="A7" s="45" t="s">
        <v>315</v>
      </c>
      <c r="B7" s="46" t="s">
        <v>252</v>
      </c>
      <c r="C7" s="47">
        <v>24019</v>
      </c>
      <c r="D7" s="48" t="s">
        <v>65</v>
      </c>
      <c r="E7" s="42" t="s">
        <v>223</v>
      </c>
      <c r="F7" s="49" t="s">
        <v>253</v>
      </c>
      <c r="G7" s="44" t="s">
        <v>246</v>
      </c>
      <c r="H7" s="27"/>
      <c r="I7" s="27"/>
      <c r="J7" s="99">
        <v>46007</v>
      </c>
      <c r="K7" s="27"/>
      <c r="L7" s="27"/>
      <c r="M7" s="27"/>
      <c r="N7" s="27"/>
      <c r="O7" s="27"/>
      <c r="P7" s="27"/>
      <c r="Q7" s="27"/>
      <c r="R7" s="27"/>
      <c r="S7" s="27"/>
      <c r="T7" s="27"/>
      <c r="U7" s="27"/>
    </row>
    <row r="8" spans="1:21" hidden="1" x14ac:dyDescent="0.25">
      <c r="A8" s="45" t="s">
        <v>315</v>
      </c>
      <c r="B8" s="46" t="s">
        <v>254</v>
      </c>
      <c r="C8" s="47">
        <v>24019</v>
      </c>
      <c r="D8" s="48" t="s">
        <v>255</v>
      </c>
      <c r="E8" s="50" t="s">
        <v>256</v>
      </c>
      <c r="F8" s="49" t="s">
        <v>227</v>
      </c>
      <c r="G8" s="44" t="s">
        <v>246</v>
      </c>
      <c r="H8" s="27"/>
      <c r="I8" s="77">
        <v>45995</v>
      </c>
      <c r="J8" s="102">
        <v>46009</v>
      </c>
      <c r="K8" s="27"/>
      <c r="L8" s="77">
        <v>46055</v>
      </c>
      <c r="M8" s="27"/>
      <c r="N8" s="27"/>
      <c r="O8" s="27"/>
      <c r="P8" s="27"/>
      <c r="Q8" s="27"/>
      <c r="R8" s="27"/>
      <c r="S8" s="27"/>
      <c r="T8" s="27"/>
      <c r="U8" s="27"/>
    </row>
    <row r="9" spans="1:21" hidden="1" x14ac:dyDescent="0.25">
      <c r="A9" s="45" t="s">
        <v>315</v>
      </c>
      <c r="B9" s="46" t="s">
        <v>257</v>
      </c>
      <c r="C9" s="47">
        <v>24024</v>
      </c>
      <c r="D9" s="48" t="s">
        <v>82</v>
      </c>
      <c r="E9" s="50" t="s">
        <v>221</v>
      </c>
      <c r="F9" s="49" t="s">
        <v>227</v>
      </c>
      <c r="G9" s="44" t="s">
        <v>246</v>
      </c>
      <c r="H9" s="27"/>
      <c r="I9" s="27"/>
      <c r="J9" s="99">
        <v>46010</v>
      </c>
      <c r="K9" s="27"/>
      <c r="L9" s="77">
        <v>46055</v>
      </c>
      <c r="M9" s="77">
        <v>46081</v>
      </c>
      <c r="N9" s="77">
        <v>46113</v>
      </c>
      <c r="O9" s="27"/>
      <c r="P9" s="27"/>
      <c r="Q9" s="27"/>
      <c r="R9" s="27"/>
      <c r="S9" s="27"/>
      <c r="T9" s="27"/>
      <c r="U9" s="27"/>
    </row>
    <row r="10" spans="1:21" hidden="1" x14ac:dyDescent="0.25">
      <c r="A10" s="51" t="s">
        <v>315</v>
      </c>
      <c r="B10" s="46" t="s">
        <v>252</v>
      </c>
      <c r="C10" s="47">
        <v>24019</v>
      </c>
      <c r="D10" s="48" t="s">
        <v>66</v>
      </c>
      <c r="E10" s="50" t="s">
        <v>259</v>
      </c>
      <c r="F10" s="49" t="s">
        <v>249</v>
      </c>
      <c r="G10" s="44" t="s">
        <v>246</v>
      </c>
      <c r="H10" s="27"/>
      <c r="I10" s="27"/>
      <c r="J10" s="99">
        <v>46003</v>
      </c>
      <c r="K10" s="27"/>
      <c r="L10" s="77">
        <v>46054</v>
      </c>
      <c r="M10" s="77">
        <v>46083</v>
      </c>
      <c r="N10" s="27"/>
      <c r="O10" s="27"/>
      <c r="P10" s="27"/>
      <c r="Q10" s="27"/>
      <c r="R10" s="27"/>
      <c r="S10" s="27"/>
      <c r="T10" s="27"/>
      <c r="U10" s="27"/>
    </row>
    <row r="11" spans="1:21" hidden="1" x14ac:dyDescent="0.25">
      <c r="A11" s="51" t="s">
        <v>120</v>
      </c>
      <c r="B11" s="40" t="s">
        <v>15</v>
      </c>
      <c r="C11" s="39">
        <v>25001</v>
      </c>
      <c r="D11" s="41" t="s">
        <v>13</v>
      </c>
      <c r="E11" s="42" t="s">
        <v>12</v>
      </c>
      <c r="F11" s="52" t="s">
        <v>261</v>
      </c>
      <c r="G11" s="44" t="s">
        <v>246</v>
      </c>
      <c r="H11" s="27"/>
      <c r="I11" s="27"/>
      <c r="J11" s="96">
        <v>46006</v>
      </c>
      <c r="K11" s="27"/>
      <c r="L11" s="77">
        <v>46055</v>
      </c>
      <c r="M11" s="77">
        <v>46084</v>
      </c>
      <c r="N11" s="77">
        <v>46112</v>
      </c>
      <c r="O11" s="77">
        <v>46142</v>
      </c>
      <c r="P11" s="77">
        <v>46174</v>
      </c>
      <c r="Q11" s="27"/>
      <c r="R11" s="27"/>
      <c r="S11" s="27"/>
      <c r="T11" s="27"/>
      <c r="U11" s="27"/>
    </row>
    <row r="12" spans="1:21" hidden="1" x14ac:dyDescent="0.25">
      <c r="A12" s="51" t="s">
        <v>315</v>
      </c>
      <c r="B12" s="40" t="s">
        <v>257</v>
      </c>
      <c r="C12" s="39">
        <v>24024</v>
      </c>
      <c r="D12" s="41" t="s">
        <v>262</v>
      </c>
      <c r="E12" s="42" t="s">
        <v>79</v>
      </c>
      <c r="F12" s="43" t="s">
        <v>261</v>
      </c>
      <c r="G12" s="44" t="s">
        <v>246</v>
      </c>
      <c r="H12" s="27"/>
      <c r="I12" s="27"/>
      <c r="J12" s="99">
        <v>46015</v>
      </c>
      <c r="K12" s="27"/>
      <c r="L12" s="77"/>
      <c r="M12" s="27"/>
      <c r="N12" s="27"/>
      <c r="O12" s="27"/>
      <c r="P12" s="27"/>
      <c r="Q12" s="27"/>
      <c r="R12" s="27"/>
      <c r="S12" s="27"/>
      <c r="T12" s="27"/>
      <c r="U12" s="27"/>
    </row>
    <row r="13" spans="1:21" hidden="1" x14ac:dyDescent="0.25">
      <c r="A13" s="51" t="s">
        <v>315</v>
      </c>
      <c r="B13" s="40" t="s">
        <v>257</v>
      </c>
      <c r="C13" s="39">
        <v>24024</v>
      </c>
      <c r="D13" s="48" t="s">
        <v>84</v>
      </c>
      <c r="E13" s="53" t="s">
        <v>78</v>
      </c>
      <c r="F13" s="54" t="s">
        <v>263</v>
      </c>
      <c r="G13" s="44" t="s">
        <v>246</v>
      </c>
      <c r="H13" s="27"/>
      <c r="I13" s="27"/>
      <c r="J13" s="99">
        <v>46010</v>
      </c>
      <c r="K13" s="27"/>
      <c r="L13" s="77">
        <v>46054</v>
      </c>
      <c r="M13" s="77">
        <v>46083</v>
      </c>
      <c r="N13" s="77">
        <v>46113</v>
      </c>
      <c r="O13" s="77"/>
      <c r="P13" s="27"/>
      <c r="Q13" s="27"/>
      <c r="R13" s="27"/>
      <c r="S13" s="27"/>
      <c r="T13" s="27"/>
      <c r="U13" s="27"/>
    </row>
    <row r="14" spans="1:21" hidden="1" x14ac:dyDescent="0.25">
      <c r="A14" s="51" t="s">
        <v>315</v>
      </c>
      <c r="B14" s="40" t="s">
        <v>15</v>
      </c>
      <c r="C14" s="39">
        <v>25001</v>
      </c>
      <c r="D14" s="48" t="s">
        <v>264</v>
      </c>
      <c r="E14" s="55" t="s">
        <v>191</v>
      </c>
      <c r="F14" s="54" t="s">
        <v>265</v>
      </c>
      <c r="G14" s="44" t="s">
        <v>246</v>
      </c>
      <c r="H14" s="27"/>
      <c r="I14" s="77">
        <v>45993</v>
      </c>
      <c r="J14" s="97">
        <v>46007</v>
      </c>
      <c r="K14" s="27"/>
      <c r="L14" s="77"/>
      <c r="M14" s="27"/>
      <c r="N14" s="27"/>
      <c r="O14" s="27"/>
      <c r="P14" s="27"/>
      <c r="Q14" s="27"/>
      <c r="R14" s="27"/>
      <c r="S14" s="27"/>
      <c r="T14" s="27"/>
      <c r="U14" s="27"/>
    </row>
    <row r="15" spans="1:21" hidden="1" x14ac:dyDescent="0.25">
      <c r="A15" s="51" t="s">
        <v>120</v>
      </c>
      <c r="B15" s="40" t="s">
        <v>266</v>
      </c>
      <c r="C15" s="39">
        <v>25007</v>
      </c>
      <c r="D15" s="48" t="s">
        <v>267</v>
      </c>
      <c r="E15" s="55" t="s">
        <v>204</v>
      </c>
      <c r="F15" s="54" t="s">
        <v>263</v>
      </c>
      <c r="G15" s="44" t="s">
        <v>246</v>
      </c>
      <c r="H15" s="27"/>
      <c r="I15" s="27"/>
      <c r="J15" s="99">
        <v>46007</v>
      </c>
      <c r="K15" s="27"/>
      <c r="L15" s="77">
        <v>46054</v>
      </c>
      <c r="M15" s="77">
        <v>46082</v>
      </c>
      <c r="N15" s="77">
        <v>46113</v>
      </c>
      <c r="O15" s="77">
        <v>46143</v>
      </c>
      <c r="P15" s="77">
        <v>46174</v>
      </c>
      <c r="Q15" s="27"/>
      <c r="R15" s="27"/>
      <c r="S15" s="27"/>
      <c r="T15" s="27"/>
      <c r="U15" s="27"/>
    </row>
    <row r="16" spans="1:21" hidden="1" x14ac:dyDescent="0.25">
      <c r="A16" s="51" t="s">
        <v>120</v>
      </c>
      <c r="B16" s="40" t="s">
        <v>379</v>
      </c>
      <c r="C16" s="39">
        <v>24008</v>
      </c>
      <c r="D16" s="41" t="s">
        <v>269</v>
      </c>
      <c r="E16" s="42" t="s">
        <v>20</v>
      </c>
      <c r="F16" s="43" t="s">
        <v>227</v>
      </c>
      <c r="G16" s="44" t="s">
        <v>246</v>
      </c>
      <c r="H16" s="38"/>
      <c r="I16" s="78">
        <v>45994</v>
      </c>
      <c r="J16" s="98">
        <v>46007</v>
      </c>
      <c r="K16" s="38"/>
      <c r="L16" s="78">
        <v>46072</v>
      </c>
      <c r="M16" s="78">
        <v>46083</v>
      </c>
      <c r="N16" s="67">
        <v>46113</v>
      </c>
      <c r="O16" s="78">
        <v>46144</v>
      </c>
      <c r="P16" s="78">
        <v>46174</v>
      </c>
      <c r="Q16" s="38"/>
      <c r="R16" s="38"/>
      <c r="S16" s="38"/>
      <c r="T16" s="38"/>
      <c r="U16" s="38"/>
    </row>
    <row r="17" spans="1:21" hidden="1" x14ac:dyDescent="0.25">
      <c r="A17" s="45" t="s">
        <v>315</v>
      </c>
      <c r="B17" s="40" t="s">
        <v>270</v>
      </c>
      <c r="C17" s="39">
        <v>25008</v>
      </c>
      <c r="D17" s="41" t="s">
        <v>271</v>
      </c>
      <c r="E17" s="42" t="s">
        <v>200</v>
      </c>
      <c r="F17" s="43" t="s">
        <v>251</v>
      </c>
      <c r="G17" s="44" t="s">
        <v>246</v>
      </c>
      <c r="H17" s="5"/>
      <c r="I17" s="5"/>
      <c r="J17" s="5"/>
      <c r="K17" s="5"/>
      <c r="L17" s="5"/>
      <c r="M17" s="5"/>
    </row>
    <row r="18" spans="1:21" hidden="1" x14ac:dyDescent="0.25">
      <c r="A18" s="45" t="s">
        <v>315</v>
      </c>
      <c r="B18" s="40" t="s">
        <v>252</v>
      </c>
      <c r="C18" s="39">
        <v>24019</v>
      </c>
      <c r="D18" s="41" t="s">
        <v>67</v>
      </c>
      <c r="E18" s="42" t="s">
        <v>351</v>
      </c>
      <c r="F18" s="43" t="s">
        <v>227</v>
      </c>
      <c r="G18" s="44" t="s">
        <v>246</v>
      </c>
      <c r="H18" s="5"/>
      <c r="I18" s="67">
        <v>45996</v>
      </c>
      <c r="J18" s="98">
        <v>46014</v>
      </c>
      <c r="K18" s="5"/>
      <c r="L18" s="5"/>
      <c r="M18" s="5"/>
      <c r="N18" s="5"/>
      <c r="O18" s="5"/>
      <c r="P18" s="5"/>
      <c r="Q18" s="5"/>
      <c r="R18" s="5"/>
      <c r="S18" s="5"/>
      <c r="T18" s="5"/>
      <c r="U18" s="5"/>
    </row>
    <row r="19" spans="1:21" ht="25.5" hidden="1" x14ac:dyDescent="0.25">
      <c r="A19" s="45" t="s">
        <v>315</v>
      </c>
      <c r="B19" s="40" t="s">
        <v>252</v>
      </c>
      <c r="C19" s="39">
        <v>24019</v>
      </c>
      <c r="D19" s="41" t="s">
        <v>272</v>
      </c>
      <c r="E19" s="56" t="s">
        <v>47</v>
      </c>
      <c r="F19" s="57" t="s">
        <v>227</v>
      </c>
      <c r="G19" s="44" t="s">
        <v>246</v>
      </c>
      <c r="H19" s="67">
        <v>45982</v>
      </c>
      <c r="I19" s="5" t="s">
        <v>462</v>
      </c>
      <c r="J19" s="100" t="s">
        <v>464</v>
      </c>
      <c r="K19" s="5"/>
      <c r="L19" s="5"/>
      <c r="M19" s="5"/>
      <c r="N19" s="5"/>
      <c r="O19" s="5"/>
      <c r="P19" s="5"/>
      <c r="Q19" s="5"/>
      <c r="R19" s="5"/>
      <c r="S19" s="5"/>
      <c r="T19" s="5"/>
      <c r="U19" s="5"/>
    </row>
    <row r="20" spans="1:21" hidden="1" x14ac:dyDescent="0.25">
      <c r="A20" s="51" t="s">
        <v>120</v>
      </c>
      <c r="B20" s="40" t="s">
        <v>252</v>
      </c>
      <c r="C20" s="39">
        <v>24019</v>
      </c>
      <c r="D20" s="58" t="s">
        <v>115</v>
      </c>
      <c r="E20" s="59" t="s">
        <v>59</v>
      </c>
      <c r="F20" s="43" t="s">
        <v>273</v>
      </c>
      <c r="G20" s="44" t="s">
        <v>246</v>
      </c>
      <c r="H20" s="5"/>
      <c r="I20" s="5"/>
      <c r="J20" s="98">
        <v>46007</v>
      </c>
      <c r="K20" s="5"/>
      <c r="L20" s="67">
        <v>46055</v>
      </c>
      <c r="M20" s="77">
        <v>46083</v>
      </c>
      <c r="N20" s="67">
        <v>46113</v>
      </c>
      <c r="O20" s="67">
        <v>46143</v>
      </c>
      <c r="P20" s="67">
        <v>46174</v>
      </c>
      <c r="Q20" s="5"/>
      <c r="R20" s="5"/>
      <c r="S20" s="5"/>
      <c r="T20" s="5"/>
      <c r="U20" s="5"/>
    </row>
    <row r="21" spans="1:21" hidden="1" x14ac:dyDescent="0.25">
      <c r="A21" s="51" t="s">
        <v>315</v>
      </c>
      <c r="B21" s="40" t="s">
        <v>15</v>
      </c>
      <c r="C21" s="39">
        <v>25001</v>
      </c>
      <c r="D21" s="41" t="s">
        <v>429</v>
      </c>
      <c r="E21" s="42" t="s">
        <v>324</v>
      </c>
      <c r="F21" s="43" t="s">
        <v>251</v>
      </c>
      <c r="G21" s="44" t="s">
        <v>246</v>
      </c>
      <c r="H21" s="5"/>
      <c r="I21" s="5"/>
      <c r="J21" s="97">
        <v>46007</v>
      </c>
      <c r="K21" s="5"/>
      <c r="L21" s="67">
        <v>46055</v>
      </c>
      <c r="M21" s="67">
        <v>46083</v>
      </c>
      <c r="N21" s="67">
        <v>46113</v>
      </c>
      <c r="O21" s="67">
        <v>46147</v>
      </c>
      <c r="P21" s="5"/>
      <c r="Q21" s="5"/>
      <c r="R21" s="5"/>
      <c r="S21" s="5"/>
      <c r="T21" s="5"/>
      <c r="U21" s="5"/>
    </row>
    <row r="22" spans="1:21" hidden="1" x14ac:dyDescent="0.25">
      <c r="A22" s="51" t="s">
        <v>315</v>
      </c>
      <c r="B22" s="41" t="s">
        <v>276</v>
      </c>
      <c r="C22" s="39">
        <v>21029</v>
      </c>
      <c r="D22" s="41" t="s">
        <v>163</v>
      </c>
      <c r="E22" s="42" t="s">
        <v>40</v>
      </c>
      <c r="F22" s="43" t="s">
        <v>261</v>
      </c>
      <c r="G22" s="44" t="s">
        <v>246</v>
      </c>
      <c r="H22" s="5" t="s">
        <v>393</v>
      </c>
      <c r="I22" s="67">
        <v>45994</v>
      </c>
      <c r="J22" s="98">
        <v>46008</v>
      </c>
      <c r="K22" s="5"/>
      <c r="L22" s="67">
        <v>46052</v>
      </c>
      <c r="M22" s="67">
        <v>46083</v>
      </c>
      <c r="N22" s="67">
        <v>46114</v>
      </c>
      <c r="O22" s="5"/>
      <c r="P22" s="5"/>
      <c r="Q22" s="5"/>
      <c r="R22" s="5"/>
      <c r="S22" s="5"/>
      <c r="T22" s="5"/>
      <c r="U22" s="5"/>
    </row>
    <row r="23" spans="1:21" hidden="1" x14ac:dyDescent="0.25">
      <c r="A23" s="51" t="s">
        <v>315</v>
      </c>
      <c r="B23" s="40" t="s">
        <v>15</v>
      </c>
      <c r="C23" s="39">
        <v>25001</v>
      </c>
      <c r="D23" s="41" t="s">
        <v>530</v>
      </c>
      <c r="E23" s="42" t="s">
        <v>235</v>
      </c>
      <c r="F23" s="43" t="s">
        <v>251</v>
      </c>
      <c r="G23" s="44" t="s">
        <v>246</v>
      </c>
      <c r="H23" s="5"/>
      <c r="I23" s="5"/>
      <c r="J23" s="97">
        <v>46007</v>
      </c>
      <c r="K23" s="5"/>
      <c r="L23" s="77">
        <v>46057</v>
      </c>
      <c r="M23" s="67">
        <v>46083</v>
      </c>
      <c r="N23" s="67">
        <v>46113</v>
      </c>
      <c r="O23" s="67">
        <v>46139</v>
      </c>
      <c r="P23" s="5"/>
      <c r="Q23" s="5"/>
      <c r="R23" s="5"/>
      <c r="S23" s="5"/>
      <c r="T23" s="5"/>
      <c r="U23" s="5"/>
    </row>
    <row r="24" spans="1:21" hidden="1" x14ac:dyDescent="0.25">
      <c r="A24" s="51" t="s">
        <v>315</v>
      </c>
      <c r="B24" s="40" t="s">
        <v>257</v>
      </c>
      <c r="C24" s="39">
        <v>24024</v>
      </c>
      <c r="D24" s="41" t="s">
        <v>83</v>
      </c>
      <c r="E24" s="42" t="s">
        <v>76</v>
      </c>
      <c r="F24" s="43" t="s">
        <v>273</v>
      </c>
      <c r="G24" s="44" t="s">
        <v>246</v>
      </c>
      <c r="H24" s="5"/>
      <c r="I24" s="5"/>
      <c r="J24" s="98">
        <v>46013</v>
      </c>
      <c r="K24" s="5"/>
      <c r="L24" s="67">
        <v>46056</v>
      </c>
      <c r="M24" s="67">
        <v>46086</v>
      </c>
      <c r="N24" s="5"/>
      <c r="O24" s="5"/>
      <c r="P24" s="5"/>
      <c r="Q24" s="5"/>
      <c r="R24" s="5"/>
      <c r="S24" s="5"/>
      <c r="T24" s="5"/>
      <c r="U24" s="5"/>
    </row>
    <row r="25" spans="1:21" hidden="1" x14ac:dyDescent="0.25">
      <c r="A25" s="51" t="s">
        <v>315</v>
      </c>
      <c r="B25" s="40" t="s">
        <v>252</v>
      </c>
      <c r="C25" s="39">
        <v>24019</v>
      </c>
      <c r="D25" s="41" t="s">
        <v>66</v>
      </c>
      <c r="E25" s="59" t="s">
        <v>111</v>
      </c>
      <c r="F25" s="43" t="s">
        <v>227</v>
      </c>
      <c r="G25" s="44" t="s">
        <v>246</v>
      </c>
      <c r="H25" s="5"/>
      <c r="I25" s="5"/>
      <c r="J25" s="100" t="s">
        <v>464</v>
      </c>
      <c r="K25" s="5"/>
      <c r="L25" s="5"/>
      <c r="M25" s="5"/>
      <c r="N25" s="5"/>
      <c r="O25" s="5"/>
      <c r="P25" s="5"/>
      <c r="Q25" s="5"/>
      <c r="R25" s="5"/>
      <c r="S25" s="5"/>
      <c r="T25" s="5"/>
      <c r="U25" s="5"/>
    </row>
    <row r="26" spans="1:21" hidden="1" x14ac:dyDescent="0.25">
      <c r="A26" s="51" t="s">
        <v>120</v>
      </c>
      <c r="B26" s="40" t="s">
        <v>379</v>
      </c>
      <c r="C26" s="39">
        <v>24008</v>
      </c>
      <c r="D26" s="41" t="s">
        <v>278</v>
      </c>
      <c r="E26" s="42" t="s">
        <v>29</v>
      </c>
      <c r="F26" s="43" t="s">
        <v>273</v>
      </c>
      <c r="G26" s="44" t="s">
        <v>246</v>
      </c>
      <c r="H26" s="5"/>
      <c r="I26" s="5"/>
      <c r="J26" s="98">
        <v>46007</v>
      </c>
      <c r="K26" s="5"/>
      <c r="L26" s="67">
        <v>46055</v>
      </c>
      <c r="M26" s="78">
        <v>46083</v>
      </c>
      <c r="N26" s="67">
        <v>46115</v>
      </c>
      <c r="O26" s="67">
        <v>46143</v>
      </c>
      <c r="P26" s="78">
        <v>46174</v>
      </c>
      <c r="Q26" s="5"/>
      <c r="R26" s="5"/>
      <c r="S26" s="5"/>
      <c r="T26" s="5"/>
      <c r="U26" s="5"/>
    </row>
    <row r="27" spans="1:21" hidden="1" x14ac:dyDescent="0.25">
      <c r="A27" s="51" t="s">
        <v>315</v>
      </c>
      <c r="B27" s="40" t="s">
        <v>252</v>
      </c>
      <c r="C27" s="39">
        <v>24019</v>
      </c>
      <c r="D27" s="41" t="s">
        <v>61</v>
      </c>
      <c r="E27" s="42" t="s">
        <v>230</v>
      </c>
      <c r="F27" s="43" t="s">
        <v>249</v>
      </c>
      <c r="G27" s="44" t="s">
        <v>246</v>
      </c>
      <c r="H27" s="5"/>
      <c r="I27" s="5"/>
      <c r="J27" s="100"/>
      <c r="K27" s="5"/>
      <c r="L27" s="5"/>
      <c r="M27" s="5"/>
    </row>
    <row r="28" spans="1:21" hidden="1" x14ac:dyDescent="0.25">
      <c r="A28" s="51" t="s">
        <v>315</v>
      </c>
      <c r="B28" s="40" t="s">
        <v>252</v>
      </c>
      <c r="C28" s="39">
        <v>24019</v>
      </c>
      <c r="D28" s="41" t="s">
        <v>53</v>
      </c>
      <c r="E28" s="42" t="s">
        <v>45</v>
      </c>
      <c r="F28" s="41" t="s">
        <v>227</v>
      </c>
      <c r="G28" s="44" t="s">
        <v>246</v>
      </c>
      <c r="H28" s="5"/>
      <c r="I28" s="5"/>
      <c r="J28" s="98">
        <v>46009</v>
      </c>
      <c r="K28" s="5"/>
      <c r="L28" s="5"/>
      <c r="M28" s="5"/>
      <c r="N28" s="5"/>
      <c r="O28" s="5"/>
      <c r="P28" s="5"/>
      <c r="Q28" s="5"/>
      <c r="R28" s="5"/>
      <c r="S28" s="5"/>
      <c r="T28" s="5"/>
      <c r="U28" s="5"/>
    </row>
    <row r="29" spans="1:21" hidden="1" x14ac:dyDescent="0.25">
      <c r="A29" s="51" t="s">
        <v>315</v>
      </c>
      <c r="B29" s="40" t="s">
        <v>257</v>
      </c>
      <c r="C29" s="39">
        <v>24024</v>
      </c>
      <c r="D29" s="41" t="s">
        <v>81</v>
      </c>
      <c r="E29" s="60" t="s">
        <v>80</v>
      </c>
      <c r="F29" s="57" t="s">
        <v>227</v>
      </c>
      <c r="G29" s="44" t="s">
        <v>246</v>
      </c>
      <c r="H29" s="5"/>
      <c r="I29" s="5"/>
      <c r="J29" s="99">
        <v>46014</v>
      </c>
      <c r="K29" s="5"/>
      <c r="L29" s="67">
        <v>46053</v>
      </c>
      <c r="M29" s="67">
        <v>46082</v>
      </c>
      <c r="N29" s="5"/>
      <c r="O29" s="5"/>
      <c r="P29" s="5"/>
      <c r="Q29" s="5"/>
      <c r="R29" s="5"/>
      <c r="S29" s="5"/>
      <c r="T29" s="5"/>
      <c r="U29" s="5"/>
    </row>
    <row r="30" spans="1:21" hidden="1" x14ac:dyDescent="0.25">
      <c r="A30" s="51" t="s">
        <v>315</v>
      </c>
      <c r="B30" s="40" t="s">
        <v>15</v>
      </c>
      <c r="C30" s="47">
        <v>25001</v>
      </c>
      <c r="D30" s="41" t="s">
        <v>279</v>
      </c>
      <c r="E30" s="42" t="s">
        <v>113</v>
      </c>
      <c r="F30" s="43" t="s">
        <v>280</v>
      </c>
      <c r="G30" s="44" t="s">
        <v>246</v>
      </c>
      <c r="H30" s="5"/>
      <c r="I30" s="5"/>
      <c r="J30" s="97">
        <v>46014</v>
      </c>
      <c r="K30" s="5"/>
      <c r="L30" s="5"/>
      <c r="M30" s="5"/>
      <c r="N30" s="5"/>
      <c r="O30" s="5"/>
      <c r="P30" s="5"/>
      <c r="Q30" s="5"/>
      <c r="R30" s="5"/>
      <c r="S30" s="5"/>
      <c r="T30" s="5"/>
      <c r="U30" s="5"/>
    </row>
    <row r="31" spans="1:21" hidden="1" x14ac:dyDescent="0.25">
      <c r="A31" s="51" t="s">
        <v>315</v>
      </c>
      <c r="B31" s="40" t="s">
        <v>252</v>
      </c>
      <c r="C31" s="39">
        <v>24019</v>
      </c>
      <c r="D31" s="41" t="s">
        <v>159</v>
      </c>
      <c r="E31" s="42" t="s">
        <v>209</v>
      </c>
      <c r="F31" s="43" t="s">
        <v>227</v>
      </c>
      <c r="G31" s="44" t="s">
        <v>246</v>
      </c>
      <c r="H31" s="5"/>
      <c r="I31" s="5"/>
      <c r="J31" s="98">
        <v>46007</v>
      </c>
      <c r="K31" s="5"/>
      <c r="L31" s="67">
        <v>46055</v>
      </c>
      <c r="M31" s="77">
        <v>46083</v>
      </c>
      <c r="N31" s="67">
        <v>46114</v>
      </c>
      <c r="O31" s="67">
        <v>46142</v>
      </c>
      <c r="P31" s="5"/>
      <c r="Q31" s="5"/>
      <c r="R31" s="5"/>
      <c r="S31" s="5"/>
      <c r="T31" s="5"/>
      <c r="U31" s="5"/>
    </row>
    <row r="32" spans="1:21" hidden="1" x14ac:dyDescent="0.25">
      <c r="A32" s="51" t="s">
        <v>315</v>
      </c>
      <c r="B32" s="41" t="s">
        <v>276</v>
      </c>
      <c r="C32" s="39">
        <v>21029</v>
      </c>
      <c r="D32" s="41" t="s">
        <v>166</v>
      </c>
      <c r="E32" s="42" t="s">
        <v>201</v>
      </c>
      <c r="F32" s="43" t="s">
        <v>251</v>
      </c>
      <c r="G32" s="44" t="s">
        <v>246</v>
      </c>
      <c r="H32" s="5"/>
      <c r="I32" s="5"/>
      <c r="J32" s="98">
        <v>46007</v>
      </c>
      <c r="K32" s="5"/>
      <c r="L32" s="67">
        <v>46055</v>
      </c>
      <c r="M32" s="67">
        <v>46083</v>
      </c>
      <c r="N32" s="5"/>
      <c r="O32" s="5"/>
      <c r="P32" s="5"/>
      <c r="Q32" s="5"/>
      <c r="R32" s="5"/>
      <c r="S32" s="5"/>
      <c r="T32" s="5"/>
      <c r="U32" s="5"/>
    </row>
    <row r="33" spans="1:21" hidden="1" x14ac:dyDescent="0.25">
      <c r="A33" s="51" t="s">
        <v>315</v>
      </c>
      <c r="B33" s="40" t="s">
        <v>15</v>
      </c>
      <c r="C33" s="39">
        <v>25001</v>
      </c>
      <c r="D33" s="41" t="s">
        <v>14</v>
      </c>
      <c r="E33" s="42" t="s">
        <v>281</v>
      </c>
      <c r="F33" s="43" t="s">
        <v>245</v>
      </c>
      <c r="G33" s="44" t="s">
        <v>246</v>
      </c>
      <c r="H33" s="5"/>
      <c r="I33" s="5"/>
      <c r="J33" s="97">
        <v>46007</v>
      </c>
      <c r="K33" s="5"/>
      <c r="L33" s="67">
        <v>46054</v>
      </c>
      <c r="M33" s="5"/>
      <c r="N33" s="5"/>
      <c r="O33" s="5"/>
      <c r="P33" s="5"/>
      <c r="Q33" s="5"/>
      <c r="R33" s="5"/>
      <c r="S33" s="5"/>
      <c r="T33" s="5"/>
      <c r="U33" s="5"/>
    </row>
    <row r="34" spans="1:21" hidden="1" x14ac:dyDescent="0.25">
      <c r="A34" s="51" t="s">
        <v>315</v>
      </c>
      <c r="B34" s="40" t="s">
        <v>282</v>
      </c>
      <c r="C34" s="39">
        <v>24002</v>
      </c>
      <c r="D34" s="41" t="s">
        <v>283</v>
      </c>
      <c r="E34" s="42" t="s">
        <v>232</v>
      </c>
      <c r="F34" s="43" t="s">
        <v>261</v>
      </c>
      <c r="G34" s="44" t="s">
        <v>246</v>
      </c>
      <c r="H34" s="5"/>
      <c r="I34" s="5"/>
      <c r="J34" s="98">
        <v>46008</v>
      </c>
      <c r="K34" s="5"/>
      <c r="L34" s="67">
        <v>46055</v>
      </c>
      <c r="M34" s="67">
        <v>46083</v>
      </c>
      <c r="N34" s="67">
        <v>46113</v>
      </c>
      <c r="O34" s="5"/>
      <c r="P34" s="5"/>
      <c r="Q34" s="5"/>
      <c r="R34" s="5"/>
      <c r="S34" s="5"/>
      <c r="T34" s="5"/>
      <c r="U34" s="5"/>
    </row>
    <row r="35" spans="1:21" hidden="1" x14ac:dyDescent="0.25">
      <c r="A35" s="51" t="s">
        <v>315</v>
      </c>
      <c r="B35" s="40" t="s">
        <v>379</v>
      </c>
      <c r="C35" s="39">
        <v>24008</v>
      </c>
      <c r="D35" s="41" t="s">
        <v>284</v>
      </c>
      <c r="E35" s="42" t="s">
        <v>28</v>
      </c>
      <c r="F35" s="43" t="s">
        <v>227</v>
      </c>
      <c r="G35" s="44" t="s">
        <v>246</v>
      </c>
      <c r="H35" s="5"/>
      <c r="I35" s="67" t="s">
        <v>603</v>
      </c>
      <c r="J35" s="67"/>
      <c r="K35" s="5"/>
      <c r="L35" s="67"/>
      <c r="M35" s="67"/>
      <c r="N35" s="67"/>
      <c r="O35" s="67"/>
      <c r="P35" s="5"/>
      <c r="Q35" s="5"/>
      <c r="R35" s="5"/>
      <c r="S35" s="5"/>
      <c r="T35" s="5"/>
      <c r="U35" s="5"/>
    </row>
    <row r="36" spans="1:21" hidden="1" x14ac:dyDescent="0.25">
      <c r="A36" s="51" t="s">
        <v>315</v>
      </c>
      <c r="B36" s="40" t="s">
        <v>252</v>
      </c>
      <c r="C36" s="39">
        <v>24019</v>
      </c>
      <c r="D36" s="41" t="s">
        <v>62</v>
      </c>
      <c r="E36" s="42" t="s">
        <v>58</v>
      </c>
      <c r="F36" s="43" t="s">
        <v>227</v>
      </c>
      <c r="G36" s="44" t="s">
        <v>246</v>
      </c>
      <c r="H36" s="5"/>
      <c r="I36" s="5"/>
      <c r="J36" s="98">
        <v>46007</v>
      </c>
      <c r="K36" s="5"/>
      <c r="L36" s="67">
        <v>46054</v>
      </c>
      <c r="M36" s="77"/>
      <c r="N36" s="5"/>
      <c r="O36" s="5"/>
      <c r="P36" s="5"/>
      <c r="Q36" s="5"/>
      <c r="R36" s="5"/>
      <c r="S36" s="5"/>
      <c r="T36" s="5"/>
      <c r="U36" s="5"/>
    </row>
    <row r="37" spans="1:21" hidden="1" x14ac:dyDescent="0.25">
      <c r="A37" s="51" t="s">
        <v>315</v>
      </c>
      <c r="B37" s="40" t="s">
        <v>252</v>
      </c>
      <c r="C37" s="39">
        <v>24019</v>
      </c>
      <c r="D37" s="41" t="s">
        <v>212</v>
      </c>
      <c r="E37" s="42" t="s">
        <v>213</v>
      </c>
      <c r="F37" s="43" t="s">
        <v>285</v>
      </c>
      <c r="G37" s="44" t="s">
        <v>246</v>
      </c>
      <c r="H37" s="5"/>
      <c r="I37" s="67">
        <v>45994</v>
      </c>
      <c r="J37" s="98">
        <v>46017</v>
      </c>
      <c r="K37" s="5"/>
      <c r="L37" s="5"/>
      <c r="M37" s="5"/>
      <c r="N37" s="5"/>
      <c r="O37" s="5"/>
      <c r="P37" s="5"/>
      <c r="Q37" s="5"/>
      <c r="R37" s="5"/>
      <c r="S37" s="5"/>
      <c r="T37" s="5"/>
      <c r="U37" s="5"/>
    </row>
    <row r="38" spans="1:21" hidden="1" x14ac:dyDescent="0.25">
      <c r="A38" s="51" t="s">
        <v>315</v>
      </c>
      <c r="B38" s="40" t="s">
        <v>247</v>
      </c>
      <c r="C38" s="39">
        <v>24006</v>
      </c>
      <c r="D38" s="41" t="s">
        <v>286</v>
      </c>
      <c r="E38" s="42" t="s">
        <v>172</v>
      </c>
      <c r="F38" s="43" t="s">
        <v>287</v>
      </c>
      <c r="G38" s="44" t="s">
        <v>288</v>
      </c>
      <c r="H38" s="5"/>
      <c r="I38" s="5"/>
      <c r="J38" s="98">
        <v>46007</v>
      </c>
      <c r="K38" s="5"/>
      <c r="L38" s="67">
        <v>46055</v>
      </c>
      <c r="M38" s="67">
        <v>46082</v>
      </c>
      <c r="N38" s="5"/>
      <c r="O38" s="5"/>
      <c r="P38" s="5"/>
      <c r="Q38" s="5"/>
      <c r="R38" s="5"/>
      <c r="S38" s="5"/>
      <c r="T38" s="5"/>
      <c r="U38" s="5"/>
    </row>
    <row r="39" spans="1:21" hidden="1" x14ac:dyDescent="0.25">
      <c r="A39" s="51" t="s">
        <v>315</v>
      </c>
      <c r="B39" s="40" t="s">
        <v>15</v>
      </c>
      <c r="C39" s="39">
        <v>25001</v>
      </c>
      <c r="D39" s="41" t="s">
        <v>289</v>
      </c>
      <c r="E39" s="42" t="s">
        <v>290</v>
      </c>
      <c r="F39" s="43" t="s">
        <v>245</v>
      </c>
      <c r="G39" s="44" t="s">
        <v>246</v>
      </c>
      <c r="H39" s="5"/>
      <c r="I39" s="5"/>
      <c r="J39" s="97">
        <v>46007</v>
      </c>
      <c r="K39" s="5"/>
      <c r="L39" s="5"/>
      <c r="M39" s="5"/>
      <c r="N39" s="5"/>
      <c r="O39" s="5"/>
      <c r="P39" s="5"/>
      <c r="Q39" s="5"/>
      <c r="R39" s="5"/>
      <c r="S39" s="5"/>
      <c r="T39" s="5"/>
      <c r="U39" s="5"/>
    </row>
    <row r="40" spans="1:21" hidden="1" x14ac:dyDescent="0.25">
      <c r="A40" s="51" t="s">
        <v>315</v>
      </c>
      <c r="B40" s="40" t="s">
        <v>252</v>
      </c>
      <c r="C40" s="39">
        <v>24019</v>
      </c>
      <c r="D40" s="41" t="s">
        <v>63</v>
      </c>
      <c r="E40" s="42" t="s">
        <v>211</v>
      </c>
      <c r="F40" s="43" t="s">
        <v>291</v>
      </c>
      <c r="G40" s="44" t="s">
        <v>246</v>
      </c>
      <c r="H40" s="5"/>
      <c r="I40" s="67">
        <v>45996</v>
      </c>
      <c r="J40" s="98">
        <v>46012</v>
      </c>
      <c r="K40" s="5"/>
      <c r="L40" s="5"/>
      <c r="M40" s="5"/>
      <c r="N40" s="5"/>
      <c r="O40" s="5"/>
      <c r="P40" s="5"/>
      <c r="Q40" s="5"/>
      <c r="R40" s="5"/>
      <c r="S40" s="5"/>
      <c r="T40" s="5"/>
      <c r="U40" s="5"/>
    </row>
    <row r="41" spans="1:21" hidden="1" x14ac:dyDescent="0.25">
      <c r="A41" s="51" t="s">
        <v>315</v>
      </c>
      <c r="B41" s="40" t="s">
        <v>257</v>
      </c>
      <c r="C41" s="39">
        <v>24024</v>
      </c>
      <c r="D41" s="5" t="s">
        <v>292</v>
      </c>
      <c r="E41" s="11" t="s">
        <v>77</v>
      </c>
      <c r="F41" s="43" t="s">
        <v>293</v>
      </c>
      <c r="G41" s="44" t="s">
        <v>246</v>
      </c>
      <c r="H41" s="5"/>
      <c r="I41" s="5"/>
      <c r="J41" s="99">
        <v>46010</v>
      </c>
      <c r="K41" s="5"/>
      <c r="L41" s="67">
        <v>46055</v>
      </c>
      <c r="M41" s="67">
        <v>46082</v>
      </c>
      <c r="N41" s="5"/>
      <c r="O41" s="5"/>
      <c r="P41" s="5"/>
      <c r="Q41" s="5"/>
      <c r="R41" s="5"/>
      <c r="S41" s="5"/>
      <c r="T41" s="5"/>
      <c r="U41" s="5"/>
    </row>
    <row r="42" spans="1:21" hidden="1" x14ac:dyDescent="0.25">
      <c r="A42" s="51" t="s">
        <v>120</v>
      </c>
      <c r="B42" s="40" t="s">
        <v>15</v>
      </c>
      <c r="C42" s="39">
        <v>25001</v>
      </c>
      <c r="D42" s="41" t="s">
        <v>429</v>
      </c>
      <c r="E42" s="42" t="s">
        <v>295</v>
      </c>
      <c r="F42" s="43" t="s">
        <v>251</v>
      </c>
      <c r="G42" s="44" t="s">
        <v>246</v>
      </c>
      <c r="H42" s="5"/>
      <c r="I42" s="5"/>
      <c r="J42" s="97">
        <v>46007</v>
      </c>
      <c r="K42" s="5"/>
      <c r="L42" s="67">
        <v>46057</v>
      </c>
      <c r="M42" s="67">
        <v>46084</v>
      </c>
      <c r="N42" s="67">
        <v>46114</v>
      </c>
      <c r="O42" s="67">
        <v>46154</v>
      </c>
      <c r="P42" s="67">
        <v>46175</v>
      </c>
      <c r="Q42" s="5"/>
      <c r="R42" s="5"/>
      <c r="S42" s="5"/>
      <c r="T42" s="5"/>
      <c r="U42" s="5"/>
    </row>
    <row r="43" spans="1:21" ht="25.5" hidden="1" x14ac:dyDescent="0.25">
      <c r="A43" s="51" t="s">
        <v>120</v>
      </c>
      <c r="B43" s="40" t="s">
        <v>296</v>
      </c>
      <c r="C43" s="39">
        <v>25018</v>
      </c>
      <c r="D43" s="41" t="s">
        <v>226</v>
      </c>
      <c r="E43" s="42" t="s">
        <v>297</v>
      </c>
      <c r="F43" s="43" t="s">
        <v>249</v>
      </c>
      <c r="G43" s="44" t="s">
        <v>246</v>
      </c>
      <c r="H43" s="5"/>
      <c r="I43" s="67">
        <v>45994</v>
      </c>
      <c r="J43" s="98">
        <v>46009</v>
      </c>
      <c r="K43" s="5"/>
      <c r="L43" s="67">
        <v>46055</v>
      </c>
      <c r="M43" s="67">
        <v>46087</v>
      </c>
      <c r="N43" s="67">
        <v>46114</v>
      </c>
      <c r="O43" s="67">
        <v>46143</v>
      </c>
      <c r="P43" s="67">
        <v>46175</v>
      </c>
      <c r="Q43" s="5"/>
      <c r="R43" s="5"/>
      <c r="S43" s="5"/>
      <c r="T43" s="5"/>
      <c r="U43" s="5"/>
    </row>
    <row r="44" spans="1:21" hidden="1" x14ac:dyDescent="0.25">
      <c r="A44" s="51" t="s">
        <v>315</v>
      </c>
      <c r="B44" s="40" t="s">
        <v>282</v>
      </c>
      <c r="C44" s="39">
        <v>24002</v>
      </c>
      <c r="D44" s="41" t="s">
        <v>36</v>
      </c>
      <c r="E44" s="42" t="s">
        <v>298</v>
      </c>
      <c r="F44" s="43" t="s">
        <v>263</v>
      </c>
      <c r="G44" s="44" t="s">
        <v>246</v>
      </c>
      <c r="H44" s="5"/>
      <c r="I44" s="5"/>
      <c r="J44" s="98">
        <v>46006</v>
      </c>
      <c r="K44" s="5"/>
      <c r="L44" s="5"/>
      <c r="M44" s="5"/>
      <c r="N44" s="5"/>
      <c r="O44" s="5"/>
      <c r="P44" s="5"/>
      <c r="Q44" s="5"/>
      <c r="R44" s="5"/>
      <c r="S44" s="5"/>
      <c r="T44" s="5"/>
      <c r="U44" s="5"/>
    </row>
    <row r="45" spans="1:21" ht="38.25" hidden="1" x14ac:dyDescent="0.25">
      <c r="A45" s="51" t="s">
        <v>315</v>
      </c>
      <c r="B45" s="40" t="s">
        <v>299</v>
      </c>
      <c r="C45" s="39">
        <v>25018</v>
      </c>
      <c r="D45" s="41" t="s">
        <v>300</v>
      </c>
      <c r="E45" s="42" t="s">
        <v>301</v>
      </c>
      <c r="F45" s="43" t="s">
        <v>227</v>
      </c>
      <c r="G45" s="44" t="s">
        <v>246</v>
      </c>
      <c r="H45" s="5"/>
      <c r="I45" s="5"/>
      <c r="J45" s="98">
        <v>46013</v>
      </c>
      <c r="K45" s="5"/>
      <c r="L45" s="67">
        <v>46055</v>
      </c>
      <c r="M45" s="67">
        <v>46084</v>
      </c>
      <c r="N45" s="5"/>
      <c r="O45" s="5"/>
      <c r="P45" s="5"/>
      <c r="Q45" s="5"/>
      <c r="R45" s="5"/>
      <c r="S45" s="5"/>
      <c r="T45" s="5"/>
      <c r="U45" s="5"/>
    </row>
    <row r="46" spans="1:21" hidden="1" x14ac:dyDescent="0.25">
      <c r="A46" s="51" t="s">
        <v>315</v>
      </c>
      <c r="B46" s="40" t="s">
        <v>15</v>
      </c>
      <c r="C46" s="39">
        <v>25001</v>
      </c>
      <c r="D46" s="41" t="s">
        <v>302</v>
      </c>
      <c r="E46" s="42" t="s">
        <v>303</v>
      </c>
      <c r="F46" s="43" t="s">
        <v>245</v>
      </c>
      <c r="G46" s="44" t="s">
        <v>246</v>
      </c>
      <c r="H46" s="5"/>
      <c r="I46" s="67">
        <v>45993</v>
      </c>
      <c r="J46" s="97">
        <v>46010</v>
      </c>
      <c r="K46" s="5"/>
      <c r="L46" s="5"/>
      <c r="M46" s="5"/>
      <c r="N46" s="5"/>
      <c r="O46" s="5"/>
      <c r="P46" s="5"/>
      <c r="Q46" s="5"/>
      <c r="R46" s="5"/>
      <c r="S46" s="5"/>
      <c r="T46" s="5"/>
      <c r="U46" s="5"/>
    </row>
    <row r="47" spans="1:21" hidden="1" x14ac:dyDescent="0.25">
      <c r="A47" s="51" t="s">
        <v>315</v>
      </c>
      <c r="B47" s="40" t="s">
        <v>247</v>
      </c>
      <c r="C47" s="39">
        <v>24006</v>
      </c>
      <c r="D47" s="41" t="s">
        <v>304</v>
      </c>
      <c r="E47" s="42" t="s">
        <v>305</v>
      </c>
      <c r="F47" s="43" t="s">
        <v>227</v>
      </c>
      <c r="G47" s="44" t="s">
        <v>246</v>
      </c>
      <c r="H47" s="5"/>
      <c r="I47" s="5"/>
      <c r="J47" s="98">
        <v>46007</v>
      </c>
      <c r="K47" s="5"/>
      <c r="L47" s="67">
        <v>46055</v>
      </c>
      <c r="M47" s="67">
        <v>46082</v>
      </c>
      <c r="N47" s="5"/>
      <c r="O47" s="5"/>
      <c r="P47" s="5"/>
      <c r="Q47" s="5"/>
      <c r="R47" s="5"/>
      <c r="S47" s="5"/>
      <c r="T47" s="5"/>
      <c r="U47" s="5"/>
    </row>
    <row r="48" spans="1:21" ht="25.5" hidden="1" x14ac:dyDescent="0.25">
      <c r="A48" s="51" t="s">
        <v>315</v>
      </c>
      <c r="B48" s="40" t="s">
        <v>296</v>
      </c>
      <c r="C48" s="39">
        <v>25018</v>
      </c>
      <c r="D48" s="41" t="s">
        <v>306</v>
      </c>
      <c r="E48" s="42" t="s">
        <v>307</v>
      </c>
      <c r="F48" s="43" t="s">
        <v>227</v>
      </c>
      <c r="G48" s="44" t="s">
        <v>246</v>
      </c>
      <c r="H48" s="5"/>
      <c r="I48" s="5"/>
      <c r="J48" s="98">
        <v>46007</v>
      </c>
      <c r="K48" s="5"/>
      <c r="L48" s="67">
        <v>46054</v>
      </c>
      <c r="M48" s="67">
        <v>46085</v>
      </c>
      <c r="N48" s="67">
        <v>46113</v>
      </c>
      <c r="O48" s="5"/>
      <c r="P48" s="5"/>
      <c r="Q48" s="5"/>
      <c r="R48" s="5"/>
      <c r="S48" s="5"/>
      <c r="T48" s="5"/>
      <c r="U48" s="5"/>
    </row>
    <row r="49" spans="1:21" s="95" customFormat="1" ht="38.25" hidden="1" x14ac:dyDescent="0.25">
      <c r="A49" s="51" t="s">
        <v>120</v>
      </c>
      <c r="B49" s="40" t="s">
        <v>299</v>
      </c>
      <c r="C49" s="39">
        <v>25018</v>
      </c>
      <c r="D49" s="41" t="s">
        <v>442</v>
      </c>
      <c r="E49" s="42" t="s">
        <v>443</v>
      </c>
      <c r="F49" s="43" t="s">
        <v>291</v>
      </c>
      <c r="G49" s="44" t="s">
        <v>246</v>
      </c>
      <c r="H49" s="25"/>
      <c r="I49" s="25"/>
      <c r="J49" s="98">
        <v>46009</v>
      </c>
      <c r="K49" s="25"/>
      <c r="L49" s="106">
        <v>46055</v>
      </c>
      <c r="M49" s="107">
        <v>46083</v>
      </c>
      <c r="N49" s="67">
        <v>46113</v>
      </c>
      <c r="O49" s="106">
        <v>46143</v>
      </c>
      <c r="P49" s="106">
        <v>46174</v>
      </c>
      <c r="Q49" s="25"/>
      <c r="R49" s="25"/>
      <c r="S49" s="25"/>
      <c r="T49" s="25"/>
      <c r="U49" s="25"/>
    </row>
    <row r="50" spans="1:21" hidden="1" x14ac:dyDescent="0.25">
      <c r="A50" s="51" t="s">
        <v>120</v>
      </c>
      <c r="B50" s="40" t="s">
        <v>379</v>
      </c>
      <c r="C50" s="39">
        <v>24008</v>
      </c>
      <c r="D50" s="41" t="s">
        <v>437</v>
      </c>
      <c r="E50" s="90" t="s">
        <v>380</v>
      </c>
      <c r="F50" s="43" t="s">
        <v>227</v>
      </c>
      <c r="G50" s="44" t="s">
        <v>246</v>
      </c>
      <c r="H50" s="90"/>
      <c r="I50" s="90"/>
      <c r="J50" s="98">
        <v>46009</v>
      </c>
      <c r="K50" s="90"/>
      <c r="L50" s="67">
        <v>46056</v>
      </c>
      <c r="M50" s="78">
        <v>46083</v>
      </c>
      <c r="N50" s="67">
        <v>46114</v>
      </c>
      <c r="O50" s="67">
        <v>46146</v>
      </c>
      <c r="P50" s="78">
        <v>46174</v>
      </c>
      <c r="Q50" s="5"/>
      <c r="R50" s="5"/>
      <c r="S50" s="5"/>
      <c r="T50" s="5"/>
      <c r="U50" s="5"/>
    </row>
    <row r="51" spans="1:21" hidden="1" x14ac:dyDescent="0.25">
      <c r="A51" s="51" t="s">
        <v>315</v>
      </c>
      <c r="B51" s="40" t="s">
        <v>439</v>
      </c>
      <c r="C51" s="20">
        <v>25030</v>
      </c>
      <c r="D51" s="41" t="s">
        <v>454</v>
      </c>
      <c r="E51" s="42" t="s">
        <v>452</v>
      </c>
      <c r="F51" s="43" t="s">
        <v>453</v>
      </c>
      <c r="G51" s="44" t="s">
        <v>455</v>
      </c>
      <c r="H51" s="90"/>
      <c r="I51" s="90"/>
      <c r="J51" s="98">
        <v>46006</v>
      </c>
      <c r="K51" s="90"/>
      <c r="L51" s="67">
        <v>46054</v>
      </c>
      <c r="M51" s="67">
        <v>46082</v>
      </c>
      <c r="N51" s="90"/>
      <c r="O51" s="90"/>
      <c r="P51" s="90"/>
      <c r="Q51" s="90"/>
      <c r="R51" s="90"/>
      <c r="S51" s="90"/>
      <c r="T51" s="90"/>
      <c r="U51" s="90"/>
    </row>
    <row r="52" spans="1:21" ht="25.5" hidden="1" x14ac:dyDescent="0.25">
      <c r="A52" s="51" t="s">
        <v>120</v>
      </c>
      <c r="B52" s="40" t="s">
        <v>296</v>
      </c>
      <c r="C52" s="39">
        <v>25018</v>
      </c>
      <c r="D52" s="41" t="s">
        <v>430</v>
      </c>
      <c r="E52" s="42" t="s">
        <v>431</v>
      </c>
      <c r="F52" s="43" t="s">
        <v>291</v>
      </c>
      <c r="G52" s="44" t="s">
        <v>246</v>
      </c>
      <c r="H52" s="90"/>
      <c r="I52" s="90"/>
      <c r="J52" s="98">
        <v>46011</v>
      </c>
      <c r="K52" s="90"/>
      <c r="L52" s="67">
        <v>46056</v>
      </c>
      <c r="M52" s="107">
        <v>46082</v>
      </c>
      <c r="N52" s="67">
        <v>46113</v>
      </c>
      <c r="O52" s="67">
        <v>46145</v>
      </c>
      <c r="P52" s="67">
        <v>46174</v>
      </c>
      <c r="Q52" s="5"/>
      <c r="R52" s="5"/>
      <c r="S52" s="5"/>
      <c r="T52" s="5"/>
      <c r="U52" s="5"/>
    </row>
    <row r="53" spans="1:21" ht="25.5" hidden="1" x14ac:dyDescent="0.25">
      <c r="A53" s="51" t="s">
        <v>315</v>
      </c>
      <c r="B53" s="40" t="s">
        <v>296</v>
      </c>
      <c r="C53" s="39">
        <v>25018</v>
      </c>
      <c r="D53" s="41" t="s">
        <v>54</v>
      </c>
      <c r="E53" s="42" t="s">
        <v>370</v>
      </c>
      <c r="F53" s="43" t="s">
        <v>227</v>
      </c>
      <c r="G53" s="44" t="s">
        <v>246</v>
      </c>
      <c r="H53" s="90"/>
      <c r="I53" s="90"/>
      <c r="J53" s="98">
        <v>46006</v>
      </c>
      <c r="K53" s="90"/>
      <c r="L53" s="67">
        <v>46054</v>
      </c>
      <c r="M53" s="107">
        <v>46073</v>
      </c>
      <c r="N53" s="67">
        <v>46114</v>
      </c>
      <c r="O53" s="67">
        <v>46143</v>
      </c>
      <c r="P53" s="134"/>
      <c r="Q53" s="5"/>
      <c r="R53" s="5"/>
      <c r="S53" s="5"/>
      <c r="T53" s="5"/>
      <c r="U53" s="5"/>
    </row>
    <row r="54" spans="1:21" ht="25.5" hidden="1" x14ac:dyDescent="0.25">
      <c r="A54" s="51" t="s">
        <v>120</v>
      </c>
      <c r="B54" s="40" t="s">
        <v>296</v>
      </c>
      <c r="C54" s="39">
        <v>25018</v>
      </c>
      <c r="D54" s="41" t="s">
        <v>54</v>
      </c>
      <c r="E54" s="42"/>
      <c r="F54" s="43"/>
      <c r="G54" s="44" t="s">
        <v>246</v>
      </c>
      <c r="H54" s="90"/>
      <c r="I54" s="90"/>
      <c r="J54" s="98"/>
      <c r="K54" s="90"/>
      <c r="L54" s="67"/>
      <c r="M54" s="107"/>
      <c r="N54" s="67"/>
      <c r="O54" s="67"/>
      <c r="P54" s="67">
        <v>46174</v>
      </c>
      <c r="Q54" s="5"/>
      <c r="R54" s="5"/>
      <c r="S54" s="5"/>
      <c r="T54" s="5"/>
      <c r="U54" s="5"/>
    </row>
    <row r="55" spans="1:21" ht="25.5" hidden="1" x14ac:dyDescent="0.25">
      <c r="A55" s="51" t="s">
        <v>120</v>
      </c>
      <c r="B55" s="40" t="s">
        <v>296</v>
      </c>
      <c r="C55" s="39">
        <v>25018</v>
      </c>
      <c r="D55" s="41" t="s">
        <v>274</v>
      </c>
      <c r="E55" s="42" t="s">
        <v>362</v>
      </c>
      <c r="F55" s="43" t="s">
        <v>227</v>
      </c>
      <c r="G55" s="44" t="s">
        <v>246</v>
      </c>
      <c r="H55" s="90"/>
      <c r="I55" s="90"/>
      <c r="J55" s="98">
        <v>46002</v>
      </c>
      <c r="K55" s="90"/>
      <c r="L55" s="67">
        <v>46055</v>
      </c>
      <c r="M55" s="107">
        <v>46082</v>
      </c>
      <c r="N55" s="67">
        <v>46114</v>
      </c>
      <c r="O55" s="67">
        <v>46146</v>
      </c>
      <c r="P55" s="67">
        <v>46174</v>
      </c>
      <c r="Q55" s="5"/>
      <c r="R55" s="5"/>
      <c r="S55" s="5"/>
      <c r="T55" s="5"/>
      <c r="U55" s="5"/>
    </row>
    <row r="56" spans="1:21" ht="25.5" hidden="1" x14ac:dyDescent="0.25">
      <c r="A56" s="51" t="s">
        <v>120</v>
      </c>
      <c r="B56" s="40" t="s">
        <v>296</v>
      </c>
      <c r="C56" s="39">
        <v>25018</v>
      </c>
      <c r="D56" s="41" t="s">
        <v>435</v>
      </c>
      <c r="E56" s="42" t="s">
        <v>373</v>
      </c>
      <c r="F56" s="43" t="s">
        <v>227</v>
      </c>
      <c r="G56" s="44" t="s">
        <v>246</v>
      </c>
      <c r="H56" s="90"/>
      <c r="I56" s="90"/>
      <c r="J56" s="98">
        <v>46007</v>
      </c>
      <c r="K56" s="90"/>
      <c r="L56" s="67">
        <v>46054</v>
      </c>
      <c r="M56" s="107">
        <v>46083</v>
      </c>
      <c r="N56" s="67">
        <v>46113</v>
      </c>
      <c r="O56" s="67">
        <v>46146</v>
      </c>
      <c r="P56" s="67">
        <v>46174</v>
      </c>
      <c r="Q56" s="5"/>
      <c r="R56" s="5"/>
      <c r="S56" s="5"/>
      <c r="T56" s="5"/>
      <c r="U56" s="5"/>
    </row>
    <row r="57" spans="1:21" ht="25.5" hidden="1" x14ac:dyDescent="0.25">
      <c r="A57" s="51" t="s">
        <v>120</v>
      </c>
      <c r="B57" s="40" t="s">
        <v>296</v>
      </c>
      <c r="C57" s="39">
        <v>25018</v>
      </c>
      <c r="D57" s="41" t="s">
        <v>457</v>
      </c>
      <c r="E57" s="42" t="s">
        <v>458</v>
      </c>
      <c r="F57" s="43" t="s">
        <v>245</v>
      </c>
      <c r="G57" s="44" t="s">
        <v>246</v>
      </c>
      <c r="H57" s="90"/>
      <c r="I57" s="90"/>
      <c r="J57" s="98">
        <v>46010</v>
      </c>
      <c r="K57" s="90"/>
      <c r="L57" s="67">
        <v>46054</v>
      </c>
      <c r="M57" s="107">
        <v>46083</v>
      </c>
      <c r="N57" s="67">
        <v>46113</v>
      </c>
      <c r="O57" s="67">
        <v>46143</v>
      </c>
      <c r="P57" s="67">
        <v>46173</v>
      </c>
      <c r="Q57" s="5"/>
      <c r="R57" s="5"/>
      <c r="S57" s="5"/>
      <c r="T57" s="5"/>
      <c r="U57" s="5"/>
    </row>
    <row r="58" spans="1:21" ht="38.25" hidden="1" x14ac:dyDescent="0.25">
      <c r="A58" s="51" t="s">
        <v>120</v>
      </c>
      <c r="B58" s="40" t="s">
        <v>299</v>
      </c>
      <c r="C58" s="39">
        <v>25018</v>
      </c>
      <c r="D58" s="41" t="s">
        <v>428</v>
      </c>
      <c r="E58" s="42" t="s">
        <v>343</v>
      </c>
      <c r="F58" s="43" t="s">
        <v>249</v>
      </c>
      <c r="G58" s="44" t="s">
        <v>246</v>
      </c>
      <c r="H58" s="90"/>
      <c r="I58" s="90"/>
      <c r="J58" s="98">
        <v>46007</v>
      </c>
      <c r="K58" s="90"/>
      <c r="L58" s="67">
        <v>46053</v>
      </c>
      <c r="M58" s="107">
        <v>46083</v>
      </c>
      <c r="N58" s="67">
        <v>46113</v>
      </c>
      <c r="O58" s="106">
        <v>46143</v>
      </c>
      <c r="P58" s="106">
        <v>46174</v>
      </c>
      <c r="Q58" s="5"/>
      <c r="R58" s="5"/>
      <c r="S58" s="5"/>
      <c r="T58" s="5"/>
      <c r="U58" s="5"/>
    </row>
    <row r="59" spans="1:21" ht="38.25" hidden="1" x14ac:dyDescent="0.25">
      <c r="A59" s="51" t="s">
        <v>120</v>
      </c>
      <c r="B59" s="40" t="s">
        <v>299</v>
      </c>
      <c r="C59" s="39">
        <v>25018</v>
      </c>
      <c r="D59" s="41" t="s">
        <v>432</v>
      </c>
      <c r="E59" s="42" t="s">
        <v>340</v>
      </c>
      <c r="F59" s="43" t="s">
        <v>249</v>
      </c>
      <c r="G59" s="44" t="s">
        <v>246</v>
      </c>
      <c r="H59" s="90"/>
      <c r="I59" s="90"/>
      <c r="J59" s="98">
        <v>46006</v>
      </c>
      <c r="K59" s="90"/>
      <c r="L59" s="67">
        <v>46054</v>
      </c>
      <c r="M59" s="107">
        <v>46083</v>
      </c>
      <c r="N59" s="67">
        <v>46113</v>
      </c>
      <c r="O59" s="67">
        <v>46144</v>
      </c>
      <c r="P59" s="106">
        <v>46174</v>
      </c>
      <c r="Q59" s="5"/>
      <c r="R59" s="5"/>
      <c r="S59" s="5"/>
      <c r="T59" s="5"/>
      <c r="U59" s="5"/>
    </row>
    <row r="60" spans="1:21" ht="38.25" hidden="1" x14ac:dyDescent="0.25">
      <c r="A60" s="51" t="s">
        <v>315</v>
      </c>
      <c r="B60" s="40" t="s">
        <v>299</v>
      </c>
      <c r="C60" s="39">
        <v>25018</v>
      </c>
      <c r="D60" s="41" t="s">
        <v>433</v>
      </c>
      <c r="E60" s="42" t="s">
        <v>344</v>
      </c>
      <c r="F60" s="43" t="s">
        <v>227</v>
      </c>
      <c r="G60" s="44" t="s">
        <v>246</v>
      </c>
      <c r="H60" s="90"/>
      <c r="I60" s="67">
        <v>46014</v>
      </c>
      <c r="J60" s="98">
        <v>46014</v>
      </c>
      <c r="K60" s="90"/>
      <c r="L60" s="67">
        <v>46063</v>
      </c>
      <c r="M60" s="67">
        <v>46091</v>
      </c>
      <c r="N60" s="67"/>
      <c r="O60" s="5"/>
      <c r="P60" s="5"/>
      <c r="Q60" s="5"/>
      <c r="R60" s="5"/>
      <c r="S60" s="5"/>
      <c r="T60" s="5"/>
      <c r="U60" s="5"/>
    </row>
    <row r="61" spans="1:21" ht="38.25" hidden="1" x14ac:dyDescent="0.25">
      <c r="A61" s="51" t="s">
        <v>315</v>
      </c>
      <c r="B61" s="40" t="s">
        <v>299</v>
      </c>
      <c r="C61" s="39">
        <v>25018</v>
      </c>
      <c r="D61" s="41" t="s">
        <v>434</v>
      </c>
      <c r="E61" s="42" t="s">
        <v>346</v>
      </c>
      <c r="F61" s="43" t="s">
        <v>249</v>
      </c>
      <c r="G61" s="44" t="s">
        <v>246</v>
      </c>
      <c r="H61" s="90"/>
      <c r="I61" s="90"/>
      <c r="J61" s="98">
        <v>46007</v>
      </c>
      <c r="K61" s="90"/>
      <c r="L61" s="67">
        <v>46055</v>
      </c>
      <c r="M61" s="107">
        <v>46083</v>
      </c>
      <c r="N61" s="67">
        <v>46113</v>
      </c>
      <c r="O61" s="5"/>
      <c r="P61" s="5"/>
      <c r="Q61" s="5"/>
      <c r="R61" s="5"/>
      <c r="S61" s="5"/>
      <c r="T61" s="5"/>
      <c r="U61" s="5"/>
    </row>
    <row r="62" spans="1:21" ht="38.25" hidden="1" x14ac:dyDescent="0.25">
      <c r="A62" s="51" t="s">
        <v>120</v>
      </c>
      <c r="B62" s="40" t="s">
        <v>299</v>
      </c>
      <c r="C62" s="39">
        <v>25018</v>
      </c>
      <c r="D62" s="41" t="s">
        <v>359</v>
      </c>
      <c r="E62" s="42" t="s">
        <v>461</v>
      </c>
      <c r="F62" s="43" t="s">
        <v>249</v>
      </c>
      <c r="G62" s="44" t="s">
        <v>246</v>
      </c>
      <c r="H62" s="90"/>
      <c r="I62" s="90"/>
      <c r="J62" s="98">
        <v>46007</v>
      </c>
      <c r="K62" s="90"/>
      <c r="L62" s="67">
        <v>46054</v>
      </c>
      <c r="M62" s="107">
        <v>46076</v>
      </c>
      <c r="N62" s="67">
        <v>46113</v>
      </c>
      <c r="O62" s="67">
        <v>46144</v>
      </c>
      <c r="P62" s="106">
        <v>46174</v>
      </c>
      <c r="Q62" s="5"/>
      <c r="R62" s="5"/>
      <c r="S62" s="5"/>
      <c r="T62" s="5"/>
      <c r="U62" s="5"/>
    </row>
    <row r="63" spans="1:21" ht="25.5" hidden="1" x14ac:dyDescent="0.25">
      <c r="A63" s="51" t="s">
        <v>120</v>
      </c>
      <c r="B63" s="40" t="s">
        <v>296</v>
      </c>
      <c r="C63" s="39">
        <v>25018</v>
      </c>
      <c r="D63" s="41" t="s">
        <v>53</v>
      </c>
      <c r="E63" s="42" t="s">
        <v>490</v>
      </c>
      <c r="F63" s="43" t="s">
        <v>291</v>
      </c>
      <c r="G63" s="44" t="s">
        <v>246</v>
      </c>
      <c r="H63" s="90"/>
      <c r="I63" s="90"/>
      <c r="J63" s="67"/>
      <c r="K63" s="90"/>
      <c r="L63" s="67">
        <v>46055</v>
      </c>
      <c r="M63" s="67">
        <v>46086</v>
      </c>
      <c r="N63" s="67">
        <v>46113</v>
      </c>
      <c r="O63" s="67">
        <v>46143</v>
      </c>
      <c r="P63" s="67">
        <v>46174</v>
      </c>
      <c r="Q63" s="5"/>
      <c r="R63" s="5"/>
      <c r="S63" s="5"/>
      <c r="T63" s="5"/>
      <c r="U63" s="5"/>
    </row>
    <row r="64" spans="1:21" ht="38.25" hidden="1" x14ac:dyDescent="0.25">
      <c r="A64" s="51" t="s">
        <v>120</v>
      </c>
      <c r="B64" s="40" t="s">
        <v>299</v>
      </c>
      <c r="C64" s="39">
        <v>25018</v>
      </c>
      <c r="D64" s="41" t="s">
        <v>492</v>
      </c>
      <c r="E64" s="42" t="s">
        <v>493</v>
      </c>
      <c r="F64" s="43" t="s">
        <v>291</v>
      </c>
      <c r="G64" s="44" t="s">
        <v>246</v>
      </c>
      <c r="H64" s="90"/>
      <c r="I64" s="90"/>
      <c r="J64" s="67"/>
      <c r="K64" s="90"/>
      <c r="L64" s="67">
        <v>46055</v>
      </c>
      <c r="M64" s="107">
        <v>46083</v>
      </c>
      <c r="N64" s="67">
        <v>46113</v>
      </c>
      <c r="O64" s="67">
        <v>46146</v>
      </c>
      <c r="P64" s="106">
        <v>46174</v>
      </c>
      <c r="Q64" s="5"/>
      <c r="R64" s="5"/>
      <c r="S64" s="5"/>
      <c r="T64" s="5"/>
      <c r="U64" s="5"/>
    </row>
    <row r="65" spans="1:21" hidden="1" x14ac:dyDescent="0.25">
      <c r="A65" s="51" t="s">
        <v>120</v>
      </c>
      <c r="B65" s="40" t="s">
        <v>15</v>
      </c>
      <c r="C65" s="39">
        <v>25001</v>
      </c>
      <c r="D65" s="41" t="s">
        <v>294</v>
      </c>
      <c r="E65" s="42" t="s">
        <v>494</v>
      </c>
      <c r="F65" s="43" t="s">
        <v>261</v>
      </c>
      <c r="G65" s="44" t="s">
        <v>246</v>
      </c>
      <c r="H65" s="90"/>
      <c r="I65" s="90"/>
      <c r="J65" s="67"/>
      <c r="K65" s="90"/>
      <c r="L65" s="67">
        <v>46055</v>
      </c>
      <c r="M65" s="67">
        <v>46083</v>
      </c>
      <c r="N65" s="67">
        <v>46113</v>
      </c>
      <c r="O65" s="67">
        <v>46143</v>
      </c>
      <c r="P65" s="67">
        <v>46172</v>
      </c>
      <c r="Q65" s="5"/>
      <c r="R65" s="5"/>
      <c r="S65" s="5"/>
      <c r="T65" s="5"/>
      <c r="U65" s="5"/>
    </row>
    <row r="66" spans="1:21" hidden="1" x14ac:dyDescent="0.25">
      <c r="A66" s="51" t="s">
        <v>120</v>
      </c>
      <c r="B66" s="40" t="s">
        <v>15</v>
      </c>
      <c r="C66" s="47">
        <v>25001</v>
      </c>
      <c r="D66" s="41" t="s">
        <v>495</v>
      </c>
      <c r="E66" s="42" t="s">
        <v>317</v>
      </c>
      <c r="F66" s="43" t="s">
        <v>261</v>
      </c>
      <c r="G66" s="44" t="s">
        <v>246</v>
      </c>
      <c r="H66" s="90"/>
      <c r="I66" s="90"/>
      <c r="J66" s="67"/>
      <c r="K66" s="90"/>
      <c r="L66" s="67">
        <v>46062</v>
      </c>
      <c r="M66" s="67">
        <v>46083</v>
      </c>
      <c r="N66" s="67">
        <v>46108</v>
      </c>
      <c r="O66" s="67">
        <v>46144</v>
      </c>
      <c r="P66" s="67">
        <v>46174</v>
      </c>
      <c r="Q66" s="5"/>
      <c r="R66" s="5"/>
      <c r="S66" s="5"/>
      <c r="T66" s="5"/>
      <c r="U66" s="5"/>
    </row>
    <row r="67" spans="1:21" hidden="1" x14ac:dyDescent="0.25">
      <c r="A67" s="51" t="s">
        <v>120</v>
      </c>
      <c r="B67" s="40" t="s">
        <v>15</v>
      </c>
      <c r="C67" s="47">
        <v>25001</v>
      </c>
      <c r="D67" s="41" t="s">
        <v>532</v>
      </c>
      <c r="E67" s="42" t="s">
        <v>496</v>
      </c>
      <c r="F67" s="43" t="s">
        <v>251</v>
      </c>
      <c r="G67" s="44" t="s">
        <v>246</v>
      </c>
      <c r="H67" s="90"/>
      <c r="I67" s="90"/>
      <c r="J67" s="67"/>
      <c r="K67" s="90"/>
      <c r="L67" s="67" t="s">
        <v>462</v>
      </c>
      <c r="M67" s="67">
        <v>46084</v>
      </c>
      <c r="N67" s="67">
        <v>46113</v>
      </c>
      <c r="O67" s="67">
        <v>46146</v>
      </c>
      <c r="P67" s="67">
        <v>46175</v>
      </c>
      <c r="Q67" s="5"/>
      <c r="R67" s="5"/>
      <c r="S67" s="5"/>
      <c r="T67" s="5"/>
      <c r="U67" s="5"/>
    </row>
    <row r="68" spans="1:21" hidden="1" x14ac:dyDescent="0.25">
      <c r="A68" s="51" t="s">
        <v>120</v>
      </c>
      <c r="B68" s="40" t="s">
        <v>379</v>
      </c>
      <c r="C68" s="39">
        <v>24008</v>
      </c>
      <c r="D68" s="41" t="s">
        <v>497</v>
      </c>
      <c r="E68" s="42" t="s">
        <v>224</v>
      </c>
      <c r="F68" s="43" t="s">
        <v>227</v>
      </c>
      <c r="G68" s="44" t="s">
        <v>246</v>
      </c>
      <c r="H68" s="90"/>
      <c r="I68" s="90"/>
      <c r="J68" s="67"/>
      <c r="K68" s="90"/>
      <c r="L68" s="5" t="s">
        <v>500</v>
      </c>
      <c r="M68" s="78">
        <v>46083</v>
      </c>
      <c r="N68" s="67">
        <v>46113</v>
      </c>
      <c r="O68" s="67">
        <v>46143</v>
      </c>
      <c r="P68" s="78">
        <v>46174</v>
      </c>
      <c r="Q68" s="5"/>
      <c r="R68" s="5"/>
      <c r="S68" s="5"/>
      <c r="T68" s="5"/>
      <c r="U68" s="5"/>
    </row>
    <row r="69" spans="1:21" x14ac:dyDescent="0.25">
      <c r="A69" s="51" t="s">
        <v>120</v>
      </c>
      <c r="B69" s="40" t="s">
        <v>252</v>
      </c>
      <c r="C69" s="39">
        <v>24019</v>
      </c>
      <c r="D69" s="41" t="s">
        <v>67</v>
      </c>
      <c r="E69" s="42" t="s">
        <v>387</v>
      </c>
      <c r="F69" s="43" t="s">
        <v>287</v>
      </c>
      <c r="G69" s="44" t="s">
        <v>246</v>
      </c>
      <c r="H69" s="90"/>
      <c r="I69" s="90"/>
      <c r="J69" s="67"/>
      <c r="K69" s="90"/>
      <c r="L69" s="67">
        <v>46055</v>
      </c>
      <c r="M69" s="77">
        <v>46083</v>
      </c>
      <c r="N69" s="67">
        <v>46119</v>
      </c>
      <c r="O69" s="67">
        <v>46155</v>
      </c>
      <c r="P69" s="67">
        <v>46174</v>
      </c>
      <c r="Q69" s="5"/>
      <c r="R69" s="5"/>
      <c r="S69" s="5"/>
      <c r="T69" s="5"/>
      <c r="U69" s="5"/>
    </row>
    <row r="70" spans="1:21" hidden="1" x14ac:dyDescent="0.25">
      <c r="A70" s="51" t="s">
        <v>120</v>
      </c>
      <c r="B70" s="40" t="s">
        <v>252</v>
      </c>
      <c r="C70" s="39">
        <v>24019</v>
      </c>
      <c r="D70" s="41" t="s">
        <v>512</v>
      </c>
      <c r="E70" s="42" t="s">
        <v>511</v>
      </c>
      <c r="F70" s="43" t="s">
        <v>291</v>
      </c>
      <c r="G70" s="44" t="s">
        <v>246</v>
      </c>
      <c r="H70" s="90"/>
      <c r="I70" s="90"/>
      <c r="J70" s="67"/>
      <c r="K70" s="90"/>
      <c r="L70" s="67">
        <v>46064</v>
      </c>
      <c r="M70" s="67">
        <v>46090</v>
      </c>
      <c r="N70" s="67">
        <v>46114</v>
      </c>
      <c r="O70" s="67">
        <v>46149</v>
      </c>
      <c r="P70" s="67">
        <v>46181</v>
      </c>
      <c r="Q70" s="5"/>
      <c r="R70" s="5"/>
      <c r="S70" s="5"/>
      <c r="T70" s="5"/>
      <c r="U70" s="5"/>
    </row>
    <row r="71" spans="1:21" hidden="1" x14ac:dyDescent="0.25">
      <c r="A71" s="51" t="s">
        <v>120</v>
      </c>
      <c r="B71" s="40" t="s">
        <v>252</v>
      </c>
      <c r="C71" s="39">
        <v>24019</v>
      </c>
      <c r="D71" s="41" t="s">
        <v>513</v>
      </c>
      <c r="E71" s="42" t="s">
        <v>487</v>
      </c>
      <c r="F71" s="43" t="s">
        <v>227</v>
      </c>
      <c r="G71" s="44" t="s">
        <v>246</v>
      </c>
      <c r="H71" s="90"/>
      <c r="I71" s="90"/>
      <c r="J71" s="67"/>
      <c r="K71" s="90"/>
      <c r="L71" s="67">
        <v>46055</v>
      </c>
      <c r="M71" s="77">
        <v>46083</v>
      </c>
      <c r="N71" s="67">
        <v>46113</v>
      </c>
      <c r="O71" s="67">
        <v>46145</v>
      </c>
      <c r="P71" s="67">
        <v>46174</v>
      </c>
      <c r="Q71" s="5"/>
      <c r="R71" s="5"/>
      <c r="S71" s="5"/>
      <c r="T71" s="5"/>
      <c r="U71" s="5"/>
    </row>
    <row r="72" spans="1:21" hidden="1" x14ac:dyDescent="0.25">
      <c r="A72" s="51" t="s">
        <v>315</v>
      </c>
      <c r="B72" s="40" t="s">
        <v>257</v>
      </c>
      <c r="C72" s="39">
        <v>24024</v>
      </c>
      <c r="D72" s="41" t="s">
        <v>262</v>
      </c>
      <c r="E72" s="42" t="s">
        <v>390</v>
      </c>
      <c r="F72" s="43" t="s">
        <v>423</v>
      </c>
      <c r="G72" s="44" t="s">
        <v>246</v>
      </c>
      <c r="H72" s="90"/>
      <c r="I72" s="90"/>
      <c r="J72" s="67"/>
      <c r="K72" s="90"/>
      <c r="L72" s="67">
        <v>46055</v>
      </c>
      <c r="M72" s="67">
        <v>46084</v>
      </c>
      <c r="N72" s="67">
        <v>46117</v>
      </c>
      <c r="O72" s="5"/>
      <c r="P72" s="5"/>
      <c r="Q72" s="5"/>
      <c r="R72" s="5"/>
      <c r="S72" s="5"/>
      <c r="T72" s="5"/>
      <c r="U72" s="5"/>
    </row>
    <row r="73" spans="1:21" hidden="1" x14ac:dyDescent="0.25">
      <c r="A73" s="51" t="s">
        <v>120</v>
      </c>
      <c r="B73" s="40" t="s">
        <v>15</v>
      </c>
      <c r="C73" s="47">
        <v>25001</v>
      </c>
      <c r="D73" s="41" t="s">
        <v>502</v>
      </c>
      <c r="E73" s="42" t="s">
        <v>518</v>
      </c>
      <c r="F73" s="43" t="s">
        <v>245</v>
      </c>
      <c r="G73" s="44" t="s">
        <v>246</v>
      </c>
      <c r="H73" s="90"/>
      <c r="I73" s="90"/>
      <c r="J73" s="67"/>
      <c r="K73" s="90"/>
      <c r="L73" s="5"/>
      <c r="M73" s="67">
        <v>46085</v>
      </c>
      <c r="N73" s="67">
        <v>46118</v>
      </c>
      <c r="O73" s="67">
        <v>46147</v>
      </c>
      <c r="P73" s="134" t="s">
        <v>462</v>
      </c>
      <c r="Q73" s="5"/>
      <c r="R73" s="5"/>
      <c r="S73" s="5"/>
      <c r="T73" s="5"/>
      <c r="U73" s="5"/>
    </row>
    <row r="74" spans="1:21" hidden="1" x14ac:dyDescent="0.25">
      <c r="A74" s="51" t="s">
        <v>315</v>
      </c>
      <c r="B74" s="40" t="s">
        <v>257</v>
      </c>
      <c r="C74" s="39">
        <v>24024</v>
      </c>
      <c r="D74" s="5" t="s">
        <v>292</v>
      </c>
      <c r="E74" s="42" t="s">
        <v>527</v>
      </c>
      <c r="F74" s="43" t="s">
        <v>424</v>
      </c>
      <c r="G74" s="44" t="s">
        <v>246</v>
      </c>
      <c r="H74" s="90"/>
      <c r="I74" s="90"/>
      <c r="J74" s="67"/>
      <c r="K74" s="90"/>
      <c r="L74" s="5"/>
      <c r="M74" s="5" t="s">
        <v>542</v>
      </c>
      <c r="N74" s="67">
        <v>46118</v>
      </c>
      <c r="O74" s="90"/>
      <c r="P74" s="90"/>
      <c r="Q74" s="90"/>
      <c r="R74" s="90"/>
      <c r="S74" s="90"/>
      <c r="T74" s="90"/>
      <c r="U74" s="90"/>
    </row>
    <row r="75" spans="1:21" hidden="1" x14ac:dyDescent="0.25">
      <c r="A75" s="51" t="s">
        <v>315</v>
      </c>
      <c r="B75" s="40" t="s">
        <v>257</v>
      </c>
      <c r="C75" s="39">
        <v>24024</v>
      </c>
      <c r="D75" s="41" t="s">
        <v>81</v>
      </c>
      <c r="E75" s="42" t="s">
        <v>528</v>
      </c>
      <c r="F75" s="43" t="s">
        <v>287</v>
      </c>
      <c r="G75" s="44" t="s">
        <v>246</v>
      </c>
      <c r="H75" s="90"/>
      <c r="I75" s="90"/>
      <c r="J75" s="67"/>
      <c r="K75" s="90"/>
      <c r="L75" s="5"/>
      <c r="M75" s="5" t="s">
        <v>542</v>
      </c>
      <c r="N75" s="5"/>
      <c r="O75" s="90"/>
      <c r="P75" s="90"/>
      <c r="Q75" s="90"/>
      <c r="R75" s="90"/>
      <c r="S75" s="90"/>
      <c r="T75" s="90"/>
      <c r="U75" s="90"/>
    </row>
    <row r="76" spans="1:21" hidden="1" x14ac:dyDescent="0.25">
      <c r="A76" s="51" t="s">
        <v>120</v>
      </c>
      <c r="B76" s="40" t="s">
        <v>252</v>
      </c>
      <c r="C76" s="39">
        <v>24019</v>
      </c>
      <c r="D76" s="41" t="s">
        <v>62</v>
      </c>
      <c r="E76" s="42" t="s">
        <v>539</v>
      </c>
      <c r="F76" s="43" t="s">
        <v>540</v>
      </c>
      <c r="G76" s="44" t="s">
        <v>246</v>
      </c>
      <c r="H76" s="90"/>
      <c r="I76" s="90"/>
      <c r="J76" s="67"/>
      <c r="K76" s="90"/>
      <c r="L76" s="5"/>
      <c r="M76" s="77">
        <v>46082</v>
      </c>
      <c r="N76" s="67">
        <v>46113</v>
      </c>
      <c r="O76" s="67">
        <v>46146</v>
      </c>
      <c r="P76" s="67">
        <v>46174</v>
      </c>
      <c r="Q76" s="5"/>
      <c r="R76" s="5"/>
      <c r="S76" s="5"/>
      <c r="T76" s="5"/>
      <c r="U76" s="5"/>
    </row>
    <row r="77" spans="1:21" hidden="1" x14ac:dyDescent="0.25">
      <c r="A77" s="51" t="s">
        <v>120</v>
      </c>
      <c r="B77" s="40" t="s">
        <v>247</v>
      </c>
      <c r="C77" s="39">
        <v>24006</v>
      </c>
      <c r="D77" s="41" t="s">
        <v>286</v>
      </c>
      <c r="E77" s="42"/>
      <c r="F77" s="43" t="s">
        <v>245</v>
      </c>
      <c r="G77" s="44" t="s">
        <v>288</v>
      </c>
      <c r="H77" s="90"/>
      <c r="I77" s="90"/>
      <c r="J77" s="67"/>
      <c r="K77" s="90"/>
      <c r="L77" s="5"/>
      <c r="M77" s="5"/>
      <c r="N77" s="67">
        <v>46113</v>
      </c>
      <c r="O77" s="67">
        <v>46146</v>
      </c>
      <c r="P77" s="67">
        <v>46174</v>
      </c>
      <c r="Q77" s="5"/>
      <c r="R77" s="5"/>
      <c r="S77" s="5"/>
      <c r="T77" s="5"/>
      <c r="U77" s="5"/>
    </row>
    <row r="78" spans="1:21" hidden="1" x14ac:dyDescent="0.25">
      <c r="A78" s="39" t="s">
        <v>120</v>
      </c>
      <c r="B78" s="40" t="s">
        <v>247</v>
      </c>
      <c r="C78" s="39">
        <v>24006</v>
      </c>
      <c r="D78" s="41" t="s">
        <v>248</v>
      </c>
      <c r="E78" s="90"/>
      <c r="F78" s="90"/>
      <c r="G78" s="44" t="s">
        <v>246</v>
      </c>
      <c r="H78" s="90"/>
      <c r="I78" s="90"/>
      <c r="J78" s="90"/>
      <c r="K78" s="90"/>
      <c r="L78" s="5"/>
      <c r="M78" s="5"/>
      <c r="N78" s="67">
        <v>46113</v>
      </c>
      <c r="O78" s="67">
        <v>46149</v>
      </c>
      <c r="P78" s="67">
        <v>46174</v>
      </c>
      <c r="Q78" s="5"/>
      <c r="R78" s="5"/>
      <c r="S78" s="5"/>
      <c r="T78" s="5"/>
      <c r="U78" s="5"/>
    </row>
    <row r="79" spans="1:21" hidden="1" x14ac:dyDescent="0.25">
      <c r="A79" s="51" t="s">
        <v>315</v>
      </c>
      <c r="B79" s="40" t="s">
        <v>439</v>
      </c>
      <c r="C79" s="20">
        <v>25030</v>
      </c>
      <c r="D79" s="5" t="s">
        <v>454</v>
      </c>
      <c r="E79" s="109" t="s">
        <v>564</v>
      </c>
      <c r="F79" s="5" t="s">
        <v>263</v>
      </c>
      <c r="G79" s="5" t="s">
        <v>559</v>
      </c>
      <c r="H79" s="90"/>
      <c r="I79" s="90"/>
      <c r="J79" s="90"/>
      <c r="K79" s="90"/>
      <c r="L79" s="5"/>
      <c r="M79" s="5"/>
      <c r="N79" s="67">
        <v>46113</v>
      </c>
      <c r="O79" s="67">
        <v>46146</v>
      </c>
      <c r="P79" s="67">
        <v>46174</v>
      </c>
      <c r="Q79" s="5"/>
      <c r="R79" s="5"/>
      <c r="S79" s="5"/>
      <c r="T79" s="5"/>
      <c r="U79" s="5"/>
    </row>
    <row r="80" spans="1:21" hidden="1" x14ac:dyDescent="0.25">
      <c r="A80" s="51" t="s">
        <v>120</v>
      </c>
      <c r="B80" s="40" t="s">
        <v>15</v>
      </c>
      <c r="C80" s="47">
        <v>25001</v>
      </c>
      <c r="D80" s="41" t="s">
        <v>562</v>
      </c>
      <c r="E80" s="60" t="s">
        <v>561</v>
      </c>
      <c r="F80" s="41" t="s">
        <v>251</v>
      </c>
      <c r="G80" s="44" t="s">
        <v>246</v>
      </c>
      <c r="H80" s="90"/>
      <c r="I80" s="90"/>
      <c r="J80" s="90"/>
      <c r="K80" s="90"/>
      <c r="L80" s="5"/>
      <c r="M80" s="5"/>
      <c r="N80" s="67">
        <v>46114</v>
      </c>
      <c r="O80" s="67">
        <v>46147</v>
      </c>
      <c r="P80" s="67">
        <v>46174</v>
      </c>
      <c r="Q80" s="5"/>
      <c r="R80" s="5"/>
      <c r="S80" s="5"/>
      <c r="T80" s="5"/>
      <c r="U80" s="5"/>
    </row>
    <row r="81" spans="1:21" ht="25.5" hidden="1" x14ac:dyDescent="0.25">
      <c r="A81" s="51" t="s">
        <v>120</v>
      </c>
      <c r="B81" s="40" t="s">
        <v>642</v>
      </c>
      <c r="C81" s="39">
        <v>25031</v>
      </c>
      <c r="D81" s="5" t="s">
        <v>85</v>
      </c>
      <c r="E81" s="11" t="s">
        <v>593</v>
      </c>
      <c r="F81" s="5" t="s">
        <v>261</v>
      </c>
      <c r="G81" s="44" t="s">
        <v>246</v>
      </c>
      <c r="H81" s="90"/>
      <c r="I81" s="90"/>
      <c r="J81" s="90"/>
      <c r="K81" s="90"/>
      <c r="L81" s="5"/>
      <c r="M81" s="5"/>
      <c r="N81" s="67">
        <v>46113</v>
      </c>
      <c r="O81" s="67">
        <v>46147</v>
      </c>
      <c r="P81" s="67">
        <v>46175</v>
      </c>
      <c r="Q81" s="5"/>
      <c r="R81" s="5"/>
      <c r="S81" s="5"/>
      <c r="T81" s="5"/>
      <c r="U81" s="5"/>
    </row>
    <row r="82" spans="1:21" ht="38.25" hidden="1" x14ac:dyDescent="0.25">
      <c r="A82" s="51" t="s">
        <v>120</v>
      </c>
      <c r="B82" s="40" t="s">
        <v>299</v>
      </c>
      <c r="C82" s="39">
        <v>25018</v>
      </c>
      <c r="D82" s="41" t="s">
        <v>433</v>
      </c>
      <c r="E82" s="32" t="s">
        <v>572</v>
      </c>
      <c r="F82" s="25" t="s">
        <v>291</v>
      </c>
      <c r="G82" s="44" t="s">
        <v>246</v>
      </c>
      <c r="H82" s="90"/>
      <c r="I82" s="90"/>
      <c r="J82" s="90"/>
      <c r="K82" s="90"/>
      <c r="L82" s="5"/>
      <c r="M82" s="5"/>
      <c r="N82" s="67">
        <v>46114</v>
      </c>
      <c r="O82" s="67">
        <v>46146</v>
      </c>
      <c r="P82" s="67">
        <v>46174</v>
      </c>
      <c r="Q82" s="5"/>
      <c r="R82" s="5"/>
      <c r="S82" s="5"/>
      <c r="T82" s="5"/>
      <c r="U82" s="5"/>
    </row>
    <row r="83" spans="1:21" hidden="1" x14ac:dyDescent="0.25">
      <c r="A83" s="51" t="s">
        <v>120</v>
      </c>
      <c r="B83" s="40" t="s">
        <v>15</v>
      </c>
      <c r="C83" s="39">
        <v>25001</v>
      </c>
      <c r="D83" s="41" t="s">
        <v>530</v>
      </c>
      <c r="E83" s="42" t="s">
        <v>588</v>
      </c>
      <c r="F83" s="5" t="s">
        <v>423</v>
      </c>
      <c r="G83" s="44" t="s">
        <v>246</v>
      </c>
      <c r="H83" s="90"/>
      <c r="I83" s="90"/>
      <c r="J83" s="90"/>
      <c r="K83" s="90"/>
      <c r="L83" s="5"/>
      <c r="M83" s="5"/>
      <c r="N83" s="5"/>
      <c r="O83" s="5" t="s">
        <v>589</v>
      </c>
      <c r="P83" s="67">
        <v>46174</v>
      </c>
      <c r="Q83" s="5"/>
      <c r="R83" s="5"/>
      <c r="S83" s="5"/>
      <c r="T83" s="5"/>
      <c r="U83" s="5"/>
    </row>
    <row r="84" spans="1:21" hidden="1" x14ac:dyDescent="0.25">
      <c r="A84" s="51" t="s">
        <v>120</v>
      </c>
      <c r="B84" s="40" t="s">
        <v>15</v>
      </c>
      <c r="C84" s="39">
        <v>25001</v>
      </c>
      <c r="D84" s="5" t="s">
        <v>129</v>
      </c>
      <c r="E84" s="42" t="s">
        <v>581</v>
      </c>
      <c r="F84" s="5" t="s">
        <v>245</v>
      </c>
      <c r="G84" s="44" t="s">
        <v>246</v>
      </c>
      <c r="H84" s="90"/>
      <c r="I84" s="90"/>
      <c r="J84" s="90"/>
      <c r="K84" s="90"/>
      <c r="L84" s="5"/>
      <c r="M84" s="5"/>
      <c r="N84" s="5"/>
      <c r="O84" s="67">
        <v>46145</v>
      </c>
      <c r="P84" s="67">
        <v>46174</v>
      </c>
      <c r="Q84" s="5"/>
      <c r="R84" s="5"/>
      <c r="S84" s="5"/>
      <c r="T84" s="5"/>
      <c r="U84" s="5"/>
    </row>
    <row r="85" spans="1:21" hidden="1" x14ac:dyDescent="0.25">
      <c r="A85" s="51" t="s">
        <v>120</v>
      </c>
      <c r="B85" s="40" t="s">
        <v>282</v>
      </c>
      <c r="C85" s="39">
        <v>24002</v>
      </c>
      <c r="D85" s="5" t="s">
        <v>640</v>
      </c>
      <c r="E85" s="5" t="s">
        <v>590</v>
      </c>
      <c r="F85" s="5" t="s">
        <v>251</v>
      </c>
      <c r="G85" s="44" t="s">
        <v>246</v>
      </c>
      <c r="H85" s="90"/>
      <c r="I85" s="90"/>
      <c r="J85" s="90"/>
      <c r="K85" s="90"/>
      <c r="L85" s="5"/>
      <c r="M85" s="5"/>
      <c r="N85" s="5"/>
      <c r="O85" s="67">
        <v>46144</v>
      </c>
      <c r="P85" s="67">
        <v>46174</v>
      </c>
      <c r="Q85" s="5"/>
      <c r="R85" s="5"/>
      <c r="S85" s="5"/>
      <c r="T85" s="5"/>
      <c r="U85" s="5"/>
    </row>
    <row r="86" spans="1:21" ht="25.5" hidden="1" x14ac:dyDescent="0.25">
      <c r="A86" s="51" t="s">
        <v>120</v>
      </c>
      <c r="B86" s="40" t="s">
        <v>296</v>
      </c>
      <c r="C86" s="39">
        <v>25018</v>
      </c>
      <c r="D86" s="5" t="s">
        <v>592</v>
      </c>
      <c r="E86" s="11" t="s">
        <v>591</v>
      </c>
      <c r="F86" s="5" t="s">
        <v>287</v>
      </c>
      <c r="G86" s="44" t="s">
        <v>246</v>
      </c>
      <c r="H86" s="90"/>
      <c r="I86" s="90"/>
      <c r="J86" s="90"/>
      <c r="K86" s="90"/>
      <c r="L86" s="5"/>
      <c r="M86" s="5"/>
      <c r="N86" s="5"/>
      <c r="O86" s="67">
        <v>46143</v>
      </c>
      <c r="P86" s="67">
        <v>46174</v>
      </c>
      <c r="Q86" s="5"/>
      <c r="R86" s="5"/>
      <c r="S86" s="5"/>
      <c r="T86" s="5"/>
      <c r="U86" s="5"/>
    </row>
    <row r="87" spans="1:21" hidden="1" x14ac:dyDescent="0.25">
      <c r="A87" s="51" t="s">
        <v>120</v>
      </c>
      <c r="B87" s="40" t="s">
        <v>257</v>
      </c>
      <c r="C87" s="39">
        <v>24024</v>
      </c>
      <c r="D87" s="41" t="s">
        <v>262</v>
      </c>
      <c r="E87" s="11" t="s">
        <v>579</v>
      </c>
      <c r="F87" s="5" t="s">
        <v>265</v>
      </c>
      <c r="G87" s="44" t="s">
        <v>246</v>
      </c>
      <c r="H87" s="90"/>
      <c r="I87" s="90"/>
      <c r="J87" s="90"/>
      <c r="K87" s="90"/>
      <c r="L87" s="5"/>
      <c r="M87" s="5"/>
      <c r="N87" s="5"/>
      <c r="O87" s="67">
        <v>46147</v>
      </c>
      <c r="P87" s="67">
        <v>46175</v>
      </c>
      <c r="Q87" s="5"/>
      <c r="R87" s="5"/>
      <c r="S87" s="5"/>
      <c r="T87" s="5"/>
      <c r="U87" s="5"/>
    </row>
    <row r="88" spans="1:21" hidden="1" x14ac:dyDescent="0.25">
      <c r="A88" s="45" t="s">
        <v>120</v>
      </c>
      <c r="B88" s="46" t="s">
        <v>257</v>
      </c>
      <c r="C88" s="47">
        <v>24024</v>
      </c>
      <c r="D88" s="48" t="s">
        <v>82</v>
      </c>
      <c r="E88" s="11" t="s">
        <v>527</v>
      </c>
      <c r="F88" s="5" t="s">
        <v>261</v>
      </c>
      <c r="G88" s="44" t="s">
        <v>246</v>
      </c>
      <c r="H88" s="90"/>
      <c r="I88" s="90"/>
      <c r="J88" s="90"/>
      <c r="K88" s="90"/>
      <c r="L88" s="5"/>
      <c r="M88" s="5"/>
      <c r="N88" s="5"/>
      <c r="O88" s="67">
        <v>46143</v>
      </c>
      <c r="P88" s="67">
        <v>46174</v>
      </c>
      <c r="Q88" s="5"/>
      <c r="R88" s="5"/>
      <c r="S88" s="5"/>
      <c r="T88" s="5"/>
      <c r="U88" s="5"/>
    </row>
    <row r="89" spans="1:21" hidden="1" x14ac:dyDescent="0.25">
      <c r="A89" s="51" t="s">
        <v>120</v>
      </c>
      <c r="B89" s="40" t="s">
        <v>257</v>
      </c>
      <c r="C89" s="39">
        <v>24024</v>
      </c>
      <c r="D89" s="48" t="s">
        <v>84</v>
      </c>
      <c r="E89" s="11" t="s">
        <v>584</v>
      </c>
      <c r="F89" s="5" t="s">
        <v>265</v>
      </c>
      <c r="G89" s="44" t="s">
        <v>246</v>
      </c>
      <c r="H89" s="90"/>
      <c r="I89" s="90"/>
      <c r="J89" s="90"/>
      <c r="K89" s="90"/>
      <c r="L89" s="5"/>
      <c r="M89" s="5"/>
      <c r="N89" s="5"/>
      <c r="O89" s="77">
        <v>46146</v>
      </c>
      <c r="P89" s="67">
        <v>46174</v>
      </c>
      <c r="Q89" s="5"/>
      <c r="R89" s="5"/>
      <c r="S89" s="5"/>
      <c r="T89" s="5"/>
      <c r="U89" s="5"/>
    </row>
    <row r="90" spans="1:21" hidden="1" x14ac:dyDescent="0.25">
      <c r="A90" s="39" t="s">
        <v>120</v>
      </c>
      <c r="B90" s="40" t="s">
        <v>379</v>
      </c>
      <c r="C90" s="39">
        <v>24008</v>
      </c>
      <c r="D90" s="41" t="s">
        <v>284</v>
      </c>
      <c r="E90" s="11" t="s">
        <v>436</v>
      </c>
      <c r="F90" s="5" t="s">
        <v>249</v>
      </c>
      <c r="G90" s="44" t="s">
        <v>246</v>
      </c>
      <c r="H90" s="90"/>
      <c r="I90" s="67">
        <v>46006</v>
      </c>
      <c r="J90" s="98">
        <v>46006</v>
      </c>
      <c r="K90" s="90"/>
      <c r="L90" s="67">
        <v>46059</v>
      </c>
      <c r="M90" s="67">
        <v>46086</v>
      </c>
      <c r="N90" s="67">
        <v>46114</v>
      </c>
      <c r="O90" s="67">
        <v>46148</v>
      </c>
      <c r="P90" s="134" t="s">
        <v>462</v>
      </c>
      <c r="Q90" s="5"/>
      <c r="R90" s="5"/>
      <c r="S90" s="5"/>
      <c r="T90" s="5"/>
      <c r="U90" s="5"/>
    </row>
    <row r="91" spans="1:21" hidden="1" x14ac:dyDescent="0.25">
      <c r="A91" s="51" t="s">
        <v>120</v>
      </c>
      <c r="B91" s="40" t="s">
        <v>252</v>
      </c>
      <c r="C91" s="39">
        <v>24019</v>
      </c>
      <c r="D91" s="41" t="s">
        <v>611</v>
      </c>
      <c r="E91" s="42" t="s">
        <v>612</v>
      </c>
      <c r="F91" s="43" t="s">
        <v>287</v>
      </c>
      <c r="G91" s="44" t="s">
        <v>246</v>
      </c>
      <c r="H91" s="90"/>
      <c r="I91" s="90"/>
      <c r="J91" s="90"/>
      <c r="K91" s="90"/>
      <c r="L91" s="5"/>
      <c r="M91" s="5"/>
      <c r="N91" s="5"/>
      <c r="O91" s="5"/>
      <c r="P91" s="67">
        <v>46175</v>
      </c>
      <c r="Q91" s="5"/>
      <c r="R91" s="5"/>
      <c r="S91" s="5"/>
      <c r="T91" s="5"/>
      <c r="U91" s="5"/>
    </row>
    <row r="92" spans="1:21" ht="38.25" hidden="1" x14ac:dyDescent="0.25">
      <c r="A92" s="51" t="s">
        <v>120</v>
      </c>
      <c r="B92" s="40" t="s">
        <v>299</v>
      </c>
      <c r="C92" s="39">
        <v>25018</v>
      </c>
      <c r="D92" s="41" t="s">
        <v>614</v>
      </c>
      <c r="E92" s="32" t="s">
        <v>604</v>
      </c>
      <c r="F92" s="25" t="s">
        <v>249</v>
      </c>
      <c r="G92" s="44" t="s">
        <v>246</v>
      </c>
      <c r="H92" s="90"/>
      <c r="I92" s="90"/>
      <c r="J92" s="90"/>
      <c r="K92" s="90"/>
      <c r="L92" s="5"/>
      <c r="M92" s="5"/>
      <c r="N92" s="5"/>
      <c r="O92" s="5"/>
      <c r="P92" s="67">
        <v>46174</v>
      </c>
      <c r="Q92" s="5"/>
      <c r="R92" s="5"/>
      <c r="S92" s="5"/>
      <c r="T92" s="5"/>
      <c r="U92" s="5"/>
    </row>
    <row r="93" spans="1:21" ht="38.25" hidden="1" x14ac:dyDescent="0.25">
      <c r="A93" s="51" t="s">
        <v>120</v>
      </c>
      <c r="B93" s="40" t="s">
        <v>299</v>
      </c>
      <c r="C93" s="39">
        <v>25018</v>
      </c>
      <c r="D93" s="41" t="s">
        <v>615</v>
      </c>
      <c r="E93" s="32" t="s">
        <v>613</v>
      </c>
      <c r="F93" s="25" t="s">
        <v>227</v>
      </c>
      <c r="G93" s="44" t="s">
        <v>246</v>
      </c>
      <c r="H93" s="90"/>
      <c r="I93" s="90"/>
      <c r="J93" s="90"/>
      <c r="K93" s="90"/>
      <c r="L93" s="5"/>
      <c r="M93" s="5"/>
      <c r="N93" s="5"/>
      <c r="O93" s="5"/>
      <c r="P93" s="67">
        <v>46175</v>
      </c>
      <c r="Q93" s="5"/>
      <c r="R93" s="5"/>
      <c r="S93" s="5"/>
      <c r="T93" s="5"/>
      <c r="U93" s="5"/>
    </row>
    <row r="94" spans="1:21" ht="25.5" hidden="1" x14ac:dyDescent="0.25">
      <c r="A94" s="51" t="s">
        <v>120</v>
      </c>
      <c r="B94" s="40" t="s">
        <v>616</v>
      </c>
      <c r="C94" s="39">
        <v>26010</v>
      </c>
      <c r="D94" s="41" t="s">
        <v>617</v>
      </c>
      <c r="E94" s="42" t="s">
        <v>624</v>
      </c>
      <c r="F94" s="43" t="s">
        <v>227</v>
      </c>
      <c r="G94" s="44" t="s">
        <v>622</v>
      </c>
      <c r="H94" s="90"/>
      <c r="I94" s="90"/>
      <c r="J94" s="90"/>
      <c r="K94" s="90"/>
      <c r="L94" s="5"/>
      <c r="M94" s="5"/>
      <c r="N94" s="5"/>
      <c r="O94" s="5"/>
      <c r="P94" s="67">
        <v>46174</v>
      </c>
      <c r="Q94" s="5"/>
      <c r="R94" s="5"/>
      <c r="S94" s="5"/>
      <c r="T94" s="5"/>
      <c r="U94" s="5"/>
    </row>
    <row r="95" spans="1:21" ht="25.5" hidden="1" x14ac:dyDescent="0.25">
      <c r="A95" s="51" t="s">
        <v>120</v>
      </c>
      <c r="B95" s="40" t="s">
        <v>616</v>
      </c>
      <c r="C95" s="39">
        <v>26010</v>
      </c>
      <c r="D95" s="41" t="s">
        <v>618</v>
      </c>
      <c r="E95" s="42" t="s">
        <v>625</v>
      </c>
      <c r="F95" s="43" t="s">
        <v>227</v>
      </c>
      <c r="G95" s="44" t="s">
        <v>246</v>
      </c>
      <c r="H95" s="90"/>
      <c r="I95" s="90"/>
      <c r="J95" s="90"/>
      <c r="K95" s="90"/>
      <c r="L95" s="5"/>
      <c r="M95" s="5"/>
      <c r="N95" s="5"/>
      <c r="O95" s="5"/>
      <c r="P95" s="67">
        <v>46168</v>
      </c>
      <c r="Q95" s="5"/>
      <c r="R95" s="5"/>
      <c r="S95" s="5"/>
      <c r="T95" s="5"/>
      <c r="U95" s="5"/>
    </row>
    <row r="96" spans="1:21" ht="25.5" hidden="1" x14ac:dyDescent="0.25">
      <c r="A96" s="51" t="s">
        <v>120</v>
      </c>
      <c r="B96" s="40" t="s">
        <v>616</v>
      </c>
      <c r="C96" s="39">
        <v>26010</v>
      </c>
      <c r="D96" s="41" t="s">
        <v>623</v>
      </c>
      <c r="E96" s="42" t="s">
        <v>626</v>
      </c>
      <c r="F96" s="43" t="s">
        <v>251</v>
      </c>
      <c r="G96" s="44" t="s">
        <v>246</v>
      </c>
      <c r="H96" s="90"/>
      <c r="I96" s="90"/>
      <c r="J96" s="90"/>
      <c r="K96" s="90"/>
      <c r="L96" s="5"/>
      <c r="M96" s="5"/>
      <c r="N96" s="5"/>
      <c r="O96" s="5"/>
      <c r="P96" s="67">
        <v>46167</v>
      </c>
      <c r="Q96" s="5"/>
      <c r="R96" s="5"/>
      <c r="S96" s="5"/>
      <c r="T96" s="5"/>
      <c r="U96" s="5"/>
    </row>
    <row r="97" spans="1:21" ht="25.5" hidden="1" x14ac:dyDescent="0.25">
      <c r="A97" s="51" t="s">
        <v>120</v>
      </c>
      <c r="B97" s="40" t="s">
        <v>616</v>
      </c>
      <c r="C97" s="39">
        <v>26010</v>
      </c>
      <c r="D97" s="41" t="s">
        <v>619</v>
      </c>
      <c r="E97" s="42"/>
      <c r="F97" s="43"/>
      <c r="G97" s="44" t="s">
        <v>246</v>
      </c>
      <c r="H97" s="90"/>
      <c r="I97" s="90"/>
      <c r="J97" s="90"/>
      <c r="K97" s="90"/>
      <c r="L97" s="5"/>
      <c r="M97" s="5"/>
      <c r="N97" s="5"/>
      <c r="O97" s="5"/>
      <c r="P97" s="134" t="s">
        <v>462</v>
      </c>
      <c r="Q97" s="5"/>
      <c r="R97" s="5"/>
      <c r="S97" s="5"/>
      <c r="T97" s="5"/>
      <c r="U97" s="5"/>
    </row>
    <row r="98" spans="1:21" ht="25.5" hidden="1" x14ac:dyDescent="0.25">
      <c r="A98" s="51" t="s">
        <v>120</v>
      </c>
      <c r="B98" s="40" t="s">
        <v>616</v>
      </c>
      <c r="C98" s="39">
        <v>26010</v>
      </c>
      <c r="D98" s="41" t="s">
        <v>620</v>
      </c>
      <c r="E98" s="42"/>
      <c r="F98" s="43"/>
      <c r="G98" s="44" t="s">
        <v>288</v>
      </c>
      <c r="H98" s="90"/>
      <c r="I98" s="90"/>
      <c r="J98" s="90"/>
      <c r="K98" s="90"/>
      <c r="L98" s="5"/>
      <c r="M98" s="5"/>
      <c r="N98" s="5"/>
      <c r="O98" s="5"/>
      <c r="P98" s="134" t="s">
        <v>462</v>
      </c>
      <c r="Q98" s="5"/>
      <c r="R98" s="5"/>
      <c r="S98" s="5"/>
      <c r="T98" s="5"/>
      <c r="U98" s="5"/>
    </row>
    <row r="99" spans="1:21" ht="25.5" hidden="1" x14ac:dyDescent="0.25">
      <c r="A99" s="51" t="s">
        <v>120</v>
      </c>
      <c r="B99" s="40" t="s">
        <v>616</v>
      </c>
      <c r="C99" s="39">
        <v>26010</v>
      </c>
      <c r="D99" s="41" t="s">
        <v>621</v>
      </c>
      <c r="E99" s="42" t="s">
        <v>627</v>
      </c>
      <c r="F99" s="43" t="s">
        <v>265</v>
      </c>
      <c r="G99" s="44" t="s">
        <v>246</v>
      </c>
      <c r="H99" s="90"/>
      <c r="I99" s="90"/>
      <c r="J99" s="90"/>
      <c r="K99" s="90"/>
      <c r="L99" s="90"/>
      <c r="M99" s="90"/>
      <c r="N99" s="5"/>
      <c r="O99" s="5"/>
      <c r="P99" s="67">
        <v>46174</v>
      </c>
      <c r="Q99" s="5"/>
      <c r="R99" s="5"/>
      <c r="S99" s="5"/>
      <c r="T99" s="5"/>
      <c r="U99" s="5"/>
    </row>
    <row r="100" spans="1:21" hidden="1" x14ac:dyDescent="0.25">
      <c r="A100" s="51"/>
      <c r="B100" s="40"/>
      <c r="C100" s="39"/>
      <c r="D100" s="90"/>
      <c r="E100" s="90"/>
      <c r="F100" s="90"/>
      <c r="G100" s="90"/>
      <c r="H100" s="90"/>
      <c r="I100" s="90"/>
      <c r="J100" s="90"/>
      <c r="K100" s="90"/>
      <c r="L100" s="90"/>
      <c r="M100" s="90"/>
      <c r="N100" s="5"/>
      <c r="O100" s="5"/>
      <c r="P100" s="5"/>
      <c r="Q100" s="5"/>
      <c r="R100" s="5"/>
      <c r="S100" s="5"/>
      <c r="T100" s="5"/>
      <c r="U100" s="5"/>
    </row>
    <row r="101" spans="1:21" hidden="1" x14ac:dyDescent="0.25">
      <c r="A101" s="51" t="s">
        <v>120</v>
      </c>
      <c r="B101" s="40" t="s">
        <v>439</v>
      </c>
      <c r="C101" s="20">
        <v>25030</v>
      </c>
      <c r="D101" s="5" t="s">
        <v>454</v>
      </c>
      <c r="E101" s="109"/>
      <c r="F101" s="5" t="s">
        <v>453</v>
      </c>
      <c r="G101" s="5" t="s">
        <v>455</v>
      </c>
      <c r="H101" s="90"/>
      <c r="I101" s="90"/>
      <c r="J101" s="90"/>
      <c r="K101" s="90"/>
      <c r="L101" s="5"/>
      <c r="M101" s="5"/>
      <c r="N101" s="67"/>
      <c r="O101" s="67"/>
      <c r="P101" s="67">
        <v>46174</v>
      </c>
      <c r="Q101" s="5"/>
      <c r="R101" s="5"/>
      <c r="S101" s="5"/>
      <c r="T101" s="5"/>
      <c r="U101" s="5"/>
    </row>
    <row r="102" spans="1:21" x14ac:dyDescent="0.25">
      <c r="A102" s="90"/>
      <c r="B102" s="90"/>
      <c r="C102" s="90"/>
      <c r="D102" s="90"/>
      <c r="E102" s="90"/>
      <c r="F102" s="90"/>
      <c r="G102" s="90"/>
      <c r="H102" s="90"/>
      <c r="I102" s="90"/>
      <c r="J102" s="90"/>
      <c r="K102" s="90"/>
      <c r="L102" s="90"/>
      <c r="M102" s="90"/>
      <c r="N102" s="5"/>
      <c r="O102" s="5"/>
      <c r="P102" s="5"/>
      <c r="Q102" s="5"/>
      <c r="R102" s="5"/>
      <c r="S102" s="5"/>
      <c r="T102" s="5"/>
      <c r="U102" s="5"/>
    </row>
    <row r="103" spans="1:21" x14ac:dyDescent="0.25">
      <c r="A103" s="90"/>
      <c r="B103" s="90"/>
      <c r="C103" s="90"/>
      <c r="D103" s="90"/>
      <c r="E103" s="90"/>
      <c r="F103" s="90"/>
      <c r="G103" s="90"/>
      <c r="H103" s="90"/>
      <c r="I103" s="90"/>
      <c r="J103" s="90"/>
      <c r="K103" s="90"/>
      <c r="L103" s="90"/>
      <c r="M103" s="90"/>
      <c r="N103" s="5"/>
      <c r="O103" s="5"/>
      <c r="P103" s="5"/>
      <c r="Q103" s="5"/>
      <c r="R103" s="5"/>
      <c r="S103" s="5"/>
      <c r="T103" s="5"/>
      <c r="U103" s="5"/>
    </row>
    <row r="104" spans="1:21" x14ac:dyDescent="0.25">
      <c r="A104" s="90"/>
      <c r="B104" s="90"/>
      <c r="C104" s="90"/>
      <c r="D104" s="90"/>
      <c r="E104" s="90"/>
      <c r="F104" s="90"/>
      <c r="G104" s="90"/>
      <c r="H104" s="90"/>
      <c r="I104" s="90"/>
      <c r="J104" s="90"/>
      <c r="K104" s="90"/>
      <c r="L104" s="90"/>
      <c r="M104" s="90"/>
      <c r="N104" s="5"/>
      <c r="O104" s="5"/>
      <c r="P104" s="5"/>
      <c r="Q104" s="5"/>
      <c r="R104" s="5"/>
      <c r="S104" s="5"/>
      <c r="T104" s="5"/>
      <c r="U104" s="5"/>
    </row>
    <row r="105" spans="1:21" x14ac:dyDescent="0.25">
      <c r="A105" s="90"/>
      <c r="B105" s="51"/>
      <c r="C105" s="40"/>
      <c r="D105" s="39"/>
      <c r="E105" s="90"/>
      <c r="F105" s="90"/>
      <c r="G105" s="90"/>
      <c r="H105" s="90"/>
      <c r="I105" s="90"/>
      <c r="J105" s="90"/>
      <c r="K105" s="90"/>
      <c r="L105" s="90"/>
      <c r="M105" s="90"/>
      <c r="N105" s="5"/>
      <c r="O105" s="5"/>
      <c r="P105" s="5"/>
      <c r="Q105" s="5"/>
      <c r="R105" s="5"/>
      <c r="S105" s="5"/>
      <c r="T105" s="5"/>
      <c r="U105" s="5"/>
    </row>
    <row r="106" spans="1:21" x14ac:dyDescent="0.25">
      <c r="A106" s="90"/>
      <c r="B106" s="90"/>
      <c r="C106" s="90"/>
      <c r="D106" s="90"/>
      <c r="E106" s="90"/>
      <c r="F106" s="90"/>
      <c r="G106" s="90"/>
      <c r="H106" s="90"/>
      <c r="I106" s="90"/>
      <c r="J106" s="90"/>
      <c r="K106" s="90"/>
      <c r="L106" s="90"/>
      <c r="M106" s="90"/>
      <c r="N106" s="5"/>
      <c r="O106" s="5"/>
      <c r="P106" s="5"/>
      <c r="Q106" s="5"/>
      <c r="R106" s="5"/>
      <c r="S106" s="5"/>
      <c r="T106" s="5"/>
      <c r="U106" s="5"/>
    </row>
    <row r="107" spans="1:21" x14ac:dyDescent="0.25">
      <c r="A107" s="90"/>
      <c r="B107" s="90"/>
      <c r="C107" s="90"/>
      <c r="D107" s="90"/>
      <c r="E107" s="90"/>
      <c r="F107" s="90"/>
      <c r="G107" s="90"/>
      <c r="H107" s="90"/>
      <c r="I107" s="90"/>
      <c r="J107" s="90"/>
      <c r="K107" s="90"/>
      <c r="L107" s="90"/>
      <c r="M107" s="90"/>
      <c r="N107" s="5"/>
      <c r="O107" s="5"/>
      <c r="P107" s="5"/>
      <c r="Q107" s="5"/>
      <c r="R107" s="5"/>
      <c r="S107" s="5"/>
      <c r="T107" s="5"/>
      <c r="U107" s="5"/>
    </row>
    <row r="108" spans="1:21" x14ac:dyDescent="0.25">
      <c r="A108" s="90"/>
      <c r="B108" s="90"/>
      <c r="C108" s="90"/>
      <c r="D108" s="90"/>
      <c r="E108" s="90"/>
      <c r="F108" s="90"/>
      <c r="G108" s="90"/>
      <c r="H108" s="90"/>
      <c r="I108" s="90"/>
      <c r="J108" s="90"/>
      <c r="K108" s="90"/>
      <c r="L108" s="90"/>
      <c r="M108" s="90"/>
      <c r="N108" s="5"/>
      <c r="O108" s="5"/>
      <c r="P108" s="5"/>
      <c r="Q108" s="5"/>
      <c r="R108" s="5"/>
      <c r="S108" s="5"/>
      <c r="T108" s="5"/>
      <c r="U108" s="5"/>
    </row>
    <row r="109" spans="1:21" x14ac:dyDescent="0.25">
      <c r="A109" s="90"/>
      <c r="B109" s="90"/>
      <c r="C109" s="90"/>
      <c r="D109" s="90"/>
      <c r="E109" s="90"/>
      <c r="F109" s="90"/>
      <c r="G109" s="90"/>
      <c r="H109" s="90"/>
      <c r="I109" s="90"/>
      <c r="J109" s="90"/>
      <c r="K109" s="90"/>
      <c r="L109" s="90"/>
      <c r="M109" s="90"/>
      <c r="N109" s="5"/>
      <c r="O109" s="5"/>
      <c r="P109" s="5"/>
      <c r="Q109" s="5"/>
      <c r="R109" s="5"/>
      <c r="S109" s="5"/>
      <c r="T109" s="5"/>
      <c r="U109" s="5"/>
    </row>
    <row r="110" spans="1:21" x14ac:dyDescent="0.25">
      <c r="A110" s="90"/>
      <c r="B110" s="90"/>
      <c r="C110" s="90"/>
      <c r="D110" s="90"/>
      <c r="E110" s="90"/>
      <c r="F110" s="90"/>
      <c r="G110" s="90"/>
      <c r="H110" s="90"/>
      <c r="I110" s="90"/>
      <c r="J110" s="90"/>
      <c r="K110" s="90"/>
      <c r="L110" s="90"/>
      <c r="M110" s="90"/>
      <c r="N110" s="5"/>
      <c r="O110" s="5"/>
      <c r="P110" s="5"/>
      <c r="Q110" s="5"/>
      <c r="R110" s="5"/>
      <c r="S110" s="5"/>
      <c r="T110" s="5"/>
      <c r="U110" s="5"/>
    </row>
    <row r="111" spans="1:21" x14ac:dyDescent="0.25">
      <c r="A111" s="90"/>
      <c r="B111" s="90"/>
      <c r="C111" s="90"/>
      <c r="D111" s="90"/>
      <c r="E111" s="90"/>
      <c r="F111" s="90"/>
      <c r="G111" s="90"/>
      <c r="H111" s="90"/>
      <c r="I111" s="90"/>
      <c r="J111" s="90"/>
      <c r="K111" s="90"/>
      <c r="L111" s="90"/>
      <c r="M111" s="90"/>
      <c r="N111" s="5"/>
      <c r="O111" s="5"/>
      <c r="P111" s="5"/>
      <c r="Q111" s="5"/>
      <c r="R111" s="5"/>
      <c r="S111" s="5"/>
      <c r="T111" s="5"/>
      <c r="U111" s="5"/>
    </row>
    <row r="112" spans="1:21" x14ac:dyDescent="0.25">
      <c r="A112" s="90"/>
      <c r="B112" s="90"/>
      <c r="C112" s="90"/>
      <c r="D112" s="90"/>
      <c r="E112" s="90"/>
      <c r="F112" s="90"/>
      <c r="G112" s="90"/>
      <c r="H112" s="90"/>
      <c r="I112" s="90"/>
      <c r="J112" s="90"/>
      <c r="K112" s="90"/>
      <c r="L112" s="90"/>
      <c r="M112" s="90"/>
      <c r="N112" s="5"/>
      <c r="O112" s="5"/>
      <c r="P112" s="5"/>
      <c r="Q112" s="5"/>
      <c r="R112" s="5"/>
      <c r="S112" s="5"/>
      <c r="T112" s="5"/>
      <c r="U112" s="5"/>
    </row>
    <row r="113" spans="1:21" x14ac:dyDescent="0.25">
      <c r="A113" s="90"/>
      <c r="B113" s="90"/>
      <c r="C113" s="90"/>
      <c r="D113" s="90"/>
      <c r="E113" s="90"/>
      <c r="F113" s="90"/>
      <c r="G113" s="90"/>
      <c r="H113" s="90"/>
      <c r="I113" s="90"/>
      <c r="J113" s="90"/>
      <c r="K113" s="90"/>
      <c r="L113" s="90"/>
      <c r="M113" s="90"/>
      <c r="N113" s="5"/>
      <c r="O113" s="5"/>
      <c r="P113" s="5"/>
      <c r="Q113" s="5"/>
      <c r="R113" s="5"/>
      <c r="S113" s="5"/>
      <c r="T113" s="5"/>
      <c r="U113" s="5"/>
    </row>
    <row r="114" spans="1:21" x14ac:dyDescent="0.25">
      <c r="A114" s="90"/>
      <c r="B114" s="90"/>
      <c r="C114" s="90"/>
      <c r="D114" s="90"/>
      <c r="E114" s="90"/>
      <c r="F114" s="90"/>
      <c r="G114" s="90"/>
      <c r="H114" s="90"/>
      <c r="I114" s="90"/>
      <c r="J114" s="90"/>
      <c r="K114" s="90"/>
      <c r="L114" s="90"/>
      <c r="M114" s="90"/>
      <c r="N114" s="5"/>
      <c r="O114" s="5"/>
      <c r="P114" s="5"/>
      <c r="Q114" s="5"/>
      <c r="R114" s="5"/>
      <c r="S114" s="5"/>
      <c r="T114" s="5"/>
      <c r="U114" s="5"/>
    </row>
    <row r="115" spans="1:21" x14ac:dyDescent="0.25">
      <c r="A115" s="90"/>
      <c r="B115" s="90"/>
      <c r="C115" s="90"/>
      <c r="D115" s="90"/>
      <c r="E115" s="90"/>
      <c r="F115" s="90"/>
      <c r="G115" s="90"/>
      <c r="H115" s="90"/>
      <c r="I115" s="90"/>
      <c r="J115" s="90"/>
      <c r="K115" s="90"/>
      <c r="L115" s="90"/>
      <c r="M115" s="90"/>
      <c r="N115" s="5"/>
      <c r="O115" s="5"/>
      <c r="P115" s="5"/>
      <c r="Q115" s="5"/>
      <c r="R115" s="5"/>
      <c r="S115" s="5"/>
      <c r="T115" s="5"/>
      <c r="U115" s="5"/>
    </row>
    <row r="116" spans="1:21" x14ac:dyDescent="0.25">
      <c r="A116" s="90"/>
      <c r="B116" s="90"/>
      <c r="C116" s="90"/>
      <c r="D116" s="90"/>
      <c r="E116" s="90"/>
      <c r="F116" s="90"/>
      <c r="G116" s="90"/>
      <c r="H116" s="90"/>
      <c r="I116" s="90"/>
      <c r="J116" s="90"/>
      <c r="K116" s="90"/>
      <c r="L116" s="90"/>
      <c r="M116" s="90"/>
      <c r="N116" s="5"/>
      <c r="O116" s="5"/>
      <c r="P116" s="5"/>
      <c r="Q116" s="5"/>
      <c r="R116" s="5"/>
      <c r="S116" s="5"/>
      <c r="T116" s="5"/>
      <c r="U116" s="5"/>
    </row>
    <row r="117" spans="1:21" x14ac:dyDescent="0.25">
      <c r="A117" s="90"/>
      <c r="B117" s="90"/>
      <c r="C117" s="90"/>
      <c r="D117" s="90"/>
      <c r="E117" s="90"/>
      <c r="F117" s="90"/>
      <c r="G117" s="90"/>
      <c r="H117" s="90"/>
      <c r="I117" s="90"/>
      <c r="J117" s="90"/>
      <c r="K117" s="90"/>
      <c r="L117" s="90"/>
      <c r="M117" s="90"/>
      <c r="N117" s="5"/>
      <c r="O117" s="5"/>
      <c r="P117" s="5"/>
      <c r="Q117" s="5"/>
      <c r="R117" s="5"/>
      <c r="S117" s="5"/>
      <c r="T117" s="5"/>
      <c r="U117" s="5"/>
    </row>
    <row r="118" spans="1:21" x14ac:dyDescent="0.25">
      <c r="A118" s="90"/>
      <c r="B118" s="90"/>
      <c r="C118" s="90"/>
      <c r="D118" s="90"/>
      <c r="E118" s="90"/>
      <c r="F118" s="90"/>
      <c r="G118" s="90"/>
      <c r="H118" s="90"/>
      <c r="I118" s="90"/>
      <c r="J118" s="90"/>
      <c r="K118" s="90"/>
      <c r="L118" s="90"/>
      <c r="M118" s="90"/>
      <c r="N118" s="5"/>
      <c r="O118" s="5"/>
      <c r="P118" s="5"/>
      <c r="Q118" s="5"/>
      <c r="R118" s="5"/>
      <c r="S118" s="5"/>
      <c r="T118" s="5"/>
      <c r="U118" s="5"/>
    </row>
    <row r="119" spans="1:21" x14ac:dyDescent="0.25">
      <c r="A119" s="90"/>
      <c r="B119" s="90"/>
      <c r="C119" s="90"/>
      <c r="D119" s="90"/>
      <c r="E119" s="90"/>
      <c r="F119" s="90"/>
      <c r="G119" s="90"/>
      <c r="H119" s="90"/>
      <c r="I119" s="90"/>
      <c r="J119" s="90"/>
      <c r="K119" s="90"/>
      <c r="L119" s="90"/>
      <c r="M119" s="90"/>
      <c r="N119" s="5"/>
      <c r="O119" s="5"/>
      <c r="P119" s="5"/>
      <c r="Q119" s="5"/>
      <c r="R119" s="5"/>
      <c r="S119" s="5"/>
      <c r="T119" s="5"/>
      <c r="U119" s="5"/>
    </row>
    <row r="120" spans="1:21" x14ac:dyDescent="0.25">
      <c r="A120" s="90"/>
      <c r="B120" s="90"/>
      <c r="C120" s="90"/>
      <c r="D120" s="90"/>
      <c r="E120" s="90"/>
      <c r="F120" s="90"/>
      <c r="G120" s="90"/>
      <c r="H120" s="90"/>
      <c r="I120" s="90"/>
      <c r="J120" s="90"/>
      <c r="K120" s="90"/>
      <c r="L120" s="90"/>
      <c r="M120" s="90"/>
      <c r="N120" s="5"/>
      <c r="O120" s="5"/>
      <c r="P120" s="5"/>
      <c r="Q120" s="5"/>
      <c r="R120" s="5"/>
      <c r="S120" s="5"/>
      <c r="T120" s="5"/>
      <c r="U120" s="5"/>
    </row>
    <row r="121" spans="1:21" x14ac:dyDescent="0.25">
      <c r="A121" s="90"/>
      <c r="B121" s="90"/>
      <c r="C121" s="90"/>
      <c r="D121" s="90"/>
      <c r="E121" s="90"/>
      <c r="F121" s="90"/>
      <c r="G121" s="90"/>
      <c r="H121" s="90"/>
      <c r="I121" s="90"/>
      <c r="J121" s="90"/>
      <c r="K121" s="90"/>
      <c r="L121" s="90"/>
      <c r="M121" s="90"/>
      <c r="N121" s="5"/>
      <c r="O121" s="5"/>
      <c r="P121" s="5"/>
      <c r="Q121" s="5"/>
      <c r="R121" s="5"/>
      <c r="S121" s="5"/>
      <c r="T121" s="5"/>
      <c r="U121" s="5"/>
    </row>
    <row r="122" spans="1:21" x14ac:dyDescent="0.25">
      <c r="A122" s="90"/>
      <c r="B122" s="90"/>
      <c r="C122" s="90"/>
      <c r="D122" s="90"/>
      <c r="E122" s="90"/>
      <c r="F122" s="90"/>
      <c r="G122" s="90"/>
      <c r="H122" s="90"/>
      <c r="I122" s="90"/>
      <c r="J122" s="90"/>
      <c r="K122" s="90"/>
      <c r="L122" s="90"/>
      <c r="M122" s="90"/>
      <c r="N122" s="5"/>
      <c r="O122" s="5"/>
      <c r="P122" s="5"/>
      <c r="Q122" s="5"/>
      <c r="R122" s="5"/>
      <c r="S122" s="5"/>
      <c r="T122" s="5"/>
      <c r="U122" s="5"/>
    </row>
    <row r="123" spans="1:21" x14ac:dyDescent="0.25">
      <c r="A123" s="90"/>
      <c r="B123" s="90"/>
      <c r="C123" s="90"/>
      <c r="D123" s="90"/>
      <c r="E123" s="90"/>
      <c r="F123" s="90"/>
      <c r="G123" s="90"/>
      <c r="H123" s="90"/>
      <c r="I123" s="90"/>
      <c r="J123" s="90"/>
      <c r="K123" s="90"/>
      <c r="L123" s="90"/>
      <c r="M123" s="90"/>
      <c r="N123" s="5"/>
      <c r="O123" s="5"/>
      <c r="P123" s="5"/>
      <c r="Q123" s="5"/>
      <c r="R123" s="5"/>
      <c r="S123" s="5"/>
      <c r="T123" s="5"/>
      <c r="U123" s="5"/>
    </row>
    <row r="124" spans="1:21" x14ac:dyDescent="0.25">
      <c r="A124" s="90"/>
      <c r="B124" s="90"/>
      <c r="C124" s="90"/>
      <c r="D124" s="90"/>
      <c r="E124" s="90"/>
      <c r="F124" s="90"/>
      <c r="G124" s="90"/>
      <c r="H124" s="90"/>
      <c r="I124" s="90"/>
      <c r="J124" s="90"/>
      <c r="K124" s="90"/>
      <c r="L124" s="90"/>
      <c r="M124" s="90"/>
      <c r="N124" s="5"/>
      <c r="O124" s="5"/>
      <c r="P124" s="5"/>
      <c r="Q124" s="5"/>
      <c r="R124" s="5"/>
      <c r="S124" s="5"/>
      <c r="T124" s="5"/>
      <c r="U124" s="5"/>
    </row>
    <row r="125" spans="1:21" x14ac:dyDescent="0.25">
      <c r="A125" s="90"/>
      <c r="B125" s="90"/>
      <c r="C125" s="90"/>
      <c r="D125" s="90"/>
      <c r="E125" s="90"/>
      <c r="F125" s="90"/>
      <c r="G125" s="90"/>
      <c r="H125" s="90"/>
      <c r="I125" s="90"/>
      <c r="J125" s="90"/>
      <c r="K125" s="90"/>
      <c r="L125" s="90"/>
      <c r="M125" s="90"/>
      <c r="N125" s="5"/>
      <c r="O125" s="5"/>
      <c r="P125" s="5"/>
      <c r="Q125" s="5"/>
      <c r="R125" s="5"/>
      <c r="S125" s="5"/>
      <c r="T125" s="5"/>
      <c r="U125" s="5"/>
    </row>
    <row r="126" spans="1:21" x14ac:dyDescent="0.25">
      <c r="A126" s="90"/>
      <c r="B126" s="90"/>
      <c r="C126" s="90"/>
      <c r="D126" s="90"/>
      <c r="E126" s="90"/>
      <c r="F126" s="90"/>
      <c r="G126" s="90"/>
      <c r="H126" s="90"/>
      <c r="I126" s="90"/>
      <c r="J126" s="90"/>
      <c r="K126" s="90"/>
      <c r="L126" s="90"/>
      <c r="M126" s="90"/>
      <c r="N126" s="5"/>
      <c r="O126" s="5"/>
      <c r="P126" s="5"/>
      <c r="Q126" s="5"/>
      <c r="R126" s="5"/>
      <c r="S126" s="5"/>
      <c r="T126" s="5"/>
      <c r="U126" s="5"/>
    </row>
    <row r="127" spans="1:21" x14ac:dyDescent="0.25">
      <c r="A127" s="90"/>
      <c r="B127" s="90"/>
      <c r="C127" s="90"/>
      <c r="D127" s="90"/>
      <c r="E127" s="90"/>
      <c r="F127" s="90"/>
      <c r="G127" s="90"/>
      <c r="H127" s="90"/>
      <c r="I127" s="90"/>
      <c r="J127" s="90"/>
      <c r="K127" s="90"/>
      <c r="L127" s="90"/>
      <c r="M127" s="90"/>
      <c r="N127" s="5"/>
      <c r="O127" s="5"/>
      <c r="P127" s="5"/>
      <c r="Q127" s="5"/>
      <c r="R127" s="5"/>
      <c r="S127" s="5"/>
      <c r="T127" s="5"/>
      <c r="U127" s="5"/>
    </row>
    <row r="128" spans="1:21" x14ac:dyDescent="0.25">
      <c r="A128" s="90"/>
      <c r="B128" s="90"/>
      <c r="C128" s="90"/>
      <c r="D128" s="90"/>
      <c r="E128" s="90"/>
      <c r="F128" s="90"/>
      <c r="G128" s="90"/>
      <c r="H128" s="90"/>
      <c r="I128" s="90"/>
      <c r="J128" s="90"/>
      <c r="K128" s="90"/>
      <c r="L128" s="90"/>
      <c r="M128" s="90"/>
      <c r="N128" s="5"/>
      <c r="O128" s="5"/>
      <c r="P128" s="5"/>
      <c r="Q128" s="5"/>
      <c r="R128" s="5"/>
      <c r="S128" s="5"/>
      <c r="T128" s="5"/>
      <c r="U128" s="5"/>
    </row>
    <row r="129" spans="1:21" x14ac:dyDescent="0.25">
      <c r="A129" s="90"/>
      <c r="B129" s="90"/>
      <c r="C129" s="90"/>
      <c r="D129" s="90"/>
      <c r="E129" s="90"/>
      <c r="F129" s="90"/>
      <c r="G129" s="90"/>
      <c r="H129" s="90"/>
      <c r="I129" s="90"/>
      <c r="J129" s="90"/>
      <c r="K129" s="90"/>
      <c r="L129" s="90"/>
      <c r="M129" s="90"/>
      <c r="N129" s="5"/>
      <c r="O129" s="5"/>
      <c r="P129" s="5"/>
      <c r="Q129" s="5"/>
      <c r="R129" s="5"/>
      <c r="S129" s="5"/>
      <c r="T129" s="5"/>
      <c r="U129" s="5"/>
    </row>
    <row r="130" spans="1:21" x14ac:dyDescent="0.25">
      <c r="A130" s="90"/>
      <c r="B130" s="90"/>
      <c r="C130" s="90"/>
      <c r="D130" s="90"/>
      <c r="E130" s="90"/>
      <c r="F130" s="90"/>
      <c r="G130" s="90"/>
      <c r="H130" s="90"/>
      <c r="I130" s="90"/>
      <c r="J130" s="90"/>
      <c r="K130" s="90"/>
      <c r="L130" s="90"/>
      <c r="M130" s="90"/>
      <c r="N130" s="5"/>
      <c r="O130" s="5"/>
      <c r="P130" s="5"/>
      <c r="Q130" s="5"/>
      <c r="R130" s="5"/>
      <c r="S130" s="5"/>
      <c r="T130" s="5"/>
      <c r="U130" s="5"/>
    </row>
    <row r="131" spans="1:21" x14ac:dyDescent="0.25">
      <c r="A131" s="90"/>
      <c r="B131" s="90"/>
      <c r="C131" s="90"/>
      <c r="D131" s="90"/>
      <c r="E131" s="90"/>
      <c r="F131" s="90"/>
      <c r="G131" s="90"/>
      <c r="H131" s="90"/>
      <c r="I131" s="90"/>
      <c r="J131" s="90"/>
      <c r="K131" s="90"/>
      <c r="L131" s="90"/>
      <c r="M131" s="90"/>
      <c r="N131" s="5"/>
      <c r="O131" s="5"/>
      <c r="P131" s="5"/>
      <c r="Q131" s="5"/>
      <c r="R131" s="5"/>
      <c r="S131" s="5"/>
      <c r="T131" s="5"/>
      <c r="U131" s="5"/>
    </row>
    <row r="132" spans="1:21" x14ac:dyDescent="0.25">
      <c r="A132" s="90"/>
      <c r="B132" s="90"/>
      <c r="C132" s="90"/>
      <c r="D132" s="90"/>
      <c r="E132" s="90"/>
      <c r="F132" s="90"/>
      <c r="G132" s="90"/>
      <c r="H132" s="90"/>
      <c r="I132" s="90"/>
      <c r="J132" s="90"/>
      <c r="K132" s="90"/>
      <c r="L132" s="90"/>
      <c r="M132" s="90"/>
      <c r="N132" s="5"/>
      <c r="O132" s="5"/>
      <c r="P132" s="5"/>
      <c r="Q132" s="5"/>
      <c r="R132" s="5"/>
      <c r="S132" s="5"/>
      <c r="T132" s="5"/>
      <c r="U132" s="5"/>
    </row>
    <row r="133" spans="1:21" x14ac:dyDescent="0.25">
      <c r="A133" s="90"/>
      <c r="B133" s="90"/>
      <c r="C133" s="90"/>
      <c r="D133" s="90"/>
      <c r="E133" s="90"/>
      <c r="F133" s="90"/>
      <c r="G133" s="90"/>
      <c r="H133" s="90"/>
      <c r="I133" s="90"/>
      <c r="J133" s="90"/>
      <c r="K133" s="90"/>
      <c r="L133" s="90"/>
      <c r="M133" s="90"/>
      <c r="N133" s="5"/>
      <c r="O133" s="5"/>
      <c r="P133" s="5"/>
      <c r="Q133" s="5"/>
      <c r="R133" s="5"/>
      <c r="S133" s="5"/>
      <c r="T133" s="5"/>
      <c r="U133" s="5"/>
    </row>
    <row r="134" spans="1:21" x14ac:dyDescent="0.25">
      <c r="A134" s="90"/>
      <c r="B134" s="90"/>
      <c r="C134" s="90"/>
      <c r="D134" s="90"/>
      <c r="E134" s="90"/>
      <c r="F134" s="90"/>
      <c r="G134" s="90"/>
      <c r="H134" s="90"/>
      <c r="I134" s="90"/>
      <c r="J134" s="90"/>
      <c r="K134" s="90"/>
      <c r="L134" s="90"/>
      <c r="M134" s="90"/>
      <c r="N134" s="5"/>
      <c r="O134" s="5"/>
      <c r="P134" s="5"/>
      <c r="Q134" s="5"/>
      <c r="R134" s="5"/>
      <c r="S134" s="5"/>
      <c r="T134" s="5"/>
      <c r="U134" s="5"/>
    </row>
    <row r="135" spans="1:21" x14ac:dyDescent="0.25">
      <c r="A135" s="90"/>
      <c r="B135" s="90"/>
      <c r="C135" s="90"/>
      <c r="D135" s="90"/>
      <c r="E135" s="90"/>
      <c r="F135" s="90"/>
      <c r="G135" s="90"/>
      <c r="H135" s="90"/>
      <c r="I135" s="90"/>
      <c r="J135" s="90"/>
      <c r="K135" s="90"/>
      <c r="L135" s="90"/>
      <c r="M135" s="90"/>
      <c r="N135" s="5"/>
      <c r="O135" s="5"/>
      <c r="P135" s="5"/>
      <c r="Q135" s="5"/>
      <c r="R135" s="5"/>
      <c r="S135" s="5"/>
      <c r="T135" s="5"/>
      <c r="U135" s="5"/>
    </row>
    <row r="136" spans="1:21" x14ac:dyDescent="0.25">
      <c r="A136" s="90"/>
      <c r="B136" s="90"/>
      <c r="C136" s="90"/>
      <c r="D136" s="90"/>
      <c r="E136" s="90"/>
      <c r="F136" s="90"/>
      <c r="G136" s="90"/>
      <c r="H136" s="90"/>
      <c r="I136" s="90"/>
      <c r="J136" s="90"/>
      <c r="K136" s="90"/>
      <c r="L136" s="90"/>
      <c r="M136" s="90"/>
      <c r="N136" s="5"/>
      <c r="O136" s="5"/>
      <c r="P136" s="5"/>
      <c r="Q136" s="5"/>
      <c r="R136" s="5"/>
      <c r="S136" s="5"/>
      <c r="T136" s="5"/>
      <c r="U136" s="5"/>
    </row>
  </sheetData>
  <autoFilter ref="A3:U101" xr:uid="{9E4249AF-B926-4B51-8515-01288877E4E7}">
    <filterColumn colId="0">
      <filters>
        <filter val="ATIVO"/>
      </filters>
    </filterColumn>
    <filterColumn colId="3">
      <filters>
        <filter val="ERIC"/>
      </filters>
    </filterColumn>
  </autoFilter>
  <mergeCells count="4">
    <mergeCell ref="H2:I2"/>
    <mergeCell ref="J2:K2"/>
    <mergeCell ref="A1:M1"/>
    <mergeCell ref="A2:G2"/>
  </mergeCells>
  <pageMargins left="0.511811024" right="0.511811024" top="0.78740157499999996" bottom="0.78740157499999996" header="0.31496062000000002" footer="0.31496062000000002"/>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CAC05-D05E-4725-BF69-4E2ADF75DA52}">
  <dimension ref="A1:T61"/>
  <sheetViews>
    <sheetView workbookViewId="0">
      <pane xSplit="5" ySplit="2" topLeftCell="F47" activePane="bottomRight" state="frozen"/>
      <selection pane="topRight" activeCell="F1" sqref="F1"/>
      <selection pane="bottomLeft" activeCell="A3" sqref="A3"/>
      <selection pane="bottomRight" activeCell="Q67" sqref="Q67"/>
    </sheetView>
  </sheetViews>
  <sheetFormatPr defaultRowHeight="15" x14ac:dyDescent="0.25"/>
  <cols>
    <col min="2" max="2" width="13.85546875" bestFit="1" customWidth="1"/>
    <col min="3" max="3" width="14.140625" customWidth="1"/>
    <col min="6" max="6" width="10.7109375" bestFit="1" customWidth="1"/>
    <col min="7" max="7" width="10.42578125" bestFit="1" customWidth="1"/>
    <col min="10" max="10" width="15.5703125" customWidth="1"/>
    <col min="16" max="16" width="16" customWidth="1"/>
    <col min="17" max="17" width="18.5703125" customWidth="1"/>
    <col min="18" max="18" width="15.85546875" customWidth="1"/>
    <col min="19" max="19" width="20.140625" customWidth="1"/>
    <col min="20" max="20" width="50.7109375" customWidth="1"/>
  </cols>
  <sheetData>
    <row r="1" spans="1:20" x14ac:dyDescent="0.25">
      <c r="A1" s="143" t="s">
        <v>419</v>
      </c>
      <c r="B1" s="144"/>
      <c r="C1" s="144"/>
      <c r="D1" s="144"/>
      <c r="E1" s="144"/>
      <c r="F1" s="144"/>
      <c r="G1" s="144"/>
      <c r="H1" s="144"/>
      <c r="I1" s="144"/>
      <c r="J1" s="144"/>
      <c r="K1" s="144"/>
      <c r="L1" s="144"/>
      <c r="M1" s="144"/>
      <c r="N1" s="144"/>
      <c r="O1" s="144"/>
      <c r="P1" s="144"/>
      <c r="Q1" s="144"/>
      <c r="R1" s="144"/>
      <c r="S1" s="144"/>
      <c r="T1" s="145"/>
    </row>
    <row r="2" spans="1:20" ht="33" customHeight="1" thickBot="1" x14ac:dyDescent="0.3">
      <c r="A2" s="86" t="s">
        <v>244</v>
      </c>
      <c r="B2" s="86" t="s">
        <v>3</v>
      </c>
      <c r="C2" s="86" t="s">
        <v>395</v>
      </c>
      <c r="D2" s="86" t="s">
        <v>98</v>
      </c>
      <c r="E2" s="86" t="s">
        <v>243</v>
      </c>
      <c r="F2" s="87" t="s">
        <v>396</v>
      </c>
      <c r="G2" s="88" t="s">
        <v>397</v>
      </c>
      <c r="H2" s="88" t="s">
        <v>398</v>
      </c>
      <c r="I2" s="88" t="s">
        <v>399</v>
      </c>
      <c r="J2" s="88" t="s">
        <v>400</v>
      </c>
      <c r="K2" s="88" t="s">
        <v>401</v>
      </c>
      <c r="L2" s="88" t="s">
        <v>402</v>
      </c>
      <c r="M2" s="88" t="s">
        <v>403</v>
      </c>
      <c r="N2" s="88" t="s">
        <v>404</v>
      </c>
      <c r="O2" s="89" t="s">
        <v>405</v>
      </c>
      <c r="P2" s="89" t="s">
        <v>406</v>
      </c>
      <c r="Q2" s="89" t="s">
        <v>407</v>
      </c>
      <c r="R2" s="89" t="s">
        <v>408</v>
      </c>
      <c r="S2" s="89" t="s">
        <v>409</v>
      </c>
      <c r="T2" s="88" t="s">
        <v>420</v>
      </c>
    </row>
    <row r="3" spans="1:20" x14ac:dyDescent="0.25">
      <c r="A3" s="110" t="s">
        <v>410</v>
      </c>
      <c r="B3" s="111" t="s">
        <v>394</v>
      </c>
      <c r="C3" s="111" t="s">
        <v>41</v>
      </c>
      <c r="D3" s="111" t="s">
        <v>424</v>
      </c>
      <c r="E3" s="128" t="s">
        <v>40</v>
      </c>
      <c r="F3" s="79">
        <v>45737</v>
      </c>
      <c r="G3" s="79">
        <v>45737</v>
      </c>
      <c r="H3" s="43">
        <v>1</v>
      </c>
      <c r="I3" s="41">
        <v>52080</v>
      </c>
      <c r="J3" s="41" t="s">
        <v>411</v>
      </c>
      <c r="K3" s="39" t="s">
        <v>412</v>
      </c>
      <c r="L3" s="41"/>
      <c r="M3" s="39">
        <v>52080</v>
      </c>
      <c r="N3" s="39">
        <f>IF(M3&gt;0,M3+10000,"")</f>
        <v>62080</v>
      </c>
      <c r="O3" s="43" t="s">
        <v>413</v>
      </c>
      <c r="P3" s="43" t="s">
        <v>414</v>
      </c>
      <c r="Q3" s="43" t="s">
        <v>414</v>
      </c>
      <c r="R3" s="43" t="s">
        <v>415</v>
      </c>
      <c r="S3" s="43" t="s">
        <v>416</v>
      </c>
      <c r="T3" s="80"/>
    </row>
    <row r="4" spans="1:20" x14ac:dyDescent="0.25">
      <c r="A4" s="110" t="s">
        <v>410</v>
      </c>
      <c r="B4" s="111" t="s">
        <v>394</v>
      </c>
      <c r="C4" s="111" t="s">
        <v>41</v>
      </c>
      <c r="D4" s="111" t="s">
        <v>424</v>
      </c>
      <c r="E4" s="128" t="s">
        <v>40</v>
      </c>
      <c r="F4" s="79">
        <v>45790</v>
      </c>
      <c r="G4" s="79">
        <v>45790</v>
      </c>
      <c r="H4" s="43">
        <v>1</v>
      </c>
      <c r="I4" s="41">
        <v>54306</v>
      </c>
      <c r="J4" s="41" t="s">
        <v>411</v>
      </c>
      <c r="K4" s="39" t="s">
        <v>412</v>
      </c>
      <c r="L4" s="41"/>
      <c r="M4" s="39">
        <v>0</v>
      </c>
      <c r="N4" s="39" t="str">
        <f t="shared" ref="N4:N61" si="0">IF(M4&gt;0,M4+10000,"")</f>
        <v/>
      </c>
      <c r="O4" s="39" t="s">
        <v>413</v>
      </c>
      <c r="P4" s="81" t="s">
        <v>417</v>
      </c>
      <c r="Q4" s="39" t="s">
        <v>418</v>
      </c>
      <c r="R4" s="39" t="s">
        <v>418</v>
      </c>
      <c r="S4" s="39" t="s">
        <v>416</v>
      </c>
      <c r="T4" s="80"/>
    </row>
    <row r="5" spans="1:20" x14ac:dyDescent="0.25">
      <c r="A5" s="110" t="s">
        <v>410</v>
      </c>
      <c r="B5" s="112" t="s">
        <v>15</v>
      </c>
      <c r="C5" s="113" t="s">
        <v>175</v>
      </c>
      <c r="D5" s="114" t="s">
        <v>245</v>
      </c>
      <c r="E5" s="115" t="s">
        <v>11</v>
      </c>
      <c r="F5" s="79"/>
      <c r="G5" s="80"/>
      <c r="H5" s="43">
        <f>G5-F5</f>
        <v>0</v>
      </c>
      <c r="I5" s="41"/>
      <c r="J5" s="41"/>
      <c r="K5" s="41"/>
      <c r="L5" s="41"/>
      <c r="M5" s="39"/>
      <c r="N5" s="39" t="str">
        <f t="shared" si="0"/>
        <v/>
      </c>
      <c r="O5" s="42"/>
      <c r="P5" s="42"/>
      <c r="Q5" s="42"/>
      <c r="R5" s="42"/>
      <c r="S5" s="42"/>
      <c r="T5" s="80"/>
    </row>
    <row r="6" spans="1:20" ht="25.5" x14ac:dyDescent="0.25">
      <c r="A6" s="110" t="s">
        <v>410</v>
      </c>
      <c r="B6" s="112" t="s">
        <v>247</v>
      </c>
      <c r="C6" s="113" t="s">
        <v>248</v>
      </c>
      <c r="D6" s="114" t="s">
        <v>249</v>
      </c>
      <c r="E6" s="115" t="s">
        <v>216</v>
      </c>
      <c r="F6" s="80"/>
      <c r="G6" s="80"/>
      <c r="H6" s="43">
        <f t="shared" ref="H6:H61" si="1">G6-F6</f>
        <v>0</v>
      </c>
      <c r="I6" s="41"/>
      <c r="J6" s="41"/>
      <c r="K6" s="39"/>
      <c r="L6" s="41"/>
      <c r="M6" s="39"/>
      <c r="N6" s="39" t="str">
        <f t="shared" si="0"/>
        <v/>
      </c>
      <c r="O6" s="42"/>
      <c r="P6" s="81"/>
      <c r="Q6" s="42"/>
      <c r="R6" s="82"/>
      <c r="S6" s="82"/>
      <c r="T6" s="43"/>
    </row>
    <row r="7" spans="1:20" x14ac:dyDescent="0.25">
      <c r="A7" s="110" t="s">
        <v>410</v>
      </c>
      <c r="B7" s="112" t="s">
        <v>15</v>
      </c>
      <c r="C7" s="113" t="s">
        <v>177</v>
      </c>
      <c r="D7" s="114" t="s">
        <v>421</v>
      </c>
      <c r="E7" s="115" t="s">
        <v>250</v>
      </c>
      <c r="F7" s="91"/>
      <c r="G7" s="83"/>
      <c r="H7" s="43">
        <f t="shared" si="1"/>
        <v>0</v>
      </c>
      <c r="I7" s="46"/>
      <c r="J7" s="46"/>
      <c r="K7" s="46"/>
      <c r="L7" s="46"/>
      <c r="M7" s="47"/>
      <c r="N7" s="39" t="str">
        <f t="shared" si="0"/>
        <v/>
      </c>
      <c r="O7" s="42"/>
      <c r="P7" s="42"/>
      <c r="Q7" s="42"/>
      <c r="R7" s="42"/>
      <c r="S7" s="42"/>
      <c r="T7" s="49"/>
    </row>
    <row r="8" spans="1:20" x14ac:dyDescent="0.25">
      <c r="A8" s="110" t="s">
        <v>410</v>
      </c>
      <c r="B8" s="116" t="s">
        <v>252</v>
      </c>
      <c r="C8" s="117" t="s">
        <v>65</v>
      </c>
      <c r="D8" s="118" t="s">
        <v>422</v>
      </c>
      <c r="E8" s="115" t="s">
        <v>223</v>
      </c>
      <c r="F8" s="91"/>
      <c r="G8" s="83"/>
      <c r="H8" s="43">
        <f t="shared" si="1"/>
        <v>0</v>
      </c>
      <c r="I8" s="46"/>
      <c r="J8" s="46"/>
      <c r="K8" s="46"/>
      <c r="L8" s="46"/>
      <c r="M8" s="47"/>
      <c r="N8" s="39" t="str">
        <f t="shared" si="0"/>
        <v/>
      </c>
      <c r="O8" s="84"/>
      <c r="P8" s="84"/>
      <c r="Q8" s="84"/>
      <c r="R8" s="84"/>
      <c r="S8" s="84"/>
      <c r="T8" s="49"/>
    </row>
    <row r="9" spans="1:20" x14ac:dyDescent="0.25">
      <c r="A9" s="110" t="s">
        <v>410</v>
      </c>
      <c r="B9" s="116" t="s">
        <v>254</v>
      </c>
      <c r="C9" s="117" t="s">
        <v>255</v>
      </c>
      <c r="D9" s="118" t="s">
        <v>227</v>
      </c>
      <c r="E9" s="119" t="s">
        <v>256</v>
      </c>
      <c r="F9" s="91"/>
      <c r="G9" s="83"/>
      <c r="H9" s="43">
        <f t="shared" si="1"/>
        <v>0</v>
      </c>
      <c r="I9" s="46"/>
      <c r="J9" s="46"/>
      <c r="K9" s="46"/>
      <c r="L9" s="46"/>
      <c r="M9" s="47"/>
      <c r="N9" s="39" t="str">
        <f t="shared" si="0"/>
        <v/>
      </c>
      <c r="O9" s="42"/>
      <c r="P9" s="42"/>
      <c r="Q9" s="42"/>
      <c r="R9" s="42"/>
      <c r="S9" s="42"/>
      <c r="T9" s="49"/>
    </row>
    <row r="10" spans="1:20" x14ac:dyDescent="0.25">
      <c r="A10" s="110" t="s">
        <v>410</v>
      </c>
      <c r="B10" s="116" t="s">
        <v>257</v>
      </c>
      <c r="C10" s="117" t="s">
        <v>82</v>
      </c>
      <c r="D10" s="118" t="s">
        <v>227</v>
      </c>
      <c r="E10" s="119" t="s">
        <v>221</v>
      </c>
      <c r="F10" s="91"/>
      <c r="G10" s="83"/>
      <c r="H10" s="43">
        <f t="shared" si="1"/>
        <v>0</v>
      </c>
      <c r="I10" s="46"/>
      <c r="J10" s="46"/>
      <c r="K10" s="46"/>
      <c r="L10" s="46"/>
      <c r="M10" s="47"/>
      <c r="N10" s="39" t="str">
        <f t="shared" si="0"/>
        <v/>
      </c>
      <c r="O10" s="42"/>
      <c r="P10" s="42"/>
      <c r="Q10" s="42"/>
      <c r="R10" s="42"/>
      <c r="S10" s="42"/>
      <c r="T10" s="49"/>
    </row>
    <row r="11" spans="1:20" x14ac:dyDescent="0.25">
      <c r="A11" s="110" t="s">
        <v>410</v>
      </c>
      <c r="B11" s="116" t="s">
        <v>252</v>
      </c>
      <c r="C11" s="117" t="s">
        <v>258</v>
      </c>
      <c r="D11" s="118" t="s">
        <v>249</v>
      </c>
      <c r="E11" s="119" t="s">
        <v>259</v>
      </c>
      <c r="F11" s="79"/>
      <c r="G11" s="80"/>
      <c r="H11" s="43">
        <f t="shared" si="1"/>
        <v>0</v>
      </c>
      <c r="I11" s="40"/>
      <c r="J11" s="40"/>
      <c r="K11" s="40"/>
      <c r="L11" s="40"/>
      <c r="M11" s="39"/>
      <c r="N11" s="39" t="str">
        <f t="shared" si="0"/>
        <v/>
      </c>
      <c r="O11" s="42"/>
      <c r="P11" s="42"/>
      <c r="Q11" s="42"/>
      <c r="R11" s="42"/>
      <c r="S11" s="42"/>
      <c r="T11" s="43"/>
    </row>
    <row r="12" spans="1:20" ht="25.5" x14ac:dyDescent="0.25">
      <c r="A12" s="110" t="s">
        <v>410</v>
      </c>
      <c r="B12" s="113" t="s">
        <v>260</v>
      </c>
      <c r="C12" s="113" t="s">
        <v>262</v>
      </c>
      <c r="D12" s="114" t="s">
        <v>423</v>
      </c>
      <c r="E12" s="115" t="s">
        <v>390</v>
      </c>
      <c r="F12" s="79"/>
      <c r="G12" s="80"/>
      <c r="H12" s="43">
        <f t="shared" si="1"/>
        <v>0</v>
      </c>
      <c r="I12" s="40"/>
      <c r="J12" s="40"/>
      <c r="K12" s="40"/>
      <c r="L12" s="40"/>
      <c r="M12" s="39"/>
      <c r="N12" s="39" t="str">
        <f t="shared" si="0"/>
        <v/>
      </c>
      <c r="O12" s="42"/>
      <c r="P12" s="42"/>
      <c r="Q12" s="42"/>
      <c r="R12" s="42"/>
      <c r="S12" s="42"/>
      <c r="T12" s="43"/>
    </row>
    <row r="13" spans="1:20" x14ac:dyDescent="0.25">
      <c r="A13" s="110" t="s">
        <v>410</v>
      </c>
      <c r="B13" s="112" t="s">
        <v>257</v>
      </c>
      <c r="C13" s="117" t="s">
        <v>84</v>
      </c>
      <c r="D13" s="120" t="s">
        <v>263</v>
      </c>
      <c r="E13" s="129" t="s">
        <v>78</v>
      </c>
      <c r="F13" s="79"/>
      <c r="G13" s="80"/>
      <c r="H13" s="43">
        <f t="shared" si="1"/>
        <v>0</v>
      </c>
      <c r="I13" s="40"/>
      <c r="J13" s="40"/>
      <c r="K13" s="40"/>
      <c r="L13" s="40"/>
      <c r="M13" s="39"/>
      <c r="N13" s="39" t="str">
        <f t="shared" si="0"/>
        <v/>
      </c>
      <c r="O13" s="42"/>
      <c r="P13" s="42"/>
      <c r="Q13" s="42"/>
      <c r="R13" s="42"/>
      <c r="S13" s="42"/>
      <c r="T13" s="43"/>
    </row>
    <row r="14" spans="1:20" x14ac:dyDescent="0.25">
      <c r="A14" s="110" t="s">
        <v>410</v>
      </c>
      <c r="B14" s="112" t="s">
        <v>257</v>
      </c>
      <c r="C14" s="117" t="s">
        <v>264</v>
      </c>
      <c r="D14" s="120" t="s">
        <v>261</v>
      </c>
      <c r="E14" s="130" t="s">
        <v>317</v>
      </c>
      <c r="F14" s="79"/>
      <c r="G14" s="80"/>
      <c r="H14" s="43">
        <f t="shared" si="1"/>
        <v>0</v>
      </c>
      <c r="I14" s="40"/>
      <c r="J14" s="40"/>
      <c r="K14" s="40"/>
      <c r="L14" s="40"/>
      <c r="M14" s="39"/>
      <c r="N14" s="39" t="str">
        <f t="shared" si="0"/>
        <v/>
      </c>
      <c r="O14" s="42"/>
      <c r="P14" s="42"/>
      <c r="Q14" s="42"/>
      <c r="R14" s="42"/>
      <c r="S14" s="42"/>
      <c r="T14" s="43"/>
    </row>
    <row r="15" spans="1:20" x14ac:dyDescent="0.25">
      <c r="A15" s="110" t="s">
        <v>410</v>
      </c>
      <c r="B15" s="112" t="s">
        <v>266</v>
      </c>
      <c r="C15" s="117" t="s">
        <v>267</v>
      </c>
      <c r="D15" s="120" t="s">
        <v>263</v>
      </c>
      <c r="E15" s="130" t="s">
        <v>204</v>
      </c>
      <c r="F15" s="79"/>
      <c r="G15" s="80"/>
      <c r="H15" s="43">
        <f t="shared" si="1"/>
        <v>0</v>
      </c>
      <c r="I15" s="40"/>
      <c r="J15" s="40"/>
      <c r="K15" s="40"/>
      <c r="L15" s="40"/>
      <c r="M15" s="39"/>
      <c r="N15" s="39" t="str">
        <f t="shared" si="0"/>
        <v/>
      </c>
      <c r="O15" s="42"/>
      <c r="P15" s="42"/>
      <c r="Q15" s="42"/>
      <c r="R15" s="42"/>
      <c r="S15" s="42"/>
      <c r="T15" s="43"/>
    </row>
    <row r="16" spans="1:20" x14ac:dyDescent="0.25">
      <c r="A16" s="110" t="s">
        <v>410</v>
      </c>
      <c r="B16" s="112" t="s">
        <v>266</v>
      </c>
      <c r="C16" s="113" t="s">
        <v>269</v>
      </c>
      <c r="D16" s="114" t="s">
        <v>227</v>
      </c>
      <c r="E16" s="115" t="s">
        <v>20</v>
      </c>
      <c r="F16" s="79"/>
      <c r="G16" s="80"/>
      <c r="H16" s="43">
        <f t="shared" si="1"/>
        <v>0</v>
      </c>
      <c r="I16" s="40"/>
      <c r="J16" s="40"/>
      <c r="K16" s="40"/>
      <c r="L16" s="40"/>
      <c r="M16" s="39"/>
      <c r="N16" s="39" t="str">
        <f t="shared" si="0"/>
        <v/>
      </c>
      <c r="O16" s="42"/>
      <c r="P16" s="42"/>
      <c r="Q16" s="42"/>
      <c r="R16" s="42"/>
      <c r="S16" s="42"/>
      <c r="T16" s="43"/>
    </row>
    <row r="17" spans="1:20" x14ac:dyDescent="0.25">
      <c r="A17" s="110" t="s">
        <v>410</v>
      </c>
      <c r="B17" s="112" t="s">
        <v>268</v>
      </c>
      <c r="C17" s="113" t="s">
        <v>67</v>
      </c>
      <c r="D17" s="114" t="s">
        <v>273</v>
      </c>
      <c r="E17" s="115" t="s">
        <v>351</v>
      </c>
      <c r="F17" s="79"/>
      <c r="G17" s="80"/>
      <c r="H17" s="43">
        <f t="shared" si="1"/>
        <v>0</v>
      </c>
      <c r="I17" s="40"/>
      <c r="J17" s="40"/>
      <c r="K17" s="40"/>
      <c r="L17" s="40"/>
      <c r="M17" s="39"/>
      <c r="N17" s="39" t="str">
        <f t="shared" si="0"/>
        <v/>
      </c>
      <c r="O17" s="42"/>
      <c r="P17" s="42"/>
      <c r="Q17" s="42"/>
      <c r="R17" s="42"/>
      <c r="S17" s="42"/>
      <c r="T17" s="43"/>
    </row>
    <row r="18" spans="1:20" ht="25.5" x14ac:dyDescent="0.25">
      <c r="A18" s="110" t="s">
        <v>410</v>
      </c>
      <c r="B18" s="112" t="s">
        <v>252</v>
      </c>
      <c r="C18" s="113" t="s">
        <v>272</v>
      </c>
      <c r="D18" s="121" t="s">
        <v>227</v>
      </c>
      <c r="E18" s="131" t="s">
        <v>47</v>
      </c>
      <c r="F18" s="79"/>
      <c r="G18" s="80"/>
      <c r="H18" s="43">
        <f t="shared" si="1"/>
        <v>0</v>
      </c>
      <c r="I18" s="40"/>
      <c r="J18" s="40"/>
      <c r="K18" s="40"/>
      <c r="L18" s="40"/>
      <c r="M18" s="39"/>
      <c r="N18" s="39" t="str">
        <f t="shared" si="0"/>
        <v/>
      </c>
      <c r="O18" s="42"/>
      <c r="P18" s="42"/>
      <c r="Q18" s="42"/>
      <c r="R18" s="42"/>
      <c r="S18" s="42"/>
      <c r="T18" s="43"/>
    </row>
    <row r="19" spans="1:20" ht="25.5" x14ac:dyDescent="0.25">
      <c r="A19" s="110" t="s">
        <v>410</v>
      </c>
      <c r="B19" s="112" t="s">
        <v>252</v>
      </c>
      <c r="C19" s="122" t="s">
        <v>115</v>
      </c>
      <c r="D19" s="114" t="s">
        <v>273</v>
      </c>
      <c r="E19" s="123" t="s">
        <v>59</v>
      </c>
      <c r="F19" s="79"/>
      <c r="G19" s="80"/>
      <c r="H19" s="43">
        <f t="shared" si="1"/>
        <v>0</v>
      </c>
      <c r="I19" s="40"/>
      <c r="J19" s="40"/>
      <c r="K19" s="40"/>
      <c r="L19" s="40"/>
      <c r="M19" s="39"/>
      <c r="N19" s="39" t="str">
        <f t="shared" si="0"/>
        <v/>
      </c>
      <c r="O19" s="42"/>
      <c r="P19" s="42"/>
      <c r="Q19" s="42"/>
      <c r="R19" s="42"/>
      <c r="S19" s="42"/>
      <c r="T19" s="43"/>
    </row>
    <row r="20" spans="1:20" x14ac:dyDescent="0.25">
      <c r="A20" s="110" t="s">
        <v>410</v>
      </c>
      <c r="B20" s="112" t="s">
        <v>252</v>
      </c>
      <c r="C20" s="113" t="s">
        <v>163</v>
      </c>
      <c r="D20" s="114" t="s">
        <v>424</v>
      </c>
      <c r="E20" s="115" t="s">
        <v>40</v>
      </c>
      <c r="F20" s="91"/>
      <c r="G20" s="85"/>
      <c r="H20" s="43">
        <f t="shared" si="1"/>
        <v>0</v>
      </c>
      <c r="I20" s="40"/>
      <c r="J20" s="40"/>
      <c r="K20" s="40"/>
      <c r="L20" s="40"/>
      <c r="M20" s="39"/>
      <c r="N20" s="39" t="str">
        <f t="shared" si="0"/>
        <v/>
      </c>
      <c r="O20" s="60"/>
      <c r="P20" s="60"/>
      <c r="Q20" s="60"/>
      <c r="R20" s="60"/>
      <c r="S20" s="60"/>
      <c r="T20" s="49"/>
    </row>
    <row r="21" spans="1:20" x14ac:dyDescent="0.25">
      <c r="A21" s="110" t="s">
        <v>410</v>
      </c>
      <c r="B21" s="113" t="s">
        <v>276</v>
      </c>
      <c r="C21" s="113" t="s">
        <v>277</v>
      </c>
      <c r="D21" s="114" t="s">
        <v>421</v>
      </c>
      <c r="E21" s="115" t="s">
        <v>235</v>
      </c>
      <c r="F21" s="91"/>
      <c r="G21" s="85"/>
      <c r="H21" s="43">
        <f t="shared" si="1"/>
        <v>0</v>
      </c>
      <c r="I21" s="40"/>
      <c r="J21" s="40"/>
      <c r="K21" s="40"/>
      <c r="L21" s="40"/>
      <c r="M21" s="39"/>
      <c r="N21" s="39" t="str">
        <f t="shared" si="0"/>
        <v/>
      </c>
      <c r="O21" s="39"/>
      <c r="P21" s="39"/>
      <c r="Q21" s="39"/>
      <c r="R21" s="39"/>
      <c r="S21" s="39"/>
      <c r="T21" s="49"/>
    </row>
    <row r="22" spans="1:20" x14ac:dyDescent="0.25">
      <c r="A22" s="110" t="s">
        <v>410</v>
      </c>
      <c r="B22" s="112" t="s">
        <v>257</v>
      </c>
      <c r="C22" s="113" t="s">
        <v>66</v>
      </c>
      <c r="D22" s="114" t="s">
        <v>227</v>
      </c>
      <c r="E22" s="123" t="s">
        <v>111</v>
      </c>
      <c r="F22" s="79"/>
      <c r="G22" s="80"/>
      <c r="H22" s="43">
        <f t="shared" si="1"/>
        <v>0</v>
      </c>
      <c r="I22" s="40"/>
      <c r="J22" s="40"/>
      <c r="K22" s="40"/>
      <c r="L22" s="40"/>
      <c r="M22" s="39"/>
      <c r="N22" s="39" t="str">
        <f t="shared" si="0"/>
        <v/>
      </c>
      <c r="O22" s="43"/>
      <c r="P22" s="43"/>
      <c r="Q22" s="43"/>
      <c r="R22" s="43"/>
      <c r="S22" s="43"/>
      <c r="T22" s="43"/>
    </row>
    <row r="23" spans="1:20" ht="25.5" x14ac:dyDescent="0.25">
      <c r="A23" s="110" t="s">
        <v>410</v>
      </c>
      <c r="B23" s="112" t="s">
        <v>252</v>
      </c>
      <c r="C23" s="113" t="s">
        <v>278</v>
      </c>
      <c r="D23" s="114" t="s">
        <v>273</v>
      </c>
      <c r="E23" s="115" t="s">
        <v>29</v>
      </c>
      <c r="F23" s="5"/>
      <c r="G23" s="5"/>
      <c r="H23" s="43">
        <f t="shared" si="1"/>
        <v>0</v>
      </c>
      <c r="I23" s="5"/>
      <c r="J23" s="5"/>
      <c r="K23" s="5"/>
      <c r="L23" s="5"/>
      <c r="M23" s="5"/>
      <c r="N23" s="39" t="str">
        <f t="shared" si="0"/>
        <v/>
      </c>
      <c r="O23" s="5"/>
      <c r="P23" s="5"/>
      <c r="Q23" s="5"/>
      <c r="R23" s="5"/>
      <c r="S23" s="5"/>
      <c r="T23" s="5"/>
    </row>
    <row r="24" spans="1:20" ht="25.5" x14ac:dyDescent="0.25">
      <c r="A24" s="110" t="s">
        <v>410</v>
      </c>
      <c r="B24" s="112" t="s">
        <v>438</v>
      </c>
      <c r="C24" s="113" t="s">
        <v>53</v>
      </c>
      <c r="D24" s="113" t="s">
        <v>425</v>
      </c>
      <c r="E24" s="115" t="s">
        <v>387</v>
      </c>
      <c r="F24" s="5"/>
      <c r="G24" s="5"/>
      <c r="H24" s="43">
        <f t="shared" si="1"/>
        <v>0</v>
      </c>
      <c r="I24" s="5"/>
      <c r="J24" s="5"/>
      <c r="K24" s="5"/>
      <c r="L24" s="5"/>
      <c r="M24" s="5"/>
      <c r="N24" s="39" t="str">
        <f t="shared" si="0"/>
        <v/>
      </c>
      <c r="O24" s="5"/>
      <c r="P24" s="5"/>
      <c r="Q24" s="5"/>
      <c r="R24" s="5"/>
      <c r="S24" s="5"/>
      <c r="T24" s="5"/>
    </row>
    <row r="25" spans="1:20" x14ac:dyDescent="0.25">
      <c r="A25" s="110" t="s">
        <v>410</v>
      </c>
      <c r="B25" s="112" t="s">
        <v>252</v>
      </c>
      <c r="C25" s="113" t="s">
        <v>81</v>
      </c>
      <c r="D25" s="121" t="s">
        <v>227</v>
      </c>
      <c r="E25" s="124" t="s">
        <v>80</v>
      </c>
      <c r="F25" s="5"/>
      <c r="G25" s="5"/>
      <c r="H25" s="43">
        <f t="shared" si="1"/>
        <v>0</v>
      </c>
      <c r="I25" s="5"/>
      <c r="J25" s="5"/>
      <c r="K25" s="5"/>
      <c r="L25" s="5"/>
      <c r="M25" s="5"/>
      <c r="N25" s="39" t="str">
        <f t="shared" si="0"/>
        <v/>
      </c>
      <c r="O25" s="5"/>
      <c r="P25" s="5"/>
      <c r="Q25" s="5"/>
      <c r="R25" s="5"/>
      <c r="S25" s="5"/>
      <c r="T25" s="5"/>
    </row>
    <row r="26" spans="1:20" x14ac:dyDescent="0.25">
      <c r="A26" s="110" t="s">
        <v>410</v>
      </c>
      <c r="B26" s="112" t="s">
        <v>257</v>
      </c>
      <c r="C26" s="113" t="s">
        <v>279</v>
      </c>
      <c r="D26" s="114" t="s">
        <v>426</v>
      </c>
      <c r="E26" s="115" t="s">
        <v>113</v>
      </c>
      <c r="F26" s="5"/>
      <c r="G26" s="5"/>
      <c r="H26" s="43">
        <f t="shared" si="1"/>
        <v>0</v>
      </c>
      <c r="I26" s="5"/>
      <c r="J26" s="5"/>
      <c r="K26" s="5"/>
      <c r="L26" s="5"/>
      <c r="M26" s="5"/>
      <c r="N26" s="39" t="str">
        <f t="shared" si="0"/>
        <v/>
      </c>
      <c r="O26" s="5"/>
      <c r="P26" s="5"/>
      <c r="Q26" s="5"/>
      <c r="R26" s="5"/>
      <c r="S26" s="5"/>
      <c r="T26" s="5"/>
    </row>
    <row r="27" spans="1:20" x14ac:dyDescent="0.25">
      <c r="A27" s="110" t="s">
        <v>410</v>
      </c>
      <c r="B27" s="112" t="s">
        <v>252</v>
      </c>
      <c r="C27" s="113" t="s">
        <v>166</v>
      </c>
      <c r="D27" s="114" t="s">
        <v>421</v>
      </c>
      <c r="E27" s="115" t="s">
        <v>201</v>
      </c>
      <c r="F27" s="5"/>
      <c r="G27" s="5"/>
      <c r="H27" s="43">
        <f t="shared" si="1"/>
        <v>0</v>
      </c>
      <c r="I27" s="5"/>
      <c r="J27" s="5"/>
      <c r="K27" s="5"/>
      <c r="L27" s="5"/>
      <c r="M27" s="5"/>
      <c r="N27" s="39" t="str">
        <f t="shared" si="0"/>
        <v/>
      </c>
      <c r="O27" s="5"/>
      <c r="P27" s="5"/>
      <c r="Q27" s="5"/>
      <c r="R27" s="5"/>
      <c r="S27" s="5"/>
      <c r="T27" s="5"/>
    </row>
    <row r="28" spans="1:20" x14ac:dyDescent="0.25">
      <c r="A28" s="110" t="s">
        <v>410</v>
      </c>
      <c r="B28" s="113" t="s">
        <v>276</v>
      </c>
      <c r="C28" s="113" t="s">
        <v>283</v>
      </c>
      <c r="D28" s="114" t="s">
        <v>261</v>
      </c>
      <c r="E28" s="115" t="s">
        <v>232</v>
      </c>
      <c r="F28" s="5"/>
      <c r="G28" s="5"/>
      <c r="H28" s="43">
        <f t="shared" si="1"/>
        <v>0</v>
      </c>
      <c r="I28" s="5"/>
      <c r="J28" s="5"/>
      <c r="K28" s="5"/>
      <c r="L28" s="5"/>
      <c r="M28" s="5"/>
      <c r="N28" s="39" t="str">
        <f t="shared" si="0"/>
        <v/>
      </c>
      <c r="O28" s="5"/>
      <c r="P28" s="5"/>
      <c r="Q28" s="5"/>
      <c r="R28" s="5"/>
      <c r="S28" s="5"/>
      <c r="T28" s="5"/>
    </row>
    <row r="29" spans="1:20" x14ac:dyDescent="0.25">
      <c r="A29" s="110" t="s">
        <v>410</v>
      </c>
      <c r="B29" s="112" t="s">
        <v>282</v>
      </c>
      <c r="C29" s="113" t="s">
        <v>62</v>
      </c>
      <c r="D29" s="114" t="s">
        <v>227</v>
      </c>
      <c r="E29" s="115" t="s">
        <v>58</v>
      </c>
      <c r="F29" s="5"/>
      <c r="G29" s="5"/>
      <c r="H29" s="43">
        <f t="shared" si="1"/>
        <v>0</v>
      </c>
      <c r="I29" s="5"/>
      <c r="J29" s="5"/>
      <c r="K29" s="5"/>
      <c r="L29" s="5"/>
      <c r="M29" s="5"/>
      <c r="N29" s="39" t="str">
        <f t="shared" si="0"/>
        <v/>
      </c>
      <c r="O29" s="5"/>
      <c r="P29" s="5"/>
      <c r="Q29" s="5"/>
      <c r="R29" s="5"/>
      <c r="S29" s="5"/>
      <c r="T29" s="5"/>
    </row>
    <row r="30" spans="1:20" x14ac:dyDescent="0.25">
      <c r="A30" s="110" t="s">
        <v>410</v>
      </c>
      <c r="B30" s="112" t="s">
        <v>252</v>
      </c>
      <c r="C30" s="113" t="s">
        <v>212</v>
      </c>
      <c r="D30" s="114" t="s">
        <v>285</v>
      </c>
      <c r="E30" s="115" t="s">
        <v>213</v>
      </c>
      <c r="F30" s="5"/>
      <c r="G30" s="5"/>
      <c r="H30" s="43">
        <f t="shared" si="1"/>
        <v>0</v>
      </c>
      <c r="I30" s="5"/>
      <c r="J30" s="5"/>
      <c r="K30" s="5"/>
      <c r="L30" s="5"/>
      <c r="M30" s="5"/>
      <c r="N30" s="39" t="str">
        <f t="shared" si="0"/>
        <v/>
      </c>
      <c r="O30" s="5"/>
      <c r="P30" s="5"/>
      <c r="Q30" s="5"/>
      <c r="R30" s="5"/>
      <c r="S30" s="5"/>
      <c r="T30" s="5"/>
    </row>
    <row r="31" spans="1:20" ht="25.5" x14ac:dyDescent="0.25">
      <c r="A31" s="110" t="s">
        <v>410</v>
      </c>
      <c r="B31" s="112" t="s">
        <v>252</v>
      </c>
      <c r="C31" s="113" t="s">
        <v>289</v>
      </c>
      <c r="D31" s="114" t="s">
        <v>245</v>
      </c>
      <c r="E31" s="115" t="s">
        <v>290</v>
      </c>
      <c r="F31" s="5"/>
      <c r="G31" s="5"/>
      <c r="H31" s="43">
        <f t="shared" si="1"/>
        <v>0</v>
      </c>
      <c r="I31" s="5"/>
      <c r="J31" s="5"/>
      <c r="K31" s="5"/>
      <c r="L31" s="5"/>
      <c r="M31" s="5"/>
      <c r="N31" s="39" t="str">
        <f t="shared" si="0"/>
        <v/>
      </c>
      <c r="O31" s="5"/>
      <c r="P31" s="5"/>
      <c r="Q31" s="5"/>
      <c r="R31" s="5"/>
      <c r="S31" s="5"/>
      <c r="T31" s="5"/>
    </row>
    <row r="32" spans="1:20" ht="25.5" x14ac:dyDescent="0.25">
      <c r="A32" s="110" t="s">
        <v>410</v>
      </c>
      <c r="B32" s="112" t="s">
        <v>247</v>
      </c>
      <c r="C32" s="113" t="s">
        <v>63</v>
      </c>
      <c r="D32" s="114" t="s">
        <v>427</v>
      </c>
      <c r="E32" s="115" t="s">
        <v>211</v>
      </c>
      <c r="F32" s="5"/>
      <c r="G32" s="5"/>
      <c r="H32" s="43">
        <f t="shared" si="1"/>
        <v>0</v>
      </c>
      <c r="I32" s="5"/>
      <c r="J32" s="5"/>
      <c r="K32" s="5"/>
      <c r="L32" s="5"/>
      <c r="M32" s="5"/>
      <c r="N32" s="39" t="str">
        <f t="shared" si="0"/>
        <v/>
      </c>
      <c r="O32" s="5"/>
      <c r="P32" s="5"/>
      <c r="Q32" s="5"/>
      <c r="R32" s="5"/>
      <c r="S32" s="5"/>
      <c r="T32" s="5"/>
    </row>
    <row r="33" spans="1:20" x14ac:dyDescent="0.25">
      <c r="A33" s="110" t="s">
        <v>410</v>
      </c>
      <c r="B33" s="112" t="s">
        <v>252</v>
      </c>
      <c r="C33" s="113" t="s">
        <v>294</v>
      </c>
      <c r="D33" s="114" t="s">
        <v>251</v>
      </c>
      <c r="E33" s="115" t="s">
        <v>295</v>
      </c>
      <c r="F33" s="5"/>
      <c r="G33" s="5"/>
      <c r="H33" s="43">
        <f t="shared" si="1"/>
        <v>0</v>
      </c>
      <c r="I33" s="5"/>
      <c r="J33" s="5"/>
      <c r="K33" s="5"/>
      <c r="L33" s="5"/>
      <c r="M33" s="5"/>
      <c r="N33" s="39" t="str">
        <f t="shared" si="0"/>
        <v/>
      </c>
      <c r="O33" s="5"/>
      <c r="P33" s="5"/>
      <c r="Q33" s="5"/>
      <c r="R33" s="5"/>
      <c r="S33" s="5"/>
      <c r="T33" s="5"/>
    </row>
    <row r="34" spans="1:20" x14ac:dyDescent="0.25">
      <c r="A34" s="110" t="s">
        <v>410</v>
      </c>
      <c r="B34" s="112" t="s">
        <v>257</v>
      </c>
      <c r="C34" s="113" t="s">
        <v>226</v>
      </c>
      <c r="D34" s="114" t="s">
        <v>249</v>
      </c>
      <c r="E34" s="115" t="s">
        <v>297</v>
      </c>
      <c r="F34" s="5"/>
      <c r="G34" s="5"/>
      <c r="H34" s="43">
        <f t="shared" si="1"/>
        <v>0</v>
      </c>
      <c r="I34" s="5"/>
      <c r="J34" s="5"/>
      <c r="K34" s="5"/>
      <c r="L34" s="5"/>
      <c r="M34" s="5"/>
      <c r="N34" s="39" t="str">
        <f t="shared" si="0"/>
        <v/>
      </c>
      <c r="O34" s="5"/>
      <c r="P34" s="5"/>
      <c r="Q34" s="5"/>
      <c r="R34" s="5"/>
      <c r="S34" s="5"/>
      <c r="T34" s="5"/>
    </row>
    <row r="35" spans="1:20" ht="25.5" x14ac:dyDescent="0.25">
      <c r="A35" s="110" t="s">
        <v>410</v>
      </c>
      <c r="B35" s="112" t="s">
        <v>296</v>
      </c>
      <c r="C35" s="113" t="s">
        <v>300</v>
      </c>
      <c r="D35" s="114" t="s">
        <v>227</v>
      </c>
      <c r="E35" s="115" t="s">
        <v>301</v>
      </c>
      <c r="F35" s="5"/>
      <c r="G35" s="5"/>
      <c r="H35" s="43">
        <f t="shared" si="1"/>
        <v>0</v>
      </c>
      <c r="I35" s="5"/>
      <c r="J35" s="5"/>
      <c r="K35" s="5"/>
      <c r="L35" s="5"/>
      <c r="M35" s="5"/>
      <c r="N35" s="39" t="str">
        <f t="shared" si="0"/>
        <v/>
      </c>
      <c r="O35" s="5"/>
      <c r="P35" s="5"/>
      <c r="Q35" s="5"/>
      <c r="R35" s="5"/>
      <c r="S35" s="5"/>
      <c r="T35" s="5"/>
    </row>
    <row r="36" spans="1:20" x14ac:dyDescent="0.25">
      <c r="A36" s="110" t="s">
        <v>410</v>
      </c>
      <c r="B36" s="112" t="s">
        <v>282</v>
      </c>
      <c r="C36" s="113" t="s">
        <v>302</v>
      </c>
      <c r="D36" s="114" t="s">
        <v>245</v>
      </c>
      <c r="E36" s="115" t="s">
        <v>303</v>
      </c>
      <c r="F36" s="5"/>
      <c r="G36" s="5"/>
      <c r="H36" s="43">
        <f t="shared" si="1"/>
        <v>0</v>
      </c>
      <c r="I36" s="5"/>
      <c r="J36" s="5"/>
      <c r="K36" s="5"/>
      <c r="L36" s="5"/>
      <c r="M36" s="5"/>
      <c r="N36" s="39" t="str">
        <f t="shared" si="0"/>
        <v/>
      </c>
      <c r="O36" s="5"/>
      <c r="P36" s="5"/>
      <c r="Q36" s="5"/>
      <c r="R36" s="5"/>
      <c r="S36" s="5"/>
      <c r="T36" s="5"/>
    </row>
    <row r="37" spans="1:20" ht="38.25" x14ac:dyDescent="0.25">
      <c r="A37" s="110" t="s">
        <v>410</v>
      </c>
      <c r="B37" s="112" t="s">
        <v>299</v>
      </c>
      <c r="C37" s="113" t="s">
        <v>304</v>
      </c>
      <c r="D37" s="114" t="s">
        <v>227</v>
      </c>
      <c r="E37" s="115" t="s">
        <v>305</v>
      </c>
      <c r="F37" s="5"/>
      <c r="G37" s="5"/>
      <c r="H37" s="43">
        <f t="shared" si="1"/>
        <v>0</v>
      </c>
      <c r="I37" s="5"/>
      <c r="J37" s="5"/>
      <c r="K37" s="5"/>
      <c r="L37" s="5"/>
      <c r="M37" s="5"/>
      <c r="N37" s="39" t="str">
        <f t="shared" si="0"/>
        <v/>
      </c>
      <c r="O37" s="5"/>
      <c r="P37" s="5"/>
      <c r="Q37" s="5"/>
      <c r="R37" s="5"/>
      <c r="S37" s="5"/>
      <c r="T37" s="5"/>
    </row>
    <row r="38" spans="1:20" ht="25.5" x14ac:dyDescent="0.25">
      <c r="A38" s="110" t="s">
        <v>410</v>
      </c>
      <c r="B38" s="112" t="s">
        <v>247</v>
      </c>
      <c r="C38" s="113" t="s">
        <v>428</v>
      </c>
      <c r="D38" s="114" t="s">
        <v>249</v>
      </c>
      <c r="E38" s="115" t="s">
        <v>343</v>
      </c>
      <c r="F38" s="5"/>
      <c r="G38" s="5"/>
      <c r="H38" s="43">
        <f t="shared" si="1"/>
        <v>0</v>
      </c>
      <c r="I38" s="5"/>
      <c r="J38" s="5"/>
      <c r="K38" s="5"/>
      <c r="L38" s="5"/>
      <c r="M38" s="5"/>
      <c r="N38" s="39" t="str">
        <f t="shared" si="0"/>
        <v/>
      </c>
      <c r="O38" s="5"/>
      <c r="P38" s="5"/>
      <c r="Q38" s="5"/>
      <c r="R38" s="5"/>
      <c r="S38" s="5"/>
      <c r="T38" s="5"/>
    </row>
    <row r="39" spans="1:20" ht="25.5" x14ac:dyDescent="0.25">
      <c r="A39" s="110" t="s">
        <v>410</v>
      </c>
      <c r="B39" s="112" t="s">
        <v>296</v>
      </c>
      <c r="C39" s="113" t="s">
        <v>429</v>
      </c>
      <c r="D39" s="114" t="s">
        <v>251</v>
      </c>
      <c r="E39" s="115" t="s">
        <v>324</v>
      </c>
      <c r="F39" s="5"/>
      <c r="G39" s="5"/>
      <c r="H39" s="43">
        <f t="shared" si="1"/>
        <v>0</v>
      </c>
      <c r="I39" s="5"/>
      <c r="J39" s="5"/>
      <c r="K39" s="5"/>
      <c r="L39" s="5"/>
      <c r="M39" s="5"/>
      <c r="N39" s="39" t="str">
        <f t="shared" si="0"/>
        <v/>
      </c>
      <c r="O39" s="5"/>
      <c r="P39" s="5"/>
      <c r="Q39" s="5"/>
      <c r="R39" s="5"/>
      <c r="S39" s="5"/>
      <c r="T39" s="5"/>
    </row>
    <row r="40" spans="1:20" ht="38.25" x14ac:dyDescent="0.25">
      <c r="A40" s="110" t="s">
        <v>410</v>
      </c>
      <c r="B40" s="112" t="s">
        <v>299</v>
      </c>
      <c r="C40" s="113" t="s">
        <v>430</v>
      </c>
      <c r="D40" s="114" t="s">
        <v>427</v>
      </c>
      <c r="E40" s="115" t="s">
        <v>431</v>
      </c>
      <c r="F40" s="5"/>
      <c r="G40" s="5"/>
      <c r="H40" s="43">
        <f t="shared" si="1"/>
        <v>0</v>
      </c>
      <c r="I40" s="5"/>
      <c r="J40" s="5"/>
      <c r="K40" s="5"/>
      <c r="L40" s="5"/>
      <c r="M40" s="5"/>
      <c r="N40" s="39" t="str">
        <f t="shared" si="0"/>
        <v/>
      </c>
      <c r="O40" s="5"/>
      <c r="P40" s="5"/>
      <c r="Q40" s="5"/>
      <c r="R40" s="5"/>
      <c r="S40" s="5"/>
      <c r="T40" s="5"/>
    </row>
    <row r="41" spans="1:20" ht="25.5" x14ac:dyDescent="0.25">
      <c r="A41" s="110" t="s">
        <v>410</v>
      </c>
      <c r="B41" s="112" t="s">
        <v>15</v>
      </c>
      <c r="C41" s="113" t="s">
        <v>432</v>
      </c>
      <c r="D41" s="114" t="s">
        <v>249</v>
      </c>
      <c r="E41" s="115" t="s">
        <v>340</v>
      </c>
      <c r="F41" s="5"/>
      <c r="G41" s="5"/>
      <c r="H41" s="43">
        <f t="shared" si="1"/>
        <v>0</v>
      </c>
      <c r="I41" s="5"/>
      <c r="J41" s="5"/>
      <c r="K41" s="5"/>
      <c r="L41" s="5"/>
      <c r="M41" s="5"/>
      <c r="N41" s="39" t="str">
        <f t="shared" si="0"/>
        <v/>
      </c>
      <c r="O41" s="5"/>
      <c r="P41" s="5"/>
      <c r="Q41" s="5"/>
      <c r="R41" s="5"/>
      <c r="S41" s="5"/>
      <c r="T41" s="5"/>
    </row>
    <row r="42" spans="1:20" ht="25.5" x14ac:dyDescent="0.25">
      <c r="A42" s="110" t="s">
        <v>410</v>
      </c>
      <c r="B42" s="112" t="s">
        <v>296</v>
      </c>
      <c r="C42" s="113" t="s">
        <v>433</v>
      </c>
      <c r="D42" s="114" t="s">
        <v>291</v>
      </c>
      <c r="E42" s="115" t="s">
        <v>572</v>
      </c>
      <c r="F42" s="67">
        <v>46164</v>
      </c>
      <c r="G42" s="5"/>
      <c r="H42" s="43">
        <f t="shared" si="1"/>
        <v>-46164</v>
      </c>
      <c r="I42" s="5">
        <v>20800</v>
      </c>
      <c r="J42" s="5"/>
      <c r="K42" s="5"/>
      <c r="L42" s="5"/>
      <c r="M42" s="5">
        <v>20000</v>
      </c>
      <c r="N42" s="39">
        <f t="shared" si="0"/>
        <v>30000</v>
      </c>
      <c r="O42" s="5"/>
      <c r="P42" s="5"/>
      <c r="Q42" s="5"/>
      <c r="R42" s="5"/>
      <c r="S42" s="5"/>
      <c r="T42" s="5"/>
    </row>
    <row r="43" spans="1:20" ht="38.25" x14ac:dyDescent="0.25">
      <c r="A43" s="110" t="s">
        <v>410</v>
      </c>
      <c r="B43" s="112" t="s">
        <v>299</v>
      </c>
      <c r="C43" s="113" t="s">
        <v>434</v>
      </c>
      <c r="D43" s="114" t="s">
        <v>249</v>
      </c>
      <c r="E43" s="115" t="s">
        <v>346</v>
      </c>
      <c r="F43" s="5"/>
      <c r="G43" s="5"/>
      <c r="H43" s="43">
        <f t="shared" si="1"/>
        <v>0</v>
      </c>
      <c r="I43" s="5"/>
      <c r="J43" s="5"/>
      <c r="K43" s="5"/>
      <c r="L43" s="5"/>
      <c r="M43" s="5"/>
      <c r="N43" s="39" t="str">
        <f t="shared" si="0"/>
        <v/>
      </c>
      <c r="O43" s="5"/>
      <c r="P43" s="5"/>
      <c r="Q43" s="5"/>
      <c r="R43" s="5"/>
      <c r="S43" s="5"/>
      <c r="T43" s="5"/>
    </row>
    <row r="44" spans="1:20" ht="38.25" x14ac:dyDescent="0.25">
      <c r="A44" s="110" t="s">
        <v>410</v>
      </c>
      <c r="B44" s="112" t="s">
        <v>299</v>
      </c>
      <c r="C44" s="113" t="s">
        <v>13</v>
      </c>
      <c r="D44" s="114" t="s">
        <v>261</v>
      </c>
      <c r="E44" s="115" t="s">
        <v>326</v>
      </c>
      <c r="F44" s="5"/>
      <c r="G44" s="5"/>
      <c r="H44" s="43">
        <f t="shared" si="1"/>
        <v>0</v>
      </c>
      <c r="I44" s="5"/>
      <c r="J44" s="5"/>
      <c r="K44" s="5"/>
      <c r="L44" s="5"/>
      <c r="M44" s="5"/>
      <c r="N44" s="39" t="str">
        <f t="shared" si="0"/>
        <v/>
      </c>
      <c r="O44" s="5"/>
      <c r="P44" s="5"/>
      <c r="Q44" s="5"/>
      <c r="R44" s="5"/>
      <c r="S44" s="5"/>
      <c r="T44" s="5"/>
    </row>
    <row r="45" spans="1:20" ht="38.25" x14ac:dyDescent="0.25">
      <c r="A45" s="110" t="s">
        <v>410</v>
      </c>
      <c r="B45" s="112" t="s">
        <v>299</v>
      </c>
      <c r="C45" s="113" t="s">
        <v>54</v>
      </c>
      <c r="D45" s="114" t="s">
        <v>227</v>
      </c>
      <c r="E45" s="115" t="s">
        <v>370</v>
      </c>
      <c r="F45" s="5"/>
      <c r="G45" s="5"/>
      <c r="H45" s="43">
        <f t="shared" si="1"/>
        <v>0</v>
      </c>
      <c r="I45" s="5"/>
      <c r="J45" s="5"/>
      <c r="K45" s="5"/>
      <c r="L45" s="5"/>
      <c r="M45" s="5"/>
      <c r="N45" s="39" t="str">
        <f t="shared" si="0"/>
        <v/>
      </c>
      <c r="O45" s="5"/>
      <c r="P45" s="5"/>
      <c r="Q45" s="5"/>
      <c r="R45" s="5"/>
      <c r="S45" s="5"/>
      <c r="T45" s="5"/>
    </row>
    <row r="46" spans="1:20" ht="25.5" x14ac:dyDescent="0.25">
      <c r="A46" s="110" t="s">
        <v>410</v>
      </c>
      <c r="B46" s="112" t="s">
        <v>296</v>
      </c>
      <c r="C46" s="113" t="s">
        <v>274</v>
      </c>
      <c r="D46" s="114" t="s">
        <v>227</v>
      </c>
      <c r="E46" s="115" t="s">
        <v>362</v>
      </c>
      <c r="F46" s="5"/>
      <c r="G46" s="5"/>
      <c r="H46" s="43">
        <f t="shared" si="1"/>
        <v>0</v>
      </c>
      <c r="I46" s="5"/>
      <c r="J46" s="5"/>
      <c r="K46" s="5"/>
      <c r="L46" s="5"/>
      <c r="M46" s="5"/>
      <c r="N46" s="39" t="str">
        <f t="shared" si="0"/>
        <v/>
      </c>
      <c r="O46" s="5"/>
      <c r="P46" s="5"/>
      <c r="Q46" s="5"/>
      <c r="R46" s="5"/>
      <c r="S46" s="5"/>
      <c r="T46" s="5"/>
    </row>
    <row r="47" spans="1:20" ht="25.5" x14ac:dyDescent="0.25">
      <c r="A47" s="110" t="s">
        <v>410</v>
      </c>
      <c r="B47" s="112" t="s">
        <v>296</v>
      </c>
      <c r="C47" s="113" t="s">
        <v>359</v>
      </c>
      <c r="D47" s="114" t="s">
        <v>249</v>
      </c>
      <c r="E47" s="115" t="s">
        <v>361</v>
      </c>
      <c r="F47" s="5"/>
      <c r="G47" s="5"/>
      <c r="H47" s="43">
        <f t="shared" si="1"/>
        <v>0</v>
      </c>
      <c r="I47" s="5"/>
      <c r="J47" s="5"/>
      <c r="K47" s="5"/>
      <c r="L47" s="5"/>
      <c r="M47" s="5"/>
      <c r="N47" s="39" t="str">
        <f t="shared" si="0"/>
        <v/>
      </c>
      <c r="O47" s="5"/>
      <c r="P47" s="5"/>
      <c r="Q47" s="5"/>
      <c r="R47" s="5"/>
      <c r="S47" s="5"/>
      <c r="T47" s="5"/>
    </row>
    <row r="48" spans="1:20" ht="25.5" x14ac:dyDescent="0.25">
      <c r="A48" s="110" t="s">
        <v>410</v>
      </c>
      <c r="B48" s="112" t="s">
        <v>296</v>
      </c>
      <c r="C48" s="113" t="s">
        <v>14</v>
      </c>
      <c r="D48" s="114" t="s">
        <v>285</v>
      </c>
      <c r="E48" s="115" t="s">
        <v>366</v>
      </c>
      <c r="F48" s="5"/>
      <c r="G48" s="5"/>
      <c r="H48" s="43">
        <f t="shared" si="1"/>
        <v>0</v>
      </c>
      <c r="I48" s="5"/>
      <c r="J48" s="5"/>
      <c r="K48" s="5"/>
      <c r="L48" s="5"/>
      <c r="M48" s="5"/>
      <c r="N48" s="39" t="str">
        <f t="shared" si="0"/>
        <v/>
      </c>
      <c r="O48" s="5"/>
      <c r="P48" s="5"/>
      <c r="Q48" s="5"/>
      <c r="R48" s="5"/>
      <c r="S48" s="5"/>
      <c r="T48" s="5"/>
    </row>
    <row r="49" spans="1:20" ht="38.25" x14ac:dyDescent="0.25">
      <c r="A49" s="110" t="s">
        <v>410</v>
      </c>
      <c r="B49" s="112" t="s">
        <v>299</v>
      </c>
      <c r="C49" s="113" t="s">
        <v>435</v>
      </c>
      <c r="D49" s="114" t="s">
        <v>227</v>
      </c>
      <c r="E49" s="115" t="s">
        <v>373</v>
      </c>
      <c r="F49" s="5"/>
      <c r="G49" s="5"/>
      <c r="H49" s="43">
        <f t="shared" si="1"/>
        <v>0</v>
      </c>
      <c r="I49" s="5"/>
      <c r="J49" s="5"/>
      <c r="K49" s="5"/>
      <c r="L49" s="5"/>
      <c r="M49" s="5"/>
      <c r="N49" s="39" t="str">
        <f t="shared" si="0"/>
        <v/>
      </c>
      <c r="O49" s="5"/>
      <c r="P49" s="5"/>
      <c r="Q49" s="5"/>
      <c r="R49" s="5"/>
      <c r="S49" s="5"/>
      <c r="T49" s="5"/>
    </row>
    <row r="50" spans="1:20" ht="25.5" x14ac:dyDescent="0.25">
      <c r="A50" s="110" t="s">
        <v>410</v>
      </c>
      <c r="B50" s="112" t="s">
        <v>438</v>
      </c>
      <c r="C50" s="113" t="s">
        <v>284</v>
      </c>
      <c r="D50" s="114" t="s">
        <v>249</v>
      </c>
      <c r="E50" s="115" t="s">
        <v>436</v>
      </c>
      <c r="F50" s="5"/>
      <c r="G50" s="5"/>
      <c r="H50" s="43">
        <f t="shared" si="1"/>
        <v>0</v>
      </c>
      <c r="I50" s="5"/>
      <c r="J50" s="5"/>
      <c r="K50" s="5"/>
      <c r="L50" s="5"/>
      <c r="M50" s="5"/>
      <c r="N50" s="39" t="str">
        <f t="shared" si="0"/>
        <v/>
      </c>
      <c r="O50" s="5"/>
      <c r="P50" s="5"/>
      <c r="Q50" s="5"/>
      <c r="R50" s="5"/>
      <c r="S50" s="5"/>
      <c r="T50" s="5"/>
    </row>
    <row r="51" spans="1:20" ht="25.5" x14ac:dyDescent="0.25">
      <c r="A51" s="110" t="s">
        <v>410</v>
      </c>
      <c r="B51" s="112" t="s">
        <v>438</v>
      </c>
      <c r="C51" s="113" t="s">
        <v>437</v>
      </c>
      <c r="D51" s="114" t="s">
        <v>227</v>
      </c>
      <c r="E51" s="115" t="s">
        <v>380</v>
      </c>
      <c r="F51" s="67">
        <v>46164</v>
      </c>
      <c r="G51" s="5"/>
      <c r="H51" s="43">
        <f t="shared" si="1"/>
        <v>-46164</v>
      </c>
      <c r="I51" s="5">
        <v>29846</v>
      </c>
      <c r="J51" s="5" t="s">
        <v>608</v>
      </c>
      <c r="K51" s="5"/>
      <c r="L51" s="5"/>
      <c r="M51" s="5">
        <v>30000</v>
      </c>
      <c r="N51" s="39">
        <f t="shared" si="0"/>
        <v>40000</v>
      </c>
      <c r="O51" s="5"/>
      <c r="P51" s="5"/>
      <c r="Q51" s="5"/>
      <c r="R51" s="5"/>
      <c r="S51" s="5"/>
      <c r="T51" s="5"/>
    </row>
    <row r="52" spans="1:20" ht="25.5" x14ac:dyDescent="0.25">
      <c r="A52" s="110" t="s">
        <v>410</v>
      </c>
      <c r="B52" s="112" t="s">
        <v>438</v>
      </c>
      <c r="C52" s="113" t="s">
        <v>594</v>
      </c>
      <c r="D52" s="114" t="s">
        <v>227</v>
      </c>
      <c r="E52" s="115" t="s">
        <v>224</v>
      </c>
      <c r="F52" s="67">
        <v>46148</v>
      </c>
      <c r="G52" s="5"/>
      <c r="H52" s="43">
        <f t="shared" si="1"/>
        <v>-46148</v>
      </c>
      <c r="I52" s="5">
        <v>42105</v>
      </c>
      <c r="J52" s="5"/>
      <c r="K52" s="5"/>
      <c r="L52" s="5"/>
      <c r="M52" s="5"/>
      <c r="N52" s="39" t="str">
        <f t="shared" si="0"/>
        <v/>
      </c>
      <c r="O52" s="5"/>
      <c r="P52" s="5" t="s">
        <v>595</v>
      </c>
      <c r="Q52" s="5"/>
      <c r="R52" s="5"/>
      <c r="S52" s="5"/>
      <c r="T52" s="5"/>
    </row>
    <row r="53" spans="1:20" ht="25.5" x14ac:dyDescent="0.25">
      <c r="A53" s="110" t="s">
        <v>410</v>
      </c>
      <c r="B53" s="112" t="s">
        <v>439</v>
      </c>
      <c r="C53" s="127"/>
      <c r="D53" s="127"/>
      <c r="E53" s="132"/>
      <c r="F53" s="5"/>
      <c r="G53" s="5"/>
      <c r="H53" s="43">
        <f t="shared" si="1"/>
        <v>0</v>
      </c>
      <c r="I53" s="5"/>
      <c r="J53" s="5"/>
      <c r="K53" s="5"/>
      <c r="L53" s="5"/>
      <c r="M53" s="5"/>
      <c r="N53" s="39" t="str">
        <f t="shared" si="0"/>
        <v/>
      </c>
      <c r="O53" s="5"/>
      <c r="P53" s="5"/>
      <c r="Q53" s="5"/>
      <c r="R53" s="5"/>
      <c r="S53" s="5"/>
      <c r="T53" s="5"/>
    </row>
    <row r="54" spans="1:20" ht="30" x14ac:dyDescent="0.25">
      <c r="A54" s="110" t="s">
        <v>410</v>
      </c>
      <c r="B54" s="112" t="s">
        <v>296</v>
      </c>
      <c r="C54" s="133" t="s">
        <v>457</v>
      </c>
      <c r="D54" s="125" t="s">
        <v>245</v>
      </c>
      <c r="E54" s="126" t="s">
        <v>458</v>
      </c>
      <c r="F54" s="5"/>
      <c r="G54" s="5"/>
      <c r="H54" s="43">
        <f t="shared" si="1"/>
        <v>0</v>
      </c>
      <c r="I54" s="5"/>
      <c r="J54" s="5"/>
      <c r="K54" s="5"/>
      <c r="L54" s="5"/>
      <c r="M54" s="5"/>
      <c r="N54" s="39" t="str">
        <f t="shared" si="0"/>
        <v/>
      </c>
      <c r="O54" s="5"/>
      <c r="P54" s="5"/>
      <c r="Q54" s="5"/>
      <c r="R54" s="5"/>
      <c r="S54" s="5"/>
      <c r="T54" s="5"/>
    </row>
    <row r="55" spans="1:20" x14ac:dyDescent="0.25">
      <c r="A55" s="110" t="s">
        <v>410</v>
      </c>
      <c r="B55" s="112" t="s">
        <v>15</v>
      </c>
      <c r="C55" s="125" t="s">
        <v>532</v>
      </c>
      <c r="D55" s="125" t="s">
        <v>251</v>
      </c>
      <c r="E55" s="126" t="s">
        <v>496</v>
      </c>
      <c r="F55" s="67">
        <v>46176</v>
      </c>
      <c r="G55" s="67">
        <v>46176</v>
      </c>
      <c r="H55" s="43">
        <f t="shared" si="1"/>
        <v>0</v>
      </c>
      <c r="I55" s="5">
        <v>61000</v>
      </c>
      <c r="J55" s="5" t="s">
        <v>635</v>
      </c>
      <c r="K55" s="5" t="s">
        <v>636</v>
      </c>
      <c r="L55" s="5"/>
      <c r="M55" s="5">
        <v>60000</v>
      </c>
      <c r="N55" s="39">
        <f t="shared" si="0"/>
        <v>70000</v>
      </c>
      <c r="O55" s="5" t="s">
        <v>637</v>
      </c>
      <c r="P55" s="5" t="s">
        <v>403</v>
      </c>
      <c r="Q55" s="5" t="s">
        <v>638</v>
      </c>
      <c r="R55" s="5" t="s">
        <v>639</v>
      </c>
      <c r="S55" s="5"/>
      <c r="T55" s="5"/>
    </row>
    <row r="56" spans="1:20" x14ac:dyDescent="0.25">
      <c r="A56" s="110" t="s">
        <v>410</v>
      </c>
      <c r="B56" s="112" t="s">
        <v>15</v>
      </c>
      <c r="C56" s="127" t="s">
        <v>294</v>
      </c>
      <c r="D56" s="127"/>
      <c r="E56" s="132" t="s">
        <v>663</v>
      </c>
      <c r="F56" s="67">
        <v>46183</v>
      </c>
      <c r="G56" s="67">
        <v>46183</v>
      </c>
      <c r="H56" s="43">
        <f t="shared" si="1"/>
        <v>0</v>
      </c>
      <c r="I56" s="5">
        <v>29414</v>
      </c>
      <c r="J56" s="5" t="s">
        <v>635</v>
      </c>
      <c r="K56" s="5" t="s">
        <v>636</v>
      </c>
      <c r="L56" s="5"/>
      <c r="M56" s="5">
        <v>30000</v>
      </c>
      <c r="N56" s="39">
        <f t="shared" si="0"/>
        <v>40000</v>
      </c>
      <c r="O56" s="5" t="s">
        <v>413</v>
      </c>
      <c r="P56" s="5" t="s">
        <v>403</v>
      </c>
      <c r="Q56" s="5" t="s">
        <v>664</v>
      </c>
      <c r="R56" s="5" t="s">
        <v>639</v>
      </c>
      <c r="S56" s="5"/>
      <c r="T56" s="5"/>
    </row>
    <row r="57" spans="1:20" x14ac:dyDescent="0.25">
      <c r="A57" s="127"/>
      <c r="B57" s="127"/>
      <c r="C57" s="127"/>
      <c r="D57" s="127"/>
      <c r="E57" s="132"/>
      <c r="F57" s="5"/>
      <c r="G57" s="5"/>
      <c r="H57" s="43">
        <f t="shared" si="1"/>
        <v>0</v>
      </c>
      <c r="I57" s="5"/>
      <c r="J57" s="5"/>
      <c r="K57" s="5"/>
      <c r="L57" s="5"/>
      <c r="M57" s="5"/>
      <c r="N57" s="39" t="str">
        <f t="shared" si="0"/>
        <v/>
      </c>
      <c r="O57" s="5"/>
      <c r="P57" s="5"/>
      <c r="Q57" s="5"/>
      <c r="R57" s="5"/>
      <c r="S57" s="5"/>
      <c r="T57" s="5"/>
    </row>
    <row r="58" spans="1:20" x14ac:dyDescent="0.25">
      <c r="A58" s="127"/>
      <c r="B58" s="127"/>
      <c r="C58" s="127"/>
      <c r="D58" s="127"/>
      <c r="E58" s="132"/>
      <c r="F58" s="5"/>
      <c r="G58" s="5"/>
      <c r="H58" s="43">
        <f t="shared" si="1"/>
        <v>0</v>
      </c>
      <c r="I58" s="5"/>
      <c r="J58" s="5"/>
      <c r="K58" s="5"/>
      <c r="L58" s="5"/>
      <c r="M58" s="5"/>
      <c r="N58" s="39" t="str">
        <f t="shared" si="0"/>
        <v/>
      </c>
      <c r="O58" s="5"/>
      <c r="P58" s="5"/>
      <c r="Q58" s="5"/>
      <c r="R58" s="5"/>
      <c r="S58" s="5"/>
      <c r="T58" s="5"/>
    </row>
    <row r="59" spans="1:20" x14ac:dyDescent="0.25">
      <c r="A59" s="127"/>
      <c r="B59" s="127"/>
      <c r="C59" s="127"/>
      <c r="D59" s="127"/>
      <c r="E59" s="132"/>
      <c r="F59" s="5"/>
      <c r="G59" s="5"/>
      <c r="H59" s="43">
        <f t="shared" si="1"/>
        <v>0</v>
      </c>
      <c r="I59" s="5"/>
      <c r="J59" s="5"/>
      <c r="K59" s="5"/>
      <c r="L59" s="5"/>
      <c r="M59" s="5"/>
      <c r="N59" s="39" t="str">
        <f t="shared" si="0"/>
        <v/>
      </c>
      <c r="O59" s="5"/>
      <c r="P59" s="5"/>
      <c r="Q59" s="5"/>
      <c r="R59" s="5"/>
      <c r="S59" s="5"/>
      <c r="T59" s="5"/>
    </row>
    <row r="60" spans="1:20" x14ac:dyDescent="0.25">
      <c r="A60" s="127"/>
      <c r="B60" s="127"/>
      <c r="C60" s="127"/>
      <c r="D60" s="127"/>
      <c r="E60" s="132"/>
      <c r="F60" s="5"/>
      <c r="G60" s="5"/>
      <c r="H60" s="43">
        <f t="shared" si="1"/>
        <v>0</v>
      </c>
      <c r="I60" s="5"/>
      <c r="J60" s="5"/>
      <c r="K60" s="5"/>
      <c r="L60" s="5"/>
      <c r="M60" s="5"/>
      <c r="N60" s="39" t="str">
        <f t="shared" si="0"/>
        <v/>
      </c>
      <c r="O60" s="5"/>
      <c r="P60" s="5"/>
      <c r="Q60" s="5"/>
      <c r="R60" s="5"/>
      <c r="S60" s="5"/>
      <c r="T60" s="5"/>
    </row>
    <row r="61" spans="1:20" x14ac:dyDescent="0.25">
      <c r="A61" s="127"/>
      <c r="B61" s="127"/>
      <c r="C61" s="127"/>
      <c r="D61" s="127"/>
      <c r="E61" s="132"/>
      <c r="F61" s="5"/>
      <c r="G61" s="5"/>
      <c r="H61" s="43">
        <f t="shared" si="1"/>
        <v>0</v>
      </c>
      <c r="I61" s="5"/>
      <c r="J61" s="5"/>
      <c r="K61" s="5"/>
      <c r="L61" s="5"/>
      <c r="M61" s="5"/>
      <c r="N61" s="39" t="str">
        <f t="shared" si="0"/>
        <v/>
      </c>
      <c r="O61" s="5"/>
      <c r="P61" s="5"/>
      <c r="Q61" s="5"/>
      <c r="R61" s="5"/>
      <c r="S61" s="5"/>
      <c r="T61" s="5"/>
    </row>
  </sheetData>
  <autoFilter ref="A2:T56" xr:uid="{5D2CAC05-D05E-4725-BF69-4E2ADF75DA52}"/>
  <mergeCells count="1">
    <mergeCell ref="A1:T1"/>
  </mergeCells>
  <phoneticPr fontId="5" type="noConversion"/>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AVARIAS ATUAIS</vt:lpstr>
      <vt:lpstr>AVARIAS RESOLVIDAS</vt:lpstr>
      <vt:lpstr>ANÁLISE CHECKLIST</vt:lpstr>
      <vt:lpstr>Manutenção - Locadoras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Jaqueline Ateone</dc:creator>
  <cp:lastModifiedBy>Office 6</cp:lastModifiedBy>
  <dcterms:created xsi:type="dcterms:W3CDTF">2025-03-19T17:21:26Z</dcterms:created>
  <dcterms:modified xsi:type="dcterms:W3CDTF">2026-06-16T11:23:35Z</dcterms:modified>
</cp:coreProperties>
</file>