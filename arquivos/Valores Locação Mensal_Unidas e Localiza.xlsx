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02 - Documentação Empresa\9.Veiculos\2. Locação Veicular\4. Planilhas de acompanhamento veicular\"/>
    </mc:Choice>
  </mc:AlternateContent>
  <xr:revisionPtr revIDLastSave="0" documentId="13_ncr:1_{0CF68680-0AF2-480F-997C-DF860406B48E}" xr6:coauthVersionLast="47" xr6:coauthVersionMax="47" xr10:uidLastSave="{00000000-0000-0000-0000-000000000000}"/>
  <bookViews>
    <workbookView xWindow="-120" yWindow="-120" windowWidth="29040" windowHeight="15720" firstSheet="1" activeTab="3" xr2:uid="{2E40261B-C88E-40F9-B842-B078E8DC3B08}"/>
  </bookViews>
  <sheets>
    <sheet name="Veículos 2024-2025" sheetId="1" r:id="rId1"/>
    <sheet name="Valores Locadoras 2025" sheetId="2" r:id="rId2"/>
    <sheet name="Valores Locadoras 2026" sheetId="3" r:id="rId3"/>
    <sheet name="Cotação Naciona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D26" i="3"/>
  <c r="E26" i="3"/>
  <c r="F26" i="3"/>
  <c r="C27" i="3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C31" i="3"/>
  <c r="D31" i="3"/>
  <c r="E31" i="3"/>
  <c r="F31" i="3"/>
  <c r="C32" i="3"/>
  <c r="D32" i="3"/>
  <c r="E32" i="3"/>
  <c r="F32" i="3"/>
  <c r="C33" i="3"/>
  <c r="D33" i="3"/>
  <c r="E33" i="3"/>
  <c r="F33" i="3"/>
  <c r="C34" i="3"/>
  <c r="D34" i="3"/>
  <c r="E34" i="3"/>
  <c r="F34" i="3"/>
  <c r="C35" i="3"/>
  <c r="D35" i="3"/>
  <c r="E35" i="3"/>
  <c r="F35" i="3"/>
  <c r="C36" i="3"/>
  <c r="D36" i="3"/>
  <c r="E36" i="3"/>
  <c r="F36" i="3"/>
  <c r="C37" i="3"/>
  <c r="D37" i="3"/>
  <c r="E37" i="3"/>
  <c r="F37" i="3"/>
  <c r="C38" i="3"/>
  <c r="D38" i="3"/>
  <c r="E38" i="3"/>
  <c r="F38" i="3"/>
  <c r="D24" i="3"/>
  <c r="E24" i="3"/>
  <c r="F24" i="3"/>
  <c r="D25" i="3"/>
  <c r="E25" i="3"/>
  <c r="F25" i="3"/>
  <c r="C24" i="3"/>
  <c r="C25" i="3"/>
  <c r="D23" i="3"/>
  <c r="E23" i="3"/>
  <c r="F23" i="3"/>
  <c r="C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</authors>
  <commentList>
    <comment ref="I16" authorId="0" shapeId="0" xr:uid="{FD672C4D-17FA-471B-868B-22CB0A7A40ED}">
      <text>
        <r>
          <rPr>
            <b/>
            <sz val="9"/>
            <color indexed="81"/>
            <rFont val="Segoe UI"/>
            <family val="2"/>
          </rPr>
          <t>A Localiza não envia as atualizações de mensalidade dos veículos, necessário ficar mensurando no portal o valor atual praticado.
Solicitação de Jaqueline: Fazer o orçamento uma vez por mês.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9" authorId="0" shapeId="0" xr:uid="{041B7518-1A53-4F71-BFAA-FD492A29C13D}">
      <text>
        <r>
          <rPr>
            <b/>
            <sz val="9"/>
            <color indexed="81"/>
            <rFont val="Segoe UI"/>
            <family val="2"/>
          </rPr>
          <t>Reanalisar os valores a partir de Novembro/2025</t>
        </r>
        <r>
          <rPr>
            <sz val="9"/>
            <color indexed="81"/>
            <rFont val="Segoe UI"/>
            <family val="2"/>
          </rPr>
          <t xml:space="preserve">
Manteve os valores e o aumento ocorrer a partir de maio 2026.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</authors>
  <commentList>
    <comment ref="I16" authorId="0" shapeId="0" xr:uid="{27EA5F6A-3C31-4E3B-A1EF-0E24B04C1E89}">
      <text>
        <r>
          <rPr>
            <b/>
            <sz val="9"/>
            <color indexed="81"/>
            <rFont val="Segoe UI"/>
            <family val="2"/>
          </rPr>
          <t>A Localiza não envia as atualizações de mensalidade dos veículos, necessário ficar mensurando no portal o valor atual praticado.
Solicitação de Jaqueline: Fazer o orçamento uma vez por mês.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tc={62EA1920-58FA-4E14-B061-B42237511D69}</author>
    <author>tc={78C8BFE9-17F0-436A-8419-51AA3569EFE0}</author>
    <author>tc={325807BB-4773-4F56-84C8-D6E5320CF161}</author>
    <author>tc={3A61FD74-7277-419B-8BA4-4AEAE963CEE5}</author>
    <author>tc={B124CDD2-809E-4FC3-B991-376939F6D7C4}</author>
    <author>tc={B7ACA642-880F-464A-A575-C33BE0773F69}</author>
    <author>tc={66073E68-02F6-4CBC-8574-CD0AFC525FD2}</author>
    <author>tc={7C5C040E-6B63-48E0-B06F-35FB706A661D}</author>
    <author>tc={CE7E498F-5D0D-4269-8138-98D658BCF387}</author>
    <author>tc={5D1D5EFD-3CA9-4E5F-8AAE-924A0244BF8C}</author>
    <author>tc={1FF33D4F-6BD1-495E-9F0F-A2E45BCFA90B}</author>
    <author>tc={DE302B78-947A-4B08-8964-90A0DB7F605B}</author>
    <author>tc={9A1C0F0B-A2A6-4635-B6C1-8FE9C35792CB}</author>
    <author>tc={6714CAF0-8723-465B-88C1-9ADE84951DC5}</author>
    <author>tc={58CE2F08-AEFB-4B3C-8D95-488C1707C475}</author>
    <author>tc={C235D2A0-04B0-4EF7-B06D-2D09F2571668}</author>
    <author>tc={6198FF4B-7EDD-4DDA-AC92-C867A964E943}</author>
    <author>tc={7D26A75D-A6E7-4AC3-8E12-DF16365AB65B}</author>
    <author>tc={46AD9022-034B-48EB-A79D-4D2DCA34683B}</author>
    <author>tc={E07C3F38-72D0-4C8B-A711-5A5D3477AC36}</author>
    <author>tc={39FEA309-DD4A-4390-8DB1-664D07B7AEAF}</author>
    <author>tc={1B3CD509-75E9-453B-AEC1-2869F5E95F3C}</author>
    <author>tc={9DACD750-525E-4167-8AB0-C4B05CB80004}</author>
    <author>tc={4946F58D-CAB8-49E9-80A0-E06C465EC94B}</author>
    <author>tc={4E68BD69-7CA6-4DBE-BB29-199D1381F40C}</author>
    <author>tc={3936EACD-C159-4A36-BEE6-05FBB2E4F3C2}</author>
    <author>tc={D3A0ACCA-5D37-4B39-AE89-1494CF011EBA}</author>
    <author>tc={669E614C-A546-4529-9B84-DF699852CF34}</author>
    <author>tc={09AE7770-4C02-4858-AD72-908172732072}</author>
    <author>tc={40AAD5DA-FE11-4F08-86F5-99F9386DF3B2}</author>
  </authors>
  <commentList>
    <comment ref="C12" authorId="0" shapeId="0" xr:uid="{62EA1920-58FA-4E14-B061-B42237511D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Local de retirada - Amazonas Shopping, Manaus MA</t>
      </text>
    </comment>
    <comment ref="M12" authorId="1" shapeId="0" xr:uid="{78C8BFE9-17F0-436A-8419-51AA3569EFE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RIO BRANCO
CENTRO RIO BRANCO
</t>
      </text>
    </comment>
    <comment ref="C13" authorId="2" shapeId="0" xr:uid="{325807BB-4773-4F56-84C8-D6E5320CF1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Local de retirada - Amazonas Shopping, Manaus MA</t>
      </text>
    </comment>
    <comment ref="M13" authorId="3" shapeId="0" xr:uid="{3A61FD74-7277-419B-8BA4-4AEAE963CEE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RIO BRANCO
CENTRO RIO BRANCO
</t>
      </text>
    </comment>
    <comment ref="C14" authorId="4" shapeId="0" xr:uid="{B124CDD2-809E-4FC3-B991-376939F6D7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Local de retirada - Amazonas Shopping, Manaus MA</t>
      </text>
    </comment>
    <comment ref="M14" authorId="5" shapeId="0" xr:uid="{B7ACA642-880F-464A-A575-C33BE0773F6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RIO BRANCO
CENTRO RIO BRANCO
</t>
      </text>
    </comment>
    <comment ref="C15" authorId="6" shapeId="0" xr:uid="{66073E68-02F6-4CBC-8574-CD0AFC525FD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DE SAO LUIS 
CENTRO/BAIRRO OLHO DAGUA SÃO LUIS
CENTRO / BAIRRO TURU SÃO LUIS
UNIDAS TRES PODERES, IMPERATRIZ
</t>
      </text>
    </comment>
    <comment ref="M15" authorId="7" shapeId="0" xr:uid="{7C5C040E-6B63-48E0-B06F-35FB706A66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MACAPA
CENTRO MACAPA
GARDEN SHOPPING CENTRO MACAPA</t>
      </text>
    </comment>
    <comment ref="C16" authorId="8" shapeId="0" xr:uid="{CE7E498F-5D0D-4269-8138-98D658BCF38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DE SAO LUIS 
CENTRO/BAIRRO OLHO DAGUA SÃO LUIS
CENTRO / BAIRRO TURU SÃO LUIS
UNIDAS TRES PODERES, IMPERATRIZ
</t>
      </text>
    </comment>
    <comment ref="M16" authorId="9" shapeId="0" xr:uid="{5D1D5EFD-3CA9-4E5F-8AAE-924A0244BF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MACAPA
CENTRO MACAPA
GARDEN SHOPPING CENTRO MACAPA</t>
      </text>
    </comment>
    <comment ref="C17" authorId="10" shapeId="0" xr:uid="{1FF33D4F-6BD1-495E-9F0F-A2E45BCFA90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DE SAO LUIS 
CENTRO/BAIRRO OLHO DAGUA SÃO LUIS
CENTRO / BAIRRO TURU SÃO LUIS
UNIDAS TRES PODERES, IMPERATRIZ
</t>
      </text>
    </comment>
    <comment ref="M17" authorId="11" shapeId="0" xr:uid="{DE302B78-947A-4B08-8964-90A0DB7F60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MACAPA
CENTRO MACAPA
GARDEN SHOPPING CENTRO MACAPA</t>
      </text>
    </comment>
    <comment ref="C18" authorId="12" shapeId="0" xr:uid="{9A1C0F0B-A2A6-4635-B6C1-8FE9C35792C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DE CUIABA 
FERNANDO CORREA CUIABA
RONDON SHOPPING 
UNIDAS SINOP </t>
      </text>
    </comment>
    <comment ref="M18" authorId="13" shapeId="0" xr:uid="{6714CAF0-8723-465B-88C1-9ADE84951D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BOA VISTA
CENTRO BOA VISTA</t>
      </text>
    </comment>
    <comment ref="C19" authorId="14" shapeId="0" xr:uid="{58CE2F08-AEFB-4B3C-8D95-488C1707C47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DE CUIABA 
FERNANDO CORREA CUIABA
RONDON SHOPPING 
UNIDAS SINOP </t>
      </text>
    </comment>
    <comment ref="M19" authorId="15" shapeId="0" xr:uid="{C235D2A0-04B0-4EF7-B06D-2D09F25716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BOA VISTA
CENTRO BOA VISTA</t>
      </text>
    </comment>
    <comment ref="C20" authorId="16" shapeId="0" xr:uid="{6198FF4B-7EDD-4DDA-AC92-C867A964E94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DE CUIABA 
FERNANDO CORREA CUIABA
RONDON SHOPPING 
UNIDAS SINOP </t>
      </text>
    </comment>
    <comment ref="M20" authorId="17" shapeId="0" xr:uid="{7D26A75D-A6E7-4AC3-8E12-DF16365AB6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BOA VISTA
CENTRO BOA VISTA</t>
      </text>
    </comment>
    <comment ref="C21" authorId="18" shapeId="0" xr:uid="{46AD9022-034B-48EB-A79D-4D2DCA34683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DE CAMPO GRANDE 
AMAMBAI CAMPO GRANDE
TRES LAGOAS </t>
      </text>
    </comment>
    <comment ref="C22" authorId="19" shapeId="0" xr:uid="{E07C3F38-72D0-4C8B-A711-5A5D3477AC3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DE CAMPO GRANDE 
AMAMBAI CAMPO GRANDE
TRES LAGOAS </t>
      </text>
    </comment>
    <comment ref="C23" authorId="20" shapeId="0" xr:uid="{39FEA309-DD4A-4390-8DB1-664D07B7AEA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DE CAMPO GRANDE 
AMAMBAI CAMPO GRANDE
TRES LAGOAS </t>
      </text>
    </comment>
    <comment ref="C24" authorId="21" shapeId="0" xr:uid="{1B3CD509-75E9-453B-AEC1-2869F5E95F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DE BELEM 
SHOPPING BOULEVARD BELEM
ALDEIA ATENDE AEROPORTO SANTAREM PARAUPEBAS 
SHOPPING PATIO MARABA 
</t>
      </text>
    </comment>
    <comment ref="C25" authorId="22" shapeId="0" xr:uid="{9DACD750-525E-4167-8AB0-C4B05CB8000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DE BELEM 
SHOPPING BOULEVARD BELEM
ALDEIA ATENDE AEROPORTO SANTAREM PARAUPEBAS 
SHOPPING PATIO MARABA 
</t>
      </text>
    </comment>
    <comment ref="C26" authorId="23" shapeId="0" xr:uid="{4946F58D-CAB8-49E9-80A0-E06C465EC94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DE BELEM 
SHOPPING BOULEVARD BELEM
ALDEIA ATENDE AEROPORTO SANTAREM PARAUPEBAS 
SHOPPING PATIO MARABA 
</t>
      </text>
    </comment>
    <comment ref="C27" authorId="24" shapeId="0" xr:uid="{4E68BD69-7CA6-4DBE-BB29-199D1381F40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PORTO VELHO SHOPPING </t>
      </text>
    </comment>
    <comment ref="C28" authorId="25" shapeId="0" xr:uid="{3936EACD-C159-4A36-BEE6-05FBB2E4F3C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PORTO VELHO SHOPPING </t>
      </text>
    </comment>
    <comment ref="C29" authorId="26" shapeId="0" xr:uid="{D3A0ACCA-5D37-4B39-AE89-1494CF011EB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PORTO VELHO SHOPPING </t>
      </text>
    </comment>
    <comment ref="C30" authorId="27" shapeId="0" xr:uid="{669E614C-A546-4529-9B84-DF699852CF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PALMAS 
LOJA CENTRO  PALMAS</t>
      </text>
    </comment>
    <comment ref="C31" authorId="28" shapeId="0" xr:uid="{09AE7770-4C02-4858-AD72-9081727320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PALMAS 
LOJA CENTRO  PALMAS</t>
      </text>
    </comment>
    <comment ref="C32" authorId="29" shapeId="0" xr:uid="{40AAD5DA-FE11-4F08-86F5-99F9386DF3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Lojas:
AEROPORTO PALMAS 
LOJA CENTRO  PALMAS</t>
      </text>
    </comment>
  </commentList>
</comments>
</file>

<file path=xl/sharedStrings.xml><?xml version="1.0" encoding="utf-8"?>
<sst xmlns="http://schemas.openxmlformats.org/spreadsheetml/2006/main" count="410" uniqueCount="100">
  <si>
    <t>Grupo</t>
  </si>
  <si>
    <t>B</t>
  </si>
  <si>
    <t>Veículos</t>
  </si>
  <si>
    <t>Polo, argo, onix</t>
  </si>
  <si>
    <t>AM</t>
  </si>
  <si>
    <t>KWID/ Mobi</t>
  </si>
  <si>
    <t>BS</t>
  </si>
  <si>
    <t>Onix plus, cronos, voyage manual</t>
  </si>
  <si>
    <t>Onix plus, cronos, voyage automatico</t>
  </si>
  <si>
    <t>CA</t>
  </si>
  <si>
    <t>G1</t>
  </si>
  <si>
    <t>Strada, saveiro</t>
  </si>
  <si>
    <t>E</t>
  </si>
  <si>
    <t>C</t>
  </si>
  <si>
    <t>CG</t>
  </si>
  <si>
    <t>Fiorino</t>
  </si>
  <si>
    <t>G2</t>
  </si>
  <si>
    <t>Strada cabine dupla</t>
  </si>
  <si>
    <t>KM Unidas</t>
  </si>
  <si>
    <t>I</t>
  </si>
  <si>
    <t>Spin, doblo</t>
  </si>
  <si>
    <t>SV</t>
  </si>
  <si>
    <t>SU</t>
  </si>
  <si>
    <t>T</t>
  </si>
  <si>
    <t>Toro</t>
  </si>
  <si>
    <t>TT</t>
  </si>
  <si>
    <t>Toro 4x4</t>
  </si>
  <si>
    <t>J</t>
  </si>
  <si>
    <t>S10, L200</t>
  </si>
  <si>
    <t>3000</t>
  </si>
  <si>
    <t>4500</t>
  </si>
  <si>
    <t>5000</t>
  </si>
  <si>
    <t>6000</t>
  </si>
  <si>
    <r>
      <t>Sedan</t>
    </r>
    <r>
      <rPr>
        <b/>
        <sz val="11"/>
        <color theme="1"/>
        <rFont val="Calibri"/>
        <family val="2"/>
      </rPr>
      <t xml:space="preserve"> 1.3</t>
    </r>
  </si>
  <si>
    <r>
      <t xml:space="preserve">208, GOL, HB20 </t>
    </r>
    <r>
      <rPr>
        <b/>
        <sz val="11"/>
        <color theme="1"/>
        <rFont val="Calibri"/>
        <family val="2"/>
      </rPr>
      <t>1.3</t>
    </r>
  </si>
  <si>
    <t>CE</t>
  </si>
  <si>
    <t>CS</t>
  </si>
  <si>
    <t>FH</t>
  </si>
  <si>
    <t>Sedan automatico 1.3</t>
  </si>
  <si>
    <t>Hatch automatico 1.6</t>
  </si>
  <si>
    <t>FS</t>
  </si>
  <si>
    <t>FX</t>
  </si>
  <si>
    <t>Sedan automatico 1.0</t>
  </si>
  <si>
    <t>GC</t>
  </si>
  <si>
    <t>C4 Cactus, Kicks</t>
  </si>
  <si>
    <t>GX</t>
  </si>
  <si>
    <t>Renegade</t>
  </si>
  <si>
    <t>NX</t>
  </si>
  <si>
    <t>P</t>
  </si>
  <si>
    <t>S10, L200 e Hilux</t>
  </si>
  <si>
    <t>U</t>
  </si>
  <si>
    <t>V</t>
  </si>
  <si>
    <t>Strada</t>
  </si>
  <si>
    <t>KM Localiza</t>
  </si>
  <si>
    <t>4000</t>
  </si>
  <si>
    <t>RX</t>
  </si>
  <si>
    <t>Spin</t>
  </si>
  <si>
    <t>C4 Cactus, Nivus, Pulse, Duster</t>
  </si>
  <si>
    <t>Renegade, Tcross, Creta</t>
  </si>
  <si>
    <t>J2</t>
  </si>
  <si>
    <t>Hilux</t>
  </si>
  <si>
    <t>R$ 2.805,30 </t>
  </si>
  <si>
    <t>R$ 2.917,66 </t>
  </si>
  <si>
    <t>R$ 3.027,46 </t>
  </si>
  <si>
    <t>R$ 3.049,67 </t>
  </si>
  <si>
    <t>R$ 3.418,26 </t>
  </si>
  <si>
    <t>R$ 3.142,31 </t>
  </si>
  <si>
    <t>Aumento ocorrido a partir de Abril/2025 - Duração 6 meses</t>
  </si>
  <si>
    <t xml:space="preserve">Ultima atualização: 31/07/2025 </t>
  </si>
  <si>
    <t>+</t>
  </si>
  <si>
    <t>Localiza será atualizado</t>
  </si>
  <si>
    <t>Alteração a partir de 04/05/2026</t>
  </si>
  <si>
    <t>Porcentagem de diferença para os valores anteriores</t>
  </si>
  <si>
    <t>3000 KM</t>
  </si>
  <si>
    <t>Local</t>
  </si>
  <si>
    <t>Locadora</t>
  </si>
  <si>
    <t>Localiza</t>
  </si>
  <si>
    <t>SUV</t>
  </si>
  <si>
    <t>4X4</t>
  </si>
  <si>
    <t>Acre</t>
  </si>
  <si>
    <t>Amapá</t>
  </si>
  <si>
    <t>Unidas</t>
  </si>
  <si>
    <t>Amazonas</t>
  </si>
  <si>
    <t>Passeio</t>
  </si>
  <si>
    <t>Maranhão</t>
  </si>
  <si>
    <t>Mato Grosso</t>
  </si>
  <si>
    <t xml:space="preserve">Mato Grosso do Sul </t>
  </si>
  <si>
    <t>Pará</t>
  </si>
  <si>
    <t>Rondônia</t>
  </si>
  <si>
    <t>Roraima</t>
  </si>
  <si>
    <t>Tocantins</t>
  </si>
  <si>
    <t>4000 KM</t>
  </si>
  <si>
    <t>5000 KM</t>
  </si>
  <si>
    <t>KM EXCEDENTE - LOCALIZA</t>
  </si>
  <si>
    <t>KM EXCEDENTE - UNIDAS</t>
  </si>
  <si>
    <t>Renegade, T-Cross</t>
  </si>
  <si>
    <t>**A Localiza possui preços flutuantes, mesmo sendo em locações mensais</t>
  </si>
  <si>
    <t>Na cobrança de km excedente tem o acréscimo da taxa administrativa da Locadora: 15% Unidas - 12% Localiza</t>
  </si>
  <si>
    <r>
      <t xml:space="preserve">**Para as Lojas dos Estados do </t>
    </r>
    <r>
      <rPr>
        <b/>
        <sz val="11"/>
        <color theme="3" tint="0.249977111117893"/>
        <rFont val="Aptos Narrow"/>
        <family val="2"/>
        <scheme val="minor"/>
      </rPr>
      <t>Acre , Amapá, Amazonas, Maranhão, Mato
Grosso, e Mato Grosso do Sul, Pará, Rondônia, Roraima e Tocantins</t>
    </r>
    <r>
      <rPr>
        <sz val="11"/>
        <color theme="3" tint="0.249977111117893"/>
        <rFont val="Aptos Narrow"/>
        <family val="2"/>
        <scheme val="minor"/>
      </rPr>
      <t>,
devem ser acrescidos 3% (três por cento) sobre os valores de
diárias, devido às condições locais para o tráfego de veículos.</t>
    </r>
  </si>
  <si>
    <t>*** Não possui lojas no Acre, Amapá e Roraima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</si>
</sst>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0"/>
      <name val="Calibri"/>
      <family val="2"/>
    </font>
    <font>
      <sz val="11"/>
      <color rgb="FFFF000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Calibri"/>
      <family val="2"/>
    </font>
    <font>
      <sz val="11"/>
      <color rgb="FFFF0000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73">
    <xf numFmtId="0" fontId="0" fillId="0" borderId="0" xfId="0"/>
    <xf numFmtId="0" fontId="2" fillId="0" borderId="5" xfId="0" applyFont="1" applyBorder="1"/>
    <xf numFmtId="0" fontId="2" fillId="0" borderId="1" xfId="0" applyFont="1" applyBorder="1"/>
    <xf numFmtId="164" fontId="2" fillId="0" borderId="1" xfId="0" applyNumberFormat="1" applyFont="1" applyBorder="1"/>
    <xf numFmtId="164" fontId="2" fillId="0" borderId="6" xfId="0" applyNumberFormat="1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0" fontId="0" fillId="0" borderId="7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64" fontId="0" fillId="0" borderId="1" xfId="0" applyNumberFormat="1" applyBorder="1"/>
    <xf numFmtId="164" fontId="0" fillId="0" borderId="8" xfId="0" applyNumberFormat="1" applyBorder="1"/>
    <xf numFmtId="164" fontId="0" fillId="0" borderId="1" xfId="0" applyNumberFormat="1" applyBorder="1" applyAlignment="1">
      <alignment horizontal="right"/>
    </xf>
    <xf numFmtId="0" fontId="5" fillId="0" borderId="8" xfId="0" applyFont="1" applyBorder="1"/>
    <xf numFmtId="164" fontId="2" fillId="0" borderId="3" xfId="0" applyNumberFormat="1" applyFont="1" applyBorder="1"/>
    <xf numFmtId="164" fontId="0" fillId="0" borderId="0" xfId="0" applyNumberFormat="1"/>
    <xf numFmtId="10" fontId="0" fillId="0" borderId="0" xfId="1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right"/>
    </xf>
    <xf numFmtId="0" fontId="5" fillId="0" borderId="0" xfId="0" applyFont="1"/>
    <xf numFmtId="0" fontId="10" fillId="0" borderId="8" xfId="0" applyFont="1" applyBorder="1"/>
    <xf numFmtId="0" fontId="1" fillId="2" borderId="1" xfId="0" applyFont="1" applyFill="1" applyBorder="1" applyAlignment="1">
      <alignment horizontal="center"/>
    </xf>
    <xf numFmtId="9" fontId="2" fillId="0" borderId="0" xfId="0" applyNumberFormat="1" applyFont="1"/>
    <xf numFmtId="10" fontId="2" fillId="0" borderId="1" xfId="0" applyNumberFormat="1" applyFont="1" applyBorder="1"/>
    <xf numFmtId="8" fontId="0" fillId="0" borderId="0" xfId="0" applyNumberFormat="1"/>
    <xf numFmtId="0" fontId="1" fillId="4" borderId="0" xfId="0" applyFont="1" applyFill="1"/>
    <xf numFmtId="0" fontId="9" fillId="0" borderId="0" xfId="0" applyFont="1"/>
    <xf numFmtId="0" fontId="1" fillId="4" borderId="1" xfId="0" applyFont="1" applyFill="1" applyBorder="1" applyAlignment="1">
      <alignment horizontal="center"/>
    </xf>
    <xf numFmtId="0" fontId="9" fillId="5" borderId="0" xfId="0" applyFont="1" applyFill="1"/>
    <xf numFmtId="0" fontId="1" fillId="6" borderId="0" xfId="0" applyFont="1" applyFill="1"/>
    <xf numFmtId="0" fontId="1" fillId="6" borderId="1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9" fillId="7" borderId="0" xfId="0" applyFont="1" applyFill="1"/>
    <xf numFmtId="0" fontId="1" fillId="6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7" borderId="5" xfId="0" applyFill="1" applyBorder="1"/>
    <xf numFmtId="0" fontId="2" fillId="7" borderId="1" xfId="0" applyFont="1" applyFill="1" applyBorder="1"/>
    <xf numFmtId="0" fontId="2" fillId="5" borderId="5" xfId="0" applyFont="1" applyFill="1" applyBorder="1"/>
    <xf numFmtId="0" fontId="2" fillId="5" borderId="1" xfId="0" applyFont="1" applyFill="1" applyBorder="1"/>
    <xf numFmtId="0" fontId="0" fillId="7" borderId="0" xfId="0" applyFill="1"/>
    <xf numFmtId="0" fontId="0" fillId="5" borderId="0" xfId="0" applyFill="1"/>
    <xf numFmtId="164" fontId="9" fillId="0" borderId="0" xfId="0" applyNumberFormat="1" applyFont="1"/>
    <xf numFmtId="0" fontId="1" fillId="0" borderId="0" xfId="0" applyFont="1"/>
    <xf numFmtId="0" fontId="11" fillId="0" borderId="0" xfId="0" applyFont="1"/>
    <xf numFmtId="0" fontId="15" fillId="0" borderId="0" xfId="0" applyFont="1"/>
    <xf numFmtId="0" fontId="12" fillId="0" borderId="0" xfId="0" applyFont="1"/>
    <xf numFmtId="0" fontId="13" fillId="0" borderId="0" xfId="0" applyFont="1"/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/>
    <xf numFmtId="0" fontId="15" fillId="0" borderId="0" xfId="0" applyFont="1" applyAlignment="1">
      <alignment horizontal="center"/>
    </xf>
    <xf numFmtId="0" fontId="0" fillId="0" borderId="0" xfId="0"/>
    <xf numFmtId="0" fontId="4" fillId="4" borderId="1" xfId="0" applyFont="1" applyFill="1" applyBorder="1" applyAlignment="1">
      <alignment horizontal="center"/>
    </xf>
    <xf numFmtId="0" fontId="12" fillId="0" borderId="0" xfId="0" applyFont="1"/>
    <xf numFmtId="0" fontId="4" fillId="6" borderId="6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9" fillId="0" borderId="11" xfId="0" applyFont="1" applyBorder="1"/>
  </cellXfs>
  <cellStyles count="2">
    <cellStyle name="Normal" xfId="0" builtinId="0"/>
    <cellStyle name="Porcentagem" xfId="1" builtinId="5"/>
  </cellStyles>
  <dxfs count="61">
    <dxf>
      <numFmt numFmtId="164" formatCode="&quot;R$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R$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R$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ffice 6" id="{B9872DB1-F62F-4DFD-88D3-A31B96754428}" userId="S::office.6@proyfebrasil.com.br::fdc362f8-eb02-4ca9-bcee-c84e1920055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E2C685-F0EE-4BB3-9CC7-B28DCCEF7951}" name="Unidas" displayName="Unidas" ref="A2:G17" totalsRowShown="0" headerRowDxfId="60" dataDxfId="58" headerRowBorderDxfId="59" tableBorderDxfId="57" totalsRowBorderDxfId="56">
  <autoFilter ref="A2:G17" xr:uid="{52E2C685-F0EE-4BB3-9CC7-B28DCCEF7951}"/>
  <sortState xmlns:xlrd2="http://schemas.microsoft.com/office/spreadsheetml/2017/richdata2" ref="A3:F17">
    <sortCondition ref="A2:A17"/>
  </sortState>
  <tableColumns count="7">
    <tableColumn id="1" xr3:uid="{4733E744-7B4E-4F03-B9F1-BF160FC50CCE}" name="Grupo" dataDxfId="55"/>
    <tableColumn id="2" xr3:uid="{495F4A7C-27CD-46AE-A0B4-14AD0FD4DAE3}" name="Veículos" dataDxfId="54"/>
    <tableColumn id="3" xr3:uid="{A712902B-A3B9-4A9E-AA01-C6B8EC338782}" name="3000" dataDxfId="53"/>
    <tableColumn id="4" xr3:uid="{3D5404C9-2F64-42F9-B77E-97712DDE214C}" name="4500" dataDxfId="52"/>
    <tableColumn id="5" xr3:uid="{67B9CCFF-B8F6-48A0-A829-4D9608E84222}" name="5000" dataDxfId="51"/>
    <tableColumn id="6" xr3:uid="{19CDB2AD-D83A-4485-BF09-1D7C1DDA6A9E}" name="6000" dataDxfId="50"/>
    <tableColumn id="7" xr3:uid="{D2A15A3D-5392-42A8-AD3D-B27F7E9B2B5C}" name="+" dataDxfId="4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E9FF15-93DE-4BAE-9D6F-268844ABAA30}" name="Localiza" displayName="Localiza" ref="H2:L15" totalsRowShown="0" headerRowDxfId="48" headerRowBorderDxfId="47" tableBorderDxfId="46" totalsRowBorderDxfId="45">
  <autoFilter ref="H2:L15" xr:uid="{06E9FF15-93DE-4BAE-9D6F-268844ABAA30}"/>
  <tableColumns count="5">
    <tableColumn id="1" xr3:uid="{E866DD49-FF31-44ED-888F-C3C2CEE6308E}" name="Grupo" dataDxfId="44"/>
    <tableColumn id="2" xr3:uid="{1FA0F27C-3AF6-442B-9495-2070A552A816}" name="Veículos" dataDxfId="43"/>
    <tableColumn id="3" xr3:uid="{13D5A042-6F58-4160-BBBF-BAF2C937DE84}" name="3000" dataDxfId="42"/>
    <tableColumn id="4" xr3:uid="{F3D4E353-D1CF-4418-A6B1-7D5996F42DFB}" name="4000" dataDxfId="41"/>
    <tableColumn id="5" xr3:uid="{482AE812-6D78-4B98-B1D1-DED312F26901}" name="5000" dataDxfId="4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92208D-A72D-44BA-970F-5F70F48A6B38}" name="Unidas4" displayName="Unidas4" ref="A2:F19" totalsRowShown="0" headerRowDxfId="39" dataDxfId="37" headerRowBorderDxfId="38" tableBorderDxfId="36" totalsRowBorderDxfId="35">
  <autoFilter ref="A2:F19" xr:uid="{B392208D-A72D-44BA-970F-5F70F48A6B38}"/>
  <sortState xmlns:xlrd2="http://schemas.microsoft.com/office/spreadsheetml/2017/richdata2" ref="A3:F18">
    <sortCondition ref="A2:A18"/>
  </sortState>
  <tableColumns count="6">
    <tableColumn id="1" xr3:uid="{A350F38B-6862-4140-B8F1-E29E1D1742D8}" name="Grupo" dataDxfId="34"/>
    <tableColumn id="2" xr3:uid="{F646EBAD-F696-47E8-9927-34FD99A2A627}" name="Veículos" dataDxfId="33"/>
    <tableColumn id="3" xr3:uid="{8A344AFC-6C8B-452C-BEBE-7C16E98A6301}" name="3000" dataDxfId="32"/>
    <tableColumn id="4" xr3:uid="{E33A16DC-11FD-419C-A1E7-936E58C4FA5B}" name="4500" dataDxfId="31"/>
    <tableColumn id="5" xr3:uid="{6EBB2D75-2DF1-4094-A615-FA774FBA5DB3}" name="5000" dataDxfId="30"/>
    <tableColumn id="6" xr3:uid="{8EE3673E-A25B-4157-A14A-174328AACB9A}" name="6000" dataDxfId="2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A71F0F-3431-4F7E-89F0-C5FD0687C6D3}" name="Localiza5" displayName="Localiza5" ref="H2:L16" totalsRowShown="0" headerRowDxfId="28" headerRowBorderDxfId="27" tableBorderDxfId="26" totalsRowBorderDxfId="25">
  <autoFilter ref="H2:L16" xr:uid="{6BA71F0F-3431-4F7E-89F0-C5FD0687C6D3}"/>
  <tableColumns count="5">
    <tableColumn id="1" xr3:uid="{90B40910-459C-4A27-A55D-823B63EA0FAA}" name="Grupo" dataDxfId="24"/>
    <tableColumn id="2" xr3:uid="{AB7CBD70-A9C1-4284-88DF-085A0BBE797B}" name="Veículos" dataDxfId="23"/>
    <tableColumn id="3" xr3:uid="{DB650C56-DD4E-4224-92DC-955A48C2087C}" name="3000" dataDxfId="22"/>
    <tableColumn id="4" xr3:uid="{7E5CC977-6FAB-4071-BB4D-1EF5AD159C6B}" name="4000" dataDxfId="21"/>
    <tableColumn id="5" xr3:uid="{39BE0244-3FD2-4C14-9332-86CD1D42DC63}" name="5000" dataDxfId="2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8C83CF-52C7-4218-A9C3-B440DD130757}" name="Unidas46" displayName="Unidas46" ref="A2:F19" totalsRowShown="0" headerRowDxfId="19" dataDxfId="17" headerRowBorderDxfId="18" tableBorderDxfId="16" totalsRowBorderDxfId="15">
  <autoFilter ref="A2:F19" xr:uid="{F08C83CF-52C7-4218-A9C3-B440DD130757}"/>
  <sortState xmlns:xlrd2="http://schemas.microsoft.com/office/spreadsheetml/2017/richdata2" ref="A3:F18">
    <sortCondition ref="A2:A18"/>
  </sortState>
  <tableColumns count="6">
    <tableColumn id="1" xr3:uid="{12D09E60-9FAC-42E7-B084-88974259C9E6}" name="Grupo" dataDxfId="14"/>
    <tableColumn id="2" xr3:uid="{ABE2B75E-7BF3-4DDD-9D80-FEE3AAC99058}" name="Veículos" dataDxfId="13"/>
    <tableColumn id="3" xr3:uid="{2E640428-8F56-4D9E-8352-421525415D81}" name="3000" dataDxfId="12"/>
    <tableColumn id="4" xr3:uid="{FE733BB8-4474-448A-B348-60A92D0590FF}" name="4500" dataDxfId="11"/>
    <tableColumn id="5" xr3:uid="{9D366600-7CC3-4475-AF36-A2040AD996B5}" name="5000" dataDxfId="10"/>
    <tableColumn id="6" xr3:uid="{65A1DCE0-0558-42FD-8575-092821FCA10A}" name="6000" dataDxfId="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77003D-F005-4FFA-9250-DC5715BBC88C}" name="Localiza59" displayName="Localiza59" ref="H2:L17" totalsRowShown="0" headerRowDxfId="8" headerRowBorderDxfId="7" tableBorderDxfId="6" totalsRowBorderDxfId="5">
  <autoFilter ref="H2:L17" xr:uid="{DF77003D-F005-4FFA-9250-DC5715BBC88C}"/>
  <tableColumns count="5">
    <tableColumn id="1" xr3:uid="{66082ADB-85D4-414C-967D-90E03FD06EA3}" name="Grupo" dataDxfId="4"/>
    <tableColumn id="2" xr3:uid="{E3E12D2B-EFE6-491E-BF37-C2A5D8D1685F}" name="Veículos" dataDxfId="3"/>
    <tableColumn id="3" xr3:uid="{6859B968-7210-49A2-AF9A-859D449F40DC}" name="3000" dataDxfId="2"/>
    <tableColumn id="4" xr3:uid="{E955BAEA-3976-4897-8DE0-D30152CE2310}" name="4000" dataDxfId="1"/>
    <tableColumn id="5" xr3:uid="{F82F576A-90F8-4C2C-A3DB-B4BF9603DC8E}" name="500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6-05-25T19:38:18.14" personId="{B9872DB1-F62F-4DFD-88D3-A31B96754428}" id="{62EA1920-58FA-4E14-B061-B42237511D69}">
    <text>Local de retirada - Amazonas Shopping, Manaus MA</text>
  </threadedComment>
  <threadedComment ref="M12" dT="2026-05-26T12:20:02.36" personId="{B9872DB1-F62F-4DFD-88D3-A31B96754428}" id="{78C8BFE9-17F0-436A-8419-51AA3569EFE0}">
    <text xml:space="preserve">Lojas:
AEROPORTO RIO BRANCO
CENTRO RIO BRANCO
</text>
  </threadedComment>
  <threadedComment ref="C13" dT="2026-05-25T19:38:18.14" personId="{B9872DB1-F62F-4DFD-88D3-A31B96754428}" id="{325807BB-4773-4F56-84C8-D6E5320CF161}">
    <text>Local de retirada - Amazonas Shopping, Manaus MA</text>
  </threadedComment>
  <threadedComment ref="M13" dT="2026-05-26T12:20:02.36" personId="{B9872DB1-F62F-4DFD-88D3-A31B96754428}" id="{3A61FD74-7277-419B-8BA4-4AEAE963CEE5}">
    <text xml:space="preserve">Lojas:
AEROPORTO RIO BRANCO
CENTRO RIO BRANCO
</text>
  </threadedComment>
  <threadedComment ref="C14" dT="2026-05-25T19:38:18.14" personId="{B9872DB1-F62F-4DFD-88D3-A31B96754428}" id="{B124CDD2-809E-4FC3-B991-376939F6D7C4}">
    <text>Local de retirada - Amazonas Shopping, Manaus MA</text>
  </threadedComment>
  <threadedComment ref="M14" dT="2026-05-26T12:20:02.36" personId="{B9872DB1-F62F-4DFD-88D3-A31B96754428}" id="{B7ACA642-880F-464A-A575-C33BE0773F69}">
    <text xml:space="preserve">Lojas:
AEROPORTO RIO BRANCO
CENTRO RIO BRANCO
</text>
  </threadedComment>
  <threadedComment ref="C15" dT="2026-05-26T12:01:33.11" personId="{B9872DB1-F62F-4DFD-88D3-A31B96754428}" id="{66073E68-02F6-4CBC-8574-CD0AFC525FD2}">
    <text xml:space="preserve">Lojas:
AEROPORTO DE SAO LUIS 
CENTRO/BAIRRO OLHO DAGUA SÃO LUIS
CENTRO / BAIRRO TURU SÃO LUIS
UNIDAS TRES PODERES, IMPERATRIZ
</text>
  </threadedComment>
  <threadedComment ref="M15" dT="2026-05-26T12:57:07.77" personId="{B9872DB1-F62F-4DFD-88D3-A31B96754428}" id="{7C5C040E-6B63-48E0-B06F-35FB706A661D}">
    <text>Lojas:
AEROPORTO MACAPA
CENTRO MACAPA
GARDEN SHOPPING CENTRO MACAPA</text>
  </threadedComment>
  <threadedComment ref="C16" dT="2026-05-26T12:01:33.11" personId="{B9872DB1-F62F-4DFD-88D3-A31B96754428}" id="{CE7E498F-5D0D-4269-8138-98D658BCF387}">
    <text xml:space="preserve">Lojas:
AEROPORTO DE SAO LUIS 
CENTRO/BAIRRO OLHO DAGUA SÃO LUIS
CENTRO / BAIRRO TURU SÃO LUIS
UNIDAS TRES PODERES, IMPERATRIZ
</text>
  </threadedComment>
  <threadedComment ref="M16" dT="2026-05-26T12:57:07.77" personId="{B9872DB1-F62F-4DFD-88D3-A31B96754428}" id="{5D1D5EFD-3CA9-4E5F-8AAE-924A0244BF8C}">
    <text>Lojas:
AEROPORTO MACAPA
CENTRO MACAPA
GARDEN SHOPPING CENTRO MACAPA</text>
  </threadedComment>
  <threadedComment ref="C17" dT="2026-05-26T12:01:33.11" personId="{B9872DB1-F62F-4DFD-88D3-A31B96754428}" id="{1FF33D4F-6BD1-495E-9F0F-A2E45BCFA90B}">
    <text xml:space="preserve">Lojas:
AEROPORTO DE SAO LUIS 
CENTRO/BAIRRO OLHO DAGUA SÃO LUIS
CENTRO / BAIRRO TURU SÃO LUIS
UNIDAS TRES PODERES, IMPERATRIZ
</text>
  </threadedComment>
  <threadedComment ref="M17" dT="2026-05-26T12:57:07.77" personId="{B9872DB1-F62F-4DFD-88D3-A31B96754428}" id="{DE302B78-947A-4B08-8964-90A0DB7F605B}">
    <text>Lojas:
AEROPORTO MACAPA
CENTRO MACAPA
GARDEN SHOPPING CENTRO MACAPA</text>
  </threadedComment>
  <threadedComment ref="C18" dT="2026-05-26T11:57:55.88" personId="{B9872DB1-F62F-4DFD-88D3-A31B96754428}" id="{9A1C0F0B-A2A6-4635-B6C1-8FE9C35792CB}">
    <text xml:space="preserve">Lojas:
AEROPORTO DE CUIABA 
FERNANDO CORREA CUIABA
RONDON SHOPPING 
UNIDAS SINOP </text>
  </threadedComment>
  <threadedComment ref="M18" dT="2026-05-26T13:15:34.13" personId="{B9872DB1-F62F-4DFD-88D3-A31B96754428}" id="{6714CAF0-8723-465B-88C1-9ADE84951DC5}">
    <text>Lojas:
AEROPORTO BOA VISTA
CENTRO BOA VISTA</text>
  </threadedComment>
  <threadedComment ref="C19" dT="2026-05-26T11:57:55.88" personId="{B9872DB1-F62F-4DFD-88D3-A31B96754428}" id="{58CE2F08-AEFB-4B3C-8D95-488C1707C475}">
    <text xml:space="preserve">Lojas:
AEROPORTO DE CUIABA 
FERNANDO CORREA CUIABA
RONDON SHOPPING 
UNIDAS SINOP </text>
  </threadedComment>
  <threadedComment ref="M19" dT="2026-05-26T13:15:34.13" personId="{B9872DB1-F62F-4DFD-88D3-A31B96754428}" id="{C235D2A0-04B0-4EF7-B06D-2D09F2571668}">
    <text>Lojas:
AEROPORTO BOA VISTA
CENTRO BOA VISTA</text>
  </threadedComment>
  <threadedComment ref="C20" dT="2026-05-26T11:57:55.88" personId="{B9872DB1-F62F-4DFD-88D3-A31B96754428}" id="{6198FF4B-7EDD-4DDA-AC92-C867A964E943}">
    <text xml:space="preserve">Lojas:
AEROPORTO DE CUIABA 
FERNANDO CORREA CUIABA
RONDON SHOPPING 
UNIDAS SINOP </text>
  </threadedComment>
  <threadedComment ref="M20" dT="2026-05-26T13:15:34.13" personId="{B9872DB1-F62F-4DFD-88D3-A31B96754428}" id="{7D26A75D-A6E7-4AC3-8E12-DF16365AB65B}">
    <text>Lojas:
AEROPORTO BOA VISTA
CENTRO BOA VISTA</text>
  </threadedComment>
  <threadedComment ref="C21" dT="2026-05-26T11:56:26.68" personId="{B9872DB1-F62F-4DFD-88D3-A31B96754428}" id="{46AD9022-034B-48EB-A79D-4D2DCA34683B}">
    <text xml:space="preserve">Lojas:
AEROPORTO DE CAMPO GRANDE 
AMAMBAI CAMPO GRANDE
TRES LAGOAS </text>
  </threadedComment>
  <threadedComment ref="C22" dT="2026-05-26T11:56:26.68" personId="{B9872DB1-F62F-4DFD-88D3-A31B96754428}" id="{E07C3F38-72D0-4C8B-A711-5A5D3477AC36}">
    <text xml:space="preserve">Lojas:
AEROPORTO DE CAMPO GRANDE 
AMAMBAI CAMPO GRANDE
TRES LAGOAS </text>
  </threadedComment>
  <threadedComment ref="C23" dT="2026-05-26T11:56:26.68" personId="{B9872DB1-F62F-4DFD-88D3-A31B96754428}" id="{39FEA309-DD4A-4390-8DB1-664D07B7AEAF}">
    <text xml:space="preserve">Lojas:
AEROPORTO DE CAMPO GRANDE 
AMAMBAI CAMPO GRANDE
TRES LAGOAS </text>
  </threadedComment>
  <threadedComment ref="C24" dT="2026-05-26T11:54:34.30" personId="{B9872DB1-F62F-4DFD-88D3-A31B96754428}" id="{1B3CD509-75E9-453B-AEC1-2869F5E95F3C}">
    <text xml:space="preserve">Lojas:
AEROPORTO DE BELEM 
SHOPPING BOULEVARD BELEM
ALDEIA ATENDE AEROPORTO SANTAREM PARAUPEBAS 
SHOPPING PATIO MARABA 
</text>
  </threadedComment>
  <threadedComment ref="C25" dT="2026-05-26T11:54:34.30" personId="{B9872DB1-F62F-4DFD-88D3-A31B96754428}" id="{9DACD750-525E-4167-8AB0-C4B05CB80004}">
    <text xml:space="preserve">Lojas:
AEROPORTO DE BELEM 
SHOPPING BOULEVARD BELEM
ALDEIA ATENDE AEROPORTO SANTAREM PARAUPEBAS 
SHOPPING PATIO MARABA 
</text>
  </threadedComment>
  <threadedComment ref="C26" dT="2026-05-26T11:54:34.30" personId="{B9872DB1-F62F-4DFD-88D3-A31B96754428}" id="{4946F58D-CAB8-49E9-80A0-E06C465EC94B}">
    <text xml:space="preserve">Lojas:
AEROPORTO DE BELEM 
SHOPPING BOULEVARD BELEM
ALDEIA ATENDE AEROPORTO SANTAREM PARAUPEBAS 
SHOPPING PATIO MARABA 
</text>
  </threadedComment>
  <threadedComment ref="C27" dT="2026-05-26T12:09:39.80" personId="{B9872DB1-F62F-4DFD-88D3-A31B96754428}" id="{4E68BD69-7CA6-4DBE-BB29-199D1381F40C}">
    <text xml:space="preserve">Lojas:
PORTO VELHO SHOPPING </text>
  </threadedComment>
  <threadedComment ref="C28" dT="2026-05-26T12:09:39.80" personId="{B9872DB1-F62F-4DFD-88D3-A31B96754428}" id="{3936EACD-C159-4A36-BEE6-05FBB2E4F3C2}">
    <text xml:space="preserve">Lojas:
PORTO VELHO SHOPPING </text>
  </threadedComment>
  <threadedComment ref="C29" dT="2026-05-26T12:09:39.80" personId="{B9872DB1-F62F-4DFD-88D3-A31B96754428}" id="{D3A0ACCA-5D37-4B39-AE89-1494CF011EBA}">
    <text xml:space="preserve">Lojas:
PORTO VELHO SHOPPING </text>
  </threadedComment>
  <threadedComment ref="C30" dT="2026-05-26T12:17:40.94" personId="{B9872DB1-F62F-4DFD-88D3-A31B96754428}" id="{669E614C-A546-4529-9B84-DF699852CF34}">
    <text>Lojas:
AEROPORTO PALMAS 
LOJA CENTRO  PALMAS</text>
  </threadedComment>
  <threadedComment ref="C31" dT="2026-05-26T12:17:40.94" personId="{B9872DB1-F62F-4DFD-88D3-A31B96754428}" id="{09AE7770-4C02-4858-AD72-908172732072}">
    <text>Lojas:
AEROPORTO PALMAS 
LOJA CENTRO  PALMAS</text>
  </threadedComment>
  <threadedComment ref="C32" dT="2026-05-26T12:17:40.94" personId="{B9872DB1-F62F-4DFD-88D3-A31B96754428}" id="{40AAD5DA-FE11-4F08-86F5-99F9386DF3B2}">
    <text>Lojas:
AEROPORTO PALMAS 
LOJA CENTRO  PALMAS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C1C9-26BF-41DE-B540-4F68D0551E22}">
  <dimension ref="A1:L17"/>
  <sheetViews>
    <sheetView showGridLines="0" workbookViewId="0">
      <pane ySplit="2" topLeftCell="A3" activePane="bottomLeft" state="frozen"/>
      <selection pane="bottomLeft" activeCell="C21" sqref="C21"/>
    </sheetView>
  </sheetViews>
  <sheetFormatPr defaultRowHeight="15" x14ac:dyDescent="0.25"/>
  <cols>
    <col min="1" max="1" width="11.140625" bestFit="1" customWidth="1"/>
    <col min="2" max="2" width="34.85546875" bestFit="1" customWidth="1"/>
    <col min="3" max="6" width="10.7109375" bestFit="1" customWidth="1"/>
    <col min="9" max="9" width="31.140625" bestFit="1" customWidth="1"/>
    <col min="10" max="10" width="10.7109375" bestFit="1" customWidth="1"/>
    <col min="11" max="11" width="12.7109375" bestFit="1" customWidth="1"/>
    <col min="12" max="12" width="11.7109375" bestFit="1" customWidth="1"/>
  </cols>
  <sheetData>
    <row r="1" spans="1:12" ht="15.75" x14ac:dyDescent="0.25">
      <c r="C1" s="67" t="s">
        <v>18</v>
      </c>
      <c r="D1" s="67"/>
      <c r="E1" s="67"/>
      <c r="F1" s="67"/>
      <c r="J1" s="68" t="s">
        <v>53</v>
      </c>
      <c r="K1" s="69"/>
      <c r="L1" s="70"/>
    </row>
    <row r="2" spans="1:12" x14ac:dyDescent="0.25">
      <c r="A2" s="10" t="s">
        <v>0</v>
      </c>
      <c r="B2" s="11" t="s">
        <v>2</v>
      </c>
      <c r="C2" s="11" t="s">
        <v>29</v>
      </c>
      <c r="D2" s="11" t="s">
        <v>30</v>
      </c>
      <c r="E2" s="11" t="s">
        <v>31</v>
      </c>
      <c r="F2" s="12" t="s">
        <v>32</v>
      </c>
      <c r="G2" s="11" t="s">
        <v>69</v>
      </c>
      <c r="H2" s="14" t="s">
        <v>0</v>
      </c>
      <c r="I2" s="15" t="s">
        <v>2</v>
      </c>
      <c r="J2" s="15" t="s">
        <v>29</v>
      </c>
      <c r="K2" s="15" t="s">
        <v>54</v>
      </c>
      <c r="L2" s="15" t="s">
        <v>31</v>
      </c>
    </row>
    <row r="3" spans="1:12" x14ac:dyDescent="0.25">
      <c r="A3" s="1" t="s">
        <v>4</v>
      </c>
      <c r="B3" s="2" t="s">
        <v>5</v>
      </c>
      <c r="C3" s="3">
        <v>2310.17</v>
      </c>
      <c r="D3" s="3">
        <v>2495.06</v>
      </c>
      <c r="E3" s="3">
        <v>2610.0700000000002</v>
      </c>
      <c r="F3" s="4">
        <v>2782.62</v>
      </c>
      <c r="G3" s="20"/>
      <c r="H3" s="13" t="s">
        <v>1</v>
      </c>
      <c r="I3" s="2" t="s">
        <v>5</v>
      </c>
      <c r="J3" s="16">
        <v>2742.1</v>
      </c>
      <c r="K3" s="16">
        <v>2959.82</v>
      </c>
      <c r="L3" s="16">
        <v>3220.9</v>
      </c>
    </row>
    <row r="4" spans="1:12" x14ac:dyDescent="0.25">
      <c r="A4" s="1" t="s">
        <v>1</v>
      </c>
      <c r="B4" s="2" t="s">
        <v>3</v>
      </c>
      <c r="C4" s="3">
        <v>2294.35</v>
      </c>
      <c r="D4" s="3">
        <v>2477.59</v>
      </c>
      <c r="E4" s="3">
        <v>2592.8000000000002</v>
      </c>
      <c r="F4" s="4">
        <v>2706.92</v>
      </c>
      <c r="G4" s="3"/>
      <c r="H4" s="13" t="s">
        <v>35</v>
      </c>
      <c r="I4" s="2" t="s">
        <v>3</v>
      </c>
      <c r="J4" s="16">
        <v>2747.81</v>
      </c>
      <c r="K4" s="16">
        <v>3019.97</v>
      </c>
      <c r="L4" s="16">
        <v>3281.04</v>
      </c>
    </row>
    <row r="5" spans="1:12" x14ac:dyDescent="0.25">
      <c r="A5" s="1" t="s">
        <v>6</v>
      </c>
      <c r="B5" s="2" t="s">
        <v>7</v>
      </c>
      <c r="C5" s="3">
        <v>2570.2800000000002</v>
      </c>
      <c r="D5" s="3">
        <v>2775.69</v>
      </c>
      <c r="E5" s="3">
        <v>2903.93</v>
      </c>
      <c r="F5" s="4">
        <v>3062.43</v>
      </c>
      <c r="G5" s="3"/>
      <c r="H5" s="13" t="s">
        <v>36</v>
      </c>
      <c r="I5" s="2" t="s">
        <v>7</v>
      </c>
      <c r="J5" s="16">
        <v>2834.83</v>
      </c>
      <c r="K5" s="16">
        <v>3253.15</v>
      </c>
      <c r="L5" s="16">
        <v>3553.87</v>
      </c>
    </row>
    <row r="6" spans="1:12" x14ac:dyDescent="0.25">
      <c r="A6" s="1" t="s">
        <v>13</v>
      </c>
      <c r="B6" s="2" t="s">
        <v>33</v>
      </c>
      <c r="C6" s="3">
        <v>2903.32</v>
      </c>
      <c r="D6" s="3">
        <v>3135.94</v>
      </c>
      <c r="E6" s="3">
        <v>3280.78</v>
      </c>
      <c r="F6" s="4">
        <v>3425.62</v>
      </c>
      <c r="G6" s="3"/>
      <c r="H6" s="13" t="s">
        <v>37</v>
      </c>
      <c r="I6" s="2" t="s">
        <v>39</v>
      </c>
      <c r="J6" s="16">
        <v>3440.98</v>
      </c>
      <c r="K6" s="16">
        <v>3901.97</v>
      </c>
      <c r="L6" s="16">
        <v>4244.0200000000004</v>
      </c>
    </row>
    <row r="7" spans="1:12" x14ac:dyDescent="0.25">
      <c r="A7" s="1" t="s">
        <v>9</v>
      </c>
      <c r="B7" s="2" t="s">
        <v>8</v>
      </c>
      <c r="C7" s="3">
        <v>2960.53</v>
      </c>
      <c r="D7" s="3">
        <v>3197.02</v>
      </c>
      <c r="E7" s="3">
        <v>3345.37</v>
      </c>
      <c r="F7" s="4">
        <v>3566.06</v>
      </c>
      <c r="G7" s="3"/>
      <c r="H7" s="13" t="s">
        <v>40</v>
      </c>
      <c r="I7" s="2" t="s">
        <v>38</v>
      </c>
      <c r="J7" s="16">
        <v>2902.7</v>
      </c>
      <c r="K7" s="16">
        <v>2970.24</v>
      </c>
      <c r="L7" s="16">
        <v>3212.83</v>
      </c>
    </row>
    <row r="8" spans="1:12" x14ac:dyDescent="0.25">
      <c r="A8" s="1" t="s">
        <v>14</v>
      </c>
      <c r="B8" s="2" t="s">
        <v>15</v>
      </c>
      <c r="C8" s="3">
        <v>3134.67</v>
      </c>
      <c r="D8" s="3">
        <v>3385.15</v>
      </c>
      <c r="E8" s="3">
        <v>3542.1</v>
      </c>
      <c r="F8" s="4">
        <v>3775.65</v>
      </c>
      <c r="G8" s="3"/>
      <c r="H8" s="13" t="s">
        <v>41</v>
      </c>
      <c r="I8" s="2" t="s">
        <v>42</v>
      </c>
      <c r="J8" s="16">
        <v>3134.88</v>
      </c>
      <c r="K8" s="16">
        <v>3589.15</v>
      </c>
      <c r="L8" s="16">
        <v>3907.01</v>
      </c>
    </row>
    <row r="9" spans="1:12" x14ac:dyDescent="0.25">
      <c r="A9" s="1" t="s">
        <v>12</v>
      </c>
      <c r="B9" s="2" t="s">
        <v>34</v>
      </c>
      <c r="C9" s="3">
        <v>2784.82</v>
      </c>
      <c r="D9" s="3">
        <v>3007.57</v>
      </c>
      <c r="E9" s="3">
        <v>3146.92</v>
      </c>
      <c r="F9" s="4">
        <v>3286.27</v>
      </c>
      <c r="G9" s="3"/>
      <c r="H9" s="13" t="s">
        <v>43</v>
      </c>
      <c r="I9" s="2" t="s">
        <v>44</v>
      </c>
      <c r="J9" s="16">
        <v>3274.99</v>
      </c>
      <c r="K9" s="16">
        <v>3456.43</v>
      </c>
      <c r="L9" s="16">
        <v>3725.23</v>
      </c>
    </row>
    <row r="10" spans="1:12" x14ac:dyDescent="0.25">
      <c r="A10" s="1" t="s">
        <v>10</v>
      </c>
      <c r="B10" s="2" t="s">
        <v>11</v>
      </c>
      <c r="C10" s="3">
        <v>2960.53</v>
      </c>
      <c r="D10" s="3">
        <v>3197.02</v>
      </c>
      <c r="E10" s="3">
        <v>3345.37</v>
      </c>
      <c r="F10" s="4">
        <v>3566.06</v>
      </c>
      <c r="G10" s="3"/>
      <c r="H10" s="13" t="s">
        <v>45</v>
      </c>
      <c r="I10" s="2" t="s">
        <v>46</v>
      </c>
      <c r="J10" s="16">
        <v>3851.9</v>
      </c>
      <c r="K10" s="16">
        <v>4104.91</v>
      </c>
      <c r="L10" s="16">
        <v>4470.1400000000003</v>
      </c>
    </row>
    <row r="11" spans="1:12" x14ac:dyDescent="0.25">
      <c r="A11" s="1" t="s">
        <v>16</v>
      </c>
      <c r="B11" s="2" t="s">
        <v>17</v>
      </c>
      <c r="C11" s="3">
        <v>3366.88</v>
      </c>
      <c r="D11" s="3">
        <v>3636.7</v>
      </c>
      <c r="E11" s="3">
        <v>3804.4</v>
      </c>
      <c r="F11" s="4">
        <v>4055.44</v>
      </c>
      <c r="G11" s="3"/>
      <c r="H11" s="13" t="s">
        <v>47</v>
      </c>
      <c r="I11" s="2" t="s">
        <v>24</v>
      </c>
      <c r="J11" s="16">
        <v>4647.8900000000003</v>
      </c>
      <c r="K11" s="16">
        <v>5197.92</v>
      </c>
      <c r="L11" s="16">
        <v>5730.14</v>
      </c>
    </row>
    <row r="12" spans="1:12" x14ac:dyDescent="0.25">
      <c r="A12" s="1" t="s">
        <v>19</v>
      </c>
      <c r="B12" s="2" t="s">
        <v>20</v>
      </c>
      <c r="C12" s="3">
        <v>3482.97</v>
      </c>
      <c r="D12" s="3">
        <v>3761.4</v>
      </c>
      <c r="E12" s="3">
        <v>3935.55</v>
      </c>
      <c r="F12" s="4">
        <v>4194.8</v>
      </c>
      <c r="G12" s="3"/>
      <c r="H12" s="13" t="s">
        <v>48</v>
      </c>
      <c r="I12" s="2" t="s">
        <v>49</v>
      </c>
      <c r="J12" s="16">
        <v>9330.0499999999993</v>
      </c>
      <c r="K12" s="16">
        <v>11599.39</v>
      </c>
      <c r="L12" s="16">
        <v>13269.31</v>
      </c>
    </row>
    <row r="13" spans="1:12" x14ac:dyDescent="0.25">
      <c r="A13" s="1" t="s">
        <v>27</v>
      </c>
      <c r="B13" s="2" t="s">
        <v>28</v>
      </c>
      <c r="C13" s="3">
        <v>6912.67</v>
      </c>
      <c r="D13" s="3">
        <v>7465.69</v>
      </c>
      <c r="E13" s="3">
        <v>7811.33</v>
      </c>
      <c r="F13" s="4">
        <v>8156.96</v>
      </c>
      <c r="G13" s="3"/>
      <c r="H13" s="13" t="s">
        <v>55</v>
      </c>
      <c r="I13" s="2" t="s">
        <v>56</v>
      </c>
      <c r="J13" s="16">
        <v>4298.1099999999997</v>
      </c>
      <c r="K13" s="16">
        <v>5101.1499999999996</v>
      </c>
      <c r="L13" s="16">
        <v>5675.04</v>
      </c>
    </row>
    <row r="14" spans="1:12" x14ac:dyDescent="0.25">
      <c r="A14" s="1" t="s">
        <v>22</v>
      </c>
      <c r="B14" s="2" t="s">
        <v>57</v>
      </c>
      <c r="C14" s="3">
        <v>3671.05</v>
      </c>
      <c r="D14" s="3">
        <v>3964.91</v>
      </c>
      <c r="E14" s="3">
        <v>4148.03</v>
      </c>
      <c r="F14" s="4">
        <v>4335.24</v>
      </c>
      <c r="G14" s="3"/>
      <c r="H14" s="9" t="s">
        <v>50</v>
      </c>
      <c r="I14" s="6" t="s">
        <v>15</v>
      </c>
      <c r="J14" s="17">
        <v>3402</v>
      </c>
      <c r="K14" s="17">
        <v>3936.91</v>
      </c>
      <c r="L14" s="17">
        <v>4333.0600000000004</v>
      </c>
    </row>
    <row r="15" spans="1:12" x14ac:dyDescent="0.25">
      <c r="A15" s="1" t="s">
        <v>21</v>
      </c>
      <c r="B15" s="2" t="s">
        <v>58</v>
      </c>
      <c r="C15" s="3">
        <v>3511.2</v>
      </c>
      <c r="D15" s="3">
        <v>3792.09</v>
      </c>
      <c r="E15" s="3">
        <v>3967.66</v>
      </c>
      <c r="F15" s="4">
        <v>4143.22</v>
      </c>
      <c r="G15" s="3"/>
      <c r="H15" s="9" t="s">
        <v>51</v>
      </c>
      <c r="I15" s="6" t="s">
        <v>52</v>
      </c>
      <c r="J15" s="17">
        <v>3064.99</v>
      </c>
      <c r="K15" s="17">
        <v>3715.15</v>
      </c>
      <c r="L15" s="17">
        <v>4109.95</v>
      </c>
    </row>
    <row r="16" spans="1:12" x14ac:dyDescent="0.25">
      <c r="A16" s="1" t="s">
        <v>23</v>
      </c>
      <c r="B16" s="2" t="s">
        <v>24</v>
      </c>
      <c r="C16" s="3">
        <v>4254.05</v>
      </c>
      <c r="D16" s="3">
        <v>4594.1899999999996</v>
      </c>
      <c r="E16" s="3">
        <v>4807.0600000000004</v>
      </c>
      <c r="F16" s="4">
        <v>5019.92</v>
      </c>
      <c r="G16" s="3"/>
    </row>
    <row r="17" spans="1:7" x14ac:dyDescent="0.25">
      <c r="A17" s="5" t="s">
        <v>25</v>
      </c>
      <c r="B17" s="6" t="s">
        <v>26</v>
      </c>
      <c r="C17" s="7">
        <v>5688.85</v>
      </c>
      <c r="D17" s="7">
        <v>6143.58</v>
      </c>
      <c r="E17" s="7">
        <v>6428.45</v>
      </c>
      <c r="F17" s="8">
        <v>6852.33</v>
      </c>
      <c r="G17" s="7"/>
    </row>
  </sheetData>
  <mergeCells count="2">
    <mergeCell ref="C1:F1"/>
    <mergeCell ref="J1:L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3684-9AC2-4E78-A822-9B85B8C4ECCB}">
  <dimension ref="A1:R115"/>
  <sheetViews>
    <sheetView workbookViewId="0">
      <selection activeCell="H1" sqref="H1:L16"/>
    </sheetView>
  </sheetViews>
  <sheetFormatPr defaultRowHeight="15" x14ac:dyDescent="0.25"/>
  <cols>
    <col min="1" max="1" width="11.140625" bestFit="1" customWidth="1"/>
    <col min="2" max="2" width="34.85546875" bestFit="1" customWidth="1"/>
    <col min="3" max="6" width="11.7109375" bestFit="1" customWidth="1"/>
    <col min="9" max="9" width="31.140625" bestFit="1" customWidth="1"/>
    <col min="10" max="10" width="10.7109375" bestFit="1" customWidth="1"/>
    <col min="11" max="11" width="12.7109375" bestFit="1" customWidth="1"/>
    <col min="12" max="12" width="11.7109375" bestFit="1" customWidth="1"/>
    <col min="15" max="15" width="31.42578125" customWidth="1"/>
    <col min="16" max="16" width="11.85546875" customWidth="1"/>
    <col min="17" max="17" width="11.42578125" customWidth="1"/>
    <col min="18" max="18" width="14.42578125" customWidth="1"/>
  </cols>
  <sheetData>
    <row r="1" spans="1:18" ht="15.75" x14ac:dyDescent="0.25">
      <c r="C1" s="67" t="s">
        <v>18</v>
      </c>
      <c r="D1" s="67"/>
      <c r="E1" s="67"/>
      <c r="F1" s="67"/>
      <c r="J1" s="68" t="s">
        <v>53</v>
      </c>
      <c r="K1" s="69"/>
      <c r="L1" s="70"/>
      <c r="P1" s="71"/>
      <c r="Q1" s="71"/>
      <c r="R1" s="71"/>
    </row>
    <row r="2" spans="1:18" x14ac:dyDescent="0.25">
      <c r="A2" s="10" t="s">
        <v>0</v>
      </c>
      <c r="B2" s="11" t="s">
        <v>2</v>
      </c>
      <c r="C2" s="11" t="s">
        <v>29</v>
      </c>
      <c r="D2" s="11" t="s">
        <v>30</v>
      </c>
      <c r="E2" s="11" t="s">
        <v>31</v>
      </c>
      <c r="F2" s="12" t="s">
        <v>32</v>
      </c>
      <c r="H2" s="14" t="s">
        <v>0</v>
      </c>
      <c r="I2" s="15" t="s">
        <v>2</v>
      </c>
      <c r="J2" s="15" t="s">
        <v>29</v>
      </c>
      <c r="K2" s="15" t="s">
        <v>54</v>
      </c>
      <c r="L2" s="15" t="s">
        <v>31</v>
      </c>
      <c r="N2" s="23"/>
      <c r="O2" s="23"/>
      <c r="P2" s="23"/>
      <c r="Q2" s="23"/>
      <c r="R2" s="23"/>
    </row>
    <row r="3" spans="1:18" x14ac:dyDescent="0.25">
      <c r="A3" s="1" t="s">
        <v>4</v>
      </c>
      <c r="B3" s="2" t="s">
        <v>5</v>
      </c>
      <c r="C3" s="3">
        <v>2471.88</v>
      </c>
      <c r="D3" s="3">
        <v>2669.71</v>
      </c>
      <c r="E3" s="3">
        <v>2792.78</v>
      </c>
      <c r="F3" s="4">
        <v>3031</v>
      </c>
      <c r="H3" s="13" t="s">
        <v>1</v>
      </c>
      <c r="I3" s="2" t="s">
        <v>5</v>
      </c>
      <c r="J3" s="16">
        <v>2373</v>
      </c>
      <c r="K3" s="16">
        <v>2452.1999999999998</v>
      </c>
      <c r="L3" s="16">
        <v>2534.25</v>
      </c>
      <c r="O3" s="24"/>
      <c r="P3" s="21"/>
      <c r="Q3" s="21"/>
      <c r="R3" s="21"/>
    </row>
    <row r="4" spans="1:18" x14ac:dyDescent="0.25">
      <c r="A4" s="1" t="s">
        <v>1</v>
      </c>
      <c r="B4" s="2" t="s">
        <v>3</v>
      </c>
      <c r="C4" s="3">
        <v>2484</v>
      </c>
      <c r="D4" s="3">
        <v>2682</v>
      </c>
      <c r="E4" s="3">
        <v>2806</v>
      </c>
      <c r="F4" s="4">
        <v>3146</v>
      </c>
      <c r="H4" s="13" t="s">
        <v>35</v>
      </c>
      <c r="I4" s="2" t="s">
        <v>3</v>
      </c>
      <c r="J4" s="16">
        <v>2714.88</v>
      </c>
      <c r="K4" s="16">
        <v>2821.9</v>
      </c>
      <c r="L4" s="16">
        <v>2918.9</v>
      </c>
      <c r="O4" s="24"/>
      <c r="P4" s="21"/>
      <c r="Q4" s="21"/>
      <c r="R4" s="21"/>
    </row>
    <row r="5" spans="1:18" x14ac:dyDescent="0.25">
      <c r="A5" s="1" t="s">
        <v>6</v>
      </c>
      <c r="B5" s="2" t="s">
        <v>7</v>
      </c>
      <c r="C5" s="3">
        <v>2756</v>
      </c>
      <c r="D5" s="3">
        <v>2977.01</v>
      </c>
      <c r="E5" s="3">
        <v>3116.99</v>
      </c>
      <c r="F5" s="4">
        <v>3470</v>
      </c>
      <c r="H5" s="13" t="s">
        <v>36</v>
      </c>
      <c r="I5" s="2" t="s">
        <v>7</v>
      </c>
      <c r="J5" s="18" t="s">
        <v>61</v>
      </c>
      <c r="K5" s="18" t="s">
        <v>62</v>
      </c>
      <c r="L5" s="18" t="s">
        <v>63</v>
      </c>
      <c r="O5" s="24"/>
      <c r="P5" s="25"/>
      <c r="Q5" s="25"/>
      <c r="R5" s="25"/>
    </row>
    <row r="6" spans="1:18" x14ac:dyDescent="0.25">
      <c r="A6" s="1" t="s">
        <v>13</v>
      </c>
      <c r="B6" s="2" t="s">
        <v>33</v>
      </c>
      <c r="C6" s="3">
        <v>3106.55</v>
      </c>
      <c r="D6" s="3">
        <v>3355.46</v>
      </c>
      <c r="E6" s="3">
        <v>3510.43</v>
      </c>
      <c r="F6" s="4">
        <v>3904</v>
      </c>
      <c r="H6" s="13" t="s">
        <v>37</v>
      </c>
      <c r="I6" s="2" t="s">
        <v>39</v>
      </c>
      <c r="J6" s="16">
        <v>3181.72</v>
      </c>
      <c r="K6" s="18">
        <v>3294.35</v>
      </c>
      <c r="L6" s="18" t="s">
        <v>65</v>
      </c>
      <c r="O6" s="24"/>
      <c r="P6" s="21"/>
      <c r="Q6" s="25"/>
      <c r="R6" s="25"/>
    </row>
    <row r="7" spans="1:18" x14ac:dyDescent="0.25">
      <c r="A7" s="1" t="s">
        <v>9</v>
      </c>
      <c r="B7" s="2" t="s">
        <v>8</v>
      </c>
      <c r="C7" s="3">
        <v>3167.77</v>
      </c>
      <c r="D7" s="3">
        <v>3420.81</v>
      </c>
      <c r="E7" s="3">
        <v>3579.55</v>
      </c>
      <c r="F7" s="4">
        <v>3889</v>
      </c>
      <c r="H7" s="13" t="s">
        <v>40</v>
      </c>
      <c r="I7" s="2" t="s">
        <v>38</v>
      </c>
      <c r="J7" s="16" t="s">
        <v>64</v>
      </c>
      <c r="K7" s="16">
        <v>3192.67</v>
      </c>
      <c r="L7" s="16">
        <v>3355.67</v>
      </c>
      <c r="O7" s="24"/>
      <c r="P7" s="21"/>
      <c r="Q7" s="21"/>
      <c r="R7" s="21"/>
    </row>
    <row r="8" spans="1:18" x14ac:dyDescent="0.25">
      <c r="A8" s="1" t="s">
        <v>14</v>
      </c>
      <c r="B8" s="2" t="s">
        <v>15</v>
      </c>
      <c r="C8" s="3">
        <v>3354.1</v>
      </c>
      <c r="D8" s="3">
        <v>3622.11</v>
      </c>
      <c r="E8" s="3">
        <v>3790.04</v>
      </c>
      <c r="F8" s="4">
        <v>4075</v>
      </c>
      <c r="H8" s="13" t="s">
        <v>41</v>
      </c>
      <c r="I8" s="2" t="s">
        <v>42</v>
      </c>
      <c r="J8" s="16" t="s">
        <v>66</v>
      </c>
      <c r="K8" s="16">
        <v>3276.84</v>
      </c>
      <c r="L8" s="16">
        <v>3391.35</v>
      </c>
      <c r="O8" s="24"/>
      <c r="P8" s="21"/>
      <c r="Q8" s="21"/>
      <c r="R8" s="21"/>
    </row>
    <row r="9" spans="1:18" x14ac:dyDescent="0.25">
      <c r="A9" s="1" t="s">
        <v>12</v>
      </c>
      <c r="B9" s="2" t="s">
        <v>34</v>
      </c>
      <c r="C9" s="3">
        <v>2979.75</v>
      </c>
      <c r="D9" s="3">
        <v>3218.1</v>
      </c>
      <c r="E9" s="3">
        <v>3367.2</v>
      </c>
      <c r="F9" s="4">
        <v>3706</v>
      </c>
      <c r="H9" s="13" t="s">
        <v>43</v>
      </c>
      <c r="I9" s="2" t="s">
        <v>44</v>
      </c>
      <c r="J9" s="16">
        <v>3435.13</v>
      </c>
      <c r="K9" s="16">
        <v>3574.7</v>
      </c>
      <c r="L9" s="16">
        <v>3714.24</v>
      </c>
      <c r="O9" s="24"/>
      <c r="P9" s="21"/>
      <c r="Q9" s="21"/>
      <c r="R9" s="21"/>
    </row>
    <row r="10" spans="1:18" x14ac:dyDescent="0.25">
      <c r="A10" s="1" t="s">
        <v>10</v>
      </c>
      <c r="B10" s="2" t="s">
        <v>11</v>
      </c>
      <c r="C10" s="3">
        <v>3148.21</v>
      </c>
      <c r="D10" s="3">
        <v>3400.78</v>
      </c>
      <c r="E10" s="3">
        <v>3557.19</v>
      </c>
      <c r="F10" s="4">
        <v>3867</v>
      </c>
      <c r="H10" s="13" t="s">
        <v>45</v>
      </c>
      <c r="I10" s="2" t="s">
        <v>46</v>
      </c>
      <c r="J10" s="16">
        <v>3761.79</v>
      </c>
      <c r="K10" s="16">
        <v>3896.02</v>
      </c>
      <c r="L10" s="16">
        <v>4033.68</v>
      </c>
      <c r="O10" s="24"/>
      <c r="P10" s="21"/>
      <c r="Q10" s="21"/>
      <c r="R10" s="21"/>
    </row>
    <row r="11" spans="1:18" x14ac:dyDescent="0.25">
      <c r="A11" s="1" t="s">
        <v>16</v>
      </c>
      <c r="B11" s="2" t="s">
        <v>17</v>
      </c>
      <c r="C11" s="3">
        <v>3580.43</v>
      </c>
      <c r="D11" s="3">
        <v>3866.83</v>
      </c>
      <c r="E11" s="3">
        <v>4046.48</v>
      </c>
      <c r="F11" s="4">
        <v>4362</v>
      </c>
      <c r="H11" s="13" t="s">
        <v>47</v>
      </c>
      <c r="I11" s="2" t="s">
        <v>24</v>
      </c>
      <c r="J11" s="16">
        <v>4556.53</v>
      </c>
      <c r="K11" s="16">
        <v>4770.53</v>
      </c>
      <c r="L11" s="16">
        <v>4989.2299999999996</v>
      </c>
      <c r="O11" s="24"/>
      <c r="P11" s="21"/>
      <c r="Q11" s="21"/>
      <c r="R11" s="21"/>
    </row>
    <row r="12" spans="1:18" x14ac:dyDescent="0.25">
      <c r="A12" s="1" t="s">
        <v>19</v>
      </c>
      <c r="B12" s="2" t="s">
        <v>20</v>
      </c>
      <c r="C12" s="3">
        <v>3705.14</v>
      </c>
      <c r="D12" s="3">
        <v>3999.99</v>
      </c>
      <c r="E12" s="3">
        <v>4185.99</v>
      </c>
      <c r="F12" s="4">
        <v>4526</v>
      </c>
      <c r="H12" s="13" t="s">
        <v>48</v>
      </c>
      <c r="I12" s="2" t="s">
        <v>49</v>
      </c>
      <c r="J12" s="16">
        <v>9545.42</v>
      </c>
      <c r="K12" s="16">
        <v>9895.57</v>
      </c>
      <c r="L12" s="16">
        <v>10269.129999999999</v>
      </c>
      <c r="O12" s="24"/>
      <c r="P12" s="21"/>
      <c r="Q12" s="21"/>
      <c r="R12" s="21"/>
    </row>
    <row r="13" spans="1:18" x14ac:dyDescent="0.25">
      <c r="A13" s="1" t="s">
        <v>27</v>
      </c>
      <c r="B13" s="2" t="s">
        <v>28</v>
      </c>
      <c r="C13" s="3">
        <v>7553</v>
      </c>
      <c r="D13" s="3">
        <v>8158</v>
      </c>
      <c r="E13" s="3">
        <v>8534</v>
      </c>
      <c r="F13" s="4">
        <v>9541</v>
      </c>
      <c r="H13" s="13" t="s">
        <v>55</v>
      </c>
      <c r="I13" s="2" t="s">
        <v>56</v>
      </c>
      <c r="J13" s="16">
        <v>4204.84</v>
      </c>
      <c r="K13" s="16">
        <v>4364.1000000000004</v>
      </c>
      <c r="L13" s="16">
        <v>4548.0600000000004</v>
      </c>
      <c r="O13" s="24"/>
      <c r="P13" s="21"/>
      <c r="Q13" s="21"/>
      <c r="R13" s="21"/>
    </row>
    <row r="14" spans="1:18" x14ac:dyDescent="0.25">
      <c r="A14" s="1" t="s">
        <v>59</v>
      </c>
      <c r="B14" s="2" t="s">
        <v>60</v>
      </c>
      <c r="C14" s="3">
        <v>8870.67</v>
      </c>
      <c r="D14" s="3">
        <v>9581.9</v>
      </c>
      <c r="E14" s="3">
        <v>10023.65</v>
      </c>
      <c r="F14" s="4">
        <v>11206.16</v>
      </c>
      <c r="H14" s="9" t="s">
        <v>50</v>
      </c>
      <c r="I14" s="6" t="s">
        <v>15</v>
      </c>
      <c r="J14" s="16">
        <v>3680.75</v>
      </c>
      <c r="K14" s="16">
        <v>3801.24</v>
      </c>
      <c r="L14" s="16">
        <v>3962.68</v>
      </c>
      <c r="O14" s="24"/>
      <c r="P14" s="21"/>
      <c r="Q14" s="21"/>
      <c r="R14" s="21"/>
    </row>
    <row r="15" spans="1:18" x14ac:dyDescent="0.25">
      <c r="A15" s="1" t="s">
        <v>22</v>
      </c>
      <c r="B15" s="2" t="s">
        <v>57</v>
      </c>
      <c r="C15" s="3">
        <v>3928.02</v>
      </c>
      <c r="D15" s="3">
        <v>4242.45</v>
      </c>
      <c r="E15" s="3">
        <v>4438.3900000000003</v>
      </c>
      <c r="F15" s="4">
        <v>4668</v>
      </c>
      <c r="H15" s="9" t="s">
        <v>51</v>
      </c>
      <c r="I15" s="6" t="s">
        <v>52</v>
      </c>
      <c r="J15" s="16">
        <v>2906.67</v>
      </c>
      <c r="K15" s="16">
        <v>3047.79</v>
      </c>
      <c r="L15" s="16">
        <v>3168.24</v>
      </c>
      <c r="O15" s="24"/>
      <c r="P15" s="21"/>
      <c r="Q15" s="21"/>
      <c r="R15" s="21"/>
    </row>
    <row r="16" spans="1:18" x14ac:dyDescent="0.25">
      <c r="A16" s="1" t="s">
        <v>21</v>
      </c>
      <c r="B16" s="2" t="s">
        <v>58</v>
      </c>
      <c r="C16" s="3">
        <v>3837</v>
      </c>
      <c r="D16" s="3">
        <v>4144</v>
      </c>
      <c r="E16" s="3">
        <v>4335.99</v>
      </c>
      <c r="F16" s="4">
        <v>4808</v>
      </c>
      <c r="H16" s="9"/>
      <c r="I16" s="19" t="s">
        <v>68</v>
      </c>
      <c r="J16" s="17"/>
      <c r="K16" s="17"/>
      <c r="L16" s="17"/>
      <c r="O16" s="26"/>
      <c r="P16" s="21"/>
      <c r="Q16" s="21"/>
      <c r="R16" s="21"/>
    </row>
    <row r="17" spans="1:6" x14ac:dyDescent="0.25">
      <c r="A17" s="1" t="s">
        <v>23</v>
      </c>
      <c r="B17" s="2" t="s">
        <v>24</v>
      </c>
      <c r="C17" s="3">
        <v>4433.2700000000004</v>
      </c>
      <c r="D17" s="3">
        <v>4788.3599999999997</v>
      </c>
      <c r="E17" s="3">
        <v>5009.2299999999996</v>
      </c>
      <c r="F17" s="4">
        <v>5531.99</v>
      </c>
    </row>
    <row r="18" spans="1:6" x14ac:dyDescent="0.25">
      <c r="A18" s="5" t="s">
        <v>25</v>
      </c>
      <c r="B18" s="6" t="s">
        <v>26</v>
      </c>
      <c r="C18" s="7">
        <v>6049.13</v>
      </c>
      <c r="D18" s="7">
        <v>6533.14</v>
      </c>
      <c r="E18" s="7">
        <v>6836.44</v>
      </c>
      <c r="F18" s="8">
        <v>7385</v>
      </c>
    </row>
    <row r="19" spans="1:6" x14ac:dyDescent="0.25">
      <c r="A19" s="5"/>
      <c r="B19" s="19" t="s">
        <v>67</v>
      </c>
      <c r="C19" s="7"/>
      <c r="D19" s="7"/>
      <c r="E19" s="7"/>
      <c r="F19" s="8"/>
    </row>
    <row r="23" spans="1:6" x14ac:dyDescent="0.25">
      <c r="D23" s="22"/>
      <c r="F23" s="21"/>
    </row>
    <row r="24" spans="1:6" x14ac:dyDescent="0.25">
      <c r="D24" s="22"/>
    </row>
    <row r="25" spans="1:6" x14ac:dyDescent="0.25">
      <c r="D25" s="22"/>
    </row>
    <row r="26" spans="1:6" x14ac:dyDescent="0.25">
      <c r="D26" s="22"/>
    </row>
    <row r="27" spans="1:6" x14ac:dyDescent="0.25">
      <c r="D27" s="22"/>
    </row>
    <row r="28" spans="1:6" x14ac:dyDescent="0.25">
      <c r="D28" s="22"/>
    </row>
    <row r="29" spans="1:6" x14ac:dyDescent="0.25">
      <c r="D29" s="22"/>
    </row>
    <row r="30" spans="1:6" x14ac:dyDescent="0.25">
      <c r="D30" s="22"/>
    </row>
    <row r="31" spans="1:6" x14ac:dyDescent="0.25">
      <c r="D31" s="22"/>
    </row>
    <row r="32" spans="1:6" x14ac:dyDescent="0.25">
      <c r="D32" s="22"/>
    </row>
    <row r="33" spans="4:4" x14ac:dyDescent="0.25">
      <c r="D33" s="22"/>
    </row>
    <row r="34" spans="4:4" x14ac:dyDescent="0.25">
      <c r="D34" s="22"/>
    </row>
    <row r="35" spans="4:4" x14ac:dyDescent="0.25">
      <c r="D35" s="22"/>
    </row>
    <row r="36" spans="4:4" x14ac:dyDescent="0.25">
      <c r="D36" s="22"/>
    </row>
    <row r="37" spans="4:4" x14ac:dyDescent="0.25">
      <c r="D37" s="22"/>
    </row>
    <row r="38" spans="4:4" x14ac:dyDescent="0.25">
      <c r="D38" s="22"/>
    </row>
    <row r="39" spans="4:4" x14ac:dyDescent="0.25">
      <c r="D39" s="22"/>
    </row>
    <row r="40" spans="4:4" x14ac:dyDescent="0.25">
      <c r="D40" s="22"/>
    </row>
    <row r="41" spans="4:4" x14ac:dyDescent="0.25">
      <c r="D41" s="22"/>
    </row>
    <row r="42" spans="4:4" x14ac:dyDescent="0.25">
      <c r="D42" s="22"/>
    </row>
    <row r="43" spans="4:4" x14ac:dyDescent="0.25">
      <c r="D43" s="22"/>
    </row>
    <row r="44" spans="4:4" x14ac:dyDescent="0.25">
      <c r="D44" s="22"/>
    </row>
    <row r="45" spans="4:4" x14ac:dyDescent="0.25">
      <c r="D45" s="22"/>
    </row>
    <row r="46" spans="4:4" x14ac:dyDescent="0.25">
      <c r="D46" s="22"/>
    </row>
    <row r="47" spans="4:4" x14ac:dyDescent="0.25">
      <c r="D47" s="22"/>
    </row>
    <row r="48" spans="4:4" x14ac:dyDescent="0.25">
      <c r="D48" s="22"/>
    </row>
    <row r="49" spans="4:4" x14ac:dyDescent="0.25">
      <c r="D49" s="22"/>
    </row>
    <row r="50" spans="4:4" x14ac:dyDescent="0.25">
      <c r="D50" s="22"/>
    </row>
    <row r="51" spans="4:4" x14ac:dyDescent="0.25">
      <c r="D51" s="22"/>
    </row>
    <row r="52" spans="4:4" x14ac:dyDescent="0.25">
      <c r="D52" s="22"/>
    </row>
    <row r="53" spans="4:4" x14ac:dyDescent="0.25">
      <c r="D53" s="22"/>
    </row>
    <row r="54" spans="4:4" x14ac:dyDescent="0.25">
      <c r="D54" s="22"/>
    </row>
    <row r="55" spans="4:4" x14ac:dyDescent="0.25">
      <c r="D55" s="22"/>
    </row>
    <row r="56" spans="4:4" x14ac:dyDescent="0.25">
      <c r="D56" s="22"/>
    </row>
    <row r="57" spans="4:4" x14ac:dyDescent="0.25">
      <c r="D57" s="22"/>
    </row>
    <row r="58" spans="4:4" x14ac:dyDescent="0.25">
      <c r="D58" s="22"/>
    </row>
    <row r="59" spans="4:4" x14ac:dyDescent="0.25">
      <c r="D59" s="22"/>
    </row>
    <row r="60" spans="4:4" x14ac:dyDescent="0.25">
      <c r="D60" s="22"/>
    </row>
    <row r="61" spans="4:4" x14ac:dyDescent="0.25">
      <c r="D61" s="22"/>
    </row>
    <row r="62" spans="4:4" x14ac:dyDescent="0.25">
      <c r="D62" s="22"/>
    </row>
    <row r="63" spans="4:4" x14ac:dyDescent="0.25">
      <c r="D63" s="22"/>
    </row>
    <row r="64" spans="4:4" x14ac:dyDescent="0.25">
      <c r="D64" s="22"/>
    </row>
    <row r="65" spans="4:4" x14ac:dyDescent="0.25">
      <c r="D65" s="22"/>
    </row>
    <row r="66" spans="4:4" x14ac:dyDescent="0.25">
      <c r="D66" s="22"/>
    </row>
    <row r="67" spans="4:4" x14ac:dyDescent="0.25">
      <c r="D67" s="22"/>
    </row>
    <row r="68" spans="4:4" x14ac:dyDescent="0.25">
      <c r="D68" s="22"/>
    </row>
    <row r="69" spans="4:4" x14ac:dyDescent="0.25">
      <c r="D69" s="22"/>
    </row>
    <row r="70" spans="4:4" x14ac:dyDescent="0.25">
      <c r="D70" s="22"/>
    </row>
    <row r="71" spans="4:4" x14ac:dyDescent="0.25">
      <c r="D71" s="22"/>
    </row>
    <row r="72" spans="4:4" x14ac:dyDescent="0.25">
      <c r="D72" s="22"/>
    </row>
    <row r="73" spans="4:4" x14ac:dyDescent="0.25">
      <c r="D73" s="22"/>
    </row>
    <row r="74" spans="4:4" x14ac:dyDescent="0.25">
      <c r="D74" s="22"/>
    </row>
    <row r="75" spans="4:4" x14ac:dyDescent="0.25">
      <c r="D75" s="22"/>
    </row>
    <row r="76" spans="4:4" x14ac:dyDescent="0.25">
      <c r="D76" s="22"/>
    </row>
    <row r="77" spans="4:4" x14ac:dyDescent="0.25">
      <c r="D77" s="22"/>
    </row>
    <row r="78" spans="4:4" x14ac:dyDescent="0.25">
      <c r="D78" s="22"/>
    </row>
    <row r="79" spans="4:4" x14ac:dyDescent="0.25">
      <c r="D79" s="22"/>
    </row>
    <row r="80" spans="4:4" x14ac:dyDescent="0.25">
      <c r="D80" s="22"/>
    </row>
    <row r="81" spans="4:4" x14ac:dyDescent="0.25">
      <c r="D81" s="22"/>
    </row>
    <row r="82" spans="4:4" x14ac:dyDescent="0.25">
      <c r="D82" s="22"/>
    </row>
    <row r="83" spans="4:4" x14ac:dyDescent="0.25">
      <c r="D83" s="22"/>
    </row>
    <row r="84" spans="4:4" x14ac:dyDescent="0.25">
      <c r="D84" s="22"/>
    </row>
    <row r="85" spans="4:4" x14ac:dyDescent="0.25">
      <c r="D85" s="22"/>
    </row>
    <row r="86" spans="4:4" x14ac:dyDescent="0.25">
      <c r="D86" s="22"/>
    </row>
    <row r="87" spans="4:4" x14ac:dyDescent="0.25">
      <c r="D87" s="22"/>
    </row>
    <row r="88" spans="4:4" x14ac:dyDescent="0.25">
      <c r="D88" s="22"/>
    </row>
    <row r="89" spans="4:4" x14ac:dyDescent="0.25">
      <c r="D89" s="22"/>
    </row>
    <row r="90" spans="4:4" x14ac:dyDescent="0.25">
      <c r="D90" s="22"/>
    </row>
    <row r="91" spans="4:4" x14ac:dyDescent="0.25">
      <c r="D91" s="22"/>
    </row>
    <row r="92" spans="4:4" x14ac:dyDescent="0.25">
      <c r="D92" s="22"/>
    </row>
    <row r="93" spans="4:4" x14ac:dyDescent="0.25">
      <c r="D93" s="22"/>
    </row>
    <row r="94" spans="4:4" x14ac:dyDescent="0.25">
      <c r="D94" s="22"/>
    </row>
    <row r="95" spans="4:4" x14ac:dyDescent="0.25">
      <c r="D95" s="22"/>
    </row>
    <row r="96" spans="4:4" x14ac:dyDescent="0.25">
      <c r="D96" s="22"/>
    </row>
    <row r="97" spans="4:4" x14ac:dyDescent="0.25">
      <c r="D97" s="22"/>
    </row>
    <row r="98" spans="4:4" x14ac:dyDescent="0.25">
      <c r="D98" s="22"/>
    </row>
    <row r="99" spans="4:4" x14ac:dyDescent="0.25">
      <c r="D99" s="22"/>
    </row>
    <row r="100" spans="4:4" x14ac:dyDescent="0.25">
      <c r="D100" s="22"/>
    </row>
    <row r="101" spans="4:4" x14ac:dyDescent="0.25">
      <c r="D101" s="22"/>
    </row>
    <row r="102" spans="4:4" x14ac:dyDescent="0.25">
      <c r="D102" s="22"/>
    </row>
    <row r="103" spans="4:4" x14ac:dyDescent="0.25">
      <c r="D103" s="22"/>
    </row>
    <row r="104" spans="4:4" x14ac:dyDescent="0.25">
      <c r="D104" s="22"/>
    </row>
    <row r="105" spans="4:4" x14ac:dyDescent="0.25">
      <c r="D105" s="22"/>
    </row>
    <row r="106" spans="4:4" x14ac:dyDescent="0.25">
      <c r="D106" s="22"/>
    </row>
    <row r="107" spans="4:4" x14ac:dyDescent="0.25">
      <c r="D107" s="22"/>
    </row>
    <row r="108" spans="4:4" x14ac:dyDescent="0.25">
      <c r="D108" s="22"/>
    </row>
    <row r="109" spans="4:4" x14ac:dyDescent="0.25">
      <c r="D109" s="22"/>
    </row>
    <row r="110" spans="4:4" x14ac:dyDescent="0.25">
      <c r="D110" s="22"/>
    </row>
    <row r="111" spans="4:4" x14ac:dyDescent="0.25">
      <c r="D111" s="22"/>
    </row>
    <row r="112" spans="4:4" x14ac:dyDescent="0.25">
      <c r="D112" s="22"/>
    </row>
    <row r="113" spans="4:4" x14ac:dyDescent="0.25">
      <c r="D113" s="22"/>
    </row>
    <row r="114" spans="4:4" x14ac:dyDescent="0.25">
      <c r="D114" s="22"/>
    </row>
    <row r="115" spans="4:4" x14ac:dyDescent="0.25">
      <c r="D115" s="22"/>
    </row>
  </sheetData>
  <mergeCells count="3">
    <mergeCell ref="C1:F1"/>
    <mergeCell ref="J1:L1"/>
    <mergeCell ref="P1:R1"/>
  </mergeCells>
  <pageMargins left="0.511811024" right="0.511811024" top="0.78740157499999996" bottom="0.78740157499999996" header="0.31496062000000002" footer="0.31496062000000002"/>
  <legacy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245E-17D9-47E6-BE91-ADAB669BAD00}">
  <dimension ref="A1:L39"/>
  <sheetViews>
    <sheetView workbookViewId="0">
      <selection activeCell="K3" sqref="K3"/>
    </sheetView>
  </sheetViews>
  <sheetFormatPr defaultRowHeight="15" x14ac:dyDescent="0.25"/>
  <cols>
    <col min="2" max="2" width="35" customWidth="1"/>
    <col min="3" max="3" width="10.7109375" bestFit="1" customWidth="1"/>
    <col min="4" max="6" width="11.7109375" bestFit="1" customWidth="1"/>
    <col min="9" max="9" width="30.140625" customWidth="1"/>
    <col min="10" max="12" width="11.7109375" bestFit="1" customWidth="1"/>
  </cols>
  <sheetData>
    <row r="1" spans="1:12" ht="15.75" x14ac:dyDescent="0.25">
      <c r="C1" s="67" t="s">
        <v>18</v>
      </c>
      <c r="D1" s="67"/>
      <c r="E1" s="67"/>
      <c r="F1" s="67"/>
      <c r="J1" s="68" t="s">
        <v>53</v>
      </c>
      <c r="K1" s="69"/>
      <c r="L1" s="70"/>
    </row>
    <row r="2" spans="1:12" x14ac:dyDescent="0.25">
      <c r="A2" s="10" t="s">
        <v>0</v>
      </c>
      <c r="B2" s="11" t="s">
        <v>2</v>
      </c>
      <c r="C2" s="11" t="s">
        <v>29</v>
      </c>
      <c r="D2" s="11" t="s">
        <v>30</v>
      </c>
      <c r="E2" s="11" t="s">
        <v>31</v>
      </c>
      <c r="F2" s="12" t="s">
        <v>32</v>
      </c>
      <c r="H2" s="14" t="s">
        <v>0</v>
      </c>
      <c r="I2" s="15" t="s">
        <v>2</v>
      </c>
      <c r="J2" s="15" t="s">
        <v>29</v>
      </c>
      <c r="K2" s="15" t="s">
        <v>54</v>
      </c>
      <c r="L2" s="15" t="s">
        <v>31</v>
      </c>
    </row>
    <row r="3" spans="1:12" x14ac:dyDescent="0.25">
      <c r="A3" s="1" t="s">
        <v>4</v>
      </c>
      <c r="B3" s="2" t="s">
        <v>5</v>
      </c>
      <c r="C3" s="3">
        <v>2537.87</v>
      </c>
      <c r="D3" s="3">
        <v>2743.23</v>
      </c>
      <c r="E3" s="3">
        <v>2870.99</v>
      </c>
      <c r="F3" s="4">
        <v>3118.28</v>
      </c>
      <c r="H3" s="13" t="s">
        <v>1</v>
      </c>
      <c r="I3" s="2" t="s">
        <v>5</v>
      </c>
      <c r="J3" s="16">
        <v>2445.9499999999998</v>
      </c>
      <c r="K3" s="16"/>
      <c r="L3" s="16"/>
    </row>
    <row r="4" spans="1:12" x14ac:dyDescent="0.25">
      <c r="A4" s="1" t="s">
        <v>1</v>
      </c>
      <c r="B4" s="2" t="s">
        <v>3</v>
      </c>
      <c r="C4" s="3">
        <v>2606.08</v>
      </c>
      <c r="D4" s="3">
        <v>2817.94</v>
      </c>
      <c r="E4" s="3">
        <v>2950.62</v>
      </c>
      <c r="F4" s="4">
        <v>3314.42</v>
      </c>
      <c r="H4" s="13" t="s">
        <v>35</v>
      </c>
      <c r="I4" s="2" t="s">
        <v>3</v>
      </c>
      <c r="J4" s="16">
        <v>2802.44</v>
      </c>
      <c r="K4" s="16">
        <v>2900.15</v>
      </c>
      <c r="L4" s="16">
        <v>2986.23</v>
      </c>
    </row>
    <row r="5" spans="1:12" x14ac:dyDescent="0.25">
      <c r="A5" s="1" t="s">
        <v>6</v>
      </c>
      <c r="B5" s="2" t="s">
        <v>7</v>
      </c>
      <c r="C5" s="3">
        <v>2876.96</v>
      </c>
      <c r="D5" s="3">
        <v>3133.59</v>
      </c>
      <c r="E5" s="3">
        <v>3254.35</v>
      </c>
      <c r="F5" s="4">
        <v>3661.09</v>
      </c>
      <c r="H5" s="13" t="s">
        <v>36</v>
      </c>
      <c r="I5" s="2" t="s">
        <v>7</v>
      </c>
      <c r="J5" s="18" t="s">
        <v>61</v>
      </c>
      <c r="K5" s="18" t="s">
        <v>62</v>
      </c>
      <c r="L5" s="18" t="s">
        <v>63</v>
      </c>
    </row>
    <row r="6" spans="1:12" x14ac:dyDescent="0.25">
      <c r="A6" s="1" t="s">
        <v>13</v>
      </c>
      <c r="B6" s="2" t="s">
        <v>33</v>
      </c>
      <c r="C6" s="3">
        <v>3272.21</v>
      </c>
      <c r="D6" s="3">
        <v>3538.54</v>
      </c>
      <c r="E6" s="3">
        <v>3704.36</v>
      </c>
      <c r="F6" s="4">
        <v>4125.4799999999996</v>
      </c>
      <c r="H6" s="13" t="s">
        <v>37</v>
      </c>
      <c r="I6" s="2" t="s">
        <v>39</v>
      </c>
      <c r="J6" s="16">
        <v>3181.72</v>
      </c>
      <c r="K6" s="18">
        <v>3294.35</v>
      </c>
      <c r="L6" s="18" t="s">
        <v>65</v>
      </c>
    </row>
    <row r="7" spans="1:12" x14ac:dyDescent="0.25">
      <c r="A7" s="1" t="s">
        <v>9</v>
      </c>
      <c r="B7" s="2" t="s">
        <v>8</v>
      </c>
      <c r="C7" s="3">
        <v>3324.43</v>
      </c>
      <c r="D7" s="3">
        <v>3595.19</v>
      </c>
      <c r="E7" s="3">
        <v>3765.03</v>
      </c>
      <c r="F7" s="4">
        <v>4096.1499999999996</v>
      </c>
      <c r="H7" s="13" t="s">
        <v>40</v>
      </c>
      <c r="I7" s="2" t="s">
        <v>38</v>
      </c>
      <c r="J7" s="16" t="s">
        <v>64</v>
      </c>
      <c r="K7" s="16">
        <v>3192.67</v>
      </c>
      <c r="L7" s="16">
        <v>3355.67</v>
      </c>
    </row>
    <row r="8" spans="1:12" x14ac:dyDescent="0.25">
      <c r="A8" s="1" t="s">
        <v>14</v>
      </c>
      <c r="B8" s="2" t="s">
        <v>15</v>
      </c>
      <c r="C8" s="3">
        <v>3523.81</v>
      </c>
      <c r="D8" s="3">
        <v>3810.57</v>
      </c>
      <c r="E8" s="3">
        <v>3990.26</v>
      </c>
      <c r="F8" s="4">
        <v>4295.17</v>
      </c>
      <c r="H8" s="13" t="s">
        <v>41</v>
      </c>
      <c r="I8" s="2" t="s">
        <v>42</v>
      </c>
      <c r="J8" s="16" t="s">
        <v>66</v>
      </c>
      <c r="K8" s="16">
        <v>3276.84</v>
      </c>
      <c r="L8" s="16">
        <v>3391.35</v>
      </c>
    </row>
    <row r="9" spans="1:12" x14ac:dyDescent="0.25">
      <c r="A9" s="1" t="s">
        <v>12</v>
      </c>
      <c r="B9" s="2" t="s">
        <v>34</v>
      </c>
      <c r="C9" s="3">
        <v>3136.53</v>
      </c>
      <c r="D9" s="3">
        <v>3391.57</v>
      </c>
      <c r="E9" s="3">
        <v>3551.11</v>
      </c>
      <c r="F9" s="4">
        <v>3913.62</v>
      </c>
      <c r="H9" s="13" t="s">
        <v>43</v>
      </c>
      <c r="I9" s="2" t="s">
        <v>44</v>
      </c>
      <c r="J9" s="16">
        <v>3435.13</v>
      </c>
      <c r="K9" s="16">
        <v>3574.7</v>
      </c>
      <c r="L9" s="16">
        <v>3714.24</v>
      </c>
    </row>
    <row r="10" spans="1:12" x14ac:dyDescent="0.25">
      <c r="A10" s="1" t="s">
        <v>10</v>
      </c>
      <c r="B10" s="2" t="s">
        <v>11</v>
      </c>
      <c r="C10" s="3">
        <v>3232.73</v>
      </c>
      <c r="D10" s="3">
        <v>3573.75</v>
      </c>
      <c r="E10" s="3">
        <v>3657.3</v>
      </c>
      <c r="F10" s="4">
        <v>4072.61</v>
      </c>
      <c r="H10" s="13" t="s">
        <v>45</v>
      </c>
      <c r="I10" s="2" t="s">
        <v>46</v>
      </c>
      <c r="J10" s="16">
        <v>4005.66</v>
      </c>
      <c r="K10" s="16">
        <v>4131.3500000000004</v>
      </c>
      <c r="L10" s="16">
        <v>4259.88</v>
      </c>
    </row>
    <row r="11" spans="1:12" x14ac:dyDescent="0.25">
      <c r="A11" s="1" t="s">
        <v>16</v>
      </c>
      <c r="B11" s="2" t="s">
        <v>17</v>
      </c>
      <c r="C11" s="3">
        <v>3765.97</v>
      </c>
      <c r="D11" s="3">
        <v>4072.43</v>
      </c>
      <c r="E11" s="3">
        <v>4264.6499999999996</v>
      </c>
      <c r="F11" s="4">
        <v>4602.25</v>
      </c>
      <c r="H11" s="13" t="s">
        <v>47</v>
      </c>
      <c r="I11" s="2" t="s">
        <v>24</v>
      </c>
      <c r="J11" s="16">
        <v>4556.53</v>
      </c>
      <c r="K11" s="16">
        <v>4770.53</v>
      </c>
      <c r="L11" s="16">
        <v>4989.2299999999996</v>
      </c>
    </row>
    <row r="12" spans="1:12" x14ac:dyDescent="0.25">
      <c r="A12" s="1" t="s">
        <v>19</v>
      </c>
      <c r="B12" s="2" t="s">
        <v>20</v>
      </c>
      <c r="C12" s="3">
        <v>3899.42</v>
      </c>
      <c r="D12" s="3">
        <v>4214.8999999999996</v>
      </c>
      <c r="E12" s="3">
        <v>4413.92</v>
      </c>
      <c r="F12" s="4">
        <v>4777.7299999999996</v>
      </c>
      <c r="H12" s="13" t="s">
        <v>48</v>
      </c>
      <c r="I12" s="2" t="s">
        <v>49</v>
      </c>
      <c r="J12" s="16">
        <v>10281.299999999999</v>
      </c>
      <c r="K12" s="16">
        <v>10610.98</v>
      </c>
      <c r="L12" s="16">
        <v>10961.9</v>
      </c>
    </row>
    <row r="13" spans="1:12" x14ac:dyDescent="0.25">
      <c r="A13" s="1" t="s">
        <v>27</v>
      </c>
      <c r="B13" s="2" t="s">
        <v>28</v>
      </c>
      <c r="C13" s="3">
        <v>7997.43</v>
      </c>
      <c r="D13" s="3">
        <v>8644.77</v>
      </c>
      <c r="E13" s="3">
        <v>9047.1</v>
      </c>
      <c r="F13" s="4">
        <v>10124.59</v>
      </c>
      <c r="H13" s="13" t="s">
        <v>55</v>
      </c>
      <c r="I13" s="2" t="s">
        <v>56</v>
      </c>
      <c r="J13" s="16">
        <v>4204.84</v>
      </c>
      <c r="K13" s="16">
        <v>4364.1000000000004</v>
      </c>
      <c r="L13" s="16">
        <v>4548.0600000000004</v>
      </c>
    </row>
    <row r="14" spans="1:12" x14ac:dyDescent="0.25">
      <c r="A14" s="1" t="s">
        <v>59</v>
      </c>
      <c r="B14" s="2" t="s">
        <v>60</v>
      </c>
      <c r="C14" s="3">
        <v>9407.33</v>
      </c>
      <c r="D14" s="3">
        <v>10168.36</v>
      </c>
      <c r="E14" s="3">
        <v>10641.03</v>
      </c>
      <c r="F14" s="4">
        <v>11906.31</v>
      </c>
      <c r="H14" s="9" t="s">
        <v>50</v>
      </c>
      <c r="I14" s="6" t="s">
        <v>15</v>
      </c>
      <c r="J14" s="16">
        <v>3680.75</v>
      </c>
      <c r="K14" s="16">
        <v>3801.24</v>
      </c>
      <c r="L14" s="16">
        <v>3962.68</v>
      </c>
    </row>
    <row r="15" spans="1:12" x14ac:dyDescent="0.25">
      <c r="A15" s="1" t="s">
        <v>22</v>
      </c>
      <c r="B15" s="2" t="s">
        <v>57</v>
      </c>
      <c r="C15" s="3">
        <v>4042.25</v>
      </c>
      <c r="D15" s="3">
        <v>4417.9399999999996</v>
      </c>
      <c r="E15" s="3">
        <v>4572.07</v>
      </c>
      <c r="F15" s="4">
        <v>4929.67</v>
      </c>
      <c r="H15" s="9" t="s">
        <v>51</v>
      </c>
      <c r="I15" s="6" t="s">
        <v>52</v>
      </c>
      <c r="J15" s="16">
        <v>2906.67</v>
      </c>
      <c r="K15" s="16">
        <v>3047.79</v>
      </c>
      <c r="L15" s="16">
        <v>3168.24</v>
      </c>
    </row>
    <row r="16" spans="1:12" x14ac:dyDescent="0.25">
      <c r="A16" s="1" t="s">
        <v>21</v>
      </c>
      <c r="B16" s="2" t="s">
        <v>58</v>
      </c>
      <c r="C16" s="3">
        <v>4040.5</v>
      </c>
      <c r="D16" s="3">
        <v>4369</v>
      </c>
      <c r="E16" s="3">
        <v>4574.4399999999996</v>
      </c>
      <c r="F16" s="4">
        <v>5079.4799999999996</v>
      </c>
      <c r="H16" s="9"/>
      <c r="I16" s="19" t="s">
        <v>68</v>
      </c>
      <c r="J16" s="17"/>
      <c r="K16" s="17"/>
      <c r="L16" s="17"/>
    </row>
    <row r="17" spans="1:12" x14ac:dyDescent="0.25">
      <c r="A17" s="1" t="s">
        <v>23</v>
      </c>
      <c r="B17" s="2" t="s">
        <v>24</v>
      </c>
      <c r="C17" s="3">
        <v>4671.3900000000003</v>
      </c>
      <c r="D17" s="3">
        <v>5051.34</v>
      </c>
      <c r="E17" s="3">
        <v>5287.67</v>
      </c>
      <c r="F17" s="4">
        <v>5847.03</v>
      </c>
      <c r="H17" s="9"/>
      <c r="I17" s="27" t="s">
        <v>70</v>
      </c>
      <c r="J17" s="17"/>
      <c r="K17" s="17"/>
      <c r="L17" s="17"/>
    </row>
    <row r="18" spans="1:12" x14ac:dyDescent="0.25">
      <c r="A18" s="5" t="s">
        <v>25</v>
      </c>
      <c r="B18" s="6" t="s">
        <v>26</v>
      </c>
      <c r="C18" s="7">
        <v>6400.36</v>
      </c>
      <c r="D18" s="7">
        <v>6918.25</v>
      </c>
      <c r="E18" s="7">
        <v>7242.78</v>
      </c>
      <c r="F18" s="8">
        <v>7829.74</v>
      </c>
    </row>
    <row r="19" spans="1:12" x14ac:dyDescent="0.25">
      <c r="A19" s="5"/>
      <c r="B19" s="19" t="s">
        <v>71</v>
      </c>
      <c r="C19" s="7"/>
      <c r="D19" s="7"/>
      <c r="E19" s="7"/>
      <c r="F19" s="8"/>
    </row>
    <row r="21" spans="1:12" x14ac:dyDescent="0.25">
      <c r="B21" s="72" t="s">
        <v>72</v>
      </c>
      <c r="C21" s="72"/>
      <c r="D21" s="72"/>
      <c r="E21" s="72"/>
      <c r="F21" s="72"/>
    </row>
    <row r="22" spans="1:12" x14ac:dyDescent="0.25">
      <c r="A22" s="23"/>
      <c r="B22" s="28" t="s">
        <v>2</v>
      </c>
      <c r="C22" s="28" t="s">
        <v>29</v>
      </c>
      <c r="D22" s="28" t="s">
        <v>30</v>
      </c>
      <c r="E22" s="28" t="s">
        <v>31</v>
      </c>
      <c r="F22" s="28" t="s">
        <v>32</v>
      </c>
    </row>
    <row r="23" spans="1:12" x14ac:dyDescent="0.25">
      <c r="A23" s="2" t="s">
        <v>4</v>
      </c>
      <c r="B23" s="2" t="s">
        <v>5</v>
      </c>
      <c r="C23" s="30">
        <f>(C3*1/'Valores Locadoras 2025'!C3)-100%</f>
        <v>2.6696279754680585E-2</v>
      </c>
      <c r="D23" s="30">
        <f>(D3*1/'Valores Locadoras 2025'!D3)-100%</f>
        <v>2.7538571605155715E-2</v>
      </c>
      <c r="E23" s="30">
        <f>(E3*1/'Valores Locadoras 2025'!E3)-100%</f>
        <v>2.8004354084460559E-2</v>
      </c>
      <c r="F23" s="30">
        <f>(F3*1/'Valores Locadoras 2025'!F3)-100%</f>
        <v>2.879577697129676E-2</v>
      </c>
    </row>
    <row r="24" spans="1:12" x14ac:dyDescent="0.25">
      <c r="A24" s="2" t="s">
        <v>1</v>
      </c>
      <c r="B24" s="2" t="s">
        <v>3</v>
      </c>
      <c r="C24" s="30">
        <f>(C4*1/'Valores Locadoras 2025'!C4)-100%</f>
        <v>4.914653784219003E-2</v>
      </c>
      <c r="D24" s="30">
        <f>(D4*1/'Valores Locadoras 2025'!D4)-100%</f>
        <v>5.068605518269953E-2</v>
      </c>
      <c r="E24" s="30">
        <f>(E4*1/'Valores Locadoras 2025'!E4)-100%</f>
        <v>5.153955808980748E-2</v>
      </c>
      <c r="F24" s="30">
        <f>(F4*1/'Valores Locadoras 2025'!F4)-100%</f>
        <v>5.3534647171010752E-2</v>
      </c>
    </row>
    <row r="25" spans="1:12" x14ac:dyDescent="0.25">
      <c r="A25" s="2" t="s">
        <v>6</v>
      </c>
      <c r="B25" s="2" t="s">
        <v>7</v>
      </c>
      <c r="C25" s="30">
        <f>(C5*1/'Valores Locadoras 2025'!C5)-100%</f>
        <v>4.3889695210449942E-2</v>
      </c>
      <c r="D25" s="30">
        <f>(D5*1/'Valores Locadoras 2025'!D5)-100%</f>
        <v>5.2596397056106525E-2</v>
      </c>
      <c r="E25" s="30">
        <f>(E5*1/'Valores Locadoras 2025'!E5)-100%</f>
        <v>4.4068155496167716E-2</v>
      </c>
      <c r="F25" s="30">
        <f>(F5*1/'Valores Locadoras 2025'!F5)-100%</f>
        <v>5.5069164265129755E-2</v>
      </c>
    </row>
    <row r="26" spans="1:12" x14ac:dyDescent="0.25">
      <c r="A26" s="2" t="s">
        <v>13</v>
      </c>
      <c r="B26" s="2" t="s">
        <v>33</v>
      </c>
      <c r="C26" s="30">
        <f>(C6*1/'Valores Locadoras 2025'!C6)-100%</f>
        <v>5.3326036921987452E-2</v>
      </c>
      <c r="D26" s="30">
        <f>(D6*1/'Valores Locadoras 2025'!D6)-100%</f>
        <v>5.4561818647815841E-2</v>
      </c>
      <c r="E26" s="30">
        <f>(E6*1/'Valores Locadoras 2025'!E6)-100%</f>
        <v>5.5243944474038909E-2</v>
      </c>
      <c r="F26" s="30">
        <f>(F6*1/'Valores Locadoras 2025'!F6)-100%</f>
        <v>5.6731557377049047E-2</v>
      </c>
    </row>
    <row r="27" spans="1:12" x14ac:dyDescent="0.25">
      <c r="A27" s="2" t="s">
        <v>9</v>
      </c>
      <c r="B27" s="2" t="s">
        <v>8</v>
      </c>
      <c r="C27" s="30">
        <f>(C7*1/'Valores Locadoras 2025'!C7)-100%</f>
        <v>4.9454348011376936E-2</v>
      </c>
      <c r="D27" s="30">
        <f>(D7*1/'Valores Locadoras 2025'!D7)-100%</f>
        <v>5.0976230775751974E-2</v>
      </c>
      <c r="E27" s="30">
        <f>(E7*1/'Valores Locadoras 2025'!E7)-100%</f>
        <v>5.1816569121817091E-2</v>
      </c>
      <c r="F27" s="30">
        <f>(F7*1/'Valores Locadoras 2025'!F7)-100%</f>
        <v>5.3265620982257511E-2</v>
      </c>
    </row>
    <row r="28" spans="1:12" x14ac:dyDescent="0.25">
      <c r="A28" s="2" t="s">
        <v>14</v>
      </c>
      <c r="B28" s="2" t="s">
        <v>15</v>
      </c>
      <c r="C28" s="30">
        <f>(C8*1/'Valores Locadoras 2025'!C8)-100%</f>
        <v>5.0597775856414451E-2</v>
      </c>
      <c r="D28" s="30">
        <f>(D8*1/'Valores Locadoras 2025'!D8)-100%</f>
        <v>5.2030446342049341E-2</v>
      </c>
      <c r="E28" s="30">
        <f>(E8*1/'Valores Locadoras 2025'!E8)-100%</f>
        <v>5.2827938491414317E-2</v>
      </c>
      <c r="F28" s="30">
        <f>(F8*1/'Valores Locadoras 2025'!F8)-100%</f>
        <v>5.4029447852760759E-2</v>
      </c>
    </row>
    <row r="29" spans="1:12" x14ac:dyDescent="0.25">
      <c r="A29" s="2" t="s">
        <v>12</v>
      </c>
      <c r="B29" s="2" t="s">
        <v>34</v>
      </c>
      <c r="C29" s="30">
        <f>(C9*1/'Valores Locadoras 2025'!C9)-100%</f>
        <v>5.2615152277875721E-2</v>
      </c>
      <c r="D29" s="30">
        <f>(D9*1/'Valores Locadoras 2025'!D9)-100%</f>
        <v>5.3904477797458217E-2</v>
      </c>
      <c r="E29" s="30">
        <f>(E9*1/'Valores Locadoras 2025'!E9)-100%</f>
        <v>5.4618080304110306E-2</v>
      </c>
      <c r="F29" s="30">
        <f>(F9*1/'Valores Locadoras 2025'!F9)-100%</f>
        <v>5.6022665947112804E-2</v>
      </c>
    </row>
    <row r="30" spans="1:12" x14ac:dyDescent="0.25">
      <c r="A30" s="2" t="s">
        <v>10</v>
      </c>
      <c r="B30" s="2" t="s">
        <v>11</v>
      </c>
      <c r="C30" s="30">
        <f>(C10*1/'Valores Locadoras 2025'!C10)-100%</f>
        <v>2.6847001947138294E-2</v>
      </c>
      <c r="D30" s="30">
        <f>(D10*1/'Valores Locadoras 2025'!D10)-100%</f>
        <v>5.0861861102452943E-2</v>
      </c>
      <c r="E30" s="30">
        <f>(E10*1/'Valores Locadoras 2025'!E10)-100%</f>
        <v>2.8143000514450955E-2</v>
      </c>
      <c r="F30" s="30">
        <f>(F10*1/'Valores Locadoras 2025'!F10)-100%</f>
        <v>5.3170416343418792E-2</v>
      </c>
    </row>
    <row r="31" spans="1:12" x14ac:dyDescent="0.25">
      <c r="A31" s="2" t="s">
        <v>16</v>
      </c>
      <c r="B31" s="2" t="s">
        <v>17</v>
      </c>
      <c r="C31" s="30">
        <f>(C11*1/'Valores Locadoras 2025'!C11)-100%</f>
        <v>5.1820591381482206E-2</v>
      </c>
      <c r="D31" s="30">
        <f>(D11*1/'Valores Locadoras 2025'!D11)-100%</f>
        <v>5.3170167811877E-2</v>
      </c>
      <c r="E31" s="30">
        <f>(E11*1/'Valores Locadoras 2025'!E11)-100%</f>
        <v>5.3915996125027066E-2</v>
      </c>
      <c r="F31" s="30">
        <f>(F11*1/'Valores Locadoras 2025'!F11)-100%</f>
        <v>5.5077945896377711E-2</v>
      </c>
    </row>
    <row r="32" spans="1:12" x14ac:dyDescent="0.25">
      <c r="A32" s="2" t="s">
        <v>19</v>
      </c>
      <c r="B32" s="2" t="s">
        <v>20</v>
      </c>
      <c r="C32" s="30">
        <f>(C12*1/'Valores Locadoras 2025'!C12)-100%</f>
        <v>5.2435265603998804E-2</v>
      </c>
      <c r="D32" s="30">
        <f>(D12*1/'Valores Locadoras 2025'!D12)-100%</f>
        <v>5.3727634319085782E-2</v>
      </c>
      <c r="E32" s="30">
        <f>(E12*1/'Valores Locadoras 2025'!E12)-100%</f>
        <v>5.4450679528618151E-2</v>
      </c>
      <c r="F32" s="30">
        <f>(F12*1/'Valores Locadoras 2025'!F12)-100%</f>
        <v>5.5618647812637922E-2</v>
      </c>
    </row>
    <row r="33" spans="1:6" x14ac:dyDescent="0.25">
      <c r="A33" s="2" t="s">
        <v>27</v>
      </c>
      <c r="B33" s="2" t="s">
        <v>28</v>
      </c>
      <c r="C33" s="30">
        <f>(C13*1/'Valores Locadoras 2025'!C13)-100%</f>
        <v>5.88415199258574E-2</v>
      </c>
      <c r="D33" s="30">
        <f>(D13*1/'Valores Locadoras 2025'!D13)-100%</f>
        <v>5.9667810737926041E-2</v>
      </c>
      <c r="E33" s="30">
        <f>(E13*1/'Valores Locadoras 2025'!E13)-100%</f>
        <v>6.012420904616822E-2</v>
      </c>
      <c r="F33" s="30">
        <f>(F13*1/'Valores Locadoras 2025'!F13)-100%</f>
        <v>6.1166544387380783E-2</v>
      </c>
    </row>
    <row r="34" spans="1:6" x14ac:dyDescent="0.25">
      <c r="A34" s="2" t="s">
        <v>59</v>
      </c>
      <c r="B34" s="2" t="s">
        <v>60</v>
      </c>
      <c r="C34" s="30">
        <f>(C14*1/'Valores Locadoras 2025'!C14)-100%</f>
        <v>6.0498248723038994E-2</v>
      </c>
      <c r="D34" s="30">
        <f>(D14*1/'Valores Locadoras 2025'!D14)-100%</f>
        <v>6.1204980223129146E-2</v>
      </c>
      <c r="E34" s="30">
        <f>(E14*1/'Valores Locadoras 2025'!E14)-100%</f>
        <v>6.1592334129783266E-2</v>
      </c>
      <c r="F34" s="30">
        <f>(F14*1/'Valores Locadoras 2025'!F14)-100%</f>
        <v>6.2479029390977825E-2</v>
      </c>
    </row>
    <row r="35" spans="1:6" x14ac:dyDescent="0.25">
      <c r="A35" s="2" t="s">
        <v>22</v>
      </c>
      <c r="B35" s="2" t="s">
        <v>57</v>
      </c>
      <c r="C35" s="30">
        <f>(C15*1/'Valores Locadoras 2025'!C15)-100%</f>
        <v>2.908080916084943E-2</v>
      </c>
      <c r="D35" s="30">
        <f>(D15*1/'Valores Locadoras 2025'!D15)-100%</f>
        <v>4.1365248853846293E-2</v>
      </c>
      <c r="E35" s="30">
        <f>(E15*1/'Valores Locadoras 2025'!E15)-100%</f>
        <v>3.0119029648137952E-2</v>
      </c>
      <c r="F35" s="30">
        <f>(F15*1/'Valores Locadoras 2025'!F15)-100%</f>
        <v>5.6056126820908325E-2</v>
      </c>
    </row>
    <row r="36" spans="1:6" x14ac:dyDescent="0.25">
      <c r="A36" s="2" t="s">
        <v>21</v>
      </c>
      <c r="B36" s="2" t="s">
        <v>58</v>
      </c>
      <c r="C36" s="30">
        <f>(C16*1/'Valores Locadoras 2025'!C16)-100%</f>
        <v>5.3036226218399873E-2</v>
      </c>
      <c r="D36" s="30">
        <f>(D16*1/'Valores Locadoras 2025'!D16)-100%</f>
        <v>5.4295366795366728E-2</v>
      </c>
      <c r="E36" s="30">
        <f>(E16*1/'Valores Locadoras 2025'!E16)-100%</f>
        <v>5.499320801016605E-2</v>
      </c>
      <c r="F36" s="30">
        <f>(F16*1/'Valores Locadoras 2025'!F16)-100%</f>
        <v>5.6464226289517416E-2</v>
      </c>
    </row>
    <row r="37" spans="1:6" x14ac:dyDescent="0.25">
      <c r="A37" s="2" t="s">
        <v>23</v>
      </c>
      <c r="B37" s="2" t="s">
        <v>24</v>
      </c>
      <c r="C37" s="30">
        <f>(C17*1/'Valores Locadoras 2025'!C17)-100%</f>
        <v>5.3712045510424522E-2</v>
      </c>
      <c r="D37" s="30">
        <f>(D17*1/'Valores Locadoras 2025'!D17)-100%</f>
        <v>5.492068265543959E-2</v>
      </c>
      <c r="E37" s="30">
        <f>(E17*1/'Valores Locadoras 2025'!E17)-100%</f>
        <v>5.5585389371220817E-2</v>
      </c>
      <c r="F37" s="30">
        <f>(F17*1/'Valores Locadoras 2025'!F17)-100%</f>
        <v>5.6948765272533119E-2</v>
      </c>
    </row>
    <row r="38" spans="1:6" x14ac:dyDescent="0.25">
      <c r="A38" s="2" t="s">
        <v>25</v>
      </c>
      <c r="B38" s="2" t="s">
        <v>26</v>
      </c>
      <c r="C38" s="30">
        <f>(C18*1/'Valores Locadoras 2025'!C18)-100%</f>
        <v>5.8062894994817427E-2</v>
      </c>
      <c r="D38" s="30">
        <f>(D18*1/'Valores Locadoras 2025'!D18)-100%</f>
        <v>5.8947152517778489E-2</v>
      </c>
      <c r="E38" s="30">
        <f>(E18*1/'Valores Locadoras 2025'!E18)-100%</f>
        <v>5.9437367986846956E-2</v>
      </c>
      <c r="F38" s="30">
        <f>(F18*1/'Valores Locadoras 2025'!F18)-100%</f>
        <v>6.0222071767095375E-2</v>
      </c>
    </row>
    <row r="39" spans="1:6" x14ac:dyDescent="0.25">
      <c r="A39" s="24"/>
      <c r="B39" s="26"/>
      <c r="C39" s="29"/>
      <c r="D39" s="29"/>
      <c r="E39" s="29"/>
      <c r="F39" s="29"/>
    </row>
  </sheetData>
  <mergeCells count="3">
    <mergeCell ref="C1:F1"/>
    <mergeCell ref="J1:L1"/>
    <mergeCell ref="B21:F21"/>
  </mergeCells>
  <pageMargins left="0.511811024" right="0.511811024" top="0.78740157499999996" bottom="0.78740157499999996" header="0.31496062000000002" footer="0.31496062000000002"/>
  <legacy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F666-8A5B-42FD-A2E3-9E95CEDB8B8C}">
  <dimension ref="A1:U41"/>
  <sheetViews>
    <sheetView tabSelected="1" workbookViewId="0">
      <pane ySplit="11" topLeftCell="A12" activePane="bottomLeft" state="frozen"/>
      <selection pane="bottomLeft" activeCell="M6" sqref="M6"/>
    </sheetView>
  </sheetViews>
  <sheetFormatPr defaultRowHeight="15" x14ac:dyDescent="0.25"/>
  <cols>
    <col min="2" max="2" width="11.5703125" customWidth="1"/>
    <col min="3" max="3" width="18.7109375" bestFit="1" customWidth="1"/>
    <col min="4" max="5" width="10.7109375" bestFit="1" customWidth="1"/>
    <col min="6" max="7" width="11.7109375" bestFit="1" customWidth="1"/>
    <col min="9" max="9" width="15.28515625" customWidth="1"/>
    <col min="10" max="10" width="16.42578125" customWidth="1"/>
    <col min="12" max="12" width="11.7109375" customWidth="1"/>
    <col min="13" max="16" width="11.7109375" bestFit="1" customWidth="1"/>
    <col min="17" max="17" width="12.42578125" customWidth="1"/>
  </cols>
  <sheetData>
    <row r="1" spans="1:21" x14ac:dyDescent="0.25">
      <c r="H1" s="60" t="s">
        <v>97</v>
      </c>
      <c r="I1" s="60"/>
      <c r="J1" s="60"/>
      <c r="K1" s="60"/>
      <c r="L1" s="60"/>
      <c r="M1" s="60"/>
      <c r="N1" s="60"/>
      <c r="O1" s="60"/>
      <c r="P1" s="60"/>
      <c r="Q1" s="60"/>
    </row>
    <row r="2" spans="1:21" x14ac:dyDescent="0.25">
      <c r="H2" s="53"/>
    </row>
    <row r="3" spans="1:21" ht="15.75" x14ac:dyDescent="0.25">
      <c r="C3" s="62" t="s">
        <v>18</v>
      </c>
      <c r="D3" s="62"/>
      <c r="E3" s="62"/>
      <c r="F3" s="62"/>
      <c r="H3" s="57" t="s">
        <v>94</v>
      </c>
      <c r="I3" s="57"/>
      <c r="M3" s="64" t="s">
        <v>53</v>
      </c>
      <c r="N3" s="65"/>
      <c r="O3" s="66"/>
      <c r="Q3" s="58" t="s">
        <v>93</v>
      </c>
      <c r="R3" s="58"/>
      <c r="S3" s="58"/>
      <c r="T3" s="59"/>
    </row>
    <row r="4" spans="1:21" x14ac:dyDescent="0.25">
      <c r="A4" s="44" t="s">
        <v>0</v>
      </c>
      <c r="B4" s="42" t="s">
        <v>2</v>
      </c>
      <c r="C4" s="42" t="s">
        <v>29</v>
      </c>
      <c r="D4" s="42" t="s">
        <v>30</v>
      </c>
      <c r="E4" s="42" t="s">
        <v>31</v>
      </c>
      <c r="F4" s="43" t="s">
        <v>32</v>
      </c>
      <c r="H4" s="35" t="s">
        <v>83</v>
      </c>
      <c r="I4" s="51">
        <v>0.6</v>
      </c>
      <c r="K4" s="41" t="s">
        <v>0</v>
      </c>
      <c r="L4" s="40" t="s">
        <v>2</v>
      </c>
      <c r="M4" s="40" t="s">
        <v>29</v>
      </c>
      <c r="N4" s="40" t="s">
        <v>54</v>
      </c>
      <c r="O4" s="40" t="s">
        <v>31</v>
      </c>
      <c r="Q4" s="39" t="s">
        <v>0</v>
      </c>
      <c r="R4" s="39" t="s">
        <v>73</v>
      </c>
      <c r="S4" s="39" t="s">
        <v>91</v>
      </c>
      <c r="T4" s="39" t="s">
        <v>92</v>
      </c>
    </row>
    <row r="5" spans="1:21" x14ac:dyDescent="0.25">
      <c r="A5" s="47" t="s">
        <v>1</v>
      </c>
      <c r="B5" s="48" t="s">
        <v>3</v>
      </c>
      <c r="C5" s="3">
        <v>2606.08</v>
      </c>
      <c r="D5" s="3">
        <v>2817.94</v>
      </c>
      <c r="E5" s="3">
        <v>2950.62</v>
      </c>
      <c r="F5" s="3">
        <v>3314.42</v>
      </c>
      <c r="H5" s="35" t="s">
        <v>77</v>
      </c>
      <c r="I5" s="51">
        <v>1.2</v>
      </c>
      <c r="K5" s="45" t="s">
        <v>35</v>
      </c>
      <c r="L5" s="46" t="s">
        <v>3</v>
      </c>
      <c r="M5" s="16">
        <v>2802.44</v>
      </c>
      <c r="N5" s="16">
        <v>2900.15</v>
      </c>
      <c r="O5" s="16">
        <v>2986.23</v>
      </c>
      <c r="Q5" s="39" t="s">
        <v>83</v>
      </c>
      <c r="R5" s="21">
        <v>0.5</v>
      </c>
      <c r="S5" s="21">
        <v>1</v>
      </c>
      <c r="T5" s="21">
        <v>1</v>
      </c>
    </row>
    <row r="6" spans="1:21" x14ac:dyDescent="0.25">
      <c r="A6" s="47" t="s">
        <v>27</v>
      </c>
      <c r="B6" s="48" t="s">
        <v>28</v>
      </c>
      <c r="C6" s="3">
        <v>7997.43</v>
      </c>
      <c r="D6" s="3">
        <v>8644.77</v>
      </c>
      <c r="E6" s="3">
        <v>9047.1</v>
      </c>
      <c r="F6" s="3">
        <v>10124.59</v>
      </c>
      <c r="H6" s="35" t="s">
        <v>78</v>
      </c>
      <c r="I6" s="51">
        <v>3.2</v>
      </c>
      <c r="K6" s="45" t="s">
        <v>45</v>
      </c>
      <c r="L6" s="46" t="s">
        <v>95</v>
      </c>
      <c r="M6" s="16">
        <v>4005.66</v>
      </c>
      <c r="N6" s="16">
        <v>4131.3500000000004</v>
      </c>
      <c r="O6" s="16">
        <v>4259.88</v>
      </c>
      <c r="Q6" s="39" t="s">
        <v>77</v>
      </c>
      <c r="R6" s="21">
        <v>1</v>
      </c>
      <c r="S6" s="21">
        <v>2</v>
      </c>
      <c r="T6" s="21">
        <v>2</v>
      </c>
    </row>
    <row r="7" spans="1:21" x14ac:dyDescent="0.25">
      <c r="A7" s="47" t="s">
        <v>21</v>
      </c>
      <c r="B7" s="48" t="s">
        <v>58</v>
      </c>
      <c r="C7" s="3">
        <v>4040.5</v>
      </c>
      <c r="D7" s="3">
        <v>4369</v>
      </c>
      <c r="E7" s="3">
        <v>4574.4399999999996</v>
      </c>
      <c r="F7" s="3">
        <v>5079.4799999999996</v>
      </c>
      <c r="K7" s="45" t="s">
        <v>48</v>
      </c>
      <c r="L7" s="46" t="s">
        <v>49</v>
      </c>
      <c r="M7" s="16">
        <v>10281.299999999999</v>
      </c>
      <c r="N7" s="16">
        <v>10610.98</v>
      </c>
      <c r="O7" s="16">
        <v>10961.9</v>
      </c>
      <c r="Q7" s="39" t="s">
        <v>78</v>
      </c>
      <c r="R7" s="21">
        <v>3</v>
      </c>
      <c r="S7" s="21">
        <v>6</v>
      </c>
      <c r="T7" s="21">
        <v>6</v>
      </c>
    </row>
    <row r="8" spans="1:21" x14ac:dyDescent="0.25">
      <c r="A8" s="53"/>
      <c r="K8" s="55"/>
      <c r="L8" s="55"/>
      <c r="M8" s="55"/>
      <c r="N8" s="55"/>
      <c r="O8" s="55"/>
      <c r="P8" s="55"/>
    </row>
    <row r="9" spans="1:21" x14ac:dyDescent="0.25">
      <c r="E9" s="53"/>
    </row>
    <row r="11" spans="1:21" x14ac:dyDescent="0.25">
      <c r="A11" s="32" t="s">
        <v>75</v>
      </c>
      <c r="B11" s="32" t="s">
        <v>0</v>
      </c>
      <c r="C11" s="32" t="s">
        <v>74</v>
      </c>
      <c r="D11" s="34" t="s">
        <v>29</v>
      </c>
      <c r="E11" s="34" t="s">
        <v>30</v>
      </c>
      <c r="F11" s="34" t="s">
        <v>31</v>
      </c>
      <c r="G11" s="34" t="s">
        <v>32</v>
      </c>
      <c r="I11" s="52"/>
      <c r="J11" s="52"/>
      <c r="K11" s="36" t="s">
        <v>75</v>
      </c>
      <c r="L11" s="36" t="s">
        <v>0</v>
      </c>
      <c r="M11" s="36" t="s">
        <v>74</v>
      </c>
      <c r="N11" s="37" t="s">
        <v>29</v>
      </c>
      <c r="O11" s="37">
        <v>4000</v>
      </c>
      <c r="P11" s="38" t="s">
        <v>31</v>
      </c>
      <c r="Q11" s="23"/>
      <c r="R11" s="52"/>
      <c r="S11" s="52"/>
      <c r="T11" s="52"/>
    </row>
    <row r="12" spans="1:21" x14ac:dyDescent="0.25">
      <c r="A12" s="50" t="s">
        <v>81</v>
      </c>
      <c r="B12" s="50" t="s">
        <v>83</v>
      </c>
      <c r="C12" t="s">
        <v>82</v>
      </c>
      <c r="D12" s="21">
        <v>2662.07</v>
      </c>
      <c r="E12" s="31">
        <v>2880.28</v>
      </c>
      <c r="F12" s="31">
        <v>3016.94</v>
      </c>
      <c r="G12" s="31">
        <v>3391.65</v>
      </c>
      <c r="I12" s="33"/>
      <c r="J12" s="51"/>
      <c r="K12" s="49" t="s">
        <v>76</v>
      </c>
      <c r="L12" s="49" t="s">
        <v>83</v>
      </c>
      <c r="M12" t="s">
        <v>79</v>
      </c>
      <c r="N12" s="31">
        <v>3125.24</v>
      </c>
      <c r="O12" s="31">
        <v>3233.9</v>
      </c>
      <c r="P12" s="31">
        <v>3329.86</v>
      </c>
      <c r="R12" s="33"/>
      <c r="S12" s="33"/>
      <c r="T12" s="33"/>
      <c r="U12" s="33"/>
    </row>
    <row r="13" spans="1:21" x14ac:dyDescent="0.25">
      <c r="A13" s="50" t="s">
        <v>81</v>
      </c>
      <c r="B13" s="50" t="s">
        <v>77</v>
      </c>
      <c r="C13" t="s">
        <v>82</v>
      </c>
      <c r="D13" s="31">
        <v>4133.82</v>
      </c>
      <c r="E13" s="31">
        <v>4472.18</v>
      </c>
      <c r="F13" s="31">
        <v>4683.78</v>
      </c>
      <c r="G13" s="31">
        <v>5203.97</v>
      </c>
      <c r="I13" s="33"/>
      <c r="J13" s="51"/>
      <c r="K13" s="49" t="s">
        <v>76</v>
      </c>
      <c r="L13" s="49" t="s">
        <v>77</v>
      </c>
      <c r="M13" t="s">
        <v>79</v>
      </c>
      <c r="N13" s="31">
        <v>4467.0200000000004</v>
      </c>
      <c r="O13" s="31">
        <v>4607.13</v>
      </c>
      <c r="P13" s="31">
        <v>4750.37</v>
      </c>
      <c r="R13" s="33"/>
      <c r="S13" s="21"/>
      <c r="T13" s="21"/>
      <c r="U13" s="21"/>
    </row>
    <row r="14" spans="1:21" x14ac:dyDescent="0.25">
      <c r="A14" s="50" t="s">
        <v>81</v>
      </c>
      <c r="B14" s="50" t="s">
        <v>78</v>
      </c>
      <c r="C14" t="s">
        <v>82</v>
      </c>
      <c r="D14" s="31">
        <v>8201.24</v>
      </c>
      <c r="E14" s="31">
        <v>8868</v>
      </c>
      <c r="F14" s="31">
        <v>9282.39</v>
      </c>
      <c r="G14" s="31">
        <v>10392.209999999999</v>
      </c>
      <c r="I14" s="33"/>
      <c r="J14" s="51"/>
      <c r="K14" s="49" t="s">
        <v>76</v>
      </c>
      <c r="L14" s="49" t="s">
        <v>78</v>
      </c>
      <c r="M14" t="s">
        <v>79</v>
      </c>
      <c r="N14" s="31">
        <v>11461.26</v>
      </c>
      <c r="O14" s="31">
        <v>11828.68</v>
      </c>
      <c r="P14" s="31">
        <v>12220.05</v>
      </c>
      <c r="R14" s="33"/>
      <c r="S14" s="21"/>
      <c r="T14" s="21"/>
      <c r="U14" s="21"/>
    </row>
    <row r="15" spans="1:21" x14ac:dyDescent="0.25">
      <c r="A15" s="50" t="s">
        <v>81</v>
      </c>
      <c r="B15" s="50" t="s">
        <v>83</v>
      </c>
      <c r="C15" t="s">
        <v>84</v>
      </c>
      <c r="D15" s="21">
        <v>2662.07</v>
      </c>
      <c r="E15" s="31">
        <v>2880.28</v>
      </c>
      <c r="F15" s="31">
        <v>3016.94</v>
      </c>
      <c r="G15" s="31">
        <v>3391.65</v>
      </c>
      <c r="I15" s="33"/>
      <c r="J15" s="33"/>
      <c r="K15" s="49" t="s">
        <v>76</v>
      </c>
      <c r="L15" s="49" t="s">
        <v>83</v>
      </c>
      <c r="M15" t="s">
        <v>80</v>
      </c>
      <c r="N15" s="31">
        <v>2919.91</v>
      </c>
      <c r="O15" s="31">
        <v>3021.51</v>
      </c>
      <c r="P15" s="31">
        <v>3111.12</v>
      </c>
      <c r="R15" s="33"/>
      <c r="S15" s="21"/>
      <c r="T15" s="21"/>
      <c r="U15" s="21"/>
    </row>
    <row r="16" spans="1:21" x14ac:dyDescent="0.25">
      <c r="A16" s="50" t="s">
        <v>81</v>
      </c>
      <c r="B16" s="50" t="s">
        <v>77</v>
      </c>
      <c r="C16" t="s">
        <v>84</v>
      </c>
      <c r="D16" s="31">
        <v>4133.82</v>
      </c>
      <c r="E16" s="31">
        <v>4472.18</v>
      </c>
      <c r="F16" s="31">
        <v>4683.78</v>
      </c>
      <c r="G16" s="31">
        <v>5203.97</v>
      </c>
      <c r="K16" s="49" t="s">
        <v>76</v>
      </c>
      <c r="L16" s="49" t="s">
        <v>77</v>
      </c>
      <c r="M16" t="s">
        <v>80</v>
      </c>
      <c r="N16" s="31">
        <v>4173.49</v>
      </c>
      <c r="O16" s="31">
        <v>4304.46</v>
      </c>
      <c r="P16" s="31">
        <v>4438.22</v>
      </c>
    </row>
    <row r="17" spans="1:16" x14ac:dyDescent="0.25">
      <c r="A17" s="50" t="s">
        <v>81</v>
      </c>
      <c r="B17" s="50" t="s">
        <v>78</v>
      </c>
      <c r="C17" t="s">
        <v>84</v>
      </c>
      <c r="D17" s="31">
        <v>8201.24</v>
      </c>
      <c r="E17" s="31">
        <v>8868</v>
      </c>
      <c r="F17" s="31">
        <v>9282.39</v>
      </c>
      <c r="G17" s="31">
        <v>10392.209999999999</v>
      </c>
      <c r="K17" s="49" t="s">
        <v>76</v>
      </c>
      <c r="L17" s="49" t="s">
        <v>78</v>
      </c>
      <c r="M17" t="s">
        <v>80</v>
      </c>
      <c r="N17" s="31">
        <v>10710.37</v>
      </c>
      <c r="O17" s="31">
        <v>11053.76</v>
      </c>
      <c r="P17" s="31">
        <v>11419.46</v>
      </c>
    </row>
    <row r="18" spans="1:16" x14ac:dyDescent="0.25">
      <c r="A18" s="50" t="s">
        <v>81</v>
      </c>
      <c r="B18" s="50" t="s">
        <v>83</v>
      </c>
      <c r="C18" t="s">
        <v>85</v>
      </c>
      <c r="D18" s="21">
        <v>2662.07</v>
      </c>
      <c r="E18" s="31">
        <v>2880.28</v>
      </c>
      <c r="F18" s="31">
        <v>3016.94</v>
      </c>
      <c r="G18" s="31">
        <v>3391.65</v>
      </c>
      <c r="K18" s="49" t="s">
        <v>76</v>
      </c>
      <c r="L18" s="49" t="s">
        <v>83</v>
      </c>
      <c r="M18" t="s">
        <v>89</v>
      </c>
      <c r="N18" s="31">
        <v>3125.24</v>
      </c>
      <c r="O18" s="21">
        <v>3233.9</v>
      </c>
      <c r="P18" s="21">
        <v>3329.86</v>
      </c>
    </row>
    <row r="19" spans="1:16" x14ac:dyDescent="0.25">
      <c r="A19" s="50" t="s">
        <v>81</v>
      </c>
      <c r="B19" s="50" t="s">
        <v>77</v>
      </c>
      <c r="C19" t="s">
        <v>85</v>
      </c>
      <c r="D19" s="31">
        <v>4133.82</v>
      </c>
      <c r="E19" s="31">
        <v>4472.18</v>
      </c>
      <c r="F19" s="31">
        <v>4683.78</v>
      </c>
      <c r="G19" s="31">
        <v>5203.97</v>
      </c>
      <c r="K19" s="49" t="s">
        <v>76</v>
      </c>
      <c r="L19" s="49" t="s">
        <v>77</v>
      </c>
      <c r="M19" t="s">
        <v>89</v>
      </c>
      <c r="N19" s="21">
        <v>4467.0200000000004</v>
      </c>
      <c r="O19" s="21">
        <v>4607.13</v>
      </c>
      <c r="P19" s="21">
        <v>4750.37</v>
      </c>
    </row>
    <row r="20" spans="1:16" x14ac:dyDescent="0.25">
      <c r="A20" s="50" t="s">
        <v>81</v>
      </c>
      <c r="B20" s="50" t="s">
        <v>78</v>
      </c>
      <c r="C20" t="s">
        <v>85</v>
      </c>
      <c r="D20" s="31">
        <v>8201.24</v>
      </c>
      <c r="E20" s="31">
        <v>8868</v>
      </c>
      <c r="F20" s="31">
        <v>9282.39</v>
      </c>
      <c r="G20" s="31">
        <v>10392.209999999999</v>
      </c>
      <c r="K20" s="49" t="s">
        <v>76</v>
      </c>
      <c r="L20" s="49" t="s">
        <v>78</v>
      </c>
      <c r="M20" t="s">
        <v>89</v>
      </c>
      <c r="N20" s="21">
        <v>11461.26</v>
      </c>
      <c r="O20" s="21">
        <v>11828.68</v>
      </c>
      <c r="P20" s="21">
        <v>12220.05</v>
      </c>
    </row>
    <row r="21" spans="1:16" x14ac:dyDescent="0.25">
      <c r="A21" s="50" t="s">
        <v>81</v>
      </c>
      <c r="B21" s="50" t="s">
        <v>83</v>
      </c>
      <c r="C21" t="s">
        <v>86</v>
      </c>
      <c r="D21" s="21">
        <v>2662.07</v>
      </c>
      <c r="E21" s="31">
        <v>2880.28</v>
      </c>
      <c r="F21" s="31">
        <v>3016.94</v>
      </c>
      <c r="G21" s="31">
        <v>3391.65</v>
      </c>
      <c r="K21" s="63" t="s">
        <v>96</v>
      </c>
      <c r="L21" s="63"/>
      <c r="M21" s="63"/>
      <c r="N21" s="63"/>
      <c r="O21" s="63"/>
      <c r="P21" s="63"/>
    </row>
    <row r="22" spans="1:16" x14ac:dyDescent="0.25">
      <c r="A22" s="50" t="s">
        <v>81</v>
      </c>
      <c r="B22" s="50" t="s">
        <v>77</v>
      </c>
      <c r="C22" t="s">
        <v>86</v>
      </c>
      <c r="D22" s="31">
        <v>4133.82</v>
      </c>
      <c r="E22" s="31">
        <v>4472.18</v>
      </c>
      <c r="F22" s="31">
        <v>4683.78</v>
      </c>
      <c r="G22" s="31">
        <v>5203.97</v>
      </c>
      <c r="K22" s="54"/>
    </row>
    <row r="23" spans="1:16" x14ac:dyDescent="0.25">
      <c r="A23" s="50" t="s">
        <v>81</v>
      </c>
      <c r="B23" s="50" t="s">
        <v>78</v>
      </c>
      <c r="C23" t="s">
        <v>86</v>
      </c>
      <c r="D23" s="31">
        <v>8201.24</v>
      </c>
      <c r="E23" s="31">
        <v>8868</v>
      </c>
      <c r="F23" s="31">
        <v>9282.39</v>
      </c>
      <c r="G23" s="31">
        <v>10392.209999999999</v>
      </c>
    </row>
    <row r="24" spans="1:16" x14ac:dyDescent="0.25">
      <c r="A24" s="50" t="s">
        <v>81</v>
      </c>
      <c r="B24" s="50" t="s">
        <v>83</v>
      </c>
      <c r="C24" t="s">
        <v>87</v>
      </c>
      <c r="D24" s="21">
        <v>2662.07</v>
      </c>
      <c r="E24" s="31">
        <v>2880.28</v>
      </c>
      <c r="F24" s="31">
        <v>3016.94</v>
      </c>
      <c r="G24" s="31">
        <v>3391.65</v>
      </c>
    </row>
    <row r="25" spans="1:16" x14ac:dyDescent="0.25">
      <c r="A25" s="50" t="s">
        <v>81</v>
      </c>
      <c r="B25" s="50" t="s">
        <v>77</v>
      </c>
      <c r="C25" t="s">
        <v>87</v>
      </c>
      <c r="D25" s="31">
        <v>4133.82</v>
      </c>
      <c r="E25" s="31">
        <v>4472.18</v>
      </c>
      <c r="F25" s="31">
        <v>4683.78</v>
      </c>
      <c r="G25" s="31">
        <v>5203.97</v>
      </c>
    </row>
    <row r="26" spans="1:16" x14ac:dyDescent="0.25">
      <c r="A26" s="50" t="s">
        <v>81</v>
      </c>
      <c r="B26" s="50" t="s">
        <v>78</v>
      </c>
      <c r="C26" t="s">
        <v>87</v>
      </c>
      <c r="D26" s="31">
        <v>8201.24</v>
      </c>
      <c r="E26" s="31">
        <v>8868</v>
      </c>
      <c r="F26" s="31">
        <v>9282.39</v>
      </c>
      <c r="G26" s="31">
        <v>10392.209999999999</v>
      </c>
    </row>
    <row r="27" spans="1:16" x14ac:dyDescent="0.25">
      <c r="A27" s="50" t="s">
        <v>81</v>
      </c>
      <c r="B27" s="50" t="s">
        <v>83</v>
      </c>
      <c r="C27" t="s">
        <v>88</v>
      </c>
      <c r="D27" s="21">
        <v>2662.07</v>
      </c>
      <c r="E27" s="31">
        <v>2880.28</v>
      </c>
      <c r="F27" s="31">
        <v>3016.94</v>
      </c>
      <c r="G27" s="31">
        <v>3391.65</v>
      </c>
    </row>
    <row r="28" spans="1:16" x14ac:dyDescent="0.25">
      <c r="A28" s="50" t="s">
        <v>81</v>
      </c>
      <c r="B28" s="50" t="s">
        <v>77</v>
      </c>
      <c r="C28" t="s">
        <v>88</v>
      </c>
      <c r="D28" s="31">
        <v>4133.82</v>
      </c>
      <c r="E28" s="31">
        <v>4472.18</v>
      </c>
      <c r="F28" s="31">
        <v>4683.78</v>
      </c>
      <c r="G28" s="31">
        <v>5203.97</v>
      </c>
    </row>
    <row r="29" spans="1:16" x14ac:dyDescent="0.25">
      <c r="A29" s="50" t="s">
        <v>81</v>
      </c>
      <c r="B29" s="50" t="s">
        <v>78</v>
      </c>
      <c r="C29" t="s">
        <v>88</v>
      </c>
      <c r="D29" s="31">
        <v>8201.24</v>
      </c>
      <c r="E29" s="31">
        <v>8868</v>
      </c>
      <c r="F29" s="31">
        <v>9282.39</v>
      </c>
      <c r="G29" s="31">
        <v>10392.209999999999</v>
      </c>
    </row>
    <row r="30" spans="1:16" x14ac:dyDescent="0.25">
      <c r="A30" s="50" t="s">
        <v>81</v>
      </c>
      <c r="B30" s="50" t="s">
        <v>83</v>
      </c>
      <c r="C30" t="s">
        <v>90</v>
      </c>
      <c r="D30" s="21">
        <v>2662.07</v>
      </c>
      <c r="E30" s="31">
        <v>2880.28</v>
      </c>
      <c r="F30" s="31">
        <v>3016.94</v>
      </c>
      <c r="G30" s="31">
        <v>3391.65</v>
      </c>
    </row>
    <row r="31" spans="1:16" x14ac:dyDescent="0.25">
      <c r="A31" s="50" t="s">
        <v>81</v>
      </c>
      <c r="B31" s="50" t="s">
        <v>77</v>
      </c>
      <c r="C31" t="s">
        <v>90</v>
      </c>
      <c r="D31" s="31">
        <v>4133.82</v>
      </c>
      <c r="E31" s="31">
        <v>4472.18</v>
      </c>
      <c r="F31" s="31">
        <v>4683.78</v>
      </c>
      <c r="G31" s="31">
        <v>5203.97</v>
      </c>
    </row>
    <row r="32" spans="1:16" x14ac:dyDescent="0.25">
      <c r="A32" s="50" t="s">
        <v>81</v>
      </c>
      <c r="B32" s="50" t="s">
        <v>78</v>
      </c>
      <c r="C32" t="s">
        <v>90</v>
      </c>
      <c r="D32" s="31">
        <v>8201.24</v>
      </c>
      <c r="E32" s="31">
        <v>8868</v>
      </c>
      <c r="F32" s="31">
        <v>9282.39</v>
      </c>
      <c r="G32" s="31">
        <v>10392.209999999999</v>
      </c>
    </row>
    <row r="33" spans="1:20" x14ac:dyDescent="0.25">
      <c r="A33" s="56" t="s">
        <v>98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61"/>
      <c r="S33" s="61"/>
      <c r="T33" s="61"/>
    </row>
    <row r="34" spans="1:20" ht="18" customHeight="1" x14ac:dyDescent="0.25">
      <c r="A34" s="56" t="s">
        <v>99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</row>
    <row r="35" spans="1:20" x14ac:dyDescent="0.25">
      <c r="D35" s="31"/>
      <c r="E35" s="31"/>
      <c r="F35" s="31"/>
      <c r="G35" s="31"/>
    </row>
    <row r="36" spans="1:20" x14ac:dyDescent="0.25">
      <c r="D36" s="21"/>
      <c r="E36" s="31"/>
      <c r="F36" s="31"/>
      <c r="G36" s="31"/>
    </row>
    <row r="37" spans="1:20" x14ac:dyDescent="0.25">
      <c r="D37" s="31"/>
      <c r="E37" s="31"/>
      <c r="F37" s="31"/>
      <c r="G37" s="31"/>
    </row>
    <row r="38" spans="1:20" x14ac:dyDescent="0.25">
      <c r="D38" s="31"/>
      <c r="E38" s="31"/>
      <c r="F38" s="31"/>
      <c r="G38" s="31"/>
    </row>
    <row r="39" spans="1:20" x14ac:dyDescent="0.25">
      <c r="D39" s="21"/>
      <c r="E39" s="31"/>
      <c r="G39" s="31"/>
    </row>
    <row r="40" spans="1:20" x14ac:dyDescent="0.25">
      <c r="D40" s="31"/>
      <c r="E40" s="31"/>
      <c r="F40" s="31"/>
      <c r="G40" s="31"/>
    </row>
    <row r="41" spans="1:20" x14ac:dyDescent="0.25">
      <c r="D41" s="31"/>
      <c r="E41" s="31"/>
      <c r="F41" s="31"/>
      <c r="G41" s="31"/>
    </row>
  </sheetData>
  <mergeCells count="8">
    <mergeCell ref="A34:Q34"/>
    <mergeCell ref="H3:I3"/>
    <mergeCell ref="Q3:T3"/>
    <mergeCell ref="H1:Q1"/>
    <mergeCell ref="A33:T33"/>
    <mergeCell ref="C3:F3"/>
    <mergeCell ref="K21:P21"/>
    <mergeCell ref="M3:O3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Veículos 2024-2025</vt:lpstr>
      <vt:lpstr>Valores Locadoras 2025</vt:lpstr>
      <vt:lpstr>Valores Locadoras 2026</vt:lpstr>
      <vt:lpstr>Cotação Nacional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Ayla Rebello</dc:creator>
  <cp:lastModifiedBy>Office 6</cp:lastModifiedBy>
  <dcterms:created xsi:type="dcterms:W3CDTF">2024-11-12T11:56:53Z</dcterms:created>
  <dcterms:modified xsi:type="dcterms:W3CDTF">2026-06-15T20:01:18Z</dcterms:modified>
</cp:coreProperties>
</file>