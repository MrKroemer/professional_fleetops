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E624E959-832C-4D51-91E2-634E029E74FF}" xr6:coauthVersionLast="47" xr6:coauthVersionMax="47" xr10:uidLastSave="{00000000-0000-0000-0000-000000000000}"/>
  <bookViews>
    <workbookView xWindow="-120" yWindow="-120" windowWidth="29040" windowHeight="15720" firstSheet="5" activeTab="7" xr2:uid="{00000000-000D-0000-FFFF-FFFF00000000}"/>
  </bookViews>
  <sheets>
    <sheet name="RESUMO" sheetId="3" r:id="rId1"/>
    <sheet name="Controle Central" sheetId="2" r:id="rId2"/>
    <sheet name="Claudio Uliana" sheetId="29" r:id="rId3"/>
    <sheet name="Esdras" sheetId="11" r:id="rId4"/>
    <sheet name="Fernando" sheetId="28" r:id="rId5"/>
    <sheet name="Gideoni" sheetId="27" r:id="rId6"/>
    <sheet name="Linsmar" sheetId="13" r:id="rId7"/>
    <sheet name="Weiller" sheetId="30" r:id="rId8"/>
    <sheet name="Rhuan" sheetId="26" r:id="rId9"/>
    <sheet name="Rhuan-Desmob" sheetId="4" r:id="rId10"/>
    <sheet name="Marcelo Oliveira-Desmob" sheetId="31" r:id="rId11"/>
    <sheet name="Rodrigo Silvio-Desmob" sheetId="32" r:id="rId12"/>
    <sheet name="Claudio Uliana-Desmob" sheetId="9" r:id="rId13"/>
    <sheet name="Airismila-Desmob" sheetId="1"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8" i="27" l="1"/>
  <c r="AE28" i="27"/>
  <c r="U28" i="27"/>
  <c r="G27" i="27"/>
  <c r="F27" i="27"/>
  <c r="H27" i="27" s="1"/>
  <c r="Y25" i="27"/>
  <c r="AH25" i="27" s="1"/>
  <c r="U63" i="9"/>
  <c r="R63" i="9"/>
  <c r="U18" i="30"/>
  <c r="U63" i="13"/>
  <c r="AN11" i="30"/>
  <c r="AE11" i="30"/>
  <c r="U11" i="30"/>
  <c r="G10" i="30"/>
  <c r="H10" i="30" s="1"/>
  <c r="F10" i="30"/>
  <c r="AK84" i="11"/>
  <c r="AC84" i="11"/>
  <c r="U84" i="11"/>
  <c r="H83" i="11"/>
  <c r="G83" i="11"/>
  <c r="F83" i="11"/>
  <c r="W81" i="11"/>
  <c r="AE81" i="11" s="1"/>
  <c r="AK80" i="11"/>
  <c r="AC80" i="11"/>
  <c r="U80" i="11"/>
  <c r="H79" i="11"/>
  <c r="G79" i="11"/>
  <c r="F79" i="11"/>
  <c r="W77" i="11"/>
  <c r="AE77" i="11" s="1"/>
  <c r="AK76" i="11"/>
  <c r="AC76" i="11"/>
  <c r="U76" i="11"/>
  <c r="H75" i="11"/>
  <c r="G75" i="11"/>
  <c r="F75" i="11"/>
  <c r="W73" i="11"/>
  <c r="AE73" i="11" s="1"/>
  <c r="AK72" i="11"/>
  <c r="AC72" i="11"/>
  <c r="U72" i="11"/>
  <c r="G71" i="11"/>
  <c r="F71" i="11"/>
  <c r="W69" i="11"/>
  <c r="AE69" i="11" s="1"/>
  <c r="AK68" i="11"/>
  <c r="AC68" i="11"/>
  <c r="U68" i="11"/>
  <c r="G67" i="11"/>
  <c r="F67" i="11"/>
  <c r="W65" i="11"/>
  <c r="AE65" i="11" s="1"/>
  <c r="AK64" i="11"/>
  <c r="AC64" i="11"/>
  <c r="U64" i="11"/>
  <c r="G63" i="11"/>
  <c r="F63" i="11"/>
  <c r="W61" i="11"/>
  <c r="AE61" i="11" s="1"/>
  <c r="AK60" i="11"/>
  <c r="AC60" i="11"/>
  <c r="U60" i="11"/>
  <c r="G59" i="11"/>
  <c r="F59" i="11"/>
  <c r="AK56" i="11"/>
  <c r="AC56" i="11"/>
  <c r="U56" i="11"/>
  <c r="G55" i="11"/>
  <c r="F55" i="11"/>
  <c r="H55" i="11" s="1"/>
  <c r="AK84" i="32"/>
  <c r="AC84" i="32"/>
  <c r="U84" i="32"/>
  <c r="H83" i="32"/>
  <c r="G83" i="32"/>
  <c r="F83" i="32"/>
  <c r="W81" i="32"/>
  <c r="AE81" i="32" s="1"/>
  <c r="AK80" i="32"/>
  <c r="AC80" i="32"/>
  <c r="U80" i="32"/>
  <c r="H79" i="32"/>
  <c r="G79" i="32"/>
  <c r="F79" i="32"/>
  <c r="W77" i="32"/>
  <c r="AE77" i="32" s="1"/>
  <c r="AK76" i="32"/>
  <c r="AC76" i="32"/>
  <c r="U76" i="32"/>
  <c r="H75" i="32"/>
  <c r="G75" i="32"/>
  <c r="F75" i="32"/>
  <c r="W73" i="32"/>
  <c r="AE73" i="32" s="1"/>
  <c r="AK72" i="32"/>
  <c r="AC72" i="32"/>
  <c r="U72" i="32"/>
  <c r="H71" i="32"/>
  <c r="G71" i="32"/>
  <c r="F71" i="32"/>
  <c r="W69" i="32"/>
  <c r="AE69" i="32" s="1"/>
  <c r="AK68" i="32"/>
  <c r="AC68" i="32"/>
  <c r="U68" i="32"/>
  <c r="H67" i="32"/>
  <c r="G67" i="32"/>
  <c r="F67" i="32"/>
  <c r="W65" i="32"/>
  <c r="AE65" i="32" s="1"/>
  <c r="AK64" i="32"/>
  <c r="AC64" i="32"/>
  <c r="U64" i="32"/>
  <c r="G63" i="32"/>
  <c r="F63" i="32"/>
  <c r="W61" i="32"/>
  <c r="AE61" i="32" s="1"/>
  <c r="AK60" i="32"/>
  <c r="AC60" i="32"/>
  <c r="U60" i="32"/>
  <c r="G59" i="32"/>
  <c r="F59" i="32"/>
  <c r="AK56" i="32"/>
  <c r="AC56" i="32"/>
  <c r="U56" i="32"/>
  <c r="G55" i="32"/>
  <c r="F55" i="32"/>
  <c r="H55" i="32" s="1"/>
  <c r="AK84" i="9"/>
  <c r="AC84" i="9"/>
  <c r="U84" i="9"/>
  <c r="H83" i="9"/>
  <c r="G83" i="9"/>
  <c r="F83" i="9"/>
  <c r="W81" i="9"/>
  <c r="AE81" i="9" s="1"/>
  <c r="AK80" i="9"/>
  <c r="AC80" i="9"/>
  <c r="U80" i="9"/>
  <c r="H79" i="9"/>
  <c r="G79" i="9"/>
  <c r="F79" i="9"/>
  <c r="W77" i="9"/>
  <c r="AE77" i="9" s="1"/>
  <c r="AK76" i="9"/>
  <c r="AC76" i="9"/>
  <c r="U76" i="9"/>
  <c r="H75" i="9"/>
  <c r="G75" i="9"/>
  <c r="F75" i="9"/>
  <c r="W73" i="9"/>
  <c r="AE73" i="9" s="1"/>
  <c r="AK72" i="9"/>
  <c r="AC72" i="9"/>
  <c r="U72" i="9"/>
  <c r="H71" i="9"/>
  <c r="G71" i="9"/>
  <c r="F71" i="9"/>
  <c r="W69" i="9"/>
  <c r="AE69" i="9" s="1"/>
  <c r="AK68" i="9"/>
  <c r="AC68" i="9"/>
  <c r="U68" i="9"/>
  <c r="H67" i="9"/>
  <c r="G67" i="9"/>
  <c r="F67" i="9"/>
  <c r="W65" i="9"/>
  <c r="AE65" i="9" s="1"/>
  <c r="AK64" i="9"/>
  <c r="AC64" i="9"/>
  <c r="U64" i="9"/>
  <c r="G63" i="9"/>
  <c r="F63" i="9"/>
  <c r="H63" i="9" s="1"/>
  <c r="W61" i="9"/>
  <c r="AE61" i="9" s="1"/>
  <c r="AK60" i="9"/>
  <c r="AC60" i="9"/>
  <c r="U60" i="9"/>
  <c r="G59" i="9"/>
  <c r="F59" i="9"/>
  <c r="AK56" i="9"/>
  <c r="AC56" i="9"/>
  <c r="U56" i="9"/>
  <c r="G55" i="9"/>
  <c r="F55" i="9"/>
  <c r="H55" i="9" s="1"/>
  <c r="AK84" i="13"/>
  <c r="AC84" i="13"/>
  <c r="U84" i="13"/>
  <c r="H83" i="13"/>
  <c r="G83" i="13"/>
  <c r="F83" i="13"/>
  <c r="W81" i="13"/>
  <c r="AE81" i="13" s="1"/>
  <c r="AK80" i="13"/>
  <c r="AC80" i="13"/>
  <c r="U80" i="13"/>
  <c r="H79" i="13"/>
  <c r="G79" i="13"/>
  <c r="F79" i="13"/>
  <c r="W77" i="13"/>
  <c r="AE77" i="13" s="1"/>
  <c r="AK76" i="13"/>
  <c r="AC76" i="13"/>
  <c r="U76" i="13"/>
  <c r="H75" i="13"/>
  <c r="G75" i="13"/>
  <c r="F75" i="13"/>
  <c r="W73" i="13"/>
  <c r="AE73" i="13" s="1"/>
  <c r="AK72" i="13"/>
  <c r="AC72" i="13"/>
  <c r="U72" i="13"/>
  <c r="G71" i="13"/>
  <c r="F71" i="13"/>
  <c r="W69" i="13"/>
  <c r="AE69" i="13" s="1"/>
  <c r="AK68" i="13"/>
  <c r="AC68" i="13"/>
  <c r="U68" i="13"/>
  <c r="G67" i="13"/>
  <c r="F67" i="13"/>
  <c r="W65" i="13"/>
  <c r="AE65" i="13" s="1"/>
  <c r="AK64" i="13"/>
  <c r="AC64" i="13"/>
  <c r="U64" i="13"/>
  <c r="G63" i="13"/>
  <c r="F63" i="13"/>
  <c r="H63" i="13" s="1"/>
  <c r="W61" i="13"/>
  <c r="AE61" i="13" s="1"/>
  <c r="AK60" i="13"/>
  <c r="AC60" i="13"/>
  <c r="U60" i="13"/>
  <c r="G59" i="13"/>
  <c r="F59" i="13"/>
  <c r="H59" i="13" s="1"/>
  <c r="AK56" i="13"/>
  <c r="AC56" i="13"/>
  <c r="U56" i="13"/>
  <c r="G55" i="13"/>
  <c r="F55" i="13"/>
  <c r="H55" i="13" s="1"/>
  <c r="AK84" i="4"/>
  <c r="AC84" i="4"/>
  <c r="U84" i="4"/>
  <c r="H83" i="4"/>
  <c r="G83" i="4"/>
  <c r="F83" i="4"/>
  <c r="W81" i="4"/>
  <c r="AE81" i="4" s="1"/>
  <c r="AK80" i="4"/>
  <c r="AC80" i="4"/>
  <c r="U80" i="4"/>
  <c r="H79" i="4"/>
  <c r="G79" i="4"/>
  <c r="F79" i="4"/>
  <c r="W77" i="4"/>
  <c r="AE77" i="4" s="1"/>
  <c r="AK76" i="4"/>
  <c r="AC76" i="4"/>
  <c r="U76" i="4"/>
  <c r="G75" i="4"/>
  <c r="F75" i="4"/>
  <c r="H75" i="4" s="1"/>
  <c r="W73" i="4"/>
  <c r="AE73" i="4" s="1"/>
  <c r="AK72" i="4"/>
  <c r="AC72" i="4"/>
  <c r="U72" i="4"/>
  <c r="G71" i="4"/>
  <c r="F71" i="4"/>
  <c r="W69" i="4"/>
  <c r="AE69" i="4" s="1"/>
  <c r="AK68" i="4"/>
  <c r="AC68" i="4"/>
  <c r="U68" i="4"/>
  <c r="G67" i="4"/>
  <c r="F67" i="4"/>
  <c r="W65" i="4"/>
  <c r="AE65" i="4" s="1"/>
  <c r="AK64" i="4"/>
  <c r="AC64" i="4"/>
  <c r="U64" i="4"/>
  <c r="G63" i="4"/>
  <c r="F63" i="4"/>
  <c r="W61" i="4"/>
  <c r="AE61" i="4" s="1"/>
  <c r="AK60" i="4"/>
  <c r="AC60" i="4"/>
  <c r="U60" i="4"/>
  <c r="G59" i="4"/>
  <c r="F59" i="4"/>
  <c r="AK56" i="4"/>
  <c r="AC56" i="4"/>
  <c r="U56" i="4"/>
  <c r="G55" i="4"/>
  <c r="F55" i="4"/>
  <c r="AK84" i="1"/>
  <c r="AC84" i="1"/>
  <c r="U84" i="1"/>
  <c r="H83" i="1"/>
  <c r="G83" i="1"/>
  <c r="F83" i="1"/>
  <c r="W81" i="1"/>
  <c r="AE81" i="1" s="1"/>
  <c r="AK80" i="1"/>
  <c r="AC80" i="1"/>
  <c r="U80" i="1"/>
  <c r="H79" i="1"/>
  <c r="G79" i="1"/>
  <c r="F79" i="1"/>
  <c r="W77" i="1"/>
  <c r="AE77" i="1" s="1"/>
  <c r="AK76" i="1"/>
  <c r="AC76" i="1"/>
  <c r="U76" i="1"/>
  <c r="H75" i="1"/>
  <c r="G75" i="1"/>
  <c r="F75" i="1"/>
  <c r="W73" i="1"/>
  <c r="AE73" i="1" s="1"/>
  <c r="AK72" i="1"/>
  <c r="AC72" i="1"/>
  <c r="U72" i="1"/>
  <c r="H71" i="1"/>
  <c r="G71" i="1"/>
  <c r="F71" i="1"/>
  <c r="W69" i="1"/>
  <c r="AE69" i="1" s="1"/>
  <c r="AK68" i="1"/>
  <c r="AC68" i="1"/>
  <c r="U68" i="1"/>
  <c r="H67" i="1"/>
  <c r="G67" i="1"/>
  <c r="F67" i="1"/>
  <c r="W65" i="1"/>
  <c r="AE65" i="1" s="1"/>
  <c r="AK64" i="1"/>
  <c r="AC64" i="1"/>
  <c r="U64" i="1"/>
  <c r="G63" i="1"/>
  <c r="F63" i="1"/>
  <c r="H63" i="1" s="1"/>
  <c r="W61" i="1"/>
  <c r="AE61" i="1" s="1"/>
  <c r="AK60" i="1"/>
  <c r="AC60" i="1"/>
  <c r="U60" i="1"/>
  <c r="G59" i="1"/>
  <c r="F59" i="1"/>
  <c r="AK56" i="1"/>
  <c r="AC56" i="1"/>
  <c r="U56" i="1"/>
  <c r="G55" i="1"/>
  <c r="F55" i="1"/>
  <c r="H55" i="1" s="1"/>
  <c r="U48" i="9"/>
  <c r="H71" i="11" l="1"/>
  <c r="H71" i="13"/>
  <c r="H71" i="4"/>
  <c r="H67" i="11"/>
  <c r="H67" i="13"/>
  <c r="H67" i="4"/>
  <c r="H63" i="11"/>
  <c r="H63" i="32"/>
  <c r="H63" i="4"/>
  <c r="H59" i="9"/>
  <c r="H59" i="11"/>
  <c r="H59" i="32"/>
  <c r="H59" i="4"/>
  <c r="H59" i="1"/>
  <c r="H55" i="4"/>
  <c r="AK12" i="31"/>
  <c r="AC12" i="31"/>
  <c r="U12" i="31"/>
  <c r="G11" i="31"/>
  <c r="F11" i="31"/>
  <c r="H11" i="31" s="1"/>
  <c r="W9" i="31"/>
  <c r="AE9" i="31" s="1"/>
  <c r="AK16" i="31"/>
  <c r="AC16" i="31"/>
  <c r="U16" i="31"/>
  <c r="G15" i="31"/>
  <c r="F15" i="31"/>
  <c r="H15" i="31" s="1"/>
  <c r="U48" i="32"/>
  <c r="K33" i="2" s="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L52" i="32"/>
  <c r="M34" i="2" s="1"/>
  <c r="AD52" i="32"/>
  <c r="L34" i="2" s="1"/>
  <c r="U52" i="32"/>
  <c r="K34" i="2" s="1"/>
  <c r="G51" i="32"/>
  <c r="F51" i="32"/>
  <c r="X49" i="32"/>
  <c r="AF49" i="32" s="1"/>
  <c r="AL48" i="32"/>
  <c r="M33" i="2" s="1"/>
  <c r="AD48" i="32"/>
  <c r="L33" i="2" s="1"/>
  <c r="G47" i="32"/>
  <c r="F47" i="32"/>
  <c r="X45" i="32"/>
  <c r="AF45" i="32" s="1"/>
  <c r="AL44" i="32"/>
  <c r="M32" i="2" s="1"/>
  <c r="AD44" i="32"/>
  <c r="L32" i="2" s="1"/>
  <c r="U44" i="32"/>
  <c r="K32" i="2" s="1"/>
  <c r="F43" i="32"/>
  <c r="X41" i="32"/>
  <c r="AF41" i="32" s="1"/>
  <c r="AL40" i="32"/>
  <c r="M31" i="2" s="1"/>
  <c r="AD40" i="32"/>
  <c r="L31" i="2" s="1"/>
  <c r="U40" i="32"/>
  <c r="K31" i="2" s="1"/>
  <c r="G39" i="32"/>
  <c r="F39" i="32"/>
  <c r="X37" i="32"/>
  <c r="AF37" i="32" s="1"/>
  <c r="AL36" i="32"/>
  <c r="M30" i="2" s="1"/>
  <c r="AD36" i="32"/>
  <c r="L30" i="2" s="1"/>
  <c r="U36" i="32"/>
  <c r="K30" i="2" s="1"/>
  <c r="G35" i="32"/>
  <c r="F35" i="32"/>
  <c r="X33" i="32"/>
  <c r="AF33" i="32" s="1"/>
  <c r="AL32" i="32"/>
  <c r="M29" i="2" s="1"/>
  <c r="AD32" i="32"/>
  <c r="L29" i="2" s="1"/>
  <c r="U32" i="32"/>
  <c r="K29" i="2" s="1"/>
  <c r="G31" i="32"/>
  <c r="F31" i="32"/>
  <c r="X29" i="32"/>
  <c r="AF29" i="32" s="1"/>
  <c r="AL28" i="32"/>
  <c r="M28" i="2" s="1"/>
  <c r="AD28" i="32"/>
  <c r="L28" i="2" s="1"/>
  <c r="U28" i="32"/>
  <c r="K28" i="2" s="1"/>
  <c r="G27" i="32"/>
  <c r="F27" i="32"/>
  <c r="X25" i="32"/>
  <c r="AF25" i="32" s="1"/>
  <c r="AL24" i="32"/>
  <c r="M27" i="2" s="1"/>
  <c r="AD24" i="32"/>
  <c r="L27" i="2" s="1"/>
  <c r="U24" i="32"/>
  <c r="K27" i="2" s="1"/>
  <c r="G23" i="32"/>
  <c r="F23" i="32"/>
  <c r="X21" i="32"/>
  <c r="AF21" i="32" s="1"/>
  <c r="AL20" i="32"/>
  <c r="M26" i="2" s="1"/>
  <c r="AD20" i="32"/>
  <c r="L26" i="2" s="1"/>
  <c r="U20" i="32"/>
  <c r="K26" i="2" s="1"/>
  <c r="G19" i="32"/>
  <c r="F19" i="32"/>
  <c r="X17" i="32"/>
  <c r="AF17" i="32" s="1"/>
  <c r="AL16" i="32"/>
  <c r="M25" i="2" s="1"/>
  <c r="AD16" i="32"/>
  <c r="L25" i="2" s="1"/>
  <c r="U16" i="32"/>
  <c r="K25" i="2" s="1"/>
  <c r="G15" i="32"/>
  <c r="F15" i="32"/>
  <c r="X13" i="32"/>
  <c r="AF13" i="32" s="1"/>
  <c r="AL12" i="32"/>
  <c r="M24" i="2" s="1"/>
  <c r="AD12" i="32"/>
  <c r="L24" i="2" s="1"/>
  <c r="U12" i="32"/>
  <c r="K24" i="2" s="1"/>
  <c r="G11" i="32"/>
  <c r="F11" i="32"/>
  <c r="AK60" i="31"/>
  <c r="T34" i="2" s="1"/>
  <c r="AC60" i="31"/>
  <c r="S34" i="2" s="1"/>
  <c r="U60" i="31"/>
  <c r="R34" i="2" s="1"/>
  <c r="G59" i="31"/>
  <c r="F59" i="31"/>
  <c r="W57" i="31"/>
  <c r="AE57" i="31" s="1"/>
  <c r="AK56" i="31"/>
  <c r="T33" i="2" s="1"/>
  <c r="AC56" i="31"/>
  <c r="S33" i="2" s="1"/>
  <c r="U56" i="31"/>
  <c r="R33" i="2" s="1"/>
  <c r="G55" i="31"/>
  <c r="F55" i="31"/>
  <c r="W53" i="31"/>
  <c r="AE53" i="31" s="1"/>
  <c r="AK52" i="31"/>
  <c r="T32" i="2" s="1"/>
  <c r="AC52" i="31"/>
  <c r="S32" i="2" s="1"/>
  <c r="U52" i="31"/>
  <c r="R32" i="2" s="1"/>
  <c r="G51" i="31"/>
  <c r="F51" i="31"/>
  <c r="W49" i="31"/>
  <c r="AE49" i="31" s="1"/>
  <c r="AK48" i="31"/>
  <c r="T31" i="2" s="1"/>
  <c r="AC48" i="31"/>
  <c r="S31" i="2" s="1"/>
  <c r="U48" i="31"/>
  <c r="R31" i="2" s="1"/>
  <c r="G47" i="31"/>
  <c r="F47" i="31"/>
  <c r="W45" i="31"/>
  <c r="AE45" i="31" s="1"/>
  <c r="AK44" i="31"/>
  <c r="T30" i="2" s="1"/>
  <c r="AC44" i="31"/>
  <c r="S30" i="2" s="1"/>
  <c r="U44" i="31"/>
  <c r="R30" i="2" s="1"/>
  <c r="G43" i="31"/>
  <c r="F43" i="31"/>
  <c r="W41" i="31"/>
  <c r="AE41" i="31" s="1"/>
  <c r="AK40" i="31"/>
  <c r="T29" i="2" s="1"/>
  <c r="AC40" i="31"/>
  <c r="S29" i="2" s="1"/>
  <c r="U40" i="31"/>
  <c r="R29" i="2" s="1"/>
  <c r="G39" i="31"/>
  <c r="F39" i="31"/>
  <c r="W37" i="31"/>
  <c r="AE37" i="31" s="1"/>
  <c r="AK36" i="31"/>
  <c r="T28" i="2" s="1"/>
  <c r="AC36" i="31"/>
  <c r="S28" i="2" s="1"/>
  <c r="U36" i="31"/>
  <c r="R28" i="2" s="1"/>
  <c r="G35" i="31"/>
  <c r="F35" i="31"/>
  <c r="W33" i="31"/>
  <c r="AE33" i="31" s="1"/>
  <c r="AK32" i="31"/>
  <c r="T27" i="2" s="1"/>
  <c r="AC32" i="31"/>
  <c r="S27" i="2" s="1"/>
  <c r="U32" i="31"/>
  <c r="R27" i="2" s="1"/>
  <c r="G31" i="31"/>
  <c r="F31" i="31"/>
  <c r="W29" i="31"/>
  <c r="AE29" i="31" s="1"/>
  <c r="AK28" i="31"/>
  <c r="T26" i="2" s="1"/>
  <c r="AC28" i="31"/>
  <c r="S26" i="2" s="1"/>
  <c r="U28" i="31"/>
  <c r="R26" i="2" s="1"/>
  <c r="G27" i="31"/>
  <c r="F27" i="31"/>
  <c r="W25" i="31"/>
  <c r="AE25" i="31" s="1"/>
  <c r="AK24" i="31"/>
  <c r="T25" i="2" s="1"/>
  <c r="AC24" i="31"/>
  <c r="S25" i="2" s="1"/>
  <c r="U24" i="31"/>
  <c r="R25" i="2" s="1"/>
  <c r="G23" i="31"/>
  <c r="F23" i="31"/>
  <c r="W21" i="31"/>
  <c r="AE21" i="31" s="1"/>
  <c r="AK20" i="31"/>
  <c r="T24" i="2" s="1"/>
  <c r="AC20" i="31"/>
  <c r="S24" i="2" s="1"/>
  <c r="U20" i="31"/>
  <c r="R24" i="2" s="1"/>
  <c r="G19" i="31"/>
  <c r="F19" i="31"/>
  <c r="AN55" i="30"/>
  <c r="AA34" i="2" s="1"/>
  <c r="AE55" i="30"/>
  <c r="Z34" i="2" s="1"/>
  <c r="U55" i="30"/>
  <c r="Y34" i="2" s="1"/>
  <c r="G54" i="30"/>
  <c r="F54" i="30"/>
  <c r="Y52" i="30"/>
  <c r="AH52" i="30" s="1"/>
  <c r="AN51" i="30"/>
  <c r="AA33" i="2" s="1"/>
  <c r="AE51" i="30"/>
  <c r="Z33" i="2" s="1"/>
  <c r="U51" i="30"/>
  <c r="Y33" i="2" s="1"/>
  <c r="G50" i="30"/>
  <c r="F50" i="30"/>
  <c r="Y48" i="30"/>
  <c r="AH48" i="30" s="1"/>
  <c r="AN47" i="30"/>
  <c r="AA32" i="2" s="1"/>
  <c r="AE47" i="30"/>
  <c r="Z32" i="2" s="1"/>
  <c r="U47" i="30"/>
  <c r="Y32" i="2" s="1"/>
  <c r="G46" i="30"/>
  <c r="F46" i="30"/>
  <c r="Y44" i="30"/>
  <c r="AH44" i="30" s="1"/>
  <c r="AN43" i="30"/>
  <c r="AA31" i="2" s="1"/>
  <c r="AE43" i="30"/>
  <c r="Z31" i="2" s="1"/>
  <c r="U43" i="30"/>
  <c r="Y31" i="2" s="1"/>
  <c r="G42" i="30"/>
  <c r="F42" i="30"/>
  <c r="Y40" i="30"/>
  <c r="AH40" i="30" s="1"/>
  <c r="AN39" i="30"/>
  <c r="AA30" i="2" s="1"/>
  <c r="AE39" i="30"/>
  <c r="Z30" i="2" s="1"/>
  <c r="U39" i="30"/>
  <c r="Y30" i="2" s="1"/>
  <c r="G38" i="30"/>
  <c r="F38" i="30"/>
  <c r="Y36" i="30"/>
  <c r="AH36" i="30" s="1"/>
  <c r="AN35" i="30"/>
  <c r="AA29" i="2" s="1"/>
  <c r="AE35" i="30"/>
  <c r="Z29" i="2" s="1"/>
  <c r="U35" i="30"/>
  <c r="Y29" i="2" s="1"/>
  <c r="G34" i="30"/>
  <c r="F34" i="30"/>
  <c r="Y32" i="30"/>
  <c r="AH32" i="30" s="1"/>
  <c r="AN31" i="30"/>
  <c r="AA28" i="2" s="1"/>
  <c r="AE31" i="30"/>
  <c r="Z28" i="2" s="1"/>
  <c r="U31" i="30"/>
  <c r="Y28" i="2" s="1"/>
  <c r="G30" i="30"/>
  <c r="F30" i="30"/>
  <c r="Y28" i="30"/>
  <c r="AH28" i="30" s="1"/>
  <c r="AN27" i="30"/>
  <c r="AA27" i="2" s="1"/>
  <c r="AE27" i="30"/>
  <c r="Z27" i="2" s="1"/>
  <c r="U27" i="30"/>
  <c r="Y27" i="2" s="1"/>
  <c r="G26" i="30"/>
  <c r="F26" i="30"/>
  <c r="Y24" i="30"/>
  <c r="AH24" i="30" s="1"/>
  <c r="AN23" i="30"/>
  <c r="AE23" i="30"/>
  <c r="Z26" i="2" s="1"/>
  <c r="U23" i="30"/>
  <c r="G22" i="30"/>
  <c r="F22" i="30"/>
  <c r="Y20" i="30"/>
  <c r="AH20" i="30" s="1"/>
  <c r="AN19" i="30"/>
  <c r="AA25" i="2" s="1"/>
  <c r="AE19" i="30"/>
  <c r="Z25" i="2" s="1"/>
  <c r="U19" i="30"/>
  <c r="Y25" i="2" s="1"/>
  <c r="G18" i="30"/>
  <c r="F18" i="30"/>
  <c r="Y16" i="30"/>
  <c r="AH16" i="30" s="1"/>
  <c r="AN15" i="30"/>
  <c r="AA24" i="2" s="1"/>
  <c r="AE15" i="30"/>
  <c r="Z24" i="2" s="1"/>
  <c r="U15" i="30"/>
  <c r="Y24" i="2" s="1"/>
  <c r="G14" i="30"/>
  <c r="F14"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6" i="27"/>
  <c r="T53" i="2" s="1"/>
  <c r="AE56" i="27"/>
  <c r="S53" i="2" s="1"/>
  <c r="U56" i="27"/>
  <c r="R53" i="2" s="1"/>
  <c r="G55" i="27"/>
  <c r="F55" i="27"/>
  <c r="Y53" i="27"/>
  <c r="AH53" i="27" s="1"/>
  <c r="AN52" i="27"/>
  <c r="T52" i="2" s="1"/>
  <c r="AE52" i="27"/>
  <c r="S52" i="2" s="1"/>
  <c r="U52" i="27"/>
  <c r="R52" i="2" s="1"/>
  <c r="G51" i="27"/>
  <c r="F51" i="27"/>
  <c r="Y49" i="27"/>
  <c r="AH49" i="27" s="1"/>
  <c r="AN48" i="27"/>
  <c r="T51" i="2" s="1"/>
  <c r="AE48" i="27"/>
  <c r="S51" i="2" s="1"/>
  <c r="U48" i="27"/>
  <c r="R51" i="2" s="1"/>
  <c r="G47" i="27"/>
  <c r="F47" i="27"/>
  <c r="Y45" i="27"/>
  <c r="AH45" i="27" s="1"/>
  <c r="AN44" i="27"/>
  <c r="T50" i="2" s="1"/>
  <c r="AE44" i="27"/>
  <c r="S50" i="2" s="1"/>
  <c r="U44" i="27"/>
  <c r="R50" i="2" s="1"/>
  <c r="G43" i="27"/>
  <c r="F43" i="27"/>
  <c r="Y41" i="27"/>
  <c r="AH41" i="27" s="1"/>
  <c r="AN40" i="27"/>
  <c r="T49" i="2" s="1"/>
  <c r="AE40" i="27"/>
  <c r="S49" i="2" s="1"/>
  <c r="U40" i="27"/>
  <c r="R49" i="2" s="1"/>
  <c r="G39" i="27"/>
  <c r="F39" i="27"/>
  <c r="Y37" i="27"/>
  <c r="AH37" i="27" s="1"/>
  <c r="AN36" i="27"/>
  <c r="T48" i="2" s="1"/>
  <c r="AE36" i="27"/>
  <c r="S48" i="2" s="1"/>
  <c r="U36" i="27"/>
  <c r="R48" i="2" s="1"/>
  <c r="G35" i="27"/>
  <c r="F35" i="27"/>
  <c r="Y33" i="27"/>
  <c r="AH33" i="27" s="1"/>
  <c r="AN32" i="27"/>
  <c r="T47" i="2" s="1"/>
  <c r="AE32" i="27"/>
  <c r="S47" i="2" s="1"/>
  <c r="U32" i="27"/>
  <c r="R47" i="2" s="1"/>
  <c r="G31" i="27"/>
  <c r="F31" i="27"/>
  <c r="Y29" i="27"/>
  <c r="AH29"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M52" i="9"/>
  <c r="AE52" i="9"/>
  <c r="U52" i="9"/>
  <c r="G51" i="9"/>
  <c r="F51" i="9"/>
  <c r="Y49" i="9"/>
  <c r="AG49" i="9" s="1"/>
  <c r="AM48" i="9"/>
  <c r="AE48" i="9"/>
  <c r="G47" i="9"/>
  <c r="F47" i="9"/>
  <c r="Y45" i="9"/>
  <c r="AG45" i="9" s="1"/>
  <c r="AM44" i="9"/>
  <c r="AE44" i="9"/>
  <c r="U44" i="9"/>
  <c r="G43" i="9"/>
  <c r="F43" i="9"/>
  <c r="Y41" i="9"/>
  <c r="AG41" i="9" s="1"/>
  <c r="AM40" i="9"/>
  <c r="AE40" i="9"/>
  <c r="U40" i="9"/>
  <c r="G39" i="9"/>
  <c r="F39" i="9"/>
  <c r="Y37" i="9"/>
  <c r="AG37" i="9" s="1"/>
  <c r="AM36" i="9"/>
  <c r="AE36" i="9"/>
  <c r="U36" i="9"/>
  <c r="G35" i="9"/>
  <c r="F35" i="9"/>
  <c r="Y33" i="9"/>
  <c r="AG33" i="9" s="1"/>
  <c r="AM32" i="9"/>
  <c r="AE32" i="9"/>
  <c r="U32" i="9"/>
  <c r="G31" i="9"/>
  <c r="F31" i="9"/>
  <c r="Y29" i="9"/>
  <c r="AG29" i="9" s="1"/>
  <c r="AM28" i="9"/>
  <c r="AE28" i="9"/>
  <c r="U28" i="9"/>
  <c r="G27" i="9"/>
  <c r="F27" i="9"/>
  <c r="Y25" i="9"/>
  <c r="AG25" i="9" s="1"/>
  <c r="AM24" i="9"/>
  <c r="AE24" i="9"/>
  <c r="U24" i="9"/>
  <c r="G23" i="9"/>
  <c r="F23" i="9"/>
  <c r="Y21" i="9"/>
  <c r="AG21" i="9" s="1"/>
  <c r="AM20" i="9"/>
  <c r="AE20" i="9"/>
  <c r="U20" i="9"/>
  <c r="G19" i="9"/>
  <c r="F19" i="9"/>
  <c r="Y17" i="9"/>
  <c r="AG17" i="9" s="1"/>
  <c r="AM16" i="9"/>
  <c r="AE16" i="9"/>
  <c r="U16" i="9"/>
  <c r="Y6" i="2" s="1"/>
  <c r="G15" i="9"/>
  <c r="F15" i="9"/>
  <c r="Y13" i="9"/>
  <c r="AG13" i="9" s="1"/>
  <c r="AM12" i="9"/>
  <c r="AE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H47" i="18" l="1"/>
  <c r="W90" i="2" s="1"/>
  <c r="X90" i="2" s="1"/>
  <c r="H11" i="25"/>
  <c r="B62" i="2" s="1"/>
  <c r="C62" i="2" s="1"/>
  <c r="H27" i="25"/>
  <c r="B66" i="2" s="1"/>
  <c r="C66" i="2" s="1"/>
  <c r="H43" i="25"/>
  <c r="B70" i="2" s="1"/>
  <c r="C70" i="2" s="1"/>
  <c r="H39" i="10"/>
  <c r="I124" i="2" s="1"/>
  <c r="J124" i="2" s="1"/>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4"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6"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5" i="27"/>
  <c r="P48" i="2" s="1"/>
  <c r="Q48" i="2" s="1"/>
  <c r="H55" i="27"/>
  <c r="P53" i="2" s="1"/>
  <c r="Q53" i="2" s="1"/>
  <c r="H43"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43" i="27"/>
  <c r="P50" i="2" s="1"/>
  <c r="Q50" i="2" s="1"/>
  <c r="H15" i="28"/>
  <c r="I44" i="2" s="1"/>
  <c r="J44" i="2" s="1"/>
  <c r="H31" i="28"/>
  <c r="I48" i="2" s="1"/>
  <c r="J48" i="2" s="1"/>
  <c r="H38"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H39" i="18"/>
  <c r="W88" i="2" s="1"/>
  <c r="X88" i="2" s="1"/>
  <c r="Z91" i="2"/>
  <c r="AA91" i="2"/>
  <c r="H19" i="19"/>
  <c r="P83" i="2" s="1"/>
  <c r="Q83" i="2" s="1"/>
  <c r="T86" i="2"/>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9" i="27"/>
  <c r="P49" i="2" s="1"/>
  <c r="Q49" i="2" s="1"/>
  <c r="H35"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31" i="27"/>
  <c r="P47" i="2" s="1"/>
  <c r="Q47" i="2" s="1"/>
  <c r="H27" i="31"/>
  <c r="P26" i="2" s="1"/>
  <c r="Q26" i="2" s="1"/>
  <c r="H59"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9" i="31"/>
  <c r="P24" i="2" s="1"/>
  <c r="Q24" i="2" s="1"/>
  <c r="H51" i="31"/>
  <c r="P32" i="2" s="1"/>
  <c r="Q32" i="2" s="1"/>
  <c r="H23" i="32"/>
  <c r="I27" i="2" s="1"/>
  <c r="J27" i="2" s="1"/>
  <c r="H19" i="28"/>
  <c r="I45" i="2" s="1"/>
  <c r="J45" i="2" s="1"/>
  <c r="H35" i="28"/>
  <c r="I49" i="2" s="1"/>
  <c r="J49" i="2" s="1"/>
  <c r="H42"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51" i="27"/>
  <c r="P52" i="2" s="1"/>
  <c r="Q52" i="2" s="1"/>
  <c r="H47"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4" i="30"/>
  <c r="W24" i="2" s="1"/>
  <c r="X24" i="2" s="1"/>
  <c r="H18" i="30"/>
  <c r="W25" i="2" s="1"/>
  <c r="X25" i="2" s="1"/>
  <c r="H22" i="30"/>
  <c r="W26" i="2" s="1"/>
  <c r="X26" i="2" s="1"/>
  <c r="H26" i="30"/>
  <c r="W27" i="2" s="1"/>
  <c r="X27" i="2" s="1"/>
  <c r="H30" i="30"/>
  <c r="W28" i="2" s="1"/>
  <c r="X28" i="2" s="1"/>
  <c r="H50" i="30"/>
  <c r="W33" i="2" s="1"/>
  <c r="X33" i="2" s="1"/>
  <c r="H54" i="30"/>
  <c r="W34" i="2" s="1"/>
  <c r="X34" i="2" s="1"/>
  <c r="H55" i="31"/>
  <c r="P33" i="2" s="1"/>
  <c r="Q33" i="2" s="1"/>
  <c r="H47" i="31"/>
  <c r="P31" i="2" s="1"/>
  <c r="Q31" i="2" s="1"/>
  <c r="H39" i="31"/>
  <c r="P29" i="2" s="1"/>
  <c r="Q29" i="2" s="1"/>
  <c r="H31" i="31"/>
  <c r="P27" i="2" s="1"/>
  <c r="Q27" i="2" s="1"/>
  <c r="H23" i="31"/>
  <c r="P25" i="2" s="1"/>
  <c r="Q25" i="2" s="1"/>
  <c r="H51" i="32"/>
  <c r="I34" i="2" s="1"/>
  <c r="J34" i="2" s="1"/>
  <c r="H35" i="32"/>
  <c r="I30" i="2" s="1"/>
  <c r="J30" i="2" s="1"/>
  <c r="H27" i="32"/>
  <c r="I28" i="2" s="1"/>
  <c r="J28" i="2" s="1"/>
  <c r="H19" i="32"/>
  <c r="I26" i="2" s="1"/>
  <c r="J26" i="2" s="1"/>
  <c r="H11" i="32"/>
  <c r="I24" i="2" s="1"/>
  <c r="J24" i="2" s="1"/>
  <c r="H39" i="11"/>
  <c r="B31" i="2" s="1"/>
  <c r="C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E8" i="3"/>
  <c r="I6" i="3"/>
  <c r="J8" i="3"/>
  <c r="F9" i="2"/>
  <c r="I10" i="3"/>
  <c r="H11"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W111" i="2" l="1"/>
  <c r="W112" i="2" s="1"/>
  <c r="E10" i="3"/>
  <c r="H10" i="3"/>
  <c r="H8" i="3"/>
  <c r="AA93" i="2"/>
  <c r="H15" i="1"/>
  <c r="B6" i="2" s="1"/>
  <c r="C6" i="2" s="1"/>
  <c r="P11" i="2"/>
  <c r="Q11" i="2" s="1"/>
  <c r="W74" i="2"/>
  <c r="W75" i="2" s="1"/>
  <c r="S93" i="2"/>
  <c r="K8" i="3"/>
  <c r="H11" i="1"/>
  <c r="B5" i="2" s="1"/>
  <c r="C5" i="2" s="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B36" i="2"/>
  <c r="B37" i="2" s="1"/>
  <c r="W17" i="2"/>
  <c r="W18" i="2" s="1"/>
  <c r="H23" i="1"/>
  <c r="B8" i="2" s="1"/>
  <c r="C8" i="2" s="1"/>
  <c r="H39" i="1"/>
  <c r="B12" i="2" s="1"/>
  <c r="C12" i="2" s="1"/>
  <c r="H47" i="1"/>
  <c r="B14" i="2" s="1"/>
  <c r="C14" i="2" s="1"/>
  <c r="H43" i="1"/>
  <c r="B13" i="2" s="1"/>
  <c r="C13" i="2" s="1"/>
  <c r="H35" i="1"/>
  <c r="B11" i="2" s="1"/>
  <c r="C11" i="2" s="1"/>
  <c r="H51" i="1"/>
  <c r="B15" i="2" s="1"/>
  <c r="C15" i="2" s="1"/>
  <c r="P17" i="2" l="1"/>
  <c r="P18" i="2" s="1"/>
  <c r="B17" i="2"/>
  <c r="B18" i="2" s="1"/>
  <c r="G43" i="32" l="1"/>
  <c r="H43" i="32" s="1"/>
  <c r="I32" i="2" s="1"/>
  <c r="I36" i="2" l="1"/>
  <c r="I37" i="2" s="1"/>
  <c r="J3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tc={D4B99878-098C-4D8A-AB48-98C16B5355FF}</author>
    <author>tc={907AD812-3BC7-4D5D-9CD3-C97CF6D91B0B}</author>
    <author>tc={069542E0-EE83-4326-B23E-0CAD3D19C46D}</author>
  </authors>
  <commentList>
    <comment ref="D15" authorId="0" shapeId="0" xr:uid="{D4B99878-098C-4D8A-AB48-98C16B5355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Claudio Uliana não enviou a foto do painel constando o km de retirada e nível de combustível, a foto abaixo é do km de quando chegou em João Camara – mas no contrato da locadora informar que na retirada estava com 12.506km - 21/03/26.
</t>
      </text>
    </comment>
    <comment ref="E15" authorId="1" shapeId="0" xr:uid="{907AD812-3BC7-4D5D-9CD3-C97CF6D91B0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Uliana: 28 a 29/03/26: ida para Natal 79km de distancia de João Camara - uso estimado 158km (não houve solicitação)
</t>
      </text>
    </comment>
    <comment ref="B19" authorId="2" shapeId="0" xr:uid="{069542E0-EE83-4326-B23E-0CAD3D19C46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Paulo e Claudio: 10/04/26 bate e volta para Natal - Ida 15.468km e Retorno 15.676km - Utilizado 208km (Foi solicitado o uso para Paulo ir com veículo à Natal porque estava saindo de folga e Claudio que estava em Natal retornaria com o veículo no mesmo dia 10/04/26) - as fotos não foram enviadas no exato dia de uso.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Administrativo2</author>
    <author>tc={2F210DF6-5D14-425A-B9AA-8E84E27153FA}</author>
  </authors>
  <commentList>
    <comment ref="B47" authorId="0" shapeId="0" xr:uid="{482EA1D3-5C39-49DD-8947-F98BDA2A1E48}">
      <text>
        <r>
          <rPr>
            <b/>
            <sz val="9"/>
            <color indexed="81"/>
            <rFont val="Segoe UI"/>
            <family val="2"/>
          </rPr>
          <t xml:space="preserve">Retirada veículo TEL5D58 - 06/11/2025
</t>
        </r>
        <r>
          <rPr>
            <sz val="9"/>
            <color indexed="81"/>
            <rFont val="Segoe UI"/>
            <family val="2"/>
          </rPr>
          <t xml:space="preserve">
</t>
        </r>
      </text>
    </comment>
    <comment ref="E71" authorId="1" shapeId="0" xr:uid="{2F210DF6-5D14-425A-B9AA-8E84E27153FA}">
      <text>
        <t>[Comentário encadeado]
Sua versão do Excel permite que você leia este comentário encadeado, no entanto, as edições serão removidas se o arquivo for aberto em uma versão mais recente do Excel. Saiba mais: https://go.microsoft.com/fwlink/?linkid=870924
Comentário:
    Uso particular 15 anos Proyfe - Paulo, Claudio e a esposa - 30/05 20.096 a 31/05/26 20.672km (estipulado – faltou enviar a foto de retorno) - utilizado 576km (liberado o carro de Esdras por ter o consumo menor da quilometragem)
Responder:
    18 a 29/05/26 - veículo com Airismilla na folga de Esdras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tc={DEC24F22-42BF-41EC-BB36-22A465E73AA6}</author>
  </authors>
  <commentList>
    <comment ref="B23" authorId="0" shapeId="0" xr:uid="{DEC24F22-42BF-41EC-BB36-22A465E73AA6}">
      <text>
        <t>[Comentário encadeado]
Sua versão do Excel permite que você leia este comentário encadeado, no entanto, as edições serão removidas se o arquivo for aberto em uma versão mais recente do Excel. Saiba mais: https://go.microsoft.com/fwlink/?linkid=870924
Comentário:
    Locado 04/05/2026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tc={76146EE9-4782-4FEE-81AD-C12D3712C932}</author>
    <author>tc={38B0323A-7D13-4301-8699-67CB4177E082}</author>
    <author>tc={EB686073-1705-4431-96E0-E38E7B93E430}</author>
    <author>tc={C6F35D62-78D7-4C4E-B1BD-3FB3002D68A0}</author>
  </authors>
  <commentList>
    <comment ref="B3" authorId="0" shapeId="0" xr:uid="{76146EE9-4782-4FEE-81AD-C12D3712C93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Após locação no caminho para o projeto, Gideoni identificou que o ar-condicionado não estava funcionando e no final da tarde ele retornou na loja para fazer a substituição.
</t>
      </text>
    </comment>
    <comment ref="B23" authorId="1" shapeId="0" xr:uid="{38B0323A-7D13-4301-8699-67CB4177E0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Locação 04/05/2026
Responder:
    Após locação no caminho para o projeto, Gideoni identificou que o ar-condicionado não estava funcionando e no final da tarde ele retornou na loja para fazer a substituição.
</t>
      </text>
    </comment>
    <comment ref="C23" authorId="2" shapeId="0" xr:uid="{EB686073-1705-4431-96E0-E38E7B93E430}">
      <text>
        <t>[Comentário encadeado]
Sua versão do Excel permite que você leia este comentário encadeado, no entanto, as edições serão removidas se o arquivo for aberto em uma versão mais recente do Excel. Saiba mais: https://go.microsoft.com/fwlink/?linkid=870924
Comentário:
    Não houve book fotográfico, este km é uma estimativa tendo em vista que no contrato de substituição consta que foi utilizado 309km, como o veículo foi locado com 7km, a quilometragem final seria 316km.</t>
      </text>
    </comment>
    <comment ref="B27" authorId="3" shapeId="0" xr:uid="{C6F35D62-78D7-4C4E-B1BD-3FB3002D68A0}">
      <text>
        <t>[Comentário encadeado]
Sua versão do Excel permite que você leia este comentário encadeado, no entanto, as edições serão removidas se o arquivo for aberto em uma versão mais recente do Excel. Saiba mais: https://go.microsoft.com/fwlink/?linkid=870924
Comentário:
    Susbtituição_retirada 04/05/26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tc={6DF73E03-0208-4C2F-A0D7-F3AC9644B84F}</author>
    <author>Administrativo2</author>
    <author>tc={75C4E357-6909-4FA8-8065-7C452C8E01F7}</author>
  </authors>
  <commentList>
    <comment ref="I2" authorId="0" shapeId="0" xr:uid="{6DF73E03-0208-4C2F-A0D7-F3AC9644B84F}">
      <text>
        <t>[Comentário encadeado]
Sua versão do Excel permite que você leia este comentário encadeado, no entanto, as edições serão removidas se o arquivo for aberto em uma versão mais recente do Excel. Saiba mais: https://go.microsoft.com/fwlink/?linkid=870924
Comentário:
    Alterado em março 2026, antes era 3000km</t>
      </text>
    </comment>
    <comment ref="D43" authorId="1" shapeId="0" xr:uid="{242C1F12-6537-42D5-BF0D-281EDA8E0640}">
      <text>
        <r>
          <rPr>
            <sz val="9"/>
            <color indexed="81"/>
            <rFont val="Segoe UI"/>
            <family val="2"/>
          </rPr>
          <t xml:space="preserve">Tracker TEU0F35 - Locado em 13/10/2025
</t>
        </r>
      </text>
    </comment>
    <comment ref="B63" authorId="2" shapeId="0" xr:uid="{75C4E357-6909-4FA8-8065-7C452C8E01F7}">
      <text>
        <t>[Comentário encadeado]
Sua versão do Excel permite que você leia este comentário encadeado, no entanto, as edições serão removidas se o arquivo for aberto em uma versão mais recente do Excel. Saiba mais: https://go.microsoft.com/fwlink/?linkid=870924
Comentário:
    05 a 06/03/26 - João Camara x Vistoria dos módulos no Porto de Pecém-CE - 535km (total estimado 1.070km)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tc={8EE31CD7-47EF-4A57-8034-0C5FEBCB8899}</author>
    <author>tc={42D55FDE-4CA4-4670-B92E-24E80F0ACCC0}</author>
    <author>tc={D5E05EE8-A5F4-4139-AD28-191531C6FD24}</author>
    <author>tc={D36CAB30-7552-4C6C-B70A-C9BB8469F6D1}</author>
  </authors>
  <commentList>
    <comment ref="D10" authorId="0" shapeId="0" xr:uid="{8EE31CD7-47EF-4A57-8034-0C5FEBCB8899}">
      <text>
        <t>[Comentário encadeado]
Sua versão do Excel permite que você leia este comentário encadeado, no entanto, as edições serão removidas se o arquivo for aberto em uma versão mais recente do Excel. Saiba mais: https://go.microsoft.com/fwlink/?linkid=870924
Comentário:
    Retirada 12/01/2026</t>
      </text>
    </comment>
    <comment ref="E14" authorId="1" shapeId="0" xr:uid="{42D55FDE-4CA4-4670-B92E-24E80F0ACCC0}">
      <text>
        <t>[Comentário encadeado]
Sua versão do Excel permite que você leia este comentário encadeado, no entanto, as edições serão removidas se o arquivo for aberto em uma versão mais recente do Excel. Saiba mais: https://go.microsoft.com/fwlink/?linkid=870924
Comentário:
    Revisão 10.093km - 25/02/26</t>
      </text>
    </comment>
    <comment ref="E26" authorId="2" shapeId="0" xr:uid="{D5E05EE8-A5F4-4139-AD28-191531C6FD2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Luis Franco: uso particular não autorizado de João camara para São Bento do Norte e Pureza RN - 30/05 23.205km a 31/05/26 23.367km - utilizado 162km 
</t>
      </text>
    </comment>
    <comment ref="B30" authorId="3" shapeId="0" xr:uid="{D36CAB30-7552-4C6C-B70A-C9BB8469F6D1}">
      <text>
        <t>[Comentário encadeado]
Sua versão do Excel permite que você leia este comentário encadeado, no entanto, as edições serão removidas se o arquivo for aberto em uma versão mais recente do Excel. Saiba mais: https://go.microsoft.com/fwlink/?linkid=870924
Comentário:
    Weiller: uso particular não autorizado de João camara para Natal RN - 06/06 24.388KM a 07/06/26 24.625km - utilizado 237km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tc={813E6AF3-F8BC-4068-BB9E-0D2058C5500C}</author>
  </authors>
  <commentList>
    <comment ref="B27" authorId="0" shapeId="0" xr:uid="{813E6AF3-F8BC-4068-BB9E-0D2058C5500C}">
      <text>
        <t>[Comentário encadeado]
Sua versão do Excel permite que você leia este comentário encadeado, no entanto, as edições serão removidas se o arquivo for aberto em uma versão mais recente do Excel. Saiba mais: https://go.microsoft.com/fwlink/?linkid=870924
Comentário:
    Locado 08/06/2026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tc={68FF5525-1ACC-45AB-B39F-F52BAF506C25}</author>
    <author>Administrativo2</author>
    <author>tc={A657E887-9C90-4065-A3C3-463A9D06F00E}</author>
  </authors>
  <commentList>
    <comment ref="I2" authorId="0" shapeId="0" xr:uid="{68FF5525-1ACC-45AB-B39F-F52BAF506C25}">
      <text>
        <t>[Comentário encadeado]
Sua versão do Excel permite que você leia este comentário encadeado, no entanto, as edições serão removidas se o arquivo for aberto em uma versão mais recente do Excel. Saiba mais: https://go.microsoft.com/fwlink/?linkid=870924
Comentário:
    Alterado em março 2026, antes era 3000km</t>
      </text>
    </comment>
    <comment ref="B43" authorId="1" shapeId="0" xr:uid="{3881E076-81C8-45E4-A785-764F67E4715B}">
      <text>
        <r>
          <rPr>
            <b/>
            <sz val="9"/>
            <color indexed="81"/>
            <rFont val="Segoe UI"/>
            <family val="2"/>
          </rPr>
          <t xml:space="preserve">TEL5C48 - locado em 01/10/2025
</t>
        </r>
        <r>
          <rPr>
            <sz val="9"/>
            <color indexed="81"/>
            <rFont val="Segoe UI"/>
            <family val="2"/>
          </rPr>
          <t xml:space="preserve">
</t>
        </r>
      </text>
    </comment>
    <comment ref="C75" authorId="2" shapeId="0" xr:uid="{A657E887-9C90-4065-A3C3-463A9D06F00E}">
      <text>
        <t>[Comentário encadeado]
Sua versão do Excel permite que você leia este comentário encadeado, no entanto, as edições serão removidas se o arquivo for aberto em uma versão mais recente do Excel. Saiba mais: https://go.microsoft.com/fwlink/?linkid=870924
Comentário:
    Devolução 08/06/2026</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Administrativo2</author>
    <author>tc={B950FE59-9929-4D45-8DDF-7F73B3A296A7}</author>
    <author>tc={C08C2A60-C2E0-4A01-AED6-BABC1BDF9650}</author>
  </authors>
  <commentList>
    <comment ref="B11" authorId="0" shapeId="0" xr:uid="{ED1C0A90-E1F9-4DC2-8828-8B2484D8D39A}">
      <text>
        <r>
          <rPr>
            <b/>
            <sz val="9"/>
            <color indexed="81"/>
            <rFont val="Segoe UI"/>
            <family val="2"/>
          </rPr>
          <t>TXW4I71 Locado em 09/12/2025 com 7km</t>
        </r>
        <r>
          <rPr>
            <sz val="9"/>
            <color indexed="81"/>
            <rFont val="Segoe UI"/>
            <family val="2"/>
          </rPr>
          <t xml:space="preserve">
</t>
        </r>
      </text>
    </comment>
    <comment ref="E31" authorId="1" shapeId="0" xr:uid="{B950FE59-9929-4D45-8DDF-7F73B3A296A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Uso particular 15 anos Proyfe - Gideoni, Caio, Luana e Airismilla - 29/05 7.722km a 31/05/26 8.584km - utilizado 862km (liberado o carro de Marcelo por ter o consumo menor da quilometragem)
</t>
      </text>
    </comment>
    <comment ref="C35" authorId="2" shapeId="0" xr:uid="{C08C2A60-C2E0-4A01-AED6-BABC1BDF9650}">
      <text>
        <t>[Comentário encadeado]
Sua versão do Excel permite que você leia este comentário encadeado, no entanto, as edições serão removidas se o arquivo for aberto em uma versão mais recente do Excel. Saiba mais: https://go.microsoft.com/fwlink/?linkid=870924
Comentário:
    Devolução 08/06/2026</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tc={E8128A58-5701-46CC-B1CE-811C37ABFDCE}</author>
    <author>Administrativo2</author>
    <author>tc={7EF275C2-39E4-4BE0-A850-0916F7CFBC7C}</author>
  </authors>
  <commentList>
    <comment ref="I3" authorId="0" shapeId="0" xr:uid="{E8128A58-5701-46CC-B1CE-811C37ABFDCE}">
      <text>
        <t>[Comentário encadeado]
Sua versão do Excel permite que você leia este comentário encadeado, no entanto, as edições serão removidas se o arquivo for aberto em uma versão mais recente do Excel. Saiba mais: https://go.microsoft.com/fwlink/?linkid=870924
Comentário:
    Rodrigo Silvio foi desmobilizado em 10/04/26 e Tiago Lamb autorizou a permanência do carro no projeto com a Airismilla, porém após foi solicitado por Tarcisio a devolução imediata do veículo, sendo realizada em 13/04/26</t>
      </text>
    </comment>
    <comment ref="D43" authorId="1" shapeId="0" xr:uid="{2FAC7D82-D523-4EF7-BAFC-9438AD9C1F5A}">
      <text>
        <r>
          <rPr>
            <b/>
            <sz val="9"/>
            <color indexed="81"/>
            <rFont val="Segoe UI"/>
            <family val="2"/>
          </rPr>
          <t xml:space="preserve">Veículo locado em 20/10/2025
</t>
        </r>
        <r>
          <rPr>
            <sz val="9"/>
            <color indexed="81"/>
            <rFont val="Segoe UI"/>
            <family val="2"/>
          </rPr>
          <t xml:space="preserve">
</t>
        </r>
      </text>
    </comment>
    <comment ref="C67" authorId="2" shapeId="0" xr:uid="{7EF275C2-39E4-4BE0-A850-0916F7CFBC7C}">
      <text>
        <t>[Comentário encadeado]
Sua versão do Excel permite que você leia este comentário encadeado, no entanto, as edições serão removidas se o arquivo for aberto em uma versão mais recente do Excel. Saiba mais: https://go.microsoft.com/fwlink/?linkid=870924
Comentário:
    Devolvido 13/04/2026</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Administrativo2</author>
    <author>tc={1050102C-804D-4A2A-87F3-E53DD79CCFF8}</author>
    <author>tc={ACEF210C-C9F4-4AB9-A3FC-3BD274F8C215}</author>
    <author>tc={899E1842-DB4B-4ECE-90AF-D2CF70EBD58E}</author>
  </authors>
  <commentList>
    <comment ref="D43" authorId="0" shapeId="0" xr:uid="{14162F7F-9B7F-4C0D-A087-6E1780D59E80}">
      <text>
        <r>
          <rPr>
            <b/>
            <sz val="9"/>
            <color indexed="81"/>
            <rFont val="Segoe UI"/>
            <family val="2"/>
          </rPr>
          <t xml:space="preserve">Tcross FJH3D91 - Locado em 14/10/2025
</t>
        </r>
        <r>
          <rPr>
            <sz val="9"/>
            <color indexed="81"/>
            <rFont val="Segoe UI"/>
            <family val="2"/>
          </rPr>
          <t xml:space="preserve">
</t>
        </r>
      </text>
    </comment>
    <comment ref="C51" authorId="0" shapeId="0" xr:uid="{1BC55D77-BD02-47D0-9A19-2CD736D68B21}">
      <text>
        <r>
          <rPr>
            <b/>
            <sz val="9"/>
            <color indexed="81"/>
            <rFont val="Segoe UI"/>
            <family val="2"/>
          </rPr>
          <t>Uso Particular Recesso 20/12 a 05/01/26</t>
        </r>
        <r>
          <rPr>
            <sz val="9"/>
            <color indexed="81"/>
            <rFont val="Segoe UI"/>
            <family val="2"/>
          </rPr>
          <t xml:space="preserve">
</t>
        </r>
      </text>
    </comment>
    <comment ref="B59" authorId="1" shapeId="0" xr:uid="{1050102C-804D-4A2A-87F3-E53DD79CCFF8}">
      <text>
        <t>[Comentário encadeado]
Sua versão do Excel permite que você leia este comentário encadeado, no entanto, as edições serão removidas se o arquivo for aberto em uma versão mais recente do Excel. Saiba mais: https://go.microsoft.com/fwlink/?linkid=870924
Comentário:
    Visita técnica Polimix 01/02 60.604km a 02/02/26 60.784km Natal - utilizado 180km (sem fotos - baseado no controle km)</t>
      </text>
    </comment>
    <comment ref="E59" authorId="2" shapeId="0" xr:uid="{ACEF210C-C9F4-4AB9-A3FC-3BD274F8C215}">
      <text>
        <t>[Comentário encadeado]
Sua versão do Excel permite que você leia este comentário encadeado, no entanto, as edições serão removidas se o arquivo for aberto em uma versão mais recente do Excel. Saiba mais: https://go.microsoft.com/fwlink/?linkid=870924
Comentário:
    Viagem a Natal solicitação cliente - 61.491km retorno 61.751km - utilizado 260km 20/02/26 a 22/02/26  (sem foto de retorno - baseado no controle km)
Responder:
    14 a 18/02/26 veículo ficou parado para baixa de km</t>
      </text>
    </comment>
    <comment ref="E63" authorId="3" shapeId="0" xr:uid="{899E1842-DB4B-4ECE-90AF-D2CF70EBD58E}">
      <text>
        <t>[Comentário encadeado]
Sua versão do Excel permite que você leia este comentário encadeado, no entanto, as edições serão removidas se o arquivo for aberto em uma versão mais recente do Excel. Saiba mais: https://go.microsoft.com/fwlink/?linkid=870924
Comentário:
    Alteração do pacote de km em 11/03/26 - Devolução 21/03/26</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Administrativo2</author>
    <author>tc={F5F1D515-A945-4858-B0F0-6952EB0FB848}</author>
    <author>tc={3574B606-C24C-4E04-B611-5202FFFCA2EB}</author>
  </authors>
  <commentList>
    <comment ref="D39" authorId="0" shapeId="0" xr:uid="{B1175A6E-F099-4A9F-8889-BBD1FC5D93D3}">
      <text>
        <r>
          <rPr>
            <b/>
            <sz val="9"/>
            <color indexed="81"/>
            <rFont val="Segoe UI"/>
            <family val="2"/>
          </rPr>
          <t xml:space="preserve">TYA5C94 - locado em 22/09/2025
</t>
        </r>
        <r>
          <rPr>
            <sz val="9"/>
            <color indexed="81"/>
            <rFont val="Segoe UI"/>
            <family val="2"/>
          </rPr>
          <t xml:space="preserve">
</t>
        </r>
      </text>
    </comment>
    <comment ref="C51" authorId="0" shapeId="0" xr:uid="{FC1EDC68-E3FD-421F-AE23-885E0ABC162F}">
      <text>
        <r>
          <rPr>
            <b/>
            <sz val="9"/>
            <color indexed="81"/>
            <rFont val="Segoe UI"/>
            <family val="2"/>
          </rPr>
          <t>Uso particular para o aeroporto Natal 19/12 7.511km - Retorno xxxxx</t>
        </r>
        <r>
          <rPr>
            <sz val="9"/>
            <color indexed="81"/>
            <rFont val="Segoe UI"/>
            <family val="2"/>
          </rPr>
          <t xml:space="preserve">
as primeiras informações foram enviadas com atraso, em 22/12/25.</t>
        </r>
      </text>
    </comment>
    <comment ref="B63" authorId="1" shapeId="0" xr:uid="{F5F1D515-A945-4858-B0F0-6952EB0FB848}">
      <text>
        <t>[Comentário encadeado]
Sua versão do Excel permite que você leia este comentário encadeado, no entanto, as edições serão removidas se o arquivo for aberto em uma versão mais recente do Excel. Saiba mais: https://go.microsoft.com/fwlink/?linkid=870924
Comentário:
    USO PARTICULAR - Saída 26/02 9.222km - retorno 08/03/26 9.365km (veículo estava para no estacionamento do aeroporto de natal até airismila retornar de viagem e recebemos a solicitação do cliente para devolver o carro, ao chegar no aeroporto a Airismila realizou a devolução no dia 08/03/26 9.365km) - utilizado 143km</t>
      </text>
    </comment>
    <comment ref="C63" authorId="2" shapeId="0" xr:uid="{3574B606-C24C-4E04-B611-5202FFFCA2EB}">
      <text>
        <t>[Comentário encadeado]
Sua versão do Excel permite que você leia este comentário encadeado, no entanto, as edições serão removidas se o arquivo for aberto em uma versão mais recente do Excel. Saiba mais: https://go.microsoft.com/fwlink/?linkid=870924
Comentário:
    Devolução 08/03/2026</t>
      </text>
    </comment>
  </commentList>
</comments>
</file>

<file path=xl/sharedStrings.xml><?xml version="1.0" encoding="utf-8"?>
<sst xmlns="http://schemas.openxmlformats.org/spreadsheetml/2006/main" count="8394" uniqueCount="116">
  <si>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</si>
  <si>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</si>
  <si>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</si>
  <si>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</si>
  <si>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</si>
  <si>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</si>
  <si>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</si>
  <si>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</si>
  <si>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</si>
  <si>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</si>
  <si>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</si>
  <si>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</si>
  <si>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</si>
  <si>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</si>
  <si>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</si>
  <si>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</si>
  <si>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</si>
  <si>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</si>
  <si>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</si>
  <si>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</si>
  <si>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</si>
  <si>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</si>
  <si>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</si>
  <si>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</si>
  <si>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</si>
  <si>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</si>
  <si>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</si>
  <si>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</si>
  <si>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</si>
  <si>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</si>
  <si>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</si>
  <si>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</si>
  <si>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</si>
  <si>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</si>
  <si>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</si>
  <si>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</si>
  <si>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</si>
  <si>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</si>
  <si>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</si>
  <si>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</si>
  <si>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</si>
  <si>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</si>
  <si>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</si>
  <si>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</si>
  <si>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</si>
  <si>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</si>
  <si>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</si>
  <si>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</si>
  <si>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</si>
  <si>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</si>
  <si>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</si>
  <si>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</si>
  <si>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</si>
  <si>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</si>
  <si>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</si>
  <si>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</si>
  <si>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</si>
  <si>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</si>
  <si>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</si>
  <si>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</si>
  <si>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</si>
  <si>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</si>
  <si>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</si>
  <si>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</si>
  <si>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</si>
  <si>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</si>
  <si>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</si>
  <si>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</si>
  <si>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</si>
  <si>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</si>
  <si>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</si>
  <si>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</si>
  <si>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</si>
  <si>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CAR_07</t>
  </si>
  <si>
    <t>CAR_06</t>
  </si>
  <si>
    <t>CAR_05</t>
  </si>
  <si>
    <t>LUCIANE</t>
  </si>
  <si>
    <t>ALIRE</t>
  </si>
  <si>
    <t>JOSEANE</t>
  </si>
  <si>
    <t>ERIKA</t>
  </si>
  <si>
    <t>Substituição (data)</t>
  </si>
  <si>
    <t>Modelo</t>
  </si>
  <si>
    <t>NOME DA OBRA</t>
  </si>
  <si>
    <t>KM</t>
  </si>
  <si>
    <t xml:space="preserve">T-Cross </t>
  </si>
  <si>
    <t>TYA5C94</t>
  </si>
  <si>
    <t>TEL5C48</t>
  </si>
  <si>
    <t>Tracker</t>
  </si>
  <si>
    <t>TEU0F35</t>
  </si>
  <si>
    <t>FJH3D91</t>
  </si>
  <si>
    <t>T-Cross</t>
  </si>
  <si>
    <t>TEL5D58</t>
  </si>
  <si>
    <t>TEU0E76</t>
  </si>
  <si>
    <t>Creta</t>
  </si>
  <si>
    <t>TXW4I71</t>
  </si>
  <si>
    <t>Janeiro</t>
  </si>
  <si>
    <t>TXW4I63</t>
  </si>
  <si>
    <t>km</t>
  </si>
  <si>
    <t>Data Desmob.</t>
  </si>
  <si>
    <t>Alteração de KM</t>
  </si>
  <si>
    <t>TXW4H18</t>
  </si>
  <si>
    <t>Data Mob.</t>
  </si>
  <si>
    <t>Unidas</t>
  </si>
  <si>
    <t>26/28/31</t>
  </si>
  <si>
    <t>27/31</t>
  </si>
  <si>
    <t>Troca de Condutor</t>
  </si>
  <si>
    <t>Condutores</t>
  </si>
  <si>
    <t>Rodrigo Silvio para Airismilla</t>
  </si>
  <si>
    <t>UBT5I55</t>
  </si>
  <si>
    <t>Unidas - 3s</t>
  </si>
  <si>
    <t>Data Desmob</t>
  </si>
  <si>
    <t>Medição por SFH porém vai atuar nos dois projetos - SFH / RSH</t>
  </si>
  <si>
    <t>UBT5H05</t>
  </si>
  <si>
    <t>TJU3G71</t>
  </si>
  <si>
    <t>Data desmob.</t>
  </si>
  <si>
    <t>Data Mob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</si>
</sst>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quot;R$&quot;\ #,##0.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9"/>
      <color indexed="81"/>
      <name val="Segoe UI"/>
      <family val="2"/>
    </font>
    <font>
      <b/>
      <sz val="9"/>
      <color indexed="81"/>
      <name val="Segoe UI"/>
      <family val="2"/>
    </font>
    <font>
      <b/>
      <sz val="11"/>
      <color rgb="FFFF0000"/>
      <name val="Aptos Narrow"/>
      <family val="2"/>
      <scheme val="minor"/>
    </font>
    <font>
      <sz val="11"/>
      <color rgb="FFFF0000"/>
      <name val="Aptos Narrow"/>
      <family val="2"/>
      <scheme val="minor"/>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93">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0" fillId="0" borderId="1" xfId="1" applyNumberFormat="1" applyFont="1" applyBorder="1"/>
    <xf numFmtId="0" fontId="0" fillId="0" borderId="1" xfId="1" applyNumberFormat="1" applyFont="1" applyBorder="1" applyAlignment="1">
      <alignment horizontal="center"/>
    </xf>
    <xf numFmtId="44" fontId="0" fillId="0" borderId="1" xfId="1" applyFont="1" applyBorder="1" applyAlignment="1">
      <alignment horizontal="center"/>
    </xf>
    <xf numFmtId="14" fontId="0" fillId="0" borderId="1" xfId="1" applyNumberFormat="1" applyFont="1" applyBorder="1" applyAlignment="1">
      <alignment horizontal="center"/>
    </xf>
    <xf numFmtId="14" fontId="0" fillId="0" borderId="6" xfId="0" applyNumberFormat="1" applyBorder="1"/>
    <xf numFmtId="0" fontId="9" fillId="0" borderId="0" xfId="0" applyFont="1" applyAlignment="1">
      <alignment horizontal="center"/>
    </xf>
    <xf numFmtId="16" fontId="0" fillId="0" borderId="5" xfId="0" applyNumberFormat="1" applyBorder="1"/>
    <xf numFmtId="0" fontId="10" fillId="0" borderId="0" xfId="0" applyFont="1"/>
    <xf numFmtId="0" fontId="9" fillId="0" borderId="0" xfId="0" applyFont="1" applyAlignment="1">
      <alignment horizontal="right"/>
    </xf>
    <xf numFmtId="0" fontId="2" fillId="0" borderId="0" xfId="0" applyFont="1" applyAlignment="1">
      <alignment horizontal="right" vertic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4" fillId="2"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165" fontId="0" fillId="0" borderId="1" xfId="0" applyNumberFormat="1" applyBorder="1" applyAlignment="1">
      <alignment horizontal="center"/>
    </xf>
    <xf numFmtId="14" fontId="0" fillId="0" borderId="1" xfId="0" applyNumberFormat="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2916.95</c:v>
                </c:pt>
                <c:pt idx="2">
                  <c:v>5053.3700000000008</c:v>
                </c:pt>
                <c:pt idx="3">
                  <c:v>0</c:v>
                </c:pt>
                <c:pt idx="4">
                  <c:v>0</c:v>
                </c:pt>
                <c:pt idx="5">
                  <c:v>0</c:v>
                </c:pt>
                <c:pt idx="6">
                  <c:v>0</c:v>
                </c:pt>
                <c:pt idx="7">
                  <c:v>0</c:v>
                </c:pt>
                <c:pt idx="8">
                  <c:v>217.08</c:v>
                </c:pt>
                <c:pt idx="9">
                  <c:v>4834.3500000000004</c:v>
                </c:pt>
                <c:pt idx="10">
                  <c:v>5622.77</c:v>
                </c:pt>
                <c:pt idx="11">
                  <c:v>4945</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448</c:v>
                </c:pt>
                <c:pt idx="3">
                  <c:v>0</c:v>
                </c:pt>
                <c:pt idx="4">
                  <c:v>0</c:v>
                </c:pt>
                <c:pt idx="5">
                  <c:v>0</c:v>
                </c:pt>
                <c:pt idx="6">
                  <c:v>0</c:v>
                </c:pt>
                <c:pt idx="7">
                  <c:v>0</c:v>
                </c:pt>
                <c:pt idx="8">
                  <c:v>0</c:v>
                </c:pt>
                <c:pt idx="9">
                  <c:v>0</c:v>
                </c:pt>
                <c:pt idx="10">
                  <c:v>50</c:v>
                </c:pt>
                <c:pt idx="11">
                  <c:v>50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889B4C70-FD5B-4D20-A968-FEA4CA660786}"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5" dT="2026-03-24T13:20:34.30" personId="{889B4C70-FD5B-4D20-A968-FEA4CA660786}" id="{D4B99878-098C-4D8A-AB48-98C16B5355FF}">
    <text xml:space="preserve">Claudio Uliana não enviou a foto do painel constando o km de retirada e nível de combustível, a foto abaixo é do km de quando chegou em João Camara – mas no contrato da locadora informar que na retirada estava com 12.506km - 21/03/26.
</text>
  </threadedComment>
  <threadedComment ref="E15" dT="2026-03-31T13:14:30.39" personId="{889B4C70-FD5B-4D20-A968-FEA4CA660786}" id="{907AD812-3BC7-4D5D-9CD3-C97CF6D91B0B}">
    <text xml:space="preserve">Uliana: 28 a 29/03/26: ida para Natal 79km de distancia de João Camara - uso estimado 158km (não houve solicitação)
</text>
  </threadedComment>
  <threadedComment ref="B19" dT="2026-04-20T13:52:45.75" personId="{889B4C70-FD5B-4D20-A968-FEA4CA660786}" id="{069542E0-EE83-4326-B23E-0CAD3D19C46D}">
    <text xml:space="preserve">Paulo e Claudio: 10/04/26 bate e volta para Natal - Ida 15.468km e Retorno 15.676km - Utilizado 208km (Foi solicitado o uso para Paulo ir com veículo à Natal porque estava saindo de folga e Claudio que estava em Natal retornaria com o veículo no mesmo dia 10/04/26) - as fotos não foram enviadas no exato dia de uso.
</text>
  </threadedComment>
</ThreadedComments>
</file>

<file path=xl/threadedComments/threadedComment2.xml><?xml version="1.0" encoding="utf-8"?>
<ThreadedComments xmlns="http://schemas.microsoft.com/office/spreadsheetml/2018/threadedcomments" xmlns:x="http://schemas.openxmlformats.org/spreadsheetml/2006/main">
  <threadedComment ref="E71" dT="2026-06-04T19:37:00.18" personId="{889B4C70-FD5B-4D20-A968-FEA4CA660786}" id="{2F210DF6-5D14-425A-B9AA-8E84E27153FA}">
    <text xml:space="preserve">Uso particular 15 anos Proyfe - Paulo, Claudio e a esposa - 30/05 20.096 a 31/05/26 20.672km (estipulado – faltou enviar a foto de retorno) - utilizado 576km (liberado o carro de Esdras por ter o consumo menor da quilometragem)
</text>
  </threadedComment>
  <threadedComment ref="E71" dT="2026-06-04T19:38:30.32" personId="{889B4C70-FD5B-4D20-A968-FEA4CA660786}" id="{369F67B3-FD41-4FA5-9239-4B0D1FBC3E44}" parentId="{2F210DF6-5D14-425A-B9AA-8E84E27153FA}">
    <text>18 a 29/05/26 - veículo com Airismilla na folga de Esdras</text>
  </threadedComment>
</ThreadedComments>
</file>

<file path=xl/threadedComments/threadedComment3.xml><?xml version="1.0" encoding="utf-8"?>
<ThreadedComments xmlns="http://schemas.microsoft.com/office/spreadsheetml/2018/threadedcomments" xmlns:x="http://schemas.openxmlformats.org/spreadsheetml/2006/main">
  <threadedComment ref="B23" dT="2026-05-07T14:00:35.89" personId="{889B4C70-FD5B-4D20-A968-FEA4CA660786}" id="{DEC24F22-42BF-41EC-BB36-22A465E73AA6}">
    <text>Locado 04/05/2026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6-05-08T13:04:19.82" personId="{889B4C70-FD5B-4D20-A968-FEA4CA660786}" id="{76146EE9-4782-4FEE-81AD-C12D3712C932}">
    <text xml:space="preserve">Após locação no caminho para o projeto, Gideoni identificou que o ar-condicionado não estava funcionando e no final da tarde ele retornou na loja para fazer a substituição.
</text>
  </threadedComment>
  <threadedComment ref="B23" dT="2026-05-07T17:28:31.90" personId="{889B4C70-FD5B-4D20-A968-FEA4CA660786}" id="{38B0323A-7D13-4301-8699-67CB4177E082}">
    <text xml:space="preserve">Locação 04/05/2026
</text>
  </threadedComment>
  <threadedComment ref="B23" dT="2026-05-07T17:28:42.83" personId="{889B4C70-FD5B-4D20-A968-FEA4CA660786}" id="{CC0C8057-AE54-4AAA-AE05-E370C16896B7}" parentId="{38B0323A-7D13-4301-8699-67CB4177E082}">
    <text xml:space="preserve">Após locação no caminho para o projeto, Gideoni identificou que o ar-condicionado não estava funcionando e no final da tarde ele retornou na loja para fazer a substituição.
</text>
  </threadedComment>
  <threadedComment ref="C23" dT="2026-05-08T12:57:28.79" personId="{889B4C70-FD5B-4D20-A968-FEA4CA660786}" id="{EB686073-1705-4431-96E0-E38E7B93E430}">
    <text>Não houve book fotográfico, este km é uma estimativa tendo em vista que no contrato de substituição consta que foi utilizado 309km, como o veículo foi locado com 7km, a quilometragem final seria 316km.</text>
  </threadedComment>
  <threadedComment ref="B27" dT="2026-05-08T13:03:52.93" personId="{889B4C70-FD5B-4D20-A968-FEA4CA660786}" id="{C6F35D62-78D7-4C4E-B1BD-3FB3002D68A0}">
    <text>Susbtituição_retirada 04/05/26</text>
  </threadedComment>
</ThreadedComments>
</file>

<file path=xl/threadedComments/threadedComment5.xml><?xml version="1.0" encoding="utf-8"?>
<ThreadedComments xmlns="http://schemas.microsoft.com/office/spreadsheetml/2018/threadedcomments" xmlns:x="http://schemas.openxmlformats.org/spreadsheetml/2006/main">
  <threadedComment ref="I2" dT="2026-04-08T18:22:23.64" personId="{889B4C70-FD5B-4D20-A968-FEA4CA660786}" id="{6DF73E03-0208-4C2F-A0D7-F3AC9644B84F}">
    <text>Alterado em março 2026, antes era 3000km</text>
  </threadedComment>
  <threadedComment ref="B63" dT="2026-04-02T12:49:42.14" personId="{889B4C70-FD5B-4D20-A968-FEA4CA660786}" id="{75C4E357-6909-4FA8-8065-7C452C8E01F7}">
    <text>05 a 06/03/26 - João Camara x Vistoria dos módulos no Porto de Pecém-CE - 535km (total estimado 1.070km)</text>
  </threadedComment>
</ThreadedComments>
</file>

<file path=xl/threadedComments/threadedComment6.xml><?xml version="1.0" encoding="utf-8"?>
<ThreadedComments xmlns="http://schemas.microsoft.com/office/spreadsheetml/2018/threadedcomments" xmlns:x="http://schemas.openxmlformats.org/spreadsheetml/2006/main">
  <threadedComment ref="D10" dT="2026-02-09T16:55:24.67" personId="{889B4C70-FD5B-4D20-A968-FEA4CA660786}" id="{8EE31CD7-47EF-4A57-8034-0C5FEBCB8899}">
    <text>Retirada 12/01/2026</text>
  </threadedComment>
  <threadedComment ref="E14" dT="2026-04-02T13:43:23.14" personId="{889B4C70-FD5B-4D20-A968-FEA4CA660786}" id="{42D55FDE-4CA4-4670-B92E-24E80F0ACCC0}">
    <text>Revisão 10.093km - 25/02/26</text>
  </threadedComment>
  <threadedComment ref="E26" dT="2026-06-15T16:42:07.08" personId="{889B4C70-FD5B-4D20-A968-FEA4CA660786}" id="{D5E05EE8-A5F4-4139-AD28-191531C6FD24}">
    <text xml:space="preserve">Luis Franco: uso particular não autorizado de João camara para São Bento do Norte e Pureza RN - 30/05 23.205km a 31/05/26 23.367km - utilizado 162km 
</text>
  </threadedComment>
  <threadedComment ref="B30" dT="2026-06-15T16:51:33.90" personId="{889B4C70-FD5B-4D20-A968-FEA4CA660786}" id="{D36CAB30-7552-4C6C-B70A-C9BB8469F6D1}">
    <text>Weiller: uso particular não autorizado de João camara para Natal RN - 06/06 24.388KM a 07/06/26 24.625km - utilizado 237km</text>
  </threadedComment>
</ThreadedComments>
</file>

<file path=xl/threadedComments/threadedComment7.xml><?xml version="1.0" encoding="utf-8"?>
<ThreadedComments xmlns="http://schemas.microsoft.com/office/spreadsheetml/2018/threadedcomments" xmlns:x="http://schemas.openxmlformats.org/spreadsheetml/2006/main">
  <threadedComment ref="B27" dT="2026-06-11T11:37:57.21" personId="{889B4C70-FD5B-4D20-A968-FEA4CA660786}" id="{813E6AF3-F8BC-4068-BB9E-0D2058C5500C}">
    <text>Locado 08/06/2026</text>
  </threadedComment>
</ThreadedComments>
</file>

<file path=xl/threadedComments/threadedComment8.xml><?xml version="1.0" encoding="utf-8"?>
<ThreadedComments xmlns="http://schemas.microsoft.com/office/spreadsheetml/2018/threadedcomments" xmlns:x="http://schemas.openxmlformats.org/spreadsheetml/2006/main">
  <threadedComment ref="I2" dT="2026-04-08T18:22:23.64" personId="{889B4C70-FD5B-4D20-A968-FEA4CA660786}" id="{68FF5525-1ACC-45AB-B39F-F52BAF506C25}">
    <text>Alterado em março 2026, antes era 3000km</text>
  </threadedComment>
  <threadedComment ref="C75" dT="2026-06-11T11:18:02.41" personId="{889B4C70-FD5B-4D20-A968-FEA4CA660786}" id="{A657E887-9C90-4065-A3C3-463A9D06F00E}">
    <text>Devolução 08/06/2026</text>
  </threadedComment>
</ThreadedComments>
</file>

<file path=xl/threadedComments/threadedComment9.xml><?xml version="1.0" encoding="utf-8"?>
<ThreadedComments xmlns="http://schemas.microsoft.com/office/spreadsheetml/2018/threadedcomments" xmlns:x="http://schemas.openxmlformats.org/spreadsheetml/2006/main">
  <threadedComment ref="E31" dT="2026-06-05T11:45:45.21" personId="{889B4C70-FD5B-4D20-A968-FEA4CA660786}" id="{B950FE59-9929-4D45-8DDF-7F73B3A296A7}">
    <text xml:space="preserve">Uso particular 15 anos Proyfe - Gideoni, Caio, Luana e Airismilla - 29/05 7.722km a 31/05/26 8.584km - utilizado 862km (liberado o carro de Marcelo por ter o consumo menor da quilometragem)
</text>
  </threadedComment>
  <threadedComment ref="C35" dT="2026-06-11T11:10:22.67" personId="{889B4C70-FD5B-4D20-A968-FEA4CA660786}" id="{C08C2A60-C2E0-4A01-AED6-BABC1BDF9650}">
    <text>Devolução 08/06/2026</text>
  </threadedComment>
</ThreadedComments>
</file>

<file path=xl/threadedComments/threadedComment10.xml><?xml version="1.0" encoding="utf-8"?>
<ThreadedComments xmlns="http://schemas.microsoft.com/office/spreadsheetml/2018/threadedcomments" xmlns:x="http://schemas.openxmlformats.org/spreadsheetml/2006/main">
  <threadedComment ref="I3" dT="2026-04-14T11:42:36.70" personId="{889B4C70-FD5B-4D20-A968-FEA4CA660786}" id="{E8128A58-5701-46CC-B1CE-811C37ABFDCE}">
    <text>Rodrigo Silvio foi desmobilizado em 10/04/26 e Tiago Lamb autorizou a permanência do carro no projeto com a Airismilla, porém após foi solicitado por Tarcisio a devolução imediata do veículo, sendo realizada em 13/04/26</text>
  </threadedComment>
  <threadedComment ref="C67" dT="2026-04-14T11:37:09.25" personId="{889B4C70-FD5B-4D20-A968-FEA4CA660786}" id="{7EF275C2-39E4-4BE0-A850-0916F7CFBC7C}">
    <text>Devolvido 13/04/2026</text>
  </threadedComment>
</ThreadedComments>
</file>

<file path=xl/threadedComments/threadedComment11.xml><?xml version="1.0" encoding="utf-8"?>
<ThreadedComments xmlns="http://schemas.microsoft.com/office/spreadsheetml/2018/threadedcomments" xmlns:x="http://schemas.openxmlformats.org/spreadsheetml/2006/main">
  <threadedComment ref="B59" dT="2026-03-19T14:48:05.31" personId="{889B4C70-FD5B-4D20-A968-FEA4CA660786}" id="{1050102C-804D-4A2A-87F3-E53DD79CCFF8}">
    <text>Visita técnica Polimix 01/02 60.604km a 02/02/26 60.784km Natal - utilizado 180km (sem fotos - baseado no controle km)</text>
  </threadedComment>
  <threadedComment ref="E59" dT="2026-03-18T18:29:24.51" personId="{889B4C70-FD5B-4D20-A968-FEA4CA660786}" id="{ACEF210C-C9F4-4AB9-A3FC-3BD274F8C215}">
    <text>Viagem a Natal solicitação cliente - 61.491km retorno 61.751km - utilizado 260km 20/02/26 a 22/02/26  (sem foto de retorno - baseado no controle km)</text>
  </threadedComment>
  <threadedComment ref="E59" dT="2026-03-19T14:53:57.25" personId="{889B4C70-FD5B-4D20-A968-FEA4CA660786}" id="{27276787-47A9-45EF-A1C0-C52F2B2EF5D0}" parentId="{ACEF210C-C9F4-4AB9-A3FC-3BD274F8C215}">
    <text>14 a 18/02/26 veículo ficou parado para baixa de km</text>
  </threadedComment>
  <threadedComment ref="E63" dT="2026-03-24T12:39:44.17" personId="{889B4C70-FD5B-4D20-A968-FEA4CA660786}" id="{899E1842-DB4B-4ECE-90AF-D2CF70EBD58E}">
    <text>Alteração do pacote de km em 11/03/26 - Devolução 21/03/26</text>
  </threadedComment>
</ThreadedComments>
</file>

<file path=xl/threadedComments/threadedComment12.xml><?xml version="1.0" encoding="utf-8"?>
<ThreadedComments xmlns="http://schemas.microsoft.com/office/spreadsheetml/2018/threadedcomments" xmlns:x="http://schemas.openxmlformats.org/spreadsheetml/2006/main">
  <threadedComment ref="B63" dT="2026-03-10T14:12:05.67" personId="{889B4C70-FD5B-4D20-A968-FEA4CA660786}" id="{F5F1D515-A945-4858-B0F0-6952EB0FB848}">
    <text>USO PARTICULAR - Saída 26/02 9.222km - retorno 08/03/26 9.365km (veículo estava para no estacionamento do aeroporto de natal até airismila retornar de viagem e recebemos a solicitação do cliente para devolver o carro, ao chegar no aeroporto a Airismila realizou a devolução no dia 08/03/26 9.365km) - utilizado 143km</text>
  </threadedComment>
  <threadedComment ref="C63" dT="2026-03-10T14:12:41.24" personId="{889B4C70-FD5B-4D20-A968-FEA4CA660786}" id="{3574B606-C24C-4E04-B611-5202FFFCA2EB}">
    <text>Devolução 08/03/2026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8" t="s">
        <v>82</v>
      </c>
      <c r="B1" s="89"/>
      <c r="C1" s="89"/>
      <c r="D1" s="89"/>
      <c r="E1" s="89"/>
      <c r="F1" s="89"/>
      <c r="G1" s="89"/>
      <c r="H1" s="89"/>
      <c r="I1" s="89"/>
      <c r="J1" s="89"/>
      <c r="K1" s="89"/>
      <c r="L1" s="89"/>
      <c r="M1" s="89"/>
      <c r="N1" s="89"/>
      <c r="O1" s="89"/>
      <c r="P1" s="89"/>
      <c r="Q1" s="89"/>
      <c r="R1" s="89"/>
      <c r="S1" s="89"/>
      <c r="T1" s="89"/>
      <c r="U1" s="89"/>
      <c r="V1" s="89"/>
      <c r="W1" s="89"/>
      <c r="X1" s="89"/>
      <c r="Y1" s="89"/>
    </row>
    <row r="2" spans="1:25" x14ac:dyDescent="0.25">
      <c r="A2" s="89"/>
      <c r="B2" s="89"/>
      <c r="C2" s="89"/>
      <c r="D2" s="89"/>
      <c r="E2" s="89"/>
      <c r="F2" s="89"/>
      <c r="G2" s="89"/>
      <c r="H2" s="89"/>
      <c r="I2" s="89"/>
      <c r="J2" s="89"/>
      <c r="K2" s="89"/>
      <c r="L2" s="89"/>
      <c r="M2" s="89"/>
      <c r="N2" s="89"/>
      <c r="O2" s="89"/>
      <c r="P2" s="89"/>
      <c r="Q2" s="89"/>
      <c r="R2" s="89"/>
      <c r="S2" s="89"/>
      <c r="T2" s="89"/>
      <c r="U2" s="89"/>
      <c r="V2" s="89"/>
      <c r="W2" s="89"/>
      <c r="X2" s="89"/>
      <c r="Y2" s="89"/>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2916.95</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5053.3700000000008</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217.08</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4834.3500000000004</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5622.77</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4945</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448</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50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50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87"/>
      <c r="C13" s="87"/>
      <c r="D13" s="87"/>
      <c r="E13" s="87"/>
      <c r="F13" s="87"/>
      <c r="G13" s="87"/>
      <c r="H13" s="87"/>
      <c r="I13" s="87"/>
      <c r="J13" s="87"/>
      <c r="K13" s="87"/>
      <c r="L13" s="87"/>
      <c r="M13" s="87"/>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3" t="s">
        <v>79</v>
      </c>
      <c r="C2" s="83"/>
      <c r="D2" s="83"/>
      <c r="E2" s="83"/>
      <c r="F2" s="83"/>
      <c r="I2" s="90" t="s">
        <v>78</v>
      </c>
      <c r="J2" s="90"/>
      <c r="K2" s="90"/>
      <c r="L2" s="90"/>
      <c r="M2" s="90"/>
      <c r="P2" s="90" t="s">
        <v>77</v>
      </c>
      <c r="Q2" s="90"/>
      <c r="R2" s="90"/>
      <c r="S2" s="90"/>
      <c r="T2" s="90"/>
      <c r="W2" s="90" t="s">
        <v>76</v>
      </c>
      <c r="X2" s="90"/>
      <c r="Y2" s="90"/>
      <c r="Z2" s="90"/>
      <c r="AA2" s="90"/>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'Airismila-Desmob'!H11</f>
        <v>0</v>
      </c>
      <c r="C5" s="43">
        <f>SUM(5000-B5)</f>
        <v>5000</v>
      </c>
      <c r="D5" s="35">
        <f>'Airismila-Desmob'!U12</f>
        <v>0</v>
      </c>
      <c r="E5" s="35">
        <f>'Airismila-Desmob'!AC12</f>
        <v>0</v>
      </c>
      <c r="F5" s="36">
        <f>'Airismila-Desmob'!AK12</f>
        <v>0</v>
      </c>
      <c r="H5" s="38" t="s">
        <v>32</v>
      </c>
      <c r="I5" s="46">
        <f>'Rhuan-Desmob'!H11</f>
        <v>0</v>
      </c>
      <c r="J5" s="43">
        <f>SUM(5000-I5)</f>
        <v>5000</v>
      </c>
      <c r="K5" s="35">
        <f>'Rhuan-Desmob'!U12</f>
        <v>0</v>
      </c>
      <c r="L5" s="35">
        <f>'Rhuan-Desmob'!AC12</f>
        <v>0</v>
      </c>
      <c r="M5" s="36">
        <f>'Rhuan-Desmob'!AK12</f>
        <v>0</v>
      </c>
      <c r="O5" s="38" t="s">
        <v>32</v>
      </c>
      <c r="P5" s="46">
        <f>Linsmar!H11</f>
        <v>0</v>
      </c>
      <c r="Q5" s="43">
        <f>SUM(5000-P5)</f>
        <v>5000</v>
      </c>
      <c r="R5" s="35">
        <f>Linsmar!U12</f>
        <v>0</v>
      </c>
      <c r="S5" s="35">
        <f>Linsmar!AI12</f>
        <v>0</v>
      </c>
      <c r="T5" s="36">
        <f>Linsmar!AR12</f>
        <v>0</v>
      </c>
      <c r="V5" s="38" t="s">
        <v>32</v>
      </c>
      <c r="W5" s="46">
        <f>'Claudio Uliana-Desmob'!H11</f>
        <v>0</v>
      </c>
      <c r="X5" s="43">
        <f>SUM(5000-W5)</f>
        <v>5000</v>
      </c>
      <c r="Y5" s="35">
        <f>'Claudio Uliana-Desmob'!U12</f>
        <v>0</v>
      </c>
      <c r="Z5" s="35">
        <f>'Claudio Uliana-Desmob'!AK12</f>
        <v>0</v>
      </c>
      <c r="AA5" s="36">
        <f>'Claudio Uliana-Desmob'!AT12</f>
        <v>0</v>
      </c>
    </row>
    <row r="6" spans="1:27" x14ac:dyDescent="0.25">
      <c r="A6" s="38" t="s">
        <v>33</v>
      </c>
      <c r="B6" s="46">
        <f>'Airismila-Desmob'!H15</f>
        <v>0</v>
      </c>
      <c r="C6" s="43">
        <f t="shared" ref="C6:C15" si="0">SUM(5000-B6)</f>
        <v>5000</v>
      </c>
      <c r="D6" s="35">
        <f>'Airismila-Desmob'!U16</f>
        <v>0</v>
      </c>
      <c r="E6" s="35">
        <f>'Airismila-Desmob'!AC16</f>
        <v>0</v>
      </c>
      <c r="F6" s="36">
        <f>'Airismila-Desmob'!AK16</f>
        <v>0</v>
      </c>
      <c r="H6" s="38" t="s">
        <v>33</v>
      </c>
      <c r="I6" s="46">
        <f>'Rhuan-Desmob'!H15</f>
        <v>0</v>
      </c>
      <c r="J6" s="43">
        <f t="shared" ref="J6:J14" si="1">SUM(5000-I6)</f>
        <v>5000</v>
      </c>
      <c r="K6" s="35">
        <f>'Rhuan-Desmob'!U16</f>
        <v>0</v>
      </c>
      <c r="L6" s="35">
        <f>'Rhuan-Desmob'!AC16</f>
        <v>0</v>
      </c>
      <c r="M6" s="36">
        <f>'Rhuan-Desmob'!AK16</f>
        <v>0</v>
      </c>
      <c r="O6" s="38" t="s">
        <v>33</v>
      </c>
      <c r="P6" s="46">
        <f>Linsmar!H15</f>
        <v>0</v>
      </c>
      <c r="Q6" s="43">
        <f t="shared" ref="Q6:Q14" si="2">SUM(5000-P6)</f>
        <v>5000</v>
      </c>
      <c r="R6" s="35">
        <f>Linsmar!U16</f>
        <v>0</v>
      </c>
      <c r="S6" s="35">
        <f>Linsmar!AI16</f>
        <v>0</v>
      </c>
      <c r="T6" s="36">
        <f>Linsmar!AR16</f>
        <v>0</v>
      </c>
      <c r="V6" s="38" t="s">
        <v>33</v>
      </c>
      <c r="W6" s="46">
        <f>'Claudio Uliana-Desmob'!H15</f>
        <v>0</v>
      </c>
      <c r="X6" s="43">
        <f t="shared" ref="X6:X15" si="3">SUM(5000-W6)</f>
        <v>5000</v>
      </c>
      <c r="Y6" s="35">
        <f>'Claudio Uliana-Desmob'!U16</f>
        <v>0</v>
      </c>
      <c r="Z6" s="35">
        <f>'Claudio Uliana-Desmob'!AK16</f>
        <v>0</v>
      </c>
      <c r="AA6" s="36">
        <f>'Claudio Uliana-Desmob'!AT16</f>
        <v>0</v>
      </c>
    </row>
    <row r="7" spans="1:27" x14ac:dyDescent="0.25">
      <c r="A7" s="38" t="s">
        <v>34</v>
      </c>
      <c r="B7" s="46">
        <f>'Airismila-Desmob'!H19</f>
        <v>0</v>
      </c>
      <c r="C7" s="43">
        <f t="shared" si="0"/>
        <v>5000</v>
      </c>
      <c r="D7" s="35">
        <f>'Airismila-Desmob'!U20</f>
        <v>0</v>
      </c>
      <c r="E7" s="35">
        <f>'Airismila-Desmob'!AC20</f>
        <v>0</v>
      </c>
      <c r="F7" s="36">
        <f>'Airismila-Desmob'!AK20</f>
        <v>0</v>
      </c>
      <c r="H7" s="38" t="s">
        <v>34</v>
      </c>
      <c r="I7" s="46">
        <f>'Rhuan-Desmob'!H19</f>
        <v>0</v>
      </c>
      <c r="J7" s="43">
        <f t="shared" si="1"/>
        <v>5000</v>
      </c>
      <c r="K7" s="35">
        <f>'Rhuan-Desmob'!U20</f>
        <v>0</v>
      </c>
      <c r="L7" s="35">
        <f>'Rhuan-Desmob'!AC20</f>
        <v>0</v>
      </c>
      <c r="M7" s="36">
        <f>'Rhuan-Desmob'!AK20</f>
        <v>0</v>
      </c>
      <c r="O7" s="38" t="s">
        <v>34</v>
      </c>
      <c r="P7" s="46">
        <f>Linsmar!H19</f>
        <v>0</v>
      </c>
      <c r="Q7" s="43">
        <f t="shared" si="2"/>
        <v>5000</v>
      </c>
      <c r="R7" s="35">
        <f>Linsmar!Z20</f>
        <v>0</v>
      </c>
      <c r="S7" s="35">
        <f>Linsmar!AI20</f>
        <v>0</v>
      </c>
      <c r="T7" s="36">
        <f>Linsmar!AR20</f>
        <v>0</v>
      </c>
      <c r="V7" s="38" t="s">
        <v>34</v>
      </c>
      <c r="W7" s="46">
        <f>'Claudio Uliana-Desmob'!H19</f>
        <v>0</v>
      </c>
      <c r="X7" s="43">
        <f t="shared" si="3"/>
        <v>5000</v>
      </c>
      <c r="Y7" s="35">
        <f>'Claudio Uliana-Desmob'!AB20</f>
        <v>0</v>
      </c>
      <c r="Z7" s="35">
        <f>'Claudio Uliana-Desmob'!AK20</f>
        <v>0</v>
      </c>
      <c r="AA7" s="36">
        <f>'Claudio Uliana-Desmob'!AT20</f>
        <v>0</v>
      </c>
    </row>
    <row r="8" spans="1:27" x14ac:dyDescent="0.25">
      <c r="A8" s="38" t="s">
        <v>35</v>
      </c>
      <c r="B8" s="46">
        <f>'Airismila-Desmob'!H23</f>
        <v>0</v>
      </c>
      <c r="C8" s="43">
        <f t="shared" si="0"/>
        <v>5000</v>
      </c>
      <c r="D8" s="35">
        <f>'Airismila-Desmob'!U24</f>
        <v>0</v>
      </c>
      <c r="E8" s="35">
        <f>'Airismila-Desmob'!AC24</f>
        <v>0</v>
      </c>
      <c r="F8" s="36">
        <f>'Airismila-Desmob'!AK24</f>
        <v>0</v>
      </c>
      <c r="H8" s="38" t="s">
        <v>35</v>
      </c>
      <c r="I8" s="46">
        <f>'Rhuan-Desmob'!H23</f>
        <v>0</v>
      </c>
      <c r="J8" s="43">
        <f t="shared" si="1"/>
        <v>5000</v>
      </c>
      <c r="K8" s="35">
        <f>'Rhuan-Desmob'!U24</f>
        <v>0</v>
      </c>
      <c r="L8" s="35">
        <f>'Rhuan-Desmob'!AC24</f>
        <v>0</v>
      </c>
      <c r="M8" s="36">
        <f>'Rhuan-Desmob'!AK24</f>
        <v>0</v>
      </c>
      <c r="O8" s="38" t="s">
        <v>35</v>
      </c>
      <c r="P8" s="46">
        <f>Linsmar!H23</f>
        <v>0</v>
      </c>
      <c r="Q8" s="43">
        <f t="shared" si="2"/>
        <v>5000</v>
      </c>
      <c r="R8" s="35">
        <f>Linsmar!Z24</f>
        <v>0</v>
      </c>
      <c r="S8" s="35">
        <f>Linsmar!AI24</f>
        <v>0</v>
      </c>
      <c r="T8" s="36">
        <f>Linsmar!AR24</f>
        <v>0</v>
      </c>
      <c r="V8" s="38" t="s">
        <v>35</v>
      </c>
      <c r="W8" s="46">
        <f>'Claudio Uliana-Desmob'!H23</f>
        <v>0</v>
      </c>
      <c r="X8" s="43">
        <f t="shared" si="3"/>
        <v>5000</v>
      </c>
      <c r="Y8" s="35">
        <f>'Claudio Uliana-Desmob'!AB24</f>
        <v>0</v>
      </c>
      <c r="Z8" s="35">
        <f>'Claudio Uliana-Desmob'!AK24</f>
        <v>0</v>
      </c>
      <c r="AA8" s="36">
        <f>'Claudio Uliana-Desmob'!AT24</f>
        <v>0</v>
      </c>
    </row>
    <row r="9" spans="1:27" x14ac:dyDescent="0.25">
      <c r="A9" s="38" t="s">
        <v>36</v>
      </c>
      <c r="B9" s="46">
        <f>'Airismila-Desmob'!H27</f>
        <v>0</v>
      </c>
      <c r="C9" s="43">
        <f t="shared" si="0"/>
        <v>5000</v>
      </c>
      <c r="D9" s="35">
        <f>'Airismila-Desmob'!U28</f>
        <v>0</v>
      </c>
      <c r="E9" s="35">
        <f>'Airismila-Desmob'!AC28</f>
        <v>0</v>
      </c>
      <c r="F9" s="36">
        <f>'Airismila-Desmob'!AK28</f>
        <v>0</v>
      </c>
      <c r="H9" s="38" t="s">
        <v>36</v>
      </c>
      <c r="I9" s="46">
        <f>'Rhuan-Desmob'!H27</f>
        <v>0</v>
      </c>
      <c r="J9" s="43">
        <f t="shared" si="1"/>
        <v>5000</v>
      </c>
      <c r="K9" s="35">
        <f>'Rhuan-Desmob'!U28</f>
        <v>0</v>
      </c>
      <c r="L9" s="35">
        <f>'Rhuan-Desmob'!AC28</f>
        <v>0</v>
      </c>
      <c r="M9" s="36">
        <f>'Airismila-Desmob'!AK28</f>
        <v>0</v>
      </c>
      <c r="O9" s="38" t="s">
        <v>36</v>
      </c>
      <c r="P9" s="46">
        <f>Linsmar!H27</f>
        <v>0</v>
      </c>
      <c r="Q9" s="43">
        <f t="shared" si="2"/>
        <v>5000</v>
      </c>
      <c r="R9" s="35">
        <f>Linsmar!Z28</f>
        <v>0</v>
      </c>
      <c r="S9" s="35">
        <f>Linsmar!AI28</f>
        <v>0</v>
      </c>
      <c r="T9" s="36">
        <f>Linsmar!AR28</f>
        <v>0</v>
      </c>
      <c r="V9" s="38" t="s">
        <v>36</v>
      </c>
      <c r="W9" s="46">
        <f>'Claudio Uliana-Desmob'!H27</f>
        <v>0</v>
      </c>
      <c r="X9" s="43">
        <f t="shared" si="3"/>
        <v>5000</v>
      </c>
      <c r="Y9" s="35">
        <f>'Claudio Uliana-Desmob'!AB28</f>
        <v>0</v>
      </c>
      <c r="Z9" s="35">
        <f>'Claudio Uliana-Desmob'!AK28</f>
        <v>0</v>
      </c>
      <c r="AA9" s="36">
        <f>'Claudio Uliana-Desmob'!AT28</f>
        <v>0</v>
      </c>
    </row>
    <row r="10" spans="1:27" x14ac:dyDescent="0.25">
      <c r="A10" s="38" t="s">
        <v>37</v>
      </c>
      <c r="B10" s="46">
        <f>'Airismila-Desmob'!H31</f>
        <v>0</v>
      </c>
      <c r="C10" s="43">
        <f t="shared" si="0"/>
        <v>5000</v>
      </c>
      <c r="D10" s="35">
        <f>'Airismila-Desmob'!U32</f>
        <v>0</v>
      </c>
      <c r="E10" s="35">
        <f>'Airismila-Desmob'!AC32</f>
        <v>0</v>
      </c>
      <c r="F10" s="36">
        <f>'Airismila-Desmob'!AK32</f>
        <v>0</v>
      </c>
      <c r="H10" s="38" t="s">
        <v>37</v>
      </c>
      <c r="I10" s="46">
        <f>'Rhuan-Desmob'!H31</f>
        <v>0</v>
      </c>
      <c r="J10" s="43">
        <f t="shared" si="1"/>
        <v>5000</v>
      </c>
      <c r="K10" s="35">
        <f>'Rhuan-Desmob'!U32</f>
        <v>0</v>
      </c>
      <c r="L10" s="35">
        <f>'Rhuan-Desmob'!AC32</f>
        <v>0</v>
      </c>
      <c r="M10" s="36">
        <f>'Rhuan-Desmob'!AK32</f>
        <v>0</v>
      </c>
      <c r="O10" s="38" t="s">
        <v>37</v>
      </c>
      <c r="P10" s="46">
        <f>Linsmar!H31</f>
        <v>0</v>
      </c>
      <c r="Q10" s="43">
        <f t="shared" si="2"/>
        <v>5000</v>
      </c>
      <c r="R10" s="35">
        <f>Linsmar!Z32</f>
        <v>0</v>
      </c>
      <c r="S10" s="35">
        <f>Linsmar!AI32</f>
        <v>0</v>
      </c>
      <c r="T10" s="36">
        <f>Linsmar!AR32</f>
        <v>0</v>
      </c>
      <c r="V10" s="38" t="s">
        <v>37</v>
      </c>
      <c r="W10" s="46">
        <f>'Claudio Uliana-Desmob'!H31</f>
        <v>0</v>
      </c>
      <c r="X10" s="43">
        <f t="shared" si="3"/>
        <v>5000</v>
      </c>
      <c r="Y10" s="35">
        <f>'Claudio Uliana-Desmob'!AB32</f>
        <v>0</v>
      </c>
      <c r="Z10" s="35">
        <f>'Claudio Uliana-Desmob'!AK32</f>
        <v>0</v>
      </c>
      <c r="AA10" s="36">
        <f>'Claudio Uliana-Desmob'!AT32</f>
        <v>0</v>
      </c>
    </row>
    <row r="11" spans="1:27" x14ac:dyDescent="0.25">
      <c r="A11" s="38" t="s">
        <v>38</v>
      </c>
      <c r="B11" s="46">
        <f>'Airismila-Desmob'!H35</f>
        <v>0</v>
      </c>
      <c r="C11" s="43">
        <f t="shared" si="0"/>
        <v>5000</v>
      </c>
      <c r="D11" s="35">
        <f>'Airismila-Desmob'!U36</f>
        <v>0</v>
      </c>
      <c r="E11" s="35">
        <f>'Airismila-Desmob'!AC36</f>
        <v>0</v>
      </c>
      <c r="F11" s="36">
        <f>'Airismila-Desmob'!AK36</f>
        <v>0</v>
      </c>
      <c r="H11" s="38" t="s">
        <v>38</v>
      </c>
      <c r="I11" s="46">
        <f>'Rhuan-Desmob'!H35</f>
        <v>0</v>
      </c>
      <c r="J11" s="43">
        <f t="shared" si="1"/>
        <v>5000</v>
      </c>
      <c r="K11" s="35">
        <f>'Rhuan-Desmob'!U36</f>
        <v>0</v>
      </c>
      <c r="L11" s="35">
        <f>'Rhuan-Desmob'!AC36</f>
        <v>0</v>
      </c>
      <c r="M11" s="36">
        <f>'Rhuan-Desmob'!AK36</f>
        <v>0</v>
      </c>
      <c r="O11" s="38" t="s">
        <v>38</v>
      </c>
      <c r="P11" s="46">
        <f>Linsmar!H35</f>
        <v>0</v>
      </c>
      <c r="Q11" s="43">
        <f t="shared" si="2"/>
        <v>5000</v>
      </c>
      <c r="R11" s="35">
        <f>Linsmar!Z36</f>
        <v>0</v>
      </c>
      <c r="S11" s="35">
        <f>Linsmar!AI36</f>
        <v>0</v>
      </c>
      <c r="T11" s="36">
        <f>Linsmar!AR36</f>
        <v>0</v>
      </c>
      <c r="V11" s="38" t="s">
        <v>38</v>
      </c>
      <c r="W11" s="46">
        <f>'Claudio Uliana-Desmob'!H35</f>
        <v>0</v>
      </c>
      <c r="X11" s="43">
        <f t="shared" si="3"/>
        <v>5000</v>
      </c>
      <c r="Y11" s="35">
        <f>'Claudio Uliana-Desmob'!AB36</f>
        <v>0</v>
      </c>
      <c r="Z11" s="35">
        <f>'Claudio Uliana-Desmob'!AK36</f>
        <v>0</v>
      </c>
      <c r="AA11" s="36">
        <f>'Claudio Uliana-Desmob'!AT36</f>
        <v>0</v>
      </c>
    </row>
    <row r="12" spans="1:27" x14ac:dyDescent="0.25">
      <c r="A12" s="38" t="s">
        <v>39</v>
      </c>
      <c r="B12" s="46">
        <f>'Airismila-Desmob'!H39</f>
        <v>673</v>
      </c>
      <c r="C12" s="43">
        <f t="shared" si="0"/>
        <v>4327</v>
      </c>
      <c r="D12" s="35">
        <f>'Airismila-Desmob'!U40</f>
        <v>217.08</v>
      </c>
      <c r="E12" s="35">
        <f>'Airismila-Desmob'!AC40</f>
        <v>0</v>
      </c>
      <c r="F12" s="36">
        <f>'Airismila-Desmob'!AK40</f>
        <v>0</v>
      </c>
      <c r="H12" s="38" t="s">
        <v>39</v>
      </c>
      <c r="I12" s="46">
        <f>'Rhuan-Desmob'!H39</f>
        <v>0</v>
      </c>
      <c r="J12" s="43">
        <f t="shared" si="1"/>
        <v>5000</v>
      </c>
      <c r="K12" s="35">
        <f>'Rhuan-Desmob'!U40</f>
        <v>0</v>
      </c>
      <c r="L12" s="35">
        <f>'Rhuan-Desmob'!AC40</f>
        <v>0</v>
      </c>
      <c r="M12" s="36">
        <f>'Rhuan-Desmob'!AK40</f>
        <v>0</v>
      </c>
      <c r="O12" s="38" t="s">
        <v>39</v>
      </c>
      <c r="P12" s="46">
        <f>Linsmar!H35</f>
        <v>0</v>
      </c>
      <c r="Q12" s="43">
        <f t="shared" si="2"/>
        <v>5000</v>
      </c>
      <c r="R12" s="35">
        <f>Linsmar!Z40</f>
        <v>0</v>
      </c>
      <c r="S12" s="35">
        <f>Linsmar!AI40</f>
        <v>0</v>
      </c>
      <c r="T12" s="36">
        <f>Linsmar!AR40</f>
        <v>0</v>
      </c>
      <c r="V12" s="38" t="s">
        <v>39</v>
      </c>
      <c r="W12" s="46">
        <f>'Claudio Uliana-Desmob'!H39</f>
        <v>0</v>
      </c>
      <c r="X12" s="43">
        <f t="shared" si="3"/>
        <v>5000</v>
      </c>
      <c r="Y12" s="35">
        <f>'Claudio Uliana-Desmob'!AB40</f>
        <v>0</v>
      </c>
      <c r="Z12" s="35">
        <f>'Claudio Uliana-Desmob'!AK40</f>
        <v>0</v>
      </c>
      <c r="AA12" s="36">
        <f>'Claudio Uliana-Desmob'!AT40</f>
        <v>0</v>
      </c>
    </row>
    <row r="13" spans="1:27" x14ac:dyDescent="0.25">
      <c r="A13" s="38" t="s">
        <v>40</v>
      </c>
      <c r="B13" s="46">
        <f>'Airismila-Desmob'!H43</f>
        <v>2848</v>
      </c>
      <c r="C13" s="43">
        <f t="shared" si="0"/>
        <v>2152</v>
      </c>
      <c r="D13" s="35">
        <f>'Airismila-Desmob'!U44</f>
        <v>1432.92</v>
      </c>
      <c r="E13" s="35">
        <f>'Airismila-Desmob'!AC44</f>
        <v>0</v>
      </c>
      <c r="F13" s="36">
        <f>'Airismila-Desmob'!AK44</f>
        <v>0</v>
      </c>
      <c r="H13" s="38" t="s">
        <v>40</v>
      </c>
      <c r="I13" s="46">
        <f>'Rhuan-Desmob'!H43</f>
        <v>4188</v>
      </c>
      <c r="J13" s="43">
        <f t="shared" si="1"/>
        <v>812</v>
      </c>
      <c r="K13" s="35">
        <f>'Rhuan-Desmob'!U44</f>
        <v>2463.4</v>
      </c>
      <c r="L13" s="35">
        <f>'Rhuan-Desmob'!AC44</f>
        <v>0</v>
      </c>
      <c r="M13" s="36">
        <f>'Rhuan-Desmob'!AK44</f>
        <v>0</v>
      </c>
      <c r="O13" s="38" t="s">
        <v>40</v>
      </c>
      <c r="P13" s="46">
        <f>Linsmar!H39</f>
        <v>0</v>
      </c>
      <c r="Q13" s="43">
        <f t="shared" si="2"/>
        <v>5000</v>
      </c>
      <c r="R13" s="35">
        <f>Linsmar!Z44</f>
        <v>0</v>
      </c>
      <c r="S13" s="35">
        <f>Linsmar!AI44</f>
        <v>0</v>
      </c>
      <c r="T13" s="36">
        <f>Linsmar!AR44</f>
        <v>0</v>
      </c>
      <c r="V13" s="38" t="s">
        <v>40</v>
      </c>
      <c r="W13" s="46">
        <f>'Claudio Uliana-Desmob'!H43</f>
        <v>2986</v>
      </c>
      <c r="X13" s="43">
        <f t="shared" si="3"/>
        <v>2014</v>
      </c>
      <c r="Y13" s="35">
        <f>'Claudio Uliana-Desmob'!AB44</f>
        <v>0</v>
      </c>
      <c r="Z13" s="35">
        <f>'Claudio Uliana-Desmob'!AK44</f>
        <v>0</v>
      </c>
      <c r="AA13" s="36">
        <f>'Claudio Uliana-Desmob'!AT44</f>
        <v>0</v>
      </c>
    </row>
    <row r="14" spans="1:27" x14ac:dyDescent="0.25">
      <c r="A14" s="38" t="s">
        <v>41</v>
      </c>
      <c r="B14" s="46">
        <f>'Airismila-Desmob'!H47</f>
        <v>1131</v>
      </c>
      <c r="C14" s="43">
        <f t="shared" si="0"/>
        <v>3869</v>
      </c>
      <c r="D14" s="35">
        <f>'Airismila-Desmob'!U48</f>
        <v>649.9</v>
      </c>
      <c r="E14" s="35">
        <f>'Airismila-Desmob'!AC48</f>
        <v>0</v>
      </c>
      <c r="F14" s="36">
        <f>'Airismila-Desmob'!AK48</f>
        <v>0</v>
      </c>
      <c r="H14" s="38" t="s">
        <v>41</v>
      </c>
      <c r="I14" s="46">
        <f>'Rhuan-Desmob'!H47</f>
        <v>2632</v>
      </c>
      <c r="J14" s="43">
        <f t="shared" si="1"/>
        <v>2368</v>
      </c>
      <c r="K14" s="35">
        <f>'Rhuan-Desmob'!U48</f>
        <v>1605.73</v>
      </c>
      <c r="L14" s="35">
        <f>'Rhuan-Desmob'!AC48</f>
        <v>0</v>
      </c>
      <c r="M14" s="36">
        <f>'Rhuan-Desmob'!AK48</f>
        <v>0</v>
      </c>
      <c r="O14" s="38" t="s">
        <v>41</v>
      </c>
      <c r="P14" s="46">
        <f>Linsmar!H43</f>
        <v>1507</v>
      </c>
      <c r="Q14" s="43">
        <f t="shared" si="2"/>
        <v>3493</v>
      </c>
      <c r="R14" s="35">
        <f>Linsmar!Z48</f>
        <v>0</v>
      </c>
      <c r="S14" s="35">
        <f>Linsmar!AI48</f>
        <v>0</v>
      </c>
      <c r="T14" s="36">
        <f>Linsmar!AR48</f>
        <v>0</v>
      </c>
      <c r="V14" s="38" t="s">
        <v>41</v>
      </c>
      <c r="W14" s="46">
        <f>'Claudio Uliana-Desmob'!H47</f>
        <v>5864</v>
      </c>
      <c r="X14" s="43">
        <f t="shared" si="3"/>
        <v>-864</v>
      </c>
      <c r="Y14" s="35">
        <f>'Claudio Uliana-Desmob'!AB48</f>
        <v>0</v>
      </c>
      <c r="Z14" s="35">
        <f>'Claudio Uliana-Desmob'!AK48</f>
        <v>0</v>
      </c>
      <c r="AA14" s="36">
        <f>'Claudio Uliana-Desmob'!AT48</f>
        <v>0</v>
      </c>
    </row>
    <row r="15" spans="1:27" ht="15.75" thickBot="1" x14ac:dyDescent="0.3">
      <c r="A15" s="39" t="s">
        <v>42</v>
      </c>
      <c r="B15" s="47">
        <f>'Airismila-Desmob'!H51</f>
        <v>1207</v>
      </c>
      <c r="C15" s="44">
        <f t="shared" si="0"/>
        <v>3793</v>
      </c>
      <c r="D15" s="11">
        <f>'Airismila-Desmob'!U52</f>
        <v>511.53000000000003</v>
      </c>
      <c r="E15" s="11">
        <f>'Airismila-Desmob'!AC52</f>
        <v>0</v>
      </c>
      <c r="F15" s="12">
        <f>'Airismila-Desmob'!AK52</f>
        <v>0</v>
      </c>
      <c r="H15" s="39" t="s">
        <v>42</v>
      </c>
      <c r="I15" s="47">
        <f>'Rhuan-Desmob'!H51</f>
        <v>3013</v>
      </c>
      <c r="J15" s="44">
        <f>SUM(5000-I15)</f>
        <v>1987</v>
      </c>
      <c r="K15" s="11">
        <f>'Rhuan-Desmob'!U52</f>
        <v>1939.84</v>
      </c>
      <c r="L15" s="11">
        <f>'Rhuan-Desmob'!AC48</f>
        <v>0</v>
      </c>
      <c r="M15" s="12">
        <f>'Rhuan-Desmob'!AK48</f>
        <v>0</v>
      </c>
      <c r="O15" s="39" t="s">
        <v>42</v>
      </c>
      <c r="P15" s="47">
        <f>Linsmar!H47</f>
        <v>3474</v>
      </c>
      <c r="Q15" s="44">
        <f>SUM(5000-P15)</f>
        <v>1526</v>
      </c>
      <c r="R15" s="11">
        <f>Linsmar!Z52</f>
        <v>0</v>
      </c>
      <c r="S15" s="11">
        <f>Linsmar!AI48</f>
        <v>0</v>
      </c>
      <c r="T15" s="12">
        <f>Linsmar!AR52</f>
        <v>0</v>
      </c>
      <c r="V15" s="39" t="s">
        <v>42</v>
      </c>
      <c r="W15" s="47">
        <f>'Claudio Uliana-Desmob'!H51</f>
        <v>2911</v>
      </c>
      <c r="X15" s="44">
        <f t="shared" si="3"/>
        <v>2089</v>
      </c>
      <c r="Y15" s="11">
        <f>'Claudio Uliana-Desmob'!AB52</f>
        <v>0</v>
      </c>
      <c r="Z15" s="11">
        <f>'Claudio Uliana-Desmob'!AK52</f>
        <v>0</v>
      </c>
      <c r="AA15" s="12">
        <f>'Claudio Uliana-Desmob'!AT52</f>
        <v>0</v>
      </c>
    </row>
    <row r="16" spans="1:27" ht="15.75" thickBot="1" x14ac:dyDescent="0.3"/>
    <row r="17" spans="1:27" ht="15.75" thickBot="1" x14ac:dyDescent="0.3">
      <c r="A17" s="3" t="s">
        <v>23</v>
      </c>
      <c r="B17" s="52">
        <f>SUM(B4:B15)</f>
        <v>5859</v>
      </c>
      <c r="C17" s="51"/>
      <c r="D17" s="50">
        <f>SUM(D4:D15)</f>
        <v>2811.4300000000003</v>
      </c>
      <c r="E17" s="49">
        <f>SUM(E4:E15)</f>
        <v>0</v>
      </c>
      <c r="F17" s="48">
        <f>SUM(F4:F15)</f>
        <v>0</v>
      </c>
      <c r="H17" s="3" t="s">
        <v>23</v>
      </c>
      <c r="I17" s="52">
        <f>SUM(I4:I15)</f>
        <v>9833</v>
      </c>
      <c r="J17" s="51"/>
      <c r="K17" s="50">
        <f>SUM(K4:K15)</f>
        <v>6008.97</v>
      </c>
      <c r="L17" s="49">
        <f>SUM(L4:L15)</f>
        <v>0</v>
      </c>
      <c r="M17" s="48">
        <f>SUM(M4:M15)</f>
        <v>0</v>
      </c>
      <c r="O17" s="3" t="s">
        <v>23</v>
      </c>
      <c r="P17" s="52">
        <f>SUM(P4:P15)</f>
        <v>4981</v>
      </c>
      <c r="Q17" s="51"/>
      <c r="R17" s="50">
        <f>SUM(R4:R15)</f>
        <v>0</v>
      </c>
      <c r="S17" s="49">
        <f>SUM(S4:S15)</f>
        <v>0</v>
      </c>
      <c r="T17" s="48">
        <f>SUM(T4:T15)</f>
        <v>0</v>
      </c>
      <c r="V17" s="3" t="s">
        <v>23</v>
      </c>
      <c r="W17" s="52">
        <f>SUM(W4:W15)</f>
        <v>11761</v>
      </c>
      <c r="X17" s="51"/>
      <c r="Y17" s="50">
        <f>SUM(Y4:Y15)</f>
        <v>0</v>
      </c>
      <c r="Z17" s="49">
        <f>SUM(Z4:Z15)</f>
        <v>0</v>
      </c>
      <c r="AA17" s="48">
        <f>SUM(AA4:AA15)</f>
        <v>0</v>
      </c>
    </row>
    <row r="18" spans="1:27" ht="15.75" thickBot="1" x14ac:dyDescent="0.3">
      <c r="A18" s="3" t="s">
        <v>44</v>
      </c>
      <c r="B18" s="23">
        <f>SUM(60000-B17)</f>
        <v>54141</v>
      </c>
      <c r="H18" s="3" t="s">
        <v>44</v>
      </c>
      <c r="I18" s="23">
        <f>SUM(60000-I17)</f>
        <v>50167</v>
      </c>
      <c r="O18" s="3" t="s">
        <v>44</v>
      </c>
      <c r="P18" s="23">
        <f>SUM(60000-P17)</f>
        <v>55019</v>
      </c>
      <c r="V18" s="3" t="s">
        <v>44</v>
      </c>
      <c r="W18" s="23">
        <f>SUM(60000-W17)</f>
        <v>48239</v>
      </c>
    </row>
    <row r="21" spans="1:27" ht="15.75" thickBot="1" x14ac:dyDescent="0.3">
      <c r="B21" s="90" t="s">
        <v>75</v>
      </c>
      <c r="C21" s="90"/>
      <c r="D21" s="90"/>
      <c r="E21" s="90"/>
      <c r="F21" s="90"/>
      <c r="I21" s="83" t="s">
        <v>74</v>
      </c>
      <c r="J21" s="83"/>
      <c r="K21" s="83"/>
      <c r="L21" s="83"/>
      <c r="M21" s="83"/>
      <c r="P21" s="83" t="s">
        <v>73</v>
      </c>
      <c r="Q21" s="83"/>
      <c r="R21" s="83"/>
      <c r="S21" s="83"/>
      <c r="T21" s="83"/>
      <c r="W21" s="83" t="s">
        <v>52</v>
      </c>
      <c r="X21" s="83"/>
      <c r="Y21" s="83"/>
      <c r="Z21" s="83"/>
      <c r="AA21" s="83"/>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Esdras!H11</f>
        <v>0</v>
      </c>
      <c r="C24" s="43">
        <f>SUM(5000-B24)</f>
        <v>5000</v>
      </c>
      <c r="D24" s="35">
        <f>Esdras!U12</f>
        <v>0</v>
      </c>
      <c r="E24" s="35">
        <f>Esdras!AC12</f>
        <v>0</v>
      </c>
      <c r="F24" s="36">
        <f>Esdras!AK12</f>
        <v>0</v>
      </c>
      <c r="H24" s="38" t="s">
        <v>32</v>
      </c>
      <c r="I24" s="46">
        <f>'Rodrigo Silvio-Desmob'!H11</f>
        <v>0</v>
      </c>
      <c r="J24" s="43">
        <f>SUM(5000-I24)</f>
        <v>5000</v>
      </c>
      <c r="K24" s="35">
        <f>'Rodrigo Silvio-Desmob'!U12</f>
        <v>0</v>
      </c>
      <c r="L24" s="35">
        <f>'Rodrigo Silvio-Desmob'!AD12</f>
        <v>0</v>
      </c>
      <c r="M24" s="36">
        <f>'Rodrigo Silvio-Desmob'!AL12</f>
        <v>0</v>
      </c>
      <c r="O24" s="38" t="s">
        <v>32</v>
      </c>
      <c r="P24" s="46">
        <f>'Marcelo Oliveira-Desmob'!H19</f>
        <v>792</v>
      </c>
      <c r="Q24" s="43">
        <f>SUM(5000-P24)</f>
        <v>4208</v>
      </c>
      <c r="R24" s="35">
        <f>'Marcelo Oliveira-Desmob'!U20</f>
        <v>734.1400000000001</v>
      </c>
      <c r="S24" s="35">
        <f>'Marcelo Oliveira-Desmob'!AC20</f>
        <v>0</v>
      </c>
      <c r="T24" s="36">
        <f>'Marcelo Oliveira-Desmob'!AK20</f>
        <v>0</v>
      </c>
      <c r="V24" s="38" t="s">
        <v>32</v>
      </c>
      <c r="W24" s="46">
        <f>Weiller!H14</f>
        <v>2937</v>
      </c>
      <c r="X24" s="43">
        <f>SUM(5000-W24)</f>
        <v>2063</v>
      </c>
      <c r="Y24" s="35">
        <f>Weiller!U15</f>
        <v>2182.81</v>
      </c>
      <c r="Z24" s="35">
        <f>Weiller!AE15</f>
        <v>0</v>
      </c>
      <c r="AA24" s="36">
        <f>Weiller!AN15</f>
        <v>0</v>
      </c>
    </row>
    <row r="25" spans="1:27" x14ac:dyDescent="0.25">
      <c r="A25" s="38" t="s">
        <v>33</v>
      </c>
      <c r="B25" s="46">
        <f>Esdras!H15</f>
        <v>0</v>
      </c>
      <c r="C25" s="43">
        <f t="shared" ref="C25:C34" si="4">SUM(5000-B25)</f>
        <v>5000</v>
      </c>
      <c r="D25" s="35">
        <f>Esdras!U16</f>
        <v>0</v>
      </c>
      <c r="E25" s="35">
        <f>Esdras!AC16</f>
        <v>0</v>
      </c>
      <c r="F25" s="36">
        <f>Esdras!AK16</f>
        <v>0</v>
      </c>
      <c r="H25" s="38" t="s">
        <v>33</v>
      </c>
      <c r="I25" s="46">
        <f>'Rodrigo Silvio-Desmob'!H15</f>
        <v>0</v>
      </c>
      <c r="J25" s="43">
        <f t="shared" ref="J25:J34" si="5">SUM(5000-I25)</f>
        <v>5000</v>
      </c>
      <c r="K25" s="35">
        <f>'Rodrigo Silvio-Desmob'!U16</f>
        <v>0</v>
      </c>
      <c r="L25" s="35">
        <f>'Rodrigo Silvio-Desmob'!AD16</f>
        <v>0</v>
      </c>
      <c r="M25" s="36">
        <f>'Rodrigo Silvio-Desmob'!AL16</f>
        <v>0</v>
      </c>
      <c r="O25" s="38" t="s">
        <v>33</v>
      </c>
      <c r="P25" s="46">
        <f>'Marcelo Oliveira-Desmob'!H23</f>
        <v>1342</v>
      </c>
      <c r="Q25" s="43">
        <f t="shared" ref="Q25:Q34" si="6">SUM(5000-P25)</f>
        <v>3658</v>
      </c>
      <c r="R25" s="35">
        <f>'Marcelo Oliveira-Desmob'!U24</f>
        <v>1343.5</v>
      </c>
      <c r="S25" s="35">
        <f>'Marcelo Oliveira-Desmob'!AC24</f>
        <v>208</v>
      </c>
      <c r="T25" s="36">
        <f>'Marcelo Oliveira-Desmob'!AK24</f>
        <v>0</v>
      </c>
      <c r="V25" s="38" t="s">
        <v>33</v>
      </c>
      <c r="W25" s="46">
        <f>Weiller!H18</f>
        <v>4165</v>
      </c>
      <c r="X25" s="43">
        <f t="shared" ref="X25:X34" si="7">SUM(5000-W25)</f>
        <v>835</v>
      </c>
      <c r="Y25" s="35">
        <f>Weiller!U19</f>
        <v>3709.8700000000003</v>
      </c>
      <c r="Z25" s="35">
        <f>Weiller!AE19</f>
        <v>240</v>
      </c>
      <c r="AA25" s="36">
        <f>Weiller!AN19</f>
        <v>0</v>
      </c>
    </row>
    <row r="26" spans="1:27" x14ac:dyDescent="0.25">
      <c r="A26" s="38" t="s">
        <v>34</v>
      </c>
      <c r="B26" s="46">
        <f>Esdras!H19</f>
        <v>0</v>
      </c>
      <c r="C26" s="43">
        <f t="shared" si="4"/>
        <v>5000</v>
      </c>
      <c r="D26" s="35">
        <f>Esdras!U20</f>
        <v>0</v>
      </c>
      <c r="E26" s="35">
        <f>Esdras!AC20</f>
        <v>0</v>
      </c>
      <c r="F26" s="36">
        <f>Esdras!AK20</f>
        <v>0</v>
      </c>
      <c r="H26" s="38" t="s">
        <v>34</v>
      </c>
      <c r="I26" s="46">
        <f>'Rodrigo Silvio-Desmob'!H19</f>
        <v>0</v>
      </c>
      <c r="J26" s="43">
        <f t="shared" si="5"/>
        <v>5000</v>
      </c>
      <c r="K26" s="35">
        <f>'Rodrigo Silvio-Desmob'!U20</f>
        <v>0</v>
      </c>
      <c r="L26" s="35">
        <f>'Rodrigo Silvio-Desmob'!AD20</f>
        <v>0</v>
      </c>
      <c r="M26" s="36">
        <f>'Rodrigo Silvio-Desmob'!AL20</f>
        <v>0</v>
      </c>
      <c r="O26" s="38" t="s">
        <v>34</v>
      </c>
      <c r="P26" s="46">
        <f>'Marcelo Oliveira-Desmob'!H27</f>
        <v>1193</v>
      </c>
      <c r="Q26" s="43">
        <f t="shared" si="6"/>
        <v>3807</v>
      </c>
      <c r="R26" s="35">
        <f>'Marcelo Oliveira-Desmob'!U28</f>
        <v>0</v>
      </c>
      <c r="S26" s="35">
        <f>'Marcelo Oliveira-Desmob'!AC28</f>
        <v>0</v>
      </c>
      <c r="T26" s="36">
        <f>'Marcelo Oliveira-Desmob'!AK28</f>
        <v>0</v>
      </c>
      <c r="V26" s="38" t="s">
        <v>34</v>
      </c>
      <c r="W26" s="46">
        <f>Weiller!H22</f>
        <v>4126</v>
      </c>
      <c r="X26" s="43">
        <f t="shared" si="7"/>
        <v>874</v>
      </c>
      <c r="Y26" s="35">
        <f>Weiller!U203</f>
        <v>0</v>
      </c>
      <c r="Z26" s="35">
        <f>Weiller!AE23</f>
        <v>0</v>
      </c>
      <c r="AA26" s="36">
        <f>Weiller!AN203</f>
        <v>0</v>
      </c>
    </row>
    <row r="27" spans="1:27" x14ac:dyDescent="0.25">
      <c r="A27" s="38" t="s">
        <v>35</v>
      </c>
      <c r="B27" s="46">
        <f>Esdras!H23</f>
        <v>0</v>
      </c>
      <c r="C27" s="43">
        <f t="shared" si="4"/>
        <v>5000</v>
      </c>
      <c r="D27" s="35">
        <f>Esdras!U24</f>
        <v>0</v>
      </c>
      <c r="E27" s="35">
        <f>Esdras!AC24</f>
        <v>0</v>
      </c>
      <c r="F27" s="36">
        <f>Esdras!AK24</f>
        <v>0</v>
      </c>
      <c r="H27" s="38" t="s">
        <v>35</v>
      </c>
      <c r="I27" s="46">
        <f>'Rodrigo Silvio-Desmob'!H23</f>
        <v>0</v>
      </c>
      <c r="J27" s="43">
        <f t="shared" si="5"/>
        <v>5000</v>
      </c>
      <c r="K27" s="35">
        <f>'Rodrigo Silvio-Desmob'!U24</f>
        <v>0</v>
      </c>
      <c r="L27" s="35">
        <f>'Rodrigo Silvio-Desmob'!AD24</f>
        <v>0</v>
      </c>
      <c r="M27" s="36">
        <f>'Rodrigo Silvio-Desmob'!AL24</f>
        <v>0</v>
      </c>
      <c r="O27" s="38" t="s">
        <v>35</v>
      </c>
      <c r="P27" s="46">
        <f>'Marcelo Oliveira-Desmob'!H31</f>
        <v>2153</v>
      </c>
      <c r="Q27" s="43">
        <f t="shared" si="6"/>
        <v>2847</v>
      </c>
      <c r="R27" s="35">
        <f>'Marcelo Oliveira-Desmob'!U32</f>
        <v>0</v>
      </c>
      <c r="S27" s="35">
        <f>'Marcelo Oliveira-Desmob'!AC32</f>
        <v>0</v>
      </c>
      <c r="T27" s="36">
        <f>'Marcelo Oliveira-Desmob'!AK32</f>
        <v>0</v>
      </c>
      <c r="V27" s="38" t="s">
        <v>35</v>
      </c>
      <c r="W27" s="46">
        <f>Weiller!H26</f>
        <v>4955</v>
      </c>
      <c r="X27" s="43">
        <f t="shared" si="7"/>
        <v>45</v>
      </c>
      <c r="Y27" s="35">
        <f>Weiller!U27</f>
        <v>0</v>
      </c>
      <c r="Z27" s="35">
        <f>Weiller!AE27</f>
        <v>0</v>
      </c>
      <c r="AA27" s="36">
        <f>Weiller!AN27</f>
        <v>0</v>
      </c>
    </row>
    <row r="28" spans="1:27" x14ac:dyDescent="0.25">
      <c r="A28" s="38" t="s">
        <v>36</v>
      </c>
      <c r="B28" s="46">
        <f>Esdras!H27</f>
        <v>0</v>
      </c>
      <c r="C28" s="43">
        <f t="shared" si="4"/>
        <v>5000</v>
      </c>
      <c r="D28" s="35">
        <f>Esdras!U28</f>
        <v>0</v>
      </c>
      <c r="E28" s="35">
        <f>Esdras!AC28</f>
        <v>0</v>
      </c>
      <c r="F28" s="36">
        <f>Esdras!AK28</f>
        <v>0</v>
      </c>
      <c r="H28" s="38" t="s">
        <v>36</v>
      </c>
      <c r="I28" s="46">
        <f>'Rodrigo Silvio-Desmob'!H27</f>
        <v>0</v>
      </c>
      <c r="J28" s="43">
        <f t="shared" si="5"/>
        <v>5000</v>
      </c>
      <c r="K28" s="35">
        <f>'Rodrigo Silvio-Desmob'!U28</f>
        <v>0</v>
      </c>
      <c r="L28" s="35">
        <f>'Rodrigo Silvio-Desmob'!AD28</f>
        <v>0</v>
      </c>
      <c r="M28" s="36">
        <f>'Rodrigo Silvio-Desmob'!AL28</f>
        <v>0</v>
      </c>
      <c r="O28" s="38" t="s">
        <v>36</v>
      </c>
      <c r="P28" s="46">
        <f>'Marcelo Oliveira-Desmob'!H35</f>
        <v>425</v>
      </c>
      <c r="Q28" s="43">
        <f t="shared" si="6"/>
        <v>4575</v>
      </c>
      <c r="R28" s="35">
        <f>'Marcelo Oliveira-Desmob'!U36</f>
        <v>0</v>
      </c>
      <c r="S28" s="35">
        <f>'Marcelo Oliveira-Desmob'!AC36</f>
        <v>0</v>
      </c>
      <c r="T28" s="36">
        <f>'Marcelo Oliveira-Desmob'!AK36</f>
        <v>0</v>
      </c>
      <c r="V28" s="38" t="s">
        <v>36</v>
      </c>
      <c r="W28" s="46">
        <f>Weiller!H30</f>
        <v>0</v>
      </c>
      <c r="X28" s="43">
        <f t="shared" si="7"/>
        <v>5000</v>
      </c>
      <c r="Y28" s="35">
        <f>Weiller!U31</f>
        <v>0</v>
      </c>
      <c r="Z28" s="35">
        <f>Weiller!AE31</f>
        <v>0</v>
      </c>
      <c r="AA28" s="36">
        <f>Weiller!AN31</f>
        <v>0</v>
      </c>
    </row>
    <row r="29" spans="1:27" x14ac:dyDescent="0.25">
      <c r="A29" s="38" t="s">
        <v>37</v>
      </c>
      <c r="B29" s="46">
        <f>Esdras!H31</f>
        <v>0</v>
      </c>
      <c r="C29" s="43">
        <f t="shared" si="4"/>
        <v>5000</v>
      </c>
      <c r="D29" s="35">
        <f>Esdras!U32</f>
        <v>0</v>
      </c>
      <c r="E29" s="35">
        <f>Esdras!AC32</f>
        <v>0</v>
      </c>
      <c r="F29" s="36">
        <f>Esdras!AK32</f>
        <v>0</v>
      </c>
      <c r="H29" s="38" t="s">
        <v>37</v>
      </c>
      <c r="I29" s="46">
        <f>'Rodrigo Silvio-Desmob'!H31</f>
        <v>0</v>
      </c>
      <c r="J29" s="43">
        <f t="shared" si="5"/>
        <v>5000</v>
      </c>
      <c r="K29" s="35">
        <f>'Rodrigo Silvio-Desmob'!U32</f>
        <v>0</v>
      </c>
      <c r="L29" s="35">
        <f>'Rodrigo Silvio-Desmob'!AD32</f>
        <v>0</v>
      </c>
      <c r="M29" s="36">
        <f>'Rodrigo Silvio-Desmob'!AL32</f>
        <v>0</v>
      </c>
      <c r="O29" s="38" t="s">
        <v>37</v>
      </c>
      <c r="P29" s="46">
        <f>'Marcelo Oliveira-Desmob'!H39</f>
        <v>0</v>
      </c>
      <c r="Q29" s="43">
        <f t="shared" si="6"/>
        <v>5000</v>
      </c>
      <c r="R29" s="35">
        <f>'Marcelo Oliveira-Desmob'!U40</f>
        <v>0</v>
      </c>
      <c r="S29" s="35">
        <f>'Marcelo Oliveira-Desmob'!AC40</f>
        <v>0</v>
      </c>
      <c r="T29" s="36">
        <f>'Marcelo Oliveira-Desmob'!AK40</f>
        <v>0</v>
      </c>
      <c r="V29" s="38" t="s">
        <v>37</v>
      </c>
      <c r="W29" s="46">
        <f>Weiller!H34</f>
        <v>0</v>
      </c>
      <c r="X29" s="43">
        <f t="shared" si="7"/>
        <v>5000</v>
      </c>
      <c r="Y29" s="35">
        <f>Weiller!U35</f>
        <v>0</v>
      </c>
      <c r="Z29" s="35">
        <f>Weiller!AE35</f>
        <v>0</v>
      </c>
      <c r="AA29" s="36">
        <f>Weiller!AN35</f>
        <v>0</v>
      </c>
    </row>
    <row r="30" spans="1:27" x14ac:dyDescent="0.25">
      <c r="A30" s="38" t="s">
        <v>38</v>
      </c>
      <c r="B30" s="46">
        <f>Esdras!H35</f>
        <v>0</v>
      </c>
      <c r="C30" s="43">
        <f t="shared" si="4"/>
        <v>5000</v>
      </c>
      <c r="D30" s="35">
        <f>Esdras!U36</f>
        <v>0</v>
      </c>
      <c r="E30" s="35">
        <f>Esdras!AC36</f>
        <v>0</v>
      </c>
      <c r="F30" s="36">
        <f>Esdras!AK36</f>
        <v>0</v>
      </c>
      <c r="H30" s="38" t="s">
        <v>38</v>
      </c>
      <c r="I30" s="46">
        <f>'Rodrigo Silvio-Desmob'!H35</f>
        <v>0</v>
      </c>
      <c r="J30" s="43">
        <f t="shared" si="5"/>
        <v>5000</v>
      </c>
      <c r="K30" s="35">
        <f>'Rodrigo Silvio-Desmob'!U36</f>
        <v>0</v>
      </c>
      <c r="L30" s="35">
        <f>'Rodrigo Silvio-Desmob'!AD36</f>
        <v>0</v>
      </c>
      <c r="M30" s="36">
        <f>'Rodrigo Silvio-Desmob'!AL36</f>
        <v>0</v>
      </c>
      <c r="O30" s="38" t="s">
        <v>38</v>
      </c>
      <c r="P30" s="46">
        <f>'Marcelo Oliveira-Desmob'!H43</f>
        <v>0</v>
      </c>
      <c r="Q30" s="43">
        <f t="shared" si="6"/>
        <v>5000</v>
      </c>
      <c r="R30" s="35">
        <f>'Marcelo Oliveira-Desmob'!U44</f>
        <v>0</v>
      </c>
      <c r="S30" s="35">
        <f>'Marcelo Oliveira-Desmob'!AC44</f>
        <v>0</v>
      </c>
      <c r="T30" s="36">
        <f>'Marcelo Oliveira-Desmob'!AK44</f>
        <v>0</v>
      </c>
      <c r="V30" s="38" t="s">
        <v>38</v>
      </c>
      <c r="W30" s="46">
        <f>Weiller!H38</f>
        <v>0</v>
      </c>
      <c r="X30" s="43">
        <f t="shared" si="7"/>
        <v>5000</v>
      </c>
      <c r="Y30" s="35">
        <f>Weiller!U39</f>
        <v>0</v>
      </c>
      <c r="Z30" s="35">
        <f>Weiller!AE39</f>
        <v>0</v>
      </c>
      <c r="AA30" s="36">
        <f>Weiller!AN39</f>
        <v>0</v>
      </c>
    </row>
    <row r="31" spans="1:27" x14ac:dyDescent="0.25">
      <c r="A31" s="38" t="s">
        <v>39</v>
      </c>
      <c r="B31" s="46">
        <f>Esdras!H39</f>
        <v>0</v>
      </c>
      <c r="C31" s="43">
        <f t="shared" si="4"/>
        <v>5000</v>
      </c>
      <c r="D31" s="35">
        <f>Esdras!U40</f>
        <v>0</v>
      </c>
      <c r="E31" s="35">
        <f>Esdras!AC40</f>
        <v>0</v>
      </c>
      <c r="F31" s="36">
        <f>Esdras!AK4</f>
        <v>0</v>
      </c>
      <c r="H31" s="38" t="s">
        <v>39</v>
      </c>
      <c r="I31" s="46">
        <f>'Rodrigo Silvio-Desmob'!H39</f>
        <v>0</v>
      </c>
      <c r="J31" s="43">
        <f t="shared" si="5"/>
        <v>5000</v>
      </c>
      <c r="K31" s="35">
        <f>'Rodrigo Silvio-Desmob'!U40</f>
        <v>0</v>
      </c>
      <c r="L31" s="35">
        <f>'Rodrigo Silvio-Desmob'!AD40</f>
        <v>0</v>
      </c>
      <c r="M31" s="36">
        <f>'Rodrigo Silvio-Desmob'!AL40</f>
        <v>0</v>
      </c>
      <c r="O31" s="38" t="s">
        <v>39</v>
      </c>
      <c r="P31" s="46">
        <f>'Marcelo Oliveira-Desmob'!H47</f>
        <v>0</v>
      </c>
      <c r="Q31" s="43">
        <f t="shared" si="6"/>
        <v>5000</v>
      </c>
      <c r="R31" s="35">
        <f>'Marcelo Oliveira-Desmob'!U48</f>
        <v>0</v>
      </c>
      <c r="S31" s="35">
        <f>'Marcelo Oliveira-Desmob'!AC48</f>
        <v>0</v>
      </c>
      <c r="T31" s="36">
        <f>'Marcelo Oliveira-Desmob'!AK48</f>
        <v>0</v>
      </c>
      <c r="V31" s="38" t="s">
        <v>39</v>
      </c>
      <c r="W31" s="46">
        <f>Weiller!H42</f>
        <v>0</v>
      </c>
      <c r="X31" s="43">
        <f t="shared" si="7"/>
        <v>5000</v>
      </c>
      <c r="Y31" s="35">
        <f>Weiller!U43</f>
        <v>0</v>
      </c>
      <c r="Z31" s="35">
        <f>Weiller!AE43</f>
        <v>0</v>
      </c>
      <c r="AA31" s="36">
        <f>Weiller!AN43</f>
        <v>0</v>
      </c>
    </row>
    <row r="32" spans="1:27" x14ac:dyDescent="0.25">
      <c r="A32" s="38" t="s">
        <v>40</v>
      </c>
      <c r="B32" s="46">
        <f>Esdras!H43</f>
        <v>0</v>
      </c>
      <c r="C32" s="43">
        <f t="shared" si="4"/>
        <v>5000</v>
      </c>
      <c r="D32" s="35">
        <f>Esdras!U44</f>
        <v>0</v>
      </c>
      <c r="E32" s="35">
        <f>Esdras!AC44</f>
        <v>0</v>
      </c>
      <c r="F32" s="36">
        <f>Esdras!AK44</f>
        <v>0</v>
      </c>
      <c r="H32" s="38" t="s">
        <v>40</v>
      </c>
      <c r="I32" s="46">
        <f>'Rodrigo Silvio-Desmob'!H43</f>
        <v>1621</v>
      </c>
      <c r="J32" s="43">
        <f t="shared" si="5"/>
        <v>3379</v>
      </c>
      <c r="K32" s="35">
        <f>'Rodrigo Silvio-Desmob'!U44</f>
        <v>938.03000000000009</v>
      </c>
      <c r="L32" s="35">
        <f>'Rodrigo Silvio-Desmob'!AD44</f>
        <v>0</v>
      </c>
      <c r="M32" s="36">
        <f>'Rodrigo Silvio-Desmob'!AL44</f>
        <v>0</v>
      </c>
      <c r="O32" s="38" t="s">
        <v>40</v>
      </c>
      <c r="P32" s="46">
        <f>'Marcelo Oliveira-Desmob'!H51</f>
        <v>0</v>
      </c>
      <c r="Q32" s="43">
        <f t="shared" si="6"/>
        <v>5000</v>
      </c>
      <c r="R32" s="35">
        <f>'Marcelo Oliveira-Desmob'!U52</f>
        <v>0</v>
      </c>
      <c r="S32" s="35">
        <f>'Marcelo Oliveira-Desmob'!AC52</f>
        <v>0</v>
      </c>
      <c r="T32" s="36">
        <f>'Marcelo Oliveira-Desmob'!AK52</f>
        <v>0</v>
      </c>
      <c r="V32" s="38" t="s">
        <v>40</v>
      </c>
      <c r="W32" s="46">
        <f>Weiller!H46</f>
        <v>0</v>
      </c>
      <c r="X32" s="43">
        <f t="shared" si="7"/>
        <v>5000</v>
      </c>
      <c r="Y32" s="35">
        <f>Weiller!U47</f>
        <v>0</v>
      </c>
      <c r="Z32" s="35">
        <f>Weiller!AE47</f>
        <v>0</v>
      </c>
      <c r="AA32" s="36">
        <f>Weiller!AN47</f>
        <v>0</v>
      </c>
    </row>
    <row r="33" spans="1:27" x14ac:dyDescent="0.25">
      <c r="A33" s="38" t="s">
        <v>41</v>
      </c>
      <c r="B33" s="46">
        <f>Esdras!H47</f>
        <v>1467</v>
      </c>
      <c r="C33" s="43">
        <f t="shared" si="4"/>
        <v>3533</v>
      </c>
      <c r="D33" s="35">
        <f>Esdras!U48</f>
        <v>1076.52</v>
      </c>
      <c r="E33" s="35">
        <f>Esdras!AC48</f>
        <v>50</v>
      </c>
      <c r="F33" s="36">
        <f>Esdras!AK48</f>
        <v>0</v>
      </c>
      <c r="H33" s="38" t="s">
        <v>41</v>
      </c>
      <c r="I33" s="46">
        <f>'Rodrigo Silvio-Desmob'!H47</f>
        <v>3701</v>
      </c>
      <c r="J33" s="43">
        <f t="shared" si="5"/>
        <v>1299</v>
      </c>
      <c r="K33" s="35">
        <f>'Rodrigo Silvio-Desmob'!U48</f>
        <v>2290.62</v>
      </c>
      <c r="L33" s="35">
        <f>'Rodrigo Silvio-Desmob'!AD48</f>
        <v>0</v>
      </c>
      <c r="M33" s="36">
        <f>'Rodrigo Silvio-Desmob'!AL48</f>
        <v>0</v>
      </c>
      <c r="O33" s="38" t="s">
        <v>41</v>
      </c>
      <c r="P33" s="46">
        <f>'Marcelo Oliveira-Desmob'!H55</f>
        <v>0</v>
      </c>
      <c r="Q33" s="43">
        <f t="shared" si="6"/>
        <v>5000</v>
      </c>
      <c r="R33" s="35">
        <f>'Marcelo Oliveira-Desmob'!U56</f>
        <v>0</v>
      </c>
      <c r="S33" s="35">
        <f>'Marcelo Oliveira-Desmob'!AC56</f>
        <v>0</v>
      </c>
      <c r="T33" s="36">
        <f>'Marcelo Oliveira-Desmob'!AK56</f>
        <v>0</v>
      </c>
      <c r="V33" s="38" t="s">
        <v>41</v>
      </c>
      <c r="W33" s="46">
        <f>Weiller!H50</f>
        <v>0</v>
      </c>
      <c r="X33" s="43">
        <f t="shared" si="7"/>
        <v>5000</v>
      </c>
      <c r="Y33" s="35">
        <f>Weiller!U51</f>
        <v>0</v>
      </c>
      <c r="Z33" s="35">
        <f>Weiller!AE51</f>
        <v>0</v>
      </c>
      <c r="AA33" s="36">
        <f>Weiller!AN51</f>
        <v>0</v>
      </c>
    </row>
    <row r="34" spans="1:27" ht="15.75" thickBot="1" x14ac:dyDescent="0.3">
      <c r="A34" s="39" t="s">
        <v>42</v>
      </c>
      <c r="B34" s="47">
        <f>Esdras!H51</f>
        <v>1078</v>
      </c>
      <c r="C34" s="44">
        <f t="shared" si="4"/>
        <v>3922</v>
      </c>
      <c r="D34" s="11">
        <f>Esdras!U52</f>
        <v>798.72</v>
      </c>
      <c r="E34" s="11">
        <f>Esdras!AC52</f>
        <v>50</v>
      </c>
      <c r="F34" s="12">
        <f>Esdras!AK52</f>
        <v>0</v>
      </c>
      <c r="H34" s="39" t="s">
        <v>42</v>
      </c>
      <c r="I34" s="47">
        <f>'Rodrigo Silvio-Desmob'!H51</f>
        <v>2836</v>
      </c>
      <c r="J34" s="44">
        <f t="shared" si="5"/>
        <v>2164</v>
      </c>
      <c r="K34" s="11">
        <f>'Rodrigo Silvio-Desmob'!U52</f>
        <v>1694.9099999999999</v>
      </c>
      <c r="L34" s="11">
        <f>'Rodrigo Silvio-Desmob'!AD52</f>
        <v>0</v>
      </c>
      <c r="M34" s="12">
        <f>'Rodrigo Silvio-Desmob'!AL52</f>
        <v>0</v>
      </c>
      <c r="O34" s="39" t="s">
        <v>42</v>
      </c>
      <c r="P34" s="47">
        <f>'Marcelo Oliveira-Desmob'!H59</f>
        <v>0</v>
      </c>
      <c r="Q34" s="44">
        <f t="shared" si="6"/>
        <v>5000</v>
      </c>
      <c r="R34" s="11">
        <f>'Marcelo Oliveira-Desmob'!U60</f>
        <v>0</v>
      </c>
      <c r="S34" s="11">
        <f>'Marcelo Oliveira-Desmob'!AC60</f>
        <v>0</v>
      </c>
      <c r="T34" s="12">
        <f>'Marcelo Oliveira-Desmob'!AK60</f>
        <v>0</v>
      </c>
      <c r="V34" s="39" t="s">
        <v>42</v>
      </c>
      <c r="W34" s="47">
        <f>Weiller!H54</f>
        <v>0</v>
      </c>
      <c r="X34" s="44">
        <f t="shared" si="7"/>
        <v>5000</v>
      </c>
      <c r="Y34" s="11">
        <f>Weiller!U55</f>
        <v>0</v>
      </c>
      <c r="Z34" s="11">
        <f>Weiller!AE55</f>
        <v>0</v>
      </c>
      <c r="AA34" s="12">
        <f>Weiller!AN55</f>
        <v>0</v>
      </c>
    </row>
    <row r="35" spans="1:27" ht="15.75" thickBot="1" x14ac:dyDescent="0.3"/>
    <row r="36" spans="1:27" ht="15.75" thickBot="1" x14ac:dyDescent="0.3">
      <c r="A36" s="3" t="s">
        <v>23</v>
      </c>
      <c r="B36" s="52">
        <f>SUM(B23:B34)</f>
        <v>2545</v>
      </c>
      <c r="C36" s="51"/>
      <c r="D36" s="50">
        <f>SUM(D23:D34)</f>
        <v>1875.24</v>
      </c>
      <c r="E36" s="49">
        <f>SUM(E23:E34)</f>
        <v>100</v>
      </c>
      <c r="F36" s="48">
        <f>SUM(F23:F34)</f>
        <v>0</v>
      </c>
      <c r="H36" s="3" t="s">
        <v>23</v>
      </c>
      <c r="I36" s="52">
        <f>SUM(I23:I34)</f>
        <v>8158</v>
      </c>
      <c r="J36" s="51"/>
      <c r="K36" s="50">
        <f>SUM(K23:K34)</f>
        <v>4923.5599999999995</v>
      </c>
      <c r="L36" s="49">
        <f>SUM(L23:L34)</f>
        <v>0</v>
      </c>
      <c r="M36" s="48">
        <f>SUM(M23:M34)</f>
        <v>0</v>
      </c>
      <c r="O36" s="3" t="s">
        <v>23</v>
      </c>
      <c r="P36" s="52">
        <f>SUM(P23:P34)</f>
        <v>5905</v>
      </c>
      <c r="Q36" s="51"/>
      <c r="R36" s="50">
        <f>SUM(R23:R34)</f>
        <v>2077.6400000000003</v>
      </c>
      <c r="S36" s="49">
        <f>SUM(S23:S34)</f>
        <v>208</v>
      </c>
      <c r="T36" s="48">
        <f>SUM(T23:T34)</f>
        <v>0</v>
      </c>
      <c r="V36" s="3" t="s">
        <v>23</v>
      </c>
      <c r="W36" s="52">
        <f>SUM(W23:W34)</f>
        <v>16183</v>
      </c>
      <c r="X36" s="51"/>
      <c r="Y36" s="50">
        <f>SUM(Y23:Y34)</f>
        <v>5892.68</v>
      </c>
      <c r="Z36" s="49">
        <f>SUM(Z23:Z34)</f>
        <v>240</v>
      </c>
      <c r="AA36" s="48">
        <f>SUM(AA23:AA34)</f>
        <v>0</v>
      </c>
    </row>
    <row r="37" spans="1:27" ht="15.75" thickBot="1" x14ac:dyDescent="0.3">
      <c r="A37" s="3" t="s">
        <v>44</v>
      </c>
      <c r="B37" s="23">
        <f>SUM(60000-B36)</f>
        <v>57455</v>
      </c>
      <c r="H37" s="3" t="s">
        <v>44</v>
      </c>
      <c r="I37" s="23">
        <f>SUM(60000-I36)</f>
        <v>51842</v>
      </c>
      <c r="O37" s="3" t="s">
        <v>44</v>
      </c>
      <c r="P37" s="23">
        <f>SUM(60000-P36)</f>
        <v>54095</v>
      </c>
      <c r="V37" s="3" t="s">
        <v>44</v>
      </c>
      <c r="W37" s="23">
        <f>SUM(60000-W36)</f>
        <v>43817</v>
      </c>
    </row>
    <row r="40" spans="1:27" ht="15.75" thickBot="1" x14ac:dyDescent="0.3">
      <c r="B40" s="83" t="s">
        <v>53</v>
      </c>
      <c r="C40" s="83"/>
      <c r="D40" s="83"/>
      <c r="E40" s="83"/>
      <c r="F40" s="83"/>
      <c r="I40" s="83" t="s">
        <v>54</v>
      </c>
      <c r="J40" s="83"/>
      <c r="K40" s="83"/>
      <c r="L40" s="83"/>
      <c r="M40" s="83"/>
      <c r="P40" s="83" t="s">
        <v>55</v>
      </c>
      <c r="Q40" s="83"/>
      <c r="R40" s="83"/>
      <c r="S40" s="83"/>
      <c r="T40" s="83"/>
      <c r="W40" s="83" t="s">
        <v>56</v>
      </c>
      <c r="X40" s="83"/>
      <c r="Y40" s="83"/>
      <c r="Z40" s="83"/>
      <c r="AA40" s="83"/>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'Claudio Uliana'!H11</f>
        <v>0</v>
      </c>
      <c r="C43" s="43">
        <f>SUM(5000-B43)</f>
        <v>5000</v>
      </c>
      <c r="D43" s="35">
        <f>'Claudio Uliana'!U12</f>
        <v>0</v>
      </c>
      <c r="E43" s="35">
        <f>'Claudio Uliana'!AE12</f>
        <v>0</v>
      </c>
      <c r="F43" s="36">
        <f>'Claudio Uliana'!AN12</f>
        <v>0</v>
      </c>
      <c r="H43" s="38" t="s">
        <v>32</v>
      </c>
      <c r="I43" s="46">
        <f>Fernando!H11</f>
        <v>0</v>
      </c>
      <c r="J43" s="43">
        <f>SUM(5000-I43)</f>
        <v>5000</v>
      </c>
      <c r="K43" s="35">
        <f>Fernando!U12</f>
        <v>0</v>
      </c>
      <c r="L43" s="35">
        <f>Fernando!AE12</f>
        <v>0</v>
      </c>
      <c r="M43" s="36">
        <f>Fernando!AN12</f>
        <v>0</v>
      </c>
      <c r="O43" s="38" t="s">
        <v>32</v>
      </c>
      <c r="P43" s="46">
        <f>Gideoni!H11</f>
        <v>0</v>
      </c>
      <c r="Q43" s="43">
        <f>SUM(5000-P43)</f>
        <v>5000</v>
      </c>
      <c r="R43" s="35">
        <f>Gideoni!U12</f>
        <v>0</v>
      </c>
      <c r="S43" s="35">
        <f>Gideoni!AE12</f>
        <v>0</v>
      </c>
      <c r="T43" s="36">
        <f>Gideoni!AN12</f>
        <v>0</v>
      </c>
      <c r="V43" s="38" t="s">
        <v>32</v>
      </c>
      <c r="W43" s="46">
        <f>Rhuan!H11</f>
        <v>0</v>
      </c>
      <c r="X43" s="43">
        <f>SUM(5000-W43)</f>
        <v>5000</v>
      </c>
      <c r="Y43" s="35">
        <f>Rhuan!U12</f>
        <v>0</v>
      </c>
      <c r="Z43" s="35">
        <f>Rhuan!AE12</f>
        <v>0</v>
      </c>
      <c r="AA43" s="36">
        <f>Rhuan!AN12</f>
        <v>0</v>
      </c>
    </row>
    <row r="44" spans="1:27" x14ac:dyDescent="0.25">
      <c r="A44" s="38" t="s">
        <v>33</v>
      </c>
      <c r="B44" s="46">
        <f>'Claudio Uliana'!H15</f>
        <v>1575</v>
      </c>
      <c r="C44" s="43">
        <f t="shared" ref="C44:C53" si="8">SUM(5000-B44)</f>
        <v>3425</v>
      </c>
      <c r="D44" s="35">
        <f>'Claudio Uliana'!U16</f>
        <v>0</v>
      </c>
      <c r="E44" s="35">
        <f>'Claudio Uliana'!AE16</f>
        <v>0</v>
      </c>
      <c r="F44" s="36">
        <f>'Claudio Uliana'!AN16</f>
        <v>0</v>
      </c>
      <c r="H44" s="38" t="s">
        <v>33</v>
      </c>
      <c r="I44" s="46">
        <f>Fernando!H15</f>
        <v>0</v>
      </c>
      <c r="J44" s="43">
        <f t="shared" ref="J44:J53" si="9">SUM(5000-I44)</f>
        <v>5000</v>
      </c>
      <c r="K44" s="35">
        <f>Fernando!U16</f>
        <v>0</v>
      </c>
      <c r="L44" s="35">
        <f>Fernando!AE16</f>
        <v>0</v>
      </c>
      <c r="M44" s="36">
        <f>Fernando!AN16</f>
        <v>0</v>
      </c>
      <c r="O44" s="38" t="s">
        <v>33</v>
      </c>
      <c r="P44" s="46">
        <f>Gideoni!H15</f>
        <v>0</v>
      </c>
      <c r="Q44" s="43">
        <f t="shared" ref="Q44:Q53" si="10">SUM(5000-P44)</f>
        <v>5000</v>
      </c>
      <c r="R44" s="35">
        <f>Gideoni!U16</f>
        <v>0</v>
      </c>
      <c r="S44" s="35">
        <f>Gideoni!AE16</f>
        <v>0</v>
      </c>
      <c r="T44" s="36">
        <f>Gideoni!AN16</f>
        <v>0</v>
      </c>
      <c r="V44" s="38" t="s">
        <v>33</v>
      </c>
      <c r="W44" s="46">
        <f>Rhuan!H15</f>
        <v>0</v>
      </c>
      <c r="X44" s="43">
        <f t="shared" ref="X44:X53" si="11">SUM(5000-W44)</f>
        <v>5000</v>
      </c>
      <c r="Y44" s="35">
        <f>Rhuan!U16</f>
        <v>0</v>
      </c>
      <c r="Z44" s="35">
        <f>Rhuan!AE16</f>
        <v>0</v>
      </c>
      <c r="AA44" s="36">
        <f>Rhuan!AN16</f>
        <v>0</v>
      </c>
    </row>
    <row r="45" spans="1:27" x14ac:dyDescent="0.25">
      <c r="A45" s="38" t="s">
        <v>34</v>
      </c>
      <c r="B45" s="46">
        <f>'Claudio Uliana'!H19</f>
        <v>4046</v>
      </c>
      <c r="C45" s="43">
        <f t="shared" si="8"/>
        <v>954</v>
      </c>
      <c r="D45" s="35">
        <f>'Claudio Uliana'!U20</f>
        <v>0</v>
      </c>
      <c r="E45" s="35">
        <f>'Claudio Uliana'!AE20</f>
        <v>0</v>
      </c>
      <c r="F45" s="36">
        <f>'Claudio Uliana'!AN20</f>
        <v>0</v>
      </c>
      <c r="H45" s="38" t="s">
        <v>34</v>
      </c>
      <c r="I45" s="46">
        <f>Fernando!H19</f>
        <v>0</v>
      </c>
      <c r="J45" s="43">
        <f t="shared" si="9"/>
        <v>5000</v>
      </c>
      <c r="K45" s="35">
        <f>Fernando!U20</f>
        <v>0</v>
      </c>
      <c r="L45" s="35">
        <f>Fernando!AE20</f>
        <v>0</v>
      </c>
      <c r="M45" s="36">
        <f>Fernando!AN20</f>
        <v>0</v>
      </c>
      <c r="O45" s="38" t="s">
        <v>34</v>
      </c>
      <c r="P45" s="46">
        <f>Gideoni!H19</f>
        <v>0</v>
      </c>
      <c r="Q45" s="43">
        <f t="shared" si="10"/>
        <v>5000</v>
      </c>
      <c r="R45" s="35">
        <f>Gideoni!U20</f>
        <v>0</v>
      </c>
      <c r="S45" s="35">
        <f>Gideoni!AE20</f>
        <v>0</v>
      </c>
      <c r="T45" s="36">
        <f>Gideoni!AN20</f>
        <v>0</v>
      </c>
      <c r="V45" s="38" t="s">
        <v>34</v>
      </c>
      <c r="W45" s="46">
        <f>Rhuan!H19</f>
        <v>0</v>
      </c>
      <c r="X45" s="43">
        <f t="shared" si="11"/>
        <v>5000</v>
      </c>
      <c r="Y45" s="35">
        <f>Rhuan!U20</f>
        <v>0</v>
      </c>
      <c r="Z45" s="35">
        <f>Rhuan!AE20</f>
        <v>0</v>
      </c>
      <c r="AA45" s="36">
        <f>Rhuan!AN20</f>
        <v>0</v>
      </c>
    </row>
    <row r="46" spans="1:27" x14ac:dyDescent="0.25">
      <c r="A46" s="38" t="s">
        <v>35</v>
      </c>
      <c r="B46" s="46">
        <f>'Claudio Uliana'!H23</f>
        <v>3758</v>
      </c>
      <c r="C46" s="43">
        <f t="shared" si="8"/>
        <v>1242</v>
      </c>
      <c r="D46" s="35">
        <f>'Claudio Uliana'!U24</f>
        <v>0</v>
      </c>
      <c r="E46" s="35">
        <f>'Claudio Uliana'!AE24</f>
        <v>0</v>
      </c>
      <c r="F46" s="36">
        <f>'Claudio Uliana'!AN24</f>
        <v>0</v>
      </c>
      <c r="H46" s="38" t="s">
        <v>35</v>
      </c>
      <c r="I46" s="46">
        <f>Fernando!H23</f>
        <v>4043</v>
      </c>
      <c r="J46" s="43">
        <f t="shared" si="9"/>
        <v>957</v>
      </c>
      <c r="K46" s="35">
        <f>Fernando!U24</f>
        <v>0</v>
      </c>
      <c r="L46" s="35">
        <f>Fernando!AE24</f>
        <v>0</v>
      </c>
      <c r="M46" s="36">
        <f>Fernando!AN24</f>
        <v>0</v>
      </c>
      <c r="O46" s="38" t="s">
        <v>35</v>
      </c>
      <c r="P46" s="46">
        <f>Gideoni!H23</f>
        <v>309</v>
      </c>
      <c r="Q46" s="43">
        <f t="shared" si="10"/>
        <v>4691</v>
      </c>
      <c r="R46" s="35">
        <f>Gideoni!U24</f>
        <v>0</v>
      </c>
      <c r="S46" s="35">
        <f>Gideoni!AE24</f>
        <v>0</v>
      </c>
      <c r="T46" s="36">
        <f>Gideoni!AN24</f>
        <v>0</v>
      </c>
      <c r="V46" s="38" t="s">
        <v>35</v>
      </c>
      <c r="W46" s="46">
        <f>Rhuan!H23</f>
        <v>0</v>
      </c>
      <c r="X46" s="43">
        <f t="shared" si="11"/>
        <v>5000</v>
      </c>
      <c r="Y46" s="35">
        <f>Rhuan!U24</f>
        <v>0</v>
      </c>
      <c r="Z46" s="35">
        <f>Rhuan!AE24</f>
        <v>0</v>
      </c>
      <c r="AA46" s="36">
        <f>Rhuan!AN24</f>
        <v>0</v>
      </c>
    </row>
    <row r="47" spans="1:27" x14ac:dyDescent="0.25">
      <c r="A47" s="38" t="s">
        <v>36</v>
      </c>
      <c r="B47" s="46">
        <f>'Claudio Uliana'!H27</f>
        <v>0</v>
      </c>
      <c r="C47" s="43">
        <f t="shared" si="8"/>
        <v>5000</v>
      </c>
      <c r="D47" s="35">
        <f>'Claudio Uliana'!U28</f>
        <v>0</v>
      </c>
      <c r="E47" s="35">
        <f>'Claudio Uliana'!AE28</f>
        <v>0</v>
      </c>
      <c r="F47" s="36">
        <f>'Claudio Uliana'!AN28</f>
        <v>0</v>
      </c>
      <c r="H47" s="38" t="s">
        <v>36</v>
      </c>
      <c r="I47" s="46">
        <f>Fernando!H27</f>
        <v>0</v>
      </c>
      <c r="J47" s="43">
        <f t="shared" si="9"/>
        <v>5000</v>
      </c>
      <c r="K47" s="35">
        <f>Fernando!U28</f>
        <v>0</v>
      </c>
      <c r="L47" s="35">
        <f>Fernando!AE28</f>
        <v>0</v>
      </c>
      <c r="M47" s="36">
        <f>Fernando!AN28</f>
        <v>0</v>
      </c>
      <c r="O47" s="38" t="s">
        <v>36</v>
      </c>
      <c r="P47" s="46">
        <f>Gideoni!H31</f>
        <v>0</v>
      </c>
      <c r="Q47" s="43">
        <f t="shared" si="10"/>
        <v>5000</v>
      </c>
      <c r="R47" s="35">
        <f>Gideoni!U32</f>
        <v>0</v>
      </c>
      <c r="S47" s="35">
        <f>Gideoni!AE32</f>
        <v>0</v>
      </c>
      <c r="T47" s="36">
        <f>Gideoni!AN32</f>
        <v>0</v>
      </c>
      <c r="V47" s="38" t="s">
        <v>36</v>
      </c>
      <c r="W47" s="46">
        <f>Rhuan!H27</f>
        <v>-9010</v>
      </c>
      <c r="X47" s="43">
        <f t="shared" si="11"/>
        <v>14010</v>
      </c>
      <c r="Y47" s="35">
        <f>Rhuan!U28</f>
        <v>0</v>
      </c>
      <c r="Z47" s="35">
        <f>Rhuan!AE28</f>
        <v>0</v>
      </c>
      <c r="AA47" s="36">
        <f>Rhuan!AN28</f>
        <v>0</v>
      </c>
    </row>
    <row r="48" spans="1:27" x14ac:dyDescent="0.25">
      <c r="A48" s="38" t="s">
        <v>37</v>
      </c>
      <c r="B48" s="46">
        <f>'Claudio Uliana'!H31</f>
        <v>0</v>
      </c>
      <c r="C48" s="43">
        <f t="shared" si="8"/>
        <v>5000</v>
      </c>
      <c r="D48" s="35">
        <f>'Claudio Uliana'!U32</f>
        <v>0</v>
      </c>
      <c r="E48" s="35">
        <f>'Claudio Uliana'!AE32</f>
        <v>0</v>
      </c>
      <c r="F48" s="36">
        <f>'Claudio Uliana'!AN32</f>
        <v>0</v>
      </c>
      <c r="H48" s="38" t="s">
        <v>37</v>
      </c>
      <c r="I48" s="46">
        <f>Fernando!H31</f>
        <v>0</v>
      </c>
      <c r="J48" s="43">
        <f t="shared" si="9"/>
        <v>5000</v>
      </c>
      <c r="K48" s="35">
        <f>Fernando!U32</f>
        <v>0</v>
      </c>
      <c r="L48" s="35">
        <f>Fernando!AE32</f>
        <v>0</v>
      </c>
      <c r="M48" s="36">
        <f>Fernando!AN32</f>
        <v>0</v>
      </c>
      <c r="O48" s="38" t="s">
        <v>37</v>
      </c>
      <c r="P48" s="46">
        <f>Gideoni!H35</f>
        <v>0</v>
      </c>
      <c r="Q48" s="43">
        <f t="shared" si="10"/>
        <v>5000</v>
      </c>
      <c r="R48" s="35">
        <f>Gideoni!U36</f>
        <v>0</v>
      </c>
      <c r="S48" s="35">
        <f>Gideoni!AE36</f>
        <v>0</v>
      </c>
      <c r="T48" s="36">
        <f>Gideoni!AN36</f>
        <v>0</v>
      </c>
      <c r="V48" s="38" t="s">
        <v>37</v>
      </c>
      <c r="W48" s="46">
        <f>Rhuan!H31</f>
        <v>0</v>
      </c>
      <c r="X48" s="43">
        <f t="shared" si="11"/>
        <v>5000</v>
      </c>
      <c r="Y48" s="35">
        <f>Rhuan!U32</f>
        <v>0</v>
      </c>
      <c r="Z48" s="35">
        <f>Rhuan!AE32</f>
        <v>0</v>
      </c>
      <c r="AA48" s="36">
        <f>Rhuan!AN32</f>
        <v>0</v>
      </c>
    </row>
    <row r="49" spans="1:27" x14ac:dyDescent="0.25">
      <c r="A49" s="38" t="s">
        <v>38</v>
      </c>
      <c r="B49" s="46">
        <f>'Claudio Uliana'!H35</f>
        <v>0</v>
      </c>
      <c r="C49" s="43">
        <f t="shared" si="8"/>
        <v>5000</v>
      </c>
      <c r="D49" s="35">
        <f>'Claudio Uliana'!U36</f>
        <v>0</v>
      </c>
      <c r="E49" s="35">
        <f>'Claudio Uliana'!AE36</f>
        <v>0</v>
      </c>
      <c r="F49" s="36">
        <f>'Claudio Uliana'!AN36</f>
        <v>0</v>
      </c>
      <c r="H49" s="38" t="s">
        <v>38</v>
      </c>
      <c r="I49" s="46">
        <f>Fernando!H35</f>
        <v>0</v>
      </c>
      <c r="J49" s="43">
        <f t="shared" si="9"/>
        <v>5000</v>
      </c>
      <c r="K49" s="35">
        <f>Fernando!U36</f>
        <v>0</v>
      </c>
      <c r="L49" s="35">
        <f>Fernando!AE36</f>
        <v>0</v>
      </c>
      <c r="M49" s="36">
        <f>Fernando!AN36</f>
        <v>0</v>
      </c>
      <c r="O49" s="38" t="s">
        <v>38</v>
      </c>
      <c r="P49" s="46">
        <f>Gideoni!H39</f>
        <v>0</v>
      </c>
      <c r="Q49" s="43">
        <f t="shared" si="10"/>
        <v>5000</v>
      </c>
      <c r="R49" s="35">
        <f>Gideoni!U40</f>
        <v>0</v>
      </c>
      <c r="S49" s="35">
        <f>Gideoni!AE40</f>
        <v>0</v>
      </c>
      <c r="T49" s="36">
        <f>Gideoni!AN40</f>
        <v>0</v>
      </c>
      <c r="V49" s="38" t="s">
        <v>38</v>
      </c>
      <c r="W49" s="46">
        <f>Rhuan!H35</f>
        <v>0</v>
      </c>
      <c r="X49" s="43">
        <f t="shared" si="11"/>
        <v>5000</v>
      </c>
      <c r="Y49" s="35">
        <f>Rhuan!U36</f>
        <v>0</v>
      </c>
      <c r="Z49" s="35">
        <f>Rhuan!AE36</f>
        <v>0</v>
      </c>
      <c r="AA49" s="36">
        <f>Rhuan!AN36</f>
        <v>0</v>
      </c>
    </row>
    <row r="50" spans="1:27" x14ac:dyDescent="0.25">
      <c r="A50" s="38" t="s">
        <v>39</v>
      </c>
      <c r="B50" s="46">
        <f>'Claudio Uliana'!H39</f>
        <v>0</v>
      </c>
      <c r="C50" s="43">
        <f t="shared" si="8"/>
        <v>5000</v>
      </c>
      <c r="D50" s="35">
        <f>'Claudio Uliana'!U40</f>
        <v>0</v>
      </c>
      <c r="E50" s="35">
        <f>'Claudio Uliana'!AE40</f>
        <v>0</v>
      </c>
      <c r="F50" s="36">
        <f>'Claudio Uliana'!AN40</f>
        <v>0</v>
      </c>
      <c r="H50" s="38" t="s">
        <v>39</v>
      </c>
      <c r="I50" s="46">
        <f>Fernando!H39</f>
        <v>0</v>
      </c>
      <c r="J50" s="43">
        <f t="shared" si="9"/>
        <v>5000</v>
      </c>
      <c r="K50" s="35">
        <f>Fernando!U40</f>
        <v>0</v>
      </c>
      <c r="L50" s="35">
        <f>Fernando!AE40</f>
        <v>0</v>
      </c>
      <c r="M50" s="36">
        <f>Fernando!AN40</f>
        <v>0</v>
      </c>
      <c r="O50" s="38" t="s">
        <v>39</v>
      </c>
      <c r="P50" s="46">
        <f>Gideoni!H43</f>
        <v>0</v>
      </c>
      <c r="Q50" s="43">
        <f t="shared" si="10"/>
        <v>5000</v>
      </c>
      <c r="R50" s="35">
        <f>Gideoni!U44</f>
        <v>0</v>
      </c>
      <c r="S50" s="35">
        <f>Gideoni!AE44</f>
        <v>0</v>
      </c>
      <c r="T50" s="36">
        <f>Gideoni!AN44</f>
        <v>0</v>
      </c>
      <c r="V50" s="38" t="s">
        <v>39</v>
      </c>
      <c r="W50" s="46">
        <f>Rhuan!H39</f>
        <v>0</v>
      </c>
      <c r="X50" s="43">
        <f t="shared" si="11"/>
        <v>5000</v>
      </c>
      <c r="Y50" s="35">
        <f>Rhuan!U40</f>
        <v>0</v>
      </c>
      <c r="Z50" s="35">
        <f>Rhuan!AE40</f>
        <v>0</v>
      </c>
      <c r="AA50" s="36">
        <f>Rhuan!AN40</f>
        <v>0</v>
      </c>
    </row>
    <row r="51" spans="1:27" x14ac:dyDescent="0.25">
      <c r="A51" s="38" t="s">
        <v>40</v>
      </c>
      <c r="B51" s="46">
        <f>'Claudio Uliana'!H43</f>
        <v>0</v>
      </c>
      <c r="C51" s="43">
        <f t="shared" si="8"/>
        <v>5000</v>
      </c>
      <c r="D51" s="35">
        <f>'Claudio Uliana'!U44</f>
        <v>0</v>
      </c>
      <c r="E51" s="35">
        <f>'Claudio Uliana'!AE44</f>
        <v>0</v>
      </c>
      <c r="F51" s="36">
        <f>'Claudio Uliana'!AN44</f>
        <v>0</v>
      </c>
      <c r="H51" s="38" t="s">
        <v>40</v>
      </c>
      <c r="I51" s="46">
        <f>Fernando!H43</f>
        <v>0</v>
      </c>
      <c r="J51" s="43">
        <f t="shared" si="9"/>
        <v>5000</v>
      </c>
      <c r="K51" s="35">
        <f>Fernando!U44</f>
        <v>0</v>
      </c>
      <c r="L51" s="35">
        <f>Fernando!AE44</f>
        <v>0</v>
      </c>
      <c r="M51" s="36">
        <f>Fernando!AN44</f>
        <v>0</v>
      </c>
      <c r="O51" s="38" t="s">
        <v>40</v>
      </c>
      <c r="P51" s="46">
        <f>Gideoni!H47</f>
        <v>0</v>
      </c>
      <c r="Q51" s="43">
        <f t="shared" si="10"/>
        <v>5000</v>
      </c>
      <c r="R51" s="35">
        <f>Gideoni!U48</f>
        <v>0</v>
      </c>
      <c r="S51" s="35">
        <f>Gideoni!AE48</f>
        <v>0</v>
      </c>
      <c r="T51" s="36">
        <f>Gideoni!AN48</f>
        <v>0</v>
      </c>
      <c r="V51" s="38" t="s">
        <v>40</v>
      </c>
      <c r="W51" s="46">
        <f>Rhuan!H43</f>
        <v>0</v>
      </c>
      <c r="X51" s="43">
        <f t="shared" si="11"/>
        <v>5000</v>
      </c>
      <c r="Y51" s="35">
        <f>Rhuan!U44</f>
        <v>0</v>
      </c>
      <c r="Z51" s="35">
        <f>Rhuan!AE44</f>
        <v>0</v>
      </c>
      <c r="AA51" s="36">
        <f>Rhuan!AN44</f>
        <v>0</v>
      </c>
    </row>
    <row r="52" spans="1:27" x14ac:dyDescent="0.25">
      <c r="A52" s="38" t="s">
        <v>41</v>
      </c>
      <c r="B52" s="46">
        <f>'Claudio Uliana'!H47</f>
        <v>0</v>
      </c>
      <c r="C52" s="43">
        <f t="shared" si="8"/>
        <v>5000</v>
      </c>
      <c r="D52" s="35">
        <f>'Claudio Uliana'!U48</f>
        <v>0</v>
      </c>
      <c r="E52" s="35">
        <f>'Claudio Uliana'!AE48</f>
        <v>0</v>
      </c>
      <c r="F52" s="36">
        <f>'Claudio Uliana'!AN48</f>
        <v>0</v>
      </c>
      <c r="H52" s="38" t="s">
        <v>41</v>
      </c>
      <c r="I52" s="46">
        <f>Fernando!H47</f>
        <v>0</v>
      </c>
      <c r="J52" s="43">
        <f t="shared" si="9"/>
        <v>5000</v>
      </c>
      <c r="K52" s="35">
        <f>Fernando!U48</f>
        <v>0</v>
      </c>
      <c r="L52" s="35">
        <f>Fernando!AE48</f>
        <v>0</v>
      </c>
      <c r="M52" s="36">
        <f>Fernando!AN48</f>
        <v>0</v>
      </c>
      <c r="O52" s="38" t="s">
        <v>41</v>
      </c>
      <c r="P52" s="46">
        <f>Gideoni!H51</f>
        <v>0</v>
      </c>
      <c r="Q52" s="43">
        <f t="shared" si="10"/>
        <v>5000</v>
      </c>
      <c r="R52" s="35">
        <f>Gideoni!U52</f>
        <v>0</v>
      </c>
      <c r="S52" s="35">
        <f>Gideoni!AE52</f>
        <v>0</v>
      </c>
      <c r="T52" s="36">
        <f>Gideoni!AN52</f>
        <v>0</v>
      </c>
      <c r="V52" s="38" t="s">
        <v>41</v>
      </c>
      <c r="W52" s="46">
        <f>Rhuan!H47</f>
        <v>0</v>
      </c>
      <c r="X52" s="43">
        <f t="shared" si="11"/>
        <v>5000</v>
      </c>
      <c r="Y52" s="35">
        <f>Rhuan!U48</f>
        <v>0</v>
      </c>
      <c r="Z52" s="35">
        <f>Rhuan!AE48</f>
        <v>0</v>
      </c>
      <c r="AA52" s="36">
        <f>Rhuan!AN48</f>
        <v>0</v>
      </c>
    </row>
    <row r="53" spans="1:27" ht="15.75" thickBot="1" x14ac:dyDescent="0.3">
      <c r="A53" s="39" t="s">
        <v>42</v>
      </c>
      <c r="B53" s="47">
        <f>'Claudio Uliana'!H51</f>
        <v>0</v>
      </c>
      <c r="C53" s="44">
        <f t="shared" si="8"/>
        <v>5000</v>
      </c>
      <c r="D53" s="11">
        <f>'Claudio Uliana'!U52</f>
        <v>0</v>
      </c>
      <c r="E53" s="11">
        <f>'Claudio Uliana'!AE52</f>
        <v>0</v>
      </c>
      <c r="F53" s="12">
        <f>'Claudio Uliana'!AN52</f>
        <v>0</v>
      </c>
      <c r="H53" s="39" t="s">
        <v>42</v>
      </c>
      <c r="I53" s="47">
        <f>Fernando!H51</f>
        <v>0</v>
      </c>
      <c r="J53" s="44">
        <f t="shared" si="9"/>
        <v>5000</v>
      </c>
      <c r="K53" s="11">
        <f>Fernando!U52</f>
        <v>0</v>
      </c>
      <c r="L53" s="11">
        <f>Fernando!AE52</f>
        <v>0</v>
      </c>
      <c r="M53" s="12">
        <f>Fernando!AN52</f>
        <v>0</v>
      </c>
      <c r="O53" s="39" t="s">
        <v>42</v>
      </c>
      <c r="P53" s="47">
        <f>Gideoni!H55</f>
        <v>0</v>
      </c>
      <c r="Q53" s="44">
        <f t="shared" si="10"/>
        <v>5000</v>
      </c>
      <c r="R53" s="11">
        <f>Gideoni!U56</f>
        <v>0</v>
      </c>
      <c r="S53" s="11">
        <f>Gideoni!AE56</f>
        <v>0</v>
      </c>
      <c r="T53" s="12">
        <f>Gideoni!AN56</f>
        <v>0</v>
      </c>
      <c r="V53" s="39" t="s">
        <v>42</v>
      </c>
      <c r="W53" s="47">
        <f>Rhuan!H51</f>
        <v>0</v>
      </c>
      <c r="X53" s="44">
        <f t="shared" si="11"/>
        <v>5000</v>
      </c>
      <c r="Y53" s="11">
        <f>Rhuan!U52</f>
        <v>0</v>
      </c>
      <c r="Z53" s="11">
        <f>Rhuan!AE52</f>
        <v>0</v>
      </c>
      <c r="AA53" s="12">
        <f>Rhuan!AN52</f>
        <v>0</v>
      </c>
    </row>
    <row r="54" spans="1:27" ht="15.75" thickBot="1" x14ac:dyDescent="0.3"/>
    <row r="55" spans="1:27" ht="15.75" thickBot="1" x14ac:dyDescent="0.3">
      <c r="A55" s="3" t="s">
        <v>23</v>
      </c>
      <c r="B55" s="52">
        <f>SUM(B42:B53)</f>
        <v>9379</v>
      </c>
      <c r="C55" s="51"/>
      <c r="D55" s="50">
        <f>SUM(D42:D53)</f>
        <v>0</v>
      </c>
      <c r="E55" s="49">
        <f>SUM(E42:E53)</f>
        <v>0</v>
      </c>
      <c r="F55" s="48">
        <f>SUM(F42:F53)</f>
        <v>0</v>
      </c>
      <c r="H55" s="3" t="s">
        <v>23</v>
      </c>
      <c r="I55" s="52">
        <f>SUM(I42:I53)</f>
        <v>4043</v>
      </c>
      <c r="J55" s="51"/>
      <c r="K55" s="50">
        <f>SUM(K42:K53)</f>
        <v>0</v>
      </c>
      <c r="L55" s="49">
        <f>SUM(L42:L53)</f>
        <v>0</v>
      </c>
      <c r="M55" s="48">
        <f>SUM(M42:M53)</f>
        <v>0</v>
      </c>
      <c r="O55" s="3" t="s">
        <v>23</v>
      </c>
      <c r="P55" s="52">
        <f>SUM(P42:P53)</f>
        <v>309</v>
      </c>
      <c r="Q55" s="51"/>
      <c r="R55" s="50">
        <f>SUM(R42:R53)</f>
        <v>0</v>
      </c>
      <c r="S55" s="49">
        <f>SUM(S42:S53)</f>
        <v>0</v>
      </c>
      <c r="T55" s="48">
        <f>SUM(T42:T53)</f>
        <v>0</v>
      </c>
      <c r="V55" s="3" t="s">
        <v>23</v>
      </c>
      <c r="W55" s="52">
        <f>SUM(W42:W53)</f>
        <v>-9010</v>
      </c>
      <c r="X55" s="51"/>
      <c r="Y55" s="50">
        <f>SUM(Y42:Y53)</f>
        <v>0</v>
      </c>
      <c r="Z55" s="49">
        <f>SUM(Z42:Z53)</f>
        <v>0</v>
      </c>
      <c r="AA55" s="48">
        <f>SUM(AA42:AA53)</f>
        <v>0</v>
      </c>
    </row>
    <row r="56" spans="1:27" ht="15.75" thickBot="1" x14ac:dyDescent="0.3">
      <c r="A56" s="3" t="s">
        <v>44</v>
      </c>
      <c r="B56" s="23">
        <f>SUM(60000-B55)</f>
        <v>50621</v>
      </c>
      <c r="H56" s="3" t="s">
        <v>44</v>
      </c>
      <c r="I56" s="23">
        <f>SUM(60000-I55)</f>
        <v>55957</v>
      </c>
      <c r="O56" s="3" t="s">
        <v>44</v>
      </c>
      <c r="P56" s="23">
        <f>SUM(60000-P55)</f>
        <v>59691</v>
      </c>
      <c r="V56" s="3" t="s">
        <v>44</v>
      </c>
      <c r="W56" s="23">
        <f>SUM(60000-W55)</f>
        <v>69010</v>
      </c>
    </row>
    <row r="59" spans="1:27" ht="15.75" thickBot="1" x14ac:dyDescent="0.3">
      <c r="B59" s="83" t="s">
        <v>57</v>
      </c>
      <c r="C59" s="83"/>
      <c r="D59" s="83"/>
      <c r="E59" s="83"/>
      <c r="F59" s="83"/>
      <c r="I59" s="83" t="s">
        <v>58</v>
      </c>
      <c r="J59" s="83"/>
      <c r="K59" s="83"/>
      <c r="L59" s="83"/>
      <c r="M59" s="83"/>
      <c r="P59" s="83" t="s">
        <v>59</v>
      </c>
      <c r="Q59" s="83"/>
      <c r="R59" s="83"/>
      <c r="S59" s="83"/>
      <c r="T59" s="83"/>
      <c r="W59" s="83" t="s">
        <v>60</v>
      </c>
      <c r="X59" s="83"/>
      <c r="Y59" s="83"/>
      <c r="Z59" s="83"/>
      <c r="AA59" s="83"/>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3" t="s">
        <v>61</v>
      </c>
      <c r="C78" s="83"/>
      <c r="D78" s="83"/>
      <c r="E78" s="83"/>
      <c r="F78" s="83"/>
      <c r="I78" s="83" t="s">
        <v>62</v>
      </c>
      <c r="J78" s="83"/>
      <c r="K78" s="83"/>
      <c r="L78" s="83"/>
      <c r="M78" s="83"/>
      <c r="P78" s="83" t="s">
        <v>63</v>
      </c>
      <c r="Q78" s="83"/>
      <c r="R78" s="83"/>
      <c r="S78" s="83"/>
      <c r="T78" s="83"/>
      <c r="W78" s="83" t="s">
        <v>64</v>
      </c>
      <c r="X78" s="83"/>
      <c r="Y78" s="83"/>
      <c r="Z78" s="83"/>
      <c r="AA78" s="83"/>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3" t="s">
        <v>65</v>
      </c>
      <c r="C96" s="83"/>
      <c r="D96" s="83"/>
      <c r="E96" s="83"/>
      <c r="F96" s="83"/>
      <c r="I96" s="83" t="s">
        <v>66</v>
      </c>
      <c r="J96" s="83"/>
      <c r="K96" s="83"/>
      <c r="L96" s="83"/>
      <c r="M96" s="83"/>
      <c r="P96" s="83" t="s">
        <v>67</v>
      </c>
      <c r="Q96" s="83"/>
      <c r="R96" s="83"/>
      <c r="S96" s="83"/>
      <c r="T96" s="83"/>
      <c r="W96" s="83" t="s">
        <v>68</v>
      </c>
      <c r="X96" s="83"/>
      <c r="Y96" s="83"/>
      <c r="Z96" s="83"/>
      <c r="AA96" s="83"/>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3" t="s">
        <v>51</v>
      </c>
      <c r="C114" s="83"/>
      <c r="D114" s="83"/>
      <c r="E114" s="83"/>
      <c r="F114" s="83"/>
      <c r="I114" s="83" t="s">
        <v>50</v>
      </c>
      <c r="J114" s="83"/>
      <c r="K114" s="83"/>
      <c r="L114" s="83"/>
      <c r="M114" s="83"/>
      <c r="P114" s="83" t="s">
        <v>49</v>
      </c>
      <c r="Q114" s="83"/>
      <c r="R114" s="83"/>
      <c r="S114" s="83"/>
      <c r="T114" s="83"/>
      <c r="W114" s="83" t="s">
        <v>48</v>
      </c>
      <c r="X114" s="83"/>
      <c r="Y114" s="83"/>
      <c r="Z114" s="83"/>
      <c r="AA114" s="83"/>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3" t="s">
        <v>47</v>
      </c>
      <c r="C132" s="83"/>
      <c r="D132" s="83"/>
      <c r="E132" s="83"/>
      <c r="F132" s="83"/>
      <c r="I132" s="83" t="s">
        <v>46</v>
      </c>
      <c r="J132" s="83"/>
      <c r="K132" s="83"/>
      <c r="L132" s="83"/>
      <c r="M132" s="83"/>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2:F2"/>
    <mergeCell ref="I2:M2"/>
    <mergeCell ref="P2:T2"/>
    <mergeCell ref="W2:AA2"/>
    <mergeCell ref="B21:F21"/>
    <mergeCell ref="I21:M21"/>
    <mergeCell ref="P21:T21"/>
    <mergeCell ref="W21:AA21"/>
    <mergeCell ref="B40:F40"/>
    <mergeCell ref="I40:M40"/>
    <mergeCell ref="P40:T40"/>
    <mergeCell ref="W40:AA40"/>
    <mergeCell ref="B59:F59"/>
    <mergeCell ref="I59:M59"/>
    <mergeCell ref="P59:T59"/>
    <mergeCell ref="W59:AA59"/>
    <mergeCell ref="B78:F78"/>
    <mergeCell ref="I78:M78"/>
    <mergeCell ref="P78:T78"/>
    <mergeCell ref="W78:AA78"/>
    <mergeCell ref="B96:F96"/>
    <mergeCell ref="I96:M96"/>
    <mergeCell ref="P96:T96"/>
    <mergeCell ref="W96:AA96"/>
    <mergeCell ref="B114:F114"/>
    <mergeCell ref="I114:M114"/>
    <mergeCell ref="P114:T114"/>
    <mergeCell ref="W114:AA114"/>
    <mergeCell ref="B132:F132"/>
    <mergeCell ref="I132:M132"/>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I24" sqref="I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t="s">
        <v>93</v>
      </c>
      <c r="C2" s="84"/>
      <c r="D2" s="1" t="s">
        <v>1</v>
      </c>
      <c r="E2" s="84" t="s">
        <v>100</v>
      </c>
      <c r="F2" s="84"/>
      <c r="H2" t="s">
        <v>83</v>
      </c>
      <c r="I2" s="69">
        <v>4500</v>
      </c>
    </row>
    <row r="3" spans="1:40" x14ac:dyDescent="0.25">
      <c r="A3" t="s">
        <v>80</v>
      </c>
      <c r="B3" s="84"/>
      <c r="C3" s="84"/>
      <c r="D3" s="1" t="s">
        <v>1</v>
      </c>
      <c r="E3" s="84"/>
      <c r="F3" s="84"/>
      <c r="H3" t="s">
        <v>81</v>
      </c>
      <c r="I3" s="70"/>
    </row>
    <row r="4" spans="1:40" x14ac:dyDescent="0.25">
      <c r="A4" t="s">
        <v>2</v>
      </c>
      <c r="B4" s="85">
        <v>4144</v>
      </c>
      <c r="C4" s="85"/>
      <c r="D4" s="1" t="s">
        <v>29</v>
      </c>
      <c r="E4" s="84" t="s">
        <v>102</v>
      </c>
      <c r="F4" s="84"/>
      <c r="H4" t="s">
        <v>101</v>
      </c>
      <c r="I4" s="71">
        <v>46102</v>
      </c>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v>12506</v>
      </c>
      <c r="E15" s="27">
        <v>14081</v>
      </c>
      <c r="F15" s="27">
        <f>SUM(C15-B15)</f>
        <v>0</v>
      </c>
      <c r="G15" s="20">
        <f>SUM(E15-D15)</f>
        <v>1575</v>
      </c>
      <c r="H15" s="21">
        <f>SUM(F15:G15)</f>
        <v>1575</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v>14081</v>
      </c>
      <c r="C19" s="27"/>
      <c r="D19" s="27"/>
      <c r="E19" s="27">
        <v>18127</v>
      </c>
      <c r="F19" s="27">
        <f>SUM(C19-B19)</f>
        <v>-14081</v>
      </c>
      <c r="G19" s="20">
        <f>SUM(E19-D19)</f>
        <v>18127</v>
      </c>
      <c r="H19" s="21">
        <f>SUM(F19:G19)</f>
        <v>4046</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7">
        <v>18127</v>
      </c>
      <c r="C23" s="27"/>
      <c r="D23" s="27"/>
      <c r="E23" s="27">
        <v>21885</v>
      </c>
      <c r="F23" s="27">
        <f>SUM(C23-B23)</f>
        <v>-18127</v>
      </c>
      <c r="G23" s="20">
        <f>SUM(E23-D23)</f>
        <v>21885</v>
      </c>
      <c r="H23" s="21">
        <f>SUM(F23:G23)</f>
        <v>3758</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84"/>
  <sheetViews>
    <sheetView showGridLines="0" topLeftCell="A52" workbookViewId="0">
      <selection activeCell="I75" sqref="I7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6" width="10.42578125" bestFit="1" customWidth="1"/>
    <col min="21" max="21" width="12.140625" bestFit="1" customWidth="1"/>
    <col min="24" max="25" width="10.42578125" bestFit="1" customWidth="1"/>
    <col min="34" max="36" width="10.140625" bestFit="1" customWidth="1"/>
  </cols>
  <sheetData>
    <row r="2" spans="1:37" x14ac:dyDescent="0.25">
      <c r="A2" t="s">
        <v>0</v>
      </c>
      <c r="B2" s="84" t="s">
        <v>87</v>
      </c>
      <c r="C2" s="84"/>
      <c r="D2" s="1" t="s">
        <v>1</v>
      </c>
      <c r="E2" s="84" t="s">
        <v>91</v>
      </c>
      <c r="F2" s="84"/>
      <c r="H2" t="s">
        <v>83</v>
      </c>
      <c r="I2" s="69">
        <v>3000</v>
      </c>
    </row>
    <row r="3" spans="1:37" x14ac:dyDescent="0.25">
      <c r="A3" t="s">
        <v>80</v>
      </c>
      <c r="B3" s="84"/>
      <c r="C3" s="84"/>
      <c r="D3" s="1" t="s">
        <v>1</v>
      </c>
      <c r="E3" s="84"/>
      <c r="F3" s="84"/>
      <c r="H3" t="s">
        <v>81</v>
      </c>
      <c r="I3" s="54"/>
    </row>
    <row r="4" spans="1:37" x14ac:dyDescent="0.25">
      <c r="A4" t="s">
        <v>2</v>
      </c>
      <c r="B4" s="85">
        <v>3837</v>
      </c>
      <c r="C4" s="85"/>
      <c r="D4" s="1" t="s">
        <v>29</v>
      </c>
      <c r="E4" s="91">
        <v>45</v>
      </c>
      <c r="F4" s="91"/>
      <c r="H4" t="s">
        <v>70</v>
      </c>
      <c r="I4" s="71">
        <v>45967</v>
      </c>
    </row>
    <row r="7" spans="1:37" ht="21" x14ac:dyDescent="0.35">
      <c r="A7" s="86" t="s">
        <v>28</v>
      </c>
      <c r="B7" s="86"/>
      <c r="C7" s="86"/>
      <c r="D7" s="86"/>
      <c r="E7" s="86"/>
      <c r="F7" s="86"/>
      <c r="G7" s="86"/>
      <c r="H7" s="86"/>
      <c r="J7" s="83" t="s">
        <v>26</v>
      </c>
      <c r="K7" s="83"/>
      <c r="L7" s="83"/>
      <c r="M7" s="83"/>
      <c r="N7" s="83"/>
      <c r="O7" s="83"/>
      <c r="P7" s="83"/>
      <c r="Q7" s="83"/>
      <c r="R7" s="83"/>
      <c r="S7" s="83"/>
      <c r="T7" s="83"/>
      <c r="U7" s="83"/>
      <c r="V7" s="2"/>
      <c r="W7" s="82" t="s">
        <v>25</v>
      </c>
      <c r="X7" s="82"/>
      <c r="Y7" s="82"/>
      <c r="Z7" s="82"/>
      <c r="AA7" s="82"/>
      <c r="AB7" s="82"/>
      <c r="AC7" s="82"/>
      <c r="AD7" s="2"/>
      <c r="AE7" s="82" t="s">
        <v>27</v>
      </c>
      <c r="AF7" s="82"/>
      <c r="AG7" s="82"/>
      <c r="AH7" s="82"/>
      <c r="AI7" s="82"/>
      <c r="AJ7" s="82"/>
      <c r="AK7" s="82"/>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8" t="s">
        <v>3</v>
      </c>
      <c r="C9" s="78"/>
      <c r="D9" s="78"/>
      <c r="E9" s="78"/>
      <c r="F9" s="78"/>
      <c r="G9" s="78"/>
      <c r="H9" s="78"/>
      <c r="J9" s="79" t="s">
        <v>3</v>
      </c>
      <c r="K9" s="79"/>
      <c r="L9" s="79"/>
      <c r="M9" s="79"/>
      <c r="N9" s="79"/>
      <c r="O9" s="79"/>
      <c r="P9" s="79"/>
      <c r="Q9" s="79"/>
      <c r="R9" s="79"/>
      <c r="S9" s="79"/>
      <c r="T9" s="79"/>
      <c r="U9" s="79"/>
      <c r="W9" s="80" t="s">
        <v>3</v>
      </c>
      <c r="X9" s="80"/>
      <c r="Y9" s="80"/>
      <c r="Z9" s="80"/>
      <c r="AA9" s="80"/>
      <c r="AB9" s="80"/>
      <c r="AC9" s="80"/>
      <c r="AE9" s="81" t="s">
        <v>3</v>
      </c>
      <c r="AF9" s="81"/>
      <c r="AG9" s="81"/>
      <c r="AH9" s="81"/>
      <c r="AI9" s="81"/>
      <c r="AJ9" s="81"/>
      <c r="AK9" s="81"/>
    </row>
    <row r="10" spans="1:37"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8" t="s">
        <v>13</v>
      </c>
      <c r="C13" s="78"/>
      <c r="D13" s="78"/>
      <c r="E13" s="78"/>
      <c r="F13" s="78"/>
      <c r="G13" s="78"/>
      <c r="H13" s="78"/>
      <c r="J13" s="79" t="s">
        <v>13</v>
      </c>
      <c r="K13" s="79"/>
      <c r="L13" s="79"/>
      <c r="M13" s="79"/>
      <c r="N13" s="79"/>
      <c r="O13" s="79"/>
      <c r="P13" s="79"/>
      <c r="Q13" s="79"/>
      <c r="R13" s="79"/>
      <c r="S13" s="79"/>
      <c r="T13" s="79"/>
      <c r="U13" s="79"/>
      <c r="W13" s="80" t="str">
        <f>J13</f>
        <v>Março</v>
      </c>
      <c r="X13" s="80"/>
      <c r="Y13" s="80"/>
      <c r="Z13" s="80"/>
      <c r="AA13" s="80"/>
      <c r="AB13" s="80"/>
      <c r="AC13" s="80"/>
      <c r="AE13" s="81" t="str">
        <f>W13</f>
        <v>Março</v>
      </c>
      <c r="AF13" s="81"/>
      <c r="AG13" s="81"/>
      <c r="AH13" s="81"/>
      <c r="AI13" s="81"/>
      <c r="AJ13" s="81"/>
      <c r="AK13" s="81"/>
    </row>
    <row r="14" spans="1:37" ht="15.75" thickBot="1" x14ac:dyDescent="0.3">
      <c r="A14" s="77"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8" t="s">
        <v>14</v>
      </c>
      <c r="C17" s="78"/>
      <c r="D17" s="78"/>
      <c r="E17" s="78"/>
      <c r="F17" s="78"/>
      <c r="G17" s="78"/>
      <c r="H17" s="78"/>
      <c r="J17" s="79" t="s">
        <v>14</v>
      </c>
      <c r="K17" s="79"/>
      <c r="L17" s="79"/>
      <c r="M17" s="79"/>
      <c r="N17" s="79"/>
      <c r="O17" s="79"/>
      <c r="P17" s="79"/>
      <c r="Q17" s="79"/>
      <c r="R17" s="79"/>
      <c r="S17" s="79"/>
      <c r="T17" s="79"/>
      <c r="U17" s="79"/>
      <c r="W17" s="80" t="str">
        <f>J17</f>
        <v>Abril</v>
      </c>
      <c r="X17" s="80"/>
      <c r="Y17" s="80"/>
      <c r="Z17" s="80"/>
      <c r="AA17" s="80"/>
      <c r="AB17" s="80"/>
      <c r="AC17" s="80"/>
      <c r="AE17" s="81" t="str">
        <f>W17</f>
        <v>Abril</v>
      </c>
      <c r="AF17" s="81"/>
      <c r="AG17" s="81"/>
      <c r="AH17" s="81"/>
      <c r="AI17" s="81"/>
      <c r="AJ17" s="81"/>
      <c r="AK17" s="81"/>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8" t="s">
        <v>15</v>
      </c>
      <c r="C21" s="78"/>
      <c r="D21" s="78"/>
      <c r="E21" s="78"/>
      <c r="F21" s="78"/>
      <c r="G21" s="78"/>
      <c r="H21" s="78"/>
      <c r="J21" s="79" t="s">
        <v>15</v>
      </c>
      <c r="K21" s="79"/>
      <c r="L21" s="79"/>
      <c r="M21" s="79"/>
      <c r="N21" s="79"/>
      <c r="O21" s="79"/>
      <c r="P21" s="79"/>
      <c r="Q21" s="79"/>
      <c r="R21" s="79"/>
      <c r="S21" s="79"/>
      <c r="T21" s="79"/>
      <c r="U21" s="79"/>
      <c r="W21" s="80" t="str">
        <f>J21</f>
        <v>Maio</v>
      </c>
      <c r="X21" s="80"/>
      <c r="Y21" s="80"/>
      <c r="Z21" s="80"/>
      <c r="AA21" s="80"/>
      <c r="AB21" s="80"/>
      <c r="AC21" s="80"/>
      <c r="AE21" s="81" t="str">
        <f>W21</f>
        <v>Maio</v>
      </c>
      <c r="AF21" s="81"/>
      <c r="AG21" s="81"/>
      <c r="AH21" s="81"/>
      <c r="AI21" s="81"/>
      <c r="AJ21" s="81"/>
      <c r="AK21" s="81"/>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8" t="s">
        <v>24</v>
      </c>
      <c r="C25" s="78"/>
      <c r="D25" s="78"/>
      <c r="E25" s="78"/>
      <c r="F25" s="78"/>
      <c r="G25" s="78"/>
      <c r="H25" s="78"/>
      <c r="J25" s="79" t="s">
        <v>24</v>
      </c>
      <c r="K25" s="79"/>
      <c r="L25" s="79"/>
      <c r="M25" s="79"/>
      <c r="N25" s="79"/>
      <c r="O25" s="79"/>
      <c r="P25" s="79"/>
      <c r="Q25" s="79"/>
      <c r="R25" s="79"/>
      <c r="S25" s="79"/>
      <c r="T25" s="79"/>
      <c r="U25" s="79"/>
      <c r="W25" s="80" t="str">
        <f>J25</f>
        <v>Junho</v>
      </c>
      <c r="X25" s="80"/>
      <c r="Y25" s="80"/>
      <c r="Z25" s="80"/>
      <c r="AA25" s="80"/>
      <c r="AB25" s="80"/>
      <c r="AC25" s="80"/>
      <c r="AE25" s="81" t="str">
        <f>W25</f>
        <v>Junho</v>
      </c>
      <c r="AF25" s="81"/>
      <c r="AG25" s="81"/>
      <c r="AH25" s="81"/>
      <c r="AI25" s="81"/>
      <c r="AJ25" s="81"/>
      <c r="AK25" s="81"/>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8" t="s">
        <v>16</v>
      </c>
      <c r="C29" s="78"/>
      <c r="D29" s="78"/>
      <c r="E29" s="78"/>
      <c r="F29" s="78"/>
      <c r="G29" s="78"/>
      <c r="H29" s="78"/>
      <c r="J29" s="79" t="s">
        <v>16</v>
      </c>
      <c r="K29" s="79"/>
      <c r="L29" s="79"/>
      <c r="M29" s="79"/>
      <c r="N29" s="79"/>
      <c r="O29" s="79"/>
      <c r="P29" s="79"/>
      <c r="Q29" s="79"/>
      <c r="R29" s="79"/>
      <c r="S29" s="79"/>
      <c r="T29" s="79"/>
      <c r="U29" s="79"/>
      <c r="W29" s="80" t="str">
        <f>J29</f>
        <v>Julho</v>
      </c>
      <c r="X29" s="80"/>
      <c r="Y29" s="80"/>
      <c r="Z29" s="80"/>
      <c r="AA29" s="80"/>
      <c r="AB29" s="80"/>
      <c r="AC29" s="80"/>
      <c r="AE29" s="81" t="str">
        <f>W29</f>
        <v>Julho</v>
      </c>
      <c r="AF29" s="81"/>
      <c r="AG29" s="81"/>
      <c r="AH29" s="81"/>
      <c r="AI29" s="81"/>
      <c r="AJ29" s="81"/>
      <c r="AK29" s="81"/>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8" t="s">
        <v>17</v>
      </c>
      <c r="C33" s="78"/>
      <c r="D33" s="78"/>
      <c r="E33" s="78"/>
      <c r="F33" s="78"/>
      <c r="G33" s="78"/>
      <c r="H33" s="78"/>
      <c r="J33" s="79" t="s">
        <v>17</v>
      </c>
      <c r="K33" s="79"/>
      <c r="L33" s="79"/>
      <c r="M33" s="79"/>
      <c r="N33" s="79"/>
      <c r="O33" s="79"/>
      <c r="P33" s="79"/>
      <c r="Q33" s="79"/>
      <c r="R33" s="79"/>
      <c r="S33" s="79"/>
      <c r="T33" s="79"/>
      <c r="U33" s="79"/>
      <c r="W33" s="80" t="str">
        <f>J33</f>
        <v>Agosto</v>
      </c>
      <c r="X33" s="80"/>
      <c r="Y33" s="80"/>
      <c r="Z33" s="80"/>
      <c r="AA33" s="80"/>
      <c r="AB33" s="80"/>
      <c r="AC33" s="80"/>
      <c r="AE33" s="81" t="str">
        <f>W33</f>
        <v>Agosto</v>
      </c>
      <c r="AF33" s="81"/>
      <c r="AG33" s="81"/>
      <c r="AH33" s="81"/>
      <c r="AI33" s="81"/>
      <c r="AJ33" s="81"/>
      <c r="AK33" s="81"/>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8" t="s">
        <v>18</v>
      </c>
      <c r="C37" s="78"/>
      <c r="D37" s="78"/>
      <c r="E37" s="78"/>
      <c r="F37" s="78"/>
      <c r="G37" s="78"/>
      <c r="H37" s="78"/>
      <c r="J37" s="79" t="s">
        <v>18</v>
      </c>
      <c r="K37" s="79"/>
      <c r="L37" s="79"/>
      <c r="M37" s="79"/>
      <c r="N37" s="79"/>
      <c r="O37" s="79"/>
      <c r="P37" s="79"/>
      <c r="Q37" s="79"/>
      <c r="R37" s="79"/>
      <c r="S37" s="79"/>
      <c r="T37" s="79"/>
      <c r="U37" s="79"/>
      <c r="W37" s="80" t="str">
        <f>J37</f>
        <v>Setembro</v>
      </c>
      <c r="X37" s="80"/>
      <c r="Y37" s="80"/>
      <c r="Z37" s="80"/>
      <c r="AA37" s="80"/>
      <c r="AB37" s="80"/>
      <c r="AC37" s="80"/>
      <c r="AE37" s="81" t="str">
        <f>W37</f>
        <v>Setembro</v>
      </c>
      <c r="AF37" s="81"/>
      <c r="AG37" s="81"/>
      <c r="AH37" s="81"/>
      <c r="AI37" s="81"/>
      <c r="AJ37" s="81"/>
      <c r="AK37" s="81"/>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8" t="s">
        <v>19</v>
      </c>
      <c r="C41" s="78"/>
      <c r="D41" s="78"/>
      <c r="E41" s="78"/>
      <c r="F41" s="78"/>
      <c r="G41" s="78"/>
      <c r="H41" s="78"/>
      <c r="J41" s="79" t="s">
        <v>19</v>
      </c>
      <c r="K41" s="79"/>
      <c r="L41" s="79"/>
      <c r="M41" s="79"/>
      <c r="N41" s="79"/>
      <c r="O41" s="79"/>
      <c r="P41" s="79"/>
      <c r="Q41" s="79"/>
      <c r="R41" s="79"/>
      <c r="S41" s="79"/>
      <c r="T41" s="79"/>
      <c r="U41" s="79"/>
      <c r="W41" s="80" t="str">
        <f>J41</f>
        <v>Outubro</v>
      </c>
      <c r="X41" s="80"/>
      <c r="Y41" s="80"/>
      <c r="Z41" s="80"/>
      <c r="AA41" s="80"/>
      <c r="AB41" s="80"/>
      <c r="AC41" s="80"/>
      <c r="AE41" s="81" t="str">
        <f>W41</f>
        <v>Outubro</v>
      </c>
      <c r="AF41" s="81"/>
      <c r="AG41" s="81"/>
      <c r="AH41" s="81"/>
      <c r="AI41" s="81"/>
      <c r="AJ41" s="81"/>
      <c r="AK41" s="81"/>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8" t="s">
        <v>20</v>
      </c>
      <c r="C45" s="78"/>
      <c r="D45" s="78"/>
      <c r="E45" s="78"/>
      <c r="F45" s="78"/>
      <c r="G45" s="78"/>
      <c r="H45" s="78"/>
      <c r="J45" s="79" t="s">
        <v>20</v>
      </c>
      <c r="K45" s="79"/>
      <c r="L45" s="79"/>
      <c r="M45" s="79"/>
      <c r="N45" s="79"/>
      <c r="O45" s="79"/>
      <c r="P45" s="79"/>
      <c r="Q45" s="79"/>
      <c r="R45" s="79"/>
      <c r="S45" s="79"/>
      <c r="T45" s="79"/>
      <c r="U45" s="79"/>
      <c r="W45" s="80" t="str">
        <f>J45</f>
        <v>Novembro</v>
      </c>
      <c r="X45" s="80"/>
      <c r="Y45" s="80"/>
      <c r="Z45" s="80"/>
      <c r="AA45" s="80"/>
      <c r="AB45" s="80"/>
      <c r="AC45" s="80"/>
      <c r="AE45" s="81" t="str">
        <f>W45</f>
        <v>Novembro</v>
      </c>
      <c r="AF45" s="81"/>
      <c r="AG45" s="81"/>
      <c r="AH45" s="81"/>
      <c r="AI45" s="81"/>
      <c r="AJ45" s="81"/>
      <c r="AK45" s="81"/>
    </row>
    <row r="46" spans="1:37" ht="15.75" thickBot="1" x14ac:dyDescent="0.3">
      <c r="A46" s="77" t="s">
        <v>5</v>
      </c>
      <c r="B46" s="34" t="s">
        <v>6</v>
      </c>
      <c r="C46" s="22" t="s">
        <v>7</v>
      </c>
      <c r="D46" s="33" t="s">
        <v>8</v>
      </c>
      <c r="E46" s="22" t="s">
        <v>9</v>
      </c>
      <c r="F46" s="24" t="s">
        <v>10</v>
      </c>
      <c r="G46" s="23" t="s">
        <v>11</v>
      </c>
      <c r="H46" s="25" t="s">
        <v>12</v>
      </c>
      <c r="J46" s="6" t="s">
        <v>4</v>
      </c>
      <c r="K46" s="9">
        <v>45972</v>
      </c>
      <c r="L46" s="66">
        <v>45976</v>
      </c>
      <c r="M46" s="66">
        <v>45979</v>
      </c>
      <c r="N46" s="66">
        <v>45982</v>
      </c>
      <c r="O46" s="66">
        <v>45988</v>
      </c>
      <c r="P46" s="4"/>
      <c r="Q46" s="4"/>
      <c r="R46" s="4"/>
      <c r="S46" s="4"/>
      <c r="T46" s="4"/>
      <c r="U46" s="5"/>
      <c r="W46" s="6" t="s">
        <v>4</v>
      </c>
      <c r="X46" s="9">
        <v>45990</v>
      </c>
      <c r="Y46" s="4"/>
      <c r="Z46" s="4"/>
      <c r="AA46" s="4"/>
      <c r="AB46" s="4"/>
      <c r="AC46" s="5"/>
      <c r="AE46" s="6" t="s">
        <v>4</v>
      </c>
      <c r="AF46" s="9"/>
      <c r="AG46" s="4"/>
      <c r="AH46" s="4"/>
      <c r="AI46" s="4"/>
      <c r="AJ46" s="4"/>
      <c r="AK46" s="5"/>
    </row>
    <row r="47" spans="1:37" ht="15.75" thickBot="1" x14ac:dyDescent="0.3">
      <c r="A47" s="77"/>
      <c r="B47" s="26">
        <v>10549</v>
      </c>
      <c r="C47" s="27">
        <v>11544</v>
      </c>
      <c r="D47" s="27">
        <v>11544</v>
      </c>
      <c r="E47" s="27">
        <v>12016</v>
      </c>
      <c r="F47" s="27">
        <f>SUM(C47-B47)</f>
        <v>995</v>
      </c>
      <c r="G47" s="20">
        <f>SUM(E47-D47)</f>
        <v>472</v>
      </c>
      <c r="H47" s="21">
        <f>SUM(F47:G47)</f>
        <v>1467</v>
      </c>
      <c r="J47" s="7" t="s">
        <v>22</v>
      </c>
      <c r="K47" s="10">
        <v>225.17</v>
      </c>
      <c r="L47" s="11">
        <v>226.25</v>
      </c>
      <c r="M47" s="11">
        <v>179.7</v>
      </c>
      <c r="N47" s="11">
        <v>218.29</v>
      </c>
      <c r="O47" s="11">
        <v>227.11</v>
      </c>
      <c r="P47" s="11"/>
      <c r="Q47" s="11"/>
      <c r="R47" s="11"/>
      <c r="S47" s="11"/>
      <c r="T47" s="11"/>
      <c r="U47" s="12"/>
      <c r="W47" s="7" t="s">
        <v>22</v>
      </c>
      <c r="X47" s="10">
        <v>50</v>
      </c>
      <c r="Y47" s="11"/>
      <c r="Z47" s="11"/>
      <c r="AA47" s="11"/>
      <c r="AB47" s="11"/>
      <c r="AC47" s="12"/>
      <c r="AE47" s="7" t="s">
        <v>22</v>
      </c>
      <c r="AF47" s="10"/>
      <c r="AG47" s="11"/>
      <c r="AH47" s="11"/>
      <c r="AI47" s="11"/>
      <c r="AJ47" s="11"/>
      <c r="AK47" s="12"/>
    </row>
    <row r="48" spans="1:37" x14ac:dyDescent="0.25">
      <c r="J48" s="8"/>
      <c r="T48" s="8" t="s">
        <v>23</v>
      </c>
      <c r="U48" s="13">
        <f>SUM(K47:U47)</f>
        <v>1076.52</v>
      </c>
      <c r="AB48" s="8" t="s">
        <v>23</v>
      </c>
      <c r="AC48" s="13">
        <f>SUM(X47:AC47)</f>
        <v>50</v>
      </c>
      <c r="AJ48" s="8" t="s">
        <v>23</v>
      </c>
      <c r="AK48" s="13">
        <f>SUM(AF47:AK47)</f>
        <v>0</v>
      </c>
    </row>
    <row r="49" spans="1:37" ht="15.75" thickBot="1" x14ac:dyDescent="0.3">
      <c r="A49" s="19"/>
      <c r="B49" s="78" t="s">
        <v>21</v>
      </c>
      <c r="C49" s="78"/>
      <c r="D49" s="78"/>
      <c r="E49" s="78"/>
      <c r="F49" s="78"/>
      <c r="G49" s="78"/>
      <c r="H49" s="78"/>
      <c r="J49" s="79" t="s">
        <v>21</v>
      </c>
      <c r="K49" s="79"/>
      <c r="L49" s="79"/>
      <c r="M49" s="79"/>
      <c r="N49" s="79"/>
      <c r="O49" s="79"/>
      <c r="P49" s="79"/>
      <c r="Q49" s="79"/>
      <c r="R49" s="79"/>
      <c r="S49" s="79"/>
      <c r="T49" s="79"/>
      <c r="U49" s="79"/>
      <c r="W49" s="80" t="str">
        <f>J49</f>
        <v>Dezembro</v>
      </c>
      <c r="X49" s="80"/>
      <c r="Y49" s="80"/>
      <c r="Z49" s="80"/>
      <c r="AA49" s="80"/>
      <c r="AB49" s="80"/>
      <c r="AC49" s="80"/>
      <c r="AE49" s="81" t="str">
        <f>W49</f>
        <v>Dezembro</v>
      </c>
      <c r="AF49" s="81"/>
      <c r="AG49" s="81"/>
      <c r="AH49" s="81"/>
      <c r="AI49" s="81"/>
      <c r="AJ49" s="81"/>
      <c r="AK49" s="81"/>
    </row>
    <row r="50" spans="1:37" ht="15.75" thickBot="1" x14ac:dyDescent="0.3">
      <c r="A50" s="77" t="s">
        <v>5</v>
      </c>
      <c r="B50" s="34" t="s">
        <v>6</v>
      </c>
      <c r="C50" s="22" t="s">
        <v>7</v>
      </c>
      <c r="D50" s="33" t="s">
        <v>8</v>
      </c>
      <c r="E50" s="22" t="s">
        <v>9</v>
      </c>
      <c r="F50" s="24" t="s">
        <v>10</v>
      </c>
      <c r="G50" s="23" t="s">
        <v>11</v>
      </c>
      <c r="H50" s="25" t="s">
        <v>12</v>
      </c>
      <c r="J50" s="6" t="s">
        <v>4</v>
      </c>
      <c r="K50" s="9">
        <v>45994</v>
      </c>
      <c r="L50" s="66">
        <v>45997</v>
      </c>
      <c r="M50" s="66">
        <v>46003</v>
      </c>
      <c r="N50" s="74">
        <v>46374</v>
      </c>
      <c r="O50" s="4"/>
      <c r="P50" s="4"/>
      <c r="Q50" s="4"/>
      <c r="R50" s="4"/>
      <c r="S50" s="4"/>
      <c r="T50" s="4"/>
      <c r="U50" s="5"/>
      <c r="W50" s="6" t="s">
        <v>4</v>
      </c>
      <c r="X50" s="9">
        <v>46004</v>
      </c>
      <c r="Y50" s="4"/>
      <c r="Z50" s="4"/>
      <c r="AA50" s="4"/>
      <c r="AB50" s="4"/>
      <c r="AC50" s="5"/>
      <c r="AE50" s="6" t="s">
        <v>4</v>
      </c>
      <c r="AF50" s="9"/>
      <c r="AG50" s="4"/>
      <c r="AH50" s="4"/>
      <c r="AI50" s="4"/>
      <c r="AJ50" s="4"/>
      <c r="AK50" s="5"/>
    </row>
    <row r="51" spans="1:37" ht="15.75" thickBot="1" x14ac:dyDescent="0.3">
      <c r="A51" s="77"/>
      <c r="B51" s="27">
        <v>12016</v>
      </c>
      <c r="C51" s="27">
        <v>12727</v>
      </c>
      <c r="D51" s="27">
        <v>12727</v>
      </c>
      <c r="E51" s="27">
        <v>13094</v>
      </c>
      <c r="F51" s="27">
        <f>SUM(C51-B51)</f>
        <v>711</v>
      </c>
      <c r="G51" s="20">
        <f>SUM(E51-D51)</f>
        <v>367</v>
      </c>
      <c r="H51" s="21">
        <f>SUM(F51:G51)</f>
        <v>1078</v>
      </c>
      <c r="J51" s="7" t="s">
        <v>22</v>
      </c>
      <c r="K51" s="10">
        <v>180</v>
      </c>
      <c r="L51" s="11">
        <v>187.98</v>
      </c>
      <c r="M51" s="11">
        <v>223.58</v>
      </c>
      <c r="N51" s="11">
        <v>207.16</v>
      </c>
      <c r="O51" s="11"/>
      <c r="P51" s="11"/>
      <c r="Q51" s="11"/>
      <c r="R51" s="11"/>
      <c r="S51" s="11"/>
      <c r="T51" s="11"/>
      <c r="U51" s="12"/>
      <c r="W51" s="7" t="s">
        <v>22</v>
      </c>
      <c r="X51" s="10">
        <v>50</v>
      </c>
      <c r="Y51" s="11"/>
      <c r="Z51" s="11"/>
      <c r="AA51" s="11"/>
      <c r="AB51" s="11"/>
      <c r="AC51" s="12"/>
      <c r="AE51" s="7" t="s">
        <v>22</v>
      </c>
      <c r="AF51" s="10"/>
      <c r="AG51" s="11"/>
      <c r="AH51" s="11"/>
      <c r="AI51" s="11"/>
      <c r="AJ51" s="11"/>
      <c r="AK51" s="12"/>
    </row>
    <row r="52" spans="1:37" x14ac:dyDescent="0.25">
      <c r="J52" s="8"/>
      <c r="T52" s="8" t="s">
        <v>23</v>
      </c>
      <c r="U52" s="13">
        <f>SUM(K51:U51)</f>
        <v>798.72</v>
      </c>
      <c r="AB52" s="8" t="s">
        <v>23</v>
      </c>
      <c r="AC52" s="13">
        <f>SUM(X51:AC51)</f>
        <v>50</v>
      </c>
      <c r="AJ52" s="8" t="s">
        <v>23</v>
      </c>
      <c r="AK52" s="13">
        <f>SUM(AF51:AK51)</f>
        <v>0</v>
      </c>
    </row>
    <row r="53" spans="1:37"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7" ht="15.75" thickBot="1" x14ac:dyDescent="0.3">
      <c r="A54" s="77" t="s">
        <v>5</v>
      </c>
      <c r="B54" s="34" t="s">
        <v>6</v>
      </c>
      <c r="C54" s="22" t="s">
        <v>7</v>
      </c>
      <c r="D54" s="33" t="s">
        <v>8</v>
      </c>
      <c r="E54" s="22" t="s">
        <v>9</v>
      </c>
      <c r="F54" s="24" t="s">
        <v>10</v>
      </c>
      <c r="G54" s="23" t="s">
        <v>11</v>
      </c>
      <c r="H54" s="25" t="s">
        <v>12</v>
      </c>
      <c r="J54" s="28" t="s">
        <v>4</v>
      </c>
      <c r="K54" s="9">
        <v>46028</v>
      </c>
      <c r="L54" s="66">
        <v>46032</v>
      </c>
      <c r="M54" s="66">
        <v>46039</v>
      </c>
      <c r="N54" s="66">
        <v>46045</v>
      </c>
      <c r="O54" s="66">
        <v>46051</v>
      </c>
      <c r="P54" s="66"/>
      <c r="Q54" s="66"/>
      <c r="R54" s="66"/>
      <c r="S54" s="66"/>
      <c r="T54" s="66"/>
      <c r="U54" s="72"/>
      <c r="W54" s="6" t="s">
        <v>4</v>
      </c>
      <c r="X54" s="9"/>
      <c r="Y54" s="4"/>
      <c r="Z54" s="4"/>
      <c r="AA54" s="4"/>
      <c r="AB54" s="4"/>
      <c r="AC54" s="5"/>
      <c r="AE54" s="6" t="s">
        <v>4</v>
      </c>
      <c r="AF54" s="9"/>
      <c r="AG54" s="4"/>
      <c r="AH54" s="4"/>
      <c r="AI54" s="4"/>
      <c r="AJ54" s="4"/>
      <c r="AK54" s="5"/>
    </row>
    <row r="55" spans="1:37" ht="15.75" thickBot="1" x14ac:dyDescent="0.3">
      <c r="A55" s="77"/>
      <c r="B55" s="26">
        <v>13094</v>
      </c>
      <c r="C55" s="27"/>
      <c r="D55" s="27"/>
      <c r="E55" s="27">
        <v>14466</v>
      </c>
      <c r="F55" s="27">
        <f>SUM(C55-B55)</f>
        <v>-13094</v>
      </c>
      <c r="G55" s="20">
        <f>SUM(E55-D55)</f>
        <v>14466</v>
      </c>
      <c r="H55" s="21">
        <f>SUM(F55:G55)</f>
        <v>1372</v>
      </c>
      <c r="J55" s="29" t="s">
        <v>22</v>
      </c>
      <c r="K55" s="10">
        <v>196.14</v>
      </c>
      <c r="L55" s="11">
        <v>199.84</v>
      </c>
      <c r="M55" s="11">
        <v>200.48</v>
      </c>
      <c r="N55" s="11">
        <v>231.35</v>
      </c>
      <c r="O55" s="11">
        <v>213.11</v>
      </c>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1040.92</v>
      </c>
      <c r="AB56" s="8" t="s">
        <v>23</v>
      </c>
      <c r="AC56" s="13">
        <f>SUM(X55:AC55)</f>
        <v>0</v>
      </c>
      <c r="AJ56" s="8" t="s">
        <v>23</v>
      </c>
      <c r="AK56" s="13">
        <f>SUM(AF55:AK55)</f>
        <v>0</v>
      </c>
    </row>
    <row r="57" spans="1:37"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7" ht="15.75" thickBot="1" x14ac:dyDescent="0.3">
      <c r="A58" s="77" t="s">
        <v>5</v>
      </c>
      <c r="B58" s="34" t="s">
        <v>6</v>
      </c>
      <c r="C58" s="22" t="s">
        <v>7</v>
      </c>
      <c r="D58" s="33" t="s">
        <v>8</v>
      </c>
      <c r="E58" s="22" t="s">
        <v>9</v>
      </c>
      <c r="F58" s="24" t="s">
        <v>10</v>
      </c>
      <c r="G58" s="23" t="s">
        <v>11</v>
      </c>
      <c r="H58" s="25" t="s">
        <v>12</v>
      </c>
      <c r="J58" s="28" t="s">
        <v>4</v>
      </c>
      <c r="K58" s="9">
        <v>46057</v>
      </c>
      <c r="L58" s="66">
        <v>46064</v>
      </c>
      <c r="M58" s="66">
        <v>46067</v>
      </c>
      <c r="N58" s="66"/>
      <c r="O58" s="66"/>
      <c r="P58" s="66"/>
      <c r="Q58" s="66"/>
      <c r="R58" s="4"/>
      <c r="S58" s="4"/>
      <c r="T58" s="4"/>
      <c r="U58" s="5"/>
      <c r="W58" s="6" t="s">
        <v>4</v>
      </c>
      <c r="X58" s="9"/>
      <c r="Y58" s="4"/>
      <c r="Z58" s="4"/>
      <c r="AA58" s="4"/>
      <c r="AB58" s="4"/>
      <c r="AC58" s="5"/>
      <c r="AE58" s="6" t="s">
        <v>4</v>
      </c>
      <c r="AF58" s="9"/>
      <c r="AG58" s="4"/>
      <c r="AH58" s="4"/>
      <c r="AI58" s="4"/>
      <c r="AJ58" s="4"/>
      <c r="AK58" s="5"/>
    </row>
    <row r="59" spans="1:37" ht="15.75" thickBot="1" x14ac:dyDescent="0.3">
      <c r="A59" s="77"/>
      <c r="B59" s="27">
        <v>14466</v>
      </c>
      <c r="C59" s="27"/>
      <c r="D59" s="27"/>
      <c r="E59" s="27">
        <v>15349</v>
      </c>
      <c r="F59" s="27">
        <f>SUM(C59-B59)</f>
        <v>-14466</v>
      </c>
      <c r="G59" s="20">
        <f>SUM(E59-D59)</f>
        <v>15349</v>
      </c>
      <c r="H59" s="21">
        <f>SUM(F59:G59)</f>
        <v>883</v>
      </c>
      <c r="J59" s="29" t="s">
        <v>22</v>
      </c>
      <c r="K59" s="10">
        <v>193.44</v>
      </c>
      <c r="L59" s="11">
        <v>208.28</v>
      </c>
      <c r="M59" s="11">
        <v>196.61</v>
      </c>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598.33000000000004</v>
      </c>
      <c r="AB60" s="8" t="s">
        <v>23</v>
      </c>
      <c r="AC60" s="13">
        <f>SUM(X59:AC59)</f>
        <v>0</v>
      </c>
      <c r="AJ60" s="8" t="s">
        <v>23</v>
      </c>
      <c r="AK60" s="13">
        <f>SUM(AF59:AK59)</f>
        <v>0</v>
      </c>
    </row>
    <row r="61" spans="1:37"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7" ht="15.75" thickBot="1" x14ac:dyDescent="0.3">
      <c r="A62" s="77" t="s">
        <v>5</v>
      </c>
      <c r="B62" s="34" t="s">
        <v>6</v>
      </c>
      <c r="C62" s="22" t="s">
        <v>7</v>
      </c>
      <c r="D62" s="33" t="s">
        <v>8</v>
      </c>
      <c r="E62" s="22" t="s">
        <v>9</v>
      </c>
      <c r="F62" s="24" t="s">
        <v>10</v>
      </c>
      <c r="G62" s="23" t="s">
        <v>11</v>
      </c>
      <c r="H62" s="25" t="s">
        <v>12</v>
      </c>
      <c r="J62" s="6" t="s">
        <v>4</v>
      </c>
      <c r="K62" s="9">
        <v>46086</v>
      </c>
      <c r="L62" s="66">
        <v>46091</v>
      </c>
      <c r="M62" s="66">
        <v>46095</v>
      </c>
      <c r="N62" s="66">
        <v>46101</v>
      </c>
      <c r="O62" s="66">
        <v>46106</v>
      </c>
      <c r="P62" s="66">
        <v>46112</v>
      </c>
      <c r="Q62" s="66"/>
      <c r="R62" s="66"/>
      <c r="S62" s="66"/>
      <c r="T62" s="66"/>
      <c r="U62" s="72"/>
      <c r="W62" s="6" t="s">
        <v>4</v>
      </c>
      <c r="X62" s="9">
        <v>46088</v>
      </c>
      <c r="Y62" s="66">
        <v>46102</v>
      </c>
      <c r="Z62" s="4"/>
      <c r="AA62" s="4"/>
      <c r="AB62" s="4"/>
      <c r="AC62" s="5"/>
      <c r="AE62" s="6" t="s">
        <v>4</v>
      </c>
      <c r="AF62" s="9"/>
      <c r="AG62" s="4"/>
      <c r="AH62" s="4"/>
      <c r="AI62" s="4"/>
      <c r="AJ62" s="4"/>
      <c r="AK62" s="5"/>
    </row>
    <row r="63" spans="1:37" ht="15.75" thickBot="1" x14ac:dyDescent="0.3">
      <c r="A63" s="77"/>
      <c r="B63" s="27">
        <v>15349</v>
      </c>
      <c r="C63" s="27"/>
      <c r="D63" s="27"/>
      <c r="E63" s="27">
        <v>16731</v>
      </c>
      <c r="F63" s="27">
        <f>SUM(C63-B63)</f>
        <v>-15349</v>
      </c>
      <c r="G63" s="20">
        <f>SUM(E63-D63)</f>
        <v>16731</v>
      </c>
      <c r="H63" s="21">
        <f>SUM(F63:G63)</f>
        <v>1382</v>
      </c>
      <c r="J63" s="7" t="s">
        <v>22</v>
      </c>
      <c r="K63" s="10">
        <v>188.87</v>
      </c>
      <c r="L63" s="11">
        <v>229.49</v>
      </c>
      <c r="M63" s="11">
        <v>228.99</v>
      </c>
      <c r="N63" s="11">
        <v>230.13</v>
      </c>
      <c r="O63" s="11">
        <v>223.53</v>
      </c>
      <c r="P63" s="11">
        <v>231.41</v>
      </c>
      <c r="Q63" s="11"/>
      <c r="R63" s="11"/>
      <c r="S63" s="11"/>
      <c r="T63" s="11"/>
      <c r="U63" s="12"/>
      <c r="W63" s="7" t="s">
        <v>22</v>
      </c>
      <c r="X63" s="10">
        <v>52</v>
      </c>
      <c r="Y63" s="11">
        <v>52</v>
      </c>
      <c r="Z63" s="11"/>
      <c r="AA63" s="11"/>
      <c r="AB63" s="11"/>
      <c r="AC63" s="12"/>
      <c r="AE63" s="7" t="s">
        <v>22</v>
      </c>
      <c r="AF63" s="10"/>
      <c r="AG63" s="11"/>
      <c r="AH63" s="11"/>
      <c r="AI63" s="11"/>
      <c r="AJ63" s="11"/>
      <c r="AK63" s="12"/>
    </row>
    <row r="64" spans="1:37" x14ac:dyDescent="0.25">
      <c r="J64" s="8"/>
      <c r="T64" s="8" t="s">
        <v>23</v>
      </c>
      <c r="U64" s="13">
        <f>SUM(K63:U63)</f>
        <v>1332.42</v>
      </c>
      <c r="AB64" s="8" t="s">
        <v>23</v>
      </c>
      <c r="AC64" s="13">
        <f>SUM(X63:AC63)</f>
        <v>104</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7">
        <v>16731</v>
      </c>
      <c r="C67" s="27"/>
      <c r="D67" s="27"/>
      <c r="E67" s="27">
        <v>18237</v>
      </c>
      <c r="F67" s="27">
        <f>SUM(C67-B67)</f>
        <v>-16731</v>
      </c>
      <c r="G67" s="20">
        <f>SUM(E67-D67)</f>
        <v>18237</v>
      </c>
      <c r="H67" s="21">
        <f>SUM(F67:G67)</f>
        <v>1506</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7">
        <v>18237</v>
      </c>
      <c r="C71" s="27"/>
      <c r="D71" s="27"/>
      <c r="E71" s="27">
        <v>20960</v>
      </c>
      <c r="F71" s="27">
        <f>SUM(C71-B71)</f>
        <v>-18237</v>
      </c>
      <c r="G71" s="20">
        <f>SUM(E71-D71)</f>
        <v>20960</v>
      </c>
      <c r="H71" s="21">
        <f>SUM(F71:G71)</f>
        <v>2723</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E24" sqref="E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2.7109375"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t="s">
        <v>87</v>
      </c>
      <c r="C2" s="84"/>
      <c r="D2" s="1" t="s">
        <v>1</v>
      </c>
      <c r="E2" s="84" t="s">
        <v>108</v>
      </c>
      <c r="F2" s="84"/>
      <c r="H2" t="s">
        <v>97</v>
      </c>
      <c r="I2" s="69">
        <v>4500</v>
      </c>
    </row>
    <row r="3" spans="1:40" x14ac:dyDescent="0.25">
      <c r="A3" t="s">
        <v>80</v>
      </c>
      <c r="B3" s="84"/>
      <c r="C3" s="84"/>
      <c r="D3" s="1" t="s">
        <v>1</v>
      </c>
      <c r="E3" s="84"/>
      <c r="F3" s="84"/>
      <c r="H3" t="s">
        <v>81</v>
      </c>
      <c r="I3" s="70"/>
    </row>
    <row r="4" spans="1:40" x14ac:dyDescent="0.25">
      <c r="A4" t="s">
        <v>2</v>
      </c>
      <c r="B4" s="85">
        <v>4369</v>
      </c>
      <c r="C4" s="85"/>
      <c r="D4" s="1" t="s">
        <v>29</v>
      </c>
      <c r="E4" s="84" t="s">
        <v>109</v>
      </c>
      <c r="F4" s="84"/>
      <c r="H4" t="s">
        <v>110</v>
      </c>
      <c r="I4" s="71">
        <v>46146</v>
      </c>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v>7</v>
      </c>
      <c r="C23" s="27"/>
      <c r="D23" s="27"/>
      <c r="E23" s="27">
        <v>4050</v>
      </c>
      <c r="F23" s="27">
        <f>SUM(C23-B23)</f>
        <v>-7</v>
      </c>
      <c r="G23" s="20">
        <f>SUM(E23-D23)</f>
        <v>4050</v>
      </c>
      <c r="H23" s="21">
        <f>SUM(F23:G23)</f>
        <v>4043</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6"/>
  <sheetViews>
    <sheetView showGridLines="0"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3.42578125"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t="s">
        <v>87</v>
      </c>
      <c r="C2" s="84"/>
      <c r="D2" s="1" t="s">
        <v>1</v>
      </c>
      <c r="E2" s="84" t="s">
        <v>112</v>
      </c>
      <c r="F2" s="84"/>
      <c r="H2" t="s">
        <v>97</v>
      </c>
      <c r="I2" s="69">
        <v>4500</v>
      </c>
    </row>
    <row r="3" spans="1:40" x14ac:dyDescent="0.25">
      <c r="A3" t="s">
        <v>80</v>
      </c>
      <c r="B3" s="92">
        <v>46146</v>
      </c>
      <c r="C3" s="84"/>
      <c r="D3" s="1" t="s">
        <v>1</v>
      </c>
      <c r="E3" s="84" t="s">
        <v>113</v>
      </c>
      <c r="F3" s="84"/>
      <c r="H3" t="s">
        <v>81</v>
      </c>
      <c r="I3" s="70" t="s">
        <v>90</v>
      </c>
    </row>
    <row r="4" spans="1:40" x14ac:dyDescent="0.25">
      <c r="A4" t="s">
        <v>2</v>
      </c>
      <c r="B4" s="85">
        <v>4369</v>
      </c>
      <c r="C4" s="85"/>
      <c r="D4" s="1" t="s">
        <v>29</v>
      </c>
      <c r="E4" s="84" t="s">
        <v>109</v>
      </c>
      <c r="F4" s="84"/>
      <c r="H4" t="s">
        <v>110</v>
      </c>
      <c r="I4" s="71">
        <v>46146</v>
      </c>
    </row>
    <row r="6" spans="1:40" x14ac:dyDescent="0.25">
      <c r="A6" s="75" t="s">
        <v>111</v>
      </c>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76" t="s">
        <v>112</v>
      </c>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v>7</v>
      </c>
      <c r="C23" s="27">
        <v>316</v>
      </c>
      <c r="D23" s="27"/>
      <c r="E23" s="27"/>
      <c r="F23" s="27">
        <f>SUM(C23-B23)</f>
        <v>309</v>
      </c>
      <c r="G23" s="20">
        <f>SUM(E23-D23)</f>
        <v>0</v>
      </c>
      <c r="H23" s="21">
        <f>SUM(F23:G23)</f>
        <v>309</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76" t="s">
        <v>113</v>
      </c>
      <c r="B25" s="78" t="s">
        <v>15</v>
      </c>
      <c r="C25" s="78"/>
      <c r="D25" s="78"/>
      <c r="E25" s="78"/>
      <c r="F25" s="78"/>
      <c r="G25" s="78"/>
      <c r="H25" s="78"/>
      <c r="J25" s="79" t="s">
        <v>15</v>
      </c>
      <c r="K25" s="79"/>
      <c r="L25" s="79"/>
      <c r="M25" s="79"/>
      <c r="N25" s="79"/>
      <c r="O25" s="79"/>
      <c r="P25" s="79"/>
      <c r="Q25" s="79"/>
      <c r="R25" s="79"/>
      <c r="S25" s="79"/>
      <c r="T25" s="79"/>
      <c r="U25" s="79"/>
      <c r="Y25" s="80" t="str">
        <f>J25</f>
        <v>Maio</v>
      </c>
      <c r="Z25" s="80"/>
      <c r="AA25" s="80"/>
      <c r="AB25" s="80"/>
      <c r="AC25" s="80"/>
      <c r="AD25" s="80"/>
      <c r="AE25" s="80"/>
      <c r="AH25" s="81" t="str">
        <f>Y25</f>
        <v>Maio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v>33248</v>
      </c>
      <c r="C27" s="27"/>
      <c r="D27" s="27"/>
      <c r="E27" s="27">
        <v>36580</v>
      </c>
      <c r="F27" s="27">
        <f>SUM(C27-B27)</f>
        <v>-33248</v>
      </c>
      <c r="G27" s="20">
        <f>SUM(E27-D27)</f>
        <v>36580</v>
      </c>
      <c r="H27" s="21">
        <f>SUM(F27:G27)</f>
        <v>3332</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24</v>
      </c>
      <c r="C29" s="78"/>
      <c r="D29" s="78"/>
      <c r="E29" s="78"/>
      <c r="F29" s="78"/>
      <c r="G29" s="78"/>
      <c r="H29" s="78"/>
      <c r="J29" s="79" t="s">
        <v>24</v>
      </c>
      <c r="K29" s="79"/>
      <c r="L29" s="79"/>
      <c r="M29" s="79"/>
      <c r="N29" s="79"/>
      <c r="O29" s="79"/>
      <c r="P29" s="79"/>
      <c r="Q29" s="79"/>
      <c r="R29" s="79"/>
      <c r="S29" s="79"/>
      <c r="T29" s="79"/>
      <c r="U29" s="79"/>
      <c r="Y29" s="80" t="str">
        <f>J29</f>
        <v>Junho</v>
      </c>
      <c r="Z29" s="80"/>
      <c r="AA29" s="80"/>
      <c r="AB29" s="80"/>
      <c r="AC29" s="80"/>
      <c r="AD29" s="80"/>
      <c r="AE29" s="80"/>
      <c r="AH29" s="81" t="str">
        <f>Y29</f>
        <v>Junho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16</v>
      </c>
      <c r="C33" s="78"/>
      <c r="D33" s="78"/>
      <c r="E33" s="78"/>
      <c r="F33" s="78"/>
      <c r="G33" s="78"/>
      <c r="H33" s="78"/>
      <c r="J33" s="79" t="s">
        <v>16</v>
      </c>
      <c r="K33" s="79"/>
      <c r="L33" s="79"/>
      <c r="M33" s="79"/>
      <c r="N33" s="79"/>
      <c r="O33" s="79"/>
      <c r="P33" s="79"/>
      <c r="Q33" s="79"/>
      <c r="R33" s="79"/>
      <c r="S33" s="79"/>
      <c r="T33" s="79"/>
      <c r="U33" s="79"/>
      <c r="Y33" s="80" t="str">
        <f>J33</f>
        <v>Julho</v>
      </c>
      <c r="Z33" s="80"/>
      <c r="AA33" s="80"/>
      <c r="AB33" s="80"/>
      <c r="AC33" s="80"/>
      <c r="AD33" s="80"/>
      <c r="AE33" s="80"/>
      <c r="AH33" s="81" t="str">
        <f>Y33</f>
        <v>Julho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17</v>
      </c>
      <c r="C37" s="78"/>
      <c r="D37" s="78"/>
      <c r="E37" s="78"/>
      <c r="F37" s="78"/>
      <c r="G37" s="78"/>
      <c r="H37" s="78"/>
      <c r="J37" s="79" t="s">
        <v>17</v>
      </c>
      <c r="K37" s="79"/>
      <c r="L37" s="79"/>
      <c r="M37" s="79"/>
      <c r="N37" s="79"/>
      <c r="O37" s="79"/>
      <c r="P37" s="79"/>
      <c r="Q37" s="79"/>
      <c r="R37" s="79"/>
      <c r="S37" s="79"/>
      <c r="T37" s="79"/>
      <c r="U37" s="79"/>
      <c r="Y37" s="80" t="str">
        <f>J37</f>
        <v>Agosto</v>
      </c>
      <c r="Z37" s="80"/>
      <c r="AA37" s="80"/>
      <c r="AB37" s="80"/>
      <c r="AC37" s="80"/>
      <c r="AD37" s="80"/>
      <c r="AE37" s="80"/>
      <c r="AH37" s="81" t="str">
        <f>Y37</f>
        <v>Agosto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18</v>
      </c>
      <c r="C41" s="78"/>
      <c r="D41" s="78"/>
      <c r="E41" s="78"/>
      <c r="F41" s="78"/>
      <c r="G41" s="78"/>
      <c r="H41" s="78"/>
      <c r="J41" s="79" t="s">
        <v>18</v>
      </c>
      <c r="K41" s="79"/>
      <c r="L41" s="79"/>
      <c r="M41" s="79"/>
      <c r="N41" s="79"/>
      <c r="O41" s="79"/>
      <c r="P41" s="79"/>
      <c r="Q41" s="79"/>
      <c r="R41" s="79"/>
      <c r="S41" s="79"/>
      <c r="T41" s="79"/>
      <c r="U41" s="79"/>
      <c r="Y41" s="80" t="str">
        <f>J41</f>
        <v>Setembro</v>
      </c>
      <c r="Z41" s="80"/>
      <c r="AA41" s="80"/>
      <c r="AB41" s="80"/>
      <c r="AC41" s="80"/>
      <c r="AD41" s="80"/>
      <c r="AE41" s="80"/>
      <c r="AH41" s="81" t="str">
        <f>Y41</f>
        <v>Setembro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19</v>
      </c>
      <c r="C45" s="78"/>
      <c r="D45" s="78"/>
      <c r="E45" s="78"/>
      <c r="F45" s="78"/>
      <c r="G45" s="78"/>
      <c r="H45" s="78"/>
      <c r="J45" s="79" t="s">
        <v>19</v>
      </c>
      <c r="K45" s="79"/>
      <c r="L45" s="79"/>
      <c r="M45" s="79"/>
      <c r="N45" s="79"/>
      <c r="O45" s="79"/>
      <c r="P45" s="79"/>
      <c r="Q45" s="79"/>
      <c r="R45" s="79"/>
      <c r="S45" s="79"/>
      <c r="T45" s="79"/>
      <c r="U45" s="79"/>
      <c r="Y45" s="80" t="str">
        <f>J45</f>
        <v>Outubro</v>
      </c>
      <c r="Z45" s="80"/>
      <c r="AA45" s="80"/>
      <c r="AB45" s="80"/>
      <c r="AC45" s="80"/>
      <c r="AD45" s="80"/>
      <c r="AE45" s="80"/>
      <c r="AH45" s="81" t="str">
        <f>Y45</f>
        <v>Outubro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20</v>
      </c>
      <c r="C49" s="78"/>
      <c r="D49" s="78"/>
      <c r="E49" s="78"/>
      <c r="F49" s="78"/>
      <c r="G49" s="78"/>
      <c r="H49" s="78"/>
      <c r="J49" s="79" t="s">
        <v>20</v>
      </c>
      <c r="K49" s="79"/>
      <c r="L49" s="79"/>
      <c r="M49" s="79"/>
      <c r="N49" s="79"/>
      <c r="O49" s="79"/>
      <c r="P49" s="79"/>
      <c r="Q49" s="79"/>
      <c r="R49" s="79"/>
      <c r="S49" s="79"/>
      <c r="T49" s="79"/>
      <c r="U49" s="79"/>
      <c r="Y49" s="80" t="str">
        <f>J49</f>
        <v>Novembro</v>
      </c>
      <c r="Z49" s="80"/>
      <c r="AA49" s="80"/>
      <c r="AB49" s="80"/>
      <c r="AC49" s="80"/>
      <c r="AD49" s="80"/>
      <c r="AE49" s="80"/>
      <c r="AH49" s="81" t="str">
        <f>Y49</f>
        <v>Novembro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78" t="s">
        <v>21</v>
      </c>
      <c r="C53" s="78"/>
      <c r="D53" s="78"/>
      <c r="E53" s="78"/>
      <c r="F53" s="78"/>
      <c r="G53" s="78"/>
      <c r="H53" s="78"/>
      <c r="J53" s="79" t="s">
        <v>21</v>
      </c>
      <c r="K53" s="79"/>
      <c r="L53" s="79"/>
      <c r="M53" s="79"/>
      <c r="N53" s="79"/>
      <c r="O53" s="79"/>
      <c r="P53" s="79"/>
      <c r="Q53" s="79"/>
      <c r="R53" s="79"/>
      <c r="S53" s="79"/>
      <c r="T53" s="79"/>
      <c r="U53" s="79"/>
      <c r="Y53" s="80" t="str">
        <f>J53</f>
        <v>Dezembro</v>
      </c>
      <c r="Z53" s="80"/>
      <c r="AA53" s="80"/>
      <c r="AB53" s="80"/>
      <c r="AC53" s="80"/>
      <c r="AD53" s="80"/>
      <c r="AE53" s="80"/>
      <c r="AH53" s="81" t="str">
        <f>Y53</f>
        <v>Dezembro</v>
      </c>
      <c r="AI53" s="81"/>
      <c r="AJ53" s="81"/>
      <c r="AK53" s="81"/>
      <c r="AL53" s="81"/>
      <c r="AM53" s="81"/>
      <c r="AN53" s="81"/>
    </row>
    <row r="54" spans="1:40" ht="15.75" thickBot="1" x14ac:dyDescent="0.3">
      <c r="A54" s="7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77"/>
      <c r="B55" s="26"/>
      <c r="C55" s="27"/>
      <c r="D55" s="27"/>
      <c r="E55" s="27"/>
      <c r="F55" s="27">
        <f>SUM(C55-B55)</f>
        <v>0</v>
      </c>
      <c r="G55" s="20">
        <f>SUM(E55-D55)</f>
        <v>0</v>
      </c>
      <c r="H55" s="21">
        <f>SUM(F55:G55)</f>
        <v>0</v>
      </c>
      <c r="J55" s="7"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sheetData>
  <mergeCells count="70">
    <mergeCell ref="J25:U25"/>
    <mergeCell ref="Y25:AE25"/>
    <mergeCell ref="B2:C2"/>
    <mergeCell ref="E2:F2"/>
    <mergeCell ref="B4:C4"/>
    <mergeCell ref="E4:F4"/>
    <mergeCell ref="A7:H7"/>
    <mergeCell ref="B3:C3"/>
    <mergeCell ref="E3:F3"/>
    <mergeCell ref="A14:A15"/>
    <mergeCell ref="Y7:AE7"/>
    <mergeCell ref="A10:A11"/>
    <mergeCell ref="B13:H13"/>
    <mergeCell ref="J13:U13"/>
    <mergeCell ref="Y13:AE13"/>
    <mergeCell ref="B25:H25"/>
    <mergeCell ref="AH7:AN7"/>
    <mergeCell ref="B9:H9"/>
    <mergeCell ref="J9:U9"/>
    <mergeCell ref="Y9:AE9"/>
    <mergeCell ref="AH9:AN9"/>
    <mergeCell ref="J7:U7"/>
    <mergeCell ref="AH13:AN13"/>
    <mergeCell ref="A30:A31"/>
    <mergeCell ref="B17:H17"/>
    <mergeCell ref="J17:U17"/>
    <mergeCell ref="Y17:AE17"/>
    <mergeCell ref="AH17:AN17"/>
    <mergeCell ref="A18:A19"/>
    <mergeCell ref="B21:H21"/>
    <mergeCell ref="J21:U21"/>
    <mergeCell ref="Y21:AE21"/>
    <mergeCell ref="AH21:AN21"/>
    <mergeCell ref="A22:A23"/>
    <mergeCell ref="B29:H29"/>
    <mergeCell ref="J29:U29"/>
    <mergeCell ref="Y29:AE29"/>
    <mergeCell ref="AH29:AN29"/>
    <mergeCell ref="AH53:AN53"/>
    <mergeCell ref="A42:A43"/>
    <mergeCell ref="B33:H33"/>
    <mergeCell ref="J33:U33"/>
    <mergeCell ref="Y33:AE33"/>
    <mergeCell ref="AH33:AN33"/>
    <mergeCell ref="A34:A35"/>
    <mergeCell ref="B37:H37"/>
    <mergeCell ref="J37:U37"/>
    <mergeCell ref="Y37:AE37"/>
    <mergeCell ref="AH37:AN37"/>
    <mergeCell ref="A38:A39"/>
    <mergeCell ref="B41:H41"/>
    <mergeCell ref="J41:U41"/>
    <mergeCell ref="Y41:AE41"/>
    <mergeCell ref="AH41:AN41"/>
    <mergeCell ref="AH25:AN25"/>
    <mergeCell ref="A26:A27"/>
    <mergeCell ref="A54:A55"/>
    <mergeCell ref="B45:H45"/>
    <mergeCell ref="J45:U45"/>
    <mergeCell ref="Y45:AE45"/>
    <mergeCell ref="AH45:AN45"/>
    <mergeCell ref="A46:A47"/>
    <mergeCell ref="B49:H49"/>
    <mergeCell ref="J49:U49"/>
    <mergeCell ref="Y49:AE49"/>
    <mergeCell ref="AH49:AN49"/>
    <mergeCell ref="A50:A51"/>
    <mergeCell ref="B53:H53"/>
    <mergeCell ref="J53:U53"/>
    <mergeCell ref="Y53:AE53"/>
  </mergeCells>
  <phoneticPr fontId="3" type="noConversion"/>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84"/>
  <sheetViews>
    <sheetView showGridLines="0" topLeftCell="A46" zoomScaleNormal="100" workbookViewId="0">
      <selection activeCell="I12" sqref="I1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0.42578125" bestFit="1" customWidth="1"/>
    <col min="14" max="16" width="10.5703125" bestFit="1" customWidth="1"/>
    <col min="17" max="17" width="10.42578125" bestFit="1" customWidth="1"/>
    <col min="18" max="20" width="10.5703125" bestFit="1" customWidth="1"/>
    <col min="21" max="21" width="12.140625" bestFit="1" customWidth="1"/>
    <col min="24" max="26" width="10.42578125" bestFit="1" customWidth="1"/>
    <col min="29" max="29" width="15.85546875" bestFit="1" customWidth="1"/>
    <col min="34" max="36" width="10.140625" bestFit="1" customWidth="1"/>
    <col min="37" max="37" width="10.5703125" bestFit="1" customWidth="1"/>
  </cols>
  <sheetData>
    <row r="2" spans="1:37" x14ac:dyDescent="0.25">
      <c r="A2" t="s">
        <v>0</v>
      </c>
      <c r="B2" s="84" t="s">
        <v>87</v>
      </c>
      <c r="C2" s="84"/>
      <c r="D2" s="1" t="s">
        <v>1</v>
      </c>
      <c r="E2" s="84" t="s">
        <v>88</v>
      </c>
      <c r="F2" s="84"/>
      <c r="H2" t="s">
        <v>83</v>
      </c>
      <c r="I2" s="69">
        <v>4500</v>
      </c>
    </row>
    <row r="3" spans="1:37" x14ac:dyDescent="0.25">
      <c r="A3" t="s">
        <v>80</v>
      </c>
      <c r="B3" s="84"/>
      <c r="C3" s="84"/>
      <c r="D3" s="1" t="s">
        <v>1</v>
      </c>
      <c r="E3" s="84"/>
      <c r="F3" s="84"/>
      <c r="H3" t="s">
        <v>81</v>
      </c>
      <c r="I3" s="54"/>
    </row>
    <row r="4" spans="1:37" x14ac:dyDescent="0.25">
      <c r="A4" t="s">
        <v>2</v>
      </c>
      <c r="B4" s="85">
        <v>3837</v>
      </c>
      <c r="C4" s="85"/>
      <c r="D4" s="1" t="s">
        <v>29</v>
      </c>
      <c r="E4" s="91">
        <v>45</v>
      </c>
      <c r="F4" s="91"/>
      <c r="H4" t="s">
        <v>70</v>
      </c>
      <c r="I4" s="67">
        <v>45943</v>
      </c>
    </row>
    <row r="7" spans="1:37" ht="21" x14ac:dyDescent="0.35">
      <c r="A7" s="86" t="s">
        <v>28</v>
      </c>
      <c r="B7" s="86"/>
      <c r="C7" s="86"/>
      <c r="D7" s="86"/>
      <c r="E7" s="86"/>
      <c r="F7" s="86"/>
      <c r="G7" s="86"/>
      <c r="H7" s="86"/>
      <c r="J7" s="83" t="s">
        <v>26</v>
      </c>
      <c r="K7" s="83"/>
      <c r="L7" s="83"/>
      <c r="M7" s="83"/>
      <c r="N7" s="83"/>
      <c r="O7" s="83"/>
      <c r="P7" s="83"/>
      <c r="Q7" s="83"/>
      <c r="R7" s="83"/>
      <c r="S7" s="83"/>
      <c r="T7" s="83"/>
      <c r="U7" s="83"/>
      <c r="V7" s="2"/>
      <c r="W7" s="82" t="s">
        <v>25</v>
      </c>
      <c r="X7" s="82"/>
      <c r="Y7" s="82"/>
      <c r="Z7" s="82"/>
      <c r="AA7" s="82"/>
      <c r="AB7" s="82"/>
      <c r="AC7" s="82"/>
      <c r="AD7" s="2"/>
      <c r="AE7" s="82" t="s">
        <v>27</v>
      </c>
      <c r="AF7" s="82"/>
      <c r="AG7" s="82"/>
      <c r="AH7" s="82"/>
      <c r="AI7" s="82"/>
      <c r="AJ7" s="82"/>
      <c r="AK7" s="82"/>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8" t="s">
        <v>3</v>
      </c>
      <c r="C9" s="78"/>
      <c r="D9" s="78"/>
      <c r="E9" s="78"/>
      <c r="F9" s="78"/>
      <c r="G9" s="78"/>
      <c r="H9" s="78"/>
      <c r="J9" s="79" t="s">
        <v>3</v>
      </c>
      <c r="K9" s="79"/>
      <c r="L9" s="79"/>
      <c r="M9" s="79"/>
      <c r="N9" s="79"/>
      <c r="O9" s="79"/>
      <c r="P9" s="79"/>
      <c r="Q9" s="79"/>
      <c r="R9" s="79"/>
      <c r="S9" s="79"/>
      <c r="T9" s="79"/>
      <c r="U9" s="79"/>
      <c r="W9" s="80" t="s">
        <v>3</v>
      </c>
      <c r="X9" s="80"/>
      <c r="Y9" s="80"/>
      <c r="Z9" s="80"/>
      <c r="AA9" s="80"/>
      <c r="AB9" s="80"/>
      <c r="AC9" s="80"/>
      <c r="AE9" s="81" t="s">
        <v>3</v>
      </c>
      <c r="AF9" s="81"/>
      <c r="AG9" s="81"/>
      <c r="AH9" s="81"/>
      <c r="AI9" s="81"/>
      <c r="AJ9" s="81"/>
      <c r="AK9" s="81"/>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8" t="s">
        <v>13</v>
      </c>
      <c r="C13" s="78"/>
      <c r="D13" s="78"/>
      <c r="E13" s="78"/>
      <c r="F13" s="78"/>
      <c r="G13" s="78"/>
      <c r="H13" s="78"/>
      <c r="J13" s="79" t="s">
        <v>13</v>
      </c>
      <c r="K13" s="79"/>
      <c r="L13" s="79"/>
      <c r="M13" s="79"/>
      <c r="N13" s="79"/>
      <c r="O13" s="79"/>
      <c r="P13" s="79"/>
      <c r="Q13" s="79"/>
      <c r="R13" s="79"/>
      <c r="S13" s="79"/>
      <c r="T13" s="79"/>
      <c r="U13" s="79"/>
      <c r="W13" s="80" t="str">
        <f>J13</f>
        <v>Março</v>
      </c>
      <c r="X13" s="80"/>
      <c r="Y13" s="80"/>
      <c r="Z13" s="80"/>
      <c r="AA13" s="80"/>
      <c r="AB13" s="80"/>
      <c r="AC13" s="80"/>
      <c r="AE13" s="81" t="str">
        <f>W13</f>
        <v>Março</v>
      </c>
      <c r="AF13" s="81"/>
      <c r="AG13" s="81"/>
      <c r="AH13" s="81"/>
      <c r="AI13" s="81"/>
      <c r="AJ13" s="81"/>
      <c r="AK13" s="81"/>
    </row>
    <row r="14" spans="1:37" ht="15.75" thickBot="1" x14ac:dyDescent="0.3">
      <c r="A14" s="77"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8" t="s">
        <v>14</v>
      </c>
      <c r="C17" s="78"/>
      <c r="D17" s="78"/>
      <c r="E17" s="78"/>
      <c r="F17" s="78"/>
      <c r="G17" s="78"/>
      <c r="H17" s="78"/>
      <c r="J17" s="79" t="s">
        <v>14</v>
      </c>
      <c r="K17" s="79"/>
      <c r="L17" s="79"/>
      <c r="M17" s="79"/>
      <c r="N17" s="79"/>
      <c r="O17" s="79"/>
      <c r="P17" s="79"/>
      <c r="Q17" s="79"/>
      <c r="R17" s="79"/>
      <c r="S17" s="79"/>
      <c r="T17" s="79"/>
      <c r="U17" s="79"/>
      <c r="W17" s="80" t="str">
        <f>J17</f>
        <v>Abril</v>
      </c>
      <c r="X17" s="80"/>
      <c r="Y17" s="80"/>
      <c r="Z17" s="80"/>
      <c r="AA17" s="80"/>
      <c r="AB17" s="80"/>
      <c r="AC17" s="80"/>
      <c r="AE17" s="81" t="str">
        <f>W17</f>
        <v>Abril</v>
      </c>
      <c r="AF17" s="81"/>
      <c r="AG17" s="81"/>
      <c r="AH17" s="81"/>
      <c r="AI17" s="81"/>
      <c r="AJ17" s="81"/>
      <c r="AK17" s="81"/>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8" t="s">
        <v>15</v>
      </c>
      <c r="C21" s="78"/>
      <c r="D21" s="78"/>
      <c r="E21" s="78"/>
      <c r="F21" s="78"/>
      <c r="G21" s="78"/>
      <c r="H21" s="78"/>
      <c r="J21" s="79" t="s">
        <v>15</v>
      </c>
      <c r="K21" s="79"/>
      <c r="L21" s="79"/>
      <c r="M21" s="79"/>
      <c r="N21" s="79"/>
      <c r="O21" s="79"/>
      <c r="P21" s="79"/>
      <c r="Q21" s="79"/>
      <c r="R21" s="79"/>
      <c r="S21" s="79"/>
      <c r="T21" s="79"/>
      <c r="U21" s="79"/>
      <c r="W21" s="80" t="str">
        <f>J21</f>
        <v>Maio</v>
      </c>
      <c r="X21" s="80"/>
      <c r="Y21" s="80"/>
      <c r="Z21" s="80"/>
      <c r="AA21" s="80"/>
      <c r="AB21" s="80"/>
      <c r="AC21" s="80"/>
      <c r="AE21" s="81" t="str">
        <f>W21</f>
        <v>Maio</v>
      </c>
      <c r="AF21" s="81"/>
      <c r="AG21" s="81"/>
      <c r="AH21" s="81"/>
      <c r="AI21" s="81"/>
      <c r="AJ21" s="81"/>
      <c r="AK21" s="81"/>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8" t="s">
        <v>24</v>
      </c>
      <c r="C25" s="78"/>
      <c r="D25" s="78"/>
      <c r="E25" s="78"/>
      <c r="F25" s="78"/>
      <c r="G25" s="78"/>
      <c r="H25" s="78"/>
      <c r="J25" s="79" t="s">
        <v>24</v>
      </c>
      <c r="K25" s="79"/>
      <c r="L25" s="79"/>
      <c r="M25" s="79"/>
      <c r="N25" s="79"/>
      <c r="O25" s="79"/>
      <c r="P25" s="79"/>
      <c r="Q25" s="79"/>
      <c r="R25" s="79"/>
      <c r="S25" s="79"/>
      <c r="T25" s="79"/>
      <c r="U25" s="79"/>
      <c r="W25" s="80" t="str">
        <f>J25</f>
        <v>Junho</v>
      </c>
      <c r="X25" s="80"/>
      <c r="Y25" s="80"/>
      <c r="Z25" s="80"/>
      <c r="AA25" s="80"/>
      <c r="AB25" s="80"/>
      <c r="AC25" s="80"/>
      <c r="AE25" s="81" t="str">
        <f>W25</f>
        <v>Junho</v>
      </c>
      <c r="AF25" s="81"/>
      <c r="AG25" s="81"/>
      <c r="AH25" s="81"/>
      <c r="AI25" s="81"/>
      <c r="AJ25" s="81"/>
      <c r="AK25" s="81"/>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8" t="s">
        <v>16</v>
      </c>
      <c r="C29" s="78"/>
      <c r="D29" s="78"/>
      <c r="E29" s="78"/>
      <c r="F29" s="78"/>
      <c r="G29" s="78"/>
      <c r="H29" s="78"/>
      <c r="J29" s="79" t="s">
        <v>16</v>
      </c>
      <c r="K29" s="79"/>
      <c r="L29" s="79"/>
      <c r="M29" s="79"/>
      <c r="N29" s="79"/>
      <c r="O29" s="79"/>
      <c r="P29" s="79"/>
      <c r="Q29" s="79"/>
      <c r="R29" s="79"/>
      <c r="S29" s="79"/>
      <c r="T29" s="79"/>
      <c r="U29" s="79"/>
      <c r="W29" s="80" t="str">
        <f>J29</f>
        <v>Julho</v>
      </c>
      <c r="X29" s="80"/>
      <c r="Y29" s="80"/>
      <c r="Z29" s="80"/>
      <c r="AA29" s="80"/>
      <c r="AB29" s="80"/>
      <c r="AC29" s="80"/>
      <c r="AE29" s="81" t="str">
        <f>W29</f>
        <v>Julho</v>
      </c>
      <c r="AF29" s="81"/>
      <c r="AG29" s="81"/>
      <c r="AH29" s="81"/>
      <c r="AI29" s="81"/>
      <c r="AJ29" s="81"/>
      <c r="AK29" s="81"/>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8" t="s">
        <v>17</v>
      </c>
      <c r="C33" s="78"/>
      <c r="D33" s="78"/>
      <c r="E33" s="78"/>
      <c r="F33" s="78"/>
      <c r="G33" s="78"/>
      <c r="H33" s="78"/>
      <c r="J33" s="79" t="s">
        <v>17</v>
      </c>
      <c r="K33" s="79"/>
      <c r="L33" s="79"/>
      <c r="M33" s="79"/>
      <c r="N33" s="79"/>
      <c r="O33" s="79"/>
      <c r="P33" s="79"/>
      <c r="Q33" s="79"/>
      <c r="R33" s="79"/>
      <c r="S33" s="79"/>
      <c r="T33" s="79"/>
      <c r="U33" s="79"/>
      <c r="W33" s="80" t="str">
        <f>J33</f>
        <v>Agosto</v>
      </c>
      <c r="X33" s="80"/>
      <c r="Y33" s="80"/>
      <c r="Z33" s="80"/>
      <c r="AA33" s="80"/>
      <c r="AB33" s="80"/>
      <c r="AC33" s="80"/>
      <c r="AE33" s="81" t="str">
        <f>W33</f>
        <v>Agosto</v>
      </c>
      <c r="AF33" s="81"/>
      <c r="AG33" s="81"/>
      <c r="AH33" s="81"/>
      <c r="AI33" s="81"/>
      <c r="AJ33" s="81"/>
      <c r="AK33" s="81"/>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8" t="s">
        <v>18</v>
      </c>
      <c r="C37" s="78"/>
      <c r="D37" s="78"/>
      <c r="E37" s="78"/>
      <c r="F37" s="78"/>
      <c r="G37" s="78"/>
      <c r="H37" s="78"/>
      <c r="J37" s="79" t="s">
        <v>18</v>
      </c>
      <c r="K37" s="79"/>
      <c r="L37" s="79"/>
      <c r="M37" s="79"/>
      <c r="N37" s="79"/>
      <c r="O37" s="79"/>
      <c r="P37" s="79"/>
      <c r="Q37" s="79"/>
      <c r="R37" s="79"/>
      <c r="S37" s="79"/>
      <c r="T37" s="79"/>
      <c r="U37" s="79"/>
      <c r="W37" s="80" t="str">
        <f>J37</f>
        <v>Setembro</v>
      </c>
      <c r="X37" s="80"/>
      <c r="Y37" s="80"/>
      <c r="Z37" s="80"/>
      <c r="AA37" s="80"/>
      <c r="AB37" s="80"/>
      <c r="AC37" s="80"/>
      <c r="AE37" s="81" t="str">
        <f>W37</f>
        <v>Setembro</v>
      </c>
      <c r="AF37" s="81"/>
      <c r="AG37" s="81"/>
      <c r="AH37" s="81"/>
      <c r="AI37" s="81"/>
      <c r="AJ37" s="81"/>
      <c r="AK37" s="81"/>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8" t="s">
        <v>19</v>
      </c>
      <c r="C41" s="78"/>
      <c r="D41" s="78"/>
      <c r="E41" s="78"/>
      <c r="F41" s="78"/>
      <c r="G41" s="78"/>
      <c r="H41" s="78"/>
      <c r="J41" s="79" t="s">
        <v>19</v>
      </c>
      <c r="K41" s="79"/>
      <c r="L41" s="79"/>
      <c r="M41" s="79"/>
      <c r="N41" s="79"/>
      <c r="O41" s="79"/>
      <c r="P41" s="79"/>
      <c r="Q41" s="79"/>
      <c r="R41" s="79"/>
      <c r="S41" s="79"/>
      <c r="T41" s="79"/>
      <c r="U41" s="79"/>
      <c r="W41" s="80" t="str">
        <f>J41</f>
        <v>Outubro</v>
      </c>
      <c r="X41" s="80"/>
      <c r="Y41" s="80"/>
      <c r="Z41" s="80"/>
      <c r="AA41" s="80"/>
      <c r="AB41" s="80"/>
      <c r="AC41" s="80"/>
      <c r="AE41" s="81" t="str">
        <f>W41</f>
        <v>Outubro</v>
      </c>
      <c r="AF41" s="81"/>
      <c r="AG41" s="81"/>
      <c r="AH41" s="81"/>
      <c r="AI41" s="81"/>
      <c r="AJ41" s="81"/>
      <c r="AK41" s="81"/>
    </row>
    <row r="42" spans="1:37" ht="15.75" thickBot="1" x14ac:dyDescent="0.3">
      <c r="A42" s="77" t="s">
        <v>5</v>
      </c>
      <c r="B42" s="34" t="s">
        <v>6</v>
      </c>
      <c r="C42" s="22" t="s">
        <v>7</v>
      </c>
      <c r="D42" s="33" t="s">
        <v>8</v>
      </c>
      <c r="E42" s="22" t="s">
        <v>9</v>
      </c>
      <c r="F42" s="24" t="s">
        <v>10</v>
      </c>
      <c r="G42" s="23" t="s">
        <v>11</v>
      </c>
      <c r="H42" s="25" t="s">
        <v>12</v>
      </c>
      <c r="J42" s="6" t="s">
        <v>4</v>
      </c>
      <c r="K42" s="9">
        <v>45951</v>
      </c>
      <c r="L42" s="66">
        <v>45954</v>
      </c>
      <c r="M42" s="66">
        <v>45958</v>
      </c>
      <c r="N42" s="66">
        <v>45961</v>
      </c>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v>5814</v>
      </c>
      <c r="E43" s="27">
        <v>7321</v>
      </c>
      <c r="F43" s="27">
        <f>SUM(C43-B43)</f>
        <v>0</v>
      </c>
      <c r="G43" s="20">
        <f>SUM(E43-D43)</f>
        <v>1507</v>
      </c>
      <c r="H43" s="21">
        <f>SUM(F43:G43)</f>
        <v>1507</v>
      </c>
      <c r="J43" s="7" t="s">
        <v>22</v>
      </c>
      <c r="K43" s="10">
        <v>210.16</v>
      </c>
      <c r="L43" s="11">
        <v>251.75</v>
      </c>
      <c r="M43" s="11">
        <v>228.51</v>
      </c>
      <c r="N43" s="11">
        <v>250.02</v>
      </c>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940.43999999999994</v>
      </c>
      <c r="AB44" s="8" t="s">
        <v>23</v>
      </c>
      <c r="AC44" s="13">
        <f>SUM(X43:AC43)</f>
        <v>0</v>
      </c>
      <c r="AJ44" s="8" t="s">
        <v>23</v>
      </c>
      <c r="AK44" s="13">
        <f>SUM(AF43:AK43)</f>
        <v>0</v>
      </c>
    </row>
    <row r="45" spans="1:37" ht="15.75" thickBot="1" x14ac:dyDescent="0.3">
      <c r="A45" s="19"/>
      <c r="B45" s="78" t="s">
        <v>20</v>
      </c>
      <c r="C45" s="78"/>
      <c r="D45" s="78"/>
      <c r="E45" s="78"/>
      <c r="F45" s="78"/>
      <c r="G45" s="78"/>
      <c r="H45" s="78"/>
      <c r="J45" s="79" t="s">
        <v>20</v>
      </c>
      <c r="K45" s="79"/>
      <c r="L45" s="79"/>
      <c r="M45" s="79"/>
      <c r="N45" s="79"/>
      <c r="O45" s="79"/>
      <c r="P45" s="79"/>
      <c r="Q45" s="79"/>
      <c r="R45" s="79"/>
      <c r="S45" s="79"/>
      <c r="T45" s="79"/>
      <c r="U45" s="79"/>
      <c r="W45" s="80" t="str">
        <f>J45</f>
        <v>Novembro</v>
      </c>
      <c r="X45" s="80"/>
      <c r="Y45" s="80"/>
      <c r="Z45" s="80"/>
      <c r="AA45" s="80"/>
      <c r="AB45" s="80"/>
      <c r="AC45" s="80"/>
      <c r="AE45" s="81" t="str">
        <f>W45</f>
        <v>Novembro</v>
      </c>
      <c r="AF45" s="81"/>
      <c r="AG45" s="81"/>
      <c r="AH45" s="81"/>
      <c r="AI45" s="81"/>
      <c r="AJ45" s="81"/>
      <c r="AK45" s="81"/>
    </row>
    <row r="46" spans="1:37" ht="15.75" thickBot="1" x14ac:dyDescent="0.3">
      <c r="A46" s="77" t="s">
        <v>5</v>
      </c>
      <c r="B46" s="34" t="s">
        <v>6</v>
      </c>
      <c r="C46" s="22" t="s">
        <v>7</v>
      </c>
      <c r="D46" s="33" t="s">
        <v>8</v>
      </c>
      <c r="E46" s="22" t="s">
        <v>9</v>
      </c>
      <c r="F46" s="24" t="s">
        <v>10</v>
      </c>
      <c r="G46" s="23" t="s">
        <v>11</v>
      </c>
      <c r="H46" s="25" t="s">
        <v>12</v>
      </c>
      <c r="J46" s="6" t="s">
        <v>4</v>
      </c>
      <c r="K46" s="9">
        <v>45968</v>
      </c>
      <c r="L46" s="66">
        <v>45975</v>
      </c>
      <c r="M46" s="66">
        <v>45980</v>
      </c>
      <c r="N46" s="66">
        <v>45982</v>
      </c>
      <c r="O46" s="66">
        <v>45988</v>
      </c>
      <c r="P46" s="66">
        <v>45989</v>
      </c>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7">
        <v>7321</v>
      </c>
      <c r="C47" s="27">
        <v>8994</v>
      </c>
      <c r="D47" s="27">
        <v>8994</v>
      </c>
      <c r="E47" s="27">
        <v>10795</v>
      </c>
      <c r="F47" s="27">
        <f>SUM(C47-B47)</f>
        <v>1673</v>
      </c>
      <c r="G47" s="20">
        <f>SUM(E47-D47)</f>
        <v>1801</v>
      </c>
      <c r="H47" s="21">
        <f>SUM(F47:G47)</f>
        <v>3474</v>
      </c>
      <c r="J47" s="7" t="s">
        <v>22</v>
      </c>
      <c r="K47" s="10">
        <v>214</v>
      </c>
      <c r="L47" s="11">
        <v>217.71</v>
      </c>
      <c r="M47" s="11">
        <v>235.22</v>
      </c>
      <c r="N47" s="11">
        <v>254.31</v>
      </c>
      <c r="O47" s="11">
        <v>243.52</v>
      </c>
      <c r="P47" s="11">
        <v>226.4</v>
      </c>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1391.16</v>
      </c>
      <c r="AB48" s="8" t="s">
        <v>23</v>
      </c>
      <c r="AC48" s="13">
        <f>SUM(X47:AC47)</f>
        <v>0</v>
      </c>
      <c r="AJ48" s="8" t="s">
        <v>23</v>
      </c>
      <c r="AK48" s="13">
        <f>SUM(AF47:AK47)</f>
        <v>0</v>
      </c>
    </row>
    <row r="49" spans="1:37" ht="15.75" thickBot="1" x14ac:dyDescent="0.3">
      <c r="A49" s="19"/>
      <c r="B49" s="78" t="s">
        <v>21</v>
      </c>
      <c r="C49" s="78"/>
      <c r="D49" s="78"/>
      <c r="E49" s="78"/>
      <c r="F49" s="78"/>
      <c r="G49" s="78"/>
      <c r="H49" s="78"/>
      <c r="J49" s="79" t="s">
        <v>21</v>
      </c>
      <c r="K49" s="79"/>
      <c r="L49" s="79"/>
      <c r="M49" s="79"/>
      <c r="N49" s="79"/>
      <c r="O49" s="79"/>
      <c r="P49" s="79"/>
      <c r="Q49" s="79"/>
      <c r="R49" s="79"/>
      <c r="S49" s="79"/>
      <c r="T49" s="79"/>
      <c r="U49" s="79"/>
      <c r="W49" s="80" t="str">
        <f>J49</f>
        <v>Dezembro</v>
      </c>
      <c r="X49" s="80"/>
      <c r="Y49" s="80"/>
      <c r="Z49" s="80"/>
      <c r="AA49" s="80"/>
      <c r="AB49" s="80"/>
      <c r="AC49" s="80"/>
      <c r="AE49" s="81" t="str">
        <f>W49</f>
        <v>Dezembro</v>
      </c>
      <c r="AF49" s="81"/>
      <c r="AG49" s="81"/>
      <c r="AH49" s="81"/>
      <c r="AI49" s="81"/>
      <c r="AJ49" s="81"/>
      <c r="AK49" s="81"/>
    </row>
    <row r="50" spans="1:37" ht="15.75" thickBot="1" x14ac:dyDescent="0.3">
      <c r="A50" s="77" t="s">
        <v>5</v>
      </c>
      <c r="B50" s="34" t="s">
        <v>6</v>
      </c>
      <c r="C50" s="22" t="s">
        <v>7</v>
      </c>
      <c r="D50" s="33" t="s">
        <v>8</v>
      </c>
      <c r="E50" s="22" t="s">
        <v>9</v>
      </c>
      <c r="F50" s="24" t="s">
        <v>10</v>
      </c>
      <c r="G50" s="23" t="s">
        <v>11</v>
      </c>
      <c r="H50" s="25" t="s">
        <v>12</v>
      </c>
      <c r="J50" s="6" t="s">
        <v>4</v>
      </c>
      <c r="K50" s="9">
        <v>45993</v>
      </c>
      <c r="L50" s="66">
        <v>45996</v>
      </c>
      <c r="M50" s="66">
        <v>46000</v>
      </c>
      <c r="N50" s="66">
        <v>46004</v>
      </c>
      <c r="O50" s="66">
        <v>46007</v>
      </c>
      <c r="P50" s="66">
        <v>46009</v>
      </c>
      <c r="Q50" s="66">
        <v>46017</v>
      </c>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7">
        <v>10795</v>
      </c>
      <c r="C51" s="27">
        <v>12678</v>
      </c>
      <c r="D51" s="27">
        <v>12678</v>
      </c>
      <c r="E51" s="27">
        <v>13919</v>
      </c>
      <c r="F51" s="27">
        <f>SUM(C51-B51)</f>
        <v>1883</v>
      </c>
      <c r="G51" s="20">
        <f>SUM(E51-D51)</f>
        <v>1241</v>
      </c>
      <c r="H51" s="21">
        <f>SUM(F51:G51)</f>
        <v>3124</v>
      </c>
      <c r="J51" s="7" t="s">
        <v>22</v>
      </c>
      <c r="K51" s="10">
        <v>217.64</v>
      </c>
      <c r="L51" s="11">
        <v>266.33</v>
      </c>
      <c r="M51" s="11">
        <v>221.35</v>
      </c>
      <c r="N51" s="11">
        <v>240.38</v>
      </c>
      <c r="O51" s="11">
        <v>220.26</v>
      </c>
      <c r="P51" s="11">
        <v>219.43</v>
      </c>
      <c r="Q51" s="11">
        <v>259.31</v>
      </c>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1644.7</v>
      </c>
      <c r="AB52" s="8" t="s">
        <v>23</v>
      </c>
      <c r="AC52" s="13">
        <f>SUM(X51:AC51)</f>
        <v>0</v>
      </c>
      <c r="AJ52" s="8" t="s">
        <v>23</v>
      </c>
      <c r="AK52" s="13">
        <f>SUM(AF51:AK51)</f>
        <v>0</v>
      </c>
    </row>
    <row r="53" spans="1:37"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7" ht="15.75" thickBot="1" x14ac:dyDescent="0.3">
      <c r="A54" s="77" t="s">
        <v>5</v>
      </c>
      <c r="B54" s="34" t="s">
        <v>6</v>
      </c>
      <c r="C54" s="22" t="s">
        <v>7</v>
      </c>
      <c r="D54" s="33" t="s">
        <v>8</v>
      </c>
      <c r="E54" s="22" t="s">
        <v>9</v>
      </c>
      <c r="F54" s="24" t="s">
        <v>10</v>
      </c>
      <c r="G54" s="23" t="s">
        <v>11</v>
      </c>
      <c r="H54" s="25" t="s">
        <v>12</v>
      </c>
      <c r="J54" s="28" t="s">
        <v>4</v>
      </c>
      <c r="K54" s="9">
        <v>46025</v>
      </c>
      <c r="L54" s="66">
        <v>46028</v>
      </c>
      <c r="M54" s="66">
        <v>46031</v>
      </c>
      <c r="N54" s="66">
        <v>46036</v>
      </c>
      <c r="O54" s="66">
        <v>46038</v>
      </c>
      <c r="P54" s="66">
        <v>46042</v>
      </c>
      <c r="Q54" s="66">
        <v>46044</v>
      </c>
      <c r="R54" s="66">
        <v>46046</v>
      </c>
      <c r="S54" s="66">
        <v>46049</v>
      </c>
      <c r="T54" s="66">
        <v>46051</v>
      </c>
      <c r="U54" s="72">
        <v>46053</v>
      </c>
      <c r="W54" s="6" t="s">
        <v>4</v>
      </c>
      <c r="X54" s="9"/>
      <c r="Y54" s="4"/>
      <c r="Z54" s="4"/>
      <c r="AA54" s="4"/>
      <c r="AB54" s="4"/>
      <c r="AC54" s="5"/>
      <c r="AE54" s="6" t="s">
        <v>4</v>
      </c>
      <c r="AF54" s="9"/>
      <c r="AG54" s="4"/>
      <c r="AH54" s="4"/>
      <c r="AI54" s="4"/>
      <c r="AJ54" s="4"/>
      <c r="AK54" s="5"/>
    </row>
    <row r="55" spans="1:37" ht="15.75" thickBot="1" x14ac:dyDescent="0.3">
      <c r="A55" s="77"/>
      <c r="B55" s="27">
        <v>13919</v>
      </c>
      <c r="C55" s="27"/>
      <c r="D55" s="27"/>
      <c r="E55" s="27">
        <v>17891</v>
      </c>
      <c r="F55" s="27">
        <f>SUM(C55-B55)</f>
        <v>-13919</v>
      </c>
      <c r="G55" s="20">
        <f>SUM(E55-D55)</f>
        <v>17891</v>
      </c>
      <c r="H55" s="21">
        <f>SUM(F55:G55)</f>
        <v>3972</v>
      </c>
      <c r="J55" s="29" t="s">
        <v>22</v>
      </c>
      <c r="K55" s="10">
        <v>150.44999999999999</v>
      </c>
      <c r="L55" s="11">
        <v>228.29</v>
      </c>
      <c r="M55" s="11">
        <v>202.85</v>
      </c>
      <c r="N55" s="11">
        <v>237.11</v>
      </c>
      <c r="O55" s="11">
        <v>223.93</v>
      </c>
      <c r="P55" s="11">
        <v>238.5</v>
      </c>
      <c r="Q55" s="11">
        <v>249.5</v>
      </c>
      <c r="R55" s="11">
        <v>265.05</v>
      </c>
      <c r="S55" s="11">
        <v>255.03</v>
      </c>
      <c r="T55" s="11">
        <v>220.45</v>
      </c>
      <c r="U55" s="12">
        <v>220</v>
      </c>
      <c r="W55" s="7" t="s">
        <v>22</v>
      </c>
      <c r="X55" s="10"/>
      <c r="Y55" s="11"/>
      <c r="Z55" s="11"/>
      <c r="AA55" s="11"/>
      <c r="AB55" s="11"/>
      <c r="AC55" s="12"/>
      <c r="AE55" s="7" t="s">
        <v>22</v>
      </c>
      <c r="AF55" s="10"/>
      <c r="AG55" s="11"/>
      <c r="AH55" s="11"/>
      <c r="AI55" s="11"/>
      <c r="AJ55" s="11"/>
      <c r="AK55" s="12"/>
    </row>
    <row r="56" spans="1:37" x14ac:dyDescent="0.25">
      <c r="J56" s="8"/>
      <c r="T56" s="8" t="s">
        <v>23</v>
      </c>
      <c r="U56" s="13">
        <f>SUM(K55:U55)</f>
        <v>2491.16</v>
      </c>
      <c r="AB56" s="8" t="s">
        <v>23</v>
      </c>
      <c r="AC56" s="13">
        <f>SUM(X55:AC55)</f>
        <v>0</v>
      </c>
      <c r="AJ56" s="8" t="s">
        <v>23</v>
      </c>
      <c r="AK56" s="13">
        <f>SUM(AF55:AK55)</f>
        <v>0</v>
      </c>
    </row>
    <row r="57" spans="1:37"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7" ht="15.75" thickBot="1" x14ac:dyDescent="0.3">
      <c r="A58" s="77" t="s">
        <v>5</v>
      </c>
      <c r="B58" s="34" t="s">
        <v>6</v>
      </c>
      <c r="C58" s="22" t="s">
        <v>7</v>
      </c>
      <c r="D58" s="33" t="s">
        <v>8</v>
      </c>
      <c r="E58" s="22" t="s">
        <v>9</v>
      </c>
      <c r="F58" s="24" t="s">
        <v>10</v>
      </c>
      <c r="G58" s="23" t="s">
        <v>11</v>
      </c>
      <c r="H58" s="25" t="s">
        <v>12</v>
      </c>
      <c r="J58" s="28" t="s">
        <v>4</v>
      </c>
      <c r="K58" s="9">
        <v>46057</v>
      </c>
      <c r="L58" s="66">
        <v>46064</v>
      </c>
      <c r="M58" s="66">
        <v>46067</v>
      </c>
      <c r="N58" s="66">
        <v>46070</v>
      </c>
      <c r="O58" s="66">
        <v>46072</v>
      </c>
      <c r="P58" s="66">
        <v>46074</v>
      </c>
      <c r="Q58" s="66">
        <v>46078</v>
      </c>
      <c r="R58" s="66">
        <v>46080</v>
      </c>
      <c r="S58" s="4"/>
      <c r="T58" s="4"/>
      <c r="U58" s="5"/>
      <c r="W58" s="6" t="s">
        <v>4</v>
      </c>
      <c r="X58" s="9"/>
      <c r="Y58" s="4"/>
      <c r="Z58" s="4"/>
      <c r="AA58" s="4"/>
      <c r="AB58" s="4"/>
      <c r="AC58" s="5"/>
      <c r="AE58" s="6" t="s">
        <v>4</v>
      </c>
      <c r="AF58" s="9"/>
      <c r="AG58" s="4"/>
      <c r="AH58" s="4"/>
      <c r="AI58" s="4"/>
      <c r="AJ58" s="4"/>
      <c r="AK58" s="5"/>
    </row>
    <row r="59" spans="1:37" ht="15.75" thickBot="1" x14ac:dyDescent="0.3">
      <c r="A59" s="77"/>
      <c r="B59" s="27">
        <v>17891</v>
      </c>
      <c r="C59" s="27"/>
      <c r="D59" s="27"/>
      <c r="E59" s="27">
        <v>20756</v>
      </c>
      <c r="F59" s="27">
        <f>SUM(C59-B59)</f>
        <v>-17891</v>
      </c>
      <c r="G59" s="20">
        <f>SUM(E59-D59)</f>
        <v>20756</v>
      </c>
      <c r="H59" s="21">
        <f>SUM(F59:G59)</f>
        <v>2865</v>
      </c>
      <c r="J59" s="29" t="s">
        <v>22</v>
      </c>
      <c r="K59" s="10">
        <v>245.28</v>
      </c>
      <c r="L59" s="11">
        <v>248</v>
      </c>
      <c r="M59" s="11">
        <v>221.19</v>
      </c>
      <c r="N59" s="11">
        <v>239.88</v>
      </c>
      <c r="O59" s="11">
        <v>253.58</v>
      </c>
      <c r="P59" s="11">
        <v>168.51</v>
      </c>
      <c r="Q59" s="11">
        <v>266.06</v>
      </c>
      <c r="R59" s="11">
        <v>220.01</v>
      </c>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1862.51</v>
      </c>
      <c r="AB60" s="8" t="s">
        <v>23</v>
      </c>
      <c r="AC60" s="13">
        <f>SUM(X59:AC59)</f>
        <v>0</v>
      </c>
      <c r="AJ60" s="8" t="s">
        <v>23</v>
      </c>
      <c r="AK60" s="13">
        <f>SUM(AF59:AK59)</f>
        <v>0</v>
      </c>
    </row>
    <row r="61" spans="1:37"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7" ht="15.75" thickBot="1" x14ac:dyDescent="0.3">
      <c r="A62" s="77" t="s">
        <v>5</v>
      </c>
      <c r="B62" s="34" t="s">
        <v>6</v>
      </c>
      <c r="C62" s="22" t="s">
        <v>7</v>
      </c>
      <c r="D62" s="33" t="s">
        <v>8</v>
      </c>
      <c r="E62" s="22" t="s">
        <v>9</v>
      </c>
      <c r="F62" s="24" t="s">
        <v>10</v>
      </c>
      <c r="G62" s="23" t="s">
        <v>11</v>
      </c>
      <c r="H62" s="25" t="s">
        <v>12</v>
      </c>
      <c r="J62" s="6" t="s">
        <v>4</v>
      </c>
      <c r="K62" s="9">
        <v>46085</v>
      </c>
      <c r="L62" s="66">
        <v>46086</v>
      </c>
      <c r="M62" s="66">
        <v>46086</v>
      </c>
      <c r="N62" s="66">
        <v>46087</v>
      </c>
      <c r="O62" s="66">
        <v>46087</v>
      </c>
      <c r="P62" s="66">
        <v>46091</v>
      </c>
      <c r="Q62" s="66">
        <v>46094</v>
      </c>
      <c r="R62" s="66">
        <v>46098</v>
      </c>
      <c r="S62" s="66">
        <v>46100</v>
      </c>
      <c r="T62" s="66">
        <v>46105</v>
      </c>
      <c r="U62" s="72" t="s">
        <v>103</v>
      </c>
      <c r="W62" s="6" t="s">
        <v>4</v>
      </c>
      <c r="X62" s="9">
        <v>46088</v>
      </c>
      <c r="Y62" s="66">
        <v>46094</v>
      </c>
      <c r="Z62" s="66">
        <v>46111</v>
      </c>
      <c r="AA62" s="4"/>
      <c r="AB62" s="4"/>
      <c r="AC62" s="5"/>
      <c r="AE62" s="6" t="s">
        <v>4</v>
      </c>
      <c r="AF62" s="9"/>
      <c r="AG62" s="4"/>
      <c r="AH62" s="4"/>
      <c r="AI62" s="4"/>
      <c r="AJ62" s="4"/>
      <c r="AK62" s="5"/>
    </row>
    <row r="63" spans="1:37" ht="15.75" thickBot="1" x14ac:dyDescent="0.3">
      <c r="A63" s="77"/>
      <c r="B63" s="27">
        <v>20756</v>
      </c>
      <c r="C63" s="27"/>
      <c r="D63" s="27"/>
      <c r="E63" s="27">
        <v>26140</v>
      </c>
      <c r="F63" s="27">
        <f>SUM(C63-B63)</f>
        <v>-20756</v>
      </c>
      <c r="G63" s="20">
        <f>SUM(E63-D63)</f>
        <v>26140</v>
      </c>
      <c r="H63" s="21">
        <f>SUM(F63:G63)</f>
        <v>5384</v>
      </c>
      <c r="J63" s="7" t="s">
        <v>22</v>
      </c>
      <c r="K63" s="10">
        <v>232.23</v>
      </c>
      <c r="L63" s="11">
        <v>219.91</v>
      </c>
      <c r="M63" s="11">
        <v>236.04</v>
      </c>
      <c r="N63" s="11">
        <v>154.12</v>
      </c>
      <c r="O63" s="11">
        <v>229.62</v>
      </c>
      <c r="P63" s="11">
        <v>241.09</v>
      </c>
      <c r="Q63" s="11">
        <v>254.12</v>
      </c>
      <c r="R63" s="11">
        <v>294.54000000000002</v>
      </c>
      <c r="S63" s="11">
        <v>298.64999999999998</v>
      </c>
      <c r="T63" s="11">
        <v>305.31</v>
      </c>
      <c r="U63" s="12">
        <f>290.85+313.5+297.27</f>
        <v>901.62</v>
      </c>
      <c r="W63" s="7" t="s">
        <v>22</v>
      </c>
      <c r="X63" s="10">
        <v>60</v>
      </c>
      <c r="Y63" s="11">
        <v>60</v>
      </c>
      <c r="Z63" s="11">
        <v>60</v>
      </c>
      <c r="AA63" s="11"/>
      <c r="AB63" s="11"/>
      <c r="AC63" s="12"/>
      <c r="AE63" s="7" t="s">
        <v>22</v>
      </c>
      <c r="AF63" s="10"/>
      <c r="AG63" s="11"/>
      <c r="AH63" s="11"/>
      <c r="AI63" s="11"/>
      <c r="AJ63" s="11"/>
      <c r="AK63" s="12"/>
    </row>
    <row r="64" spans="1:37" x14ac:dyDescent="0.25">
      <c r="J64" s="8"/>
      <c r="T64" s="8" t="s">
        <v>23</v>
      </c>
      <c r="U64" s="13">
        <f>SUM(K63:U63)</f>
        <v>3367.25</v>
      </c>
      <c r="AB64" s="8" t="s">
        <v>23</v>
      </c>
      <c r="AC64" s="13">
        <f>SUM(X63:AC63)</f>
        <v>180</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7">
        <v>26140</v>
      </c>
      <c r="C67" s="27"/>
      <c r="D67" s="27"/>
      <c r="E67" s="27">
        <v>28881</v>
      </c>
      <c r="F67" s="27">
        <f>SUM(C67-B67)</f>
        <v>-26140</v>
      </c>
      <c r="G67" s="20">
        <f>SUM(E67-D67)</f>
        <v>28881</v>
      </c>
      <c r="H67" s="21">
        <f>SUM(F67:G67)</f>
        <v>2741</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7">
        <v>28881</v>
      </c>
      <c r="C71" s="27"/>
      <c r="D71" s="27"/>
      <c r="E71" s="27">
        <v>33038</v>
      </c>
      <c r="F71" s="27">
        <f>SUM(C71-B71)</f>
        <v>-28881</v>
      </c>
      <c r="G71" s="20">
        <f>SUM(E71-D71)</f>
        <v>33038</v>
      </c>
      <c r="H71" s="21">
        <f>SUM(F71:G71)</f>
        <v>4157</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5"/>
  <sheetViews>
    <sheetView showGridLines="0" tabSelected="1" workbookViewId="0">
      <selection activeCell="I31" sqref="I3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8" width="10.42578125" bestFit="1" customWidth="1"/>
    <col min="19" max="19" width="10.5703125" bestFit="1" customWidth="1"/>
    <col min="20" max="20" width="10.42578125" bestFit="1" customWidth="1"/>
    <col min="21" max="21" width="12.140625" bestFit="1" customWidth="1"/>
    <col min="26" max="29" width="10.42578125" bestFit="1" customWidth="1"/>
    <col min="37" max="39" width="10.140625" bestFit="1" customWidth="1"/>
  </cols>
  <sheetData>
    <row r="2" spans="1:40" x14ac:dyDescent="0.25">
      <c r="A2" t="s">
        <v>0</v>
      </c>
      <c r="B2" s="84" t="s">
        <v>93</v>
      </c>
      <c r="C2" s="84"/>
      <c r="D2" s="1" t="s">
        <v>1</v>
      </c>
      <c r="E2" s="84" t="s">
        <v>96</v>
      </c>
      <c r="F2" s="84"/>
      <c r="H2" t="s">
        <v>97</v>
      </c>
      <c r="I2" s="69">
        <v>4500</v>
      </c>
    </row>
    <row r="3" spans="1:40" x14ac:dyDescent="0.25">
      <c r="A3" t="s">
        <v>80</v>
      </c>
      <c r="B3" s="84"/>
      <c r="C3" s="84"/>
      <c r="D3" s="1" t="s">
        <v>1</v>
      </c>
      <c r="E3" s="84"/>
      <c r="F3" s="84"/>
      <c r="H3" t="s">
        <v>81</v>
      </c>
      <c r="I3" s="54"/>
    </row>
    <row r="4" spans="1:40" x14ac:dyDescent="0.25">
      <c r="A4" t="s">
        <v>2</v>
      </c>
      <c r="B4" s="85">
        <v>4369</v>
      </c>
      <c r="C4" s="85"/>
      <c r="D4" s="1" t="s">
        <v>29</v>
      </c>
      <c r="E4" s="91">
        <v>45</v>
      </c>
      <c r="F4" s="91"/>
      <c r="H4" t="s">
        <v>70</v>
      </c>
      <c r="I4" s="71">
        <v>46034</v>
      </c>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15.75" thickBot="1" x14ac:dyDescent="0.3">
      <c r="A8" s="19"/>
      <c r="B8" s="78" t="s">
        <v>95</v>
      </c>
      <c r="C8" s="78"/>
      <c r="D8" s="78"/>
      <c r="E8" s="78"/>
      <c r="F8" s="78"/>
      <c r="G8" s="78"/>
      <c r="H8" s="78"/>
      <c r="I8"/>
      <c r="J8" s="79" t="s">
        <v>95</v>
      </c>
      <c r="K8" s="79"/>
      <c r="L8" s="79"/>
      <c r="M8" s="79"/>
      <c r="N8" s="79"/>
      <c r="O8" s="79"/>
      <c r="P8" s="79"/>
      <c r="Q8" s="79"/>
      <c r="R8" s="79"/>
      <c r="S8" s="79"/>
      <c r="T8" s="79"/>
      <c r="U8" s="79"/>
      <c r="V8"/>
      <c r="W8"/>
      <c r="X8"/>
      <c r="Y8" s="80" t="s">
        <v>95</v>
      </c>
      <c r="Z8" s="80"/>
      <c r="AA8" s="80"/>
      <c r="AB8" s="80"/>
      <c r="AC8" s="80"/>
      <c r="AD8" s="80"/>
      <c r="AE8" s="80"/>
      <c r="AF8"/>
      <c r="AG8"/>
      <c r="AH8" s="81" t="s">
        <v>95</v>
      </c>
      <c r="AI8" s="81"/>
      <c r="AJ8" s="81"/>
      <c r="AK8" s="81"/>
      <c r="AL8" s="81"/>
      <c r="AM8" s="81"/>
      <c r="AN8" s="81"/>
    </row>
    <row r="9" spans="1:40" s="15" customFormat="1" ht="15.75" thickBot="1" x14ac:dyDescent="0.3">
      <c r="A9" s="77" t="s">
        <v>5</v>
      </c>
      <c r="B9" s="34" t="s">
        <v>6</v>
      </c>
      <c r="C9" s="22" t="s">
        <v>7</v>
      </c>
      <c r="D9" s="33" t="s">
        <v>8</v>
      </c>
      <c r="E9" s="22" t="s">
        <v>9</v>
      </c>
      <c r="F9" s="24" t="s">
        <v>10</v>
      </c>
      <c r="G9" s="23" t="s">
        <v>11</v>
      </c>
      <c r="H9" s="25" t="s">
        <v>12</v>
      </c>
      <c r="I9"/>
      <c r="J9" s="28" t="s">
        <v>4</v>
      </c>
      <c r="K9" s="9">
        <v>46035</v>
      </c>
      <c r="L9" s="66">
        <v>46037</v>
      </c>
      <c r="M9" s="66">
        <v>46039</v>
      </c>
      <c r="N9" s="66">
        <v>46042</v>
      </c>
      <c r="O9" s="66">
        <v>46044</v>
      </c>
      <c r="P9" s="66">
        <v>46046</v>
      </c>
      <c r="Q9" s="66">
        <v>46049</v>
      </c>
      <c r="R9" s="66">
        <v>46051</v>
      </c>
      <c r="S9" s="74">
        <v>46053</v>
      </c>
      <c r="T9" s="4"/>
      <c r="U9" s="5"/>
      <c r="V9"/>
      <c r="W9"/>
      <c r="X9"/>
      <c r="Y9" s="6" t="s">
        <v>4</v>
      </c>
      <c r="Z9" s="9"/>
      <c r="AA9" s="4"/>
      <c r="AB9" s="4"/>
      <c r="AC9" s="4"/>
      <c r="AD9" s="4"/>
      <c r="AE9" s="5"/>
      <c r="AF9"/>
      <c r="AG9"/>
      <c r="AH9" s="6" t="s">
        <v>4</v>
      </c>
      <c r="AI9" s="9"/>
      <c r="AJ9" s="4"/>
      <c r="AK9" s="4"/>
      <c r="AL9" s="4"/>
      <c r="AM9" s="4"/>
      <c r="AN9" s="5"/>
    </row>
    <row r="10" spans="1:40" s="15" customFormat="1" ht="15.75" thickBot="1" x14ac:dyDescent="0.3">
      <c r="A10" s="77"/>
      <c r="B10" s="26"/>
      <c r="C10" s="27"/>
      <c r="D10" s="27">
        <v>4193</v>
      </c>
      <c r="E10" s="27">
        <v>7184</v>
      </c>
      <c r="F10" s="27">
        <f>SUM(C10-B10)</f>
        <v>0</v>
      </c>
      <c r="G10" s="20">
        <f>SUM(E10-D10)</f>
        <v>2991</v>
      </c>
      <c r="H10" s="21">
        <f>SUM(F10:G10)</f>
        <v>2991</v>
      </c>
      <c r="I10"/>
      <c r="J10" s="29" t="s">
        <v>22</v>
      </c>
      <c r="K10" s="10">
        <v>148.08000000000001</v>
      </c>
      <c r="L10" s="11">
        <v>220.7</v>
      </c>
      <c r="M10" s="11">
        <v>242.05</v>
      </c>
      <c r="N10" s="11">
        <v>209.3</v>
      </c>
      <c r="O10" s="11">
        <v>230.06</v>
      </c>
      <c r="P10" s="11">
        <v>131.87</v>
      </c>
      <c r="Q10" s="11">
        <v>226.04</v>
      </c>
      <c r="R10" s="11">
        <v>259.83999999999997</v>
      </c>
      <c r="S10" s="11">
        <v>234.01</v>
      </c>
      <c r="T10" s="11"/>
      <c r="U10" s="12"/>
      <c r="V10"/>
      <c r="W10"/>
      <c r="X10"/>
      <c r="Y10" s="7" t="s">
        <v>22</v>
      </c>
      <c r="Z10" s="10"/>
      <c r="AA10" s="11"/>
      <c r="AB10" s="11"/>
      <c r="AC10" s="11"/>
      <c r="AD10" s="11"/>
      <c r="AE10" s="12"/>
      <c r="AF10"/>
      <c r="AG10"/>
      <c r="AH10" s="7" t="s">
        <v>22</v>
      </c>
      <c r="AI10" s="10"/>
      <c r="AJ10" s="11"/>
      <c r="AK10" s="11"/>
      <c r="AL10" s="11"/>
      <c r="AM10" s="11"/>
      <c r="AN10" s="12"/>
    </row>
    <row r="11" spans="1:40" s="15" customFormat="1" x14ac:dyDescent="0.25">
      <c r="A11"/>
      <c r="B11" s="1"/>
      <c r="C11" s="1"/>
      <c r="D11" s="1"/>
      <c r="E11" s="1"/>
      <c r="F11"/>
      <c r="G11"/>
      <c r="H11"/>
      <c r="I11"/>
      <c r="J11" s="8"/>
      <c r="K11"/>
      <c r="L11"/>
      <c r="M11"/>
      <c r="N11"/>
      <c r="O11"/>
      <c r="P11"/>
      <c r="Q11"/>
      <c r="R11"/>
      <c r="S11"/>
      <c r="T11" s="8" t="s">
        <v>23</v>
      </c>
      <c r="U11" s="13">
        <f>SUM(K10:U10)</f>
        <v>1901.9499999999998</v>
      </c>
      <c r="V11"/>
      <c r="W11"/>
      <c r="X11"/>
      <c r="Y11"/>
      <c r="Z11"/>
      <c r="AA11"/>
      <c r="AB11"/>
      <c r="AC11"/>
      <c r="AD11" s="8" t="s">
        <v>23</v>
      </c>
      <c r="AE11" s="13">
        <f>SUM(Z10:AE10)</f>
        <v>0</v>
      </c>
      <c r="AF11"/>
      <c r="AG11"/>
      <c r="AH11"/>
      <c r="AI11"/>
      <c r="AJ11"/>
      <c r="AK11"/>
      <c r="AL11"/>
      <c r="AM11" s="8" t="s">
        <v>23</v>
      </c>
      <c r="AN11" s="13">
        <f>SUM(AI10:AN10)</f>
        <v>0</v>
      </c>
    </row>
    <row r="12" spans="1:40" ht="15.75" thickBot="1" x14ac:dyDescent="0.3">
      <c r="A12" s="19"/>
      <c r="B12" s="78" t="s">
        <v>3</v>
      </c>
      <c r="C12" s="78"/>
      <c r="D12" s="78"/>
      <c r="E12" s="78"/>
      <c r="F12" s="78"/>
      <c r="G12" s="78"/>
      <c r="H12" s="78"/>
      <c r="J12" s="79" t="s">
        <v>3</v>
      </c>
      <c r="K12" s="79"/>
      <c r="L12" s="79"/>
      <c r="M12" s="79"/>
      <c r="N12" s="79"/>
      <c r="O12" s="79"/>
      <c r="P12" s="79"/>
      <c r="Q12" s="79"/>
      <c r="R12" s="79"/>
      <c r="S12" s="79"/>
      <c r="T12" s="79"/>
      <c r="U12" s="79"/>
      <c r="Y12" s="80" t="s">
        <v>3</v>
      </c>
      <c r="Z12" s="80"/>
      <c r="AA12" s="80"/>
      <c r="AB12" s="80"/>
      <c r="AC12" s="80"/>
      <c r="AD12" s="80"/>
      <c r="AE12" s="80"/>
      <c r="AH12" s="81" t="s">
        <v>3</v>
      </c>
      <c r="AI12" s="81"/>
      <c r="AJ12" s="81"/>
      <c r="AK12" s="81"/>
      <c r="AL12" s="81"/>
      <c r="AM12" s="81"/>
      <c r="AN12" s="81"/>
    </row>
    <row r="13" spans="1:40" ht="15.75" thickBot="1" x14ac:dyDescent="0.3">
      <c r="A13" s="77" t="s">
        <v>5</v>
      </c>
      <c r="B13" s="34" t="s">
        <v>6</v>
      </c>
      <c r="C13" s="22" t="s">
        <v>7</v>
      </c>
      <c r="D13" s="33" t="s">
        <v>8</v>
      </c>
      <c r="E13" s="22" t="s">
        <v>9</v>
      </c>
      <c r="F13" s="24" t="s">
        <v>10</v>
      </c>
      <c r="G13" s="23" t="s">
        <v>11</v>
      </c>
      <c r="H13" s="25" t="s">
        <v>12</v>
      </c>
      <c r="J13" s="28" t="s">
        <v>4</v>
      </c>
      <c r="K13" s="9">
        <v>46056</v>
      </c>
      <c r="L13" s="66">
        <v>46058</v>
      </c>
      <c r="M13" s="66">
        <v>46060</v>
      </c>
      <c r="N13" s="66">
        <v>46063</v>
      </c>
      <c r="O13" s="66">
        <v>46065</v>
      </c>
      <c r="P13" s="66">
        <v>46067</v>
      </c>
      <c r="Q13" s="66">
        <v>46071</v>
      </c>
      <c r="R13" s="66">
        <v>46073</v>
      </c>
      <c r="S13" s="66">
        <v>46077</v>
      </c>
      <c r="T13" s="66"/>
      <c r="U13" s="5"/>
      <c r="Y13" s="6" t="s">
        <v>4</v>
      </c>
      <c r="Z13" s="9"/>
      <c r="AA13" s="4"/>
      <c r="AB13" s="4"/>
      <c r="AC13" s="4"/>
      <c r="AD13" s="4"/>
      <c r="AE13" s="5"/>
      <c r="AH13" s="6" t="s">
        <v>4</v>
      </c>
      <c r="AI13" s="9"/>
      <c r="AJ13" s="4"/>
      <c r="AK13" s="4"/>
      <c r="AL13" s="4"/>
      <c r="AM13" s="4"/>
      <c r="AN13" s="5"/>
    </row>
    <row r="14" spans="1:40" ht="15.75" thickBot="1" x14ac:dyDescent="0.3">
      <c r="A14" s="77"/>
      <c r="B14" s="27">
        <v>7184</v>
      </c>
      <c r="C14" s="27"/>
      <c r="D14" s="27"/>
      <c r="E14" s="27">
        <v>10121</v>
      </c>
      <c r="F14" s="27">
        <f>SUM(C14-B14)</f>
        <v>-7184</v>
      </c>
      <c r="G14" s="20">
        <f>SUM(E14-D14)</f>
        <v>10121</v>
      </c>
      <c r="H14" s="21">
        <f>SUM(F14:G14)</f>
        <v>2937</v>
      </c>
      <c r="J14" s="29" t="s">
        <v>22</v>
      </c>
      <c r="K14" s="10">
        <v>207.45</v>
      </c>
      <c r="L14" s="11">
        <v>270.86</v>
      </c>
      <c r="M14" s="11">
        <v>164.75</v>
      </c>
      <c r="N14" s="11">
        <v>245.87</v>
      </c>
      <c r="O14" s="11">
        <v>246.4</v>
      </c>
      <c r="P14" s="11">
        <v>152.69</v>
      </c>
      <c r="Q14" s="11">
        <v>281.64999999999998</v>
      </c>
      <c r="R14" s="11">
        <v>290</v>
      </c>
      <c r="S14" s="11">
        <v>323.14</v>
      </c>
      <c r="T14" s="11"/>
      <c r="U14" s="12"/>
      <c r="Y14" s="7" t="s">
        <v>22</v>
      </c>
      <c r="Z14" s="10"/>
      <c r="AA14" s="11"/>
      <c r="AB14" s="11"/>
      <c r="AC14" s="11"/>
      <c r="AD14" s="11"/>
      <c r="AE14" s="12"/>
      <c r="AH14" s="7" t="s">
        <v>22</v>
      </c>
      <c r="AI14" s="10"/>
      <c r="AJ14" s="11"/>
      <c r="AK14" s="11"/>
      <c r="AL14" s="11"/>
      <c r="AM14" s="11"/>
      <c r="AN14" s="12"/>
    </row>
    <row r="15" spans="1:40" x14ac:dyDescent="0.25">
      <c r="J15" s="8"/>
      <c r="T15" s="8" t="s">
        <v>23</v>
      </c>
      <c r="U15" s="13">
        <f>SUM(K14:U14)</f>
        <v>2182.81</v>
      </c>
      <c r="AD15" s="8" t="s">
        <v>23</v>
      </c>
      <c r="AE15" s="13">
        <f>SUM(Z14:AE14)</f>
        <v>0</v>
      </c>
      <c r="AM15" s="8" t="s">
        <v>23</v>
      </c>
      <c r="AN15" s="13">
        <f>SUM(AI14:AN14)</f>
        <v>0</v>
      </c>
    </row>
    <row r="16" spans="1:40" ht="15.75" thickBot="1" x14ac:dyDescent="0.3">
      <c r="A16" s="19"/>
      <c r="B16" s="78" t="s">
        <v>13</v>
      </c>
      <c r="C16" s="78"/>
      <c r="D16" s="78"/>
      <c r="E16" s="78"/>
      <c r="F16" s="78"/>
      <c r="G16" s="78"/>
      <c r="H16" s="78"/>
      <c r="J16" s="79" t="s">
        <v>13</v>
      </c>
      <c r="K16" s="79"/>
      <c r="L16" s="79"/>
      <c r="M16" s="79"/>
      <c r="N16" s="79"/>
      <c r="O16" s="79"/>
      <c r="P16" s="79"/>
      <c r="Q16" s="79"/>
      <c r="R16" s="79"/>
      <c r="S16" s="79"/>
      <c r="T16" s="79"/>
      <c r="U16" s="79"/>
      <c r="Y16" s="80" t="str">
        <f>J16</f>
        <v>Março</v>
      </c>
      <c r="Z16" s="80"/>
      <c r="AA16" s="80"/>
      <c r="AB16" s="80"/>
      <c r="AC16" s="80"/>
      <c r="AD16" s="80"/>
      <c r="AE16" s="80"/>
      <c r="AH16" s="81" t="str">
        <f>Y16</f>
        <v>Março</v>
      </c>
      <c r="AI16" s="81"/>
      <c r="AJ16" s="81"/>
      <c r="AK16" s="81"/>
      <c r="AL16" s="81"/>
      <c r="AM16" s="81"/>
      <c r="AN16" s="81"/>
    </row>
    <row r="17" spans="1:40" ht="15.75" thickBot="1" x14ac:dyDescent="0.3">
      <c r="A17" s="77" t="s">
        <v>5</v>
      </c>
      <c r="B17" s="34" t="s">
        <v>6</v>
      </c>
      <c r="C17" s="22" t="s">
        <v>7</v>
      </c>
      <c r="D17" s="33" t="s">
        <v>8</v>
      </c>
      <c r="E17" s="22" t="s">
        <v>9</v>
      </c>
      <c r="F17" s="24" t="s">
        <v>10</v>
      </c>
      <c r="G17" s="23" t="s">
        <v>11</v>
      </c>
      <c r="H17" s="25" t="s">
        <v>12</v>
      </c>
      <c r="J17" s="6" t="s">
        <v>4</v>
      </c>
      <c r="K17" s="9">
        <v>46084</v>
      </c>
      <c r="L17" s="66">
        <v>46086</v>
      </c>
      <c r="M17" s="66">
        <v>46088</v>
      </c>
      <c r="N17" s="66">
        <v>46091</v>
      </c>
      <c r="O17" s="66">
        <v>46093</v>
      </c>
      <c r="P17" s="66">
        <v>46095</v>
      </c>
      <c r="Q17" s="66">
        <v>46098</v>
      </c>
      <c r="R17" s="66">
        <v>46100</v>
      </c>
      <c r="S17" s="66">
        <v>46102</v>
      </c>
      <c r="T17" s="66">
        <v>46105</v>
      </c>
      <c r="U17" s="72" t="s">
        <v>103</v>
      </c>
      <c r="Y17" s="6" t="s">
        <v>4</v>
      </c>
      <c r="Z17" s="9">
        <v>46088</v>
      </c>
      <c r="AA17" s="66">
        <v>46096</v>
      </c>
      <c r="AB17" s="66">
        <v>46103</v>
      </c>
      <c r="AC17" s="66">
        <v>46109</v>
      </c>
      <c r="AD17" s="4"/>
      <c r="AE17" s="5"/>
      <c r="AH17" s="6" t="s">
        <v>4</v>
      </c>
      <c r="AI17" s="9"/>
      <c r="AJ17" s="4"/>
      <c r="AK17" s="4"/>
      <c r="AL17" s="4"/>
      <c r="AM17" s="4"/>
      <c r="AN17" s="5"/>
    </row>
    <row r="18" spans="1:40" ht="15.75" thickBot="1" x14ac:dyDescent="0.3">
      <c r="A18" s="77"/>
      <c r="B18" s="27">
        <v>10121</v>
      </c>
      <c r="C18" s="27"/>
      <c r="D18" s="27"/>
      <c r="E18" s="27">
        <v>14286</v>
      </c>
      <c r="F18" s="27">
        <f>SUM(C18-B18)</f>
        <v>-10121</v>
      </c>
      <c r="G18" s="20">
        <f>SUM(E18-D18)</f>
        <v>14286</v>
      </c>
      <c r="H18" s="21">
        <f>SUM(F18:G18)</f>
        <v>4165</v>
      </c>
      <c r="J18" s="7" t="s">
        <v>22</v>
      </c>
      <c r="K18" s="10">
        <v>176.28</v>
      </c>
      <c r="L18" s="11">
        <v>299.72000000000003</v>
      </c>
      <c r="M18" s="11">
        <v>190.83</v>
      </c>
      <c r="N18" s="11">
        <v>298.02</v>
      </c>
      <c r="O18" s="11">
        <v>215.08</v>
      </c>
      <c r="P18" s="11">
        <v>335.03</v>
      </c>
      <c r="Q18" s="11">
        <v>324.42</v>
      </c>
      <c r="R18" s="11">
        <v>237.28</v>
      </c>
      <c r="S18" s="11">
        <v>308.85000000000002</v>
      </c>
      <c r="T18" s="11">
        <v>338.67</v>
      </c>
      <c r="U18" s="12">
        <f>328.71+323.66+333.32</f>
        <v>985.69</v>
      </c>
      <c r="Y18" s="7" t="s">
        <v>22</v>
      </c>
      <c r="Z18" s="10">
        <v>60</v>
      </c>
      <c r="AA18" s="11">
        <v>60</v>
      </c>
      <c r="AB18" s="11">
        <v>60</v>
      </c>
      <c r="AC18" s="11">
        <v>60</v>
      </c>
      <c r="AD18" s="11"/>
      <c r="AE18" s="12"/>
      <c r="AH18" s="7" t="s">
        <v>22</v>
      </c>
      <c r="AI18" s="10"/>
      <c r="AJ18" s="11"/>
      <c r="AK18" s="11"/>
      <c r="AL18" s="11"/>
      <c r="AM18" s="11"/>
      <c r="AN18" s="12"/>
    </row>
    <row r="19" spans="1:40" x14ac:dyDescent="0.25">
      <c r="J19" s="8"/>
      <c r="T19" s="8" t="s">
        <v>23</v>
      </c>
      <c r="U19" s="13">
        <f>SUM(K18:U18)</f>
        <v>3709.8700000000003</v>
      </c>
      <c r="AD19" s="8" t="s">
        <v>23</v>
      </c>
      <c r="AE19" s="13">
        <f>SUM(Z18:AE18)</f>
        <v>240</v>
      </c>
      <c r="AM19" s="8" t="s">
        <v>23</v>
      </c>
      <c r="AN19" s="13">
        <f>SUM(AI18:AN18)</f>
        <v>0</v>
      </c>
    </row>
    <row r="20" spans="1:40" ht="15.75" thickBot="1" x14ac:dyDescent="0.3">
      <c r="A20" s="19"/>
      <c r="B20" s="78" t="s">
        <v>14</v>
      </c>
      <c r="C20" s="78"/>
      <c r="D20" s="78"/>
      <c r="E20" s="78"/>
      <c r="F20" s="78"/>
      <c r="G20" s="78"/>
      <c r="H20" s="78"/>
      <c r="J20" s="79" t="s">
        <v>14</v>
      </c>
      <c r="K20" s="79"/>
      <c r="L20" s="79"/>
      <c r="M20" s="79"/>
      <c r="N20" s="79"/>
      <c r="O20" s="79"/>
      <c r="P20" s="79"/>
      <c r="Q20" s="79"/>
      <c r="R20" s="79"/>
      <c r="S20" s="79"/>
      <c r="T20" s="79"/>
      <c r="U20" s="79"/>
      <c r="Y20" s="80" t="str">
        <f>J20</f>
        <v>Abril</v>
      </c>
      <c r="Z20" s="80"/>
      <c r="AA20" s="80"/>
      <c r="AB20" s="80"/>
      <c r="AC20" s="80"/>
      <c r="AD20" s="80"/>
      <c r="AE20" s="80"/>
      <c r="AH20" s="81" t="str">
        <f>Y20</f>
        <v>Abril</v>
      </c>
      <c r="AI20" s="81"/>
      <c r="AJ20" s="81"/>
      <c r="AK20" s="81"/>
      <c r="AL20" s="81"/>
      <c r="AM20" s="81"/>
      <c r="AN20" s="81"/>
    </row>
    <row r="21" spans="1:40" ht="15.75" thickBot="1" x14ac:dyDescent="0.3">
      <c r="A21" s="77" t="s">
        <v>5</v>
      </c>
      <c r="B21" s="34" t="s">
        <v>6</v>
      </c>
      <c r="C21" s="22" t="s">
        <v>7</v>
      </c>
      <c r="D21" s="33" t="s">
        <v>8</v>
      </c>
      <c r="E21" s="22" t="s">
        <v>9</v>
      </c>
      <c r="F21" s="24" t="s">
        <v>10</v>
      </c>
      <c r="G21" s="23" t="s">
        <v>11</v>
      </c>
      <c r="H21" s="25" t="s">
        <v>12</v>
      </c>
      <c r="J21" s="6" t="s">
        <v>4</v>
      </c>
      <c r="K21" s="9"/>
      <c r="L21" s="4"/>
      <c r="M21" s="4"/>
      <c r="N21" s="4"/>
      <c r="O21" s="4"/>
      <c r="P21" s="4"/>
      <c r="Q21" s="4"/>
      <c r="R21" s="4"/>
      <c r="S21" s="4"/>
      <c r="T21" s="4"/>
      <c r="U21" s="5"/>
      <c r="Y21" s="6" t="s">
        <v>4</v>
      </c>
      <c r="Z21" s="9"/>
      <c r="AA21" s="4"/>
      <c r="AB21" s="4"/>
      <c r="AC21" s="4"/>
      <c r="AD21" s="4"/>
      <c r="AE21" s="5"/>
      <c r="AH21" s="6" t="s">
        <v>4</v>
      </c>
      <c r="AI21" s="9"/>
      <c r="AJ21" s="4"/>
      <c r="AK21" s="4"/>
      <c r="AL21" s="4"/>
      <c r="AM21" s="4"/>
      <c r="AN21" s="5"/>
    </row>
    <row r="22" spans="1:40" ht="15.75" thickBot="1" x14ac:dyDescent="0.3">
      <c r="A22" s="77"/>
      <c r="B22" s="27">
        <v>14286</v>
      </c>
      <c r="C22" s="27"/>
      <c r="D22" s="27"/>
      <c r="E22" s="27">
        <v>18412</v>
      </c>
      <c r="F22" s="27">
        <f>SUM(C22-B22)</f>
        <v>-14286</v>
      </c>
      <c r="G22" s="20">
        <f>SUM(E22-D22)</f>
        <v>18412</v>
      </c>
      <c r="H22" s="21">
        <f>SUM(F22:G22)</f>
        <v>4126</v>
      </c>
      <c r="J22" s="7" t="s">
        <v>22</v>
      </c>
      <c r="K22" s="30"/>
      <c r="L22" s="31"/>
      <c r="M22" s="31"/>
      <c r="N22" s="31"/>
      <c r="O22" s="31"/>
      <c r="P22" s="31"/>
      <c r="Q22" s="31"/>
      <c r="R22" s="31"/>
      <c r="S22" s="31"/>
      <c r="T22" s="31"/>
      <c r="U22" s="32"/>
      <c r="Y22" s="7" t="s">
        <v>22</v>
      </c>
      <c r="Z22" s="10"/>
      <c r="AA22" s="11"/>
      <c r="AB22" s="11"/>
      <c r="AC22" s="11"/>
      <c r="AD22" s="11"/>
      <c r="AE22" s="12"/>
      <c r="AH22" s="7" t="s">
        <v>22</v>
      </c>
      <c r="AI22" s="10"/>
      <c r="AJ22" s="11"/>
      <c r="AK22" s="11"/>
      <c r="AL22" s="11"/>
      <c r="AM22" s="11"/>
      <c r="AN22" s="12"/>
    </row>
    <row r="23" spans="1:40" x14ac:dyDescent="0.25">
      <c r="J23" s="8"/>
      <c r="T23" s="8" t="s">
        <v>23</v>
      </c>
      <c r="U23" s="13">
        <f>SUM(K22:U22)</f>
        <v>0</v>
      </c>
      <c r="AD23" s="8" t="s">
        <v>23</v>
      </c>
      <c r="AE23" s="13">
        <f>SUM(Z22:AE22)</f>
        <v>0</v>
      </c>
      <c r="AM23" s="8" t="s">
        <v>23</v>
      </c>
      <c r="AN23" s="13">
        <f>SUM(AI22:AN22)</f>
        <v>0</v>
      </c>
    </row>
    <row r="24" spans="1:40" ht="15.75" thickBot="1" x14ac:dyDescent="0.3">
      <c r="A24" s="19"/>
      <c r="B24" s="78" t="s">
        <v>15</v>
      </c>
      <c r="C24" s="78"/>
      <c r="D24" s="78"/>
      <c r="E24" s="78"/>
      <c r="F24" s="78"/>
      <c r="G24" s="78"/>
      <c r="H24" s="78"/>
      <c r="J24" s="79" t="s">
        <v>15</v>
      </c>
      <c r="K24" s="79"/>
      <c r="L24" s="79"/>
      <c r="M24" s="79"/>
      <c r="N24" s="79"/>
      <c r="O24" s="79"/>
      <c r="P24" s="79"/>
      <c r="Q24" s="79"/>
      <c r="R24" s="79"/>
      <c r="S24" s="79"/>
      <c r="T24" s="79"/>
      <c r="U24" s="79"/>
      <c r="Y24" s="80" t="str">
        <f>J24</f>
        <v>Maio</v>
      </c>
      <c r="Z24" s="80"/>
      <c r="AA24" s="80"/>
      <c r="AB24" s="80"/>
      <c r="AC24" s="80"/>
      <c r="AD24" s="80"/>
      <c r="AE24" s="80"/>
      <c r="AH24" s="81" t="str">
        <f>Y24</f>
        <v>Maio</v>
      </c>
      <c r="AI24" s="81"/>
      <c r="AJ24" s="81"/>
      <c r="AK24" s="81"/>
      <c r="AL24" s="81"/>
      <c r="AM24" s="81"/>
      <c r="AN24" s="81"/>
    </row>
    <row r="25" spans="1:40" ht="15.75" thickBot="1" x14ac:dyDescent="0.3">
      <c r="A25" s="77" t="s">
        <v>5</v>
      </c>
      <c r="B25" s="34" t="s">
        <v>6</v>
      </c>
      <c r="C25" s="22" t="s">
        <v>7</v>
      </c>
      <c r="D25" s="33" t="s">
        <v>8</v>
      </c>
      <c r="E25" s="22" t="s">
        <v>9</v>
      </c>
      <c r="F25" s="24" t="s">
        <v>10</v>
      </c>
      <c r="G25" s="23" t="s">
        <v>11</v>
      </c>
      <c r="H25" s="25" t="s">
        <v>12</v>
      </c>
      <c r="J25" s="6" t="s">
        <v>4</v>
      </c>
      <c r="K25" s="9"/>
      <c r="L25" s="4"/>
      <c r="M25" s="4"/>
      <c r="N25" s="4"/>
      <c r="O25" s="4"/>
      <c r="P25" s="4"/>
      <c r="Q25" s="4"/>
      <c r="R25" s="4"/>
      <c r="S25" s="4"/>
      <c r="T25" s="4"/>
      <c r="U25" s="5"/>
      <c r="Y25" s="6" t="s">
        <v>4</v>
      </c>
      <c r="Z25" s="9"/>
      <c r="AA25" s="4"/>
      <c r="AB25" s="4"/>
      <c r="AC25" s="4"/>
      <c r="AD25" s="4"/>
      <c r="AE25" s="5"/>
      <c r="AH25" s="6" t="s">
        <v>4</v>
      </c>
      <c r="AI25" s="9"/>
      <c r="AJ25" s="4"/>
      <c r="AK25" s="4"/>
      <c r="AL25" s="4"/>
      <c r="AM25" s="4"/>
      <c r="AN25" s="5"/>
    </row>
    <row r="26" spans="1:40" ht="15.75" thickBot="1" x14ac:dyDescent="0.3">
      <c r="A26" s="77"/>
      <c r="B26" s="27">
        <v>18412</v>
      </c>
      <c r="C26" s="27"/>
      <c r="D26" s="27"/>
      <c r="E26" s="27">
        <v>23367</v>
      </c>
      <c r="F26" s="27">
        <f>SUM(C26-B26)</f>
        <v>-18412</v>
      </c>
      <c r="G26" s="20">
        <f>SUM(E26-D26)</f>
        <v>23367</v>
      </c>
      <c r="H26" s="21">
        <f>SUM(F26:G26)</f>
        <v>4955</v>
      </c>
      <c r="J26" s="7" t="s">
        <v>22</v>
      </c>
      <c r="K26" s="10"/>
      <c r="L26" s="11"/>
      <c r="M26" s="11"/>
      <c r="N26" s="11"/>
      <c r="O26" s="11"/>
      <c r="P26" s="11"/>
      <c r="Q26" s="11"/>
      <c r="R26" s="11"/>
      <c r="S26" s="11"/>
      <c r="T26" s="11"/>
      <c r="U26" s="12"/>
      <c r="Y26" s="7" t="s">
        <v>22</v>
      </c>
      <c r="Z26" s="10"/>
      <c r="AA26" s="11"/>
      <c r="AB26" s="11"/>
      <c r="AC26" s="11"/>
      <c r="AD26" s="11"/>
      <c r="AE26" s="12"/>
      <c r="AH26" s="7" t="s">
        <v>22</v>
      </c>
      <c r="AI26" s="10"/>
      <c r="AJ26" s="11"/>
      <c r="AK26" s="11"/>
      <c r="AL26" s="11"/>
      <c r="AM26" s="11"/>
      <c r="AN26" s="12"/>
    </row>
    <row r="27" spans="1:40" x14ac:dyDescent="0.25">
      <c r="J27" s="8"/>
      <c r="T27" s="8" t="s">
        <v>23</v>
      </c>
      <c r="U27" s="13">
        <f>SUM(K26:U26)</f>
        <v>0</v>
      </c>
      <c r="AD27" s="8" t="s">
        <v>23</v>
      </c>
      <c r="AE27" s="13">
        <f>SUM(Z26:AE26)</f>
        <v>0</v>
      </c>
      <c r="AM27" s="8" t="s">
        <v>23</v>
      </c>
      <c r="AN27" s="13">
        <f>SUM(AI26:AN26)</f>
        <v>0</v>
      </c>
    </row>
    <row r="28" spans="1:40" ht="15.75" thickBot="1" x14ac:dyDescent="0.3">
      <c r="A28" s="19"/>
      <c r="B28" s="78" t="s">
        <v>24</v>
      </c>
      <c r="C28" s="78"/>
      <c r="D28" s="78"/>
      <c r="E28" s="78"/>
      <c r="F28" s="78"/>
      <c r="G28" s="78"/>
      <c r="H28" s="78"/>
      <c r="J28" s="79" t="s">
        <v>24</v>
      </c>
      <c r="K28" s="79"/>
      <c r="L28" s="79"/>
      <c r="M28" s="79"/>
      <c r="N28" s="79"/>
      <c r="O28" s="79"/>
      <c r="P28" s="79"/>
      <c r="Q28" s="79"/>
      <c r="R28" s="79"/>
      <c r="S28" s="79"/>
      <c r="T28" s="79"/>
      <c r="U28" s="79"/>
      <c r="Y28" s="80" t="str">
        <f>J28</f>
        <v>Junho</v>
      </c>
      <c r="Z28" s="80"/>
      <c r="AA28" s="80"/>
      <c r="AB28" s="80"/>
      <c r="AC28" s="80"/>
      <c r="AD28" s="80"/>
      <c r="AE28" s="80"/>
      <c r="AH28" s="81" t="str">
        <f>Y28</f>
        <v>Junho</v>
      </c>
      <c r="AI28" s="81"/>
      <c r="AJ28" s="81"/>
      <c r="AK28" s="81"/>
      <c r="AL28" s="81"/>
      <c r="AM28" s="81"/>
      <c r="AN28" s="81"/>
    </row>
    <row r="29" spans="1:40" ht="15.75" thickBot="1" x14ac:dyDescent="0.3">
      <c r="A29" s="77" t="s">
        <v>5</v>
      </c>
      <c r="B29" s="34" t="s">
        <v>6</v>
      </c>
      <c r="C29" s="22" t="s">
        <v>7</v>
      </c>
      <c r="D29" s="33" t="s">
        <v>8</v>
      </c>
      <c r="E29" s="22" t="s">
        <v>9</v>
      </c>
      <c r="F29" s="24" t="s">
        <v>10</v>
      </c>
      <c r="G29" s="23" t="s">
        <v>11</v>
      </c>
      <c r="H29" s="25" t="s">
        <v>12</v>
      </c>
      <c r="J29" s="6" t="s">
        <v>4</v>
      </c>
      <c r="K29" s="9"/>
      <c r="L29" s="4"/>
      <c r="M29" s="4"/>
      <c r="N29" s="4"/>
      <c r="O29" s="4"/>
      <c r="P29" s="4"/>
      <c r="Q29" s="4"/>
      <c r="R29" s="4"/>
      <c r="S29" s="4"/>
      <c r="T29" s="4"/>
      <c r="U29" s="5"/>
      <c r="Y29" s="6" t="s">
        <v>4</v>
      </c>
      <c r="Z29" s="9"/>
      <c r="AA29" s="4"/>
      <c r="AB29" s="4"/>
      <c r="AC29" s="4"/>
      <c r="AD29" s="4"/>
      <c r="AE29" s="5"/>
      <c r="AH29" s="6" t="s">
        <v>4</v>
      </c>
      <c r="AI29" s="9"/>
      <c r="AJ29" s="4"/>
      <c r="AK29" s="4"/>
      <c r="AL29" s="4"/>
      <c r="AM29" s="4"/>
      <c r="AN29" s="5"/>
    </row>
    <row r="30" spans="1:40" ht="15.75" thickBot="1" x14ac:dyDescent="0.3">
      <c r="A30" s="77"/>
      <c r="B30" s="26"/>
      <c r="C30" s="27"/>
      <c r="D30" s="27"/>
      <c r="E30" s="27"/>
      <c r="F30" s="27">
        <f>SUM(C30-B30)</f>
        <v>0</v>
      </c>
      <c r="G30" s="20">
        <f>SUM(E30-D30)</f>
        <v>0</v>
      </c>
      <c r="H30" s="21">
        <f>SUM(F30:G30)</f>
        <v>0</v>
      </c>
      <c r="J30" s="7" t="s">
        <v>22</v>
      </c>
      <c r="K30" s="10"/>
      <c r="L30" s="11"/>
      <c r="M30" s="11"/>
      <c r="N30" s="11"/>
      <c r="O30" s="11"/>
      <c r="P30" s="11"/>
      <c r="Q30" s="11"/>
      <c r="R30" s="11"/>
      <c r="S30" s="11"/>
      <c r="T30" s="11"/>
      <c r="U30" s="12"/>
      <c r="Y30" s="7" t="s">
        <v>22</v>
      </c>
      <c r="Z30" s="10"/>
      <c r="AA30" s="11"/>
      <c r="AB30" s="11"/>
      <c r="AC30" s="11"/>
      <c r="AD30" s="11"/>
      <c r="AE30" s="12"/>
      <c r="AH30" s="7" t="s">
        <v>22</v>
      </c>
      <c r="AI30" s="10"/>
      <c r="AJ30" s="11"/>
      <c r="AK30" s="11"/>
      <c r="AL30" s="11"/>
      <c r="AM30" s="11"/>
      <c r="AN30" s="12"/>
    </row>
    <row r="31" spans="1:40" x14ac:dyDescent="0.25">
      <c r="J31" s="8"/>
      <c r="T31" s="8" t="s">
        <v>23</v>
      </c>
      <c r="U31" s="13">
        <f>SUM(K30:U30)</f>
        <v>0</v>
      </c>
      <c r="AD31" s="8" t="s">
        <v>23</v>
      </c>
      <c r="AE31" s="13">
        <f>SUM(Z30:AE30)</f>
        <v>0</v>
      </c>
      <c r="AM31" s="8" t="s">
        <v>23</v>
      </c>
      <c r="AN31" s="13">
        <f>SUM(AI30:AN30)</f>
        <v>0</v>
      </c>
    </row>
    <row r="32" spans="1:40" ht="15.75" thickBot="1" x14ac:dyDescent="0.3">
      <c r="A32" s="19"/>
      <c r="B32" s="78" t="s">
        <v>16</v>
      </c>
      <c r="C32" s="78"/>
      <c r="D32" s="78"/>
      <c r="E32" s="78"/>
      <c r="F32" s="78"/>
      <c r="G32" s="78"/>
      <c r="H32" s="78"/>
      <c r="J32" s="79" t="s">
        <v>16</v>
      </c>
      <c r="K32" s="79"/>
      <c r="L32" s="79"/>
      <c r="M32" s="79"/>
      <c r="N32" s="79"/>
      <c r="O32" s="79"/>
      <c r="P32" s="79"/>
      <c r="Q32" s="79"/>
      <c r="R32" s="79"/>
      <c r="S32" s="79"/>
      <c r="T32" s="79"/>
      <c r="U32" s="79"/>
      <c r="Y32" s="80" t="str">
        <f>J32</f>
        <v>Julho</v>
      </c>
      <c r="Z32" s="80"/>
      <c r="AA32" s="80"/>
      <c r="AB32" s="80"/>
      <c r="AC32" s="80"/>
      <c r="AD32" s="80"/>
      <c r="AE32" s="80"/>
      <c r="AH32" s="81" t="str">
        <f>Y32</f>
        <v>Julho</v>
      </c>
      <c r="AI32" s="81"/>
      <c r="AJ32" s="81"/>
      <c r="AK32" s="81"/>
      <c r="AL32" s="81"/>
      <c r="AM32" s="81"/>
      <c r="AN32" s="81"/>
    </row>
    <row r="33" spans="1:40" ht="15.75" thickBot="1" x14ac:dyDescent="0.3">
      <c r="A33" s="77" t="s">
        <v>5</v>
      </c>
      <c r="B33" s="34" t="s">
        <v>6</v>
      </c>
      <c r="C33" s="22" t="s">
        <v>7</v>
      </c>
      <c r="D33" s="33" t="s">
        <v>8</v>
      </c>
      <c r="E33" s="22" t="s">
        <v>9</v>
      </c>
      <c r="F33" s="24" t="s">
        <v>10</v>
      </c>
      <c r="G33" s="23" t="s">
        <v>11</v>
      </c>
      <c r="H33" s="25" t="s">
        <v>12</v>
      </c>
      <c r="J33" s="6" t="s">
        <v>4</v>
      </c>
      <c r="K33" s="9"/>
      <c r="L33" s="4"/>
      <c r="M33" s="4"/>
      <c r="N33" s="4"/>
      <c r="O33" s="4"/>
      <c r="P33" s="4"/>
      <c r="Q33" s="4"/>
      <c r="R33" s="4"/>
      <c r="S33" s="4"/>
      <c r="T33" s="4"/>
      <c r="U33" s="5"/>
      <c r="Y33" s="6" t="s">
        <v>4</v>
      </c>
      <c r="Z33" s="9"/>
      <c r="AA33" s="4"/>
      <c r="AB33" s="4"/>
      <c r="AC33" s="4"/>
      <c r="AD33" s="4"/>
      <c r="AE33" s="5"/>
      <c r="AH33" s="6" t="s">
        <v>4</v>
      </c>
      <c r="AI33" s="9"/>
      <c r="AJ33" s="4"/>
      <c r="AK33" s="4"/>
      <c r="AL33" s="4"/>
      <c r="AM33" s="4"/>
      <c r="AN33" s="5"/>
    </row>
    <row r="34" spans="1:40" ht="15.75" thickBot="1" x14ac:dyDescent="0.3">
      <c r="A34" s="77"/>
      <c r="B34" s="26"/>
      <c r="C34" s="27"/>
      <c r="D34" s="27"/>
      <c r="E34" s="27"/>
      <c r="F34" s="27">
        <f>SUM(C34-B34)</f>
        <v>0</v>
      </c>
      <c r="G34" s="20">
        <f>SUM(E34-D34)</f>
        <v>0</v>
      </c>
      <c r="H34" s="21">
        <f>SUM(F34:G34)</f>
        <v>0</v>
      </c>
      <c r="J34" s="7" t="s">
        <v>22</v>
      </c>
      <c r="K34" s="10"/>
      <c r="L34" s="11"/>
      <c r="M34" s="11"/>
      <c r="N34" s="11"/>
      <c r="O34" s="11"/>
      <c r="P34" s="11"/>
      <c r="Q34" s="11"/>
      <c r="R34" s="11"/>
      <c r="S34" s="11"/>
      <c r="T34" s="11"/>
      <c r="U34" s="12"/>
      <c r="Y34" s="7" t="s">
        <v>22</v>
      </c>
      <c r="Z34" s="10"/>
      <c r="AA34" s="11"/>
      <c r="AB34" s="11"/>
      <c r="AC34" s="11"/>
      <c r="AD34" s="11"/>
      <c r="AE34" s="12"/>
      <c r="AH34" s="7" t="s">
        <v>22</v>
      </c>
      <c r="AI34" s="10"/>
      <c r="AJ34" s="11"/>
      <c r="AK34" s="11"/>
      <c r="AL34" s="11"/>
      <c r="AM34" s="11"/>
      <c r="AN34" s="12"/>
    </row>
    <row r="35" spans="1:40" x14ac:dyDescent="0.25">
      <c r="J35" s="8"/>
      <c r="T35" s="8" t="s">
        <v>23</v>
      </c>
      <c r="U35" s="13">
        <f>SUM(K34:U34)</f>
        <v>0</v>
      </c>
      <c r="AD35" s="8" t="s">
        <v>23</v>
      </c>
      <c r="AE35" s="13">
        <f>SUM(Z34:AE34)</f>
        <v>0</v>
      </c>
      <c r="AM35" s="8" t="s">
        <v>23</v>
      </c>
      <c r="AN35" s="13">
        <f>SUM(AI34:AN34)</f>
        <v>0</v>
      </c>
    </row>
    <row r="36" spans="1:40" ht="15.75" thickBot="1" x14ac:dyDescent="0.3">
      <c r="A36" s="19"/>
      <c r="B36" s="78" t="s">
        <v>17</v>
      </c>
      <c r="C36" s="78"/>
      <c r="D36" s="78"/>
      <c r="E36" s="78"/>
      <c r="F36" s="78"/>
      <c r="G36" s="78"/>
      <c r="H36" s="78"/>
      <c r="J36" s="79" t="s">
        <v>17</v>
      </c>
      <c r="K36" s="79"/>
      <c r="L36" s="79"/>
      <c r="M36" s="79"/>
      <c r="N36" s="79"/>
      <c r="O36" s="79"/>
      <c r="P36" s="79"/>
      <c r="Q36" s="79"/>
      <c r="R36" s="79"/>
      <c r="S36" s="79"/>
      <c r="T36" s="79"/>
      <c r="U36" s="79"/>
      <c r="Y36" s="80" t="str">
        <f>J36</f>
        <v>Agosto</v>
      </c>
      <c r="Z36" s="80"/>
      <c r="AA36" s="80"/>
      <c r="AB36" s="80"/>
      <c r="AC36" s="80"/>
      <c r="AD36" s="80"/>
      <c r="AE36" s="80"/>
      <c r="AH36" s="81" t="str">
        <f>Y36</f>
        <v>Agosto</v>
      </c>
      <c r="AI36" s="81"/>
      <c r="AJ36" s="81"/>
      <c r="AK36" s="81"/>
      <c r="AL36" s="81"/>
      <c r="AM36" s="81"/>
      <c r="AN36" s="81"/>
    </row>
    <row r="37" spans="1:40" ht="15.75" thickBot="1" x14ac:dyDescent="0.3">
      <c r="A37" s="77" t="s">
        <v>5</v>
      </c>
      <c r="B37" s="34" t="s">
        <v>6</v>
      </c>
      <c r="C37" s="22" t="s">
        <v>7</v>
      </c>
      <c r="D37" s="33" t="s">
        <v>8</v>
      </c>
      <c r="E37" s="22" t="s">
        <v>9</v>
      </c>
      <c r="F37" s="24" t="s">
        <v>10</v>
      </c>
      <c r="G37" s="23" t="s">
        <v>11</v>
      </c>
      <c r="H37" s="25" t="s">
        <v>12</v>
      </c>
      <c r="J37" s="6" t="s">
        <v>4</v>
      </c>
      <c r="K37" s="9"/>
      <c r="L37" s="4"/>
      <c r="M37" s="4"/>
      <c r="N37" s="4"/>
      <c r="O37" s="4"/>
      <c r="P37" s="4"/>
      <c r="Q37" s="4"/>
      <c r="R37" s="4"/>
      <c r="S37" s="4"/>
      <c r="T37" s="4"/>
      <c r="U37" s="5"/>
      <c r="Y37" s="6" t="s">
        <v>4</v>
      </c>
      <c r="Z37" s="9"/>
      <c r="AA37" s="4"/>
      <c r="AB37" s="4"/>
      <c r="AC37" s="4"/>
      <c r="AD37" s="4"/>
      <c r="AE37" s="5"/>
      <c r="AH37" s="6" t="s">
        <v>4</v>
      </c>
      <c r="AI37" s="9"/>
      <c r="AJ37" s="4"/>
      <c r="AK37" s="4"/>
      <c r="AL37" s="4"/>
      <c r="AM37" s="4"/>
      <c r="AN37" s="5"/>
    </row>
    <row r="38" spans="1:40" ht="15.75" thickBot="1" x14ac:dyDescent="0.3">
      <c r="A38" s="77"/>
      <c r="B38" s="26"/>
      <c r="C38" s="27"/>
      <c r="D38" s="27"/>
      <c r="E38" s="27"/>
      <c r="F38" s="27">
        <f>SUM(C38-B38)</f>
        <v>0</v>
      </c>
      <c r="G38" s="20">
        <f>SUM(E38-D38)</f>
        <v>0</v>
      </c>
      <c r="H38" s="21">
        <f>SUM(F38:G38)</f>
        <v>0</v>
      </c>
      <c r="J38" s="7" t="s">
        <v>22</v>
      </c>
      <c r="K38" s="10"/>
      <c r="L38" s="11"/>
      <c r="M38" s="11"/>
      <c r="N38" s="11"/>
      <c r="O38" s="11"/>
      <c r="P38" s="11"/>
      <c r="Q38" s="11"/>
      <c r="R38" s="11"/>
      <c r="S38" s="11"/>
      <c r="T38" s="11"/>
      <c r="U38" s="12"/>
      <c r="Y38" s="7" t="s">
        <v>22</v>
      </c>
      <c r="Z38" s="10"/>
      <c r="AA38" s="11"/>
      <c r="AB38" s="11"/>
      <c r="AC38" s="11"/>
      <c r="AD38" s="11"/>
      <c r="AE38" s="12"/>
      <c r="AH38" s="7" t="s">
        <v>22</v>
      </c>
      <c r="AI38" s="10"/>
      <c r="AJ38" s="11"/>
      <c r="AK38" s="11"/>
      <c r="AL38" s="11"/>
      <c r="AM38" s="11"/>
      <c r="AN38" s="12"/>
    </row>
    <row r="39" spans="1:40" x14ac:dyDescent="0.25">
      <c r="J39" s="8"/>
      <c r="T39" s="8" t="s">
        <v>23</v>
      </c>
      <c r="U39" s="13">
        <f>SUM(K38:U38)</f>
        <v>0</v>
      </c>
      <c r="AD39" s="8" t="s">
        <v>23</v>
      </c>
      <c r="AE39" s="13">
        <f>SUM(Z38:AE38)</f>
        <v>0</v>
      </c>
      <c r="AM39" s="8" t="s">
        <v>23</v>
      </c>
      <c r="AN39" s="13">
        <f>SUM(AI38:AN38)</f>
        <v>0</v>
      </c>
    </row>
    <row r="40" spans="1:40" ht="15.75" thickBot="1" x14ac:dyDescent="0.3">
      <c r="A40" s="19"/>
      <c r="B40" s="78" t="s">
        <v>18</v>
      </c>
      <c r="C40" s="78"/>
      <c r="D40" s="78"/>
      <c r="E40" s="78"/>
      <c r="F40" s="78"/>
      <c r="G40" s="78"/>
      <c r="H40" s="78"/>
      <c r="J40" s="79" t="s">
        <v>18</v>
      </c>
      <c r="K40" s="79"/>
      <c r="L40" s="79"/>
      <c r="M40" s="79"/>
      <c r="N40" s="79"/>
      <c r="O40" s="79"/>
      <c r="P40" s="79"/>
      <c r="Q40" s="79"/>
      <c r="R40" s="79"/>
      <c r="S40" s="79"/>
      <c r="T40" s="79"/>
      <c r="U40" s="79"/>
      <c r="Y40" s="80" t="str">
        <f>J40</f>
        <v>Setembro</v>
      </c>
      <c r="Z40" s="80"/>
      <c r="AA40" s="80"/>
      <c r="AB40" s="80"/>
      <c r="AC40" s="80"/>
      <c r="AD40" s="80"/>
      <c r="AE40" s="80"/>
      <c r="AH40" s="81" t="str">
        <f>Y40</f>
        <v>Setembro</v>
      </c>
      <c r="AI40" s="81"/>
      <c r="AJ40" s="81"/>
      <c r="AK40" s="81"/>
      <c r="AL40" s="81"/>
      <c r="AM40" s="81"/>
      <c r="AN40" s="81"/>
    </row>
    <row r="41" spans="1:40" ht="15.75" thickBot="1" x14ac:dyDescent="0.3">
      <c r="A41" s="77" t="s">
        <v>5</v>
      </c>
      <c r="B41" s="34" t="s">
        <v>6</v>
      </c>
      <c r="C41" s="22" t="s">
        <v>7</v>
      </c>
      <c r="D41" s="33" t="s">
        <v>8</v>
      </c>
      <c r="E41" s="22" t="s">
        <v>9</v>
      </c>
      <c r="F41" s="24" t="s">
        <v>10</v>
      </c>
      <c r="G41" s="23" t="s">
        <v>11</v>
      </c>
      <c r="H41" s="25" t="s">
        <v>12</v>
      </c>
      <c r="J41" s="6" t="s">
        <v>4</v>
      </c>
      <c r="K41" s="9"/>
      <c r="L41" s="4"/>
      <c r="M41" s="4"/>
      <c r="N41" s="4"/>
      <c r="O41" s="4"/>
      <c r="P41" s="4"/>
      <c r="Q41" s="4"/>
      <c r="R41" s="4"/>
      <c r="S41" s="4"/>
      <c r="T41" s="4"/>
      <c r="U41" s="5"/>
      <c r="Y41" s="6" t="s">
        <v>4</v>
      </c>
      <c r="Z41" s="9"/>
      <c r="AA41" s="4"/>
      <c r="AB41" s="4"/>
      <c r="AC41" s="4"/>
      <c r="AD41" s="4"/>
      <c r="AE41" s="5"/>
      <c r="AH41" s="6" t="s">
        <v>4</v>
      </c>
      <c r="AI41" s="9"/>
      <c r="AJ41" s="4"/>
      <c r="AK41" s="4"/>
      <c r="AL41" s="4"/>
      <c r="AM41" s="4"/>
      <c r="AN41" s="5"/>
    </row>
    <row r="42" spans="1:40" ht="15.75" thickBot="1" x14ac:dyDescent="0.3">
      <c r="A42" s="77"/>
      <c r="B42" s="26"/>
      <c r="C42" s="27"/>
      <c r="D42" s="27"/>
      <c r="E42" s="27"/>
      <c r="F42" s="27">
        <f>SUM(C42-B42)</f>
        <v>0</v>
      </c>
      <c r="G42" s="20">
        <f>SUM(E42-D42)</f>
        <v>0</v>
      </c>
      <c r="H42" s="21">
        <f>SUM(F42:G42)</f>
        <v>0</v>
      </c>
      <c r="J42" s="7" t="s">
        <v>22</v>
      </c>
      <c r="K42" s="10"/>
      <c r="L42" s="11"/>
      <c r="M42" s="11"/>
      <c r="N42" s="11"/>
      <c r="O42" s="11"/>
      <c r="P42" s="11"/>
      <c r="Q42" s="11"/>
      <c r="R42" s="11"/>
      <c r="S42" s="11"/>
      <c r="T42" s="11"/>
      <c r="U42" s="12"/>
      <c r="Y42" s="7" t="s">
        <v>22</v>
      </c>
      <c r="Z42" s="10"/>
      <c r="AA42" s="11"/>
      <c r="AB42" s="11"/>
      <c r="AC42" s="11"/>
      <c r="AD42" s="11"/>
      <c r="AE42" s="12"/>
      <c r="AH42" s="7" t="s">
        <v>22</v>
      </c>
      <c r="AI42" s="10"/>
      <c r="AJ42" s="11"/>
      <c r="AK42" s="11"/>
      <c r="AL42" s="11"/>
      <c r="AM42" s="11"/>
      <c r="AN42" s="12"/>
    </row>
    <row r="43" spans="1:40" x14ac:dyDescent="0.25">
      <c r="J43" s="8"/>
      <c r="T43" s="8" t="s">
        <v>23</v>
      </c>
      <c r="U43" s="13">
        <f>SUM(K42:U42)</f>
        <v>0</v>
      </c>
      <c r="AD43" s="8" t="s">
        <v>23</v>
      </c>
      <c r="AE43" s="13">
        <f>SUM(Z42:AE42)</f>
        <v>0</v>
      </c>
      <c r="AM43" s="8" t="s">
        <v>23</v>
      </c>
      <c r="AN43" s="13">
        <f>SUM(AI42:AN42)</f>
        <v>0</v>
      </c>
    </row>
    <row r="44" spans="1:40" ht="15.75" thickBot="1" x14ac:dyDescent="0.3">
      <c r="A44" s="19"/>
      <c r="B44" s="78" t="s">
        <v>19</v>
      </c>
      <c r="C44" s="78"/>
      <c r="D44" s="78"/>
      <c r="E44" s="78"/>
      <c r="F44" s="78"/>
      <c r="G44" s="78"/>
      <c r="H44" s="78"/>
      <c r="J44" s="79" t="s">
        <v>19</v>
      </c>
      <c r="K44" s="79"/>
      <c r="L44" s="79"/>
      <c r="M44" s="79"/>
      <c r="N44" s="79"/>
      <c r="O44" s="79"/>
      <c r="P44" s="79"/>
      <c r="Q44" s="79"/>
      <c r="R44" s="79"/>
      <c r="S44" s="79"/>
      <c r="T44" s="79"/>
      <c r="U44" s="79"/>
      <c r="Y44" s="80" t="str">
        <f>J44</f>
        <v>Outubro</v>
      </c>
      <c r="Z44" s="80"/>
      <c r="AA44" s="80"/>
      <c r="AB44" s="80"/>
      <c r="AC44" s="80"/>
      <c r="AD44" s="80"/>
      <c r="AE44" s="80"/>
      <c r="AH44" s="81" t="str">
        <f>Y44</f>
        <v>Outubro</v>
      </c>
      <c r="AI44" s="81"/>
      <c r="AJ44" s="81"/>
      <c r="AK44" s="81"/>
      <c r="AL44" s="81"/>
      <c r="AM44" s="81"/>
      <c r="AN44" s="81"/>
    </row>
    <row r="45" spans="1:40" ht="15.75" thickBot="1" x14ac:dyDescent="0.3">
      <c r="A45" s="77" t="s">
        <v>5</v>
      </c>
      <c r="B45" s="34" t="s">
        <v>6</v>
      </c>
      <c r="C45" s="22" t="s">
        <v>7</v>
      </c>
      <c r="D45" s="33" t="s">
        <v>8</v>
      </c>
      <c r="E45" s="22" t="s">
        <v>9</v>
      </c>
      <c r="F45" s="24" t="s">
        <v>10</v>
      </c>
      <c r="G45" s="23" t="s">
        <v>11</v>
      </c>
      <c r="H45" s="25" t="s">
        <v>12</v>
      </c>
      <c r="J45" s="6" t="s">
        <v>4</v>
      </c>
      <c r="K45" s="9"/>
      <c r="L45" s="4"/>
      <c r="M45" s="4"/>
      <c r="N45" s="4"/>
      <c r="O45" s="4"/>
      <c r="P45" s="4"/>
      <c r="Q45" s="4"/>
      <c r="R45" s="4"/>
      <c r="S45" s="4"/>
      <c r="T45" s="4"/>
      <c r="U45" s="5"/>
      <c r="Y45" s="6" t="s">
        <v>4</v>
      </c>
      <c r="Z45" s="9"/>
      <c r="AA45" s="4"/>
      <c r="AB45" s="4"/>
      <c r="AC45" s="4"/>
      <c r="AD45" s="4"/>
      <c r="AE45" s="5"/>
      <c r="AH45" s="6" t="s">
        <v>4</v>
      </c>
      <c r="AI45" s="9"/>
      <c r="AJ45" s="4"/>
      <c r="AK45" s="4"/>
      <c r="AL45" s="4"/>
      <c r="AM45" s="4"/>
      <c r="AN45" s="5"/>
    </row>
    <row r="46" spans="1:40" ht="15.75" thickBot="1" x14ac:dyDescent="0.3">
      <c r="A46" s="77"/>
      <c r="B46" s="26"/>
      <c r="C46" s="27"/>
      <c r="D46" s="27"/>
      <c r="E46" s="27"/>
      <c r="F46" s="27">
        <f>SUM(C46-B46)</f>
        <v>0</v>
      </c>
      <c r="G46" s="20">
        <f>SUM(E46-D46)</f>
        <v>0</v>
      </c>
      <c r="H46" s="21">
        <f>SUM(F46:G46)</f>
        <v>0</v>
      </c>
      <c r="J46" s="7" t="s">
        <v>22</v>
      </c>
      <c r="K46" s="10"/>
      <c r="L46" s="11"/>
      <c r="M46" s="11"/>
      <c r="N46" s="11"/>
      <c r="O46" s="11"/>
      <c r="P46" s="11"/>
      <c r="Q46" s="11"/>
      <c r="R46" s="11"/>
      <c r="S46" s="11"/>
      <c r="T46" s="11"/>
      <c r="U46" s="12"/>
      <c r="Y46" s="7" t="s">
        <v>22</v>
      </c>
      <c r="Z46" s="10"/>
      <c r="AA46" s="11"/>
      <c r="AB46" s="11"/>
      <c r="AC46" s="11"/>
      <c r="AD46" s="11"/>
      <c r="AE46" s="12"/>
      <c r="AH46" s="7" t="s">
        <v>22</v>
      </c>
      <c r="AI46" s="10"/>
      <c r="AJ46" s="11"/>
      <c r="AK46" s="11"/>
      <c r="AL46" s="11"/>
      <c r="AM46" s="11"/>
      <c r="AN46" s="12"/>
    </row>
    <row r="47" spans="1:40" x14ac:dyDescent="0.25">
      <c r="J47" s="8"/>
      <c r="T47" s="8" t="s">
        <v>23</v>
      </c>
      <c r="U47" s="13">
        <f>SUM(K46:U46)</f>
        <v>0</v>
      </c>
      <c r="AD47" s="8" t="s">
        <v>23</v>
      </c>
      <c r="AE47" s="13">
        <f>SUM(Z46:AE46)</f>
        <v>0</v>
      </c>
      <c r="AM47" s="8" t="s">
        <v>23</v>
      </c>
      <c r="AN47" s="13">
        <f>SUM(AI46:AN46)</f>
        <v>0</v>
      </c>
    </row>
    <row r="48" spans="1:40" ht="15.75" thickBot="1" x14ac:dyDescent="0.3">
      <c r="A48" s="19"/>
      <c r="B48" s="78" t="s">
        <v>20</v>
      </c>
      <c r="C48" s="78"/>
      <c r="D48" s="78"/>
      <c r="E48" s="78"/>
      <c r="F48" s="78"/>
      <c r="G48" s="78"/>
      <c r="H48" s="78"/>
      <c r="J48" s="79" t="s">
        <v>20</v>
      </c>
      <c r="K48" s="79"/>
      <c r="L48" s="79"/>
      <c r="M48" s="79"/>
      <c r="N48" s="79"/>
      <c r="O48" s="79"/>
      <c r="P48" s="79"/>
      <c r="Q48" s="79"/>
      <c r="R48" s="79"/>
      <c r="S48" s="79"/>
      <c r="T48" s="79"/>
      <c r="U48" s="79"/>
      <c r="Y48" s="80" t="str">
        <f>J48</f>
        <v>Novembro</v>
      </c>
      <c r="Z48" s="80"/>
      <c r="AA48" s="80"/>
      <c r="AB48" s="80"/>
      <c r="AC48" s="80"/>
      <c r="AD48" s="80"/>
      <c r="AE48" s="80"/>
      <c r="AH48" s="81" t="str">
        <f>Y48</f>
        <v>Novembro</v>
      </c>
      <c r="AI48" s="81"/>
      <c r="AJ48" s="81"/>
      <c r="AK48" s="81"/>
      <c r="AL48" s="81"/>
      <c r="AM48" s="81"/>
      <c r="AN48" s="81"/>
    </row>
    <row r="49" spans="1:40" ht="15.75" thickBot="1" x14ac:dyDescent="0.3">
      <c r="A49" s="77" t="s">
        <v>5</v>
      </c>
      <c r="B49" s="34" t="s">
        <v>6</v>
      </c>
      <c r="C49" s="22" t="s">
        <v>7</v>
      </c>
      <c r="D49" s="33" t="s">
        <v>8</v>
      </c>
      <c r="E49" s="22" t="s">
        <v>9</v>
      </c>
      <c r="F49" s="24" t="s">
        <v>10</v>
      </c>
      <c r="G49" s="23" t="s">
        <v>11</v>
      </c>
      <c r="H49" s="25" t="s">
        <v>12</v>
      </c>
      <c r="J49" s="6" t="s">
        <v>4</v>
      </c>
      <c r="K49" s="9"/>
      <c r="L49" s="4"/>
      <c r="M49" s="4"/>
      <c r="N49" s="4"/>
      <c r="O49" s="4"/>
      <c r="P49" s="4"/>
      <c r="Q49" s="4"/>
      <c r="R49" s="4"/>
      <c r="S49" s="4"/>
      <c r="T49" s="4"/>
      <c r="U49" s="5"/>
      <c r="Y49" s="6" t="s">
        <v>4</v>
      </c>
      <c r="Z49" s="9"/>
      <c r="AA49" s="4"/>
      <c r="AB49" s="4"/>
      <c r="AC49" s="4"/>
      <c r="AD49" s="4"/>
      <c r="AE49" s="5"/>
      <c r="AH49" s="6" t="s">
        <v>4</v>
      </c>
      <c r="AI49" s="9"/>
      <c r="AJ49" s="4"/>
      <c r="AK49" s="4"/>
      <c r="AL49" s="4"/>
      <c r="AM49" s="4"/>
      <c r="AN49" s="5"/>
    </row>
    <row r="50" spans="1:40" ht="15.75" thickBot="1" x14ac:dyDescent="0.3">
      <c r="A50" s="77"/>
      <c r="B50" s="26"/>
      <c r="C50" s="27"/>
      <c r="D50" s="27"/>
      <c r="E50" s="27"/>
      <c r="F50" s="27">
        <f>SUM(C50-B50)</f>
        <v>0</v>
      </c>
      <c r="G50" s="20">
        <f>SUM(E50-D50)</f>
        <v>0</v>
      </c>
      <c r="H50" s="21">
        <f>SUM(F50:G50)</f>
        <v>0</v>
      </c>
      <c r="J50" s="7" t="s">
        <v>22</v>
      </c>
      <c r="K50" s="10"/>
      <c r="L50" s="11"/>
      <c r="M50" s="11"/>
      <c r="N50" s="11"/>
      <c r="O50" s="11"/>
      <c r="P50" s="11"/>
      <c r="Q50" s="11"/>
      <c r="R50" s="11"/>
      <c r="S50" s="11"/>
      <c r="T50" s="11"/>
      <c r="U50" s="12"/>
      <c r="Y50" s="7" t="s">
        <v>22</v>
      </c>
      <c r="Z50" s="10"/>
      <c r="AA50" s="11"/>
      <c r="AB50" s="11"/>
      <c r="AC50" s="11"/>
      <c r="AD50" s="11"/>
      <c r="AE50" s="12"/>
      <c r="AH50" s="7" t="s">
        <v>22</v>
      </c>
      <c r="AI50" s="10"/>
      <c r="AJ50" s="11"/>
      <c r="AK50" s="11"/>
      <c r="AL50" s="11"/>
      <c r="AM50" s="11"/>
      <c r="AN50" s="12"/>
    </row>
    <row r="51" spans="1:40" x14ac:dyDescent="0.25">
      <c r="J51" s="8"/>
      <c r="T51" s="8" t="s">
        <v>23</v>
      </c>
      <c r="U51" s="13">
        <f>SUM(K50:U50)</f>
        <v>0</v>
      </c>
      <c r="AD51" s="8" t="s">
        <v>23</v>
      </c>
      <c r="AE51" s="13">
        <f>SUM(Z50:AE50)</f>
        <v>0</v>
      </c>
      <c r="AM51" s="8" t="s">
        <v>23</v>
      </c>
      <c r="AN51" s="13">
        <f>SUM(AI50:AN50)</f>
        <v>0</v>
      </c>
    </row>
    <row r="52" spans="1:40" ht="15.75" thickBot="1" x14ac:dyDescent="0.3">
      <c r="A52" s="19"/>
      <c r="B52" s="78" t="s">
        <v>21</v>
      </c>
      <c r="C52" s="78"/>
      <c r="D52" s="78"/>
      <c r="E52" s="78"/>
      <c r="F52" s="78"/>
      <c r="G52" s="78"/>
      <c r="H52" s="78"/>
      <c r="J52" s="79" t="s">
        <v>21</v>
      </c>
      <c r="K52" s="79"/>
      <c r="L52" s="79"/>
      <c r="M52" s="79"/>
      <c r="N52" s="79"/>
      <c r="O52" s="79"/>
      <c r="P52" s="79"/>
      <c r="Q52" s="79"/>
      <c r="R52" s="79"/>
      <c r="S52" s="79"/>
      <c r="T52" s="79"/>
      <c r="U52" s="79"/>
      <c r="Y52" s="80" t="str">
        <f>J52</f>
        <v>Dezembro</v>
      </c>
      <c r="Z52" s="80"/>
      <c r="AA52" s="80"/>
      <c r="AB52" s="80"/>
      <c r="AC52" s="80"/>
      <c r="AD52" s="80"/>
      <c r="AE52" s="80"/>
      <c r="AH52" s="81" t="str">
        <f>Y52</f>
        <v>Dezembro</v>
      </c>
      <c r="AI52" s="81"/>
      <c r="AJ52" s="81"/>
      <c r="AK52" s="81"/>
      <c r="AL52" s="81"/>
      <c r="AM52" s="81"/>
      <c r="AN52" s="81"/>
    </row>
    <row r="53" spans="1:40" ht="15.75" thickBot="1" x14ac:dyDescent="0.3">
      <c r="A53" s="77" t="s">
        <v>5</v>
      </c>
      <c r="B53" s="34" t="s">
        <v>6</v>
      </c>
      <c r="C53" s="22" t="s">
        <v>7</v>
      </c>
      <c r="D53" s="33" t="s">
        <v>8</v>
      </c>
      <c r="E53" s="22" t="s">
        <v>9</v>
      </c>
      <c r="F53" s="24" t="s">
        <v>10</v>
      </c>
      <c r="G53" s="23" t="s">
        <v>11</v>
      </c>
      <c r="H53" s="25" t="s">
        <v>12</v>
      </c>
      <c r="J53" s="6" t="s">
        <v>4</v>
      </c>
      <c r="K53" s="9"/>
      <c r="L53" s="4"/>
      <c r="M53" s="4"/>
      <c r="N53" s="4"/>
      <c r="O53" s="4"/>
      <c r="P53" s="4"/>
      <c r="Q53" s="4"/>
      <c r="R53" s="4"/>
      <c r="S53" s="4"/>
      <c r="T53" s="4"/>
      <c r="U53" s="5"/>
      <c r="Y53" s="6" t="s">
        <v>4</v>
      </c>
      <c r="Z53" s="9"/>
      <c r="AA53" s="4"/>
      <c r="AB53" s="4"/>
      <c r="AC53" s="4"/>
      <c r="AD53" s="4"/>
      <c r="AE53" s="5"/>
      <c r="AH53" s="6" t="s">
        <v>4</v>
      </c>
      <c r="AI53" s="9"/>
      <c r="AJ53" s="4"/>
      <c r="AK53" s="4"/>
      <c r="AL53" s="4"/>
      <c r="AM53" s="4"/>
      <c r="AN53" s="5"/>
    </row>
    <row r="54" spans="1:40" ht="15.75" thickBot="1" x14ac:dyDescent="0.3">
      <c r="A54" s="77"/>
      <c r="B54" s="26"/>
      <c r="C54" s="27"/>
      <c r="D54" s="27"/>
      <c r="E54" s="27"/>
      <c r="F54" s="27">
        <f>SUM(C54-B54)</f>
        <v>0</v>
      </c>
      <c r="G54" s="20">
        <f>SUM(E54-D54)</f>
        <v>0</v>
      </c>
      <c r="H54" s="21">
        <f>SUM(F54:G54)</f>
        <v>0</v>
      </c>
      <c r="J54" s="7" t="s">
        <v>22</v>
      </c>
      <c r="K54" s="10"/>
      <c r="L54" s="11"/>
      <c r="M54" s="11"/>
      <c r="N54" s="11"/>
      <c r="O54" s="11"/>
      <c r="P54" s="11"/>
      <c r="Q54" s="11"/>
      <c r="R54" s="11"/>
      <c r="S54" s="11"/>
      <c r="T54" s="11"/>
      <c r="U54" s="12"/>
      <c r="Y54" s="7" t="s">
        <v>22</v>
      </c>
      <c r="Z54" s="10"/>
      <c r="AA54" s="11"/>
      <c r="AB54" s="11"/>
      <c r="AC54" s="11"/>
      <c r="AD54" s="11"/>
      <c r="AE54" s="12"/>
      <c r="AH54" s="7" t="s">
        <v>22</v>
      </c>
      <c r="AI54" s="10"/>
      <c r="AJ54" s="11"/>
      <c r="AK54" s="11"/>
      <c r="AL54" s="11"/>
      <c r="AM54" s="11"/>
      <c r="AN54" s="12"/>
    </row>
    <row r="55" spans="1:40" x14ac:dyDescent="0.25">
      <c r="J55" s="8"/>
      <c r="T55" s="8" t="s">
        <v>23</v>
      </c>
      <c r="U55" s="13">
        <f>SUM(K54:U54)</f>
        <v>0</v>
      </c>
      <c r="AD55" s="8" t="s">
        <v>23</v>
      </c>
      <c r="AE55" s="13">
        <f>SUM(Z54:AE54)</f>
        <v>0</v>
      </c>
      <c r="AM55" s="8" t="s">
        <v>23</v>
      </c>
      <c r="AN55" s="13">
        <f>SUM(AI54:AN54)</f>
        <v>0</v>
      </c>
    </row>
  </sheetData>
  <mergeCells count="70">
    <mergeCell ref="B2:C2"/>
    <mergeCell ref="E2:F2"/>
    <mergeCell ref="B4:C4"/>
    <mergeCell ref="E4:F4"/>
    <mergeCell ref="A7:H7"/>
    <mergeCell ref="B3:C3"/>
    <mergeCell ref="E3:F3"/>
    <mergeCell ref="A17:A18"/>
    <mergeCell ref="Y7:AE7"/>
    <mergeCell ref="AH7:AN7"/>
    <mergeCell ref="B12:H12"/>
    <mergeCell ref="J12:U12"/>
    <mergeCell ref="Y12:AE12"/>
    <mergeCell ref="AH12:AN12"/>
    <mergeCell ref="J7:U7"/>
    <mergeCell ref="A13:A14"/>
    <mergeCell ref="B16:H16"/>
    <mergeCell ref="J16:U16"/>
    <mergeCell ref="Y16:AE16"/>
    <mergeCell ref="AH16:AN16"/>
    <mergeCell ref="B8:H8"/>
    <mergeCell ref="J8:U8"/>
    <mergeCell ref="Y8:AE8"/>
    <mergeCell ref="A29:A30"/>
    <mergeCell ref="B20:H20"/>
    <mergeCell ref="J20:U20"/>
    <mergeCell ref="Y20:AE20"/>
    <mergeCell ref="AH20:AN20"/>
    <mergeCell ref="A21:A22"/>
    <mergeCell ref="B24:H24"/>
    <mergeCell ref="J24:U24"/>
    <mergeCell ref="Y24:AE24"/>
    <mergeCell ref="AH24:AN24"/>
    <mergeCell ref="A25:A26"/>
    <mergeCell ref="B28:H28"/>
    <mergeCell ref="J28:U28"/>
    <mergeCell ref="Y28:AE28"/>
    <mergeCell ref="AH28:AN28"/>
    <mergeCell ref="AH52:AN52"/>
    <mergeCell ref="A41:A42"/>
    <mergeCell ref="B32:H32"/>
    <mergeCell ref="J32:U32"/>
    <mergeCell ref="Y32:AE32"/>
    <mergeCell ref="AH32:AN32"/>
    <mergeCell ref="A33:A34"/>
    <mergeCell ref="B36:H36"/>
    <mergeCell ref="J36:U36"/>
    <mergeCell ref="Y36:AE36"/>
    <mergeCell ref="AH36:AN36"/>
    <mergeCell ref="A37:A38"/>
    <mergeCell ref="B40:H40"/>
    <mergeCell ref="J40:U40"/>
    <mergeCell ref="Y40:AE40"/>
    <mergeCell ref="AH40:AN40"/>
    <mergeCell ref="AH8:AN8"/>
    <mergeCell ref="A9:A10"/>
    <mergeCell ref="A53:A54"/>
    <mergeCell ref="B44:H44"/>
    <mergeCell ref="J44:U44"/>
    <mergeCell ref="Y44:AE44"/>
    <mergeCell ref="AH44:AN44"/>
    <mergeCell ref="A45:A46"/>
    <mergeCell ref="B48:H48"/>
    <mergeCell ref="J48:U48"/>
    <mergeCell ref="Y48:AE48"/>
    <mergeCell ref="AH48:AN48"/>
    <mergeCell ref="A49:A50"/>
    <mergeCell ref="B52:H52"/>
    <mergeCell ref="J52:U52"/>
    <mergeCell ref="Y52:AE52"/>
  </mergeCell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I14" sqref="I1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t="s">
        <v>93</v>
      </c>
      <c r="C2" s="84"/>
      <c r="D2" s="1" t="s">
        <v>1</v>
      </c>
      <c r="E2" s="84" t="s">
        <v>94</v>
      </c>
      <c r="F2" s="84"/>
      <c r="H2" t="s">
        <v>97</v>
      </c>
      <c r="I2" s="69">
        <v>4500</v>
      </c>
    </row>
    <row r="3" spans="1:40" x14ac:dyDescent="0.25">
      <c r="A3" t="s">
        <v>80</v>
      </c>
      <c r="B3" s="84"/>
      <c r="C3" s="84"/>
      <c r="D3" s="1" t="s">
        <v>1</v>
      </c>
      <c r="E3" s="84"/>
      <c r="F3" s="84"/>
      <c r="H3" t="s">
        <v>81</v>
      </c>
      <c r="I3" s="54"/>
    </row>
    <row r="4" spans="1:40" x14ac:dyDescent="0.25">
      <c r="A4" t="s">
        <v>2</v>
      </c>
      <c r="B4" s="85">
        <v>4369</v>
      </c>
      <c r="C4" s="85"/>
      <c r="D4" s="1" t="s">
        <v>29</v>
      </c>
      <c r="E4" s="84" t="s">
        <v>109</v>
      </c>
      <c r="F4" s="84"/>
      <c r="H4" t="s">
        <v>115</v>
      </c>
      <c r="I4" s="71">
        <v>46181</v>
      </c>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v>9010</v>
      </c>
      <c r="C27" s="27"/>
      <c r="D27" s="27"/>
      <c r="E27" s="27"/>
      <c r="F27" s="27">
        <f>SUM(C27-B27)</f>
        <v>-9010</v>
      </c>
      <c r="G27" s="20">
        <f>SUM(E27-D27)</f>
        <v>0</v>
      </c>
      <c r="H27" s="21">
        <f>SUM(F27:G27)</f>
        <v>-9010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84"/>
  <sheetViews>
    <sheetView showGridLines="0" workbookViewId="0">
      <selection activeCell="E2" sqref="E2:F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13.42578125" bestFit="1" customWidth="1"/>
    <col min="11" max="11" width="12.140625" bestFit="1" customWidth="1"/>
    <col min="12" max="13" width="10.42578125" bestFit="1" customWidth="1"/>
    <col min="14" max="14" width="13.28515625" bestFit="1" customWidth="1"/>
    <col min="15" max="20" width="10.42578125" bestFit="1" customWidth="1"/>
    <col min="21" max="21" width="13.28515625" bestFit="1" customWidth="1"/>
    <col min="24" max="24" width="10.425781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84" t="s">
        <v>87</v>
      </c>
      <c r="C2" s="84"/>
      <c r="D2" s="1" t="s">
        <v>1</v>
      </c>
      <c r="E2" s="84" t="s">
        <v>86</v>
      </c>
      <c r="F2" s="84"/>
      <c r="H2" t="s">
        <v>83</v>
      </c>
      <c r="I2" s="69">
        <v>4500</v>
      </c>
    </row>
    <row r="3" spans="1:37" x14ac:dyDescent="0.25">
      <c r="A3" t="s">
        <v>80</v>
      </c>
      <c r="B3" s="84"/>
      <c r="C3" s="84"/>
      <c r="D3" s="1" t="s">
        <v>1</v>
      </c>
      <c r="E3" s="84"/>
      <c r="F3" s="84"/>
      <c r="H3" t="s">
        <v>81</v>
      </c>
      <c r="I3" s="70"/>
    </row>
    <row r="4" spans="1:37" x14ac:dyDescent="0.25">
      <c r="A4" t="s">
        <v>2</v>
      </c>
      <c r="B4" s="85">
        <v>4144</v>
      </c>
      <c r="C4" s="85"/>
      <c r="D4" s="1" t="s">
        <v>29</v>
      </c>
      <c r="E4" s="91">
        <v>45</v>
      </c>
      <c r="F4" s="91"/>
      <c r="H4" t="s">
        <v>70</v>
      </c>
      <c r="I4" s="71">
        <v>45931</v>
      </c>
      <c r="J4" t="s">
        <v>114</v>
      </c>
      <c r="K4" s="71">
        <v>46181</v>
      </c>
    </row>
    <row r="7" spans="1:37" ht="21" x14ac:dyDescent="0.35">
      <c r="A7" s="86" t="s">
        <v>28</v>
      </c>
      <c r="B7" s="86"/>
      <c r="C7" s="86"/>
      <c r="D7" s="86"/>
      <c r="E7" s="86"/>
      <c r="F7" s="86"/>
      <c r="G7" s="86"/>
      <c r="H7" s="86"/>
      <c r="J7" s="83" t="s">
        <v>26</v>
      </c>
      <c r="K7" s="83"/>
      <c r="L7" s="83"/>
      <c r="M7" s="83"/>
      <c r="N7" s="83"/>
      <c r="O7" s="83"/>
      <c r="P7" s="83"/>
      <c r="Q7" s="83"/>
      <c r="R7" s="83"/>
      <c r="S7" s="83"/>
      <c r="T7" s="83"/>
      <c r="U7" s="83"/>
      <c r="V7" s="2"/>
      <c r="W7" s="82" t="s">
        <v>25</v>
      </c>
      <c r="X7" s="82"/>
      <c r="Y7" s="82"/>
      <c r="Z7" s="82"/>
      <c r="AA7" s="82"/>
      <c r="AB7" s="82"/>
      <c r="AC7" s="82"/>
      <c r="AD7" s="2"/>
      <c r="AE7" s="82" t="s">
        <v>27</v>
      </c>
      <c r="AF7" s="82"/>
      <c r="AG7" s="82"/>
      <c r="AH7" s="82"/>
      <c r="AI7" s="82"/>
      <c r="AJ7" s="82"/>
      <c r="AK7" s="82"/>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8" t="s">
        <v>3</v>
      </c>
      <c r="C9" s="78"/>
      <c r="D9" s="78"/>
      <c r="E9" s="78"/>
      <c r="F9" s="78"/>
      <c r="G9" s="78"/>
      <c r="H9" s="78"/>
      <c r="J9" s="79" t="s">
        <v>3</v>
      </c>
      <c r="K9" s="79"/>
      <c r="L9" s="79"/>
      <c r="M9" s="79"/>
      <c r="N9" s="79"/>
      <c r="O9" s="79"/>
      <c r="P9" s="79"/>
      <c r="Q9" s="79"/>
      <c r="R9" s="79"/>
      <c r="S9" s="79"/>
      <c r="T9" s="79"/>
      <c r="U9" s="79"/>
      <c r="W9" s="80" t="s">
        <v>3</v>
      </c>
      <c r="X9" s="80"/>
      <c r="Y9" s="80"/>
      <c r="Z9" s="80"/>
      <c r="AA9" s="80"/>
      <c r="AB9" s="80"/>
      <c r="AC9" s="80"/>
      <c r="AE9" s="81" t="s">
        <v>3</v>
      </c>
      <c r="AF9" s="81"/>
      <c r="AG9" s="81"/>
      <c r="AH9" s="81"/>
      <c r="AI9" s="81"/>
      <c r="AJ9" s="81"/>
      <c r="AK9" s="81"/>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8" t="s">
        <v>13</v>
      </c>
      <c r="C13" s="78"/>
      <c r="D13" s="78"/>
      <c r="E13" s="78"/>
      <c r="F13" s="78"/>
      <c r="G13" s="78"/>
      <c r="H13" s="78"/>
      <c r="J13" s="79" t="s">
        <v>13</v>
      </c>
      <c r="K13" s="79"/>
      <c r="L13" s="79"/>
      <c r="M13" s="79"/>
      <c r="N13" s="79"/>
      <c r="O13" s="79"/>
      <c r="P13" s="79"/>
      <c r="Q13" s="79"/>
      <c r="R13" s="79"/>
      <c r="S13" s="79"/>
      <c r="T13" s="79"/>
      <c r="U13" s="79"/>
      <c r="W13" s="80" t="str">
        <f>J13</f>
        <v>Março</v>
      </c>
      <c r="X13" s="80"/>
      <c r="Y13" s="80"/>
      <c r="Z13" s="80"/>
      <c r="AA13" s="80"/>
      <c r="AB13" s="80"/>
      <c r="AC13" s="80"/>
      <c r="AE13" s="81" t="str">
        <f>W13</f>
        <v>Março</v>
      </c>
      <c r="AF13" s="81"/>
      <c r="AG13" s="81"/>
      <c r="AH13" s="81"/>
      <c r="AI13" s="81"/>
      <c r="AJ13" s="81"/>
      <c r="AK13" s="81"/>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8" t="s">
        <v>14</v>
      </c>
      <c r="C17" s="78"/>
      <c r="D17" s="78"/>
      <c r="E17" s="78"/>
      <c r="F17" s="78"/>
      <c r="G17" s="78"/>
      <c r="H17" s="78"/>
      <c r="J17" s="79" t="s">
        <v>14</v>
      </c>
      <c r="K17" s="79"/>
      <c r="L17" s="79"/>
      <c r="M17" s="79"/>
      <c r="N17" s="79"/>
      <c r="O17" s="79"/>
      <c r="P17" s="79"/>
      <c r="Q17" s="79"/>
      <c r="R17" s="79"/>
      <c r="S17" s="79"/>
      <c r="T17" s="79"/>
      <c r="U17" s="79"/>
      <c r="W17" s="80" t="str">
        <f>J17</f>
        <v>Abril</v>
      </c>
      <c r="X17" s="80"/>
      <c r="Y17" s="80"/>
      <c r="Z17" s="80"/>
      <c r="AA17" s="80"/>
      <c r="AB17" s="80"/>
      <c r="AC17" s="80"/>
      <c r="AE17" s="81" t="str">
        <f>W17</f>
        <v>Abril</v>
      </c>
      <c r="AF17" s="81"/>
      <c r="AG17" s="81"/>
      <c r="AH17" s="81"/>
      <c r="AI17" s="81"/>
      <c r="AJ17" s="81"/>
      <c r="AK17" s="81"/>
    </row>
    <row r="18" spans="1:37" ht="15.75" thickBot="1" x14ac:dyDescent="0.3">
      <c r="A18" s="77"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8" t="s">
        <v>15</v>
      </c>
      <c r="C21" s="78"/>
      <c r="D21" s="78"/>
      <c r="E21" s="78"/>
      <c r="F21" s="78"/>
      <c r="G21" s="78"/>
      <c r="H21" s="78"/>
      <c r="J21" s="79" t="s">
        <v>15</v>
      </c>
      <c r="K21" s="79"/>
      <c r="L21" s="79"/>
      <c r="M21" s="79"/>
      <c r="N21" s="79"/>
      <c r="O21" s="79"/>
      <c r="P21" s="79"/>
      <c r="Q21" s="79"/>
      <c r="R21" s="79"/>
      <c r="S21" s="79"/>
      <c r="T21" s="79"/>
      <c r="U21" s="79"/>
      <c r="W21" s="80" t="str">
        <f>J21</f>
        <v>Maio</v>
      </c>
      <c r="X21" s="80"/>
      <c r="Y21" s="80"/>
      <c r="Z21" s="80"/>
      <c r="AA21" s="80"/>
      <c r="AB21" s="80"/>
      <c r="AC21" s="80"/>
      <c r="AE21" s="81" t="str">
        <f>W21</f>
        <v>Maio</v>
      </c>
      <c r="AF21" s="81"/>
      <c r="AG21" s="81"/>
      <c r="AH21" s="81"/>
      <c r="AI21" s="81"/>
      <c r="AJ21" s="81"/>
      <c r="AK21" s="81"/>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8" t="s">
        <v>24</v>
      </c>
      <c r="C25" s="78"/>
      <c r="D25" s="78"/>
      <c r="E25" s="78"/>
      <c r="F25" s="78"/>
      <c r="G25" s="78"/>
      <c r="H25" s="78"/>
      <c r="J25" s="79" t="s">
        <v>24</v>
      </c>
      <c r="K25" s="79"/>
      <c r="L25" s="79"/>
      <c r="M25" s="79"/>
      <c r="N25" s="79"/>
      <c r="O25" s="79"/>
      <c r="P25" s="79"/>
      <c r="Q25" s="79"/>
      <c r="R25" s="79"/>
      <c r="S25" s="79"/>
      <c r="T25" s="79"/>
      <c r="U25" s="79"/>
      <c r="W25" s="80" t="str">
        <f>J25</f>
        <v>Junho</v>
      </c>
      <c r="X25" s="80"/>
      <c r="Y25" s="80"/>
      <c r="Z25" s="80"/>
      <c r="AA25" s="80"/>
      <c r="AB25" s="80"/>
      <c r="AC25" s="80"/>
      <c r="AE25" s="81" t="str">
        <f>W25</f>
        <v>Junho</v>
      </c>
      <c r="AF25" s="81"/>
      <c r="AG25" s="81"/>
      <c r="AH25" s="81"/>
      <c r="AI25" s="81"/>
      <c r="AJ25" s="81"/>
      <c r="AK25" s="81"/>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8" t="s">
        <v>16</v>
      </c>
      <c r="C29" s="78"/>
      <c r="D29" s="78"/>
      <c r="E29" s="78"/>
      <c r="F29" s="78"/>
      <c r="G29" s="78"/>
      <c r="H29" s="78"/>
      <c r="J29" s="79" t="s">
        <v>16</v>
      </c>
      <c r="K29" s="79"/>
      <c r="L29" s="79"/>
      <c r="M29" s="79"/>
      <c r="N29" s="79"/>
      <c r="O29" s="79"/>
      <c r="P29" s="79"/>
      <c r="Q29" s="79"/>
      <c r="R29" s="79"/>
      <c r="S29" s="79"/>
      <c r="T29" s="79"/>
      <c r="U29" s="79"/>
      <c r="W29" s="80" t="str">
        <f>J29</f>
        <v>Julho</v>
      </c>
      <c r="X29" s="80"/>
      <c r="Y29" s="80"/>
      <c r="Z29" s="80"/>
      <c r="AA29" s="80"/>
      <c r="AB29" s="80"/>
      <c r="AC29" s="80"/>
      <c r="AE29" s="81" t="str">
        <f>W29</f>
        <v>Julho</v>
      </c>
      <c r="AF29" s="81"/>
      <c r="AG29" s="81"/>
      <c r="AH29" s="81"/>
      <c r="AI29" s="81"/>
      <c r="AJ29" s="81"/>
      <c r="AK29" s="81"/>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8" t="s">
        <v>17</v>
      </c>
      <c r="C33" s="78"/>
      <c r="D33" s="78"/>
      <c r="E33" s="78"/>
      <c r="F33" s="78"/>
      <c r="G33" s="78"/>
      <c r="H33" s="78"/>
      <c r="J33" s="79" t="s">
        <v>17</v>
      </c>
      <c r="K33" s="79"/>
      <c r="L33" s="79"/>
      <c r="M33" s="79"/>
      <c r="N33" s="79"/>
      <c r="O33" s="79"/>
      <c r="P33" s="79"/>
      <c r="Q33" s="79"/>
      <c r="R33" s="79"/>
      <c r="S33" s="79"/>
      <c r="T33" s="79"/>
      <c r="U33" s="79"/>
      <c r="W33" s="80" t="str">
        <f>J33</f>
        <v>Agosto</v>
      </c>
      <c r="X33" s="80"/>
      <c r="Y33" s="80"/>
      <c r="Z33" s="80"/>
      <c r="AA33" s="80"/>
      <c r="AB33" s="80"/>
      <c r="AC33" s="80"/>
      <c r="AE33" s="81" t="str">
        <f>W33</f>
        <v>Agosto</v>
      </c>
      <c r="AF33" s="81"/>
      <c r="AG33" s="81"/>
      <c r="AH33" s="81"/>
      <c r="AI33" s="81"/>
      <c r="AJ33" s="81"/>
      <c r="AK33" s="81"/>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8" t="s">
        <v>18</v>
      </c>
      <c r="C37" s="78"/>
      <c r="D37" s="78"/>
      <c r="E37" s="78"/>
      <c r="F37" s="78"/>
      <c r="G37" s="78"/>
      <c r="H37" s="78"/>
      <c r="J37" s="79" t="s">
        <v>18</v>
      </c>
      <c r="K37" s="79"/>
      <c r="L37" s="79"/>
      <c r="M37" s="79"/>
      <c r="N37" s="79"/>
      <c r="O37" s="79"/>
      <c r="P37" s="79"/>
      <c r="Q37" s="79"/>
      <c r="R37" s="79"/>
      <c r="S37" s="79"/>
      <c r="T37" s="79"/>
      <c r="U37" s="79"/>
      <c r="W37" s="80" t="str">
        <f>J37</f>
        <v>Setembro</v>
      </c>
      <c r="X37" s="80"/>
      <c r="Y37" s="80"/>
      <c r="Z37" s="80"/>
      <c r="AA37" s="80"/>
      <c r="AB37" s="80"/>
      <c r="AC37" s="80"/>
      <c r="AE37" s="81" t="str">
        <f>W37</f>
        <v>Setembro</v>
      </c>
      <c r="AF37" s="81"/>
      <c r="AG37" s="81"/>
      <c r="AH37" s="81"/>
      <c r="AI37" s="81"/>
      <c r="AJ37" s="81"/>
      <c r="AK37" s="81"/>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8" t="s">
        <v>19</v>
      </c>
      <c r="C41" s="78"/>
      <c r="D41" s="78"/>
      <c r="E41" s="78"/>
      <c r="F41" s="78"/>
      <c r="G41" s="78"/>
      <c r="H41" s="78"/>
      <c r="J41" s="79" t="s">
        <v>19</v>
      </c>
      <c r="K41" s="79"/>
      <c r="L41" s="79"/>
      <c r="M41" s="79"/>
      <c r="N41" s="79"/>
      <c r="O41" s="79"/>
      <c r="P41" s="79"/>
      <c r="Q41" s="79"/>
      <c r="R41" s="79"/>
      <c r="S41" s="79"/>
      <c r="T41" s="79"/>
      <c r="U41" s="79"/>
      <c r="W41" s="80" t="str">
        <f>J41</f>
        <v>Outubro</v>
      </c>
      <c r="X41" s="80"/>
      <c r="Y41" s="80"/>
      <c r="Z41" s="80"/>
      <c r="AA41" s="80"/>
      <c r="AB41" s="80"/>
      <c r="AC41" s="80"/>
      <c r="AE41" s="81" t="str">
        <f>W41</f>
        <v>Outubro</v>
      </c>
      <c r="AF41" s="81"/>
      <c r="AG41" s="81"/>
      <c r="AH41" s="81"/>
      <c r="AI41" s="81"/>
      <c r="AJ41" s="81"/>
      <c r="AK41" s="81"/>
    </row>
    <row r="42" spans="1:37" ht="15.75" thickBot="1" x14ac:dyDescent="0.3">
      <c r="A42" s="77" t="s">
        <v>5</v>
      </c>
      <c r="B42" s="34" t="s">
        <v>6</v>
      </c>
      <c r="C42" s="22" t="s">
        <v>7</v>
      </c>
      <c r="D42" s="33" t="s">
        <v>8</v>
      </c>
      <c r="E42" s="22" t="s">
        <v>9</v>
      </c>
      <c r="F42" s="24" t="s">
        <v>10</v>
      </c>
      <c r="G42" s="23" t="s">
        <v>11</v>
      </c>
      <c r="H42" s="25" t="s">
        <v>12</v>
      </c>
      <c r="J42" s="6" t="s">
        <v>4</v>
      </c>
      <c r="K42" s="9">
        <v>45932</v>
      </c>
      <c r="L42" s="66">
        <v>45937</v>
      </c>
      <c r="M42" s="66">
        <v>45939</v>
      </c>
      <c r="N42" s="66">
        <v>45941</v>
      </c>
      <c r="O42" s="66">
        <v>45944</v>
      </c>
      <c r="P42" s="66">
        <v>45946</v>
      </c>
      <c r="Q42" s="66">
        <v>45951</v>
      </c>
      <c r="R42" s="66">
        <v>45953</v>
      </c>
      <c r="S42" s="66">
        <v>45955</v>
      </c>
      <c r="T42" s="66">
        <v>45958</v>
      </c>
      <c r="U42" s="72">
        <v>45960</v>
      </c>
      <c r="W42" s="6" t="s">
        <v>4</v>
      </c>
      <c r="X42" s="9"/>
      <c r="Y42" s="4"/>
      <c r="Z42" s="4"/>
      <c r="AA42" s="4"/>
      <c r="AB42" s="4"/>
      <c r="AC42" s="5"/>
      <c r="AE42" s="6" t="s">
        <v>4</v>
      </c>
      <c r="AF42" s="9"/>
      <c r="AG42" s="4"/>
      <c r="AH42" s="4"/>
      <c r="AI42" s="4"/>
      <c r="AJ42" s="4"/>
      <c r="AK42" s="5"/>
    </row>
    <row r="43" spans="1:37" ht="15.75" thickBot="1" x14ac:dyDescent="0.3">
      <c r="A43" s="77"/>
      <c r="B43" s="26">
        <v>7378</v>
      </c>
      <c r="C43" s="27">
        <v>9127</v>
      </c>
      <c r="D43" s="27">
        <v>9127</v>
      </c>
      <c r="E43" s="27">
        <v>11566</v>
      </c>
      <c r="F43" s="27">
        <f>SUM(C43-B43)</f>
        <v>1749</v>
      </c>
      <c r="G43" s="20">
        <f>SUM(E43-D43)</f>
        <v>2439</v>
      </c>
      <c r="H43" s="21">
        <f>SUM(F43:G43)</f>
        <v>4188</v>
      </c>
      <c r="J43" s="7" t="s">
        <v>22</v>
      </c>
      <c r="K43" s="10">
        <v>170</v>
      </c>
      <c r="L43" s="11">
        <v>216.45</v>
      </c>
      <c r="M43" s="11">
        <v>213.8</v>
      </c>
      <c r="N43" s="11">
        <v>110.51</v>
      </c>
      <c r="O43" s="11">
        <v>244.8</v>
      </c>
      <c r="P43" s="11">
        <v>259.70999999999998</v>
      </c>
      <c r="Q43" s="11">
        <v>261.16000000000003</v>
      </c>
      <c r="R43" s="11">
        <v>265.75</v>
      </c>
      <c r="S43" s="11">
        <v>242.12</v>
      </c>
      <c r="T43" s="11">
        <v>233.75</v>
      </c>
      <c r="U43" s="12">
        <v>245.35</v>
      </c>
      <c r="W43" s="7" t="s">
        <v>22</v>
      </c>
      <c r="X43" s="10"/>
      <c r="Y43" s="11"/>
      <c r="Z43" s="11"/>
      <c r="AA43" s="11"/>
      <c r="AB43" s="11"/>
      <c r="AC43" s="12"/>
      <c r="AE43" s="7" t="s">
        <v>22</v>
      </c>
      <c r="AF43" s="10"/>
      <c r="AG43" s="11"/>
      <c r="AH43" s="11"/>
      <c r="AI43" s="11"/>
      <c r="AJ43" s="11"/>
      <c r="AK43" s="12"/>
    </row>
    <row r="44" spans="1:37" x14ac:dyDescent="0.25">
      <c r="J44" s="8"/>
      <c r="T44" s="8" t="s">
        <v>23</v>
      </c>
      <c r="U44" s="13">
        <f>SUM(K43:U43)</f>
        <v>2463.4</v>
      </c>
      <c r="AB44" s="8" t="s">
        <v>23</v>
      </c>
      <c r="AC44" s="13">
        <f>SUM(X43:AC43)</f>
        <v>0</v>
      </c>
      <c r="AJ44" s="8" t="s">
        <v>23</v>
      </c>
      <c r="AK44" s="13">
        <f>SUM(AF43:AK43)</f>
        <v>0</v>
      </c>
    </row>
    <row r="45" spans="1:37" ht="15.75" thickBot="1" x14ac:dyDescent="0.3">
      <c r="A45" s="19"/>
      <c r="B45" s="78" t="s">
        <v>20</v>
      </c>
      <c r="C45" s="78"/>
      <c r="D45" s="78"/>
      <c r="E45" s="78"/>
      <c r="F45" s="78"/>
      <c r="G45" s="78"/>
      <c r="H45" s="78"/>
      <c r="J45" s="79" t="s">
        <v>20</v>
      </c>
      <c r="K45" s="79"/>
      <c r="L45" s="79"/>
      <c r="M45" s="79"/>
      <c r="N45" s="79"/>
      <c r="O45" s="79"/>
      <c r="P45" s="79"/>
      <c r="Q45" s="79"/>
      <c r="R45" s="79"/>
      <c r="S45" s="79"/>
      <c r="T45" s="79"/>
      <c r="U45" s="79"/>
      <c r="W45" s="80" t="str">
        <f>J45</f>
        <v>Novembro</v>
      </c>
      <c r="X45" s="80"/>
      <c r="Y45" s="80"/>
      <c r="Z45" s="80"/>
      <c r="AA45" s="80"/>
      <c r="AB45" s="80"/>
      <c r="AC45" s="80"/>
      <c r="AE45" s="81" t="str">
        <f>W45</f>
        <v>Novembro</v>
      </c>
      <c r="AF45" s="81"/>
      <c r="AG45" s="81"/>
      <c r="AH45" s="81"/>
      <c r="AI45" s="81"/>
      <c r="AJ45" s="81"/>
      <c r="AK45" s="81"/>
    </row>
    <row r="46" spans="1:37" ht="15.75" thickBot="1" x14ac:dyDescent="0.3">
      <c r="A46" s="77" t="s">
        <v>5</v>
      </c>
      <c r="B46" s="34" t="s">
        <v>6</v>
      </c>
      <c r="C46" s="22" t="s">
        <v>7</v>
      </c>
      <c r="D46" s="33" t="s">
        <v>8</v>
      </c>
      <c r="E46" s="22" t="s">
        <v>9</v>
      </c>
      <c r="F46" s="24" t="s">
        <v>10</v>
      </c>
      <c r="G46" s="23" t="s">
        <v>11</v>
      </c>
      <c r="H46" s="25" t="s">
        <v>12</v>
      </c>
      <c r="J46" s="6" t="s">
        <v>4</v>
      </c>
      <c r="K46" s="9">
        <v>45965</v>
      </c>
      <c r="L46" s="66">
        <v>45967</v>
      </c>
      <c r="M46" s="66">
        <v>45969</v>
      </c>
      <c r="N46" s="66">
        <v>45972</v>
      </c>
      <c r="O46" s="66">
        <v>45974</v>
      </c>
      <c r="P46" s="66">
        <v>45979</v>
      </c>
      <c r="Q46" s="66">
        <v>45981</v>
      </c>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7">
        <v>11566</v>
      </c>
      <c r="C47" s="27">
        <v>13754</v>
      </c>
      <c r="D47" s="27">
        <v>13754</v>
      </c>
      <c r="E47" s="27">
        <v>14198</v>
      </c>
      <c r="F47" s="27">
        <f>SUM(C47-B47)</f>
        <v>2188</v>
      </c>
      <c r="G47" s="20">
        <f>SUM(E47-D47)</f>
        <v>444</v>
      </c>
      <c r="H47" s="21">
        <f>SUM(F47:G47)</f>
        <v>2632</v>
      </c>
      <c r="J47" s="7" t="s">
        <v>22</v>
      </c>
      <c r="K47" s="10">
        <v>252</v>
      </c>
      <c r="L47" s="11">
        <v>247.57</v>
      </c>
      <c r="M47" s="11">
        <v>261.11</v>
      </c>
      <c r="N47" s="11">
        <v>251.11</v>
      </c>
      <c r="O47" s="11">
        <v>195.41</v>
      </c>
      <c r="P47" s="11">
        <v>259.61</v>
      </c>
      <c r="Q47" s="11">
        <v>138.91999999999999</v>
      </c>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1605.73</v>
      </c>
      <c r="AB48" s="8" t="s">
        <v>23</v>
      </c>
      <c r="AC48" s="13">
        <f>SUM(X47:AC47)</f>
        <v>0</v>
      </c>
      <c r="AJ48" s="8" t="s">
        <v>23</v>
      </c>
      <c r="AK48" s="13">
        <f>SUM(AF47:AK47)</f>
        <v>0</v>
      </c>
    </row>
    <row r="49" spans="1:37" ht="15.75" thickBot="1" x14ac:dyDescent="0.3">
      <c r="A49" s="19"/>
      <c r="B49" s="78" t="s">
        <v>21</v>
      </c>
      <c r="C49" s="78"/>
      <c r="D49" s="78"/>
      <c r="E49" s="78"/>
      <c r="F49" s="78"/>
      <c r="G49" s="78"/>
      <c r="H49" s="78"/>
      <c r="J49" s="79" t="s">
        <v>21</v>
      </c>
      <c r="K49" s="79"/>
      <c r="L49" s="79"/>
      <c r="M49" s="79"/>
      <c r="N49" s="79"/>
      <c r="O49" s="79"/>
      <c r="P49" s="79"/>
      <c r="Q49" s="79"/>
      <c r="R49" s="79"/>
      <c r="S49" s="79"/>
      <c r="T49" s="79"/>
      <c r="U49" s="79"/>
      <c r="W49" s="80" t="str">
        <f>J49</f>
        <v>Dezembro</v>
      </c>
      <c r="X49" s="80"/>
      <c r="Y49" s="80"/>
      <c r="Z49" s="80"/>
      <c r="AA49" s="80"/>
      <c r="AB49" s="80"/>
      <c r="AC49" s="80"/>
      <c r="AE49" s="81" t="str">
        <f>W49</f>
        <v>Dezembro</v>
      </c>
      <c r="AF49" s="81"/>
      <c r="AG49" s="81"/>
      <c r="AH49" s="81"/>
      <c r="AI49" s="81"/>
      <c r="AJ49" s="81"/>
      <c r="AK49" s="81"/>
    </row>
    <row r="50" spans="1:37" ht="15.75" thickBot="1" x14ac:dyDescent="0.3">
      <c r="A50" s="77" t="s">
        <v>5</v>
      </c>
      <c r="B50" s="34" t="s">
        <v>6</v>
      </c>
      <c r="C50" s="22" t="s">
        <v>7</v>
      </c>
      <c r="D50" s="33" t="s">
        <v>8</v>
      </c>
      <c r="E50" s="22" t="s">
        <v>9</v>
      </c>
      <c r="F50" s="24" t="s">
        <v>10</v>
      </c>
      <c r="G50" s="23" t="s">
        <v>11</v>
      </c>
      <c r="H50" s="25" t="s">
        <v>12</v>
      </c>
      <c r="J50" s="6" t="s">
        <v>4</v>
      </c>
      <c r="K50" s="9">
        <v>45995</v>
      </c>
      <c r="L50" s="66">
        <v>45997</v>
      </c>
      <c r="M50" s="66">
        <v>46000</v>
      </c>
      <c r="N50" s="66">
        <v>46002</v>
      </c>
      <c r="O50" s="66">
        <v>46004</v>
      </c>
      <c r="P50" s="66">
        <v>46007</v>
      </c>
      <c r="Q50" s="66">
        <v>46010</v>
      </c>
      <c r="R50" s="66">
        <v>46018</v>
      </c>
      <c r="S50" s="4"/>
      <c r="T50" s="4"/>
      <c r="U50" s="5"/>
      <c r="W50" s="6" t="s">
        <v>4</v>
      </c>
      <c r="X50" s="9"/>
      <c r="Y50" s="4"/>
      <c r="Z50" s="4"/>
      <c r="AA50" s="4"/>
      <c r="AB50" s="4"/>
      <c r="AC50" s="5"/>
      <c r="AE50" s="6" t="s">
        <v>4</v>
      </c>
      <c r="AF50" s="9"/>
      <c r="AG50" s="4"/>
      <c r="AH50" s="4"/>
      <c r="AI50" s="4"/>
      <c r="AJ50" s="4"/>
      <c r="AK50" s="5"/>
    </row>
    <row r="51" spans="1:37" ht="15.75" thickBot="1" x14ac:dyDescent="0.3">
      <c r="A51" s="77"/>
      <c r="B51" s="27">
        <v>14198</v>
      </c>
      <c r="C51" s="27">
        <v>16353</v>
      </c>
      <c r="D51" s="27">
        <v>16353</v>
      </c>
      <c r="E51" s="27">
        <v>17211</v>
      </c>
      <c r="F51" s="27">
        <f>SUM(C51-B51)</f>
        <v>2155</v>
      </c>
      <c r="G51" s="20">
        <f>SUM(E51-D51)</f>
        <v>858</v>
      </c>
      <c r="H51" s="21">
        <f>SUM(F51:G51)</f>
        <v>3013</v>
      </c>
      <c r="J51" s="7" t="s">
        <v>22</v>
      </c>
      <c r="K51" s="10">
        <v>238.03</v>
      </c>
      <c r="L51" s="11">
        <v>218.92</v>
      </c>
      <c r="M51" s="11">
        <v>259.79000000000002</v>
      </c>
      <c r="N51" s="11">
        <v>272.83999999999997</v>
      </c>
      <c r="O51" s="11">
        <v>251.06</v>
      </c>
      <c r="P51" s="11">
        <v>249.53</v>
      </c>
      <c r="Q51" s="11">
        <v>250.49</v>
      </c>
      <c r="R51" s="11">
        <v>199.18</v>
      </c>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1939.84</v>
      </c>
      <c r="AB52" s="8" t="s">
        <v>23</v>
      </c>
      <c r="AC52" s="13">
        <f>SUM(X51:AC51)</f>
        <v>0</v>
      </c>
      <c r="AJ52" s="8" t="s">
        <v>23</v>
      </c>
      <c r="AK52" s="13">
        <f>SUM(AF51:AK51)</f>
        <v>0</v>
      </c>
    </row>
    <row r="53" spans="1:37"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7" ht="15.75" thickBot="1" x14ac:dyDescent="0.3">
      <c r="A54" s="77" t="s">
        <v>5</v>
      </c>
      <c r="B54" s="34" t="s">
        <v>6</v>
      </c>
      <c r="C54" s="22" t="s">
        <v>7</v>
      </c>
      <c r="D54" s="33" t="s">
        <v>8</v>
      </c>
      <c r="E54" s="22" t="s">
        <v>9</v>
      </c>
      <c r="F54" s="24" t="s">
        <v>10</v>
      </c>
      <c r="G54" s="23" t="s">
        <v>11</v>
      </c>
      <c r="H54" s="25" t="s">
        <v>12</v>
      </c>
      <c r="J54" s="28" t="s">
        <v>4</v>
      </c>
      <c r="K54" s="9">
        <v>46028</v>
      </c>
      <c r="L54" s="66">
        <v>46031</v>
      </c>
      <c r="M54" s="66">
        <v>46035</v>
      </c>
      <c r="N54" s="66">
        <v>46037</v>
      </c>
      <c r="O54" s="66">
        <v>46042</v>
      </c>
      <c r="P54" s="66">
        <v>46044</v>
      </c>
      <c r="Q54" s="66">
        <v>46046</v>
      </c>
      <c r="R54" s="4"/>
      <c r="S54" s="4"/>
      <c r="T54" s="4"/>
      <c r="U54" s="5"/>
      <c r="W54" s="6" t="s">
        <v>4</v>
      </c>
      <c r="X54" s="9"/>
      <c r="Y54" s="4"/>
      <c r="Z54" s="4"/>
      <c r="AA54" s="4"/>
      <c r="AB54" s="4"/>
      <c r="AC54" s="5"/>
      <c r="AE54" s="6" t="s">
        <v>4</v>
      </c>
      <c r="AF54" s="9"/>
      <c r="AG54" s="4"/>
      <c r="AH54" s="4"/>
      <c r="AI54" s="4"/>
      <c r="AJ54" s="4"/>
      <c r="AK54" s="5"/>
    </row>
    <row r="55" spans="1:37" ht="15.75" thickBot="1" x14ac:dyDescent="0.3">
      <c r="A55" s="77"/>
      <c r="B55" s="27">
        <v>17211</v>
      </c>
      <c r="C55" s="27"/>
      <c r="D55" s="27"/>
      <c r="E55" s="27">
        <v>19817</v>
      </c>
      <c r="F55" s="27">
        <f>SUM(C55-B55)</f>
        <v>-17211</v>
      </c>
      <c r="G55" s="20">
        <f>SUM(E55-D55)</f>
        <v>19817</v>
      </c>
      <c r="H55" s="21">
        <f>SUM(F55:G55)</f>
        <v>2606</v>
      </c>
      <c r="J55" s="29" t="s">
        <v>22</v>
      </c>
      <c r="K55" s="10">
        <v>253.85</v>
      </c>
      <c r="L55" s="11">
        <v>263.73</v>
      </c>
      <c r="M55" s="11">
        <v>275.33</v>
      </c>
      <c r="N55" s="11">
        <v>233</v>
      </c>
      <c r="O55" s="11">
        <v>250.42</v>
      </c>
      <c r="P55" s="11">
        <v>242.46</v>
      </c>
      <c r="Q55" s="11">
        <v>143.07</v>
      </c>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1661.8600000000001</v>
      </c>
      <c r="AB56" s="8" t="s">
        <v>23</v>
      </c>
      <c r="AC56" s="13">
        <f>SUM(X55:AC55)</f>
        <v>0</v>
      </c>
      <c r="AJ56" s="8" t="s">
        <v>23</v>
      </c>
      <c r="AK56" s="13">
        <f>SUM(AF55:AK55)</f>
        <v>0</v>
      </c>
    </row>
    <row r="57" spans="1:37"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7" ht="15.75" thickBot="1" x14ac:dyDescent="0.3">
      <c r="A58" s="77" t="s">
        <v>5</v>
      </c>
      <c r="B58" s="34" t="s">
        <v>6</v>
      </c>
      <c r="C58" s="22" t="s">
        <v>7</v>
      </c>
      <c r="D58" s="33" t="s">
        <v>8</v>
      </c>
      <c r="E58" s="22" t="s">
        <v>9</v>
      </c>
      <c r="F58" s="24" t="s">
        <v>10</v>
      </c>
      <c r="G58" s="23" t="s">
        <v>11</v>
      </c>
      <c r="H58" s="25" t="s">
        <v>12</v>
      </c>
      <c r="J58" s="28" t="s">
        <v>4</v>
      </c>
      <c r="K58" s="9">
        <v>46056</v>
      </c>
      <c r="L58" s="66">
        <v>46058</v>
      </c>
      <c r="M58" s="66">
        <v>46062</v>
      </c>
      <c r="N58" s="66">
        <v>46065</v>
      </c>
      <c r="O58" s="66">
        <v>46067</v>
      </c>
      <c r="P58" s="66">
        <v>46070</v>
      </c>
      <c r="Q58" s="66">
        <v>46072</v>
      </c>
      <c r="R58" s="66">
        <v>46074</v>
      </c>
      <c r="S58" s="66">
        <v>46077</v>
      </c>
      <c r="T58" s="66">
        <v>46079</v>
      </c>
      <c r="U58" s="72">
        <v>46081</v>
      </c>
      <c r="W58" s="6" t="s">
        <v>4</v>
      </c>
      <c r="X58" s="9"/>
      <c r="Y58" s="4"/>
      <c r="Z58" s="4"/>
      <c r="AA58" s="4"/>
      <c r="AB58" s="4"/>
      <c r="AC58" s="5"/>
      <c r="AE58" s="6" t="s">
        <v>4</v>
      </c>
      <c r="AF58" s="9"/>
      <c r="AG58" s="4"/>
      <c r="AH58" s="4"/>
      <c r="AI58" s="4"/>
      <c r="AJ58" s="4"/>
      <c r="AK58" s="5"/>
    </row>
    <row r="59" spans="1:37" ht="15.75" thickBot="1" x14ac:dyDescent="0.3">
      <c r="A59" s="77"/>
      <c r="B59" s="27">
        <v>19817</v>
      </c>
      <c r="C59" s="27"/>
      <c r="D59" s="27"/>
      <c r="E59" s="27">
        <v>23418</v>
      </c>
      <c r="F59" s="27">
        <f>SUM(C59-B59)</f>
        <v>-19817</v>
      </c>
      <c r="G59" s="20">
        <f>SUM(E59-D59)</f>
        <v>23418</v>
      </c>
      <c r="H59" s="21">
        <f>SUM(F59:G59)</f>
        <v>3601</v>
      </c>
      <c r="J59" s="29" t="s">
        <v>22</v>
      </c>
      <c r="K59" s="10">
        <v>210.63</v>
      </c>
      <c r="L59" s="11">
        <v>264.47000000000003</v>
      </c>
      <c r="M59" s="11">
        <v>262.45999999999998</v>
      </c>
      <c r="N59" s="11">
        <v>251.37</v>
      </c>
      <c r="O59" s="11">
        <v>237.5</v>
      </c>
      <c r="P59" s="11">
        <v>227.29</v>
      </c>
      <c r="Q59" s="11">
        <v>223.01</v>
      </c>
      <c r="R59" s="11">
        <v>167.78</v>
      </c>
      <c r="S59" s="11">
        <v>253.19</v>
      </c>
      <c r="T59" s="11">
        <v>230.06</v>
      </c>
      <c r="U59" s="12">
        <v>124.42</v>
      </c>
      <c r="W59" s="7" t="s">
        <v>22</v>
      </c>
      <c r="X59" s="10"/>
      <c r="Y59" s="11"/>
      <c r="Z59" s="11"/>
      <c r="AA59" s="11"/>
      <c r="AB59" s="11"/>
      <c r="AC59" s="12"/>
      <c r="AE59" s="7" t="s">
        <v>22</v>
      </c>
      <c r="AF59" s="10"/>
      <c r="AG59" s="11"/>
      <c r="AH59" s="11"/>
      <c r="AI59" s="11"/>
      <c r="AJ59" s="11"/>
      <c r="AK59" s="12"/>
    </row>
    <row r="60" spans="1:37" x14ac:dyDescent="0.25">
      <c r="J60" s="8"/>
      <c r="T60" s="8" t="s">
        <v>23</v>
      </c>
      <c r="U60" s="13">
        <f>SUM(K59:U59)</f>
        <v>2452.1799999999998</v>
      </c>
      <c r="AB60" s="8" t="s">
        <v>23</v>
      </c>
      <c r="AC60" s="13">
        <f>SUM(X59:AC59)</f>
        <v>0</v>
      </c>
      <c r="AJ60" s="8" t="s">
        <v>23</v>
      </c>
      <c r="AK60" s="13">
        <f>SUM(AF59:AK59)</f>
        <v>0</v>
      </c>
    </row>
    <row r="61" spans="1:37"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7" ht="15.75" thickBot="1" x14ac:dyDescent="0.3">
      <c r="A62" s="77" t="s">
        <v>5</v>
      </c>
      <c r="B62" s="34" t="s">
        <v>6</v>
      </c>
      <c r="C62" s="22" t="s">
        <v>7</v>
      </c>
      <c r="D62" s="33" t="s">
        <v>8</v>
      </c>
      <c r="E62" s="22" t="s">
        <v>9</v>
      </c>
      <c r="F62" s="24" t="s">
        <v>10</v>
      </c>
      <c r="G62" s="23" t="s">
        <v>11</v>
      </c>
      <c r="H62" s="25" t="s">
        <v>12</v>
      </c>
      <c r="J62" s="6" t="s">
        <v>4</v>
      </c>
      <c r="K62" s="9">
        <v>46085</v>
      </c>
      <c r="L62" s="66">
        <v>46087</v>
      </c>
      <c r="M62" s="66">
        <v>46091</v>
      </c>
      <c r="N62" s="66">
        <v>46093</v>
      </c>
      <c r="O62" s="66">
        <v>46098</v>
      </c>
      <c r="P62" s="66">
        <v>46106</v>
      </c>
      <c r="Q62" s="66">
        <v>46108</v>
      </c>
      <c r="R62" s="66">
        <v>46112</v>
      </c>
      <c r="S62" s="66"/>
      <c r="T62" s="66"/>
      <c r="U62" s="72"/>
      <c r="W62" s="6" t="s">
        <v>4</v>
      </c>
      <c r="X62" s="9">
        <v>46098</v>
      </c>
      <c r="Y62" s="66"/>
      <c r="Z62" s="66"/>
      <c r="AA62" s="66"/>
      <c r="AB62" s="4"/>
      <c r="AC62" s="5"/>
      <c r="AE62" s="6" t="s">
        <v>4</v>
      </c>
      <c r="AF62" s="9"/>
      <c r="AG62" s="4"/>
      <c r="AH62" s="4"/>
      <c r="AI62" s="4"/>
      <c r="AJ62" s="4"/>
      <c r="AK62" s="5"/>
    </row>
    <row r="63" spans="1:37" ht="15.75" thickBot="1" x14ac:dyDescent="0.3">
      <c r="A63" s="77"/>
      <c r="B63" s="27">
        <v>23418</v>
      </c>
      <c r="C63" s="27"/>
      <c r="D63" s="27"/>
      <c r="E63" s="27">
        <v>26526</v>
      </c>
      <c r="F63" s="27">
        <f>SUM(C63-B63)</f>
        <v>-23418</v>
      </c>
      <c r="G63" s="20">
        <f>SUM(E63-D63)</f>
        <v>26526</v>
      </c>
      <c r="H63" s="21">
        <f>SUM(F63:G63)</f>
        <v>3108</v>
      </c>
      <c r="J63" s="7" t="s">
        <v>22</v>
      </c>
      <c r="K63" s="10">
        <v>229.59</v>
      </c>
      <c r="L63" s="11">
        <v>280.23</v>
      </c>
      <c r="M63" s="11">
        <v>285.39999999999998</v>
      </c>
      <c r="N63" s="11">
        <v>256.55</v>
      </c>
      <c r="O63" s="11">
        <v>288.95999999999998</v>
      </c>
      <c r="P63" s="11">
        <v>308.29000000000002</v>
      </c>
      <c r="Q63" s="11">
        <v>303.85000000000002</v>
      </c>
      <c r="R63" s="11">
        <v>291.14</v>
      </c>
      <c r="S63" s="11"/>
      <c r="T63" s="11"/>
      <c r="U63" s="12"/>
      <c r="W63" s="7" t="s">
        <v>22</v>
      </c>
      <c r="X63" s="10">
        <v>55</v>
      </c>
      <c r="Y63" s="11"/>
      <c r="Z63" s="11"/>
      <c r="AA63" s="11"/>
      <c r="AB63" s="11"/>
      <c r="AC63" s="12"/>
      <c r="AE63" s="7" t="s">
        <v>22</v>
      </c>
      <c r="AF63" s="10"/>
      <c r="AG63" s="11"/>
      <c r="AH63" s="11"/>
      <c r="AI63" s="11"/>
      <c r="AJ63" s="11"/>
      <c r="AK63" s="12"/>
    </row>
    <row r="64" spans="1:37" x14ac:dyDescent="0.25">
      <c r="J64" s="8"/>
      <c r="T64" s="8" t="s">
        <v>23</v>
      </c>
      <c r="U64" s="13">
        <f>SUM(K63:U63)</f>
        <v>2244.0099999999998</v>
      </c>
      <c r="AB64" s="8" t="s">
        <v>23</v>
      </c>
      <c r="AC64" s="13">
        <f>SUM(X63:AC63)</f>
        <v>55</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7">
        <v>26526</v>
      </c>
      <c r="C67" s="27"/>
      <c r="D67" s="27"/>
      <c r="E67" s="27">
        <v>30169</v>
      </c>
      <c r="F67" s="27">
        <f>SUM(C67-B67)</f>
        <v>-26526</v>
      </c>
      <c r="G67" s="20">
        <f>SUM(E67-D67)</f>
        <v>30169</v>
      </c>
      <c r="H67" s="21">
        <f>SUM(F67:G67)</f>
        <v>3643</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7">
        <v>30169</v>
      </c>
      <c r="C71" s="27"/>
      <c r="D71" s="27"/>
      <c r="E71" s="27">
        <v>33311</v>
      </c>
      <c r="F71" s="27">
        <f>SUM(C71-B71)</f>
        <v>-30169</v>
      </c>
      <c r="G71" s="20">
        <f>SUM(E71-D71)</f>
        <v>33311</v>
      </c>
      <c r="H71" s="21">
        <f>SUM(F71:G71)</f>
        <v>3142</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7">
        <v>33311</v>
      </c>
      <c r="C75" s="27">
        <v>34508</v>
      </c>
      <c r="D75" s="27"/>
      <c r="E75" s="27"/>
      <c r="F75" s="27">
        <f>SUM(C75-B75)</f>
        <v>1197</v>
      </c>
      <c r="G75" s="20">
        <f>SUM(E75-D75)</f>
        <v>0</v>
      </c>
      <c r="H75" s="21">
        <f>SUM(F75:G75)</f>
        <v>1197</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60"/>
  <sheetViews>
    <sheetView showGridLines="0" workbookViewId="0">
      <selection activeCell="E2" sqref="E2:F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5" width="10.42578125" bestFit="1" customWidth="1"/>
    <col min="21" max="21" width="12.140625" bestFit="1" customWidth="1"/>
    <col min="24" max="27" width="10.42578125" bestFit="1" customWidth="1"/>
    <col min="34" max="36" width="10.140625" bestFit="1" customWidth="1"/>
  </cols>
  <sheetData>
    <row r="2" spans="1:37" x14ac:dyDescent="0.25">
      <c r="A2" t="s">
        <v>0</v>
      </c>
      <c r="B2" s="84" t="s">
        <v>93</v>
      </c>
      <c r="C2" s="84"/>
      <c r="D2" s="1" t="s">
        <v>1</v>
      </c>
      <c r="E2" s="84" t="s">
        <v>94</v>
      </c>
      <c r="F2" s="84"/>
      <c r="H2" t="s">
        <v>83</v>
      </c>
      <c r="I2" s="69">
        <v>3000</v>
      </c>
    </row>
    <row r="3" spans="1:37" x14ac:dyDescent="0.25">
      <c r="A3" t="s">
        <v>80</v>
      </c>
      <c r="B3" s="84"/>
      <c r="C3" s="84"/>
      <c r="D3" s="1" t="s">
        <v>1</v>
      </c>
      <c r="E3" s="84"/>
      <c r="F3" s="84"/>
      <c r="H3" t="s">
        <v>81</v>
      </c>
      <c r="I3" s="70"/>
    </row>
    <row r="4" spans="1:37" x14ac:dyDescent="0.25">
      <c r="A4" t="s">
        <v>2</v>
      </c>
      <c r="B4" s="85">
        <v>3837</v>
      </c>
      <c r="C4" s="85"/>
      <c r="D4" s="1" t="s">
        <v>29</v>
      </c>
      <c r="E4" s="91">
        <v>45</v>
      </c>
      <c r="F4" s="91"/>
      <c r="H4" t="s">
        <v>70</v>
      </c>
      <c r="I4" s="71">
        <v>46000</v>
      </c>
      <c r="J4" t="s">
        <v>114</v>
      </c>
      <c r="K4" s="71">
        <v>46181</v>
      </c>
    </row>
    <row r="7" spans="1:37" ht="21" x14ac:dyDescent="0.35">
      <c r="A7" s="86" t="s">
        <v>28</v>
      </c>
      <c r="B7" s="86"/>
      <c r="C7" s="86"/>
      <c r="D7" s="86"/>
      <c r="E7" s="86"/>
      <c r="F7" s="86"/>
      <c r="G7" s="86"/>
      <c r="H7" s="86"/>
      <c r="J7" s="83" t="s">
        <v>26</v>
      </c>
      <c r="K7" s="83"/>
      <c r="L7" s="83"/>
      <c r="M7" s="83"/>
      <c r="N7" s="83"/>
      <c r="O7" s="83"/>
      <c r="P7" s="83"/>
      <c r="Q7" s="83"/>
      <c r="R7" s="83"/>
      <c r="S7" s="83"/>
      <c r="T7" s="83"/>
      <c r="U7" s="83"/>
      <c r="V7" s="2"/>
      <c r="W7" s="82" t="s">
        <v>25</v>
      </c>
      <c r="X7" s="82"/>
      <c r="Y7" s="82"/>
      <c r="Z7" s="82"/>
      <c r="AA7" s="82"/>
      <c r="AB7" s="82"/>
      <c r="AC7" s="82"/>
      <c r="AD7" s="2"/>
      <c r="AE7" s="82" t="s">
        <v>27</v>
      </c>
      <c r="AF7" s="82"/>
      <c r="AG7" s="82"/>
      <c r="AH7" s="82"/>
      <c r="AI7" s="82"/>
      <c r="AJ7" s="82"/>
      <c r="AK7" s="82"/>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s="15" customFormat="1" ht="15.75" thickBot="1" x14ac:dyDescent="0.3">
      <c r="A9" s="73">
        <v>2025</v>
      </c>
      <c r="B9" s="78" t="s">
        <v>21</v>
      </c>
      <c r="C9" s="78"/>
      <c r="D9" s="78"/>
      <c r="E9" s="78"/>
      <c r="F9" s="78"/>
      <c r="G9" s="78"/>
      <c r="H9" s="78"/>
      <c r="I9"/>
      <c r="J9" s="79" t="s">
        <v>21</v>
      </c>
      <c r="K9" s="79"/>
      <c r="L9" s="79"/>
      <c r="M9" s="79"/>
      <c r="N9" s="79"/>
      <c r="O9" s="79"/>
      <c r="P9" s="79"/>
      <c r="Q9" s="79"/>
      <c r="R9" s="79"/>
      <c r="S9" s="79"/>
      <c r="T9" s="79"/>
      <c r="U9" s="79"/>
      <c r="V9"/>
      <c r="W9" s="80" t="str">
        <f>J9</f>
        <v>Dezembro</v>
      </c>
      <c r="X9" s="80"/>
      <c r="Y9" s="80"/>
      <c r="Z9" s="80"/>
      <c r="AA9" s="80"/>
      <c r="AB9" s="80"/>
      <c r="AC9" s="80"/>
      <c r="AD9"/>
      <c r="AE9" s="81" t="str">
        <f>W9</f>
        <v>Dezembro</v>
      </c>
      <c r="AF9" s="81"/>
      <c r="AG9" s="81"/>
      <c r="AH9" s="81"/>
      <c r="AI9" s="81"/>
      <c r="AJ9" s="81"/>
      <c r="AK9" s="81"/>
    </row>
    <row r="10" spans="1:37" s="15" customFormat="1" ht="15.75" thickBot="1" x14ac:dyDescent="0.3">
      <c r="A10" s="77" t="s">
        <v>5</v>
      </c>
      <c r="B10" s="34" t="s">
        <v>6</v>
      </c>
      <c r="C10" s="22" t="s">
        <v>7</v>
      </c>
      <c r="D10" s="33" t="s">
        <v>8</v>
      </c>
      <c r="E10" s="22" t="s">
        <v>9</v>
      </c>
      <c r="F10" s="24" t="s">
        <v>10</v>
      </c>
      <c r="G10" s="23" t="s">
        <v>11</v>
      </c>
      <c r="H10" s="25" t="s">
        <v>12</v>
      </c>
      <c r="I10"/>
      <c r="J10" s="6" t="s">
        <v>4</v>
      </c>
      <c r="K10" s="9">
        <v>46002</v>
      </c>
      <c r="L10" s="4"/>
      <c r="M10" s="4"/>
      <c r="N10" s="4"/>
      <c r="O10" s="4"/>
      <c r="P10" s="4"/>
      <c r="Q10" s="4"/>
      <c r="R10" s="4"/>
      <c r="S10" s="4"/>
      <c r="T10" s="4"/>
      <c r="U10" s="5"/>
      <c r="V10"/>
      <c r="W10" s="6" t="s">
        <v>4</v>
      </c>
      <c r="X10" s="9"/>
      <c r="Y10" s="4"/>
      <c r="Z10" s="4"/>
      <c r="AA10" s="4"/>
      <c r="AB10" s="4"/>
      <c r="AC10" s="5"/>
      <c r="AD10"/>
      <c r="AE10" s="6" t="s">
        <v>4</v>
      </c>
      <c r="AF10" s="9"/>
      <c r="AG10" s="4"/>
      <c r="AH10" s="4"/>
      <c r="AI10" s="4"/>
      <c r="AJ10" s="4"/>
      <c r="AK10" s="5"/>
    </row>
    <row r="11" spans="1:37" s="15" customFormat="1" ht="15.75" thickBot="1" x14ac:dyDescent="0.3">
      <c r="A11" s="77"/>
      <c r="B11" s="26">
        <v>7</v>
      </c>
      <c r="C11" s="27">
        <v>481</v>
      </c>
      <c r="D11" s="27">
        <v>481</v>
      </c>
      <c r="E11" s="27">
        <v>1079</v>
      </c>
      <c r="F11" s="27">
        <f>SUM(C11-B11)</f>
        <v>474</v>
      </c>
      <c r="G11" s="20">
        <f>SUM(E11-D11)</f>
        <v>598</v>
      </c>
      <c r="H11" s="21">
        <f>SUM(F11:G11)</f>
        <v>1072</v>
      </c>
      <c r="I11"/>
      <c r="J11" s="7" t="s">
        <v>22</v>
      </c>
      <c r="K11" s="10">
        <v>271.88</v>
      </c>
      <c r="L11" s="11"/>
      <c r="M11" s="11"/>
      <c r="N11" s="11"/>
      <c r="O11" s="11"/>
      <c r="P11" s="11"/>
      <c r="Q11" s="11"/>
      <c r="R11" s="11"/>
      <c r="S11" s="11"/>
      <c r="T11" s="11"/>
      <c r="U11" s="12"/>
      <c r="V11"/>
      <c r="W11" s="7" t="s">
        <v>22</v>
      </c>
      <c r="X11" s="10"/>
      <c r="Y11" s="11"/>
      <c r="Z11" s="11"/>
      <c r="AA11" s="11"/>
      <c r="AB11" s="11"/>
      <c r="AC11" s="12"/>
      <c r="AD11"/>
      <c r="AE11" s="7" t="s">
        <v>22</v>
      </c>
      <c r="AF11" s="10"/>
      <c r="AG11" s="11"/>
      <c r="AH11" s="11"/>
      <c r="AI11" s="11"/>
      <c r="AJ11" s="11"/>
      <c r="AK11" s="12"/>
    </row>
    <row r="12" spans="1:37" s="15" customFormat="1" x14ac:dyDescent="0.25">
      <c r="A12"/>
      <c r="B12" s="1"/>
      <c r="C12" s="1"/>
      <c r="D12" s="1"/>
      <c r="E12" s="1"/>
      <c r="F12"/>
      <c r="G12"/>
      <c r="H12"/>
      <c r="I12"/>
      <c r="J12" s="8"/>
      <c r="K12"/>
      <c r="L12"/>
      <c r="M12"/>
      <c r="N12"/>
      <c r="O12"/>
      <c r="P12"/>
      <c r="Q12"/>
      <c r="R12"/>
      <c r="S12"/>
      <c r="T12" s="8" t="s">
        <v>23</v>
      </c>
      <c r="U12" s="13">
        <f>SUM(K11:U11)</f>
        <v>271.88</v>
      </c>
      <c r="V12"/>
      <c r="W12"/>
      <c r="X12"/>
      <c r="Y12"/>
      <c r="Z12"/>
      <c r="AA12"/>
      <c r="AB12" s="8" t="s">
        <v>23</v>
      </c>
      <c r="AC12" s="13">
        <f>SUM(X11:AC11)</f>
        <v>0</v>
      </c>
      <c r="AD12"/>
      <c r="AE12"/>
      <c r="AF12"/>
      <c r="AG12"/>
      <c r="AH12"/>
      <c r="AI12"/>
      <c r="AJ12" s="8" t="s">
        <v>23</v>
      </c>
      <c r="AK12" s="13">
        <f>SUM(AF11:AK11)</f>
        <v>0</v>
      </c>
    </row>
    <row r="13" spans="1:37" s="15" customFormat="1" ht="15.75" thickBot="1" x14ac:dyDescent="0.3">
      <c r="A13" s="73">
        <v>2026</v>
      </c>
      <c r="B13" s="78" t="s">
        <v>95</v>
      </c>
      <c r="C13" s="78"/>
      <c r="D13" s="78"/>
      <c r="E13" s="78"/>
      <c r="F13" s="78"/>
      <c r="G13" s="78"/>
      <c r="H13" s="78"/>
      <c r="I13"/>
      <c r="J13" s="79" t="s">
        <v>95</v>
      </c>
      <c r="K13" s="79"/>
      <c r="L13" s="79"/>
      <c r="M13" s="79"/>
      <c r="N13" s="79"/>
      <c r="O13" s="79"/>
      <c r="P13" s="79"/>
      <c r="Q13" s="79"/>
      <c r="R13" s="79"/>
      <c r="S13" s="79"/>
      <c r="T13" s="79"/>
      <c r="U13" s="79"/>
      <c r="V13"/>
      <c r="W13" s="80" t="s">
        <v>95</v>
      </c>
      <c r="X13" s="80"/>
      <c r="Y13" s="80"/>
      <c r="Z13" s="80"/>
      <c r="AA13" s="80"/>
      <c r="AB13" s="80"/>
      <c r="AC13" s="80"/>
      <c r="AD13"/>
      <c r="AE13" s="81" t="s">
        <v>95</v>
      </c>
      <c r="AF13" s="81"/>
      <c r="AG13" s="81"/>
      <c r="AH13" s="81"/>
      <c r="AI13" s="81"/>
      <c r="AJ13" s="81"/>
      <c r="AK13" s="81"/>
    </row>
    <row r="14" spans="1:37" s="15" customFormat="1" ht="15.75" thickBot="1" x14ac:dyDescent="0.3">
      <c r="A14" s="77" t="s">
        <v>5</v>
      </c>
      <c r="B14" s="34" t="s">
        <v>6</v>
      </c>
      <c r="C14" s="22" t="s">
        <v>7</v>
      </c>
      <c r="D14" s="33" t="s">
        <v>8</v>
      </c>
      <c r="E14" s="22" t="s">
        <v>9</v>
      </c>
      <c r="F14" s="24" t="s">
        <v>10</v>
      </c>
      <c r="G14" s="23" t="s">
        <v>11</v>
      </c>
      <c r="H14" s="25" t="s">
        <v>12</v>
      </c>
      <c r="I14"/>
      <c r="J14" s="28" t="s">
        <v>4</v>
      </c>
      <c r="K14" s="9">
        <v>46028</v>
      </c>
      <c r="L14" s="66">
        <v>46031</v>
      </c>
      <c r="M14" s="66">
        <v>46037</v>
      </c>
      <c r="N14" s="66">
        <v>46042</v>
      </c>
      <c r="O14" s="66">
        <v>46050</v>
      </c>
      <c r="P14" s="66"/>
      <c r="Q14" s="66"/>
      <c r="R14" s="66"/>
      <c r="S14" s="66"/>
      <c r="T14" s="66"/>
      <c r="U14" s="5"/>
      <c r="V14"/>
      <c r="W14" s="6" t="s">
        <v>4</v>
      </c>
      <c r="X14" s="9"/>
      <c r="Y14" s="4"/>
      <c r="Z14" s="4"/>
      <c r="AA14" s="4"/>
      <c r="AB14" s="4"/>
      <c r="AC14" s="5"/>
      <c r="AD14"/>
      <c r="AE14" s="6" t="s">
        <v>4</v>
      </c>
      <c r="AF14" s="9"/>
      <c r="AG14" s="4"/>
      <c r="AH14" s="4"/>
      <c r="AI14" s="4"/>
      <c r="AJ14" s="4"/>
      <c r="AK14" s="5"/>
    </row>
    <row r="15" spans="1:37" s="15" customFormat="1" ht="15.75" thickBot="1" x14ac:dyDescent="0.3">
      <c r="A15" s="77"/>
      <c r="B15" s="26">
        <v>1079</v>
      </c>
      <c r="C15" s="27"/>
      <c r="D15" s="27"/>
      <c r="E15" s="27">
        <v>3104</v>
      </c>
      <c r="F15" s="27">
        <f>SUM(C15-B15)</f>
        <v>-1079</v>
      </c>
      <c r="G15" s="20">
        <f>SUM(E15-D15)</f>
        <v>3104</v>
      </c>
      <c r="H15" s="21">
        <f>SUM(F15:G15)</f>
        <v>2025</v>
      </c>
      <c r="I15"/>
      <c r="J15" s="29" t="s">
        <v>22</v>
      </c>
      <c r="K15" s="10">
        <v>262.99</v>
      </c>
      <c r="L15" s="11">
        <v>239.91</v>
      </c>
      <c r="M15" s="11">
        <v>277.02999999999997</v>
      </c>
      <c r="N15" s="11">
        <v>283.27999999999997</v>
      </c>
      <c r="O15" s="11">
        <v>276.8</v>
      </c>
      <c r="P15" s="11"/>
      <c r="Q15" s="11"/>
      <c r="R15" s="11"/>
      <c r="S15" s="11"/>
      <c r="T15" s="11"/>
      <c r="U15" s="12"/>
      <c r="V15"/>
      <c r="W15" s="7" t="s">
        <v>22</v>
      </c>
      <c r="X15" s="10"/>
      <c r="Y15" s="11"/>
      <c r="Z15" s="11"/>
      <c r="AA15" s="11"/>
      <c r="AB15" s="11"/>
      <c r="AC15" s="12"/>
      <c r="AD15"/>
      <c r="AE15" s="7" t="s">
        <v>22</v>
      </c>
      <c r="AF15" s="10"/>
      <c r="AG15" s="11"/>
      <c r="AH15" s="11"/>
      <c r="AI15" s="11"/>
      <c r="AJ15" s="11"/>
      <c r="AK15" s="12"/>
    </row>
    <row r="16" spans="1:37" s="15" customFormat="1" x14ac:dyDescent="0.25">
      <c r="A16"/>
      <c r="B16" s="1"/>
      <c r="C16" s="1"/>
      <c r="D16" s="1"/>
      <c r="E16" s="1"/>
      <c r="F16"/>
      <c r="G16"/>
      <c r="H16"/>
      <c r="I16"/>
      <c r="J16" s="8"/>
      <c r="K16"/>
      <c r="L16"/>
      <c r="M16"/>
      <c r="N16"/>
      <c r="O16"/>
      <c r="P16"/>
      <c r="Q16"/>
      <c r="R16"/>
      <c r="S16"/>
      <c r="T16" s="8" t="s">
        <v>23</v>
      </c>
      <c r="U16" s="13">
        <f>SUM(K15:U15)</f>
        <v>1340.01</v>
      </c>
      <c r="V16"/>
      <c r="W16"/>
      <c r="X16"/>
      <c r="Y16"/>
      <c r="Z16"/>
      <c r="AA16"/>
      <c r="AB16" s="8" t="s">
        <v>23</v>
      </c>
      <c r="AC16" s="13">
        <f>SUM(X15:AC15)</f>
        <v>0</v>
      </c>
      <c r="AD16"/>
      <c r="AE16"/>
      <c r="AF16"/>
      <c r="AG16"/>
      <c r="AH16"/>
      <c r="AI16"/>
      <c r="AJ16" s="8" t="s">
        <v>23</v>
      </c>
      <c r="AK16" s="13">
        <f>SUM(AF15:AK15)</f>
        <v>0</v>
      </c>
    </row>
    <row r="17" spans="1:37" ht="15.75" thickBot="1" x14ac:dyDescent="0.3">
      <c r="A17" s="19"/>
      <c r="B17" s="78" t="s">
        <v>3</v>
      </c>
      <c r="C17" s="78"/>
      <c r="D17" s="78"/>
      <c r="E17" s="78"/>
      <c r="F17" s="78"/>
      <c r="G17" s="78"/>
      <c r="H17" s="78"/>
      <c r="J17" s="79" t="s">
        <v>3</v>
      </c>
      <c r="K17" s="79"/>
      <c r="L17" s="79"/>
      <c r="M17" s="79"/>
      <c r="N17" s="79"/>
      <c r="O17" s="79"/>
      <c r="P17" s="79"/>
      <c r="Q17" s="79"/>
      <c r="R17" s="79"/>
      <c r="S17" s="79"/>
      <c r="T17" s="79"/>
      <c r="U17" s="79"/>
      <c r="W17" s="80" t="s">
        <v>3</v>
      </c>
      <c r="X17" s="80"/>
      <c r="Y17" s="80"/>
      <c r="Z17" s="80"/>
      <c r="AA17" s="80"/>
      <c r="AB17" s="80"/>
      <c r="AC17" s="80"/>
      <c r="AE17" s="81" t="s">
        <v>3</v>
      </c>
      <c r="AF17" s="81"/>
      <c r="AG17" s="81"/>
      <c r="AH17" s="81"/>
      <c r="AI17" s="81"/>
      <c r="AJ17" s="81"/>
      <c r="AK17" s="81"/>
    </row>
    <row r="18" spans="1:37" ht="15.75" thickBot="1" x14ac:dyDescent="0.3">
      <c r="A18" s="77" t="s">
        <v>5</v>
      </c>
      <c r="B18" s="34" t="s">
        <v>6</v>
      </c>
      <c r="C18" s="22" t="s">
        <v>7</v>
      </c>
      <c r="D18" s="33" t="s">
        <v>8</v>
      </c>
      <c r="E18" s="22" t="s">
        <v>9</v>
      </c>
      <c r="F18" s="24" t="s">
        <v>10</v>
      </c>
      <c r="G18" s="23" t="s">
        <v>11</v>
      </c>
      <c r="H18" s="25" t="s">
        <v>12</v>
      </c>
      <c r="J18" s="28" t="s">
        <v>4</v>
      </c>
      <c r="K18" s="9">
        <v>46057</v>
      </c>
      <c r="L18" s="66">
        <v>46065</v>
      </c>
      <c r="M18" s="66">
        <v>46080</v>
      </c>
      <c r="N18" s="66"/>
      <c r="O18" s="66"/>
      <c r="P18" s="66"/>
      <c r="Q18" s="66"/>
      <c r="R18" s="66"/>
      <c r="S18" s="66"/>
      <c r="T18" s="66"/>
      <c r="U18" s="72"/>
      <c r="W18" s="6" t="s">
        <v>4</v>
      </c>
      <c r="X18" s="9"/>
      <c r="Y18" s="4"/>
      <c r="Z18" s="4"/>
      <c r="AA18" s="4"/>
      <c r="AB18" s="4"/>
      <c r="AC18" s="5"/>
      <c r="AE18" s="6" t="s">
        <v>4</v>
      </c>
      <c r="AF18" s="9"/>
      <c r="AG18" s="4"/>
      <c r="AH18" s="4"/>
      <c r="AI18" s="4"/>
      <c r="AJ18" s="4"/>
      <c r="AK18" s="5"/>
    </row>
    <row r="19" spans="1:37" ht="15.75" thickBot="1" x14ac:dyDescent="0.3">
      <c r="A19" s="77"/>
      <c r="B19" s="27">
        <v>3104</v>
      </c>
      <c r="C19" s="27"/>
      <c r="D19" s="27"/>
      <c r="E19" s="27">
        <v>3896</v>
      </c>
      <c r="F19" s="27">
        <f>SUM(C19-B19)</f>
        <v>-3104</v>
      </c>
      <c r="G19" s="20">
        <f>SUM(E19-D19)</f>
        <v>3896</v>
      </c>
      <c r="H19" s="21">
        <f>SUM(F19:G19)</f>
        <v>792</v>
      </c>
      <c r="J19" s="29" t="s">
        <v>22</v>
      </c>
      <c r="K19" s="10">
        <v>235.51</v>
      </c>
      <c r="L19" s="11">
        <v>222.83</v>
      </c>
      <c r="M19" s="11">
        <v>275.8</v>
      </c>
      <c r="N19" s="11"/>
      <c r="O19" s="11"/>
      <c r="P19" s="11"/>
      <c r="Q19" s="11"/>
      <c r="R19" s="11"/>
      <c r="S19" s="11"/>
      <c r="T19" s="11"/>
      <c r="U19" s="12"/>
      <c r="W19" s="7" t="s">
        <v>22</v>
      </c>
      <c r="X19" s="10"/>
      <c r="Y19" s="11"/>
      <c r="Z19" s="11"/>
      <c r="AA19" s="11"/>
      <c r="AB19" s="11"/>
      <c r="AC19" s="12"/>
      <c r="AE19" s="7" t="s">
        <v>22</v>
      </c>
      <c r="AF19" s="10"/>
      <c r="AG19" s="11"/>
      <c r="AH19" s="11"/>
      <c r="AI19" s="11"/>
      <c r="AJ19" s="11"/>
      <c r="AK19" s="12"/>
    </row>
    <row r="20" spans="1:37" x14ac:dyDescent="0.25">
      <c r="J20" s="8"/>
      <c r="T20" s="8" t="s">
        <v>23</v>
      </c>
      <c r="U20" s="13">
        <f>SUM(K19:U19)</f>
        <v>734.1400000000001</v>
      </c>
      <c r="AB20" s="8" t="s">
        <v>23</v>
      </c>
      <c r="AC20" s="13">
        <f>SUM(X19:AC19)</f>
        <v>0</v>
      </c>
      <c r="AJ20" s="8" t="s">
        <v>23</v>
      </c>
      <c r="AK20" s="13">
        <f>SUM(AF19:AK19)</f>
        <v>0</v>
      </c>
    </row>
    <row r="21" spans="1:37" ht="15.75" thickBot="1" x14ac:dyDescent="0.3">
      <c r="A21" s="19"/>
      <c r="B21" s="78" t="s">
        <v>13</v>
      </c>
      <c r="C21" s="78"/>
      <c r="D21" s="78"/>
      <c r="E21" s="78"/>
      <c r="F21" s="78"/>
      <c r="G21" s="78"/>
      <c r="H21" s="78"/>
      <c r="J21" s="79" t="s">
        <v>13</v>
      </c>
      <c r="K21" s="79"/>
      <c r="L21" s="79"/>
      <c r="M21" s="79"/>
      <c r="N21" s="79"/>
      <c r="O21" s="79"/>
      <c r="P21" s="79"/>
      <c r="Q21" s="79"/>
      <c r="R21" s="79"/>
      <c r="S21" s="79"/>
      <c r="T21" s="79"/>
      <c r="U21" s="79"/>
      <c r="W21" s="80" t="str">
        <f>J21</f>
        <v>Março</v>
      </c>
      <c r="X21" s="80"/>
      <c r="Y21" s="80"/>
      <c r="Z21" s="80"/>
      <c r="AA21" s="80"/>
      <c r="AB21" s="80"/>
      <c r="AC21" s="80"/>
      <c r="AE21" s="81" t="str">
        <f>W21</f>
        <v>Março</v>
      </c>
      <c r="AF21" s="81"/>
      <c r="AG21" s="81"/>
      <c r="AH21" s="81"/>
      <c r="AI21" s="81"/>
      <c r="AJ21" s="81"/>
      <c r="AK21" s="81"/>
    </row>
    <row r="22" spans="1:37" ht="15.75" thickBot="1" x14ac:dyDescent="0.3">
      <c r="A22" s="77" t="s">
        <v>5</v>
      </c>
      <c r="B22" s="34" t="s">
        <v>6</v>
      </c>
      <c r="C22" s="22" t="s">
        <v>7</v>
      </c>
      <c r="D22" s="33" t="s">
        <v>8</v>
      </c>
      <c r="E22" s="22" t="s">
        <v>9</v>
      </c>
      <c r="F22" s="24" t="s">
        <v>10</v>
      </c>
      <c r="G22" s="23" t="s">
        <v>11</v>
      </c>
      <c r="H22" s="25" t="s">
        <v>12</v>
      </c>
      <c r="J22" s="6" t="s">
        <v>4</v>
      </c>
      <c r="K22" s="9">
        <v>46087</v>
      </c>
      <c r="L22" s="66">
        <v>46094</v>
      </c>
      <c r="M22" s="66">
        <v>46101</v>
      </c>
      <c r="N22" s="66">
        <v>46102</v>
      </c>
      <c r="O22" s="66">
        <v>46108</v>
      </c>
      <c r="P22" s="66"/>
      <c r="Q22" s="66"/>
      <c r="R22" s="66"/>
      <c r="S22" s="66"/>
      <c r="T22" s="66"/>
      <c r="U22" s="72"/>
      <c r="W22" s="6" t="s">
        <v>4</v>
      </c>
      <c r="X22" s="9">
        <v>46088</v>
      </c>
      <c r="Y22" s="66">
        <v>46094</v>
      </c>
      <c r="Z22" s="66">
        <v>46102</v>
      </c>
      <c r="AA22" s="66">
        <v>46110</v>
      </c>
      <c r="AB22" s="66"/>
      <c r="AC22" s="72"/>
      <c r="AE22" s="6" t="s">
        <v>4</v>
      </c>
      <c r="AF22" s="9"/>
      <c r="AG22" s="4"/>
      <c r="AH22" s="4"/>
      <c r="AI22" s="4"/>
      <c r="AJ22" s="4"/>
      <c r="AK22" s="5"/>
    </row>
    <row r="23" spans="1:37" ht="15.75" thickBot="1" x14ac:dyDescent="0.3">
      <c r="A23" s="77"/>
      <c r="B23" s="27">
        <v>3896</v>
      </c>
      <c r="C23" s="27"/>
      <c r="D23" s="27"/>
      <c r="E23" s="27">
        <v>5238</v>
      </c>
      <c r="F23" s="27">
        <f>SUM(C23-B23)</f>
        <v>-3896</v>
      </c>
      <c r="G23" s="20">
        <f>SUM(E23-D23)</f>
        <v>5238</v>
      </c>
      <c r="H23" s="21">
        <f>SUM(F23:G23)</f>
        <v>1342</v>
      </c>
      <c r="J23" s="7" t="s">
        <v>22</v>
      </c>
      <c r="K23" s="10">
        <v>288.23</v>
      </c>
      <c r="L23" s="11">
        <v>213.79</v>
      </c>
      <c r="M23" s="11">
        <v>244.8</v>
      </c>
      <c r="N23" s="11">
        <v>270.75</v>
      </c>
      <c r="O23" s="11">
        <v>325.93</v>
      </c>
      <c r="P23" s="11"/>
      <c r="Q23" s="11"/>
      <c r="R23" s="11"/>
      <c r="S23" s="11"/>
      <c r="T23" s="11"/>
      <c r="U23" s="12"/>
      <c r="W23" s="7" t="s">
        <v>22</v>
      </c>
      <c r="X23" s="10">
        <v>52</v>
      </c>
      <c r="Y23" s="11">
        <v>52</v>
      </c>
      <c r="Z23" s="11">
        <v>52</v>
      </c>
      <c r="AA23" s="11">
        <v>52</v>
      </c>
      <c r="AB23" s="11"/>
      <c r="AC23" s="12"/>
      <c r="AE23" s="7" t="s">
        <v>22</v>
      </c>
      <c r="AF23" s="10"/>
      <c r="AG23" s="11"/>
      <c r="AH23" s="11"/>
      <c r="AI23" s="11"/>
      <c r="AJ23" s="11"/>
      <c r="AK23" s="12"/>
    </row>
    <row r="24" spans="1:37" x14ac:dyDescent="0.25">
      <c r="J24" s="8"/>
      <c r="T24" s="8" t="s">
        <v>23</v>
      </c>
      <c r="U24" s="13">
        <f>SUM(K23:U23)</f>
        <v>1343.5</v>
      </c>
      <c r="AB24" s="8" t="s">
        <v>23</v>
      </c>
      <c r="AC24" s="13">
        <f>SUM(X23:AC23)</f>
        <v>208</v>
      </c>
      <c r="AJ24" s="8" t="s">
        <v>23</v>
      </c>
      <c r="AK24" s="13">
        <f>SUM(AF23:AK23)</f>
        <v>0</v>
      </c>
    </row>
    <row r="25" spans="1:37" ht="15.75" thickBot="1" x14ac:dyDescent="0.3">
      <c r="A25" s="19"/>
      <c r="B25" s="78" t="s">
        <v>14</v>
      </c>
      <c r="C25" s="78"/>
      <c r="D25" s="78"/>
      <c r="E25" s="78"/>
      <c r="F25" s="78"/>
      <c r="G25" s="78"/>
      <c r="H25" s="78"/>
      <c r="J25" s="79" t="s">
        <v>14</v>
      </c>
      <c r="K25" s="79"/>
      <c r="L25" s="79"/>
      <c r="M25" s="79"/>
      <c r="N25" s="79"/>
      <c r="O25" s="79"/>
      <c r="P25" s="79"/>
      <c r="Q25" s="79"/>
      <c r="R25" s="79"/>
      <c r="S25" s="79"/>
      <c r="T25" s="79"/>
      <c r="U25" s="79"/>
      <c r="W25" s="80" t="str">
        <f>J25</f>
        <v>Abril</v>
      </c>
      <c r="X25" s="80"/>
      <c r="Y25" s="80"/>
      <c r="Z25" s="80"/>
      <c r="AA25" s="80"/>
      <c r="AB25" s="80"/>
      <c r="AC25" s="80"/>
      <c r="AE25" s="81" t="str">
        <f>W25</f>
        <v>Abril</v>
      </c>
      <c r="AF25" s="81"/>
      <c r="AG25" s="81"/>
      <c r="AH25" s="81"/>
      <c r="AI25" s="81"/>
      <c r="AJ25" s="81"/>
      <c r="AK25" s="81"/>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7">
        <v>5238</v>
      </c>
      <c r="C27" s="27"/>
      <c r="D27" s="27"/>
      <c r="E27" s="27">
        <v>6431</v>
      </c>
      <c r="F27" s="27">
        <f>SUM(C27-B27)</f>
        <v>-5238</v>
      </c>
      <c r="G27" s="20">
        <f>SUM(E27-D27)</f>
        <v>6431</v>
      </c>
      <c r="H27" s="21">
        <f>SUM(F27:G27)</f>
        <v>1193</v>
      </c>
      <c r="J27" s="7" t="s">
        <v>22</v>
      </c>
      <c r="K27" s="30"/>
      <c r="L27" s="31"/>
      <c r="M27" s="31"/>
      <c r="N27" s="31"/>
      <c r="O27" s="31"/>
      <c r="P27" s="31"/>
      <c r="Q27" s="31"/>
      <c r="R27" s="31"/>
      <c r="S27" s="31"/>
      <c r="T27" s="31"/>
      <c r="U27" s="3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8" t="s">
        <v>15</v>
      </c>
      <c r="C29" s="78"/>
      <c r="D29" s="78"/>
      <c r="E29" s="78"/>
      <c r="F29" s="78"/>
      <c r="G29" s="78"/>
      <c r="H29" s="78"/>
      <c r="J29" s="79" t="s">
        <v>15</v>
      </c>
      <c r="K29" s="79"/>
      <c r="L29" s="79"/>
      <c r="M29" s="79"/>
      <c r="N29" s="79"/>
      <c r="O29" s="79"/>
      <c r="P29" s="79"/>
      <c r="Q29" s="79"/>
      <c r="R29" s="79"/>
      <c r="S29" s="79"/>
      <c r="T29" s="79"/>
      <c r="U29" s="79"/>
      <c r="W29" s="80" t="str">
        <f>J29</f>
        <v>Maio</v>
      </c>
      <c r="X29" s="80"/>
      <c r="Y29" s="80"/>
      <c r="Z29" s="80"/>
      <c r="AA29" s="80"/>
      <c r="AB29" s="80"/>
      <c r="AC29" s="80"/>
      <c r="AE29" s="81" t="str">
        <f>W29</f>
        <v>Maio</v>
      </c>
      <c r="AF29" s="81"/>
      <c r="AG29" s="81"/>
      <c r="AH29" s="81"/>
      <c r="AI29" s="81"/>
      <c r="AJ29" s="81"/>
      <c r="AK29" s="81"/>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7">
        <v>6431</v>
      </c>
      <c r="C31" s="27"/>
      <c r="D31" s="27"/>
      <c r="E31" s="27">
        <v>8584</v>
      </c>
      <c r="F31" s="27">
        <f>SUM(C31-B31)</f>
        <v>-6431</v>
      </c>
      <c r="G31" s="20">
        <f>SUM(E31-D31)</f>
        <v>8584</v>
      </c>
      <c r="H31" s="21">
        <f>SUM(F31:G31)</f>
        <v>2153</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8" t="s">
        <v>24</v>
      </c>
      <c r="C33" s="78"/>
      <c r="D33" s="78"/>
      <c r="E33" s="78"/>
      <c r="F33" s="78"/>
      <c r="G33" s="78"/>
      <c r="H33" s="78"/>
      <c r="J33" s="79" t="s">
        <v>24</v>
      </c>
      <c r="K33" s="79"/>
      <c r="L33" s="79"/>
      <c r="M33" s="79"/>
      <c r="N33" s="79"/>
      <c r="O33" s="79"/>
      <c r="P33" s="79"/>
      <c r="Q33" s="79"/>
      <c r="R33" s="79"/>
      <c r="S33" s="79"/>
      <c r="T33" s="79"/>
      <c r="U33" s="79"/>
      <c r="W33" s="80" t="str">
        <f>J33</f>
        <v>Junho</v>
      </c>
      <c r="X33" s="80"/>
      <c r="Y33" s="80"/>
      <c r="Z33" s="80"/>
      <c r="AA33" s="80"/>
      <c r="AB33" s="80"/>
      <c r="AC33" s="80"/>
      <c r="AE33" s="81" t="str">
        <f>W33</f>
        <v>Junho</v>
      </c>
      <c r="AF33" s="81"/>
      <c r="AG33" s="81"/>
      <c r="AH33" s="81"/>
      <c r="AI33" s="81"/>
      <c r="AJ33" s="81"/>
      <c r="AK33" s="81"/>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v>8584</v>
      </c>
      <c r="C35" s="27">
        <v>9009</v>
      </c>
      <c r="D35" s="27"/>
      <c r="E35" s="27"/>
      <c r="F35" s="27">
        <f>SUM(C35-B35)</f>
        <v>425</v>
      </c>
      <c r="G35" s="20">
        <f>SUM(E35-D35)</f>
        <v>0</v>
      </c>
      <c r="H35" s="21">
        <f>SUM(F35:G35)</f>
        <v>425</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8" t="s">
        <v>16</v>
      </c>
      <c r="C37" s="78"/>
      <c r="D37" s="78"/>
      <c r="E37" s="78"/>
      <c r="F37" s="78"/>
      <c r="G37" s="78"/>
      <c r="H37" s="78"/>
      <c r="J37" s="79" t="s">
        <v>16</v>
      </c>
      <c r="K37" s="79"/>
      <c r="L37" s="79"/>
      <c r="M37" s="79"/>
      <c r="N37" s="79"/>
      <c r="O37" s="79"/>
      <c r="P37" s="79"/>
      <c r="Q37" s="79"/>
      <c r="R37" s="79"/>
      <c r="S37" s="79"/>
      <c r="T37" s="79"/>
      <c r="U37" s="79"/>
      <c r="W37" s="80" t="str">
        <f>J37</f>
        <v>Julho</v>
      </c>
      <c r="X37" s="80"/>
      <c r="Y37" s="80"/>
      <c r="Z37" s="80"/>
      <c r="AA37" s="80"/>
      <c r="AB37" s="80"/>
      <c r="AC37" s="80"/>
      <c r="AE37" s="81" t="str">
        <f>W37</f>
        <v>Julho</v>
      </c>
      <c r="AF37" s="81"/>
      <c r="AG37" s="81"/>
      <c r="AH37" s="81"/>
      <c r="AI37" s="81"/>
      <c r="AJ37" s="81"/>
      <c r="AK37" s="81"/>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8" t="s">
        <v>17</v>
      </c>
      <c r="C41" s="78"/>
      <c r="D41" s="78"/>
      <c r="E41" s="78"/>
      <c r="F41" s="78"/>
      <c r="G41" s="78"/>
      <c r="H41" s="78"/>
      <c r="J41" s="79" t="s">
        <v>17</v>
      </c>
      <c r="K41" s="79"/>
      <c r="L41" s="79"/>
      <c r="M41" s="79"/>
      <c r="N41" s="79"/>
      <c r="O41" s="79"/>
      <c r="P41" s="79"/>
      <c r="Q41" s="79"/>
      <c r="R41" s="79"/>
      <c r="S41" s="79"/>
      <c r="T41" s="79"/>
      <c r="U41" s="79"/>
      <c r="W41" s="80" t="str">
        <f>J41</f>
        <v>Agosto</v>
      </c>
      <c r="X41" s="80"/>
      <c r="Y41" s="80"/>
      <c r="Z41" s="80"/>
      <c r="AA41" s="80"/>
      <c r="AB41" s="80"/>
      <c r="AC41" s="80"/>
      <c r="AE41" s="81" t="str">
        <f>W41</f>
        <v>Agosto</v>
      </c>
      <c r="AF41" s="81"/>
      <c r="AG41" s="81"/>
      <c r="AH41" s="81"/>
      <c r="AI41" s="81"/>
      <c r="AJ41" s="81"/>
      <c r="AK41" s="81"/>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8" t="s">
        <v>18</v>
      </c>
      <c r="C45" s="78"/>
      <c r="D45" s="78"/>
      <c r="E45" s="78"/>
      <c r="F45" s="78"/>
      <c r="G45" s="78"/>
      <c r="H45" s="78"/>
      <c r="J45" s="79" t="s">
        <v>18</v>
      </c>
      <c r="K45" s="79"/>
      <c r="L45" s="79"/>
      <c r="M45" s="79"/>
      <c r="N45" s="79"/>
      <c r="O45" s="79"/>
      <c r="P45" s="79"/>
      <c r="Q45" s="79"/>
      <c r="R45" s="79"/>
      <c r="S45" s="79"/>
      <c r="T45" s="79"/>
      <c r="U45" s="79"/>
      <c r="W45" s="80" t="str">
        <f>J45</f>
        <v>Setembro</v>
      </c>
      <c r="X45" s="80"/>
      <c r="Y45" s="80"/>
      <c r="Z45" s="80"/>
      <c r="AA45" s="80"/>
      <c r="AB45" s="80"/>
      <c r="AC45" s="80"/>
      <c r="AE45" s="81" t="str">
        <f>W45</f>
        <v>Setembro</v>
      </c>
      <c r="AF45" s="81"/>
      <c r="AG45" s="81"/>
      <c r="AH45" s="81"/>
      <c r="AI45" s="81"/>
      <c r="AJ45" s="81"/>
      <c r="AK45" s="81"/>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8" t="s">
        <v>19</v>
      </c>
      <c r="C49" s="78"/>
      <c r="D49" s="78"/>
      <c r="E49" s="78"/>
      <c r="F49" s="78"/>
      <c r="G49" s="78"/>
      <c r="H49" s="78"/>
      <c r="J49" s="79" t="s">
        <v>19</v>
      </c>
      <c r="K49" s="79"/>
      <c r="L49" s="79"/>
      <c r="M49" s="79"/>
      <c r="N49" s="79"/>
      <c r="O49" s="79"/>
      <c r="P49" s="79"/>
      <c r="Q49" s="79"/>
      <c r="R49" s="79"/>
      <c r="S49" s="79"/>
      <c r="T49" s="79"/>
      <c r="U49" s="79"/>
      <c r="W49" s="80" t="str">
        <f>J49</f>
        <v>Outubro</v>
      </c>
      <c r="X49" s="80"/>
      <c r="Y49" s="80"/>
      <c r="Z49" s="80"/>
      <c r="AA49" s="80"/>
      <c r="AB49" s="80"/>
      <c r="AC49" s="80"/>
      <c r="AE49" s="81" t="str">
        <f>W49</f>
        <v>Outubro</v>
      </c>
      <c r="AF49" s="81"/>
      <c r="AG49" s="81"/>
      <c r="AH49" s="81"/>
      <c r="AI49" s="81"/>
      <c r="AJ49" s="81"/>
      <c r="AK49" s="81"/>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78" t="s">
        <v>20</v>
      </c>
      <c r="C53" s="78"/>
      <c r="D53" s="78"/>
      <c r="E53" s="78"/>
      <c r="F53" s="78"/>
      <c r="G53" s="78"/>
      <c r="H53" s="78"/>
      <c r="J53" s="79" t="s">
        <v>20</v>
      </c>
      <c r="K53" s="79"/>
      <c r="L53" s="79"/>
      <c r="M53" s="79"/>
      <c r="N53" s="79"/>
      <c r="O53" s="79"/>
      <c r="P53" s="79"/>
      <c r="Q53" s="79"/>
      <c r="R53" s="79"/>
      <c r="S53" s="79"/>
      <c r="T53" s="79"/>
      <c r="U53" s="79"/>
      <c r="W53" s="80" t="str">
        <f>J53</f>
        <v>Novembro</v>
      </c>
      <c r="X53" s="80"/>
      <c r="Y53" s="80"/>
      <c r="Z53" s="80"/>
      <c r="AA53" s="80"/>
      <c r="AB53" s="80"/>
      <c r="AC53" s="80"/>
      <c r="AE53" s="81" t="str">
        <f>W53</f>
        <v>Novembro</v>
      </c>
      <c r="AF53" s="81"/>
      <c r="AG53" s="81"/>
      <c r="AH53" s="81"/>
      <c r="AI53" s="81"/>
      <c r="AJ53" s="81"/>
      <c r="AK53" s="81"/>
    </row>
    <row r="54" spans="1:37" ht="15.75" thickBot="1" x14ac:dyDescent="0.3">
      <c r="A54" s="7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77"/>
      <c r="B55" s="26"/>
      <c r="C55" s="27"/>
      <c r="D55" s="27"/>
      <c r="E55" s="27"/>
      <c r="F55" s="27">
        <f>SUM(C55-B55)</f>
        <v>0</v>
      </c>
      <c r="G55" s="20">
        <f>SUM(E55-D55)</f>
        <v>0</v>
      </c>
      <c r="H55" s="21">
        <f>SUM(F55:G55)</f>
        <v>0</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8" t="s">
        <v>21</v>
      </c>
      <c r="C57" s="78"/>
      <c r="D57" s="78"/>
      <c r="E57" s="78"/>
      <c r="F57" s="78"/>
      <c r="G57" s="78"/>
      <c r="H57" s="78"/>
      <c r="J57" s="79" t="s">
        <v>21</v>
      </c>
      <c r="K57" s="79"/>
      <c r="L57" s="79"/>
      <c r="M57" s="79"/>
      <c r="N57" s="79"/>
      <c r="O57" s="79"/>
      <c r="P57" s="79"/>
      <c r="Q57" s="79"/>
      <c r="R57" s="79"/>
      <c r="S57" s="79"/>
      <c r="T57" s="79"/>
      <c r="U57" s="79"/>
      <c r="W57" s="80" t="str">
        <f>J57</f>
        <v>Dezembro</v>
      </c>
      <c r="X57" s="80"/>
      <c r="Y57" s="80"/>
      <c r="Z57" s="80"/>
      <c r="AA57" s="80"/>
      <c r="AB57" s="80"/>
      <c r="AC57" s="80"/>
      <c r="AE57" s="81" t="str">
        <f>W57</f>
        <v>Dezembro</v>
      </c>
      <c r="AF57" s="81"/>
      <c r="AG57" s="81"/>
      <c r="AH57" s="81"/>
      <c r="AI57" s="81"/>
      <c r="AJ57" s="81"/>
      <c r="AK57" s="81"/>
    </row>
    <row r="58" spans="1:37" ht="15.75" thickBot="1" x14ac:dyDescent="0.3">
      <c r="A58" s="77" t="s">
        <v>5</v>
      </c>
      <c r="B58" s="34" t="s">
        <v>6</v>
      </c>
      <c r="C58" s="22" t="s">
        <v>7</v>
      </c>
      <c r="D58" s="33" t="s">
        <v>8</v>
      </c>
      <c r="E58" s="22" t="s">
        <v>9</v>
      </c>
      <c r="F58" s="24" t="s">
        <v>10</v>
      </c>
      <c r="G58" s="23" t="s">
        <v>11</v>
      </c>
      <c r="H58" s="25" t="s">
        <v>12</v>
      </c>
      <c r="J58" s="6" t="s">
        <v>4</v>
      </c>
      <c r="K58" s="9"/>
      <c r="L58" s="4"/>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77"/>
      <c r="B59" s="26"/>
      <c r="C59" s="27"/>
      <c r="D59" s="27"/>
      <c r="E59" s="27"/>
      <c r="F59" s="27">
        <f>SUM(C59-B59)</f>
        <v>0</v>
      </c>
      <c r="G59" s="20">
        <f>SUM(E59-D59)</f>
        <v>0</v>
      </c>
      <c r="H59" s="21">
        <f>SUM(F59:G59)</f>
        <v>0</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sheetData>
  <mergeCells count="75">
    <mergeCell ref="B2:C2"/>
    <mergeCell ref="E2:F2"/>
    <mergeCell ref="B4:C4"/>
    <mergeCell ref="E4:F4"/>
    <mergeCell ref="A7:H7"/>
    <mergeCell ref="B3:C3"/>
    <mergeCell ref="E3:F3"/>
    <mergeCell ref="A22:A23"/>
    <mergeCell ref="W7:AC7"/>
    <mergeCell ref="AE7:AK7"/>
    <mergeCell ref="B17:H17"/>
    <mergeCell ref="J17:U17"/>
    <mergeCell ref="W17:AC17"/>
    <mergeCell ref="AE17:AK17"/>
    <mergeCell ref="J7:U7"/>
    <mergeCell ref="A18:A19"/>
    <mergeCell ref="B21:H21"/>
    <mergeCell ref="J21:U21"/>
    <mergeCell ref="W21:AC21"/>
    <mergeCell ref="AE21:AK21"/>
    <mergeCell ref="B13:H13"/>
    <mergeCell ref="J13:U13"/>
    <mergeCell ref="W13:AC13"/>
    <mergeCell ref="A34:A35"/>
    <mergeCell ref="B25:H25"/>
    <mergeCell ref="J25:U25"/>
    <mergeCell ref="W25:AC25"/>
    <mergeCell ref="AE25:AK25"/>
    <mergeCell ref="A26:A27"/>
    <mergeCell ref="B29:H29"/>
    <mergeCell ref="J29:U29"/>
    <mergeCell ref="W29:AC29"/>
    <mergeCell ref="AE29:AK29"/>
    <mergeCell ref="A30:A31"/>
    <mergeCell ref="B33:H33"/>
    <mergeCell ref="J33:U33"/>
    <mergeCell ref="W33:AC33"/>
    <mergeCell ref="AE33:AK33"/>
    <mergeCell ref="A46:A47"/>
    <mergeCell ref="B37:H37"/>
    <mergeCell ref="J37:U37"/>
    <mergeCell ref="W37:AC37"/>
    <mergeCell ref="AE37:AK37"/>
    <mergeCell ref="A38:A39"/>
    <mergeCell ref="B41:H41"/>
    <mergeCell ref="J41:U41"/>
    <mergeCell ref="W41:AC41"/>
    <mergeCell ref="AE41:AK41"/>
    <mergeCell ref="A42:A43"/>
    <mergeCell ref="B45:H45"/>
    <mergeCell ref="J45:U45"/>
    <mergeCell ref="W45:AC45"/>
    <mergeCell ref="AE45:AK45"/>
    <mergeCell ref="A58:A59"/>
    <mergeCell ref="B49:H49"/>
    <mergeCell ref="J49:U49"/>
    <mergeCell ref="W49:AC49"/>
    <mergeCell ref="AE49:AK49"/>
    <mergeCell ref="A50:A51"/>
    <mergeCell ref="B53:H53"/>
    <mergeCell ref="J53:U53"/>
    <mergeCell ref="W53:AC53"/>
    <mergeCell ref="AE53:AK53"/>
    <mergeCell ref="A54:A55"/>
    <mergeCell ref="B57:H57"/>
    <mergeCell ref="J57:U57"/>
    <mergeCell ref="W57:AC57"/>
    <mergeCell ref="AE57:AK57"/>
    <mergeCell ref="AE13:AK13"/>
    <mergeCell ref="A14:A15"/>
    <mergeCell ref="B9:H9"/>
    <mergeCell ref="J9:U9"/>
    <mergeCell ref="W9:AC9"/>
    <mergeCell ref="AE9:AK9"/>
    <mergeCell ref="A10:A11"/>
  </mergeCells>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L84"/>
  <sheetViews>
    <sheetView showGridLines="0" topLeftCell="A49" workbookViewId="0">
      <selection activeCell="I45" sqref="I4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8.5703125" bestFit="1" customWidth="1"/>
    <col min="10" max="10" width="13.42578125" bestFit="1" customWidth="1"/>
    <col min="11" max="20" width="10.42578125" bestFit="1" customWidth="1"/>
    <col min="21" max="21" width="12.140625" bestFit="1" customWidth="1"/>
    <col min="22" max="22" width="10.42578125" bestFit="1" customWidth="1"/>
    <col min="24" max="27" width="10.42578125" bestFit="1" customWidth="1"/>
    <col min="35" max="37" width="10.140625" bestFit="1" customWidth="1"/>
  </cols>
  <sheetData>
    <row r="2" spans="1:38" x14ac:dyDescent="0.25">
      <c r="A2" t="s">
        <v>0</v>
      </c>
      <c r="B2" s="84" t="s">
        <v>87</v>
      </c>
      <c r="C2" s="84"/>
      <c r="D2" s="1" t="s">
        <v>1</v>
      </c>
      <c r="E2" s="84" t="s">
        <v>92</v>
      </c>
      <c r="F2" s="84"/>
      <c r="H2" t="s">
        <v>83</v>
      </c>
      <c r="I2" s="69">
        <v>3000</v>
      </c>
    </row>
    <row r="3" spans="1:38" x14ac:dyDescent="0.25">
      <c r="A3" t="s">
        <v>105</v>
      </c>
      <c r="B3" s="92">
        <v>46122</v>
      </c>
      <c r="C3" s="84"/>
      <c r="D3" s="1" t="s">
        <v>1</v>
      </c>
      <c r="E3" s="84" t="s">
        <v>92</v>
      </c>
      <c r="F3" s="84"/>
      <c r="H3" t="s">
        <v>106</v>
      </c>
      <c r="I3" s="54" t="s">
        <v>107</v>
      </c>
    </row>
    <row r="4" spans="1:38" x14ac:dyDescent="0.25">
      <c r="A4" t="s">
        <v>2</v>
      </c>
      <c r="B4" s="85">
        <v>3837</v>
      </c>
      <c r="C4" s="85"/>
      <c r="D4" s="1" t="s">
        <v>29</v>
      </c>
      <c r="E4" s="91">
        <v>45</v>
      </c>
      <c r="F4" s="91"/>
      <c r="H4" t="s">
        <v>70</v>
      </c>
      <c r="I4" s="71">
        <v>45950</v>
      </c>
      <c r="J4" t="s">
        <v>98</v>
      </c>
      <c r="K4" s="71">
        <v>46125</v>
      </c>
    </row>
    <row r="7" spans="1:38" ht="21" x14ac:dyDescent="0.35">
      <c r="A7" s="86" t="s">
        <v>28</v>
      </c>
      <c r="B7" s="86"/>
      <c r="C7" s="86"/>
      <c r="D7" s="86"/>
      <c r="E7" s="86"/>
      <c r="F7" s="86"/>
      <c r="G7" s="86"/>
      <c r="H7" s="86"/>
      <c r="J7" s="83" t="s">
        <v>26</v>
      </c>
      <c r="K7" s="83"/>
      <c r="L7" s="83"/>
      <c r="M7" s="83"/>
      <c r="N7" s="83"/>
      <c r="O7" s="83"/>
      <c r="P7" s="83"/>
      <c r="Q7" s="83"/>
      <c r="R7" s="83"/>
      <c r="S7" s="83"/>
      <c r="T7" s="83"/>
      <c r="U7" s="83"/>
      <c r="V7" s="2"/>
      <c r="W7" s="2"/>
      <c r="X7" s="82" t="s">
        <v>25</v>
      </c>
      <c r="Y7" s="82"/>
      <c r="Z7" s="82"/>
      <c r="AA7" s="82"/>
      <c r="AB7" s="82"/>
      <c r="AC7" s="82"/>
      <c r="AD7" s="82"/>
      <c r="AE7" s="2"/>
      <c r="AF7" s="82" t="s">
        <v>27</v>
      </c>
      <c r="AG7" s="82"/>
      <c r="AH7" s="82"/>
      <c r="AI7" s="82"/>
      <c r="AJ7" s="82"/>
      <c r="AK7" s="82"/>
      <c r="AL7" s="82"/>
    </row>
    <row r="8" spans="1:38" s="15" customFormat="1" ht="21" x14ac:dyDescent="0.35">
      <c r="A8" s="14"/>
      <c r="B8" s="14"/>
      <c r="C8" s="14"/>
      <c r="D8" s="14"/>
      <c r="E8" s="14"/>
      <c r="F8" s="14"/>
      <c r="G8" s="14"/>
      <c r="H8" s="14"/>
      <c r="J8" s="16"/>
      <c r="K8" s="16"/>
      <c r="L8" s="16"/>
      <c r="M8" s="16"/>
      <c r="N8" s="16"/>
      <c r="O8" s="16"/>
      <c r="P8" s="16"/>
      <c r="Q8" s="16"/>
      <c r="R8" s="16"/>
      <c r="S8" s="16"/>
      <c r="T8" s="16"/>
      <c r="U8" s="16"/>
      <c r="V8" s="17"/>
      <c r="W8" s="17"/>
      <c r="X8" s="18"/>
      <c r="Y8" s="18"/>
      <c r="Z8" s="18"/>
      <c r="AA8" s="18"/>
      <c r="AB8" s="18"/>
      <c r="AC8" s="18"/>
      <c r="AD8" s="18"/>
      <c r="AE8" s="17"/>
      <c r="AF8" s="18"/>
      <c r="AG8" s="18"/>
      <c r="AH8" s="18"/>
      <c r="AI8" s="18"/>
      <c r="AJ8" s="18"/>
      <c r="AK8" s="18"/>
      <c r="AL8" s="18"/>
    </row>
    <row r="9" spans="1:38" ht="15.75" thickBot="1" x14ac:dyDescent="0.3">
      <c r="A9" s="19"/>
      <c r="B9" s="78" t="s">
        <v>3</v>
      </c>
      <c r="C9" s="78"/>
      <c r="D9" s="78"/>
      <c r="E9" s="78"/>
      <c r="F9" s="78"/>
      <c r="G9" s="78"/>
      <c r="H9" s="78"/>
      <c r="J9" s="79" t="s">
        <v>3</v>
      </c>
      <c r="K9" s="79"/>
      <c r="L9" s="79"/>
      <c r="M9" s="79"/>
      <c r="N9" s="79"/>
      <c r="O9" s="79"/>
      <c r="P9" s="79"/>
      <c r="Q9" s="79"/>
      <c r="R9" s="79"/>
      <c r="S9" s="79"/>
      <c r="T9" s="79"/>
      <c r="U9" s="79"/>
      <c r="X9" s="80" t="s">
        <v>3</v>
      </c>
      <c r="Y9" s="80"/>
      <c r="Z9" s="80"/>
      <c r="AA9" s="80"/>
      <c r="AB9" s="80"/>
      <c r="AC9" s="80"/>
      <c r="AD9" s="80"/>
      <c r="AF9" s="81" t="s">
        <v>3</v>
      </c>
      <c r="AG9" s="81"/>
      <c r="AH9" s="81"/>
      <c r="AI9" s="81"/>
      <c r="AJ9" s="81"/>
      <c r="AK9" s="81"/>
      <c r="AL9" s="81"/>
    </row>
    <row r="10" spans="1:38"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X10" s="6" t="s">
        <v>4</v>
      </c>
      <c r="Y10" s="9"/>
      <c r="Z10" s="4"/>
      <c r="AA10" s="4"/>
      <c r="AB10" s="4"/>
      <c r="AC10" s="4"/>
      <c r="AD10" s="5"/>
      <c r="AF10" s="6" t="s">
        <v>4</v>
      </c>
      <c r="AG10" s="9"/>
      <c r="AH10" s="4"/>
      <c r="AI10" s="4"/>
      <c r="AJ10" s="4"/>
      <c r="AK10" s="4"/>
      <c r="AL10" s="5"/>
    </row>
    <row r="11" spans="1:38"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X11" s="7" t="s">
        <v>22</v>
      </c>
      <c r="Y11" s="10"/>
      <c r="Z11" s="11"/>
      <c r="AA11" s="11"/>
      <c r="AB11" s="11"/>
      <c r="AC11" s="11"/>
      <c r="AD11" s="12"/>
      <c r="AF11" s="7" t="s">
        <v>22</v>
      </c>
      <c r="AG11" s="10"/>
      <c r="AH11" s="11"/>
      <c r="AI11" s="11"/>
      <c r="AJ11" s="11"/>
      <c r="AK11" s="11"/>
      <c r="AL11" s="12"/>
    </row>
    <row r="12" spans="1:38" x14ac:dyDescent="0.25">
      <c r="J12" s="8"/>
      <c r="T12" s="8" t="s">
        <v>23</v>
      </c>
      <c r="U12" s="13">
        <f>SUM(K11:U11)</f>
        <v>0</v>
      </c>
      <c r="AC12" s="8" t="s">
        <v>23</v>
      </c>
      <c r="AD12" s="13">
        <f>SUM(Y11:AD11)</f>
        <v>0</v>
      </c>
      <c r="AK12" s="8" t="s">
        <v>23</v>
      </c>
      <c r="AL12" s="13">
        <f>SUM(AG11:AL11)</f>
        <v>0</v>
      </c>
    </row>
    <row r="13" spans="1:38" ht="15.75" thickBot="1" x14ac:dyDescent="0.3">
      <c r="A13" s="19"/>
      <c r="B13" s="78" t="s">
        <v>13</v>
      </c>
      <c r="C13" s="78"/>
      <c r="D13" s="78"/>
      <c r="E13" s="78"/>
      <c r="F13" s="78"/>
      <c r="G13" s="78"/>
      <c r="H13" s="78"/>
      <c r="J13" s="79" t="s">
        <v>13</v>
      </c>
      <c r="K13" s="79"/>
      <c r="L13" s="79"/>
      <c r="M13" s="79"/>
      <c r="N13" s="79"/>
      <c r="O13" s="79"/>
      <c r="P13" s="79"/>
      <c r="Q13" s="79"/>
      <c r="R13" s="79"/>
      <c r="S13" s="79"/>
      <c r="T13" s="79"/>
      <c r="U13" s="79"/>
      <c r="X13" s="80" t="str">
        <f>J13</f>
        <v>Março</v>
      </c>
      <c r="Y13" s="80"/>
      <c r="Z13" s="80"/>
      <c r="AA13" s="80"/>
      <c r="AB13" s="80"/>
      <c r="AC13" s="80"/>
      <c r="AD13" s="80"/>
      <c r="AF13" s="81" t="str">
        <f>X13</f>
        <v>Março</v>
      </c>
      <c r="AG13" s="81"/>
      <c r="AH13" s="81"/>
      <c r="AI13" s="81"/>
      <c r="AJ13" s="81"/>
      <c r="AK13" s="81"/>
      <c r="AL13" s="81"/>
    </row>
    <row r="14" spans="1:38"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X14" s="6" t="s">
        <v>4</v>
      </c>
      <c r="Y14" s="9"/>
      <c r="Z14" s="4"/>
      <c r="AA14" s="4"/>
      <c r="AB14" s="4"/>
      <c r="AC14" s="4"/>
      <c r="AD14" s="5"/>
      <c r="AF14" s="6" t="s">
        <v>4</v>
      </c>
      <c r="AG14" s="9"/>
      <c r="AH14" s="4"/>
      <c r="AI14" s="4"/>
      <c r="AJ14" s="4"/>
      <c r="AK14" s="4"/>
      <c r="AL14" s="5"/>
    </row>
    <row r="15" spans="1:38"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X15" s="7" t="s">
        <v>22</v>
      </c>
      <c r="Y15" s="10"/>
      <c r="Z15" s="11"/>
      <c r="AA15" s="11"/>
      <c r="AB15" s="11"/>
      <c r="AC15" s="11"/>
      <c r="AD15" s="12"/>
      <c r="AF15" s="7" t="s">
        <v>22</v>
      </c>
      <c r="AG15" s="10"/>
      <c r="AH15" s="11"/>
      <c r="AI15" s="11"/>
      <c r="AJ15" s="11"/>
      <c r="AK15" s="11"/>
      <c r="AL15" s="12"/>
    </row>
    <row r="16" spans="1:38" x14ac:dyDescent="0.25">
      <c r="J16" s="8"/>
      <c r="T16" s="8" t="s">
        <v>23</v>
      </c>
      <c r="U16" s="13">
        <f>SUM(K15:U15)</f>
        <v>0</v>
      </c>
      <c r="AC16" s="8" t="s">
        <v>23</v>
      </c>
      <c r="AD16" s="13">
        <f>SUM(Y15:AD15)</f>
        <v>0</v>
      </c>
      <c r="AK16" s="8" t="s">
        <v>23</v>
      </c>
      <c r="AL16" s="13">
        <f>SUM(AG15:AL15)</f>
        <v>0</v>
      </c>
    </row>
    <row r="17" spans="1:38" ht="15.75" thickBot="1" x14ac:dyDescent="0.3">
      <c r="A17" s="19"/>
      <c r="B17" s="78" t="s">
        <v>14</v>
      </c>
      <c r="C17" s="78"/>
      <c r="D17" s="78"/>
      <c r="E17" s="78"/>
      <c r="F17" s="78"/>
      <c r="G17" s="78"/>
      <c r="H17" s="78"/>
      <c r="J17" s="79" t="s">
        <v>14</v>
      </c>
      <c r="K17" s="79"/>
      <c r="L17" s="79"/>
      <c r="M17" s="79"/>
      <c r="N17" s="79"/>
      <c r="O17" s="79"/>
      <c r="P17" s="79"/>
      <c r="Q17" s="79"/>
      <c r="R17" s="79"/>
      <c r="S17" s="79"/>
      <c r="T17" s="79"/>
      <c r="U17" s="79"/>
      <c r="X17" s="80" t="str">
        <f>J17</f>
        <v>Abril</v>
      </c>
      <c r="Y17" s="80"/>
      <c r="Z17" s="80"/>
      <c r="AA17" s="80"/>
      <c r="AB17" s="80"/>
      <c r="AC17" s="80"/>
      <c r="AD17" s="80"/>
      <c r="AF17" s="81" t="str">
        <f>X17</f>
        <v>Abril</v>
      </c>
      <c r="AG17" s="81"/>
      <c r="AH17" s="81"/>
      <c r="AI17" s="81"/>
      <c r="AJ17" s="81"/>
      <c r="AK17" s="81"/>
      <c r="AL17" s="81"/>
    </row>
    <row r="18" spans="1:38"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X18" s="6" t="s">
        <v>4</v>
      </c>
      <c r="Y18" s="9"/>
      <c r="Z18" s="4"/>
      <c r="AA18" s="4"/>
      <c r="AB18" s="4"/>
      <c r="AC18" s="4"/>
      <c r="AD18" s="5"/>
      <c r="AF18" s="6" t="s">
        <v>4</v>
      </c>
      <c r="AG18" s="9"/>
      <c r="AH18" s="4"/>
      <c r="AI18" s="4"/>
      <c r="AJ18" s="4"/>
      <c r="AK18" s="4"/>
      <c r="AL18" s="5"/>
    </row>
    <row r="19" spans="1:38"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X19" s="7" t="s">
        <v>22</v>
      </c>
      <c r="Y19" s="10"/>
      <c r="Z19" s="11"/>
      <c r="AA19" s="11"/>
      <c r="AB19" s="11"/>
      <c r="AC19" s="11"/>
      <c r="AD19" s="12"/>
      <c r="AF19" s="7" t="s">
        <v>22</v>
      </c>
      <c r="AG19" s="10"/>
      <c r="AH19" s="11"/>
      <c r="AI19" s="11"/>
      <c r="AJ19" s="11"/>
      <c r="AK19" s="11"/>
      <c r="AL19" s="12"/>
    </row>
    <row r="20" spans="1:38" x14ac:dyDescent="0.25">
      <c r="J20" s="8"/>
      <c r="T20" s="8" t="s">
        <v>23</v>
      </c>
      <c r="U20" s="13">
        <f>SUM(K19:U19)</f>
        <v>0</v>
      </c>
      <c r="AC20" s="8" t="s">
        <v>23</v>
      </c>
      <c r="AD20" s="13">
        <f>SUM(Y19:AD19)</f>
        <v>0</v>
      </c>
      <c r="AK20" s="8" t="s">
        <v>23</v>
      </c>
      <c r="AL20" s="13">
        <f>SUM(AG19:AL19)</f>
        <v>0</v>
      </c>
    </row>
    <row r="21" spans="1:38" ht="15.75" thickBot="1" x14ac:dyDescent="0.3">
      <c r="A21" s="19"/>
      <c r="B21" s="78" t="s">
        <v>15</v>
      </c>
      <c r="C21" s="78"/>
      <c r="D21" s="78"/>
      <c r="E21" s="78"/>
      <c r="F21" s="78"/>
      <c r="G21" s="78"/>
      <c r="H21" s="78"/>
      <c r="J21" s="79" t="s">
        <v>15</v>
      </c>
      <c r="K21" s="79"/>
      <c r="L21" s="79"/>
      <c r="M21" s="79"/>
      <c r="N21" s="79"/>
      <c r="O21" s="79"/>
      <c r="P21" s="79"/>
      <c r="Q21" s="79"/>
      <c r="R21" s="79"/>
      <c r="S21" s="79"/>
      <c r="T21" s="79"/>
      <c r="U21" s="79"/>
      <c r="X21" s="80" t="str">
        <f>J21</f>
        <v>Maio</v>
      </c>
      <c r="Y21" s="80"/>
      <c r="Z21" s="80"/>
      <c r="AA21" s="80"/>
      <c r="AB21" s="80"/>
      <c r="AC21" s="80"/>
      <c r="AD21" s="80"/>
      <c r="AF21" s="81" t="str">
        <f>X21</f>
        <v>Maio</v>
      </c>
      <c r="AG21" s="81"/>
      <c r="AH21" s="81"/>
      <c r="AI21" s="81"/>
      <c r="AJ21" s="81"/>
      <c r="AK21" s="81"/>
      <c r="AL21" s="81"/>
    </row>
    <row r="22" spans="1:38"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X22" s="6" t="s">
        <v>4</v>
      </c>
      <c r="Y22" s="9"/>
      <c r="Z22" s="4"/>
      <c r="AA22" s="4"/>
      <c r="AB22" s="4"/>
      <c r="AC22" s="4"/>
      <c r="AD22" s="5"/>
      <c r="AF22" s="6" t="s">
        <v>4</v>
      </c>
      <c r="AG22" s="9"/>
      <c r="AH22" s="4"/>
      <c r="AI22" s="4"/>
      <c r="AJ22" s="4"/>
      <c r="AK22" s="4"/>
      <c r="AL22" s="5"/>
    </row>
    <row r="23" spans="1:38"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X23" s="7" t="s">
        <v>22</v>
      </c>
      <c r="Y23" s="10"/>
      <c r="Z23" s="11"/>
      <c r="AA23" s="11"/>
      <c r="AB23" s="11"/>
      <c r="AC23" s="11"/>
      <c r="AD23" s="12"/>
      <c r="AF23" s="7" t="s">
        <v>22</v>
      </c>
      <c r="AG23" s="10"/>
      <c r="AH23" s="11"/>
      <c r="AI23" s="11"/>
      <c r="AJ23" s="11"/>
      <c r="AK23" s="11"/>
      <c r="AL23" s="12"/>
    </row>
    <row r="24" spans="1:38" x14ac:dyDescent="0.25">
      <c r="J24" s="8"/>
      <c r="T24" s="8" t="s">
        <v>23</v>
      </c>
      <c r="U24" s="13">
        <f>SUM(K23:U23)</f>
        <v>0</v>
      </c>
      <c r="AC24" s="8" t="s">
        <v>23</v>
      </c>
      <c r="AD24" s="13">
        <f>SUM(Y23:AD23)</f>
        <v>0</v>
      </c>
      <c r="AK24" s="8" t="s">
        <v>23</v>
      </c>
      <c r="AL24" s="13">
        <f>SUM(AG23:AL23)</f>
        <v>0</v>
      </c>
    </row>
    <row r="25" spans="1:38" ht="15.75" thickBot="1" x14ac:dyDescent="0.3">
      <c r="A25" s="19"/>
      <c r="B25" s="78" t="s">
        <v>24</v>
      </c>
      <c r="C25" s="78"/>
      <c r="D25" s="78"/>
      <c r="E25" s="78"/>
      <c r="F25" s="78"/>
      <c r="G25" s="78"/>
      <c r="H25" s="78"/>
      <c r="J25" s="79" t="s">
        <v>24</v>
      </c>
      <c r="K25" s="79"/>
      <c r="L25" s="79"/>
      <c r="M25" s="79"/>
      <c r="N25" s="79"/>
      <c r="O25" s="79"/>
      <c r="P25" s="79"/>
      <c r="Q25" s="79"/>
      <c r="R25" s="79"/>
      <c r="S25" s="79"/>
      <c r="T25" s="79"/>
      <c r="U25" s="79"/>
      <c r="X25" s="80" t="str">
        <f>J25</f>
        <v>Junho</v>
      </c>
      <c r="Y25" s="80"/>
      <c r="Z25" s="80"/>
      <c r="AA25" s="80"/>
      <c r="AB25" s="80"/>
      <c r="AC25" s="80"/>
      <c r="AD25" s="80"/>
      <c r="AF25" s="81" t="str">
        <f>X25</f>
        <v>Junho</v>
      </c>
      <c r="AG25" s="81"/>
      <c r="AH25" s="81"/>
      <c r="AI25" s="81"/>
      <c r="AJ25" s="81"/>
      <c r="AK25" s="81"/>
      <c r="AL25" s="81"/>
    </row>
    <row r="26" spans="1:38"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X26" s="6" t="s">
        <v>4</v>
      </c>
      <c r="Y26" s="9"/>
      <c r="Z26" s="4"/>
      <c r="AA26" s="4"/>
      <c r="AB26" s="4"/>
      <c r="AC26" s="4"/>
      <c r="AD26" s="5"/>
      <c r="AF26" s="6" t="s">
        <v>4</v>
      </c>
      <c r="AG26" s="9"/>
      <c r="AH26" s="4"/>
      <c r="AI26" s="4"/>
      <c r="AJ26" s="4"/>
      <c r="AK26" s="4"/>
      <c r="AL26" s="5"/>
    </row>
    <row r="27" spans="1:38"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X27" s="7" t="s">
        <v>22</v>
      </c>
      <c r="Y27" s="10"/>
      <c r="Z27" s="11"/>
      <c r="AA27" s="11"/>
      <c r="AB27" s="11"/>
      <c r="AC27" s="11"/>
      <c r="AD27" s="12"/>
      <c r="AF27" s="7" t="s">
        <v>22</v>
      </c>
      <c r="AG27" s="10"/>
      <c r="AH27" s="11"/>
      <c r="AI27" s="11"/>
      <c r="AJ27" s="11"/>
      <c r="AK27" s="11"/>
      <c r="AL27" s="12"/>
    </row>
    <row r="28" spans="1:38" x14ac:dyDescent="0.25">
      <c r="J28" s="8"/>
      <c r="T28" s="8" t="s">
        <v>23</v>
      </c>
      <c r="U28" s="13">
        <f>SUM(K27:U27)</f>
        <v>0</v>
      </c>
      <c r="AC28" s="8" t="s">
        <v>23</v>
      </c>
      <c r="AD28" s="13">
        <f>SUM(Y27:AD27)</f>
        <v>0</v>
      </c>
      <c r="AK28" s="8" t="s">
        <v>23</v>
      </c>
      <c r="AL28" s="13">
        <f>SUM(AG27:AL27)</f>
        <v>0</v>
      </c>
    </row>
    <row r="29" spans="1:38" ht="15.75" thickBot="1" x14ac:dyDescent="0.3">
      <c r="A29" s="19"/>
      <c r="B29" s="78" t="s">
        <v>16</v>
      </c>
      <c r="C29" s="78"/>
      <c r="D29" s="78"/>
      <c r="E29" s="78"/>
      <c r="F29" s="78"/>
      <c r="G29" s="78"/>
      <c r="H29" s="78"/>
      <c r="J29" s="79" t="s">
        <v>16</v>
      </c>
      <c r="K29" s="79"/>
      <c r="L29" s="79"/>
      <c r="M29" s="79"/>
      <c r="N29" s="79"/>
      <c r="O29" s="79"/>
      <c r="P29" s="79"/>
      <c r="Q29" s="79"/>
      <c r="R29" s="79"/>
      <c r="S29" s="79"/>
      <c r="T29" s="79"/>
      <c r="U29" s="79"/>
      <c r="X29" s="80" t="str">
        <f>J29</f>
        <v>Julho</v>
      </c>
      <c r="Y29" s="80"/>
      <c r="Z29" s="80"/>
      <c r="AA29" s="80"/>
      <c r="AB29" s="80"/>
      <c r="AC29" s="80"/>
      <c r="AD29" s="80"/>
      <c r="AF29" s="81" t="str">
        <f>X29</f>
        <v>Julho</v>
      </c>
      <c r="AG29" s="81"/>
      <c r="AH29" s="81"/>
      <c r="AI29" s="81"/>
      <c r="AJ29" s="81"/>
      <c r="AK29" s="81"/>
      <c r="AL29" s="81"/>
    </row>
    <row r="30" spans="1:38"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X30" s="6" t="s">
        <v>4</v>
      </c>
      <c r="Y30" s="9"/>
      <c r="Z30" s="4"/>
      <c r="AA30" s="4"/>
      <c r="AB30" s="4"/>
      <c r="AC30" s="4"/>
      <c r="AD30" s="5"/>
      <c r="AF30" s="6" t="s">
        <v>4</v>
      </c>
      <c r="AG30" s="9"/>
      <c r="AH30" s="4"/>
      <c r="AI30" s="4"/>
      <c r="AJ30" s="4"/>
      <c r="AK30" s="4"/>
      <c r="AL30" s="5"/>
    </row>
    <row r="31" spans="1:38"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X31" s="7" t="s">
        <v>22</v>
      </c>
      <c r="Y31" s="10"/>
      <c r="Z31" s="11"/>
      <c r="AA31" s="11"/>
      <c r="AB31" s="11"/>
      <c r="AC31" s="11"/>
      <c r="AD31" s="12"/>
      <c r="AF31" s="7" t="s">
        <v>22</v>
      </c>
      <c r="AG31" s="10"/>
      <c r="AH31" s="11"/>
      <c r="AI31" s="11"/>
      <c r="AJ31" s="11"/>
      <c r="AK31" s="11"/>
      <c r="AL31" s="12"/>
    </row>
    <row r="32" spans="1:38" x14ac:dyDescent="0.25">
      <c r="J32" s="8"/>
      <c r="T32" s="8" t="s">
        <v>23</v>
      </c>
      <c r="U32" s="13">
        <f>SUM(K31:U31)</f>
        <v>0</v>
      </c>
      <c r="AC32" s="8" t="s">
        <v>23</v>
      </c>
      <c r="AD32" s="13">
        <f>SUM(Y31:AD31)</f>
        <v>0</v>
      </c>
      <c r="AK32" s="8" t="s">
        <v>23</v>
      </c>
      <c r="AL32" s="13">
        <f>SUM(AG31:AL31)</f>
        <v>0</v>
      </c>
    </row>
    <row r="33" spans="1:38" ht="15.75" thickBot="1" x14ac:dyDescent="0.3">
      <c r="A33" s="19"/>
      <c r="B33" s="78" t="s">
        <v>17</v>
      </c>
      <c r="C33" s="78"/>
      <c r="D33" s="78"/>
      <c r="E33" s="78"/>
      <c r="F33" s="78"/>
      <c r="G33" s="78"/>
      <c r="H33" s="78"/>
      <c r="J33" s="79" t="s">
        <v>17</v>
      </c>
      <c r="K33" s="79"/>
      <c r="L33" s="79"/>
      <c r="M33" s="79"/>
      <c r="N33" s="79"/>
      <c r="O33" s="79"/>
      <c r="P33" s="79"/>
      <c r="Q33" s="79"/>
      <c r="R33" s="79"/>
      <c r="S33" s="79"/>
      <c r="T33" s="79"/>
      <c r="U33" s="79"/>
      <c r="X33" s="80" t="str">
        <f>J33</f>
        <v>Agosto</v>
      </c>
      <c r="Y33" s="80"/>
      <c r="Z33" s="80"/>
      <c r="AA33" s="80"/>
      <c r="AB33" s="80"/>
      <c r="AC33" s="80"/>
      <c r="AD33" s="80"/>
      <c r="AF33" s="81" t="str">
        <f>X33</f>
        <v>Agosto</v>
      </c>
      <c r="AG33" s="81"/>
      <c r="AH33" s="81"/>
      <c r="AI33" s="81"/>
      <c r="AJ33" s="81"/>
      <c r="AK33" s="81"/>
      <c r="AL33" s="81"/>
    </row>
    <row r="34" spans="1:38"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X34" s="6" t="s">
        <v>4</v>
      </c>
      <c r="Y34" s="9"/>
      <c r="Z34" s="4"/>
      <c r="AA34" s="4"/>
      <c r="AB34" s="4"/>
      <c r="AC34" s="4"/>
      <c r="AD34" s="5"/>
      <c r="AF34" s="6" t="s">
        <v>4</v>
      </c>
      <c r="AG34" s="9"/>
      <c r="AH34" s="4"/>
      <c r="AI34" s="4"/>
      <c r="AJ34" s="4"/>
      <c r="AK34" s="4"/>
      <c r="AL34" s="5"/>
    </row>
    <row r="35" spans="1:38"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X35" s="7" t="s">
        <v>22</v>
      </c>
      <c r="Y35" s="10"/>
      <c r="Z35" s="11"/>
      <c r="AA35" s="11"/>
      <c r="AB35" s="11"/>
      <c r="AC35" s="11"/>
      <c r="AD35" s="12"/>
      <c r="AF35" s="7" t="s">
        <v>22</v>
      </c>
      <c r="AG35" s="10"/>
      <c r="AH35" s="11"/>
      <c r="AI35" s="11"/>
      <c r="AJ35" s="11"/>
      <c r="AK35" s="11"/>
      <c r="AL35" s="12"/>
    </row>
    <row r="36" spans="1:38" x14ac:dyDescent="0.25">
      <c r="J36" s="8"/>
      <c r="T36" s="8" t="s">
        <v>23</v>
      </c>
      <c r="U36" s="13">
        <f>SUM(K35:U35)</f>
        <v>0</v>
      </c>
      <c r="AC36" s="8" t="s">
        <v>23</v>
      </c>
      <c r="AD36" s="13">
        <f>SUM(Y35:AD35)</f>
        <v>0</v>
      </c>
      <c r="AK36" s="8" t="s">
        <v>23</v>
      </c>
      <c r="AL36" s="13">
        <f>SUM(AG35:AL35)</f>
        <v>0</v>
      </c>
    </row>
    <row r="37" spans="1:38" ht="15.75" thickBot="1" x14ac:dyDescent="0.3">
      <c r="A37" s="19"/>
      <c r="B37" s="78" t="s">
        <v>18</v>
      </c>
      <c r="C37" s="78"/>
      <c r="D37" s="78"/>
      <c r="E37" s="78"/>
      <c r="F37" s="78"/>
      <c r="G37" s="78"/>
      <c r="H37" s="78"/>
      <c r="J37" s="79" t="s">
        <v>18</v>
      </c>
      <c r="K37" s="79"/>
      <c r="L37" s="79"/>
      <c r="M37" s="79"/>
      <c r="N37" s="79"/>
      <c r="O37" s="79"/>
      <c r="P37" s="79"/>
      <c r="Q37" s="79"/>
      <c r="R37" s="79"/>
      <c r="S37" s="79"/>
      <c r="T37" s="79"/>
      <c r="U37" s="79"/>
      <c r="X37" s="80" t="str">
        <f>J37</f>
        <v>Setembro</v>
      </c>
      <c r="Y37" s="80"/>
      <c r="Z37" s="80"/>
      <c r="AA37" s="80"/>
      <c r="AB37" s="80"/>
      <c r="AC37" s="80"/>
      <c r="AD37" s="80"/>
      <c r="AF37" s="81" t="str">
        <f>X37</f>
        <v>Setembro</v>
      </c>
      <c r="AG37" s="81"/>
      <c r="AH37" s="81"/>
      <c r="AI37" s="81"/>
      <c r="AJ37" s="81"/>
      <c r="AK37" s="81"/>
      <c r="AL37" s="81"/>
    </row>
    <row r="38" spans="1:38"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X38" s="6" t="s">
        <v>4</v>
      </c>
      <c r="Y38" s="9"/>
      <c r="Z38" s="4"/>
      <c r="AA38" s="4"/>
      <c r="AB38" s="4"/>
      <c r="AC38" s="4"/>
      <c r="AD38" s="5"/>
      <c r="AF38" s="6" t="s">
        <v>4</v>
      </c>
      <c r="AG38" s="9"/>
      <c r="AH38" s="4"/>
      <c r="AI38" s="4"/>
      <c r="AJ38" s="4"/>
      <c r="AK38" s="4"/>
      <c r="AL38" s="5"/>
    </row>
    <row r="39" spans="1:38"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X39" s="7" t="s">
        <v>22</v>
      </c>
      <c r="Y39" s="10"/>
      <c r="Z39" s="11"/>
      <c r="AA39" s="11"/>
      <c r="AB39" s="11"/>
      <c r="AC39" s="11"/>
      <c r="AD39" s="12"/>
      <c r="AF39" s="7" t="s">
        <v>22</v>
      </c>
      <c r="AG39" s="10"/>
      <c r="AH39" s="11"/>
      <c r="AI39" s="11"/>
      <c r="AJ39" s="11"/>
      <c r="AK39" s="11"/>
      <c r="AL39" s="12"/>
    </row>
    <row r="40" spans="1:38" x14ac:dyDescent="0.25">
      <c r="J40" s="8"/>
      <c r="T40" s="8" t="s">
        <v>23</v>
      </c>
      <c r="U40" s="13">
        <f>SUM(K39:U39)</f>
        <v>0</v>
      </c>
      <c r="AC40" s="8" t="s">
        <v>23</v>
      </c>
      <c r="AD40" s="13">
        <f>SUM(Y39:AD39)</f>
        <v>0</v>
      </c>
      <c r="AK40" s="8" t="s">
        <v>23</v>
      </c>
      <c r="AL40" s="13">
        <f>SUM(AG39:AL39)</f>
        <v>0</v>
      </c>
    </row>
    <row r="41" spans="1:38" ht="15.75" thickBot="1" x14ac:dyDescent="0.3">
      <c r="A41" s="19"/>
      <c r="B41" s="78" t="s">
        <v>19</v>
      </c>
      <c r="C41" s="78"/>
      <c r="D41" s="78"/>
      <c r="E41" s="78"/>
      <c r="F41" s="78"/>
      <c r="G41" s="78"/>
      <c r="H41" s="78"/>
      <c r="J41" s="79" t="s">
        <v>19</v>
      </c>
      <c r="K41" s="79"/>
      <c r="L41" s="79"/>
      <c r="M41" s="79"/>
      <c r="N41" s="79"/>
      <c r="O41" s="79"/>
      <c r="P41" s="79"/>
      <c r="Q41" s="79"/>
      <c r="R41" s="79"/>
      <c r="S41" s="79"/>
      <c r="T41" s="79"/>
      <c r="U41" s="79"/>
      <c r="X41" s="80" t="str">
        <f>J41</f>
        <v>Outubro</v>
      </c>
      <c r="Y41" s="80"/>
      <c r="Z41" s="80"/>
      <c r="AA41" s="80"/>
      <c r="AB41" s="80"/>
      <c r="AC41" s="80"/>
      <c r="AD41" s="80"/>
      <c r="AF41" s="81" t="str">
        <f>X41</f>
        <v>Outubro</v>
      </c>
      <c r="AG41" s="81"/>
      <c r="AH41" s="81"/>
      <c r="AI41" s="81"/>
      <c r="AJ41" s="81"/>
      <c r="AK41" s="81"/>
      <c r="AL41" s="81"/>
    </row>
    <row r="42" spans="1:38" ht="15.75" thickBot="1" x14ac:dyDescent="0.3">
      <c r="A42" s="77" t="s">
        <v>5</v>
      </c>
      <c r="B42" s="34" t="s">
        <v>6</v>
      </c>
      <c r="C42" s="22" t="s">
        <v>7</v>
      </c>
      <c r="D42" s="33" t="s">
        <v>8</v>
      </c>
      <c r="E42" s="22" t="s">
        <v>9</v>
      </c>
      <c r="F42" s="24" t="s">
        <v>10</v>
      </c>
      <c r="G42" s="23" t="s">
        <v>11</v>
      </c>
      <c r="H42" s="25" t="s">
        <v>12</v>
      </c>
      <c r="J42" s="6" t="s">
        <v>4</v>
      </c>
      <c r="K42" s="9">
        <v>45951</v>
      </c>
      <c r="L42" s="66">
        <v>45953</v>
      </c>
      <c r="M42" s="66">
        <v>45955</v>
      </c>
      <c r="N42" s="66">
        <v>45958</v>
      </c>
      <c r="O42" s="66">
        <v>45960</v>
      </c>
      <c r="P42" s="4"/>
      <c r="Q42" s="4"/>
      <c r="R42" s="4"/>
      <c r="S42" s="4"/>
      <c r="T42" s="4"/>
      <c r="U42" s="5"/>
      <c r="X42" s="6" t="s">
        <v>4</v>
      </c>
      <c r="Y42" s="9"/>
      <c r="Z42" s="4"/>
      <c r="AA42" s="4"/>
      <c r="AB42" s="4"/>
      <c r="AC42" s="4"/>
      <c r="AD42" s="5"/>
      <c r="AF42" s="6" t="s">
        <v>4</v>
      </c>
      <c r="AG42" s="9"/>
      <c r="AH42" s="4"/>
      <c r="AI42" s="4"/>
      <c r="AJ42" s="4"/>
      <c r="AK42" s="4"/>
      <c r="AL42" s="5"/>
    </row>
    <row r="43" spans="1:38" ht="15.75" thickBot="1" x14ac:dyDescent="0.3">
      <c r="A43" s="77"/>
      <c r="B43" s="26"/>
      <c r="C43" s="27"/>
      <c r="D43" s="27">
        <v>7424</v>
      </c>
      <c r="E43" s="27">
        <v>9045</v>
      </c>
      <c r="F43" s="27">
        <f>SUM(C43-B43)</f>
        <v>0</v>
      </c>
      <c r="G43" s="20">
        <f>SUM(E43-D43)</f>
        <v>1621</v>
      </c>
      <c r="H43" s="21">
        <f>SUM(F43:G43)</f>
        <v>1621</v>
      </c>
      <c r="J43" s="7" t="s">
        <v>22</v>
      </c>
      <c r="K43" s="10">
        <v>261.16000000000003</v>
      </c>
      <c r="L43" s="11">
        <v>174.31</v>
      </c>
      <c r="M43" s="11">
        <v>124.42</v>
      </c>
      <c r="N43" s="11">
        <v>192.3</v>
      </c>
      <c r="O43" s="11">
        <v>185.84</v>
      </c>
      <c r="P43" s="11"/>
      <c r="Q43" s="11"/>
      <c r="R43" s="11"/>
      <c r="S43" s="11"/>
      <c r="T43" s="11"/>
      <c r="U43" s="12"/>
      <c r="X43" s="7" t="s">
        <v>22</v>
      </c>
      <c r="Y43" s="10"/>
      <c r="Z43" s="11"/>
      <c r="AA43" s="11"/>
      <c r="AB43" s="11"/>
      <c r="AC43" s="11"/>
      <c r="AD43" s="12"/>
      <c r="AF43" s="7" t="s">
        <v>22</v>
      </c>
      <c r="AG43" s="10"/>
      <c r="AH43" s="11"/>
      <c r="AI43" s="11"/>
      <c r="AJ43" s="11"/>
      <c r="AK43" s="11"/>
      <c r="AL43" s="12"/>
    </row>
    <row r="44" spans="1:38" x14ac:dyDescent="0.25">
      <c r="J44" s="8"/>
      <c r="T44" s="8" t="s">
        <v>23</v>
      </c>
      <c r="U44" s="13">
        <f>SUM(K43:U43)</f>
        <v>938.03000000000009</v>
      </c>
      <c r="AC44" s="8" t="s">
        <v>23</v>
      </c>
      <c r="AD44" s="13">
        <f>SUM(Y43:AD43)</f>
        <v>0</v>
      </c>
      <c r="AK44" s="8" t="s">
        <v>23</v>
      </c>
      <c r="AL44" s="13">
        <f>SUM(AG43:AL43)</f>
        <v>0</v>
      </c>
    </row>
    <row r="45" spans="1:38" ht="15.75" thickBot="1" x14ac:dyDescent="0.3">
      <c r="A45" s="19"/>
      <c r="B45" s="78" t="s">
        <v>20</v>
      </c>
      <c r="C45" s="78"/>
      <c r="D45" s="78"/>
      <c r="E45" s="78"/>
      <c r="F45" s="78"/>
      <c r="G45" s="78"/>
      <c r="H45" s="78"/>
      <c r="J45" s="79" t="s">
        <v>20</v>
      </c>
      <c r="K45" s="79"/>
      <c r="L45" s="79"/>
      <c r="M45" s="79"/>
      <c r="N45" s="79"/>
      <c r="O45" s="79"/>
      <c r="P45" s="79"/>
      <c r="Q45" s="79"/>
      <c r="R45" s="79"/>
      <c r="S45" s="79"/>
      <c r="T45" s="79"/>
      <c r="U45" s="79"/>
      <c r="X45" s="80" t="str">
        <f>J45</f>
        <v>Novembro</v>
      </c>
      <c r="Y45" s="80"/>
      <c r="Z45" s="80"/>
      <c r="AA45" s="80"/>
      <c r="AB45" s="80"/>
      <c r="AC45" s="80"/>
      <c r="AD45" s="80"/>
      <c r="AF45" s="81" t="str">
        <f>X45</f>
        <v>Novembro</v>
      </c>
      <c r="AG45" s="81"/>
      <c r="AH45" s="81"/>
      <c r="AI45" s="81"/>
      <c r="AJ45" s="81"/>
      <c r="AK45" s="81"/>
      <c r="AL45" s="81"/>
    </row>
    <row r="46" spans="1:38" ht="15.75" thickBot="1" x14ac:dyDescent="0.3">
      <c r="A46" s="77" t="s">
        <v>5</v>
      </c>
      <c r="B46" s="34" t="s">
        <v>6</v>
      </c>
      <c r="C46" s="22" t="s">
        <v>7</v>
      </c>
      <c r="D46" s="33" t="s">
        <v>8</v>
      </c>
      <c r="E46" s="22" t="s">
        <v>9</v>
      </c>
      <c r="F46" s="24" t="s">
        <v>10</v>
      </c>
      <c r="G46" s="23" t="s">
        <v>11</v>
      </c>
      <c r="H46" s="25" t="s">
        <v>12</v>
      </c>
      <c r="J46" s="6" t="s">
        <v>4</v>
      </c>
      <c r="K46" s="9">
        <v>45962</v>
      </c>
      <c r="L46" s="66">
        <v>45965</v>
      </c>
      <c r="M46" s="66">
        <v>45967</v>
      </c>
      <c r="N46" s="66">
        <v>45969</v>
      </c>
      <c r="O46" s="66">
        <v>45972</v>
      </c>
      <c r="P46" s="66">
        <v>45974</v>
      </c>
      <c r="Q46" s="66">
        <v>45979</v>
      </c>
      <c r="R46" s="66">
        <v>45981</v>
      </c>
      <c r="S46" s="66">
        <v>45983</v>
      </c>
      <c r="T46" s="66">
        <v>45986</v>
      </c>
      <c r="U46" s="66">
        <v>45988</v>
      </c>
      <c r="V46" s="66">
        <v>45990</v>
      </c>
      <c r="X46" s="6" t="s">
        <v>4</v>
      </c>
      <c r="Y46" s="9"/>
      <c r="Z46" s="4"/>
      <c r="AA46" s="4"/>
      <c r="AB46" s="4"/>
      <c r="AC46" s="4"/>
      <c r="AD46" s="5"/>
      <c r="AF46" s="6" t="s">
        <v>4</v>
      </c>
      <c r="AG46" s="9"/>
      <c r="AH46" s="4"/>
      <c r="AI46" s="4"/>
      <c r="AJ46" s="4"/>
      <c r="AK46" s="4"/>
      <c r="AL46" s="5"/>
    </row>
    <row r="47" spans="1:38" ht="15.75" thickBot="1" x14ac:dyDescent="0.3">
      <c r="A47" s="77"/>
      <c r="B47" s="27">
        <v>9045</v>
      </c>
      <c r="C47" s="27">
        <v>10842</v>
      </c>
      <c r="D47" s="27">
        <v>10842</v>
      </c>
      <c r="E47" s="27">
        <v>12746</v>
      </c>
      <c r="F47" s="27">
        <f>SUM(C47-B47)</f>
        <v>1797</v>
      </c>
      <c r="G47" s="20">
        <f>SUM(E47-D47)</f>
        <v>1904</v>
      </c>
      <c r="H47" s="21">
        <f>SUM(F47:G47)</f>
        <v>3701</v>
      </c>
      <c r="J47" s="7" t="s">
        <v>22</v>
      </c>
      <c r="K47" s="10">
        <v>187.62</v>
      </c>
      <c r="L47" s="11">
        <v>218</v>
      </c>
      <c r="M47" s="11">
        <v>155.52000000000001</v>
      </c>
      <c r="N47" s="11">
        <v>126</v>
      </c>
      <c r="O47" s="11">
        <v>193.04</v>
      </c>
      <c r="P47" s="11">
        <v>189.21</v>
      </c>
      <c r="Q47" s="11">
        <v>220.72</v>
      </c>
      <c r="R47" s="11">
        <v>225.46</v>
      </c>
      <c r="S47" s="11">
        <v>173.3</v>
      </c>
      <c r="T47" s="11">
        <v>160.19999999999999</v>
      </c>
      <c r="U47" s="11">
        <v>206.72</v>
      </c>
      <c r="V47" s="11">
        <v>234.83</v>
      </c>
      <c r="X47" s="7" t="s">
        <v>22</v>
      </c>
      <c r="Y47" s="10"/>
      <c r="Z47" s="11"/>
      <c r="AA47" s="11"/>
      <c r="AB47" s="11"/>
      <c r="AC47" s="11"/>
      <c r="AD47" s="12"/>
      <c r="AF47" s="7" t="s">
        <v>22</v>
      </c>
      <c r="AG47" s="10"/>
      <c r="AH47" s="11"/>
      <c r="AI47" s="11"/>
      <c r="AJ47" s="11"/>
      <c r="AK47" s="11"/>
      <c r="AL47" s="12"/>
    </row>
    <row r="48" spans="1:38" x14ac:dyDescent="0.25">
      <c r="J48" s="8"/>
      <c r="T48" s="8" t="s">
        <v>23</v>
      </c>
      <c r="U48" s="13">
        <f>SUM(K47:V47)</f>
        <v>2290.62</v>
      </c>
      <c r="AC48" s="8" t="s">
        <v>23</v>
      </c>
      <c r="AD48" s="13">
        <f>SUM(Y47:AD47)</f>
        <v>0</v>
      </c>
      <c r="AK48" s="8" t="s">
        <v>23</v>
      </c>
      <c r="AL48" s="13">
        <f>SUM(AG47:AL47)</f>
        <v>0</v>
      </c>
    </row>
    <row r="49" spans="1:38" ht="15.75" thickBot="1" x14ac:dyDescent="0.3">
      <c r="A49" s="19"/>
      <c r="B49" s="78" t="s">
        <v>21</v>
      </c>
      <c r="C49" s="78"/>
      <c r="D49" s="78"/>
      <c r="E49" s="78"/>
      <c r="F49" s="78"/>
      <c r="G49" s="78"/>
      <c r="H49" s="78"/>
      <c r="J49" s="79" t="s">
        <v>21</v>
      </c>
      <c r="K49" s="79"/>
      <c r="L49" s="79"/>
      <c r="M49" s="79"/>
      <c r="N49" s="79"/>
      <c r="O49" s="79"/>
      <c r="P49" s="79"/>
      <c r="Q49" s="79"/>
      <c r="R49" s="79"/>
      <c r="S49" s="79"/>
      <c r="T49" s="79"/>
      <c r="U49" s="79"/>
      <c r="X49" s="80" t="str">
        <f>J49</f>
        <v>Dezembro</v>
      </c>
      <c r="Y49" s="80"/>
      <c r="Z49" s="80"/>
      <c r="AA49" s="80"/>
      <c r="AB49" s="80"/>
      <c r="AC49" s="80"/>
      <c r="AD49" s="80"/>
      <c r="AF49" s="81" t="str">
        <f>X49</f>
        <v>Dezembro</v>
      </c>
      <c r="AG49" s="81"/>
      <c r="AH49" s="81"/>
      <c r="AI49" s="81"/>
      <c r="AJ49" s="81"/>
      <c r="AK49" s="81"/>
      <c r="AL49" s="81"/>
    </row>
    <row r="50" spans="1:38" ht="15.75" thickBot="1" x14ac:dyDescent="0.3">
      <c r="A50" s="77" t="s">
        <v>5</v>
      </c>
      <c r="B50" s="34" t="s">
        <v>6</v>
      </c>
      <c r="C50" s="22" t="s">
        <v>7</v>
      </c>
      <c r="D50" s="33" t="s">
        <v>8</v>
      </c>
      <c r="E50" s="22" t="s">
        <v>9</v>
      </c>
      <c r="F50" s="24" t="s">
        <v>10</v>
      </c>
      <c r="G50" s="23" t="s">
        <v>11</v>
      </c>
      <c r="H50" s="25" t="s">
        <v>12</v>
      </c>
      <c r="J50" s="6" t="s">
        <v>4</v>
      </c>
      <c r="K50" s="9">
        <v>45993</v>
      </c>
      <c r="L50" s="66">
        <v>45995</v>
      </c>
      <c r="M50" s="66">
        <v>45997</v>
      </c>
      <c r="N50" s="66">
        <v>46000</v>
      </c>
      <c r="O50" s="66">
        <v>46002</v>
      </c>
      <c r="P50" s="66">
        <v>46004</v>
      </c>
      <c r="Q50" s="66">
        <v>46007</v>
      </c>
      <c r="R50" s="66">
        <v>46009</v>
      </c>
      <c r="S50" s="66">
        <v>46011</v>
      </c>
      <c r="T50" s="4"/>
      <c r="U50" s="5"/>
      <c r="X50" s="6" t="s">
        <v>4</v>
      </c>
      <c r="Y50" s="9"/>
      <c r="Z50" s="4"/>
      <c r="AA50" s="4"/>
      <c r="AB50" s="4"/>
      <c r="AC50" s="4"/>
      <c r="AD50" s="5"/>
      <c r="AF50" s="6" t="s">
        <v>4</v>
      </c>
      <c r="AG50" s="9"/>
      <c r="AH50" s="4"/>
      <c r="AI50" s="4"/>
      <c r="AJ50" s="4"/>
      <c r="AK50" s="4"/>
      <c r="AL50" s="5"/>
    </row>
    <row r="51" spans="1:38" ht="15.75" thickBot="1" x14ac:dyDescent="0.3">
      <c r="A51" s="77"/>
      <c r="B51" s="27">
        <v>12746</v>
      </c>
      <c r="C51" s="27">
        <v>14737</v>
      </c>
      <c r="D51" s="27">
        <v>14737</v>
      </c>
      <c r="E51" s="27">
        <v>15582</v>
      </c>
      <c r="F51" s="27">
        <f>SUM(C51-B51)</f>
        <v>1991</v>
      </c>
      <c r="G51" s="20">
        <f>SUM(E51-D51)</f>
        <v>845</v>
      </c>
      <c r="H51" s="21">
        <f>SUM(F51:G51)</f>
        <v>2836</v>
      </c>
      <c r="J51" s="7" t="s">
        <v>22</v>
      </c>
      <c r="K51" s="10">
        <v>218.79</v>
      </c>
      <c r="L51" s="11">
        <v>228.76</v>
      </c>
      <c r="M51" s="11">
        <v>161.16</v>
      </c>
      <c r="N51" s="11">
        <v>130.47999999999999</v>
      </c>
      <c r="O51" s="11">
        <v>206.84</v>
      </c>
      <c r="P51" s="11">
        <v>133.68</v>
      </c>
      <c r="Q51" s="11">
        <v>234.1</v>
      </c>
      <c r="R51" s="11">
        <v>218.22</v>
      </c>
      <c r="S51" s="11">
        <v>162.88</v>
      </c>
      <c r="T51" s="11"/>
      <c r="U51" s="12"/>
      <c r="X51" s="7" t="s">
        <v>22</v>
      </c>
      <c r="Y51" s="10"/>
      <c r="Z51" s="11"/>
      <c r="AA51" s="11"/>
      <c r="AB51" s="11"/>
      <c r="AC51" s="11"/>
      <c r="AD51" s="12"/>
      <c r="AF51" s="7" t="s">
        <v>22</v>
      </c>
      <c r="AG51" s="10"/>
      <c r="AH51" s="11"/>
      <c r="AI51" s="11"/>
      <c r="AJ51" s="11"/>
      <c r="AK51" s="11"/>
      <c r="AL51" s="12"/>
    </row>
    <row r="52" spans="1:38" x14ac:dyDescent="0.25">
      <c r="J52" s="8"/>
      <c r="T52" s="8" t="s">
        <v>23</v>
      </c>
      <c r="U52" s="13">
        <f>SUM(K51:U51)</f>
        <v>1694.9099999999999</v>
      </c>
      <c r="AC52" s="8" t="s">
        <v>23</v>
      </c>
      <c r="AD52" s="13">
        <f>SUM(Y51:AD51)</f>
        <v>0</v>
      </c>
      <c r="AK52" s="8" t="s">
        <v>23</v>
      </c>
      <c r="AL52" s="13">
        <f>SUM(AG51:AL51)</f>
        <v>0</v>
      </c>
    </row>
    <row r="53" spans="1:38"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8" ht="15.75" thickBot="1" x14ac:dyDescent="0.3">
      <c r="A54" s="77" t="s">
        <v>5</v>
      </c>
      <c r="B54" s="34" t="s">
        <v>6</v>
      </c>
      <c r="C54" s="22" t="s">
        <v>7</v>
      </c>
      <c r="D54" s="33" t="s">
        <v>8</v>
      </c>
      <c r="E54" s="22" t="s">
        <v>9</v>
      </c>
      <c r="F54" s="24" t="s">
        <v>10</v>
      </c>
      <c r="G54" s="23" t="s">
        <v>11</v>
      </c>
      <c r="H54" s="25" t="s">
        <v>12</v>
      </c>
      <c r="J54" s="28" t="s">
        <v>4</v>
      </c>
      <c r="K54" s="9">
        <v>46035</v>
      </c>
      <c r="L54" s="66">
        <v>46037</v>
      </c>
      <c r="M54" s="66">
        <v>46039</v>
      </c>
      <c r="N54" s="66">
        <v>46042</v>
      </c>
      <c r="O54" s="66">
        <v>46044</v>
      </c>
      <c r="P54" s="66">
        <v>46046</v>
      </c>
      <c r="Q54" s="66">
        <v>46049</v>
      </c>
      <c r="R54" s="74">
        <v>46051</v>
      </c>
      <c r="S54" s="4"/>
      <c r="T54" s="4"/>
      <c r="U54" s="5"/>
      <c r="W54" s="6" t="s">
        <v>4</v>
      </c>
      <c r="X54" s="9"/>
      <c r="Y54" s="4"/>
      <c r="Z54" s="4"/>
      <c r="AA54" s="4"/>
      <c r="AB54" s="4"/>
      <c r="AC54" s="5"/>
      <c r="AE54" s="6" t="s">
        <v>4</v>
      </c>
      <c r="AF54" s="9"/>
      <c r="AG54" s="4"/>
      <c r="AH54" s="4"/>
      <c r="AI54" s="4"/>
      <c r="AJ54" s="4"/>
      <c r="AK54" s="5"/>
    </row>
    <row r="55" spans="1:38" ht="15.75" thickBot="1" x14ac:dyDescent="0.3">
      <c r="A55" s="77"/>
      <c r="B55" s="26">
        <v>15582</v>
      </c>
      <c r="C55" s="27"/>
      <c r="D55" s="27"/>
      <c r="E55" s="27">
        <v>18453</v>
      </c>
      <c r="F55" s="27">
        <f>SUM(C55-B55)</f>
        <v>-15582</v>
      </c>
      <c r="G55" s="20">
        <f>SUM(E55-D55)</f>
        <v>18453</v>
      </c>
      <c r="H55" s="21">
        <f>SUM(F55:G55)</f>
        <v>2871</v>
      </c>
      <c r="J55" s="29" t="s">
        <v>22</v>
      </c>
      <c r="K55" s="10">
        <v>229.77</v>
      </c>
      <c r="L55" s="11">
        <v>228.9</v>
      </c>
      <c r="M55" s="11">
        <v>223.14</v>
      </c>
      <c r="N55" s="11">
        <v>104.19</v>
      </c>
      <c r="O55" s="11">
        <v>213.85</v>
      </c>
      <c r="P55" s="11">
        <v>217.14</v>
      </c>
      <c r="Q55" s="11">
        <v>234.41</v>
      </c>
      <c r="R55" s="11">
        <v>249.76</v>
      </c>
      <c r="S55" s="11"/>
      <c r="T55" s="11"/>
      <c r="U55" s="12"/>
      <c r="W55" s="7" t="s">
        <v>22</v>
      </c>
      <c r="X55" s="10"/>
      <c r="Y55" s="11"/>
      <c r="Z55" s="11"/>
      <c r="AA55" s="11"/>
      <c r="AB55" s="11"/>
      <c r="AC55" s="12"/>
      <c r="AE55" s="7" t="s">
        <v>22</v>
      </c>
      <c r="AF55" s="10"/>
      <c r="AG55" s="11"/>
      <c r="AH55" s="11"/>
      <c r="AI55" s="11"/>
      <c r="AJ55" s="11"/>
      <c r="AK55" s="12"/>
    </row>
    <row r="56" spans="1:38" x14ac:dyDescent="0.25">
      <c r="J56" s="8"/>
      <c r="T56" s="8" t="s">
        <v>23</v>
      </c>
      <c r="U56" s="13">
        <f>SUM(K55:U55)</f>
        <v>1701.16</v>
      </c>
      <c r="AB56" s="8" t="s">
        <v>23</v>
      </c>
      <c r="AC56" s="13">
        <f>SUM(X55:AC55)</f>
        <v>0</v>
      </c>
      <c r="AJ56" s="8" t="s">
        <v>23</v>
      </c>
      <c r="AK56" s="13">
        <f>SUM(AF55:AK55)</f>
        <v>0</v>
      </c>
    </row>
    <row r="57" spans="1:38"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8" ht="15.75" thickBot="1" x14ac:dyDescent="0.3">
      <c r="A58" s="77" t="s">
        <v>5</v>
      </c>
      <c r="B58" s="34" t="s">
        <v>6</v>
      </c>
      <c r="C58" s="22" t="s">
        <v>7</v>
      </c>
      <c r="D58" s="33" t="s">
        <v>8</v>
      </c>
      <c r="E58" s="22" t="s">
        <v>9</v>
      </c>
      <c r="F58" s="24" t="s">
        <v>10</v>
      </c>
      <c r="G58" s="23" t="s">
        <v>11</v>
      </c>
      <c r="H58" s="25" t="s">
        <v>12</v>
      </c>
      <c r="J58" s="28" t="s">
        <v>4</v>
      </c>
      <c r="K58" s="9">
        <v>46056</v>
      </c>
      <c r="L58" s="66">
        <v>46058</v>
      </c>
      <c r="M58" s="66">
        <v>46060</v>
      </c>
      <c r="N58" s="66">
        <v>46063</v>
      </c>
      <c r="O58" s="66">
        <v>46065</v>
      </c>
      <c r="P58" s="66">
        <v>46074</v>
      </c>
      <c r="Q58" s="66">
        <v>46077</v>
      </c>
      <c r="R58" s="74">
        <v>46048</v>
      </c>
      <c r="S58" s="74">
        <v>46081</v>
      </c>
      <c r="T58" s="4"/>
      <c r="U58" s="5"/>
      <c r="W58" s="6" t="s">
        <v>4</v>
      </c>
      <c r="X58" s="9"/>
      <c r="Y58" s="4"/>
      <c r="Z58" s="4"/>
      <c r="AA58" s="4"/>
      <c r="AB58" s="4"/>
      <c r="AC58" s="5"/>
      <c r="AE58" s="6" t="s">
        <v>4</v>
      </c>
      <c r="AF58" s="9"/>
      <c r="AG58" s="4"/>
      <c r="AH58" s="4"/>
      <c r="AI58" s="4"/>
      <c r="AJ58" s="4"/>
      <c r="AK58" s="5"/>
    </row>
    <row r="59" spans="1:38" ht="15.75" thickBot="1" x14ac:dyDescent="0.3">
      <c r="A59" s="77"/>
      <c r="B59" s="27">
        <v>18453</v>
      </c>
      <c r="C59" s="27"/>
      <c r="D59" s="27"/>
      <c r="E59" s="27">
        <v>21092</v>
      </c>
      <c r="F59" s="27">
        <f>SUM(C59-B59)</f>
        <v>-18453</v>
      </c>
      <c r="G59" s="20">
        <f>SUM(E59-D59)</f>
        <v>21092</v>
      </c>
      <c r="H59" s="21">
        <f>SUM(F59:G59)</f>
        <v>2639</v>
      </c>
      <c r="J59" s="29" t="s">
        <v>22</v>
      </c>
      <c r="K59" s="10">
        <v>264.72000000000003</v>
      </c>
      <c r="L59" s="11">
        <v>222.94</v>
      </c>
      <c r="M59" s="11">
        <v>146.36000000000001</v>
      </c>
      <c r="N59" s="11">
        <v>238.95</v>
      </c>
      <c r="O59" s="11">
        <v>185.71</v>
      </c>
      <c r="P59" s="11">
        <v>60.69</v>
      </c>
      <c r="Q59" s="11">
        <v>146.22999999999999</v>
      </c>
      <c r="R59" s="11">
        <v>223.86</v>
      </c>
      <c r="S59" s="11">
        <v>234.14</v>
      </c>
      <c r="T59" s="11"/>
      <c r="U59" s="12"/>
      <c r="W59" s="7" t="s">
        <v>22</v>
      </c>
      <c r="X59" s="10"/>
      <c r="Y59" s="11"/>
      <c r="Z59" s="11"/>
      <c r="AA59" s="11"/>
      <c r="AB59" s="11"/>
      <c r="AC59" s="12"/>
      <c r="AE59" s="7" t="s">
        <v>22</v>
      </c>
      <c r="AF59" s="10"/>
      <c r="AG59" s="11"/>
      <c r="AH59" s="11"/>
      <c r="AI59" s="11"/>
      <c r="AJ59" s="11"/>
      <c r="AK59" s="12"/>
    </row>
    <row r="60" spans="1:38" x14ac:dyDescent="0.25">
      <c r="J60" s="8"/>
      <c r="T60" s="8" t="s">
        <v>23</v>
      </c>
      <c r="U60" s="13">
        <f>SUM(K59:U59)</f>
        <v>1723.6</v>
      </c>
      <c r="AB60" s="8" t="s">
        <v>23</v>
      </c>
      <c r="AC60" s="13">
        <f>SUM(X59:AC59)</f>
        <v>0</v>
      </c>
      <c r="AJ60" s="8" t="s">
        <v>23</v>
      </c>
      <c r="AK60" s="13">
        <f>SUM(AF59:AK59)</f>
        <v>0</v>
      </c>
    </row>
    <row r="61" spans="1:38"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8" ht="15.75" thickBot="1" x14ac:dyDescent="0.3">
      <c r="A62" s="77" t="s">
        <v>5</v>
      </c>
      <c r="B62" s="34" t="s">
        <v>6</v>
      </c>
      <c r="C62" s="22" t="s">
        <v>7</v>
      </c>
      <c r="D62" s="33" t="s">
        <v>8</v>
      </c>
      <c r="E62" s="22" t="s">
        <v>9</v>
      </c>
      <c r="F62" s="24" t="s">
        <v>10</v>
      </c>
      <c r="G62" s="23" t="s">
        <v>11</v>
      </c>
      <c r="H62" s="25" t="s">
        <v>12</v>
      </c>
      <c r="J62" s="6" t="s">
        <v>4</v>
      </c>
      <c r="K62" s="9">
        <v>46084</v>
      </c>
      <c r="L62" s="66">
        <v>46086</v>
      </c>
      <c r="M62" s="66">
        <v>46088</v>
      </c>
      <c r="N62" s="66">
        <v>46091</v>
      </c>
      <c r="O62" s="66">
        <v>46093</v>
      </c>
      <c r="P62" s="66">
        <v>46095</v>
      </c>
      <c r="Q62" s="66">
        <v>46102</v>
      </c>
      <c r="R62" s="66">
        <v>46105</v>
      </c>
      <c r="S62" s="66">
        <v>46107</v>
      </c>
      <c r="T62" s="66">
        <v>46109</v>
      </c>
      <c r="U62" s="72">
        <v>46112</v>
      </c>
      <c r="W62" s="6" t="s">
        <v>4</v>
      </c>
      <c r="X62" s="9">
        <v>46088</v>
      </c>
      <c r="Y62" s="66">
        <v>46095</v>
      </c>
      <c r="Z62" s="66">
        <v>46102</v>
      </c>
      <c r="AA62" s="66">
        <v>46109</v>
      </c>
      <c r="AB62" s="66"/>
      <c r="AC62" s="72"/>
      <c r="AE62" s="6" t="s">
        <v>4</v>
      </c>
      <c r="AF62" s="9"/>
      <c r="AG62" s="4"/>
      <c r="AH62" s="4"/>
      <c r="AI62" s="4"/>
      <c r="AJ62" s="4"/>
      <c r="AK62" s="5"/>
    </row>
    <row r="63" spans="1:38" ht="15.75" thickBot="1" x14ac:dyDescent="0.3">
      <c r="A63" s="77"/>
      <c r="B63" s="27">
        <v>21092</v>
      </c>
      <c r="C63" s="27"/>
      <c r="D63" s="27"/>
      <c r="E63" s="27">
        <v>24140</v>
      </c>
      <c r="F63" s="27">
        <f>SUM(C63-B63)</f>
        <v>-21092</v>
      </c>
      <c r="G63" s="20">
        <f>SUM(E63-D63)</f>
        <v>24140</v>
      </c>
      <c r="H63" s="21">
        <f>SUM(F63:G63)</f>
        <v>3048</v>
      </c>
      <c r="J63" s="7" t="s">
        <v>22</v>
      </c>
      <c r="K63" s="10">
        <v>223.53</v>
      </c>
      <c r="L63" s="11">
        <v>246.12</v>
      </c>
      <c r="M63" s="11">
        <v>125.12</v>
      </c>
      <c r="N63" s="11">
        <v>203.9</v>
      </c>
      <c r="O63" s="11">
        <v>242.6</v>
      </c>
      <c r="P63" s="11">
        <v>163.66</v>
      </c>
      <c r="Q63" s="11">
        <v>215.19</v>
      </c>
      <c r="R63" s="11">
        <v>291.95999999999998</v>
      </c>
      <c r="S63" s="11">
        <v>228.07</v>
      </c>
      <c r="T63" s="11">
        <v>133.1</v>
      </c>
      <c r="U63" s="12">
        <v>250.63</v>
      </c>
      <c r="W63" s="7" t="s">
        <v>22</v>
      </c>
      <c r="X63" s="10">
        <v>55</v>
      </c>
      <c r="Y63" s="11">
        <v>55</v>
      </c>
      <c r="Z63" s="11">
        <v>55</v>
      </c>
      <c r="AA63" s="11">
        <v>55</v>
      </c>
      <c r="AB63" s="11"/>
      <c r="AC63" s="12"/>
      <c r="AE63" s="7" t="s">
        <v>22</v>
      </c>
      <c r="AF63" s="10"/>
      <c r="AG63" s="11"/>
      <c r="AH63" s="11"/>
      <c r="AI63" s="11"/>
      <c r="AJ63" s="11"/>
      <c r="AK63" s="12"/>
    </row>
    <row r="64" spans="1:38" x14ac:dyDescent="0.25">
      <c r="J64" s="8"/>
      <c r="T64" s="8" t="s">
        <v>23</v>
      </c>
      <c r="U64" s="13">
        <f>SUM(K63:U63)</f>
        <v>2323.88</v>
      </c>
      <c r="AB64" s="8" t="s">
        <v>23</v>
      </c>
      <c r="AC64" s="13">
        <f>SUM(X63:AC63)</f>
        <v>220</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7">
        <v>24140</v>
      </c>
      <c r="C67" s="27">
        <v>25073</v>
      </c>
      <c r="D67" s="27"/>
      <c r="E67" s="27"/>
      <c r="F67" s="27">
        <f>SUM(C67-B67)</f>
        <v>933</v>
      </c>
      <c r="G67" s="20">
        <f>SUM(E67-D67)</f>
        <v>0</v>
      </c>
      <c r="H67" s="21">
        <f>SUM(F67:G67)</f>
        <v>933</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6"/>
      <c r="C71" s="27"/>
      <c r="D71" s="27"/>
      <c r="E71" s="27"/>
      <c r="F71" s="27">
        <f>SUM(C71-B71)</f>
        <v>0</v>
      </c>
      <c r="G71" s="20">
        <f>SUM(E71-D71)</f>
        <v>0</v>
      </c>
      <c r="H71" s="21">
        <f>SUM(F71:G71)</f>
        <v>0</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5">
    <mergeCell ref="B2:C2"/>
    <mergeCell ref="E2:F2"/>
    <mergeCell ref="B4:C4"/>
    <mergeCell ref="E4:F4"/>
    <mergeCell ref="A7:H7"/>
    <mergeCell ref="B3:C3"/>
    <mergeCell ref="E3:F3"/>
    <mergeCell ref="A14:A15"/>
    <mergeCell ref="X7:AD7"/>
    <mergeCell ref="AF7:AL7"/>
    <mergeCell ref="B9:H9"/>
    <mergeCell ref="J9:U9"/>
    <mergeCell ref="X9:AD9"/>
    <mergeCell ref="AF9:AL9"/>
    <mergeCell ref="J7:U7"/>
    <mergeCell ref="A10:A11"/>
    <mergeCell ref="B13:H13"/>
    <mergeCell ref="J13:U13"/>
    <mergeCell ref="X13:AD13"/>
    <mergeCell ref="AF13:AL13"/>
    <mergeCell ref="A26:A27"/>
    <mergeCell ref="B17:H17"/>
    <mergeCell ref="J17:U17"/>
    <mergeCell ref="X17:AD17"/>
    <mergeCell ref="AF17:AL17"/>
    <mergeCell ref="A18:A19"/>
    <mergeCell ref="B21:H21"/>
    <mergeCell ref="J21:U21"/>
    <mergeCell ref="X21:AD21"/>
    <mergeCell ref="AF21:AL21"/>
    <mergeCell ref="A22:A23"/>
    <mergeCell ref="B25:H25"/>
    <mergeCell ref="J25:U25"/>
    <mergeCell ref="X25:AD25"/>
    <mergeCell ref="AF25:AL25"/>
    <mergeCell ref="A38:A39"/>
    <mergeCell ref="B29:H29"/>
    <mergeCell ref="J29:U29"/>
    <mergeCell ref="X29:AD29"/>
    <mergeCell ref="AF29:AL29"/>
    <mergeCell ref="A30:A31"/>
    <mergeCell ref="B33:H33"/>
    <mergeCell ref="J33:U33"/>
    <mergeCell ref="X33:AD33"/>
    <mergeCell ref="AF33:AL33"/>
    <mergeCell ref="A34:A35"/>
    <mergeCell ref="B37:H37"/>
    <mergeCell ref="J37:U37"/>
    <mergeCell ref="X37:AD37"/>
    <mergeCell ref="AF37:AL37"/>
    <mergeCell ref="A50:A51"/>
    <mergeCell ref="B41:H41"/>
    <mergeCell ref="J41:U41"/>
    <mergeCell ref="X41:AD41"/>
    <mergeCell ref="AF41:AL41"/>
    <mergeCell ref="A42:A43"/>
    <mergeCell ref="B45:H45"/>
    <mergeCell ref="J45:U45"/>
    <mergeCell ref="X45:AD45"/>
    <mergeCell ref="AF45:AL45"/>
    <mergeCell ref="A46:A47"/>
    <mergeCell ref="B49:H49"/>
    <mergeCell ref="J49:U49"/>
    <mergeCell ref="X49:AD49"/>
    <mergeCell ref="AF49:AL4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honeticPr fontId="3" type="noConversion"/>
  <pageMargins left="0.511811024" right="0.511811024" top="0.78740157499999996" bottom="0.78740157499999996" header="0.31496062000000002" footer="0.31496062000000002"/>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84"/>
  <sheetViews>
    <sheetView showGridLines="0" topLeftCell="A22" workbookViewId="0">
      <selection activeCell="AA62" sqref="AA6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20" width="10.42578125" bestFit="1" customWidth="1"/>
    <col min="21" max="21" width="13.28515625" bestFit="1" customWidth="1"/>
    <col min="22" max="26" width="10.42578125" bestFit="1" customWidth="1"/>
    <col min="36" max="38" width="10.140625" bestFit="1" customWidth="1"/>
  </cols>
  <sheetData>
    <row r="2" spans="1:39" x14ac:dyDescent="0.25">
      <c r="A2" t="s">
        <v>0</v>
      </c>
      <c r="B2" s="84" t="s">
        <v>90</v>
      </c>
      <c r="C2" s="84"/>
      <c r="D2" s="1" t="s">
        <v>1</v>
      </c>
      <c r="E2" s="84" t="s">
        <v>89</v>
      </c>
      <c r="F2" s="84"/>
      <c r="H2" t="s">
        <v>83</v>
      </c>
      <c r="I2" s="69">
        <v>3000</v>
      </c>
    </row>
    <row r="3" spans="1:39" x14ac:dyDescent="0.25">
      <c r="A3" t="s">
        <v>99</v>
      </c>
      <c r="B3" s="92">
        <v>46092</v>
      </c>
      <c r="C3" s="84"/>
      <c r="D3" s="1" t="s">
        <v>1</v>
      </c>
      <c r="E3" s="84" t="s">
        <v>89</v>
      </c>
      <c r="F3" s="84"/>
      <c r="H3" t="s">
        <v>83</v>
      </c>
      <c r="I3" s="69">
        <v>4500</v>
      </c>
    </row>
    <row r="4" spans="1:39" x14ac:dyDescent="0.25">
      <c r="A4" t="s">
        <v>2</v>
      </c>
      <c r="B4" s="85">
        <v>3837</v>
      </c>
      <c r="C4" s="85"/>
      <c r="D4" s="1" t="s">
        <v>29</v>
      </c>
      <c r="E4" s="91">
        <v>45</v>
      </c>
      <c r="F4" s="91"/>
      <c r="H4" t="s">
        <v>70</v>
      </c>
      <c r="I4" s="71">
        <v>45944</v>
      </c>
      <c r="J4" t="s">
        <v>98</v>
      </c>
      <c r="K4" s="71">
        <v>46102</v>
      </c>
    </row>
    <row r="7" spans="1:39"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82" t="s">
        <v>27</v>
      </c>
      <c r="AH7" s="82"/>
      <c r="AI7" s="82"/>
      <c r="AJ7" s="82"/>
      <c r="AK7" s="82"/>
      <c r="AL7" s="82"/>
      <c r="AM7" s="82"/>
    </row>
    <row r="8" spans="1:39" s="15" customFormat="1" ht="21" x14ac:dyDescent="0.35">
      <c r="A8" s="14"/>
      <c r="B8" s="14"/>
      <c r="C8" s="14"/>
      <c r="D8" s="84" t="s">
        <v>72</v>
      </c>
      <c r="E8" s="84"/>
      <c r="F8" s="14"/>
      <c r="G8" s="14"/>
      <c r="H8" s="14"/>
      <c r="J8" s="16"/>
      <c r="K8" s="16"/>
      <c r="L8" s="16"/>
      <c r="M8" s="16"/>
      <c r="N8" s="16"/>
      <c r="O8" s="16"/>
      <c r="P8" s="16"/>
      <c r="Q8" s="16"/>
      <c r="R8" s="16"/>
      <c r="S8" s="16"/>
      <c r="T8" s="16"/>
      <c r="U8" s="16"/>
      <c r="V8" s="17"/>
      <c r="W8" s="17"/>
      <c r="X8" s="17"/>
      <c r="Y8" s="18"/>
      <c r="Z8" s="18"/>
      <c r="AA8" s="18"/>
      <c r="AB8" s="18"/>
      <c r="AC8" s="18"/>
      <c r="AD8" s="18"/>
      <c r="AE8" s="18"/>
      <c r="AF8" s="17"/>
      <c r="AG8" s="18"/>
      <c r="AH8" s="18"/>
      <c r="AI8" s="18"/>
      <c r="AJ8" s="18"/>
      <c r="AK8" s="18"/>
      <c r="AL8" s="18"/>
      <c r="AM8" s="18"/>
    </row>
    <row r="9" spans="1:39"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G9" s="81" t="s">
        <v>3</v>
      </c>
      <c r="AH9" s="81"/>
      <c r="AI9" s="81"/>
      <c r="AJ9" s="81"/>
      <c r="AK9" s="81"/>
      <c r="AL9" s="81"/>
      <c r="AM9" s="81"/>
    </row>
    <row r="10" spans="1:39" ht="15.75" thickBot="1" x14ac:dyDescent="0.3">
      <c r="A10" s="77"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Y10" s="6" t="s">
        <v>4</v>
      </c>
      <c r="Z10" s="9"/>
      <c r="AA10" s="4"/>
      <c r="AB10" s="4"/>
      <c r="AC10" s="4"/>
      <c r="AD10" s="4"/>
      <c r="AE10" s="5"/>
      <c r="AG10" s="6" t="s">
        <v>4</v>
      </c>
      <c r="AH10" s="9"/>
      <c r="AI10" s="4"/>
      <c r="AJ10" s="4"/>
      <c r="AK10" s="4"/>
      <c r="AL10" s="4"/>
      <c r="AM10" s="5"/>
    </row>
    <row r="11" spans="1:39"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G11" s="7" t="s">
        <v>22</v>
      </c>
      <c r="AH11" s="10"/>
      <c r="AI11" s="11"/>
      <c r="AJ11" s="11"/>
      <c r="AK11" s="11"/>
      <c r="AL11" s="11"/>
      <c r="AM11" s="12"/>
    </row>
    <row r="12" spans="1:39" x14ac:dyDescent="0.25">
      <c r="J12" s="8"/>
      <c r="T12" s="8" t="s">
        <v>23</v>
      </c>
      <c r="U12" s="13">
        <f>SUM(K11:U11)</f>
        <v>0</v>
      </c>
      <c r="AD12" s="8" t="s">
        <v>23</v>
      </c>
      <c r="AE12" s="13">
        <f>SUM(Z11:AE11)</f>
        <v>0</v>
      </c>
      <c r="AL12" s="8" t="s">
        <v>23</v>
      </c>
      <c r="AM12" s="13">
        <f>SUM(AH11:AM11)</f>
        <v>0</v>
      </c>
    </row>
    <row r="13" spans="1:39"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G13" s="81" t="str">
        <f>Y13</f>
        <v>Março</v>
      </c>
      <c r="AH13" s="81"/>
      <c r="AI13" s="81"/>
      <c r="AJ13" s="81"/>
      <c r="AK13" s="81"/>
      <c r="AL13" s="81"/>
      <c r="AM13" s="81"/>
    </row>
    <row r="14" spans="1:39" ht="15.75" thickBot="1" x14ac:dyDescent="0.3">
      <c r="A14" s="77"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Y14" s="6" t="s">
        <v>4</v>
      </c>
      <c r="Z14" s="9"/>
      <c r="AA14" s="4"/>
      <c r="AB14" s="4"/>
      <c r="AC14" s="4"/>
      <c r="AD14" s="4"/>
      <c r="AE14" s="5"/>
      <c r="AG14" s="6" t="s">
        <v>4</v>
      </c>
      <c r="AH14" s="9"/>
      <c r="AI14" s="4"/>
      <c r="AJ14" s="4"/>
      <c r="AK14" s="4"/>
      <c r="AL14" s="4"/>
      <c r="AM14" s="5"/>
    </row>
    <row r="15" spans="1:39" ht="15.75" thickBot="1" x14ac:dyDescent="0.3">
      <c r="A15" s="77"/>
      <c r="B15" s="26"/>
      <c r="C15" s="27"/>
      <c r="D15" s="27"/>
      <c r="E15" s="27"/>
      <c r="F15" s="27">
        <f>SUM(C15-B15)</f>
        <v>0</v>
      </c>
      <c r="G15" s="20">
        <f>SUM(E15-D15)</f>
        <v>0</v>
      </c>
      <c r="H15" s="21">
        <f>SUM(F15:G15)</f>
        <v>0</v>
      </c>
      <c r="J15" s="7" t="s">
        <v>22</v>
      </c>
      <c r="K15" s="11"/>
      <c r="L15" s="11"/>
      <c r="M15" s="11"/>
      <c r="N15" s="11"/>
      <c r="O15" s="11"/>
      <c r="P15" s="11"/>
      <c r="Q15" s="11"/>
      <c r="R15" s="11"/>
      <c r="S15" s="11"/>
      <c r="T15" s="11"/>
      <c r="U15" s="12"/>
      <c r="Y15" s="7" t="s">
        <v>22</v>
      </c>
      <c r="Z15" s="10"/>
      <c r="AA15" s="11"/>
      <c r="AB15" s="11"/>
      <c r="AC15" s="11"/>
      <c r="AD15" s="11"/>
      <c r="AE15" s="12"/>
      <c r="AG15" s="7" t="s">
        <v>22</v>
      </c>
      <c r="AH15" s="10"/>
      <c r="AI15" s="11"/>
      <c r="AJ15" s="11"/>
      <c r="AK15" s="11"/>
      <c r="AL15" s="11"/>
      <c r="AM15" s="12"/>
    </row>
    <row r="16" spans="1:39" x14ac:dyDescent="0.25">
      <c r="J16" s="8"/>
      <c r="T16" s="8" t="s">
        <v>23</v>
      </c>
      <c r="U16" s="13">
        <f>SUM(K15:U15)</f>
        <v>0</v>
      </c>
      <c r="AD16" s="8" t="s">
        <v>23</v>
      </c>
      <c r="AE16" s="13">
        <f>SUM(Z15:AE15)</f>
        <v>0</v>
      </c>
      <c r="AL16" s="8" t="s">
        <v>23</v>
      </c>
      <c r="AM16" s="13">
        <f>SUM(AH15:AM15)</f>
        <v>0</v>
      </c>
    </row>
    <row r="17" spans="1:39"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G17" s="81" t="str">
        <f>Y17</f>
        <v>Abril</v>
      </c>
      <c r="AH17" s="81"/>
      <c r="AI17" s="81"/>
      <c r="AJ17" s="81"/>
      <c r="AK17" s="81"/>
      <c r="AL17" s="81"/>
      <c r="AM17" s="81"/>
    </row>
    <row r="18" spans="1:39"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G18" s="6" t="s">
        <v>4</v>
      </c>
      <c r="AH18" s="9"/>
      <c r="AI18" s="4"/>
      <c r="AJ18" s="4"/>
      <c r="AK18" s="4"/>
      <c r="AL18" s="4"/>
      <c r="AM18" s="5"/>
    </row>
    <row r="19" spans="1:39"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G19" s="7" t="s">
        <v>22</v>
      </c>
      <c r="AH19" s="10"/>
      <c r="AI19" s="11"/>
      <c r="AJ19" s="11"/>
      <c r="AK19" s="11"/>
      <c r="AL19" s="11"/>
      <c r="AM19" s="12"/>
    </row>
    <row r="20" spans="1:39" x14ac:dyDescent="0.25">
      <c r="J20" s="8"/>
      <c r="T20" s="8" t="s">
        <v>23</v>
      </c>
      <c r="U20" s="13">
        <f>SUM(K19:U19)</f>
        <v>0</v>
      </c>
      <c r="AD20" s="8" t="s">
        <v>23</v>
      </c>
      <c r="AE20" s="13">
        <f>SUM(Z19:AE19)</f>
        <v>0</v>
      </c>
      <c r="AL20" s="8" t="s">
        <v>23</v>
      </c>
      <c r="AM20" s="13">
        <f>SUM(AH19:AM19)</f>
        <v>0</v>
      </c>
    </row>
    <row r="21" spans="1:39"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G21" s="81" t="str">
        <f>Y21</f>
        <v>Maio</v>
      </c>
      <c r="AH21" s="81"/>
      <c r="AI21" s="81"/>
      <c r="AJ21" s="81"/>
      <c r="AK21" s="81"/>
      <c r="AL21" s="81"/>
      <c r="AM21" s="81"/>
    </row>
    <row r="22" spans="1:39"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G22" s="6" t="s">
        <v>4</v>
      </c>
      <c r="AH22" s="9"/>
      <c r="AI22" s="4"/>
      <c r="AJ22" s="4"/>
      <c r="AK22" s="4"/>
      <c r="AL22" s="4"/>
      <c r="AM22" s="5"/>
    </row>
    <row r="23" spans="1:39"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G23" s="7" t="s">
        <v>22</v>
      </c>
      <c r="AH23" s="10"/>
      <c r="AI23" s="11"/>
      <c r="AJ23" s="11"/>
      <c r="AK23" s="11"/>
      <c r="AL23" s="11"/>
      <c r="AM23" s="12"/>
    </row>
    <row r="24" spans="1:39" x14ac:dyDescent="0.25">
      <c r="J24" s="8"/>
      <c r="T24" s="8" t="s">
        <v>23</v>
      </c>
      <c r="U24" s="13">
        <f>SUM(K23:U23)</f>
        <v>0</v>
      </c>
      <c r="AD24" s="8" t="s">
        <v>23</v>
      </c>
      <c r="AE24" s="13">
        <f>SUM(Z23:AE23)</f>
        <v>0</v>
      </c>
      <c r="AL24" s="8" t="s">
        <v>23</v>
      </c>
      <c r="AM24" s="13">
        <f>SUM(AH23:AM23)</f>
        <v>0</v>
      </c>
    </row>
    <row r="25" spans="1:39"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G25" s="81" t="str">
        <f>Y25</f>
        <v>Junho</v>
      </c>
      <c r="AH25" s="81"/>
      <c r="AI25" s="81"/>
      <c r="AJ25" s="81"/>
      <c r="AK25" s="81"/>
      <c r="AL25" s="81"/>
      <c r="AM25" s="81"/>
    </row>
    <row r="26" spans="1:39"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G26" s="6" t="s">
        <v>4</v>
      </c>
      <c r="AH26" s="9"/>
      <c r="AI26" s="4"/>
      <c r="AJ26" s="4"/>
      <c r="AK26" s="4"/>
      <c r="AL26" s="4"/>
      <c r="AM26" s="5"/>
    </row>
    <row r="27" spans="1:39"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G27" s="7" t="s">
        <v>22</v>
      </c>
      <c r="AH27" s="10"/>
      <c r="AI27" s="11"/>
      <c r="AJ27" s="11"/>
      <c r="AK27" s="11"/>
      <c r="AL27" s="11"/>
      <c r="AM27" s="12"/>
    </row>
    <row r="28" spans="1:39" x14ac:dyDescent="0.25">
      <c r="J28" s="8"/>
      <c r="T28" s="8" t="s">
        <v>23</v>
      </c>
      <c r="U28" s="13">
        <f>SUM(K27:U27)</f>
        <v>0</v>
      </c>
      <c r="AD28" s="8" t="s">
        <v>23</v>
      </c>
      <c r="AE28" s="13">
        <f>SUM(Z27:AE27)</f>
        <v>0</v>
      </c>
      <c r="AL28" s="8" t="s">
        <v>23</v>
      </c>
      <c r="AM28" s="13">
        <f>SUM(AH27:AM27)</f>
        <v>0</v>
      </c>
    </row>
    <row r="29" spans="1:39"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G29" s="81" t="str">
        <f>Y29</f>
        <v>Julho</v>
      </c>
      <c r="AH29" s="81"/>
      <c r="AI29" s="81"/>
      <c r="AJ29" s="81"/>
      <c r="AK29" s="81"/>
      <c r="AL29" s="81"/>
      <c r="AM29" s="81"/>
    </row>
    <row r="30" spans="1:39"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G30" s="6" t="s">
        <v>4</v>
      </c>
      <c r="AH30" s="9"/>
      <c r="AI30" s="4"/>
      <c r="AJ30" s="4"/>
      <c r="AK30" s="4"/>
      <c r="AL30" s="4"/>
      <c r="AM30" s="5"/>
    </row>
    <row r="31" spans="1:39"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G31" s="7" t="s">
        <v>22</v>
      </c>
      <c r="AH31" s="10"/>
      <c r="AI31" s="11"/>
      <c r="AJ31" s="11"/>
      <c r="AK31" s="11"/>
      <c r="AL31" s="11"/>
      <c r="AM31" s="12"/>
    </row>
    <row r="32" spans="1:39" x14ac:dyDescent="0.25">
      <c r="J32" s="8"/>
      <c r="T32" s="8" t="s">
        <v>23</v>
      </c>
      <c r="U32" s="13">
        <f>SUM(K31:U31)</f>
        <v>0</v>
      </c>
      <c r="AD32" s="8" t="s">
        <v>23</v>
      </c>
      <c r="AE32" s="13">
        <f>SUM(Z31:AE31)</f>
        <v>0</v>
      </c>
      <c r="AL32" s="8" t="s">
        <v>23</v>
      </c>
      <c r="AM32" s="13">
        <f>SUM(AH31:AM31)</f>
        <v>0</v>
      </c>
    </row>
    <row r="33" spans="1:39"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G33" s="81" t="str">
        <f>Y33</f>
        <v>Agosto</v>
      </c>
      <c r="AH33" s="81"/>
      <c r="AI33" s="81"/>
      <c r="AJ33" s="81"/>
      <c r="AK33" s="81"/>
      <c r="AL33" s="81"/>
      <c r="AM33" s="81"/>
    </row>
    <row r="34" spans="1:39"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G34" s="6" t="s">
        <v>4</v>
      </c>
      <c r="AH34" s="9"/>
      <c r="AI34" s="4"/>
      <c r="AJ34" s="4"/>
      <c r="AK34" s="4"/>
      <c r="AL34" s="4"/>
      <c r="AM34" s="5"/>
    </row>
    <row r="35" spans="1:39"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G35" s="7" t="s">
        <v>22</v>
      </c>
      <c r="AH35" s="10"/>
      <c r="AI35" s="11"/>
      <c r="AJ35" s="11"/>
      <c r="AK35" s="11"/>
      <c r="AL35" s="11"/>
      <c r="AM35" s="12"/>
    </row>
    <row r="36" spans="1:39" x14ac:dyDescent="0.25">
      <c r="J36" s="8"/>
      <c r="T36" s="8" t="s">
        <v>23</v>
      </c>
      <c r="U36" s="13">
        <f>SUM(K35:U35)</f>
        <v>0</v>
      </c>
      <c r="AD36" s="8" t="s">
        <v>23</v>
      </c>
      <c r="AE36" s="13">
        <f>SUM(Z35:AE35)</f>
        <v>0</v>
      </c>
      <c r="AL36" s="8" t="s">
        <v>23</v>
      </c>
      <c r="AM36" s="13">
        <f>SUM(AH35:AM35)</f>
        <v>0</v>
      </c>
    </row>
    <row r="37" spans="1:39"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G37" s="81" t="str">
        <f>Y37</f>
        <v>Setembro</v>
      </c>
      <c r="AH37" s="81"/>
      <c r="AI37" s="81"/>
      <c r="AJ37" s="81"/>
      <c r="AK37" s="81"/>
      <c r="AL37" s="81"/>
      <c r="AM37" s="81"/>
    </row>
    <row r="38" spans="1:39"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G38" s="6" t="s">
        <v>4</v>
      </c>
      <c r="AH38" s="9"/>
      <c r="AI38" s="4"/>
      <c r="AJ38" s="4"/>
      <c r="AK38" s="4"/>
      <c r="AL38" s="4"/>
      <c r="AM38" s="5"/>
    </row>
    <row r="39" spans="1:39"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G39" s="7" t="s">
        <v>22</v>
      </c>
      <c r="AH39" s="10"/>
      <c r="AI39" s="11"/>
      <c r="AJ39" s="11"/>
      <c r="AK39" s="11"/>
      <c r="AL39" s="11"/>
      <c r="AM39" s="12"/>
    </row>
    <row r="40" spans="1:39" x14ac:dyDescent="0.25">
      <c r="J40" s="8"/>
      <c r="T40" s="8" t="s">
        <v>23</v>
      </c>
      <c r="U40" s="13">
        <f>SUM(K39:U39)</f>
        <v>0</v>
      </c>
      <c r="AD40" s="8" t="s">
        <v>23</v>
      </c>
      <c r="AE40" s="13">
        <f>SUM(Z39:AE39)</f>
        <v>0</v>
      </c>
      <c r="AL40" s="8" t="s">
        <v>23</v>
      </c>
      <c r="AM40" s="13">
        <f>SUM(AH39:AM39)</f>
        <v>0</v>
      </c>
    </row>
    <row r="41" spans="1:39"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G41" s="81" t="str">
        <f>Y41</f>
        <v>Outubro</v>
      </c>
      <c r="AH41" s="81"/>
      <c r="AI41" s="81"/>
      <c r="AJ41" s="81"/>
      <c r="AK41" s="81"/>
      <c r="AL41" s="81"/>
      <c r="AM41" s="81"/>
    </row>
    <row r="42" spans="1:39" ht="15.75" thickBot="1" x14ac:dyDescent="0.3">
      <c r="A42" s="77" t="s">
        <v>5</v>
      </c>
      <c r="B42" s="34" t="s">
        <v>6</v>
      </c>
      <c r="C42" s="22" t="s">
        <v>7</v>
      </c>
      <c r="D42" s="33" t="s">
        <v>8</v>
      </c>
      <c r="E42" s="22" t="s">
        <v>9</v>
      </c>
      <c r="F42" s="24" t="s">
        <v>10</v>
      </c>
      <c r="G42" s="23" t="s">
        <v>11</v>
      </c>
      <c r="H42" s="25" t="s">
        <v>12</v>
      </c>
      <c r="J42" s="6" t="s">
        <v>4</v>
      </c>
      <c r="K42" s="9">
        <v>45946</v>
      </c>
      <c r="L42" s="66">
        <v>45950</v>
      </c>
      <c r="M42" s="66">
        <v>45951</v>
      </c>
      <c r="N42" s="66">
        <v>45953</v>
      </c>
      <c r="O42" s="66">
        <v>45957</v>
      </c>
      <c r="P42" s="66">
        <v>45959</v>
      </c>
      <c r="Q42" s="66">
        <v>45961</v>
      </c>
      <c r="R42" s="4"/>
      <c r="S42" s="4"/>
      <c r="T42" s="4"/>
      <c r="U42" s="5"/>
      <c r="Y42" s="6" t="s">
        <v>4</v>
      </c>
      <c r="Z42" s="9"/>
      <c r="AA42" s="4"/>
      <c r="AB42" s="4"/>
      <c r="AC42" s="4"/>
      <c r="AD42" s="4"/>
      <c r="AE42" s="5"/>
      <c r="AG42" s="6" t="s">
        <v>4</v>
      </c>
      <c r="AH42" s="9"/>
      <c r="AI42" s="4"/>
      <c r="AJ42" s="4"/>
      <c r="AK42" s="4"/>
      <c r="AL42" s="4"/>
      <c r="AM42" s="5"/>
    </row>
    <row r="43" spans="1:39" ht="15.75" thickBot="1" x14ac:dyDescent="0.3">
      <c r="A43" s="77"/>
      <c r="B43" s="26"/>
      <c r="C43" s="27"/>
      <c r="D43" s="27">
        <v>44392</v>
      </c>
      <c r="E43" s="27">
        <v>47378</v>
      </c>
      <c r="F43" s="27">
        <f>SUM(C43-B43)</f>
        <v>0</v>
      </c>
      <c r="G43" s="20">
        <f>SUM(E43-D43)</f>
        <v>2986</v>
      </c>
      <c r="H43" s="21">
        <f>SUM(F43:G43)</f>
        <v>2986</v>
      </c>
      <c r="J43" s="7" t="s">
        <v>22</v>
      </c>
      <c r="K43" s="10">
        <v>272.04000000000002</v>
      </c>
      <c r="L43" s="10">
        <v>298.07</v>
      </c>
      <c r="M43" s="10">
        <v>275.01</v>
      </c>
      <c r="N43" s="10">
        <v>291.08</v>
      </c>
      <c r="O43" s="10">
        <v>287.44</v>
      </c>
      <c r="P43" s="10">
        <v>223.65</v>
      </c>
      <c r="Q43" s="10">
        <v>305.05</v>
      </c>
      <c r="R43" s="11"/>
      <c r="S43" s="11"/>
      <c r="T43" s="11"/>
      <c r="U43" s="12"/>
      <c r="Y43" s="7" t="s">
        <v>22</v>
      </c>
      <c r="Z43" s="10"/>
      <c r="AA43" s="11"/>
      <c r="AB43" s="11"/>
      <c r="AC43" s="11"/>
      <c r="AD43" s="11"/>
      <c r="AE43" s="12"/>
      <c r="AG43" s="7" t="s">
        <v>22</v>
      </c>
      <c r="AH43" s="10"/>
      <c r="AI43" s="11"/>
      <c r="AJ43" s="11"/>
      <c r="AK43" s="11"/>
      <c r="AL43" s="11"/>
      <c r="AM43" s="12"/>
    </row>
    <row r="44" spans="1:39" x14ac:dyDescent="0.25">
      <c r="J44" s="8"/>
      <c r="T44" s="8" t="s">
        <v>23</v>
      </c>
      <c r="U44" s="13">
        <f>SUM(K43:U43)</f>
        <v>1952.3400000000001</v>
      </c>
      <c r="AD44" s="8" t="s">
        <v>23</v>
      </c>
      <c r="AE44" s="13">
        <f>SUM(Z43:AE43)</f>
        <v>0</v>
      </c>
      <c r="AL44" s="8" t="s">
        <v>23</v>
      </c>
      <c r="AM44" s="13">
        <f>SUM(AH43:AM43)</f>
        <v>0</v>
      </c>
    </row>
    <row r="45" spans="1:39"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G45" s="81" t="str">
        <f>Y45</f>
        <v>Novembro</v>
      </c>
      <c r="AH45" s="81"/>
      <c r="AI45" s="81"/>
      <c r="AJ45" s="81"/>
      <c r="AK45" s="81"/>
      <c r="AL45" s="81"/>
      <c r="AM45" s="81"/>
    </row>
    <row r="46" spans="1:39" ht="15.75" thickBot="1" x14ac:dyDescent="0.3">
      <c r="A46" s="77" t="s">
        <v>5</v>
      </c>
      <c r="B46" s="34" t="s">
        <v>6</v>
      </c>
      <c r="C46" s="22" t="s">
        <v>7</v>
      </c>
      <c r="D46" s="33" t="s">
        <v>8</v>
      </c>
      <c r="E46" s="22" t="s">
        <v>9</v>
      </c>
      <c r="F46" s="24" t="s">
        <v>10</v>
      </c>
      <c r="G46" s="23" t="s">
        <v>11</v>
      </c>
      <c r="H46" s="25" t="s">
        <v>12</v>
      </c>
      <c r="J46" s="6" t="s">
        <v>4</v>
      </c>
      <c r="K46" s="9">
        <v>45962</v>
      </c>
      <c r="L46" s="66">
        <v>45965</v>
      </c>
      <c r="M46" s="66">
        <v>45967</v>
      </c>
      <c r="N46" s="66">
        <v>45969</v>
      </c>
      <c r="O46" s="66">
        <v>45972</v>
      </c>
      <c r="P46" s="66">
        <v>45973</v>
      </c>
      <c r="Q46" s="66">
        <v>45975</v>
      </c>
      <c r="R46" s="66">
        <v>45978</v>
      </c>
      <c r="S46" s="66">
        <v>45980</v>
      </c>
      <c r="T46" s="66">
        <v>45982</v>
      </c>
      <c r="U46" s="72">
        <v>45985</v>
      </c>
      <c r="V46" s="72">
        <v>45988</v>
      </c>
      <c r="W46" s="72">
        <v>45989</v>
      </c>
      <c r="Y46" s="6" t="s">
        <v>4</v>
      </c>
      <c r="Z46" s="9">
        <v>45976</v>
      </c>
      <c r="AA46" s="4"/>
      <c r="AB46" s="4"/>
      <c r="AC46" s="4"/>
      <c r="AD46" s="4"/>
      <c r="AE46" s="5"/>
      <c r="AG46" s="6" t="s">
        <v>4</v>
      </c>
      <c r="AH46" s="9"/>
      <c r="AI46" s="4"/>
      <c r="AJ46" s="4"/>
      <c r="AK46" s="4"/>
      <c r="AL46" s="4"/>
      <c r="AM46" s="5"/>
    </row>
    <row r="47" spans="1:39" ht="15.75" thickBot="1" x14ac:dyDescent="0.3">
      <c r="A47" s="77"/>
      <c r="B47" s="27">
        <v>47378</v>
      </c>
      <c r="C47" s="27">
        <v>50612</v>
      </c>
      <c r="D47" s="27">
        <v>50612</v>
      </c>
      <c r="E47" s="27">
        <v>53242</v>
      </c>
      <c r="F47" s="27">
        <f>SUM(C47-B47)</f>
        <v>3234</v>
      </c>
      <c r="G47" s="20">
        <f>SUM(E47-D47)</f>
        <v>2630</v>
      </c>
      <c r="H47" s="21">
        <f>SUM(F47:G47)</f>
        <v>5864</v>
      </c>
      <c r="J47" s="7" t="s">
        <v>22</v>
      </c>
      <c r="K47" s="10">
        <v>288.44</v>
      </c>
      <c r="L47" s="11">
        <v>282.27999999999997</v>
      </c>
      <c r="M47" s="11">
        <v>288.32</v>
      </c>
      <c r="N47" s="11">
        <v>280.39999999999998</v>
      </c>
      <c r="O47" s="11">
        <v>291.7</v>
      </c>
      <c r="P47" s="11">
        <v>276.08</v>
      </c>
      <c r="Q47" s="11">
        <v>292.39</v>
      </c>
      <c r="R47" s="11">
        <v>291.87</v>
      </c>
      <c r="S47" s="11">
        <v>271.85000000000002</v>
      </c>
      <c r="T47" s="11">
        <v>303.5</v>
      </c>
      <c r="U47" s="12">
        <v>310.48</v>
      </c>
      <c r="V47" s="12">
        <v>243.52</v>
      </c>
      <c r="W47" s="12">
        <v>311.58</v>
      </c>
      <c r="Y47" s="7" t="s">
        <v>22</v>
      </c>
      <c r="Z47" s="10">
        <v>50</v>
      </c>
      <c r="AA47" s="11"/>
      <c r="AB47" s="11"/>
      <c r="AC47" s="11"/>
      <c r="AD47" s="11"/>
      <c r="AE47" s="12"/>
      <c r="AG47" s="7" t="s">
        <v>22</v>
      </c>
      <c r="AH47" s="10"/>
      <c r="AI47" s="11"/>
      <c r="AJ47" s="11"/>
      <c r="AK47" s="11"/>
      <c r="AL47" s="11"/>
      <c r="AM47" s="12"/>
    </row>
    <row r="48" spans="1:39" x14ac:dyDescent="0.25">
      <c r="J48" s="8"/>
      <c r="T48" s="8" t="s">
        <v>23</v>
      </c>
      <c r="U48" s="13">
        <f>SUM(K47:W47)</f>
        <v>3732.41</v>
      </c>
      <c r="AD48" s="8" t="s">
        <v>23</v>
      </c>
      <c r="AE48" s="13">
        <f>SUM(Z47:AE47)</f>
        <v>50</v>
      </c>
      <c r="AL48" s="8" t="s">
        <v>23</v>
      </c>
      <c r="AM48" s="13">
        <f>SUM(AH47:AM47)</f>
        <v>0</v>
      </c>
    </row>
    <row r="49" spans="1:39"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G49" s="81" t="str">
        <f>Y49</f>
        <v>Dezembro</v>
      </c>
      <c r="AH49" s="81"/>
      <c r="AI49" s="81"/>
      <c r="AJ49" s="81"/>
      <c r="AK49" s="81"/>
      <c r="AL49" s="81"/>
      <c r="AM49" s="81"/>
    </row>
    <row r="50" spans="1:39" ht="15.75" thickBot="1" x14ac:dyDescent="0.3">
      <c r="A50" s="77" t="s">
        <v>5</v>
      </c>
      <c r="B50" s="34" t="s">
        <v>6</v>
      </c>
      <c r="C50" s="22" t="s">
        <v>7</v>
      </c>
      <c r="D50" s="33" t="s">
        <v>8</v>
      </c>
      <c r="E50" s="22" t="s">
        <v>9</v>
      </c>
      <c r="F50" s="24" t="s">
        <v>10</v>
      </c>
      <c r="G50" s="23" t="s">
        <v>11</v>
      </c>
      <c r="H50" s="25" t="s">
        <v>12</v>
      </c>
      <c r="J50" s="6" t="s">
        <v>4</v>
      </c>
      <c r="K50" s="9">
        <v>45992</v>
      </c>
      <c r="L50" s="66">
        <v>45996</v>
      </c>
      <c r="M50" s="66">
        <v>46000</v>
      </c>
      <c r="N50" s="66">
        <v>46002</v>
      </c>
      <c r="O50" s="66">
        <v>46004</v>
      </c>
      <c r="P50" s="66">
        <v>46007</v>
      </c>
      <c r="Q50" s="66">
        <v>46008</v>
      </c>
      <c r="R50" s="66">
        <v>46010</v>
      </c>
      <c r="S50" s="4"/>
      <c r="T50" s="4"/>
      <c r="U50" s="5"/>
      <c r="Y50" s="6" t="s">
        <v>4</v>
      </c>
      <c r="Z50" s="9"/>
      <c r="AA50" s="4"/>
      <c r="AB50" s="4"/>
      <c r="AC50" s="4"/>
      <c r="AD50" s="4"/>
      <c r="AE50" s="5"/>
      <c r="AG50" s="6" t="s">
        <v>4</v>
      </c>
      <c r="AH50" s="9"/>
      <c r="AI50" s="4"/>
      <c r="AJ50" s="4"/>
      <c r="AK50" s="4"/>
      <c r="AL50" s="4"/>
      <c r="AM50" s="5"/>
    </row>
    <row r="51" spans="1:39" ht="15.75" thickBot="1" x14ac:dyDescent="0.3">
      <c r="A51" s="77"/>
      <c r="B51" s="27">
        <v>53242</v>
      </c>
      <c r="C51" s="27">
        <v>56261</v>
      </c>
      <c r="D51" s="27">
        <v>56261</v>
      </c>
      <c r="E51" s="27">
        <v>56153</v>
      </c>
      <c r="F51" s="27">
        <f>SUM(C51-B51)</f>
        <v>3019</v>
      </c>
      <c r="G51" s="20">
        <f>SUM(E51-D51)</f>
        <v>-108</v>
      </c>
      <c r="H51" s="21">
        <f>SUM(F51:G51)</f>
        <v>2911</v>
      </c>
      <c r="J51" s="7" t="s">
        <v>22</v>
      </c>
      <c r="K51" s="10">
        <v>160.71</v>
      </c>
      <c r="L51" s="11">
        <v>311.55</v>
      </c>
      <c r="M51" s="11">
        <v>304.87</v>
      </c>
      <c r="N51" s="11">
        <v>290.8</v>
      </c>
      <c r="O51" s="11">
        <v>287.73</v>
      </c>
      <c r="P51" s="11">
        <v>270.17</v>
      </c>
      <c r="Q51" s="11">
        <v>257.79000000000002</v>
      </c>
      <c r="R51" s="11">
        <v>281.89</v>
      </c>
      <c r="S51" s="11"/>
      <c r="T51" s="11"/>
      <c r="U51" s="12"/>
      <c r="Y51" s="7" t="s">
        <v>22</v>
      </c>
      <c r="Z51" s="10"/>
      <c r="AA51" s="11"/>
      <c r="AB51" s="11"/>
      <c r="AC51" s="11"/>
      <c r="AD51" s="11"/>
      <c r="AE51" s="12"/>
      <c r="AG51" s="7" t="s">
        <v>22</v>
      </c>
      <c r="AH51" s="10"/>
      <c r="AI51" s="11"/>
      <c r="AJ51" s="11"/>
      <c r="AK51" s="11"/>
      <c r="AL51" s="11"/>
      <c r="AM51" s="12"/>
    </row>
    <row r="52" spans="1:39" x14ac:dyDescent="0.25">
      <c r="J52" s="8"/>
      <c r="T52" s="8" t="s">
        <v>23</v>
      </c>
      <c r="U52" s="13">
        <f>SUM(K51:U51)</f>
        <v>2165.5100000000002</v>
      </c>
      <c r="AD52" s="8" t="s">
        <v>23</v>
      </c>
      <c r="AE52" s="13">
        <f>SUM(Z51:AE51)</f>
        <v>0</v>
      </c>
      <c r="AL52" s="8" t="s">
        <v>23</v>
      </c>
      <c r="AM52" s="13">
        <f>SUM(AH51:AM51)</f>
        <v>0</v>
      </c>
    </row>
    <row r="53" spans="1:39"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9" ht="15.75" thickBot="1" x14ac:dyDescent="0.3">
      <c r="A54" s="77" t="s">
        <v>5</v>
      </c>
      <c r="B54" s="34" t="s">
        <v>6</v>
      </c>
      <c r="C54" s="22" t="s">
        <v>7</v>
      </c>
      <c r="D54" s="33" t="s">
        <v>8</v>
      </c>
      <c r="E54" s="22" t="s">
        <v>9</v>
      </c>
      <c r="F54" s="24" t="s">
        <v>10</v>
      </c>
      <c r="G54" s="23" t="s">
        <v>11</v>
      </c>
      <c r="H54" s="25" t="s">
        <v>12</v>
      </c>
      <c r="J54" s="28" t="s">
        <v>4</v>
      </c>
      <c r="K54" s="9">
        <v>46028</v>
      </c>
      <c r="L54" s="66">
        <v>46031</v>
      </c>
      <c r="M54" s="66">
        <v>46035</v>
      </c>
      <c r="N54" s="66">
        <v>46037</v>
      </c>
      <c r="O54" s="66">
        <v>46039</v>
      </c>
      <c r="P54" s="66">
        <v>46043</v>
      </c>
      <c r="Q54" s="74">
        <v>46045</v>
      </c>
      <c r="R54" s="74">
        <v>46046</v>
      </c>
      <c r="S54" s="74">
        <v>46049</v>
      </c>
      <c r="T54" s="74">
        <v>46052</v>
      </c>
      <c r="U54" s="5"/>
      <c r="W54" s="6" t="s">
        <v>4</v>
      </c>
      <c r="X54" s="9"/>
      <c r="Y54" s="4"/>
      <c r="Z54" s="4"/>
      <c r="AA54" s="4"/>
      <c r="AB54" s="4"/>
      <c r="AC54" s="5"/>
      <c r="AE54" s="6" t="s">
        <v>4</v>
      </c>
      <c r="AF54" s="9"/>
      <c r="AG54" s="4"/>
      <c r="AH54" s="4"/>
      <c r="AI54" s="4"/>
      <c r="AJ54" s="4"/>
      <c r="AK54" s="5"/>
    </row>
    <row r="55" spans="1:39" ht="15.75" thickBot="1" x14ac:dyDescent="0.3">
      <c r="A55" s="77"/>
      <c r="B55" s="27">
        <v>56153</v>
      </c>
      <c r="C55" s="27"/>
      <c r="D55" s="27"/>
      <c r="E55" s="27">
        <v>60604</v>
      </c>
      <c r="F55" s="27">
        <f>SUM(C55-B55)</f>
        <v>-56153</v>
      </c>
      <c r="G55" s="20">
        <f>SUM(E55-D55)</f>
        <v>60604</v>
      </c>
      <c r="H55" s="21">
        <f>SUM(F55:G55)</f>
        <v>4451</v>
      </c>
      <c r="J55" s="29" t="s">
        <v>22</v>
      </c>
      <c r="K55" s="10">
        <v>275.67</v>
      </c>
      <c r="L55" s="11">
        <v>291.8</v>
      </c>
      <c r="M55" s="11">
        <v>307.3</v>
      </c>
      <c r="N55" s="11">
        <v>304.87</v>
      </c>
      <c r="O55" s="11">
        <v>286.47000000000003</v>
      </c>
      <c r="P55" s="11">
        <v>288.38</v>
      </c>
      <c r="Q55" s="11">
        <v>225</v>
      </c>
      <c r="R55" s="11">
        <v>239.48</v>
      </c>
      <c r="S55" s="11">
        <v>305.8</v>
      </c>
      <c r="T55" s="11">
        <v>292</v>
      </c>
      <c r="U55" s="12"/>
      <c r="W55" s="7" t="s">
        <v>22</v>
      </c>
      <c r="X55" s="10"/>
      <c r="Y55" s="11"/>
      <c r="Z55" s="11"/>
      <c r="AA55" s="11"/>
      <c r="AB55" s="11"/>
      <c r="AC55" s="12"/>
      <c r="AE55" s="7" t="s">
        <v>22</v>
      </c>
      <c r="AF55" s="10"/>
      <c r="AG55" s="11"/>
      <c r="AH55" s="11"/>
      <c r="AI55" s="11"/>
      <c r="AJ55" s="11"/>
      <c r="AK55" s="12"/>
    </row>
    <row r="56" spans="1:39" x14ac:dyDescent="0.25">
      <c r="J56" s="8"/>
      <c r="T56" s="8" t="s">
        <v>23</v>
      </c>
      <c r="U56" s="13">
        <f>SUM(K55:U55)</f>
        <v>2816.77</v>
      </c>
      <c r="AB56" s="8" t="s">
        <v>23</v>
      </c>
      <c r="AC56" s="13">
        <f>SUM(X55:AC55)</f>
        <v>0</v>
      </c>
      <c r="AJ56" s="8" t="s">
        <v>23</v>
      </c>
      <c r="AK56" s="13">
        <f>SUM(AF55:AK55)</f>
        <v>0</v>
      </c>
    </row>
    <row r="57" spans="1:39"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9" ht="15.75" thickBot="1" x14ac:dyDescent="0.3">
      <c r="A58" s="77" t="s">
        <v>5</v>
      </c>
      <c r="B58" s="34" t="s">
        <v>6</v>
      </c>
      <c r="C58" s="22" t="s">
        <v>7</v>
      </c>
      <c r="D58" s="33" t="s">
        <v>8</v>
      </c>
      <c r="E58" s="22" t="s">
        <v>9</v>
      </c>
      <c r="F58" s="24" t="s">
        <v>10</v>
      </c>
      <c r="G58" s="23" t="s">
        <v>11</v>
      </c>
      <c r="H58" s="25" t="s">
        <v>12</v>
      </c>
      <c r="J58" s="28" t="s">
        <v>4</v>
      </c>
      <c r="K58" s="9">
        <v>46055</v>
      </c>
      <c r="L58" s="66">
        <v>46064</v>
      </c>
      <c r="M58" s="66">
        <v>46072</v>
      </c>
      <c r="N58" s="66">
        <v>46077</v>
      </c>
      <c r="O58" s="66">
        <v>46079</v>
      </c>
      <c r="P58" s="66">
        <v>46081</v>
      </c>
      <c r="Q58" s="4"/>
      <c r="R58" s="4"/>
      <c r="S58" s="4"/>
      <c r="T58" s="4"/>
      <c r="U58" s="5"/>
      <c r="W58" s="6" t="s">
        <v>4</v>
      </c>
      <c r="X58" s="9"/>
      <c r="Y58" s="4"/>
      <c r="Z58" s="4"/>
      <c r="AA58" s="4"/>
      <c r="AB58" s="4"/>
      <c r="AC58" s="5"/>
      <c r="AE58" s="6" t="s">
        <v>4</v>
      </c>
      <c r="AF58" s="9"/>
      <c r="AG58" s="4"/>
      <c r="AH58" s="4"/>
      <c r="AI58" s="4"/>
      <c r="AJ58" s="4"/>
      <c r="AK58" s="5"/>
    </row>
    <row r="59" spans="1:39" ht="15.75" thickBot="1" x14ac:dyDescent="0.3">
      <c r="A59" s="77"/>
      <c r="B59" s="27">
        <v>60604</v>
      </c>
      <c r="C59" s="27"/>
      <c r="D59" s="27"/>
      <c r="E59" s="27">
        <v>62683</v>
      </c>
      <c r="F59" s="27">
        <f>SUM(C59-B59)</f>
        <v>-60604</v>
      </c>
      <c r="G59" s="20">
        <f>SUM(E59-D59)</f>
        <v>62683</v>
      </c>
      <c r="H59" s="21">
        <f>SUM(F59:G59)</f>
        <v>2079</v>
      </c>
      <c r="J59" s="29" t="s">
        <v>22</v>
      </c>
      <c r="K59" s="10">
        <v>236.84</v>
      </c>
      <c r="L59" s="11">
        <v>303.07</v>
      </c>
      <c r="M59" s="11">
        <v>305.10000000000002</v>
      </c>
      <c r="N59" s="11">
        <v>296.68</v>
      </c>
      <c r="O59" s="11">
        <v>312.27</v>
      </c>
      <c r="P59" s="11">
        <v>267.75</v>
      </c>
      <c r="Q59" s="11"/>
      <c r="R59" s="11"/>
      <c r="S59" s="11"/>
      <c r="T59" s="11"/>
      <c r="U59" s="12"/>
      <c r="W59" s="7" t="s">
        <v>22</v>
      </c>
      <c r="X59" s="10"/>
      <c r="Y59" s="11"/>
      <c r="Z59" s="11"/>
      <c r="AA59" s="11"/>
      <c r="AB59" s="11"/>
      <c r="AC59" s="12"/>
      <c r="AE59" s="7" t="s">
        <v>22</v>
      </c>
      <c r="AF59" s="10"/>
      <c r="AG59" s="11"/>
      <c r="AH59" s="11"/>
      <c r="AI59" s="11"/>
      <c r="AJ59" s="11"/>
      <c r="AK59" s="12"/>
    </row>
    <row r="60" spans="1:39" x14ac:dyDescent="0.25">
      <c r="J60" s="8"/>
      <c r="T60" s="8" t="s">
        <v>23</v>
      </c>
      <c r="U60" s="13">
        <f>SUM(K59:U59)</f>
        <v>1721.71</v>
      </c>
      <c r="AB60" s="8" t="s">
        <v>23</v>
      </c>
      <c r="AC60" s="13">
        <f>SUM(X59:AC59)</f>
        <v>0</v>
      </c>
      <c r="AJ60" s="8" t="s">
        <v>23</v>
      </c>
      <c r="AK60" s="13">
        <f>SUM(AF59:AK59)</f>
        <v>0</v>
      </c>
    </row>
    <row r="61" spans="1:39"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9" ht="15.75" thickBot="1" x14ac:dyDescent="0.3">
      <c r="A62" s="77" t="s">
        <v>5</v>
      </c>
      <c r="B62" s="34" t="s">
        <v>6</v>
      </c>
      <c r="C62" s="22" t="s">
        <v>7</v>
      </c>
      <c r="D62" s="33" t="s">
        <v>8</v>
      </c>
      <c r="E62" s="22" t="s">
        <v>9</v>
      </c>
      <c r="F62" s="24" t="s">
        <v>10</v>
      </c>
      <c r="G62" s="23" t="s">
        <v>11</v>
      </c>
      <c r="H62" s="25" t="s">
        <v>12</v>
      </c>
      <c r="J62" s="6" t="s">
        <v>4</v>
      </c>
      <c r="K62" s="9">
        <v>46084</v>
      </c>
      <c r="L62" s="66">
        <v>46087</v>
      </c>
      <c r="M62" s="66">
        <v>46091</v>
      </c>
      <c r="N62" s="66">
        <v>46093</v>
      </c>
      <c r="O62" s="66">
        <v>46095</v>
      </c>
      <c r="P62" s="66">
        <v>46098</v>
      </c>
      <c r="Q62" s="66">
        <v>46099</v>
      </c>
      <c r="R62" s="66">
        <v>46102</v>
      </c>
      <c r="S62" s="66">
        <v>46105</v>
      </c>
      <c r="T62" s="66">
        <v>46106</v>
      </c>
      <c r="U62" s="72" t="s">
        <v>104</v>
      </c>
      <c r="W62" s="6" t="s">
        <v>4</v>
      </c>
      <c r="X62" s="9">
        <v>46084</v>
      </c>
      <c r="Y62" s="66">
        <v>46096</v>
      </c>
      <c r="Z62" s="66">
        <v>46101</v>
      </c>
      <c r="AA62" s="66"/>
      <c r="AB62" s="66"/>
      <c r="AC62" s="72"/>
      <c r="AE62" s="6" t="s">
        <v>4</v>
      </c>
      <c r="AF62" s="9"/>
      <c r="AG62" s="4"/>
      <c r="AH62" s="4"/>
      <c r="AI62" s="4"/>
      <c r="AJ62" s="4"/>
      <c r="AK62" s="5"/>
    </row>
    <row r="63" spans="1:39" ht="15.75" thickBot="1" x14ac:dyDescent="0.3">
      <c r="A63" s="77"/>
      <c r="B63" s="26">
        <v>62683</v>
      </c>
      <c r="C63" s="27"/>
      <c r="D63" s="27"/>
      <c r="E63" s="27">
        <v>65781</v>
      </c>
      <c r="F63" s="27">
        <f>SUM(C63-B63)</f>
        <v>-62683</v>
      </c>
      <c r="G63" s="20">
        <f>SUM(E63-D63)</f>
        <v>65781</v>
      </c>
      <c r="H63" s="21">
        <f>SUM(F63:G63)</f>
        <v>3098</v>
      </c>
      <c r="J63" s="7" t="s">
        <v>22</v>
      </c>
      <c r="K63" s="10">
        <v>280.70999999999998</v>
      </c>
      <c r="L63" s="11">
        <v>314.95999999999998</v>
      </c>
      <c r="M63" s="11">
        <v>327.64</v>
      </c>
      <c r="N63" s="11">
        <v>307</v>
      </c>
      <c r="O63" s="11">
        <v>348.88</v>
      </c>
      <c r="P63" s="11">
        <v>340.65</v>
      </c>
      <c r="Q63" s="11">
        <v>230</v>
      </c>
      <c r="R63" s="11">
        <f>50+264.22</f>
        <v>314.22000000000003</v>
      </c>
      <c r="S63" s="11">
        <v>286.92</v>
      </c>
      <c r="T63" s="11">
        <v>332.69</v>
      </c>
      <c r="U63" s="12">
        <f>316.84+260</f>
        <v>576.83999999999992</v>
      </c>
      <c r="W63" s="7" t="s">
        <v>22</v>
      </c>
      <c r="X63" s="10">
        <v>60</v>
      </c>
      <c r="Y63" s="11">
        <v>60</v>
      </c>
      <c r="Z63" s="11">
        <v>130</v>
      </c>
      <c r="AA63" s="11"/>
      <c r="AB63" s="11"/>
      <c r="AC63" s="12"/>
      <c r="AE63" s="7" t="s">
        <v>22</v>
      </c>
      <c r="AF63" s="10"/>
      <c r="AG63" s="11"/>
      <c r="AH63" s="11"/>
      <c r="AI63" s="11"/>
      <c r="AJ63" s="11"/>
      <c r="AK63" s="12"/>
    </row>
    <row r="64" spans="1:39" x14ac:dyDescent="0.25">
      <c r="J64" s="8"/>
      <c r="T64" s="8" t="s">
        <v>23</v>
      </c>
      <c r="U64" s="13">
        <f>SUM(K63:U63)</f>
        <v>3660.51</v>
      </c>
      <c r="AB64" s="8" t="s">
        <v>23</v>
      </c>
      <c r="AC64" s="13">
        <f>SUM(X63:AC63)</f>
        <v>250</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6"/>
      <c r="C67" s="27"/>
      <c r="D67" s="27"/>
      <c r="E67" s="27"/>
      <c r="F67" s="27">
        <f>SUM(C67-B67)</f>
        <v>0</v>
      </c>
      <c r="G67" s="20">
        <f>SUM(E67-D67)</f>
        <v>0</v>
      </c>
      <c r="H67" s="21">
        <f>SUM(F67:G67)</f>
        <v>0</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6"/>
      <c r="C71" s="27"/>
      <c r="D71" s="27"/>
      <c r="E71" s="27"/>
      <c r="F71" s="27">
        <f>SUM(C71-B71)</f>
        <v>0</v>
      </c>
      <c r="G71" s="20">
        <f>SUM(E71-D71)</f>
        <v>0</v>
      </c>
      <c r="H71" s="21">
        <f>SUM(F71:G71)</f>
        <v>0</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6">
    <mergeCell ref="B2:C2"/>
    <mergeCell ref="E2:F2"/>
    <mergeCell ref="B4:C4"/>
    <mergeCell ref="E4:F4"/>
    <mergeCell ref="A7:H7"/>
    <mergeCell ref="B3:C3"/>
    <mergeCell ref="E3:F3"/>
    <mergeCell ref="A14:A15"/>
    <mergeCell ref="Y7:AE7"/>
    <mergeCell ref="AG7:AM7"/>
    <mergeCell ref="B9:H9"/>
    <mergeCell ref="J9:U9"/>
    <mergeCell ref="Y9:AE9"/>
    <mergeCell ref="AG9:AM9"/>
    <mergeCell ref="J7:U7"/>
    <mergeCell ref="A10:A11"/>
    <mergeCell ref="B13:H13"/>
    <mergeCell ref="J13:U13"/>
    <mergeCell ref="Y13:AE13"/>
    <mergeCell ref="AG13:AM13"/>
    <mergeCell ref="D8:E8"/>
    <mergeCell ref="A26:A27"/>
    <mergeCell ref="B17:H17"/>
    <mergeCell ref="J17:U17"/>
    <mergeCell ref="Y17:AE17"/>
    <mergeCell ref="AG17:AM17"/>
    <mergeCell ref="A18:A19"/>
    <mergeCell ref="B21:H21"/>
    <mergeCell ref="J21:U21"/>
    <mergeCell ref="Y21:AE21"/>
    <mergeCell ref="AG21:AM21"/>
    <mergeCell ref="A22:A23"/>
    <mergeCell ref="B25:H25"/>
    <mergeCell ref="J25:U25"/>
    <mergeCell ref="Y25:AE25"/>
    <mergeCell ref="AG25:AM25"/>
    <mergeCell ref="A38:A39"/>
    <mergeCell ref="B29:H29"/>
    <mergeCell ref="J29:U29"/>
    <mergeCell ref="Y29:AE29"/>
    <mergeCell ref="AG29:AM29"/>
    <mergeCell ref="A30:A31"/>
    <mergeCell ref="B33:H33"/>
    <mergeCell ref="J33:U33"/>
    <mergeCell ref="Y33:AE33"/>
    <mergeCell ref="AG33:AM33"/>
    <mergeCell ref="A34:A35"/>
    <mergeCell ref="B37:H37"/>
    <mergeCell ref="J37:U37"/>
    <mergeCell ref="Y37:AE37"/>
    <mergeCell ref="AG37:AM37"/>
    <mergeCell ref="A50:A51"/>
    <mergeCell ref="B41:H41"/>
    <mergeCell ref="J41:U41"/>
    <mergeCell ref="Y41:AE41"/>
    <mergeCell ref="AG41:AM41"/>
    <mergeCell ref="A42:A43"/>
    <mergeCell ref="B45:H45"/>
    <mergeCell ref="J45:U45"/>
    <mergeCell ref="Y45:AE45"/>
    <mergeCell ref="AG45:AM45"/>
    <mergeCell ref="A46:A47"/>
    <mergeCell ref="B49:H49"/>
    <mergeCell ref="J49:U49"/>
    <mergeCell ref="Y49:AE49"/>
    <mergeCell ref="AG49:AM4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honeticPr fontId="3" type="noConversion"/>
  <pageMargins left="0.511811024" right="0.511811024" top="0.78740157499999996" bottom="0.78740157499999996" header="0.31496062000000002" footer="0.31496062000000002"/>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84"/>
  <sheetViews>
    <sheetView showGridLines="0" topLeftCell="A50" workbookViewId="0">
      <selection activeCell="M58" sqref="M5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15" max="16" width="10.42578125" bestFit="1" customWidth="1"/>
    <col min="21" max="21" width="12.1406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84" t="s">
        <v>84</v>
      </c>
      <c r="C2" s="84"/>
      <c r="D2" s="1" t="s">
        <v>1</v>
      </c>
      <c r="E2" s="84" t="s">
        <v>85</v>
      </c>
      <c r="F2" s="84"/>
      <c r="H2" t="s">
        <v>83</v>
      </c>
      <c r="I2" s="68">
        <v>3000</v>
      </c>
    </row>
    <row r="3" spans="1:37" x14ac:dyDescent="0.25">
      <c r="A3" t="s">
        <v>80</v>
      </c>
      <c r="B3" s="84"/>
      <c r="C3" s="84"/>
      <c r="D3" s="1" t="s">
        <v>1</v>
      </c>
      <c r="E3" s="84"/>
      <c r="F3" s="84"/>
      <c r="H3" t="s">
        <v>81</v>
      </c>
      <c r="I3" s="54"/>
    </row>
    <row r="4" spans="1:37" x14ac:dyDescent="0.25">
      <c r="A4" t="s">
        <v>2</v>
      </c>
      <c r="B4" s="85">
        <v>3837</v>
      </c>
      <c r="C4" s="85"/>
      <c r="D4" s="1" t="s">
        <v>29</v>
      </c>
      <c r="E4" s="91">
        <v>45</v>
      </c>
      <c r="F4" s="91"/>
      <c r="H4" t="s">
        <v>70</v>
      </c>
      <c r="I4" s="67">
        <v>45922</v>
      </c>
      <c r="J4" t="s">
        <v>98</v>
      </c>
      <c r="K4" s="67">
        <v>46089</v>
      </c>
    </row>
    <row r="7" spans="1:37" ht="21" x14ac:dyDescent="0.35">
      <c r="A7" s="86" t="s">
        <v>28</v>
      </c>
      <c r="B7" s="86"/>
      <c r="C7" s="86"/>
      <c r="D7" s="86"/>
      <c r="E7" s="86"/>
      <c r="F7" s="86"/>
      <c r="G7" s="86"/>
      <c r="H7" s="86"/>
      <c r="J7" s="83" t="s">
        <v>26</v>
      </c>
      <c r="K7" s="83"/>
      <c r="L7" s="83"/>
      <c r="M7" s="83"/>
      <c r="N7" s="83"/>
      <c r="O7" s="83"/>
      <c r="P7" s="83"/>
      <c r="Q7" s="83"/>
      <c r="R7" s="83"/>
      <c r="S7" s="83"/>
      <c r="T7" s="83"/>
      <c r="U7" s="83"/>
      <c r="V7" s="2"/>
      <c r="W7" s="82" t="s">
        <v>25</v>
      </c>
      <c r="X7" s="82"/>
      <c r="Y7" s="82"/>
      <c r="Z7" s="82"/>
      <c r="AA7" s="82"/>
      <c r="AB7" s="82"/>
      <c r="AC7" s="82"/>
      <c r="AD7" s="2"/>
      <c r="AE7" s="82" t="s">
        <v>27</v>
      </c>
      <c r="AF7" s="82"/>
      <c r="AG7" s="82"/>
      <c r="AH7" s="82"/>
      <c r="AI7" s="82"/>
      <c r="AJ7" s="82"/>
      <c r="AK7" s="82"/>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8" t="s">
        <v>3</v>
      </c>
      <c r="C9" s="78"/>
      <c r="D9" s="78"/>
      <c r="E9" s="78"/>
      <c r="F9" s="78"/>
      <c r="G9" s="78"/>
      <c r="H9" s="78"/>
      <c r="J9" s="79" t="s">
        <v>3</v>
      </c>
      <c r="K9" s="79"/>
      <c r="L9" s="79"/>
      <c r="M9" s="79"/>
      <c r="N9" s="79"/>
      <c r="O9" s="79"/>
      <c r="P9" s="79"/>
      <c r="Q9" s="79"/>
      <c r="R9" s="79"/>
      <c r="S9" s="79"/>
      <c r="T9" s="79"/>
      <c r="U9" s="79"/>
      <c r="W9" s="80" t="s">
        <v>3</v>
      </c>
      <c r="X9" s="80"/>
      <c r="Y9" s="80"/>
      <c r="Z9" s="80"/>
      <c r="AA9" s="80"/>
      <c r="AB9" s="80"/>
      <c r="AC9" s="80"/>
      <c r="AE9" s="81" t="s">
        <v>3</v>
      </c>
      <c r="AF9" s="81"/>
      <c r="AG9" s="81"/>
      <c r="AH9" s="81"/>
      <c r="AI9" s="81"/>
      <c r="AJ9" s="81"/>
      <c r="AK9" s="81"/>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8" t="s">
        <v>13</v>
      </c>
      <c r="C13" s="78"/>
      <c r="D13" s="78"/>
      <c r="E13" s="78"/>
      <c r="F13" s="78"/>
      <c r="G13" s="78"/>
      <c r="H13" s="78"/>
      <c r="J13" s="79" t="s">
        <v>13</v>
      </c>
      <c r="K13" s="79"/>
      <c r="L13" s="79"/>
      <c r="M13" s="79"/>
      <c r="N13" s="79"/>
      <c r="O13" s="79"/>
      <c r="P13" s="79"/>
      <c r="Q13" s="79"/>
      <c r="R13" s="79"/>
      <c r="S13" s="79"/>
      <c r="T13" s="79"/>
      <c r="U13" s="79"/>
      <c r="W13" s="80" t="str">
        <f>J13</f>
        <v>Março</v>
      </c>
      <c r="X13" s="80"/>
      <c r="Y13" s="80"/>
      <c r="Z13" s="80"/>
      <c r="AA13" s="80"/>
      <c r="AB13" s="80"/>
      <c r="AC13" s="80"/>
      <c r="AE13" s="81" t="str">
        <f>W13</f>
        <v>Março</v>
      </c>
      <c r="AF13" s="81"/>
      <c r="AG13" s="81"/>
      <c r="AH13" s="81"/>
      <c r="AI13" s="81"/>
      <c r="AJ13" s="81"/>
      <c r="AK13" s="81"/>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8" t="s">
        <v>14</v>
      </c>
      <c r="C17" s="78"/>
      <c r="D17" s="78"/>
      <c r="E17" s="78"/>
      <c r="F17" s="78"/>
      <c r="G17" s="78"/>
      <c r="H17" s="78"/>
      <c r="J17" s="79" t="s">
        <v>14</v>
      </c>
      <c r="K17" s="79"/>
      <c r="L17" s="79"/>
      <c r="M17" s="79"/>
      <c r="N17" s="79"/>
      <c r="O17" s="79"/>
      <c r="P17" s="79"/>
      <c r="Q17" s="79"/>
      <c r="R17" s="79"/>
      <c r="S17" s="79"/>
      <c r="T17" s="79"/>
      <c r="U17" s="79"/>
      <c r="W17" s="80" t="str">
        <f>J17</f>
        <v>Abril</v>
      </c>
      <c r="X17" s="80"/>
      <c r="Y17" s="80"/>
      <c r="Z17" s="80"/>
      <c r="AA17" s="80"/>
      <c r="AB17" s="80"/>
      <c r="AC17" s="80"/>
      <c r="AE17" s="81" t="str">
        <f>W17</f>
        <v>Abril</v>
      </c>
      <c r="AF17" s="81"/>
      <c r="AG17" s="81"/>
      <c r="AH17" s="81"/>
      <c r="AI17" s="81"/>
      <c r="AJ17" s="81"/>
      <c r="AK17" s="81"/>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8" t="s">
        <v>15</v>
      </c>
      <c r="C21" s="78"/>
      <c r="D21" s="78"/>
      <c r="E21" s="78"/>
      <c r="F21" s="78"/>
      <c r="G21" s="78"/>
      <c r="H21" s="78"/>
      <c r="J21" s="79" t="s">
        <v>15</v>
      </c>
      <c r="K21" s="79"/>
      <c r="L21" s="79"/>
      <c r="M21" s="79"/>
      <c r="N21" s="79"/>
      <c r="O21" s="79"/>
      <c r="P21" s="79"/>
      <c r="Q21" s="79"/>
      <c r="R21" s="79"/>
      <c r="S21" s="79"/>
      <c r="T21" s="79"/>
      <c r="U21" s="79"/>
      <c r="W21" s="80" t="str">
        <f>J21</f>
        <v>Maio</v>
      </c>
      <c r="X21" s="80"/>
      <c r="Y21" s="80"/>
      <c r="Z21" s="80"/>
      <c r="AA21" s="80"/>
      <c r="AB21" s="80"/>
      <c r="AC21" s="80"/>
      <c r="AE21" s="81" t="str">
        <f>W21</f>
        <v>Maio</v>
      </c>
      <c r="AF21" s="81"/>
      <c r="AG21" s="81"/>
      <c r="AH21" s="81"/>
      <c r="AI21" s="81"/>
      <c r="AJ21" s="81"/>
      <c r="AK21" s="81"/>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8" t="s">
        <v>24</v>
      </c>
      <c r="C25" s="78"/>
      <c r="D25" s="78"/>
      <c r="E25" s="78"/>
      <c r="F25" s="78"/>
      <c r="G25" s="78"/>
      <c r="H25" s="78"/>
      <c r="J25" s="79" t="s">
        <v>24</v>
      </c>
      <c r="K25" s="79"/>
      <c r="L25" s="79"/>
      <c r="M25" s="79"/>
      <c r="N25" s="79"/>
      <c r="O25" s="79"/>
      <c r="P25" s="79"/>
      <c r="Q25" s="79"/>
      <c r="R25" s="79"/>
      <c r="S25" s="79"/>
      <c r="T25" s="79"/>
      <c r="U25" s="79"/>
      <c r="W25" s="80" t="str">
        <f>J25</f>
        <v>Junho</v>
      </c>
      <c r="X25" s="80"/>
      <c r="Y25" s="80"/>
      <c r="Z25" s="80"/>
      <c r="AA25" s="80"/>
      <c r="AB25" s="80"/>
      <c r="AC25" s="80"/>
      <c r="AE25" s="81" t="str">
        <f>W25</f>
        <v>Junho</v>
      </c>
      <c r="AF25" s="81"/>
      <c r="AG25" s="81"/>
      <c r="AH25" s="81"/>
      <c r="AI25" s="81"/>
      <c r="AJ25" s="81"/>
      <c r="AK25" s="81"/>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8" t="s">
        <v>16</v>
      </c>
      <c r="C29" s="78"/>
      <c r="D29" s="78"/>
      <c r="E29" s="78"/>
      <c r="F29" s="78"/>
      <c r="G29" s="78"/>
      <c r="H29" s="78"/>
      <c r="J29" s="79" t="s">
        <v>16</v>
      </c>
      <c r="K29" s="79"/>
      <c r="L29" s="79"/>
      <c r="M29" s="79"/>
      <c r="N29" s="79"/>
      <c r="O29" s="79"/>
      <c r="P29" s="79"/>
      <c r="Q29" s="79"/>
      <c r="R29" s="79"/>
      <c r="S29" s="79"/>
      <c r="T29" s="79"/>
      <c r="U29" s="79"/>
      <c r="W29" s="80" t="str">
        <f>J29</f>
        <v>Julho</v>
      </c>
      <c r="X29" s="80"/>
      <c r="Y29" s="80"/>
      <c r="Z29" s="80"/>
      <c r="AA29" s="80"/>
      <c r="AB29" s="80"/>
      <c r="AC29" s="80"/>
      <c r="AE29" s="81" t="str">
        <f>W29</f>
        <v>Julho</v>
      </c>
      <c r="AF29" s="81"/>
      <c r="AG29" s="81"/>
      <c r="AH29" s="81"/>
      <c r="AI29" s="81"/>
      <c r="AJ29" s="81"/>
      <c r="AK29" s="81"/>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8" t="s">
        <v>17</v>
      </c>
      <c r="C33" s="78"/>
      <c r="D33" s="78"/>
      <c r="E33" s="78"/>
      <c r="F33" s="78"/>
      <c r="G33" s="78"/>
      <c r="H33" s="78"/>
      <c r="J33" s="79" t="s">
        <v>17</v>
      </c>
      <c r="K33" s="79"/>
      <c r="L33" s="79"/>
      <c r="M33" s="79"/>
      <c r="N33" s="79"/>
      <c r="O33" s="79"/>
      <c r="P33" s="79"/>
      <c r="Q33" s="79"/>
      <c r="R33" s="79"/>
      <c r="S33" s="79"/>
      <c r="T33" s="79"/>
      <c r="U33" s="79"/>
      <c r="W33" s="80" t="str">
        <f>J33</f>
        <v>Agosto</v>
      </c>
      <c r="X33" s="80"/>
      <c r="Y33" s="80"/>
      <c r="Z33" s="80"/>
      <c r="AA33" s="80"/>
      <c r="AB33" s="80"/>
      <c r="AC33" s="80"/>
      <c r="AE33" s="81" t="str">
        <f>W33</f>
        <v>Agosto</v>
      </c>
      <c r="AF33" s="81"/>
      <c r="AG33" s="81"/>
      <c r="AH33" s="81"/>
      <c r="AI33" s="81"/>
      <c r="AJ33" s="81"/>
      <c r="AK33" s="81"/>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8" t="s">
        <v>18</v>
      </c>
      <c r="C37" s="78"/>
      <c r="D37" s="78"/>
      <c r="E37" s="78"/>
      <c r="F37" s="78"/>
      <c r="G37" s="78"/>
      <c r="H37" s="78"/>
      <c r="J37" s="79" t="s">
        <v>18</v>
      </c>
      <c r="K37" s="79"/>
      <c r="L37" s="79"/>
      <c r="M37" s="79"/>
      <c r="N37" s="79"/>
      <c r="O37" s="79"/>
      <c r="P37" s="79"/>
      <c r="Q37" s="79"/>
      <c r="R37" s="79"/>
      <c r="S37" s="79"/>
      <c r="T37" s="79"/>
      <c r="U37" s="79"/>
      <c r="W37" s="80" t="str">
        <f>J37</f>
        <v>Setembro</v>
      </c>
      <c r="X37" s="80"/>
      <c r="Y37" s="80"/>
      <c r="Z37" s="80"/>
      <c r="AA37" s="80"/>
      <c r="AB37" s="80"/>
      <c r="AC37" s="80"/>
      <c r="AE37" s="81" t="str">
        <f>W37</f>
        <v>Setembro</v>
      </c>
      <c r="AF37" s="81"/>
      <c r="AG37" s="81"/>
      <c r="AH37" s="81"/>
      <c r="AI37" s="81"/>
      <c r="AJ37" s="81"/>
      <c r="AK37" s="81"/>
    </row>
    <row r="38" spans="1:37" ht="15.75" thickBot="1" x14ac:dyDescent="0.3">
      <c r="A38" s="77" t="s">
        <v>5</v>
      </c>
      <c r="B38" s="34" t="s">
        <v>6</v>
      </c>
      <c r="C38" s="22" t="s">
        <v>7</v>
      </c>
      <c r="D38" s="33" t="s">
        <v>8</v>
      </c>
      <c r="E38" s="22" t="s">
        <v>9</v>
      </c>
      <c r="F38" s="24" t="s">
        <v>10</v>
      </c>
      <c r="G38" s="23" t="s">
        <v>11</v>
      </c>
      <c r="H38" s="25" t="s">
        <v>12</v>
      </c>
      <c r="J38" s="6" t="s">
        <v>4</v>
      </c>
      <c r="K38" s="9">
        <v>45926</v>
      </c>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v>1652</v>
      </c>
      <c r="E39" s="27">
        <v>2325</v>
      </c>
      <c r="F39" s="27">
        <f>SUM(C39-B39)</f>
        <v>0</v>
      </c>
      <c r="G39" s="20">
        <f>SUM(E39-D39)</f>
        <v>673</v>
      </c>
      <c r="H39" s="21">
        <f>SUM(F39:G39)</f>
        <v>673</v>
      </c>
      <c r="J39" s="7" t="s">
        <v>22</v>
      </c>
      <c r="K39" s="10">
        <v>217.08</v>
      </c>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217.08</v>
      </c>
      <c r="AB40" s="8" t="s">
        <v>23</v>
      </c>
      <c r="AC40" s="13">
        <f>SUM(X39:AC39)</f>
        <v>0</v>
      </c>
      <c r="AJ40" s="8" t="s">
        <v>23</v>
      </c>
      <c r="AK40" s="13">
        <f>SUM(AF39:AK39)</f>
        <v>0</v>
      </c>
    </row>
    <row r="41" spans="1:37" ht="15.75" thickBot="1" x14ac:dyDescent="0.3">
      <c r="A41" s="19"/>
      <c r="B41" s="78" t="s">
        <v>19</v>
      </c>
      <c r="C41" s="78"/>
      <c r="D41" s="78"/>
      <c r="E41" s="78"/>
      <c r="F41" s="78"/>
      <c r="G41" s="78"/>
      <c r="H41" s="78"/>
      <c r="J41" s="79" t="s">
        <v>19</v>
      </c>
      <c r="K41" s="79"/>
      <c r="L41" s="79"/>
      <c r="M41" s="79"/>
      <c r="N41" s="79"/>
      <c r="O41" s="79"/>
      <c r="P41" s="79"/>
      <c r="Q41" s="79"/>
      <c r="R41" s="79"/>
      <c r="S41" s="79"/>
      <c r="T41" s="79"/>
      <c r="U41" s="79"/>
      <c r="W41" s="80" t="str">
        <f>J41</f>
        <v>Outubro</v>
      </c>
      <c r="X41" s="80"/>
      <c r="Y41" s="80"/>
      <c r="Z41" s="80"/>
      <c r="AA41" s="80"/>
      <c r="AB41" s="80"/>
      <c r="AC41" s="80"/>
      <c r="AE41" s="81" t="str">
        <f>W41</f>
        <v>Outubro</v>
      </c>
      <c r="AF41" s="81"/>
      <c r="AG41" s="81"/>
      <c r="AH41" s="81"/>
      <c r="AI41" s="81"/>
      <c r="AJ41" s="81"/>
      <c r="AK41" s="81"/>
    </row>
    <row r="42" spans="1:37" ht="15.75" thickBot="1" x14ac:dyDescent="0.3">
      <c r="A42" s="77" t="s">
        <v>5</v>
      </c>
      <c r="B42" s="34" t="s">
        <v>6</v>
      </c>
      <c r="C42" s="22" t="s">
        <v>7</v>
      </c>
      <c r="D42" s="33" t="s">
        <v>8</v>
      </c>
      <c r="E42" s="22" t="s">
        <v>9</v>
      </c>
      <c r="F42" s="24" t="s">
        <v>10</v>
      </c>
      <c r="G42" s="23" t="s">
        <v>11</v>
      </c>
      <c r="H42" s="25" t="s">
        <v>12</v>
      </c>
      <c r="J42" s="6" t="s">
        <v>4</v>
      </c>
      <c r="K42" s="9">
        <v>45932</v>
      </c>
      <c r="L42" s="66">
        <v>45937</v>
      </c>
      <c r="M42" s="66">
        <v>45940</v>
      </c>
      <c r="N42" s="66">
        <v>45944</v>
      </c>
      <c r="O42" s="66">
        <v>45947</v>
      </c>
      <c r="P42" s="66">
        <v>45954</v>
      </c>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7">
        <v>2325</v>
      </c>
      <c r="C43" s="27">
        <v>4117</v>
      </c>
      <c r="D43" s="27">
        <v>4117</v>
      </c>
      <c r="E43" s="27">
        <v>5173</v>
      </c>
      <c r="F43" s="27">
        <f>SUM(C43-B43)</f>
        <v>1792</v>
      </c>
      <c r="G43" s="20">
        <f>SUM(E43-D43)</f>
        <v>1056</v>
      </c>
      <c r="H43" s="21">
        <f>SUM(F43:G43)</f>
        <v>2848</v>
      </c>
      <c r="J43" s="7" t="s">
        <v>22</v>
      </c>
      <c r="K43" s="10">
        <v>216.8</v>
      </c>
      <c r="L43" s="11">
        <v>217.21</v>
      </c>
      <c r="M43" s="11">
        <v>247.34</v>
      </c>
      <c r="N43" s="11">
        <v>254.29</v>
      </c>
      <c r="O43" s="11">
        <v>256.36</v>
      </c>
      <c r="P43" s="11">
        <v>240.92</v>
      </c>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1432.92</v>
      </c>
      <c r="AB44" s="8" t="s">
        <v>23</v>
      </c>
      <c r="AC44" s="13">
        <f>SUM(X43:AC43)</f>
        <v>0</v>
      </c>
      <c r="AJ44" s="8" t="s">
        <v>23</v>
      </c>
      <c r="AK44" s="13">
        <f>SUM(AF43:AK43)</f>
        <v>0</v>
      </c>
    </row>
    <row r="45" spans="1:37" ht="15.75" thickBot="1" x14ac:dyDescent="0.3">
      <c r="A45" s="19"/>
      <c r="B45" s="78" t="s">
        <v>20</v>
      </c>
      <c r="C45" s="78"/>
      <c r="D45" s="78"/>
      <c r="E45" s="78"/>
      <c r="F45" s="78"/>
      <c r="G45" s="78"/>
      <c r="H45" s="78"/>
      <c r="J45" s="79" t="s">
        <v>20</v>
      </c>
      <c r="K45" s="79"/>
      <c r="L45" s="79"/>
      <c r="M45" s="79"/>
      <c r="N45" s="79"/>
      <c r="O45" s="79"/>
      <c r="P45" s="79"/>
      <c r="Q45" s="79"/>
      <c r="R45" s="79"/>
      <c r="S45" s="79"/>
      <c r="T45" s="79"/>
      <c r="U45" s="79"/>
      <c r="W45" s="80" t="str">
        <f>J45</f>
        <v>Novembro</v>
      </c>
      <c r="X45" s="80"/>
      <c r="Y45" s="80"/>
      <c r="Z45" s="80"/>
      <c r="AA45" s="80"/>
      <c r="AB45" s="80"/>
      <c r="AC45" s="80"/>
      <c r="AE45" s="81" t="str">
        <f>W45</f>
        <v>Novembro</v>
      </c>
      <c r="AF45" s="81"/>
      <c r="AG45" s="81"/>
      <c r="AH45" s="81"/>
      <c r="AI45" s="81"/>
      <c r="AJ45" s="81"/>
      <c r="AK45" s="81"/>
    </row>
    <row r="46" spans="1:37" ht="15.75" thickBot="1" x14ac:dyDescent="0.3">
      <c r="A46" s="77" t="s">
        <v>5</v>
      </c>
      <c r="B46" s="34" t="s">
        <v>6</v>
      </c>
      <c r="C46" s="22" t="s">
        <v>7</v>
      </c>
      <c r="D46" s="33" t="s">
        <v>8</v>
      </c>
      <c r="E46" s="22" t="s">
        <v>9</v>
      </c>
      <c r="F46" s="24" t="s">
        <v>10</v>
      </c>
      <c r="G46" s="23" t="s">
        <v>11</v>
      </c>
      <c r="H46" s="25" t="s">
        <v>12</v>
      </c>
      <c r="J46" s="6" t="s">
        <v>4</v>
      </c>
      <c r="K46" s="9">
        <v>45965</v>
      </c>
      <c r="L46" s="66">
        <v>45967</v>
      </c>
      <c r="M46" s="66">
        <v>45987</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7">
        <v>5173</v>
      </c>
      <c r="C47" s="27">
        <v>5910</v>
      </c>
      <c r="D47" s="27">
        <v>5910</v>
      </c>
      <c r="E47" s="27">
        <v>6304</v>
      </c>
      <c r="F47" s="27">
        <f>SUM(C47-B47)</f>
        <v>737</v>
      </c>
      <c r="G47" s="20">
        <f>SUM(E47-D47)</f>
        <v>394</v>
      </c>
      <c r="H47" s="21">
        <f>SUM(F47:G47)</f>
        <v>1131</v>
      </c>
      <c r="J47" s="7" t="s">
        <v>22</v>
      </c>
      <c r="K47" s="10">
        <v>238.07</v>
      </c>
      <c r="L47" s="11">
        <v>146</v>
      </c>
      <c r="M47" s="11">
        <v>265.83</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649.9</v>
      </c>
      <c r="AB48" s="8" t="s">
        <v>23</v>
      </c>
      <c r="AC48" s="13">
        <f>SUM(X47:AC47)</f>
        <v>0</v>
      </c>
      <c r="AJ48" s="8" t="s">
        <v>23</v>
      </c>
      <c r="AK48" s="13">
        <f>SUM(AF47:AK47)</f>
        <v>0</v>
      </c>
    </row>
    <row r="49" spans="1:37" ht="15.75" thickBot="1" x14ac:dyDescent="0.3">
      <c r="A49" s="19"/>
      <c r="B49" s="78" t="s">
        <v>21</v>
      </c>
      <c r="C49" s="78"/>
      <c r="D49" s="78"/>
      <c r="E49" s="78"/>
      <c r="F49" s="78"/>
      <c r="G49" s="78"/>
      <c r="H49" s="78"/>
      <c r="J49" s="79" t="s">
        <v>21</v>
      </c>
      <c r="K49" s="79"/>
      <c r="L49" s="79"/>
      <c r="M49" s="79"/>
      <c r="N49" s="79"/>
      <c r="O49" s="79"/>
      <c r="P49" s="79"/>
      <c r="Q49" s="79"/>
      <c r="R49" s="79"/>
      <c r="S49" s="79"/>
      <c r="T49" s="79"/>
      <c r="U49" s="79"/>
      <c r="W49" s="80" t="str">
        <f>J49</f>
        <v>Dezembro</v>
      </c>
      <c r="X49" s="80"/>
      <c r="Y49" s="80"/>
      <c r="Z49" s="80"/>
      <c r="AA49" s="80"/>
      <c r="AB49" s="80"/>
      <c r="AC49" s="80"/>
      <c r="AE49" s="81" t="str">
        <f>W49</f>
        <v>Dezembro</v>
      </c>
      <c r="AF49" s="81"/>
      <c r="AG49" s="81"/>
      <c r="AH49" s="81"/>
      <c r="AI49" s="81"/>
      <c r="AJ49" s="81"/>
      <c r="AK49" s="81"/>
    </row>
    <row r="50" spans="1:37" ht="15.75" thickBot="1" x14ac:dyDescent="0.3">
      <c r="A50" s="77" t="s">
        <v>5</v>
      </c>
      <c r="B50" s="34" t="s">
        <v>6</v>
      </c>
      <c r="C50" s="22" t="s">
        <v>7</v>
      </c>
      <c r="D50" s="33" t="s">
        <v>8</v>
      </c>
      <c r="E50" s="22" t="s">
        <v>9</v>
      </c>
      <c r="F50" s="24" t="s">
        <v>10</v>
      </c>
      <c r="G50" s="23" t="s">
        <v>11</v>
      </c>
      <c r="H50" s="25" t="s">
        <v>12</v>
      </c>
      <c r="J50" s="6" t="s">
        <v>4</v>
      </c>
      <c r="K50" s="9">
        <v>45997</v>
      </c>
      <c r="L50" s="66">
        <v>46009</v>
      </c>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7">
        <v>6304</v>
      </c>
      <c r="C51" s="27">
        <v>7159</v>
      </c>
      <c r="D51" s="27">
        <v>7159</v>
      </c>
      <c r="E51" s="27">
        <v>7511</v>
      </c>
      <c r="F51" s="27">
        <f>SUM(C51-B51)</f>
        <v>855</v>
      </c>
      <c r="G51" s="20">
        <f>SUM(E51-D51)</f>
        <v>352</v>
      </c>
      <c r="H51" s="21">
        <f>SUM(F51:G51)</f>
        <v>1207</v>
      </c>
      <c r="J51" s="7" t="s">
        <v>22</v>
      </c>
      <c r="K51" s="10">
        <v>246.62</v>
      </c>
      <c r="L51" s="11">
        <v>264.91000000000003</v>
      </c>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511.53000000000003</v>
      </c>
      <c r="AB52" s="8" t="s">
        <v>23</v>
      </c>
      <c r="AC52" s="13">
        <f>SUM(X51:AC51)</f>
        <v>0</v>
      </c>
      <c r="AJ52" s="8" t="s">
        <v>23</v>
      </c>
      <c r="AK52" s="13">
        <f>SUM(AF51:AK51)</f>
        <v>0</v>
      </c>
    </row>
    <row r="53" spans="1:37" ht="15.75" thickBot="1" x14ac:dyDescent="0.3">
      <c r="A53" s="19">
        <v>2026</v>
      </c>
      <c r="B53" s="78" t="s">
        <v>95</v>
      </c>
      <c r="C53" s="78"/>
      <c r="D53" s="78"/>
      <c r="E53" s="78"/>
      <c r="F53" s="78"/>
      <c r="G53" s="78"/>
      <c r="H53" s="78"/>
      <c r="J53" s="79" t="s">
        <v>95</v>
      </c>
      <c r="K53" s="79"/>
      <c r="L53" s="79"/>
      <c r="M53" s="79"/>
      <c r="N53" s="79"/>
      <c r="O53" s="79"/>
      <c r="P53" s="79"/>
      <c r="Q53" s="79"/>
      <c r="R53" s="79"/>
      <c r="S53" s="79"/>
      <c r="T53" s="79"/>
      <c r="U53" s="79"/>
      <c r="W53" s="80" t="s">
        <v>95</v>
      </c>
      <c r="X53" s="80"/>
      <c r="Y53" s="80"/>
      <c r="Z53" s="80"/>
      <c r="AA53" s="80"/>
      <c r="AB53" s="80"/>
      <c r="AC53" s="80"/>
      <c r="AE53" s="81" t="s">
        <v>95</v>
      </c>
      <c r="AF53" s="81"/>
      <c r="AG53" s="81"/>
      <c r="AH53" s="81"/>
      <c r="AI53" s="81"/>
      <c r="AJ53" s="81"/>
      <c r="AK53" s="81"/>
    </row>
    <row r="54" spans="1:37" ht="15.75" thickBot="1" x14ac:dyDescent="0.3">
      <c r="A54" s="77" t="s">
        <v>5</v>
      </c>
      <c r="B54" s="34" t="s">
        <v>6</v>
      </c>
      <c r="C54" s="22" t="s">
        <v>7</v>
      </c>
      <c r="D54" s="33" t="s">
        <v>8</v>
      </c>
      <c r="E54" s="22" t="s">
        <v>9</v>
      </c>
      <c r="F54" s="24" t="s">
        <v>10</v>
      </c>
      <c r="G54" s="23" t="s">
        <v>11</v>
      </c>
      <c r="H54" s="25" t="s">
        <v>12</v>
      </c>
      <c r="J54" s="28" t="s">
        <v>4</v>
      </c>
      <c r="K54" s="9">
        <v>46037</v>
      </c>
      <c r="L54" s="66">
        <v>46052</v>
      </c>
      <c r="M54" s="66"/>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77"/>
      <c r="B55" s="26">
        <v>7511</v>
      </c>
      <c r="C55" s="27">
        <v>8032</v>
      </c>
      <c r="D55" s="27">
        <v>8032</v>
      </c>
      <c r="E55" s="27">
        <v>8538</v>
      </c>
      <c r="F55" s="27">
        <f>SUM(C55-B55)</f>
        <v>521</v>
      </c>
      <c r="G55" s="20">
        <f>SUM(E55-D55)</f>
        <v>506</v>
      </c>
      <c r="H55" s="21">
        <f>SUM(F55:G55)</f>
        <v>1027</v>
      </c>
      <c r="J55" s="29" t="s">
        <v>22</v>
      </c>
      <c r="K55" s="10">
        <v>252.48</v>
      </c>
      <c r="L55" s="11">
        <v>244.83</v>
      </c>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497.31</v>
      </c>
      <c r="AB56" s="8" t="s">
        <v>23</v>
      </c>
      <c r="AC56" s="13">
        <f>SUM(X55:AC55)</f>
        <v>0</v>
      </c>
      <c r="AJ56" s="8" t="s">
        <v>23</v>
      </c>
      <c r="AK56" s="13">
        <f>SUM(AF55:AK55)</f>
        <v>0</v>
      </c>
    </row>
    <row r="57" spans="1:37" ht="15.75" thickBot="1" x14ac:dyDescent="0.3">
      <c r="A57" s="19"/>
      <c r="B57" s="78" t="s">
        <v>3</v>
      </c>
      <c r="C57" s="78"/>
      <c r="D57" s="78"/>
      <c r="E57" s="78"/>
      <c r="F57" s="78"/>
      <c r="G57" s="78"/>
      <c r="H57" s="78"/>
      <c r="J57" s="79" t="s">
        <v>3</v>
      </c>
      <c r="K57" s="79"/>
      <c r="L57" s="79"/>
      <c r="M57" s="79"/>
      <c r="N57" s="79"/>
      <c r="O57" s="79"/>
      <c r="P57" s="79"/>
      <c r="Q57" s="79"/>
      <c r="R57" s="79"/>
      <c r="S57" s="79"/>
      <c r="T57" s="79"/>
      <c r="U57" s="79"/>
      <c r="W57" s="80" t="s">
        <v>3</v>
      </c>
      <c r="X57" s="80"/>
      <c r="Y57" s="80"/>
      <c r="Z57" s="80"/>
      <c r="AA57" s="80"/>
      <c r="AB57" s="80"/>
      <c r="AC57" s="80"/>
      <c r="AE57" s="81" t="s">
        <v>3</v>
      </c>
      <c r="AF57" s="81"/>
      <c r="AG57" s="81"/>
      <c r="AH57" s="81"/>
      <c r="AI57" s="81"/>
      <c r="AJ57" s="81"/>
      <c r="AK57" s="81"/>
    </row>
    <row r="58" spans="1:37" ht="15.75" thickBot="1" x14ac:dyDescent="0.3">
      <c r="A58" s="77" t="s">
        <v>5</v>
      </c>
      <c r="B58" s="34" t="s">
        <v>6</v>
      </c>
      <c r="C58" s="22" t="s">
        <v>7</v>
      </c>
      <c r="D58" s="33" t="s">
        <v>8</v>
      </c>
      <c r="E58" s="22" t="s">
        <v>9</v>
      </c>
      <c r="F58" s="24" t="s">
        <v>10</v>
      </c>
      <c r="G58" s="23" t="s">
        <v>11</v>
      </c>
      <c r="H58" s="25" t="s">
        <v>12</v>
      </c>
      <c r="J58" s="28" t="s">
        <v>4</v>
      </c>
      <c r="K58" s="9">
        <v>46070</v>
      </c>
      <c r="L58" s="66">
        <v>46079</v>
      </c>
      <c r="M58" s="66"/>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77"/>
      <c r="B59" s="27">
        <v>8538</v>
      </c>
      <c r="C59" s="27"/>
      <c r="D59" s="27"/>
      <c r="E59" s="27">
        <v>9364</v>
      </c>
      <c r="F59" s="27">
        <f>SUM(C59-B59)</f>
        <v>-8538</v>
      </c>
      <c r="G59" s="20">
        <f>SUM(E59-D59)</f>
        <v>9364</v>
      </c>
      <c r="H59" s="21">
        <f>SUM(F59:G59)</f>
        <v>826</v>
      </c>
      <c r="J59" s="29" t="s">
        <v>22</v>
      </c>
      <c r="K59" s="10">
        <v>277.72000000000003</v>
      </c>
      <c r="L59" s="11">
        <v>237.62</v>
      </c>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515.34</v>
      </c>
      <c r="AB60" s="8" t="s">
        <v>23</v>
      </c>
      <c r="AC60" s="13">
        <f>SUM(X59:AC59)</f>
        <v>0</v>
      </c>
      <c r="AJ60" s="8" t="s">
        <v>23</v>
      </c>
      <c r="AK60" s="13">
        <f>SUM(AF59:AK59)</f>
        <v>0</v>
      </c>
    </row>
    <row r="61" spans="1:37" ht="15.75" thickBot="1" x14ac:dyDescent="0.3">
      <c r="A61" s="19"/>
      <c r="B61" s="78" t="s">
        <v>13</v>
      </c>
      <c r="C61" s="78"/>
      <c r="D61" s="78"/>
      <c r="E61" s="78"/>
      <c r="F61" s="78"/>
      <c r="G61" s="78"/>
      <c r="H61" s="78"/>
      <c r="J61" s="79" t="s">
        <v>13</v>
      </c>
      <c r="K61" s="79"/>
      <c r="L61" s="79"/>
      <c r="M61" s="79"/>
      <c r="N61" s="79"/>
      <c r="O61" s="79"/>
      <c r="P61" s="79"/>
      <c r="Q61" s="79"/>
      <c r="R61" s="79"/>
      <c r="S61" s="79"/>
      <c r="T61" s="79"/>
      <c r="U61" s="79"/>
      <c r="W61" s="80" t="str">
        <f>J61</f>
        <v>Março</v>
      </c>
      <c r="X61" s="80"/>
      <c r="Y61" s="80"/>
      <c r="Z61" s="80"/>
      <c r="AA61" s="80"/>
      <c r="AB61" s="80"/>
      <c r="AC61" s="80"/>
      <c r="AE61" s="81" t="str">
        <f>W61</f>
        <v>Março</v>
      </c>
      <c r="AF61" s="81"/>
      <c r="AG61" s="81"/>
      <c r="AH61" s="81"/>
      <c r="AI61" s="81"/>
      <c r="AJ61" s="81"/>
      <c r="AK61" s="81"/>
    </row>
    <row r="62" spans="1:37" ht="15.75" thickBot="1" x14ac:dyDescent="0.3">
      <c r="A62" s="77" t="s">
        <v>5</v>
      </c>
      <c r="B62" s="34" t="s">
        <v>6</v>
      </c>
      <c r="C62" s="22" t="s">
        <v>7</v>
      </c>
      <c r="D62" s="33" t="s">
        <v>8</v>
      </c>
      <c r="E62" s="22" t="s">
        <v>9</v>
      </c>
      <c r="F62" s="24" t="s">
        <v>10</v>
      </c>
      <c r="G62" s="23" t="s">
        <v>11</v>
      </c>
      <c r="H62" s="25" t="s">
        <v>12</v>
      </c>
      <c r="J62" s="6" t="s">
        <v>4</v>
      </c>
      <c r="K62" s="9"/>
      <c r="L62" s="66"/>
      <c r="M62" s="66"/>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77"/>
      <c r="B63" s="27">
        <v>9364</v>
      </c>
      <c r="C63" s="27">
        <v>9365</v>
      </c>
      <c r="D63" s="27"/>
      <c r="E63" s="27"/>
      <c r="F63" s="27">
        <f>SUM(C63-B63)</f>
        <v>1</v>
      </c>
      <c r="G63" s="20">
        <f>SUM(E63-D63)</f>
        <v>0</v>
      </c>
      <c r="H63" s="21">
        <f>SUM(F63:G63)</f>
        <v>1</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19"/>
      <c r="B65" s="78" t="s">
        <v>14</v>
      </c>
      <c r="C65" s="78"/>
      <c r="D65" s="78"/>
      <c r="E65" s="78"/>
      <c r="F65" s="78"/>
      <c r="G65" s="78"/>
      <c r="H65" s="78"/>
      <c r="J65" s="79" t="s">
        <v>14</v>
      </c>
      <c r="K65" s="79"/>
      <c r="L65" s="79"/>
      <c r="M65" s="79"/>
      <c r="N65" s="79"/>
      <c r="O65" s="79"/>
      <c r="P65" s="79"/>
      <c r="Q65" s="79"/>
      <c r="R65" s="79"/>
      <c r="S65" s="79"/>
      <c r="T65" s="79"/>
      <c r="U65" s="79"/>
      <c r="W65" s="80" t="str">
        <f>J65</f>
        <v>Abril</v>
      </c>
      <c r="X65" s="80"/>
      <c r="Y65" s="80"/>
      <c r="Z65" s="80"/>
      <c r="AA65" s="80"/>
      <c r="AB65" s="80"/>
      <c r="AC65" s="80"/>
      <c r="AE65" s="81" t="str">
        <f>W65</f>
        <v>Abril</v>
      </c>
      <c r="AF65" s="81"/>
      <c r="AG65" s="81"/>
      <c r="AH65" s="81"/>
      <c r="AI65" s="81"/>
      <c r="AJ65" s="81"/>
      <c r="AK65" s="81"/>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6"/>
      <c r="C67" s="27"/>
      <c r="D67" s="27"/>
      <c r="E67" s="27"/>
      <c r="F67" s="27">
        <f>SUM(C67-B67)</f>
        <v>0</v>
      </c>
      <c r="G67" s="20">
        <f>SUM(E67-D67)</f>
        <v>0</v>
      </c>
      <c r="H67" s="21">
        <f>SUM(F67:G67)</f>
        <v>0</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8" t="s">
        <v>15</v>
      </c>
      <c r="C69" s="78"/>
      <c r="D69" s="78"/>
      <c r="E69" s="78"/>
      <c r="F69" s="78"/>
      <c r="G69" s="78"/>
      <c r="H69" s="78"/>
      <c r="J69" s="79" t="s">
        <v>15</v>
      </c>
      <c r="K69" s="79"/>
      <c r="L69" s="79"/>
      <c r="M69" s="79"/>
      <c r="N69" s="79"/>
      <c r="O69" s="79"/>
      <c r="P69" s="79"/>
      <c r="Q69" s="79"/>
      <c r="R69" s="79"/>
      <c r="S69" s="79"/>
      <c r="T69" s="79"/>
      <c r="U69" s="79"/>
      <c r="W69" s="80" t="str">
        <f>J69</f>
        <v>Maio</v>
      </c>
      <c r="X69" s="80"/>
      <c r="Y69" s="80"/>
      <c r="Z69" s="80"/>
      <c r="AA69" s="80"/>
      <c r="AB69" s="80"/>
      <c r="AC69" s="80"/>
      <c r="AE69" s="81" t="str">
        <f>W69</f>
        <v>Maio</v>
      </c>
      <c r="AF69" s="81"/>
      <c r="AG69" s="81"/>
      <c r="AH69" s="81"/>
      <c r="AI69" s="81"/>
      <c r="AJ69" s="81"/>
      <c r="AK69" s="81"/>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6"/>
      <c r="C71" s="27"/>
      <c r="D71" s="27"/>
      <c r="E71" s="27"/>
      <c r="F71" s="27">
        <f>SUM(C71-B71)</f>
        <v>0</v>
      </c>
      <c r="G71" s="20">
        <f>SUM(E71-D71)</f>
        <v>0</v>
      </c>
      <c r="H71" s="21">
        <f>SUM(F71:G71)</f>
        <v>0</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8" t="s">
        <v>24</v>
      </c>
      <c r="C73" s="78"/>
      <c r="D73" s="78"/>
      <c r="E73" s="78"/>
      <c r="F73" s="78"/>
      <c r="G73" s="78"/>
      <c r="H73" s="78"/>
      <c r="J73" s="79" t="s">
        <v>24</v>
      </c>
      <c r="K73" s="79"/>
      <c r="L73" s="79"/>
      <c r="M73" s="79"/>
      <c r="N73" s="79"/>
      <c r="O73" s="79"/>
      <c r="P73" s="79"/>
      <c r="Q73" s="79"/>
      <c r="R73" s="79"/>
      <c r="S73" s="79"/>
      <c r="T73" s="79"/>
      <c r="U73" s="79"/>
      <c r="W73" s="80" t="str">
        <f>J73</f>
        <v>Junho</v>
      </c>
      <c r="X73" s="80"/>
      <c r="Y73" s="80"/>
      <c r="Z73" s="80"/>
      <c r="AA73" s="80"/>
      <c r="AB73" s="80"/>
      <c r="AC73" s="80"/>
      <c r="AE73" s="81" t="str">
        <f>W73</f>
        <v>Junho</v>
      </c>
      <c r="AF73" s="81"/>
      <c r="AG73" s="81"/>
      <c r="AH73" s="81"/>
      <c r="AI73" s="81"/>
      <c r="AJ73" s="81"/>
      <c r="AK73" s="81"/>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8" t="s">
        <v>16</v>
      </c>
      <c r="C77" s="78"/>
      <c r="D77" s="78"/>
      <c r="E77" s="78"/>
      <c r="F77" s="78"/>
      <c r="G77" s="78"/>
      <c r="H77" s="78"/>
      <c r="J77" s="79" t="s">
        <v>16</v>
      </c>
      <c r="K77" s="79"/>
      <c r="L77" s="79"/>
      <c r="M77" s="79"/>
      <c r="N77" s="79"/>
      <c r="O77" s="79"/>
      <c r="P77" s="79"/>
      <c r="Q77" s="79"/>
      <c r="R77" s="79"/>
      <c r="S77" s="79"/>
      <c r="T77" s="79"/>
      <c r="U77" s="79"/>
      <c r="W77" s="80" t="str">
        <f>J77</f>
        <v>Julho</v>
      </c>
      <c r="X77" s="80"/>
      <c r="Y77" s="80"/>
      <c r="Z77" s="80"/>
      <c r="AA77" s="80"/>
      <c r="AB77" s="80"/>
      <c r="AC77" s="80"/>
      <c r="AE77" s="81" t="str">
        <f>W77</f>
        <v>Julho</v>
      </c>
      <c r="AF77" s="81"/>
      <c r="AG77" s="81"/>
      <c r="AH77" s="81"/>
      <c r="AI77" s="81"/>
      <c r="AJ77" s="81"/>
      <c r="AK77" s="81"/>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8" t="s">
        <v>17</v>
      </c>
      <c r="C81" s="78"/>
      <c r="D81" s="78"/>
      <c r="E81" s="78"/>
      <c r="F81" s="78"/>
      <c r="G81" s="78"/>
      <c r="H81" s="78"/>
      <c r="J81" s="79" t="s">
        <v>17</v>
      </c>
      <c r="K81" s="79"/>
      <c r="L81" s="79"/>
      <c r="M81" s="79"/>
      <c r="N81" s="79"/>
      <c r="O81" s="79"/>
      <c r="P81" s="79"/>
      <c r="Q81" s="79"/>
      <c r="R81" s="79"/>
      <c r="S81" s="79"/>
      <c r="T81" s="79"/>
      <c r="U81" s="79"/>
      <c r="W81" s="80" t="str">
        <f>J81</f>
        <v>Agosto</v>
      </c>
      <c r="X81" s="80"/>
      <c r="Y81" s="80"/>
      <c r="Z81" s="80"/>
      <c r="AA81" s="80"/>
      <c r="AB81" s="80"/>
      <c r="AC81" s="80"/>
      <c r="AE81" s="81" t="str">
        <f>W81</f>
        <v>Agosto</v>
      </c>
      <c r="AF81" s="81"/>
      <c r="AG81" s="81"/>
      <c r="AH81" s="81"/>
      <c r="AI81" s="81"/>
      <c r="AJ81" s="81"/>
      <c r="AK81" s="81"/>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sheetData>
  <mergeCells count="10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 ref="E3:F3"/>
    <mergeCell ref="W7:AC7"/>
    <mergeCell ref="W13:AC13"/>
    <mergeCell ref="W17:AC17"/>
    <mergeCell ref="W21:AC21"/>
    <mergeCell ref="W25:AC25"/>
    <mergeCell ref="J45:U45"/>
    <mergeCell ref="J49:U49"/>
    <mergeCell ref="W9:AC9"/>
    <mergeCell ref="J13:U13"/>
    <mergeCell ref="J17:U17"/>
    <mergeCell ref="J21:U21"/>
    <mergeCell ref="J25:U25"/>
    <mergeCell ref="J29:U29"/>
    <mergeCell ref="J33:U33"/>
    <mergeCell ref="J9:U9"/>
    <mergeCell ref="W49:AC49"/>
    <mergeCell ref="W29:AC29"/>
    <mergeCell ref="W33:AC33"/>
    <mergeCell ref="W37:AC37"/>
    <mergeCell ref="W41:AC41"/>
    <mergeCell ref="W45:AC45"/>
    <mergeCell ref="AE7:AK7"/>
    <mergeCell ref="AE9:AK9"/>
    <mergeCell ref="AE13:AK13"/>
    <mergeCell ref="AE17:AK17"/>
    <mergeCell ref="AE49:AK49"/>
    <mergeCell ref="AE25:AK25"/>
    <mergeCell ref="AE29:AK29"/>
    <mergeCell ref="AE33:AK33"/>
    <mergeCell ref="AE37:AK37"/>
    <mergeCell ref="AE41:AK41"/>
    <mergeCell ref="AE45:AK45"/>
    <mergeCell ref="AE21:AK21"/>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s>
  <phoneticPr fontId="3" type="noConversion"/>
  <pageMargins left="0.511811024" right="0.511811024" top="0.78740157499999996" bottom="0.78740157499999996" header="0.31496062000000002" footer="0.31496062000000002"/>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84"/>
      <c r="C2" s="84"/>
      <c r="D2" s="1" t="s">
        <v>1</v>
      </c>
      <c r="E2" s="84"/>
      <c r="F2" s="84"/>
      <c r="H2" t="s">
        <v>45</v>
      </c>
      <c r="I2" s="54"/>
    </row>
    <row r="3" spans="1:40" x14ac:dyDescent="0.25">
      <c r="A3" t="s">
        <v>80</v>
      </c>
      <c r="B3" s="84"/>
      <c r="C3" s="84"/>
      <c r="D3" s="1" t="s">
        <v>1</v>
      </c>
      <c r="E3" s="84"/>
      <c r="F3" s="84"/>
      <c r="H3" t="s">
        <v>81</v>
      </c>
      <c r="I3" s="54"/>
    </row>
    <row r="4" spans="1:40" x14ac:dyDescent="0.25">
      <c r="A4" t="s">
        <v>2</v>
      </c>
      <c r="B4" s="85"/>
      <c r="C4" s="85"/>
      <c r="D4" s="1" t="s">
        <v>29</v>
      </c>
      <c r="E4" s="84"/>
      <c r="F4" s="84"/>
    </row>
    <row r="7" spans="1:40" ht="21" x14ac:dyDescent="0.35">
      <c r="A7" s="86" t="s">
        <v>28</v>
      </c>
      <c r="B7" s="86"/>
      <c r="C7" s="86"/>
      <c r="D7" s="86"/>
      <c r="E7" s="86"/>
      <c r="F7" s="86"/>
      <c r="G7" s="86"/>
      <c r="H7" s="86"/>
      <c r="J7" s="83" t="s">
        <v>26</v>
      </c>
      <c r="K7" s="83"/>
      <c r="L7" s="83"/>
      <c r="M7" s="83"/>
      <c r="N7" s="83"/>
      <c r="O7" s="83"/>
      <c r="P7" s="83"/>
      <c r="Q7" s="83"/>
      <c r="R7" s="83"/>
      <c r="S7" s="83"/>
      <c r="T7" s="83"/>
      <c r="U7" s="83"/>
      <c r="V7" s="2"/>
      <c r="W7" s="2"/>
      <c r="X7" s="2"/>
      <c r="Y7" s="82" t="s">
        <v>25</v>
      </c>
      <c r="Z7" s="82"/>
      <c r="AA7" s="82"/>
      <c r="AB7" s="82"/>
      <c r="AC7" s="82"/>
      <c r="AD7" s="82"/>
      <c r="AE7" s="82"/>
      <c r="AF7" s="2"/>
      <c r="AG7" s="2"/>
      <c r="AH7" s="82" t="s">
        <v>27</v>
      </c>
      <c r="AI7" s="82"/>
      <c r="AJ7" s="82"/>
      <c r="AK7" s="82"/>
      <c r="AL7" s="82"/>
      <c r="AM7" s="82"/>
      <c r="AN7" s="82"/>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8" t="s">
        <v>3</v>
      </c>
      <c r="C9" s="78"/>
      <c r="D9" s="78"/>
      <c r="E9" s="78"/>
      <c r="F9" s="78"/>
      <c r="G9" s="78"/>
      <c r="H9" s="78"/>
      <c r="J9" s="79" t="s">
        <v>3</v>
      </c>
      <c r="K9" s="79"/>
      <c r="L9" s="79"/>
      <c r="M9" s="79"/>
      <c r="N9" s="79"/>
      <c r="O9" s="79"/>
      <c r="P9" s="79"/>
      <c r="Q9" s="79"/>
      <c r="R9" s="79"/>
      <c r="S9" s="79"/>
      <c r="T9" s="79"/>
      <c r="U9" s="79"/>
      <c r="Y9" s="80" t="s">
        <v>3</v>
      </c>
      <c r="Z9" s="80"/>
      <c r="AA9" s="80"/>
      <c r="AB9" s="80"/>
      <c r="AC9" s="80"/>
      <c r="AD9" s="80"/>
      <c r="AE9" s="80"/>
      <c r="AH9" s="81" t="s">
        <v>3</v>
      </c>
      <c r="AI9" s="81"/>
      <c r="AJ9" s="81"/>
      <c r="AK9" s="81"/>
      <c r="AL9" s="81"/>
      <c r="AM9" s="81"/>
      <c r="AN9" s="81"/>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8" t="s">
        <v>13</v>
      </c>
      <c r="C13" s="78"/>
      <c r="D13" s="78"/>
      <c r="E13" s="78"/>
      <c r="F13" s="78"/>
      <c r="G13" s="78"/>
      <c r="H13" s="78"/>
      <c r="J13" s="79" t="s">
        <v>13</v>
      </c>
      <c r="K13" s="79"/>
      <c r="L13" s="79"/>
      <c r="M13" s="79"/>
      <c r="N13" s="79"/>
      <c r="O13" s="79"/>
      <c r="P13" s="79"/>
      <c r="Q13" s="79"/>
      <c r="R13" s="79"/>
      <c r="S13" s="79"/>
      <c r="T13" s="79"/>
      <c r="U13" s="79"/>
      <c r="Y13" s="80" t="str">
        <f>J13</f>
        <v>Março</v>
      </c>
      <c r="Z13" s="80"/>
      <c r="AA13" s="80"/>
      <c r="AB13" s="80"/>
      <c r="AC13" s="80"/>
      <c r="AD13" s="80"/>
      <c r="AE13" s="80"/>
      <c r="AH13" s="81" t="str">
        <f>Y13</f>
        <v>Março</v>
      </c>
      <c r="AI13" s="81"/>
      <c r="AJ13" s="81"/>
      <c r="AK13" s="81"/>
      <c r="AL13" s="81"/>
      <c r="AM13" s="81"/>
      <c r="AN13" s="81"/>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8" t="s">
        <v>14</v>
      </c>
      <c r="C17" s="78"/>
      <c r="D17" s="78"/>
      <c r="E17" s="78"/>
      <c r="F17" s="78"/>
      <c r="G17" s="78"/>
      <c r="H17" s="78"/>
      <c r="J17" s="79" t="s">
        <v>14</v>
      </c>
      <c r="K17" s="79"/>
      <c r="L17" s="79"/>
      <c r="M17" s="79"/>
      <c r="N17" s="79"/>
      <c r="O17" s="79"/>
      <c r="P17" s="79"/>
      <c r="Q17" s="79"/>
      <c r="R17" s="79"/>
      <c r="S17" s="79"/>
      <c r="T17" s="79"/>
      <c r="U17" s="79"/>
      <c r="Y17" s="80" t="str">
        <f>J17</f>
        <v>Abril</v>
      </c>
      <c r="Z17" s="80"/>
      <c r="AA17" s="80"/>
      <c r="AB17" s="80"/>
      <c r="AC17" s="80"/>
      <c r="AD17" s="80"/>
      <c r="AE17" s="80"/>
      <c r="AH17" s="81" t="str">
        <f>Y17</f>
        <v>Abril</v>
      </c>
      <c r="AI17" s="81"/>
      <c r="AJ17" s="81"/>
      <c r="AK17" s="81"/>
      <c r="AL17" s="81"/>
      <c r="AM17" s="81"/>
      <c r="AN17" s="81"/>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8" t="s">
        <v>15</v>
      </c>
      <c r="C21" s="78"/>
      <c r="D21" s="78"/>
      <c r="E21" s="78"/>
      <c r="F21" s="78"/>
      <c r="G21" s="78"/>
      <c r="H21" s="78"/>
      <c r="J21" s="79" t="s">
        <v>15</v>
      </c>
      <c r="K21" s="79"/>
      <c r="L21" s="79"/>
      <c r="M21" s="79"/>
      <c r="N21" s="79"/>
      <c r="O21" s="79"/>
      <c r="P21" s="79"/>
      <c r="Q21" s="79"/>
      <c r="R21" s="79"/>
      <c r="S21" s="79"/>
      <c r="T21" s="79"/>
      <c r="U21" s="79"/>
      <c r="Y21" s="80" t="str">
        <f>J21</f>
        <v>Maio</v>
      </c>
      <c r="Z21" s="80"/>
      <c r="AA21" s="80"/>
      <c r="AB21" s="80"/>
      <c r="AC21" s="80"/>
      <c r="AD21" s="80"/>
      <c r="AE21" s="80"/>
      <c r="AH21" s="81" t="str">
        <f>Y21</f>
        <v>Maio</v>
      </c>
      <c r="AI21" s="81"/>
      <c r="AJ21" s="81"/>
      <c r="AK21" s="81"/>
      <c r="AL21" s="81"/>
      <c r="AM21" s="81"/>
      <c r="AN21" s="81"/>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8" t="s">
        <v>24</v>
      </c>
      <c r="C25" s="78"/>
      <c r="D25" s="78"/>
      <c r="E25" s="78"/>
      <c r="F25" s="78"/>
      <c r="G25" s="78"/>
      <c r="H25" s="78"/>
      <c r="J25" s="79" t="s">
        <v>24</v>
      </c>
      <c r="K25" s="79"/>
      <c r="L25" s="79"/>
      <c r="M25" s="79"/>
      <c r="N25" s="79"/>
      <c r="O25" s="79"/>
      <c r="P25" s="79"/>
      <c r="Q25" s="79"/>
      <c r="R25" s="79"/>
      <c r="S25" s="79"/>
      <c r="T25" s="79"/>
      <c r="U25" s="79"/>
      <c r="Y25" s="80" t="str">
        <f>J25</f>
        <v>Junho</v>
      </c>
      <c r="Z25" s="80"/>
      <c r="AA25" s="80"/>
      <c r="AB25" s="80"/>
      <c r="AC25" s="80"/>
      <c r="AD25" s="80"/>
      <c r="AE25" s="80"/>
      <c r="AH25" s="81" t="str">
        <f>Y25</f>
        <v>Junho</v>
      </c>
      <c r="AI25" s="81"/>
      <c r="AJ25" s="81"/>
      <c r="AK25" s="81"/>
      <c r="AL25" s="81"/>
      <c r="AM25" s="81"/>
      <c r="AN25" s="81"/>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8" t="s">
        <v>16</v>
      </c>
      <c r="C29" s="78"/>
      <c r="D29" s="78"/>
      <c r="E29" s="78"/>
      <c r="F29" s="78"/>
      <c r="G29" s="78"/>
      <c r="H29" s="78"/>
      <c r="J29" s="79" t="s">
        <v>16</v>
      </c>
      <c r="K29" s="79"/>
      <c r="L29" s="79"/>
      <c r="M29" s="79"/>
      <c r="N29" s="79"/>
      <c r="O29" s="79"/>
      <c r="P29" s="79"/>
      <c r="Q29" s="79"/>
      <c r="R29" s="79"/>
      <c r="S29" s="79"/>
      <c r="T29" s="79"/>
      <c r="U29" s="79"/>
      <c r="Y29" s="80" t="str">
        <f>J29</f>
        <v>Julho</v>
      </c>
      <c r="Z29" s="80"/>
      <c r="AA29" s="80"/>
      <c r="AB29" s="80"/>
      <c r="AC29" s="80"/>
      <c r="AD29" s="80"/>
      <c r="AE29" s="80"/>
      <c r="AH29" s="81" t="str">
        <f>Y29</f>
        <v>Julho</v>
      </c>
      <c r="AI29" s="81"/>
      <c r="AJ29" s="81"/>
      <c r="AK29" s="81"/>
      <c r="AL29" s="81"/>
      <c r="AM29" s="81"/>
      <c r="AN29" s="81"/>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8" t="s">
        <v>17</v>
      </c>
      <c r="C33" s="78"/>
      <c r="D33" s="78"/>
      <c r="E33" s="78"/>
      <c r="F33" s="78"/>
      <c r="G33" s="78"/>
      <c r="H33" s="78"/>
      <c r="J33" s="79" t="s">
        <v>17</v>
      </c>
      <c r="K33" s="79"/>
      <c r="L33" s="79"/>
      <c r="M33" s="79"/>
      <c r="N33" s="79"/>
      <c r="O33" s="79"/>
      <c r="P33" s="79"/>
      <c r="Q33" s="79"/>
      <c r="R33" s="79"/>
      <c r="S33" s="79"/>
      <c r="T33" s="79"/>
      <c r="U33" s="79"/>
      <c r="Y33" s="80" t="str">
        <f>J33</f>
        <v>Agosto</v>
      </c>
      <c r="Z33" s="80"/>
      <c r="AA33" s="80"/>
      <c r="AB33" s="80"/>
      <c r="AC33" s="80"/>
      <c r="AD33" s="80"/>
      <c r="AE33" s="80"/>
      <c r="AH33" s="81" t="str">
        <f>Y33</f>
        <v>Agosto</v>
      </c>
      <c r="AI33" s="81"/>
      <c r="AJ33" s="81"/>
      <c r="AK33" s="81"/>
      <c r="AL33" s="81"/>
      <c r="AM33" s="81"/>
      <c r="AN33" s="81"/>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8" t="s">
        <v>18</v>
      </c>
      <c r="C37" s="78"/>
      <c r="D37" s="78"/>
      <c r="E37" s="78"/>
      <c r="F37" s="78"/>
      <c r="G37" s="78"/>
      <c r="H37" s="78"/>
      <c r="J37" s="79" t="s">
        <v>18</v>
      </c>
      <c r="K37" s="79"/>
      <c r="L37" s="79"/>
      <c r="M37" s="79"/>
      <c r="N37" s="79"/>
      <c r="O37" s="79"/>
      <c r="P37" s="79"/>
      <c r="Q37" s="79"/>
      <c r="R37" s="79"/>
      <c r="S37" s="79"/>
      <c r="T37" s="79"/>
      <c r="U37" s="79"/>
      <c r="Y37" s="80" t="str">
        <f>J37</f>
        <v>Setembro</v>
      </c>
      <c r="Z37" s="80"/>
      <c r="AA37" s="80"/>
      <c r="AB37" s="80"/>
      <c r="AC37" s="80"/>
      <c r="AD37" s="80"/>
      <c r="AE37" s="80"/>
      <c r="AH37" s="81" t="str">
        <f>Y37</f>
        <v>Setembro</v>
      </c>
      <c r="AI37" s="81"/>
      <c r="AJ37" s="81"/>
      <c r="AK37" s="81"/>
      <c r="AL37" s="81"/>
      <c r="AM37" s="81"/>
      <c r="AN37" s="81"/>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8" t="s">
        <v>19</v>
      </c>
      <c r="C41" s="78"/>
      <c r="D41" s="78"/>
      <c r="E41" s="78"/>
      <c r="F41" s="78"/>
      <c r="G41" s="78"/>
      <c r="H41" s="78"/>
      <c r="J41" s="79" t="s">
        <v>19</v>
      </c>
      <c r="K41" s="79"/>
      <c r="L41" s="79"/>
      <c r="M41" s="79"/>
      <c r="N41" s="79"/>
      <c r="O41" s="79"/>
      <c r="P41" s="79"/>
      <c r="Q41" s="79"/>
      <c r="R41" s="79"/>
      <c r="S41" s="79"/>
      <c r="T41" s="79"/>
      <c r="U41" s="79"/>
      <c r="Y41" s="80" t="str">
        <f>J41</f>
        <v>Outubro</v>
      </c>
      <c r="Z41" s="80"/>
      <c r="AA41" s="80"/>
      <c r="AB41" s="80"/>
      <c r="AC41" s="80"/>
      <c r="AD41" s="80"/>
      <c r="AE41" s="80"/>
      <c r="AH41" s="81" t="str">
        <f>Y41</f>
        <v>Outubro</v>
      </c>
      <c r="AI41" s="81"/>
      <c r="AJ41" s="81"/>
      <c r="AK41" s="81"/>
      <c r="AL41" s="81"/>
      <c r="AM41" s="81"/>
      <c r="AN41" s="81"/>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8" t="s">
        <v>20</v>
      </c>
      <c r="C45" s="78"/>
      <c r="D45" s="78"/>
      <c r="E45" s="78"/>
      <c r="F45" s="78"/>
      <c r="G45" s="78"/>
      <c r="H45" s="78"/>
      <c r="J45" s="79" t="s">
        <v>20</v>
      </c>
      <c r="K45" s="79"/>
      <c r="L45" s="79"/>
      <c r="M45" s="79"/>
      <c r="N45" s="79"/>
      <c r="O45" s="79"/>
      <c r="P45" s="79"/>
      <c r="Q45" s="79"/>
      <c r="R45" s="79"/>
      <c r="S45" s="79"/>
      <c r="T45" s="79"/>
      <c r="U45" s="79"/>
      <c r="Y45" s="80" t="str">
        <f>J45</f>
        <v>Novembro</v>
      </c>
      <c r="Z45" s="80"/>
      <c r="AA45" s="80"/>
      <c r="AB45" s="80"/>
      <c r="AC45" s="80"/>
      <c r="AD45" s="80"/>
      <c r="AE45" s="80"/>
      <c r="AH45" s="81" t="str">
        <f>Y45</f>
        <v>Novembro</v>
      </c>
      <c r="AI45" s="81"/>
      <c r="AJ45" s="81"/>
      <c r="AK45" s="81"/>
      <c r="AL45" s="81"/>
      <c r="AM45" s="81"/>
      <c r="AN45" s="81"/>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8" t="s">
        <v>21</v>
      </c>
      <c r="C49" s="78"/>
      <c r="D49" s="78"/>
      <c r="E49" s="78"/>
      <c r="F49" s="78"/>
      <c r="G49" s="78"/>
      <c r="H49" s="78"/>
      <c r="J49" s="79" t="s">
        <v>21</v>
      </c>
      <c r="K49" s="79"/>
      <c r="L49" s="79"/>
      <c r="M49" s="79"/>
      <c r="N49" s="79"/>
      <c r="O49" s="79"/>
      <c r="P49" s="79"/>
      <c r="Q49" s="79"/>
      <c r="R49" s="79"/>
      <c r="S49" s="79"/>
      <c r="T49" s="79"/>
      <c r="U49" s="79"/>
      <c r="Y49" s="80" t="str">
        <f>J49</f>
        <v>Dezembro</v>
      </c>
      <c r="Z49" s="80"/>
      <c r="AA49" s="80"/>
      <c r="AB49" s="80"/>
      <c r="AC49" s="80"/>
      <c r="AD49" s="80"/>
      <c r="AE49" s="80"/>
      <c r="AH49" s="81" t="str">
        <f>Y49</f>
        <v>Dezembro</v>
      </c>
      <c r="AI49" s="81"/>
      <c r="AJ49" s="81"/>
      <c r="AK49" s="81"/>
      <c r="AL49" s="81"/>
      <c r="AM49" s="81"/>
      <c r="AN49" s="81"/>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Claudio Uliana</vt:lpstr>
      <vt:lpstr>Esdras</vt:lpstr>
      <vt:lpstr>Fernando</vt:lpstr>
      <vt:lpstr>Gideoni</vt:lpstr>
      <vt:lpstr>Linsmar</vt:lpstr>
      <vt:lpstr>Weiller</vt:lpstr>
      <vt:lpstr>Rhuan</vt:lpstr>
      <vt:lpstr>Rhuan-Desmob</vt:lpstr>
      <vt:lpstr>Marcelo Oliveira-Desmob</vt:lpstr>
      <vt:lpstr>Rodrigo Silvio-Desmob</vt:lpstr>
      <vt:lpstr>Claudio Uliana-Desmob</vt:lpstr>
      <vt:lpstr>Airismila-Desmob</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2026-06-15T17:06:47Z</dcterms:modified>
</cp:coreProperties>
</file>