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C4EF4AA5-2463-4BDF-B571-23C91C4B7D93}" xr6:coauthVersionLast="47" xr6:coauthVersionMax="47" xr10:uidLastSave="{00000000-0000-0000-0000-000000000000}"/>
  <bookViews>
    <workbookView xWindow="-120" yWindow="-120" windowWidth="29040" windowHeight="15720" activeTab="2" xr2:uid="{00000000-000D-0000-FFFF-FFFF00000000}"/>
  </bookViews>
  <sheets>
    <sheet name="RESUMO" sheetId="3" r:id="rId1"/>
    <sheet name="Controle Central" sheetId="2" r:id="rId2"/>
    <sheet name="João Adriano" sheetId="9" r:id="rId3"/>
    <sheet name="João Adriano - Desmob3" sheetId="13" r:id="rId4"/>
    <sheet name="JOÃO ADRIANO-Desmob 2" sheetId="4" r:id="rId5"/>
    <sheet name="JOÃO ADRIANO-Desmob" sheetId="1" r:id="rId6"/>
    <sheet name="CAR_05" sheetId="11" r:id="rId7"/>
    <sheet name="CAR_06" sheetId="32" r:id="rId8"/>
    <sheet name="CAR_07" sheetId="31"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13" l="1"/>
  <c r="AK16" i="1"/>
  <c r="AC16" i="1"/>
  <c r="U16" i="1"/>
  <c r="G15" i="1"/>
  <c r="F15" i="1"/>
  <c r="W13" i="1"/>
  <c r="AE13" i="1" s="1"/>
  <c r="AK12" i="1"/>
  <c r="AC12" i="1"/>
  <c r="U12" i="1"/>
  <c r="G11" i="1"/>
  <c r="F11" i="1"/>
  <c r="W9" i="1"/>
  <c r="AE9" i="1" s="1"/>
  <c r="AK108" i="1"/>
  <c r="AC108" i="1"/>
  <c r="U108" i="1"/>
  <c r="G107" i="1"/>
  <c r="F107" i="1"/>
  <c r="H107" i="1" s="1"/>
  <c r="W105" i="1"/>
  <c r="AE105" i="1" s="1"/>
  <c r="AK104" i="1"/>
  <c r="AC104" i="1"/>
  <c r="U104" i="1"/>
  <c r="G103" i="1"/>
  <c r="F103" i="1"/>
  <c r="W101" i="1"/>
  <c r="AE101" i="1" s="1"/>
  <c r="AK100" i="1"/>
  <c r="AC100" i="1"/>
  <c r="U100" i="1"/>
  <c r="G99" i="1"/>
  <c r="F99" i="1"/>
  <c r="W97" i="1"/>
  <c r="AE97" i="1" s="1"/>
  <c r="AK96" i="1"/>
  <c r="AC96" i="1"/>
  <c r="U96" i="1"/>
  <c r="G95" i="1"/>
  <c r="F95" i="1"/>
  <c r="H95" i="1" s="1"/>
  <c r="W93" i="1"/>
  <c r="AE93" i="1" s="1"/>
  <c r="AK92" i="1"/>
  <c r="AC92" i="1"/>
  <c r="U92" i="1"/>
  <c r="G91" i="1"/>
  <c r="F91" i="1"/>
  <c r="W89" i="1"/>
  <c r="AE89" i="1" s="1"/>
  <c r="AK88" i="1"/>
  <c r="AC88" i="1"/>
  <c r="U88" i="1"/>
  <c r="G87" i="1"/>
  <c r="F87" i="1"/>
  <c r="W85" i="1"/>
  <c r="AE85" i="1" s="1"/>
  <c r="AK84" i="1"/>
  <c r="AC84" i="1"/>
  <c r="U84" i="1"/>
  <c r="G83" i="1"/>
  <c r="F83" i="1"/>
  <c r="W81" i="1"/>
  <c r="AE81" i="1" s="1"/>
  <c r="AK80" i="1"/>
  <c r="AC80" i="1"/>
  <c r="U80" i="1"/>
  <c r="G79" i="1"/>
  <c r="F79" i="1"/>
  <c r="W77" i="1"/>
  <c r="AE77" i="1" s="1"/>
  <c r="AK76" i="1"/>
  <c r="AC76" i="1"/>
  <c r="U76" i="1"/>
  <c r="G75" i="1"/>
  <c r="F75" i="1"/>
  <c r="W73" i="1"/>
  <c r="AE73" i="1" s="1"/>
  <c r="AK72" i="1"/>
  <c r="AC72" i="1"/>
  <c r="U72" i="1"/>
  <c r="G71" i="1"/>
  <c r="F71" i="1"/>
  <c r="W69" i="1"/>
  <c r="AE69" i="1" s="1"/>
  <c r="AK68" i="1"/>
  <c r="AC68" i="1"/>
  <c r="U68" i="1"/>
  <c r="G67" i="1"/>
  <c r="F67" i="1"/>
  <c r="AK64" i="1"/>
  <c r="AC64" i="1"/>
  <c r="U64" i="1"/>
  <c r="G63" i="1"/>
  <c r="F63" i="1"/>
  <c r="W61" i="1"/>
  <c r="AE61" i="1" s="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60" i="1"/>
  <c r="F15" i="2" s="1"/>
  <c r="AK56" i="1"/>
  <c r="F14" i="2" s="1"/>
  <c r="AK52" i="1"/>
  <c r="F13" i="2" s="1"/>
  <c r="AK48" i="1"/>
  <c r="F12" i="2" s="1"/>
  <c r="AK44" i="1"/>
  <c r="F11" i="2" s="1"/>
  <c r="AK40" i="1"/>
  <c r="F10" i="2" s="1"/>
  <c r="AK36" i="1"/>
  <c r="M9" i="2" s="1"/>
  <c r="AK32" i="1"/>
  <c r="F8" i="2" s="1"/>
  <c r="AK28" i="1"/>
  <c r="F7" i="2" s="1"/>
  <c r="AK24" i="1"/>
  <c r="F6" i="2" s="1"/>
  <c r="AK20" i="1"/>
  <c r="F5" i="2" s="1"/>
  <c r="W21" i="1"/>
  <c r="AE21" i="1" s="1"/>
  <c r="W25" i="1"/>
  <c r="AE25" i="1" s="1"/>
  <c r="W29" i="1"/>
  <c r="AE29" i="1" s="1"/>
  <c r="W33" i="1"/>
  <c r="AE33" i="1" s="1"/>
  <c r="W37" i="1"/>
  <c r="AE37" i="1" s="1"/>
  <c r="W41" i="1"/>
  <c r="AE41" i="1" s="1"/>
  <c r="W45" i="1"/>
  <c r="AE45" i="1" s="1"/>
  <c r="W49" i="1"/>
  <c r="AE49" i="1" s="1"/>
  <c r="W53" i="1"/>
  <c r="AE53" i="1" s="1"/>
  <c r="W57" i="1"/>
  <c r="AE57" i="1" s="1"/>
  <c r="AC60" i="1"/>
  <c r="E15" i="2" s="1"/>
  <c r="AC56" i="1"/>
  <c r="E14" i="2" s="1"/>
  <c r="AC52" i="1"/>
  <c r="E13" i="2" s="1"/>
  <c r="AC48" i="1"/>
  <c r="E12" i="2" s="1"/>
  <c r="AC44" i="1"/>
  <c r="E11" i="2" s="1"/>
  <c r="AC40" i="1"/>
  <c r="E10" i="2" s="1"/>
  <c r="AC36" i="1"/>
  <c r="E9" i="2" s="1"/>
  <c r="AC32" i="1"/>
  <c r="E8" i="2" s="1"/>
  <c r="AC28" i="1"/>
  <c r="E7" i="2" s="1"/>
  <c r="AC24" i="1"/>
  <c r="E6" i="2" s="1"/>
  <c r="AC20" i="1"/>
  <c r="E5" i="2" s="1"/>
  <c r="U56" i="1"/>
  <c r="D14" i="2" s="1"/>
  <c r="U52" i="1"/>
  <c r="D13" i="2" s="1"/>
  <c r="U48" i="1"/>
  <c r="D12" i="2" s="1"/>
  <c r="U44" i="1"/>
  <c r="D11" i="2" s="1"/>
  <c r="U40" i="1"/>
  <c r="D10" i="2" s="1"/>
  <c r="U36" i="1"/>
  <c r="D9" i="2" s="1"/>
  <c r="U32" i="1"/>
  <c r="D8" i="2" s="1"/>
  <c r="U28" i="1"/>
  <c r="D7" i="2" s="1"/>
  <c r="U24" i="1"/>
  <c r="D6" i="2" s="1"/>
  <c r="U20" i="1"/>
  <c r="D5" i="2" s="1"/>
  <c r="U60" i="1"/>
  <c r="D15" i="2" s="1"/>
  <c r="H15" i="1" l="1"/>
  <c r="H23" i="10"/>
  <c r="I120" i="2" s="1"/>
  <c r="J120" i="2" s="1"/>
  <c r="H39" i="10"/>
  <c r="I124" i="2" s="1"/>
  <c r="J124" i="2" s="1"/>
  <c r="H47" i="18"/>
  <c r="W90" i="2" s="1"/>
  <c r="X90" i="2" s="1"/>
  <c r="H11" i="1"/>
  <c r="H75" i="1"/>
  <c r="H91" i="1"/>
  <c r="H63" i="1"/>
  <c r="H83" i="1"/>
  <c r="H71" i="1"/>
  <c r="H87" i="1"/>
  <c r="H67" i="1"/>
  <c r="H103" i="1"/>
  <c r="H99" i="1"/>
  <c r="H79" i="1"/>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H8" i="3" s="1"/>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H39" i="18"/>
  <c r="W88" i="2" s="1"/>
  <c r="X88" i="2" s="1"/>
  <c r="Z91" i="2"/>
  <c r="AA91" i="2"/>
  <c r="H19" i="19"/>
  <c r="P83" i="2" s="1"/>
  <c r="Q83" i="2" s="1"/>
  <c r="T86" i="2"/>
  <c r="H10" i="3" s="1"/>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E8" i="3"/>
  <c r="I6" i="3"/>
  <c r="J8" i="3"/>
  <c r="F9" i="2"/>
  <c r="I10" i="3"/>
  <c r="H11" i="13"/>
  <c r="M15" i="2"/>
  <c r="AA93" i="2"/>
  <c r="Y93" i="2"/>
  <c r="R93" i="2"/>
  <c r="K93" i="2"/>
  <c r="D93" i="2"/>
  <c r="D74" i="2"/>
  <c r="F111" i="2"/>
  <c r="E111" i="2"/>
  <c r="D111" i="2"/>
  <c r="AA111" i="2"/>
  <c r="Z111" i="2"/>
  <c r="Y111" i="2"/>
  <c r="W111" i="2"/>
  <c r="W112" i="2" s="1"/>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C31" i="2"/>
  <c r="T36" i="2"/>
  <c r="S36" i="2"/>
  <c r="R36" i="2"/>
  <c r="E55" i="2"/>
  <c r="D55" i="2"/>
  <c r="L36" i="2"/>
  <c r="K36" i="2"/>
  <c r="M36" i="2"/>
  <c r="E36" i="2"/>
  <c r="D36" i="2"/>
  <c r="F36" i="2"/>
  <c r="AA36" i="2"/>
  <c r="Z36" i="2"/>
  <c r="Y36" i="2"/>
  <c r="AA17" i="2"/>
  <c r="Z17" i="2"/>
  <c r="Y17" i="2"/>
  <c r="K17" i="2"/>
  <c r="E17" i="2"/>
  <c r="D17" i="2"/>
  <c r="G59" i="1"/>
  <c r="F59" i="1"/>
  <c r="G55" i="1"/>
  <c r="F55" i="1"/>
  <c r="G51" i="1"/>
  <c r="F51" i="1"/>
  <c r="G47" i="1"/>
  <c r="F47" i="1"/>
  <c r="G43" i="1"/>
  <c r="F43" i="1"/>
  <c r="G39" i="1"/>
  <c r="F39" i="1"/>
  <c r="G35" i="1"/>
  <c r="F35" i="1"/>
  <c r="G31" i="1"/>
  <c r="F31" i="1"/>
  <c r="G27" i="1"/>
  <c r="F27" i="1"/>
  <c r="G23" i="1"/>
  <c r="F23" i="1"/>
  <c r="G19" i="1"/>
  <c r="F19" i="1"/>
  <c r="E10" i="3" l="1"/>
  <c r="H23" i="1"/>
  <c r="B6" i="2" s="1"/>
  <c r="C6" i="2" s="1"/>
  <c r="P11" i="2"/>
  <c r="Q11" i="2" s="1"/>
  <c r="W74" i="2"/>
  <c r="W75" i="2" s="1"/>
  <c r="S93" i="2"/>
  <c r="K8" i="3"/>
  <c r="H19" i="1"/>
  <c r="B5" i="2" s="1"/>
  <c r="C5" i="2" s="1"/>
  <c r="P74" i="2"/>
  <c r="P75" i="2" s="1"/>
  <c r="F8" i="3"/>
  <c r="K10" i="3"/>
  <c r="C8" i="3"/>
  <c r="F10" i="3"/>
  <c r="H35"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9" i="1"/>
  <c r="B10" i="2" s="1"/>
  <c r="C10" i="2" s="1"/>
  <c r="B93" i="2"/>
  <c r="B94" i="2" s="1"/>
  <c r="H27"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31" i="1"/>
  <c r="B8" i="2" s="1"/>
  <c r="C8" i="2" s="1"/>
  <c r="H47" i="1"/>
  <c r="B12" i="2" s="1"/>
  <c r="C12" i="2" s="1"/>
  <c r="H55" i="1"/>
  <c r="B14" i="2" s="1"/>
  <c r="C14" i="2" s="1"/>
  <c r="H51" i="1"/>
  <c r="B13" i="2" s="1"/>
  <c r="C13" i="2" s="1"/>
  <c r="H43" i="1"/>
  <c r="B11" i="2" s="1"/>
  <c r="C11" i="2" s="1"/>
  <c r="H59" i="1"/>
  <c r="B15" i="2" s="1"/>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tc={93ED3997-F821-4D23-81DC-28D0A56C1E61}</author>
  </authors>
  <commentList>
    <comment ref="B27" authorId="0" shapeId="0" xr:uid="{93ED3997-F821-4D23-81DC-28D0A56C1E61}">
      <text>
        <t>[Comentário encadeado]
Sua versão do Excel permite que você leia este comentário encadeado, no entanto, as edições serão removidas se o arquivo for aberto em uma versão mais recente do Excel. Saiba mais: https://go.microsoft.com/fwlink/?linkid=870924
Comentário:
    Locado 29/05/2026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tc={17A32ECE-71DB-4294-A839-F18CB4FF372E}</author>
    <author>tc={C37538A2-2282-4E3E-A837-A12851D82C77}</author>
  </authors>
  <commentList>
    <comment ref="B15" authorId="0" shapeId="0" xr:uid="{17A32ECE-71DB-4294-A839-F18CB4FF372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Retirada 19/03/26
</t>
      </text>
    </comment>
    <comment ref="E23" authorId="1" shapeId="0" xr:uid="{C37538A2-2282-4E3E-A837-A12851D82C77}">
      <text>
        <t>[Comentário encadeado]
Sua versão do Excel permite que você leia este comentário encadeado, no entanto, as edições serão removidas se o arquivo for aberto em uma versão mais recente do Excel. Saiba mais: https://go.microsoft.com/fwlink/?linkid=870924
Comentário:
    Devolução 30/05/2026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tc={526D0DA7-CC54-4F31-900E-BE78BA4F344B}</author>
    <author>tc={923FA548-7E67-48D7-8322-65406FB37657}</author>
    <author>tc={1775601B-AB41-44D3-B2A7-62AC396F3019}</author>
  </authors>
  <commentList>
    <comment ref="B4" authorId="0" shapeId="0" xr:uid="{526D0DA7-CC54-4F31-900E-BE78BA4F344B}">
      <text>
        <t>[Comentário encadeado]
Sua versão do Excel permite que você leia este comentário encadeado, no entanto, as edições serão removidas se o arquivo for aberto em uma versão mais recente do Excel. Saiba mais: https://go.microsoft.com/fwlink/?linkid=870924
Comentário:
    Como o veículo foi devolvido em 19/03/26 a mensalidade ficou R$11.000,00</t>
      </text>
    </comment>
    <comment ref="D11" authorId="1" shapeId="0" xr:uid="{923FA548-7E67-48D7-8322-65406FB37657}">
      <text>
        <t>[Comentário encadeado]
Sua versão do Excel permite que você leia este comentário encadeado, no entanto, as edições serão removidas se o arquivo for aberto em uma versão mais recente do Excel. Saiba mais: https://go.microsoft.com/fwlink/?linkid=870924
Comentário:
    Locado 17/02/2026</t>
      </text>
    </comment>
    <comment ref="E15" authorId="2" shapeId="0" xr:uid="{1775601B-AB41-44D3-B2A7-62AC396F3019}">
      <text>
        <t>[Comentário encadeado]
Sua versão do Excel permite que você leia este comentário encadeado, no entanto, as edições serão removidas se o arquivo for aberto em uma versão mais recente do Excel. Saiba mais: https://go.microsoft.com/fwlink/?linkid=870924
Comentário:
    Devolução 19/03/2026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tc={782CB2F0-5044-402E-9E89-82BD32BA8F97}</author>
  </authors>
  <commentList>
    <comment ref="C19" authorId="0" shapeId="0" xr:uid="{782CB2F0-5044-402E-9E89-82BD32BA8F97}">
      <text>
        <t>[Comentário encadeado]
Sua versão do Excel permite que você leia este comentário encadeado, no entanto, as edições serão removidas se o arquivo for aberto em uma versão mais recente do Excel. Saiba mais: https://go.microsoft.com/fwlink/?linkid=870924
Comentário:
    Devolvido 09/02/26</t>
      </text>
    </comment>
  </commentList>
</comments>
</file>

<file path=xl/sharedStrings.xml><?xml version="1.0" encoding="utf-8"?>
<sst xmlns="http://schemas.openxmlformats.org/spreadsheetml/2006/main" count="7614" uniqueCount="99">
  <si>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</si>
  <si>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</si>
  <si>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</si>
  <si>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</si>
  <si>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</si>
  <si>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</si>
  <si>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</si>
  <si>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</si>
  <si>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</si>
  <si>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</si>
  <si>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</si>
  <si>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</si>
  <si>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</si>
  <si>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</si>
  <si>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</si>
  <si>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</si>
  <si>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</si>
  <si>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</si>
  <si>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</si>
  <si>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</si>
  <si>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</si>
  <si>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</si>
  <si>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</si>
  <si>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</si>
  <si>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</si>
  <si>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</si>
  <si>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</si>
  <si>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</si>
  <si>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</si>
  <si>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</si>
  <si>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</si>
  <si>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</si>
  <si>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</si>
  <si>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</si>
  <si>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</si>
  <si>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</si>
  <si>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</si>
  <si>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</si>
  <si>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</si>
  <si>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</si>
  <si>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</si>
  <si>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</si>
  <si>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</si>
  <si>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</si>
  <si>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</si>
  <si>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</si>
  <si>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</si>
  <si>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</si>
  <si>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</si>
  <si>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</si>
  <si>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</si>
  <si>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</si>
  <si>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</si>
  <si>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</si>
  <si>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</si>
  <si>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</si>
  <si>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</si>
  <si>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</si>
  <si>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</si>
  <si>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</si>
  <si>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</si>
  <si>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</si>
  <si>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</si>
  <si>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</si>
  <si>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</si>
  <si>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</si>
  <si>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</si>
  <si>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</si>
  <si>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</si>
  <si>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</si>
  <si>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</si>
  <si>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</si>
  <si>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CAR_07</t>
  </si>
  <si>
    <t>CAR_06</t>
  </si>
  <si>
    <t>CAR_05</t>
  </si>
  <si>
    <t>LUCIANE</t>
  </si>
  <si>
    <t>ALIRE</t>
  </si>
  <si>
    <t>JOSEANE</t>
  </si>
  <si>
    <t>ERIKA</t>
  </si>
  <si>
    <t>Substituição (data)</t>
  </si>
  <si>
    <t>Modelo</t>
  </si>
  <si>
    <t>NOME DA OBRA</t>
  </si>
  <si>
    <t>GGM4J35</t>
  </si>
  <si>
    <t>ASX</t>
  </si>
  <si>
    <t>KM</t>
  </si>
  <si>
    <t>Ilimitado</t>
  </si>
  <si>
    <t>Sem rastreador</t>
  </si>
  <si>
    <t>Janeiro</t>
  </si>
  <si>
    <t>Data Desmob.</t>
  </si>
  <si>
    <t>RZQ5I92</t>
  </si>
  <si>
    <t>JAC</t>
  </si>
  <si>
    <t>não possui</t>
  </si>
  <si>
    <t>PCW1B58</t>
  </si>
  <si>
    <t>HB20</t>
  </si>
  <si>
    <t>sem rastreador</t>
  </si>
  <si>
    <t>km</t>
  </si>
  <si>
    <t>ilimitado</t>
  </si>
  <si>
    <t>SEM RASTREADOR</t>
  </si>
  <si>
    <t>Maio/Junho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</si>
</sst>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sz val="9"/>
      <color indexed="81"/>
      <name val="Segoe UI"/>
      <family val="2"/>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5">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7" fillId="0" borderId="0" xfId="0" applyFont="1"/>
    <xf numFmtId="44" fontId="0" fillId="0" borderId="1" xfId="1" applyFont="1" applyBorder="1" applyAlignment="1">
      <alignment horizontal="center"/>
    </xf>
    <xf numFmtId="14" fontId="0" fillId="0" borderId="1" xfId="1" applyNumberFormat="1" applyFont="1" applyBorder="1" applyAlignment="1">
      <alignment horizontal="center"/>
    </xf>
    <xf numFmtId="0" fontId="2" fillId="0" borderId="0" xfId="0" applyFont="1" applyAlignment="1">
      <alignment horizontal="right" vertic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4" fillId="2"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816.11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0D4D0543-BD05-455F-B59F-FCAE657215FA}"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7" dT="2026-06-04T14:15:25.76" personId="{0D4D0543-BD05-455F-B59F-FCAE657215FA}" id="{93ED3997-F821-4D23-81DC-28D0A56C1E61}">
    <text>Locado 29/05/2026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B15" dT="2026-04-02T11:38:51.88" personId="{0D4D0543-BD05-455F-B59F-FCAE657215FA}" id="{17A32ECE-71DB-4294-A839-F18CB4FF372E}">
    <text xml:space="preserve">Retirada 19/03/26
</text>
  </threadedComment>
  <threadedComment ref="E23" dT="2026-06-04T14:03:32.43" personId="{0D4D0543-BD05-455F-B59F-FCAE657215FA}" id="{C37538A2-2282-4E3E-A837-A12851D82C77}">
    <text>Devolução 30/05/2026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6-03-24T18:58:12.54" personId="{0D4D0543-BD05-455F-B59F-FCAE657215FA}" id="{526D0DA7-CC54-4F31-900E-BE78BA4F344B}">
    <text>Como o veículo foi devolvido em 19/03/26 a mensalidade ficou R$11.000,00</text>
  </threadedComment>
  <threadedComment ref="D11" dT="2026-02-25T18:31:40.76" personId="{0D4D0543-BD05-455F-B59F-FCAE657215FA}" id="{923FA548-7E67-48D7-8322-65406FB37657}">
    <text>Locado 17/02/2026</text>
  </threadedComment>
  <threadedComment ref="E15" dT="2026-03-24T18:56:50.94" personId="{0D4D0543-BD05-455F-B59F-FCAE657215FA}" id="{1775601B-AB41-44D3-B2A7-62AC396F3019}">
    <text>Devolução 19/03/2026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C19" dT="2026-02-11T11:06:13.10" personId="{0D4D0543-BD05-455F-B59F-FCAE657215FA}" id="{782CB2F0-5044-402E-9E89-82BD32BA8F97}">
    <text>Devolvido 09/02/26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2" t="s">
        <v>81</v>
      </c>
      <c r="B1" s="83"/>
      <c r="C1" s="83"/>
      <c r="D1" s="83"/>
      <c r="E1" s="83"/>
      <c r="F1" s="83"/>
      <c r="G1" s="83"/>
      <c r="H1" s="83"/>
      <c r="I1" s="83"/>
      <c r="J1" s="83"/>
      <c r="K1" s="83"/>
      <c r="L1" s="83"/>
      <c r="M1" s="83"/>
      <c r="N1" s="83"/>
      <c r="O1" s="83"/>
      <c r="P1" s="83"/>
      <c r="Q1" s="83"/>
      <c r="R1" s="83"/>
      <c r="S1" s="83"/>
      <c r="T1" s="83"/>
      <c r="U1" s="83"/>
      <c r="V1" s="83"/>
      <c r="W1" s="83"/>
      <c r="X1" s="83"/>
      <c r="Y1" s="83"/>
    </row>
    <row r="2" spans="1:25" x14ac:dyDescent="0.25">
      <c r="A2" s="83"/>
      <c r="B2" s="83"/>
      <c r="C2" s="83"/>
      <c r="D2" s="83"/>
      <c r="E2" s="83"/>
      <c r="F2" s="83"/>
      <c r="G2" s="83"/>
      <c r="H2" s="83"/>
      <c r="I2" s="83"/>
      <c r="J2" s="83"/>
      <c r="K2" s="83"/>
      <c r="L2" s="83"/>
      <c r="M2" s="83"/>
      <c r="N2" s="83"/>
      <c r="O2" s="83"/>
      <c r="P2" s="83"/>
      <c r="Q2" s="83"/>
      <c r="R2" s="83"/>
      <c r="S2" s="83"/>
      <c r="T2" s="83"/>
      <c r="U2" s="83"/>
      <c r="V2" s="83"/>
      <c r="W2" s="83"/>
      <c r="X2" s="83"/>
      <c r="Y2" s="83"/>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816.11</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0</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0</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0</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0</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81"/>
      <c r="C13" s="81"/>
      <c r="D13" s="81"/>
      <c r="E13" s="81"/>
      <c r="F13" s="81"/>
      <c r="G13" s="81"/>
      <c r="H13" s="81"/>
      <c r="I13" s="81"/>
      <c r="J13" s="81"/>
      <c r="K13" s="81"/>
      <c r="L13" s="81"/>
      <c r="M13" s="81"/>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77" t="s">
        <v>78</v>
      </c>
      <c r="C2" s="77"/>
      <c r="D2" s="77"/>
      <c r="E2" s="77"/>
      <c r="F2" s="77"/>
      <c r="I2" s="84" t="s">
        <v>77</v>
      </c>
      <c r="J2" s="84"/>
      <c r="K2" s="84"/>
      <c r="L2" s="84"/>
      <c r="M2" s="84"/>
      <c r="P2" s="84" t="s">
        <v>76</v>
      </c>
      <c r="Q2" s="84"/>
      <c r="R2" s="84"/>
      <c r="S2" s="84"/>
      <c r="T2" s="84"/>
      <c r="W2" s="84" t="s">
        <v>75</v>
      </c>
      <c r="X2" s="84"/>
      <c r="Y2" s="84"/>
      <c r="Z2" s="84"/>
      <c r="AA2" s="84"/>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'JOÃO ADRIANO-Desmob'!H19</f>
        <v>314</v>
      </c>
      <c r="C5" s="43">
        <f>SUM(5000-B5)</f>
        <v>4686</v>
      </c>
      <c r="D5" s="35">
        <f>'JOÃO ADRIANO-Desmob'!U20</f>
        <v>0</v>
      </c>
      <c r="E5" s="35">
        <f>'JOÃO ADRIANO-Desmob'!AC20</f>
        <v>0</v>
      </c>
      <c r="F5" s="36">
        <f>'JOÃO ADRIANO-Desmob'!AK20</f>
        <v>0</v>
      </c>
      <c r="H5" s="38" t="s">
        <v>32</v>
      </c>
      <c r="I5" s="46">
        <f>'JOÃO ADRIANO-Desmob 2'!H11</f>
        <v>360</v>
      </c>
      <c r="J5" s="43">
        <f>SUM(5000-I5)</f>
        <v>4640</v>
      </c>
      <c r="K5" s="35">
        <f>'JOÃO ADRIANO-Desmob 2'!U12</f>
        <v>0</v>
      </c>
      <c r="L5" s="35">
        <f>'JOÃO ADRIANO-Desmob 2'!AC12</f>
        <v>0</v>
      </c>
      <c r="M5" s="36">
        <f>'JOÃO ADRIANO-Desmob 2'!AK12</f>
        <v>0</v>
      </c>
      <c r="O5" s="38" t="s">
        <v>32</v>
      </c>
      <c r="P5" s="46">
        <f>'João Adriano - Desmob3'!H11</f>
        <v>0</v>
      </c>
      <c r="Q5" s="43">
        <f>SUM(5000-P5)</f>
        <v>5000</v>
      </c>
      <c r="R5" s="35">
        <f>'João Adriano - Desmob3'!U12</f>
        <v>0</v>
      </c>
      <c r="S5" s="35">
        <f>'João Adriano - Desmob3'!AI12</f>
        <v>0</v>
      </c>
      <c r="T5" s="36">
        <f>'João Adriano - Desmob3'!AR12</f>
        <v>0</v>
      </c>
      <c r="V5" s="38" t="s">
        <v>32</v>
      </c>
      <c r="W5" s="46">
        <f>'João Adriano'!H11</f>
        <v>0</v>
      </c>
      <c r="X5" s="43">
        <f>SUM(5000-W5)</f>
        <v>5000</v>
      </c>
      <c r="Y5" s="35">
        <f>'João Adriano'!U12</f>
        <v>0</v>
      </c>
      <c r="Z5" s="35">
        <f>'João Adriano'!AI12</f>
        <v>0</v>
      </c>
      <c r="AA5" s="36">
        <f>'João Adriano'!AR12</f>
        <v>0</v>
      </c>
    </row>
    <row r="6" spans="1:27" x14ac:dyDescent="0.25">
      <c r="A6" s="38" t="s">
        <v>33</v>
      </c>
      <c r="B6" s="46">
        <f>'JOÃO ADRIANO-Desmob'!H23</f>
        <v>0</v>
      </c>
      <c r="C6" s="43">
        <f t="shared" ref="C6:C15" si="0">SUM(5000-B6)</f>
        <v>5000</v>
      </c>
      <c r="D6" s="35">
        <f>'JOÃO ADRIANO-Desmob'!U24</f>
        <v>0</v>
      </c>
      <c r="E6" s="35">
        <f>'JOÃO ADRIANO-Desmob'!AC24</f>
        <v>0</v>
      </c>
      <c r="F6" s="36">
        <f>'JOÃO ADRIANO-Desmob'!AK24</f>
        <v>0</v>
      </c>
      <c r="H6" s="38" t="s">
        <v>33</v>
      </c>
      <c r="I6" s="46">
        <f>'JOÃO ADRIANO-Desmob 2'!H15</f>
        <v>577</v>
      </c>
      <c r="J6" s="43">
        <f t="shared" ref="J6:J14" si="1">SUM(5000-I6)</f>
        <v>4423</v>
      </c>
      <c r="K6" s="35">
        <f>'JOÃO ADRIANO-Desmob 2'!U16</f>
        <v>0</v>
      </c>
      <c r="L6" s="35">
        <f>'JOÃO ADRIANO-Desmob 2'!AC16</f>
        <v>0</v>
      </c>
      <c r="M6" s="36">
        <f>'JOÃO ADRIANO-Desmob 2'!AK16</f>
        <v>0</v>
      </c>
      <c r="O6" s="38" t="s">
        <v>33</v>
      </c>
      <c r="P6" s="46">
        <f>'João Adriano - Desmob3'!H15</f>
        <v>439</v>
      </c>
      <c r="Q6" s="43">
        <f t="shared" ref="Q6:Q14" si="2">SUM(5000-P6)</f>
        <v>4561</v>
      </c>
      <c r="R6" s="35">
        <f>'João Adriano - Desmob3'!U16</f>
        <v>816.11</v>
      </c>
      <c r="S6" s="35">
        <f>'João Adriano - Desmob3'!AI16</f>
        <v>0</v>
      </c>
      <c r="T6" s="36">
        <f>'João Adriano - Desmob3'!AR16</f>
        <v>0</v>
      </c>
      <c r="V6" s="38" t="s">
        <v>33</v>
      </c>
      <c r="W6" s="46">
        <f>'João Adriano'!H15</f>
        <v>0</v>
      </c>
      <c r="X6" s="43">
        <f t="shared" ref="X6:X15" si="3">SUM(5000-W6)</f>
        <v>5000</v>
      </c>
      <c r="Y6" s="35">
        <f>'João Adriano'!U16</f>
        <v>0</v>
      </c>
      <c r="Z6" s="35">
        <f>'João Adriano'!AI16</f>
        <v>0</v>
      </c>
      <c r="AA6" s="36">
        <f>'João Adriano'!AR16</f>
        <v>0</v>
      </c>
    </row>
    <row r="7" spans="1:27" x14ac:dyDescent="0.25">
      <c r="A7" s="38" t="s">
        <v>34</v>
      </c>
      <c r="B7" s="46">
        <f>'JOÃO ADRIANO-Desmob'!H27</f>
        <v>0</v>
      </c>
      <c r="C7" s="43">
        <f t="shared" si="0"/>
        <v>5000</v>
      </c>
      <c r="D7" s="35">
        <f>'JOÃO ADRIANO-Desmob'!U28</f>
        <v>0</v>
      </c>
      <c r="E7" s="35">
        <f>'JOÃO ADRIANO-Desmob'!AC28</f>
        <v>0</v>
      </c>
      <c r="F7" s="36">
        <f>'JOÃO ADRIANO-Desmob'!AK28</f>
        <v>0</v>
      </c>
      <c r="H7" s="38" t="s">
        <v>34</v>
      </c>
      <c r="I7" s="46">
        <f>'JOÃO ADRIANO-Desmob 2'!H19</f>
        <v>0</v>
      </c>
      <c r="J7" s="43">
        <f t="shared" si="1"/>
        <v>5000</v>
      </c>
      <c r="K7" s="35">
        <f>'JOÃO ADRIANO-Desmob 2'!U20</f>
        <v>0</v>
      </c>
      <c r="L7" s="35">
        <f>'JOÃO ADRIANO-Desmob 2'!AC20</f>
        <v>0</v>
      </c>
      <c r="M7" s="36">
        <f>'JOÃO ADRIANO-Desmob 2'!AK20</f>
        <v>0</v>
      </c>
      <c r="O7" s="38" t="s">
        <v>34</v>
      </c>
      <c r="P7" s="46">
        <f>'João Adriano - Desmob3'!H19</f>
        <v>733</v>
      </c>
      <c r="Q7" s="43">
        <f t="shared" si="2"/>
        <v>4267</v>
      </c>
      <c r="R7" s="35">
        <f>'João Adriano - Desmob3'!Z20</f>
        <v>0</v>
      </c>
      <c r="S7" s="35">
        <f>'João Adriano - Desmob3'!AI20</f>
        <v>0</v>
      </c>
      <c r="T7" s="36">
        <f>'João Adriano - Desmob3'!AR20</f>
        <v>0</v>
      </c>
      <c r="V7" s="38" t="s">
        <v>34</v>
      </c>
      <c r="W7" s="46">
        <f>'João Adriano'!H19</f>
        <v>0</v>
      </c>
      <c r="X7" s="43">
        <f t="shared" si="3"/>
        <v>5000</v>
      </c>
      <c r="Y7" s="35">
        <f>'João Adriano'!Z20</f>
        <v>0</v>
      </c>
      <c r="Z7" s="35">
        <f>'João Adriano'!AI20</f>
        <v>0</v>
      </c>
      <c r="AA7" s="36">
        <f>'João Adriano'!AR20</f>
        <v>0</v>
      </c>
    </row>
    <row r="8" spans="1:27" x14ac:dyDescent="0.25">
      <c r="A8" s="38" t="s">
        <v>35</v>
      </c>
      <c r="B8" s="46">
        <f>'JOÃO ADRIANO-Desmob'!H31</f>
        <v>0</v>
      </c>
      <c r="C8" s="43">
        <f t="shared" si="0"/>
        <v>5000</v>
      </c>
      <c r="D8" s="35">
        <f>'JOÃO ADRIANO-Desmob'!U32</f>
        <v>0</v>
      </c>
      <c r="E8" s="35">
        <f>'JOÃO ADRIANO-Desmob'!AC32</f>
        <v>0</v>
      </c>
      <c r="F8" s="36">
        <f>'JOÃO ADRIANO-Desmob'!AK32</f>
        <v>0</v>
      </c>
      <c r="H8" s="38" t="s">
        <v>35</v>
      </c>
      <c r="I8" s="46">
        <f>'JOÃO ADRIANO-Desmob 2'!H23</f>
        <v>0</v>
      </c>
      <c r="J8" s="43">
        <f t="shared" si="1"/>
        <v>5000</v>
      </c>
      <c r="K8" s="35">
        <f>'JOÃO ADRIANO-Desmob 2'!U24</f>
        <v>0</v>
      </c>
      <c r="L8" s="35">
        <f>'JOÃO ADRIANO-Desmob 2'!AC24</f>
        <v>0</v>
      </c>
      <c r="M8" s="36">
        <f>'JOÃO ADRIANO-Desmob 2'!AK24</f>
        <v>0</v>
      </c>
      <c r="O8" s="38" t="s">
        <v>35</v>
      </c>
      <c r="P8" s="46">
        <f>'João Adriano - Desmob3'!H23</f>
        <v>989</v>
      </c>
      <c r="Q8" s="43">
        <f t="shared" si="2"/>
        <v>4011</v>
      </c>
      <c r="R8" s="35">
        <f>'João Adriano - Desmob3'!Z24</f>
        <v>0</v>
      </c>
      <c r="S8" s="35">
        <f>'João Adriano - Desmob3'!AI24</f>
        <v>0</v>
      </c>
      <c r="T8" s="36">
        <f>'João Adriano - Desmob3'!AR24</f>
        <v>0</v>
      </c>
      <c r="V8" s="38" t="s">
        <v>35</v>
      </c>
      <c r="W8" s="46">
        <f>'João Adriano'!H23</f>
        <v>0</v>
      </c>
      <c r="X8" s="43">
        <f t="shared" si="3"/>
        <v>5000</v>
      </c>
      <c r="Y8" s="35">
        <f>'João Adriano'!Z24</f>
        <v>0</v>
      </c>
      <c r="Z8" s="35">
        <f>'João Adriano'!AI24</f>
        <v>0</v>
      </c>
      <c r="AA8" s="36">
        <f>'João Adriano'!AR24</f>
        <v>0</v>
      </c>
    </row>
    <row r="9" spans="1:27" x14ac:dyDescent="0.25">
      <c r="A9" s="38" t="s">
        <v>36</v>
      </c>
      <c r="B9" s="46">
        <f>'JOÃO ADRIANO-Desmob'!H35</f>
        <v>0</v>
      </c>
      <c r="C9" s="43">
        <f t="shared" si="0"/>
        <v>5000</v>
      </c>
      <c r="D9" s="35">
        <f>'JOÃO ADRIANO-Desmob'!U36</f>
        <v>0</v>
      </c>
      <c r="E9" s="35">
        <f>'JOÃO ADRIANO-Desmob'!AC36</f>
        <v>0</v>
      </c>
      <c r="F9" s="36">
        <f>'JOÃO ADRIANO-Desmob'!AK36</f>
        <v>0</v>
      </c>
      <c r="H9" s="38" t="s">
        <v>36</v>
      </c>
      <c r="I9" s="46">
        <f>'JOÃO ADRIANO-Desmob 2'!H27</f>
        <v>0</v>
      </c>
      <c r="J9" s="43">
        <f t="shared" si="1"/>
        <v>5000</v>
      </c>
      <c r="K9" s="35">
        <f>'JOÃO ADRIANO-Desmob 2'!U28</f>
        <v>0</v>
      </c>
      <c r="L9" s="35">
        <f>'JOÃO ADRIANO-Desmob 2'!AC28</f>
        <v>0</v>
      </c>
      <c r="M9" s="36">
        <f>'JOÃO ADRIANO-Desmob'!AK36</f>
        <v>0</v>
      </c>
      <c r="O9" s="38" t="s">
        <v>36</v>
      </c>
      <c r="P9" s="46">
        <f>'João Adriano - Desmob3'!H27</f>
        <v>0</v>
      </c>
      <c r="Q9" s="43">
        <f t="shared" si="2"/>
        <v>5000</v>
      </c>
      <c r="R9" s="35">
        <f>'João Adriano - Desmob3'!Z28</f>
        <v>0</v>
      </c>
      <c r="S9" s="35">
        <f>'João Adriano - Desmob3'!AI28</f>
        <v>0</v>
      </c>
      <c r="T9" s="36">
        <f>'João Adriano - Desmob3'!AR28</f>
        <v>0</v>
      </c>
      <c r="V9" s="38" t="s">
        <v>36</v>
      </c>
      <c r="W9" s="46">
        <f>'João Adriano'!H27</f>
        <v>-49726</v>
      </c>
      <c r="X9" s="43">
        <f t="shared" si="3"/>
        <v>54726</v>
      </c>
      <c r="Y9" s="35">
        <f>'João Adriano'!Z28</f>
        <v>0</v>
      </c>
      <c r="Z9" s="35">
        <f>'João Adriano'!AI28</f>
        <v>0</v>
      </c>
      <c r="AA9" s="36">
        <f>'João Adriano'!AR28</f>
        <v>0</v>
      </c>
    </row>
    <row r="10" spans="1:27" x14ac:dyDescent="0.25">
      <c r="A10" s="38" t="s">
        <v>37</v>
      </c>
      <c r="B10" s="46">
        <f>'JOÃO ADRIANO-Desmob'!H39</f>
        <v>0</v>
      </c>
      <c r="C10" s="43">
        <f t="shared" si="0"/>
        <v>5000</v>
      </c>
      <c r="D10" s="35">
        <f>'JOÃO ADRIANO-Desmob'!U40</f>
        <v>0</v>
      </c>
      <c r="E10" s="35">
        <f>'JOÃO ADRIANO-Desmob'!AC40</f>
        <v>0</v>
      </c>
      <c r="F10" s="36">
        <f>'JOÃO ADRIANO-Desmob'!AK40</f>
        <v>0</v>
      </c>
      <c r="H10" s="38" t="s">
        <v>37</v>
      </c>
      <c r="I10" s="46">
        <f>'JOÃO ADRIANO-Desmob 2'!H31</f>
        <v>0</v>
      </c>
      <c r="J10" s="43">
        <f t="shared" si="1"/>
        <v>5000</v>
      </c>
      <c r="K10" s="35">
        <f>'JOÃO ADRIANO-Desmob 2'!U32</f>
        <v>0</v>
      </c>
      <c r="L10" s="35">
        <f>'JOÃO ADRIANO-Desmob 2'!AC32</f>
        <v>0</v>
      </c>
      <c r="M10" s="36">
        <f>'JOÃO ADRIANO-Desmob 2'!AK32</f>
        <v>0</v>
      </c>
      <c r="O10" s="38" t="s">
        <v>37</v>
      </c>
      <c r="P10" s="46">
        <f>'João Adriano - Desmob3'!H31</f>
        <v>0</v>
      </c>
      <c r="Q10" s="43">
        <f t="shared" si="2"/>
        <v>5000</v>
      </c>
      <c r="R10" s="35">
        <f>'João Adriano - Desmob3'!Z32</f>
        <v>0</v>
      </c>
      <c r="S10" s="35">
        <f>'João Adriano - Desmob3'!AI32</f>
        <v>0</v>
      </c>
      <c r="T10" s="36">
        <f>'João Adriano - Desmob3'!AR32</f>
        <v>0</v>
      </c>
      <c r="V10" s="38" t="s">
        <v>37</v>
      </c>
      <c r="W10" s="46">
        <f>'João Adriano'!H31</f>
        <v>0</v>
      </c>
      <c r="X10" s="43">
        <f t="shared" si="3"/>
        <v>5000</v>
      </c>
      <c r="Y10" s="35">
        <f>'João Adriano'!Z32</f>
        <v>0</v>
      </c>
      <c r="Z10" s="35">
        <f>'João Adriano'!AI32</f>
        <v>0</v>
      </c>
      <c r="AA10" s="36">
        <f>'João Adriano'!AR32</f>
        <v>0</v>
      </c>
    </row>
    <row r="11" spans="1:27" x14ac:dyDescent="0.25">
      <c r="A11" s="38" t="s">
        <v>38</v>
      </c>
      <c r="B11" s="46">
        <f>'JOÃO ADRIANO-Desmob'!H43</f>
        <v>0</v>
      </c>
      <c r="C11" s="43">
        <f t="shared" si="0"/>
        <v>5000</v>
      </c>
      <c r="D11" s="35">
        <f>'JOÃO ADRIANO-Desmob'!U44</f>
        <v>0</v>
      </c>
      <c r="E11" s="35">
        <f>'JOÃO ADRIANO-Desmob'!AC44</f>
        <v>0</v>
      </c>
      <c r="F11" s="36">
        <f>'JOÃO ADRIANO-Desmob'!AK44</f>
        <v>0</v>
      </c>
      <c r="H11" s="38" t="s">
        <v>38</v>
      </c>
      <c r="I11" s="46">
        <f>'JOÃO ADRIANO-Desmob 2'!H35</f>
        <v>0</v>
      </c>
      <c r="J11" s="43">
        <f t="shared" si="1"/>
        <v>5000</v>
      </c>
      <c r="K11" s="35">
        <f>'JOÃO ADRIANO-Desmob 2'!U36</f>
        <v>0</v>
      </c>
      <c r="L11" s="35">
        <f>'JOÃO ADRIANO-Desmob 2'!AC36</f>
        <v>0</v>
      </c>
      <c r="M11" s="36">
        <f>'JOÃO ADRIANO-Desmob 2'!AK36</f>
        <v>0</v>
      </c>
      <c r="O11" s="38" t="s">
        <v>38</v>
      </c>
      <c r="P11" s="46">
        <f>'João Adriano - Desmob3'!H35</f>
        <v>0</v>
      </c>
      <c r="Q11" s="43">
        <f t="shared" si="2"/>
        <v>5000</v>
      </c>
      <c r="R11" s="35">
        <f>'João Adriano - Desmob3'!Z36</f>
        <v>0</v>
      </c>
      <c r="S11" s="35">
        <f>'João Adriano - Desmob3'!AI36</f>
        <v>0</v>
      </c>
      <c r="T11" s="36">
        <f>'João Adriano - Desmob3'!AR36</f>
        <v>0</v>
      </c>
      <c r="V11" s="38" t="s">
        <v>38</v>
      </c>
      <c r="W11" s="46">
        <f>'João Adriano'!H35</f>
        <v>0</v>
      </c>
      <c r="X11" s="43">
        <f t="shared" si="3"/>
        <v>5000</v>
      </c>
      <c r="Y11" s="35">
        <f>'João Adriano'!Z36</f>
        <v>0</v>
      </c>
      <c r="Z11" s="35">
        <f>'João Adriano'!AI36</f>
        <v>0</v>
      </c>
      <c r="AA11" s="36">
        <f>'João Adriano'!AR36</f>
        <v>0</v>
      </c>
    </row>
    <row r="12" spans="1:27" x14ac:dyDescent="0.25">
      <c r="A12" s="38" t="s">
        <v>39</v>
      </c>
      <c r="B12" s="46">
        <f>'JOÃO ADRIANO-Desmob'!H47</f>
        <v>0</v>
      </c>
      <c r="C12" s="43">
        <f t="shared" si="0"/>
        <v>5000</v>
      </c>
      <c r="D12" s="35">
        <f>'JOÃO ADRIANO-Desmob'!U48</f>
        <v>0</v>
      </c>
      <c r="E12" s="35">
        <f>'JOÃO ADRIANO-Desmob'!AC48</f>
        <v>0</v>
      </c>
      <c r="F12" s="36">
        <f>'JOÃO ADRIANO-Desmob'!AK48</f>
        <v>0</v>
      </c>
      <c r="H12" s="38" t="s">
        <v>39</v>
      </c>
      <c r="I12" s="46">
        <f>'JOÃO ADRIANO-Desmob 2'!H39</f>
        <v>0</v>
      </c>
      <c r="J12" s="43">
        <f t="shared" si="1"/>
        <v>5000</v>
      </c>
      <c r="K12" s="35">
        <f>'JOÃO ADRIANO-Desmob 2'!U40</f>
        <v>0</v>
      </c>
      <c r="L12" s="35">
        <f>'JOÃO ADRIANO-Desmob 2'!AC40</f>
        <v>0</v>
      </c>
      <c r="M12" s="36">
        <f>'JOÃO ADRIANO-Desmob 2'!AK40</f>
        <v>0</v>
      </c>
      <c r="O12" s="38" t="s">
        <v>39</v>
      </c>
      <c r="P12" s="46">
        <f>'João Adriano - Desmob3'!H35</f>
        <v>0</v>
      </c>
      <c r="Q12" s="43">
        <f t="shared" si="2"/>
        <v>5000</v>
      </c>
      <c r="R12" s="35">
        <f>'João Adriano - Desmob3'!Z40</f>
        <v>0</v>
      </c>
      <c r="S12" s="35">
        <f>'João Adriano - Desmob3'!AI40</f>
        <v>0</v>
      </c>
      <c r="T12" s="36">
        <f>'João Adriano - Desmob3'!AR40</f>
        <v>0</v>
      </c>
      <c r="V12" s="38" t="s">
        <v>39</v>
      </c>
      <c r="W12" s="46">
        <f>'João Adriano'!H39</f>
        <v>0</v>
      </c>
      <c r="X12" s="43">
        <f t="shared" si="3"/>
        <v>5000</v>
      </c>
      <c r="Y12" s="35">
        <f>'João Adriano'!Z40</f>
        <v>0</v>
      </c>
      <c r="Z12" s="35">
        <f>'João Adriano'!AI40</f>
        <v>0</v>
      </c>
      <c r="AA12" s="36">
        <f>'João Adriano'!AR40</f>
        <v>0</v>
      </c>
    </row>
    <row r="13" spans="1:27" x14ac:dyDescent="0.25">
      <c r="A13" s="38" t="s">
        <v>40</v>
      </c>
      <c r="B13" s="46">
        <f>'JOÃO ADRIANO-Desmob'!H51</f>
        <v>0</v>
      </c>
      <c r="C13" s="43">
        <f t="shared" si="0"/>
        <v>5000</v>
      </c>
      <c r="D13" s="35">
        <f>'JOÃO ADRIANO-Desmob'!U52</f>
        <v>0</v>
      </c>
      <c r="E13" s="35">
        <f>'JOÃO ADRIANO-Desmob'!AC52</f>
        <v>0</v>
      </c>
      <c r="F13" s="36">
        <f>'JOÃO ADRIANO-Desmob'!AK52</f>
        <v>0</v>
      </c>
      <c r="H13" s="38" t="s">
        <v>40</v>
      </c>
      <c r="I13" s="46">
        <f>'JOÃO ADRIANO-Desmob 2'!H43</f>
        <v>0</v>
      </c>
      <c r="J13" s="43">
        <f t="shared" si="1"/>
        <v>5000</v>
      </c>
      <c r="K13" s="35">
        <f>'JOÃO ADRIANO-Desmob 2'!U44</f>
        <v>0</v>
      </c>
      <c r="L13" s="35">
        <f>'JOÃO ADRIANO-Desmob 2'!AC44</f>
        <v>0</v>
      </c>
      <c r="M13" s="36">
        <f>'JOÃO ADRIANO-Desmob 2'!AK44</f>
        <v>0</v>
      </c>
      <c r="O13" s="38" t="s">
        <v>40</v>
      </c>
      <c r="P13" s="46">
        <f>'João Adriano - Desmob3'!H39</f>
        <v>0</v>
      </c>
      <c r="Q13" s="43">
        <f t="shared" si="2"/>
        <v>5000</v>
      </c>
      <c r="R13" s="35">
        <f>'João Adriano - Desmob3'!Z44</f>
        <v>0</v>
      </c>
      <c r="S13" s="35">
        <f>'João Adriano - Desmob3'!AI44</f>
        <v>0</v>
      </c>
      <c r="T13" s="36">
        <f>'João Adriano - Desmob3'!AR44</f>
        <v>0</v>
      </c>
      <c r="V13" s="38" t="s">
        <v>40</v>
      </c>
      <c r="W13" s="46">
        <f>'João Adriano'!H43</f>
        <v>0</v>
      </c>
      <c r="X13" s="43">
        <f t="shared" si="3"/>
        <v>5000</v>
      </c>
      <c r="Y13" s="35">
        <f>'João Adriano'!Z44</f>
        <v>0</v>
      </c>
      <c r="Z13" s="35">
        <f>'João Adriano'!AI44</f>
        <v>0</v>
      </c>
      <c r="AA13" s="36">
        <f>'João Adriano'!AR44</f>
        <v>0</v>
      </c>
    </row>
    <row r="14" spans="1:27" x14ac:dyDescent="0.25">
      <c r="A14" s="38" t="s">
        <v>41</v>
      </c>
      <c r="B14" s="46">
        <f>'JOÃO ADRIANO-Desmob'!H55</f>
        <v>0</v>
      </c>
      <c r="C14" s="43">
        <f t="shared" si="0"/>
        <v>5000</v>
      </c>
      <c r="D14" s="35">
        <f>'JOÃO ADRIANO-Desmob'!U56</f>
        <v>0</v>
      </c>
      <c r="E14" s="35">
        <f>'JOÃO ADRIANO-Desmob'!AC56</f>
        <v>0</v>
      </c>
      <c r="F14" s="36">
        <f>'JOÃO ADRIANO-Desmob'!AK56</f>
        <v>0</v>
      </c>
      <c r="H14" s="38" t="s">
        <v>41</v>
      </c>
      <c r="I14" s="46">
        <f>'JOÃO ADRIANO-Desmob 2'!H47</f>
        <v>0</v>
      </c>
      <c r="J14" s="43">
        <f t="shared" si="1"/>
        <v>5000</v>
      </c>
      <c r="K14" s="35">
        <f>'JOÃO ADRIANO-Desmob 2'!U48</f>
        <v>0</v>
      </c>
      <c r="L14" s="35">
        <f>'JOÃO ADRIANO-Desmob 2'!AC48</f>
        <v>0</v>
      </c>
      <c r="M14" s="36">
        <f>'JOÃO ADRIANO-Desmob 2'!AK48</f>
        <v>0</v>
      </c>
      <c r="O14" s="38" t="s">
        <v>41</v>
      </c>
      <c r="P14" s="46">
        <f>'João Adriano - Desmob3'!H43</f>
        <v>0</v>
      </c>
      <c r="Q14" s="43">
        <f t="shared" si="2"/>
        <v>5000</v>
      </c>
      <c r="R14" s="35">
        <f>'João Adriano - Desmob3'!Z48</f>
        <v>0</v>
      </c>
      <c r="S14" s="35">
        <f>'João Adriano - Desmob3'!AI48</f>
        <v>0</v>
      </c>
      <c r="T14" s="36">
        <f>'João Adriano - Desmob3'!AR48</f>
        <v>0</v>
      </c>
      <c r="V14" s="38" t="s">
        <v>41</v>
      </c>
      <c r="W14" s="46">
        <f>'João Adriano'!H47</f>
        <v>0</v>
      </c>
      <c r="X14" s="43">
        <f t="shared" si="3"/>
        <v>5000</v>
      </c>
      <c r="Y14" s="35">
        <f>'João Adriano'!Z48</f>
        <v>0</v>
      </c>
      <c r="Z14" s="35">
        <f>'João Adriano'!AI48</f>
        <v>0</v>
      </c>
      <c r="AA14" s="36">
        <f>'João Adriano'!AR48</f>
        <v>0</v>
      </c>
    </row>
    <row r="15" spans="1:27" ht="15.75" thickBot="1" x14ac:dyDescent="0.3">
      <c r="A15" s="39" t="s">
        <v>42</v>
      </c>
      <c r="B15" s="47">
        <f>'JOÃO ADRIANO-Desmob'!H59</f>
        <v>0</v>
      </c>
      <c r="C15" s="44">
        <f t="shared" si="0"/>
        <v>5000</v>
      </c>
      <c r="D15" s="11">
        <f>'JOÃO ADRIANO-Desmob'!U60</f>
        <v>0</v>
      </c>
      <c r="E15" s="11">
        <f>'JOÃO ADRIANO-Desmob'!AC60</f>
        <v>0</v>
      </c>
      <c r="F15" s="12">
        <f>'JOÃO ADRIANO-Desmob'!AK60</f>
        <v>0</v>
      </c>
      <c r="H15" s="39" t="s">
        <v>42</v>
      </c>
      <c r="I15" s="47">
        <f>'JOÃO ADRIANO-Desmob 2'!H51</f>
        <v>0</v>
      </c>
      <c r="J15" s="44">
        <f>SUM(5000-I15)</f>
        <v>5000</v>
      </c>
      <c r="K15" s="11">
        <f>'JOÃO ADRIANO-Desmob 2'!U52</f>
        <v>0</v>
      </c>
      <c r="L15" s="11">
        <f>'JOÃO ADRIANO-Desmob 2'!AC48</f>
        <v>0</v>
      </c>
      <c r="M15" s="12">
        <f>'JOÃO ADRIANO-Desmob 2'!AK48</f>
        <v>0</v>
      </c>
      <c r="O15" s="39" t="s">
        <v>42</v>
      </c>
      <c r="P15" s="47">
        <f>'João Adriano - Desmob3'!H47</f>
        <v>0</v>
      </c>
      <c r="Q15" s="44">
        <f>SUM(5000-P15)</f>
        <v>5000</v>
      </c>
      <c r="R15" s="11">
        <f>'João Adriano - Desmob3'!Z52</f>
        <v>0</v>
      </c>
      <c r="S15" s="11">
        <f>'João Adriano - Desmob3'!AI48</f>
        <v>0</v>
      </c>
      <c r="T15" s="12">
        <f>'João Adriano - Desmob3'!AR52</f>
        <v>0</v>
      </c>
      <c r="V15" s="39" t="s">
        <v>42</v>
      </c>
      <c r="W15" s="47">
        <f>'João Adriano'!H51</f>
        <v>0</v>
      </c>
      <c r="X15" s="44">
        <f t="shared" si="3"/>
        <v>5000</v>
      </c>
      <c r="Y15" s="11">
        <f>'João Adriano'!Z52</f>
        <v>0</v>
      </c>
      <c r="Z15" s="11">
        <f>'João Adriano'!AI52</f>
        <v>0</v>
      </c>
      <c r="AA15" s="12">
        <f>'João Adriano'!AR52</f>
        <v>0</v>
      </c>
    </row>
    <row r="16" spans="1:27" ht="15.75" thickBot="1" x14ac:dyDescent="0.3"/>
    <row r="17" spans="1:27" ht="15.75" thickBot="1" x14ac:dyDescent="0.3">
      <c r="A17" s="3" t="s">
        <v>23</v>
      </c>
      <c r="B17" s="52">
        <f>SUM(B4:B15)</f>
        <v>314</v>
      </c>
      <c r="C17" s="51"/>
      <c r="D17" s="50">
        <f>SUM(D4:D15)</f>
        <v>0</v>
      </c>
      <c r="E17" s="49">
        <f>SUM(E4:E15)</f>
        <v>0</v>
      </c>
      <c r="F17" s="48">
        <f>SUM(F4:F15)</f>
        <v>0</v>
      </c>
      <c r="H17" s="3" t="s">
        <v>23</v>
      </c>
      <c r="I17" s="52">
        <f>SUM(I4:I15)</f>
        <v>937</v>
      </c>
      <c r="J17" s="51"/>
      <c r="K17" s="50">
        <f>SUM(K4:K15)</f>
        <v>0</v>
      </c>
      <c r="L17" s="49">
        <f>SUM(L4:L15)</f>
        <v>0</v>
      </c>
      <c r="M17" s="48">
        <f>SUM(M4:M15)</f>
        <v>0</v>
      </c>
      <c r="O17" s="3" t="s">
        <v>23</v>
      </c>
      <c r="P17" s="52">
        <f>SUM(P4:P15)</f>
        <v>2161</v>
      </c>
      <c r="Q17" s="51"/>
      <c r="R17" s="50">
        <f>SUM(R4:R15)</f>
        <v>816.11</v>
      </c>
      <c r="S17" s="49">
        <f>SUM(S4:S15)</f>
        <v>0</v>
      </c>
      <c r="T17" s="48">
        <f>SUM(T4:T15)</f>
        <v>0</v>
      </c>
      <c r="V17" s="3" t="s">
        <v>23</v>
      </c>
      <c r="W17" s="52">
        <f>SUM(W4:W15)</f>
        <v>-49726</v>
      </c>
      <c r="X17" s="51"/>
      <c r="Y17" s="50">
        <f>SUM(Y4:Y15)</f>
        <v>0</v>
      </c>
      <c r="Z17" s="49">
        <f>SUM(Z4:Z15)</f>
        <v>0</v>
      </c>
      <c r="AA17" s="48">
        <f>SUM(AA4:AA15)</f>
        <v>0</v>
      </c>
    </row>
    <row r="18" spans="1:27" ht="15.75" thickBot="1" x14ac:dyDescent="0.3">
      <c r="A18" s="3" t="s">
        <v>44</v>
      </c>
      <c r="B18" s="23">
        <f>SUM(60000-B17)</f>
        <v>59686</v>
      </c>
      <c r="H18" s="3" t="s">
        <v>44</v>
      </c>
      <c r="I18" s="23">
        <f>SUM(60000-I17)</f>
        <v>59063</v>
      </c>
      <c r="O18" s="3" t="s">
        <v>44</v>
      </c>
      <c r="P18" s="23">
        <f>SUM(60000-P17)</f>
        <v>57839</v>
      </c>
      <c r="V18" s="3" t="s">
        <v>44</v>
      </c>
      <c r="W18" s="23">
        <f>SUM(60000-W17)</f>
        <v>109726</v>
      </c>
    </row>
    <row r="21" spans="1:27" ht="15.75" thickBot="1" x14ac:dyDescent="0.3">
      <c r="B21" s="84" t="s">
        <v>74</v>
      </c>
      <c r="C21" s="84"/>
      <c r="D21" s="84"/>
      <c r="E21" s="84"/>
      <c r="F21" s="84"/>
      <c r="I21" s="77" t="s">
        <v>73</v>
      </c>
      <c r="J21" s="77"/>
      <c r="K21" s="77"/>
      <c r="L21" s="77"/>
      <c r="M21" s="77"/>
      <c r="P21" s="77" t="s">
        <v>72</v>
      </c>
      <c r="Q21" s="77"/>
      <c r="R21" s="77"/>
      <c r="S21" s="77"/>
      <c r="T21" s="77"/>
      <c r="W21" s="77" t="s">
        <v>52</v>
      </c>
      <c r="X21" s="77"/>
      <c r="Y21" s="77"/>
      <c r="Z21" s="77"/>
      <c r="AA21" s="77"/>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CAR_05!H11</f>
        <v>0</v>
      </c>
      <c r="C24" s="43">
        <f>SUM(5000-B24)</f>
        <v>5000</v>
      </c>
      <c r="D24" s="35">
        <f>CAR_05!U12</f>
        <v>0</v>
      </c>
      <c r="E24" s="35">
        <f>CAR_05!AC12</f>
        <v>0</v>
      </c>
      <c r="F24" s="36">
        <f>CAR_05!AK12</f>
        <v>0</v>
      </c>
      <c r="H24" s="38" t="s">
        <v>32</v>
      </c>
      <c r="I24" s="46">
        <f>CAR_06!H11</f>
        <v>0</v>
      </c>
      <c r="J24" s="43">
        <f>SUM(5000-I24)</f>
        <v>5000</v>
      </c>
      <c r="K24" s="35">
        <f>CAR_06!U12</f>
        <v>0</v>
      </c>
      <c r="L24" s="35">
        <f>CAR_06!AC12</f>
        <v>0</v>
      </c>
      <c r="M24" s="36">
        <f>CAR_06!AK12</f>
        <v>0</v>
      </c>
      <c r="O24" s="38" t="s">
        <v>32</v>
      </c>
      <c r="P24" s="46">
        <f>CAR_07!H11</f>
        <v>0</v>
      </c>
      <c r="Q24" s="43">
        <f>SUM(5000-P24)</f>
        <v>5000</v>
      </c>
      <c r="R24" s="35">
        <f>CAR_07!U12</f>
        <v>0</v>
      </c>
      <c r="S24" s="35">
        <f>CAR_07!AC12</f>
        <v>0</v>
      </c>
      <c r="T24" s="36">
        <f>CAR_07!AK12</f>
        <v>0</v>
      </c>
      <c r="V24" s="38" t="s">
        <v>32</v>
      </c>
      <c r="W24" s="46">
        <f>CAR_08!H11</f>
        <v>0</v>
      </c>
      <c r="X24" s="43">
        <f>SUM(5000-W24)</f>
        <v>5000</v>
      </c>
      <c r="Y24" s="35">
        <f>CAR_08!U12</f>
        <v>0</v>
      </c>
      <c r="Z24" s="35">
        <f>CAR_08!AE12</f>
        <v>0</v>
      </c>
      <c r="AA24" s="36">
        <f>CAR_08!AN12</f>
        <v>0</v>
      </c>
    </row>
    <row r="25" spans="1:27" x14ac:dyDescent="0.25">
      <c r="A25" s="38" t="s">
        <v>33</v>
      </c>
      <c r="B25" s="46">
        <f>CAR_05!H15</f>
        <v>0</v>
      </c>
      <c r="C25" s="43">
        <f t="shared" ref="C25:C34" si="4">SUM(5000-B25)</f>
        <v>5000</v>
      </c>
      <c r="D25" s="35">
        <f>CAR_05!U16</f>
        <v>0</v>
      </c>
      <c r="E25" s="35">
        <f>CAR_05!AC16</f>
        <v>0</v>
      </c>
      <c r="F25" s="36">
        <f>CAR_05!AK16</f>
        <v>0</v>
      </c>
      <c r="H25" s="38" t="s">
        <v>33</v>
      </c>
      <c r="I25" s="46">
        <f>CAR_06!H15</f>
        <v>0</v>
      </c>
      <c r="J25" s="43">
        <f t="shared" ref="J25:J34" si="5">SUM(5000-I25)</f>
        <v>5000</v>
      </c>
      <c r="K25" s="35">
        <f>CAR_06!U16</f>
        <v>0</v>
      </c>
      <c r="L25" s="35">
        <f>CAR_06!AC16</f>
        <v>0</v>
      </c>
      <c r="M25" s="36">
        <f>CAR_06!AK16</f>
        <v>0</v>
      </c>
      <c r="O25" s="38" t="s">
        <v>33</v>
      </c>
      <c r="P25" s="46">
        <f>CAR_07!H15</f>
        <v>0</v>
      </c>
      <c r="Q25" s="43">
        <f t="shared" ref="Q25:Q34" si="6">SUM(5000-P25)</f>
        <v>5000</v>
      </c>
      <c r="R25" s="35">
        <f>CAR_07!U16</f>
        <v>0</v>
      </c>
      <c r="S25" s="35">
        <f>CAR_07!AC16</f>
        <v>0</v>
      </c>
      <c r="T25" s="36">
        <f>CAR_07!AK16</f>
        <v>0</v>
      </c>
      <c r="V25" s="38" t="s">
        <v>33</v>
      </c>
      <c r="W25" s="46">
        <f>CAR_08!H15</f>
        <v>0</v>
      </c>
      <c r="X25" s="43">
        <f t="shared" ref="X25:X34" si="7">SUM(5000-W25)</f>
        <v>5000</v>
      </c>
      <c r="Y25" s="35">
        <f>CAR_08!U16</f>
        <v>0</v>
      </c>
      <c r="Z25" s="35">
        <f>CAR_08!AE16</f>
        <v>0</v>
      </c>
      <c r="AA25" s="36">
        <f>CAR_08!AN16</f>
        <v>0</v>
      </c>
    </row>
    <row r="26" spans="1:27" x14ac:dyDescent="0.25">
      <c r="A26" s="38" t="s">
        <v>34</v>
      </c>
      <c r="B26" s="46">
        <f>CAR_05!H19</f>
        <v>0</v>
      </c>
      <c r="C26" s="43">
        <f t="shared" si="4"/>
        <v>5000</v>
      </c>
      <c r="D26" s="35">
        <f>CAR_05!U20</f>
        <v>0</v>
      </c>
      <c r="E26" s="35">
        <f>CAR_05!AC20</f>
        <v>0</v>
      </c>
      <c r="F26" s="36">
        <f>CAR_05!AK20</f>
        <v>0</v>
      </c>
      <c r="H26" s="38" t="s">
        <v>34</v>
      </c>
      <c r="I26" s="46">
        <f>CAR_06!H19</f>
        <v>0</v>
      </c>
      <c r="J26" s="43">
        <f t="shared" si="5"/>
        <v>5000</v>
      </c>
      <c r="K26" s="35">
        <f>CAR_06!U20</f>
        <v>0</v>
      </c>
      <c r="L26" s="35">
        <f>CAR_06!AC20</f>
        <v>0</v>
      </c>
      <c r="M26" s="36">
        <f>CAR_06!AK20</f>
        <v>0</v>
      </c>
      <c r="O26" s="38" t="s">
        <v>34</v>
      </c>
      <c r="P26" s="46">
        <f>CAR_07!H19</f>
        <v>0</v>
      </c>
      <c r="Q26" s="43">
        <f t="shared" si="6"/>
        <v>5000</v>
      </c>
      <c r="R26" s="35">
        <f>CAR_07!U20</f>
        <v>0</v>
      </c>
      <c r="S26" s="35">
        <f>CAR_07!AC20</f>
        <v>0</v>
      </c>
      <c r="T26" s="36">
        <f>CAR_07!AK20</f>
        <v>0</v>
      </c>
      <c r="V26" s="38" t="s">
        <v>34</v>
      </c>
      <c r="W26" s="46">
        <f>CAR_08!H19</f>
        <v>0</v>
      </c>
      <c r="X26" s="43">
        <f t="shared" si="7"/>
        <v>5000</v>
      </c>
      <c r="Y26" s="35">
        <f>CAR_08!U200</f>
        <v>0</v>
      </c>
      <c r="Z26" s="35">
        <f>CAR_08!AE20</f>
        <v>0</v>
      </c>
      <c r="AA26" s="36">
        <f>CAR_08!AN200</f>
        <v>0</v>
      </c>
    </row>
    <row r="27" spans="1:27" x14ac:dyDescent="0.25">
      <c r="A27" s="38" t="s">
        <v>35</v>
      </c>
      <c r="B27" s="46">
        <f>CAR_05!H23</f>
        <v>0</v>
      </c>
      <c r="C27" s="43">
        <f t="shared" si="4"/>
        <v>5000</v>
      </c>
      <c r="D27" s="35">
        <f>CAR_05!U24</f>
        <v>0</v>
      </c>
      <c r="E27" s="35">
        <f>CAR_05!AC24</f>
        <v>0</v>
      </c>
      <c r="F27" s="36">
        <f>CAR_05!AK24</f>
        <v>0</v>
      </c>
      <c r="H27" s="38" t="s">
        <v>35</v>
      </c>
      <c r="I27" s="46">
        <f>CAR_06!H23</f>
        <v>0</v>
      </c>
      <c r="J27" s="43">
        <f t="shared" si="5"/>
        <v>5000</v>
      </c>
      <c r="K27" s="35">
        <f>CAR_06!U24</f>
        <v>0</v>
      </c>
      <c r="L27" s="35">
        <f>CAR_06!AC24</f>
        <v>0</v>
      </c>
      <c r="M27" s="36">
        <f>CAR_06!AK24</f>
        <v>0</v>
      </c>
      <c r="O27" s="38" t="s">
        <v>35</v>
      </c>
      <c r="P27" s="46">
        <f>CAR_07!H23</f>
        <v>0</v>
      </c>
      <c r="Q27" s="43">
        <f t="shared" si="6"/>
        <v>5000</v>
      </c>
      <c r="R27" s="35">
        <f>CAR_07!U24</f>
        <v>0</v>
      </c>
      <c r="S27" s="35">
        <f>CAR_07!AC24</f>
        <v>0</v>
      </c>
      <c r="T27" s="36">
        <f>CAR_07!AK24</f>
        <v>0</v>
      </c>
      <c r="V27" s="38" t="s">
        <v>35</v>
      </c>
      <c r="W27" s="46">
        <f>CAR_08!H23</f>
        <v>0</v>
      </c>
      <c r="X27" s="43">
        <f t="shared" si="7"/>
        <v>5000</v>
      </c>
      <c r="Y27" s="35">
        <f>CAR_08!U24</f>
        <v>0</v>
      </c>
      <c r="Z27" s="35">
        <f>CAR_08!AE24</f>
        <v>0</v>
      </c>
      <c r="AA27" s="36">
        <f>CAR_08!AN24</f>
        <v>0</v>
      </c>
    </row>
    <row r="28" spans="1:27" x14ac:dyDescent="0.25">
      <c r="A28" s="38" t="s">
        <v>36</v>
      </c>
      <c r="B28" s="46">
        <f>CAR_05!H27</f>
        <v>0</v>
      </c>
      <c r="C28" s="43">
        <f t="shared" si="4"/>
        <v>5000</v>
      </c>
      <c r="D28" s="35">
        <f>CAR_05!U28</f>
        <v>0</v>
      </c>
      <c r="E28" s="35">
        <f>CAR_05!AC28</f>
        <v>0</v>
      </c>
      <c r="F28" s="36">
        <f>CAR_05!AK28</f>
        <v>0</v>
      </c>
      <c r="H28" s="38" t="s">
        <v>36</v>
      </c>
      <c r="I28" s="46">
        <f>CAR_06!H27</f>
        <v>0</v>
      </c>
      <c r="J28" s="43">
        <f t="shared" si="5"/>
        <v>5000</v>
      </c>
      <c r="K28" s="35">
        <f>CAR_06!U28</f>
        <v>0</v>
      </c>
      <c r="L28" s="35">
        <f>CAR_06!AC28</f>
        <v>0</v>
      </c>
      <c r="M28" s="36">
        <f>CAR_06!AK28</f>
        <v>0</v>
      </c>
      <c r="O28" s="38" t="s">
        <v>36</v>
      </c>
      <c r="P28" s="46">
        <f>CAR_07!H27</f>
        <v>0</v>
      </c>
      <c r="Q28" s="43">
        <f t="shared" si="6"/>
        <v>5000</v>
      </c>
      <c r="R28" s="35">
        <f>CAR_07!U28</f>
        <v>0</v>
      </c>
      <c r="S28" s="35">
        <f>CAR_07!AC28</f>
        <v>0</v>
      </c>
      <c r="T28" s="36">
        <f>CAR_07!AK28</f>
        <v>0</v>
      </c>
      <c r="V28" s="38" t="s">
        <v>36</v>
      </c>
      <c r="W28" s="46">
        <f>CAR_08!H27</f>
        <v>0</v>
      </c>
      <c r="X28" s="43">
        <f t="shared" si="7"/>
        <v>5000</v>
      </c>
      <c r="Y28" s="35">
        <f>CAR_08!U28</f>
        <v>0</v>
      </c>
      <c r="Z28" s="35">
        <f>CAR_08!AE28</f>
        <v>0</v>
      </c>
      <c r="AA28" s="36">
        <f>CAR_08!AN28</f>
        <v>0</v>
      </c>
    </row>
    <row r="29" spans="1:27" x14ac:dyDescent="0.25">
      <c r="A29" s="38" t="s">
        <v>37</v>
      </c>
      <c r="B29" s="46">
        <f>CAR_05!H31</f>
        <v>0</v>
      </c>
      <c r="C29" s="43">
        <f t="shared" si="4"/>
        <v>5000</v>
      </c>
      <c r="D29" s="35">
        <f>CAR_05!U32</f>
        <v>0</v>
      </c>
      <c r="E29" s="35">
        <f>CAR_05!AC32</f>
        <v>0</v>
      </c>
      <c r="F29" s="36">
        <f>CAR_05!AK32</f>
        <v>0</v>
      </c>
      <c r="H29" s="38" t="s">
        <v>37</v>
      </c>
      <c r="I29" s="46">
        <f>CAR_06!H31</f>
        <v>0</v>
      </c>
      <c r="J29" s="43">
        <f t="shared" si="5"/>
        <v>5000</v>
      </c>
      <c r="K29" s="35">
        <f>CAR_06!U32</f>
        <v>0</v>
      </c>
      <c r="L29" s="35">
        <f>CAR_06!AC32</f>
        <v>0</v>
      </c>
      <c r="M29" s="36">
        <f>CAR_06!AK32</f>
        <v>0</v>
      </c>
      <c r="O29" s="38" t="s">
        <v>37</v>
      </c>
      <c r="P29" s="46">
        <f>CAR_07!H31</f>
        <v>0</v>
      </c>
      <c r="Q29" s="43">
        <f t="shared" si="6"/>
        <v>5000</v>
      </c>
      <c r="R29" s="35">
        <f>CAR_07!U32</f>
        <v>0</v>
      </c>
      <c r="S29" s="35">
        <f>CAR_07!AC32</f>
        <v>0</v>
      </c>
      <c r="T29" s="36">
        <f>CAR_07!AK32</f>
        <v>0</v>
      </c>
      <c r="V29" s="38" t="s">
        <v>37</v>
      </c>
      <c r="W29" s="46">
        <f>CAR_08!H31</f>
        <v>0</v>
      </c>
      <c r="X29" s="43">
        <f t="shared" si="7"/>
        <v>5000</v>
      </c>
      <c r="Y29" s="35">
        <f>CAR_08!U32</f>
        <v>0</v>
      </c>
      <c r="Z29" s="35">
        <f>CAR_08!AE32</f>
        <v>0</v>
      </c>
      <c r="AA29" s="36">
        <f>CAR_08!AN32</f>
        <v>0</v>
      </c>
    </row>
    <row r="30" spans="1:27" x14ac:dyDescent="0.25">
      <c r="A30" s="38" t="s">
        <v>38</v>
      </c>
      <c r="B30" s="46">
        <f>CAR_05!H35</f>
        <v>0</v>
      </c>
      <c r="C30" s="43">
        <f t="shared" si="4"/>
        <v>5000</v>
      </c>
      <c r="D30" s="35">
        <f>CAR_05!U36</f>
        <v>0</v>
      </c>
      <c r="E30" s="35">
        <f>CAR_05!AC36</f>
        <v>0</v>
      </c>
      <c r="F30" s="36">
        <f>CAR_05!AK36</f>
        <v>0</v>
      </c>
      <c r="H30" s="38" t="s">
        <v>38</v>
      </c>
      <c r="I30" s="46">
        <f>CAR_06!H35</f>
        <v>0</v>
      </c>
      <c r="J30" s="43">
        <f t="shared" si="5"/>
        <v>5000</v>
      </c>
      <c r="K30" s="35">
        <f>CAR_06!U36</f>
        <v>0</v>
      </c>
      <c r="L30" s="35">
        <f>CAR_06!AC36</f>
        <v>0</v>
      </c>
      <c r="M30" s="36">
        <f>CAR_06!AK36</f>
        <v>0</v>
      </c>
      <c r="O30" s="38" t="s">
        <v>38</v>
      </c>
      <c r="P30" s="46">
        <f>CAR_07!H35</f>
        <v>0</v>
      </c>
      <c r="Q30" s="43">
        <f t="shared" si="6"/>
        <v>5000</v>
      </c>
      <c r="R30" s="35">
        <f>CAR_07!U36</f>
        <v>0</v>
      </c>
      <c r="S30" s="35">
        <f>CAR_07!AC36</f>
        <v>0</v>
      </c>
      <c r="T30" s="36">
        <f>CAR_07!AK36</f>
        <v>0</v>
      </c>
      <c r="V30" s="38" t="s">
        <v>38</v>
      </c>
      <c r="W30" s="46">
        <f>CAR_08!H35</f>
        <v>0</v>
      </c>
      <c r="X30" s="43">
        <f t="shared" si="7"/>
        <v>5000</v>
      </c>
      <c r="Y30" s="35">
        <f>CAR_08!U36</f>
        <v>0</v>
      </c>
      <c r="Z30" s="35">
        <f>CAR_08!AE36</f>
        <v>0</v>
      </c>
      <c r="AA30" s="36">
        <f>CAR_08!AN36</f>
        <v>0</v>
      </c>
    </row>
    <row r="31" spans="1:27" x14ac:dyDescent="0.25">
      <c r="A31" s="38" t="s">
        <v>39</v>
      </c>
      <c r="B31" s="46">
        <f>CAR_05!H39</f>
        <v>0</v>
      </c>
      <c r="C31" s="43">
        <f t="shared" si="4"/>
        <v>5000</v>
      </c>
      <c r="D31" s="35">
        <f>CAR_05!U40</f>
        <v>0</v>
      </c>
      <c r="E31" s="35">
        <f>CAR_05!AC40</f>
        <v>0</v>
      </c>
      <c r="F31" s="36">
        <f>CAR_05!AK4</f>
        <v>0</v>
      </c>
      <c r="H31" s="38" t="s">
        <v>39</v>
      </c>
      <c r="I31" s="46">
        <f>CAR_06!H39</f>
        <v>0</v>
      </c>
      <c r="J31" s="43">
        <f t="shared" si="5"/>
        <v>5000</v>
      </c>
      <c r="K31" s="35">
        <f>CAR_06!U40</f>
        <v>0</v>
      </c>
      <c r="L31" s="35">
        <f>CAR_06!AC40</f>
        <v>0</v>
      </c>
      <c r="M31" s="36">
        <f>CAR_06!AK40</f>
        <v>0</v>
      </c>
      <c r="O31" s="38" t="s">
        <v>39</v>
      </c>
      <c r="P31" s="46">
        <f>CAR_07!H39</f>
        <v>0</v>
      </c>
      <c r="Q31" s="43">
        <f t="shared" si="6"/>
        <v>5000</v>
      </c>
      <c r="R31" s="35">
        <f>CAR_07!U40</f>
        <v>0</v>
      </c>
      <c r="S31" s="35">
        <f>CAR_07!AC40</f>
        <v>0</v>
      </c>
      <c r="T31" s="36">
        <f>CAR_07!AK40</f>
        <v>0</v>
      </c>
      <c r="V31" s="38" t="s">
        <v>39</v>
      </c>
      <c r="W31" s="46">
        <f>CAR_08!H39</f>
        <v>0</v>
      </c>
      <c r="X31" s="43">
        <f t="shared" si="7"/>
        <v>5000</v>
      </c>
      <c r="Y31" s="35">
        <f>CAR_08!U40</f>
        <v>0</v>
      </c>
      <c r="Z31" s="35">
        <f>CAR_08!AE40</f>
        <v>0</v>
      </c>
      <c r="AA31" s="36">
        <f>CAR_08!AN40</f>
        <v>0</v>
      </c>
    </row>
    <row r="32" spans="1:27" x14ac:dyDescent="0.25">
      <c r="A32" s="38" t="s">
        <v>40</v>
      </c>
      <c r="B32" s="46">
        <f>CAR_05!H43</f>
        <v>0</v>
      </c>
      <c r="C32" s="43">
        <f t="shared" si="4"/>
        <v>5000</v>
      </c>
      <c r="D32" s="35">
        <f>CAR_05!U44</f>
        <v>0</v>
      </c>
      <c r="E32" s="35">
        <f>CAR_05!AC44</f>
        <v>0</v>
      </c>
      <c r="F32" s="36">
        <f>CAR_05!AK44</f>
        <v>0</v>
      </c>
      <c r="H32" s="38" t="s">
        <v>40</v>
      </c>
      <c r="I32" s="46">
        <f>CAR_06!H43</f>
        <v>0</v>
      </c>
      <c r="J32" s="43">
        <f t="shared" si="5"/>
        <v>5000</v>
      </c>
      <c r="K32" s="35">
        <f>CAR_06!U44</f>
        <v>0</v>
      </c>
      <c r="L32" s="35">
        <f>CAR_06!AC44</f>
        <v>0</v>
      </c>
      <c r="M32" s="36">
        <f>CAR_06!AK44</f>
        <v>0</v>
      </c>
      <c r="O32" s="38" t="s">
        <v>40</v>
      </c>
      <c r="P32" s="46">
        <f>CAR_07!H43</f>
        <v>0</v>
      </c>
      <c r="Q32" s="43">
        <f t="shared" si="6"/>
        <v>5000</v>
      </c>
      <c r="R32" s="35">
        <f>CAR_07!U44</f>
        <v>0</v>
      </c>
      <c r="S32" s="35">
        <f>CAR_07!AC44</f>
        <v>0</v>
      </c>
      <c r="T32" s="36">
        <f>CAR_07!AK44</f>
        <v>0</v>
      </c>
      <c r="V32" s="38" t="s">
        <v>40</v>
      </c>
      <c r="W32" s="46">
        <f>CAR_08!H43</f>
        <v>0</v>
      </c>
      <c r="X32" s="43">
        <f t="shared" si="7"/>
        <v>5000</v>
      </c>
      <c r="Y32" s="35">
        <f>CAR_08!U44</f>
        <v>0</v>
      </c>
      <c r="Z32" s="35">
        <f>CAR_08!AE44</f>
        <v>0</v>
      </c>
      <c r="AA32" s="36">
        <f>CAR_08!AN44</f>
        <v>0</v>
      </c>
    </row>
    <row r="33" spans="1:27" x14ac:dyDescent="0.25">
      <c r="A33" s="38" t="s">
        <v>41</v>
      </c>
      <c r="B33" s="46">
        <f>CAR_05!H47</f>
        <v>0</v>
      </c>
      <c r="C33" s="43">
        <f t="shared" si="4"/>
        <v>5000</v>
      </c>
      <c r="D33" s="35">
        <f>CAR_05!U48</f>
        <v>0</v>
      </c>
      <c r="E33" s="35">
        <f>CAR_05!AC48</f>
        <v>0</v>
      </c>
      <c r="F33" s="36">
        <f>CAR_05!AK48</f>
        <v>0</v>
      </c>
      <c r="H33" s="38" t="s">
        <v>41</v>
      </c>
      <c r="I33" s="46">
        <f>CAR_06!H47</f>
        <v>0</v>
      </c>
      <c r="J33" s="43">
        <f t="shared" si="5"/>
        <v>5000</v>
      </c>
      <c r="K33" s="35">
        <f>CAR_06!U48</f>
        <v>0</v>
      </c>
      <c r="L33" s="35">
        <f>CAR_06!AC48</f>
        <v>0</v>
      </c>
      <c r="M33" s="36">
        <f>CAR_06!AK48</f>
        <v>0</v>
      </c>
      <c r="O33" s="38" t="s">
        <v>41</v>
      </c>
      <c r="P33" s="46">
        <f>CAR_07!H47</f>
        <v>0</v>
      </c>
      <c r="Q33" s="43">
        <f t="shared" si="6"/>
        <v>5000</v>
      </c>
      <c r="R33" s="35">
        <f>CAR_07!U48</f>
        <v>0</v>
      </c>
      <c r="S33" s="35">
        <f>CAR_07!AC48</f>
        <v>0</v>
      </c>
      <c r="T33" s="36">
        <f>CAR_07!AK48</f>
        <v>0</v>
      </c>
      <c r="V33" s="38" t="s">
        <v>41</v>
      </c>
      <c r="W33" s="46">
        <f>CAR_08!H47</f>
        <v>0</v>
      </c>
      <c r="X33" s="43">
        <f t="shared" si="7"/>
        <v>5000</v>
      </c>
      <c r="Y33" s="35">
        <f>CAR_08!U48</f>
        <v>0</v>
      </c>
      <c r="Z33" s="35">
        <f>CAR_08!AE48</f>
        <v>0</v>
      </c>
      <c r="AA33" s="36">
        <f>CAR_08!AN48</f>
        <v>0</v>
      </c>
    </row>
    <row r="34" spans="1:27" ht="15.75" thickBot="1" x14ac:dyDescent="0.3">
      <c r="A34" s="39" t="s">
        <v>42</v>
      </c>
      <c r="B34" s="47">
        <f>CAR_05!H51</f>
        <v>0</v>
      </c>
      <c r="C34" s="44">
        <f t="shared" si="4"/>
        <v>5000</v>
      </c>
      <c r="D34" s="11">
        <f>CAR_05!U52</f>
        <v>0</v>
      </c>
      <c r="E34" s="11">
        <f>CAR_05!AC52</f>
        <v>0</v>
      </c>
      <c r="F34" s="12">
        <f>CAR_05!AK52</f>
        <v>0</v>
      </c>
      <c r="H34" s="39" t="s">
        <v>42</v>
      </c>
      <c r="I34" s="47">
        <f>CAR_06!H51</f>
        <v>0</v>
      </c>
      <c r="J34" s="44">
        <f t="shared" si="5"/>
        <v>5000</v>
      </c>
      <c r="K34" s="11">
        <f>CAR_06!U52</f>
        <v>0</v>
      </c>
      <c r="L34" s="11">
        <f>CAR_06!AC52</f>
        <v>0</v>
      </c>
      <c r="M34" s="12">
        <f>CAR_06!AK52</f>
        <v>0</v>
      </c>
      <c r="O34" s="39" t="s">
        <v>42</v>
      </c>
      <c r="P34" s="47">
        <f>CAR_07!H51</f>
        <v>0</v>
      </c>
      <c r="Q34" s="44">
        <f t="shared" si="6"/>
        <v>5000</v>
      </c>
      <c r="R34" s="11">
        <f>CAR_07!U52</f>
        <v>0</v>
      </c>
      <c r="S34" s="11">
        <f>CAR_07!AC52</f>
        <v>0</v>
      </c>
      <c r="T34" s="12">
        <f>CAR_07!AK52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0</v>
      </c>
      <c r="C36" s="51"/>
      <c r="D36" s="50">
        <f>SUM(D23:D34)</f>
        <v>0</v>
      </c>
      <c r="E36" s="49">
        <f>SUM(E23:E34)</f>
        <v>0</v>
      </c>
      <c r="F36" s="48">
        <f>SUM(F23:F34)</f>
        <v>0</v>
      </c>
      <c r="H36" s="3" t="s">
        <v>23</v>
      </c>
      <c r="I36" s="52">
        <f>SUM(I23:I34)</f>
        <v>0</v>
      </c>
      <c r="J36" s="51"/>
      <c r="K36" s="50">
        <f>SUM(K23:K34)</f>
        <v>0</v>
      </c>
      <c r="L36" s="49">
        <f>SUM(L23:L34)</f>
        <v>0</v>
      </c>
      <c r="M36" s="48">
        <f>SUM(M23:M34)</f>
        <v>0</v>
      </c>
      <c r="O36" s="3" t="s">
        <v>23</v>
      </c>
      <c r="P36" s="52">
        <f>SUM(P23:P34)</f>
        <v>0</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60000</v>
      </c>
      <c r="H37" s="3" t="s">
        <v>44</v>
      </c>
      <c r="I37" s="23">
        <f>SUM(60000-I36)</f>
        <v>60000</v>
      </c>
      <c r="O37" s="3" t="s">
        <v>44</v>
      </c>
      <c r="P37" s="23">
        <f>SUM(60000-P36)</f>
        <v>60000</v>
      </c>
      <c r="V37" s="3" t="s">
        <v>44</v>
      </c>
      <c r="W37" s="23">
        <f>SUM(60000-W36)</f>
        <v>60000</v>
      </c>
    </row>
    <row r="40" spans="1:27" ht="15.75" thickBot="1" x14ac:dyDescent="0.3">
      <c r="B40" s="77" t="s">
        <v>53</v>
      </c>
      <c r="C40" s="77"/>
      <c r="D40" s="77"/>
      <c r="E40" s="77"/>
      <c r="F40" s="77"/>
      <c r="I40" s="77" t="s">
        <v>54</v>
      </c>
      <c r="J40" s="77"/>
      <c r="K40" s="77"/>
      <c r="L40" s="77"/>
      <c r="M40" s="77"/>
      <c r="P40" s="77" t="s">
        <v>55</v>
      </c>
      <c r="Q40" s="77"/>
      <c r="R40" s="77"/>
      <c r="S40" s="77"/>
      <c r="T40" s="77"/>
      <c r="W40" s="77" t="s">
        <v>56</v>
      </c>
      <c r="X40" s="77"/>
      <c r="Y40" s="77"/>
      <c r="Z40" s="77"/>
      <c r="AA40" s="77"/>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60000</v>
      </c>
      <c r="O56" s="3" t="s">
        <v>44</v>
      </c>
      <c r="P56" s="23">
        <f>SUM(60000-P55)</f>
        <v>60000</v>
      </c>
      <c r="V56" s="3" t="s">
        <v>44</v>
      </c>
      <c r="W56" s="23">
        <f>SUM(60000-W55)</f>
        <v>60000</v>
      </c>
    </row>
    <row r="59" spans="1:27" ht="15.75" thickBot="1" x14ac:dyDescent="0.3">
      <c r="B59" s="77" t="s">
        <v>57</v>
      </c>
      <c r="C59" s="77"/>
      <c r="D59" s="77"/>
      <c r="E59" s="77"/>
      <c r="F59" s="77"/>
      <c r="I59" s="77" t="s">
        <v>58</v>
      </c>
      <c r="J59" s="77"/>
      <c r="K59" s="77"/>
      <c r="L59" s="77"/>
      <c r="M59" s="77"/>
      <c r="P59" s="77" t="s">
        <v>59</v>
      </c>
      <c r="Q59" s="77"/>
      <c r="R59" s="77"/>
      <c r="S59" s="77"/>
      <c r="T59" s="77"/>
      <c r="W59" s="77" t="s">
        <v>60</v>
      </c>
      <c r="X59" s="77"/>
      <c r="Y59" s="77"/>
      <c r="Z59" s="77"/>
      <c r="AA59" s="77"/>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77" t="s">
        <v>61</v>
      </c>
      <c r="C78" s="77"/>
      <c r="D78" s="77"/>
      <c r="E78" s="77"/>
      <c r="F78" s="77"/>
      <c r="I78" s="77" t="s">
        <v>62</v>
      </c>
      <c r="J78" s="77"/>
      <c r="K78" s="77"/>
      <c r="L78" s="77"/>
      <c r="M78" s="77"/>
      <c r="P78" s="77" t="s">
        <v>63</v>
      </c>
      <c r="Q78" s="77"/>
      <c r="R78" s="77"/>
      <c r="S78" s="77"/>
      <c r="T78" s="77"/>
      <c r="W78" s="77" t="s">
        <v>64</v>
      </c>
      <c r="X78" s="77"/>
      <c r="Y78" s="77"/>
      <c r="Z78" s="77"/>
      <c r="AA78" s="77"/>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77" t="s">
        <v>65</v>
      </c>
      <c r="C96" s="77"/>
      <c r="D96" s="77"/>
      <c r="E96" s="77"/>
      <c r="F96" s="77"/>
      <c r="I96" s="77" t="s">
        <v>66</v>
      </c>
      <c r="J96" s="77"/>
      <c r="K96" s="77"/>
      <c r="L96" s="77"/>
      <c r="M96" s="77"/>
      <c r="P96" s="77" t="s">
        <v>67</v>
      </c>
      <c r="Q96" s="77"/>
      <c r="R96" s="77"/>
      <c r="S96" s="77"/>
      <c r="T96" s="77"/>
      <c r="W96" s="77" t="s">
        <v>68</v>
      </c>
      <c r="X96" s="77"/>
      <c r="Y96" s="77"/>
      <c r="Z96" s="77"/>
      <c r="AA96" s="77"/>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77" t="s">
        <v>51</v>
      </c>
      <c r="C114" s="77"/>
      <c r="D114" s="77"/>
      <c r="E114" s="77"/>
      <c r="F114" s="77"/>
      <c r="I114" s="77" t="s">
        <v>50</v>
      </c>
      <c r="J114" s="77"/>
      <c r="K114" s="77"/>
      <c r="L114" s="77"/>
      <c r="M114" s="77"/>
      <c r="P114" s="77" t="s">
        <v>49</v>
      </c>
      <c r="Q114" s="77"/>
      <c r="R114" s="77"/>
      <c r="S114" s="77"/>
      <c r="T114" s="77"/>
      <c r="W114" s="77" t="s">
        <v>48</v>
      </c>
      <c r="X114" s="77"/>
      <c r="Y114" s="77"/>
      <c r="Z114" s="77"/>
      <c r="AA114" s="77"/>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77" t="s">
        <v>47</v>
      </c>
      <c r="C132" s="77"/>
      <c r="D132" s="77"/>
      <c r="E132" s="77"/>
      <c r="F132" s="77"/>
      <c r="I132" s="77" t="s">
        <v>46</v>
      </c>
      <c r="J132" s="77"/>
      <c r="K132" s="77"/>
      <c r="L132" s="77"/>
      <c r="M132" s="77"/>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2:F2"/>
    <mergeCell ref="I2:M2"/>
    <mergeCell ref="P2:T2"/>
    <mergeCell ref="W2:AA2"/>
    <mergeCell ref="B21:F21"/>
    <mergeCell ref="I21:M21"/>
    <mergeCell ref="P21:T21"/>
    <mergeCell ref="W21:AA21"/>
    <mergeCell ref="B40:F40"/>
    <mergeCell ref="I40:M40"/>
    <mergeCell ref="P40:T40"/>
    <mergeCell ref="W40:AA40"/>
    <mergeCell ref="B59:F59"/>
    <mergeCell ref="I59:M59"/>
    <mergeCell ref="P59:T59"/>
    <mergeCell ref="W59:AA59"/>
    <mergeCell ref="B78:F78"/>
    <mergeCell ref="I78:M78"/>
    <mergeCell ref="P78:T78"/>
    <mergeCell ref="W78:AA78"/>
    <mergeCell ref="B96:F96"/>
    <mergeCell ref="I96:M96"/>
    <mergeCell ref="P96:T96"/>
    <mergeCell ref="W96:AA96"/>
    <mergeCell ref="B114:F114"/>
    <mergeCell ref="I114:M114"/>
    <mergeCell ref="P114:T114"/>
    <mergeCell ref="W114:AA114"/>
    <mergeCell ref="B132:F132"/>
    <mergeCell ref="I132:M132"/>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tabSelected="1" workbookViewId="0">
      <selection activeCell="I27" sqref="I2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34" max="36" width="10.140625" bestFit="1" customWidth="1"/>
  </cols>
  <sheetData>
    <row r="2" spans="1:37" x14ac:dyDescent="0.25">
      <c r="A2" t="s">
        <v>0</v>
      </c>
      <c r="B2" s="78" t="s">
        <v>83</v>
      </c>
      <c r="C2" s="78"/>
      <c r="D2" s="1" t="s">
        <v>1</v>
      </c>
      <c r="E2" s="78" t="s">
        <v>82</v>
      </c>
      <c r="F2" s="78"/>
      <c r="H2" t="s">
        <v>95</v>
      </c>
      <c r="I2" s="69" t="s">
        <v>96</v>
      </c>
    </row>
    <row r="3" spans="1:37" x14ac:dyDescent="0.25">
      <c r="A3" t="s">
        <v>79</v>
      </c>
      <c r="B3" s="78"/>
      <c r="C3" s="78"/>
      <c r="D3" s="1" t="s">
        <v>1</v>
      </c>
      <c r="E3" s="78"/>
      <c r="F3" s="78"/>
      <c r="H3" t="s">
        <v>80</v>
      </c>
      <c r="I3" s="54"/>
    </row>
    <row r="4" spans="1:37" x14ac:dyDescent="0.25">
      <c r="A4" t="s">
        <v>2</v>
      </c>
      <c r="B4" s="79">
        <v>10000</v>
      </c>
      <c r="C4" s="79"/>
      <c r="D4" s="1" t="s">
        <v>29</v>
      </c>
      <c r="E4" s="78" t="s">
        <v>97</v>
      </c>
      <c r="F4" s="78"/>
      <c r="H4" t="s">
        <v>70</v>
      </c>
      <c r="I4" s="70">
        <v>46172</v>
      </c>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78"/>
      <c r="E8" s="78"/>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1"/>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98</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v>49726</v>
      </c>
      <c r="C27" s="27"/>
      <c r="D27" s="27"/>
      <c r="E27" s="27"/>
      <c r="F27" s="27">
        <f>SUM(C27-B27)</f>
        <v>-49726</v>
      </c>
      <c r="G27" s="20">
        <f>SUM(E27-D27)</f>
        <v>0</v>
      </c>
      <c r="H27" s="21">
        <f>SUM(F27:G27)</f>
        <v>-49726</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6">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zoomScaleNormal="100" workbookViewId="0">
      <selection activeCell="I24" sqref="I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5" width="10.42578125" bestFit="1" customWidth="1"/>
    <col min="21" max="21" width="12.140625" bestFit="1" customWidth="1"/>
    <col min="24" max="24" width="10.42578125" bestFit="1" customWidth="1"/>
    <col min="29" max="29" width="15.85546875" bestFit="1" customWidth="1"/>
    <col min="34" max="36" width="10.140625" bestFit="1" customWidth="1"/>
    <col min="37" max="37" width="10.5703125" bestFit="1" customWidth="1"/>
  </cols>
  <sheetData>
    <row r="2" spans="1:37" x14ac:dyDescent="0.25">
      <c r="A2" t="s">
        <v>0</v>
      </c>
      <c r="B2" s="78" t="s">
        <v>93</v>
      </c>
      <c r="C2" s="78"/>
      <c r="D2" s="1" t="s">
        <v>1</v>
      </c>
      <c r="E2" s="78" t="s">
        <v>92</v>
      </c>
      <c r="F2" s="78"/>
      <c r="H2" t="s">
        <v>84</v>
      </c>
      <c r="I2" s="69" t="s">
        <v>85</v>
      </c>
    </row>
    <row r="3" spans="1:37" x14ac:dyDescent="0.25">
      <c r="A3" t="s">
        <v>79</v>
      </c>
      <c r="B3" s="78"/>
      <c r="C3" s="78"/>
      <c r="D3" s="1" t="s">
        <v>1</v>
      </c>
      <c r="E3" s="78"/>
      <c r="F3" s="78"/>
      <c r="H3" t="s">
        <v>80</v>
      </c>
      <c r="I3" s="54"/>
    </row>
    <row r="4" spans="1:37" x14ac:dyDescent="0.25">
      <c r="A4" t="s">
        <v>2</v>
      </c>
      <c r="B4" s="79">
        <v>9000</v>
      </c>
      <c r="C4" s="79"/>
      <c r="D4" s="1" t="s">
        <v>29</v>
      </c>
      <c r="E4" s="78" t="s">
        <v>94</v>
      </c>
      <c r="F4" s="78"/>
      <c r="H4" t="s">
        <v>70</v>
      </c>
      <c r="I4" s="67">
        <v>46100</v>
      </c>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9">
        <v>46095</v>
      </c>
      <c r="L14" s="66">
        <v>46105</v>
      </c>
      <c r="M14" s="66">
        <v>46112</v>
      </c>
      <c r="N14" s="4"/>
      <c r="O14" s="4"/>
      <c r="P14" s="4"/>
      <c r="Q14" s="4"/>
      <c r="R14" s="4"/>
      <c r="S14" s="4"/>
      <c r="T14" s="4"/>
      <c r="U14" s="5"/>
      <c r="W14" s="6" t="s">
        <v>4</v>
      </c>
      <c r="X14" s="9">
        <v>46101</v>
      </c>
      <c r="Y14" s="4"/>
      <c r="Z14" s="4"/>
      <c r="AA14" s="4"/>
      <c r="AB14" s="4"/>
      <c r="AC14" s="5"/>
      <c r="AE14" s="6" t="s">
        <v>4</v>
      </c>
      <c r="AF14" s="9"/>
      <c r="AG14" s="4"/>
      <c r="AH14" s="4"/>
      <c r="AI14" s="4"/>
      <c r="AJ14" s="4"/>
      <c r="AK14" s="5"/>
    </row>
    <row r="15" spans="1:37" ht="15.75" thickBot="1" x14ac:dyDescent="0.3">
      <c r="A15" s="71"/>
      <c r="B15" s="26">
        <v>41299</v>
      </c>
      <c r="C15" s="27"/>
      <c r="D15" s="27"/>
      <c r="E15" s="27">
        <v>41738</v>
      </c>
      <c r="F15" s="27">
        <f>SUM(C15-B15)</f>
        <v>-41299</v>
      </c>
      <c r="G15" s="20">
        <f>SUM(E15-D15)</f>
        <v>41738</v>
      </c>
      <c r="H15" s="21">
        <f>SUM(F15:G15)</f>
        <v>439</v>
      </c>
      <c r="J15" s="7" t="s">
        <v>22</v>
      </c>
      <c r="K15" s="10">
        <v>250</v>
      </c>
      <c r="L15" s="11">
        <v>456.11</v>
      </c>
      <c r="M15" s="11">
        <v>110</v>
      </c>
      <c r="N15" s="11"/>
      <c r="O15" s="11"/>
      <c r="P15" s="11"/>
      <c r="Q15" s="11"/>
      <c r="R15" s="11"/>
      <c r="S15" s="11"/>
      <c r="T15" s="11"/>
      <c r="U15" s="12"/>
      <c r="W15" s="7" t="s">
        <v>22</v>
      </c>
      <c r="X15" s="10">
        <v>210</v>
      </c>
      <c r="Y15" s="11"/>
      <c r="Z15" s="11"/>
      <c r="AA15" s="11"/>
      <c r="AB15" s="11"/>
      <c r="AC15" s="12"/>
      <c r="AE15" s="7" t="s">
        <v>22</v>
      </c>
      <c r="AF15" s="10"/>
      <c r="AG15" s="11"/>
      <c r="AH15" s="11"/>
      <c r="AI15" s="11"/>
      <c r="AJ15" s="11"/>
      <c r="AK15" s="12"/>
    </row>
    <row r="16" spans="1:37" x14ac:dyDescent="0.25">
      <c r="J16" s="8"/>
      <c r="T16" s="8" t="s">
        <v>23</v>
      </c>
      <c r="U16" s="13">
        <f>SUM(K15:U15)</f>
        <v>816.11</v>
      </c>
      <c r="AB16" s="8" t="s">
        <v>23</v>
      </c>
      <c r="AC16" s="13">
        <f>SUM(X15:AC15)</f>
        <v>210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v>46114</v>
      </c>
      <c r="L18" s="66">
        <v>46123</v>
      </c>
      <c r="M18" s="66">
        <v>46125</v>
      </c>
      <c r="N18" s="66">
        <v>46138</v>
      </c>
      <c r="O18" s="66">
        <v>46141</v>
      </c>
      <c r="P18" s="66"/>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7">
        <v>41738</v>
      </c>
      <c r="C19" s="27"/>
      <c r="D19" s="27"/>
      <c r="E19" s="27">
        <v>42471</v>
      </c>
      <c r="F19" s="27">
        <f>SUM(C19-B19)</f>
        <v>-41738</v>
      </c>
      <c r="G19" s="20">
        <f>SUM(E19-D19)</f>
        <v>42471</v>
      </c>
      <c r="H19" s="21">
        <f>SUM(F19:G19)</f>
        <v>733</v>
      </c>
      <c r="J19" s="7" t="s">
        <v>22</v>
      </c>
      <c r="K19" s="30">
        <v>518.55999999999995</v>
      </c>
      <c r="L19" s="31">
        <v>150</v>
      </c>
      <c r="M19" s="31">
        <v>517.42999999999995</v>
      </c>
      <c r="N19" s="31">
        <f>130+222.77</f>
        <v>352.77</v>
      </c>
      <c r="O19" s="31">
        <v>505.82</v>
      </c>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2044.5799999999997</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7">
        <v>42471</v>
      </c>
      <c r="C23" s="27"/>
      <c r="D23" s="27"/>
      <c r="E23" s="27">
        <v>43460</v>
      </c>
      <c r="F23" s="27">
        <f>SUM(C23-B23)</f>
        <v>-42471</v>
      </c>
      <c r="G23" s="20">
        <f>SUM(E23-D23)</f>
        <v>43460</v>
      </c>
      <c r="H23" s="21">
        <f>SUM(F23:G23)</f>
        <v>989</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24</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68"/>
      <c r="C47" s="68"/>
      <c r="D47" s="68"/>
      <c r="E47" s="68"/>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2"/>
  <sheetViews>
    <sheetView showGridLines="0" workbookViewId="0">
      <selection activeCell="I9" sqref="I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13.5703125" bestFit="1" customWidth="1"/>
    <col min="11" max="11" width="12.140625" bestFit="1" customWidth="1"/>
    <col min="12" max="13" width="10.42578125" bestFit="1" customWidth="1"/>
    <col min="14" max="14" width="13.285156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78" t="s">
        <v>90</v>
      </c>
      <c r="C2" s="78"/>
      <c r="D2" s="1" t="s">
        <v>1</v>
      </c>
      <c r="E2" s="78" t="s">
        <v>89</v>
      </c>
      <c r="F2" s="78"/>
      <c r="H2" t="s">
        <v>84</v>
      </c>
      <c r="I2" s="54" t="s">
        <v>85</v>
      </c>
    </row>
    <row r="3" spans="1:37" x14ac:dyDescent="0.25">
      <c r="A3" t="s">
        <v>79</v>
      </c>
      <c r="B3" s="78"/>
      <c r="C3" s="78"/>
      <c r="D3" s="1" t="s">
        <v>1</v>
      </c>
      <c r="E3" s="78"/>
      <c r="F3" s="78"/>
      <c r="H3" t="s">
        <v>80</v>
      </c>
      <c r="I3" s="54"/>
    </row>
    <row r="4" spans="1:37" x14ac:dyDescent="0.25">
      <c r="A4" t="s">
        <v>2</v>
      </c>
      <c r="B4" s="79">
        <v>10000</v>
      </c>
      <c r="C4" s="79"/>
      <c r="D4" s="1" t="s">
        <v>29</v>
      </c>
      <c r="E4" s="78" t="s">
        <v>91</v>
      </c>
      <c r="F4" s="78"/>
      <c r="H4" t="s">
        <v>70</v>
      </c>
      <c r="I4" s="67">
        <v>46070</v>
      </c>
      <c r="J4" t="s">
        <v>88</v>
      </c>
      <c r="K4" s="67">
        <v>46100</v>
      </c>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v>21157</v>
      </c>
      <c r="E11" s="27">
        <v>21517</v>
      </c>
      <c r="F11" s="27">
        <f>SUM(C11-B11)</f>
        <v>0</v>
      </c>
      <c r="G11" s="20">
        <f>SUM(E11-D11)</f>
        <v>360</v>
      </c>
      <c r="H11" s="21">
        <f>SUM(F11:G11)</f>
        <v>360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1"/>
      <c r="B15" s="27">
        <v>21517</v>
      </c>
      <c r="C15" s="27"/>
      <c r="D15" s="27"/>
      <c r="E15" s="27">
        <v>22094</v>
      </c>
      <c r="F15" s="27">
        <f>SUM(C15-B15)</f>
        <v>-21517</v>
      </c>
      <c r="G15" s="20">
        <f>SUM(E15-D15)</f>
        <v>22094</v>
      </c>
      <c r="H15" s="21">
        <f>SUM(F15:G15)</f>
        <v>577</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24</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108"/>
  <sheetViews>
    <sheetView showGridLines="0" workbookViewId="0">
      <selection activeCell="E2" sqref="E2:F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21" max="21" width="12.1406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78" t="s">
        <v>83</v>
      </c>
      <c r="C2" s="78"/>
      <c r="D2" s="1" t="s">
        <v>1</v>
      </c>
      <c r="E2" s="78" t="s">
        <v>82</v>
      </c>
      <c r="F2" s="78"/>
      <c r="H2" t="s">
        <v>84</v>
      </c>
      <c r="I2" s="69" t="s">
        <v>85</v>
      </c>
    </row>
    <row r="3" spans="1:37" x14ac:dyDescent="0.25">
      <c r="A3" t="s">
        <v>79</v>
      </c>
      <c r="B3" s="78"/>
      <c r="C3" s="78"/>
      <c r="D3" s="1" t="s">
        <v>1</v>
      </c>
      <c r="E3" s="78"/>
      <c r="F3" s="78"/>
      <c r="H3" t="s">
        <v>80</v>
      </c>
      <c r="I3" s="54"/>
    </row>
    <row r="4" spans="1:37" x14ac:dyDescent="0.25">
      <c r="A4" t="s">
        <v>2</v>
      </c>
      <c r="B4" s="79">
        <v>10000</v>
      </c>
      <c r="C4" s="79"/>
      <c r="D4" s="1" t="s">
        <v>29</v>
      </c>
      <c r="E4" s="78" t="s">
        <v>86</v>
      </c>
      <c r="F4" s="78"/>
      <c r="H4" t="s">
        <v>70</v>
      </c>
      <c r="I4" s="70">
        <v>45992</v>
      </c>
      <c r="J4" t="s">
        <v>88</v>
      </c>
      <c r="K4" s="70">
        <v>46062</v>
      </c>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s="15" customFormat="1" ht="15.75" thickBot="1" x14ac:dyDescent="0.3">
      <c r="A9" s="19"/>
      <c r="B9" s="72" t="s">
        <v>21</v>
      </c>
      <c r="C9" s="72"/>
      <c r="D9" s="72"/>
      <c r="E9" s="72"/>
      <c r="F9" s="72"/>
      <c r="G9" s="72"/>
      <c r="H9" s="72"/>
      <c r="I9"/>
      <c r="J9" s="73" t="s">
        <v>21</v>
      </c>
      <c r="K9" s="73"/>
      <c r="L9" s="73"/>
      <c r="M9" s="73"/>
      <c r="N9" s="73"/>
      <c r="O9" s="73"/>
      <c r="P9" s="73"/>
      <c r="Q9" s="73"/>
      <c r="R9" s="73"/>
      <c r="S9" s="73"/>
      <c r="T9" s="73"/>
      <c r="U9" s="73"/>
      <c r="V9"/>
      <c r="W9" s="74" t="str">
        <f>J9</f>
        <v>Dezembro</v>
      </c>
      <c r="X9" s="74"/>
      <c r="Y9" s="74"/>
      <c r="Z9" s="74"/>
      <c r="AA9" s="74"/>
      <c r="AB9" s="74"/>
      <c r="AC9" s="74"/>
      <c r="AD9"/>
      <c r="AE9" s="75" t="str">
        <f>W9</f>
        <v>Dezembro</v>
      </c>
      <c r="AF9" s="75"/>
      <c r="AG9" s="75"/>
      <c r="AH9" s="75"/>
      <c r="AI9" s="75"/>
      <c r="AJ9" s="75"/>
      <c r="AK9" s="75"/>
    </row>
    <row r="10" spans="1:37" s="15" customFormat="1" ht="15.75" thickBot="1" x14ac:dyDescent="0.3">
      <c r="A10" s="71" t="s">
        <v>5</v>
      </c>
      <c r="B10" s="34" t="s">
        <v>6</v>
      </c>
      <c r="C10" s="22" t="s">
        <v>7</v>
      </c>
      <c r="D10" s="33" t="s">
        <v>8</v>
      </c>
      <c r="E10" s="22" t="s">
        <v>9</v>
      </c>
      <c r="F10" s="24" t="s">
        <v>10</v>
      </c>
      <c r="G10" s="23" t="s">
        <v>11</v>
      </c>
      <c r="H10" s="25" t="s">
        <v>12</v>
      </c>
      <c r="I10"/>
      <c r="J10" s="6" t="s">
        <v>4</v>
      </c>
      <c r="K10" s="9">
        <v>45995</v>
      </c>
      <c r="L10" s="66">
        <v>46003</v>
      </c>
      <c r="M10" s="4"/>
      <c r="N10" s="4"/>
      <c r="O10" s="4"/>
      <c r="P10" s="4"/>
      <c r="Q10" s="4"/>
      <c r="R10" s="4"/>
      <c r="S10" s="4"/>
      <c r="T10" s="4"/>
      <c r="U10" s="5"/>
      <c r="V10"/>
      <c r="W10" s="6" t="s">
        <v>4</v>
      </c>
      <c r="X10" s="9"/>
      <c r="Y10" s="4"/>
      <c r="Z10" s="4"/>
      <c r="AA10" s="4"/>
      <c r="AB10" s="4"/>
      <c r="AC10" s="5"/>
      <c r="AD10"/>
      <c r="AE10" s="6" t="s">
        <v>4</v>
      </c>
      <c r="AF10" s="9"/>
      <c r="AG10" s="4"/>
      <c r="AH10" s="4"/>
      <c r="AI10" s="4"/>
      <c r="AJ10" s="4"/>
      <c r="AK10" s="5"/>
    </row>
    <row r="11" spans="1:37" s="15" customFormat="1" ht="15.75" thickBot="1" x14ac:dyDescent="0.3">
      <c r="A11" s="71"/>
      <c r="B11" s="26">
        <v>45974</v>
      </c>
      <c r="C11" s="27">
        <v>46443</v>
      </c>
      <c r="D11" s="27">
        <v>46443</v>
      </c>
      <c r="E11" s="27">
        <v>47192</v>
      </c>
      <c r="F11" s="27">
        <f>SUM(C11-B11)</f>
        <v>469</v>
      </c>
      <c r="G11" s="20">
        <f>SUM(E11-D11)</f>
        <v>749</v>
      </c>
      <c r="H11" s="21">
        <f>SUM(F11:G11)</f>
        <v>1218</v>
      </c>
      <c r="I11"/>
      <c r="J11" s="7" t="s">
        <v>22</v>
      </c>
      <c r="K11" s="10">
        <v>417.44</v>
      </c>
      <c r="L11" s="11">
        <v>500.01</v>
      </c>
      <c r="M11" s="11"/>
      <c r="N11" s="11"/>
      <c r="O11" s="11"/>
      <c r="P11" s="11"/>
      <c r="Q11" s="11"/>
      <c r="R11" s="11"/>
      <c r="S11" s="11"/>
      <c r="T11" s="11"/>
      <c r="U11" s="12"/>
      <c r="V11"/>
      <c r="W11" s="7" t="s">
        <v>22</v>
      </c>
      <c r="X11" s="10"/>
      <c r="Y11" s="11"/>
      <c r="Z11" s="11"/>
      <c r="AA11" s="11"/>
      <c r="AB11" s="11"/>
      <c r="AC11" s="12"/>
      <c r="AD11"/>
      <c r="AE11" s="7" t="s">
        <v>22</v>
      </c>
      <c r="AF11" s="10"/>
      <c r="AG11" s="11"/>
      <c r="AH11" s="11"/>
      <c r="AI11" s="11"/>
      <c r="AJ11" s="11"/>
      <c r="AK11" s="12"/>
    </row>
    <row r="12" spans="1:37" s="15" customFormat="1" x14ac:dyDescent="0.25">
      <c r="A12"/>
      <c r="B12" s="1"/>
      <c r="C12" s="1"/>
      <c r="D12" s="1"/>
      <c r="E12" s="1"/>
      <c r="F12"/>
      <c r="G12"/>
      <c r="H12"/>
      <c r="I12"/>
      <c r="J12" s="8"/>
      <c r="K12"/>
      <c r="L12"/>
      <c r="M12"/>
      <c r="N12"/>
      <c r="O12"/>
      <c r="P12"/>
      <c r="Q12"/>
      <c r="R12"/>
      <c r="S12"/>
      <c r="T12" s="8" t="s">
        <v>23</v>
      </c>
      <c r="U12" s="13">
        <f>SUM(K11:U11)</f>
        <v>917.45</v>
      </c>
      <c r="V12"/>
      <c r="W12"/>
      <c r="X12"/>
      <c r="Y12"/>
      <c r="Z12"/>
      <c r="AA12"/>
      <c r="AB12" s="8" t="s">
        <v>23</v>
      </c>
      <c r="AC12" s="13">
        <f>SUM(X11:AC11)</f>
        <v>0</v>
      </c>
      <c r="AD12"/>
      <c r="AE12"/>
      <c r="AF12"/>
      <c r="AG12"/>
      <c r="AH12"/>
      <c r="AI12"/>
      <c r="AJ12" s="8" t="s">
        <v>23</v>
      </c>
      <c r="AK12" s="13">
        <f>SUM(AF11:AK11)</f>
        <v>0</v>
      </c>
    </row>
    <row r="13" spans="1:37" s="15" customFormat="1" ht="15.75" thickBot="1" x14ac:dyDescent="0.3">
      <c r="A13" s="19"/>
      <c r="B13" s="72" t="s">
        <v>87</v>
      </c>
      <c r="C13" s="72"/>
      <c r="D13" s="72"/>
      <c r="E13" s="72"/>
      <c r="F13" s="72"/>
      <c r="G13" s="72"/>
      <c r="H13" s="72"/>
      <c r="I13"/>
      <c r="J13" s="73" t="s">
        <v>87</v>
      </c>
      <c r="K13" s="73"/>
      <c r="L13" s="73"/>
      <c r="M13" s="73"/>
      <c r="N13" s="73"/>
      <c r="O13" s="73"/>
      <c r="P13" s="73"/>
      <c r="Q13" s="73"/>
      <c r="R13" s="73"/>
      <c r="S13" s="73"/>
      <c r="T13" s="73"/>
      <c r="U13" s="73"/>
      <c r="V13"/>
      <c r="W13" s="74" t="str">
        <f>J13</f>
        <v>Janeiro</v>
      </c>
      <c r="X13" s="74"/>
      <c r="Y13" s="74"/>
      <c r="Z13" s="74"/>
      <c r="AA13" s="74"/>
      <c r="AB13" s="74"/>
      <c r="AC13" s="74"/>
      <c r="AD13"/>
      <c r="AE13" s="75" t="str">
        <f>W13</f>
        <v>Janeiro</v>
      </c>
      <c r="AF13" s="75"/>
      <c r="AG13" s="75"/>
      <c r="AH13" s="75"/>
      <c r="AI13" s="75"/>
      <c r="AJ13" s="75"/>
      <c r="AK13" s="75"/>
    </row>
    <row r="14" spans="1:37" s="15" customFormat="1" ht="15.75" thickBot="1" x14ac:dyDescent="0.3">
      <c r="A14" s="71" t="s">
        <v>5</v>
      </c>
      <c r="B14" s="34" t="s">
        <v>6</v>
      </c>
      <c r="C14" s="22" t="s">
        <v>7</v>
      </c>
      <c r="D14" s="33" t="s">
        <v>8</v>
      </c>
      <c r="E14" s="22" t="s">
        <v>9</v>
      </c>
      <c r="F14" s="24" t="s">
        <v>10</v>
      </c>
      <c r="G14" s="23" t="s">
        <v>11</v>
      </c>
      <c r="H14" s="25" t="s">
        <v>12</v>
      </c>
      <c r="I14"/>
      <c r="J14" s="6" t="s">
        <v>4</v>
      </c>
      <c r="K14" s="9"/>
      <c r="L14" s="4"/>
      <c r="M14" s="4"/>
      <c r="N14" s="4"/>
      <c r="O14" s="4"/>
      <c r="P14" s="4"/>
      <c r="Q14" s="4"/>
      <c r="R14" s="4"/>
      <c r="S14" s="4"/>
      <c r="T14" s="4"/>
      <c r="U14" s="5"/>
      <c r="V14"/>
      <c r="W14" s="6" t="s">
        <v>4</v>
      </c>
      <c r="X14" s="9"/>
      <c r="Y14" s="4"/>
      <c r="Z14" s="4"/>
      <c r="AA14" s="4"/>
      <c r="AB14" s="4"/>
      <c r="AC14" s="5"/>
      <c r="AD14"/>
      <c r="AE14" s="6" t="s">
        <v>4</v>
      </c>
      <c r="AF14" s="9"/>
      <c r="AG14" s="4"/>
      <c r="AH14" s="4"/>
      <c r="AI14" s="4"/>
      <c r="AJ14" s="4"/>
      <c r="AK14" s="5"/>
    </row>
    <row r="15" spans="1:37" s="15" customFormat="1" ht="15.75" thickBot="1" x14ac:dyDescent="0.3">
      <c r="A15" s="71"/>
      <c r="B15" s="27">
        <v>47192</v>
      </c>
      <c r="C15" s="27"/>
      <c r="D15" s="27"/>
      <c r="E15" s="27">
        <v>47481</v>
      </c>
      <c r="F15" s="27">
        <f>SUM(C15-B15)</f>
        <v>-47192</v>
      </c>
      <c r="G15" s="20">
        <f>SUM(E15-D15)</f>
        <v>47481</v>
      </c>
      <c r="H15" s="21">
        <f>SUM(F15:G15)</f>
        <v>289</v>
      </c>
      <c r="I15"/>
      <c r="J15" s="7" t="s">
        <v>22</v>
      </c>
      <c r="K15" s="10"/>
      <c r="L15" s="11"/>
      <c r="M15" s="11"/>
      <c r="N15" s="11"/>
      <c r="O15" s="11"/>
      <c r="P15" s="11"/>
      <c r="Q15" s="11"/>
      <c r="R15" s="11"/>
      <c r="S15" s="11"/>
      <c r="T15" s="11"/>
      <c r="U15" s="12"/>
      <c r="V15"/>
      <c r="W15" s="7" t="s">
        <v>22</v>
      </c>
      <c r="X15" s="10"/>
      <c r="Y15" s="11"/>
      <c r="Z15" s="11"/>
      <c r="AA15" s="11"/>
      <c r="AB15" s="11"/>
      <c r="AC15" s="12"/>
      <c r="AD15"/>
      <c r="AE15" s="7" t="s">
        <v>22</v>
      </c>
      <c r="AF15" s="10"/>
      <c r="AG15" s="11"/>
      <c r="AH15" s="11"/>
      <c r="AI15" s="11"/>
      <c r="AJ15" s="11"/>
      <c r="AK15" s="12"/>
    </row>
    <row r="16" spans="1:37" s="15" customFormat="1" x14ac:dyDescent="0.25">
      <c r="A16"/>
      <c r="B16" s="1"/>
      <c r="C16" s="1"/>
      <c r="D16" s="1"/>
      <c r="E16" s="1"/>
      <c r="F16"/>
      <c r="G16"/>
      <c r="H16"/>
      <c r="I16"/>
      <c r="J16" s="8"/>
      <c r="K16"/>
      <c r="L16"/>
      <c r="M16"/>
      <c r="N16"/>
      <c r="O16"/>
      <c r="P16"/>
      <c r="Q16"/>
      <c r="R16"/>
      <c r="S16"/>
      <c r="T16" s="8" t="s">
        <v>23</v>
      </c>
      <c r="U16" s="13">
        <f>SUM(K15:U15)</f>
        <v>0</v>
      </c>
      <c r="V16"/>
      <c r="W16"/>
      <c r="X16"/>
      <c r="Y16"/>
      <c r="Z16"/>
      <c r="AA16"/>
      <c r="AB16" s="8" t="s">
        <v>23</v>
      </c>
      <c r="AC16" s="13">
        <f>SUM(X15:AC15)</f>
        <v>0</v>
      </c>
      <c r="AD16"/>
      <c r="AE16"/>
      <c r="AF16"/>
      <c r="AG16"/>
      <c r="AH16"/>
      <c r="AI16"/>
      <c r="AJ16" s="8" t="s">
        <v>23</v>
      </c>
      <c r="AK16" s="13">
        <f>SUM(AF15:AK15)</f>
        <v>0</v>
      </c>
    </row>
    <row r="17" spans="1:37" ht="15.75" thickBot="1" x14ac:dyDescent="0.3">
      <c r="A17" s="19"/>
      <c r="B17" s="72" t="s">
        <v>3</v>
      </c>
      <c r="C17" s="72"/>
      <c r="D17" s="72"/>
      <c r="E17" s="72"/>
      <c r="F17" s="72"/>
      <c r="G17" s="72"/>
      <c r="H17" s="72"/>
      <c r="J17" s="73" t="s">
        <v>3</v>
      </c>
      <c r="K17" s="73"/>
      <c r="L17" s="73"/>
      <c r="M17" s="73"/>
      <c r="N17" s="73"/>
      <c r="O17" s="73"/>
      <c r="P17" s="73"/>
      <c r="Q17" s="73"/>
      <c r="R17" s="73"/>
      <c r="S17" s="73"/>
      <c r="T17" s="73"/>
      <c r="U17" s="73"/>
      <c r="W17" s="74" t="s">
        <v>3</v>
      </c>
      <c r="X17" s="74"/>
      <c r="Y17" s="74"/>
      <c r="Z17" s="74"/>
      <c r="AA17" s="74"/>
      <c r="AB17" s="74"/>
      <c r="AC17" s="74"/>
      <c r="AE17" s="75" t="s">
        <v>3</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28" t="s">
        <v>4</v>
      </c>
      <c r="K18" s="9"/>
      <c r="L18" s="66"/>
      <c r="M18" s="66"/>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7">
        <v>47481</v>
      </c>
      <c r="C19" s="27">
        <v>47795</v>
      </c>
      <c r="D19" s="27"/>
      <c r="E19" s="27"/>
      <c r="F19" s="27">
        <f>SUM(C19-B19)</f>
        <v>314</v>
      </c>
      <c r="G19" s="20">
        <f>SUM(E19-D19)</f>
        <v>0</v>
      </c>
      <c r="H19" s="21">
        <f>SUM(F19:G19)</f>
        <v>314</v>
      </c>
      <c r="J19" s="29" t="s">
        <v>22</v>
      </c>
      <c r="K19" s="10"/>
      <c r="L19" s="11"/>
      <c r="M19" s="11"/>
      <c r="N19" s="11"/>
      <c r="O19" s="11"/>
      <c r="P19" s="11"/>
      <c r="Q19" s="11"/>
      <c r="R19" s="11"/>
      <c r="S19" s="11"/>
      <c r="T19" s="11"/>
      <c r="U19" s="1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13</v>
      </c>
      <c r="C21" s="72"/>
      <c r="D21" s="72"/>
      <c r="E21" s="72"/>
      <c r="F21" s="72"/>
      <c r="G21" s="72"/>
      <c r="H21" s="72"/>
      <c r="J21" s="73" t="s">
        <v>13</v>
      </c>
      <c r="K21" s="73"/>
      <c r="L21" s="73"/>
      <c r="M21" s="73"/>
      <c r="N21" s="73"/>
      <c r="O21" s="73"/>
      <c r="P21" s="73"/>
      <c r="Q21" s="73"/>
      <c r="R21" s="73"/>
      <c r="S21" s="73"/>
      <c r="T21" s="73"/>
      <c r="U21" s="73"/>
      <c r="W21" s="74" t="str">
        <f>J21</f>
        <v>Março</v>
      </c>
      <c r="X21" s="74"/>
      <c r="Y21" s="74"/>
      <c r="Z21" s="74"/>
      <c r="AA21" s="74"/>
      <c r="AB21" s="74"/>
      <c r="AC21" s="74"/>
      <c r="AE21" s="75" t="str">
        <f>W21</f>
        <v>Março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66"/>
      <c r="M22" s="66"/>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14</v>
      </c>
      <c r="C25" s="72"/>
      <c r="D25" s="72"/>
      <c r="E25" s="72"/>
      <c r="F25" s="72"/>
      <c r="G25" s="72"/>
      <c r="H25" s="72"/>
      <c r="J25" s="73" t="s">
        <v>14</v>
      </c>
      <c r="K25" s="73"/>
      <c r="L25" s="73"/>
      <c r="M25" s="73"/>
      <c r="N25" s="73"/>
      <c r="O25" s="73"/>
      <c r="P25" s="73"/>
      <c r="Q25" s="73"/>
      <c r="R25" s="73"/>
      <c r="S25" s="73"/>
      <c r="T25" s="73"/>
      <c r="U25" s="73"/>
      <c r="W25" s="74" t="str">
        <f>J25</f>
        <v>Abril</v>
      </c>
      <c r="X25" s="74"/>
      <c r="Y25" s="74"/>
      <c r="Z25" s="74"/>
      <c r="AA25" s="74"/>
      <c r="AB25" s="74"/>
      <c r="AC25" s="74"/>
      <c r="AE25" s="75" t="str">
        <f>W25</f>
        <v>Abril</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30"/>
      <c r="L27" s="31"/>
      <c r="M27" s="31"/>
      <c r="N27" s="31"/>
      <c r="O27" s="31"/>
      <c r="P27" s="31"/>
      <c r="Q27" s="31"/>
      <c r="R27" s="31"/>
      <c r="S27" s="31"/>
      <c r="T27" s="31"/>
      <c r="U27" s="3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15</v>
      </c>
      <c r="C29" s="72"/>
      <c r="D29" s="72"/>
      <c r="E29" s="72"/>
      <c r="F29" s="72"/>
      <c r="G29" s="72"/>
      <c r="H29" s="72"/>
      <c r="J29" s="73" t="s">
        <v>15</v>
      </c>
      <c r="K29" s="73"/>
      <c r="L29" s="73"/>
      <c r="M29" s="73"/>
      <c r="N29" s="73"/>
      <c r="O29" s="73"/>
      <c r="P29" s="73"/>
      <c r="Q29" s="73"/>
      <c r="R29" s="73"/>
      <c r="S29" s="73"/>
      <c r="T29" s="73"/>
      <c r="U29" s="73"/>
      <c r="W29" s="74" t="str">
        <f>J29</f>
        <v>Maio</v>
      </c>
      <c r="X29" s="74"/>
      <c r="Y29" s="74"/>
      <c r="Z29" s="74"/>
      <c r="AA29" s="74"/>
      <c r="AB29" s="74"/>
      <c r="AC29" s="74"/>
      <c r="AE29" s="75" t="str">
        <f>W29</f>
        <v>Maio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24</v>
      </c>
      <c r="C33" s="72"/>
      <c r="D33" s="72"/>
      <c r="E33" s="72"/>
      <c r="F33" s="72"/>
      <c r="G33" s="72"/>
      <c r="H33" s="72"/>
      <c r="J33" s="73" t="s">
        <v>24</v>
      </c>
      <c r="K33" s="73"/>
      <c r="L33" s="73"/>
      <c r="M33" s="73"/>
      <c r="N33" s="73"/>
      <c r="O33" s="73"/>
      <c r="P33" s="73"/>
      <c r="Q33" s="73"/>
      <c r="R33" s="73"/>
      <c r="S33" s="73"/>
      <c r="T33" s="73"/>
      <c r="U33" s="73"/>
      <c r="W33" s="74" t="str">
        <f>J33</f>
        <v>Junho</v>
      </c>
      <c r="X33" s="74"/>
      <c r="Y33" s="74"/>
      <c r="Z33" s="74"/>
      <c r="AA33" s="74"/>
      <c r="AB33" s="74"/>
      <c r="AC33" s="74"/>
      <c r="AE33" s="75" t="str">
        <f>W33</f>
        <v>Junho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16</v>
      </c>
      <c r="C37" s="72"/>
      <c r="D37" s="72"/>
      <c r="E37" s="72"/>
      <c r="F37" s="72"/>
      <c r="G37" s="72"/>
      <c r="H37" s="72"/>
      <c r="J37" s="73" t="s">
        <v>16</v>
      </c>
      <c r="K37" s="73"/>
      <c r="L37" s="73"/>
      <c r="M37" s="73"/>
      <c r="N37" s="73"/>
      <c r="O37" s="73"/>
      <c r="P37" s="73"/>
      <c r="Q37" s="73"/>
      <c r="R37" s="73"/>
      <c r="S37" s="73"/>
      <c r="T37" s="73"/>
      <c r="U37" s="73"/>
      <c r="W37" s="74" t="str">
        <f>J37</f>
        <v>Julho</v>
      </c>
      <c r="X37" s="74"/>
      <c r="Y37" s="74"/>
      <c r="Z37" s="74"/>
      <c r="AA37" s="74"/>
      <c r="AB37" s="74"/>
      <c r="AC37" s="74"/>
      <c r="AE37" s="75" t="str">
        <f>W37</f>
        <v>Julho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17</v>
      </c>
      <c r="C41" s="72"/>
      <c r="D41" s="72"/>
      <c r="E41" s="72"/>
      <c r="F41" s="72"/>
      <c r="G41" s="72"/>
      <c r="H41" s="72"/>
      <c r="J41" s="73" t="s">
        <v>17</v>
      </c>
      <c r="K41" s="73"/>
      <c r="L41" s="73"/>
      <c r="M41" s="73"/>
      <c r="N41" s="73"/>
      <c r="O41" s="73"/>
      <c r="P41" s="73"/>
      <c r="Q41" s="73"/>
      <c r="R41" s="73"/>
      <c r="S41" s="73"/>
      <c r="T41" s="73"/>
      <c r="U41" s="73"/>
      <c r="W41" s="74" t="str">
        <f>J41</f>
        <v>Agosto</v>
      </c>
      <c r="X41" s="74"/>
      <c r="Y41" s="74"/>
      <c r="Z41" s="74"/>
      <c r="AA41" s="74"/>
      <c r="AB41" s="74"/>
      <c r="AC41" s="74"/>
      <c r="AE41" s="75" t="str">
        <f>W41</f>
        <v>Agosto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18</v>
      </c>
      <c r="C45" s="72"/>
      <c r="D45" s="72"/>
      <c r="E45" s="72"/>
      <c r="F45" s="72"/>
      <c r="G45" s="72"/>
      <c r="H45" s="72"/>
      <c r="J45" s="73" t="s">
        <v>18</v>
      </c>
      <c r="K45" s="73"/>
      <c r="L45" s="73"/>
      <c r="M45" s="73"/>
      <c r="N45" s="73"/>
      <c r="O45" s="73"/>
      <c r="P45" s="73"/>
      <c r="Q45" s="73"/>
      <c r="R45" s="73"/>
      <c r="S45" s="73"/>
      <c r="T45" s="73"/>
      <c r="U45" s="73"/>
      <c r="W45" s="74" t="str">
        <f>J45</f>
        <v>Setembro</v>
      </c>
      <c r="X45" s="74"/>
      <c r="Y45" s="74"/>
      <c r="Z45" s="74"/>
      <c r="AA45" s="74"/>
      <c r="AB45" s="74"/>
      <c r="AC45" s="74"/>
      <c r="AE45" s="75" t="str">
        <f>W45</f>
        <v>Setembro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19</v>
      </c>
      <c r="C49" s="72"/>
      <c r="D49" s="72"/>
      <c r="E49" s="72"/>
      <c r="F49" s="72"/>
      <c r="G49" s="72"/>
      <c r="H49" s="72"/>
      <c r="J49" s="73" t="s">
        <v>19</v>
      </c>
      <c r="K49" s="73"/>
      <c r="L49" s="73"/>
      <c r="M49" s="73"/>
      <c r="N49" s="73"/>
      <c r="O49" s="73"/>
      <c r="P49" s="73"/>
      <c r="Q49" s="73"/>
      <c r="R49" s="73"/>
      <c r="S49" s="73"/>
      <c r="T49" s="73"/>
      <c r="U49" s="73"/>
      <c r="W49" s="74" t="str">
        <f>J49</f>
        <v>Outubro</v>
      </c>
      <c r="X49" s="74"/>
      <c r="Y49" s="74"/>
      <c r="Z49" s="74"/>
      <c r="AA49" s="74"/>
      <c r="AB49" s="74"/>
      <c r="AC49" s="74"/>
      <c r="AE49" s="75" t="str">
        <f>W49</f>
        <v>Outubro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72" t="s">
        <v>20</v>
      </c>
      <c r="C53" s="72"/>
      <c r="D53" s="72"/>
      <c r="E53" s="72"/>
      <c r="F53" s="72"/>
      <c r="G53" s="72"/>
      <c r="H53" s="72"/>
      <c r="J53" s="73" t="s">
        <v>20</v>
      </c>
      <c r="K53" s="73"/>
      <c r="L53" s="73"/>
      <c r="M53" s="73"/>
      <c r="N53" s="73"/>
      <c r="O53" s="73"/>
      <c r="P53" s="73"/>
      <c r="Q53" s="73"/>
      <c r="R53" s="73"/>
      <c r="S53" s="73"/>
      <c r="T53" s="73"/>
      <c r="U53" s="73"/>
      <c r="W53" s="74" t="str">
        <f>J53</f>
        <v>Novembro</v>
      </c>
      <c r="X53" s="74"/>
      <c r="Y53" s="74"/>
      <c r="Z53" s="74"/>
      <c r="AA53" s="74"/>
      <c r="AB53" s="74"/>
      <c r="AC53" s="74"/>
      <c r="AE53" s="75" t="str">
        <f>W53</f>
        <v>Novembro</v>
      </c>
      <c r="AF53" s="75"/>
      <c r="AG53" s="75"/>
      <c r="AH53" s="75"/>
      <c r="AI53" s="75"/>
      <c r="AJ53" s="75"/>
      <c r="AK53" s="75"/>
    </row>
    <row r="54" spans="1:37" ht="15.75" thickBot="1" x14ac:dyDescent="0.3">
      <c r="A54" s="71"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71"/>
      <c r="B55" s="26"/>
      <c r="C55" s="27"/>
      <c r="D55" s="27"/>
      <c r="E55" s="27"/>
      <c r="F55" s="27">
        <f>SUM(C55-B55)</f>
        <v>0</v>
      </c>
      <c r="G55" s="20">
        <f>SUM(E55-D55)</f>
        <v>0</v>
      </c>
      <c r="H55" s="21">
        <f>SUM(F55:G55)</f>
        <v>0</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2" t="s">
        <v>21</v>
      </c>
      <c r="C57" s="72"/>
      <c r="D57" s="72"/>
      <c r="E57" s="72"/>
      <c r="F57" s="72"/>
      <c r="G57" s="72"/>
      <c r="H57" s="72"/>
      <c r="J57" s="73" t="s">
        <v>21</v>
      </c>
      <c r="K57" s="73"/>
      <c r="L57" s="73"/>
      <c r="M57" s="73"/>
      <c r="N57" s="73"/>
      <c r="O57" s="73"/>
      <c r="P57" s="73"/>
      <c r="Q57" s="73"/>
      <c r="R57" s="73"/>
      <c r="S57" s="73"/>
      <c r="T57" s="73"/>
      <c r="U57" s="73"/>
      <c r="W57" s="74" t="str">
        <f>J57</f>
        <v>Dezembro</v>
      </c>
      <c r="X57" s="74"/>
      <c r="Y57" s="74"/>
      <c r="Z57" s="74"/>
      <c r="AA57" s="74"/>
      <c r="AB57" s="74"/>
      <c r="AC57" s="74"/>
      <c r="AE57" s="75" t="str">
        <f>W57</f>
        <v>Dezembro</v>
      </c>
      <c r="AF57" s="75"/>
      <c r="AG57" s="75"/>
      <c r="AH57" s="75"/>
      <c r="AI57" s="75"/>
      <c r="AJ57" s="75"/>
      <c r="AK57" s="75"/>
    </row>
    <row r="58" spans="1:37" ht="15.75" thickBot="1" x14ac:dyDescent="0.3">
      <c r="A58" s="71" t="s">
        <v>5</v>
      </c>
      <c r="B58" s="34" t="s">
        <v>6</v>
      </c>
      <c r="C58" s="22" t="s">
        <v>7</v>
      </c>
      <c r="D58" s="33" t="s">
        <v>8</v>
      </c>
      <c r="E58" s="22" t="s">
        <v>9</v>
      </c>
      <c r="F58" s="24" t="s">
        <v>10</v>
      </c>
      <c r="G58" s="23" t="s">
        <v>11</v>
      </c>
      <c r="H58" s="25" t="s">
        <v>12</v>
      </c>
      <c r="J58" s="6" t="s">
        <v>4</v>
      </c>
      <c r="K58" s="9"/>
      <c r="L58" s="4"/>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71"/>
      <c r="B59" s="26"/>
      <c r="C59" s="27"/>
      <c r="D59" s="27"/>
      <c r="E59" s="27"/>
      <c r="F59" s="27">
        <f>SUM(C59-B59)</f>
        <v>0</v>
      </c>
      <c r="G59" s="20">
        <f>SUM(E59-D59)</f>
        <v>0</v>
      </c>
      <c r="H59" s="21">
        <f>SUM(F59:G59)</f>
        <v>0</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72" t="s">
        <v>87</v>
      </c>
      <c r="C61" s="72"/>
      <c r="D61" s="72"/>
      <c r="E61" s="72"/>
      <c r="F61" s="72"/>
      <c r="G61" s="72"/>
      <c r="H61" s="72"/>
      <c r="J61" s="73" t="s">
        <v>87</v>
      </c>
      <c r="K61" s="73"/>
      <c r="L61" s="73"/>
      <c r="M61" s="73"/>
      <c r="N61" s="73"/>
      <c r="O61" s="73"/>
      <c r="P61" s="73"/>
      <c r="Q61" s="73"/>
      <c r="R61" s="73"/>
      <c r="S61" s="73"/>
      <c r="T61" s="73"/>
      <c r="U61" s="73"/>
      <c r="W61" s="74" t="str">
        <f>J61</f>
        <v>Janeiro</v>
      </c>
      <c r="X61" s="74"/>
      <c r="Y61" s="74"/>
      <c r="Z61" s="74"/>
      <c r="AA61" s="74"/>
      <c r="AB61" s="74"/>
      <c r="AC61" s="74"/>
      <c r="AE61" s="75" t="str">
        <f>W61</f>
        <v>Janeiro</v>
      </c>
      <c r="AF61" s="75"/>
      <c r="AG61" s="75"/>
      <c r="AH61" s="75"/>
      <c r="AI61" s="75"/>
      <c r="AJ61" s="75"/>
      <c r="AK61" s="75"/>
    </row>
    <row r="62" spans="1:37" ht="15.75" thickBot="1" x14ac:dyDescent="0.3">
      <c r="A62" s="71"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71"/>
      <c r="B63" s="26"/>
      <c r="C63" s="27"/>
      <c r="D63" s="27"/>
      <c r="E63" s="27"/>
      <c r="F63" s="27">
        <f>SUM(C63-B63)</f>
        <v>0</v>
      </c>
      <c r="G63" s="20">
        <f>SUM(E63-D63)</f>
        <v>0</v>
      </c>
      <c r="H63" s="21">
        <f>SUM(F63:G63)</f>
        <v>0</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19"/>
      <c r="B65" s="72" t="s">
        <v>3</v>
      </c>
      <c r="C65" s="72"/>
      <c r="D65" s="72"/>
      <c r="E65" s="72"/>
      <c r="F65" s="72"/>
      <c r="G65" s="72"/>
      <c r="H65" s="72"/>
      <c r="J65" s="73" t="s">
        <v>3</v>
      </c>
      <c r="K65" s="73"/>
      <c r="L65" s="73"/>
      <c r="M65" s="73"/>
      <c r="N65" s="73"/>
      <c r="O65" s="73"/>
      <c r="P65" s="73"/>
      <c r="Q65" s="73"/>
      <c r="R65" s="73"/>
      <c r="S65" s="73"/>
      <c r="T65" s="73"/>
      <c r="U65" s="73"/>
      <c r="W65" s="74" t="s">
        <v>3</v>
      </c>
      <c r="X65" s="74"/>
      <c r="Y65" s="74"/>
      <c r="Z65" s="74"/>
      <c r="AA65" s="74"/>
      <c r="AB65" s="74"/>
      <c r="AC65" s="74"/>
      <c r="AE65" s="75" t="s">
        <v>3</v>
      </c>
      <c r="AF65" s="75"/>
      <c r="AG65" s="75"/>
      <c r="AH65" s="75"/>
      <c r="AI65" s="75"/>
      <c r="AJ65" s="75"/>
      <c r="AK65" s="75"/>
    </row>
    <row r="66" spans="1:37" ht="15.75" thickBot="1" x14ac:dyDescent="0.3">
      <c r="A66" s="71" t="s">
        <v>5</v>
      </c>
      <c r="B66" s="34" t="s">
        <v>6</v>
      </c>
      <c r="C66" s="22" t="s">
        <v>7</v>
      </c>
      <c r="D66" s="33" t="s">
        <v>8</v>
      </c>
      <c r="E66" s="22" t="s">
        <v>9</v>
      </c>
      <c r="F66" s="24" t="s">
        <v>10</v>
      </c>
      <c r="G66" s="23" t="s">
        <v>11</v>
      </c>
      <c r="H66" s="25" t="s">
        <v>12</v>
      </c>
      <c r="J66" s="28" t="s">
        <v>4</v>
      </c>
      <c r="K66" s="9"/>
      <c r="L66" s="66"/>
      <c r="M66" s="66"/>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1"/>
      <c r="B67" s="26"/>
      <c r="C67" s="27"/>
      <c r="D67" s="27"/>
      <c r="E67" s="27"/>
      <c r="F67" s="27">
        <f>SUM(C67-B67)</f>
        <v>0</v>
      </c>
      <c r="G67" s="20">
        <f>SUM(E67-D67)</f>
        <v>0</v>
      </c>
      <c r="H67" s="21">
        <f>SUM(F67:G67)</f>
        <v>0</v>
      </c>
      <c r="J67" s="29" t="s">
        <v>22</v>
      </c>
      <c r="K67" s="10"/>
      <c r="L67" s="11"/>
      <c r="M67" s="11"/>
      <c r="N67" s="11"/>
      <c r="O67" s="11"/>
      <c r="P67" s="11"/>
      <c r="Q67" s="11"/>
      <c r="R67" s="11"/>
      <c r="S67" s="11"/>
      <c r="T67" s="11"/>
      <c r="U67" s="1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2" t="s">
        <v>13</v>
      </c>
      <c r="C69" s="72"/>
      <c r="D69" s="72"/>
      <c r="E69" s="72"/>
      <c r="F69" s="72"/>
      <c r="G69" s="72"/>
      <c r="H69" s="72"/>
      <c r="J69" s="73" t="s">
        <v>13</v>
      </c>
      <c r="K69" s="73"/>
      <c r="L69" s="73"/>
      <c r="M69" s="73"/>
      <c r="N69" s="73"/>
      <c r="O69" s="73"/>
      <c r="P69" s="73"/>
      <c r="Q69" s="73"/>
      <c r="R69" s="73"/>
      <c r="S69" s="73"/>
      <c r="T69" s="73"/>
      <c r="U69" s="73"/>
      <c r="W69" s="74" t="str">
        <f>J69</f>
        <v>Março</v>
      </c>
      <c r="X69" s="74"/>
      <c r="Y69" s="74"/>
      <c r="Z69" s="74"/>
      <c r="AA69" s="74"/>
      <c r="AB69" s="74"/>
      <c r="AC69" s="74"/>
      <c r="AE69" s="75" t="str">
        <f>W69</f>
        <v>Março</v>
      </c>
      <c r="AF69" s="75"/>
      <c r="AG69" s="75"/>
      <c r="AH69" s="75"/>
      <c r="AI69" s="75"/>
      <c r="AJ69" s="75"/>
      <c r="AK69" s="75"/>
    </row>
    <row r="70" spans="1:37" ht="15.75" thickBot="1" x14ac:dyDescent="0.3">
      <c r="A70" s="71" t="s">
        <v>5</v>
      </c>
      <c r="B70" s="34" t="s">
        <v>6</v>
      </c>
      <c r="C70" s="22" t="s">
        <v>7</v>
      </c>
      <c r="D70" s="33" t="s">
        <v>8</v>
      </c>
      <c r="E70" s="22" t="s">
        <v>9</v>
      </c>
      <c r="F70" s="24" t="s">
        <v>10</v>
      </c>
      <c r="G70" s="23" t="s">
        <v>11</v>
      </c>
      <c r="H70" s="25" t="s">
        <v>12</v>
      </c>
      <c r="J70" s="6" t="s">
        <v>4</v>
      </c>
      <c r="K70" s="9"/>
      <c r="L70" s="66"/>
      <c r="M70" s="66"/>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1"/>
      <c r="B71" s="26"/>
      <c r="C71" s="27"/>
      <c r="D71" s="27"/>
      <c r="E71" s="27"/>
      <c r="F71" s="27">
        <f>SUM(C71-B71)</f>
        <v>0</v>
      </c>
      <c r="G71" s="20">
        <f>SUM(E71-D71)</f>
        <v>0</v>
      </c>
      <c r="H71" s="21">
        <f>SUM(F71:G71)</f>
        <v>0</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2" t="s">
        <v>14</v>
      </c>
      <c r="C73" s="72"/>
      <c r="D73" s="72"/>
      <c r="E73" s="72"/>
      <c r="F73" s="72"/>
      <c r="G73" s="72"/>
      <c r="H73" s="72"/>
      <c r="J73" s="73" t="s">
        <v>14</v>
      </c>
      <c r="K73" s="73"/>
      <c r="L73" s="73"/>
      <c r="M73" s="73"/>
      <c r="N73" s="73"/>
      <c r="O73" s="73"/>
      <c r="P73" s="73"/>
      <c r="Q73" s="73"/>
      <c r="R73" s="73"/>
      <c r="S73" s="73"/>
      <c r="T73" s="73"/>
      <c r="U73" s="73"/>
      <c r="W73" s="74" t="str">
        <f>J73</f>
        <v>Abril</v>
      </c>
      <c r="X73" s="74"/>
      <c r="Y73" s="74"/>
      <c r="Z73" s="74"/>
      <c r="AA73" s="74"/>
      <c r="AB73" s="74"/>
      <c r="AC73" s="74"/>
      <c r="AE73" s="75" t="str">
        <f>W73</f>
        <v>Abril</v>
      </c>
      <c r="AF73" s="75"/>
      <c r="AG73" s="75"/>
      <c r="AH73" s="75"/>
      <c r="AI73" s="75"/>
      <c r="AJ73" s="75"/>
      <c r="AK73" s="75"/>
    </row>
    <row r="74" spans="1:37" ht="15.75" thickBot="1" x14ac:dyDescent="0.3">
      <c r="A74" s="71"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1"/>
      <c r="B75" s="26"/>
      <c r="C75" s="27"/>
      <c r="D75" s="27"/>
      <c r="E75" s="27"/>
      <c r="F75" s="27">
        <f>SUM(C75-B75)</f>
        <v>0</v>
      </c>
      <c r="G75" s="20">
        <f>SUM(E75-D75)</f>
        <v>0</v>
      </c>
      <c r="H75" s="21">
        <f>SUM(F75:G75)</f>
        <v>0</v>
      </c>
      <c r="J75" s="7" t="s">
        <v>22</v>
      </c>
      <c r="K75" s="30"/>
      <c r="L75" s="31"/>
      <c r="M75" s="31"/>
      <c r="N75" s="31"/>
      <c r="O75" s="31"/>
      <c r="P75" s="31"/>
      <c r="Q75" s="31"/>
      <c r="R75" s="31"/>
      <c r="S75" s="31"/>
      <c r="T75" s="31"/>
      <c r="U75" s="3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2" t="s">
        <v>15</v>
      </c>
      <c r="C77" s="72"/>
      <c r="D77" s="72"/>
      <c r="E77" s="72"/>
      <c r="F77" s="72"/>
      <c r="G77" s="72"/>
      <c r="H77" s="72"/>
      <c r="J77" s="73" t="s">
        <v>15</v>
      </c>
      <c r="K77" s="73"/>
      <c r="L77" s="73"/>
      <c r="M77" s="73"/>
      <c r="N77" s="73"/>
      <c r="O77" s="73"/>
      <c r="P77" s="73"/>
      <c r="Q77" s="73"/>
      <c r="R77" s="73"/>
      <c r="S77" s="73"/>
      <c r="T77" s="73"/>
      <c r="U77" s="73"/>
      <c r="W77" s="74" t="str">
        <f>J77</f>
        <v>Maio</v>
      </c>
      <c r="X77" s="74"/>
      <c r="Y77" s="74"/>
      <c r="Z77" s="74"/>
      <c r="AA77" s="74"/>
      <c r="AB77" s="74"/>
      <c r="AC77" s="74"/>
      <c r="AE77" s="75" t="str">
        <f>W77</f>
        <v>Maio</v>
      </c>
      <c r="AF77" s="75"/>
      <c r="AG77" s="75"/>
      <c r="AH77" s="75"/>
      <c r="AI77" s="75"/>
      <c r="AJ77" s="75"/>
      <c r="AK77" s="75"/>
    </row>
    <row r="78" spans="1:37" ht="15.75" thickBot="1" x14ac:dyDescent="0.3">
      <c r="A78" s="71"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1"/>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2" t="s">
        <v>24</v>
      </c>
      <c r="C81" s="72"/>
      <c r="D81" s="72"/>
      <c r="E81" s="72"/>
      <c r="F81" s="72"/>
      <c r="G81" s="72"/>
      <c r="H81" s="72"/>
      <c r="J81" s="73" t="s">
        <v>24</v>
      </c>
      <c r="K81" s="73"/>
      <c r="L81" s="73"/>
      <c r="M81" s="73"/>
      <c r="N81" s="73"/>
      <c r="O81" s="73"/>
      <c r="P81" s="73"/>
      <c r="Q81" s="73"/>
      <c r="R81" s="73"/>
      <c r="S81" s="73"/>
      <c r="T81" s="73"/>
      <c r="U81" s="73"/>
      <c r="W81" s="74" t="str">
        <f>J81</f>
        <v>Junho</v>
      </c>
      <c r="X81" s="74"/>
      <c r="Y81" s="74"/>
      <c r="Z81" s="74"/>
      <c r="AA81" s="74"/>
      <c r="AB81" s="74"/>
      <c r="AC81" s="74"/>
      <c r="AE81" s="75" t="str">
        <f>W81</f>
        <v>Junho</v>
      </c>
      <c r="AF81" s="75"/>
      <c r="AG81" s="75"/>
      <c r="AH81" s="75"/>
      <c r="AI81" s="75"/>
      <c r="AJ81" s="75"/>
      <c r="AK81" s="75"/>
    </row>
    <row r="82" spans="1:37" ht="15.75" thickBot="1" x14ac:dyDescent="0.3">
      <c r="A82" s="71"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1"/>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72" t="s">
        <v>16</v>
      </c>
      <c r="C85" s="72"/>
      <c r="D85" s="72"/>
      <c r="E85" s="72"/>
      <c r="F85" s="72"/>
      <c r="G85" s="72"/>
      <c r="H85" s="72"/>
      <c r="J85" s="73" t="s">
        <v>16</v>
      </c>
      <c r="K85" s="73"/>
      <c r="L85" s="73"/>
      <c r="M85" s="73"/>
      <c r="N85" s="73"/>
      <c r="O85" s="73"/>
      <c r="P85" s="73"/>
      <c r="Q85" s="73"/>
      <c r="R85" s="73"/>
      <c r="S85" s="73"/>
      <c r="T85" s="73"/>
      <c r="U85" s="73"/>
      <c r="W85" s="74" t="str">
        <f>J85</f>
        <v>Julho</v>
      </c>
      <c r="X85" s="74"/>
      <c r="Y85" s="74"/>
      <c r="Z85" s="74"/>
      <c r="AA85" s="74"/>
      <c r="AB85" s="74"/>
      <c r="AC85" s="74"/>
      <c r="AE85" s="75" t="str">
        <f>W85</f>
        <v>Julho</v>
      </c>
      <c r="AF85" s="75"/>
      <c r="AG85" s="75"/>
      <c r="AH85" s="75"/>
      <c r="AI85" s="75"/>
      <c r="AJ85" s="75"/>
      <c r="AK85" s="75"/>
    </row>
    <row r="86" spans="1:37" ht="15.75" thickBot="1" x14ac:dyDescent="0.3">
      <c r="A86" s="71"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71"/>
      <c r="B87" s="26"/>
      <c r="C87" s="27"/>
      <c r="D87" s="27"/>
      <c r="E87" s="27"/>
      <c r="F87" s="27">
        <f>SUM(C87-B87)</f>
        <v>0</v>
      </c>
      <c r="G87" s="20">
        <f>SUM(E87-D87)</f>
        <v>0</v>
      </c>
      <c r="H87" s="21">
        <f>SUM(F87:G87)</f>
        <v>0</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row r="89" spans="1:37" ht="15.75" thickBot="1" x14ac:dyDescent="0.3">
      <c r="A89" s="19"/>
      <c r="B89" s="72" t="s">
        <v>17</v>
      </c>
      <c r="C89" s="72"/>
      <c r="D89" s="72"/>
      <c r="E89" s="72"/>
      <c r="F89" s="72"/>
      <c r="G89" s="72"/>
      <c r="H89" s="72"/>
      <c r="J89" s="73" t="s">
        <v>17</v>
      </c>
      <c r="K89" s="73"/>
      <c r="L89" s="73"/>
      <c r="M89" s="73"/>
      <c r="N89" s="73"/>
      <c r="O89" s="73"/>
      <c r="P89" s="73"/>
      <c r="Q89" s="73"/>
      <c r="R89" s="73"/>
      <c r="S89" s="73"/>
      <c r="T89" s="73"/>
      <c r="U89" s="73"/>
      <c r="W89" s="74" t="str">
        <f>J89</f>
        <v>Agosto</v>
      </c>
      <c r="X89" s="74"/>
      <c r="Y89" s="74"/>
      <c r="Z89" s="74"/>
      <c r="AA89" s="74"/>
      <c r="AB89" s="74"/>
      <c r="AC89" s="74"/>
      <c r="AE89" s="75" t="str">
        <f>W89</f>
        <v>Agosto</v>
      </c>
      <c r="AF89" s="75"/>
      <c r="AG89" s="75"/>
      <c r="AH89" s="75"/>
      <c r="AI89" s="75"/>
      <c r="AJ89" s="75"/>
      <c r="AK89" s="75"/>
    </row>
    <row r="90" spans="1:37" ht="15.75" thickBot="1" x14ac:dyDescent="0.3">
      <c r="A90" s="71"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W90" s="6" t="s">
        <v>4</v>
      </c>
      <c r="X90" s="9"/>
      <c r="Y90" s="4"/>
      <c r="Z90" s="4"/>
      <c r="AA90" s="4"/>
      <c r="AB90" s="4"/>
      <c r="AC90" s="5"/>
      <c r="AE90" s="6" t="s">
        <v>4</v>
      </c>
      <c r="AF90" s="9"/>
      <c r="AG90" s="4"/>
      <c r="AH90" s="4"/>
      <c r="AI90" s="4"/>
      <c r="AJ90" s="4"/>
      <c r="AK90" s="5"/>
    </row>
    <row r="91" spans="1:37" ht="15.75" thickBot="1" x14ac:dyDescent="0.3">
      <c r="A91" s="71"/>
      <c r="B91" s="26"/>
      <c r="C91" s="27"/>
      <c r="D91" s="27"/>
      <c r="E91" s="27"/>
      <c r="F91" s="27">
        <f>SUM(C91-B91)</f>
        <v>0</v>
      </c>
      <c r="G91" s="20">
        <f>SUM(E91-D91)</f>
        <v>0</v>
      </c>
      <c r="H91" s="21">
        <f>SUM(F91:G91)</f>
        <v>0</v>
      </c>
      <c r="J91" s="7" t="s">
        <v>22</v>
      </c>
      <c r="K91" s="10"/>
      <c r="L91" s="11"/>
      <c r="M91" s="11"/>
      <c r="N91" s="11"/>
      <c r="O91" s="11"/>
      <c r="P91" s="11"/>
      <c r="Q91" s="11"/>
      <c r="R91" s="11"/>
      <c r="S91" s="11"/>
      <c r="T91" s="11"/>
      <c r="U91" s="12"/>
      <c r="W91" s="7" t="s">
        <v>22</v>
      </c>
      <c r="X91" s="10"/>
      <c r="Y91" s="11"/>
      <c r="Z91" s="11"/>
      <c r="AA91" s="11"/>
      <c r="AB91" s="11"/>
      <c r="AC91" s="12"/>
      <c r="AE91" s="7" t="s">
        <v>22</v>
      </c>
      <c r="AF91" s="10"/>
      <c r="AG91" s="11"/>
      <c r="AH91" s="11"/>
      <c r="AI91" s="11"/>
      <c r="AJ91" s="11"/>
      <c r="AK91" s="12"/>
    </row>
    <row r="92" spans="1:37" x14ac:dyDescent="0.25">
      <c r="J92" s="8"/>
      <c r="T92" s="8" t="s">
        <v>23</v>
      </c>
      <c r="U92" s="13">
        <f>SUM(K91:U91)</f>
        <v>0</v>
      </c>
      <c r="AB92" s="8" t="s">
        <v>23</v>
      </c>
      <c r="AC92" s="13">
        <f>SUM(X91:AC91)</f>
        <v>0</v>
      </c>
      <c r="AJ92" s="8" t="s">
        <v>23</v>
      </c>
      <c r="AK92" s="13">
        <f>SUM(AF91:AK91)</f>
        <v>0</v>
      </c>
    </row>
    <row r="93" spans="1:37" ht="15.75" thickBot="1" x14ac:dyDescent="0.3">
      <c r="A93" s="19"/>
      <c r="B93" s="72" t="s">
        <v>18</v>
      </c>
      <c r="C93" s="72"/>
      <c r="D93" s="72"/>
      <c r="E93" s="72"/>
      <c r="F93" s="72"/>
      <c r="G93" s="72"/>
      <c r="H93" s="72"/>
      <c r="J93" s="73" t="s">
        <v>18</v>
      </c>
      <c r="K93" s="73"/>
      <c r="L93" s="73"/>
      <c r="M93" s="73"/>
      <c r="N93" s="73"/>
      <c r="O93" s="73"/>
      <c r="P93" s="73"/>
      <c r="Q93" s="73"/>
      <c r="R93" s="73"/>
      <c r="S93" s="73"/>
      <c r="T93" s="73"/>
      <c r="U93" s="73"/>
      <c r="W93" s="74" t="str">
        <f>J93</f>
        <v>Setembro</v>
      </c>
      <c r="X93" s="74"/>
      <c r="Y93" s="74"/>
      <c r="Z93" s="74"/>
      <c r="AA93" s="74"/>
      <c r="AB93" s="74"/>
      <c r="AC93" s="74"/>
      <c r="AE93" s="75" t="str">
        <f>W93</f>
        <v>Setembro</v>
      </c>
      <c r="AF93" s="75"/>
      <c r="AG93" s="75"/>
      <c r="AH93" s="75"/>
      <c r="AI93" s="75"/>
      <c r="AJ93" s="75"/>
      <c r="AK93" s="75"/>
    </row>
    <row r="94" spans="1:37" ht="15.75" thickBot="1" x14ac:dyDescent="0.3">
      <c r="A94" s="71" t="s">
        <v>5</v>
      </c>
      <c r="B94" s="34" t="s">
        <v>6</v>
      </c>
      <c r="C94" s="22" t="s">
        <v>7</v>
      </c>
      <c r="D94" s="33" t="s">
        <v>8</v>
      </c>
      <c r="E94" s="22" t="s">
        <v>9</v>
      </c>
      <c r="F94" s="24" t="s">
        <v>10</v>
      </c>
      <c r="G94" s="23" t="s">
        <v>11</v>
      </c>
      <c r="H94" s="25" t="s">
        <v>12</v>
      </c>
      <c r="J94" s="6" t="s">
        <v>4</v>
      </c>
      <c r="K94" s="9"/>
      <c r="L94" s="4"/>
      <c r="M94" s="4"/>
      <c r="N94" s="4"/>
      <c r="O94" s="4"/>
      <c r="P94" s="4"/>
      <c r="Q94" s="4"/>
      <c r="R94" s="4"/>
      <c r="S94" s="4"/>
      <c r="T94" s="4"/>
      <c r="U94" s="5"/>
      <c r="W94" s="6" t="s">
        <v>4</v>
      </c>
      <c r="X94" s="9"/>
      <c r="Y94" s="4"/>
      <c r="Z94" s="4"/>
      <c r="AA94" s="4"/>
      <c r="AB94" s="4"/>
      <c r="AC94" s="5"/>
      <c r="AE94" s="6" t="s">
        <v>4</v>
      </c>
      <c r="AF94" s="9"/>
      <c r="AG94" s="4"/>
      <c r="AH94" s="4"/>
      <c r="AI94" s="4"/>
      <c r="AJ94" s="4"/>
      <c r="AK94" s="5"/>
    </row>
    <row r="95" spans="1:37" ht="15.75" thickBot="1" x14ac:dyDescent="0.3">
      <c r="A95" s="71"/>
      <c r="B95" s="26"/>
      <c r="C95" s="27"/>
      <c r="D95" s="27"/>
      <c r="E95" s="27"/>
      <c r="F95" s="27">
        <f>SUM(C95-B95)</f>
        <v>0</v>
      </c>
      <c r="G95" s="20">
        <f>SUM(E95-D95)</f>
        <v>0</v>
      </c>
      <c r="H95" s="21">
        <f>SUM(F95:G95)</f>
        <v>0</v>
      </c>
      <c r="J95" s="7" t="s">
        <v>22</v>
      </c>
      <c r="K95" s="10"/>
      <c r="L95" s="11"/>
      <c r="M95" s="11"/>
      <c r="N95" s="11"/>
      <c r="O95" s="11"/>
      <c r="P95" s="11"/>
      <c r="Q95" s="11"/>
      <c r="R95" s="11"/>
      <c r="S95" s="11"/>
      <c r="T95" s="11"/>
      <c r="U95" s="12"/>
      <c r="W95" s="7" t="s">
        <v>22</v>
      </c>
      <c r="X95" s="10"/>
      <c r="Y95" s="11"/>
      <c r="Z95" s="11"/>
      <c r="AA95" s="11"/>
      <c r="AB95" s="11"/>
      <c r="AC95" s="12"/>
      <c r="AE95" s="7" t="s">
        <v>22</v>
      </c>
      <c r="AF95" s="10"/>
      <c r="AG95" s="11"/>
      <c r="AH95" s="11"/>
      <c r="AI95" s="11"/>
      <c r="AJ95" s="11"/>
      <c r="AK95" s="12"/>
    </row>
    <row r="96" spans="1:37" x14ac:dyDescent="0.25">
      <c r="J96" s="8"/>
      <c r="T96" s="8" t="s">
        <v>23</v>
      </c>
      <c r="U96" s="13">
        <f>SUM(K95:U95)</f>
        <v>0</v>
      </c>
      <c r="AB96" s="8" t="s">
        <v>23</v>
      </c>
      <c r="AC96" s="13">
        <f>SUM(X95:AC95)</f>
        <v>0</v>
      </c>
      <c r="AJ96" s="8" t="s">
        <v>23</v>
      </c>
      <c r="AK96" s="13">
        <f>SUM(AF95:AK95)</f>
        <v>0</v>
      </c>
    </row>
    <row r="97" spans="1:37" ht="15.75" thickBot="1" x14ac:dyDescent="0.3">
      <c r="A97" s="19"/>
      <c r="B97" s="72" t="s">
        <v>19</v>
      </c>
      <c r="C97" s="72"/>
      <c r="D97" s="72"/>
      <c r="E97" s="72"/>
      <c r="F97" s="72"/>
      <c r="G97" s="72"/>
      <c r="H97" s="72"/>
      <c r="J97" s="73" t="s">
        <v>19</v>
      </c>
      <c r="K97" s="73"/>
      <c r="L97" s="73"/>
      <c r="M97" s="73"/>
      <c r="N97" s="73"/>
      <c r="O97" s="73"/>
      <c r="P97" s="73"/>
      <c r="Q97" s="73"/>
      <c r="R97" s="73"/>
      <c r="S97" s="73"/>
      <c r="T97" s="73"/>
      <c r="U97" s="73"/>
      <c r="W97" s="74" t="str">
        <f>J97</f>
        <v>Outubro</v>
      </c>
      <c r="X97" s="74"/>
      <c r="Y97" s="74"/>
      <c r="Z97" s="74"/>
      <c r="AA97" s="74"/>
      <c r="AB97" s="74"/>
      <c r="AC97" s="74"/>
      <c r="AE97" s="75" t="str">
        <f>W97</f>
        <v>Outubro</v>
      </c>
      <c r="AF97" s="75"/>
      <c r="AG97" s="75"/>
      <c r="AH97" s="75"/>
      <c r="AI97" s="75"/>
      <c r="AJ97" s="75"/>
      <c r="AK97" s="75"/>
    </row>
    <row r="98" spans="1:37" ht="15.75" thickBot="1" x14ac:dyDescent="0.3">
      <c r="A98" s="71" t="s">
        <v>5</v>
      </c>
      <c r="B98" s="34" t="s">
        <v>6</v>
      </c>
      <c r="C98" s="22" t="s">
        <v>7</v>
      </c>
      <c r="D98" s="33" t="s">
        <v>8</v>
      </c>
      <c r="E98" s="22" t="s">
        <v>9</v>
      </c>
      <c r="F98" s="24" t="s">
        <v>10</v>
      </c>
      <c r="G98" s="23" t="s">
        <v>11</v>
      </c>
      <c r="H98" s="25" t="s">
        <v>12</v>
      </c>
      <c r="J98" s="6" t="s">
        <v>4</v>
      </c>
      <c r="K98" s="9"/>
      <c r="L98" s="4"/>
      <c r="M98" s="4"/>
      <c r="N98" s="4"/>
      <c r="O98" s="4"/>
      <c r="P98" s="4"/>
      <c r="Q98" s="4"/>
      <c r="R98" s="4"/>
      <c r="S98" s="4"/>
      <c r="T98" s="4"/>
      <c r="U98" s="5"/>
      <c r="W98" s="6" t="s">
        <v>4</v>
      </c>
      <c r="X98" s="9"/>
      <c r="Y98" s="4"/>
      <c r="Z98" s="4"/>
      <c r="AA98" s="4"/>
      <c r="AB98" s="4"/>
      <c r="AC98" s="5"/>
      <c r="AE98" s="6" t="s">
        <v>4</v>
      </c>
      <c r="AF98" s="9"/>
      <c r="AG98" s="4"/>
      <c r="AH98" s="4"/>
      <c r="AI98" s="4"/>
      <c r="AJ98" s="4"/>
      <c r="AK98" s="5"/>
    </row>
    <row r="99" spans="1:37" ht="15.75" thickBot="1" x14ac:dyDescent="0.3">
      <c r="A99" s="71"/>
      <c r="B99" s="26"/>
      <c r="C99" s="27"/>
      <c r="D99" s="27"/>
      <c r="E99" s="27"/>
      <c r="F99" s="27">
        <f>SUM(C99-B99)</f>
        <v>0</v>
      </c>
      <c r="G99" s="20">
        <f>SUM(E99-D99)</f>
        <v>0</v>
      </c>
      <c r="H99" s="21">
        <f>SUM(F99:G99)</f>
        <v>0</v>
      </c>
      <c r="J99" s="7" t="s">
        <v>22</v>
      </c>
      <c r="K99" s="10"/>
      <c r="L99" s="11"/>
      <c r="M99" s="11"/>
      <c r="N99" s="11"/>
      <c r="O99" s="11"/>
      <c r="P99" s="11"/>
      <c r="Q99" s="11"/>
      <c r="R99" s="11"/>
      <c r="S99" s="11"/>
      <c r="T99" s="11"/>
      <c r="U99" s="12"/>
      <c r="W99" s="7" t="s">
        <v>22</v>
      </c>
      <c r="X99" s="10"/>
      <c r="Y99" s="11"/>
      <c r="Z99" s="11"/>
      <c r="AA99" s="11"/>
      <c r="AB99" s="11"/>
      <c r="AC99" s="12"/>
      <c r="AE99" s="7" t="s">
        <v>22</v>
      </c>
      <c r="AF99" s="10"/>
      <c r="AG99" s="11"/>
      <c r="AH99" s="11"/>
      <c r="AI99" s="11"/>
      <c r="AJ99" s="11"/>
      <c r="AK99" s="12"/>
    </row>
    <row r="100" spans="1:37" x14ac:dyDescent="0.25">
      <c r="J100" s="8"/>
      <c r="T100" s="8" t="s">
        <v>23</v>
      </c>
      <c r="U100" s="13">
        <f>SUM(K99:U99)</f>
        <v>0</v>
      </c>
      <c r="AB100" s="8" t="s">
        <v>23</v>
      </c>
      <c r="AC100" s="13">
        <f>SUM(X99:AC99)</f>
        <v>0</v>
      </c>
      <c r="AJ100" s="8" t="s">
        <v>23</v>
      </c>
      <c r="AK100" s="13">
        <f>SUM(AF99:AK99)</f>
        <v>0</v>
      </c>
    </row>
    <row r="101" spans="1:37" ht="15.75" thickBot="1" x14ac:dyDescent="0.3">
      <c r="A101" s="19"/>
      <c r="B101" s="72" t="s">
        <v>20</v>
      </c>
      <c r="C101" s="72"/>
      <c r="D101" s="72"/>
      <c r="E101" s="72"/>
      <c r="F101" s="72"/>
      <c r="G101" s="72"/>
      <c r="H101" s="72"/>
      <c r="J101" s="73" t="s">
        <v>20</v>
      </c>
      <c r="K101" s="73"/>
      <c r="L101" s="73"/>
      <c r="M101" s="73"/>
      <c r="N101" s="73"/>
      <c r="O101" s="73"/>
      <c r="P101" s="73"/>
      <c r="Q101" s="73"/>
      <c r="R101" s="73"/>
      <c r="S101" s="73"/>
      <c r="T101" s="73"/>
      <c r="U101" s="73"/>
      <c r="W101" s="74" t="str">
        <f>J101</f>
        <v>Novembro</v>
      </c>
      <c r="X101" s="74"/>
      <c r="Y101" s="74"/>
      <c r="Z101" s="74"/>
      <c r="AA101" s="74"/>
      <c r="AB101" s="74"/>
      <c r="AC101" s="74"/>
      <c r="AE101" s="75" t="str">
        <f>W101</f>
        <v>Novembro</v>
      </c>
      <c r="AF101" s="75"/>
      <c r="AG101" s="75"/>
      <c r="AH101" s="75"/>
      <c r="AI101" s="75"/>
      <c r="AJ101" s="75"/>
      <c r="AK101" s="75"/>
    </row>
    <row r="102" spans="1:37" ht="15.75" thickBot="1" x14ac:dyDescent="0.3">
      <c r="A102" s="71" t="s">
        <v>5</v>
      </c>
      <c r="B102" s="34" t="s">
        <v>6</v>
      </c>
      <c r="C102" s="22" t="s">
        <v>7</v>
      </c>
      <c r="D102" s="33" t="s">
        <v>8</v>
      </c>
      <c r="E102" s="22" t="s">
        <v>9</v>
      </c>
      <c r="F102" s="24" t="s">
        <v>10</v>
      </c>
      <c r="G102" s="23" t="s">
        <v>11</v>
      </c>
      <c r="H102" s="25" t="s">
        <v>12</v>
      </c>
      <c r="J102" s="6" t="s">
        <v>4</v>
      </c>
      <c r="K102" s="9"/>
      <c r="L102" s="4"/>
      <c r="M102" s="4"/>
      <c r="N102" s="4"/>
      <c r="O102" s="4"/>
      <c r="P102" s="4"/>
      <c r="Q102" s="4"/>
      <c r="R102" s="4"/>
      <c r="S102" s="4"/>
      <c r="T102" s="4"/>
      <c r="U102" s="5"/>
      <c r="W102" s="6" t="s">
        <v>4</v>
      </c>
      <c r="X102" s="9"/>
      <c r="Y102" s="4"/>
      <c r="Z102" s="4"/>
      <c r="AA102" s="4"/>
      <c r="AB102" s="4"/>
      <c r="AC102" s="5"/>
      <c r="AE102" s="6" t="s">
        <v>4</v>
      </c>
      <c r="AF102" s="9"/>
      <c r="AG102" s="4"/>
      <c r="AH102" s="4"/>
      <c r="AI102" s="4"/>
      <c r="AJ102" s="4"/>
      <c r="AK102" s="5"/>
    </row>
    <row r="103" spans="1:37" ht="15.75" thickBot="1" x14ac:dyDescent="0.3">
      <c r="A103" s="71"/>
      <c r="B103" s="26"/>
      <c r="C103" s="27"/>
      <c r="D103" s="27"/>
      <c r="E103" s="27"/>
      <c r="F103" s="27">
        <f>SUM(C103-B103)</f>
        <v>0</v>
      </c>
      <c r="G103" s="20">
        <f>SUM(E103-D103)</f>
        <v>0</v>
      </c>
      <c r="H103" s="21">
        <f>SUM(F103:G103)</f>
        <v>0</v>
      </c>
      <c r="J103" s="7" t="s">
        <v>22</v>
      </c>
      <c r="K103" s="10"/>
      <c r="L103" s="11"/>
      <c r="M103" s="11"/>
      <c r="N103" s="11"/>
      <c r="O103" s="11"/>
      <c r="P103" s="11"/>
      <c r="Q103" s="11"/>
      <c r="R103" s="11"/>
      <c r="S103" s="11"/>
      <c r="T103" s="11"/>
      <c r="U103" s="12"/>
      <c r="W103" s="7" t="s">
        <v>22</v>
      </c>
      <c r="X103" s="10"/>
      <c r="Y103" s="11"/>
      <c r="Z103" s="11"/>
      <c r="AA103" s="11"/>
      <c r="AB103" s="11"/>
      <c r="AC103" s="12"/>
      <c r="AE103" s="7" t="s">
        <v>22</v>
      </c>
      <c r="AF103" s="10"/>
      <c r="AG103" s="11"/>
      <c r="AH103" s="11"/>
      <c r="AI103" s="11"/>
      <c r="AJ103" s="11"/>
      <c r="AK103" s="12"/>
    </row>
    <row r="104" spans="1:37" x14ac:dyDescent="0.25">
      <c r="J104" s="8"/>
      <c r="T104" s="8" t="s">
        <v>23</v>
      </c>
      <c r="U104" s="13">
        <f>SUM(K103:U103)</f>
        <v>0</v>
      </c>
      <c r="AB104" s="8" t="s">
        <v>23</v>
      </c>
      <c r="AC104" s="13">
        <f>SUM(X103:AC103)</f>
        <v>0</v>
      </c>
      <c r="AJ104" s="8" t="s">
        <v>23</v>
      </c>
      <c r="AK104" s="13">
        <f>SUM(AF103:AK103)</f>
        <v>0</v>
      </c>
    </row>
    <row r="105" spans="1:37" ht="15.75" thickBot="1" x14ac:dyDescent="0.3">
      <c r="A105" s="19"/>
      <c r="B105" s="72" t="s">
        <v>21</v>
      </c>
      <c r="C105" s="72"/>
      <c r="D105" s="72"/>
      <c r="E105" s="72"/>
      <c r="F105" s="72"/>
      <c r="G105" s="72"/>
      <c r="H105" s="72"/>
      <c r="J105" s="73" t="s">
        <v>21</v>
      </c>
      <c r="K105" s="73"/>
      <c r="L105" s="73"/>
      <c r="M105" s="73"/>
      <c r="N105" s="73"/>
      <c r="O105" s="73"/>
      <c r="P105" s="73"/>
      <c r="Q105" s="73"/>
      <c r="R105" s="73"/>
      <c r="S105" s="73"/>
      <c r="T105" s="73"/>
      <c r="U105" s="73"/>
      <c r="W105" s="74" t="str">
        <f>J105</f>
        <v>Dezembro</v>
      </c>
      <c r="X105" s="74"/>
      <c r="Y105" s="74"/>
      <c r="Z105" s="74"/>
      <c r="AA105" s="74"/>
      <c r="AB105" s="74"/>
      <c r="AC105" s="74"/>
      <c r="AE105" s="75" t="str">
        <f>W105</f>
        <v>Dezembro</v>
      </c>
      <c r="AF105" s="75"/>
      <c r="AG105" s="75"/>
      <c r="AH105" s="75"/>
      <c r="AI105" s="75"/>
      <c r="AJ105" s="75"/>
      <c r="AK105" s="75"/>
    </row>
    <row r="106" spans="1:37" ht="15.75" thickBot="1" x14ac:dyDescent="0.3">
      <c r="A106" s="71" t="s">
        <v>5</v>
      </c>
      <c r="B106" s="34" t="s">
        <v>6</v>
      </c>
      <c r="C106" s="22" t="s">
        <v>7</v>
      </c>
      <c r="D106" s="33" t="s">
        <v>8</v>
      </c>
      <c r="E106" s="22" t="s">
        <v>9</v>
      </c>
      <c r="F106" s="24" t="s">
        <v>10</v>
      </c>
      <c r="G106" s="23" t="s">
        <v>11</v>
      </c>
      <c r="H106" s="25" t="s">
        <v>12</v>
      </c>
      <c r="J106" s="6" t="s">
        <v>4</v>
      </c>
      <c r="K106" s="9"/>
      <c r="L106" s="4"/>
      <c r="M106" s="4"/>
      <c r="N106" s="4"/>
      <c r="O106" s="4"/>
      <c r="P106" s="4"/>
      <c r="Q106" s="4"/>
      <c r="R106" s="4"/>
      <c r="S106" s="4"/>
      <c r="T106" s="4"/>
      <c r="U106" s="5"/>
      <c r="W106" s="6" t="s">
        <v>4</v>
      </c>
      <c r="X106" s="9"/>
      <c r="Y106" s="4"/>
      <c r="Z106" s="4"/>
      <c r="AA106" s="4"/>
      <c r="AB106" s="4"/>
      <c r="AC106" s="5"/>
      <c r="AE106" s="6" t="s">
        <v>4</v>
      </c>
      <c r="AF106" s="9"/>
      <c r="AG106" s="4"/>
      <c r="AH106" s="4"/>
      <c r="AI106" s="4"/>
      <c r="AJ106" s="4"/>
      <c r="AK106" s="5"/>
    </row>
    <row r="107" spans="1:37" ht="15.75" thickBot="1" x14ac:dyDescent="0.3">
      <c r="A107" s="71"/>
      <c r="B107" s="26"/>
      <c r="C107" s="27"/>
      <c r="D107" s="27"/>
      <c r="E107" s="27"/>
      <c r="F107" s="27">
        <f>SUM(C107-B107)</f>
        <v>0</v>
      </c>
      <c r="G107" s="20">
        <f>SUM(E107-D107)</f>
        <v>0</v>
      </c>
      <c r="H107" s="21">
        <f>SUM(F107:G107)</f>
        <v>0</v>
      </c>
      <c r="J107" s="7" t="s">
        <v>22</v>
      </c>
      <c r="K107" s="10"/>
      <c r="L107" s="11"/>
      <c r="M107" s="11"/>
      <c r="N107" s="11"/>
      <c r="O107" s="11"/>
      <c r="P107" s="11"/>
      <c r="Q107" s="11"/>
      <c r="R107" s="11"/>
      <c r="S107" s="11"/>
      <c r="T107" s="11"/>
      <c r="U107" s="12"/>
      <c r="W107" s="7" t="s">
        <v>22</v>
      </c>
      <c r="X107" s="10"/>
      <c r="Y107" s="11"/>
      <c r="Z107" s="11"/>
      <c r="AA107" s="11"/>
      <c r="AB107" s="11"/>
      <c r="AC107" s="12"/>
      <c r="AE107" s="7" t="s">
        <v>22</v>
      </c>
      <c r="AF107" s="10"/>
      <c r="AG107" s="11"/>
      <c r="AH107" s="11"/>
      <c r="AI107" s="11"/>
      <c r="AJ107" s="11"/>
      <c r="AK107" s="12"/>
    </row>
    <row r="108" spans="1:37" x14ac:dyDescent="0.25">
      <c r="J108" s="8"/>
      <c r="T108" s="8" t="s">
        <v>23</v>
      </c>
      <c r="U108" s="13">
        <f>SUM(K107:U107)</f>
        <v>0</v>
      </c>
      <c r="AB108" s="8" t="s">
        <v>23</v>
      </c>
      <c r="AC108" s="13">
        <f>SUM(X107:AC107)</f>
        <v>0</v>
      </c>
      <c r="AJ108" s="8" t="s">
        <v>23</v>
      </c>
      <c r="AK108" s="13">
        <f>SUM(AF107:AK107)</f>
        <v>0</v>
      </c>
    </row>
  </sheetData>
  <mergeCells count="135">
    <mergeCell ref="B85:H85"/>
    <mergeCell ref="J85:U85"/>
    <mergeCell ref="W85:AC85"/>
    <mergeCell ref="AE85:AK85"/>
    <mergeCell ref="A86:A87"/>
    <mergeCell ref="B81:H81"/>
    <mergeCell ref="J81:U81"/>
    <mergeCell ref="W81:AC81"/>
    <mergeCell ref="AE81:AK81"/>
    <mergeCell ref="A82:A83"/>
    <mergeCell ref="B93:H93"/>
    <mergeCell ref="J93:U93"/>
    <mergeCell ref="W93:AC93"/>
    <mergeCell ref="AE93:AK93"/>
    <mergeCell ref="A94:A95"/>
    <mergeCell ref="B89:H89"/>
    <mergeCell ref="J89:U89"/>
    <mergeCell ref="W89:AC89"/>
    <mergeCell ref="AE89:AK89"/>
    <mergeCell ref="A90:A91"/>
    <mergeCell ref="A106:A107"/>
    <mergeCell ref="B101:H101"/>
    <mergeCell ref="J101:U101"/>
    <mergeCell ref="W101:AC101"/>
    <mergeCell ref="AE101:AK101"/>
    <mergeCell ref="A102:A103"/>
    <mergeCell ref="B97:H97"/>
    <mergeCell ref="J97:U97"/>
    <mergeCell ref="W97:AC97"/>
    <mergeCell ref="AE97:AK97"/>
    <mergeCell ref="A98:A99"/>
    <mergeCell ref="B105:H105"/>
    <mergeCell ref="J105:U105"/>
    <mergeCell ref="W105:AC105"/>
    <mergeCell ref="AE105:AK105"/>
    <mergeCell ref="B77:H77"/>
    <mergeCell ref="J77:U77"/>
    <mergeCell ref="W77:AC77"/>
    <mergeCell ref="AE77:AK77"/>
    <mergeCell ref="A78:A79"/>
    <mergeCell ref="B73:H73"/>
    <mergeCell ref="J73:U73"/>
    <mergeCell ref="W73:AC73"/>
    <mergeCell ref="AE73:AK73"/>
    <mergeCell ref="A74:A75"/>
    <mergeCell ref="B69:H69"/>
    <mergeCell ref="J69:U69"/>
    <mergeCell ref="W69:AC69"/>
    <mergeCell ref="AE69:AK69"/>
    <mergeCell ref="A70:A71"/>
    <mergeCell ref="B65:H65"/>
    <mergeCell ref="J65:U65"/>
    <mergeCell ref="W65:AC65"/>
    <mergeCell ref="AE65:AK65"/>
    <mergeCell ref="A66:A67"/>
    <mergeCell ref="B61:H61"/>
    <mergeCell ref="J61:U61"/>
    <mergeCell ref="W61:AC61"/>
    <mergeCell ref="AE61:AK61"/>
    <mergeCell ref="A62:A63"/>
    <mergeCell ref="B2:C2"/>
    <mergeCell ref="E2:F2"/>
    <mergeCell ref="B4:C4"/>
    <mergeCell ref="J45:U45"/>
    <mergeCell ref="J49:U49"/>
    <mergeCell ref="J7:U7"/>
    <mergeCell ref="A7:H7"/>
    <mergeCell ref="A18:A19"/>
    <mergeCell ref="A22:A23"/>
    <mergeCell ref="A26:A27"/>
    <mergeCell ref="B17:H17"/>
    <mergeCell ref="B21:H21"/>
    <mergeCell ref="B25:H25"/>
    <mergeCell ref="B29:H29"/>
    <mergeCell ref="A30:A31"/>
    <mergeCell ref="B3:C3"/>
    <mergeCell ref="B13:H13"/>
    <mergeCell ref="J13:U13"/>
    <mergeCell ref="J33:U33"/>
    <mergeCell ref="J37:U37"/>
    <mergeCell ref="J41:U41"/>
    <mergeCell ref="J17:U17"/>
    <mergeCell ref="A14:A15"/>
    <mergeCell ref="B9:H9"/>
    <mergeCell ref="W45:AC45"/>
    <mergeCell ref="W49:AC49"/>
    <mergeCell ref="W53:AC53"/>
    <mergeCell ref="AE57:AK57"/>
    <mergeCell ref="AE33:AK33"/>
    <mergeCell ref="AE37:AK37"/>
    <mergeCell ref="AE41:AK41"/>
    <mergeCell ref="AE45:AK45"/>
    <mergeCell ref="AE49:AK49"/>
    <mergeCell ref="AE53:AK53"/>
    <mergeCell ref="AE29:AK29"/>
    <mergeCell ref="J53:U53"/>
    <mergeCell ref="J57:U57"/>
    <mergeCell ref="W57:AC57"/>
    <mergeCell ref="W37:AC37"/>
    <mergeCell ref="W41:AC41"/>
    <mergeCell ref="A10:A11"/>
    <mergeCell ref="E3:F3"/>
    <mergeCell ref="W7:AC7"/>
    <mergeCell ref="W21:AC21"/>
    <mergeCell ref="W25:AC25"/>
    <mergeCell ref="W29:AC29"/>
    <mergeCell ref="W33:AC33"/>
    <mergeCell ref="AE7:AK7"/>
    <mergeCell ref="AE17:AK17"/>
    <mergeCell ref="AE21:AK21"/>
    <mergeCell ref="AE25:AK25"/>
    <mergeCell ref="W13:AC13"/>
    <mergeCell ref="AE13:AK13"/>
    <mergeCell ref="J9:U9"/>
    <mergeCell ref="W9:AC9"/>
    <mergeCell ref="AE9:AK9"/>
    <mergeCell ref="W17:AC17"/>
    <mergeCell ref="J21:U21"/>
    <mergeCell ref="J25:U25"/>
    <mergeCell ref="J29:U29"/>
    <mergeCell ref="A58:A59"/>
    <mergeCell ref="E4:F4"/>
    <mergeCell ref="A46:A47"/>
    <mergeCell ref="B49:H49"/>
    <mergeCell ref="A50:A51"/>
    <mergeCell ref="B53:H53"/>
    <mergeCell ref="A54:A55"/>
    <mergeCell ref="B57:H57"/>
    <mergeCell ref="A34:A35"/>
    <mergeCell ref="B37:H37"/>
    <mergeCell ref="A38:A39"/>
    <mergeCell ref="B41:H41"/>
    <mergeCell ref="A42:A43"/>
    <mergeCell ref="B45:H45"/>
    <mergeCell ref="B33:H33"/>
  </mergeCells>
  <phoneticPr fontId="3" type="noConversion"/>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79"/>
      <c r="C4" s="79"/>
      <c r="D4" s="1" t="s">
        <v>29</v>
      </c>
      <c r="E4" s="78"/>
      <c r="F4" s="78"/>
      <c r="H4" t="s">
        <v>70</v>
      </c>
      <c r="I4" s="67"/>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24</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3" width="9.8554687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79"/>
      <c r="C4" s="79"/>
      <c r="D4" s="1" t="s">
        <v>29</v>
      </c>
      <c r="E4" s="78"/>
      <c r="F4" s="78"/>
      <c r="H4" t="s">
        <v>70</v>
      </c>
      <c r="I4" s="67"/>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24</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79"/>
      <c r="C4" s="79"/>
      <c r="D4" s="1" t="s">
        <v>29</v>
      </c>
      <c r="E4" s="78"/>
      <c r="F4" s="78"/>
      <c r="H4" t="s">
        <v>70</v>
      </c>
      <c r="I4" s="67"/>
    </row>
    <row r="7" spans="1:37" ht="21" x14ac:dyDescent="0.35">
      <c r="A7" s="80" t="s">
        <v>28</v>
      </c>
      <c r="B7" s="80"/>
      <c r="C7" s="80"/>
      <c r="D7" s="80"/>
      <c r="E7" s="80"/>
      <c r="F7" s="80"/>
      <c r="G7" s="80"/>
      <c r="H7" s="80"/>
      <c r="J7" s="77" t="s">
        <v>26</v>
      </c>
      <c r="K7" s="77"/>
      <c r="L7" s="77"/>
      <c r="M7" s="77"/>
      <c r="N7" s="77"/>
      <c r="O7" s="77"/>
      <c r="P7" s="77"/>
      <c r="Q7" s="77"/>
      <c r="R7" s="77"/>
      <c r="S7" s="77"/>
      <c r="T7" s="77"/>
      <c r="U7" s="77"/>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2" t="s">
        <v>3</v>
      </c>
      <c r="C9" s="72"/>
      <c r="D9" s="72"/>
      <c r="E9" s="72"/>
      <c r="F9" s="72"/>
      <c r="G9" s="72"/>
      <c r="H9" s="72"/>
      <c r="J9" s="73" t="s">
        <v>3</v>
      </c>
      <c r="K9" s="73"/>
      <c r="L9" s="73"/>
      <c r="M9" s="73"/>
      <c r="N9" s="73"/>
      <c r="O9" s="73"/>
      <c r="P9" s="73"/>
      <c r="Q9" s="73"/>
      <c r="R9" s="73"/>
      <c r="S9" s="73"/>
      <c r="T9" s="73"/>
      <c r="U9" s="73"/>
      <c r="W9" s="74" t="s">
        <v>3</v>
      </c>
      <c r="X9" s="74"/>
      <c r="Y9" s="74"/>
      <c r="Z9" s="74"/>
      <c r="AA9" s="74"/>
      <c r="AB9" s="74"/>
      <c r="AC9" s="74"/>
      <c r="AE9" s="75" t="s">
        <v>3</v>
      </c>
      <c r="AF9" s="75"/>
      <c r="AG9" s="75"/>
      <c r="AH9" s="75"/>
      <c r="AI9" s="75"/>
      <c r="AJ9" s="75"/>
      <c r="AK9" s="75"/>
    </row>
    <row r="10" spans="1:37"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2" t="s">
        <v>13</v>
      </c>
      <c r="C13" s="72"/>
      <c r="D13" s="72"/>
      <c r="E13" s="72"/>
      <c r="F13" s="72"/>
      <c r="G13" s="72"/>
      <c r="H13" s="72"/>
      <c r="J13" s="73" t="s">
        <v>13</v>
      </c>
      <c r="K13" s="73"/>
      <c r="L13" s="73"/>
      <c r="M13" s="73"/>
      <c r="N13" s="73"/>
      <c r="O13" s="73"/>
      <c r="P13" s="73"/>
      <c r="Q13" s="73"/>
      <c r="R13" s="73"/>
      <c r="S13" s="73"/>
      <c r="T13" s="73"/>
      <c r="U13" s="73"/>
      <c r="W13" s="74" t="str">
        <f>J13</f>
        <v>Março</v>
      </c>
      <c r="X13" s="74"/>
      <c r="Y13" s="74"/>
      <c r="Z13" s="74"/>
      <c r="AA13" s="74"/>
      <c r="AB13" s="74"/>
      <c r="AC13" s="74"/>
      <c r="AE13" s="75" t="str">
        <f>W13</f>
        <v>Março</v>
      </c>
      <c r="AF13" s="75"/>
      <c r="AG13" s="75"/>
      <c r="AH13" s="75"/>
      <c r="AI13" s="75"/>
      <c r="AJ13" s="75"/>
      <c r="AK13" s="75"/>
    </row>
    <row r="14" spans="1:37" ht="15.75" thickBot="1" x14ac:dyDescent="0.3">
      <c r="A14" s="71"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2" t="s">
        <v>14</v>
      </c>
      <c r="C17" s="72"/>
      <c r="D17" s="72"/>
      <c r="E17" s="72"/>
      <c r="F17" s="72"/>
      <c r="G17" s="72"/>
      <c r="H17" s="72"/>
      <c r="J17" s="73" t="s">
        <v>14</v>
      </c>
      <c r="K17" s="73"/>
      <c r="L17" s="73"/>
      <c r="M17" s="73"/>
      <c r="N17" s="73"/>
      <c r="O17" s="73"/>
      <c r="P17" s="73"/>
      <c r="Q17" s="73"/>
      <c r="R17" s="73"/>
      <c r="S17" s="73"/>
      <c r="T17" s="73"/>
      <c r="U17" s="73"/>
      <c r="W17" s="74" t="str">
        <f>J17</f>
        <v>Abril</v>
      </c>
      <c r="X17" s="74"/>
      <c r="Y17" s="74"/>
      <c r="Z17" s="74"/>
      <c r="AA17" s="74"/>
      <c r="AB17" s="74"/>
      <c r="AC17" s="74"/>
      <c r="AE17" s="75" t="str">
        <f>W17</f>
        <v>Abril</v>
      </c>
      <c r="AF17" s="75"/>
      <c r="AG17" s="75"/>
      <c r="AH17" s="75"/>
      <c r="AI17" s="75"/>
      <c r="AJ17" s="75"/>
      <c r="AK17" s="75"/>
    </row>
    <row r="18" spans="1:37"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2" t="s">
        <v>15</v>
      </c>
      <c r="C21" s="72"/>
      <c r="D21" s="72"/>
      <c r="E21" s="72"/>
      <c r="F21" s="72"/>
      <c r="G21" s="72"/>
      <c r="H21" s="72"/>
      <c r="J21" s="73" t="s">
        <v>15</v>
      </c>
      <c r="K21" s="73"/>
      <c r="L21" s="73"/>
      <c r="M21" s="73"/>
      <c r="N21" s="73"/>
      <c r="O21" s="73"/>
      <c r="P21" s="73"/>
      <c r="Q21" s="73"/>
      <c r="R21" s="73"/>
      <c r="S21" s="73"/>
      <c r="T21" s="73"/>
      <c r="U21" s="73"/>
      <c r="W21" s="74" t="str">
        <f>J21</f>
        <v>Maio</v>
      </c>
      <c r="X21" s="74"/>
      <c r="Y21" s="74"/>
      <c r="Z21" s="74"/>
      <c r="AA21" s="74"/>
      <c r="AB21" s="74"/>
      <c r="AC21" s="74"/>
      <c r="AE21" s="75" t="str">
        <f>W21</f>
        <v>Maio</v>
      </c>
      <c r="AF21" s="75"/>
      <c r="AG21" s="75"/>
      <c r="AH21" s="75"/>
      <c r="AI21" s="75"/>
      <c r="AJ21" s="75"/>
      <c r="AK21" s="75"/>
    </row>
    <row r="22" spans="1:37"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2" t="s">
        <v>24</v>
      </c>
      <c r="C25" s="72"/>
      <c r="D25" s="72"/>
      <c r="E25" s="72"/>
      <c r="F25" s="72"/>
      <c r="G25" s="72"/>
      <c r="H25" s="72"/>
      <c r="J25" s="73" t="s">
        <v>24</v>
      </c>
      <c r="K25" s="73"/>
      <c r="L25" s="73"/>
      <c r="M25" s="73"/>
      <c r="N25" s="73"/>
      <c r="O25" s="73"/>
      <c r="P25" s="73"/>
      <c r="Q25" s="73"/>
      <c r="R25" s="73"/>
      <c r="S25" s="73"/>
      <c r="T25" s="73"/>
      <c r="U25" s="73"/>
      <c r="W25" s="74" t="str">
        <f>J25</f>
        <v>Junho</v>
      </c>
      <c r="X25" s="74"/>
      <c r="Y25" s="74"/>
      <c r="Z25" s="74"/>
      <c r="AA25" s="74"/>
      <c r="AB25" s="74"/>
      <c r="AC25" s="74"/>
      <c r="AE25" s="75" t="str">
        <f>W25</f>
        <v>Junho</v>
      </c>
      <c r="AF25" s="75"/>
      <c r="AG25" s="75"/>
      <c r="AH25" s="75"/>
      <c r="AI25" s="75"/>
      <c r="AJ25" s="75"/>
      <c r="AK25" s="75"/>
    </row>
    <row r="26" spans="1:37"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2" t="s">
        <v>16</v>
      </c>
      <c r="C29" s="72"/>
      <c r="D29" s="72"/>
      <c r="E29" s="72"/>
      <c r="F29" s="72"/>
      <c r="G29" s="72"/>
      <c r="H29" s="72"/>
      <c r="J29" s="73" t="s">
        <v>16</v>
      </c>
      <c r="K29" s="73"/>
      <c r="L29" s="73"/>
      <c r="M29" s="73"/>
      <c r="N29" s="73"/>
      <c r="O29" s="73"/>
      <c r="P29" s="73"/>
      <c r="Q29" s="73"/>
      <c r="R29" s="73"/>
      <c r="S29" s="73"/>
      <c r="T29" s="73"/>
      <c r="U29" s="73"/>
      <c r="W29" s="74" t="str">
        <f>J29</f>
        <v>Julho</v>
      </c>
      <c r="X29" s="74"/>
      <c r="Y29" s="74"/>
      <c r="Z29" s="74"/>
      <c r="AA29" s="74"/>
      <c r="AB29" s="74"/>
      <c r="AC29" s="74"/>
      <c r="AE29" s="75" t="str">
        <f>W29</f>
        <v>Julho</v>
      </c>
      <c r="AF29" s="75"/>
      <c r="AG29" s="75"/>
      <c r="AH29" s="75"/>
      <c r="AI29" s="75"/>
      <c r="AJ29" s="75"/>
      <c r="AK29" s="75"/>
    </row>
    <row r="30" spans="1:37"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2" t="s">
        <v>17</v>
      </c>
      <c r="C33" s="72"/>
      <c r="D33" s="72"/>
      <c r="E33" s="72"/>
      <c r="F33" s="72"/>
      <c r="G33" s="72"/>
      <c r="H33" s="72"/>
      <c r="J33" s="73" t="s">
        <v>17</v>
      </c>
      <c r="K33" s="73"/>
      <c r="L33" s="73"/>
      <c r="M33" s="73"/>
      <c r="N33" s="73"/>
      <c r="O33" s="73"/>
      <c r="P33" s="73"/>
      <c r="Q33" s="73"/>
      <c r="R33" s="73"/>
      <c r="S33" s="73"/>
      <c r="T33" s="73"/>
      <c r="U33" s="73"/>
      <c r="W33" s="74" t="str">
        <f>J33</f>
        <v>Agosto</v>
      </c>
      <c r="X33" s="74"/>
      <c r="Y33" s="74"/>
      <c r="Z33" s="74"/>
      <c r="AA33" s="74"/>
      <c r="AB33" s="74"/>
      <c r="AC33" s="74"/>
      <c r="AE33" s="75" t="str">
        <f>W33</f>
        <v>Agosto</v>
      </c>
      <c r="AF33" s="75"/>
      <c r="AG33" s="75"/>
      <c r="AH33" s="75"/>
      <c r="AI33" s="75"/>
      <c r="AJ33" s="75"/>
      <c r="AK33" s="75"/>
    </row>
    <row r="34" spans="1:37"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2" t="s">
        <v>18</v>
      </c>
      <c r="C37" s="72"/>
      <c r="D37" s="72"/>
      <c r="E37" s="72"/>
      <c r="F37" s="72"/>
      <c r="G37" s="72"/>
      <c r="H37" s="72"/>
      <c r="J37" s="73" t="s">
        <v>18</v>
      </c>
      <c r="K37" s="73"/>
      <c r="L37" s="73"/>
      <c r="M37" s="73"/>
      <c r="N37" s="73"/>
      <c r="O37" s="73"/>
      <c r="P37" s="73"/>
      <c r="Q37" s="73"/>
      <c r="R37" s="73"/>
      <c r="S37" s="73"/>
      <c r="T37" s="73"/>
      <c r="U37" s="73"/>
      <c r="W37" s="74" t="str">
        <f>J37</f>
        <v>Setembro</v>
      </c>
      <c r="X37" s="74"/>
      <c r="Y37" s="74"/>
      <c r="Z37" s="74"/>
      <c r="AA37" s="74"/>
      <c r="AB37" s="74"/>
      <c r="AC37" s="74"/>
      <c r="AE37" s="75" t="str">
        <f>W37</f>
        <v>Setembro</v>
      </c>
      <c r="AF37" s="75"/>
      <c r="AG37" s="75"/>
      <c r="AH37" s="75"/>
      <c r="AI37" s="75"/>
      <c r="AJ37" s="75"/>
      <c r="AK37" s="75"/>
    </row>
    <row r="38" spans="1:37"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2" t="s">
        <v>19</v>
      </c>
      <c r="C41" s="72"/>
      <c r="D41" s="72"/>
      <c r="E41" s="72"/>
      <c r="F41" s="72"/>
      <c r="G41" s="72"/>
      <c r="H41" s="72"/>
      <c r="J41" s="73" t="s">
        <v>19</v>
      </c>
      <c r="K41" s="73"/>
      <c r="L41" s="73"/>
      <c r="M41" s="73"/>
      <c r="N41" s="73"/>
      <c r="O41" s="73"/>
      <c r="P41" s="73"/>
      <c r="Q41" s="73"/>
      <c r="R41" s="73"/>
      <c r="S41" s="73"/>
      <c r="T41" s="73"/>
      <c r="U41" s="73"/>
      <c r="W41" s="74" t="str">
        <f>J41</f>
        <v>Outubro</v>
      </c>
      <c r="X41" s="74"/>
      <c r="Y41" s="74"/>
      <c r="Z41" s="74"/>
      <c r="AA41" s="74"/>
      <c r="AB41" s="74"/>
      <c r="AC41" s="74"/>
      <c r="AE41" s="75" t="str">
        <f>W41</f>
        <v>Outubro</v>
      </c>
      <c r="AF41" s="75"/>
      <c r="AG41" s="75"/>
      <c r="AH41" s="75"/>
      <c r="AI41" s="75"/>
      <c r="AJ41" s="75"/>
      <c r="AK41" s="75"/>
    </row>
    <row r="42" spans="1:37"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2" t="s">
        <v>20</v>
      </c>
      <c r="C45" s="72"/>
      <c r="D45" s="72"/>
      <c r="E45" s="72"/>
      <c r="F45" s="72"/>
      <c r="G45" s="72"/>
      <c r="H45" s="72"/>
      <c r="J45" s="73" t="s">
        <v>20</v>
      </c>
      <c r="K45" s="73"/>
      <c r="L45" s="73"/>
      <c r="M45" s="73"/>
      <c r="N45" s="73"/>
      <c r="O45" s="73"/>
      <c r="P45" s="73"/>
      <c r="Q45" s="73"/>
      <c r="R45" s="73"/>
      <c r="S45" s="73"/>
      <c r="T45" s="73"/>
      <c r="U45" s="73"/>
      <c r="W45" s="74" t="str">
        <f>J45</f>
        <v>Novembro</v>
      </c>
      <c r="X45" s="74"/>
      <c r="Y45" s="74"/>
      <c r="Z45" s="74"/>
      <c r="AA45" s="74"/>
      <c r="AB45" s="74"/>
      <c r="AC45" s="74"/>
      <c r="AE45" s="75" t="str">
        <f>W45</f>
        <v>Novembro</v>
      </c>
      <c r="AF45" s="75"/>
      <c r="AG45" s="75"/>
      <c r="AH45" s="75"/>
      <c r="AI45" s="75"/>
      <c r="AJ45" s="75"/>
      <c r="AK45" s="75"/>
    </row>
    <row r="46" spans="1:37"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2" t="s">
        <v>21</v>
      </c>
      <c r="C49" s="72"/>
      <c r="D49" s="72"/>
      <c r="E49" s="72"/>
      <c r="F49" s="72"/>
      <c r="G49" s="72"/>
      <c r="H49" s="72"/>
      <c r="J49" s="73" t="s">
        <v>21</v>
      </c>
      <c r="K49" s="73"/>
      <c r="L49" s="73"/>
      <c r="M49" s="73"/>
      <c r="N49" s="73"/>
      <c r="O49" s="73"/>
      <c r="P49" s="73"/>
      <c r="Q49" s="73"/>
      <c r="R49" s="73"/>
      <c r="S49" s="73"/>
      <c r="T49" s="73"/>
      <c r="U49" s="73"/>
      <c r="W49" s="74" t="str">
        <f>J49</f>
        <v>Dezembro</v>
      </c>
      <c r="X49" s="74"/>
      <c r="Y49" s="74"/>
      <c r="Z49" s="74"/>
      <c r="AA49" s="74"/>
      <c r="AB49" s="74"/>
      <c r="AC49" s="74"/>
      <c r="AE49" s="75" t="str">
        <f>W49</f>
        <v>Dezembro</v>
      </c>
      <c r="AF49" s="75"/>
      <c r="AG49" s="75"/>
      <c r="AH49" s="75"/>
      <c r="AI49" s="75"/>
      <c r="AJ49" s="75"/>
      <c r="AK49" s="75"/>
    </row>
    <row r="50" spans="1:37"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v>5325</v>
      </c>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79"/>
      <c r="C4" s="79"/>
      <c r="D4" s="1" t="s">
        <v>29</v>
      </c>
      <c r="E4" s="78"/>
      <c r="F4" s="78"/>
    </row>
    <row r="7" spans="1:40" ht="21" x14ac:dyDescent="0.35">
      <c r="A7" s="80" t="s">
        <v>28</v>
      </c>
      <c r="B7" s="80"/>
      <c r="C7" s="80"/>
      <c r="D7" s="80"/>
      <c r="E7" s="80"/>
      <c r="F7" s="80"/>
      <c r="G7" s="80"/>
      <c r="H7" s="80"/>
      <c r="J7" s="77" t="s">
        <v>26</v>
      </c>
      <c r="K7" s="77"/>
      <c r="L7" s="77"/>
      <c r="M7" s="77"/>
      <c r="N7" s="77"/>
      <c r="O7" s="77"/>
      <c r="P7" s="77"/>
      <c r="Q7" s="77"/>
      <c r="R7" s="77"/>
      <c r="S7" s="77"/>
      <c r="T7" s="77"/>
      <c r="U7" s="77"/>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2" t="s">
        <v>3</v>
      </c>
      <c r="C9" s="72"/>
      <c r="D9" s="72"/>
      <c r="E9" s="72"/>
      <c r="F9" s="72"/>
      <c r="G9" s="72"/>
      <c r="H9" s="72"/>
      <c r="J9" s="73" t="s">
        <v>3</v>
      </c>
      <c r="K9" s="73"/>
      <c r="L9" s="73"/>
      <c r="M9" s="73"/>
      <c r="N9" s="73"/>
      <c r="O9" s="73"/>
      <c r="P9" s="73"/>
      <c r="Q9" s="73"/>
      <c r="R9" s="73"/>
      <c r="S9" s="73"/>
      <c r="T9" s="73"/>
      <c r="U9" s="73"/>
      <c r="Y9" s="74" t="s">
        <v>3</v>
      </c>
      <c r="Z9" s="74"/>
      <c r="AA9" s="74"/>
      <c r="AB9" s="74"/>
      <c r="AC9" s="74"/>
      <c r="AD9" s="74"/>
      <c r="AE9" s="74"/>
      <c r="AH9" s="75" t="s">
        <v>3</v>
      </c>
      <c r="AI9" s="75"/>
      <c r="AJ9" s="75"/>
      <c r="AK9" s="75"/>
      <c r="AL9" s="75"/>
      <c r="AM9" s="75"/>
      <c r="AN9" s="75"/>
    </row>
    <row r="10" spans="1:40" ht="15.75" thickBot="1" x14ac:dyDescent="0.3">
      <c r="A10" s="71"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1"/>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2" t="s">
        <v>13</v>
      </c>
      <c r="C13" s="72"/>
      <c r="D13" s="72"/>
      <c r="E13" s="72"/>
      <c r="F13" s="72"/>
      <c r="G13" s="72"/>
      <c r="H13" s="72"/>
      <c r="J13" s="73" t="s">
        <v>13</v>
      </c>
      <c r="K13" s="73"/>
      <c r="L13" s="73"/>
      <c r="M13" s="73"/>
      <c r="N13" s="73"/>
      <c r="O13" s="73"/>
      <c r="P13" s="73"/>
      <c r="Q13" s="73"/>
      <c r="R13" s="73"/>
      <c r="S13" s="73"/>
      <c r="T13" s="73"/>
      <c r="U13" s="73"/>
      <c r="Y13" s="74" t="str">
        <f>J13</f>
        <v>Março</v>
      </c>
      <c r="Z13" s="74"/>
      <c r="AA13" s="74"/>
      <c r="AB13" s="74"/>
      <c r="AC13" s="74"/>
      <c r="AD13" s="74"/>
      <c r="AE13" s="74"/>
      <c r="AH13" s="75" t="str">
        <f>Y13</f>
        <v>Março</v>
      </c>
      <c r="AI13" s="75"/>
      <c r="AJ13" s="75"/>
      <c r="AK13" s="75"/>
      <c r="AL13" s="75"/>
      <c r="AM13" s="75"/>
      <c r="AN13" s="75"/>
    </row>
    <row r="14" spans="1:40" ht="15.75" thickBot="1" x14ac:dyDescent="0.3">
      <c r="A14" s="71"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1"/>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2" t="s">
        <v>14</v>
      </c>
      <c r="C17" s="72"/>
      <c r="D17" s="72"/>
      <c r="E17" s="72"/>
      <c r="F17" s="72"/>
      <c r="G17" s="72"/>
      <c r="H17" s="72"/>
      <c r="J17" s="73" t="s">
        <v>14</v>
      </c>
      <c r="K17" s="73"/>
      <c r="L17" s="73"/>
      <c r="M17" s="73"/>
      <c r="N17" s="73"/>
      <c r="O17" s="73"/>
      <c r="P17" s="73"/>
      <c r="Q17" s="73"/>
      <c r="R17" s="73"/>
      <c r="S17" s="73"/>
      <c r="T17" s="73"/>
      <c r="U17" s="73"/>
      <c r="Y17" s="74" t="str">
        <f>J17</f>
        <v>Abril</v>
      </c>
      <c r="Z17" s="74"/>
      <c r="AA17" s="74"/>
      <c r="AB17" s="74"/>
      <c r="AC17" s="74"/>
      <c r="AD17" s="74"/>
      <c r="AE17" s="74"/>
      <c r="AH17" s="75" t="str">
        <f>Y17</f>
        <v>Abril</v>
      </c>
      <c r="AI17" s="75"/>
      <c r="AJ17" s="75"/>
      <c r="AK17" s="75"/>
      <c r="AL17" s="75"/>
      <c r="AM17" s="75"/>
      <c r="AN17" s="75"/>
    </row>
    <row r="18" spans="1:40" ht="15.75" thickBot="1" x14ac:dyDescent="0.3">
      <c r="A18" s="71"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1"/>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2" t="s">
        <v>15</v>
      </c>
      <c r="C21" s="72"/>
      <c r="D21" s="72"/>
      <c r="E21" s="72"/>
      <c r="F21" s="72"/>
      <c r="G21" s="72"/>
      <c r="H21" s="72"/>
      <c r="J21" s="73" t="s">
        <v>15</v>
      </c>
      <c r="K21" s="73"/>
      <c r="L21" s="73"/>
      <c r="M21" s="73"/>
      <c r="N21" s="73"/>
      <c r="O21" s="73"/>
      <c r="P21" s="73"/>
      <c r="Q21" s="73"/>
      <c r="R21" s="73"/>
      <c r="S21" s="73"/>
      <c r="T21" s="73"/>
      <c r="U21" s="73"/>
      <c r="Y21" s="74" t="str">
        <f>J21</f>
        <v>Maio</v>
      </c>
      <c r="Z21" s="74"/>
      <c r="AA21" s="74"/>
      <c r="AB21" s="74"/>
      <c r="AC21" s="74"/>
      <c r="AD21" s="74"/>
      <c r="AE21" s="74"/>
      <c r="AH21" s="75" t="str">
        <f>Y21</f>
        <v>Maio</v>
      </c>
      <c r="AI21" s="75"/>
      <c r="AJ21" s="75"/>
      <c r="AK21" s="75"/>
      <c r="AL21" s="75"/>
      <c r="AM21" s="75"/>
      <c r="AN21" s="75"/>
    </row>
    <row r="22" spans="1:40" ht="15.75" thickBot="1" x14ac:dyDescent="0.3">
      <c r="A22" s="71"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1"/>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2" t="s">
        <v>24</v>
      </c>
      <c r="C25" s="72"/>
      <c r="D25" s="72"/>
      <c r="E25" s="72"/>
      <c r="F25" s="72"/>
      <c r="G25" s="72"/>
      <c r="H25" s="72"/>
      <c r="J25" s="73" t="s">
        <v>24</v>
      </c>
      <c r="K25" s="73"/>
      <c r="L25" s="73"/>
      <c r="M25" s="73"/>
      <c r="N25" s="73"/>
      <c r="O25" s="73"/>
      <c r="P25" s="73"/>
      <c r="Q25" s="73"/>
      <c r="R25" s="73"/>
      <c r="S25" s="73"/>
      <c r="T25" s="73"/>
      <c r="U25" s="73"/>
      <c r="Y25" s="74" t="str">
        <f>J25</f>
        <v>Junho</v>
      </c>
      <c r="Z25" s="74"/>
      <c r="AA25" s="74"/>
      <c r="AB25" s="74"/>
      <c r="AC25" s="74"/>
      <c r="AD25" s="74"/>
      <c r="AE25" s="74"/>
      <c r="AH25" s="75" t="str">
        <f>Y25</f>
        <v>Junho</v>
      </c>
      <c r="AI25" s="75"/>
      <c r="AJ25" s="75"/>
      <c r="AK25" s="75"/>
      <c r="AL25" s="75"/>
      <c r="AM25" s="75"/>
      <c r="AN25" s="75"/>
    </row>
    <row r="26" spans="1:40" ht="15.75" thickBot="1" x14ac:dyDescent="0.3">
      <c r="A26" s="71"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1"/>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2" t="s">
        <v>16</v>
      </c>
      <c r="C29" s="72"/>
      <c r="D29" s="72"/>
      <c r="E29" s="72"/>
      <c r="F29" s="72"/>
      <c r="G29" s="72"/>
      <c r="H29" s="72"/>
      <c r="J29" s="73" t="s">
        <v>16</v>
      </c>
      <c r="K29" s="73"/>
      <c r="L29" s="73"/>
      <c r="M29" s="73"/>
      <c r="N29" s="73"/>
      <c r="O29" s="73"/>
      <c r="P29" s="73"/>
      <c r="Q29" s="73"/>
      <c r="R29" s="73"/>
      <c r="S29" s="73"/>
      <c r="T29" s="73"/>
      <c r="U29" s="73"/>
      <c r="Y29" s="74" t="str">
        <f>J29</f>
        <v>Julho</v>
      </c>
      <c r="Z29" s="74"/>
      <c r="AA29" s="74"/>
      <c r="AB29" s="74"/>
      <c r="AC29" s="74"/>
      <c r="AD29" s="74"/>
      <c r="AE29" s="74"/>
      <c r="AH29" s="75" t="str">
        <f>Y29</f>
        <v>Julho</v>
      </c>
      <c r="AI29" s="75"/>
      <c r="AJ29" s="75"/>
      <c r="AK29" s="75"/>
      <c r="AL29" s="75"/>
      <c r="AM29" s="75"/>
      <c r="AN29" s="75"/>
    </row>
    <row r="30" spans="1:40" ht="15.75" thickBot="1" x14ac:dyDescent="0.3">
      <c r="A30" s="71"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1"/>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2" t="s">
        <v>17</v>
      </c>
      <c r="C33" s="72"/>
      <c r="D33" s="72"/>
      <c r="E33" s="72"/>
      <c r="F33" s="72"/>
      <c r="G33" s="72"/>
      <c r="H33" s="72"/>
      <c r="J33" s="73" t="s">
        <v>17</v>
      </c>
      <c r="K33" s="73"/>
      <c r="L33" s="73"/>
      <c r="M33" s="73"/>
      <c r="N33" s="73"/>
      <c r="O33" s="73"/>
      <c r="P33" s="73"/>
      <c r="Q33" s="73"/>
      <c r="R33" s="73"/>
      <c r="S33" s="73"/>
      <c r="T33" s="73"/>
      <c r="U33" s="73"/>
      <c r="Y33" s="74" t="str">
        <f>J33</f>
        <v>Agosto</v>
      </c>
      <c r="Z33" s="74"/>
      <c r="AA33" s="74"/>
      <c r="AB33" s="74"/>
      <c r="AC33" s="74"/>
      <c r="AD33" s="74"/>
      <c r="AE33" s="74"/>
      <c r="AH33" s="75" t="str">
        <f>Y33</f>
        <v>Agosto</v>
      </c>
      <c r="AI33" s="75"/>
      <c r="AJ33" s="75"/>
      <c r="AK33" s="75"/>
      <c r="AL33" s="75"/>
      <c r="AM33" s="75"/>
      <c r="AN33" s="75"/>
    </row>
    <row r="34" spans="1:40" ht="15.75" thickBot="1" x14ac:dyDescent="0.3">
      <c r="A34" s="71"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1"/>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2" t="s">
        <v>18</v>
      </c>
      <c r="C37" s="72"/>
      <c r="D37" s="72"/>
      <c r="E37" s="72"/>
      <c r="F37" s="72"/>
      <c r="G37" s="72"/>
      <c r="H37" s="72"/>
      <c r="J37" s="73" t="s">
        <v>18</v>
      </c>
      <c r="K37" s="73"/>
      <c r="L37" s="73"/>
      <c r="M37" s="73"/>
      <c r="N37" s="73"/>
      <c r="O37" s="73"/>
      <c r="P37" s="73"/>
      <c r="Q37" s="73"/>
      <c r="R37" s="73"/>
      <c r="S37" s="73"/>
      <c r="T37" s="73"/>
      <c r="U37" s="73"/>
      <c r="Y37" s="74" t="str">
        <f>J37</f>
        <v>Setembro</v>
      </c>
      <c r="Z37" s="74"/>
      <c r="AA37" s="74"/>
      <c r="AB37" s="74"/>
      <c r="AC37" s="74"/>
      <c r="AD37" s="74"/>
      <c r="AE37" s="74"/>
      <c r="AH37" s="75" t="str">
        <f>Y37</f>
        <v>Setembro</v>
      </c>
      <c r="AI37" s="75"/>
      <c r="AJ37" s="75"/>
      <c r="AK37" s="75"/>
      <c r="AL37" s="75"/>
      <c r="AM37" s="75"/>
      <c r="AN37" s="75"/>
    </row>
    <row r="38" spans="1:40" ht="15.75" thickBot="1" x14ac:dyDescent="0.3">
      <c r="A38" s="71"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1"/>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2" t="s">
        <v>19</v>
      </c>
      <c r="C41" s="72"/>
      <c r="D41" s="72"/>
      <c r="E41" s="72"/>
      <c r="F41" s="72"/>
      <c r="G41" s="72"/>
      <c r="H41" s="72"/>
      <c r="J41" s="73" t="s">
        <v>19</v>
      </c>
      <c r="K41" s="73"/>
      <c r="L41" s="73"/>
      <c r="M41" s="73"/>
      <c r="N41" s="73"/>
      <c r="O41" s="73"/>
      <c r="P41" s="73"/>
      <c r="Q41" s="73"/>
      <c r="R41" s="73"/>
      <c r="S41" s="73"/>
      <c r="T41" s="73"/>
      <c r="U41" s="73"/>
      <c r="Y41" s="74" t="str">
        <f>J41</f>
        <v>Outubro</v>
      </c>
      <c r="Z41" s="74"/>
      <c r="AA41" s="74"/>
      <c r="AB41" s="74"/>
      <c r="AC41" s="74"/>
      <c r="AD41" s="74"/>
      <c r="AE41" s="74"/>
      <c r="AH41" s="75" t="str">
        <f>Y41</f>
        <v>Outubro</v>
      </c>
      <c r="AI41" s="75"/>
      <c r="AJ41" s="75"/>
      <c r="AK41" s="75"/>
      <c r="AL41" s="75"/>
      <c r="AM41" s="75"/>
      <c r="AN41" s="75"/>
    </row>
    <row r="42" spans="1:40" ht="15.75" thickBot="1" x14ac:dyDescent="0.3">
      <c r="A42" s="71"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1"/>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2" t="s">
        <v>20</v>
      </c>
      <c r="C45" s="72"/>
      <c r="D45" s="72"/>
      <c r="E45" s="72"/>
      <c r="F45" s="72"/>
      <c r="G45" s="72"/>
      <c r="H45" s="72"/>
      <c r="J45" s="73" t="s">
        <v>20</v>
      </c>
      <c r="K45" s="73"/>
      <c r="L45" s="73"/>
      <c r="M45" s="73"/>
      <c r="N45" s="73"/>
      <c r="O45" s="73"/>
      <c r="P45" s="73"/>
      <c r="Q45" s="73"/>
      <c r="R45" s="73"/>
      <c r="S45" s="73"/>
      <c r="T45" s="73"/>
      <c r="U45" s="73"/>
      <c r="Y45" s="74" t="str">
        <f>J45</f>
        <v>Novembro</v>
      </c>
      <c r="Z45" s="74"/>
      <c r="AA45" s="74"/>
      <c r="AB45" s="74"/>
      <c r="AC45" s="74"/>
      <c r="AD45" s="74"/>
      <c r="AE45" s="74"/>
      <c r="AH45" s="75" t="str">
        <f>Y45</f>
        <v>Novembro</v>
      </c>
      <c r="AI45" s="75"/>
      <c r="AJ45" s="75"/>
      <c r="AK45" s="75"/>
      <c r="AL45" s="75"/>
      <c r="AM45" s="75"/>
      <c r="AN45" s="75"/>
    </row>
    <row r="46" spans="1:40" ht="15.75" thickBot="1" x14ac:dyDescent="0.3">
      <c r="A46" s="71"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1"/>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2" t="s">
        <v>21</v>
      </c>
      <c r="C49" s="72"/>
      <c r="D49" s="72"/>
      <c r="E49" s="72"/>
      <c r="F49" s="72"/>
      <c r="G49" s="72"/>
      <c r="H49" s="72"/>
      <c r="J49" s="73" t="s">
        <v>21</v>
      </c>
      <c r="K49" s="73"/>
      <c r="L49" s="73"/>
      <c r="M49" s="73"/>
      <c r="N49" s="73"/>
      <c r="O49" s="73"/>
      <c r="P49" s="73"/>
      <c r="Q49" s="73"/>
      <c r="R49" s="73"/>
      <c r="S49" s="73"/>
      <c r="T49" s="73"/>
      <c r="U49" s="73"/>
      <c r="Y49" s="74" t="str">
        <f>J49</f>
        <v>Dezembro</v>
      </c>
      <c r="Z49" s="74"/>
      <c r="AA49" s="74"/>
      <c r="AB49" s="74"/>
      <c r="AC49" s="74"/>
      <c r="AD49" s="74"/>
      <c r="AE49" s="74"/>
      <c r="AH49" s="75" t="str">
        <f>Y49</f>
        <v>Dezembro</v>
      </c>
      <c r="AI49" s="75"/>
      <c r="AJ49" s="75"/>
      <c r="AK49" s="75"/>
      <c r="AL49" s="75"/>
      <c r="AM49" s="75"/>
      <c r="AN49" s="75"/>
    </row>
    <row r="50" spans="1:40" ht="15.75" thickBot="1" x14ac:dyDescent="0.3">
      <c r="A50" s="71"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1"/>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João Adriano</vt:lpstr>
      <vt:lpstr>João Adriano - Desmob3</vt:lpstr>
      <vt:lpstr>JOÃO ADRIANO-Desmob 2</vt:lpstr>
      <vt:lpstr>JOÃO ADRIANO-Desmob</vt:lpstr>
      <vt:lpstr>CAR_05</vt:lpstr>
      <vt:lpstr>CAR_06</vt:lpstr>
      <vt:lpstr>CAR_07</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2026-06-04T14:18:47Z</dcterms:modified>
</cp:coreProperties>
</file>