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86A01F27-C414-49AB-90E5-FCB2F785D921}" xr6:coauthVersionLast="47" xr6:coauthVersionMax="47" xr10:uidLastSave="{00000000-0000-0000-0000-000000000000}"/>
  <bookViews>
    <workbookView xWindow="-120" yWindow="-120" windowWidth="29040" windowHeight="15720" firstSheet="2" activeTab="2" xr2:uid="{00000000-000D-0000-FFFF-FFFF00000000}"/>
  </bookViews>
  <sheets>
    <sheet name="RESUMO" sheetId="3" r:id="rId1"/>
    <sheet name="Controle Central" sheetId="2" r:id="rId2"/>
    <sheet name="Alire" sheetId="13" r:id="rId3"/>
    <sheet name="Tayonara" sheetId="31" r:id="rId4"/>
    <sheet name="Tayonara-Desmob" sheetId="11" r:id="rId5"/>
    <sheet name="Eucilene-Desmobi" sheetId="32" r:id="rId6"/>
    <sheet name="Eucilene-Desmob" sheetId="4" r:id="rId7"/>
    <sheet name="Erika - desmob" sheetId="1" r:id="rId8"/>
    <sheet name="Luciane-Desmob" sheetId="9" r:id="rId9"/>
    <sheet name="CAR_08" sheetId="30" r:id="rId10"/>
    <sheet name="CAR_09" sheetId="29" r:id="rId11"/>
    <sheet name="CAR_10" sheetId="28" r:id="rId12"/>
    <sheet name="CAR_11" sheetId="27" r:id="rId13"/>
    <sheet name="CAR_12" sheetId="26" r:id="rId14"/>
    <sheet name="CAR_13" sheetId="25" r:id="rId15"/>
    <sheet name="CAR_14" sheetId="24" r:id="rId16"/>
    <sheet name="CAR_15" sheetId="23" r:id="rId17"/>
    <sheet name="CAR_16" sheetId="22" r:id="rId18"/>
    <sheet name="CAR_17" sheetId="21" r:id="rId19"/>
    <sheet name="CAR_18" sheetId="20" r:id="rId20"/>
    <sheet name="CAR_19" sheetId="19" r:id="rId21"/>
    <sheet name="CAR_20" sheetId="18"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60" i="11" l="1"/>
  <c r="AC60" i="11"/>
  <c r="U60" i="11"/>
  <c r="G59" i="11"/>
  <c r="H59" i="11" s="1"/>
  <c r="F59" i="11"/>
  <c r="W57" i="11"/>
  <c r="AE57" i="11" s="1"/>
  <c r="AK121" i="13"/>
  <c r="AC121" i="13"/>
  <c r="U121" i="13"/>
  <c r="G120" i="13"/>
  <c r="H120" i="13" s="1"/>
  <c r="F120" i="13"/>
  <c r="W118" i="13"/>
  <c r="AE118" i="13" s="1"/>
  <c r="AK60" i="32"/>
  <c r="AC60" i="32"/>
  <c r="U60" i="32"/>
  <c r="G59" i="32"/>
  <c r="F59" i="32"/>
  <c r="H59" i="32" s="1"/>
  <c r="AE57" i="32"/>
  <c r="W57" i="32"/>
  <c r="AK56" i="32"/>
  <c r="AC56" i="32"/>
  <c r="U56" i="32"/>
  <c r="G55" i="32"/>
  <c r="F55" i="32"/>
  <c r="H55" i="32" s="1"/>
  <c r="AK52" i="32"/>
  <c r="AC52" i="32"/>
  <c r="U52" i="32"/>
  <c r="H51" i="32"/>
  <c r="G51" i="32"/>
  <c r="F51" i="32"/>
  <c r="W49" i="32"/>
  <c r="AE49" i="32" s="1"/>
  <c r="AK48" i="32"/>
  <c r="AC48" i="32"/>
  <c r="U48" i="32"/>
  <c r="H47" i="32"/>
  <c r="G47" i="32"/>
  <c r="F47" i="32"/>
  <c r="W45" i="32"/>
  <c r="AE45" i="32" s="1"/>
  <c r="AK44" i="32"/>
  <c r="AC44" i="32"/>
  <c r="U44" i="32"/>
  <c r="H43" i="32"/>
  <c r="G43" i="32"/>
  <c r="F43" i="32"/>
  <c r="W41" i="32"/>
  <c r="AE41" i="32" s="1"/>
  <c r="AK40" i="32"/>
  <c r="AC40" i="32"/>
  <c r="U40" i="32"/>
  <c r="G39" i="32"/>
  <c r="F39" i="32"/>
  <c r="W37" i="32"/>
  <c r="AE37" i="32" s="1"/>
  <c r="AK88" i="11"/>
  <c r="AC88" i="11"/>
  <c r="U88" i="11"/>
  <c r="G87" i="11"/>
  <c r="F87" i="11"/>
  <c r="W85" i="11"/>
  <c r="AE85" i="11" s="1"/>
  <c r="AK84" i="11"/>
  <c r="AC84" i="11"/>
  <c r="U84" i="11"/>
  <c r="G83" i="11"/>
  <c r="F83" i="11"/>
  <c r="W81" i="11"/>
  <c r="AE81" i="11" s="1"/>
  <c r="AK80" i="11"/>
  <c r="AC80" i="11"/>
  <c r="U80" i="11"/>
  <c r="G79" i="11"/>
  <c r="F79" i="11"/>
  <c r="W77" i="11"/>
  <c r="AE77" i="11" s="1"/>
  <c r="AK76" i="11"/>
  <c r="AC76" i="11"/>
  <c r="U76" i="11"/>
  <c r="G75" i="11"/>
  <c r="F75" i="11"/>
  <c r="W73" i="11"/>
  <c r="AE73" i="11" s="1"/>
  <c r="AK72" i="11"/>
  <c r="AC72" i="11"/>
  <c r="U72" i="11"/>
  <c r="G71" i="11"/>
  <c r="F71" i="11"/>
  <c r="W69" i="11"/>
  <c r="AE69" i="11" s="1"/>
  <c r="AK68" i="11"/>
  <c r="AC68" i="11"/>
  <c r="U68" i="11"/>
  <c r="G67" i="11"/>
  <c r="F67" i="11"/>
  <c r="W65" i="11"/>
  <c r="AE65" i="11" s="1"/>
  <c r="AK145" i="13"/>
  <c r="AC145" i="13"/>
  <c r="U145" i="13"/>
  <c r="H144" i="13"/>
  <c r="G144" i="13"/>
  <c r="F144" i="13"/>
  <c r="W142" i="13"/>
  <c r="AE142" i="13" s="1"/>
  <c r="AK141" i="13"/>
  <c r="AC141" i="13"/>
  <c r="U141" i="13"/>
  <c r="G140" i="13"/>
  <c r="F140" i="13"/>
  <c r="H140" i="13" s="1"/>
  <c r="W138" i="13"/>
  <c r="AE138" i="13" s="1"/>
  <c r="AK137" i="13"/>
  <c r="AC137" i="13"/>
  <c r="U137" i="13"/>
  <c r="G136" i="13"/>
  <c r="F136" i="13"/>
  <c r="W134" i="13"/>
  <c r="AE134" i="13" s="1"/>
  <c r="AK133" i="13"/>
  <c r="AC133" i="13"/>
  <c r="U133" i="13"/>
  <c r="G132" i="13"/>
  <c r="F132" i="13"/>
  <c r="W130" i="13"/>
  <c r="AE130" i="13" s="1"/>
  <c r="AK129" i="13"/>
  <c r="AC129" i="13"/>
  <c r="U129" i="13"/>
  <c r="G128" i="13"/>
  <c r="F128" i="13"/>
  <c r="W126" i="13"/>
  <c r="AE126" i="13" s="1"/>
  <c r="AK125" i="13"/>
  <c r="AC125" i="13"/>
  <c r="U125" i="13"/>
  <c r="G124" i="13"/>
  <c r="F124" i="13"/>
  <c r="W122" i="13"/>
  <c r="AE122" i="13" s="1"/>
  <c r="G63" i="11"/>
  <c r="F63" i="11"/>
  <c r="W61" i="11"/>
  <c r="AE61" i="11" s="1"/>
  <c r="AK56" i="11"/>
  <c r="AC56" i="11"/>
  <c r="U56" i="11"/>
  <c r="G55" i="11"/>
  <c r="F55" i="11"/>
  <c r="AK117" i="13"/>
  <c r="AC117" i="13"/>
  <c r="U117" i="13"/>
  <c r="G116" i="13"/>
  <c r="F116" i="13"/>
  <c r="W114" i="13"/>
  <c r="AE114" i="13" s="1"/>
  <c r="AK113" i="13"/>
  <c r="AC113" i="13"/>
  <c r="U113" i="13"/>
  <c r="G112" i="13"/>
  <c r="F112" i="13"/>
  <c r="AK109" i="13"/>
  <c r="AC109" i="13"/>
  <c r="U109" i="13"/>
  <c r="G108" i="13"/>
  <c r="F108" i="13"/>
  <c r="G88" i="13"/>
  <c r="F88" i="13"/>
  <c r="W86" i="13"/>
  <c r="AE86" i="13" s="1"/>
  <c r="AK100" i="9"/>
  <c r="AC100" i="9"/>
  <c r="U100" i="9"/>
  <c r="G99" i="9"/>
  <c r="F99" i="9"/>
  <c r="H99" i="9" s="1"/>
  <c r="W97" i="9"/>
  <c r="AE97" i="9" s="1"/>
  <c r="AK96" i="9"/>
  <c r="AC96" i="9"/>
  <c r="U96" i="9"/>
  <c r="G95" i="9"/>
  <c r="F95" i="9"/>
  <c r="W93" i="9"/>
  <c r="AE93" i="9" s="1"/>
  <c r="AK92" i="9"/>
  <c r="AC92" i="9"/>
  <c r="U92" i="9"/>
  <c r="G91" i="9"/>
  <c r="F91" i="9"/>
  <c r="H91" i="9" s="1"/>
  <c r="W89" i="9"/>
  <c r="AE89" i="9" s="1"/>
  <c r="AK88" i="9"/>
  <c r="AC88" i="9"/>
  <c r="U88" i="9"/>
  <c r="G87" i="9"/>
  <c r="F87" i="9"/>
  <c r="W85" i="9"/>
  <c r="AE85" i="9" s="1"/>
  <c r="AK84" i="9"/>
  <c r="AC84" i="9"/>
  <c r="U84" i="9"/>
  <c r="G83" i="9"/>
  <c r="F83" i="9"/>
  <c r="H83" i="9" s="1"/>
  <c r="W81" i="9"/>
  <c r="AE81" i="9" s="1"/>
  <c r="AK80" i="9"/>
  <c r="AC80" i="9"/>
  <c r="U80" i="9"/>
  <c r="G79" i="9"/>
  <c r="F79" i="9"/>
  <c r="W77" i="9"/>
  <c r="AE77" i="9" s="1"/>
  <c r="AK105" i="13"/>
  <c r="AC105" i="13"/>
  <c r="U105" i="13"/>
  <c r="G104" i="13"/>
  <c r="F104" i="13"/>
  <c r="W102" i="13"/>
  <c r="AE102" i="13" s="1"/>
  <c r="AK101" i="13"/>
  <c r="AC101" i="13"/>
  <c r="U101" i="13"/>
  <c r="G100" i="13"/>
  <c r="F100" i="13"/>
  <c r="W98" i="13"/>
  <c r="AE98" i="13" s="1"/>
  <c r="AK97" i="13"/>
  <c r="AC97" i="13"/>
  <c r="U97" i="13"/>
  <c r="G96" i="13"/>
  <c r="F96" i="13"/>
  <c r="W94" i="13"/>
  <c r="AE94" i="13" s="1"/>
  <c r="AK93" i="13"/>
  <c r="AC93" i="13"/>
  <c r="U93" i="13"/>
  <c r="G92" i="13"/>
  <c r="F92" i="13"/>
  <c r="W90" i="13"/>
  <c r="AE90" i="13" s="1"/>
  <c r="G84" i="13"/>
  <c r="F84" i="13"/>
  <c r="W82" i="13"/>
  <c r="AE82" i="13" s="1"/>
  <c r="AK81" i="13"/>
  <c r="AC81" i="13"/>
  <c r="U81" i="13"/>
  <c r="G80" i="13"/>
  <c r="F80" i="13"/>
  <c r="W78" i="13"/>
  <c r="AE78" i="13" s="1"/>
  <c r="AK89" i="4"/>
  <c r="AC89" i="4"/>
  <c r="U89" i="4"/>
  <c r="G88" i="4"/>
  <c r="F88" i="4"/>
  <c r="W86" i="4"/>
  <c r="AE86" i="4" s="1"/>
  <c r="AK85" i="4"/>
  <c r="AC85" i="4"/>
  <c r="U85" i="4"/>
  <c r="G84" i="4"/>
  <c r="F84" i="4"/>
  <c r="W82" i="4"/>
  <c r="AE82" i="4" s="1"/>
  <c r="AK81" i="4"/>
  <c r="AC81" i="4"/>
  <c r="U81" i="4"/>
  <c r="G80" i="4"/>
  <c r="F80" i="4"/>
  <c r="W78" i="4"/>
  <c r="AE78" i="4" s="1"/>
  <c r="AK76" i="9"/>
  <c r="AC76" i="9"/>
  <c r="U76" i="9"/>
  <c r="G75" i="9"/>
  <c r="F75" i="9"/>
  <c r="W73" i="9"/>
  <c r="AE73" i="9" s="1"/>
  <c r="AK72" i="9"/>
  <c r="AC72" i="9"/>
  <c r="U72" i="9"/>
  <c r="G71" i="9"/>
  <c r="F71" i="9"/>
  <c r="W69" i="9"/>
  <c r="AE69" i="9" s="1"/>
  <c r="AK68" i="9"/>
  <c r="AC68" i="9"/>
  <c r="U68" i="9"/>
  <c r="G67" i="9"/>
  <c r="F67" i="9"/>
  <c r="W65" i="9"/>
  <c r="AE65" i="9" s="1"/>
  <c r="AK64" i="9"/>
  <c r="AC64" i="9"/>
  <c r="U64" i="9"/>
  <c r="G63" i="9"/>
  <c r="F63" i="9"/>
  <c r="W61" i="9"/>
  <c r="AE61" i="9" s="1"/>
  <c r="AK77" i="13"/>
  <c r="AC77" i="13"/>
  <c r="U77" i="13"/>
  <c r="G76" i="13"/>
  <c r="F76" i="13"/>
  <c r="W74" i="13"/>
  <c r="AE74" i="13" s="1"/>
  <c r="AK73" i="13"/>
  <c r="AC73" i="13"/>
  <c r="U73" i="13"/>
  <c r="G72" i="13"/>
  <c r="F72" i="13"/>
  <c r="W70" i="13"/>
  <c r="AE70" i="13" s="1"/>
  <c r="AK69" i="13"/>
  <c r="AC69" i="13"/>
  <c r="U69" i="13"/>
  <c r="G68" i="13"/>
  <c r="F68" i="13"/>
  <c r="W66" i="13"/>
  <c r="AE66" i="13" s="1"/>
  <c r="AK65" i="13"/>
  <c r="AC65" i="13"/>
  <c r="U65" i="13"/>
  <c r="G64" i="13"/>
  <c r="F64" i="13"/>
  <c r="W62" i="13"/>
  <c r="AE62" i="13" s="1"/>
  <c r="AK77" i="4"/>
  <c r="AC77" i="4"/>
  <c r="U77" i="4"/>
  <c r="G76" i="4"/>
  <c r="F76" i="4"/>
  <c r="W74" i="4"/>
  <c r="AE74" i="4" s="1"/>
  <c r="AK73" i="4"/>
  <c r="AC73" i="4"/>
  <c r="U73" i="4"/>
  <c r="G72" i="4"/>
  <c r="F72" i="4"/>
  <c r="W70" i="4"/>
  <c r="AE70" i="4" s="1"/>
  <c r="AK69" i="4"/>
  <c r="AC69" i="4"/>
  <c r="U69" i="4"/>
  <c r="G68" i="4"/>
  <c r="F68" i="4"/>
  <c r="W66" i="4"/>
  <c r="AE66" i="4" s="1"/>
  <c r="AK65" i="4"/>
  <c r="AC65" i="4"/>
  <c r="U65" i="4"/>
  <c r="G64" i="4"/>
  <c r="F64" i="4"/>
  <c r="W62" i="4"/>
  <c r="AE62" i="4" s="1"/>
  <c r="W58" i="4"/>
  <c r="AE58" i="4"/>
  <c r="F60" i="4"/>
  <c r="G60" i="4"/>
  <c r="U61" i="4"/>
  <c r="AC61" i="4"/>
  <c r="AK61" i="4"/>
  <c r="H83" i="11" l="1"/>
  <c r="H71" i="11"/>
  <c r="H63" i="11"/>
  <c r="H75" i="11"/>
  <c r="H79" i="11"/>
  <c r="H87" i="11"/>
  <c r="H67" i="11"/>
  <c r="H128" i="13"/>
  <c r="H136" i="13"/>
  <c r="H108" i="13"/>
  <c r="H116" i="13"/>
  <c r="H132" i="13"/>
  <c r="H124" i="13"/>
  <c r="H64" i="13"/>
  <c r="H72" i="13"/>
  <c r="H88" i="13"/>
  <c r="H112" i="13"/>
  <c r="H68" i="13"/>
  <c r="H39" i="32"/>
  <c r="H55" i="11"/>
  <c r="H72" i="4"/>
  <c r="H95" i="9"/>
  <c r="H75" i="9"/>
  <c r="H104" i="13"/>
  <c r="H96" i="13"/>
  <c r="H88" i="4"/>
  <c r="H87" i="9"/>
  <c r="H84" i="4"/>
  <c r="H84" i="13"/>
  <c r="H100" i="13"/>
  <c r="H92" i="13"/>
  <c r="H79" i="9"/>
  <c r="H80" i="4"/>
  <c r="H80" i="13"/>
  <c r="H76" i="13"/>
  <c r="H76" i="4"/>
  <c r="H71" i="9"/>
  <c r="H67" i="9"/>
  <c r="H68" i="4"/>
  <c r="H64" i="4"/>
  <c r="H60" i="4"/>
  <c r="H63" i="9"/>
  <c r="W58" i="13"/>
  <c r="AE58" i="13" s="1"/>
  <c r="F60" i="13"/>
  <c r="G60" i="13"/>
  <c r="U61" i="13"/>
  <c r="AC61" i="13"/>
  <c r="AK61" i="13"/>
  <c r="H60" i="13" l="1"/>
  <c r="W57" i="9"/>
  <c r="AE57" i="9" s="1"/>
  <c r="F59" i="9"/>
  <c r="G59" i="9"/>
  <c r="H59" i="9" s="1"/>
  <c r="U60" i="9"/>
  <c r="AC60" i="9"/>
  <c r="AK60" i="9"/>
  <c r="W54" i="13"/>
  <c r="AE54" i="13" s="1"/>
  <c r="F56" i="13"/>
  <c r="G56" i="13"/>
  <c r="U57" i="13"/>
  <c r="AC57" i="13"/>
  <c r="AK57" i="13"/>
  <c r="W54" i="4"/>
  <c r="AE54" i="4" s="1"/>
  <c r="F56" i="4"/>
  <c r="G56" i="4"/>
  <c r="U57" i="4"/>
  <c r="AC57" i="4"/>
  <c r="AK57" i="4"/>
  <c r="H56" i="4" l="1"/>
  <c r="H56" i="13"/>
  <c r="W53" i="9"/>
  <c r="AE53" i="9" s="1"/>
  <c r="F55" i="9"/>
  <c r="G55" i="9"/>
  <c r="U56" i="9"/>
  <c r="AC56" i="9"/>
  <c r="AK56" i="9"/>
  <c r="H19" i="3"/>
  <c r="I19" i="3"/>
  <c r="J19" i="3"/>
  <c r="K19" i="3"/>
  <c r="L19" i="3"/>
  <c r="M19" i="3"/>
  <c r="G19" i="3"/>
  <c r="D19" i="3"/>
  <c r="E19" i="3"/>
  <c r="F19" i="3"/>
  <c r="C19" i="3"/>
  <c r="B19" i="3"/>
  <c r="B10" i="3"/>
  <c r="B8" i="3"/>
  <c r="B6"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R15" i="2"/>
  <c r="R14" i="2"/>
  <c r="R13" i="2"/>
  <c r="R12" i="2"/>
  <c r="R11" i="2"/>
  <c r="R10" i="2"/>
  <c r="R9" i="2"/>
  <c r="R8" i="2"/>
  <c r="R7" i="2"/>
  <c r="AA5" i="2"/>
  <c r="Z5" i="2"/>
  <c r="Y15" i="2"/>
  <c r="Y14" i="2"/>
  <c r="Y13" i="2"/>
  <c r="Y12" i="2"/>
  <c r="Y11" i="2"/>
  <c r="Y10" i="2"/>
  <c r="Y9" i="2"/>
  <c r="Y8" i="2"/>
  <c r="Y7" i="2"/>
  <c r="M34" i="2"/>
  <c r="L34" i="2"/>
  <c r="K34" i="2"/>
  <c r="M33" i="2"/>
  <c r="L33" i="2"/>
  <c r="K33" i="2"/>
  <c r="M32" i="2"/>
  <c r="L32" i="2"/>
  <c r="K32" i="2"/>
  <c r="M31" i="2"/>
  <c r="L31" i="2"/>
  <c r="K31" i="2"/>
  <c r="AK36" i="32"/>
  <c r="M30" i="2" s="1"/>
  <c r="AC36" i="32"/>
  <c r="L30" i="2" s="1"/>
  <c r="U36" i="32"/>
  <c r="K30" i="2" s="1"/>
  <c r="G35" i="32"/>
  <c r="F35" i="32"/>
  <c r="W33" i="32"/>
  <c r="AE33" i="32" s="1"/>
  <c r="AK32" i="32"/>
  <c r="M29" i="2" s="1"/>
  <c r="AC32" i="32"/>
  <c r="L29" i="2" s="1"/>
  <c r="U32" i="32"/>
  <c r="K29" i="2" s="1"/>
  <c r="G31" i="32"/>
  <c r="F31" i="32"/>
  <c r="W29" i="32"/>
  <c r="AE29" i="32" s="1"/>
  <c r="AK28" i="32"/>
  <c r="M28" i="2" s="1"/>
  <c r="AC28" i="32"/>
  <c r="L28" i="2" s="1"/>
  <c r="U28" i="32"/>
  <c r="K28" i="2" s="1"/>
  <c r="G27" i="32"/>
  <c r="F27" i="32"/>
  <c r="W25" i="32"/>
  <c r="AE25" i="32" s="1"/>
  <c r="AK24" i="32"/>
  <c r="M27" i="2" s="1"/>
  <c r="AC24" i="32"/>
  <c r="L27" i="2" s="1"/>
  <c r="U24" i="32"/>
  <c r="K27" i="2" s="1"/>
  <c r="G23" i="32"/>
  <c r="F23" i="32"/>
  <c r="W21" i="32"/>
  <c r="AE21" i="32" s="1"/>
  <c r="AK20" i="32"/>
  <c r="M26" i="2" s="1"/>
  <c r="AC20" i="32"/>
  <c r="L26" i="2" s="1"/>
  <c r="U20" i="32"/>
  <c r="K26" i="2" s="1"/>
  <c r="G19" i="32"/>
  <c r="F19" i="32"/>
  <c r="W17" i="32"/>
  <c r="AE17" i="32" s="1"/>
  <c r="AK16" i="32"/>
  <c r="M25" i="2" s="1"/>
  <c r="AC16" i="32"/>
  <c r="L25" i="2" s="1"/>
  <c r="U16" i="32"/>
  <c r="K25" i="2" s="1"/>
  <c r="G15" i="32"/>
  <c r="F15" i="32"/>
  <c r="W13" i="32"/>
  <c r="AE13" i="32" s="1"/>
  <c r="AK12" i="32"/>
  <c r="M24" i="2" s="1"/>
  <c r="AC12" i="32"/>
  <c r="L24" i="2" s="1"/>
  <c r="U12" i="32"/>
  <c r="K24" i="2" s="1"/>
  <c r="G11" i="32"/>
  <c r="F11" i="32"/>
  <c r="AK52" i="31"/>
  <c r="T34" i="2" s="1"/>
  <c r="AC52" i="31"/>
  <c r="S34" i="2" s="1"/>
  <c r="U52" i="31"/>
  <c r="R34" i="2" s="1"/>
  <c r="G51" i="31"/>
  <c r="F51" i="31"/>
  <c r="W49" i="31"/>
  <c r="AE49" i="31" s="1"/>
  <c r="AK48" i="31"/>
  <c r="T33" i="2" s="1"/>
  <c r="AC48" i="31"/>
  <c r="S33" i="2" s="1"/>
  <c r="U48" i="31"/>
  <c r="R33" i="2" s="1"/>
  <c r="G47" i="31"/>
  <c r="F47" i="31"/>
  <c r="W45" i="31"/>
  <c r="AE45" i="31" s="1"/>
  <c r="AK44" i="31"/>
  <c r="T32" i="2" s="1"/>
  <c r="AC44" i="31"/>
  <c r="S32" i="2" s="1"/>
  <c r="U44" i="31"/>
  <c r="R32" i="2" s="1"/>
  <c r="G43" i="31"/>
  <c r="F43" i="31"/>
  <c r="W41" i="31"/>
  <c r="AE41" i="31" s="1"/>
  <c r="AK40" i="31"/>
  <c r="T31" i="2" s="1"/>
  <c r="AC40" i="31"/>
  <c r="S31" i="2" s="1"/>
  <c r="U40" i="31"/>
  <c r="R31" i="2" s="1"/>
  <c r="G39" i="31"/>
  <c r="F39" i="31"/>
  <c r="W37" i="31"/>
  <c r="AE37" i="31" s="1"/>
  <c r="AK36" i="31"/>
  <c r="T30" i="2" s="1"/>
  <c r="AC36" i="31"/>
  <c r="S30" i="2" s="1"/>
  <c r="U36" i="31"/>
  <c r="R30" i="2" s="1"/>
  <c r="G35" i="31"/>
  <c r="F35" i="31"/>
  <c r="W33" i="31"/>
  <c r="AE33" i="31" s="1"/>
  <c r="AK32" i="31"/>
  <c r="T29" i="2" s="1"/>
  <c r="AC32" i="31"/>
  <c r="S29" i="2" s="1"/>
  <c r="U32" i="31"/>
  <c r="R29" i="2" s="1"/>
  <c r="G31" i="31"/>
  <c r="F31" i="31"/>
  <c r="W29" i="31"/>
  <c r="AE29" i="31" s="1"/>
  <c r="AK28" i="31"/>
  <c r="T28" i="2" s="1"/>
  <c r="AC28" i="31"/>
  <c r="S28" i="2" s="1"/>
  <c r="U28" i="31"/>
  <c r="R28" i="2" s="1"/>
  <c r="G27" i="31"/>
  <c r="F27" i="31"/>
  <c r="W25" i="31"/>
  <c r="AE25" i="31" s="1"/>
  <c r="AK24" i="31"/>
  <c r="T27" i="2" s="1"/>
  <c r="AC24" i="31"/>
  <c r="S27" i="2" s="1"/>
  <c r="U24" i="31"/>
  <c r="R27" i="2" s="1"/>
  <c r="G23" i="31"/>
  <c r="F23" i="31"/>
  <c r="W21" i="31"/>
  <c r="AE21" i="31" s="1"/>
  <c r="AK20" i="31"/>
  <c r="T26" i="2" s="1"/>
  <c r="AC20" i="31"/>
  <c r="S26" i="2" s="1"/>
  <c r="U20" i="31"/>
  <c r="R26" i="2" s="1"/>
  <c r="G19" i="31"/>
  <c r="F19" i="31"/>
  <c r="W17" i="31"/>
  <c r="AE17" i="31" s="1"/>
  <c r="AK16" i="31"/>
  <c r="T25" i="2" s="1"/>
  <c r="AC16" i="31"/>
  <c r="S25" i="2" s="1"/>
  <c r="U16" i="31"/>
  <c r="R25" i="2" s="1"/>
  <c r="G15" i="31"/>
  <c r="F15" i="31"/>
  <c r="W13" i="31"/>
  <c r="AE13" i="31" s="1"/>
  <c r="AK12" i="31"/>
  <c r="T24" i="2" s="1"/>
  <c r="AC12" i="31"/>
  <c r="S24" i="2" s="1"/>
  <c r="U12" i="31"/>
  <c r="R24" i="2" s="1"/>
  <c r="G11" i="31"/>
  <c r="F11" i="31"/>
  <c r="AN52" i="30"/>
  <c r="AA34" i="2" s="1"/>
  <c r="AE52" i="30"/>
  <c r="Z34" i="2" s="1"/>
  <c r="U52" i="30"/>
  <c r="Y34" i="2" s="1"/>
  <c r="G51" i="30"/>
  <c r="F51" i="30"/>
  <c r="Y49" i="30"/>
  <c r="AH49" i="30" s="1"/>
  <c r="AN48" i="30"/>
  <c r="AA33" i="2" s="1"/>
  <c r="AE48" i="30"/>
  <c r="Z33" i="2" s="1"/>
  <c r="U48" i="30"/>
  <c r="Y33" i="2" s="1"/>
  <c r="G47" i="30"/>
  <c r="F47" i="30"/>
  <c r="Y45" i="30"/>
  <c r="AH45" i="30" s="1"/>
  <c r="AN44" i="30"/>
  <c r="AA32" i="2" s="1"/>
  <c r="AE44" i="30"/>
  <c r="Z32" i="2" s="1"/>
  <c r="U44" i="30"/>
  <c r="Y32" i="2" s="1"/>
  <c r="G43" i="30"/>
  <c r="F43" i="30"/>
  <c r="Y41" i="30"/>
  <c r="AH41" i="30" s="1"/>
  <c r="AN40" i="30"/>
  <c r="AA31" i="2" s="1"/>
  <c r="AE40" i="30"/>
  <c r="Z31" i="2" s="1"/>
  <c r="U40" i="30"/>
  <c r="Y31" i="2" s="1"/>
  <c r="G39" i="30"/>
  <c r="F39" i="30"/>
  <c r="Y37" i="30"/>
  <c r="AH37" i="30" s="1"/>
  <c r="AN36" i="30"/>
  <c r="AA30" i="2" s="1"/>
  <c r="AE36" i="30"/>
  <c r="Z30" i="2" s="1"/>
  <c r="U36" i="30"/>
  <c r="Y30" i="2" s="1"/>
  <c r="G35" i="30"/>
  <c r="F35" i="30"/>
  <c r="Y33" i="30"/>
  <c r="AH33" i="30" s="1"/>
  <c r="AN32" i="30"/>
  <c r="AA29" i="2" s="1"/>
  <c r="AE32" i="30"/>
  <c r="Z29" i="2" s="1"/>
  <c r="U32" i="30"/>
  <c r="Y29" i="2" s="1"/>
  <c r="G31" i="30"/>
  <c r="F31" i="30"/>
  <c r="H31" i="30" s="1"/>
  <c r="W29" i="2" s="1"/>
  <c r="X29" i="2" s="1"/>
  <c r="Y29" i="30"/>
  <c r="AH29" i="30" s="1"/>
  <c r="AN28" i="30"/>
  <c r="AA28" i="2" s="1"/>
  <c r="AE28" i="30"/>
  <c r="Z28" i="2" s="1"/>
  <c r="U28" i="30"/>
  <c r="Y28" i="2" s="1"/>
  <c r="G27" i="30"/>
  <c r="F27" i="30"/>
  <c r="Y25" i="30"/>
  <c r="AH25" i="30" s="1"/>
  <c r="AN24" i="30"/>
  <c r="AA27" i="2" s="1"/>
  <c r="AE24" i="30"/>
  <c r="Z27" i="2" s="1"/>
  <c r="U24" i="30"/>
  <c r="Y27" i="2" s="1"/>
  <c r="G23" i="30"/>
  <c r="F23" i="30"/>
  <c r="Y21" i="30"/>
  <c r="AH21" i="30" s="1"/>
  <c r="AN20" i="30"/>
  <c r="AE20" i="30"/>
  <c r="Z26" i="2" s="1"/>
  <c r="U20" i="30"/>
  <c r="G19" i="30"/>
  <c r="F19" i="30"/>
  <c r="Y17" i="30"/>
  <c r="AH17" i="30" s="1"/>
  <c r="AN16" i="30"/>
  <c r="AA25" i="2" s="1"/>
  <c r="AE16" i="30"/>
  <c r="Z25" i="2" s="1"/>
  <c r="U16" i="30"/>
  <c r="Y25" i="2" s="1"/>
  <c r="G15" i="30"/>
  <c r="F15" i="30"/>
  <c r="Y13" i="30"/>
  <c r="AH13" i="30" s="1"/>
  <c r="AN12" i="30"/>
  <c r="AA24" i="2" s="1"/>
  <c r="AE12" i="30"/>
  <c r="Z24" i="2" s="1"/>
  <c r="U12" i="30"/>
  <c r="Y24" i="2" s="1"/>
  <c r="G11" i="30"/>
  <c r="F11" i="30"/>
  <c r="AN52" i="29"/>
  <c r="F53" i="2" s="1"/>
  <c r="AE52" i="29"/>
  <c r="E53" i="2" s="1"/>
  <c r="U52" i="29"/>
  <c r="D53" i="2" s="1"/>
  <c r="G51" i="29"/>
  <c r="F51" i="29"/>
  <c r="Y49" i="29"/>
  <c r="AH49" i="29" s="1"/>
  <c r="AN48" i="29"/>
  <c r="F52" i="2" s="1"/>
  <c r="AE48" i="29"/>
  <c r="E52" i="2" s="1"/>
  <c r="U48" i="29"/>
  <c r="D52" i="2" s="1"/>
  <c r="G47" i="29"/>
  <c r="F47" i="29"/>
  <c r="Y45" i="29"/>
  <c r="AH45" i="29" s="1"/>
  <c r="AN44" i="29"/>
  <c r="F51" i="2" s="1"/>
  <c r="AE44" i="29"/>
  <c r="E51" i="2" s="1"/>
  <c r="U44" i="29"/>
  <c r="D51" i="2" s="1"/>
  <c r="G43" i="29"/>
  <c r="F43" i="29"/>
  <c r="Y41" i="29"/>
  <c r="AH41" i="29" s="1"/>
  <c r="AN40" i="29"/>
  <c r="F50" i="2" s="1"/>
  <c r="AE40" i="29"/>
  <c r="E50" i="2" s="1"/>
  <c r="U40" i="29"/>
  <c r="D50" i="2" s="1"/>
  <c r="G39" i="29"/>
  <c r="F39" i="29"/>
  <c r="Y37" i="29"/>
  <c r="AH37" i="29" s="1"/>
  <c r="AN36" i="29"/>
  <c r="F49" i="2" s="1"/>
  <c r="AE36" i="29"/>
  <c r="E49" i="2" s="1"/>
  <c r="U36" i="29"/>
  <c r="D49" i="2" s="1"/>
  <c r="G35" i="29"/>
  <c r="F35" i="29"/>
  <c r="Y33" i="29"/>
  <c r="AH33" i="29" s="1"/>
  <c r="AN32" i="29"/>
  <c r="F48" i="2" s="1"/>
  <c r="AE32" i="29"/>
  <c r="E48" i="2" s="1"/>
  <c r="U32" i="29"/>
  <c r="D48" i="2" s="1"/>
  <c r="G31" i="29"/>
  <c r="F31" i="29"/>
  <c r="Y29" i="29"/>
  <c r="AH29" i="29" s="1"/>
  <c r="AN28" i="29"/>
  <c r="F47" i="2" s="1"/>
  <c r="AE28" i="29"/>
  <c r="E47" i="2" s="1"/>
  <c r="U28" i="29"/>
  <c r="D47" i="2" s="1"/>
  <c r="G27" i="29"/>
  <c r="F27" i="29"/>
  <c r="Y25" i="29"/>
  <c r="AH25" i="29" s="1"/>
  <c r="AN24" i="29"/>
  <c r="F46" i="2" s="1"/>
  <c r="AE24" i="29"/>
  <c r="E46" i="2" s="1"/>
  <c r="U24" i="29"/>
  <c r="D46" i="2" s="1"/>
  <c r="G23" i="29"/>
  <c r="F23" i="29"/>
  <c r="Y21" i="29"/>
  <c r="AH21" i="29" s="1"/>
  <c r="AN20" i="29"/>
  <c r="F45" i="2" s="1"/>
  <c r="AE20" i="29"/>
  <c r="E45" i="2" s="1"/>
  <c r="U20" i="29"/>
  <c r="D45" i="2" s="1"/>
  <c r="G19" i="29"/>
  <c r="F19" i="29"/>
  <c r="Y17" i="29"/>
  <c r="AH17" i="29" s="1"/>
  <c r="AN16" i="29"/>
  <c r="F44" i="2" s="1"/>
  <c r="AE16" i="29"/>
  <c r="E44" i="2" s="1"/>
  <c r="U16" i="29"/>
  <c r="D44" i="2" s="1"/>
  <c r="G15" i="29"/>
  <c r="F15" i="29"/>
  <c r="Y13" i="29"/>
  <c r="AH13" i="29" s="1"/>
  <c r="AN12" i="29"/>
  <c r="F43" i="2" s="1"/>
  <c r="AE12" i="29"/>
  <c r="E43" i="2" s="1"/>
  <c r="U12" i="29"/>
  <c r="D43" i="2" s="1"/>
  <c r="G11" i="29"/>
  <c r="F11"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F15" i="28"/>
  <c r="Y13" i="28"/>
  <c r="AH13" i="28" s="1"/>
  <c r="AN12" i="28"/>
  <c r="M43" i="2" s="1"/>
  <c r="AE12" i="28"/>
  <c r="L43" i="2" s="1"/>
  <c r="U12" i="28"/>
  <c r="K43" i="2" s="1"/>
  <c r="G11" i="28"/>
  <c r="F11" i="28"/>
  <c r="H11" i="28" s="1"/>
  <c r="I43" i="2" s="1"/>
  <c r="J43" i="2" s="1"/>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S49" i="2" s="1"/>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2" i="26"/>
  <c r="AA53" i="2" s="1"/>
  <c r="AE52" i="26"/>
  <c r="Z53" i="2" s="1"/>
  <c r="U52" i="26"/>
  <c r="Y53" i="2" s="1"/>
  <c r="G51" i="26"/>
  <c r="F51" i="26"/>
  <c r="Y49" i="26"/>
  <c r="AH49" i="26" s="1"/>
  <c r="AN48" i="26"/>
  <c r="AA52" i="2" s="1"/>
  <c r="AE48" i="26"/>
  <c r="Z52" i="2" s="1"/>
  <c r="U48" i="26"/>
  <c r="Y52" i="2" s="1"/>
  <c r="G47" i="26"/>
  <c r="F47" i="26"/>
  <c r="Y45" i="26"/>
  <c r="AH45" i="26" s="1"/>
  <c r="AN44" i="26"/>
  <c r="AA51" i="2" s="1"/>
  <c r="AE44" i="26"/>
  <c r="Z51" i="2" s="1"/>
  <c r="U44" i="26"/>
  <c r="Y51" i="2" s="1"/>
  <c r="G43" i="26"/>
  <c r="F43" i="26"/>
  <c r="Y41" i="26"/>
  <c r="AH41" i="26" s="1"/>
  <c r="AN40" i="26"/>
  <c r="AA50" i="2" s="1"/>
  <c r="AE40" i="26"/>
  <c r="Z50" i="2" s="1"/>
  <c r="U40" i="26"/>
  <c r="Y50" i="2" s="1"/>
  <c r="G39" i="26"/>
  <c r="F39" i="26"/>
  <c r="Y37" i="26"/>
  <c r="AH37" i="26" s="1"/>
  <c r="AN36" i="26"/>
  <c r="AA49" i="2" s="1"/>
  <c r="AE36" i="26"/>
  <c r="Z49" i="2" s="1"/>
  <c r="U36" i="26"/>
  <c r="Y49" i="2" s="1"/>
  <c r="G35" i="26"/>
  <c r="F35" i="26"/>
  <c r="Y33" i="26"/>
  <c r="AH33" i="26" s="1"/>
  <c r="AN32" i="26"/>
  <c r="AA48" i="2" s="1"/>
  <c r="AE32" i="26"/>
  <c r="Z48" i="2" s="1"/>
  <c r="U32" i="26"/>
  <c r="Y48" i="2" s="1"/>
  <c r="G31" i="26"/>
  <c r="F31" i="26"/>
  <c r="Y29" i="26"/>
  <c r="AH29" i="26" s="1"/>
  <c r="AN28" i="26"/>
  <c r="AA47" i="2" s="1"/>
  <c r="AE28" i="26"/>
  <c r="Z47" i="2" s="1"/>
  <c r="U28" i="26"/>
  <c r="Y47" i="2" s="1"/>
  <c r="G27" i="26"/>
  <c r="F27" i="26"/>
  <c r="Y25" i="26"/>
  <c r="AH25" i="26" s="1"/>
  <c r="AN24" i="26"/>
  <c r="AA46" i="2" s="1"/>
  <c r="AE24" i="26"/>
  <c r="Z46" i="2" s="1"/>
  <c r="U24" i="26"/>
  <c r="Y46" i="2" s="1"/>
  <c r="G23" i="26"/>
  <c r="F23" i="26"/>
  <c r="Y21" i="26"/>
  <c r="AH21" i="26" s="1"/>
  <c r="AN20" i="26"/>
  <c r="AA45" i="2" s="1"/>
  <c r="AE20" i="26"/>
  <c r="Z45" i="2" s="1"/>
  <c r="U20" i="26"/>
  <c r="Y45" i="2" s="1"/>
  <c r="G19" i="26"/>
  <c r="F19" i="26"/>
  <c r="Y17" i="26"/>
  <c r="AH17" i="26" s="1"/>
  <c r="AN16" i="26"/>
  <c r="AA44" i="2" s="1"/>
  <c r="AE16" i="26"/>
  <c r="Z44" i="2" s="1"/>
  <c r="U16" i="26"/>
  <c r="Y44" i="2" s="1"/>
  <c r="G15" i="26"/>
  <c r="F15" i="26"/>
  <c r="Y13" i="26"/>
  <c r="AH13" i="26" s="1"/>
  <c r="AN12" i="26"/>
  <c r="AA43" i="2" s="1"/>
  <c r="AE12" i="26"/>
  <c r="Z43" i="2" s="1"/>
  <c r="U12" i="26"/>
  <c r="Y43" i="2" s="1"/>
  <c r="G11" i="26"/>
  <c r="F11"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H27" i="25" s="1"/>
  <c r="B66" i="2" s="1"/>
  <c r="C66" i="2" s="1"/>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H11" i="25" s="1"/>
  <c r="B62" i="2" s="1"/>
  <c r="C62" i="2" s="1"/>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S67" i="2" s="1"/>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2" i="21"/>
  <c r="F91" i="2" s="1"/>
  <c r="AE52" i="21"/>
  <c r="E91" i="2" s="1"/>
  <c r="U52" i="21"/>
  <c r="D91" i="2" s="1"/>
  <c r="G51" i="21"/>
  <c r="F51" i="21"/>
  <c r="Y49" i="21"/>
  <c r="AH49" i="21" s="1"/>
  <c r="AN48" i="21"/>
  <c r="F90" i="2" s="1"/>
  <c r="AE48" i="21"/>
  <c r="E90" i="2" s="1"/>
  <c r="U48" i="21"/>
  <c r="D90" i="2" s="1"/>
  <c r="G47" i="21"/>
  <c r="F47" i="21"/>
  <c r="Y45" i="21"/>
  <c r="AH45" i="21" s="1"/>
  <c r="AN44" i="21"/>
  <c r="F89" i="2" s="1"/>
  <c r="AE44" i="21"/>
  <c r="E89" i="2" s="1"/>
  <c r="U44" i="21"/>
  <c r="D89" i="2" s="1"/>
  <c r="G43" i="21"/>
  <c r="F43" i="21"/>
  <c r="Y41" i="21"/>
  <c r="AH41" i="21" s="1"/>
  <c r="AN40" i="21"/>
  <c r="F88" i="2" s="1"/>
  <c r="AE40" i="21"/>
  <c r="E88" i="2" s="1"/>
  <c r="U40" i="21"/>
  <c r="D88" i="2" s="1"/>
  <c r="G39" i="21"/>
  <c r="F39" i="21"/>
  <c r="Y37" i="21"/>
  <c r="AH37" i="21" s="1"/>
  <c r="AN36" i="21"/>
  <c r="F87" i="2" s="1"/>
  <c r="AE36" i="21"/>
  <c r="E87" i="2" s="1"/>
  <c r="U36" i="21"/>
  <c r="D87" i="2" s="1"/>
  <c r="G35" i="21"/>
  <c r="F35" i="21"/>
  <c r="Y33" i="21"/>
  <c r="AH33" i="21" s="1"/>
  <c r="AN32" i="21"/>
  <c r="F86" i="2" s="1"/>
  <c r="AE32" i="21"/>
  <c r="E86" i="2" s="1"/>
  <c r="U32" i="21"/>
  <c r="D86" i="2" s="1"/>
  <c r="G31" i="21"/>
  <c r="F31" i="21"/>
  <c r="Y29" i="21"/>
  <c r="AH29" i="21" s="1"/>
  <c r="AN28" i="21"/>
  <c r="F85" i="2" s="1"/>
  <c r="AE28" i="21"/>
  <c r="E85" i="2" s="1"/>
  <c r="U28" i="21"/>
  <c r="D85" i="2" s="1"/>
  <c r="G27" i="21"/>
  <c r="F27" i="21"/>
  <c r="Y25" i="21"/>
  <c r="AH25" i="21" s="1"/>
  <c r="AN24" i="21"/>
  <c r="F84" i="2" s="1"/>
  <c r="AE24" i="21"/>
  <c r="E84" i="2" s="1"/>
  <c r="U24" i="21"/>
  <c r="D84" i="2" s="1"/>
  <c r="G23" i="21"/>
  <c r="F23" i="21"/>
  <c r="Y21" i="21"/>
  <c r="AH21" i="21" s="1"/>
  <c r="AN20" i="21"/>
  <c r="F83" i="2" s="1"/>
  <c r="AE20" i="21"/>
  <c r="E83" i="2" s="1"/>
  <c r="U20" i="21"/>
  <c r="D83" i="2" s="1"/>
  <c r="G19" i="21"/>
  <c r="F19" i="21"/>
  <c r="Y17" i="21"/>
  <c r="AH17" i="21" s="1"/>
  <c r="AN16" i="21"/>
  <c r="F82" i="2" s="1"/>
  <c r="AE16" i="21"/>
  <c r="E82" i="2" s="1"/>
  <c r="U16" i="21"/>
  <c r="D82" i="2" s="1"/>
  <c r="G15" i="21"/>
  <c r="F15" i="21"/>
  <c r="Y13" i="21"/>
  <c r="AH13" i="21" s="1"/>
  <c r="AN12" i="21"/>
  <c r="F81" i="2" s="1"/>
  <c r="AE12" i="21"/>
  <c r="E81" i="2" s="1"/>
  <c r="U12" i="21"/>
  <c r="D81" i="2" s="1"/>
  <c r="G11" i="21"/>
  <c r="F11" i="2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H27" i="19" s="1"/>
  <c r="P85" i="2" s="1"/>
  <c r="Q85" i="2" s="1"/>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2" i="18"/>
  <c r="AE52" i="18"/>
  <c r="U52" i="18"/>
  <c r="Y91" i="2" s="1"/>
  <c r="G51" i="18"/>
  <c r="F51" i="18"/>
  <c r="Y49" i="18"/>
  <c r="AH49" i="18" s="1"/>
  <c r="AN48" i="18"/>
  <c r="AE48" i="18"/>
  <c r="U48" i="18"/>
  <c r="Y90" i="2" s="1"/>
  <c r="G47" i="18"/>
  <c r="F47" i="18"/>
  <c r="Y45" i="18"/>
  <c r="AH45" i="18" s="1"/>
  <c r="AN44" i="18"/>
  <c r="AE44" i="18"/>
  <c r="U44" i="18"/>
  <c r="Y89" i="2" s="1"/>
  <c r="G43" i="18"/>
  <c r="F43" i="18"/>
  <c r="Y41" i="18"/>
  <c r="AH41" i="18" s="1"/>
  <c r="AN40" i="18"/>
  <c r="AE40" i="18"/>
  <c r="U40" i="18"/>
  <c r="Y88" i="2" s="1"/>
  <c r="G39" i="18"/>
  <c r="F39" i="18"/>
  <c r="Y37" i="18"/>
  <c r="AH37" i="18" s="1"/>
  <c r="AN36" i="18"/>
  <c r="AE36" i="18"/>
  <c r="U36" i="18"/>
  <c r="Y87" i="2" s="1"/>
  <c r="G35" i="18"/>
  <c r="F35" i="18"/>
  <c r="Y33" i="18"/>
  <c r="AH33" i="18" s="1"/>
  <c r="AN32" i="18"/>
  <c r="AE32" i="18"/>
  <c r="U32" i="18"/>
  <c r="Y86" i="2" s="1"/>
  <c r="G31" i="18"/>
  <c r="F31" i="18"/>
  <c r="Y29" i="18"/>
  <c r="AH29" i="18" s="1"/>
  <c r="AN28" i="18"/>
  <c r="AE28" i="18"/>
  <c r="U28" i="18"/>
  <c r="Y85" i="2" s="1"/>
  <c r="G27" i="18"/>
  <c r="F27" i="18"/>
  <c r="Y25" i="18"/>
  <c r="AH25" i="18" s="1"/>
  <c r="AN24" i="18"/>
  <c r="AE24" i="18"/>
  <c r="U24" i="18"/>
  <c r="Y84" i="2" s="1"/>
  <c r="G23" i="18"/>
  <c r="F23" i="18"/>
  <c r="Y21" i="18"/>
  <c r="AH21"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H19" i="15" s="1"/>
  <c r="P100" i="2" s="1"/>
  <c r="Q100" i="2" s="1"/>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3" i="13"/>
  <c r="AC53" i="13"/>
  <c r="U53" i="13"/>
  <c r="G52" i="13"/>
  <c r="F52" i="13"/>
  <c r="W50" i="13"/>
  <c r="AE50" i="13" s="1"/>
  <c r="AK49" i="13"/>
  <c r="AC49" i="13"/>
  <c r="U49" i="13"/>
  <c r="G48" i="13"/>
  <c r="F48" i="13"/>
  <c r="W46" i="13"/>
  <c r="AE46" i="13" s="1"/>
  <c r="AK45" i="13"/>
  <c r="AC45" i="13"/>
  <c r="U45" i="13"/>
  <c r="G44" i="13"/>
  <c r="F44" i="13"/>
  <c r="W42" i="13"/>
  <c r="AE42" i="13" s="1"/>
  <c r="AK41" i="13"/>
  <c r="AC41" i="13"/>
  <c r="U41" i="13"/>
  <c r="G40" i="13"/>
  <c r="F40" i="13"/>
  <c r="W38" i="13"/>
  <c r="AE38" i="13" s="1"/>
  <c r="AK37" i="13"/>
  <c r="AC37" i="13"/>
  <c r="U37" i="13"/>
  <c r="G36" i="13"/>
  <c r="F36" i="13"/>
  <c r="W34" i="13"/>
  <c r="AE34" i="13" s="1"/>
  <c r="AK33" i="13"/>
  <c r="AC33" i="13"/>
  <c r="U33" i="13"/>
  <c r="G32" i="13"/>
  <c r="F32" i="13"/>
  <c r="W30" i="13"/>
  <c r="AE30" i="13" s="1"/>
  <c r="AK29" i="13"/>
  <c r="AC29" i="13"/>
  <c r="U29" i="13"/>
  <c r="G28" i="13"/>
  <c r="F28" i="13"/>
  <c r="W26" i="13"/>
  <c r="AE26" i="13" s="1"/>
  <c r="AK25" i="13"/>
  <c r="AC25" i="13"/>
  <c r="U25" i="13"/>
  <c r="G24" i="13"/>
  <c r="F24" i="13"/>
  <c r="W22" i="13"/>
  <c r="AE22" i="13" s="1"/>
  <c r="AK21" i="13"/>
  <c r="AC21" i="13"/>
  <c r="U21" i="13"/>
  <c r="G20" i="13"/>
  <c r="F20" i="13"/>
  <c r="W18" i="13"/>
  <c r="AE18" i="13" s="1"/>
  <c r="AK17" i="13"/>
  <c r="AC17" i="13"/>
  <c r="U17" i="13"/>
  <c r="R6" i="2" s="1"/>
  <c r="G16" i="13"/>
  <c r="F16" i="13"/>
  <c r="W14" i="13"/>
  <c r="AE14" i="13" s="1"/>
  <c r="AK13" i="13"/>
  <c r="AC13" i="13"/>
  <c r="U13" i="13"/>
  <c r="R5" i="2" s="1"/>
  <c r="G12" i="13"/>
  <c r="F12"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2" i="11"/>
  <c r="F34" i="2" s="1"/>
  <c r="AC52" i="11"/>
  <c r="E34" i="2" s="1"/>
  <c r="U52" i="11"/>
  <c r="D34" i="2" s="1"/>
  <c r="G51" i="11"/>
  <c r="F51" i="11"/>
  <c r="W49" i="11"/>
  <c r="AE49" i="11" s="1"/>
  <c r="AK48" i="11"/>
  <c r="F33" i="2" s="1"/>
  <c r="AC48" i="11"/>
  <c r="E33" i="2" s="1"/>
  <c r="U48" i="11"/>
  <c r="D33" i="2" s="1"/>
  <c r="G47" i="11"/>
  <c r="F47" i="11"/>
  <c r="W45" i="11"/>
  <c r="AE45" i="11" s="1"/>
  <c r="AK44" i="11"/>
  <c r="F32" i="2" s="1"/>
  <c r="AC44" i="11"/>
  <c r="E32" i="2" s="1"/>
  <c r="U44" i="11"/>
  <c r="D32" i="2" s="1"/>
  <c r="G43" i="11"/>
  <c r="F43" i="11"/>
  <c r="W41" i="11"/>
  <c r="AE41" i="11" s="1"/>
  <c r="AK40" i="11"/>
  <c r="AC40" i="11"/>
  <c r="E31" i="2" s="1"/>
  <c r="U40" i="11"/>
  <c r="D31" i="2" s="1"/>
  <c r="G39" i="11"/>
  <c r="F39" i="11"/>
  <c r="W37" i="11"/>
  <c r="AE37" i="11" s="1"/>
  <c r="AK36" i="11"/>
  <c r="F30" i="2" s="1"/>
  <c r="AC36" i="11"/>
  <c r="E30" i="2" s="1"/>
  <c r="U36" i="11"/>
  <c r="D30" i="2" s="1"/>
  <c r="G35" i="11"/>
  <c r="F35" i="11"/>
  <c r="W33" i="11"/>
  <c r="AE33" i="11" s="1"/>
  <c r="AK32" i="11"/>
  <c r="F29" i="2" s="1"/>
  <c r="AC32" i="11"/>
  <c r="E29" i="2" s="1"/>
  <c r="U32" i="11"/>
  <c r="D29" i="2" s="1"/>
  <c r="G31" i="11"/>
  <c r="F31" i="11"/>
  <c r="W29" i="11"/>
  <c r="AE29" i="11" s="1"/>
  <c r="AK28" i="11"/>
  <c r="F28" i="2" s="1"/>
  <c r="AC28" i="11"/>
  <c r="E28" i="2" s="1"/>
  <c r="U28" i="11"/>
  <c r="D28" i="2" s="1"/>
  <c r="G27" i="11"/>
  <c r="F27" i="11"/>
  <c r="W25" i="11"/>
  <c r="AE25" i="11" s="1"/>
  <c r="AK24" i="11"/>
  <c r="F27" i="2" s="1"/>
  <c r="AC24" i="11"/>
  <c r="E27" i="2" s="1"/>
  <c r="U24" i="11"/>
  <c r="D27" i="2" s="1"/>
  <c r="G23" i="11"/>
  <c r="F23" i="11"/>
  <c r="W21" i="11"/>
  <c r="AE21" i="11" s="1"/>
  <c r="AK20" i="11"/>
  <c r="F26" i="2" s="1"/>
  <c r="AC20" i="11"/>
  <c r="E26" i="2" s="1"/>
  <c r="U20" i="11"/>
  <c r="D26" i="2" s="1"/>
  <c r="G19" i="11"/>
  <c r="F19" i="11"/>
  <c r="W17" i="11"/>
  <c r="AE17" i="11" s="1"/>
  <c r="AK16" i="11"/>
  <c r="F25" i="2" s="1"/>
  <c r="AC16" i="11"/>
  <c r="E25" i="2" s="1"/>
  <c r="U16" i="11"/>
  <c r="D25" i="2" s="1"/>
  <c r="G15" i="11"/>
  <c r="F15" i="11"/>
  <c r="W13" i="11"/>
  <c r="AE13" i="11" s="1"/>
  <c r="AK12" i="11"/>
  <c r="F24" i="2" s="1"/>
  <c r="AC12" i="11"/>
  <c r="E24" i="2" s="1"/>
  <c r="U12" i="11"/>
  <c r="D24" i="2" s="1"/>
  <c r="G11" i="11"/>
  <c r="F11"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K52" i="9"/>
  <c r="AC52" i="9"/>
  <c r="U52" i="9"/>
  <c r="G51" i="9"/>
  <c r="F51" i="9"/>
  <c r="W49" i="9"/>
  <c r="AE49" i="9" s="1"/>
  <c r="AK48" i="9"/>
  <c r="AC48" i="9"/>
  <c r="U48" i="9"/>
  <c r="G47" i="9"/>
  <c r="F47" i="9"/>
  <c r="W45" i="9"/>
  <c r="AE45" i="9" s="1"/>
  <c r="AK44" i="9"/>
  <c r="AC44" i="9"/>
  <c r="U44" i="9"/>
  <c r="G43" i="9"/>
  <c r="F43" i="9"/>
  <c r="W41" i="9"/>
  <c r="AE41" i="9" s="1"/>
  <c r="AK40" i="9"/>
  <c r="AC40" i="9"/>
  <c r="U40" i="9"/>
  <c r="G39" i="9"/>
  <c r="F39" i="9"/>
  <c r="W37" i="9"/>
  <c r="AE37" i="9" s="1"/>
  <c r="AK36" i="9"/>
  <c r="AC36" i="9"/>
  <c r="U36" i="9"/>
  <c r="G35" i="9"/>
  <c r="F35" i="9"/>
  <c r="W33" i="9"/>
  <c r="AE33" i="9" s="1"/>
  <c r="AK32" i="9"/>
  <c r="AC32" i="9"/>
  <c r="U32" i="9"/>
  <c r="G31" i="9"/>
  <c r="F31" i="9"/>
  <c r="W29" i="9"/>
  <c r="AE29" i="9" s="1"/>
  <c r="AK28" i="9"/>
  <c r="AC28" i="9"/>
  <c r="U28" i="9"/>
  <c r="G27" i="9"/>
  <c r="F27" i="9"/>
  <c r="W25" i="9"/>
  <c r="AE25" i="9" s="1"/>
  <c r="AK24" i="9"/>
  <c r="AC24" i="9"/>
  <c r="U24" i="9"/>
  <c r="G23" i="9"/>
  <c r="F23" i="9"/>
  <c r="W21" i="9"/>
  <c r="AE21" i="9" s="1"/>
  <c r="AK20" i="9"/>
  <c r="AC20" i="9"/>
  <c r="U20" i="9"/>
  <c r="G19" i="9"/>
  <c r="F19" i="9"/>
  <c r="W17" i="9"/>
  <c r="AE17" i="9" s="1"/>
  <c r="AK16" i="9"/>
  <c r="AC16" i="9"/>
  <c r="U16" i="9"/>
  <c r="Y6" i="2" s="1"/>
  <c r="G15" i="9"/>
  <c r="F15" i="9"/>
  <c r="W13" i="9"/>
  <c r="AE13" i="9" s="1"/>
  <c r="AK12" i="9"/>
  <c r="AC12" i="9"/>
  <c r="U12" i="9"/>
  <c r="Y5" i="2" s="1"/>
  <c r="G11" i="9"/>
  <c r="F11"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H35" i="7" s="1"/>
  <c r="B141" i="2" s="1"/>
  <c r="C141" i="2" s="1"/>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3" i="4"/>
  <c r="AC53" i="4"/>
  <c r="U53" i="4"/>
  <c r="K15" i="2" s="1"/>
  <c r="G52" i="4"/>
  <c r="F52" i="4"/>
  <c r="W50" i="4"/>
  <c r="AE50" i="4" s="1"/>
  <c r="AK49" i="4"/>
  <c r="M14" i="2" s="1"/>
  <c r="AC49" i="4"/>
  <c r="L14" i="2" s="1"/>
  <c r="U49" i="4"/>
  <c r="K14" i="2" s="1"/>
  <c r="G48" i="4"/>
  <c r="F48" i="4"/>
  <c r="W46" i="4"/>
  <c r="AE46" i="4" s="1"/>
  <c r="AK45" i="4"/>
  <c r="M13" i="2" s="1"/>
  <c r="AC45" i="4"/>
  <c r="L13" i="2" s="1"/>
  <c r="U45" i="4"/>
  <c r="K13" i="2" s="1"/>
  <c r="G44" i="4"/>
  <c r="F44" i="4"/>
  <c r="W42" i="4"/>
  <c r="AE42" i="4" s="1"/>
  <c r="AK41" i="4"/>
  <c r="M12" i="2" s="1"/>
  <c r="AC41" i="4"/>
  <c r="L12" i="2" s="1"/>
  <c r="U41" i="4"/>
  <c r="K12" i="2" s="1"/>
  <c r="G40" i="4"/>
  <c r="F40" i="4"/>
  <c r="W38" i="4"/>
  <c r="AE38" i="4" s="1"/>
  <c r="AK37" i="4"/>
  <c r="M11" i="2" s="1"/>
  <c r="AC37" i="4"/>
  <c r="L11" i="2" s="1"/>
  <c r="U37" i="4"/>
  <c r="K11" i="2" s="1"/>
  <c r="G36" i="4"/>
  <c r="F36" i="4"/>
  <c r="W34" i="4"/>
  <c r="AE34" i="4" s="1"/>
  <c r="AK33" i="4"/>
  <c r="M10" i="2" s="1"/>
  <c r="AC33" i="4"/>
  <c r="L10" i="2" s="1"/>
  <c r="U33" i="4"/>
  <c r="K10" i="2" s="1"/>
  <c r="G32" i="4"/>
  <c r="F32" i="4"/>
  <c r="W30" i="4"/>
  <c r="AE30" i="4" s="1"/>
  <c r="AK29" i="4"/>
  <c r="AC29" i="4"/>
  <c r="L9" i="2" s="1"/>
  <c r="U29" i="4"/>
  <c r="K9" i="2" s="1"/>
  <c r="G28" i="4"/>
  <c r="F28" i="4"/>
  <c r="W26" i="4"/>
  <c r="AE26" i="4" s="1"/>
  <c r="AK25" i="4"/>
  <c r="M8" i="2" s="1"/>
  <c r="AC25" i="4"/>
  <c r="L8" i="2" s="1"/>
  <c r="U25" i="4"/>
  <c r="K8" i="2" s="1"/>
  <c r="G24" i="4"/>
  <c r="F24" i="4"/>
  <c r="W22" i="4"/>
  <c r="AE22" i="4" s="1"/>
  <c r="AK21" i="4"/>
  <c r="M7" i="2" s="1"/>
  <c r="AC21" i="4"/>
  <c r="L7" i="2" s="1"/>
  <c r="U21" i="4"/>
  <c r="K7" i="2" s="1"/>
  <c r="G20" i="4"/>
  <c r="F20" i="4"/>
  <c r="W18" i="4"/>
  <c r="AE18" i="4" s="1"/>
  <c r="AK17" i="4"/>
  <c r="M6" i="2" s="1"/>
  <c r="AC17" i="4"/>
  <c r="L6" i="2" s="1"/>
  <c r="U17" i="4"/>
  <c r="K6" i="2" s="1"/>
  <c r="G16" i="4"/>
  <c r="F16" i="4"/>
  <c r="W14" i="4"/>
  <c r="AE14" i="4" s="1"/>
  <c r="AK13" i="4"/>
  <c r="M5" i="2" s="1"/>
  <c r="AC13" i="4"/>
  <c r="L5" i="2" s="1"/>
  <c r="U13" i="4"/>
  <c r="K5" i="2" s="1"/>
  <c r="G12" i="4"/>
  <c r="F12" i="4"/>
  <c r="AK52" i="1"/>
  <c r="F15" i="2" s="1"/>
  <c r="AK48" i="1"/>
  <c r="F14" i="2" s="1"/>
  <c r="AK44" i="1"/>
  <c r="F13" i="2" s="1"/>
  <c r="AK40" i="1"/>
  <c r="F12" i="2" s="1"/>
  <c r="AK36" i="1"/>
  <c r="F11" i="2" s="1"/>
  <c r="AK32" i="1"/>
  <c r="F10" i="2" s="1"/>
  <c r="AK28" i="1"/>
  <c r="M9" i="2" s="1"/>
  <c r="AK24" i="1"/>
  <c r="F8" i="2" s="1"/>
  <c r="AK20" i="1"/>
  <c r="F7" i="2" s="1"/>
  <c r="AK16" i="1"/>
  <c r="F6" i="2" s="1"/>
  <c r="AK12" i="1"/>
  <c r="F5" i="2" s="1"/>
  <c r="W13" i="1"/>
  <c r="AE13" i="1" s="1"/>
  <c r="W17" i="1"/>
  <c r="AE17" i="1" s="1"/>
  <c r="W21" i="1"/>
  <c r="AE21" i="1" s="1"/>
  <c r="W25" i="1"/>
  <c r="AE25" i="1" s="1"/>
  <c r="W29" i="1"/>
  <c r="AE29" i="1" s="1"/>
  <c r="W33" i="1"/>
  <c r="AE33" i="1" s="1"/>
  <c r="W37" i="1"/>
  <c r="AE37" i="1" s="1"/>
  <c r="W41" i="1"/>
  <c r="AE41" i="1" s="1"/>
  <c r="W45" i="1"/>
  <c r="AE45" i="1" s="1"/>
  <c r="W49" i="1"/>
  <c r="AE49" i="1" s="1"/>
  <c r="AC52" i="1"/>
  <c r="E15" i="2" s="1"/>
  <c r="AC48" i="1"/>
  <c r="E14" i="2" s="1"/>
  <c r="AC44" i="1"/>
  <c r="E13" i="2" s="1"/>
  <c r="AC40" i="1"/>
  <c r="E12" i="2" s="1"/>
  <c r="AC36" i="1"/>
  <c r="E11" i="2" s="1"/>
  <c r="AC32" i="1"/>
  <c r="E10" i="2" s="1"/>
  <c r="AC28" i="1"/>
  <c r="E9" i="2" s="1"/>
  <c r="AC24" i="1"/>
  <c r="E8" i="2" s="1"/>
  <c r="AC20" i="1"/>
  <c r="E7" i="2" s="1"/>
  <c r="AC16" i="1"/>
  <c r="E6" i="2" s="1"/>
  <c r="AC12" i="1"/>
  <c r="E5" i="2" s="1"/>
  <c r="U48" i="1"/>
  <c r="D14" i="2" s="1"/>
  <c r="U44" i="1"/>
  <c r="D13" i="2" s="1"/>
  <c r="U40" i="1"/>
  <c r="D12" i="2" s="1"/>
  <c r="U36" i="1"/>
  <c r="D11" i="2" s="1"/>
  <c r="U32" i="1"/>
  <c r="D10" i="2" s="1"/>
  <c r="U28" i="1"/>
  <c r="D9" i="2" s="1"/>
  <c r="U24" i="1"/>
  <c r="D8" i="2" s="1"/>
  <c r="U20" i="1"/>
  <c r="D7" i="2" s="1"/>
  <c r="U16" i="1"/>
  <c r="D6" i="2" s="1"/>
  <c r="U12" i="1"/>
  <c r="D5" i="2" s="1"/>
  <c r="U52" i="1"/>
  <c r="D15" i="2" s="1"/>
  <c r="H43" i="25" l="1"/>
  <c r="B70" i="2" s="1"/>
  <c r="C70" i="2" s="1"/>
  <c r="H11" i="21"/>
  <c r="B81" i="2" s="1"/>
  <c r="C81" i="2" s="1"/>
  <c r="H19" i="10"/>
  <c r="I119" i="2" s="1"/>
  <c r="J119" i="2" s="1"/>
  <c r="H35" i="10"/>
  <c r="I123" i="2" s="1"/>
  <c r="J123" i="2" s="1"/>
  <c r="H51" i="10"/>
  <c r="I127" i="2" s="1"/>
  <c r="J127" i="2" s="1"/>
  <c r="H11" i="14"/>
  <c r="W99" i="2" s="1"/>
  <c r="X99" i="2" s="1"/>
  <c r="H43" i="30"/>
  <c r="W32" i="2" s="1"/>
  <c r="X32" i="2" s="1"/>
  <c r="H24" i="4"/>
  <c r="I8" i="2" s="1"/>
  <c r="J8" i="2" s="1"/>
  <c r="H55" i="9"/>
  <c r="H51" i="23"/>
  <c r="P72" i="2" s="1"/>
  <c r="Q72" i="2" s="1"/>
  <c r="H23" i="25"/>
  <c r="B65" i="2" s="1"/>
  <c r="C65" i="2" s="1"/>
  <c r="H39" i="25"/>
  <c r="B69" i="2" s="1"/>
  <c r="C69" i="2" s="1"/>
  <c r="H23" i="10"/>
  <c r="I120" i="2" s="1"/>
  <c r="J120" i="2" s="1"/>
  <c r="H39" i="10"/>
  <c r="I124" i="2" s="1"/>
  <c r="J124" i="2" s="1"/>
  <c r="H27" i="28"/>
  <c r="I47" i="2" s="1"/>
  <c r="J47" i="2" s="1"/>
  <c r="F74" i="2"/>
  <c r="H27" i="14"/>
  <c r="W103" i="2" s="1"/>
  <c r="X103" i="2" s="1"/>
  <c r="H43" i="14"/>
  <c r="W107" i="2" s="1"/>
  <c r="X107" i="2" s="1"/>
  <c r="H23" i="28"/>
  <c r="I46" i="2" s="1"/>
  <c r="J46" i="2" s="1"/>
  <c r="H39" i="28"/>
  <c r="I50" i="2" s="1"/>
  <c r="J50" i="2" s="1"/>
  <c r="H11" i="7"/>
  <c r="B135" i="2" s="1"/>
  <c r="C135" i="2" s="1"/>
  <c r="H43" i="7"/>
  <c r="B143" i="2" s="1"/>
  <c r="C143" i="2" s="1"/>
  <c r="H47" i="18"/>
  <c r="W90" i="2" s="1"/>
  <c r="X90" i="2" s="1"/>
  <c r="I33" i="2"/>
  <c r="J33" i="2" s="1"/>
  <c r="H27" i="5"/>
  <c r="I139" i="2" s="1"/>
  <c r="J139" i="2" s="1"/>
  <c r="H35" i="5"/>
  <c r="I141" i="2" s="1"/>
  <c r="J141" i="2" s="1"/>
  <c r="H43" i="5"/>
  <c r="I143" i="2" s="1"/>
  <c r="J143" i="2" s="1"/>
  <c r="H27" i="7"/>
  <c r="B139" i="2" s="1"/>
  <c r="C139" i="2" s="1"/>
  <c r="H51" i="7"/>
  <c r="B145" i="2" s="1"/>
  <c r="C145" i="2" s="1"/>
  <c r="H19" i="9"/>
  <c r="W7" i="2" s="1"/>
  <c r="X7" i="2" s="1"/>
  <c r="H23" i="9"/>
  <c r="W8" i="2" s="1"/>
  <c r="X8" i="2" s="1"/>
  <c r="H27" i="9"/>
  <c r="W9" i="2" s="1"/>
  <c r="X9" i="2" s="1"/>
  <c r="H51" i="9"/>
  <c r="W15" i="2" s="1"/>
  <c r="X15" i="2" s="1"/>
  <c r="H15" i="10"/>
  <c r="I118" i="2" s="1"/>
  <c r="J118" i="2" s="1"/>
  <c r="H31" i="10"/>
  <c r="I122" i="2" s="1"/>
  <c r="J122" i="2" s="1"/>
  <c r="H47" i="10"/>
  <c r="I126" i="2" s="1"/>
  <c r="J126" i="2" s="1"/>
  <c r="H31" i="11"/>
  <c r="B29" i="2" s="1"/>
  <c r="C29" i="2" s="1"/>
  <c r="H43" i="11"/>
  <c r="B32" i="2" s="1"/>
  <c r="C32" i="2" s="1"/>
  <c r="H47" i="11"/>
  <c r="B33" i="2" s="1"/>
  <c r="C33" i="2" s="1"/>
  <c r="H51" i="11"/>
  <c r="B34" i="2" s="1"/>
  <c r="C34" i="2" s="1"/>
  <c r="H16" i="13"/>
  <c r="P6" i="2" s="1"/>
  <c r="Q6" i="2" s="1"/>
  <c r="H20" i="13"/>
  <c r="P7" i="2" s="1"/>
  <c r="Q7" i="2" s="1"/>
  <c r="H24" i="13"/>
  <c r="P8" i="2" s="1"/>
  <c r="Q8" i="2" s="1"/>
  <c r="H32" i="13"/>
  <c r="P10" i="2" s="1"/>
  <c r="Q10" i="2" s="1"/>
  <c r="H36" i="13"/>
  <c r="P12" i="2" s="1"/>
  <c r="Q12" i="2" s="1"/>
  <c r="H40" i="13"/>
  <c r="P13" i="2" s="1"/>
  <c r="Q13" i="2" s="1"/>
  <c r="H48" i="13"/>
  <c r="P15" i="2" s="1"/>
  <c r="Q15" i="2" s="1"/>
  <c r="H52" i="13"/>
  <c r="H51" i="15"/>
  <c r="P109" i="2" s="1"/>
  <c r="Q109" i="2" s="1"/>
  <c r="H35" i="17"/>
  <c r="B105" i="2" s="1"/>
  <c r="C105" i="2" s="1"/>
  <c r="H15" i="18"/>
  <c r="W82" i="2" s="1"/>
  <c r="X82" i="2" s="1"/>
  <c r="H43"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1" i="27"/>
  <c r="P48" i="2" s="1"/>
  <c r="Q48" i="2" s="1"/>
  <c r="H51" i="27"/>
  <c r="P53" i="2" s="1"/>
  <c r="Q53" i="2" s="1"/>
  <c r="H35" i="31"/>
  <c r="P30" i="2" s="1"/>
  <c r="Q30" i="2" s="1"/>
  <c r="H15" i="32"/>
  <c r="I25" i="2" s="1"/>
  <c r="J25" i="2" s="1"/>
  <c r="S17" i="2"/>
  <c r="H16" i="4"/>
  <c r="I6" i="2" s="1"/>
  <c r="J6" i="2" s="1"/>
  <c r="H36" i="4"/>
  <c r="I11" i="2" s="1"/>
  <c r="J11" i="2" s="1"/>
  <c r="H20" i="4"/>
  <c r="I7" i="2" s="1"/>
  <c r="J7" i="2" s="1"/>
  <c r="H32" i="4"/>
  <c r="I10" i="2" s="1"/>
  <c r="J10" i="2" s="1"/>
  <c r="H52" i="4"/>
  <c r="I15" i="2" s="1"/>
  <c r="J15" i="2" s="1"/>
  <c r="H48" i="4"/>
  <c r="I14" i="2" s="1"/>
  <c r="J14" i="2" s="1"/>
  <c r="H11" i="9"/>
  <c r="W5" i="2" s="1"/>
  <c r="X5" i="2" s="1"/>
  <c r="R17" i="2"/>
  <c r="J6" i="3"/>
  <c r="AA82" i="2"/>
  <c r="Z82" i="2"/>
  <c r="T129" i="2"/>
  <c r="L6" i="3"/>
  <c r="E6" i="3"/>
  <c r="H28" i="13"/>
  <c r="P9" i="2" s="1"/>
  <c r="Q9" i="2" s="1"/>
  <c r="H44" i="13"/>
  <c r="P14" i="2" s="1"/>
  <c r="Q14" i="2" s="1"/>
  <c r="S89" i="2"/>
  <c r="T89" i="2"/>
  <c r="K111" i="2"/>
  <c r="AA86" i="2"/>
  <c r="Z86" i="2"/>
  <c r="M6" i="3"/>
  <c r="D6" i="3"/>
  <c r="F6" i="3"/>
  <c r="T83" i="2"/>
  <c r="S83" i="2"/>
  <c r="G6" i="3"/>
  <c r="H12" i="4"/>
  <c r="I5" i="2" s="1"/>
  <c r="J5" i="2" s="1"/>
  <c r="H44" i="4"/>
  <c r="I13" i="2" s="1"/>
  <c r="J13" i="2" s="1"/>
  <c r="H19" i="7"/>
  <c r="B137" i="2" s="1"/>
  <c r="C137" i="2" s="1"/>
  <c r="AA90" i="2"/>
  <c r="Z90" i="2"/>
  <c r="K147" i="2"/>
  <c r="H6" i="3"/>
  <c r="H40" i="4"/>
  <c r="I12" i="2" s="1"/>
  <c r="J12" i="2" s="1"/>
  <c r="H15" i="9"/>
  <c r="W6" i="2" s="1"/>
  <c r="X6" i="2" s="1"/>
  <c r="F55" i="2"/>
  <c r="AA88" i="2"/>
  <c r="Z88" i="2"/>
  <c r="S81" i="2"/>
  <c r="T81" i="2"/>
  <c r="T17" i="2"/>
  <c r="T91" i="2"/>
  <c r="S91" i="2"/>
  <c r="C6" i="3"/>
  <c r="K6" i="3"/>
  <c r="H28" i="4"/>
  <c r="I9" i="2" s="1"/>
  <c r="J9" i="2" s="1"/>
  <c r="S85" i="2"/>
  <c r="T85" i="2"/>
  <c r="E74" i="2"/>
  <c r="Z84" i="2"/>
  <c r="AA84" i="2"/>
  <c r="E93" i="2"/>
  <c r="H47" i="22"/>
  <c r="W71" i="2" s="1"/>
  <c r="X71" i="2" s="1"/>
  <c r="H35" i="23"/>
  <c r="P68" i="2" s="1"/>
  <c r="Q68" i="2" s="1"/>
  <c r="H39" i="27"/>
  <c r="P50" i="2" s="1"/>
  <c r="Q50" i="2" s="1"/>
  <c r="H15" i="28"/>
  <c r="I44" i="2" s="1"/>
  <c r="J44" i="2" s="1"/>
  <c r="H31" i="28"/>
  <c r="I48" i="2" s="1"/>
  <c r="J48" i="2" s="1"/>
  <c r="H35"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E8" i="3" s="1"/>
  <c r="AA83" i="2"/>
  <c r="E10" i="3" s="1"/>
  <c r="H39" i="18"/>
  <c r="W88" i="2" s="1"/>
  <c r="X88" i="2" s="1"/>
  <c r="Z91" i="2"/>
  <c r="AA91" i="2"/>
  <c r="H19" i="19"/>
  <c r="P83" i="2" s="1"/>
  <c r="Q83" i="2" s="1"/>
  <c r="T86" i="2"/>
  <c r="H10" i="3" s="1"/>
  <c r="S86" i="2"/>
  <c r="H51" i="19"/>
  <c r="P91" i="2" s="1"/>
  <c r="Q91" i="2" s="1"/>
  <c r="L81" i="2"/>
  <c r="M81" i="2"/>
  <c r="C10" i="3" s="1"/>
  <c r="H23" i="20"/>
  <c r="I84" i="2" s="1"/>
  <c r="J84" i="2" s="1"/>
  <c r="L85" i="2"/>
  <c r="M85" i="2"/>
  <c r="H39" i="20"/>
  <c r="I88" i="2" s="1"/>
  <c r="J88" i="2" s="1"/>
  <c r="M89" i="2"/>
  <c r="L89" i="2"/>
  <c r="H35" i="21"/>
  <c r="B87" i="2" s="1"/>
  <c r="C87" i="2" s="1"/>
  <c r="H47" i="23"/>
  <c r="P71" i="2" s="1"/>
  <c r="Q71" i="2" s="1"/>
  <c r="H19" i="25"/>
  <c r="B64" i="2" s="1"/>
  <c r="C64" i="2" s="1"/>
  <c r="H35" i="25"/>
  <c r="B68" i="2" s="1"/>
  <c r="C68" i="2" s="1"/>
  <c r="H51" i="25"/>
  <c r="B72" i="2" s="1"/>
  <c r="C72" i="2" s="1"/>
  <c r="H35" i="27"/>
  <c r="P49" i="2" s="1"/>
  <c r="Q49" i="2" s="1"/>
  <c r="H27" i="31"/>
  <c r="P28" i="2" s="1"/>
  <c r="Q28" i="2" s="1"/>
  <c r="I31" i="2"/>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1" i="18"/>
  <c r="W86" i="2" s="1"/>
  <c r="X86" i="2" s="1"/>
  <c r="AA89" i="2"/>
  <c r="Z89" i="2"/>
  <c r="H11" i="19"/>
  <c r="P81" i="2" s="1"/>
  <c r="Q81" i="2" s="1"/>
  <c r="S84" i="2"/>
  <c r="T84" i="2"/>
  <c r="H43" i="19"/>
  <c r="P89" i="2" s="1"/>
  <c r="Q89" i="2" s="1"/>
  <c r="H19" i="20"/>
  <c r="I83" i="2" s="1"/>
  <c r="J83" i="2" s="1"/>
  <c r="H35" i="20"/>
  <c r="I87" i="2" s="1"/>
  <c r="J87" i="2" s="1"/>
  <c r="H51" i="20"/>
  <c r="I91" i="2" s="1"/>
  <c r="J91" i="2" s="1"/>
  <c r="H27" i="21"/>
  <c r="B85" i="2" s="1"/>
  <c r="C85" i="2" s="1"/>
  <c r="H43" i="23"/>
  <c r="P70" i="2" s="1"/>
  <c r="Q70" i="2" s="1"/>
  <c r="H15" i="25"/>
  <c r="B63" i="2" s="1"/>
  <c r="C63" i="2" s="1"/>
  <c r="H31" i="25"/>
  <c r="B67" i="2" s="1"/>
  <c r="C67" i="2" s="1"/>
  <c r="H47" i="25"/>
  <c r="B71" i="2" s="1"/>
  <c r="C71" i="2" s="1"/>
  <c r="H27" i="27"/>
  <c r="P47" i="2" s="1"/>
  <c r="Q47" i="2" s="1"/>
  <c r="H19" i="31"/>
  <c r="P26" i="2" s="1"/>
  <c r="Q26" i="2" s="1"/>
  <c r="H51" i="31"/>
  <c r="P34" i="2" s="1"/>
  <c r="Q34" i="2" s="1"/>
  <c r="H31"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3" i="18"/>
  <c r="W84" i="2" s="1"/>
  <c r="X84" i="2" s="1"/>
  <c r="AA87" i="2"/>
  <c r="Z87" i="2"/>
  <c r="T82" i="2"/>
  <c r="S82" i="2"/>
  <c r="D8" i="3" s="1"/>
  <c r="H35" i="19"/>
  <c r="P87" i="2" s="1"/>
  <c r="Q87" i="2" s="1"/>
  <c r="T90" i="2"/>
  <c r="S90" i="2"/>
  <c r="L8" i="3" s="1"/>
  <c r="H15" i="20"/>
  <c r="I82" i="2" s="1"/>
  <c r="J82" i="2" s="1"/>
  <c r="H31" i="20"/>
  <c r="I86" i="2" s="1"/>
  <c r="J86" i="2" s="1"/>
  <c r="M87" i="2"/>
  <c r="L87" i="2"/>
  <c r="H47" i="20"/>
  <c r="I90" i="2" s="1"/>
  <c r="J90" i="2" s="1"/>
  <c r="M91" i="2"/>
  <c r="L91" i="2"/>
  <c r="H19" i="21"/>
  <c r="B83" i="2" s="1"/>
  <c r="C83" i="2" s="1"/>
  <c r="H51" i="21"/>
  <c r="B91" i="2" s="1"/>
  <c r="C91" i="2" s="1"/>
  <c r="H39" i="23"/>
  <c r="P69" i="2" s="1"/>
  <c r="Q69" i="2" s="1"/>
  <c r="H11" i="31"/>
  <c r="P24" i="2" s="1"/>
  <c r="Q24" i="2" s="1"/>
  <c r="H43" i="31"/>
  <c r="P32" i="2" s="1"/>
  <c r="Q32" i="2" s="1"/>
  <c r="H23" i="32"/>
  <c r="I27" i="2" s="1"/>
  <c r="J27" i="2" s="1"/>
  <c r="H19" i="28"/>
  <c r="I45" i="2" s="1"/>
  <c r="J45" i="2" s="1"/>
  <c r="H35" i="28"/>
  <c r="I49" i="2" s="1"/>
  <c r="J49" i="2" s="1"/>
  <c r="H39"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S87" i="2"/>
  <c r="H11"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P101" i="2"/>
  <c r="Q101" i="2" s="1"/>
  <c r="H23" i="15"/>
  <c r="P102" i="2" s="1"/>
  <c r="Q102" i="2" s="1"/>
  <c r="P103" i="2"/>
  <c r="Q103"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1" i="18"/>
  <c r="W91" i="2" s="1"/>
  <c r="X91" i="2" s="1"/>
  <c r="H43" i="18"/>
  <c r="W89" i="2" s="1"/>
  <c r="X89" i="2" s="1"/>
  <c r="H35" i="18"/>
  <c r="W87" i="2" s="1"/>
  <c r="X87" i="2" s="1"/>
  <c r="H27"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5" i="21"/>
  <c r="B82" i="2" s="1"/>
  <c r="C82" i="2" s="1"/>
  <c r="H23" i="21"/>
  <c r="B84" i="2" s="1"/>
  <c r="C84" i="2" s="1"/>
  <c r="H31" i="21"/>
  <c r="B86" i="2" s="1"/>
  <c r="C86" i="2" s="1"/>
  <c r="H39" i="21"/>
  <c r="B88" i="2" s="1"/>
  <c r="C88" i="2" s="1"/>
  <c r="H47"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1" i="26"/>
  <c r="W53" i="2" s="1"/>
  <c r="X53" i="2" s="1"/>
  <c r="H47" i="26"/>
  <c r="W52" i="2" s="1"/>
  <c r="X52" i="2" s="1"/>
  <c r="H43" i="26"/>
  <c r="W51" i="2" s="1"/>
  <c r="X51" i="2" s="1"/>
  <c r="H39" i="26"/>
  <c r="W50" i="2" s="1"/>
  <c r="X50" i="2" s="1"/>
  <c r="H35" i="26"/>
  <c r="W49" i="2" s="1"/>
  <c r="X49" i="2" s="1"/>
  <c r="H31" i="26"/>
  <c r="W48" i="2" s="1"/>
  <c r="X48" i="2" s="1"/>
  <c r="H27" i="26"/>
  <c r="W47" i="2" s="1"/>
  <c r="X47" i="2" s="1"/>
  <c r="H23" i="26"/>
  <c r="W46" i="2" s="1"/>
  <c r="X46" i="2" s="1"/>
  <c r="H19" i="26"/>
  <c r="W45" i="2" s="1"/>
  <c r="X45" i="2" s="1"/>
  <c r="H15" i="26"/>
  <c r="W44" i="2" s="1"/>
  <c r="X44" i="2" s="1"/>
  <c r="H11" i="26"/>
  <c r="W43" i="2" s="1"/>
  <c r="X43" i="2" s="1"/>
  <c r="H47" i="27"/>
  <c r="P52" i="2" s="1"/>
  <c r="Q52" i="2" s="1"/>
  <c r="H43" i="27"/>
  <c r="P51" i="2" s="1"/>
  <c r="Q51" i="2" s="1"/>
  <c r="H15" i="27"/>
  <c r="P44" i="2" s="1"/>
  <c r="Q44" i="2" s="1"/>
  <c r="H11" i="27"/>
  <c r="P43" i="2" s="1"/>
  <c r="Q43" i="2" s="1"/>
  <c r="H43" i="28"/>
  <c r="I51" i="2" s="1"/>
  <c r="J51" i="2" s="1"/>
  <c r="H47" i="28"/>
  <c r="I52" i="2" s="1"/>
  <c r="J52" i="2" s="1"/>
  <c r="H51"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1" i="30"/>
  <c r="W24" i="2" s="1"/>
  <c r="X24" i="2" s="1"/>
  <c r="H15" i="30"/>
  <c r="W25" i="2" s="1"/>
  <c r="X25" i="2" s="1"/>
  <c r="H19" i="30"/>
  <c r="W26" i="2" s="1"/>
  <c r="X26" i="2" s="1"/>
  <c r="H23" i="30"/>
  <c r="W27" i="2" s="1"/>
  <c r="X27" i="2" s="1"/>
  <c r="H27" i="30"/>
  <c r="W28" i="2" s="1"/>
  <c r="X28" i="2" s="1"/>
  <c r="H47" i="30"/>
  <c r="W33" i="2" s="1"/>
  <c r="X33" i="2" s="1"/>
  <c r="H51" i="30"/>
  <c r="W34" i="2" s="1"/>
  <c r="X34" i="2" s="1"/>
  <c r="H47" i="31"/>
  <c r="P33" i="2" s="1"/>
  <c r="Q33" i="2" s="1"/>
  <c r="H39" i="31"/>
  <c r="P31" i="2" s="1"/>
  <c r="Q31" i="2" s="1"/>
  <c r="H31" i="31"/>
  <c r="P29" i="2" s="1"/>
  <c r="Q29" i="2" s="1"/>
  <c r="H23" i="31"/>
  <c r="P27" i="2" s="1"/>
  <c r="Q27" i="2" s="1"/>
  <c r="H15" i="31"/>
  <c r="P25" i="2" s="1"/>
  <c r="Q25" i="2" s="1"/>
  <c r="I34" i="2"/>
  <c r="J34" i="2" s="1"/>
  <c r="I32" i="2"/>
  <c r="J32" i="2" s="1"/>
  <c r="H35" i="32"/>
  <c r="I30" i="2" s="1"/>
  <c r="J30" i="2" s="1"/>
  <c r="H27" i="32"/>
  <c r="I28" i="2" s="1"/>
  <c r="J28" i="2" s="1"/>
  <c r="H19" i="32"/>
  <c r="I26" i="2" s="1"/>
  <c r="J26" i="2" s="1"/>
  <c r="H11" i="32"/>
  <c r="I24" i="2" s="1"/>
  <c r="J24" i="2" s="1"/>
  <c r="H39" i="11"/>
  <c r="B31" i="2" s="1"/>
  <c r="C31" i="2" s="1"/>
  <c r="H35" i="11"/>
  <c r="B30" i="2" s="1"/>
  <c r="C30" i="2" s="1"/>
  <c r="H27" i="11"/>
  <c r="B28" i="2" s="1"/>
  <c r="C28" i="2" s="1"/>
  <c r="H23" i="11"/>
  <c r="B27" i="2" s="1"/>
  <c r="C27" i="2" s="1"/>
  <c r="H19" i="11"/>
  <c r="B26" i="2" s="1"/>
  <c r="C26" i="2" s="1"/>
  <c r="H15" i="11"/>
  <c r="B25" i="2" s="1"/>
  <c r="C25" i="2" s="1"/>
  <c r="H47" i="9"/>
  <c r="W14" i="2" s="1"/>
  <c r="X14" i="2" s="1"/>
  <c r="H43" i="9"/>
  <c r="W13" i="2" s="1"/>
  <c r="X13" i="2" s="1"/>
  <c r="H39" i="9"/>
  <c r="W12" i="2" s="1"/>
  <c r="X12" i="2" s="1"/>
  <c r="H35" i="9"/>
  <c r="W11" i="2" s="1"/>
  <c r="X11" i="2" s="1"/>
  <c r="H31" i="9"/>
  <c r="W10" i="2" s="1"/>
  <c r="X10" i="2" s="1"/>
  <c r="P11" i="2"/>
  <c r="Q11" i="2" s="1"/>
  <c r="L15" i="2"/>
  <c r="L17" i="2" s="1"/>
  <c r="H8" i="3"/>
  <c r="I6" i="3"/>
  <c r="J8" i="3"/>
  <c r="F9" i="2"/>
  <c r="I10" i="3"/>
  <c r="H12" i="13"/>
  <c r="M15" i="2"/>
  <c r="Y93" i="2"/>
  <c r="R93" i="2"/>
  <c r="K93" i="2"/>
  <c r="D93" i="2"/>
  <c r="D74" i="2"/>
  <c r="F111" i="2"/>
  <c r="E111" i="2"/>
  <c r="D111" i="2"/>
  <c r="AA111" i="2"/>
  <c r="Z111" i="2"/>
  <c r="Y111" i="2"/>
  <c r="W111" i="2"/>
  <c r="W112" i="2" s="1"/>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W74" i="2"/>
  <c r="W75" i="2" s="1"/>
  <c r="AA55" i="2"/>
  <c r="Z55" i="2"/>
  <c r="Y55" i="2"/>
  <c r="T55" i="2"/>
  <c r="S55" i="2"/>
  <c r="R55" i="2"/>
  <c r="M55" i="2"/>
  <c r="L55" i="2"/>
  <c r="K55" i="2"/>
  <c r="T36" i="2"/>
  <c r="S36" i="2"/>
  <c r="R36" i="2"/>
  <c r="E55" i="2"/>
  <c r="D55" i="2"/>
  <c r="L36" i="2"/>
  <c r="K36" i="2"/>
  <c r="M36" i="2"/>
  <c r="E36" i="2"/>
  <c r="D36" i="2"/>
  <c r="F36" i="2"/>
  <c r="AA36" i="2"/>
  <c r="Z36" i="2"/>
  <c r="Y36" i="2"/>
  <c r="AA17" i="2"/>
  <c r="Z17" i="2"/>
  <c r="Y17" i="2"/>
  <c r="K17" i="2"/>
  <c r="E17" i="2"/>
  <c r="D17" i="2"/>
  <c r="G51" i="1"/>
  <c r="F51" i="1"/>
  <c r="G47" i="1"/>
  <c r="F47" i="1"/>
  <c r="G43" i="1"/>
  <c r="F43" i="1"/>
  <c r="G39" i="1"/>
  <c r="F39" i="1"/>
  <c r="G35" i="1"/>
  <c r="F35" i="1"/>
  <c r="G31" i="1"/>
  <c r="F31" i="1"/>
  <c r="G27" i="1"/>
  <c r="F27" i="1"/>
  <c r="G23" i="1"/>
  <c r="F23" i="1"/>
  <c r="G19" i="1"/>
  <c r="F19" i="1"/>
  <c r="G15" i="1"/>
  <c r="F15" i="1"/>
  <c r="H15" i="1" s="1"/>
  <c r="G11" i="1"/>
  <c r="F11" i="1"/>
  <c r="AA93" i="2" l="1"/>
  <c r="S93" i="2"/>
  <c r="K8" i="3"/>
  <c r="H11" i="1"/>
  <c r="P74" i="2"/>
  <c r="P75" i="2" s="1"/>
  <c r="F8" i="3"/>
  <c r="K10" i="3"/>
  <c r="C8" i="3"/>
  <c r="F10" i="3"/>
  <c r="H27" i="1"/>
  <c r="B9" i="2" s="1"/>
  <c r="C9" i="2" s="1"/>
  <c r="I8" i="3"/>
  <c r="T93" i="2"/>
  <c r="D10" i="3"/>
  <c r="J10" i="3"/>
  <c r="P55" i="2"/>
  <c r="P56" i="2" s="1"/>
  <c r="I129" i="2"/>
  <c r="I130" i="2" s="1"/>
  <c r="B147" i="2"/>
  <c r="B148" i="2" s="1"/>
  <c r="I93" i="2"/>
  <c r="I94" i="2" s="1"/>
  <c r="Z93" i="2"/>
  <c r="M10" i="3"/>
  <c r="G10" i="3"/>
  <c r="G8" i="3"/>
  <c r="L10" i="3"/>
  <c r="M17" i="2"/>
  <c r="M8" i="3"/>
  <c r="I17" i="2"/>
  <c r="I18" i="2" s="1"/>
  <c r="P5" i="2"/>
  <c r="Q5" i="2" s="1"/>
  <c r="I111" i="2"/>
  <c r="I112" i="2" s="1"/>
  <c r="L93" i="2"/>
  <c r="M93" i="2"/>
  <c r="F17" i="2"/>
  <c r="B74" i="2"/>
  <c r="B75" i="2" s="1"/>
  <c r="W36" i="2"/>
  <c r="W37" i="2" s="1"/>
  <c r="I147" i="2"/>
  <c r="I148" i="2" s="1"/>
  <c r="B6" i="2"/>
  <c r="C6" i="2" s="1"/>
  <c r="H31" i="1"/>
  <c r="B10" i="2" s="1"/>
  <c r="C10" i="2" s="1"/>
  <c r="B93" i="2"/>
  <c r="B94" i="2" s="1"/>
  <c r="H19" i="1"/>
  <c r="B7" i="2" s="1"/>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I36" i="2"/>
  <c r="I37" i="2" s="1"/>
  <c r="B36" i="2"/>
  <c r="B37" i="2" s="1"/>
  <c r="W17" i="2"/>
  <c r="W18" i="2" s="1"/>
  <c r="H23" i="1"/>
  <c r="B8" i="2" s="1"/>
  <c r="C8" i="2" s="1"/>
  <c r="H39" i="1"/>
  <c r="B12" i="2" s="1"/>
  <c r="C12" i="2" s="1"/>
  <c r="H47" i="1"/>
  <c r="B14" i="2" s="1"/>
  <c r="C14" i="2" s="1"/>
  <c r="H43" i="1"/>
  <c r="B13" i="2" s="1"/>
  <c r="C13" i="2" s="1"/>
  <c r="H35" i="1"/>
  <c r="B11" i="2" s="1"/>
  <c r="C11" i="2" s="1"/>
  <c r="H51" i="1"/>
  <c r="B15" i="2" s="1"/>
  <c r="C15" i="2" s="1"/>
  <c r="B5" i="2"/>
  <c r="C5" i="2" s="1"/>
  <c r="P17" i="2" l="1"/>
  <c r="P18" i="2" s="1"/>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tc={2C70DD17-2657-425D-A9EE-C45AA4F63AAA}</author>
    <author>Administrativo2</author>
    <author>tc={1A367BD7-072B-465C-8EEE-F794FB7AEC13}</author>
    <author>tc={3FC91B12-5216-42B4-B00B-94EBC87C483B}</author>
  </authors>
  <commentList>
    <comment ref="B4" authorId="0" shapeId="0" xr:uid="{2C70DD17-2657-425D-A9EE-C45AA4F63AAA}">
      <text>
        <t>[Comentário encadeado]
Sua versão do Excel permite que você leia este comentário encadeado, no entanto, as edições serão removidas se o arquivo for aberto em uma versão mais recente do Excel. Saiba mais: https://go.microsoft.com/fwlink/?linkid=870924
Comentário:
    Veículo TEL5D67 guinchado na sexta 06/03/26 por motivo de perda da placa e táxi agendado para o mesmo dia a tarde, Alire chegou no táxi até a loja do aeroporto de Pertrolina PE no sábado 07/03/26 de manhã para retirada do novo veículo.</t>
      </text>
    </comment>
    <comment ref="C84" authorId="1" shapeId="0" xr:uid="{251613DD-49DD-4913-BB46-45F3D1EBC160}">
      <text>
        <r>
          <rPr>
            <b/>
            <sz val="9"/>
            <color indexed="81"/>
            <rFont val="Segoe UI"/>
            <family val="2"/>
          </rPr>
          <t xml:space="preserve">Tcross EGK2E03: </t>
        </r>
        <r>
          <rPr>
            <sz val="9"/>
            <color indexed="81"/>
            <rFont val="Segoe UI"/>
            <family val="2"/>
          </rPr>
          <t xml:space="preserve">devolvido_substituido em 14/08/2025, motivo: a locadora entrou em contato anteriormente com a condutora Alire para solicitar a substituição
</t>
        </r>
      </text>
    </comment>
    <comment ref="D88" authorId="1" shapeId="0" xr:uid="{D560C14F-DF05-43AD-ABDD-607ADD873935}">
      <text>
        <r>
          <rPr>
            <b/>
            <sz val="9"/>
            <color indexed="81"/>
            <rFont val="Segoe UI"/>
            <family val="2"/>
          </rPr>
          <t xml:space="preserve">Substituição_Retirada Tracker TEL5D67 14/08/2025
</t>
        </r>
        <r>
          <rPr>
            <sz val="9"/>
            <color indexed="81"/>
            <rFont val="Segoe UI"/>
            <family val="2"/>
          </rPr>
          <t xml:space="preserve">
</t>
        </r>
      </text>
    </comment>
    <comment ref="B92" authorId="1" shapeId="0" xr:uid="{83A95FC2-C591-461A-AA89-22E644A393A3}">
      <text>
        <r>
          <rPr>
            <sz val="9"/>
            <color indexed="81"/>
            <rFont val="Segoe UI"/>
            <family val="2"/>
          </rPr>
          <t xml:space="preserve">Alire ficou de férias e o carro parado
</t>
        </r>
      </text>
    </comment>
    <comment ref="B112" authorId="2" shapeId="0" xr:uid="{1A367BD7-072B-465C-8EEE-F794FB7AEC1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Alire: 13/02 14.956km a 22/02/26 17.288km - Utilizado 2.332km (local da obra Umburanas BA, foi para Natal RN 13/02 a 21/02 - uso particular_folga e em 22/02 chegou em Queimada Nova PI para atender a solicitação da cliente previsão de ficar 22 a 27/02/26)
</t>
      </text>
    </comment>
    <comment ref="C116" authorId="3" shapeId="0" xr:uid="{3FC91B12-5216-42B4-B00B-94EBC87C483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TEL5D67 guinchado na sexta 06/03/26 por motivo de perda da placa e táxi agendado para o mesmo dia a tarde, Alire chegou no táxi até a loja do aeroporto de Pertrolina PE no sábado 07/03/26 de manhã para retirada do novo veículo.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tc={428125CA-2903-473E-AC73-D8A38E4DF8D0}</author>
    <author>tc={5CC125FD-1A60-4AAE-BEAC-B9B482088DFE}</author>
  </authors>
  <commentList>
    <comment ref="E4" authorId="0" shapeId="0" xr:uid="{428125CA-2903-473E-AC73-D8A38E4DF8D0}">
      <text>
        <t>[Comentário encadeado]
Sua versão do Excel permite que você leia este comentário encadeado, no entanto, as edições serão removidas se o arquivo for aberto em uma versão mais recente do Excel. Saiba mais: https://go.microsoft.com/fwlink/?linkid=870924
Comentário:
    Telemetria Localiza</t>
      </text>
    </comment>
    <comment ref="B15" authorId="1" shapeId="0" xr:uid="{5CC125FD-1A60-4AAE-BEAC-B9B482088DFE}">
      <text>
        <t>[Comentário encadeado]
Sua versão do Excel permite que você leia este comentário encadeado, no entanto, as edições serão removidas se o arquivo for aberto em uma versão mais recente do Excel. Saiba mais: https://go.microsoft.com/fwlink/?linkid=870924
Comentário:
    Retirada 05/03/2026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Administrativo2</author>
    <author>tc={7CA54DAB-C8EF-4571-B4EE-93B1079875CD}</author>
  </authors>
  <commentList>
    <comment ref="B27" authorId="0" shapeId="0" xr:uid="{2DC54612-2592-4611-B73D-6726D59CF50F}">
      <text>
        <r>
          <rPr>
            <b/>
            <sz val="9"/>
            <color indexed="81"/>
            <rFont val="Segoe UI"/>
            <family val="2"/>
          </rPr>
          <t>Administrativo2:</t>
        </r>
        <r>
          <rPr>
            <sz val="9"/>
            <color indexed="81"/>
            <rFont val="Segoe UI"/>
            <family val="2"/>
          </rPr>
          <t xml:space="preserve">
Retirada TEJ8H62 02/06/2025 - 26KM</t>
        </r>
      </text>
    </comment>
    <comment ref="L46" authorId="0" shapeId="0" xr:uid="{4C0B3E3E-3333-47CB-9E7F-D249A391B377}">
      <text>
        <r>
          <rPr>
            <b/>
            <sz val="9"/>
            <color indexed="81"/>
            <rFont val="Segoe UI"/>
            <family val="2"/>
          </rPr>
          <t xml:space="preserve">Pegar material em Barreiras a pedido do cliente </t>
        </r>
        <r>
          <rPr>
            <sz val="9"/>
            <color indexed="81"/>
            <rFont val="Segoe UI"/>
            <family val="2"/>
          </rPr>
          <t xml:space="preserve">
</t>
        </r>
      </text>
    </comment>
    <comment ref="O46" authorId="0" shapeId="0" xr:uid="{C807090E-F52E-4CCB-A79E-1DA93CCED998}">
      <text>
        <r>
          <rPr>
            <b/>
            <sz val="9"/>
            <color indexed="81"/>
            <rFont val="Segoe UI"/>
            <family val="2"/>
          </rPr>
          <t xml:space="preserve">Pegar material em Barreiras a pedido do cliente </t>
        </r>
        <r>
          <rPr>
            <sz val="9"/>
            <color indexed="81"/>
            <rFont val="Segoe UI"/>
            <family val="2"/>
          </rPr>
          <t xml:space="preserve">
</t>
        </r>
      </text>
    </comment>
    <comment ref="C63" authorId="1" shapeId="0" xr:uid="{7CA54DAB-C8EF-4571-B4EE-93B1079875CD}">
      <text>
        <t>[Comentário encadeado]
Sua versão do Excel permite que você leia este comentário encadeado, no entanto, as edições serão removidas se o arquivo for aberto em uma versão mais recente do Excel. Saiba mais: https://go.microsoft.com/fwlink/?linkid=870924
Comentário:
    Devolução 05/03/2026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tc={1C543AC8-D656-4BCA-9F4A-487354B500D6}</author>
    <author>tc={F93B6235-8234-4ABA-931F-0DA2940AF302}</author>
  </authors>
  <commentList>
    <comment ref="D39" authorId="0" shapeId="0" xr:uid="{1C543AC8-D656-4BCA-9F4A-487354B500D6}">
      <text>
        <t>[Comentário encadeado]
Sua versão do Excel permite que você leia este comentário encadeado, no entanto, as edições serão removidas se o arquivo for aberto em uma versão mais recente do Excel. Saiba mais: https://go.microsoft.com/fwlink/?linkid=870924
Comentário:
    Retirada 20/09/25</t>
      </text>
    </comment>
    <comment ref="E59" authorId="1" shapeId="0" xr:uid="{F93B6235-8234-4ABA-931F-0DA2940AF30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Devolução 28/02/26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Administrativo2</author>
    <author>tc={5EA6AFF0-E429-4071-B6B2-35BA1498773C}</author>
  </authors>
  <commentList>
    <comment ref="I3" authorId="0" shapeId="0" xr:uid="{D393AE27-818B-4C48-A103-DDB88BD2B4F5}">
      <text>
        <r>
          <rPr>
            <b/>
            <sz val="9"/>
            <color indexed="81"/>
            <rFont val="Segoe UI"/>
            <family val="2"/>
          </rPr>
          <t xml:space="preserve">Alteração de condutor 1:
</t>
        </r>
        <r>
          <rPr>
            <sz val="9"/>
            <color indexed="81"/>
            <rFont val="Segoe UI"/>
            <family val="2"/>
          </rPr>
          <t>Ate 09/04/2025 o veículo SIG2E45 era de Joseane, após foi transferido para  Marlucia.</t>
        </r>
        <r>
          <rPr>
            <b/>
            <sz val="9"/>
            <color indexed="81"/>
            <rFont val="Segoe UI"/>
            <family val="2"/>
          </rPr>
          <t xml:space="preserve">
Alteração de condutor 2:
</t>
        </r>
        <r>
          <rPr>
            <sz val="9"/>
            <color indexed="81"/>
            <rFont val="Segoe UI"/>
            <family val="2"/>
          </rPr>
          <t xml:space="preserve">09/04 a 02/09/2025 veículo ficou sendo utilizado por Marlucia e a partir do dia 02/09/2025 foi transferido para Eucilene.
</t>
        </r>
      </text>
    </comment>
    <comment ref="I4" authorId="0" shapeId="0" xr:uid="{97607648-7B78-4384-BA04-27D1B68E29C4}">
      <text>
        <r>
          <rPr>
            <sz val="9"/>
            <color indexed="81"/>
            <rFont val="Segoe UI"/>
            <family val="2"/>
          </rPr>
          <t xml:space="preserve">
</t>
        </r>
        <r>
          <rPr>
            <b/>
            <sz val="9"/>
            <color indexed="81"/>
            <rFont val="Segoe UI"/>
            <family val="2"/>
          </rPr>
          <t>Alteração de condutor 1:</t>
        </r>
        <r>
          <rPr>
            <sz val="9"/>
            <color indexed="81"/>
            <rFont val="Segoe UI"/>
            <family val="2"/>
          </rPr>
          <t xml:space="preserve">
Ate 09/04/2025 o veículo SIG2E45 era de Joseane, após foi transferido para  Marlucia.
</t>
        </r>
        <r>
          <rPr>
            <b/>
            <sz val="9"/>
            <color indexed="81"/>
            <rFont val="Segoe UI"/>
            <family val="2"/>
          </rPr>
          <t>Alteração de condutor 2:</t>
        </r>
        <r>
          <rPr>
            <sz val="9"/>
            <color indexed="81"/>
            <rFont val="Segoe UI"/>
            <family val="2"/>
          </rPr>
          <t xml:space="preserve">
09/04 a 02/09/2025 veículo ficou sendo utilizado por Marlucia e a partir do dia 02/09/2025 foi transferido para Eucilene.
</t>
        </r>
      </text>
    </comment>
    <comment ref="C72" authorId="0" shapeId="0" xr:uid="{3D28DCBC-947A-4FF6-B6BB-821B1BF70462}">
      <text>
        <r>
          <rPr>
            <b/>
            <sz val="9"/>
            <color indexed="81"/>
            <rFont val="Segoe UI"/>
            <family val="2"/>
          </rPr>
          <t>Administrativo2:</t>
        </r>
        <r>
          <rPr>
            <sz val="9"/>
            <color indexed="81"/>
            <rFont val="Segoe UI"/>
            <family val="2"/>
          </rPr>
          <t xml:space="preserve">
Viagem particular do dia 03/05 a 11/05/2025 - KM de ida 56.868 - KM  de volta 58.038 - Total utilizado 1.170km</t>
        </r>
      </text>
    </comment>
    <comment ref="D80" authorId="0" shapeId="0" xr:uid="{ECF3CA16-69FA-4106-ADFA-80A46D2AD4A8}">
      <text>
        <r>
          <rPr>
            <b/>
            <sz val="9"/>
            <color indexed="81"/>
            <rFont val="Segoe UI"/>
            <family val="2"/>
          </rPr>
          <t>Uso particular 18/07 a 03/08/2025 - Marlucia - Utilizado 1.549km</t>
        </r>
        <r>
          <rPr>
            <sz val="9"/>
            <color indexed="81"/>
            <rFont val="Segoe UI"/>
            <family val="2"/>
          </rPr>
          <t xml:space="preserve">
</t>
        </r>
      </text>
    </comment>
    <comment ref="D84" authorId="0" shapeId="0" xr:uid="{7DD1A965-05A8-4971-840A-A70D67C38D91}">
      <text>
        <r>
          <rPr>
            <b/>
            <sz val="9"/>
            <color indexed="81"/>
            <rFont val="Segoe UI"/>
            <family val="2"/>
          </rPr>
          <t>Marlucia: 24.08 62815km a 25.08.2025 63244km - Utilizado 429km</t>
        </r>
        <r>
          <rPr>
            <sz val="9"/>
            <color indexed="81"/>
            <rFont val="Segoe UI"/>
            <family val="2"/>
          </rPr>
          <t xml:space="preserve"> (aproveitando a viagem particular para Petrolina PE, agendamos a troca do para-brisas, serviço realizado em 25/08/2025, se não fosse por este motivo a Marlucia iria viajar e voltar no mesmo dia. 
</t>
        </r>
      </text>
    </comment>
    <comment ref="B88" authorId="0" shapeId="0" xr:uid="{1CEBF0CB-88C0-4C08-9E05-B7D410467BD2}">
      <text>
        <r>
          <rPr>
            <sz val="9"/>
            <color indexed="81"/>
            <rFont val="Segoe UI"/>
            <family val="2"/>
          </rPr>
          <t xml:space="preserve">Eucilene: 05/09 63.771km a 07/09/25 64.171km - Utilizado 400km
viagem a Petrolina para resolver avarias do automóvel, mas antes já tinha sido autorizado em conversa (ligação) entre Jaquele e Eucilene a autorização para ela fazer uso pessoal do veículo para buscar coisas que faltaram na mudança de Petrolina para Queimada Nova, utilizado 400km. 
</t>
        </r>
      </text>
    </comment>
    <comment ref="E88" authorId="1" shapeId="0" xr:uid="{5EA6AFF0-E429-4071-B6B2-35BA1498773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Devolução 20/09/25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E87" authorId="0" shapeId="0" xr:uid="{D595ECA3-BB57-4495-93D6-535BB95332ED}">
      <text>
        <r>
          <rPr>
            <b/>
            <sz val="9"/>
            <color indexed="81"/>
            <rFont val="Segoe UI"/>
            <family val="2"/>
          </rPr>
          <t>Veículo devolvido em 24/09/2025</t>
        </r>
        <r>
          <rPr>
            <sz val="9"/>
            <color indexed="81"/>
            <rFont val="Segoe UI"/>
            <family val="2"/>
          </rPr>
          <t xml:space="preserve">
</t>
        </r>
      </text>
    </comment>
  </commentList>
</comments>
</file>

<file path=xl/sharedStrings.xml><?xml version="1.0" encoding="utf-8"?>
<sst xmlns="http://schemas.openxmlformats.org/spreadsheetml/2006/main" count="8324" uniqueCount="112">
  <si>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</si>
  <si>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</si>
  <si>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</si>
  <si>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</si>
  <si>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</si>
  <si>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</si>
  <si>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</si>
  <si>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</si>
  <si>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</si>
  <si>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</si>
  <si>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</si>
  <si>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</si>
  <si>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</si>
  <si>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</si>
  <si>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</si>
  <si>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</si>
  <si>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</si>
  <si>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</si>
  <si>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</si>
  <si>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</si>
  <si>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</si>
  <si>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</si>
  <si>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</si>
  <si>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</si>
  <si>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</si>
  <si>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</si>
  <si>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</si>
  <si>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</si>
  <si>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</si>
  <si>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</si>
  <si>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</si>
  <si>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</si>
  <si>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</si>
  <si>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</si>
  <si>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</si>
  <si>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</si>
  <si>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</si>
  <si>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</si>
  <si>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</si>
  <si>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</si>
  <si>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</si>
  <si>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</si>
  <si>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</si>
  <si>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</si>
  <si>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</si>
  <si>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</si>
  <si>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</si>
  <si>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</si>
  <si>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</si>
  <si>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</si>
  <si>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</si>
  <si>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</si>
  <si>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CAR_08</t>
  </si>
  <si>
    <t>CAR_09</t>
  </si>
  <si>
    <t>CAR_10</t>
  </si>
  <si>
    <t>CAR_11</t>
  </si>
  <si>
    <t>CAR_12</t>
  </si>
  <si>
    <t>CAR_13</t>
  </si>
  <si>
    <t>CAR_14</t>
  </si>
  <si>
    <t>CAR_15</t>
  </si>
  <si>
    <t>CAR_16</t>
  </si>
  <si>
    <t>CAR_17</t>
  </si>
  <si>
    <t>CAR_18</t>
  </si>
  <si>
    <t>CAR_19</t>
  </si>
  <si>
    <t>CAR_20</t>
  </si>
  <si>
    <t>CAR_21</t>
  </si>
  <si>
    <t>CAR_22</t>
  </si>
  <si>
    <t>CAR_23</t>
  </si>
  <si>
    <t>CAR_24</t>
  </si>
  <si>
    <t>Lucro Car's</t>
  </si>
  <si>
    <t>Data mob.</t>
  </si>
  <si>
    <t>KM RODADO</t>
  </si>
  <si>
    <t>ONIX - SJE5A88  - 02/03/2024</t>
  </si>
  <si>
    <t>SUSTENTABILIDADE</t>
  </si>
  <si>
    <t>CAR_07</t>
  </si>
  <si>
    <t>CAR_06</t>
  </si>
  <si>
    <t>CAR_05</t>
  </si>
  <si>
    <t>LUCIANE</t>
  </si>
  <si>
    <t>ALIRE</t>
  </si>
  <si>
    <t>JOSEANE</t>
  </si>
  <si>
    <t>ERIKA</t>
  </si>
  <si>
    <t>SIG2E45</t>
  </si>
  <si>
    <t>RENEGADE</t>
  </si>
  <si>
    <t>EGK2E03</t>
  </si>
  <si>
    <t>TCROSS</t>
  </si>
  <si>
    <t>SYD7E62</t>
  </si>
  <si>
    <t>TORO</t>
  </si>
  <si>
    <t xml:space="preserve">SHX8B47 </t>
  </si>
  <si>
    <t>Janeiro</t>
  </si>
  <si>
    <t>KM</t>
  </si>
  <si>
    <t>TEJ8H62</t>
  </si>
  <si>
    <t>Renegade</t>
  </si>
  <si>
    <t>Substituição</t>
  </si>
  <si>
    <t>TEL5D67</t>
  </si>
  <si>
    <t>Modelo</t>
  </si>
  <si>
    <t>Tracker</t>
  </si>
  <si>
    <t>T-Cross EGK2E03</t>
  </si>
  <si>
    <t>Tracker TEL5D67</t>
  </si>
  <si>
    <t>Condutores:</t>
  </si>
  <si>
    <t>SIG2E46</t>
  </si>
  <si>
    <t>Troca de Condutor 1</t>
  </si>
  <si>
    <t>Troca de Condutor 2</t>
  </si>
  <si>
    <t>Joseane para Marlucia</t>
  </si>
  <si>
    <t>Marlucia para Eucilene</t>
  </si>
  <si>
    <t>Data Devol.</t>
  </si>
  <si>
    <t>14/10/20/25</t>
  </si>
  <si>
    <t>km</t>
  </si>
  <si>
    <t>Data Desmob.</t>
  </si>
  <si>
    <t>SUO8H64</t>
  </si>
  <si>
    <t>T-Cross</t>
  </si>
  <si>
    <t>UFL3I50</t>
  </si>
  <si>
    <t>TEL2B29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</si>
</sst>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R$&quot;\ #,##0.00;[Red]\-&quot;R$&quot;\ #,##0.00"/>
    <numFmt numFmtId="44" formatCode="_-&quot;R$&quot;\ * #,##0.00_-;\-&quot;R$&quot;\ * #,##0.00_-;_-&quot;R$&quot;\ * &quot;-&quot;??_-;_-@_-"/>
    <numFmt numFmtId="164" formatCode="_-[$R$-416]\ * #,##0.00_-;\-[$R$-416]\ * #,##0.00_-;_-[$R$-416]\ * &quot;-&quot;??_-;_-@_-"/>
    <numFmt numFmtId="165" formatCode="&quot;R$&quot;\ #,##0.00"/>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11"/>
      <color rgb="FF000000"/>
      <name val="Calibri"/>
      <family val="2"/>
    </font>
    <font>
      <b/>
      <sz val="11"/>
      <color rgb="FFFF0000"/>
      <name val="Aptos Narrow"/>
      <family val="2"/>
      <scheme val="minor"/>
    </font>
    <font>
      <sz val="9"/>
      <color indexed="81"/>
      <name val="Segoe UI"/>
      <family val="2"/>
    </font>
    <font>
      <b/>
      <sz val="9"/>
      <color indexed="81"/>
      <name val="Segoe UI"/>
      <family val="2"/>
    </font>
    <font>
      <sz val="11"/>
      <name val="Aptos Narrow"/>
      <family val="2"/>
      <scheme val="minor"/>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3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s>
  <cellStyleXfs count="2">
    <xf numFmtId="0" fontId="0" fillId="0" borderId="0"/>
    <xf numFmtId="44" fontId="1" fillId="0" borderId="0" applyFont="0" applyFill="0" applyBorder="0" applyAlignment="0" applyProtection="0"/>
  </cellStyleXfs>
  <cellXfs count="96">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0" fontId="8" fillId="0" borderId="0" xfId="0" applyFont="1" applyAlignment="1">
      <alignment horizontal="right"/>
    </xf>
    <xf numFmtId="0" fontId="2" fillId="0" borderId="28" xfId="0" applyFont="1" applyBorder="1" applyAlignment="1">
      <alignment horizontal="center"/>
    </xf>
    <xf numFmtId="0" fontId="2" fillId="0" borderId="19" xfId="0" applyFont="1" applyBorder="1" applyAlignment="1">
      <alignment horizontal="center"/>
    </xf>
    <xf numFmtId="0" fontId="2" fillId="0" borderId="29" xfId="0" applyFont="1" applyBorder="1" applyAlignment="1">
      <alignment horizontal="center"/>
    </xf>
    <xf numFmtId="0" fontId="7" fillId="0" borderId="2" xfId="0" applyFont="1" applyBorder="1"/>
    <xf numFmtId="0" fontId="0" fillId="0" borderId="1" xfId="1" applyNumberFormat="1" applyFont="1" applyBorder="1"/>
    <xf numFmtId="0" fontId="2" fillId="0" borderId="0" xfId="0" applyFont="1" applyAlignment="1">
      <alignment horizontal="right" vertical="center"/>
    </xf>
    <xf numFmtId="44" fontId="0" fillId="0" borderId="1" xfId="1" applyFont="1" applyBorder="1" applyAlignment="1">
      <alignment horizontal="center"/>
    </xf>
    <xf numFmtId="0" fontId="11" fillId="0" borderId="0" xfId="0" applyFont="1"/>
    <xf numFmtId="0" fontId="0" fillId="0" borderId="1" xfId="1" applyNumberFormat="1" applyFont="1" applyBorder="1" applyAlignment="1">
      <alignment horizontal="center"/>
    </xf>
    <xf numFmtId="14" fontId="0" fillId="0" borderId="1" xfId="1" applyNumberFormat="1" applyFont="1" applyBorder="1" applyAlignment="1">
      <alignment horizontal="center"/>
    </xf>
    <xf numFmtId="0" fontId="2" fillId="4" borderId="14" xfId="0" applyFont="1" applyFill="1" applyBorder="1" applyAlignment="1">
      <alignment horizontal="center"/>
    </xf>
    <xf numFmtId="0" fontId="2" fillId="5" borderId="0" xfId="0" applyFont="1" applyFill="1" applyAlignment="1">
      <alignment horizontal="center"/>
    </xf>
    <xf numFmtId="0" fontId="2" fillId="6" borderId="14" xfId="0" applyFont="1" applyFill="1" applyBorder="1" applyAlignment="1">
      <alignment horizontal="center"/>
    </xf>
    <xf numFmtId="0" fontId="2" fillId="7" borderId="14" xfId="0" applyFont="1" applyFill="1" applyBorder="1" applyAlignment="1">
      <alignment horizontal="center"/>
    </xf>
    <xf numFmtId="0" fontId="2" fillId="0" borderId="0" xfId="0" applyFont="1" applyAlignment="1">
      <alignment horizontal="right" vertic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4" fillId="2" borderId="0" xfId="0" applyFont="1" applyFill="1" applyAlignment="1">
      <alignment horizontal="center"/>
    </xf>
    <xf numFmtId="14" fontId="2" fillId="2" borderId="0" xfId="0" applyNumberFormat="1" applyFont="1" applyFill="1" applyAlignment="1">
      <alignment horizontal="center"/>
    </xf>
    <xf numFmtId="0" fontId="2" fillId="2" borderId="0" xfId="0" applyFont="1" applyFill="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xf numFmtId="8" fontId="0" fillId="0" borderId="1" xfId="0" applyNumberFormat="1" applyBorder="1" applyAlignment="1">
      <alignment horizont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0</c:v>
                </c:pt>
                <c:pt idx="2">
                  <c:v>0</c:v>
                </c:pt>
                <c:pt idx="3">
                  <c:v>737.98</c:v>
                </c:pt>
                <c:pt idx="4">
                  <c:v>0</c:v>
                </c:pt>
                <c:pt idx="5">
                  <c:v>1012.19</c:v>
                </c:pt>
                <c:pt idx="6">
                  <c:v>1477.5199999999998</c:v>
                </c:pt>
                <c:pt idx="7">
                  <c:v>816.96</c:v>
                </c:pt>
                <c:pt idx="8">
                  <c:v>1008.6899999999999</c:v>
                </c:pt>
                <c:pt idx="9">
                  <c:v>1957.4099999999999</c:v>
                </c:pt>
                <c:pt idx="10">
                  <c:v>1649.99</c:v>
                </c:pt>
                <c:pt idx="11">
                  <c:v>1210.6399999999999</c:v>
                </c:pt>
              </c:numCache>
            </c:numRef>
          </c:val>
          <c:extLst>
            <c:ext xmlns:c16="http://schemas.microsoft.com/office/drawing/2014/chart" uri="{C3380CC4-5D6E-409C-BE32-E72D297353CC}">
              <c16:uniqueId val="{00000000-323D-4505-9075-AF1DF82A958E}"/>
            </c:ext>
          </c:extLst>
        </c:ser>
        <c:ser>
          <c:idx val="1"/>
          <c:order val="1"/>
          <c:tx>
            <c:strRef>
              <c:f>RESUMO!$A$7</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RESUMO!$B$7:$M$7</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RESUMO!$A$8</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RESUMO!$B$8:$M$8</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23D-4505-9075-AF1DF82A958E}"/>
            </c:ext>
          </c:extLst>
        </c:ser>
        <c:ser>
          <c:idx val="3"/>
          <c:order val="3"/>
          <c:tx>
            <c:strRef>
              <c:f>RESUMO!$A$9</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RESUMO!$A$10</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30</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F39D712C-6917-4701-89F8-547550118C18}"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4" dT="2026-03-09T13:13:15.39" personId="{F39D712C-6917-4701-89F8-547550118C18}" id="{2C70DD17-2657-425D-A9EE-C45AA4F63AAA}">
    <text>Veículo TEL5D67 guinchado na sexta 06/03/26 por motivo de perda da placa e táxi agendado para o mesmo dia a tarde, Alire chegou no táxi até a loja do aeroporto de Pertrolina PE no sábado 07/03/26 de manhã para retirada do novo veículo.</text>
  </threadedComment>
  <threadedComment ref="B112" dT="2026-02-25T17:18:56.19" personId="{F39D712C-6917-4701-89F8-547550118C18}" id="{1A367BD7-072B-465C-8EEE-F794FB7AEC13}">
    <text xml:space="preserve">Alire: 13/02 14.956km a 22/02/26 17.288km - Utilizado 2.332km (local da obra Umburanas BA, foi para Natal RN 13/02 a 21/02 - uso particular_folga e em 22/02 chegou em Queimada Nova PI para atender a solicitação da cliente previsão de ficar 22 a 27/02/26)
</text>
  </threadedComment>
  <threadedComment ref="C116" dT="2026-03-09T13:13:52.63" personId="{F39D712C-6917-4701-89F8-547550118C18}" id="{3FC91B12-5216-42B4-B00B-94EBC87C483B}">
    <text xml:space="preserve">Veículo TEL5D67 guinchado na sexta 06/03/26 por motivo de perda da placa e táxi agendado para o mesmo dia a tarde, Alire chegou no táxi até a loja do aeroporto de Pertrolina PE no sábado 07/03/26 de manhã para retirada do novo veículo.
</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3-09T13:44:58.18" personId="{F39D712C-6917-4701-89F8-547550118C18}" id="{428125CA-2903-473E-AC73-D8A38E4DF8D0}">
    <text>Telemetria Localiza</text>
  </threadedComment>
  <threadedComment ref="B15" dT="2026-03-09T14:22:45.71" personId="{F39D712C-6917-4701-89F8-547550118C18}" id="{5CC125FD-1A60-4AAE-BEAC-B9B482088DFE}">
    <text>Retirada 05/03/2026</text>
  </threadedComment>
</ThreadedComments>
</file>

<file path=xl/threadedComments/threadedComment3.xml><?xml version="1.0" encoding="utf-8"?>
<ThreadedComments xmlns="http://schemas.microsoft.com/office/spreadsheetml/2018/threadedcomments" xmlns:x="http://schemas.openxmlformats.org/spreadsheetml/2006/main">
  <threadedComment ref="C63" dT="2026-03-09T13:43:10.47" personId="{F39D712C-6917-4701-89F8-547550118C18}" id="{7CA54DAB-C8EF-4571-B4EE-93B1079875CD}">
    <text>Devolução 05/03/2026</text>
  </threadedComment>
</ThreadedComments>
</file>

<file path=xl/threadedComments/threadedComment4.xml><?xml version="1.0" encoding="utf-8"?>
<ThreadedComments xmlns="http://schemas.microsoft.com/office/spreadsheetml/2018/threadedcomments" xmlns:x="http://schemas.openxmlformats.org/spreadsheetml/2006/main">
  <threadedComment ref="D39" dT="2026-03-09T12:51:52.18" personId="{F39D712C-6917-4701-89F8-547550118C18}" id="{1C543AC8-D656-4BCA-9F4A-487354B500D6}">
    <text>Retirada 20/09/25</text>
  </threadedComment>
  <threadedComment ref="E59" dT="2026-03-09T12:44:32.00" personId="{F39D712C-6917-4701-89F8-547550118C18}" id="{F93B6235-8234-4ABA-931F-0DA2940AF302}">
    <text xml:space="preserve">Devolução 28/02/26
</text>
  </threadedComment>
</ThreadedComments>
</file>

<file path=xl/threadedComments/threadedComment5.xml><?xml version="1.0" encoding="utf-8"?>
<ThreadedComments xmlns="http://schemas.microsoft.com/office/spreadsheetml/2018/threadedcomments" xmlns:x="http://schemas.openxmlformats.org/spreadsheetml/2006/main">
  <threadedComment ref="E88" dT="2026-03-09T12:54:21.26" personId="{F39D712C-6917-4701-89F8-547550118C18}" id="{5EA6AFF0-E429-4071-B6B2-35BA1498773C}">
    <text xml:space="preserve">Devolução 20/09/25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showGridLines="0" topLeftCell="A9" workbookViewId="0">
      <selection activeCell="C22" sqref="C22"/>
    </sheetView>
  </sheetViews>
  <sheetFormatPr defaultRowHeight="15" x14ac:dyDescent="0.25"/>
  <cols>
    <col min="1" max="1" width="20.140625" bestFit="1" customWidth="1"/>
    <col min="2" max="2" width="13.28515625" bestFit="1" customWidth="1"/>
    <col min="3" max="3" width="13.140625" bestFit="1" customWidth="1"/>
    <col min="4" max="7" width="12.140625" bestFit="1" customWidth="1"/>
    <col min="8" max="8" width="13.28515625" bestFit="1" customWidth="1"/>
    <col min="9" max="9" width="10.5703125" bestFit="1" customWidth="1"/>
    <col min="10" max="13" width="13.28515625" bestFit="1" customWidth="1"/>
  </cols>
  <sheetData>
    <row r="1" spans="1:25" x14ac:dyDescent="0.25">
      <c r="A1" s="92" t="s">
        <v>73</v>
      </c>
      <c r="B1" s="93"/>
      <c r="C1" s="93"/>
      <c r="D1" s="93"/>
      <c r="E1" s="93"/>
      <c r="F1" s="93"/>
      <c r="G1" s="93"/>
      <c r="H1" s="93"/>
      <c r="I1" s="93"/>
      <c r="J1" s="93"/>
      <c r="K1" s="93"/>
      <c r="L1" s="93"/>
      <c r="M1" s="93"/>
      <c r="N1" s="93"/>
      <c r="O1" s="93"/>
      <c r="P1" s="93"/>
      <c r="Q1" s="93"/>
      <c r="R1" s="93"/>
      <c r="S1" s="93"/>
      <c r="T1" s="93"/>
      <c r="U1" s="93"/>
      <c r="V1" s="93"/>
      <c r="W1" s="93"/>
      <c r="X1" s="93"/>
      <c r="Y1" s="93"/>
    </row>
    <row r="2" spans="1:25" x14ac:dyDescent="0.25">
      <c r="A2" s="93"/>
      <c r="B2" s="93"/>
      <c r="C2" s="93"/>
      <c r="D2" s="93"/>
      <c r="E2" s="93"/>
      <c r="F2" s="93"/>
      <c r="G2" s="93"/>
      <c r="H2" s="93"/>
      <c r="I2" s="93"/>
      <c r="J2" s="93"/>
      <c r="K2" s="93"/>
      <c r="L2" s="93"/>
      <c r="M2" s="93"/>
      <c r="N2" s="93"/>
      <c r="O2" s="93"/>
      <c r="P2" s="93"/>
      <c r="Q2" s="93"/>
      <c r="R2" s="93"/>
      <c r="S2" s="93"/>
      <c r="T2" s="93"/>
      <c r="U2" s="93"/>
      <c r="V2" s="93"/>
      <c r="W2" s="93"/>
      <c r="X2" s="93"/>
      <c r="Y2" s="93"/>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0</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0</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737.98</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0</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1012.19</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1477.5199999999998</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816.96</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1008.6899999999999</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1957.4099999999999</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1649.99</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1210.6399999999999</v>
      </c>
    </row>
    <row r="7" spans="1:25" ht="15.75" thickBot="1" x14ac:dyDescent="0.3"/>
    <row r="8" spans="1:25" ht="15.75" thickBot="1" x14ac:dyDescent="0.3">
      <c r="A8" s="64" t="s">
        <v>25</v>
      </c>
      <c r="B8"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8"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0</v>
      </c>
      <c r="D8"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0</v>
      </c>
      <c r="E8"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8"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8"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0</v>
      </c>
      <c r="H8"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0</v>
      </c>
      <c r="I8"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0</v>
      </c>
      <c r="J8"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0</v>
      </c>
      <c r="K8"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0</v>
      </c>
      <c r="L8"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0</v>
      </c>
      <c r="M8"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0</v>
      </c>
    </row>
    <row r="9" spans="1:25" ht="15.75" thickBot="1" x14ac:dyDescent="0.3"/>
    <row r="10" spans="1:25" ht="15.75" thickBot="1" x14ac:dyDescent="0.3">
      <c r="A10" s="65" t="s">
        <v>27</v>
      </c>
      <c r="B10"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0"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0"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0"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0"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0</v>
      </c>
      <c r="G10"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0"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0"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0</v>
      </c>
      <c r="J10"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0</v>
      </c>
      <c r="K10"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0</v>
      </c>
      <c r="L10"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0"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0</v>
      </c>
    </row>
    <row r="13" spans="1:25" x14ac:dyDescent="0.25">
      <c r="B13" s="91"/>
      <c r="C13" s="91"/>
      <c r="D13" s="91"/>
      <c r="E13" s="91"/>
      <c r="F13" s="91"/>
      <c r="G13" s="91"/>
      <c r="H13" s="91"/>
      <c r="I13" s="91"/>
      <c r="J13" s="91"/>
      <c r="K13" s="91"/>
      <c r="L13" s="91"/>
      <c r="M13" s="91"/>
    </row>
    <row r="14" spans="1:25" ht="15.75" thickBot="1" x14ac:dyDescent="0.3">
      <c r="B14" s="53" t="s">
        <v>31</v>
      </c>
      <c r="C14" s="53" t="s">
        <v>32</v>
      </c>
      <c r="D14" s="53" t="s">
        <v>33</v>
      </c>
      <c r="E14" s="53" t="s">
        <v>34</v>
      </c>
      <c r="F14" s="53" t="s">
        <v>35</v>
      </c>
      <c r="G14" s="53" t="s">
        <v>36</v>
      </c>
      <c r="H14" s="53" t="s">
        <v>37</v>
      </c>
      <c r="I14" s="53" t="s">
        <v>38</v>
      </c>
      <c r="J14" s="53" t="s">
        <v>39</v>
      </c>
      <c r="K14" s="53" t="s">
        <v>40</v>
      </c>
      <c r="L14" s="53" t="s">
        <v>41</v>
      </c>
      <c r="M14" s="53" t="s">
        <v>42</v>
      </c>
    </row>
    <row r="15" spans="1:25" ht="15.75" thickBot="1" x14ac:dyDescent="0.3">
      <c r="A15" s="55" t="s">
        <v>45</v>
      </c>
      <c r="B15" s="56"/>
      <c r="C15" s="56"/>
      <c r="D15" s="57"/>
      <c r="E15" s="57"/>
      <c r="F15" s="57"/>
      <c r="G15" s="57"/>
      <c r="H15" s="57"/>
      <c r="I15" s="57"/>
      <c r="J15" s="57"/>
      <c r="K15" s="57"/>
      <c r="L15" s="57"/>
      <c r="M15" s="48"/>
    </row>
    <row r="16" spans="1:25" ht="15.75" thickBot="1" x14ac:dyDescent="0.3"/>
    <row r="17" spans="1:13" ht="15.75" thickBot="1" x14ac:dyDescent="0.3">
      <c r="A17" s="55" t="s">
        <v>2</v>
      </c>
      <c r="B17" s="56"/>
      <c r="C17" s="57"/>
      <c r="D17" s="57"/>
      <c r="E17" s="57"/>
      <c r="F17" s="57"/>
      <c r="G17" s="57"/>
      <c r="H17" s="57"/>
      <c r="I17" s="57"/>
      <c r="J17" s="57"/>
      <c r="K17" s="57"/>
      <c r="L17" s="57"/>
      <c r="M17" s="48"/>
    </row>
    <row r="18" spans="1:13" ht="15.75" thickBot="1" x14ac:dyDescent="0.3"/>
    <row r="19" spans="1:13" ht="15.75" thickBot="1" x14ac:dyDescent="0.3">
      <c r="A19" s="55" t="s">
        <v>69</v>
      </c>
      <c r="B19" s="56">
        <f>B15-B17</f>
        <v>0</v>
      </c>
      <c r="C19" s="56">
        <f>C15-C17</f>
        <v>0</v>
      </c>
      <c r="D19" s="56">
        <f t="shared" ref="D19:F19" si="0">D15-D17</f>
        <v>0</v>
      </c>
      <c r="E19" s="56">
        <f t="shared" si="0"/>
        <v>0</v>
      </c>
      <c r="F19" s="56">
        <f t="shared" si="0"/>
        <v>0</v>
      </c>
      <c r="G19" s="56">
        <f>G15-G17</f>
        <v>0</v>
      </c>
      <c r="H19" s="56">
        <f t="shared" ref="H19:M19" si="1">H15-H17</f>
        <v>0</v>
      </c>
      <c r="I19" s="56">
        <f t="shared" si="1"/>
        <v>0</v>
      </c>
      <c r="J19" s="56">
        <f t="shared" si="1"/>
        <v>0</v>
      </c>
      <c r="K19" s="56">
        <f t="shared" si="1"/>
        <v>0</v>
      </c>
      <c r="L19" s="56">
        <f t="shared" si="1"/>
        <v>0</v>
      </c>
      <c r="M19" s="56">
        <f t="shared" si="1"/>
        <v>0</v>
      </c>
    </row>
  </sheetData>
  <mergeCells count="2">
    <mergeCell ref="B13:M13"/>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A17" zoomScale="120" zoomScaleNormal="120" workbookViewId="0">
      <selection activeCell="B3" sqref="B3"/>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89" t="s">
        <v>80</v>
      </c>
      <c r="C2" s="89"/>
      <c r="D2" s="89"/>
      <c r="E2" s="89"/>
      <c r="F2" s="89"/>
      <c r="I2" s="94" t="s">
        <v>79</v>
      </c>
      <c r="J2" s="94"/>
      <c r="K2" s="94"/>
      <c r="L2" s="94"/>
      <c r="M2" s="94"/>
      <c r="P2" s="94" t="s">
        <v>78</v>
      </c>
      <c r="Q2" s="94"/>
      <c r="R2" s="94"/>
      <c r="S2" s="94"/>
      <c r="T2" s="94"/>
      <c r="W2" s="94" t="s">
        <v>77</v>
      </c>
      <c r="X2" s="94"/>
      <c r="Y2" s="94"/>
      <c r="Z2" s="94"/>
      <c r="AA2" s="94"/>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'Erika - desmob'!H11</f>
        <v>0</v>
      </c>
      <c r="C5" s="43">
        <f>SUM(5000-B5)</f>
        <v>5000</v>
      </c>
      <c r="D5" s="35">
        <f>'Erika - desmob'!U12</f>
        <v>0</v>
      </c>
      <c r="E5" s="35">
        <f>'Erika - desmob'!AC12</f>
        <v>0</v>
      </c>
      <c r="F5" s="36">
        <f>'Erika - desmob'!AK12</f>
        <v>0</v>
      </c>
      <c r="H5" s="38" t="s">
        <v>32</v>
      </c>
      <c r="I5" s="46">
        <f>'Eucilene-Desmob'!H12</f>
        <v>0</v>
      </c>
      <c r="J5" s="43">
        <f>SUM(5000-I5)</f>
        <v>5000</v>
      </c>
      <c r="K5" s="35">
        <f>'Eucilene-Desmob'!U13</f>
        <v>0</v>
      </c>
      <c r="L5" s="35">
        <f>'Eucilene-Desmob'!AC13</f>
        <v>0</v>
      </c>
      <c r="M5" s="36">
        <f>'Eucilene-Desmob'!AK13</f>
        <v>0</v>
      </c>
      <c r="O5" s="38" t="s">
        <v>32</v>
      </c>
      <c r="P5" s="46">
        <f>Alire!H12</f>
        <v>0</v>
      </c>
      <c r="Q5" s="43">
        <f>SUM(5000-P5)</f>
        <v>5000</v>
      </c>
      <c r="R5" s="35">
        <f>Alire!U13</f>
        <v>0</v>
      </c>
      <c r="S5" s="35">
        <f>Alire!AI13</f>
        <v>0</v>
      </c>
      <c r="T5" s="36">
        <f>Alire!AR13</f>
        <v>0</v>
      </c>
      <c r="V5" s="38" t="s">
        <v>32</v>
      </c>
      <c r="W5" s="46">
        <f>'Luciane-Desmob'!H11</f>
        <v>0</v>
      </c>
      <c r="X5" s="43">
        <f>SUM(5000-W5)</f>
        <v>5000</v>
      </c>
      <c r="Y5" s="35">
        <f>'Luciane-Desmob'!U12</f>
        <v>0</v>
      </c>
      <c r="Z5" s="35">
        <f>'Luciane-Desmob'!AI12</f>
        <v>0</v>
      </c>
      <c r="AA5" s="36">
        <f>'Luciane-Desmob'!AR12</f>
        <v>0</v>
      </c>
    </row>
    <row r="6" spans="1:27" x14ac:dyDescent="0.25">
      <c r="A6" s="38" t="s">
        <v>33</v>
      </c>
      <c r="B6" s="46">
        <f>'Erika - desmob'!H15</f>
        <v>0</v>
      </c>
      <c r="C6" s="43">
        <f t="shared" ref="C6:C15" si="0">SUM(5000-B6)</f>
        <v>5000</v>
      </c>
      <c r="D6" s="35">
        <f>'Erika - desmob'!U16</f>
        <v>0</v>
      </c>
      <c r="E6" s="35">
        <f>'Erika - desmob'!AC16</f>
        <v>0</v>
      </c>
      <c r="F6" s="36">
        <f>'Erika - desmob'!AK16</f>
        <v>0</v>
      </c>
      <c r="H6" s="38" t="s">
        <v>33</v>
      </c>
      <c r="I6" s="46">
        <f>'Eucilene-Desmob'!H16</f>
        <v>0</v>
      </c>
      <c r="J6" s="43">
        <f t="shared" ref="J6:J14" si="1">SUM(5000-I6)</f>
        <v>5000</v>
      </c>
      <c r="K6" s="35">
        <f>'Eucilene-Desmob'!U17</f>
        <v>0</v>
      </c>
      <c r="L6" s="35">
        <f>'Eucilene-Desmob'!AC17</f>
        <v>0</v>
      </c>
      <c r="M6" s="36">
        <f>'Eucilene-Desmob'!AK17</f>
        <v>0</v>
      </c>
      <c r="O6" s="38" t="s">
        <v>33</v>
      </c>
      <c r="P6" s="46">
        <f>Alire!H16</f>
        <v>0</v>
      </c>
      <c r="Q6" s="43">
        <f t="shared" ref="Q6:Q14" si="2">SUM(5000-P6)</f>
        <v>5000</v>
      </c>
      <c r="R6" s="35">
        <f>Alire!U17</f>
        <v>0</v>
      </c>
      <c r="S6" s="35">
        <f>Alire!AI17</f>
        <v>0</v>
      </c>
      <c r="T6" s="36">
        <f>Alire!AR17</f>
        <v>0</v>
      </c>
      <c r="V6" s="38" t="s">
        <v>33</v>
      </c>
      <c r="W6" s="46">
        <f>'Luciane-Desmob'!H15</f>
        <v>0</v>
      </c>
      <c r="X6" s="43">
        <f t="shared" ref="X6:X15" si="3">SUM(5000-W6)</f>
        <v>5000</v>
      </c>
      <c r="Y6" s="35">
        <f>'Luciane-Desmob'!U16</f>
        <v>0</v>
      </c>
      <c r="Z6" s="35">
        <f>'Luciane-Desmob'!AI16</f>
        <v>0</v>
      </c>
      <c r="AA6" s="36">
        <f>'Luciane-Desmob'!AR16</f>
        <v>0</v>
      </c>
    </row>
    <row r="7" spans="1:27" x14ac:dyDescent="0.25">
      <c r="A7" s="38" t="s">
        <v>34</v>
      </c>
      <c r="B7" s="46">
        <f>'Erika - desmob'!H19</f>
        <v>2261</v>
      </c>
      <c r="C7" s="43">
        <f t="shared" si="0"/>
        <v>2739</v>
      </c>
      <c r="D7" s="35">
        <f>'Erika - desmob'!U20</f>
        <v>0</v>
      </c>
      <c r="E7" s="35">
        <f>'Erika - desmob'!AC20</f>
        <v>0</v>
      </c>
      <c r="F7" s="36">
        <f>'Erika - desmob'!AK20</f>
        <v>0</v>
      </c>
      <c r="H7" s="38" t="s">
        <v>34</v>
      </c>
      <c r="I7" s="46">
        <f>'Eucilene-Desmob'!H20</f>
        <v>4660</v>
      </c>
      <c r="J7" s="43">
        <f t="shared" si="1"/>
        <v>340</v>
      </c>
      <c r="K7" s="35">
        <f>'Eucilene-Desmob'!U21</f>
        <v>737.98</v>
      </c>
      <c r="L7" s="35">
        <f>'Eucilene-Desmob'!AC21</f>
        <v>0</v>
      </c>
      <c r="M7" s="36">
        <f>'Eucilene-Desmob'!AK21</f>
        <v>0</v>
      </c>
      <c r="O7" s="38" t="s">
        <v>34</v>
      </c>
      <c r="P7" s="46">
        <f>Alire!H20</f>
        <v>1671</v>
      </c>
      <c r="Q7" s="43">
        <f t="shared" si="2"/>
        <v>3329</v>
      </c>
      <c r="R7" s="35">
        <f>Alire!Z21</f>
        <v>0</v>
      </c>
      <c r="S7" s="35">
        <f>Alire!AI21</f>
        <v>0</v>
      </c>
      <c r="T7" s="36">
        <f>Alire!AR21</f>
        <v>0</v>
      </c>
      <c r="V7" s="38" t="s">
        <v>34</v>
      </c>
      <c r="W7" s="46">
        <f>'Luciane-Desmob'!H19</f>
        <v>2763</v>
      </c>
      <c r="X7" s="43">
        <f t="shared" si="3"/>
        <v>2237</v>
      </c>
      <c r="Y7" s="35">
        <f>'Luciane-Desmob'!Z20</f>
        <v>0</v>
      </c>
      <c r="Z7" s="35">
        <f>'Luciane-Desmob'!AI20</f>
        <v>0</v>
      </c>
      <c r="AA7" s="36">
        <f>'Luciane-Desmob'!AR20</f>
        <v>0</v>
      </c>
    </row>
    <row r="8" spans="1:27" x14ac:dyDescent="0.25">
      <c r="A8" s="38" t="s">
        <v>35</v>
      </c>
      <c r="B8" s="46">
        <f>'Erika - desmob'!H23</f>
        <v>0</v>
      </c>
      <c r="C8" s="43">
        <f t="shared" si="0"/>
        <v>5000</v>
      </c>
      <c r="D8" s="35">
        <f>'Erika - desmob'!U24</f>
        <v>0</v>
      </c>
      <c r="E8" s="35">
        <f>'Erika - desmob'!AC24</f>
        <v>0</v>
      </c>
      <c r="F8" s="36">
        <f>'Erika - desmob'!AK24</f>
        <v>0</v>
      </c>
      <c r="H8" s="38" t="s">
        <v>35</v>
      </c>
      <c r="I8" s="46">
        <f>'Eucilene-Desmob'!H24</f>
        <v>1000</v>
      </c>
      <c r="J8" s="43">
        <f t="shared" si="1"/>
        <v>4000</v>
      </c>
      <c r="K8" s="35">
        <f>'Eucilene-Desmob'!U25</f>
        <v>0</v>
      </c>
      <c r="L8" s="35">
        <f>'Eucilene-Desmob'!AC25</f>
        <v>0</v>
      </c>
      <c r="M8" s="36">
        <f>'Eucilene-Desmob'!AK25</f>
        <v>0</v>
      </c>
      <c r="O8" s="38" t="s">
        <v>35</v>
      </c>
      <c r="P8" s="46">
        <f>Alire!H24</f>
        <v>1587</v>
      </c>
      <c r="Q8" s="43">
        <f t="shared" si="2"/>
        <v>3413</v>
      </c>
      <c r="R8" s="35">
        <f>Alire!Z25</f>
        <v>0</v>
      </c>
      <c r="S8" s="35">
        <f>Alire!AI25</f>
        <v>0</v>
      </c>
      <c r="T8" s="36">
        <f>Alire!AR25</f>
        <v>0</v>
      </c>
      <c r="V8" s="38" t="s">
        <v>35</v>
      </c>
      <c r="W8" s="46">
        <f>'Luciane-Desmob'!H23</f>
        <v>2047</v>
      </c>
      <c r="X8" s="43">
        <f t="shared" si="3"/>
        <v>2953</v>
      </c>
      <c r="Y8" s="35">
        <f>'Luciane-Desmob'!Z24</f>
        <v>0</v>
      </c>
      <c r="Z8" s="35">
        <f>'Luciane-Desmob'!AI24</f>
        <v>0</v>
      </c>
      <c r="AA8" s="36">
        <f>'Luciane-Desmob'!AR24</f>
        <v>0</v>
      </c>
    </row>
    <row r="9" spans="1:27" x14ac:dyDescent="0.25">
      <c r="A9" s="38" t="s">
        <v>36</v>
      </c>
      <c r="B9" s="46">
        <f>'Erika - desmob'!H27</f>
        <v>0</v>
      </c>
      <c r="C9" s="43">
        <f t="shared" si="0"/>
        <v>5000</v>
      </c>
      <c r="D9" s="35">
        <f>'Erika - desmob'!U28</f>
        <v>0</v>
      </c>
      <c r="E9" s="35">
        <f>'Erika - desmob'!AC28</f>
        <v>0</v>
      </c>
      <c r="F9" s="36">
        <f>'Erika - desmob'!AK28</f>
        <v>0</v>
      </c>
      <c r="H9" s="38" t="s">
        <v>36</v>
      </c>
      <c r="I9" s="46">
        <f>'Eucilene-Desmob'!H28</f>
        <v>1422</v>
      </c>
      <c r="J9" s="43">
        <f t="shared" si="1"/>
        <v>3578</v>
      </c>
      <c r="K9" s="35">
        <f>'Eucilene-Desmob'!U29</f>
        <v>0</v>
      </c>
      <c r="L9" s="35">
        <f>'Eucilene-Desmob'!AC29</f>
        <v>0</v>
      </c>
      <c r="M9" s="36">
        <f>'Erika - desmob'!AK28</f>
        <v>0</v>
      </c>
      <c r="O9" s="38" t="s">
        <v>36</v>
      </c>
      <c r="P9" s="46">
        <f>Alire!H28</f>
        <v>1848</v>
      </c>
      <c r="Q9" s="43">
        <f t="shared" si="2"/>
        <v>3152</v>
      </c>
      <c r="R9" s="35">
        <f>Alire!Z29</f>
        <v>0</v>
      </c>
      <c r="S9" s="35">
        <f>Alire!AI29</f>
        <v>0</v>
      </c>
      <c r="T9" s="36">
        <f>Alire!AR29</f>
        <v>0</v>
      </c>
      <c r="V9" s="38" t="s">
        <v>36</v>
      </c>
      <c r="W9" s="46">
        <f>'Luciane-Desmob'!H27</f>
        <v>2017</v>
      </c>
      <c r="X9" s="43">
        <f t="shared" si="3"/>
        <v>2983</v>
      </c>
      <c r="Y9" s="35">
        <f>'Luciane-Desmob'!Z28</f>
        <v>0</v>
      </c>
      <c r="Z9" s="35">
        <f>'Luciane-Desmob'!AI28</f>
        <v>0</v>
      </c>
      <c r="AA9" s="36">
        <f>'Luciane-Desmob'!AR28</f>
        <v>0</v>
      </c>
    </row>
    <row r="10" spans="1:27" x14ac:dyDescent="0.25">
      <c r="A10" s="38" t="s">
        <v>37</v>
      </c>
      <c r="B10" s="46">
        <f>'Erika - desmob'!H31</f>
        <v>0</v>
      </c>
      <c r="C10" s="43">
        <f t="shared" si="0"/>
        <v>5000</v>
      </c>
      <c r="D10" s="35">
        <f>'Erika - desmob'!U32</f>
        <v>0</v>
      </c>
      <c r="E10" s="35">
        <f>'Erika - desmob'!AC32</f>
        <v>0</v>
      </c>
      <c r="F10" s="36">
        <f>'Erika - desmob'!AK32</f>
        <v>0</v>
      </c>
      <c r="H10" s="38" t="s">
        <v>37</v>
      </c>
      <c r="I10" s="46">
        <f>'Eucilene-Desmob'!H32</f>
        <v>2970</v>
      </c>
      <c r="J10" s="43">
        <f t="shared" si="1"/>
        <v>2030</v>
      </c>
      <c r="K10" s="35">
        <f>'Eucilene-Desmob'!U33</f>
        <v>0</v>
      </c>
      <c r="L10" s="35">
        <f>'Eucilene-Desmob'!AC33</f>
        <v>0</v>
      </c>
      <c r="M10" s="36">
        <f>'Eucilene-Desmob'!AK33</f>
        <v>0</v>
      </c>
      <c r="O10" s="38" t="s">
        <v>37</v>
      </c>
      <c r="P10" s="46">
        <f>Alire!H32</f>
        <v>776</v>
      </c>
      <c r="Q10" s="43">
        <f t="shared" si="2"/>
        <v>4224</v>
      </c>
      <c r="R10" s="35">
        <f>Alire!Z33</f>
        <v>0</v>
      </c>
      <c r="S10" s="35">
        <f>Alire!AI33</f>
        <v>0</v>
      </c>
      <c r="T10" s="36">
        <f>Alire!AR33</f>
        <v>0</v>
      </c>
      <c r="V10" s="38" t="s">
        <v>37</v>
      </c>
      <c r="W10" s="46">
        <f>'Luciane-Desmob'!H31</f>
        <v>2387</v>
      </c>
      <c r="X10" s="43">
        <f t="shared" si="3"/>
        <v>2613</v>
      </c>
      <c r="Y10" s="35">
        <f>'Luciane-Desmob'!Z32</f>
        <v>0</v>
      </c>
      <c r="Z10" s="35">
        <f>'Luciane-Desmob'!AI32</f>
        <v>0</v>
      </c>
      <c r="AA10" s="36">
        <f>'Luciane-Desmob'!AR32</f>
        <v>0</v>
      </c>
    </row>
    <row r="11" spans="1:27" x14ac:dyDescent="0.25">
      <c r="A11" s="38" t="s">
        <v>38</v>
      </c>
      <c r="B11" s="46">
        <f>'Erika - desmob'!H35</f>
        <v>0</v>
      </c>
      <c r="C11" s="43">
        <f t="shared" si="0"/>
        <v>5000</v>
      </c>
      <c r="D11" s="35">
        <f>'Erika - desmob'!U36</f>
        <v>0</v>
      </c>
      <c r="E11" s="35">
        <f>'Erika - desmob'!AC36</f>
        <v>0</v>
      </c>
      <c r="F11" s="36">
        <f>'Erika - desmob'!AK36</f>
        <v>0</v>
      </c>
      <c r="H11" s="38" t="s">
        <v>38</v>
      </c>
      <c r="I11" s="46">
        <f>'Eucilene-Desmob'!H36</f>
        <v>2564</v>
      </c>
      <c r="J11" s="43">
        <f t="shared" si="1"/>
        <v>2436</v>
      </c>
      <c r="K11" s="35">
        <f>'Eucilene-Desmob'!U37</f>
        <v>0</v>
      </c>
      <c r="L11" s="35">
        <f>'Eucilene-Desmob'!AC37</f>
        <v>0</v>
      </c>
      <c r="M11" s="36">
        <f>'Eucilene-Desmob'!AK37</f>
        <v>0</v>
      </c>
      <c r="O11" s="38" t="s">
        <v>38</v>
      </c>
      <c r="P11" s="46">
        <f>Alire!H36</f>
        <v>1839</v>
      </c>
      <c r="Q11" s="43">
        <f t="shared" si="2"/>
        <v>3161</v>
      </c>
      <c r="R11" s="35">
        <f>Alire!Z37</f>
        <v>0</v>
      </c>
      <c r="S11" s="35">
        <f>Alire!AI37</f>
        <v>0</v>
      </c>
      <c r="T11" s="36">
        <f>Alire!AR37</f>
        <v>0</v>
      </c>
      <c r="V11" s="38" t="s">
        <v>38</v>
      </c>
      <c r="W11" s="46">
        <f>'Luciane-Desmob'!H35</f>
        <v>1984</v>
      </c>
      <c r="X11" s="43">
        <f t="shared" si="3"/>
        <v>3016</v>
      </c>
      <c r="Y11" s="35">
        <f>'Luciane-Desmob'!Z36</f>
        <v>0</v>
      </c>
      <c r="Z11" s="35">
        <f>'Luciane-Desmob'!AI36</f>
        <v>0</v>
      </c>
      <c r="AA11" s="36">
        <f>'Luciane-Desmob'!AR36</f>
        <v>0</v>
      </c>
    </row>
    <row r="12" spans="1:27" x14ac:dyDescent="0.25">
      <c r="A12" s="38" t="s">
        <v>39</v>
      </c>
      <c r="B12" s="46">
        <f>'Erika - desmob'!H39</f>
        <v>0</v>
      </c>
      <c r="C12" s="43">
        <f t="shared" si="0"/>
        <v>5000</v>
      </c>
      <c r="D12" s="35">
        <f>'Erika - desmob'!U40</f>
        <v>0</v>
      </c>
      <c r="E12" s="35">
        <f>'Erika - desmob'!AC40</f>
        <v>0</v>
      </c>
      <c r="F12" s="36">
        <f>'Erika - desmob'!AK40</f>
        <v>0</v>
      </c>
      <c r="H12" s="38" t="s">
        <v>39</v>
      </c>
      <c r="I12" s="46">
        <f>'Eucilene-Desmob'!H40</f>
        <v>1624</v>
      </c>
      <c r="J12" s="43">
        <f t="shared" si="1"/>
        <v>3376</v>
      </c>
      <c r="K12" s="35">
        <f>'Eucilene-Desmob'!U41</f>
        <v>0</v>
      </c>
      <c r="L12" s="35">
        <f>'Eucilene-Desmob'!AC41</f>
        <v>0</v>
      </c>
      <c r="M12" s="36">
        <f>'Eucilene-Desmob'!AK41</f>
        <v>0</v>
      </c>
      <c r="O12" s="38" t="s">
        <v>39</v>
      </c>
      <c r="P12" s="46">
        <f>Alire!H36</f>
        <v>1839</v>
      </c>
      <c r="Q12" s="43">
        <f t="shared" si="2"/>
        <v>3161</v>
      </c>
      <c r="R12" s="35">
        <f>Alire!Z41</f>
        <v>0</v>
      </c>
      <c r="S12" s="35">
        <f>Alire!AI41</f>
        <v>0</v>
      </c>
      <c r="T12" s="36">
        <f>Alire!AR41</f>
        <v>0</v>
      </c>
      <c r="V12" s="38" t="s">
        <v>39</v>
      </c>
      <c r="W12" s="46">
        <f>'Luciane-Desmob'!H39</f>
        <v>2089</v>
      </c>
      <c r="X12" s="43">
        <f t="shared" si="3"/>
        <v>2911</v>
      </c>
      <c r="Y12" s="35">
        <f>'Luciane-Desmob'!Z40</f>
        <v>0</v>
      </c>
      <c r="Z12" s="35">
        <f>'Luciane-Desmob'!AI40</f>
        <v>0</v>
      </c>
      <c r="AA12" s="36">
        <f>'Luciane-Desmob'!AR40</f>
        <v>0</v>
      </c>
    </row>
    <row r="13" spans="1:27" x14ac:dyDescent="0.25">
      <c r="A13" s="38" t="s">
        <v>40</v>
      </c>
      <c r="B13" s="46">
        <f>'Erika - desmob'!H43</f>
        <v>0</v>
      </c>
      <c r="C13" s="43">
        <f t="shared" si="0"/>
        <v>5000</v>
      </c>
      <c r="D13" s="35">
        <f>'Erika - desmob'!U44</f>
        <v>0</v>
      </c>
      <c r="E13" s="35">
        <f>'Erika - desmob'!AC44</f>
        <v>0</v>
      </c>
      <c r="F13" s="36">
        <f>'Erika - desmob'!AK44</f>
        <v>0</v>
      </c>
      <c r="H13" s="38" t="s">
        <v>40</v>
      </c>
      <c r="I13" s="46">
        <f>'Eucilene-Desmob'!H44</f>
        <v>0</v>
      </c>
      <c r="J13" s="43">
        <f t="shared" si="1"/>
        <v>5000</v>
      </c>
      <c r="K13" s="35">
        <f>'Eucilene-Desmob'!U45</f>
        <v>0</v>
      </c>
      <c r="L13" s="35">
        <f>'Eucilene-Desmob'!AC45</f>
        <v>0</v>
      </c>
      <c r="M13" s="36">
        <f>'Eucilene-Desmob'!AK45</f>
        <v>0</v>
      </c>
      <c r="O13" s="38" t="s">
        <v>40</v>
      </c>
      <c r="P13" s="46">
        <f>Alire!H40</f>
        <v>1446</v>
      </c>
      <c r="Q13" s="43">
        <f t="shared" si="2"/>
        <v>3554</v>
      </c>
      <c r="R13" s="35">
        <f>Alire!Z45</f>
        <v>0</v>
      </c>
      <c r="S13" s="35">
        <f>Alire!AI45</f>
        <v>0</v>
      </c>
      <c r="T13" s="36">
        <f>Alire!AR45</f>
        <v>0</v>
      </c>
      <c r="V13" s="38" t="s">
        <v>40</v>
      </c>
      <c r="W13" s="46">
        <f>'Luciane-Desmob'!H43</f>
        <v>1714</v>
      </c>
      <c r="X13" s="43">
        <f t="shared" si="3"/>
        <v>3286</v>
      </c>
      <c r="Y13" s="35">
        <f>'Luciane-Desmob'!Z44</f>
        <v>0</v>
      </c>
      <c r="Z13" s="35">
        <f>'Luciane-Desmob'!AI44</f>
        <v>0</v>
      </c>
      <c r="AA13" s="36">
        <f>'Luciane-Desmob'!AR44</f>
        <v>0</v>
      </c>
    </row>
    <row r="14" spans="1:27" x14ac:dyDescent="0.25">
      <c r="A14" s="38" t="s">
        <v>41</v>
      </c>
      <c r="B14" s="46">
        <f>'Erika - desmob'!H47</f>
        <v>0</v>
      </c>
      <c r="C14" s="43">
        <f t="shared" si="0"/>
        <v>5000</v>
      </c>
      <c r="D14" s="35">
        <f>'Erika - desmob'!U48</f>
        <v>0</v>
      </c>
      <c r="E14" s="35">
        <f>'Erika - desmob'!AC48</f>
        <v>0</v>
      </c>
      <c r="F14" s="36">
        <f>'Erika - desmob'!AK48</f>
        <v>0</v>
      </c>
      <c r="H14" s="38" t="s">
        <v>41</v>
      </c>
      <c r="I14" s="46">
        <f>'Eucilene-Desmob'!H48</f>
        <v>0</v>
      </c>
      <c r="J14" s="43">
        <f t="shared" si="1"/>
        <v>5000</v>
      </c>
      <c r="K14" s="35">
        <f>'Eucilene-Desmob'!U49</f>
        <v>0</v>
      </c>
      <c r="L14" s="35">
        <f>'Eucilene-Desmob'!AC49</f>
        <v>0</v>
      </c>
      <c r="M14" s="36">
        <f>'Eucilene-Desmob'!AK49</f>
        <v>0</v>
      </c>
      <c r="O14" s="38" t="s">
        <v>41</v>
      </c>
      <c r="P14" s="46">
        <f>Alire!H44</f>
        <v>1609</v>
      </c>
      <c r="Q14" s="43">
        <f t="shared" si="2"/>
        <v>3391</v>
      </c>
      <c r="R14" s="35">
        <f>Alire!Z49</f>
        <v>0</v>
      </c>
      <c r="S14" s="35">
        <f>Alire!AI49</f>
        <v>0</v>
      </c>
      <c r="T14" s="36">
        <f>Alire!AR49</f>
        <v>0</v>
      </c>
      <c r="V14" s="38" t="s">
        <v>41</v>
      </c>
      <c r="W14" s="46">
        <f>'Luciane-Desmob'!H47</f>
        <v>1538</v>
      </c>
      <c r="X14" s="43">
        <f t="shared" si="3"/>
        <v>3462</v>
      </c>
      <c r="Y14" s="35">
        <f>'Luciane-Desmob'!Z48</f>
        <v>0</v>
      </c>
      <c r="Z14" s="35">
        <f>'Luciane-Desmob'!AI48</f>
        <v>0</v>
      </c>
      <c r="AA14" s="36">
        <f>'Luciane-Desmob'!AR48</f>
        <v>0</v>
      </c>
    </row>
    <row r="15" spans="1:27" ht="15.75" thickBot="1" x14ac:dyDescent="0.3">
      <c r="A15" s="39" t="s">
        <v>42</v>
      </c>
      <c r="B15" s="47">
        <f>'Erika - desmob'!H51</f>
        <v>0</v>
      </c>
      <c r="C15" s="44">
        <f t="shared" si="0"/>
        <v>5000</v>
      </c>
      <c r="D15" s="11">
        <f>'Erika - desmob'!U52</f>
        <v>0</v>
      </c>
      <c r="E15" s="11">
        <f>'Erika - desmob'!AC52</f>
        <v>0</v>
      </c>
      <c r="F15" s="12">
        <f>'Erika - desmob'!AK52</f>
        <v>0</v>
      </c>
      <c r="H15" s="39" t="s">
        <v>42</v>
      </c>
      <c r="I15" s="47">
        <f>'Eucilene-Desmob'!H52</f>
        <v>1343</v>
      </c>
      <c r="J15" s="44">
        <f>SUM(5000-I15)</f>
        <v>3657</v>
      </c>
      <c r="K15" s="11">
        <f>'Eucilene-Desmob'!U53</f>
        <v>0</v>
      </c>
      <c r="L15" s="11">
        <f>'Eucilene-Desmob'!AC49</f>
        <v>0</v>
      </c>
      <c r="M15" s="12">
        <f>'Eucilene-Desmob'!AK49</f>
        <v>0</v>
      </c>
      <c r="O15" s="39" t="s">
        <v>42</v>
      </c>
      <c r="P15" s="47">
        <f>Alire!H48</f>
        <v>1125</v>
      </c>
      <c r="Q15" s="44">
        <f>SUM(5000-P15)</f>
        <v>3875</v>
      </c>
      <c r="R15" s="11">
        <f>Alire!Z53</f>
        <v>0</v>
      </c>
      <c r="S15" s="11">
        <f>Alire!AI49</f>
        <v>0</v>
      </c>
      <c r="T15" s="12">
        <f>Alire!AR53</f>
        <v>0</v>
      </c>
      <c r="V15" s="39" t="s">
        <v>42</v>
      </c>
      <c r="W15" s="47">
        <f>'Luciane-Desmob'!H51</f>
        <v>1322</v>
      </c>
      <c r="X15" s="44">
        <f t="shared" si="3"/>
        <v>3678</v>
      </c>
      <c r="Y15" s="11">
        <f>'Luciane-Desmob'!Z52</f>
        <v>0</v>
      </c>
      <c r="Z15" s="11">
        <f>'Luciane-Desmob'!AI52</f>
        <v>0</v>
      </c>
      <c r="AA15" s="12">
        <f>'Luciane-Desmob'!AR52</f>
        <v>0</v>
      </c>
    </row>
    <row r="16" spans="1:27" ht="15.75" thickBot="1" x14ac:dyDescent="0.3"/>
    <row r="17" spans="1:27" ht="15.75" thickBot="1" x14ac:dyDescent="0.3">
      <c r="A17" s="3" t="s">
        <v>23</v>
      </c>
      <c r="B17" s="52">
        <f>SUM(B4:B15)</f>
        <v>2261</v>
      </c>
      <c r="C17" s="51"/>
      <c r="D17" s="50">
        <f>SUM(D4:D15)</f>
        <v>0</v>
      </c>
      <c r="E17" s="49">
        <f>SUM(E4:E15)</f>
        <v>0</v>
      </c>
      <c r="F17" s="48">
        <f>SUM(F4:F15)</f>
        <v>0</v>
      </c>
      <c r="H17" s="3" t="s">
        <v>23</v>
      </c>
      <c r="I17" s="52">
        <f>SUM(I4:I15)</f>
        <v>15583</v>
      </c>
      <c r="J17" s="51"/>
      <c r="K17" s="50">
        <f>SUM(K4:K15)</f>
        <v>737.98</v>
      </c>
      <c r="L17" s="49">
        <f>SUM(L4:L15)</f>
        <v>0</v>
      </c>
      <c r="M17" s="48">
        <f>SUM(M4:M15)</f>
        <v>0</v>
      </c>
      <c r="O17" s="3" t="s">
        <v>23</v>
      </c>
      <c r="P17" s="52">
        <f>SUM(P4:P15)</f>
        <v>13740</v>
      </c>
      <c r="Q17" s="51"/>
      <c r="R17" s="50">
        <f>SUM(R4:R15)</f>
        <v>0</v>
      </c>
      <c r="S17" s="49">
        <f>SUM(S4:S15)</f>
        <v>0</v>
      </c>
      <c r="T17" s="48">
        <f>SUM(T4:T15)</f>
        <v>0</v>
      </c>
      <c r="V17" s="3" t="s">
        <v>23</v>
      </c>
      <c r="W17" s="52">
        <f>SUM(W4:W15)</f>
        <v>17861</v>
      </c>
      <c r="X17" s="51"/>
      <c r="Y17" s="50">
        <f>SUM(Y4:Y15)</f>
        <v>0</v>
      </c>
      <c r="Z17" s="49">
        <f>SUM(Z4:Z15)</f>
        <v>0</v>
      </c>
      <c r="AA17" s="48">
        <f>SUM(AA4:AA15)</f>
        <v>0</v>
      </c>
    </row>
    <row r="18" spans="1:27" ht="15.75" thickBot="1" x14ac:dyDescent="0.3">
      <c r="A18" s="3" t="s">
        <v>44</v>
      </c>
      <c r="B18" s="23">
        <f>SUM(60000-B17)</f>
        <v>57739</v>
      </c>
      <c r="H18" s="3" t="s">
        <v>44</v>
      </c>
      <c r="I18" s="23">
        <f>SUM(60000-I17)</f>
        <v>44417</v>
      </c>
      <c r="O18" s="3" t="s">
        <v>44</v>
      </c>
      <c r="P18" s="23">
        <f>SUM(60000-P17)</f>
        <v>46260</v>
      </c>
      <c r="V18" s="3" t="s">
        <v>44</v>
      </c>
      <c r="W18" s="23">
        <f>SUM(60000-W17)</f>
        <v>42139</v>
      </c>
    </row>
    <row r="21" spans="1:27" ht="15.75" thickBot="1" x14ac:dyDescent="0.3">
      <c r="B21" s="94" t="s">
        <v>76</v>
      </c>
      <c r="C21" s="94"/>
      <c r="D21" s="94"/>
      <c r="E21" s="94"/>
      <c r="F21" s="94"/>
      <c r="I21" s="89" t="s">
        <v>75</v>
      </c>
      <c r="J21" s="89"/>
      <c r="K21" s="89"/>
      <c r="L21" s="89"/>
      <c r="M21" s="89"/>
      <c r="P21" s="89" t="s">
        <v>74</v>
      </c>
      <c r="Q21" s="89"/>
      <c r="R21" s="89"/>
      <c r="S21" s="89"/>
      <c r="T21" s="89"/>
      <c r="W21" s="89" t="s">
        <v>52</v>
      </c>
      <c r="X21" s="89"/>
      <c r="Y21" s="89"/>
      <c r="Z21" s="89"/>
      <c r="AA21" s="89"/>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'Tayonara-Desmob'!H11</f>
        <v>0</v>
      </c>
      <c r="C24" s="43">
        <f>SUM(5000-B24)</f>
        <v>5000</v>
      </c>
      <c r="D24" s="35">
        <f>'Tayonara-Desmob'!U12</f>
        <v>0</v>
      </c>
      <c r="E24" s="35">
        <f>'Tayonara-Desmob'!AC12</f>
        <v>0</v>
      </c>
      <c r="F24" s="36">
        <f>'Tayonara-Desmob'!AK12</f>
        <v>0</v>
      </c>
      <c r="H24" s="38" t="s">
        <v>32</v>
      </c>
      <c r="I24" s="46">
        <f>'Eucilene-Desmobi'!H11</f>
        <v>0</v>
      </c>
      <c r="J24" s="43">
        <f>SUM(5000-I24)</f>
        <v>5000</v>
      </c>
      <c r="K24" s="35">
        <f>'Eucilene-Desmobi'!U12</f>
        <v>0</v>
      </c>
      <c r="L24" s="35">
        <f>'Eucilene-Desmobi'!AC12</f>
        <v>0</v>
      </c>
      <c r="M24" s="36">
        <f>'Eucilene-Desmobi'!AK12</f>
        <v>0</v>
      </c>
      <c r="O24" s="38" t="s">
        <v>32</v>
      </c>
      <c r="P24" s="46">
        <f>Tayonara!H11</f>
        <v>0</v>
      </c>
      <c r="Q24" s="43">
        <f>SUM(5000-P24)</f>
        <v>5000</v>
      </c>
      <c r="R24" s="35">
        <f>Tayonara!U12</f>
        <v>0</v>
      </c>
      <c r="S24" s="35">
        <f>Tayonara!AC12</f>
        <v>0</v>
      </c>
      <c r="T24" s="36">
        <f>Tayonara!AK12</f>
        <v>0</v>
      </c>
      <c r="V24" s="38" t="s">
        <v>32</v>
      </c>
      <c r="W24" s="46">
        <f>CAR_08!H11</f>
        <v>0</v>
      </c>
      <c r="X24" s="43">
        <f>SUM(5000-W24)</f>
        <v>5000</v>
      </c>
      <c r="Y24" s="35">
        <f>CAR_08!U12</f>
        <v>0</v>
      </c>
      <c r="Z24" s="35">
        <f>CAR_08!AE12</f>
        <v>0</v>
      </c>
      <c r="AA24" s="36">
        <f>CAR_08!AN12</f>
        <v>0</v>
      </c>
    </row>
    <row r="25" spans="1:27" x14ac:dyDescent="0.25">
      <c r="A25" s="38" t="s">
        <v>33</v>
      </c>
      <c r="B25" s="46">
        <f>'Tayonara-Desmob'!H15</f>
        <v>0</v>
      </c>
      <c r="C25" s="43">
        <f t="shared" ref="C25:C34" si="4">SUM(5000-B25)</f>
        <v>5000</v>
      </c>
      <c r="D25" s="35">
        <f>'Tayonara-Desmob'!U16</f>
        <v>0</v>
      </c>
      <c r="E25" s="35">
        <f>'Tayonara-Desmob'!AC16</f>
        <v>0</v>
      </c>
      <c r="F25" s="36">
        <f>'Tayonara-Desmob'!AK16</f>
        <v>0</v>
      </c>
      <c r="H25" s="38" t="s">
        <v>33</v>
      </c>
      <c r="I25" s="46">
        <f>'Eucilene-Desmobi'!H15</f>
        <v>0</v>
      </c>
      <c r="J25" s="43">
        <f t="shared" ref="J25:J34" si="5">SUM(5000-I25)</f>
        <v>5000</v>
      </c>
      <c r="K25" s="35">
        <f>'Eucilene-Desmobi'!U16</f>
        <v>0</v>
      </c>
      <c r="L25" s="35">
        <f>'Eucilene-Desmobi'!AC16</f>
        <v>0</v>
      </c>
      <c r="M25" s="36">
        <f>'Eucilene-Desmobi'!AK16</f>
        <v>0</v>
      </c>
      <c r="O25" s="38" t="s">
        <v>33</v>
      </c>
      <c r="P25" s="46">
        <f>Tayonara!H15</f>
        <v>2243</v>
      </c>
      <c r="Q25" s="43">
        <f t="shared" ref="Q25:Q34" si="6">SUM(5000-P25)</f>
        <v>2757</v>
      </c>
      <c r="R25" s="35">
        <f>Tayonara!U16</f>
        <v>0</v>
      </c>
      <c r="S25" s="35">
        <f>Tayonara!AC16</f>
        <v>0</v>
      </c>
      <c r="T25" s="36">
        <f>Tayonara!AK16</f>
        <v>0</v>
      </c>
      <c r="V25" s="38" t="s">
        <v>33</v>
      </c>
      <c r="W25" s="46">
        <f>CAR_08!H15</f>
        <v>0</v>
      </c>
      <c r="X25" s="43">
        <f t="shared" ref="X25:X34" si="7">SUM(5000-W25)</f>
        <v>5000</v>
      </c>
      <c r="Y25" s="35">
        <f>CAR_08!U16</f>
        <v>0</v>
      </c>
      <c r="Z25" s="35">
        <f>CAR_08!AE16</f>
        <v>0</v>
      </c>
      <c r="AA25" s="36">
        <f>CAR_08!AN16</f>
        <v>0</v>
      </c>
    </row>
    <row r="26" spans="1:27" x14ac:dyDescent="0.25">
      <c r="A26" s="38" t="s">
        <v>34</v>
      </c>
      <c r="B26" s="46">
        <f>'Tayonara-Desmob'!H19</f>
        <v>0</v>
      </c>
      <c r="C26" s="43">
        <f t="shared" si="4"/>
        <v>5000</v>
      </c>
      <c r="D26" s="35">
        <f>'Tayonara-Desmob'!U20</f>
        <v>0</v>
      </c>
      <c r="E26" s="35">
        <f>'Tayonara-Desmob'!AC20</f>
        <v>0</v>
      </c>
      <c r="F26" s="36">
        <f>'Tayonara-Desmob'!AK20</f>
        <v>0</v>
      </c>
      <c r="H26" s="38" t="s">
        <v>34</v>
      </c>
      <c r="I26" s="46">
        <f>'Eucilene-Desmobi'!H19</f>
        <v>0</v>
      </c>
      <c r="J26" s="43">
        <f t="shared" si="5"/>
        <v>5000</v>
      </c>
      <c r="K26" s="35">
        <f>'Eucilene-Desmobi'!U20</f>
        <v>0</v>
      </c>
      <c r="L26" s="35">
        <f>'Eucilene-Desmobi'!AC20</f>
        <v>0</v>
      </c>
      <c r="M26" s="36">
        <f>'Eucilene-Desmobi'!AK20</f>
        <v>0</v>
      </c>
      <c r="O26" s="38" t="s">
        <v>34</v>
      </c>
      <c r="P26" s="46">
        <f>Tayonara!H19</f>
        <v>1368</v>
      </c>
      <c r="Q26" s="43">
        <f t="shared" si="6"/>
        <v>3632</v>
      </c>
      <c r="R26" s="35">
        <f>Tayonara!U20</f>
        <v>0</v>
      </c>
      <c r="S26" s="35">
        <f>Tayonara!AC20</f>
        <v>0</v>
      </c>
      <c r="T26" s="36">
        <f>Tayonara!AK20</f>
        <v>0</v>
      </c>
      <c r="V26" s="38" t="s">
        <v>34</v>
      </c>
      <c r="W26" s="46">
        <f>CAR_08!H19</f>
        <v>0</v>
      </c>
      <c r="X26" s="43">
        <f t="shared" si="7"/>
        <v>5000</v>
      </c>
      <c r="Y26" s="35">
        <f>CAR_08!U200</f>
        <v>0</v>
      </c>
      <c r="Z26" s="35">
        <f>CAR_08!AE20</f>
        <v>0</v>
      </c>
      <c r="AA26" s="36">
        <f>CAR_08!AN200</f>
        <v>0</v>
      </c>
    </row>
    <row r="27" spans="1:27" x14ac:dyDescent="0.25">
      <c r="A27" s="38" t="s">
        <v>35</v>
      </c>
      <c r="B27" s="46">
        <f>'Tayonara-Desmob'!H23</f>
        <v>0</v>
      </c>
      <c r="C27" s="43">
        <f t="shared" si="4"/>
        <v>5000</v>
      </c>
      <c r="D27" s="35">
        <f>'Tayonara-Desmob'!U24</f>
        <v>0</v>
      </c>
      <c r="E27" s="35">
        <f>'Tayonara-Desmob'!AC24</f>
        <v>0</v>
      </c>
      <c r="F27" s="36">
        <f>'Tayonara-Desmob'!AK24</f>
        <v>0</v>
      </c>
      <c r="H27" s="38" t="s">
        <v>35</v>
      </c>
      <c r="I27" s="46">
        <f>'Eucilene-Desmobi'!H23</f>
        <v>0</v>
      </c>
      <c r="J27" s="43">
        <f t="shared" si="5"/>
        <v>5000</v>
      </c>
      <c r="K27" s="35">
        <f>'Eucilene-Desmobi'!U24</f>
        <v>0</v>
      </c>
      <c r="L27" s="35">
        <f>'Eucilene-Desmobi'!AC24</f>
        <v>0</v>
      </c>
      <c r="M27" s="36">
        <f>'Eucilene-Desmobi'!AK24</f>
        <v>0</v>
      </c>
      <c r="O27" s="38" t="s">
        <v>35</v>
      </c>
      <c r="P27" s="46">
        <f>Tayonara!H23</f>
        <v>1728</v>
      </c>
      <c r="Q27" s="43">
        <f t="shared" si="6"/>
        <v>3272</v>
      </c>
      <c r="R27" s="35">
        <f>Tayonara!U24</f>
        <v>0</v>
      </c>
      <c r="S27" s="35">
        <f>Tayonara!AC24</f>
        <v>0</v>
      </c>
      <c r="T27" s="36">
        <f>Tayonara!AK24</f>
        <v>0</v>
      </c>
      <c r="V27" s="38" t="s">
        <v>35</v>
      </c>
      <c r="W27" s="46">
        <f>CAR_08!H23</f>
        <v>0</v>
      </c>
      <c r="X27" s="43">
        <f t="shared" si="7"/>
        <v>5000</v>
      </c>
      <c r="Y27" s="35">
        <f>CAR_08!U24</f>
        <v>0</v>
      </c>
      <c r="Z27" s="35">
        <f>CAR_08!AE24</f>
        <v>0</v>
      </c>
      <c r="AA27" s="36">
        <f>CAR_08!AN24</f>
        <v>0</v>
      </c>
    </row>
    <row r="28" spans="1:27" x14ac:dyDescent="0.25">
      <c r="A28" s="38" t="s">
        <v>36</v>
      </c>
      <c r="B28" s="46">
        <f>'Tayonara-Desmob'!H27</f>
        <v>1806</v>
      </c>
      <c r="C28" s="43">
        <f t="shared" si="4"/>
        <v>3194</v>
      </c>
      <c r="D28" s="35">
        <f>'Tayonara-Desmob'!U28</f>
        <v>1012.19</v>
      </c>
      <c r="E28" s="35">
        <f>'Tayonara-Desmob'!AC28</f>
        <v>0</v>
      </c>
      <c r="F28" s="36">
        <f>'Tayonara-Desmob'!AK28</f>
        <v>0</v>
      </c>
      <c r="H28" s="38" t="s">
        <v>36</v>
      </c>
      <c r="I28" s="46">
        <f>'Eucilene-Desmobi'!H27</f>
        <v>0</v>
      </c>
      <c r="J28" s="43">
        <f t="shared" si="5"/>
        <v>5000</v>
      </c>
      <c r="K28" s="35">
        <f>'Eucilene-Desmobi'!U28</f>
        <v>0</v>
      </c>
      <c r="L28" s="35">
        <f>'Eucilene-Desmobi'!AC28</f>
        <v>0</v>
      </c>
      <c r="M28" s="36">
        <f>'Eucilene-Desmobi'!AK28</f>
        <v>0</v>
      </c>
      <c r="O28" s="38" t="s">
        <v>36</v>
      </c>
      <c r="P28" s="46">
        <f>Tayonara!H27</f>
        <v>0</v>
      </c>
      <c r="Q28" s="43">
        <f t="shared" si="6"/>
        <v>5000</v>
      </c>
      <c r="R28" s="35">
        <f>Tayonara!U28</f>
        <v>0</v>
      </c>
      <c r="S28" s="35">
        <f>Tayonara!AC28</f>
        <v>0</v>
      </c>
      <c r="T28" s="36">
        <f>Tayonara!AK28</f>
        <v>0</v>
      </c>
      <c r="V28" s="38" t="s">
        <v>36</v>
      </c>
      <c r="W28" s="46">
        <f>CAR_08!H27</f>
        <v>0</v>
      </c>
      <c r="X28" s="43">
        <f t="shared" si="7"/>
        <v>5000</v>
      </c>
      <c r="Y28" s="35">
        <f>CAR_08!U28</f>
        <v>0</v>
      </c>
      <c r="Z28" s="35">
        <f>CAR_08!AE28</f>
        <v>0</v>
      </c>
      <c r="AA28" s="36">
        <f>CAR_08!AN28</f>
        <v>0</v>
      </c>
    </row>
    <row r="29" spans="1:27" x14ac:dyDescent="0.25">
      <c r="A29" s="38" t="s">
        <v>37</v>
      </c>
      <c r="B29" s="46">
        <f>'Tayonara-Desmob'!H31</f>
        <v>2372</v>
      </c>
      <c r="C29" s="43">
        <f t="shared" si="4"/>
        <v>2628</v>
      </c>
      <c r="D29" s="35">
        <f>'Tayonara-Desmob'!U32</f>
        <v>1477.5199999999998</v>
      </c>
      <c r="E29" s="35">
        <f>'Tayonara-Desmob'!AC32</f>
        <v>0</v>
      </c>
      <c r="F29" s="36">
        <f>'Tayonara-Desmob'!AK32</f>
        <v>0</v>
      </c>
      <c r="H29" s="38" t="s">
        <v>37</v>
      </c>
      <c r="I29" s="46">
        <f>'Eucilene-Desmobi'!H31</f>
        <v>0</v>
      </c>
      <c r="J29" s="43">
        <f t="shared" si="5"/>
        <v>5000</v>
      </c>
      <c r="K29" s="35">
        <f>'Eucilene-Desmobi'!U32</f>
        <v>0</v>
      </c>
      <c r="L29" s="35">
        <f>'Eucilene-Desmobi'!AC32</f>
        <v>0</v>
      </c>
      <c r="M29" s="36">
        <f>'Eucilene-Desmobi'!AK32</f>
        <v>0</v>
      </c>
      <c r="O29" s="38" t="s">
        <v>37</v>
      </c>
      <c r="P29" s="46">
        <f>Tayonara!H31</f>
        <v>0</v>
      </c>
      <c r="Q29" s="43">
        <f t="shared" si="6"/>
        <v>5000</v>
      </c>
      <c r="R29" s="35">
        <f>Tayonara!U32</f>
        <v>0</v>
      </c>
      <c r="S29" s="35">
        <f>Tayonara!AC32</f>
        <v>0</v>
      </c>
      <c r="T29" s="36">
        <f>Tayonara!AK32</f>
        <v>0</v>
      </c>
      <c r="V29" s="38" t="s">
        <v>37</v>
      </c>
      <c r="W29" s="46">
        <f>CAR_08!H31</f>
        <v>0</v>
      </c>
      <c r="X29" s="43">
        <f t="shared" si="7"/>
        <v>5000</v>
      </c>
      <c r="Y29" s="35">
        <f>CAR_08!U32</f>
        <v>0</v>
      </c>
      <c r="Z29" s="35">
        <f>CAR_08!AE32</f>
        <v>0</v>
      </c>
      <c r="AA29" s="36">
        <f>CAR_08!AN32</f>
        <v>0</v>
      </c>
    </row>
    <row r="30" spans="1:27" x14ac:dyDescent="0.25">
      <c r="A30" s="38" t="s">
        <v>38</v>
      </c>
      <c r="B30" s="46">
        <f>'Tayonara-Desmob'!H35</f>
        <v>1433</v>
      </c>
      <c r="C30" s="43">
        <f t="shared" si="4"/>
        <v>3567</v>
      </c>
      <c r="D30" s="35">
        <f>'Tayonara-Desmob'!U36</f>
        <v>816.96</v>
      </c>
      <c r="E30" s="35">
        <f>'Tayonara-Desmob'!AC36</f>
        <v>0</v>
      </c>
      <c r="F30" s="36">
        <f>'Tayonara-Desmob'!AK36</f>
        <v>0</v>
      </c>
      <c r="H30" s="38" t="s">
        <v>38</v>
      </c>
      <c r="I30" s="46">
        <f>'Eucilene-Desmobi'!H35</f>
        <v>0</v>
      </c>
      <c r="J30" s="43">
        <f t="shared" si="5"/>
        <v>5000</v>
      </c>
      <c r="K30" s="35">
        <f>'Eucilene-Desmobi'!U36</f>
        <v>0</v>
      </c>
      <c r="L30" s="35">
        <f>'Eucilene-Desmobi'!AC36</f>
        <v>0</v>
      </c>
      <c r="M30" s="36">
        <f>'Eucilene-Desmobi'!AK36</f>
        <v>0</v>
      </c>
      <c r="O30" s="38" t="s">
        <v>38</v>
      </c>
      <c r="P30" s="46">
        <f>Tayonara!H35</f>
        <v>0</v>
      </c>
      <c r="Q30" s="43">
        <f t="shared" si="6"/>
        <v>5000</v>
      </c>
      <c r="R30" s="35">
        <f>Tayonara!U36</f>
        <v>0</v>
      </c>
      <c r="S30" s="35">
        <f>Tayonara!AC36</f>
        <v>0</v>
      </c>
      <c r="T30" s="36">
        <f>Tayonara!AK36</f>
        <v>0</v>
      </c>
      <c r="V30" s="38" t="s">
        <v>38</v>
      </c>
      <c r="W30" s="46">
        <f>CAR_08!H35</f>
        <v>0</v>
      </c>
      <c r="X30" s="43">
        <f t="shared" si="7"/>
        <v>5000</v>
      </c>
      <c r="Y30" s="35">
        <f>CAR_08!U36</f>
        <v>0</v>
      </c>
      <c r="Z30" s="35">
        <f>CAR_08!AE36</f>
        <v>0</v>
      </c>
      <c r="AA30" s="36">
        <f>CAR_08!AN36</f>
        <v>0</v>
      </c>
    </row>
    <row r="31" spans="1:27" x14ac:dyDescent="0.25">
      <c r="A31" s="38" t="s">
        <v>39</v>
      </c>
      <c r="B31" s="46">
        <f>'Tayonara-Desmob'!H39</f>
        <v>1521</v>
      </c>
      <c r="C31" s="43">
        <f t="shared" si="4"/>
        <v>3479</v>
      </c>
      <c r="D31" s="35">
        <f>'Tayonara-Desmob'!U40</f>
        <v>1008.6899999999999</v>
      </c>
      <c r="E31" s="35">
        <f>'Tayonara-Desmob'!AC40</f>
        <v>0</v>
      </c>
      <c r="F31" s="36">
        <f>'Tayonara-Desmob'!AK4</f>
        <v>0</v>
      </c>
      <c r="H31" s="38" t="s">
        <v>39</v>
      </c>
      <c r="I31" s="46">
        <f>'Eucilene-Desmobi'!H39</f>
        <v>664</v>
      </c>
      <c r="J31" s="43">
        <f t="shared" si="5"/>
        <v>4336</v>
      </c>
      <c r="K31" s="35">
        <f>'Eucilene-Desmobi'!U40</f>
        <v>0</v>
      </c>
      <c r="L31" s="35">
        <f>'Eucilene-Desmobi'!AC40</f>
        <v>0</v>
      </c>
      <c r="M31" s="36">
        <f>'Eucilene-Desmobi'!AK40</f>
        <v>0</v>
      </c>
      <c r="O31" s="38" t="s">
        <v>39</v>
      </c>
      <c r="P31" s="46">
        <f>Tayonara!H39</f>
        <v>0</v>
      </c>
      <c r="Q31" s="43">
        <f t="shared" si="6"/>
        <v>5000</v>
      </c>
      <c r="R31" s="35">
        <f>Tayonara!U40</f>
        <v>0</v>
      </c>
      <c r="S31" s="35">
        <f>Tayonara!AC40</f>
        <v>0</v>
      </c>
      <c r="T31" s="36">
        <f>Tayonara!AK40</f>
        <v>0</v>
      </c>
      <c r="V31" s="38" t="s">
        <v>39</v>
      </c>
      <c r="W31" s="46">
        <f>CAR_08!H39</f>
        <v>0</v>
      </c>
      <c r="X31" s="43">
        <f t="shared" si="7"/>
        <v>5000</v>
      </c>
      <c r="Y31" s="35">
        <f>CAR_08!U40</f>
        <v>0</v>
      </c>
      <c r="Z31" s="35">
        <f>CAR_08!AE40</f>
        <v>0</v>
      </c>
      <c r="AA31" s="36">
        <f>CAR_08!AN40</f>
        <v>0</v>
      </c>
    </row>
    <row r="32" spans="1:27" x14ac:dyDescent="0.25">
      <c r="A32" s="38" t="s">
        <v>40</v>
      </c>
      <c r="B32" s="46">
        <f>'Tayonara-Desmob'!H43</f>
        <v>1801</v>
      </c>
      <c r="C32" s="43">
        <f t="shared" si="4"/>
        <v>3199</v>
      </c>
      <c r="D32" s="35">
        <f>'Tayonara-Desmob'!U44</f>
        <v>1092.1799999999998</v>
      </c>
      <c r="E32" s="35">
        <f>'Tayonara-Desmob'!AC44</f>
        <v>0</v>
      </c>
      <c r="F32" s="36">
        <f>'Tayonara-Desmob'!AK44</f>
        <v>0</v>
      </c>
      <c r="H32" s="38" t="s">
        <v>40</v>
      </c>
      <c r="I32" s="46">
        <f>'Eucilene-Desmobi'!H43</f>
        <v>1269</v>
      </c>
      <c r="J32" s="43">
        <f t="shared" si="5"/>
        <v>3731</v>
      </c>
      <c r="K32" s="35">
        <f>'Eucilene-Desmobi'!U44</f>
        <v>865.2299999999999</v>
      </c>
      <c r="L32" s="35">
        <f>'Eucilene-Desmobi'!AC44</f>
        <v>0</v>
      </c>
      <c r="M32" s="36">
        <f>'Eucilene-Desmobi'!AK44</f>
        <v>0</v>
      </c>
      <c r="O32" s="38" t="s">
        <v>40</v>
      </c>
      <c r="P32" s="46">
        <f>Tayonara!H43</f>
        <v>0</v>
      </c>
      <c r="Q32" s="43">
        <f t="shared" si="6"/>
        <v>5000</v>
      </c>
      <c r="R32" s="35">
        <f>Tayonara!U44</f>
        <v>0</v>
      </c>
      <c r="S32" s="35">
        <f>Tayonara!AC44</f>
        <v>0</v>
      </c>
      <c r="T32" s="36">
        <f>Tayonara!AK44</f>
        <v>0</v>
      </c>
      <c r="V32" s="38" t="s">
        <v>40</v>
      </c>
      <c r="W32" s="46">
        <f>CAR_08!H43</f>
        <v>0</v>
      </c>
      <c r="X32" s="43">
        <f t="shared" si="7"/>
        <v>5000</v>
      </c>
      <c r="Y32" s="35">
        <f>CAR_08!U44</f>
        <v>0</v>
      </c>
      <c r="Z32" s="35">
        <f>CAR_08!AE44</f>
        <v>0</v>
      </c>
      <c r="AA32" s="36">
        <f>CAR_08!AN44</f>
        <v>0</v>
      </c>
    </row>
    <row r="33" spans="1:27" x14ac:dyDescent="0.25">
      <c r="A33" s="38" t="s">
        <v>41</v>
      </c>
      <c r="B33" s="46">
        <f>'Tayonara-Desmob'!H47</f>
        <v>2227</v>
      </c>
      <c r="C33" s="43">
        <f t="shared" si="4"/>
        <v>2773</v>
      </c>
      <c r="D33" s="35">
        <f>'Tayonara-Desmob'!U48</f>
        <v>1137.79</v>
      </c>
      <c r="E33" s="35">
        <f>'Tayonara-Desmob'!AC48</f>
        <v>0</v>
      </c>
      <c r="F33" s="36">
        <f>'Tayonara-Desmob'!AK48</f>
        <v>0</v>
      </c>
      <c r="H33" s="38" t="s">
        <v>41</v>
      </c>
      <c r="I33" s="46">
        <f>'Eucilene-Desmobi'!H47</f>
        <v>955</v>
      </c>
      <c r="J33" s="43">
        <f t="shared" si="5"/>
        <v>4045</v>
      </c>
      <c r="K33" s="35">
        <f>'Eucilene-Desmobi'!U48</f>
        <v>512.20000000000005</v>
      </c>
      <c r="L33" s="35">
        <f>'Eucilene-Desmobi'!AC48</f>
        <v>0</v>
      </c>
      <c r="M33" s="36">
        <f>'Eucilene-Desmobi'!AK48</f>
        <v>0</v>
      </c>
      <c r="O33" s="38" t="s">
        <v>41</v>
      </c>
      <c r="P33" s="46">
        <f>Tayonara!H47</f>
        <v>0</v>
      </c>
      <c r="Q33" s="43">
        <f t="shared" si="6"/>
        <v>5000</v>
      </c>
      <c r="R33" s="35">
        <f>Tayonara!U48</f>
        <v>0</v>
      </c>
      <c r="S33" s="35">
        <f>Tayonara!AC48</f>
        <v>0</v>
      </c>
      <c r="T33" s="36">
        <f>Tayonara!AK48</f>
        <v>0</v>
      </c>
      <c r="V33" s="38" t="s">
        <v>41</v>
      </c>
      <c r="W33" s="46">
        <f>CAR_08!H47</f>
        <v>0</v>
      </c>
      <c r="X33" s="43">
        <f t="shared" si="7"/>
        <v>5000</v>
      </c>
      <c r="Y33" s="35">
        <f>CAR_08!U48</f>
        <v>0</v>
      </c>
      <c r="Z33" s="35">
        <f>CAR_08!AE48</f>
        <v>0</v>
      </c>
      <c r="AA33" s="36">
        <f>CAR_08!AN48</f>
        <v>0</v>
      </c>
    </row>
    <row r="34" spans="1:27" ht="15.75" thickBot="1" x14ac:dyDescent="0.3">
      <c r="A34" s="39" t="s">
        <v>42</v>
      </c>
      <c r="B34" s="47">
        <f>'Tayonara-Desmob'!H51</f>
        <v>1548</v>
      </c>
      <c r="C34" s="44">
        <f t="shared" si="4"/>
        <v>3452</v>
      </c>
      <c r="D34" s="11">
        <f>'Tayonara-Desmob'!U52</f>
        <v>972.64</v>
      </c>
      <c r="E34" s="11">
        <f>'Tayonara-Desmob'!AC52</f>
        <v>0</v>
      </c>
      <c r="F34" s="12">
        <f>'Tayonara-Desmob'!AK52</f>
        <v>0</v>
      </c>
      <c r="H34" s="39" t="s">
        <v>42</v>
      </c>
      <c r="I34" s="47">
        <f>'Eucilene-Desmobi'!H51</f>
        <v>1576</v>
      </c>
      <c r="J34" s="44">
        <f t="shared" si="5"/>
        <v>3424</v>
      </c>
      <c r="K34" s="11">
        <f>'Eucilene-Desmobi'!U52</f>
        <v>238</v>
      </c>
      <c r="L34" s="11">
        <f>'Eucilene-Desmobi'!AC52</f>
        <v>0</v>
      </c>
      <c r="M34" s="12">
        <f>'Eucilene-Desmobi'!AK52</f>
        <v>0</v>
      </c>
      <c r="O34" s="39" t="s">
        <v>42</v>
      </c>
      <c r="P34" s="47">
        <f>Tayonara!H51</f>
        <v>0</v>
      </c>
      <c r="Q34" s="44">
        <f t="shared" si="6"/>
        <v>5000</v>
      </c>
      <c r="R34" s="11">
        <f>Tayonara!U52</f>
        <v>0</v>
      </c>
      <c r="S34" s="11">
        <f>Tayonara!AC52</f>
        <v>0</v>
      </c>
      <c r="T34" s="12">
        <f>Tayonara!AK52</f>
        <v>0</v>
      </c>
      <c r="V34" s="39" t="s">
        <v>42</v>
      </c>
      <c r="W34" s="47">
        <f>CAR_08!H51</f>
        <v>0</v>
      </c>
      <c r="X34" s="44">
        <f t="shared" si="7"/>
        <v>5000</v>
      </c>
      <c r="Y34" s="11">
        <f>CAR_08!U52</f>
        <v>0</v>
      </c>
      <c r="Z34" s="11">
        <f>CAR_08!AE52</f>
        <v>0</v>
      </c>
      <c r="AA34" s="12">
        <f>CAR_08!AN52</f>
        <v>0</v>
      </c>
    </row>
    <row r="35" spans="1:27" ht="15.75" thickBot="1" x14ac:dyDescent="0.3"/>
    <row r="36" spans="1:27" ht="15.75" thickBot="1" x14ac:dyDescent="0.3">
      <c r="A36" s="3" t="s">
        <v>23</v>
      </c>
      <c r="B36" s="52">
        <f>SUM(B23:B34)</f>
        <v>12708</v>
      </c>
      <c r="C36" s="51"/>
      <c r="D36" s="50">
        <f>SUM(D23:D34)</f>
        <v>7517.9699999999993</v>
      </c>
      <c r="E36" s="49">
        <f>SUM(E23:E34)</f>
        <v>0</v>
      </c>
      <c r="F36" s="48">
        <f>SUM(F23:F34)</f>
        <v>0</v>
      </c>
      <c r="H36" s="3" t="s">
        <v>23</v>
      </c>
      <c r="I36" s="52">
        <f>SUM(I23:I34)</f>
        <v>4464</v>
      </c>
      <c r="J36" s="51"/>
      <c r="K36" s="50">
        <f>SUM(K23:K34)</f>
        <v>1615.4299999999998</v>
      </c>
      <c r="L36" s="49">
        <f>SUM(L23:L34)</f>
        <v>0</v>
      </c>
      <c r="M36" s="48">
        <f>SUM(M23:M34)</f>
        <v>0</v>
      </c>
      <c r="O36" s="3" t="s">
        <v>23</v>
      </c>
      <c r="P36" s="52">
        <f>SUM(P23:P34)</f>
        <v>5339</v>
      </c>
      <c r="Q36" s="51"/>
      <c r="R36" s="50">
        <f>SUM(R23:R34)</f>
        <v>0</v>
      </c>
      <c r="S36" s="49">
        <f>SUM(S23:S34)</f>
        <v>0</v>
      </c>
      <c r="T36" s="48">
        <f>SUM(T23:T34)</f>
        <v>0</v>
      </c>
      <c r="V36" s="3" t="s">
        <v>23</v>
      </c>
      <c r="W36" s="52">
        <f>SUM(W23:W34)</f>
        <v>0</v>
      </c>
      <c r="X36" s="51"/>
      <c r="Y36" s="50">
        <f>SUM(Y23:Y34)</f>
        <v>0</v>
      </c>
      <c r="Z36" s="49">
        <f>SUM(Z23:Z34)</f>
        <v>0</v>
      </c>
      <c r="AA36" s="48">
        <f>SUM(AA23:AA34)</f>
        <v>0</v>
      </c>
    </row>
    <row r="37" spans="1:27" ht="15.75" thickBot="1" x14ac:dyDescent="0.3">
      <c r="A37" s="3" t="s">
        <v>44</v>
      </c>
      <c r="B37" s="23">
        <f>SUM(60000-B36)</f>
        <v>47292</v>
      </c>
      <c r="H37" s="3" t="s">
        <v>44</v>
      </c>
      <c r="I37" s="23">
        <f>SUM(60000-I36)</f>
        <v>55536</v>
      </c>
      <c r="O37" s="3" t="s">
        <v>44</v>
      </c>
      <c r="P37" s="23">
        <f>SUM(60000-P36)</f>
        <v>54661</v>
      </c>
      <c r="V37" s="3" t="s">
        <v>44</v>
      </c>
      <c r="W37" s="23">
        <f>SUM(60000-W36)</f>
        <v>60000</v>
      </c>
    </row>
    <row r="40" spans="1:27" ht="15.75" thickBot="1" x14ac:dyDescent="0.3">
      <c r="B40" s="89" t="s">
        <v>53</v>
      </c>
      <c r="C40" s="89"/>
      <c r="D40" s="89"/>
      <c r="E40" s="89"/>
      <c r="F40" s="89"/>
      <c r="I40" s="89" t="s">
        <v>54</v>
      </c>
      <c r="J40" s="89"/>
      <c r="K40" s="89"/>
      <c r="L40" s="89"/>
      <c r="M40" s="89"/>
      <c r="P40" s="89" t="s">
        <v>55</v>
      </c>
      <c r="Q40" s="89"/>
      <c r="R40" s="89"/>
      <c r="S40" s="89"/>
      <c r="T40" s="89"/>
      <c r="W40" s="89" t="s">
        <v>56</v>
      </c>
      <c r="X40" s="89"/>
      <c r="Y40" s="89"/>
      <c r="Z40" s="89"/>
      <c r="AA40" s="89"/>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CAR_09!H11</f>
        <v>0</v>
      </c>
      <c r="C43" s="43">
        <f>SUM(5000-B43)</f>
        <v>5000</v>
      </c>
      <c r="D43" s="35">
        <f>CAR_09!U12</f>
        <v>0</v>
      </c>
      <c r="E43" s="35">
        <f>CAR_09!AE12</f>
        <v>0</v>
      </c>
      <c r="F43" s="36">
        <f>CAR_09!AN12</f>
        <v>0</v>
      </c>
      <c r="H43" s="38" t="s">
        <v>32</v>
      </c>
      <c r="I43" s="46">
        <f>CAR_10!H11</f>
        <v>4460</v>
      </c>
      <c r="J43" s="43">
        <f>SUM(5000-I43)</f>
        <v>540</v>
      </c>
      <c r="K43" s="35">
        <f>CAR_10!U12</f>
        <v>0</v>
      </c>
      <c r="L43" s="35">
        <f>CAR_10!AE12</f>
        <v>0</v>
      </c>
      <c r="M43" s="36">
        <f>CAR_10!AN12</f>
        <v>0</v>
      </c>
      <c r="O43" s="38" t="s">
        <v>32</v>
      </c>
      <c r="P43" s="46">
        <f>CAR_11!H11</f>
        <v>0</v>
      </c>
      <c r="Q43" s="43">
        <f>SUM(5000-P43)</f>
        <v>5000</v>
      </c>
      <c r="R43" s="35">
        <f>CAR_11!U12</f>
        <v>0</v>
      </c>
      <c r="S43" s="35">
        <f>CAR_11!AE12</f>
        <v>0</v>
      </c>
      <c r="T43" s="36">
        <f>CAR_11!AN12</f>
        <v>0</v>
      </c>
      <c r="V43" s="38" t="s">
        <v>32</v>
      </c>
      <c r="W43" s="46">
        <f>CAR_12!H11</f>
        <v>0</v>
      </c>
      <c r="X43" s="43">
        <f>SUM(5000-W43)</f>
        <v>5000</v>
      </c>
      <c r="Y43" s="35">
        <f>CAR_12!U12</f>
        <v>0</v>
      </c>
      <c r="Z43" s="35">
        <f>CAR_12!AE12</f>
        <v>0</v>
      </c>
      <c r="AA43" s="36">
        <f>CAR_12!AN12</f>
        <v>0</v>
      </c>
    </row>
    <row r="44" spans="1:27" x14ac:dyDescent="0.25">
      <c r="A44" s="38" t="s">
        <v>33</v>
      </c>
      <c r="B44" s="46">
        <f>CAR_09!H15</f>
        <v>0</v>
      </c>
      <c r="C44" s="43">
        <f t="shared" ref="C44:C53" si="8">SUM(5000-B44)</f>
        <v>5000</v>
      </c>
      <c r="D44" s="35">
        <f>CAR_09!U16</f>
        <v>0</v>
      </c>
      <c r="E44" s="35">
        <f>CAR_09!AE16</f>
        <v>0</v>
      </c>
      <c r="F44" s="36">
        <f>CAR_09!AN16</f>
        <v>0</v>
      </c>
      <c r="H44" s="38" t="s">
        <v>33</v>
      </c>
      <c r="I44" s="46">
        <f>CAR_10!H15</f>
        <v>4460</v>
      </c>
      <c r="J44" s="43">
        <f t="shared" ref="J44:J53" si="9">SUM(5000-I44)</f>
        <v>540</v>
      </c>
      <c r="K44" s="35">
        <f>CAR_10!U16</f>
        <v>0</v>
      </c>
      <c r="L44" s="35">
        <f>CAR_10!AE16</f>
        <v>0</v>
      </c>
      <c r="M44" s="36">
        <f>CAR_10!AN16</f>
        <v>0</v>
      </c>
      <c r="O44" s="38" t="s">
        <v>33</v>
      </c>
      <c r="P44" s="46">
        <f>CAR_11!H15</f>
        <v>0</v>
      </c>
      <c r="Q44" s="43">
        <f t="shared" ref="Q44:Q53" si="10">SUM(5000-P44)</f>
        <v>5000</v>
      </c>
      <c r="R44" s="35">
        <f>CAR_11!U16</f>
        <v>0</v>
      </c>
      <c r="S44" s="35">
        <f>CAR_11!AE16</f>
        <v>0</v>
      </c>
      <c r="T44" s="36">
        <f>CAR_11!AN16</f>
        <v>0</v>
      </c>
      <c r="V44" s="38" t="s">
        <v>33</v>
      </c>
      <c r="W44" s="46">
        <f>CAR_12!H15</f>
        <v>0</v>
      </c>
      <c r="X44" s="43">
        <f t="shared" ref="X44:X53" si="11">SUM(5000-W44)</f>
        <v>5000</v>
      </c>
      <c r="Y44" s="35">
        <f>CAR_12!U16</f>
        <v>0</v>
      </c>
      <c r="Z44" s="35">
        <f>CAR_12!AE16</f>
        <v>0</v>
      </c>
      <c r="AA44" s="36">
        <f>CAR_12!AN16</f>
        <v>0</v>
      </c>
    </row>
    <row r="45" spans="1:27" x14ac:dyDescent="0.25">
      <c r="A45" s="38" t="s">
        <v>34</v>
      </c>
      <c r="B45" s="46">
        <f>CAR_09!H19</f>
        <v>0</v>
      </c>
      <c r="C45" s="43">
        <f t="shared" si="8"/>
        <v>5000</v>
      </c>
      <c r="D45" s="35">
        <f>CAR_09!U20</f>
        <v>0</v>
      </c>
      <c r="E45" s="35">
        <f>CAR_09!AE20</f>
        <v>0</v>
      </c>
      <c r="F45" s="36">
        <f>CAR_09!AN20</f>
        <v>0</v>
      </c>
      <c r="H45" s="38" t="s">
        <v>34</v>
      </c>
      <c r="I45" s="46">
        <f>CAR_10!H19</f>
        <v>4460</v>
      </c>
      <c r="J45" s="43">
        <f t="shared" si="9"/>
        <v>540</v>
      </c>
      <c r="K45" s="35">
        <f>CAR_10!U20</f>
        <v>0</v>
      </c>
      <c r="L45" s="35">
        <f>CAR_10!AE20</f>
        <v>0</v>
      </c>
      <c r="M45" s="36">
        <f>CAR_10!AN20</f>
        <v>0</v>
      </c>
      <c r="O45" s="38" t="s">
        <v>34</v>
      </c>
      <c r="P45" s="46">
        <f>CAR_11!H19</f>
        <v>0</v>
      </c>
      <c r="Q45" s="43">
        <f t="shared" si="10"/>
        <v>5000</v>
      </c>
      <c r="R45" s="35">
        <f>CAR_11!U20</f>
        <v>0</v>
      </c>
      <c r="S45" s="35">
        <f>CAR_11!AE20</f>
        <v>0</v>
      </c>
      <c r="T45" s="36">
        <f>CAR_11!AN20</f>
        <v>0</v>
      </c>
      <c r="V45" s="38" t="s">
        <v>34</v>
      </c>
      <c r="W45" s="46">
        <f>CAR_12!H19</f>
        <v>0</v>
      </c>
      <c r="X45" s="43">
        <f t="shared" si="11"/>
        <v>5000</v>
      </c>
      <c r="Y45" s="35">
        <f>CAR_12!U20</f>
        <v>0</v>
      </c>
      <c r="Z45" s="35">
        <f>CAR_12!AE20</f>
        <v>0</v>
      </c>
      <c r="AA45" s="36">
        <f>CAR_12!AN20</f>
        <v>0</v>
      </c>
    </row>
    <row r="46" spans="1:27" x14ac:dyDescent="0.25">
      <c r="A46" s="38" t="s">
        <v>35</v>
      </c>
      <c r="B46" s="46">
        <f>CAR_09!H23</f>
        <v>0</v>
      </c>
      <c r="C46" s="43">
        <f t="shared" si="8"/>
        <v>5000</v>
      </c>
      <c r="D46" s="35">
        <f>CAR_09!U24</f>
        <v>0</v>
      </c>
      <c r="E46" s="35">
        <f>CAR_09!AE24</f>
        <v>0</v>
      </c>
      <c r="F46" s="36">
        <f>CAR_09!AN24</f>
        <v>0</v>
      </c>
      <c r="H46" s="38" t="s">
        <v>35</v>
      </c>
      <c r="I46" s="46">
        <f>CAR_10!H23</f>
        <v>0</v>
      </c>
      <c r="J46" s="43">
        <f t="shared" si="9"/>
        <v>5000</v>
      </c>
      <c r="K46" s="35">
        <f>CAR_10!U24</f>
        <v>0</v>
      </c>
      <c r="L46" s="35">
        <f>CAR_10!AE24</f>
        <v>0</v>
      </c>
      <c r="M46" s="36">
        <f>CAR_10!AN24</f>
        <v>0</v>
      </c>
      <c r="O46" s="38" t="s">
        <v>35</v>
      </c>
      <c r="P46" s="46">
        <f>CAR_11!H23</f>
        <v>0</v>
      </c>
      <c r="Q46" s="43">
        <f t="shared" si="10"/>
        <v>5000</v>
      </c>
      <c r="R46" s="35">
        <f>CAR_11!U24</f>
        <v>0</v>
      </c>
      <c r="S46" s="35">
        <f>CAR_11!AE24</f>
        <v>0</v>
      </c>
      <c r="T46" s="36">
        <f>CAR_11!AN24</f>
        <v>0</v>
      </c>
      <c r="V46" s="38" t="s">
        <v>35</v>
      </c>
      <c r="W46" s="46">
        <f>CAR_12!H23</f>
        <v>0</v>
      </c>
      <c r="X46" s="43">
        <f t="shared" si="11"/>
        <v>5000</v>
      </c>
      <c r="Y46" s="35">
        <f>CAR_12!U24</f>
        <v>0</v>
      </c>
      <c r="Z46" s="35">
        <f>CAR_12!AE24</f>
        <v>0</v>
      </c>
      <c r="AA46" s="36">
        <f>CAR_12!AN24</f>
        <v>0</v>
      </c>
    </row>
    <row r="47" spans="1:27" x14ac:dyDescent="0.25">
      <c r="A47" s="38" t="s">
        <v>36</v>
      </c>
      <c r="B47" s="46">
        <f>CAR_09!H27</f>
        <v>0</v>
      </c>
      <c r="C47" s="43">
        <f t="shared" si="8"/>
        <v>5000</v>
      </c>
      <c r="D47" s="35">
        <f>CAR_09!U28</f>
        <v>0</v>
      </c>
      <c r="E47" s="35">
        <f>CAR_09!AE28</f>
        <v>0</v>
      </c>
      <c r="F47" s="36">
        <f>CAR_09!AN28</f>
        <v>0</v>
      </c>
      <c r="H47" s="38" t="s">
        <v>36</v>
      </c>
      <c r="I47" s="46">
        <f>CAR_10!H27</f>
        <v>0</v>
      </c>
      <c r="J47" s="43">
        <f t="shared" si="9"/>
        <v>5000</v>
      </c>
      <c r="K47" s="35">
        <f>CAR_10!U28</f>
        <v>0</v>
      </c>
      <c r="L47" s="35">
        <f>CAR_10!AE28</f>
        <v>0</v>
      </c>
      <c r="M47" s="36">
        <f>CAR_10!AN28</f>
        <v>0</v>
      </c>
      <c r="O47" s="38" t="s">
        <v>36</v>
      </c>
      <c r="P47" s="46">
        <f>CAR_11!H27</f>
        <v>0</v>
      </c>
      <c r="Q47" s="43">
        <f t="shared" si="10"/>
        <v>5000</v>
      </c>
      <c r="R47" s="35">
        <f>CAR_11!U28</f>
        <v>0</v>
      </c>
      <c r="S47" s="35">
        <f>CAR_11!AE28</f>
        <v>0</v>
      </c>
      <c r="T47" s="36">
        <f>CAR_11!AN28</f>
        <v>0</v>
      </c>
      <c r="V47" s="38" t="s">
        <v>36</v>
      </c>
      <c r="W47" s="46">
        <f>CAR_12!H27</f>
        <v>0</v>
      </c>
      <c r="X47" s="43">
        <f t="shared" si="11"/>
        <v>5000</v>
      </c>
      <c r="Y47" s="35">
        <f>CAR_12!U28</f>
        <v>0</v>
      </c>
      <c r="Z47" s="35">
        <f>CAR_12!AE28</f>
        <v>0</v>
      </c>
      <c r="AA47" s="36">
        <f>CAR_12!AN28</f>
        <v>0</v>
      </c>
    </row>
    <row r="48" spans="1:27" x14ac:dyDescent="0.25">
      <c r="A48" s="38" t="s">
        <v>37</v>
      </c>
      <c r="B48" s="46">
        <f>CAR_09!H31</f>
        <v>0</v>
      </c>
      <c r="C48" s="43">
        <f t="shared" si="8"/>
        <v>5000</v>
      </c>
      <c r="D48" s="35">
        <f>CAR_09!U32</f>
        <v>0</v>
      </c>
      <c r="E48" s="35">
        <f>CAR_09!AE32</f>
        <v>0</v>
      </c>
      <c r="F48" s="36">
        <f>CAR_09!AN32</f>
        <v>0</v>
      </c>
      <c r="H48" s="38" t="s">
        <v>37</v>
      </c>
      <c r="I48" s="46">
        <f>CAR_10!H31</f>
        <v>0</v>
      </c>
      <c r="J48" s="43">
        <f t="shared" si="9"/>
        <v>5000</v>
      </c>
      <c r="K48" s="35">
        <f>CAR_10!U32</f>
        <v>0</v>
      </c>
      <c r="L48" s="35">
        <f>CAR_10!AE32</f>
        <v>0</v>
      </c>
      <c r="M48" s="36">
        <f>CAR_10!AN32</f>
        <v>0</v>
      </c>
      <c r="O48" s="38" t="s">
        <v>37</v>
      </c>
      <c r="P48" s="46">
        <f>CAR_11!H31</f>
        <v>0</v>
      </c>
      <c r="Q48" s="43">
        <f t="shared" si="10"/>
        <v>5000</v>
      </c>
      <c r="R48" s="35">
        <f>CAR_11!U32</f>
        <v>0</v>
      </c>
      <c r="S48" s="35">
        <f>CAR_11!AE32</f>
        <v>0</v>
      </c>
      <c r="T48" s="36">
        <f>CAR_11!AN32</f>
        <v>0</v>
      </c>
      <c r="V48" s="38" t="s">
        <v>37</v>
      </c>
      <c r="W48" s="46">
        <f>CAR_12!H31</f>
        <v>0</v>
      </c>
      <c r="X48" s="43">
        <f t="shared" si="11"/>
        <v>5000</v>
      </c>
      <c r="Y48" s="35">
        <f>CAR_12!U32</f>
        <v>0</v>
      </c>
      <c r="Z48" s="35">
        <f>CAR_12!AE32</f>
        <v>0</v>
      </c>
      <c r="AA48" s="36">
        <f>CAR_12!AN32</f>
        <v>0</v>
      </c>
    </row>
    <row r="49" spans="1:27" x14ac:dyDescent="0.25">
      <c r="A49" s="38" t="s">
        <v>38</v>
      </c>
      <c r="B49" s="46">
        <f>CAR_09!H35</f>
        <v>0</v>
      </c>
      <c r="C49" s="43">
        <f t="shared" si="8"/>
        <v>5000</v>
      </c>
      <c r="D49" s="35">
        <f>CAR_09!U36</f>
        <v>0</v>
      </c>
      <c r="E49" s="35">
        <f>CAR_09!AE36</f>
        <v>0</v>
      </c>
      <c r="F49" s="36">
        <f>CAR_09!AN36</f>
        <v>0</v>
      </c>
      <c r="H49" s="38" t="s">
        <v>38</v>
      </c>
      <c r="I49" s="46">
        <f>CAR_10!H35</f>
        <v>0</v>
      </c>
      <c r="J49" s="43">
        <f t="shared" si="9"/>
        <v>5000</v>
      </c>
      <c r="K49" s="35">
        <f>CAR_10!U36</f>
        <v>0</v>
      </c>
      <c r="L49" s="35">
        <f>CAR_10!AE36</f>
        <v>0</v>
      </c>
      <c r="M49" s="36">
        <f>CAR_10!AN36</f>
        <v>0</v>
      </c>
      <c r="O49" s="38" t="s">
        <v>38</v>
      </c>
      <c r="P49" s="46">
        <f>CAR_11!H35</f>
        <v>0</v>
      </c>
      <c r="Q49" s="43">
        <f t="shared" si="10"/>
        <v>5000</v>
      </c>
      <c r="R49" s="35">
        <f>CAR_11!U36</f>
        <v>0</v>
      </c>
      <c r="S49" s="35">
        <f>CAR_11!AE36</f>
        <v>0</v>
      </c>
      <c r="T49" s="36">
        <f>CAR_11!AN36</f>
        <v>0</v>
      </c>
      <c r="V49" s="38" t="s">
        <v>38</v>
      </c>
      <c r="W49" s="46">
        <f>CAR_12!H35</f>
        <v>0</v>
      </c>
      <c r="X49" s="43">
        <f t="shared" si="11"/>
        <v>5000</v>
      </c>
      <c r="Y49" s="35">
        <f>CAR_12!U36</f>
        <v>0</v>
      </c>
      <c r="Z49" s="35">
        <f>CAR_12!AE36</f>
        <v>0</v>
      </c>
      <c r="AA49" s="36">
        <f>CAR_12!AN36</f>
        <v>0</v>
      </c>
    </row>
    <row r="50" spans="1:27" x14ac:dyDescent="0.25">
      <c r="A50" s="38" t="s">
        <v>39</v>
      </c>
      <c r="B50" s="46">
        <f>CAR_09!H39</f>
        <v>0</v>
      </c>
      <c r="C50" s="43">
        <f t="shared" si="8"/>
        <v>5000</v>
      </c>
      <c r="D50" s="35">
        <f>CAR_09!U40</f>
        <v>0</v>
      </c>
      <c r="E50" s="35">
        <f>CAR_09!AE40</f>
        <v>0</v>
      </c>
      <c r="F50" s="36">
        <f>CAR_09!AN40</f>
        <v>0</v>
      </c>
      <c r="H50" s="38" t="s">
        <v>39</v>
      </c>
      <c r="I50" s="46">
        <f>CAR_10!H39</f>
        <v>0</v>
      </c>
      <c r="J50" s="43">
        <f t="shared" si="9"/>
        <v>5000</v>
      </c>
      <c r="K50" s="35">
        <f>CAR_10!U40</f>
        <v>0</v>
      </c>
      <c r="L50" s="35">
        <f>CAR_10!AE40</f>
        <v>0</v>
      </c>
      <c r="M50" s="36">
        <f>CAR_10!AN40</f>
        <v>0</v>
      </c>
      <c r="O50" s="38" t="s">
        <v>39</v>
      </c>
      <c r="P50" s="46">
        <f>CAR_11!H39</f>
        <v>0</v>
      </c>
      <c r="Q50" s="43">
        <f t="shared" si="10"/>
        <v>5000</v>
      </c>
      <c r="R50" s="35">
        <f>CAR_11!U40</f>
        <v>0</v>
      </c>
      <c r="S50" s="35">
        <f>CAR_11!AE40</f>
        <v>0</v>
      </c>
      <c r="T50" s="36">
        <f>CAR_11!AN40</f>
        <v>0</v>
      </c>
      <c r="V50" s="38" t="s">
        <v>39</v>
      </c>
      <c r="W50" s="46">
        <f>CAR_12!H39</f>
        <v>0</v>
      </c>
      <c r="X50" s="43">
        <f t="shared" si="11"/>
        <v>5000</v>
      </c>
      <c r="Y50" s="35">
        <f>CAR_12!U40</f>
        <v>0</v>
      </c>
      <c r="Z50" s="35">
        <f>CAR_12!AE40</f>
        <v>0</v>
      </c>
      <c r="AA50" s="36">
        <f>CAR_12!AN40</f>
        <v>0</v>
      </c>
    </row>
    <row r="51" spans="1:27" x14ac:dyDescent="0.25">
      <c r="A51" s="38" t="s">
        <v>40</v>
      </c>
      <c r="B51" s="46">
        <f>CAR_09!H43</f>
        <v>0</v>
      </c>
      <c r="C51" s="43">
        <f t="shared" si="8"/>
        <v>5000</v>
      </c>
      <c r="D51" s="35">
        <f>CAR_09!U44</f>
        <v>0</v>
      </c>
      <c r="E51" s="35">
        <f>CAR_09!AE44</f>
        <v>0</v>
      </c>
      <c r="F51" s="36">
        <f>CAR_09!AN44</f>
        <v>0</v>
      </c>
      <c r="H51" s="38" t="s">
        <v>40</v>
      </c>
      <c r="I51" s="46">
        <f>CAR_10!H43</f>
        <v>0</v>
      </c>
      <c r="J51" s="43">
        <f t="shared" si="9"/>
        <v>5000</v>
      </c>
      <c r="K51" s="35">
        <f>CAR_10!U44</f>
        <v>0</v>
      </c>
      <c r="L51" s="35">
        <f>CAR_10!AE44</f>
        <v>0</v>
      </c>
      <c r="M51" s="36">
        <f>CAR_10!AN44</f>
        <v>0</v>
      </c>
      <c r="O51" s="38" t="s">
        <v>40</v>
      </c>
      <c r="P51" s="46">
        <f>CAR_11!H43</f>
        <v>0</v>
      </c>
      <c r="Q51" s="43">
        <f t="shared" si="10"/>
        <v>5000</v>
      </c>
      <c r="R51" s="35">
        <f>CAR_11!U44</f>
        <v>0</v>
      </c>
      <c r="S51" s="35">
        <f>CAR_11!AE44</f>
        <v>0</v>
      </c>
      <c r="T51" s="36">
        <f>CAR_11!AN44</f>
        <v>0</v>
      </c>
      <c r="V51" s="38" t="s">
        <v>40</v>
      </c>
      <c r="W51" s="46">
        <f>CAR_12!H43</f>
        <v>0</v>
      </c>
      <c r="X51" s="43">
        <f t="shared" si="11"/>
        <v>5000</v>
      </c>
      <c r="Y51" s="35">
        <f>CAR_12!U44</f>
        <v>0</v>
      </c>
      <c r="Z51" s="35">
        <f>CAR_12!AE44</f>
        <v>0</v>
      </c>
      <c r="AA51" s="36">
        <f>CAR_12!AN44</f>
        <v>0</v>
      </c>
    </row>
    <row r="52" spans="1:27" x14ac:dyDescent="0.25">
      <c r="A52" s="38" t="s">
        <v>41</v>
      </c>
      <c r="B52" s="46">
        <f>CAR_09!H47</f>
        <v>0</v>
      </c>
      <c r="C52" s="43">
        <f t="shared" si="8"/>
        <v>5000</v>
      </c>
      <c r="D52" s="35">
        <f>CAR_09!U48</f>
        <v>0</v>
      </c>
      <c r="E52" s="35">
        <f>CAR_09!AE48</f>
        <v>0</v>
      </c>
      <c r="F52" s="36">
        <f>CAR_09!AN48</f>
        <v>0</v>
      </c>
      <c r="H52" s="38" t="s">
        <v>41</v>
      </c>
      <c r="I52" s="46">
        <f>CAR_10!H47</f>
        <v>0</v>
      </c>
      <c r="J52" s="43">
        <f t="shared" si="9"/>
        <v>5000</v>
      </c>
      <c r="K52" s="35">
        <f>CAR_10!U48</f>
        <v>0</v>
      </c>
      <c r="L52" s="35">
        <f>CAR_10!AE48</f>
        <v>0</v>
      </c>
      <c r="M52" s="36">
        <f>CAR_10!AN48</f>
        <v>0</v>
      </c>
      <c r="O52" s="38" t="s">
        <v>41</v>
      </c>
      <c r="P52" s="46">
        <f>CAR_11!H47</f>
        <v>0</v>
      </c>
      <c r="Q52" s="43">
        <f t="shared" si="10"/>
        <v>5000</v>
      </c>
      <c r="R52" s="35">
        <f>CAR_11!U48</f>
        <v>0</v>
      </c>
      <c r="S52" s="35">
        <f>CAR_11!AE48</f>
        <v>0</v>
      </c>
      <c r="T52" s="36">
        <f>CAR_11!AN48</f>
        <v>0</v>
      </c>
      <c r="V52" s="38" t="s">
        <v>41</v>
      </c>
      <c r="W52" s="46">
        <f>CAR_12!H47</f>
        <v>0</v>
      </c>
      <c r="X52" s="43">
        <f t="shared" si="11"/>
        <v>5000</v>
      </c>
      <c r="Y52" s="35">
        <f>CAR_12!U48</f>
        <v>0</v>
      </c>
      <c r="Z52" s="35">
        <f>CAR_12!AE48</f>
        <v>0</v>
      </c>
      <c r="AA52" s="36">
        <f>CAR_12!AN48</f>
        <v>0</v>
      </c>
    </row>
    <row r="53" spans="1:27" ht="15.75" thickBot="1" x14ac:dyDescent="0.3">
      <c r="A53" s="39" t="s">
        <v>42</v>
      </c>
      <c r="B53" s="47">
        <f>CAR_09!H51</f>
        <v>0</v>
      </c>
      <c r="C53" s="44">
        <f t="shared" si="8"/>
        <v>5000</v>
      </c>
      <c r="D53" s="11">
        <f>CAR_09!U52</f>
        <v>0</v>
      </c>
      <c r="E53" s="11">
        <f>CAR_09!AE52</f>
        <v>0</v>
      </c>
      <c r="F53" s="12">
        <f>CAR_09!AN52</f>
        <v>0</v>
      </c>
      <c r="H53" s="39" t="s">
        <v>42</v>
      </c>
      <c r="I53" s="47">
        <f>CAR_10!H51</f>
        <v>0</v>
      </c>
      <c r="J53" s="44">
        <f t="shared" si="9"/>
        <v>5000</v>
      </c>
      <c r="K53" s="11">
        <f>CAR_10!U52</f>
        <v>0</v>
      </c>
      <c r="L53" s="11">
        <f>CAR_10!AE52</f>
        <v>0</v>
      </c>
      <c r="M53" s="12">
        <f>CAR_10!AN52</f>
        <v>0</v>
      </c>
      <c r="O53" s="39" t="s">
        <v>42</v>
      </c>
      <c r="P53" s="47">
        <f>CAR_11!H51</f>
        <v>0</v>
      </c>
      <c r="Q53" s="44">
        <f t="shared" si="10"/>
        <v>5000</v>
      </c>
      <c r="R53" s="11">
        <f>CAR_11!U52</f>
        <v>0</v>
      </c>
      <c r="S53" s="11">
        <f>CAR_11!AE52</f>
        <v>0</v>
      </c>
      <c r="T53" s="12">
        <f>CAR_11!AN52</f>
        <v>0</v>
      </c>
      <c r="V53" s="39" t="s">
        <v>42</v>
      </c>
      <c r="W53" s="47">
        <f>CAR_12!H51</f>
        <v>0</v>
      </c>
      <c r="X53" s="44">
        <f t="shared" si="11"/>
        <v>5000</v>
      </c>
      <c r="Y53" s="11">
        <f>CAR_12!U52</f>
        <v>0</v>
      </c>
      <c r="Z53" s="11">
        <f>CAR_12!AE52</f>
        <v>0</v>
      </c>
      <c r="AA53" s="12">
        <f>CAR_12!AN52</f>
        <v>0</v>
      </c>
    </row>
    <row r="54" spans="1:27" ht="15.75" thickBot="1" x14ac:dyDescent="0.3"/>
    <row r="55" spans="1:27" ht="15.75" thickBot="1" x14ac:dyDescent="0.3">
      <c r="A55" s="3" t="s">
        <v>23</v>
      </c>
      <c r="B55" s="52">
        <f>SUM(B42:B53)</f>
        <v>0</v>
      </c>
      <c r="C55" s="51"/>
      <c r="D55" s="50">
        <f>SUM(D42:D53)</f>
        <v>0</v>
      </c>
      <c r="E55" s="49">
        <f>SUM(E42:E53)</f>
        <v>0</v>
      </c>
      <c r="F55" s="48">
        <f>SUM(F42:F53)</f>
        <v>0</v>
      </c>
      <c r="H55" s="3" t="s">
        <v>23</v>
      </c>
      <c r="I55" s="52">
        <f>SUM(I42:I53)</f>
        <v>13380</v>
      </c>
      <c r="J55" s="51"/>
      <c r="K55" s="50">
        <f>SUM(K42:K53)</f>
        <v>0</v>
      </c>
      <c r="L55" s="49">
        <f>SUM(L42:L53)</f>
        <v>0</v>
      </c>
      <c r="M55" s="48">
        <f>SUM(M42:M53)</f>
        <v>0</v>
      </c>
      <c r="O55" s="3" t="s">
        <v>23</v>
      </c>
      <c r="P55" s="52">
        <f>SUM(P42:P53)</f>
        <v>0</v>
      </c>
      <c r="Q55" s="51"/>
      <c r="R55" s="50">
        <f>SUM(R42:R53)</f>
        <v>0</v>
      </c>
      <c r="S55" s="49">
        <f>SUM(S42:S53)</f>
        <v>0</v>
      </c>
      <c r="T55" s="48">
        <f>SUM(T42:T53)</f>
        <v>0</v>
      </c>
      <c r="V55" s="3" t="s">
        <v>23</v>
      </c>
      <c r="W55" s="52">
        <f>SUM(W42:W53)</f>
        <v>0</v>
      </c>
      <c r="X55" s="51"/>
      <c r="Y55" s="50">
        <f>SUM(Y42:Y53)</f>
        <v>0</v>
      </c>
      <c r="Z55" s="49">
        <f>SUM(Z42:Z53)</f>
        <v>0</v>
      </c>
      <c r="AA55" s="48">
        <f>SUM(AA42:AA53)</f>
        <v>0</v>
      </c>
    </row>
    <row r="56" spans="1:27" ht="15.75" thickBot="1" x14ac:dyDescent="0.3">
      <c r="A56" s="3" t="s">
        <v>44</v>
      </c>
      <c r="B56" s="23">
        <f>SUM(60000-B55)</f>
        <v>60000</v>
      </c>
      <c r="H56" s="3" t="s">
        <v>44</v>
      </c>
      <c r="I56" s="23">
        <f>SUM(60000-I55)</f>
        <v>46620</v>
      </c>
      <c r="O56" s="3" t="s">
        <v>44</v>
      </c>
      <c r="P56" s="23">
        <f>SUM(60000-P55)</f>
        <v>60000</v>
      </c>
      <c r="V56" s="3" t="s">
        <v>44</v>
      </c>
      <c r="W56" s="23">
        <f>SUM(60000-W55)</f>
        <v>60000</v>
      </c>
    </row>
    <row r="59" spans="1:27" ht="15.75" thickBot="1" x14ac:dyDescent="0.3">
      <c r="B59" s="89" t="s">
        <v>57</v>
      </c>
      <c r="C59" s="89"/>
      <c r="D59" s="89"/>
      <c r="E59" s="89"/>
      <c r="F59" s="89"/>
      <c r="I59" s="89" t="s">
        <v>58</v>
      </c>
      <c r="J59" s="89"/>
      <c r="K59" s="89"/>
      <c r="L59" s="89"/>
      <c r="M59" s="89"/>
      <c r="P59" s="89" t="s">
        <v>59</v>
      </c>
      <c r="Q59" s="89"/>
      <c r="R59" s="89"/>
      <c r="S59" s="89"/>
      <c r="T59" s="89"/>
      <c r="W59" s="89" t="s">
        <v>60</v>
      </c>
      <c r="X59" s="89"/>
      <c r="Y59" s="89"/>
      <c r="Z59" s="89"/>
      <c r="AA59" s="89"/>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CAR_13!H11</f>
        <v>0</v>
      </c>
      <c r="C62" s="43">
        <f>SUM(5000-B62)</f>
        <v>5000</v>
      </c>
      <c r="D62" s="35">
        <f>CAR_13!U12</f>
        <v>0</v>
      </c>
      <c r="E62" s="35">
        <f>CAR_13!AE12</f>
        <v>0</v>
      </c>
      <c r="F62" s="36">
        <f>CAR_13!AN12</f>
        <v>0</v>
      </c>
      <c r="H62" s="38" t="s">
        <v>32</v>
      </c>
      <c r="I62" s="46">
        <f>CAR_14!H11</f>
        <v>0</v>
      </c>
      <c r="J62" s="43">
        <f>SUM(5000-I62)</f>
        <v>5000</v>
      </c>
      <c r="K62" s="35">
        <f>CAR_14!U12</f>
        <v>0</v>
      </c>
      <c r="L62" s="35">
        <f>CAR_14!AE12</f>
        <v>0</v>
      </c>
      <c r="M62" s="36">
        <f>CAR_14!AN12</f>
        <v>0</v>
      </c>
      <c r="O62" s="38" t="s">
        <v>32</v>
      </c>
      <c r="P62" s="46">
        <f>CAR_15!H11</f>
        <v>0</v>
      </c>
      <c r="Q62" s="43">
        <f>SUM(5000-P62)</f>
        <v>5000</v>
      </c>
      <c r="R62" s="35">
        <f>CAR_15!U12</f>
        <v>0</v>
      </c>
      <c r="S62" s="35">
        <f>CAR_15!AE12</f>
        <v>0</v>
      </c>
      <c r="T62" s="36">
        <f>CAR_15!AN12</f>
        <v>0</v>
      </c>
      <c r="V62" s="38" t="s">
        <v>32</v>
      </c>
      <c r="W62" s="46">
        <f>CAR_16!H11</f>
        <v>0</v>
      </c>
      <c r="X62" s="43">
        <f>SUM(5000-W62)</f>
        <v>5000</v>
      </c>
      <c r="Y62" s="35">
        <f>CAR_16!U12</f>
        <v>0</v>
      </c>
      <c r="Z62" s="35">
        <f>CAR_16!AE12</f>
        <v>0</v>
      </c>
      <c r="AA62" s="36">
        <f>CAR_16!AN12</f>
        <v>0</v>
      </c>
    </row>
    <row r="63" spans="1:27" x14ac:dyDescent="0.25">
      <c r="A63" s="38" t="s">
        <v>33</v>
      </c>
      <c r="B63" s="46">
        <f>CAR_13!H15</f>
        <v>0</v>
      </c>
      <c r="C63" s="43">
        <f t="shared" ref="C63:C72" si="12">SUM(5000-B63)</f>
        <v>5000</v>
      </c>
      <c r="D63" s="35">
        <f>CAR_13!U16</f>
        <v>0</v>
      </c>
      <c r="E63" s="35">
        <f>CAR_13!AE16</f>
        <v>0</v>
      </c>
      <c r="F63" s="36">
        <f>CAR_13!AN16</f>
        <v>0</v>
      </c>
      <c r="H63" s="38" t="s">
        <v>33</v>
      </c>
      <c r="I63" s="46">
        <f>CAR_14!H15</f>
        <v>0</v>
      </c>
      <c r="J63" s="43">
        <f t="shared" ref="J63:J72" si="13">SUM(5000-I63)</f>
        <v>5000</v>
      </c>
      <c r="K63" s="35">
        <f>CAR_14!U16</f>
        <v>0</v>
      </c>
      <c r="L63" s="35">
        <f>CAR_14!AE16</f>
        <v>0</v>
      </c>
      <c r="M63" s="36">
        <f>CAR_14!AN16</f>
        <v>0</v>
      </c>
      <c r="O63" s="38" t="s">
        <v>33</v>
      </c>
      <c r="P63" s="46">
        <f>CAR_15!H15</f>
        <v>0</v>
      </c>
      <c r="Q63" s="43">
        <f t="shared" ref="Q63:Q72" si="14">SUM(5000-P63)</f>
        <v>5000</v>
      </c>
      <c r="R63" s="35">
        <f>CAR_15!U16</f>
        <v>0</v>
      </c>
      <c r="S63" s="35">
        <f>CAR_15!AE16</f>
        <v>0</v>
      </c>
      <c r="T63" s="36">
        <f>CAR_15!AN16</f>
        <v>0</v>
      </c>
      <c r="V63" s="38" t="s">
        <v>33</v>
      </c>
      <c r="W63" s="46">
        <f>CAR_16!H15</f>
        <v>0</v>
      </c>
      <c r="X63" s="43">
        <f t="shared" ref="X63:X72" si="15">SUM(5000-W63)</f>
        <v>5000</v>
      </c>
      <c r="Y63" s="35">
        <f>CAR_16!U16</f>
        <v>0</v>
      </c>
      <c r="Z63" s="35">
        <f>CAR_16!AE16</f>
        <v>0</v>
      </c>
      <c r="AA63" s="36">
        <f>CAR_16!AN16</f>
        <v>0</v>
      </c>
    </row>
    <row r="64" spans="1:27" x14ac:dyDescent="0.25">
      <c r="A64" s="38" t="s">
        <v>34</v>
      </c>
      <c r="B64" s="46">
        <f>CAR_13!H19</f>
        <v>0</v>
      </c>
      <c r="C64" s="43">
        <f t="shared" si="12"/>
        <v>5000</v>
      </c>
      <c r="D64" s="35">
        <f>CAR_13!U20</f>
        <v>0</v>
      </c>
      <c r="E64" s="35">
        <f>CAR_13!AE20</f>
        <v>0</v>
      </c>
      <c r="F64" s="36">
        <f>CAR_13!AN20</f>
        <v>0</v>
      </c>
      <c r="H64" s="38" t="s">
        <v>34</v>
      </c>
      <c r="I64" s="46">
        <f>CAR_14!H19</f>
        <v>0</v>
      </c>
      <c r="J64" s="43">
        <f t="shared" si="13"/>
        <v>5000</v>
      </c>
      <c r="K64" s="35">
        <f>CAR_14!U20</f>
        <v>0</v>
      </c>
      <c r="L64" s="35">
        <f>CAR_14!AE20</f>
        <v>0</v>
      </c>
      <c r="M64" s="36">
        <f>CAR_14!AN20</f>
        <v>0</v>
      </c>
      <c r="O64" s="38" t="s">
        <v>34</v>
      </c>
      <c r="P64" s="46">
        <f>CAR_15!H19</f>
        <v>0</v>
      </c>
      <c r="Q64" s="43">
        <f t="shared" si="14"/>
        <v>5000</v>
      </c>
      <c r="R64" s="35">
        <f>CAR_15!U20</f>
        <v>0</v>
      </c>
      <c r="S64" s="35">
        <f>CAR_15!AE20</f>
        <v>0</v>
      </c>
      <c r="T64" s="36">
        <f>CAR_15!AN20</f>
        <v>0</v>
      </c>
      <c r="V64" s="38" t="s">
        <v>34</v>
      </c>
      <c r="W64" s="46">
        <f>CAR_16!H19</f>
        <v>0</v>
      </c>
      <c r="X64" s="43">
        <f t="shared" si="15"/>
        <v>5000</v>
      </c>
      <c r="Y64" s="35">
        <f>CAR_16!U20</f>
        <v>0</v>
      </c>
      <c r="Z64" s="35">
        <f>CAR_16!AE20</f>
        <v>0</v>
      </c>
      <c r="AA64" s="36">
        <f>CAR_16!AN20</f>
        <v>0</v>
      </c>
    </row>
    <row r="65" spans="1:27" x14ac:dyDescent="0.25">
      <c r="A65" s="38" t="s">
        <v>35</v>
      </c>
      <c r="B65" s="46">
        <f>CAR_13!H23</f>
        <v>0</v>
      </c>
      <c r="C65" s="43">
        <f t="shared" si="12"/>
        <v>5000</v>
      </c>
      <c r="D65" s="35">
        <f>CAR_13!U24</f>
        <v>0</v>
      </c>
      <c r="E65" s="35">
        <f>CAR_13!AE224</f>
        <v>0</v>
      </c>
      <c r="F65" s="36">
        <f>CAR_13!AN24</f>
        <v>0</v>
      </c>
      <c r="H65" s="38" t="s">
        <v>35</v>
      </c>
      <c r="I65" s="46">
        <f>CAR_14!H23</f>
        <v>0</v>
      </c>
      <c r="J65" s="43">
        <f t="shared" si="13"/>
        <v>5000</v>
      </c>
      <c r="K65" s="35">
        <f>CAR_14!U24</f>
        <v>0</v>
      </c>
      <c r="L65" s="35">
        <f>CAR_14!AE24</f>
        <v>0</v>
      </c>
      <c r="M65" s="36">
        <f>CAR_14!AN24</f>
        <v>0</v>
      </c>
      <c r="O65" s="38" t="s">
        <v>35</v>
      </c>
      <c r="P65" s="46">
        <f>CAR_15!H23</f>
        <v>0</v>
      </c>
      <c r="Q65" s="43">
        <f t="shared" si="14"/>
        <v>5000</v>
      </c>
      <c r="R65" s="35">
        <f>CAR_15!U24</f>
        <v>0</v>
      </c>
      <c r="S65" s="35">
        <f>CAR_15!AE24</f>
        <v>0</v>
      </c>
      <c r="T65" s="36">
        <f>CAR_15!AN24</f>
        <v>0</v>
      </c>
      <c r="V65" s="38" t="s">
        <v>35</v>
      </c>
      <c r="W65" s="46">
        <f>CAR_16!H23</f>
        <v>0</v>
      </c>
      <c r="X65" s="43">
        <f t="shared" si="15"/>
        <v>5000</v>
      </c>
      <c r="Y65" s="35">
        <f>CAR_16!U24</f>
        <v>0</v>
      </c>
      <c r="Z65" s="35">
        <f>CAR_16!AE24</f>
        <v>0</v>
      </c>
      <c r="AA65" s="36">
        <f>CAR_16!AN24</f>
        <v>0</v>
      </c>
    </row>
    <row r="66" spans="1:27" x14ac:dyDescent="0.25">
      <c r="A66" s="38" t="s">
        <v>36</v>
      </c>
      <c r="B66" s="46">
        <f>CAR_13!H27</f>
        <v>0</v>
      </c>
      <c r="C66" s="43">
        <f t="shared" si="12"/>
        <v>5000</v>
      </c>
      <c r="D66" s="35">
        <f>CAR_13!U28</f>
        <v>0</v>
      </c>
      <c r="E66" s="35">
        <f>CAR_13!AE28</f>
        <v>0</v>
      </c>
      <c r="F66" s="36">
        <f>CAR_13!AN28</f>
        <v>0</v>
      </c>
      <c r="H66" s="38" t="s">
        <v>36</v>
      </c>
      <c r="I66" s="46">
        <f>CAR_14!H27</f>
        <v>0</v>
      </c>
      <c r="J66" s="43">
        <f t="shared" si="13"/>
        <v>5000</v>
      </c>
      <c r="K66" s="35">
        <f>CAR_14!U28</f>
        <v>0</v>
      </c>
      <c r="L66" s="35">
        <f>CAR_14!AE28</f>
        <v>0</v>
      </c>
      <c r="M66" s="36">
        <f>CAR_14!AN28</f>
        <v>0</v>
      </c>
      <c r="O66" s="38" t="s">
        <v>36</v>
      </c>
      <c r="P66" s="46">
        <f>CAR_15!H27</f>
        <v>0</v>
      </c>
      <c r="Q66" s="43">
        <f t="shared" si="14"/>
        <v>5000</v>
      </c>
      <c r="R66" s="35">
        <f>CAR_15!U28</f>
        <v>0</v>
      </c>
      <c r="S66" s="35">
        <f>CAR_15!AE28</f>
        <v>0</v>
      </c>
      <c r="T66" s="36">
        <f>CAR_15!AN28</f>
        <v>0</v>
      </c>
      <c r="V66" s="38" t="s">
        <v>36</v>
      </c>
      <c r="W66" s="46">
        <f>CAR_16!H27</f>
        <v>0</v>
      </c>
      <c r="X66" s="43">
        <f t="shared" si="15"/>
        <v>5000</v>
      </c>
      <c r="Y66" s="35">
        <f>CAR_16!U28</f>
        <v>0</v>
      </c>
      <c r="Z66" s="35">
        <f>CAR_16!AE28</f>
        <v>0</v>
      </c>
      <c r="AA66" s="36">
        <f>CAR_16!AN28</f>
        <v>0</v>
      </c>
    </row>
    <row r="67" spans="1:27" x14ac:dyDescent="0.25">
      <c r="A67" s="38" t="s">
        <v>37</v>
      </c>
      <c r="B67" s="46">
        <f>CAR_13!H31</f>
        <v>0</v>
      </c>
      <c r="C67" s="43">
        <f t="shared" si="12"/>
        <v>5000</v>
      </c>
      <c r="D67" s="35">
        <f>CAR_13!U32</f>
        <v>0</v>
      </c>
      <c r="E67" s="35">
        <f>CAR_13!AE32</f>
        <v>0</v>
      </c>
      <c r="F67" s="36">
        <f>CAR_13!AN32</f>
        <v>0</v>
      </c>
      <c r="H67" s="38" t="s">
        <v>37</v>
      </c>
      <c r="I67" s="46">
        <f>CAR_14!H31</f>
        <v>0</v>
      </c>
      <c r="J67" s="43">
        <f t="shared" si="13"/>
        <v>5000</v>
      </c>
      <c r="K67" s="35">
        <f>CAR_14!U32</f>
        <v>0</v>
      </c>
      <c r="L67" s="35">
        <f>CAR_14!AE32</f>
        <v>0</v>
      </c>
      <c r="M67" s="36">
        <f>CAR_14!AN32</f>
        <v>0</v>
      </c>
      <c r="O67" s="38" t="s">
        <v>37</v>
      </c>
      <c r="P67" s="46">
        <f>CAR_15!H31</f>
        <v>0</v>
      </c>
      <c r="Q67" s="43">
        <f t="shared" si="14"/>
        <v>5000</v>
      </c>
      <c r="R67" s="35">
        <f>CAR_15!U32</f>
        <v>0</v>
      </c>
      <c r="S67" s="35">
        <f>CAR_15!AE32</f>
        <v>0</v>
      </c>
      <c r="T67" s="36">
        <f>CAR_15!AN32</f>
        <v>0</v>
      </c>
      <c r="V67" s="38" t="s">
        <v>37</v>
      </c>
      <c r="W67" s="46">
        <f>CAR_16!H31</f>
        <v>0</v>
      </c>
      <c r="X67" s="43">
        <f t="shared" si="15"/>
        <v>5000</v>
      </c>
      <c r="Y67" s="35">
        <f>CAR_16!U32</f>
        <v>0</v>
      </c>
      <c r="Z67" s="35">
        <f>CAR_16!AE32</f>
        <v>0</v>
      </c>
      <c r="AA67" s="36">
        <f>CAR_16!AN32</f>
        <v>0</v>
      </c>
    </row>
    <row r="68" spans="1:27" x14ac:dyDescent="0.25">
      <c r="A68" s="38" t="s">
        <v>38</v>
      </c>
      <c r="B68" s="46">
        <f>CAR_13!H35</f>
        <v>0</v>
      </c>
      <c r="C68" s="43">
        <f t="shared" si="12"/>
        <v>5000</v>
      </c>
      <c r="D68" s="35">
        <f>CAR_13!U36</f>
        <v>0</v>
      </c>
      <c r="E68" s="35">
        <f>CAR_13!AE36</f>
        <v>0</v>
      </c>
      <c r="F68" s="36">
        <f>CAR_13!AN36</f>
        <v>0</v>
      </c>
      <c r="H68" s="38" t="s">
        <v>38</v>
      </c>
      <c r="I68" s="46">
        <f>CAR_14!H35</f>
        <v>0</v>
      </c>
      <c r="J68" s="43">
        <f t="shared" si="13"/>
        <v>5000</v>
      </c>
      <c r="K68" s="35">
        <f>CAR_14!U36</f>
        <v>0</v>
      </c>
      <c r="L68" s="35">
        <f>CAR_14!AE36</f>
        <v>0</v>
      </c>
      <c r="M68" s="36">
        <f>CAR_14!AN36</f>
        <v>0</v>
      </c>
      <c r="O68" s="38" t="s">
        <v>38</v>
      </c>
      <c r="P68" s="46">
        <f>CAR_15!H35</f>
        <v>0</v>
      </c>
      <c r="Q68" s="43">
        <f t="shared" si="14"/>
        <v>5000</v>
      </c>
      <c r="R68" s="35">
        <f>CAR_15!U36</f>
        <v>0</v>
      </c>
      <c r="S68" s="35">
        <f>CAR_15!AE36</f>
        <v>0</v>
      </c>
      <c r="T68" s="36">
        <f>CAR_15!AN36</f>
        <v>0</v>
      </c>
      <c r="V68" s="38" t="s">
        <v>38</v>
      </c>
      <c r="W68" s="46">
        <f>CAR_16!H35</f>
        <v>0</v>
      </c>
      <c r="X68" s="43">
        <f t="shared" si="15"/>
        <v>5000</v>
      </c>
      <c r="Y68" s="35">
        <f>CAR_16!U36</f>
        <v>0</v>
      </c>
      <c r="Z68" s="35">
        <f>CAR_16!AE36</f>
        <v>0</v>
      </c>
      <c r="AA68" s="36">
        <f>CAR_16!AN36</f>
        <v>0</v>
      </c>
    </row>
    <row r="69" spans="1:27" x14ac:dyDescent="0.25">
      <c r="A69" s="38" t="s">
        <v>39</v>
      </c>
      <c r="B69" s="46">
        <f>CAR_13!H39</f>
        <v>0</v>
      </c>
      <c r="C69" s="43">
        <f t="shared" si="12"/>
        <v>5000</v>
      </c>
      <c r="D69" s="35">
        <f>CAR_13!U40</f>
        <v>0</v>
      </c>
      <c r="E69" s="35">
        <f>CAR_13!AE40</f>
        <v>0</v>
      </c>
      <c r="F69" s="36">
        <f>CAR_13!AN400</f>
        <v>0</v>
      </c>
      <c r="H69" s="38" t="s">
        <v>39</v>
      </c>
      <c r="I69" s="46">
        <f>CAR_14!H39</f>
        <v>0</v>
      </c>
      <c r="J69" s="43">
        <f t="shared" si="13"/>
        <v>5000</v>
      </c>
      <c r="K69" s="35">
        <f>CAR_14!U40</f>
        <v>0</v>
      </c>
      <c r="L69" s="35">
        <f>CAR_14!AE40</f>
        <v>0</v>
      </c>
      <c r="M69" s="36">
        <f>CAR_14!AN40</f>
        <v>0</v>
      </c>
      <c r="O69" s="38" t="s">
        <v>39</v>
      </c>
      <c r="P69" s="46">
        <f>CAR_15!H39</f>
        <v>0</v>
      </c>
      <c r="Q69" s="43">
        <f t="shared" si="14"/>
        <v>5000</v>
      </c>
      <c r="R69" s="35">
        <f>CAR_15!U40</f>
        <v>0</v>
      </c>
      <c r="S69" s="35">
        <f>CAR_15!AE40</f>
        <v>0</v>
      </c>
      <c r="T69" s="36">
        <f>CAR_15!AN40</f>
        <v>0</v>
      </c>
      <c r="V69" s="38" t="s">
        <v>39</v>
      </c>
      <c r="W69" s="46">
        <f>CAR_16!H39</f>
        <v>0</v>
      </c>
      <c r="X69" s="43">
        <f t="shared" si="15"/>
        <v>5000</v>
      </c>
      <c r="Y69" s="35">
        <f>CAR_16!U40</f>
        <v>0</v>
      </c>
      <c r="Z69" s="35">
        <f>CAR_16!AE40</f>
        <v>0</v>
      </c>
      <c r="AA69" s="36">
        <f>CAR_16!AN40</f>
        <v>0</v>
      </c>
    </row>
    <row r="70" spans="1:27" x14ac:dyDescent="0.25">
      <c r="A70" s="38" t="s">
        <v>40</v>
      </c>
      <c r="B70" s="46">
        <f>CAR_13!H43</f>
        <v>0</v>
      </c>
      <c r="C70" s="43">
        <f t="shared" si="12"/>
        <v>5000</v>
      </c>
      <c r="D70" s="35">
        <f>CAR_13!U44</f>
        <v>0</v>
      </c>
      <c r="E70" s="35">
        <f>CAR_13!AE44</f>
        <v>0</v>
      </c>
      <c r="F70" s="36">
        <f>CAR_13!AN44</f>
        <v>0</v>
      </c>
      <c r="H70" s="38" t="s">
        <v>40</v>
      </c>
      <c r="I70" s="46">
        <f>CAR_14!H43</f>
        <v>0</v>
      </c>
      <c r="J70" s="43">
        <f t="shared" si="13"/>
        <v>5000</v>
      </c>
      <c r="K70" s="35">
        <f>CAR_14!U44</f>
        <v>0</v>
      </c>
      <c r="L70" s="35">
        <f>CAR_14!AE44</f>
        <v>0</v>
      </c>
      <c r="M70" s="36">
        <f>CAR_14!AN44</f>
        <v>0</v>
      </c>
      <c r="O70" s="38" t="s">
        <v>40</v>
      </c>
      <c r="P70" s="46">
        <f>CAR_15!H43</f>
        <v>0</v>
      </c>
      <c r="Q70" s="43">
        <f t="shared" si="14"/>
        <v>5000</v>
      </c>
      <c r="R70" s="35">
        <f>CAR_15!U44</f>
        <v>0</v>
      </c>
      <c r="S70" s="35">
        <f>CAR_15!AE44</f>
        <v>0</v>
      </c>
      <c r="T70" s="36">
        <f>CAR_15!AN44</f>
        <v>0</v>
      </c>
      <c r="V70" s="38" t="s">
        <v>40</v>
      </c>
      <c r="W70" s="46">
        <f>CAR_16!H43</f>
        <v>0</v>
      </c>
      <c r="X70" s="43">
        <f t="shared" si="15"/>
        <v>5000</v>
      </c>
      <c r="Y70" s="35">
        <f>CAR_16!U44</f>
        <v>0</v>
      </c>
      <c r="Z70" s="35">
        <f>CAR_16!AE44</f>
        <v>0</v>
      </c>
      <c r="AA70" s="36">
        <f>CAR_16!AN44</f>
        <v>0</v>
      </c>
    </row>
    <row r="71" spans="1:27" x14ac:dyDescent="0.25">
      <c r="A71" s="38" t="s">
        <v>41</v>
      </c>
      <c r="B71" s="46">
        <f>CAR_13!H47</f>
        <v>0</v>
      </c>
      <c r="C71" s="43">
        <f t="shared" si="12"/>
        <v>5000</v>
      </c>
      <c r="D71" s="35">
        <f>CAR_13!U48</f>
        <v>0</v>
      </c>
      <c r="E71" s="35">
        <f>CAR_13!AE48</f>
        <v>0</v>
      </c>
      <c r="F71" s="36">
        <f>CAR_13!AN48</f>
        <v>0</v>
      </c>
      <c r="H71" s="38" t="s">
        <v>41</v>
      </c>
      <c r="I71" s="46">
        <f>CAR_14!H47</f>
        <v>0</v>
      </c>
      <c r="J71" s="43">
        <f t="shared" si="13"/>
        <v>5000</v>
      </c>
      <c r="K71" s="35">
        <f>CAR_14!U48</f>
        <v>0</v>
      </c>
      <c r="L71" s="35">
        <f>CAR_14!AE48</f>
        <v>0</v>
      </c>
      <c r="M71" s="36">
        <f>CAR_14!AN48</f>
        <v>0</v>
      </c>
      <c r="O71" s="38" t="s">
        <v>41</v>
      </c>
      <c r="P71" s="46">
        <f>CAR_15!H47</f>
        <v>0</v>
      </c>
      <c r="Q71" s="43">
        <f t="shared" si="14"/>
        <v>5000</v>
      </c>
      <c r="R71" s="35">
        <f>CAR_15!U48</f>
        <v>0</v>
      </c>
      <c r="S71" s="35">
        <f>CAR_15!AE48</f>
        <v>0</v>
      </c>
      <c r="T71" s="36">
        <f>CAR_15!AN48</f>
        <v>0</v>
      </c>
      <c r="V71" s="38" t="s">
        <v>41</v>
      </c>
      <c r="W71" s="46">
        <f>CAR_16!H47</f>
        <v>0</v>
      </c>
      <c r="X71" s="43">
        <f t="shared" si="15"/>
        <v>5000</v>
      </c>
      <c r="Y71" s="35">
        <f>CAR_16!U48</f>
        <v>0</v>
      </c>
      <c r="Z71" s="35">
        <f>CAR_16!AE48</f>
        <v>0</v>
      </c>
      <c r="AA71" s="36">
        <f>CAR_16!AN48</f>
        <v>0</v>
      </c>
    </row>
    <row r="72" spans="1:27" ht="15.75" thickBot="1" x14ac:dyDescent="0.3">
      <c r="A72" s="39" t="s">
        <v>42</v>
      </c>
      <c r="B72" s="47">
        <f>CAR_13!H51</f>
        <v>0</v>
      </c>
      <c r="C72" s="44">
        <f t="shared" si="12"/>
        <v>5000</v>
      </c>
      <c r="D72" s="11">
        <f>CAR_13!U52</f>
        <v>0</v>
      </c>
      <c r="E72" s="11">
        <f>CAR_13!AE52</f>
        <v>0</v>
      </c>
      <c r="F72" s="12">
        <f>CAR_13!AN52</f>
        <v>0</v>
      </c>
      <c r="H72" s="39" t="s">
        <v>42</v>
      </c>
      <c r="I72" s="47">
        <f>CAR_14!H51</f>
        <v>0</v>
      </c>
      <c r="J72" s="44">
        <f t="shared" si="13"/>
        <v>5000</v>
      </c>
      <c r="K72" s="11">
        <f>CAR_14!U52</f>
        <v>0</v>
      </c>
      <c r="L72" s="11">
        <f>CAR_14!AE52</f>
        <v>0</v>
      </c>
      <c r="M72" s="12">
        <f>CAR_14!AN52</f>
        <v>0</v>
      </c>
      <c r="O72" s="39" t="s">
        <v>42</v>
      </c>
      <c r="P72" s="47">
        <f>CAR_15!H51</f>
        <v>0</v>
      </c>
      <c r="Q72" s="44">
        <f t="shared" si="14"/>
        <v>5000</v>
      </c>
      <c r="R72" s="11">
        <f>CAR_15!U52</f>
        <v>0</v>
      </c>
      <c r="S72" s="11">
        <f>CAR_15!AE52</f>
        <v>0</v>
      </c>
      <c r="T72" s="12">
        <f>CAR_15!AN52</f>
        <v>0</v>
      </c>
      <c r="V72" s="39" t="s">
        <v>42</v>
      </c>
      <c r="W72" s="47">
        <f>CAR_16!H51</f>
        <v>0</v>
      </c>
      <c r="X72" s="44">
        <f t="shared" si="15"/>
        <v>5000</v>
      </c>
      <c r="Y72" s="11">
        <f>CAR_16!U52</f>
        <v>0</v>
      </c>
      <c r="Z72" s="11">
        <f>CAR_16!AE52</f>
        <v>0</v>
      </c>
      <c r="AA72" s="12">
        <f>CAR_16!AN52</f>
        <v>0</v>
      </c>
    </row>
    <row r="73" spans="1:27" ht="15.75" thickBot="1" x14ac:dyDescent="0.3"/>
    <row r="74" spans="1:27" ht="15.75" thickBot="1" x14ac:dyDescent="0.3">
      <c r="A74" s="3" t="s">
        <v>23</v>
      </c>
      <c r="B74" s="52">
        <f>SUM(B61:B72)</f>
        <v>0</v>
      </c>
      <c r="C74" s="51"/>
      <c r="D74" s="50">
        <f>SUM(D61:D72)</f>
        <v>0</v>
      </c>
      <c r="E74" s="49">
        <f>SUM(E61:E72)</f>
        <v>0</v>
      </c>
      <c r="F74" s="48">
        <f>SUM(F61:F72)</f>
        <v>0</v>
      </c>
      <c r="H74" s="3" t="s">
        <v>23</v>
      </c>
      <c r="I74" s="52">
        <f>SUM(I61:I72)</f>
        <v>0</v>
      </c>
      <c r="J74" s="51"/>
      <c r="K74" s="50">
        <f>SUM(K61:K72)</f>
        <v>0</v>
      </c>
      <c r="L74" s="49">
        <f>SUM(L61:L72)</f>
        <v>0</v>
      </c>
      <c r="M74" s="48">
        <f>SUM(M61:M72)</f>
        <v>0</v>
      </c>
      <c r="O74" s="3" t="s">
        <v>23</v>
      </c>
      <c r="P74" s="52">
        <f>SUM(P61:P72)</f>
        <v>0</v>
      </c>
      <c r="Q74" s="51"/>
      <c r="R74" s="50">
        <f>SUM(R61:R72)</f>
        <v>0</v>
      </c>
      <c r="S74" s="49">
        <f>SUM(S61:S72)</f>
        <v>0</v>
      </c>
      <c r="T74" s="48">
        <f>SUM(T61:T72)</f>
        <v>0</v>
      </c>
      <c r="V74" s="3" t="s">
        <v>23</v>
      </c>
      <c r="W74" s="52">
        <f>SUM(W61:W72)</f>
        <v>0</v>
      </c>
      <c r="X74" s="51"/>
      <c r="Y74" s="50">
        <f>SUM(Y61:Y72)</f>
        <v>0</v>
      </c>
      <c r="Z74" s="49">
        <f>SUM(Z61:Z72)</f>
        <v>0</v>
      </c>
      <c r="AA74" s="48">
        <f>SUM(AA61:AA72)</f>
        <v>0</v>
      </c>
    </row>
    <row r="75" spans="1:27" ht="15.75" thickBot="1" x14ac:dyDescent="0.3">
      <c r="A75" s="3" t="s">
        <v>44</v>
      </c>
      <c r="B75" s="23">
        <f>SUM(60000-B74)</f>
        <v>60000</v>
      </c>
      <c r="H75" s="3" t="s">
        <v>44</v>
      </c>
      <c r="I75" s="23">
        <f>SUM(60000-I74)</f>
        <v>60000</v>
      </c>
      <c r="O75" s="3" t="s">
        <v>44</v>
      </c>
      <c r="P75" s="23">
        <f>SUM(60000-P74)</f>
        <v>60000</v>
      </c>
      <c r="V75" s="3" t="s">
        <v>44</v>
      </c>
      <c r="W75" s="23">
        <f>SUM(60000-W74)</f>
        <v>60000</v>
      </c>
    </row>
    <row r="78" spans="1:27" ht="15.75" thickBot="1" x14ac:dyDescent="0.3">
      <c r="B78" s="89" t="s">
        <v>61</v>
      </c>
      <c r="C78" s="89"/>
      <c r="D78" s="89"/>
      <c r="E78" s="89"/>
      <c r="F78" s="89"/>
      <c r="I78" s="89" t="s">
        <v>62</v>
      </c>
      <c r="J78" s="89"/>
      <c r="K78" s="89"/>
      <c r="L78" s="89"/>
      <c r="M78" s="89"/>
      <c r="P78" s="89" t="s">
        <v>63</v>
      </c>
      <c r="Q78" s="89"/>
      <c r="R78" s="89"/>
      <c r="S78" s="89"/>
      <c r="T78" s="89"/>
      <c r="W78" s="89" t="s">
        <v>64</v>
      </c>
      <c r="X78" s="89"/>
      <c r="Y78" s="89"/>
      <c r="Z78" s="89"/>
      <c r="AA78" s="89"/>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CAR_17!H11</f>
        <v>0</v>
      </c>
      <c r="C81" s="43">
        <f>SUM(5000-B81)</f>
        <v>5000</v>
      </c>
      <c r="D81" s="35">
        <f>CAR_17!U12</f>
        <v>0</v>
      </c>
      <c r="E81" s="35">
        <f>CAR_17!AE12</f>
        <v>0</v>
      </c>
      <c r="F81" s="36">
        <f>CAR_17!AN12</f>
        <v>0</v>
      </c>
      <c r="H81" s="38" t="s">
        <v>32</v>
      </c>
      <c r="I81" s="46">
        <f>CAR_18!H11</f>
        <v>0</v>
      </c>
      <c r="J81" s="43">
        <f>SUM(5000-I81)</f>
        <v>5000</v>
      </c>
      <c r="K81" s="35">
        <f>CAR_18!U12</f>
        <v>0</v>
      </c>
      <c r="L81" s="35">
        <f>CAR_18!AE12</f>
        <v>0</v>
      </c>
      <c r="M81" s="36">
        <f>CAR_18!AE12</f>
        <v>0</v>
      </c>
      <c r="O81" s="38" t="s">
        <v>32</v>
      </c>
      <c r="P81" s="46">
        <f>CAR_19!H11</f>
        <v>0</v>
      </c>
      <c r="Q81" s="43">
        <f>SUM(5000-P81)</f>
        <v>5000</v>
      </c>
      <c r="R81" s="35">
        <f>CAR_19!U12</f>
        <v>0</v>
      </c>
      <c r="S81" s="35">
        <f>CAR_19!AE12</f>
        <v>0</v>
      </c>
      <c r="T81" s="36">
        <f>CAR_19!AE12</f>
        <v>0</v>
      </c>
      <c r="V81" s="38" t="s">
        <v>32</v>
      </c>
      <c r="W81" s="46">
        <f>CAR_20!H11</f>
        <v>0</v>
      </c>
      <c r="X81" s="43">
        <f>SUM(5000-W81)</f>
        <v>5000</v>
      </c>
      <c r="Y81" s="35">
        <f>CAR_20!U12</f>
        <v>0</v>
      </c>
      <c r="Z81" s="35">
        <f>CAR_20!AE12</f>
        <v>0</v>
      </c>
      <c r="AA81" s="36">
        <f>CAR_20!AE12</f>
        <v>0</v>
      </c>
    </row>
    <row r="82" spans="1:27" x14ac:dyDescent="0.25">
      <c r="A82" s="38" t="s">
        <v>33</v>
      </c>
      <c r="B82" s="46">
        <f>CAR_17!H15</f>
        <v>0</v>
      </c>
      <c r="C82" s="43">
        <f t="shared" ref="C82:C91" si="16">SUM(5000-B82)</f>
        <v>5000</v>
      </c>
      <c r="D82" s="35">
        <f>CAR_17!U16</f>
        <v>0</v>
      </c>
      <c r="E82" s="35">
        <f>CAR_17!AE16</f>
        <v>0</v>
      </c>
      <c r="F82" s="36">
        <f>CAR_17!AN16</f>
        <v>0</v>
      </c>
      <c r="H82" s="38" t="s">
        <v>33</v>
      </c>
      <c r="I82" s="46">
        <f>CAR_18!H15</f>
        <v>0</v>
      </c>
      <c r="J82" s="43">
        <f t="shared" ref="J82:J91" si="17">SUM(5000-I82)</f>
        <v>5000</v>
      </c>
      <c r="K82" s="35">
        <f>CAR_18!U16</f>
        <v>0</v>
      </c>
      <c r="L82" s="35">
        <f>CAR_18!AE16</f>
        <v>0</v>
      </c>
      <c r="M82" s="36">
        <f>CAR_18!AE16</f>
        <v>0</v>
      </c>
      <c r="O82" s="38" t="s">
        <v>33</v>
      </c>
      <c r="P82" s="46">
        <f>CAR_19!H15</f>
        <v>0</v>
      </c>
      <c r="Q82" s="43">
        <f t="shared" ref="Q82:Q91" si="18">SUM(5000-P82)</f>
        <v>5000</v>
      </c>
      <c r="R82" s="35">
        <f>CAR_19!U16</f>
        <v>0</v>
      </c>
      <c r="S82" s="35">
        <f>CAR_19!AE16</f>
        <v>0</v>
      </c>
      <c r="T82" s="36">
        <f>CAR_19!AE16</f>
        <v>0</v>
      </c>
      <c r="V82" s="38" t="s">
        <v>33</v>
      </c>
      <c r="W82" s="46">
        <f>CAR_20!H15</f>
        <v>0</v>
      </c>
      <c r="X82" s="43">
        <f t="shared" ref="X82:X91" si="19">SUM(5000-W82)</f>
        <v>5000</v>
      </c>
      <c r="Y82" s="35">
        <f>CAR_20!U16</f>
        <v>0</v>
      </c>
      <c r="Z82" s="35">
        <f>CAR_20!AE16</f>
        <v>0</v>
      </c>
      <c r="AA82" s="36">
        <f>CAR_20!AE16</f>
        <v>0</v>
      </c>
    </row>
    <row r="83" spans="1:27" x14ac:dyDescent="0.25">
      <c r="A83" s="38" t="s">
        <v>34</v>
      </c>
      <c r="B83" s="46">
        <f>CAR_17!H19</f>
        <v>0</v>
      </c>
      <c r="C83" s="43">
        <f t="shared" si="16"/>
        <v>5000</v>
      </c>
      <c r="D83" s="35">
        <f>CAR_17!U20</f>
        <v>0</v>
      </c>
      <c r="E83" s="35">
        <f>CAR_17!AE20</f>
        <v>0</v>
      </c>
      <c r="F83" s="36">
        <f>CAR_17!AN20</f>
        <v>0</v>
      </c>
      <c r="H83" s="38" t="s">
        <v>34</v>
      </c>
      <c r="I83" s="46">
        <f>CAR_18!H19</f>
        <v>0</v>
      </c>
      <c r="J83" s="43">
        <f t="shared" si="17"/>
        <v>5000</v>
      </c>
      <c r="K83" s="35">
        <f>CAR_18!U20</f>
        <v>0</v>
      </c>
      <c r="L83" s="35">
        <f>CAR_18!AE120</f>
        <v>0</v>
      </c>
      <c r="M83" s="36">
        <f>CAR_18!AE20</f>
        <v>0</v>
      </c>
      <c r="O83" s="38" t="s">
        <v>34</v>
      </c>
      <c r="P83" s="46">
        <f>CAR_19!H19</f>
        <v>0</v>
      </c>
      <c r="Q83" s="43">
        <f t="shared" si="18"/>
        <v>5000</v>
      </c>
      <c r="R83" s="35">
        <f>CAR_19!U20</f>
        <v>0</v>
      </c>
      <c r="S83" s="35">
        <f>CAR_19!AE20</f>
        <v>0</v>
      </c>
      <c r="T83" s="36">
        <f>CAR_19!AE20</f>
        <v>0</v>
      </c>
      <c r="V83" s="38" t="s">
        <v>34</v>
      </c>
      <c r="W83" s="46">
        <f>CAR_20!H19</f>
        <v>0</v>
      </c>
      <c r="X83" s="43">
        <f t="shared" si="19"/>
        <v>5000</v>
      </c>
      <c r="Y83" s="35">
        <f>CAR_20!U20</f>
        <v>0</v>
      </c>
      <c r="Z83" s="35">
        <f>CAR_20!AE20</f>
        <v>0</v>
      </c>
      <c r="AA83" s="36">
        <f>CAR_20!AE20</f>
        <v>0</v>
      </c>
    </row>
    <row r="84" spans="1:27" x14ac:dyDescent="0.25">
      <c r="A84" s="38" t="s">
        <v>35</v>
      </c>
      <c r="B84" s="46">
        <f>CAR_17!H23</f>
        <v>0</v>
      </c>
      <c r="C84" s="43">
        <f t="shared" si="16"/>
        <v>5000</v>
      </c>
      <c r="D84" s="35">
        <f>CAR_17!U24</f>
        <v>0</v>
      </c>
      <c r="E84" s="35">
        <f>CAR_17!AE24</f>
        <v>0</v>
      </c>
      <c r="F84" s="36">
        <f>CAR_17!AN24</f>
        <v>0</v>
      </c>
      <c r="H84" s="38" t="s">
        <v>35</v>
      </c>
      <c r="I84" s="46">
        <f>CAR_18!H23</f>
        <v>0</v>
      </c>
      <c r="J84" s="43">
        <f t="shared" si="17"/>
        <v>5000</v>
      </c>
      <c r="K84" s="35">
        <f>CAR_18!U24</f>
        <v>0</v>
      </c>
      <c r="L84" s="35">
        <f>CAR_18!AE24</f>
        <v>0</v>
      </c>
      <c r="M84" s="36">
        <f>CAR_18!AE24</f>
        <v>0</v>
      </c>
      <c r="O84" s="38" t="s">
        <v>35</v>
      </c>
      <c r="P84" s="46">
        <f>CAR_19!H23</f>
        <v>0</v>
      </c>
      <c r="Q84" s="43">
        <f t="shared" si="18"/>
        <v>5000</v>
      </c>
      <c r="R84" s="35">
        <f>CAR_19!U24</f>
        <v>0</v>
      </c>
      <c r="S84" s="35">
        <f>CAR_19!AE24</f>
        <v>0</v>
      </c>
      <c r="T84" s="36">
        <f>CAR_19!AE24</f>
        <v>0</v>
      </c>
      <c r="V84" s="38" t="s">
        <v>35</v>
      </c>
      <c r="W84" s="46">
        <f>CAR_20!H23</f>
        <v>0</v>
      </c>
      <c r="X84" s="43">
        <f t="shared" si="19"/>
        <v>5000</v>
      </c>
      <c r="Y84" s="35">
        <f>CAR_20!U24</f>
        <v>0</v>
      </c>
      <c r="Z84" s="35">
        <f>CAR_20!AE24</f>
        <v>0</v>
      </c>
      <c r="AA84" s="36">
        <f>CAR_20!AE24</f>
        <v>0</v>
      </c>
    </row>
    <row r="85" spans="1:27" x14ac:dyDescent="0.25">
      <c r="A85" s="38" t="s">
        <v>36</v>
      </c>
      <c r="B85" s="46">
        <f>CAR_17!H27</f>
        <v>0</v>
      </c>
      <c r="C85" s="43">
        <f t="shared" si="16"/>
        <v>5000</v>
      </c>
      <c r="D85" s="35">
        <f>CAR_17!U28</f>
        <v>0</v>
      </c>
      <c r="E85" s="35">
        <f>CAR_17!AE28</f>
        <v>0</v>
      </c>
      <c r="F85" s="36">
        <f>CAR_17!AN28</f>
        <v>0</v>
      </c>
      <c r="H85" s="38" t="s">
        <v>36</v>
      </c>
      <c r="I85" s="46">
        <f>CAR_18!H27</f>
        <v>0</v>
      </c>
      <c r="J85" s="43">
        <f t="shared" si="17"/>
        <v>5000</v>
      </c>
      <c r="K85" s="35">
        <f>CAR_18!U28</f>
        <v>0</v>
      </c>
      <c r="L85" s="35">
        <f>CAR_18!AE28</f>
        <v>0</v>
      </c>
      <c r="M85" s="36">
        <f>CAR_18!AE28</f>
        <v>0</v>
      </c>
      <c r="O85" s="38" t="s">
        <v>36</v>
      </c>
      <c r="P85" s="46">
        <f>CAR_19!H27</f>
        <v>0</v>
      </c>
      <c r="Q85" s="43">
        <f t="shared" si="18"/>
        <v>5000</v>
      </c>
      <c r="R85" s="35">
        <f>CAR_19!U28</f>
        <v>0</v>
      </c>
      <c r="S85" s="35">
        <f>CAR_19!AE28</f>
        <v>0</v>
      </c>
      <c r="T85" s="36">
        <f>CAR_19!AE28</f>
        <v>0</v>
      </c>
      <c r="V85" s="38" t="s">
        <v>36</v>
      </c>
      <c r="W85" s="46">
        <f>CAR_20!H27</f>
        <v>0</v>
      </c>
      <c r="X85" s="43">
        <f t="shared" si="19"/>
        <v>5000</v>
      </c>
      <c r="Y85" s="35">
        <f>CAR_20!U28</f>
        <v>0</v>
      </c>
      <c r="Z85" s="35">
        <f>CAR_20!AE28</f>
        <v>0</v>
      </c>
      <c r="AA85" s="36">
        <f>CAR_20!AE28</f>
        <v>0</v>
      </c>
    </row>
    <row r="86" spans="1:27" x14ac:dyDescent="0.25">
      <c r="A86" s="38" t="s">
        <v>37</v>
      </c>
      <c r="B86" s="46">
        <f>CAR_17!H31</f>
        <v>0</v>
      </c>
      <c r="C86" s="43">
        <f t="shared" si="16"/>
        <v>5000</v>
      </c>
      <c r="D86" s="35">
        <f>CAR_17!U32</f>
        <v>0</v>
      </c>
      <c r="E86" s="35">
        <f>CAR_17!AE32</f>
        <v>0</v>
      </c>
      <c r="F86" s="36">
        <f>CAR_17!AN32</f>
        <v>0</v>
      </c>
      <c r="H86" s="38" t="s">
        <v>37</v>
      </c>
      <c r="I86" s="46">
        <f>CAR_18!H31</f>
        <v>0</v>
      </c>
      <c r="J86" s="43">
        <f t="shared" si="17"/>
        <v>5000</v>
      </c>
      <c r="K86" s="35">
        <f>CAR_18!U32</f>
        <v>0</v>
      </c>
      <c r="L86" s="35">
        <f>CAR_18!AE32</f>
        <v>0</v>
      </c>
      <c r="M86" s="36">
        <f>CAR_18!AE32</f>
        <v>0</v>
      </c>
      <c r="O86" s="38" t="s">
        <v>37</v>
      </c>
      <c r="P86" s="46">
        <f>CAR_19!H31</f>
        <v>0</v>
      </c>
      <c r="Q86" s="43">
        <f t="shared" si="18"/>
        <v>5000</v>
      </c>
      <c r="R86" s="35">
        <f>CAR_19!U32</f>
        <v>0</v>
      </c>
      <c r="S86" s="35">
        <f>CAR_19!AE32</f>
        <v>0</v>
      </c>
      <c r="T86" s="36">
        <f>CAR_19!AE32</f>
        <v>0</v>
      </c>
      <c r="V86" s="38" t="s">
        <v>37</v>
      </c>
      <c r="W86" s="46">
        <f>CAR_20!H31</f>
        <v>0</v>
      </c>
      <c r="X86" s="43">
        <f t="shared" si="19"/>
        <v>5000</v>
      </c>
      <c r="Y86" s="35">
        <f>CAR_20!U32</f>
        <v>0</v>
      </c>
      <c r="Z86" s="35">
        <f>CAR_20!AE32</f>
        <v>0</v>
      </c>
      <c r="AA86" s="36">
        <f>CAR_20!AE32</f>
        <v>0</v>
      </c>
    </row>
    <row r="87" spans="1:27" x14ac:dyDescent="0.25">
      <c r="A87" s="38" t="s">
        <v>38</v>
      </c>
      <c r="B87" s="46">
        <f>CAR_17!H35</f>
        <v>0</v>
      </c>
      <c r="C87" s="43">
        <f t="shared" si="16"/>
        <v>5000</v>
      </c>
      <c r="D87" s="35">
        <f>CAR_17!U36</f>
        <v>0</v>
      </c>
      <c r="E87" s="35">
        <f>CAR_17!AE36</f>
        <v>0</v>
      </c>
      <c r="F87" s="36">
        <f>CAR_17!AN36</f>
        <v>0</v>
      </c>
      <c r="H87" s="38" t="s">
        <v>38</v>
      </c>
      <c r="I87" s="46">
        <f>CAR_18!H35</f>
        <v>0</v>
      </c>
      <c r="J87" s="43">
        <f t="shared" si="17"/>
        <v>5000</v>
      </c>
      <c r="K87" s="35">
        <f>CAR_18!U36</f>
        <v>0</v>
      </c>
      <c r="L87" s="35">
        <f>CAR_18!AE36</f>
        <v>0</v>
      </c>
      <c r="M87" s="36">
        <f>CAR_18!AE36</f>
        <v>0</v>
      </c>
      <c r="O87" s="38" t="s">
        <v>38</v>
      </c>
      <c r="P87" s="46">
        <f>CAR_19!H35</f>
        <v>0</v>
      </c>
      <c r="Q87" s="43">
        <f t="shared" si="18"/>
        <v>5000</v>
      </c>
      <c r="R87" s="35">
        <f>CAR_19!U36</f>
        <v>0</v>
      </c>
      <c r="S87" s="35">
        <f>CAR_19!AE36</f>
        <v>0</v>
      </c>
      <c r="T87" s="36">
        <f>CAR_19!AE36</f>
        <v>0</v>
      </c>
      <c r="V87" s="38" t="s">
        <v>38</v>
      </c>
      <c r="W87" s="46">
        <f>CAR_20!H35</f>
        <v>0</v>
      </c>
      <c r="X87" s="43">
        <f t="shared" si="19"/>
        <v>5000</v>
      </c>
      <c r="Y87" s="35">
        <f>CAR_20!U36</f>
        <v>0</v>
      </c>
      <c r="Z87" s="35">
        <f>CAR_20!AE36</f>
        <v>0</v>
      </c>
      <c r="AA87" s="36">
        <f>CAR_20!AE36</f>
        <v>0</v>
      </c>
    </row>
    <row r="88" spans="1:27" x14ac:dyDescent="0.25">
      <c r="A88" s="38" t="s">
        <v>39</v>
      </c>
      <c r="B88" s="46">
        <f>CAR_17!H39</f>
        <v>0</v>
      </c>
      <c r="C88" s="43">
        <f t="shared" si="16"/>
        <v>5000</v>
      </c>
      <c r="D88" s="35">
        <f>CAR_17!U40</f>
        <v>0</v>
      </c>
      <c r="E88" s="35">
        <f>CAR_17!AE40</f>
        <v>0</v>
      </c>
      <c r="F88" s="36">
        <f>CAR_17!AN40</f>
        <v>0</v>
      </c>
      <c r="H88" s="38" t="s">
        <v>39</v>
      </c>
      <c r="I88" s="46">
        <f>CAR_18!H39</f>
        <v>0</v>
      </c>
      <c r="J88" s="43">
        <f t="shared" si="17"/>
        <v>5000</v>
      </c>
      <c r="K88" s="35">
        <f>CAR_18!U40</f>
        <v>0</v>
      </c>
      <c r="L88" s="35">
        <f>CAR_18!AE40</f>
        <v>0</v>
      </c>
      <c r="M88" s="36">
        <f>CAR_18!AE40</f>
        <v>0</v>
      </c>
      <c r="O88" s="38" t="s">
        <v>39</v>
      </c>
      <c r="P88" s="46">
        <f>CAR_19!H39</f>
        <v>0</v>
      </c>
      <c r="Q88" s="43">
        <f t="shared" si="18"/>
        <v>5000</v>
      </c>
      <c r="R88" s="35">
        <f>CAR_19!U40</f>
        <v>0</v>
      </c>
      <c r="S88" s="35">
        <f>CAR_19!AE40</f>
        <v>0</v>
      </c>
      <c r="T88" s="36">
        <f>CAR_19!AE40</f>
        <v>0</v>
      </c>
      <c r="V88" s="38" t="s">
        <v>39</v>
      </c>
      <c r="W88" s="46">
        <f>CAR_20!H39</f>
        <v>0</v>
      </c>
      <c r="X88" s="43">
        <f t="shared" si="19"/>
        <v>5000</v>
      </c>
      <c r="Y88" s="35">
        <f>CAR_20!U40</f>
        <v>0</v>
      </c>
      <c r="Z88" s="35">
        <f>CAR_20!AE40</f>
        <v>0</v>
      </c>
      <c r="AA88" s="36">
        <f>CAR_20!AE40</f>
        <v>0</v>
      </c>
    </row>
    <row r="89" spans="1:27" x14ac:dyDescent="0.25">
      <c r="A89" s="38" t="s">
        <v>40</v>
      </c>
      <c r="B89" s="46">
        <f>CAR_17!H43</f>
        <v>0</v>
      </c>
      <c r="C89" s="43">
        <f t="shared" si="16"/>
        <v>5000</v>
      </c>
      <c r="D89" s="35">
        <f>CAR_17!U44</f>
        <v>0</v>
      </c>
      <c r="E89" s="35">
        <f>CAR_17!AE44</f>
        <v>0</v>
      </c>
      <c r="F89" s="36">
        <f>CAR_17!AN44</f>
        <v>0</v>
      </c>
      <c r="H89" s="38" t="s">
        <v>40</v>
      </c>
      <c r="I89" s="46">
        <f>CAR_18!H43</f>
        <v>0</v>
      </c>
      <c r="J89" s="43">
        <f t="shared" si="17"/>
        <v>5000</v>
      </c>
      <c r="K89" s="35">
        <f>CAR_18!U44</f>
        <v>0</v>
      </c>
      <c r="L89" s="35">
        <f>CAR_18!AE44</f>
        <v>0</v>
      </c>
      <c r="M89" s="36">
        <f>CAR_18!AE44</f>
        <v>0</v>
      </c>
      <c r="O89" s="38" t="s">
        <v>40</v>
      </c>
      <c r="P89" s="46">
        <f>CAR_19!H43</f>
        <v>0</v>
      </c>
      <c r="Q89" s="43">
        <f t="shared" si="18"/>
        <v>5000</v>
      </c>
      <c r="R89" s="35">
        <f>CAR_19!U44</f>
        <v>0</v>
      </c>
      <c r="S89" s="35">
        <f>CAR_19!AE44</f>
        <v>0</v>
      </c>
      <c r="T89" s="36">
        <f>CAR_19!AE44</f>
        <v>0</v>
      </c>
      <c r="V89" s="38" t="s">
        <v>40</v>
      </c>
      <c r="W89" s="46">
        <f>CAR_20!H43</f>
        <v>0</v>
      </c>
      <c r="X89" s="43">
        <f t="shared" si="19"/>
        <v>5000</v>
      </c>
      <c r="Y89" s="35">
        <f>CAR_20!U44</f>
        <v>0</v>
      </c>
      <c r="Z89" s="35">
        <f>CAR_20!AE44</f>
        <v>0</v>
      </c>
      <c r="AA89" s="36">
        <f>CAR_20!AE44</f>
        <v>0</v>
      </c>
    </row>
    <row r="90" spans="1:27" x14ac:dyDescent="0.25">
      <c r="A90" s="38" t="s">
        <v>41</v>
      </c>
      <c r="B90" s="46">
        <f>CAR_17!H47</f>
        <v>0</v>
      </c>
      <c r="C90" s="43">
        <f t="shared" si="16"/>
        <v>5000</v>
      </c>
      <c r="D90" s="35">
        <f>CAR_17!U48</f>
        <v>0</v>
      </c>
      <c r="E90" s="35">
        <f>CAR_17!AE48</f>
        <v>0</v>
      </c>
      <c r="F90" s="36">
        <f>CAR_17!AN48</f>
        <v>0</v>
      </c>
      <c r="H90" s="38" t="s">
        <v>41</v>
      </c>
      <c r="I90" s="46">
        <f>CAR_18!H47</f>
        <v>0</v>
      </c>
      <c r="J90" s="43">
        <f t="shared" si="17"/>
        <v>5000</v>
      </c>
      <c r="K90" s="35">
        <f>CAR_18!U48</f>
        <v>0</v>
      </c>
      <c r="L90" s="35">
        <f>CAR_18!AE48</f>
        <v>0</v>
      </c>
      <c r="M90" s="36">
        <f>CAR_18!AE48</f>
        <v>0</v>
      </c>
      <c r="O90" s="38" t="s">
        <v>41</v>
      </c>
      <c r="P90" s="46">
        <f>CAR_19!H47</f>
        <v>0</v>
      </c>
      <c r="Q90" s="43">
        <f t="shared" si="18"/>
        <v>5000</v>
      </c>
      <c r="R90" s="35">
        <f>CAR_19!U48</f>
        <v>0</v>
      </c>
      <c r="S90" s="35">
        <f>CAR_19!AE48</f>
        <v>0</v>
      </c>
      <c r="T90" s="36">
        <f>CAR_19!AE48</f>
        <v>0</v>
      </c>
      <c r="V90" s="38" t="s">
        <v>41</v>
      </c>
      <c r="W90" s="46">
        <f>CAR_20!H47</f>
        <v>0</v>
      </c>
      <c r="X90" s="43">
        <f t="shared" si="19"/>
        <v>5000</v>
      </c>
      <c r="Y90" s="35">
        <f>CAR_20!U48</f>
        <v>0</v>
      </c>
      <c r="Z90" s="35">
        <f>CAR_20!AE48</f>
        <v>0</v>
      </c>
      <c r="AA90" s="36">
        <f>CAR_20!AE48</f>
        <v>0</v>
      </c>
    </row>
    <row r="91" spans="1:27" ht="15.75" thickBot="1" x14ac:dyDescent="0.3">
      <c r="A91" s="39" t="s">
        <v>42</v>
      </c>
      <c r="B91" s="47">
        <f>CAR_17!H51</f>
        <v>0</v>
      </c>
      <c r="C91" s="44">
        <f t="shared" si="16"/>
        <v>5000</v>
      </c>
      <c r="D91" s="11">
        <f>CAR_17!U52</f>
        <v>0</v>
      </c>
      <c r="E91" s="11">
        <f>CAR_17!AE52</f>
        <v>0</v>
      </c>
      <c r="F91" s="12">
        <f>CAR_17!AN52</f>
        <v>0</v>
      </c>
      <c r="H91" s="39" t="s">
        <v>42</v>
      </c>
      <c r="I91" s="47">
        <f>CAR_18!H51</f>
        <v>0</v>
      </c>
      <c r="J91" s="44">
        <f t="shared" si="17"/>
        <v>5000</v>
      </c>
      <c r="K91" s="11">
        <f>CAR_18!U52</f>
        <v>0</v>
      </c>
      <c r="L91" s="11">
        <f>CAR_18!AE52</f>
        <v>0</v>
      </c>
      <c r="M91" s="12">
        <f>CAR_18!AE52</f>
        <v>0</v>
      </c>
      <c r="O91" s="39" t="s">
        <v>42</v>
      </c>
      <c r="P91" s="47">
        <f>CAR_19!H51</f>
        <v>0</v>
      </c>
      <c r="Q91" s="44">
        <f t="shared" si="18"/>
        <v>5000</v>
      </c>
      <c r="R91" s="11">
        <f>CAR_19!U52</f>
        <v>0</v>
      </c>
      <c r="S91" s="11">
        <f>CAR_19!AE52</f>
        <v>0</v>
      </c>
      <c r="T91" s="12">
        <f>CAR_19!AE52</f>
        <v>0</v>
      </c>
      <c r="V91" s="39" t="s">
        <v>42</v>
      </c>
      <c r="W91" s="47">
        <f>CAR_20!H51</f>
        <v>0</v>
      </c>
      <c r="X91" s="44">
        <f t="shared" si="19"/>
        <v>5000</v>
      </c>
      <c r="Y91" s="11">
        <f>CAR_20!U52</f>
        <v>0</v>
      </c>
      <c r="Z91" s="11">
        <f>CAR_20!AE52</f>
        <v>0</v>
      </c>
      <c r="AA91" s="12">
        <f>CAR_20!AE52</f>
        <v>0</v>
      </c>
    </row>
    <row r="92" spans="1:27" ht="15.75" thickBot="1" x14ac:dyDescent="0.3"/>
    <row r="93" spans="1:27" ht="15.75" thickBot="1" x14ac:dyDescent="0.3">
      <c r="A93" s="3" t="s">
        <v>23</v>
      </c>
      <c r="B93" s="52">
        <f>SUM(B80:B91)</f>
        <v>0</v>
      </c>
      <c r="C93" s="51"/>
      <c r="D93" s="50">
        <f>SUM(D80:D91)</f>
        <v>0</v>
      </c>
      <c r="E93" s="49">
        <f>SUM(E80:E91)</f>
        <v>0</v>
      </c>
      <c r="F93" s="48">
        <f>SUM(F80:F91)</f>
        <v>0</v>
      </c>
      <c r="H93" s="3" t="s">
        <v>23</v>
      </c>
      <c r="I93" s="52">
        <f>SUM(I80:I91)</f>
        <v>0</v>
      </c>
      <c r="J93" s="51"/>
      <c r="K93" s="50">
        <f>SUM(K80:K91)</f>
        <v>0</v>
      </c>
      <c r="L93" s="49">
        <f>SUM(L80:L91)</f>
        <v>0</v>
      </c>
      <c r="M93" s="48">
        <f>SUM(M80:M91)</f>
        <v>0</v>
      </c>
      <c r="O93" s="3" t="s">
        <v>23</v>
      </c>
      <c r="P93" s="52">
        <f>SUM(P80:P91)</f>
        <v>0</v>
      </c>
      <c r="Q93" s="51"/>
      <c r="R93" s="50">
        <f>SUM(R80:R91)</f>
        <v>0</v>
      </c>
      <c r="S93" s="49">
        <f>SUM(S80:S91)</f>
        <v>0</v>
      </c>
      <c r="T93" s="48">
        <f>SUM(T80:T91)</f>
        <v>0</v>
      </c>
      <c r="V93" s="3" t="s">
        <v>23</v>
      </c>
      <c r="W93" s="52">
        <f>SUM(W80:W91)</f>
        <v>0</v>
      </c>
      <c r="X93" s="51"/>
      <c r="Y93" s="50">
        <f>SUM(Y80:Y91)</f>
        <v>0</v>
      </c>
      <c r="Z93" s="49">
        <f>SUM(Z80:Z91)</f>
        <v>0</v>
      </c>
      <c r="AA93" s="48">
        <f>SUM(AA80:AA91)</f>
        <v>0</v>
      </c>
    </row>
    <row r="94" spans="1:27" ht="15.75" thickBot="1" x14ac:dyDescent="0.3">
      <c r="A94" s="3" t="s">
        <v>44</v>
      </c>
      <c r="B94" s="23">
        <f>SUM(60000-B93)</f>
        <v>60000</v>
      </c>
      <c r="H94" s="3" t="s">
        <v>44</v>
      </c>
      <c r="I94" s="23">
        <f>SUM(60000-I93)</f>
        <v>60000</v>
      </c>
      <c r="O94" s="3" t="s">
        <v>44</v>
      </c>
      <c r="P94" s="23">
        <f>SUM(60000-P93)</f>
        <v>60000</v>
      </c>
      <c r="V94" s="3" t="s">
        <v>44</v>
      </c>
      <c r="W94" s="23">
        <f>SUM(60000-W93)</f>
        <v>60000</v>
      </c>
    </row>
    <row r="96" spans="1:27" ht="15.75" thickBot="1" x14ac:dyDescent="0.3">
      <c r="B96" s="89" t="s">
        <v>65</v>
      </c>
      <c r="C96" s="89"/>
      <c r="D96" s="89"/>
      <c r="E96" s="89"/>
      <c r="F96" s="89"/>
      <c r="I96" s="89" t="s">
        <v>66</v>
      </c>
      <c r="J96" s="89"/>
      <c r="K96" s="89"/>
      <c r="L96" s="89"/>
      <c r="M96" s="89"/>
      <c r="P96" s="89" t="s">
        <v>67</v>
      </c>
      <c r="Q96" s="89"/>
      <c r="R96" s="89"/>
      <c r="S96" s="89"/>
      <c r="T96" s="89"/>
      <c r="W96" s="89" t="s">
        <v>68</v>
      </c>
      <c r="X96" s="89"/>
      <c r="Y96" s="89"/>
      <c r="Z96" s="89"/>
      <c r="AA96" s="89"/>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20">SUM(5000-B100)</f>
        <v>5000</v>
      </c>
      <c r="D100" s="35">
        <f>CAR_21!U16</f>
        <v>0</v>
      </c>
      <c r="E100" s="35">
        <f>CAR_21!AE16</f>
        <v>0</v>
      </c>
      <c r="F100" s="36">
        <f>CAR_21!AN16</f>
        <v>0</v>
      </c>
      <c r="H100" s="38" t="s">
        <v>33</v>
      </c>
      <c r="I100" s="46">
        <f>CAR_22!H15</f>
        <v>0</v>
      </c>
      <c r="J100" s="43">
        <f t="shared" ref="J100:J109" si="21">SUM(5000-I100)</f>
        <v>5000</v>
      </c>
      <c r="K100" s="35">
        <f>CAR_22!U16</f>
        <v>0</v>
      </c>
      <c r="L100" s="35">
        <f>CAR_22!AE16</f>
        <v>0</v>
      </c>
      <c r="M100" s="36">
        <f>CAR_22!AN16</f>
        <v>0</v>
      </c>
      <c r="O100" s="38" t="s">
        <v>33</v>
      </c>
      <c r="P100" s="46">
        <f>CAR_23!H19</f>
        <v>0</v>
      </c>
      <c r="Q100" s="43">
        <f t="shared" ref="Q100:Q109" si="22">SUM(5000-P100)</f>
        <v>5000</v>
      </c>
      <c r="R100" s="35">
        <f>CAR_23!U16</f>
        <v>0</v>
      </c>
      <c r="S100" s="35">
        <f>CAR_23!AE16</f>
        <v>0</v>
      </c>
      <c r="T100" s="36">
        <f>CAR_23!AN16</f>
        <v>0</v>
      </c>
      <c r="V100" s="38" t="s">
        <v>33</v>
      </c>
      <c r="W100" s="46">
        <f>CAR_24!H15</f>
        <v>0</v>
      </c>
      <c r="X100" s="43">
        <f t="shared" ref="X100:X109" si="23">SUM(5000-W100)</f>
        <v>5000</v>
      </c>
      <c r="Y100" s="35">
        <f>CAR_24!U16</f>
        <v>0</v>
      </c>
      <c r="Z100" s="35">
        <f>CAR_24!AE16</f>
        <v>0</v>
      </c>
      <c r="AA100" s="36">
        <f>CAR_24!AN16</f>
        <v>0</v>
      </c>
    </row>
    <row r="101" spans="1:27" x14ac:dyDescent="0.25">
      <c r="A101" s="38" t="s">
        <v>34</v>
      </c>
      <c r="B101" s="46">
        <f>CAR_21!H19</f>
        <v>0</v>
      </c>
      <c r="C101" s="43">
        <f t="shared" si="20"/>
        <v>5000</v>
      </c>
      <c r="D101" s="35">
        <f>CAR_21!U20</f>
        <v>0</v>
      </c>
      <c r="E101" s="35">
        <f>CAR_21!AE20</f>
        <v>0</v>
      </c>
      <c r="F101" s="36">
        <f>CAR_21!AN220</f>
        <v>0</v>
      </c>
      <c r="H101" s="38" t="s">
        <v>34</v>
      </c>
      <c r="I101" s="46">
        <f>CAR_22!H19</f>
        <v>0</v>
      </c>
      <c r="J101" s="43">
        <f t="shared" si="21"/>
        <v>5000</v>
      </c>
      <c r="K101" s="35">
        <f>CAR_22!U20</f>
        <v>0</v>
      </c>
      <c r="L101" s="35">
        <f>CAR_22!AE20</f>
        <v>0</v>
      </c>
      <c r="M101" s="36">
        <f>CAR_22!AN20</f>
        <v>0</v>
      </c>
      <c r="O101" s="38" t="s">
        <v>34</v>
      </c>
      <c r="P101" s="46">
        <f>CAR_23!H19</f>
        <v>0</v>
      </c>
      <c r="Q101" s="43">
        <f t="shared" si="22"/>
        <v>5000</v>
      </c>
      <c r="R101" s="35">
        <f>CAR_23!U20</f>
        <v>0</v>
      </c>
      <c r="S101" s="35">
        <f>CAR_23!AE20</f>
        <v>0</v>
      </c>
      <c r="T101" s="36">
        <f>CAR_23!AN20</f>
        <v>0</v>
      </c>
      <c r="V101" s="38" t="s">
        <v>34</v>
      </c>
      <c r="W101" s="46">
        <f>CAR_24!H19</f>
        <v>0</v>
      </c>
      <c r="X101" s="43">
        <f t="shared" si="23"/>
        <v>5000</v>
      </c>
      <c r="Y101" s="35">
        <f>CAR_24!U20</f>
        <v>0</v>
      </c>
      <c r="Z101" s="35">
        <f>CAR_24!AE20</f>
        <v>0</v>
      </c>
      <c r="AA101" s="36">
        <f>CAR_24!AN20</f>
        <v>0</v>
      </c>
    </row>
    <row r="102" spans="1:27" x14ac:dyDescent="0.25">
      <c r="A102" s="38" t="s">
        <v>35</v>
      </c>
      <c r="B102" s="46">
        <f>CAR_21!H23</f>
        <v>0</v>
      </c>
      <c r="C102" s="43">
        <f t="shared" si="20"/>
        <v>5000</v>
      </c>
      <c r="D102" s="35">
        <f>CAR_21!U24</f>
        <v>0</v>
      </c>
      <c r="E102" s="35">
        <f>CAR_21!AE24</f>
        <v>0</v>
      </c>
      <c r="F102" s="36">
        <f>CAR_21!AN24</f>
        <v>0</v>
      </c>
      <c r="H102" s="38" t="s">
        <v>35</v>
      </c>
      <c r="I102" s="46">
        <f>CAR_22!H23</f>
        <v>0</v>
      </c>
      <c r="J102" s="43">
        <f t="shared" si="21"/>
        <v>5000</v>
      </c>
      <c r="K102" s="35">
        <f>CAR_22!U24</f>
        <v>0</v>
      </c>
      <c r="L102" s="35">
        <f>CAR_22!AE24</f>
        <v>0</v>
      </c>
      <c r="M102" s="36">
        <f>CAR_22!AN24</f>
        <v>0</v>
      </c>
      <c r="O102" s="38" t="s">
        <v>35</v>
      </c>
      <c r="P102" s="46">
        <f>CAR_23!H23</f>
        <v>0</v>
      </c>
      <c r="Q102" s="43">
        <f t="shared" si="22"/>
        <v>5000</v>
      </c>
      <c r="R102" s="35">
        <f>CAR_23!U24</f>
        <v>0</v>
      </c>
      <c r="S102" s="35">
        <f>CAR_23!AE24</f>
        <v>0</v>
      </c>
      <c r="T102" s="36">
        <f>CAR_23!AN24</f>
        <v>0</v>
      </c>
      <c r="V102" s="38" t="s">
        <v>35</v>
      </c>
      <c r="W102" s="46">
        <f>CAR_24!H23</f>
        <v>0</v>
      </c>
      <c r="X102" s="43">
        <f t="shared" si="23"/>
        <v>5000</v>
      </c>
      <c r="Y102" s="35">
        <f>CAR_24!U24</f>
        <v>0</v>
      </c>
      <c r="Z102" s="35">
        <f>CAR_24!AE24</f>
        <v>0</v>
      </c>
      <c r="AA102" s="36">
        <f>CAR_24!AN24</f>
        <v>0</v>
      </c>
    </row>
    <row r="103" spans="1:27" x14ac:dyDescent="0.25">
      <c r="A103" s="38" t="s">
        <v>36</v>
      </c>
      <c r="B103" s="46">
        <f>CAR_21!H27</f>
        <v>0</v>
      </c>
      <c r="C103" s="43">
        <f t="shared" si="20"/>
        <v>5000</v>
      </c>
      <c r="D103" s="35">
        <f>CAR_21!U28</f>
        <v>0</v>
      </c>
      <c r="E103" s="35">
        <f>CAR_21!AE28</f>
        <v>0</v>
      </c>
      <c r="F103" s="36">
        <f>CAR_21!AN28</f>
        <v>0</v>
      </c>
      <c r="H103" s="38" t="s">
        <v>36</v>
      </c>
      <c r="I103" s="46">
        <f>CAR_22!H27</f>
        <v>0</v>
      </c>
      <c r="J103" s="43">
        <f t="shared" si="21"/>
        <v>5000</v>
      </c>
      <c r="K103" s="35">
        <f>CAR_22!U28</f>
        <v>0</v>
      </c>
      <c r="L103" s="35">
        <f>CAR_22!AE28</f>
        <v>0</v>
      </c>
      <c r="M103" s="36">
        <f>CAR_22!AN28</f>
        <v>0</v>
      </c>
      <c r="O103" s="38" t="s">
        <v>36</v>
      </c>
      <c r="P103" s="46">
        <f>CAR_23!H27</f>
        <v>0</v>
      </c>
      <c r="Q103" s="43">
        <f t="shared" si="22"/>
        <v>5000</v>
      </c>
      <c r="R103" s="35">
        <f>CAR_23!U28</f>
        <v>0</v>
      </c>
      <c r="S103" s="35">
        <f>CAR_23!AE28</f>
        <v>0</v>
      </c>
      <c r="T103" s="36">
        <f>CAR_23!AN28</f>
        <v>0</v>
      </c>
      <c r="V103" s="38" t="s">
        <v>36</v>
      </c>
      <c r="W103" s="46">
        <f>CAR_24!H27</f>
        <v>0</v>
      </c>
      <c r="X103" s="43">
        <f t="shared" si="23"/>
        <v>5000</v>
      </c>
      <c r="Y103" s="35">
        <f>CAR_24!U28</f>
        <v>0</v>
      </c>
      <c r="Z103" s="35">
        <f>CAR_24!AE28</f>
        <v>0</v>
      </c>
      <c r="AA103" s="36">
        <f>CAR_24!AN28</f>
        <v>0</v>
      </c>
    </row>
    <row r="104" spans="1:27" x14ac:dyDescent="0.25">
      <c r="A104" s="38" t="s">
        <v>37</v>
      </c>
      <c r="B104" s="46">
        <f>CAR_21!H31</f>
        <v>0</v>
      </c>
      <c r="C104" s="43">
        <f t="shared" si="20"/>
        <v>5000</v>
      </c>
      <c r="D104" s="35">
        <f>CAR_21!U32</f>
        <v>0</v>
      </c>
      <c r="E104" s="35">
        <f>CAR_21!AE32</f>
        <v>0</v>
      </c>
      <c r="F104" s="36">
        <f>CAR_21!AN32</f>
        <v>0</v>
      </c>
      <c r="H104" s="38" t="s">
        <v>37</v>
      </c>
      <c r="I104" s="46">
        <f>CAR_22!H31</f>
        <v>0</v>
      </c>
      <c r="J104" s="43">
        <f t="shared" si="21"/>
        <v>5000</v>
      </c>
      <c r="K104" s="35">
        <f>CAR_22!U32</f>
        <v>0</v>
      </c>
      <c r="L104" s="35">
        <f>CAR_22!AE32</f>
        <v>0</v>
      </c>
      <c r="M104" s="36">
        <f>CAR_22!AN32</f>
        <v>0</v>
      </c>
      <c r="O104" s="38" t="s">
        <v>37</v>
      </c>
      <c r="P104" s="46">
        <f>CAR_23!H27</f>
        <v>0</v>
      </c>
      <c r="Q104" s="43">
        <f t="shared" si="22"/>
        <v>5000</v>
      </c>
      <c r="R104" s="35">
        <f>CAR_23!U32</f>
        <v>0</v>
      </c>
      <c r="S104" s="35">
        <f>CAR_23!AE32</f>
        <v>0</v>
      </c>
      <c r="T104" s="36">
        <f>CAR_23!AN32</f>
        <v>0</v>
      </c>
      <c r="V104" s="38" t="s">
        <v>37</v>
      </c>
      <c r="W104" s="46">
        <f>CAR_24!H31</f>
        <v>0</v>
      </c>
      <c r="X104" s="43">
        <f t="shared" si="23"/>
        <v>5000</v>
      </c>
      <c r="Y104" s="35">
        <f>CAR_24!U32</f>
        <v>0</v>
      </c>
      <c r="Z104" s="35">
        <f>CAR_24!AE32</f>
        <v>0</v>
      </c>
      <c r="AA104" s="36">
        <f>CAR_24!AN32</f>
        <v>0</v>
      </c>
    </row>
    <row r="105" spans="1:27" x14ac:dyDescent="0.25">
      <c r="A105" s="38" t="s">
        <v>38</v>
      </c>
      <c r="B105" s="46">
        <f>CAR_21!H35</f>
        <v>0</v>
      </c>
      <c r="C105" s="43">
        <f t="shared" si="20"/>
        <v>5000</v>
      </c>
      <c r="D105" s="35">
        <f>CAR_21!U36</f>
        <v>0</v>
      </c>
      <c r="E105" s="35">
        <f>CAR_21!AE36</f>
        <v>0</v>
      </c>
      <c r="F105" s="36">
        <f>CAR_21!AN36</f>
        <v>0</v>
      </c>
      <c r="H105" s="38" t="s">
        <v>38</v>
      </c>
      <c r="I105" s="46">
        <f>CAR_22!H35</f>
        <v>0</v>
      </c>
      <c r="J105" s="43">
        <f t="shared" si="21"/>
        <v>5000</v>
      </c>
      <c r="K105" s="35">
        <f>CAR_22!U36</f>
        <v>0</v>
      </c>
      <c r="L105" s="35">
        <f>CAR_22!AE36</f>
        <v>0</v>
      </c>
      <c r="M105" s="36">
        <f>CAR_22!AN36</f>
        <v>0</v>
      </c>
      <c r="O105" s="38" t="s">
        <v>38</v>
      </c>
      <c r="P105" s="46">
        <f>CAR_23!H35</f>
        <v>0</v>
      </c>
      <c r="Q105" s="43">
        <f t="shared" si="22"/>
        <v>5000</v>
      </c>
      <c r="R105" s="35">
        <f>CAR_23!U36</f>
        <v>0</v>
      </c>
      <c r="S105" s="35">
        <f>CAR_23!AE36</f>
        <v>0</v>
      </c>
      <c r="T105" s="36">
        <f>CAR_23!AN36</f>
        <v>0</v>
      </c>
      <c r="V105" s="38" t="s">
        <v>38</v>
      </c>
      <c r="W105" s="46">
        <f>CAR_24!H35</f>
        <v>0</v>
      </c>
      <c r="X105" s="43">
        <f t="shared" si="23"/>
        <v>5000</v>
      </c>
      <c r="Y105" s="35">
        <f>CAR_24!U36</f>
        <v>0</v>
      </c>
      <c r="Z105" s="35">
        <f>CAR_24!AE36</f>
        <v>0</v>
      </c>
      <c r="AA105" s="36">
        <f>CAR_24!AN36</f>
        <v>0</v>
      </c>
    </row>
    <row r="106" spans="1:27" x14ac:dyDescent="0.25">
      <c r="A106" s="38" t="s">
        <v>39</v>
      </c>
      <c r="B106" s="46">
        <f>CAR_21!H39</f>
        <v>0</v>
      </c>
      <c r="C106" s="43">
        <f t="shared" si="20"/>
        <v>5000</v>
      </c>
      <c r="D106" s="35">
        <f>CAR_21!U40</f>
        <v>0</v>
      </c>
      <c r="E106" s="35">
        <f>CAR_21!AE40</f>
        <v>0</v>
      </c>
      <c r="F106" s="36">
        <f>CAR_21!AN40</f>
        <v>0</v>
      </c>
      <c r="H106" s="38" t="s">
        <v>39</v>
      </c>
      <c r="I106" s="46">
        <f>CAR_22!H39</f>
        <v>0</v>
      </c>
      <c r="J106" s="43">
        <f t="shared" si="21"/>
        <v>5000</v>
      </c>
      <c r="K106" s="35">
        <f>CAR_22!U40</f>
        <v>0</v>
      </c>
      <c r="L106" s="35">
        <f>CAR_22!AE40</f>
        <v>0</v>
      </c>
      <c r="M106" s="36">
        <f>CAR_22!AN40</f>
        <v>0</v>
      </c>
      <c r="O106" s="38" t="s">
        <v>39</v>
      </c>
      <c r="P106" s="46">
        <f>CAR_23!H39</f>
        <v>0</v>
      </c>
      <c r="Q106" s="43">
        <f t="shared" si="22"/>
        <v>5000</v>
      </c>
      <c r="R106" s="35">
        <f>CAR_23!U40</f>
        <v>0</v>
      </c>
      <c r="S106" s="35">
        <f>CAR_23!AE40</f>
        <v>0</v>
      </c>
      <c r="T106" s="36">
        <f>CAR_23!AN40</f>
        <v>0</v>
      </c>
      <c r="V106" s="38" t="s">
        <v>39</v>
      </c>
      <c r="W106" s="46">
        <f>CAR_24!H39</f>
        <v>0</v>
      </c>
      <c r="X106" s="43">
        <f t="shared" si="23"/>
        <v>5000</v>
      </c>
      <c r="Y106" s="35">
        <f>CAR_24!U40</f>
        <v>0</v>
      </c>
      <c r="Z106" s="35">
        <f>CAR_24!AE40</f>
        <v>0</v>
      </c>
      <c r="AA106" s="36">
        <f>CAR_24!AN40</f>
        <v>0</v>
      </c>
    </row>
    <row r="107" spans="1:27" x14ac:dyDescent="0.25">
      <c r="A107" s="38" t="s">
        <v>40</v>
      </c>
      <c r="B107" s="46">
        <f>CAR_21!H43</f>
        <v>0</v>
      </c>
      <c r="C107" s="43">
        <f t="shared" si="20"/>
        <v>5000</v>
      </c>
      <c r="D107" s="35">
        <f>CAR_21!U44</f>
        <v>0</v>
      </c>
      <c r="E107" s="35">
        <f>CAR_21!AE44</f>
        <v>0</v>
      </c>
      <c r="F107" s="36">
        <f>CAR_21!AN44</f>
        <v>0</v>
      </c>
      <c r="H107" s="38" t="s">
        <v>40</v>
      </c>
      <c r="I107" s="46">
        <f>CAR_22!H43</f>
        <v>0</v>
      </c>
      <c r="J107" s="43">
        <f t="shared" si="21"/>
        <v>5000</v>
      </c>
      <c r="K107" s="35">
        <f>CAR_22!U44</f>
        <v>0</v>
      </c>
      <c r="L107" s="35">
        <f>CAR_22!AE44</f>
        <v>0</v>
      </c>
      <c r="M107" s="36">
        <f>CAR_22!AN44</f>
        <v>0</v>
      </c>
      <c r="O107" s="38" t="s">
        <v>40</v>
      </c>
      <c r="P107" s="46">
        <f>CAR_23!H43</f>
        <v>0</v>
      </c>
      <c r="Q107" s="43">
        <f t="shared" si="22"/>
        <v>5000</v>
      </c>
      <c r="R107" s="35">
        <f>CAR_23!U44</f>
        <v>0</v>
      </c>
      <c r="S107" s="35">
        <f>CAR_23!AE44</f>
        <v>0</v>
      </c>
      <c r="T107" s="36">
        <f>CAR_23!AN44</f>
        <v>0</v>
      </c>
      <c r="V107" s="38" t="s">
        <v>40</v>
      </c>
      <c r="W107" s="46">
        <f>CAR_24!H43</f>
        <v>0</v>
      </c>
      <c r="X107" s="43">
        <f t="shared" si="23"/>
        <v>5000</v>
      </c>
      <c r="Y107" s="35">
        <f>CAR_24!U44</f>
        <v>0</v>
      </c>
      <c r="Z107" s="35">
        <f>CAR_24!AE44</f>
        <v>0</v>
      </c>
      <c r="AA107" s="36">
        <f>CAR_24!AN44</f>
        <v>0</v>
      </c>
    </row>
    <row r="108" spans="1:27" x14ac:dyDescent="0.25">
      <c r="A108" s="38" t="s">
        <v>41</v>
      </c>
      <c r="B108" s="46">
        <f>CAR_21!H47</f>
        <v>0</v>
      </c>
      <c r="C108" s="43">
        <f t="shared" si="20"/>
        <v>5000</v>
      </c>
      <c r="D108" s="35">
        <f>CAR_21!U48</f>
        <v>0</v>
      </c>
      <c r="E108" s="35">
        <f>CAR_21!AE48</f>
        <v>0</v>
      </c>
      <c r="F108" s="36">
        <f>CAR_21!AN48</f>
        <v>0</v>
      </c>
      <c r="H108" s="38" t="s">
        <v>41</v>
      </c>
      <c r="I108" s="46">
        <f>CAR_22!H47</f>
        <v>0</v>
      </c>
      <c r="J108" s="43">
        <f t="shared" si="21"/>
        <v>5000</v>
      </c>
      <c r="K108" s="35">
        <f>CAR_22!U48</f>
        <v>0</v>
      </c>
      <c r="L108" s="35">
        <f>CAR_22!AE48</f>
        <v>0</v>
      </c>
      <c r="M108" s="36">
        <f>CAR_22!AN48</f>
        <v>0</v>
      </c>
      <c r="O108" s="38" t="s">
        <v>41</v>
      </c>
      <c r="P108" s="46">
        <f>CAR_23!H47</f>
        <v>0</v>
      </c>
      <c r="Q108" s="43">
        <f t="shared" si="22"/>
        <v>5000</v>
      </c>
      <c r="R108" s="35">
        <f>CAR_23!U48</f>
        <v>0</v>
      </c>
      <c r="S108" s="35">
        <f>CAR_23!AE48</f>
        <v>0</v>
      </c>
      <c r="T108" s="36">
        <f>CAR_23!AN48</f>
        <v>0</v>
      </c>
      <c r="V108" s="38" t="s">
        <v>41</v>
      </c>
      <c r="W108" s="46">
        <f>CAR_24!H47</f>
        <v>0</v>
      </c>
      <c r="X108" s="43">
        <f t="shared" si="23"/>
        <v>5000</v>
      </c>
      <c r="Y108" s="35">
        <f>CAR_24!U48</f>
        <v>0</v>
      </c>
      <c r="Z108" s="35">
        <f>CAR_24!AE48</f>
        <v>0</v>
      </c>
      <c r="AA108" s="36">
        <f>CAR_24!AN48</f>
        <v>0</v>
      </c>
    </row>
    <row r="109" spans="1:27" ht="15.75" thickBot="1" x14ac:dyDescent="0.3">
      <c r="A109" s="39" t="s">
        <v>42</v>
      </c>
      <c r="B109" s="47">
        <f>CAR_21!H51</f>
        <v>0</v>
      </c>
      <c r="C109" s="44">
        <f t="shared" si="20"/>
        <v>5000</v>
      </c>
      <c r="D109" s="11">
        <f>CAR_21!U52</f>
        <v>0</v>
      </c>
      <c r="E109" s="11">
        <f>CAR_21!AE52</f>
        <v>0</v>
      </c>
      <c r="F109" s="12">
        <f>CAR_21!AN52</f>
        <v>0</v>
      </c>
      <c r="H109" s="39" t="s">
        <v>42</v>
      </c>
      <c r="I109" s="47">
        <f>CAR_22!H51</f>
        <v>0</v>
      </c>
      <c r="J109" s="44">
        <f t="shared" si="21"/>
        <v>5000</v>
      </c>
      <c r="K109" s="11">
        <f>CAR_22!U52</f>
        <v>0</v>
      </c>
      <c r="L109" s="11">
        <f>CAR_22!AE52</f>
        <v>0</v>
      </c>
      <c r="M109" s="12">
        <f>CAR_22!AN52</f>
        <v>0</v>
      </c>
      <c r="O109" s="39" t="s">
        <v>42</v>
      </c>
      <c r="P109" s="47">
        <f>CAR_23!H51</f>
        <v>0</v>
      </c>
      <c r="Q109" s="44">
        <f t="shared" si="22"/>
        <v>5000</v>
      </c>
      <c r="R109" s="11">
        <f>CAR_23!U52</f>
        <v>0</v>
      </c>
      <c r="S109" s="11">
        <f>CAR_23!AE52</f>
        <v>0</v>
      </c>
      <c r="T109" s="12">
        <f>CAR_23!AN52</f>
        <v>0</v>
      </c>
      <c r="V109" s="39" t="s">
        <v>42</v>
      </c>
      <c r="W109" s="47">
        <f>CAR_24!H51</f>
        <v>0</v>
      </c>
      <c r="X109" s="44">
        <f t="shared" si="23"/>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89" t="s">
        <v>51</v>
      </c>
      <c r="C114" s="89"/>
      <c r="D114" s="89"/>
      <c r="E114" s="89"/>
      <c r="F114" s="89"/>
      <c r="I114" s="89" t="s">
        <v>50</v>
      </c>
      <c r="J114" s="89"/>
      <c r="K114" s="89"/>
      <c r="L114" s="89"/>
      <c r="M114" s="89"/>
      <c r="P114" s="89" t="s">
        <v>49</v>
      </c>
      <c r="Q114" s="89"/>
      <c r="R114" s="89"/>
      <c r="S114" s="89"/>
      <c r="T114" s="89"/>
      <c r="W114" s="89" t="s">
        <v>48</v>
      </c>
      <c r="X114" s="89"/>
      <c r="Y114" s="89"/>
      <c r="Z114" s="89"/>
      <c r="AA114" s="89"/>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4">SUM(5000-B118)</f>
        <v>5000</v>
      </c>
      <c r="D118" s="35">
        <f>CAR_25!U16</f>
        <v>0</v>
      </c>
      <c r="E118" s="35">
        <f>CAR_25!AE16</f>
        <v>0</v>
      </c>
      <c r="F118" s="36">
        <f>CAR_25!AN16</f>
        <v>0</v>
      </c>
      <c r="H118" s="38" t="s">
        <v>33</v>
      </c>
      <c r="I118" s="46">
        <f>CAR_26!H15</f>
        <v>0</v>
      </c>
      <c r="J118" s="43">
        <f t="shared" ref="J118:J127" si="25">SUM(5000-I118)</f>
        <v>5000</v>
      </c>
      <c r="K118" s="35">
        <f>CAR_26!U16</f>
        <v>0</v>
      </c>
      <c r="L118" s="35">
        <f>CAR_26!AE116</f>
        <v>0</v>
      </c>
      <c r="M118" s="36">
        <f>CAR_26!AN16</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CAR_25!H19</f>
        <v>0</v>
      </c>
      <c r="C119" s="43">
        <f t="shared" si="24"/>
        <v>5000</v>
      </c>
      <c r="D119" s="35">
        <f>CAR_25!U20</f>
        <v>0</v>
      </c>
      <c r="E119" s="35">
        <f>CAR_25!AE20</f>
        <v>0</v>
      </c>
      <c r="F119" s="36">
        <f>CAR_25!AN20</f>
        <v>0</v>
      </c>
      <c r="H119" s="38" t="s">
        <v>34</v>
      </c>
      <c r="I119" s="46">
        <f>CAR_26!H19</f>
        <v>0</v>
      </c>
      <c r="J119" s="43">
        <f t="shared" si="25"/>
        <v>5000</v>
      </c>
      <c r="K119" s="35">
        <f>CAR_26!U20</f>
        <v>0</v>
      </c>
      <c r="L119" s="35">
        <f>CAR_26!AE20</f>
        <v>0</v>
      </c>
      <c r="M119" s="36">
        <f>CAR_26!AN20</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CAR_25!H23</f>
        <v>0</v>
      </c>
      <c r="C120" s="43">
        <f t="shared" si="24"/>
        <v>5000</v>
      </c>
      <c r="D120" s="35">
        <f>CAR_25!U24</f>
        <v>0</v>
      </c>
      <c r="E120" s="35">
        <f>CAR_25!AE24</f>
        <v>0</v>
      </c>
      <c r="F120" s="36">
        <f>CAR_25!AN24</f>
        <v>0</v>
      </c>
      <c r="H120" s="38" t="s">
        <v>35</v>
      </c>
      <c r="I120" s="46">
        <f>CAR_26!H23</f>
        <v>0</v>
      </c>
      <c r="J120" s="43">
        <f t="shared" si="25"/>
        <v>5000</v>
      </c>
      <c r="K120" s="35">
        <f>CAR_26!U24</f>
        <v>0</v>
      </c>
      <c r="L120" s="35">
        <f>CAR_26!AE24</f>
        <v>0</v>
      </c>
      <c r="M120" s="36">
        <f>CAR_26!AN24</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CAR_25!H27</f>
        <v>0</v>
      </c>
      <c r="C121" s="43">
        <f t="shared" si="24"/>
        <v>5000</v>
      </c>
      <c r="D121" s="35">
        <f>CAR_25!U28</f>
        <v>0</v>
      </c>
      <c r="E121" s="35">
        <f>CAR_25!AE28</f>
        <v>0</v>
      </c>
      <c r="F121" s="36">
        <f>CAR_25!AN28</f>
        <v>0</v>
      </c>
      <c r="H121" s="38" t="s">
        <v>36</v>
      </c>
      <c r="I121" s="46">
        <f>CAR_26!H27</f>
        <v>0</v>
      </c>
      <c r="J121" s="43">
        <f t="shared" si="25"/>
        <v>5000</v>
      </c>
      <c r="K121" s="35">
        <f>CAR_26!U28</f>
        <v>0</v>
      </c>
      <c r="L121" s="35">
        <f>CAR_26!AE28</f>
        <v>0</v>
      </c>
      <c r="M121" s="36">
        <f>CAR_26!AN28</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CAR_25!H31</f>
        <v>0</v>
      </c>
      <c r="C122" s="43">
        <f t="shared" si="24"/>
        <v>5000</v>
      </c>
      <c r="D122" s="35">
        <f>CAR_25!U32</f>
        <v>0</v>
      </c>
      <c r="E122" s="35">
        <f>CAR_25!AE322</f>
        <v>0</v>
      </c>
      <c r="F122" s="36">
        <f>CAR_25!AN32</f>
        <v>0</v>
      </c>
      <c r="H122" s="38" t="s">
        <v>37</v>
      </c>
      <c r="I122" s="46">
        <f>CAR_26!H31</f>
        <v>0</v>
      </c>
      <c r="J122" s="43">
        <f t="shared" si="25"/>
        <v>5000</v>
      </c>
      <c r="K122" s="35">
        <f>CAR_26!U32</f>
        <v>0</v>
      </c>
      <c r="L122" s="35">
        <f>CAR_26!AE32</f>
        <v>0</v>
      </c>
      <c r="M122" s="36">
        <f>CAR_26!AN32</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CAR_25!H35</f>
        <v>0</v>
      </c>
      <c r="C123" s="43">
        <f t="shared" si="24"/>
        <v>5000</v>
      </c>
      <c r="D123" s="35">
        <f>CAR_25!U36</f>
        <v>0</v>
      </c>
      <c r="E123" s="35">
        <f>CAR_25!AE36</f>
        <v>0</v>
      </c>
      <c r="F123" s="36">
        <f>CAR_25!AN36</f>
        <v>0</v>
      </c>
      <c r="H123" s="38" t="s">
        <v>38</v>
      </c>
      <c r="I123" s="46">
        <f>CAR_26!H35</f>
        <v>0</v>
      </c>
      <c r="J123" s="43">
        <f t="shared" si="25"/>
        <v>5000</v>
      </c>
      <c r="K123" s="35">
        <f>CAR_26!U36</f>
        <v>0</v>
      </c>
      <c r="L123" s="35">
        <f>CAR_26!AE36</f>
        <v>0</v>
      </c>
      <c r="M123" s="36">
        <f>CAR_26!AN36</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CAR_25!H39</f>
        <v>0</v>
      </c>
      <c r="C124" s="43">
        <f t="shared" si="24"/>
        <v>5000</v>
      </c>
      <c r="D124" s="35">
        <f>CAR_25!U40</f>
        <v>0</v>
      </c>
      <c r="E124" s="35">
        <f>CAR_25!AE400</f>
        <v>0</v>
      </c>
      <c r="F124" s="36">
        <f>CAR_25!AN40</f>
        <v>0</v>
      </c>
      <c r="H124" s="38" t="s">
        <v>39</v>
      </c>
      <c r="I124" s="46">
        <f>CAR_26!H39</f>
        <v>0</v>
      </c>
      <c r="J124" s="43">
        <f t="shared" si="25"/>
        <v>5000</v>
      </c>
      <c r="K124" s="35">
        <f>CAR_26!U40</f>
        <v>0</v>
      </c>
      <c r="L124" s="35">
        <f>CAR_26!AE40</f>
        <v>0</v>
      </c>
      <c r="M124" s="36">
        <f>CAR_26!AN40</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CAR_25!H43</f>
        <v>0</v>
      </c>
      <c r="C125" s="43">
        <f t="shared" si="24"/>
        <v>5000</v>
      </c>
      <c r="D125" s="35">
        <f>CAR_25!U44</f>
        <v>0</v>
      </c>
      <c r="E125" s="35">
        <f>CAR_25!AE44</f>
        <v>0</v>
      </c>
      <c r="F125" s="36">
        <f>CAR_25!AN44</f>
        <v>0</v>
      </c>
      <c r="H125" s="38" t="s">
        <v>40</v>
      </c>
      <c r="I125" s="46">
        <f>CAR_26!H43</f>
        <v>0</v>
      </c>
      <c r="J125" s="43">
        <f t="shared" si="25"/>
        <v>5000</v>
      </c>
      <c r="K125" s="35">
        <f>CAR_26!U44</f>
        <v>0</v>
      </c>
      <c r="L125" s="35">
        <f>CAR_26!AE44</f>
        <v>0</v>
      </c>
      <c r="M125" s="36">
        <f>CAR_26!AN44</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CAR_25!H47</f>
        <v>0</v>
      </c>
      <c r="C126" s="43">
        <f t="shared" si="24"/>
        <v>5000</v>
      </c>
      <c r="D126" s="35">
        <f>CAR_25!U48</f>
        <v>0</v>
      </c>
      <c r="E126" s="35">
        <f>CAR_25!AE48</f>
        <v>0</v>
      </c>
      <c r="F126" s="36">
        <f>CAR_25!AN48</f>
        <v>0</v>
      </c>
      <c r="H126" s="38" t="s">
        <v>41</v>
      </c>
      <c r="I126" s="46">
        <f>CAR_26!H47</f>
        <v>0</v>
      </c>
      <c r="J126" s="43">
        <f t="shared" si="25"/>
        <v>5000</v>
      </c>
      <c r="K126" s="35">
        <f>CAR_26!U48</f>
        <v>0</v>
      </c>
      <c r="L126" s="35">
        <f>CAR_26!AE48</f>
        <v>0</v>
      </c>
      <c r="M126" s="36">
        <f>CAR_26!AN48</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CAR_25!H51</f>
        <v>0</v>
      </c>
      <c r="C127" s="44">
        <f t="shared" si="24"/>
        <v>5000</v>
      </c>
      <c r="D127" s="11">
        <f>CAR_25!U52</f>
        <v>0</v>
      </c>
      <c r="E127" s="11">
        <f>CAR_25!AE52</f>
        <v>0</v>
      </c>
      <c r="F127" s="12">
        <f>CAR_25!AN52</f>
        <v>0</v>
      </c>
      <c r="H127" s="39" t="s">
        <v>42</v>
      </c>
      <c r="I127" s="47">
        <f>CAR_26!H51</f>
        <v>0</v>
      </c>
      <c r="J127" s="44">
        <f t="shared" si="25"/>
        <v>5000</v>
      </c>
      <c r="K127" s="11">
        <f>CAR_26!U52</f>
        <v>0</v>
      </c>
      <c r="L127" s="11">
        <f>CAR_26!AE52</f>
        <v>0</v>
      </c>
      <c r="M127" s="12">
        <f>CAR_26!AN52</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89" t="s">
        <v>47</v>
      </c>
      <c r="C132" s="89"/>
      <c r="D132" s="89"/>
      <c r="E132" s="89"/>
      <c r="F132" s="89"/>
      <c r="I132" s="89" t="s">
        <v>46</v>
      </c>
      <c r="J132" s="89"/>
      <c r="K132" s="89"/>
      <c r="L132" s="89"/>
      <c r="M132" s="89"/>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114:F114"/>
    <mergeCell ref="I114:M114"/>
    <mergeCell ref="P114:T114"/>
    <mergeCell ref="W114:AA114"/>
    <mergeCell ref="B132:F132"/>
    <mergeCell ref="I132:M132"/>
    <mergeCell ref="B78:F78"/>
    <mergeCell ref="I78:M78"/>
    <mergeCell ref="P78:T78"/>
    <mergeCell ref="W78:AA78"/>
    <mergeCell ref="B96:F96"/>
    <mergeCell ref="I96:M96"/>
    <mergeCell ref="P96:T96"/>
    <mergeCell ref="W96:AA96"/>
    <mergeCell ref="B40:F40"/>
    <mergeCell ref="I40:M40"/>
    <mergeCell ref="P40:T40"/>
    <mergeCell ref="W40:AA40"/>
    <mergeCell ref="B59:F59"/>
    <mergeCell ref="I59:M59"/>
    <mergeCell ref="P59:T59"/>
    <mergeCell ref="W59:AA59"/>
    <mergeCell ref="B2:F2"/>
    <mergeCell ref="I2:M2"/>
    <mergeCell ref="P2:T2"/>
    <mergeCell ref="W2:AA2"/>
    <mergeCell ref="B21:F21"/>
    <mergeCell ref="I21:M21"/>
    <mergeCell ref="P21:T21"/>
    <mergeCell ref="W21:AA21"/>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K145"/>
  <sheetViews>
    <sheetView showGridLines="0" tabSelected="1" topLeftCell="A101" zoomScaleNormal="100" workbookViewId="0">
      <selection activeCell="B128" sqref="B12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13" width="10.42578125" bestFit="1" customWidth="1"/>
    <col min="14" max="15" width="10.5703125" bestFit="1" customWidth="1"/>
    <col min="21" max="21" width="12.140625" bestFit="1" customWidth="1"/>
    <col min="29" max="29" width="15.85546875" bestFit="1" customWidth="1"/>
    <col min="34" max="36" width="10.140625" bestFit="1" customWidth="1"/>
    <col min="37" max="37" width="10.5703125" bestFit="1" customWidth="1"/>
  </cols>
  <sheetData>
    <row r="2" spans="1:37" x14ac:dyDescent="0.25">
      <c r="A2" t="s">
        <v>0</v>
      </c>
      <c r="B2" s="84" t="s">
        <v>84</v>
      </c>
      <c r="C2" s="84"/>
      <c r="D2" s="1" t="s">
        <v>1</v>
      </c>
      <c r="E2" s="84" t="s">
        <v>83</v>
      </c>
      <c r="F2" s="84"/>
      <c r="H2" t="s">
        <v>106</v>
      </c>
      <c r="I2" s="77">
        <v>3000</v>
      </c>
    </row>
    <row r="3" spans="1:37" x14ac:dyDescent="0.25">
      <c r="A3" t="s">
        <v>92</v>
      </c>
      <c r="B3" s="90">
        <v>45883</v>
      </c>
      <c r="C3" s="84"/>
      <c r="D3" s="1" t="s">
        <v>1</v>
      </c>
      <c r="E3" s="84" t="s">
        <v>93</v>
      </c>
      <c r="F3" s="84"/>
      <c r="H3" t="s">
        <v>94</v>
      </c>
      <c r="I3" s="75" t="s">
        <v>95</v>
      </c>
    </row>
    <row r="4" spans="1:37" x14ac:dyDescent="0.25">
      <c r="A4" t="s">
        <v>92</v>
      </c>
      <c r="B4" s="90">
        <v>46088</v>
      </c>
      <c r="C4" s="84"/>
      <c r="D4" s="1" t="s">
        <v>1</v>
      </c>
      <c r="E4" s="84" t="s">
        <v>111</v>
      </c>
      <c r="F4" s="84"/>
      <c r="H4" t="s">
        <v>94</v>
      </c>
      <c r="I4" s="75" t="s">
        <v>95</v>
      </c>
    </row>
    <row r="5" spans="1:37" x14ac:dyDescent="0.25">
      <c r="A5" t="s">
        <v>2</v>
      </c>
      <c r="B5" s="85">
        <v>3837</v>
      </c>
      <c r="C5" s="85"/>
      <c r="D5" s="1" t="s">
        <v>29</v>
      </c>
      <c r="E5" s="86">
        <v>50</v>
      </c>
      <c r="F5" s="86"/>
      <c r="H5" t="s">
        <v>70</v>
      </c>
      <c r="I5" s="78">
        <v>45384</v>
      </c>
    </row>
    <row r="8" spans="1:37" ht="21" x14ac:dyDescent="0.35">
      <c r="A8" s="87" t="s">
        <v>28</v>
      </c>
      <c r="B8" s="87"/>
      <c r="C8" s="87"/>
      <c r="D8" s="87"/>
      <c r="E8" s="87"/>
      <c r="F8" s="87"/>
      <c r="G8" s="87"/>
      <c r="H8" s="87"/>
      <c r="J8" s="89" t="s">
        <v>26</v>
      </c>
      <c r="K8" s="89"/>
      <c r="L8" s="89"/>
      <c r="M8" s="89"/>
      <c r="N8" s="89"/>
      <c r="O8" s="89"/>
      <c r="P8" s="89"/>
      <c r="Q8" s="89"/>
      <c r="R8" s="89"/>
      <c r="S8" s="89"/>
      <c r="T8" s="89"/>
      <c r="U8" s="89"/>
      <c r="V8" s="2"/>
      <c r="W8" s="88" t="s">
        <v>25</v>
      </c>
      <c r="X8" s="88"/>
      <c r="Y8" s="88"/>
      <c r="Z8" s="88"/>
      <c r="AA8" s="88"/>
      <c r="AB8" s="88"/>
      <c r="AC8" s="88"/>
      <c r="AD8" s="2"/>
      <c r="AE8" s="88" t="s">
        <v>27</v>
      </c>
      <c r="AF8" s="88"/>
      <c r="AG8" s="88"/>
      <c r="AH8" s="88"/>
      <c r="AI8" s="88"/>
      <c r="AJ8" s="88"/>
      <c r="AK8" s="88"/>
    </row>
    <row r="9" spans="1:37" s="15" customFormat="1" ht="21" x14ac:dyDescent="0.35">
      <c r="A9" s="14"/>
      <c r="B9" s="14"/>
      <c r="C9" s="14"/>
      <c r="D9" s="14"/>
      <c r="E9" s="14"/>
      <c r="F9" s="14"/>
      <c r="G9" s="14"/>
      <c r="H9" s="14"/>
      <c r="J9" s="16"/>
      <c r="K9" s="16"/>
      <c r="L9" s="16"/>
      <c r="M9" s="16"/>
      <c r="N9" s="16"/>
      <c r="O9" s="16"/>
      <c r="P9" s="16"/>
      <c r="Q9" s="16"/>
      <c r="R9" s="16"/>
      <c r="S9" s="16"/>
      <c r="T9" s="16"/>
      <c r="U9" s="16"/>
      <c r="V9" s="17"/>
      <c r="W9" s="18"/>
      <c r="X9" s="18"/>
      <c r="Y9" s="18"/>
      <c r="Z9" s="18"/>
      <c r="AA9" s="18"/>
      <c r="AB9" s="18"/>
      <c r="AC9" s="18"/>
      <c r="AD9" s="17"/>
      <c r="AE9" s="18"/>
      <c r="AF9" s="18"/>
      <c r="AG9" s="18"/>
      <c r="AH9" s="18"/>
      <c r="AI9" s="18"/>
      <c r="AJ9" s="18"/>
      <c r="AK9" s="18"/>
    </row>
    <row r="10" spans="1:37" ht="15.75" thickBot="1" x14ac:dyDescent="0.3">
      <c r="A10" s="19"/>
      <c r="B10" s="79" t="s">
        <v>3</v>
      </c>
      <c r="C10" s="79"/>
      <c r="D10" s="79"/>
      <c r="E10" s="79"/>
      <c r="F10" s="79"/>
      <c r="G10" s="79"/>
      <c r="H10" s="79"/>
      <c r="J10" s="80" t="s">
        <v>3</v>
      </c>
      <c r="K10" s="80"/>
      <c r="L10" s="80"/>
      <c r="M10" s="80"/>
      <c r="N10" s="80"/>
      <c r="O10" s="80"/>
      <c r="P10" s="80"/>
      <c r="Q10" s="80"/>
      <c r="R10" s="80"/>
      <c r="S10" s="80"/>
      <c r="T10" s="80"/>
      <c r="U10" s="80"/>
      <c r="W10" s="81" t="s">
        <v>3</v>
      </c>
      <c r="X10" s="81"/>
      <c r="Y10" s="81"/>
      <c r="Z10" s="81"/>
      <c r="AA10" s="81"/>
      <c r="AB10" s="81"/>
      <c r="AC10" s="81"/>
      <c r="AE10" s="82" t="s">
        <v>3</v>
      </c>
      <c r="AF10" s="82"/>
      <c r="AG10" s="82"/>
      <c r="AH10" s="82"/>
      <c r="AI10" s="82"/>
      <c r="AJ10" s="82"/>
      <c r="AK10" s="82"/>
    </row>
    <row r="11" spans="1:37" ht="15.75" thickBot="1" x14ac:dyDescent="0.3">
      <c r="A11" s="83" t="s">
        <v>5</v>
      </c>
      <c r="B11" s="34" t="s">
        <v>6</v>
      </c>
      <c r="C11" s="22" t="s">
        <v>7</v>
      </c>
      <c r="D11" s="33" t="s">
        <v>8</v>
      </c>
      <c r="E11" s="22" t="s">
        <v>9</v>
      </c>
      <c r="F11" s="24" t="s">
        <v>10</v>
      </c>
      <c r="G11" s="23" t="s">
        <v>11</v>
      </c>
      <c r="H11" s="25" t="s">
        <v>12</v>
      </c>
      <c r="J11" s="28" t="s">
        <v>4</v>
      </c>
      <c r="K11" s="9"/>
      <c r="L11" s="66"/>
      <c r="M11" s="66"/>
      <c r="N11" s="4"/>
      <c r="O11" s="4"/>
      <c r="P11" s="4"/>
      <c r="Q11" s="4"/>
      <c r="R11" s="4"/>
      <c r="S11" s="4"/>
      <c r="T11" s="4"/>
      <c r="U11" s="5"/>
      <c r="W11" s="6" t="s">
        <v>4</v>
      </c>
      <c r="X11" s="9"/>
      <c r="Y11" s="4"/>
      <c r="Z11" s="4"/>
      <c r="AA11" s="4"/>
      <c r="AB11" s="4"/>
      <c r="AC11" s="5"/>
      <c r="AE11" s="6" t="s">
        <v>4</v>
      </c>
      <c r="AF11" s="9"/>
      <c r="AG11" s="4"/>
      <c r="AH11" s="4"/>
      <c r="AI11" s="4"/>
      <c r="AJ11" s="4"/>
      <c r="AK11" s="5"/>
    </row>
    <row r="12" spans="1:37" ht="15.75" thickBot="1" x14ac:dyDescent="0.3">
      <c r="A12" s="83"/>
      <c r="B12" s="26"/>
      <c r="C12" s="27"/>
      <c r="D12" s="27"/>
      <c r="E12" s="27"/>
      <c r="F12" s="27">
        <f>SUM(C12-B12)</f>
        <v>0</v>
      </c>
      <c r="G12" s="20">
        <f>SUM(E12-D12)</f>
        <v>0</v>
      </c>
      <c r="H12" s="21">
        <f>SUM(F12:G12)</f>
        <v>0</v>
      </c>
      <c r="J12" s="29" t="s">
        <v>22</v>
      </c>
      <c r="K12" s="10"/>
      <c r="L12" s="11"/>
      <c r="M12" s="11"/>
      <c r="N12" s="11"/>
      <c r="O12" s="11"/>
      <c r="P12" s="11"/>
      <c r="Q12" s="11"/>
      <c r="R12" s="11"/>
      <c r="S12" s="11"/>
      <c r="T12" s="11"/>
      <c r="U12" s="12"/>
      <c r="W12" s="7" t="s">
        <v>22</v>
      </c>
      <c r="X12" s="10"/>
      <c r="Y12" s="11"/>
      <c r="Z12" s="11"/>
      <c r="AA12" s="11"/>
      <c r="AB12" s="11"/>
      <c r="AC12" s="12"/>
      <c r="AE12" s="7" t="s">
        <v>22</v>
      </c>
      <c r="AF12" s="10"/>
      <c r="AG12" s="11"/>
      <c r="AH12" s="11"/>
      <c r="AI12" s="11"/>
      <c r="AJ12" s="11"/>
      <c r="AK12" s="12"/>
    </row>
    <row r="13" spans="1:37" x14ac:dyDescent="0.25">
      <c r="J13" s="8"/>
      <c r="T13" s="8" t="s">
        <v>23</v>
      </c>
      <c r="U13" s="13">
        <f>SUM(K12:U12)</f>
        <v>0</v>
      </c>
      <c r="AB13" s="8" t="s">
        <v>23</v>
      </c>
      <c r="AC13" s="13">
        <f>SUM(X12:AC12)</f>
        <v>0</v>
      </c>
      <c r="AJ13" s="8" t="s">
        <v>23</v>
      </c>
      <c r="AK13" s="13">
        <f>SUM(AF12:AK12)</f>
        <v>0</v>
      </c>
    </row>
    <row r="14" spans="1:37" ht="15.75" thickBot="1" x14ac:dyDescent="0.3">
      <c r="A14" s="19"/>
      <c r="B14" s="79" t="s">
        <v>13</v>
      </c>
      <c r="C14" s="79"/>
      <c r="D14" s="79"/>
      <c r="E14" s="79"/>
      <c r="F14" s="79"/>
      <c r="G14" s="79"/>
      <c r="H14" s="79"/>
      <c r="J14" s="80" t="s">
        <v>13</v>
      </c>
      <c r="K14" s="80"/>
      <c r="L14" s="80"/>
      <c r="M14" s="80"/>
      <c r="N14" s="80"/>
      <c r="O14" s="80"/>
      <c r="P14" s="80"/>
      <c r="Q14" s="80"/>
      <c r="R14" s="80"/>
      <c r="S14" s="80"/>
      <c r="T14" s="80"/>
      <c r="U14" s="80"/>
      <c r="W14" s="81" t="str">
        <f>J14</f>
        <v>Março</v>
      </c>
      <c r="X14" s="81"/>
      <c r="Y14" s="81"/>
      <c r="Z14" s="81"/>
      <c r="AA14" s="81"/>
      <c r="AB14" s="81"/>
      <c r="AC14" s="81"/>
      <c r="AE14" s="82" t="str">
        <f>W14</f>
        <v>Março</v>
      </c>
      <c r="AF14" s="82"/>
      <c r="AG14" s="82"/>
      <c r="AH14" s="82"/>
      <c r="AI14" s="82"/>
      <c r="AJ14" s="82"/>
      <c r="AK14" s="82"/>
    </row>
    <row r="15" spans="1:37" ht="15.75" thickBot="1" x14ac:dyDescent="0.3">
      <c r="A15" s="83" t="s">
        <v>5</v>
      </c>
      <c r="B15" s="34" t="s">
        <v>6</v>
      </c>
      <c r="C15" s="22" t="s">
        <v>7</v>
      </c>
      <c r="D15" s="33" t="s">
        <v>8</v>
      </c>
      <c r="E15" s="22" t="s">
        <v>9</v>
      </c>
      <c r="F15" s="24" t="s">
        <v>10</v>
      </c>
      <c r="G15" s="23" t="s">
        <v>11</v>
      </c>
      <c r="H15" s="25" t="s">
        <v>12</v>
      </c>
      <c r="J15" s="6" t="s">
        <v>4</v>
      </c>
      <c r="K15" s="9"/>
      <c r="L15" s="66"/>
      <c r="M15" s="4"/>
      <c r="N15" s="4"/>
      <c r="O15" s="4"/>
      <c r="P15" s="4"/>
      <c r="Q15" s="4"/>
      <c r="R15" s="4"/>
      <c r="S15" s="4"/>
      <c r="T15" s="4"/>
      <c r="U15" s="5"/>
      <c r="W15" s="6" t="s">
        <v>4</v>
      </c>
      <c r="X15" s="9"/>
      <c r="Y15" s="4"/>
      <c r="Z15" s="4"/>
      <c r="AA15" s="4"/>
      <c r="AB15" s="4"/>
      <c r="AC15" s="5"/>
      <c r="AE15" s="6" t="s">
        <v>4</v>
      </c>
      <c r="AF15" s="9"/>
      <c r="AG15" s="4"/>
      <c r="AH15" s="4"/>
      <c r="AI15" s="4"/>
      <c r="AJ15" s="4"/>
      <c r="AK15" s="5"/>
    </row>
    <row r="16" spans="1:37" ht="15.75" thickBot="1" x14ac:dyDescent="0.3">
      <c r="A16" s="83"/>
      <c r="B16" s="26"/>
      <c r="C16" s="27"/>
      <c r="D16" s="27"/>
      <c r="E16" s="27"/>
      <c r="F16" s="27">
        <f>SUM(C16-B16)</f>
        <v>0</v>
      </c>
      <c r="G16" s="20">
        <f>SUM(E16-D16)</f>
        <v>0</v>
      </c>
      <c r="H16" s="21">
        <f>SUM(F16:G16)</f>
        <v>0</v>
      </c>
      <c r="J16" s="7" t="s">
        <v>22</v>
      </c>
      <c r="K16" s="10"/>
      <c r="L16" s="11"/>
      <c r="M16" s="11"/>
      <c r="N16" s="11"/>
      <c r="O16" s="11"/>
      <c r="P16" s="11"/>
      <c r="Q16" s="11"/>
      <c r="R16" s="11"/>
      <c r="S16" s="11"/>
      <c r="T16" s="11"/>
      <c r="U16" s="12"/>
      <c r="W16" s="7" t="s">
        <v>22</v>
      </c>
      <c r="X16" s="10"/>
      <c r="Y16" s="11"/>
      <c r="Z16" s="11"/>
      <c r="AA16" s="11"/>
      <c r="AB16" s="11"/>
      <c r="AC16" s="12"/>
      <c r="AE16" s="7" t="s">
        <v>22</v>
      </c>
      <c r="AF16" s="10"/>
      <c r="AG16" s="11"/>
      <c r="AH16" s="11"/>
      <c r="AI16" s="11"/>
      <c r="AJ16" s="11"/>
      <c r="AK16" s="12"/>
    </row>
    <row r="17" spans="1:37" x14ac:dyDescent="0.25">
      <c r="J17" s="8"/>
      <c r="T17" s="8" t="s">
        <v>23</v>
      </c>
      <c r="U17" s="13">
        <f>SUM(K16:U16)</f>
        <v>0</v>
      </c>
      <c r="AB17" s="8" t="s">
        <v>23</v>
      </c>
      <c r="AC17" s="13">
        <f>SUM(X16:AC16)</f>
        <v>0</v>
      </c>
      <c r="AJ17" s="8" t="s">
        <v>23</v>
      </c>
      <c r="AK17" s="13">
        <f>SUM(AF16:AK16)</f>
        <v>0</v>
      </c>
    </row>
    <row r="18" spans="1:37" ht="15.75" thickBot="1" x14ac:dyDescent="0.3">
      <c r="A18" s="19"/>
      <c r="B18" s="79" t="s">
        <v>14</v>
      </c>
      <c r="C18" s="79"/>
      <c r="D18" s="79"/>
      <c r="E18" s="79"/>
      <c r="F18" s="79"/>
      <c r="G18" s="79"/>
      <c r="H18" s="79"/>
      <c r="J18" s="80" t="s">
        <v>14</v>
      </c>
      <c r="K18" s="80"/>
      <c r="L18" s="80"/>
      <c r="M18" s="80"/>
      <c r="N18" s="80"/>
      <c r="O18" s="80"/>
      <c r="P18" s="80"/>
      <c r="Q18" s="80"/>
      <c r="R18" s="80"/>
      <c r="S18" s="80"/>
      <c r="T18" s="80"/>
      <c r="U18" s="80"/>
      <c r="W18" s="81" t="str">
        <f>J18</f>
        <v>Abril</v>
      </c>
      <c r="X18" s="81"/>
      <c r="Y18" s="81"/>
      <c r="Z18" s="81"/>
      <c r="AA18" s="81"/>
      <c r="AB18" s="81"/>
      <c r="AC18" s="81"/>
      <c r="AE18" s="82" t="str">
        <f>W18</f>
        <v>Abril</v>
      </c>
      <c r="AF18" s="82"/>
      <c r="AG18" s="82"/>
      <c r="AH18" s="82"/>
      <c r="AI18" s="82"/>
      <c r="AJ18" s="82"/>
      <c r="AK18" s="82"/>
    </row>
    <row r="19" spans="1:37" ht="15.75" thickBot="1" x14ac:dyDescent="0.3">
      <c r="A19" s="83" t="s">
        <v>5</v>
      </c>
      <c r="B19" s="34" t="s">
        <v>6</v>
      </c>
      <c r="C19" s="22" t="s">
        <v>7</v>
      </c>
      <c r="D19" s="33" t="s">
        <v>8</v>
      </c>
      <c r="E19" s="22" t="s">
        <v>9</v>
      </c>
      <c r="F19" s="24" t="s">
        <v>10</v>
      </c>
      <c r="G19" s="23" t="s">
        <v>11</v>
      </c>
      <c r="H19" s="25" t="s">
        <v>12</v>
      </c>
      <c r="J19" s="6" t="s">
        <v>4</v>
      </c>
      <c r="K19" s="9"/>
      <c r="L19" s="4"/>
      <c r="M19" s="4"/>
      <c r="N19" s="4"/>
      <c r="O19" s="4"/>
      <c r="P19" s="4"/>
      <c r="Q19" s="4"/>
      <c r="R19" s="4"/>
      <c r="S19" s="4"/>
      <c r="T19" s="4"/>
      <c r="U19" s="5"/>
      <c r="W19" s="6" t="s">
        <v>4</v>
      </c>
      <c r="X19" s="9"/>
      <c r="Y19" s="4"/>
      <c r="Z19" s="4"/>
      <c r="AA19" s="4"/>
      <c r="AB19" s="4"/>
      <c r="AC19" s="5"/>
      <c r="AE19" s="6" t="s">
        <v>4</v>
      </c>
      <c r="AF19" s="9"/>
      <c r="AG19" s="4"/>
      <c r="AH19" s="4"/>
      <c r="AI19" s="4"/>
      <c r="AJ19" s="4"/>
      <c r="AK19" s="5"/>
    </row>
    <row r="20" spans="1:37" ht="15.75" thickBot="1" x14ac:dyDescent="0.3">
      <c r="A20" s="83"/>
      <c r="B20" s="26">
        <v>31054</v>
      </c>
      <c r="C20" s="27"/>
      <c r="D20" s="27"/>
      <c r="E20" s="27">
        <v>32725</v>
      </c>
      <c r="F20" s="27">
        <f>SUM(C20-B20)</f>
        <v>-31054</v>
      </c>
      <c r="G20" s="20">
        <f>SUM(E20-D20)</f>
        <v>32725</v>
      </c>
      <c r="H20" s="21">
        <f>SUM(F20:G20)</f>
        <v>1671</v>
      </c>
      <c r="J20" s="7" t="s">
        <v>22</v>
      </c>
      <c r="K20" s="30"/>
      <c r="L20" s="31"/>
      <c r="M20" s="31"/>
      <c r="N20" s="31"/>
      <c r="O20" s="31"/>
      <c r="P20" s="31"/>
      <c r="Q20" s="31"/>
      <c r="R20" s="31"/>
      <c r="S20" s="31"/>
      <c r="T20" s="31"/>
      <c r="U20" s="32"/>
      <c r="W20" s="7" t="s">
        <v>22</v>
      </c>
      <c r="X20" s="10"/>
      <c r="Y20" s="11"/>
      <c r="Z20" s="11"/>
      <c r="AA20" s="11"/>
      <c r="AB20" s="11"/>
      <c r="AC20" s="12"/>
      <c r="AE20" s="7" t="s">
        <v>22</v>
      </c>
      <c r="AF20" s="10"/>
      <c r="AG20" s="11"/>
      <c r="AH20" s="11"/>
      <c r="AI20" s="11"/>
      <c r="AJ20" s="11"/>
      <c r="AK20" s="12"/>
    </row>
    <row r="21" spans="1:37" x14ac:dyDescent="0.25">
      <c r="J21" s="8"/>
      <c r="T21" s="8" t="s">
        <v>23</v>
      </c>
      <c r="U21" s="13">
        <f>SUM(K20:U20)</f>
        <v>0</v>
      </c>
      <c r="AB21" s="8" t="s">
        <v>23</v>
      </c>
      <c r="AC21" s="13">
        <f>SUM(X20:AC20)</f>
        <v>0</v>
      </c>
      <c r="AJ21" s="8" t="s">
        <v>23</v>
      </c>
      <c r="AK21" s="13">
        <f>SUM(AF20:AK20)</f>
        <v>0</v>
      </c>
    </row>
    <row r="22" spans="1:37" ht="15.75" thickBot="1" x14ac:dyDescent="0.3">
      <c r="A22" s="19"/>
      <c r="B22" s="79" t="s">
        <v>15</v>
      </c>
      <c r="C22" s="79"/>
      <c r="D22" s="79"/>
      <c r="E22" s="79"/>
      <c r="F22" s="79"/>
      <c r="G22" s="79"/>
      <c r="H22" s="79"/>
      <c r="J22" s="80" t="s">
        <v>15</v>
      </c>
      <c r="K22" s="80"/>
      <c r="L22" s="80"/>
      <c r="M22" s="80"/>
      <c r="N22" s="80"/>
      <c r="O22" s="80"/>
      <c r="P22" s="80"/>
      <c r="Q22" s="80"/>
      <c r="R22" s="80"/>
      <c r="S22" s="80"/>
      <c r="T22" s="80"/>
      <c r="U22" s="80"/>
      <c r="W22" s="81" t="str">
        <f>J22</f>
        <v>Maio</v>
      </c>
      <c r="X22" s="81"/>
      <c r="Y22" s="81"/>
      <c r="Z22" s="81"/>
      <c r="AA22" s="81"/>
      <c r="AB22" s="81"/>
      <c r="AC22" s="81"/>
      <c r="AE22" s="82" t="str">
        <f>W22</f>
        <v>Maio</v>
      </c>
      <c r="AF22" s="82"/>
      <c r="AG22" s="82"/>
      <c r="AH22" s="82"/>
      <c r="AI22" s="82"/>
      <c r="AJ22" s="82"/>
      <c r="AK22" s="82"/>
    </row>
    <row r="23" spans="1:37" ht="15.75" thickBot="1" x14ac:dyDescent="0.3">
      <c r="A23" s="83" t="s">
        <v>5</v>
      </c>
      <c r="B23" s="34" t="s">
        <v>6</v>
      </c>
      <c r="C23" s="22" t="s">
        <v>7</v>
      </c>
      <c r="D23" s="33" t="s">
        <v>8</v>
      </c>
      <c r="E23" s="22" t="s">
        <v>9</v>
      </c>
      <c r="F23" s="24" t="s">
        <v>10</v>
      </c>
      <c r="G23" s="23" t="s">
        <v>11</v>
      </c>
      <c r="H23" s="25" t="s">
        <v>12</v>
      </c>
      <c r="J23" s="6" t="s">
        <v>4</v>
      </c>
      <c r="K23" s="9"/>
      <c r="L23" s="4"/>
      <c r="M23" s="4"/>
      <c r="N23" s="4"/>
      <c r="O23" s="4"/>
      <c r="P23" s="4"/>
      <c r="Q23" s="4"/>
      <c r="R23" s="4"/>
      <c r="S23" s="4"/>
      <c r="T23" s="4"/>
      <c r="U23" s="5"/>
      <c r="W23" s="6" t="s">
        <v>4</v>
      </c>
      <c r="X23" s="9"/>
      <c r="Y23" s="4"/>
      <c r="Z23" s="4"/>
      <c r="AA23" s="4"/>
      <c r="AB23" s="4"/>
      <c r="AC23" s="5"/>
      <c r="AE23" s="6" t="s">
        <v>4</v>
      </c>
      <c r="AF23" s="9"/>
      <c r="AG23" s="4"/>
      <c r="AH23" s="4"/>
      <c r="AI23" s="4"/>
      <c r="AJ23" s="4"/>
      <c r="AK23" s="5"/>
    </row>
    <row r="24" spans="1:37" ht="15.75" thickBot="1" x14ac:dyDescent="0.3">
      <c r="A24" s="83"/>
      <c r="B24" s="26">
        <v>32725</v>
      </c>
      <c r="C24" s="27"/>
      <c r="D24" s="27"/>
      <c r="E24" s="27">
        <v>34312</v>
      </c>
      <c r="F24" s="27">
        <f>SUM(C24-B24)</f>
        <v>-32725</v>
      </c>
      <c r="G24" s="20">
        <f>SUM(E24-D24)</f>
        <v>34312</v>
      </c>
      <c r="H24" s="21">
        <f>SUM(F24:G24)</f>
        <v>1587</v>
      </c>
      <c r="J24" s="7" t="s">
        <v>22</v>
      </c>
      <c r="K24" s="10"/>
      <c r="L24" s="11"/>
      <c r="M24" s="11"/>
      <c r="N24" s="11"/>
      <c r="O24" s="11"/>
      <c r="P24" s="11"/>
      <c r="Q24" s="11"/>
      <c r="R24" s="11"/>
      <c r="S24" s="11"/>
      <c r="T24" s="11"/>
      <c r="U24" s="12"/>
      <c r="W24" s="7" t="s">
        <v>22</v>
      </c>
      <c r="X24" s="10"/>
      <c r="Y24" s="11"/>
      <c r="Z24" s="11"/>
      <c r="AA24" s="11"/>
      <c r="AB24" s="11"/>
      <c r="AC24" s="12"/>
      <c r="AE24" s="7" t="s">
        <v>22</v>
      </c>
      <c r="AF24" s="10"/>
      <c r="AG24" s="11"/>
      <c r="AH24" s="11"/>
      <c r="AI24" s="11"/>
      <c r="AJ24" s="11"/>
      <c r="AK24" s="12"/>
    </row>
    <row r="25" spans="1:37" x14ac:dyDescent="0.25">
      <c r="J25" s="8"/>
      <c r="T25" s="8" t="s">
        <v>23</v>
      </c>
      <c r="U25" s="13">
        <f>SUM(K24:U24)</f>
        <v>0</v>
      </c>
      <c r="AB25" s="8" t="s">
        <v>23</v>
      </c>
      <c r="AC25" s="13">
        <f>SUM(X24:AC24)</f>
        <v>0</v>
      </c>
      <c r="AJ25" s="8" t="s">
        <v>23</v>
      </c>
      <c r="AK25" s="13">
        <f>SUM(AF24:AK24)</f>
        <v>0</v>
      </c>
    </row>
    <row r="26" spans="1:37" ht="15.75" thickBot="1" x14ac:dyDescent="0.3">
      <c r="A26" s="19"/>
      <c r="B26" s="79" t="s">
        <v>24</v>
      </c>
      <c r="C26" s="79"/>
      <c r="D26" s="79"/>
      <c r="E26" s="79"/>
      <c r="F26" s="79"/>
      <c r="G26" s="79"/>
      <c r="H26" s="79"/>
      <c r="J26" s="80" t="s">
        <v>24</v>
      </c>
      <c r="K26" s="80"/>
      <c r="L26" s="80"/>
      <c r="M26" s="80"/>
      <c r="N26" s="80"/>
      <c r="O26" s="80"/>
      <c r="P26" s="80"/>
      <c r="Q26" s="80"/>
      <c r="R26" s="80"/>
      <c r="S26" s="80"/>
      <c r="T26" s="80"/>
      <c r="U26" s="80"/>
      <c r="W26" s="81" t="str">
        <f>J26</f>
        <v>Junho</v>
      </c>
      <c r="X26" s="81"/>
      <c r="Y26" s="81"/>
      <c r="Z26" s="81"/>
      <c r="AA26" s="81"/>
      <c r="AB26" s="81"/>
      <c r="AC26" s="81"/>
      <c r="AE26" s="82" t="str">
        <f>W26</f>
        <v>Junho</v>
      </c>
      <c r="AF26" s="82"/>
      <c r="AG26" s="82"/>
      <c r="AH26" s="82"/>
      <c r="AI26" s="82"/>
      <c r="AJ26" s="82"/>
      <c r="AK26" s="82"/>
    </row>
    <row r="27" spans="1:37" ht="15.75" thickBot="1" x14ac:dyDescent="0.3">
      <c r="A27" s="83"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W27" s="6" t="s">
        <v>4</v>
      </c>
      <c r="X27" s="9"/>
      <c r="Y27" s="4"/>
      <c r="Z27" s="4"/>
      <c r="AA27" s="4"/>
      <c r="AB27" s="4"/>
      <c r="AC27" s="5"/>
      <c r="AE27" s="6" t="s">
        <v>4</v>
      </c>
      <c r="AF27" s="9"/>
      <c r="AG27" s="4"/>
      <c r="AH27" s="4"/>
      <c r="AI27" s="4"/>
      <c r="AJ27" s="4"/>
      <c r="AK27" s="5"/>
    </row>
    <row r="28" spans="1:37" ht="15.75" thickBot="1" x14ac:dyDescent="0.3">
      <c r="A28" s="83"/>
      <c r="B28" s="26">
        <v>34312</v>
      </c>
      <c r="C28" s="27"/>
      <c r="D28" s="27"/>
      <c r="E28" s="27">
        <v>36160</v>
      </c>
      <c r="F28" s="27">
        <f>SUM(C28-B28)</f>
        <v>-34312</v>
      </c>
      <c r="G28" s="20">
        <f>SUM(E28-D28)</f>
        <v>36160</v>
      </c>
      <c r="H28" s="21">
        <f>SUM(F28:G28)</f>
        <v>1848</v>
      </c>
      <c r="J28" s="7" t="s">
        <v>22</v>
      </c>
      <c r="K28" s="10"/>
      <c r="L28" s="11"/>
      <c r="M28" s="11"/>
      <c r="N28" s="11"/>
      <c r="O28" s="11"/>
      <c r="P28" s="11"/>
      <c r="Q28" s="11"/>
      <c r="R28" s="11"/>
      <c r="S28" s="11"/>
      <c r="T28" s="11"/>
      <c r="U28" s="12"/>
      <c r="W28" s="7" t="s">
        <v>22</v>
      </c>
      <c r="X28" s="10"/>
      <c r="Y28" s="11"/>
      <c r="Z28" s="11"/>
      <c r="AA28" s="11"/>
      <c r="AB28" s="11"/>
      <c r="AC28" s="12"/>
      <c r="AE28" s="7" t="s">
        <v>22</v>
      </c>
      <c r="AF28" s="10"/>
      <c r="AG28" s="11"/>
      <c r="AH28" s="11"/>
      <c r="AI28" s="11"/>
      <c r="AJ28" s="11"/>
      <c r="AK28" s="12"/>
    </row>
    <row r="29" spans="1:37" x14ac:dyDescent="0.25">
      <c r="J29" s="8"/>
      <c r="T29" s="8" t="s">
        <v>23</v>
      </c>
      <c r="U29" s="13">
        <f>SUM(K28:U28)</f>
        <v>0</v>
      </c>
      <c r="AB29" s="8" t="s">
        <v>23</v>
      </c>
      <c r="AC29" s="13">
        <f>SUM(X28:AC28)</f>
        <v>0</v>
      </c>
      <c r="AJ29" s="8" t="s">
        <v>23</v>
      </c>
      <c r="AK29" s="13">
        <f>SUM(AF28:AK28)</f>
        <v>0</v>
      </c>
    </row>
    <row r="30" spans="1:37" ht="15.75" thickBot="1" x14ac:dyDescent="0.3">
      <c r="A30" s="19"/>
      <c r="B30" s="79" t="s">
        <v>16</v>
      </c>
      <c r="C30" s="79"/>
      <c r="D30" s="79"/>
      <c r="E30" s="79"/>
      <c r="F30" s="79"/>
      <c r="G30" s="79"/>
      <c r="H30" s="79"/>
      <c r="J30" s="80" t="s">
        <v>16</v>
      </c>
      <c r="K30" s="80"/>
      <c r="L30" s="80"/>
      <c r="M30" s="80"/>
      <c r="N30" s="80"/>
      <c r="O30" s="80"/>
      <c r="P30" s="80"/>
      <c r="Q30" s="80"/>
      <c r="R30" s="80"/>
      <c r="S30" s="80"/>
      <c r="T30" s="80"/>
      <c r="U30" s="80"/>
      <c r="W30" s="81" t="str">
        <f>J30</f>
        <v>Julho</v>
      </c>
      <c r="X30" s="81"/>
      <c r="Y30" s="81"/>
      <c r="Z30" s="81"/>
      <c r="AA30" s="81"/>
      <c r="AB30" s="81"/>
      <c r="AC30" s="81"/>
      <c r="AE30" s="82" t="str">
        <f>W30</f>
        <v>Julho</v>
      </c>
      <c r="AF30" s="82"/>
      <c r="AG30" s="82"/>
      <c r="AH30" s="82"/>
      <c r="AI30" s="82"/>
      <c r="AJ30" s="82"/>
      <c r="AK30" s="82"/>
    </row>
    <row r="31" spans="1:37" ht="15.75" thickBot="1" x14ac:dyDescent="0.3">
      <c r="A31" s="83" t="s">
        <v>5</v>
      </c>
      <c r="B31" s="34" t="s">
        <v>6</v>
      </c>
      <c r="C31" s="22" t="s">
        <v>7</v>
      </c>
      <c r="D31" s="33" t="s">
        <v>8</v>
      </c>
      <c r="E31" s="22" t="s">
        <v>9</v>
      </c>
      <c r="F31" s="24" t="s">
        <v>10</v>
      </c>
      <c r="G31" s="23" t="s">
        <v>11</v>
      </c>
      <c r="H31" s="25" t="s">
        <v>12</v>
      </c>
      <c r="J31" s="6" t="s">
        <v>4</v>
      </c>
      <c r="K31" s="9"/>
      <c r="L31" s="4"/>
      <c r="M31" s="4"/>
      <c r="N31" s="4"/>
      <c r="O31" s="4"/>
      <c r="P31" s="4"/>
      <c r="Q31" s="4"/>
      <c r="R31" s="4"/>
      <c r="S31" s="4"/>
      <c r="T31" s="4"/>
      <c r="U31" s="5"/>
      <c r="W31" s="6" t="s">
        <v>4</v>
      </c>
      <c r="X31" s="9"/>
      <c r="Y31" s="4"/>
      <c r="Z31" s="4"/>
      <c r="AA31" s="4"/>
      <c r="AB31" s="4"/>
      <c r="AC31" s="5"/>
      <c r="AE31" s="6" t="s">
        <v>4</v>
      </c>
      <c r="AF31" s="9"/>
      <c r="AG31" s="4"/>
      <c r="AH31" s="4"/>
      <c r="AI31" s="4"/>
      <c r="AJ31" s="4"/>
      <c r="AK31" s="5"/>
    </row>
    <row r="32" spans="1:37" ht="15.75" thickBot="1" x14ac:dyDescent="0.3">
      <c r="A32" s="83"/>
      <c r="B32" s="26">
        <v>36160</v>
      </c>
      <c r="C32" s="27"/>
      <c r="D32" s="27"/>
      <c r="E32" s="27">
        <v>36936</v>
      </c>
      <c r="F32" s="27">
        <f>SUM(C32-B32)</f>
        <v>-36160</v>
      </c>
      <c r="G32" s="20">
        <f>SUM(E32-D32)</f>
        <v>36936</v>
      </c>
      <c r="H32" s="21">
        <f>SUM(F32:G32)</f>
        <v>776</v>
      </c>
      <c r="J32" s="7" t="s">
        <v>22</v>
      </c>
      <c r="K32" s="10"/>
      <c r="L32" s="11"/>
      <c r="M32" s="11"/>
      <c r="N32" s="11"/>
      <c r="O32" s="11"/>
      <c r="P32" s="11"/>
      <c r="Q32" s="11"/>
      <c r="R32" s="11"/>
      <c r="S32" s="11"/>
      <c r="T32" s="11"/>
      <c r="U32" s="12"/>
      <c r="W32" s="7" t="s">
        <v>22</v>
      </c>
      <c r="X32" s="10"/>
      <c r="Y32" s="11"/>
      <c r="Z32" s="11"/>
      <c r="AA32" s="11"/>
      <c r="AB32" s="11"/>
      <c r="AC32" s="12"/>
      <c r="AE32" s="7" t="s">
        <v>22</v>
      </c>
      <c r="AF32" s="10"/>
      <c r="AG32" s="11"/>
      <c r="AH32" s="11"/>
      <c r="AI32" s="11"/>
      <c r="AJ32" s="11"/>
      <c r="AK32" s="12"/>
    </row>
    <row r="33" spans="1:37" x14ac:dyDescent="0.25">
      <c r="J33" s="8"/>
      <c r="T33" s="8" t="s">
        <v>23</v>
      </c>
      <c r="U33" s="13">
        <f>SUM(K32:U32)</f>
        <v>0</v>
      </c>
      <c r="AB33" s="8" t="s">
        <v>23</v>
      </c>
      <c r="AC33" s="13">
        <f>SUM(X32:AC32)</f>
        <v>0</v>
      </c>
      <c r="AJ33" s="8" t="s">
        <v>23</v>
      </c>
      <c r="AK33" s="13">
        <f>SUM(AF32:AK32)</f>
        <v>0</v>
      </c>
    </row>
    <row r="34" spans="1:37" ht="15.75" thickBot="1" x14ac:dyDescent="0.3">
      <c r="A34" s="19"/>
      <c r="B34" s="79" t="s">
        <v>17</v>
      </c>
      <c r="C34" s="79"/>
      <c r="D34" s="79"/>
      <c r="E34" s="79"/>
      <c r="F34" s="79"/>
      <c r="G34" s="79"/>
      <c r="H34" s="79"/>
      <c r="J34" s="80" t="s">
        <v>17</v>
      </c>
      <c r="K34" s="80"/>
      <c r="L34" s="80"/>
      <c r="M34" s="80"/>
      <c r="N34" s="80"/>
      <c r="O34" s="80"/>
      <c r="P34" s="80"/>
      <c r="Q34" s="80"/>
      <c r="R34" s="80"/>
      <c r="S34" s="80"/>
      <c r="T34" s="80"/>
      <c r="U34" s="80"/>
      <c r="W34" s="81" t="str">
        <f>J34</f>
        <v>Agosto</v>
      </c>
      <c r="X34" s="81"/>
      <c r="Y34" s="81"/>
      <c r="Z34" s="81"/>
      <c r="AA34" s="81"/>
      <c r="AB34" s="81"/>
      <c r="AC34" s="81"/>
      <c r="AE34" s="82" t="str">
        <f>W34</f>
        <v>Agosto</v>
      </c>
      <c r="AF34" s="82"/>
      <c r="AG34" s="82"/>
      <c r="AH34" s="82"/>
      <c r="AI34" s="82"/>
      <c r="AJ34" s="82"/>
      <c r="AK34" s="82"/>
    </row>
    <row r="35" spans="1:37" ht="15.75" thickBot="1" x14ac:dyDescent="0.3">
      <c r="A35" s="83" t="s">
        <v>5</v>
      </c>
      <c r="B35" s="34" t="s">
        <v>6</v>
      </c>
      <c r="C35" s="22" t="s">
        <v>7</v>
      </c>
      <c r="D35" s="33" t="s">
        <v>8</v>
      </c>
      <c r="E35" s="22" t="s">
        <v>9</v>
      </c>
      <c r="F35" s="24" t="s">
        <v>10</v>
      </c>
      <c r="G35" s="23" t="s">
        <v>11</v>
      </c>
      <c r="H35" s="25" t="s">
        <v>12</v>
      </c>
      <c r="J35" s="6" t="s">
        <v>4</v>
      </c>
      <c r="K35" s="9"/>
      <c r="L35" s="4"/>
      <c r="M35" s="4"/>
      <c r="N35" s="4"/>
      <c r="O35" s="4"/>
      <c r="P35" s="4"/>
      <c r="Q35" s="4"/>
      <c r="R35" s="4"/>
      <c r="S35" s="4"/>
      <c r="T35" s="4"/>
      <c r="U35" s="5"/>
      <c r="W35" s="6" t="s">
        <v>4</v>
      </c>
      <c r="X35" s="9"/>
      <c r="Y35" s="4"/>
      <c r="Z35" s="4"/>
      <c r="AA35" s="4"/>
      <c r="AB35" s="4"/>
      <c r="AC35" s="5"/>
      <c r="AE35" s="6" t="s">
        <v>4</v>
      </c>
      <c r="AF35" s="9"/>
      <c r="AG35" s="4"/>
      <c r="AH35" s="4"/>
      <c r="AI35" s="4"/>
      <c r="AJ35" s="4"/>
      <c r="AK35" s="5"/>
    </row>
    <row r="36" spans="1:37" ht="15.75" thickBot="1" x14ac:dyDescent="0.3">
      <c r="A36" s="83"/>
      <c r="B36" s="26">
        <v>36936</v>
      </c>
      <c r="C36" s="27"/>
      <c r="D36" s="27"/>
      <c r="E36" s="27">
        <v>38775</v>
      </c>
      <c r="F36" s="27">
        <f>SUM(C36-B36)</f>
        <v>-36936</v>
      </c>
      <c r="G36" s="20">
        <f>SUM(E36-D36)</f>
        <v>38775</v>
      </c>
      <c r="H36" s="21">
        <f>SUM(F36:G36)</f>
        <v>1839</v>
      </c>
      <c r="J36" s="7" t="s">
        <v>22</v>
      </c>
      <c r="K36" s="10"/>
      <c r="L36" s="11"/>
      <c r="M36" s="11"/>
      <c r="N36" s="11"/>
      <c r="O36" s="11"/>
      <c r="P36" s="11"/>
      <c r="Q36" s="11"/>
      <c r="R36" s="11"/>
      <c r="S36" s="11"/>
      <c r="T36" s="11"/>
      <c r="U36" s="12"/>
      <c r="W36" s="7" t="s">
        <v>22</v>
      </c>
      <c r="X36" s="10"/>
      <c r="Y36" s="11"/>
      <c r="Z36" s="11"/>
      <c r="AA36" s="11"/>
      <c r="AB36" s="11"/>
      <c r="AC36" s="12"/>
      <c r="AE36" s="7" t="s">
        <v>22</v>
      </c>
      <c r="AF36" s="10"/>
      <c r="AG36" s="11"/>
      <c r="AH36" s="11"/>
      <c r="AI36" s="11"/>
      <c r="AJ36" s="11"/>
      <c r="AK36" s="12"/>
    </row>
    <row r="37" spans="1:37" x14ac:dyDescent="0.25">
      <c r="J37" s="8"/>
      <c r="T37" s="8" t="s">
        <v>23</v>
      </c>
      <c r="U37" s="13">
        <f>SUM(K36:U36)</f>
        <v>0</v>
      </c>
      <c r="AB37" s="8" t="s">
        <v>23</v>
      </c>
      <c r="AC37" s="13">
        <f>SUM(X36:AC36)</f>
        <v>0</v>
      </c>
      <c r="AJ37" s="8" t="s">
        <v>23</v>
      </c>
      <c r="AK37" s="13">
        <f>SUM(AF36:AK36)</f>
        <v>0</v>
      </c>
    </row>
    <row r="38" spans="1:37" ht="15.75" thickBot="1" x14ac:dyDescent="0.3">
      <c r="A38" s="19"/>
      <c r="B38" s="79" t="s">
        <v>18</v>
      </c>
      <c r="C38" s="79"/>
      <c r="D38" s="79"/>
      <c r="E38" s="79"/>
      <c r="F38" s="79"/>
      <c r="G38" s="79"/>
      <c r="H38" s="79"/>
      <c r="J38" s="80" t="s">
        <v>18</v>
      </c>
      <c r="K38" s="80"/>
      <c r="L38" s="80"/>
      <c r="M38" s="80"/>
      <c r="N38" s="80"/>
      <c r="O38" s="80"/>
      <c r="P38" s="80"/>
      <c r="Q38" s="80"/>
      <c r="R38" s="80"/>
      <c r="S38" s="80"/>
      <c r="T38" s="80"/>
      <c r="U38" s="80"/>
      <c r="W38" s="81" t="str">
        <f>J38</f>
        <v>Setembro</v>
      </c>
      <c r="X38" s="81"/>
      <c r="Y38" s="81"/>
      <c r="Z38" s="81"/>
      <c r="AA38" s="81"/>
      <c r="AB38" s="81"/>
      <c r="AC38" s="81"/>
      <c r="AE38" s="82" t="str">
        <f>W38</f>
        <v>Setembro</v>
      </c>
      <c r="AF38" s="82"/>
      <c r="AG38" s="82"/>
      <c r="AH38" s="82"/>
      <c r="AI38" s="82"/>
      <c r="AJ38" s="82"/>
      <c r="AK38" s="82"/>
    </row>
    <row r="39" spans="1:37" ht="15.75" thickBot="1" x14ac:dyDescent="0.3">
      <c r="A39" s="83" t="s">
        <v>5</v>
      </c>
      <c r="B39" s="34" t="s">
        <v>6</v>
      </c>
      <c r="C39" s="22" t="s">
        <v>7</v>
      </c>
      <c r="D39" s="33" t="s">
        <v>8</v>
      </c>
      <c r="E39" s="22" t="s">
        <v>9</v>
      </c>
      <c r="F39" s="24" t="s">
        <v>10</v>
      </c>
      <c r="G39" s="23" t="s">
        <v>11</v>
      </c>
      <c r="H39" s="25" t="s">
        <v>12</v>
      </c>
      <c r="J39" s="6" t="s">
        <v>4</v>
      </c>
      <c r="K39" s="9"/>
      <c r="L39" s="4"/>
      <c r="M39" s="4"/>
      <c r="N39" s="4"/>
      <c r="O39" s="4"/>
      <c r="P39" s="4"/>
      <c r="Q39" s="4"/>
      <c r="R39" s="4"/>
      <c r="S39" s="4"/>
      <c r="T39" s="4"/>
      <c r="U39" s="5"/>
      <c r="W39" s="6" t="s">
        <v>4</v>
      </c>
      <c r="X39" s="9"/>
      <c r="Y39" s="4"/>
      <c r="Z39" s="4"/>
      <c r="AA39" s="4"/>
      <c r="AB39" s="4"/>
      <c r="AC39" s="5"/>
      <c r="AE39" s="6" t="s">
        <v>4</v>
      </c>
      <c r="AF39" s="9"/>
      <c r="AG39" s="4"/>
      <c r="AH39" s="4"/>
      <c r="AI39" s="4"/>
      <c r="AJ39" s="4"/>
      <c r="AK39" s="5"/>
    </row>
    <row r="40" spans="1:37" ht="15.75" thickBot="1" x14ac:dyDescent="0.3">
      <c r="A40" s="83"/>
      <c r="B40" s="26">
        <v>38775</v>
      </c>
      <c r="C40" s="27"/>
      <c r="D40" s="27"/>
      <c r="E40" s="27">
        <v>40221</v>
      </c>
      <c r="F40" s="27">
        <f>SUM(C40-B40)</f>
        <v>-38775</v>
      </c>
      <c r="G40" s="20">
        <f>SUM(E40-D40)</f>
        <v>40221</v>
      </c>
      <c r="H40" s="21">
        <f>SUM(F40:G40)</f>
        <v>1446</v>
      </c>
      <c r="J40" s="7" t="s">
        <v>22</v>
      </c>
      <c r="K40" s="10"/>
      <c r="L40" s="11"/>
      <c r="M40" s="11"/>
      <c r="N40" s="11"/>
      <c r="O40" s="11"/>
      <c r="P40" s="11"/>
      <c r="Q40" s="11"/>
      <c r="R40" s="11"/>
      <c r="S40" s="11"/>
      <c r="T40" s="11"/>
      <c r="U40" s="12"/>
      <c r="W40" s="7" t="s">
        <v>22</v>
      </c>
      <c r="X40" s="10"/>
      <c r="Y40" s="11"/>
      <c r="Z40" s="11"/>
      <c r="AA40" s="11"/>
      <c r="AB40" s="11"/>
      <c r="AC40" s="12"/>
      <c r="AE40" s="7" t="s">
        <v>22</v>
      </c>
      <c r="AF40" s="10"/>
      <c r="AG40" s="11"/>
      <c r="AH40" s="11"/>
      <c r="AI40" s="11"/>
      <c r="AJ40" s="11"/>
      <c r="AK40" s="12"/>
    </row>
    <row r="41" spans="1:37" x14ac:dyDescent="0.25">
      <c r="J41" s="8"/>
      <c r="T41" s="8" t="s">
        <v>23</v>
      </c>
      <c r="U41" s="13">
        <f>SUM(K40:U40)</f>
        <v>0</v>
      </c>
      <c r="AB41" s="8" t="s">
        <v>23</v>
      </c>
      <c r="AC41" s="13">
        <f>SUM(X40:AC40)</f>
        <v>0</v>
      </c>
      <c r="AJ41" s="8" t="s">
        <v>23</v>
      </c>
      <c r="AK41" s="13">
        <f>SUM(AF40:AK40)</f>
        <v>0</v>
      </c>
    </row>
    <row r="42" spans="1:37" ht="15.75" thickBot="1" x14ac:dyDescent="0.3">
      <c r="A42" s="19"/>
      <c r="B42" s="79" t="s">
        <v>19</v>
      </c>
      <c r="C42" s="79"/>
      <c r="D42" s="79"/>
      <c r="E42" s="79"/>
      <c r="F42" s="79"/>
      <c r="G42" s="79"/>
      <c r="H42" s="79"/>
      <c r="J42" s="80" t="s">
        <v>19</v>
      </c>
      <c r="K42" s="80"/>
      <c r="L42" s="80"/>
      <c r="M42" s="80"/>
      <c r="N42" s="80"/>
      <c r="O42" s="80"/>
      <c r="P42" s="80"/>
      <c r="Q42" s="80"/>
      <c r="R42" s="80"/>
      <c r="S42" s="80"/>
      <c r="T42" s="80"/>
      <c r="U42" s="80"/>
      <c r="W42" s="81" t="str">
        <f>J42</f>
        <v>Outubro</v>
      </c>
      <c r="X42" s="81"/>
      <c r="Y42" s="81"/>
      <c r="Z42" s="81"/>
      <c r="AA42" s="81"/>
      <c r="AB42" s="81"/>
      <c r="AC42" s="81"/>
      <c r="AE42" s="82" t="str">
        <f>W42</f>
        <v>Outubro</v>
      </c>
      <c r="AF42" s="82"/>
      <c r="AG42" s="82"/>
      <c r="AH42" s="82"/>
      <c r="AI42" s="82"/>
      <c r="AJ42" s="82"/>
      <c r="AK42" s="82"/>
    </row>
    <row r="43" spans="1:37" ht="15.75" thickBot="1" x14ac:dyDescent="0.3">
      <c r="A43" s="83" t="s">
        <v>5</v>
      </c>
      <c r="B43" s="34" t="s">
        <v>6</v>
      </c>
      <c r="C43" s="22" t="s">
        <v>7</v>
      </c>
      <c r="D43" s="33" t="s">
        <v>8</v>
      </c>
      <c r="E43" s="22" t="s">
        <v>9</v>
      </c>
      <c r="F43" s="24" t="s">
        <v>10</v>
      </c>
      <c r="G43" s="23" t="s">
        <v>11</v>
      </c>
      <c r="H43" s="25" t="s">
        <v>12</v>
      </c>
      <c r="J43" s="6" t="s">
        <v>4</v>
      </c>
      <c r="K43" s="9"/>
      <c r="L43" s="4"/>
      <c r="M43" s="4"/>
      <c r="N43" s="4"/>
      <c r="O43" s="4"/>
      <c r="P43" s="4"/>
      <c r="Q43" s="4"/>
      <c r="R43" s="4"/>
      <c r="S43" s="4"/>
      <c r="T43" s="4"/>
      <c r="U43" s="5"/>
      <c r="W43" s="6" t="s">
        <v>4</v>
      </c>
      <c r="X43" s="9"/>
      <c r="Y43" s="4"/>
      <c r="Z43" s="4"/>
      <c r="AA43" s="4"/>
      <c r="AB43" s="4"/>
      <c r="AC43" s="5"/>
      <c r="AE43" s="6" t="s">
        <v>4</v>
      </c>
      <c r="AF43" s="9"/>
      <c r="AG43" s="4"/>
      <c r="AH43" s="4"/>
      <c r="AI43" s="4"/>
      <c r="AJ43" s="4"/>
      <c r="AK43" s="5"/>
    </row>
    <row r="44" spans="1:37" ht="15.75" thickBot="1" x14ac:dyDescent="0.3">
      <c r="A44" s="83"/>
      <c r="B44" s="26">
        <v>40221</v>
      </c>
      <c r="C44" s="27"/>
      <c r="D44" s="27"/>
      <c r="E44" s="27">
        <v>41830</v>
      </c>
      <c r="F44" s="27">
        <f>SUM(C44-B44)</f>
        <v>-40221</v>
      </c>
      <c r="G44" s="20">
        <f>SUM(E44-D44)</f>
        <v>41830</v>
      </c>
      <c r="H44" s="21">
        <f>SUM(F44:G44)</f>
        <v>1609</v>
      </c>
      <c r="J44" s="7" t="s">
        <v>22</v>
      </c>
      <c r="K44" s="10"/>
      <c r="L44" s="11"/>
      <c r="M44" s="11"/>
      <c r="N44" s="11"/>
      <c r="O44" s="11"/>
      <c r="P44" s="11"/>
      <c r="Q44" s="11"/>
      <c r="R44" s="11"/>
      <c r="S44" s="11"/>
      <c r="T44" s="11"/>
      <c r="U44" s="12"/>
      <c r="W44" s="7" t="s">
        <v>22</v>
      </c>
      <c r="X44" s="10"/>
      <c r="Y44" s="11"/>
      <c r="Z44" s="11"/>
      <c r="AA44" s="11"/>
      <c r="AB44" s="11"/>
      <c r="AC44" s="12"/>
      <c r="AE44" s="7" t="s">
        <v>22</v>
      </c>
      <c r="AF44" s="10"/>
      <c r="AG44" s="11"/>
      <c r="AH44" s="11"/>
      <c r="AI44" s="11"/>
      <c r="AJ44" s="11"/>
      <c r="AK44" s="12"/>
    </row>
    <row r="45" spans="1:37" x14ac:dyDescent="0.25">
      <c r="J45" s="8"/>
      <c r="T45" s="8" t="s">
        <v>23</v>
      </c>
      <c r="U45" s="13">
        <f>SUM(K44:U44)</f>
        <v>0</v>
      </c>
      <c r="AB45" s="8" t="s">
        <v>23</v>
      </c>
      <c r="AC45" s="13">
        <f>SUM(X44:AC44)</f>
        <v>0</v>
      </c>
      <c r="AJ45" s="8" t="s">
        <v>23</v>
      </c>
      <c r="AK45" s="13">
        <f>SUM(AF44:AK44)</f>
        <v>0</v>
      </c>
    </row>
    <row r="46" spans="1:37" ht="15.75" thickBot="1" x14ac:dyDescent="0.3">
      <c r="A46" s="19"/>
      <c r="B46" s="79" t="s">
        <v>20</v>
      </c>
      <c r="C46" s="79"/>
      <c r="D46" s="79"/>
      <c r="E46" s="79"/>
      <c r="F46" s="79"/>
      <c r="G46" s="79"/>
      <c r="H46" s="79"/>
      <c r="J46" s="80" t="s">
        <v>20</v>
      </c>
      <c r="K46" s="80"/>
      <c r="L46" s="80"/>
      <c r="M46" s="80"/>
      <c r="N46" s="80"/>
      <c r="O46" s="80"/>
      <c r="P46" s="80"/>
      <c r="Q46" s="80"/>
      <c r="R46" s="80"/>
      <c r="S46" s="80"/>
      <c r="T46" s="80"/>
      <c r="U46" s="80"/>
      <c r="W46" s="81" t="str">
        <f>J46</f>
        <v>Novembro</v>
      </c>
      <c r="X46" s="81"/>
      <c r="Y46" s="81"/>
      <c r="Z46" s="81"/>
      <c r="AA46" s="81"/>
      <c r="AB46" s="81"/>
      <c r="AC46" s="81"/>
      <c r="AE46" s="82" t="str">
        <f>W46</f>
        <v>Novembro</v>
      </c>
      <c r="AF46" s="82"/>
      <c r="AG46" s="82"/>
      <c r="AH46" s="82"/>
      <c r="AI46" s="82"/>
      <c r="AJ46" s="82"/>
      <c r="AK46" s="82"/>
    </row>
    <row r="47" spans="1:37" ht="15.75" thickBot="1" x14ac:dyDescent="0.3">
      <c r="A47" s="83" t="s">
        <v>5</v>
      </c>
      <c r="B47" s="69" t="s">
        <v>6</v>
      </c>
      <c r="C47" s="70" t="s">
        <v>7</v>
      </c>
      <c r="D47" s="71" t="s">
        <v>8</v>
      </c>
      <c r="E47" s="70" t="s">
        <v>9</v>
      </c>
      <c r="F47" s="24" t="s">
        <v>10</v>
      </c>
      <c r="G47" s="23" t="s">
        <v>11</v>
      </c>
      <c r="H47" s="25" t="s">
        <v>12</v>
      </c>
      <c r="J47" s="6" t="s">
        <v>4</v>
      </c>
      <c r="K47" s="9"/>
      <c r="L47" s="4"/>
      <c r="M47" s="4"/>
      <c r="N47" s="4"/>
      <c r="O47" s="4"/>
      <c r="P47" s="4"/>
      <c r="Q47" s="4"/>
      <c r="R47" s="4"/>
      <c r="S47" s="4"/>
      <c r="T47" s="4"/>
      <c r="U47" s="5"/>
      <c r="W47" s="6" t="s">
        <v>4</v>
      </c>
      <c r="X47" s="9"/>
      <c r="Y47" s="4"/>
      <c r="Z47" s="4"/>
      <c r="AA47" s="4"/>
      <c r="AB47" s="4"/>
      <c r="AC47" s="5"/>
      <c r="AE47" s="6" t="s">
        <v>4</v>
      </c>
      <c r="AF47" s="9"/>
      <c r="AG47" s="4"/>
      <c r="AH47" s="4"/>
      <c r="AI47" s="4"/>
      <c r="AJ47" s="4"/>
      <c r="AK47" s="5"/>
    </row>
    <row r="48" spans="1:37" ht="15.75" thickBot="1" x14ac:dyDescent="0.3">
      <c r="A48" s="83"/>
      <c r="B48" s="72">
        <v>41830</v>
      </c>
      <c r="C48" s="72">
        <v>42169</v>
      </c>
      <c r="D48" s="72">
        <v>42169</v>
      </c>
      <c r="E48" s="72">
        <v>42955</v>
      </c>
      <c r="F48" s="27">
        <f>SUM(C48-B48)</f>
        <v>339</v>
      </c>
      <c r="G48" s="20">
        <f>SUM(E48-D48)</f>
        <v>786</v>
      </c>
      <c r="H48" s="21">
        <f>SUM(F48:G48)</f>
        <v>1125</v>
      </c>
      <c r="J48" s="7" t="s">
        <v>22</v>
      </c>
      <c r="K48" s="10"/>
      <c r="L48" s="11"/>
      <c r="M48" s="11"/>
      <c r="N48" s="11"/>
      <c r="O48" s="11"/>
      <c r="P48" s="11"/>
      <c r="Q48" s="11"/>
      <c r="R48" s="11"/>
      <c r="S48" s="11"/>
      <c r="T48" s="11"/>
      <c r="U48" s="12"/>
      <c r="W48" s="7" t="s">
        <v>22</v>
      </c>
      <c r="X48" s="10"/>
      <c r="Y48" s="11"/>
      <c r="Z48" s="11"/>
      <c r="AA48" s="11"/>
      <c r="AB48" s="11"/>
      <c r="AC48" s="12"/>
      <c r="AE48" s="7" t="s">
        <v>22</v>
      </c>
      <c r="AF48" s="10"/>
      <c r="AG48" s="11"/>
      <c r="AH48" s="11"/>
      <c r="AI48" s="11"/>
      <c r="AJ48" s="11"/>
      <c r="AK48" s="12"/>
    </row>
    <row r="49" spans="1:37" x14ac:dyDescent="0.25">
      <c r="J49" s="8"/>
      <c r="T49" s="8" t="s">
        <v>23</v>
      </c>
      <c r="U49" s="13">
        <f>SUM(K48:U48)</f>
        <v>0</v>
      </c>
      <c r="AB49" s="8" t="s">
        <v>23</v>
      </c>
      <c r="AC49" s="13">
        <f>SUM(X48:AC48)</f>
        <v>0</v>
      </c>
      <c r="AJ49" s="8" t="s">
        <v>23</v>
      </c>
      <c r="AK49" s="13">
        <f>SUM(AF48:AK48)</f>
        <v>0</v>
      </c>
    </row>
    <row r="50" spans="1:37" ht="15.75" thickBot="1" x14ac:dyDescent="0.3">
      <c r="A50" s="19"/>
      <c r="B50" s="79" t="s">
        <v>21</v>
      </c>
      <c r="C50" s="79"/>
      <c r="D50" s="79"/>
      <c r="E50" s="79"/>
      <c r="F50" s="79"/>
      <c r="G50" s="79"/>
      <c r="H50" s="79"/>
      <c r="J50" s="80" t="s">
        <v>21</v>
      </c>
      <c r="K50" s="80"/>
      <c r="L50" s="80"/>
      <c r="M50" s="80"/>
      <c r="N50" s="80"/>
      <c r="O50" s="80"/>
      <c r="P50" s="80"/>
      <c r="Q50" s="80"/>
      <c r="R50" s="80"/>
      <c r="S50" s="80"/>
      <c r="T50" s="80"/>
      <c r="U50" s="80"/>
      <c r="W50" s="81" t="str">
        <f>J50</f>
        <v>Dezembro</v>
      </c>
      <c r="X50" s="81"/>
      <c r="Y50" s="81"/>
      <c r="Z50" s="81"/>
      <c r="AA50" s="81"/>
      <c r="AB50" s="81"/>
      <c r="AC50" s="81"/>
      <c r="AE50" s="82" t="str">
        <f>W50</f>
        <v>Dezembro</v>
      </c>
      <c r="AF50" s="82"/>
      <c r="AG50" s="82"/>
      <c r="AH50" s="82"/>
      <c r="AI50" s="82"/>
      <c r="AJ50" s="82"/>
      <c r="AK50" s="82"/>
    </row>
    <row r="51" spans="1:37" ht="15.75" thickBot="1" x14ac:dyDescent="0.3">
      <c r="A51" s="83" t="s">
        <v>5</v>
      </c>
      <c r="B51" s="34" t="s">
        <v>6</v>
      </c>
      <c r="C51" s="22" t="s">
        <v>7</v>
      </c>
      <c r="D51" s="33" t="s">
        <v>8</v>
      </c>
      <c r="E51" s="22" t="s">
        <v>9</v>
      </c>
      <c r="F51" s="24" t="s">
        <v>10</v>
      </c>
      <c r="G51" s="23" t="s">
        <v>11</v>
      </c>
      <c r="H51" s="25" t="s">
        <v>12</v>
      </c>
      <c r="J51" s="6" t="s">
        <v>4</v>
      </c>
      <c r="K51" s="9"/>
      <c r="L51" s="4"/>
      <c r="M51" s="4"/>
      <c r="N51" s="4"/>
      <c r="O51" s="4"/>
      <c r="P51" s="4"/>
      <c r="Q51" s="4"/>
      <c r="R51" s="4"/>
      <c r="S51" s="4"/>
      <c r="T51" s="4"/>
      <c r="U51" s="5"/>
      <c r="W51" s="6" t="s">
        <v>4</v>
      </c>
      <c r="X51" s="9"/>
      <c r="Y51" s="4"/>
      <c r="Z51" s="4"/>
      <c r="AA51" s="4"/>
      <c r="AB51" s="4"/>
      <c r="AC51" s="5"/>
      <c r="AE51" s="6" t="s">
        <v>4</v>
      </c>
      <c r="AF51" s="9"/>
      <c r="AG51" s="4"/>
      <c r="AH51" s="4"/>
      <c r="AI51" s="4"/>
      <c r="AJ51" s="4"/>
      <c r="AK51" s="5"/>
    </row>
    <row r="52" spans="1:37" ht="15.75" thickBot="1" x14ac:dyDescent="0.3">
      <c r="A52" s="83"/>
      <c r="B52" s="26">
        <v>42955</v>
      </c>
      <c r="C52" s="27">
        <v>43885</v>
      </c>
      <c r="D52" s="27">
        <v>43885</v>
      </c>
      <c r="E52" s="27">
        <v>43885</v>
      </c>
      <c r="F52" s="27">
        <f>SUM(C52-B52)</f>
        <v>930</v>
      </c>
      <c r="G52" s="20">
        <f>SUM(E52-D52)</f>
        <v>0</v>
      </c>
      <c r="H52" s="21">
        <f>SUM(F52:G52)</f>
        <v>930</v>
      </c>
      <c r="J52" s="7" t="s">
        <v>22</v>
      </c>
      <c r="K52" s="10"/>
      <c r="L52" s="11"/>
      <c r="M52" s="11"/>
      <c r="N52" s="11"/>
      <c r="O52" s="11"/>
      <c r="P52" s="11"/>
      <c r="Q52" s="11"/>
      <c r="R52" s="11"/>
      <c r="S52" s="11"/>
      <c r="T52" s="11"/>
      <c r="U52" s="12"/>
      <c r="W52" s="7" t="s">
        <v>22</v>
      </c>
      <c r="X52" s="10"/>
      <c r="Y52" s="11"/>
      <c r="Z52" s="11"/>
      <c r="AA52" s="11"/>
      <c r="AB52" s="11"/>
      <c r="AC52" s="12"/>
      <c r="AE52" s="7" t="s">
        <v>22</v>
      </c>
      <c r="AF52" s="10"/>
      <c r="AG52" s="11"/>
      <c r="AH52" s="11"/>
      <c r="AI52" s="11"/>
      <c r="AJ52" s="11"/>
      <c r="AK52" s="12"/>
    </row>
    <row r="53" spans="1:37" x14ac:dyDescent="0.25">
      <c r="J53" s="8"/>
      <c r="T53" s="8" t="s">
        <v>23</v>
      </c>
      <c r="U53" s="13">
        <f>SUM(K52:U52)</f>
        <v>0</v>
      </c>
      <c r="AB53" s="8" t="s">
        <v>23</v>
      </c>
      <c r="AC53" s="13">
        <f>SUM(X52:AC52)</f>
        <v>0</v>
      </c>
      <c r="AJ53" s="8" t="s">
        <v>23</v>
      </c>
      <c r="AK53" s="13">
        <f>SUM(AF52:AK52)</f>
        <v>0</v>
      </c>
    </row>
    <row r="54" spans="1:37" ht="15.75" thickBot="1" x14ac:dyDescent="0.3">
      <c r="A54" s="19">
        <v>2025</v>
      </c>
      <c r="B54" s="79" t="s">
        <v>88</v>
      </c>
      <c r="C54" s="79"/>
      <c r="D54" s="79"/>
      <c r="E54" s="79"/>
      <c r="F54" s="79"/>
      <c r="G54" s="79"/>
      <c r="H54" s="79"/>
      <c r="J54" s="80" t="s">
        <v>88</v>
      </c>
      <c r="K54" s="80"/>
      <c r="L54" s="80"/>
      <c r="M54" s="80"/>
      <c r="N54" s="80"/>
      <c r="O54" s="80"/>
      <c r="P54" s="80"/>
      <c r="Q54" s="80"/>
      <c r="R54" s="80"/>
      <c r="S54" s="80"/>
      <c r="T54" s="80"/>
      <c r="U54" s="80"/>
      <c r="W54" s="81" t="str">
        <f>J54</f>
        <v>Janeiro</v>
      </c>
      <c r="X54" s="81"/>
      <c r="Y54" s="81"/>
      <c r="Z54" s="81"/>
      <c r="AA54" s="81"/>
      <c r="AB54" s="81"/>
      <c r="AC54" s="81"/>
      <c r="AE54" s="82" t="str">
        <f>W54</f>
        <v>Janeiro</v>
      </c>
      <c r="AF54" s="82"/>
      <c r="AG54" s="82"/>
      <c r="AH54" s="82"/>
      <c r="AI54" s="82"/>
      <c r="AJ54" s="82"/>
      <c r="AK54" s="82"/>
    </row>
    <row r="55" spans="1:37" ht="15.75" thickBot="1" x14ac:dyDescent="0.3">
      <c r="A55" s="83" t="s">
        <v>5</v>
      </c>
      <c r="B55" s="34" t="s">
        <v>6</v>
      </c>
      <c r="C55" s="22" t="s">
        <v>7</v>
      </c>
      <c r="D55" s="33" t="s">
        <v>8</v>
      </c>
      <c r="E55" s="22" t="s">
        <v>9</v>
      </c>
      <c r="F55" s="24" t="s">
        <v>10</v>
      </c>
      <c r="G55" s="23" t="s">
        <v>11</v>
      </c>
      <c r="H55" s="25" t="s">
        <v>12</v>
      </c>
      <c r="J55" s="6" t="s">
        <v>4</v>
      </c>
      <c r="K55" s="9">
        <v>45664</v>
      </c>
      <c r="L55" s="66">
        <v>45671</v>
      </c>
      <c r="M55" s="66">
        <v>45674</v>
      </c>
      <c r="N55" s="66">
        <v>45680</v>
      </c>
      <c r="O55" s="66">
        <v>45686</v>
      </c>
      <c r="P55" s="4"/>
      <c r="Q55" s="4"/>
      <c r="R55" s="4"/>
      <c r="S55" s="4"/>
      <c r="T55" s="4"/>
      <c r="U55" s="5"/>
      <c r="W55" s="6" t="s">
        <v>4</v>
      </c>
      <c r="X55" s="9"/>
      <c r="Y55" s="4"/>
      <c r="Z55" s="4"/>
      <c r="AA55" s="4"/>
      <c r="AB55" s="4"/>
      <c r="AC55" s="5"/>
      <c r="AE55" s="6" t="s">
        <v>4</v>
      </c>
      <c r="AF55" s="9"/>
      <c r="AG55" s="4"/>
      <c r="AH55" s="4"/>
      <c r="AI55" s="4"/>
      <c r="AJ55" s="4"/>
      <c r="AK55" s="5"/>
    </row>
    <row r="56" spans="1:37" ht="15.75" thickBot="1" x14ac:dyDescent="0.3">
      <c r="A56" s="83"/>
      <c r="B56" s="26">
        <v>43885</v>
      </c>
      <c r="C56" s="27">
        <v>44515</v>
      </c>
      <c r="D56" s="27">
        <v>44515</v>
      </c>
      <c r="E56" s="27">
        <v>45597</v>
      </c>
      <c r="F56" s="27">
        <f>SUM(C56-B56)</f>
        <v>630</v>
      </c>
      <c r="G56" s="20">
        <f>SUM(E56-D56)</f>
        <v>1082</v>
      </c>
      <c r="H56" s="21">
        <f>SUM(F56:G56)</f>
        <v>1712</v>
      </c>
      <c r="J56" s="7" t="s">
        <v>22</v>
      </c>
      <c r="K56" s="10">
        <v>195.71</v>
      </c>
      <c r="L56" s="11">
        <v>196.14</v>
      </c>
      <c r="M56" s="11">
        <v>265.10000000000002</v>
      </c>
      <c r="N56" s="11">
        <v>255.31</v>
      </c>
      <c r="O56" s="11">
        <v>123.99</v>
      </c>
      <c r="P56" s="11"/>
      <c r="Q56" s="11"/>
      <c r="R56" s="11"/>
      <c r="S56" s="11"/>
      <c r="T56" s="11"/>
      <c r="U56" s="12"/>
      <c r="W56" s="7" t="s">
        <v>22</v>
      </c>
      <c r="X56" s="10"/>
      <c r="Y56" s="11"/>
      <c r="Z56" s="11"/>
      <c r="AA56" s="11"/>
      <c r="AB56" s="11"/>
      <c r="AC56" s="12"/>
      <c r="AE56" s="7" t="s">
        <v>22</v>
      </c>
      <c r="AF56" s="10"/>
      <c r="AG56" s="11"/>
      <c r="AH56" s="11"/>
      <c r="AI56" s="11"/>
      <c r="AJ56" s="11"/>
      <c r="AK56" s="12"/>
    </row>
    <row r="57" spans="1:37" x14ac:dyDescent="0.25">
      <c r="J57" s="8"/>
      <c r="T57" s="8" t="s">
        <v>23</v>
      </c>
      <c r="U57" s="13">
        <f>SUM(K56:U56)</f>
        <v>1036.25</v>
      </c>
      <c r="AB57" s="8" t="s">
        <v>23</v>
      </c>
      <c r="AC57" s="13">
        <f>SUM(X56:AC56)</f>
        <v>0</v>
      </c>
      <c r="AJ57" s="8" t="s">
        <v>23</v>
      </c>
      <c r="AK57" s="13">
        <f>SUM(AF56:AK56)</f>
        <v>0</v>
      </c>
    </row>
    <row r="58" spans="1:37" ht="15.75" thickBot="1" x14ac:dyDescent="0.3">
      <c r="A58" s="19">
        <v>2026</v>
      </c>
      <c r="B58" s="79" t="s">
        <v>3</v>
      </c>
      <c r="C58" s="79"/>
      <c r="D58" s="79"/>
      <c r="E58" s="79"/>
      <c r="F58" s="79"/>
      <c r="G58" s="79"/>
      <c r="H58" s="79"/>
      <c r="J58" s="80" t="s">
        <v>3</v>
      </c>
      <c r="K58" s="80"/>
      <c r="L58" s="80"/>
      <c r="M58" s="80"/>
      <c r="N58" s="80"/>
      <c r="O58" s="80"/>
      <c r="P58" s="80"/>
      <c r="Q58" s="80"/>
      <c r="R58" s="80"/>
      <c r="S58" s="80"/>
      <c r="T58" s="80"/>
      <c r="U58" s="80"/>
      <c r="W58" s="81" t="str">
        <f>J58</f>
        <v>Fevereiro</v>
      </c>
      <c r="X58" s="81"/>
      <c r="Y58" s="81"/>
      <c r="Z58" s="81"/>
      <c r="AA58" s="81"/>
      <c r="AB58" s="81"/>
      <c r="AC58" s="81"/>
      <c r="AE58" s="82" t="str">
        <f>W58</f>
        <v>Fevereiro</v>
      </c>
      <c r="AF58" s="82"/>
      <c r="AG58" s="82"/>
      <c r="AH58" s="82"/>
      <c r="AI58" s="82"/>
      <c r="AJ58" s="82"/>
      <c r="AK58" s="82"/>
    </row>
    <row r="59" spans="1:37" ht="15.75" thickBot="1" x14ac:dyDescent="0.3">
      <c r="A59" s="83" t="s">
        <v>5</v>
      </c>
      <c r="B59" s="34" t="s">
        <v>6</v>
      </c>
      <c r="C59" s="22" t="s">
        <v>7</v>
      </c>
      <c r="D59" s="33" t="s">
        <v>8</v>
      </c>
      <c r="E59" s="22" t="s">
        <v>9</v>
      </c>
      <c r="F59" s="24" t="s">
        <v>10</v>
      </c>
      <c r="G59" s="23" t="s">
        <v>11</v>
      </c>
      <c r="H59" s="25" t="s">
        <v>12</v>
      </c>
      <c r="J59" s="6" t="s">
        <v>4</v>
      </c>
      <c r="K59" s="9">
        <v>45698</v>
      </c>
      <c r="L59" s="66">
        <v>45702</v>
      </c>
      <c r="M59" s="66">
        <v>45705</v>
      </c>
      <c r="N59" s="4"/>
      <c r="O59" s="4"/>
      <c r="P59" s="4"/>
      <c r="Q59" s="4"/>
      <c r="R59" s="4"/>
      <c r="S59" s="4"/>
      <c r="T59" s="4"/>
      <c r="U59" s="5"/>
      <c r="W59" s="6" t="s">
        <v>4</v>
      </c>
      <c r="X59" s="9"/>
      <c r="Y59" s="4"/>
      <c r="Z59" s="4"/>
      <c r="AA59" s="4"/>
      <c r="AB59" s="4"/>
      <c r="AC59" s="5"/>
      <c r="AE59" s="6" t="s">
        <v>4</v>
      </c>
      <c r="AF59" s="9"/>
      <c r="AG59" s="4"/>
      <c r="AH59" s="4"/>
      <c r="AI59" s="4"/>
      <c r="AJ59" s="4"/>
      <c r="AK59" s="5"/>
    </row>
    <row r="60" spans="1:37" ht="15.75" thickBot="1" x14ac:dyDescent="0.3">
      <c r="A60" s="83"/>
      <c r="B60" s="26">
        <v>45597</v>
      </c>
      <c r="C60" s="27">
        <v>46205</v>
      </c>
      <c r="D60" s="27">
        <v>46205</v>
      </c>
      <c r="E60" s="27">
        <v>46613</v>
      </c>
      <c r="F60" s="27">
        <f>SUM(C60-B60)</f>
        <v>608</v>
      </c>
      <c r="G60" s="20">
        <f>SUM(E60-D60)</f>
        <v>408</v>
      </c>
      <c r="H60" s="21">
        <f>SUM(F60:G60)</f>
        <v>1016</v>
      </c>
      <c r="J60" s="7" t="s">
        <v>22</v>
      </c>
      <c r="K60" s="10">
        <v>282.54000000000002</v>
      </c>
      <c r="L60" s="11">
        <v>157.9</v>
      </c>
      <c r="M60" s="11">
        <v>214.36</v>
      </c>
      <c r="N60" s="11"/>
      <c r="O60" s="11"/>
      <c r="P60" s="11"/>
      <c r="Q60" s="11"/>
      <c r="R60" s="11"/>
      <c r="S60" s="11"/>
      <c r="T60" s="11"/>
      <c r="U60" s="12"/>
      <c r="W60" s="7" t="s">
        <v>22</v>
      </c>
      <c r="X60" s="10"/>
      <c r="Y60" s="11"/>
      <c r="Z60" s="11"/>
      <c r="AA60" s="11"/>
      <c r="AB60" s="11"/>
      <c r="AC60" s="12"/>
      <c r="AE60" s="7" t="s">
        <v>22</v>
      </c>
      <c r="AF60" s="10"/>
      <c r="AG60" s="11"/>
      <c r="AH60" s="11"/>
      <c r="AI60" s="11"/>
      <c r="AJ60" s="11"/>
      <c r="AK60" s="12"/>
    </row>
    <row r="61" spans="1:37" x14ac:dyDescent="0.25">
      <c r="J61" s="8"/>
      <c r="T61" s="8" t="s">
        <v>23</v>
      </c>
      <c r="U61" s="13">
        <f>SUM(K60:U60)</f>
        <v>654.80000000000007</v>
      </c>
      <c r="AB61" s="8" t="s">
        <v>23</v>
      </c>
      <c r="AC61" s="13">
        <f>SUM(X60:AC60)</f>
        <v>0</v>
      </c>
      <c r="AJ61" s="8" t="s">
        <v>23</v>
      </c>
      <c r="AK61" s="13">
        <f>SUM(AF60:AK60)</f>
        <v>0</v>
      </c>
    </row>
    <row r="62" spans="1:37" ht="15.75" thickBot="1" x14ac:dyDescent="0.3">
      <c r="A62" s="19"/>
      <c r="B62" s="79" t="s">
        <v>13</v>
      </c>
      <c r="C62" s="79"/>
      <c r="D62" s="79"/>
      <c r="E62" s="79"/>
      <c r="F62" s="79"/>
      <c r="G62" s="79"/>
      <c r="H62" s="79"/>
      <c r="J62" s="80" t="s">
        <v>13</v>
      </c>
      <c r="K62" s="80"/>
      <c r="L62" s="80"/>
      <c r="M62" s="80"/>
      <c r="N62" s="80"/>
      <c r="O62" s="80"/>
      <c r="P62" s="80"/>
      <c r="Q62" s="80"/>
      <c r="R62" s="80"/>
      <c r="S62" s="80"/>
      <c r="T62" s="80"/>
      <c r="U62" s="80"/>
      <c r="W62" s="81" t="str">
        <f>J62</f>
        <v>Março</v>
      </c>
      <c r="X62" s="81"/>
      <c r="Y62" s="81"/>
      <c r="Z62" s="81"/>
      <c r="AA62" s="81"/>
      <c r="AB62" s="81"/>
      <c r="AC62" s="81"/>
      <c r="AE62" s="82" t="str">
        <f>W62</f>
        <v>Março</v>
      </c>
      <c r="AF62" s="82"/>
      <c r="AG62" s="82"/>
      <c r="AH62" s="82"/>
      <c r="AI62" s="82"/>
      <c r="AJ62" s="82"/>
      <c r="AK62" s="82"/>
    </row>
    <row r="63" spans="1:37" ht="15.75" thickBot="1" x14ac:dyDescent="0.3">
      <c r="A63" s="83" t="s">
        <v>5</v>
      </c>
      <c r="B63" s="34" t="s">
        <v>6</v>
      </c>
      <c r="C63" s="22" t="s">
        <v>7</v>
      </c>
      <c r="D63" s="33" t="s">
        <v>8</v>
      </c>
      <c r="E63" s="22" t="s">
        <v>9</v>
      </c>
      <c r="F63" s="24" t="s">
        <v>10</v>
      </c>
      <c r="G63" s="23" t="s">
        <v>11</v>
      </c>
      <c r="H63" s="25" t="s">
        <v>12</v>
      </c>
      <c r="J63" s="6" t="s">
        <v>4</v>
      </c>
      <c r="K63" s="9">
        <v>45721</v>
      </c>
      <c r="L63" s="66">
        <v>45729</v>
      </c>
      <c r="M63" s="66">
        <v>45736</v>
      </c>
      <c r="N63" s="66">
        <v>45747</v>
      </c>
      <c r="O63" s="4"/>
      <c r="P63" s="4"/>
      <c r="Q63" s="4"/>
      <c r="R63" s="4"/>
      <c r="S63" s="4"/>
      <c r="T63" s="4"/>
      <c r="U63" s="5"/>
      <c r="W63" s="6" t="s">
        <v>4</v>
      </c>
      <c r="X63" s="9"/>
      <c r="Y63" s="4"/>
      <c r="Z63" s="4"/>
      <c r="AA63" s="4"/>
      <c r="AB63" s="4"/>
      <c r="AC63" s="5"/>
      <c r="AE63" s="6" t="s">
        <v>4</v>
      </c>
      <c r="AF63" s="9"/>
      <c r="AG63" s="4"/>
      <c r="AH63" s="4"/>
      <c r="AI63" s="4"/>
      <c r="AJ63" s="4"/>
      <c r="AK63" s="5"/>
    </row>
    <row r="64" spans="1:37" ht="15.75" thickBot="1" x14ac:dyDescent="0.3">
      <c r="A64" s="83"/>
      <c r="B64" s="27">
        <v>46613</v>
      </c>
      <c r="C64" s="27">
        <v>47386</v>
      </c>
      <c r="D64" s="27">
        <v>47386</v>
      </c>
      <c r="E64" s="27">
        <v>48246</v>
      </c>
      <c r="F64" s="27">
        <f>SUM(C64-B64)</f>
        <v>773</v>
      </c>
      <c r="G64" s="20">
        <f>SUM(E64-D64)</f>
        <v>860</v>
      </c>
      <c r="H64" s="21">
        <f>SUM(F64:G64)</f>
        <v>1633</v>
      </c>
      <c r="J64" s="7" t="s">
        <v>22</v>
      </c>
      <c r="K64" s="10">
        <v>270.10000000000002</v>
      </c>
      <c r="L64" s="11">
        <v>280.05</v>
      </c>
      <c r="M64" s="11">
        <v>220.9</v>
      </c>
      <c r="N64" s="11">
        <v>292</v>
      </c>
      <c r="O64" s="11"/>
      <c r="P64" s="11"/>
      <c r="Q64" s="11"/>
      <c r="R64" s="11"/>
      <c r="S64" s="11"/>
      <c r="T64" s="11"/>
      <c r="U64" s="12"/>
      <c r="W64" s="7" t="s">
        <v>22</v>
      </c>
      <c r="X64" s="10"/>
      <c r="Y64" s="11"/>
      <c r="Z64" s="11"/>
      <c r="AA64" s="11"/>
      <c r="AB64" s="11"/>
      <c r="AC64" s="12"/>
      <c r="AE64" s="7" t="s">
        <v>22</v>
      </c>
      <c r="AF64" s="10"/>
      <c r="AG64" s="11"/>
      <c r="AH64" s="11"/>
      <c r="AI64" s="11"/>
      <c r="AJ64" s="11"/>
      <c r="AK64" s="12"/>
    </row>
    <row r="65" spans="1:37" x14ac:dyDescent="0.25">
      <c r="J65" s="8"/>
      <c r="T65" s="8" t="s">
        <v>23</v>
      </c>
      <c r="U65" s="13">
        <f>SUM(K64:U64)</f>
        <v>1063.0500000000002</v>
      </c>
      <c r="AB65" s="8" t="s">
        <v>23</v>
      </c>
      <c r="AC65" s="13">
        <f>SUM(X64:AC64)</f>
        <v>0</v>
      </c>
      <c r="AJ65" s="8" t="s">
        <v>23</v>
      </c>
      <c r="AK65" s="13">
        <f>SUM(AF64:AK64)</f>
        <v>0</v>
      </c>
    </row>
    <row r="66" spans="1:37" ht="15.75" thickBot="1" x14ac:dyDescent="0.3">
      <c r="A66" s="19"/>
      <c r="B66" s="79" t="s">
        <v>14</v>
      </c>
      <c r="C66" s="79"/>
      <c r="D66" s="79"/>
      <c r="E66" s="79"/>
      <c r="F66" s="79"/>
      <c r="G66" s="79"/>
      <c r="H66" s="79"/>
      <c r="J66" s="80" t="s">
        <v>14</v>
      </c>
      <c r="K66" s="80"/>
      <c r="L66" s="80"/>
      <c r="M66" s="80"/>
      <c r="N66" s="80"/>
      <c r="O66" s="80"/>
      <c r="P66" s="80"/>
      <c r="Q66" s="80"/>
      <c r="R66" s="80"/>
      <c r="S66" s="80"/>
      <c r="T66" s="80"/>
      <c r="U66" s="80"/>
      <c r="W66" s="81" t="str">
        <f>J66</f>
        <v>Abril</v>
      </c>
      <c r="X66" s="81"/>
      <c r="Y66" s="81"/>
      <c r="Z66" s="81"/>
      <c r="AA66" s="81"/>
      <c r="AB66" s="81"/>
      <c r="AC66" s="81"/>
      <c r="AE66" s="82" t="str">
        <f>W66</f>
        <v>Abril</v>
      </c>
      <c r="AF66" s="82"/>
      <c r="AG66" s="82"/>
      <c r="AH66" s="82"/>
      <c r="AI66" s="82"/>
      <c r="AJ66" s="82"/>
      <c r="AK66" s="82"/>
    </row>
    <row r="67" spans="1:37" ht="15.75" thickBot="1" x14ac:dyDescent="0.3">
      <c r="A67" s="83" t="s">
        <v>5</v>
      </c>
      <c r="B67" s="34" t="s">
        <v>6</v>
      </c>
      <c r="C67" s="22" t="s">
        <v>7</v>
      </c>
      <c r="D67" s="33" t="s">
        <v>8</v>
      </c>
      <c r="E67" s="22" t="s">
        <v>9</v>
      </c>
      <c r="F67" s="24" t="s">
        <v>10</v>
      </c>
      <c r="G67" s="23" t="s">
        <v>11</v>
      </c>
      <c r="H67" s="25" t="s">
        <v>12</v>
      </c>
      <c r="J67" s="6" t="s">
        <v>4</v>
      </c>
      <c r="K67" s="9">
        <v>45749</v>
      </c>
      <c r="L67" s="66">
        <v>45763</v>
      </c>
      <c r="M67" s="66">
        <v>45774</v>
      </c>
      <c r="N67" s="4"/>
      <c r="O67" s="4"/>
      <c r="P67" s="4"/>
      <c r="Q67" s="4"/>
      <c r="R67" s="4"/>
      <c r="S67" s="4"/>
      <c r="T67" s="4"/>
      <c r="U67" s="5"/>
      <c r="W67" s="6" t="s">
        <v>4</v>
      </c>
      <c r="X67" s="9"/>
      <c r="Y67" s="4"/>
      <c r="Z67" s="4"/>
      <c r="AA67" s="4"/>
      <c r="AB67" s="4"/>
      <c r="AC67" s="5"/>
      <c r="AE67" s="6" t="s">
        <v>4</v>
      </c>
      <c r="AF67" s="9"/>
      <c r="AG67" s="4"/>
      <c r="AH67" s="4"/>
      <c r="AI67" s="4"/>
      <c r="AJ67" s="4"/>
      <c r="AK67" s="5"/>
    </row>
    <row r="68" spans="1:37" ht="15.75" thickBot="1" x14ac:dyDescent="0.3">
      <c r="A68" s="83"/>
      <c r="B68" s="27">
        <v>48246</v>
      </c>
      <c r="C68" s="27">
        <v>48858</v>
      </c>
      <c r="D68" s="27">
        <v>48858</v>
      </c>
      <c r="E68" s="27">
        <v>49647</v>
      </c>
      <c r="F68" s="27">
        <f>SUM(C68-B68)</f>
        <v>612</v>
      </c>
      <c r="G68" s="20">
        <f>SUM(E68-D68)</f>
        <v>789</v>
      </c>
      <c r="H68" s="21">
        <f>SUM(F68:G68)</f>
        <v>1401</v>
      </c>
      <c r="J68" s="7" t="s">
        <v>22</v>
      </c>
      <c r="K68" s="30">
        <v>150</v>
      </c>
      <c r="L68" s="31">
        <v>228.59</v>
      </c>
      <c r="M68" s="31">
        <v>100</v>
      </c>
      <c r="N68" s="31"/>
      <c r="O68" s="31"/>
      <c r="P68" s="31"/>
      <c r="Q68" s="31"/>
      <c r="R68" s="31"/>
      <c r="S68" s="31"/>
      <c r="T68" s="31"/>
      <c r="U68" s="32"/>
      <c r="W68" s="7" t="s">
        <v>22</v>
      </c>
      <c r="X68" s="10"/>
      <c r="Y68" s="11"/>
      <c r="Z68" s="11"/>
      <c r="AA68" s="11"/>
      <c r="AB68" s="11"/>
      <c r="AC68" s="12"/>
      <c r="AE68" s="7" t="s">
        <v>22</v>
      </c>
      <c r="AF68" s="10"/>
      <c r="AG68" s="11"/>
      <c r="AH68" s="11"/>
      <c r="AI68" s="11"/>
      <c r="AJ68" s="11"/>
      <c r="AK68" s="12"/>
    </row>
    <row r="69" spans="1:37" x14ac:dyDescent="0.25">
      <c r="J69" s="8"/>
      <c r="T69" s="8" t="s">
        <v>23</v>
      </c>
      <c r="U69" s="13">
        <f>SUM(K68:U68)</f>
        <v>478.59000000000003</v>
      </c>
      <c r="AB69" s="8" t="s">
        <v>23</v>
      </c>
      <c r="AC69" s="13">
        <f>SUM(X68:AC68)</f>
        <v>0</v>
      </c>
      <c r="AJ69" s="8" t="s">
        <v>23</v>
      </c>
      <c r="AK69" s="13">
        <f>SUM(AF68:AK68)</f>
        <v>0</v>
      </c>
    </row>
    <row r="70" spans="1:37" ht="15.75" thickBot="1" x14ac:dyDescent="0.3">
      <c r="A70" s="19"/>
      <c r="B70" s="79" t="s">
        <v>15</v>
      </c>
      <c r="C70" s="79"/>
      <c r="D70" s="79"/>
      <c r="E70" s="79"/>
      <c r="F70" s="79"/>
      <c r="G70" s="79"/>
      <c r="H70" s="79"/>
      <c r="J70" s="80" t="s">
        <v>15</v>
      </c>
      <c r="K70" s="80"/>
      <c r="L70" s="80"/>
      <c r="M70" s="80"/>
      <c r="N70" s="80"/>
      <c r="O70" s="80"/>
      <c r="P70" s="80"/>
      <c r="Q70" s="80"/>
      <c r="R70" s="80"/>
      <c r="S70" s="80"/>
      <c r="T70" s="80"/>
      <c r="U70" s="80"/>
      <c r="W70" s="81" t="str">
        <f>J70</f>
        <v>Maio</v>
      </c>
      <c r="X70" s="81"/>
      <c r="Y70" s="81"/>
      <c r="Z70" s="81"/>
      <c r="AA70" s="81"/>
      <c r="AB70" s="81"/>
      <c r="AC70" s="81"/>
      <c r="AE70" s="82" t="str">
        <f>W70</f>
        <v>Maio</v>
      </c>
      <c r="AF70" s="82"/>
      <c r="AG70" s="82"/>
      <c r="AH70" s="82"/>
      <c r="AI70" s="82"/>
      <c r="AJ70" s="82"/>
      <c r="AK70" s="82"/>
    </row>
    <row r="71" spans="1:37" ht="15.75" thickBot="1" x14ac:dyDescent="0.3">
      <c r="A71" s="83" t="s">
        <v>5</v>
      </c>
      <c r="B71" s="34" t="s">
        <v>6</v>
      </c>
      <c r="C71" s="22" t="s">
        <v>7</v>
      </c>
      <c r="D71" s="33" t="s">
        <v>8</v>
      </c>
      <c r="E71" s="22" t="s">
        <v>9</v>
      </c>
      <c r="F71" s="24" t="s">
        <v>10</v>
      </c>
      <c r="G71" s="23" t="s">
        <v>11</v>
      </c>
      <c r="H71" s="25" t="s">
        <v>12</v>
      </c>
      <c r="J71" s="6" t="s">
        <v>4</v>
      </c>
      <c r="K71" s="9">
        <v>45778</v>
      </c>
      <c r="L71" s="66">
        <v>45786</v>
      </c>
      <c r="M71" s="66">
        <v>45796</v>
      </c>
      <c r="N71" s="66">
        <v>45807</v>
      </c>
      <c r="O71" s="4"/>
      <c r="P71" s="4"/>
      <c r="Q71" s="4"/>
      <c r="R71" s="4"/>
      <c r="S71" s="4"/>
      <c r="T71" s="4"/>
      <c r="U71" s="5"/>
      <c r="W71" s="6" t="s">
        <v>4</v>
      </c>
      <c r="X71" s="9"/>
      <c r="Y71" s="4"/>
      <c r="Z71" s="4"/>
      <c r="AA71" s="4"/>
      <c r="AB71" s="4"/>
      <c r="AC71" s="5"/>
      <c r="AE71" s="6" t="s">
        <v>4</v>
      </c>
      <c r="AF71" s="9"/>
      <c r="AG71" s="4"/>
      <c r="AH71" s="4"/>
      <c r="AI71" s="4"/>
      <c r="AJ71" s="4"/>
      <c r="AK71" s="5"/>
    </row>
    <row r="72" spans="1:37" ht="15.75" thickBot="1" x14ac:dyDescent="0.3">
      <c r="A72" s="83"/>
      <c r="B72" s="27">
        <v>49647</v>
      </c>
      <c r="C72" s="27">
        <v>50593</v>
      </c>
      <c r="D72" s="27">
        <v>50593</v>
      </c>
      <c r="E72" s="27">
        <v>51005</v>
      </c>
      <c r="F72" s="27">
        <f>SUM(C72-B72)</f>
        <v>946</v>
      </c>
      <c r="G72" s="20">
        <f>SUM(E72-D72)</f>
        <v>412</v>
      </c>
      <c r="H72" s="21">
        <f>SUM(F72:G72)</f>
        <v>1358</v>
      </c>
      <c r="J72" s="7" t="s">
        <v>22</v>
      </c>
      <c r="K72" s="10">
        <v>231.44</v>
      </c>
      <c r="L72" s="11">
        <v>273.44</v>
      </c>
      <c r="M72" s="11">
        <v>214.59</v>
      </c>
      <c r="N72" s="11">
        <v>278.27999999999997</v>
      </c>
      <c r="O72" s="11"/>
      <c r="P72" s="11"/>
      <c r="Q72" s="11"/>
      <c r="R72" s="11"/>
      <c r="S72" s="11"/>
      <c r="T72" s="11"/>
      <c r="U72" s="12"/>
      <c r="W72" s="7" t="s">
        <v>22</v>
      </c>
      <c r="X72" s="10"/>
      <c r="Y72" s="11"/>
      <c r="Z72" s="11"/>
      <c r="AA72" s="11"/>
      <c r="AB72" s="11"/>
      <c r="AC72" s="12"/>
      <c r="AE72" s="7" t="s">
        <v>22</v>
      </c>
      <c r="AF72" s="10"/>
      <c r="AG72" s="11"/>
      <c r="AH72" s="11"/>
      <c r="AI72" s="11"/>
      <c r="AJ72" s="11"/>
      <c r="AK72" s="12"/>
    </row>
    <row r="73" spans="1:37" x14ac:dyDescent="0.25">
      <c r="J73" s="8"/>
      <c r="T73" s="8" t="s">
        <v>23</v>
      </c>
      <c r="U73" s="13">
        <f>SUM(K72:U72)</f>
        <v>997.75</v>
      </c>
      <c r="AB73" s="8" t="s">
        <v>23</v>
      </c>
      <c r="AC73" s="13">
        <f>SUM(X72:AC72)</f>
        <v>0</v>
      </c>
      <c r="AJ73" s="8" t="s">
        <v>23</v>
      </c>
      <c r="AK73" s="13">
        <f>SUM(AF72:AK72)</f>
        <v>0</v>
      </c>
    </row>
    <row r="74" spans="1:37" ht="15.75" thickBot="1" x14ac:dyDescent="0.3">
      <c r="A74" s="19"/>
      <c r="B74" s="79" t="s">
        <v>24</v>
      </c>
      <c r="C74" s="79"/>
      <c r="D74" s="79"/>
      <c r="E74" s="79"/>
      <c r="F74" s="79"/>
      <c r="G74" s="79"/>
      <c r="H74" s="79"/>
      <c r="J74" s="80" t="s">
        <v>24</v>
      </c>
      <c r="K74" s="80"/>
      <c r="L74" s="80"/>
      <c r="M74" s="80"/>
      <c r="N74" s="80"/>
      <c r="O74" s="80"/>
      <c r="P74" s="80"/>
      <c r="Q74" s="80"/>
      <c r="R74" s="80"/>
      <c r="S74" s="80"/>
      <c r="T74" s="80"/>
      <c r="U74" s="80"/>
      <c r="W74" s="81" t="str">
        <f>J74</f>
        <v>Junho</v>
      </c>
      <c r="X74" s="81"/>
      <c r="Y74" s="81"/>
      <c r="Z74" s="81"/>
      <c r="AA74" s="81"/>
      <c r="AB74" s="81"/>
      <c r="AC74" s="81"/>
      <c r="AE74" s="82" t="str">
        <f>W74</f>
        <v>Junho</v>
      </c>
      <c r="AF74" s="82"/>
      <c r="AG74" s="82"/>
      <c r="AH74" s="82"/>
      <c r="AI74" s="82"/>
      <c r="AJ74" s="82"/>
      <c r="AK74" s="82"/>
    </row>
    <row r="75" spans="1:37" ht="15.75" thickBot="1" x14ac:dyDescent="0.3">
      <c r="A75" s="83" t="s">
        <v>5</v>
      </c>
      <c r="B75" s="34" t="s">
        <v>6</v>
      </c>
      <c r="C75" s="22" t="s">
        <v>7</v>
      </c>
      <c r="D75" s="33" t="s">
        <v>8</v>
      </c>
      <c r="E75" s="22" t="s">
        <v>9</v>
      </c>
      <c r="F75" s="24" t="s">
        <v>10</v>
      </c>
      <c r="G75" s="23" t="s">
        <v>11</v>
      </c>
      <c r="H75" s="25" t="s">
        <v>12</v>
      </c>
      <c r="J75" s="6" t="s">
        <v>4</v>
      </c>
      <c r="K75" s="9">
        <v>45812</v>
      </c>
      <c r="L75" s="66">
        <v>45816</v>
      </c>
      <c r="M75" s="66">
        <v>45838</v>
      </c>
      <c r="N75" s="4"/>
      <c r="O75" s="4"/>
      <c r="P75" s="4"/>
      <c r="Q75" s="4"/>
      <c r="R75" s="4"/>
      <c r="S75" s="4"/>
      <c r="T75" s="4"/>
      <c r="U75" s="5"/>
      <c r="W75" s="6" t="s">
        <v>4</v>
      </c>
      <c r="X75" s="9"/>
      <c r="Y75" s="4"/>
      <c r="Z75" s="4"/>
      <c r="AA75" s="4"/>
      <c r="AB75" s="4"/>
      <c r="AC75" s="5"/>
      <c r="AE75" s="6" t="s">
        <v>4</v>
      </c>
      <c r="AF75" s="9"/>
      <c r="AG75" s="4"/>
      <c r="AH75" s="4"/>
      <c r="AI75" s="4"/>
      <c r="AJ75" s="4"/>
      <c r="AK75" s="5"/>
    </row>
    <row r="76" spans="1:37" ht="15.75" thickBot="1" x14ac:dyDescent="0.3">
      <c r="A76" s="83"/>
      <c r="B76" s="27">
        <v>51005</v>
      </c>
      <c r="C76" s="27">
        <v>52142</v>
      </c>
      <c r="D76" s="27">
        <v>52142</v>
      </c>
      <c r="E76" s="27">
        <v>52274</v>
      </c>
      <c r="F76" s="27">
        <f>SUM(C76-B76)</f>
        <v>1137</v>
      </c>
      <c r="G76" s="20">
        <f>SUM(E76-D76)</f>
        <v>132</v>
      </c>
      <c r="H76" s="21">
        <f>SUM(F76:G76)</f>
        <v>1269</v>
      </c>
      <c r="J76" s="7" t="s">
        <v>22</v>
      </c>
      <c r="K76" s="10">
        <v>155.09</v>
      </c>
      <c r="L76" s="11">
        <v>277.20999999999998</v>
      </c>
      <c r="M76" s="11">
        <v>226</v>
      </c>
      <c r="N76" s="11"/>
      <c r="O76" s="11"/>
      <c r="P76" s="11"/>
      <c r="Q76" s="11"/>
      <c r="R76" s="11"/>
      <c r="S76" s="11"/>
      <c r="T76" s="11"/>
      <c r="U76" s="12"/>
      <c r="W76" s="7" t="s">
        <v>22</v>
      </c>
      <c r="X76" s="10"/>
      <c r="Y76" s="11"/>
      <c r="Z76" s="11"/>
      <c r="AA76" s="11"/>
      <c r="AB76" s="11"/>
      <c r="AC76" s="12"/>
      <c r="AE76" s="7" t="s">
        <v>22</v>
      </c>
      <c r="AF76" s="10"/>
      <c r="AG76" s="11"/>
      <c r="AH76" s="11"/>
      <c r="AI76" s="11"/>
      <c r="AJ76" s="11"/>
      <c r="AK76" s="12"/>
    </row>
    <row r="77" spans="1:37" x14ac:dyDescent="0.25">
      <c r="J77" s="8"/>
      <c r="T77" s="8" t="s">
        <v>23</v>
      </c>
      <c r="U77" s="13">
        <f>SUM(K76:U76)</f>
        <v>658.3</v>
      </c>
      <c r="AB77" s="8" t="s">
        <v>23</v>
      </c>
      <c r="AC77" s="13">
        <f>SUM(X76:AC76)</f>
        <v>0</v>
      </c>
      <c r="AJ77" s="8" t="s">
        <v>23</v>
      </c>
      <c r="AK77" s="13">
        <f>SUM(AF76:AK76)</f>
        <v>0</v>
      </c>
    </row>
    <row r="78" spans="1:37" ht="15.75" thickBot="1" x14ac:dyDescent="0.3">
      <c r="A78" s="19"/>
      <c r="B78" s="79" t="s">
        <v>16</v>
      </c>
      <c r="C78" s="79"/>
      <c r="D78" s="79"/>
      <c r="E78" s="79"/>
      <c r="F78" s="79"/>
      <c r="G78" s="79"/>
      <c r="H78" s="79"/>
      <c r="J78" s="80" t="s">
        <v>16</v>
      </c>
      <c r="K78" s="80"/>
      <c r="L78" s="80"/>
      <c r="M78" s="80"/>
      <c r="N78" s="80"/>
      <c r="O78" s="80"/>
      <c r="P78" s="80"/>
      <c r="Q78" s="80"/>
      <c r="R78" s="80"/>
      <c r="S78" s="80"/>
      <c r="T78" s="80"/>
      <c r="U78" s="80"/>
      <c r="W78" s="81" t="str">
        <f>J78</f>
        <v>Julho</v>
      </c>
      <c r="X78" s="81"/>
      <c r="Y78" s="81"/>
      <c r="Z78" s="81"/>
      <c r="AA78" s="81"/>
      <c r="AB78" s="81"/>
      <c r="AC78" s="81"/>
      <c r="AE78" s="82" t="str">
        <f>W78</f>
        <v>Julho</v>
      </c>
      <c r="AF78" s="82"/>
      <c r="AG78" s="82"/>
      <c r="AH78" s="82"/>
      <c r="AI78" s="82"/>
      <c r="AJ78" s="82"/>
      <c r="AK78" s="82"/>
    </row>
    <row r="79" spans="1:37" ht="15.75" thickBot="1" x14ac:dyDescent="0.3">
      <c r="A79" s="83" t="s">
        <v>5</v>
      </c>
      <c r="B79" s="34" t="s">
        <v>6</v>
      </c>
      <c r="C79" s="22" t="s">
        <v>7</v>
      </c>
      <c r="D79" s="33" t="s">
        <v>8</v>
      </c>
      <c r="E79" s="22" t="s">
        <v>9</v>
      </c>
      <c r="F79" s="24" t="s">
        <v>10</v>
      </c>
      <c r="G79" s="23" t="s">
        <v>11</v>
      </c>
      <c r="H79" s="25" t="s">
        <v>12</v>
      </c>
      <c r="J79" s="6" t="s">
        <v>4</v>
      </c>
      <c r="K79" s="9">
        <v>45842</v>
      </c>
      <c r="L79" s="66">
        <v>45849</v>
      </c>
      <c r="M79" s="66">
        <v>45853</v>
      </c>
      <c r="N79" s="66">
        <v>45861</v>
      </c>
      <c r="O79" s="4"/>
      <c r="P79" s="4"/>
      <c r="Q79" s="4"/>
      <c r="R79" s="4"/>
      <c r="S79" s="4"/>
      <c r="T79" s="4"/>
      <c r="U79" s="5"/>
      <c r="W79" s="6" t="s">
        <v>4</v>
      </c>
      <c r="X79" s="9"/>
      <c r="Y79" s="4"/>
      <c r="Z79" s="4"/>
      <c r="AA79" s="4"/>
      <c r="AB79" s="4"/>
      <c r="AC79" s="5"/>
      <c r="AE79" s="6" t="s">
        <v>4</v>
      </c>
      <c r="AF79" s="9"/>
      <c r="AG79" s="4"/>
      <c r="AH79" s="4"/>
      <c r="AI79" s="4"/>
      <c r="AJ79" s="4"/>
      <c r="AK79" s="5"/>
    </row>
    <row r="80" spans="1:37" ht="15.75" thickBot="1" x14ac:dyDescent="0.3">
      <c r="A80" s="83"/>
      <c r="B80" s="26">
        <v>52274</v>
      </c>
      <c r="C80" s="27">
        <v>53579</v>
      </c>
      <c r="D80" s="27">
        <v>53579</v>
      </c>
      <c r="E80" s="27">
        <v>54729</v>
      </c>
      <c r="F80" s="27">
        <f>SUM(C80-B80)</f>
        <v>1305</v>
      </c>
      <c r="G80" s="20">
        <f>SUM(E80-D80)</f>
        <v>1150</v>
      </c>
      <c r="H80" s="21">
        <f>SUM(F80:G80)</f>
        <v>2455</v>
      </c>
      <c r="J80" s="7" t="s">
        <v>22</v>
      </c>
      <c r="K80" s="10">
        <v>220.86</v>
      </c>
      <c r="L80" s="11">
        <v>259</v>
      </c>
      <c r="M80" s="11">
        <v>211.68</v>
      </c>
      <c r="N80" s="11">
        <v>230.36</v>
      </c>
      <c r="O80" s="11"/>
      <c r="P80" s="11"/>
      <c r="Q80" s="11"/>
      <c r="R80" s="11"/>
      <c r="S80" s="11"/>
      <c r="T80" s="11"/>
      <c r="U80" s="12"/>
      <c r="W80" s="7" t="s">
        <v>22</v>
      </c>
      <c r="X80" s="10"/>
      <c r="Y80" s="11"/>
      <c r="Z80" s="11"/>
      <c r="AA80" s="11"/>
      <c r="AB80" s="11"/>
      <c r="AC80" s="12"/>
      <c r="AE80" s="7" t="s">
        <v>22</v>
      </c>
      <c r="AF80" s="10"/>
      <c r="AG80" s="11"/>
      <c r="AH80" s="11"/>
      <c r="AI80" s="11"/>
      <c r="AJ80" s="11"/>
      <c r="AK80" s="12"/>
    </row>
    <row r="81" spans="1:37" x14ac:dyDescent="0.25">
      <c r="J81" s="8"/>
      <c r="T81" s="8" t="s">
        <v>23</v>
      </c>
      <c r="U81" s="13">
        <f>SUM(K80:U80)</f>
        <v>921.9</v>
      </c>
      <c r="AB81" s="8" t="s">
        <v>23</v>
      </c>
      <c r="AC81" s="13">
        <f>SUM(X80:AC80)</f>
        <v>0</v>
      </c>
      <c r="AJ81" s="8" t="s">
        <v>23</v>
      </c>
      <c r="AK81" s="13">
        <f>SUM(AF80:AK80)</f>
        <v>0</v>
      </c>
    </row>
    <row r="82" spans="1:37" ht="15.75" thickBot="1" x14ac:dyDescent="0.3">
      <c r="A82" s="68" t="s">
        <v>96</v>
      </c>
      <c r="B82" s="79" t="s">
        <v>17</v>
      </c>
      <c r="C82" s="79"/>
      <c r="D82" s="79"/>
      <c r="E82" s="79"/>
      <c r="F82" s="79"/>
      <c r="G82" s="79"/>
      <c r="H82" s="79"/>
      <c r="J82" s="80" t="s">
        <v>17</v>
      </c>
      <c r="K82" s="80"/>
      <c r="L82" s="80"/>
      <c r="M82" s="80"/>
      <c r="N82" s="80"/>
      <c r="O82" s="80"/>
      <c r="P82" s="80"/>
      <c r="Q82" s="80"/>
      <c r="R82" s="80"/>
      <c r="S82" s="80"/>
      <c r="T82" s="80"/>
      <c r="U82" s="80"/>
      <c r="W82" s="81" t="str">
        <f>J82</f>
        <v>Agosto</v>
      </c>
      <c r="X82" s="81"/>
      <c r="Y82" s="81"/>
      <c r="Z82" s="81"/>
      <c r="AA82" s="81"/>
      <c r="AB82" s="81"/>
      <c r="AC82" s="81"/>
      <c r="AE82" s="82" t="str">
        <f>W82</f>
        <v>Agosto</v>
      </c>
      <c r="AF82" s="82"/>
      <c r="AG82" s="82"/>
      <c r="AH82" s="82"/>
      <c r="AI82" s="82"/>
      <c r="AJ82" s="82"/>
      <c r="AK82" s="82"/>
    </row>
    <row r="83" spans="1:37" ht="15.75" thickBot="1" x14ac:dyDescent="0.3">
      <c r="A83" s="83" t="s">
        <v>5</v>
      </c>
      <c r="B83" s="34" t="s">
        <v>6</v>
      </c>
      <c r="C83" s="22" t="s">
        <v>7</v>
      </c>
      <c r="D83" s="33" t="s">
        <v>8</v>
      </c>
      <c r="E83" s="22" t="s">
        <v>9</v>
      </c>
      <c r="F83" s="24" t="s">
        <v>10</v>
      </c>
      <c r="G83" s="23" t="s">
        <v>11</v>
      </c>
      <c r="H83" s="25" t="s">
        <v>12</v>
      </c>
      <c r="J83" s="6" t="s">
        <v>4</v>
      </c>
      <c r="K83" s="9">
        <v>45870</v>
      </c>
      <c r="L83" s="66">
        <v>45879</v>
      </c>
      <c r="M83" s="66">
        <v>45882</v>
      </c>
      <c r="N83" s="66">
        <v>45883</v>
      </c>
      <c r="O83" s="4"/>
      <c r="P83" s="4"/>
      <c r="Q83" s="4"/>
      <c r="R83" s="4"/>
      <c r="S83" s="4"/>
      <c r="T83" s="4"/>
      <c r="U83" s="5"/>
      <c r="W83" s="6" t="s">
        <v>4</v>
      </c>
      <c r="X83" s="9"/>
      <c r="Y83" s="4"/>
      <c r="Z83" s="4"/>
      <c r="AA83" s="4"/>
      <c r="AB83" s="4"/>
      <c r="AC83" s="5"/>
      <c r="AE83" s="6" t="s">
        <v>4</v>
      </c>
      <c r="AF83" s="9"/>
      <c r="AG83" s="4"/>
      <c r="AH83" s="4"/>
      <c r="AI83" s="4"/>
      <c r="AJ83" s="4"/>
      <c r="AK83" s="5"/>
    </row>
    <row r="84" spans="1:37" ht="15.75" thickBot="1" x14ac:dyDescent="0.3">
      <c r="A84" s="83"/>
      <c r="B84" s="27">
        <v>54729</v>
      </c>
      <c r="C84" s="27">
        <v>55817</v>
      </c>
      <c r="D84" s="27"/>
      <c r="E84" s="27"/>
      <c r="F84" s="27">
        <f>SUM(C84-B84)</f>
        <v>1088</v>
      </c>
      <c r="G84" s="20">
        <f>SUM(E84-D84)</f>
        <v>0</v>
      </c>
      <c r="H84" s="21">
        <f>SUM(F84:G84)</f>
        <v>1088</v>
      </c>
      <c r="J84" s="7" t="s">
        <v>22</v>
      </c>
      <c r="K84" s="10">
        <v>282.05</v>
      </c>
      <c r="L84" s="11">
        <v>268.63</v>
      </c>
      <c r="M84" s="11">
        <v>180.59</v>
      </c>
      <c r="N84" s="11">
        <v>132.43</v>
      </c>
      <c r="O84" s="11"/>
      <c r="P84" s="11"/>
      <c r="Q84" s="11"/>
      <c r="R84" s="11"/>
      <c r="S84" s="11"/>
      <c r="T84" s="11"/>
      <c r="U84" s="12"/>
      <c r="W84" s="7" t="s">
        <v>22</v>
      </c>
      <c r="X84" s="10"/>
      <c r="Y84" s="11"/>
      <c r="Z84" s="11"/>
      <c r="AA84" s="11"/>
      <c r="AB84" s="11"/>
      <c r="AC84" s="12"/>
      <c r="AE84" s="7" t="s">
        <v>22</v>
      </c>
      <c r="AF84" s="10"/>
      <c r="AG84" s="11"/>
      <c r="AH84" s="11"/>
      <c r="AI84" s="11"/>
      <c r="AJ84" s="11"/>
      <c r="AK84" s="12"/>
    </row>
    <row r="85" spans="1:37" x14ac:dyDescent="0.25">
      <c r="A85" s="74"/>
      <c r="F85" s="1"/>
      <c r="J85" s="8"/>
      <c r="K85" s="13"/>
      <c r="L85" s="13"/>
      <c r="M85" s="13"/>
      <c r="N85" s="13"/>
      <c r="O85" s="13"/>
      <c r="P85" s="13"/>
      <c r="Q85" s="13"/>
      <c r="R85" s="13"/>
      <c r="S85" s="13"/>
      <c r="T85" s="13"/>
      <c r="U85" s="13"/>
      <c r="W85" s="8"/>
      <c r="X85" s="13"/>
      <c r="Y85" s="13"/>
      <c r="Z85" s="13"/>
      <c r="AA85" s="13"/>
      <c r="AB85" s="13"/>
      <c r="AC85" s="13"/>
      <c r="AE85" s="8"/>
      <c r="AF85" s="13"/>
      <c r="AG85" s="13"/>
      <c r="AH85" s="13"/>
      <c r="AI85" s="13"/>
      <c r="AJ85" s="13"/>
      <c r="AK85" s="13"/>
    </row>
    <row r="86" spans="1:37" ht="15.75" thickBot="1" x14ac:dyDescent="0.3">
      <c r="A86" s="68" t="s">
        <v>97</v>
      </c>
      <c r="B86" s="79" t="s">
        <v>17</v>
      </c>
      <c r="C86" s="79"/>
      <c r="D86" s="79"/>
      <c r="E86" s="79"/>
      <c r="F86" s="79"/>
      <c r="G86" s="79"/>
      <c r="H86" s="79"/>
      <c r="J86" s="80" t="s">
        <v>17</v>
      </c>
      <c r="K86" s="80"/>
      <c r="L86" s="80"/>
      <c r="M86" s="80"/>
      <c r="N86" s="80"/>
      <c r="O86" s="80"/>
      <c r="P86" s="80"/>
      <c r="Q86" s="80"/>
      <c r="R86" s="80"/>
      <c r="S86" s="80"/>
      <c r="T86" s="80"/>
      <c r="U86" s="80"/>
      <c r="W86" s="81" t="str">
        <f>J86</f>
        <v>Agosto</v>
      </c>
      <c r="X86" s="81"/>
      <c r="Y86" s="81"/>
      <c r="Z86" s="81"/>
      <c r="AA86" s="81"/>
      <c r="AB86" s="81"/>
      <c r="AC86" s="81"/>
      <c r="AE86" s="82" t="str">
        <f>W86</f>
        <v>Agosto</v>
      </c>
      <c r="AF86" s="82"/>
      <c r="AG86" s="82"/>
      <c r="AH86" s="82"/>
      <c r="AI86" s="82"/>
      <c r="AJ86" s="82"/>
      <c r="AK86" s="82"/>
    </row>
    <row r="87" spans="1:37" ht="15.75" thickBot="1" x14ac:dyDescent="0.3">
      <c r="A87" s="83" t="s">
        <v>5</v>
      </c>
      <c r="B87" s="34" t="s">
        <v>6</v>
      </c>
      <c r="C87" s="22" t="s">
        <v>7</v>
      </c>
      <c r="D87" s="33" t="s">
        <v>8</v>
      </c>
      <c r="E87" s="22" t="s">
        <v>9</v>
      </c>
      <c r="F87" s="24" t="s">
        <v>10</v>
      </c>
      <c r="G87" s="23" t="s">
        <v>11</v>
      </c>
      <c r="H87" s="25" t="s">
        <v>12</v>
      </c>
      <c r="J87" s="6" t="s">
        <v>4</v>
      </c>
      <c r="K87" s="9">
        <v>45885</v>
      </c>
      <c r="L87" s="66">
        <v>45887</v>
      </c>
      <c r="M87" s="66">
        <v>45891</v>
      </c>
      <c r="N87" s="66">
        <v>45899</v>
      </c>
      <c r="O87" s="4"/>
      <c r="P87" s="4"/>
      <c r="Q87" s="4"/>
      <c r="R87" s="4"/>
      <c r="S87" s="4"/>
      <c r="T87" s="4"/>
      <c r="U87" s="5"/>
      <c r="W87" s="6" t="s">
        <v>4</v>
      </c>
      <c r="X87" s="9"/>
      <c r="Y87" s="4"/>
      <c r="Z87" s="4"/>
      <c r="AA87" s="4"/>
      <c r="AB87" s="4"/>
      <c r="AC87" s="5"/>
      <c r="AE87" s="6" t="s">
        <v>4</v>
      </c>
      <c r="AF87" s="9"/>
      <c r="AG87" s="4"/>
      <c r="AH87" s="4"/>
      <c r="AI87" s="4"/>
      <c r="AJ87" s="4"/>
      <c r="AK87" s="5"/>
    </row>
    <row r="88" spans="1:37" ht="15.75" thickBot="1" x14ac:dyDescent="0.3">
      <c r="A88" s="83"/>
      <c r="B88" s="26"/>
      <c r="C88" s="27"/>
      <c r="D88" s="27">
        <v>6723</v>
      </c>
      <c r="E88" s="27">
        <v>8216</v>
      </c>
      <c r="F88" s="27">
        <f>SUM(C88-B88)</f>
        <v>0</v>
      </c>
      <c r="G88" s="20">
        <f>SUM(E88-D88)</f>
        <v>1493</v>
      </c>
      <c r="H88" s="21">
        <f>SUM(F88:G88)</f>
        <v>1493</v>
      </c>
      <c r="J88" s="7" t="s">
        <v>22</v>
      </c>
      <c r="K88" s="10">
        <v>181.13</v>
      </c>
      <c r="L88" s="11">
        <v>135</v>
      </c>
      <c r="M88" s="11">
        <v>193.72</v>
      </c>
      <c r="N88" s="11">
        <v>188.31</v>
      </c>
      <c r="O88" s="11"/>
      <c r="P88" s="11"/>
      <c r="Q88" s="11"/>
      <c r="R88" s="11"/>
      <c r="S88" s="11"/>
      <c r="T88" s="11"/>
      <c r="U88" s="12"/>
      <c r="W88" s="7" t="s">
        <v>22</v>
      </c>
      <c r="X88" s="10"/>
      <c r="Y88" s="11"/>
      <c r="Z88" s="11"/>
      <c r="AA88" s="11"/>
      <c r="AB88" s="11"/>
      <c r="AC88" s="12"/>
      <c r="AE88" s="7" t="s">
        <v>22</v>
      </c>
      <c r="AF88" s="10"/>
      <c r="AG88" s="11"/>
      <c r="AH88" s="11"/>
      <c r="AI88" s="11"/>
      <c r="AJ88" s="11"/>
      <c r="AK88" s="12"/>
    </row>
    <row r="89" spans="1:37" x14ac:dyDescent="0.25">
      <c r="A89" s="74"/>
      <c r="F89" s="1"/>
      <c r="J89" s="8"/>
      <c r="K89" s="13"/>
      <c r="L89" s="13"/>
      <c r="M89" s="13"/>
      <c r="N89" s="13"/>
      <c r="O89" s="13"/>
      <c r="P89" s="13"/>
      <c r="Q89" s="13"/>
      <c r="R89" s="13"/>
      <c r="S89" s="13"/>
      <c r="T89" s="13"/>
      <c r="U89" s="13"/>
      <c r="W89" s="8"/>
      <c r="X89" s="13"/>
      <c r="Y89" s="13"/>
      <c r="Z89" s="13"/>
      <c r="AA89" s="13"/>
      <c r="AB89" s="13"/>
      <c r="AC89" s="13"/>
      <c r="AE89" s="8"/>
      <c r="AF89" s="13"/>
      <c r="AG89" s="13"/>
      <c r="AH89" s="13"/>
      <c r="AI89" s="13"/>
      <c r="AJ89" s="13"/>
      <c r="AK89" s="13"/>
    </row>
    <row r="90" spans="1:37" ht="15.75" thickBot="1" x14ac:dyDescent="0.3">
      <c r="A90" s="19"/>
      <c r="B90" s="79" t="s">
        <v>18</v>
      </c>
      <c r="C90" s="79"/>
      <c r="D90" s="79"/>
      <c r="E90" s="79"/>
      <c r="F90" s="79"/>
      <c r="G90" s="79"/>
      <c r="H90" s="79"/>
      <c r="J90" s="80" t="s">
        <v>18</v>
      </c>
      <c r="K90" s="80"/>
      <c r="L90" s="80"/>
      <c r="M90" s="80"/>
      <c r="N90" s="80"/>
      <c r="O90" s="80"/>
      <c r="P90" s="80"/>
      <c r="Q90" s="80"/>
      <c r="R90" s="80"/>
      <c r="S90" s="80"/>
      <c r="T90" s="80"/>
      <c r="U90" s="80"/>
      <c r="W90" s="81" t="str">
        <f>J90</f>
        <v>Setembro</v>
      </c>
      <c r="X90" s="81"/>
      <c r="Y90" s="81"/>
      <c r="Z90" s="81"/>
      <c r="AA90" s="81"/>
      <c r="AB90" s="81"/>
      <c r="AC90" s="81"/>
      <c r="AE90" s="82" t="str">
        <f>W90</f>
        <v>Setembro</v>
      </c>
      <c r="AF90" s="82"/>
      <c r="AG90" s="82"/>
      <c r="AH90" s="82"/>
      <c r="AI90" s="82"/>
      <c r="AJ90" s="82"/>
      <c r="AK90" s="82"/>
    </row>
    <row r="91" spans="1:37" ht="15.75" thickBot="1" x14ac:dyDescent="0.3">
      <c r="A91" s="83" t="s">
        <v>5</v>
      </c>
      <c r="B91" s="34" t="s">
        <v>6</v>
      </c>
      <c r="C91" s="22" t="s">
        <v>7</v>
      </c>
      <c r="D91" s="33" t="s">
        <v>8</v>
      </c>
      <c r="E91" s="22" t="s">
        <v>9</v>
      </c>
      <c r="F91" s="24" t="s">
        <v>10</v>
      </c>
      <c r="G91" s="23" t="s">
        <v>11</v>
      </c>
      <c r="H91" s="25" t="s">
        <v>12</v>
      </c>
      <c r="J91" s="6" t="s">
        <v>4</v>
      </c>
      <c r="K91" s="9">
        <v>45907</v>
      </c>
      <c r="L91" s="4"/>
      <c r="M91" s="4"/>
      <c r="N91" s="4"/>
      <c r="O91" s="4"/>
      <c r="P91" s="4"/>
      <c r="Q91" s="4"/>
      <c r="R91" s="4"/>
      <c r="S91" s="4"/>
      <c r="T91" s="4"/>
      <c r="U91" s="5"/>
      <c r="W91" s="6" t="s">
        <v>4</v>
      </c>
      <c r="X91" s="9"/>
      <c r="Y91" s="4"/>
      <c r="Z91" s="4"/>
      <c r="AA91" s="4"/>
      <c r="AB91" s="4"/>
      <c r="AC91" s="5"/>
      <c r="AE91" s="6" t="s">
        <v>4</v>
      </c>
      <c r="AF91" s="9"/>
      <c r="AG91" s="4"/>
      <c r="AH91" s="4"/>
      <c r="AI91" s="4"/>
      <c r="AJ91" s="4"/>
      <c r="AK91" s="5"/>
    </row>
    <row r="92" spans="1:37" ht="15.75" thickBot="1" x14ac:dyDescent="0.3">
      <c r="A92" s="83"/>
      <c r="B92" s="26">
        <v>8169</v>
      </c>
      <c r="C92" s="27">
        <v>8521</v>
      </c>
      <c r="D92" s="27">
        <v>8521</v>
      </c>
      <c r="E92" s="27">
        <v>8902</v>
      </c>
      <c r="F92" s="27">
        <f>SUM(C92-B92)</f>
        <v>352</v>
      </c>
      <c r="G92" s="20">
        <f>SUM(E92-D92)</f>
        <v>381</v>
      </c>
      <c r="H92" s="21">
        <f>SUM(F92:G92)</f>
        <v>733</v>
      </c>
      <c r="J92" s="7" t="s">
        <v>22</v>
      </c>
      <c r="K92" s="10">
        <v>237.46</v>
      </c>
      <c r="L92" s="11"/>
      <c r="M92" s="11"/>
      <c r="N92" s="11"/>
      <c r="O92" s="11"/>
      <c r="P92" s="11"/>
      <c r="Q92" s="11"/>
      <c r="R92" s="11"/>
      <c r="S92" s="11"/>
      <c r="T92" s="11"/>
      <c r="U92" s="12"/>
      <c r="W92" s="7" t="s">
        <v>22</v>
      </c>
      <c r="X92" s="10"/>
      <c r="Y92" s="11"/>
      <c r="Z92" s="11"/>
      <c r="AA92" s="11"/>
      <c r="AB92" s="11"/>
      <c r="AC92" s="12"/>
      <c r="AE92" s="7" t="s">
        <v>22</v>
      </c>
      <c r="AF92" s="10"/>
      <c r="AG92" s="11"/>
      <c r="AH92" s="11"/>
      <c r="AI92" s="11"/>
      <c r="AJ92" s="11"/>
      <c r="AK92" s="12"/>
    </row>
    <row r="93" spans="1:37" x14ac:dyDescent="0.25">
      <c r="J93" s="8"/>
      <c r="T93" s="8" t="s">
        <v>23</v>
      </c>
      <c r="U93" s="13">
        <f>SUM(K92:U92)</f>
        <v>237.46</v>
      </c>
      <c r="AB93" s="8" t="s">
        <v>23</v>
      </c>
      <c r="AC93" s="13">
        <f>SUM(X92:AC92)</f>
        <v>0</v>
      </c>
      <c r="AJ93" s="8" t="s">
        <v>23</v>
      </c>
      <c r="AK93" s="13">
        <f>SUM(AF92:AK92)</f>
        <v>0</v>
      </c>
    </row>
    <row r="94" spans="1:37" ht="15.75" thickBot="1" x14ac:dyDescent="0.3">
      <c r="A94" s="19"/>
      <c r="B94" s="79" t="s">
        <v>19</v>
      </c>
      <c r="C94" s="79"/>
      <c r="D94" s="79"/>
      <c r="E94" s="79"/>
      <c r="F94" s="79"/>
      <c r="G94" s="79"/>
      <c r="H94" s="79"/>
      <c r="J94" s="80" t="s">
        <v>19</v>
      </c>
      <c r="K94" s="80"/>
      <c r="L94" s="80"/>
      <c r="M94" s="80"/>
      <c r="N94" s="80"/>
      <c r="O94" s="80"/>
      <c r="P94" s="80"/>
      <c r="Q94" s="80"/>
      <c r="R94" s="80"/>
      <c r="S94" s="80"/>
      <c r="T94" s="80"/>
      <c r="U94" s="80"/>
      <c r="W94" s="81" t="str">
        <f>J94</f>
        <v>Outubro</v>
      </c>
      <c r="X94" s="81"/>
      <c r="Y94" s="81"/>
      <c r="Z94" s="81"/>
      <c r="AA94" s="81"/>
      <c r="AB94" s="81"/>
      <c r="AC94" s="81"/>
      <c r="AE94" s="82" t="str">
        <f>W94</f>
        <v>Outubro</v>
      </c>
      <c r="AF94" s="82"/>
      <c r="AG94" s="82"/>
      <c r="AH94" s="82"/>
      <c r="AI94" s="82"/>
      <c r="AJ94" s="82"/>
      <c r="AK94" s="82"/>
    </row>
    <row r="95" spans="1:37" ht="15.75" thickBot="1" x14ac:dyDescent="0.3">
      <c r="A95" s="83" t="s">
        <v>5</v>
      </c>
      <c r="B95" s="34" t="s">
        <v>6</v>
      </c>
      <c r="C95" s="22" t="s">
        <v>7</v>
      </c>
      <c r="D95" s="33" t="s">
        <v>8</v>
      </c>
      <c r="E95" s="22" t="s">
        <v>9</v>
      </c>
      <c r="F95" s="24" t="s">
        <v>10</v>
      </c>
      <c r="G95" s="23" t="s">
        <v>11</v>
      </c>
      <c r="H95" s="25" t="s">
        <v>12</v>
      </c>
      <c r="J95" s="6" t="s">
        <v>4</v>
      </c>
      <c r="K95" s="9">
        <v>45931</v>
      </c>
      <c r="L95" s="66">
        <v>45937</v>
      </c>
      <c r="M95" s="66">
        <v>45941</v>
      </c>
      <c r="N95" s="4" t="s">
        <v>105</v>
      </c>
      <c r="O95" s="4"/>
      <c r="P95" s="4"/>
      <c r="Q95" s="4"/>
      <c r="R95" s="4"/>
      <c r="S95" s="4"/>
      <c r="T95" s="4"/>
      <c r="U95" s="5"/>
      <c r="W95" s="6" t="s">
        <v>4</v>
      </c>
      <c r="X95" s="9"/>
      <c r="Y95" s="4"/>
      <c r="Z95" s="4"/>
      <c r="AA95" s="4"/>
      <c r="AB95" s="4"/>
      <c r="AC95" s="5"/>
      <c r="AE95" s="6" t="s">
        <v>4</v>
      </c>
      <c r="AF95" s="9"/>
      <c r="AG95" s="4"/>
      <c r="AH95" s="4"/>
      <c r="AI95" s="4"/>
      <c r="AJ95" s="4"/>
      <c r="AK95" s="5"/>
    </row>
    <row r="96" spans="1:37" ht="15.75" thickBot="1" x14ac:dyDescent="0.3">
      <c r="A96" s="83"/>
      <c r="B96" s="27">
        <v>8902</v>
      </c>
      <c r="C96" s="27">
        <v>9962</v>
      </c>
      <c r="D96" s="27">
        <v>9962</v>
      </c>
      <c r="E96" s="27">
        <v>10656</v>
      </c>
      <c r="F96" s="27">
        <f>SUM(C96-B96)</f>
        <v>1060</v>
      </c>
      <c r="G96" s="20">
        <f>SUM(E96-D96)</f>
        <v>694</v>
      </c>
      <c r="H96" s="21">
        <f>SUM(F96:G96)</f>
        <v>1754</v>
      </c>
      <c r="J96" s="7" t="s">
        <v>22</v>
      </c>
      <c r="K96" s="10">
        <v>252.41</v>
      </c>
      <c r="L96" s="11">
        <v>183.83</v>
      </c>
      <c r="M96" s="11">
        <v>209.35</v>
      </c>
      <c r="N96" s="11">
        <v>240.78</v>
      </c>
      <c r="O96" s="11"/>
      <c r="P96" s="11"/>
      <c r="Q96" s="11"/>
      <c r="R96" s="11"/>
      <c r="S96" s="11"/>
      <c r="T96" s="11"/>
      <c r="U96" s="12"/>
      <c r="W96" s="7" t="s">
        <v>22</v>
      </c>
      <c r="X96" s="10"/>
      <c r="Y96" s="11"/>
      <c r="Z96" s="11"/>
      <c r="AA96" s="11"/>
      <c r="AB96" s="11"/>
      <c r="AC96" s="12"/>
      <c r="AE96" s="7" t="s">
        <v>22</v>
      </c>
      <c r="AF96" s="10"/>
      <c r="AG96" s="11"/>
      <c r="AH96" s="11"/>
      <c r="AI96" s="11"/>
      <c r="AJ96" s="11"/>
      <c r="AK96" s="12"/>
    </row>
    <row r="97" spans="1:37" x14ac:dyDescent="0.25">
      <c r="J97" s="8"/>
      <c r="T97" s="8" t="s">
        <v>23</v>
      </c>
      <c r="U97" s="13">
        <f>SUM(K96:U96)</f>
        <v>886.37</v>
      </c>
      <c r="AB97" s="8" t="s">
        <v>23</v>
      </c>
      <c r="AC97" s="13">
        <f>SUM(X96:AC96)</f>
        <v>0</v>
      </c>
      <c r="AJ97" s="8" t="s">
        <v>23</v>
      </c>
      <c r="AK97" s="13">
        <f>SUM(AF96:AK96)</f>
        <v>0</v>
      </c>
    </row>
    <row r="98" spans="1:37" ht="15.75" thickBot="1" x14ac:dyDescent="0.3">
      <c r="A98" s="19"/>
      <c r="B98" s="79" t="s">
        <v>20</v>
      </c>
      <c r="C98" s="79"/>
      <c r="D98" s="79"/>
      <c r="E98" s="79"/>
      <c r="F98" s="79"/>
      <c r="G98" s="79"/>
      <c r="H98" s="79"/>
      <c r="J98" s="80" t="s">
        <v>20</v>
      </c>
      <c r="K98" s="80"/>
      <c r="L98" s="80"/>
      <c r="M98" s="80"/>
      <c r="N98" s="80"/>
      <c r="O98" s="80"/>
      <c r="P98" s="80"/>
      <c r="Q98" s="80"/>
      <c r="R98" s="80"/>
      <c r="S98" s="80"/>
      <c r="T98" s="80"/>
      <c r="U98" s="80"/>
      <c r="W98" s="81" t="str">
        <f>J98</f>
        <v>Novembro</v>
      </c>
      <c r="X98" s="81"/>
      <c r="Y98" s="81"/>
      <c r="Z98" s="81"/>
      <c r="AA98" s="81"/>
      <c r="AB98" s="81"/>
      <c r="AC98" s="81"/>
      <c r="AE98" s="82" t="str">
        <f>W98</f>
        <v>Novembro</v>
      </c>
      <c r="AF98" s="82"/>
      <c r="AG98" s="82"/>
      <c r="AH98" s="82"/>
      <c r="AI98" s="82"/>
      <c r="AJ98" s="82"/>
      <c r="AK98" s="82"/>
    </row>
    <row r="99" spans="1:37" ht="15.75" thickBot="1" x14ac:dyDescent="0.3">
      <c r="A99" s="83" t="s">
        <v>5</v>
      </c>
      <c r="B99" s="34" t="s">
        <v>6</v>
      </c>
      <c r="C99" s="22" t="s">
        <v>7</v>
      </c>
      <c r="D99" s="33" t="s">
        <v>8</v>
      </c>
      <c r="E99" s="22" t="s">
        <v>9</v>
      </c>
      <c r="F99" s="24" t="s">
        <v>10</v>
      </c>
      <c r="G99" s="23" t="s">
        <v>11</v>
      </c>
      <c r="H99" s="25" t="s">
        <v>12</v>
      </c>
      <c r="J99" s="6" t="s">
        <v>4</v>
      </c>
      <c r="K99" s="9">
        <v>45973</v>
      </c>
      <c r="L99" s="66">
        <v>45975</v>
      </c>
      <c r="M99" s="66">
        <v>45980</v>
      </c>
      <c r="N99" s="66">
        <v>45989</v>
      </c>
      <c r="O99" s="4"/>
      <c r="P99" s="4"/>
      <c r="Q99" s="4"/>
      <c r="R99" s="4"/>
      <c r="S99" s="4"/>
      <c r="T99" s="4"/>
      <c r="U99" s="5"/>
      <c r="W99" s="6" t="s">
        <v>4</v>
      </c>
      <c r="X99" s="9"/>
      <c r="Y99" s="4"/>
      <c r="Z99" s="4"/>
      <c r="AA99" s="4"/>
      <c r="AB99" s="4"/>
      <c r="AC99" s="5"/>
      <c r="AE99" s="6" t="s">
        <v>4</v>
      </c>
      <c r="AF99" s="9"/>
      <c r="AG99" s="4"/>
      <c r="AH99" s="4"/>
      <c r="AI99" s="4"/>
      <c r="AJ99" s="4"/>
      <c r="AK99" s="5"/>
    </row>
    <row r="100" spans="1:37" ht="15.75" thickBot="1" x14ac:dyDescent="0.3">
      <c r="A100" s="83"/>
      <c r="B100" s="27">
        <v>10656</v>
      </c>
      <c r="C100" s="27">
        <v>11288</v>
      </c>
      <c r="D100" s="27">
        <v>11288</v>
      </c>
      <c r="E100" s="27">
        <v>12065</v>
      </c>
      <c r="F100" s="27">
        <f>SUM(C100-B100)</f>
        <v>632</v>
      </c>
      <c r="G100" s="20">
        <f>SUM(E100-D100)</f>
        <v>777</v>
      </c>
      <c r="H100" s="21">
        <f>SUM(F100:G100)</f>
        <v>1409</v>
      </c>
      <c r="J100" s="7" t="s">
        <v>22</v>
      </c>
      <c r="K100" s="10">
        <v>150</v>
      </c>
      <c r="L100" s="11">
        <v>191.47</v>
      </c>
      <c r="M100" s="11">
        <v>237.09</v>
      </c>
      <c r="N100" s="11">
        <v>188.72</v>
      </c>
      <c r="O100" s="11"/>
      <c r="P100" s="11"/>
      <c r="Q100" s="11"/>
      <c r="R100" s="11"/>
      <c r="S100" s="11"/>
      <c r="T100" s="11"/>
      <c r="U100" s="12"/>
      <c r="W100" s="7" t="s">
        <v>22</v>
      </c>
      <c r="X100" s="10"/>
      <c r="Y100" s="11"/>
      <c r="Z100" s="11"/>
      <c r="AA100" s="11"/>
      <c r="AB100" s="11"/>
      <c r="AC100" s="12"/>
      <c r="AE100" s="7" t="s">
        <v>22</v>
      </c>
      <c r="AF100" s="10"/>
      <c r="AG100" s="11"/>
      <c r="AH100" s="11"/>
      <c r="AI100" s="11"/>
      <c r="AJ100" s="11"/>
      <c r="AK100" s="12"/>
    </row>
    <row r="101" spans="1:37" x14ac:dyDescent="0.25">
      <c r="J101" s="8"/>
      <c r="T101" s="8" t="s">
        <v>23</v>
      </c>
      <c r="U101" s="13">
        <f>SUM(K100:U100)</f>
        <v>767.28000000000009</v>
      </c>
      <c r="AB101" s="8" t="s">
        <v>23</v>
      </c>
      <c r="AC101" s="13">
        <f>SUM(X100:AC100)</f>
        <v>0</v>
      </c>
      <c r="AJ101" s="8" t="s">
        <v>23</v>
      </c>
      <c r="AK101" s="13">
        <f>SUM(AF100:AK100)</f>
        <v>0</v>
      </c>
    </row>
    <row r="102" spans="1:37" ht="15.75" thickBot="1" x14ac:dyDescent="0.3">
      <c r="A102" s="19"/>
      <c r="B102" s="79" t="s">
        <v>21</v>
      </c>
      <c r="C102" s="79"/>
      <c r="D102" s="79"/>
      <c r="E102" s="79"/>
      <c r="F102" s="79"/>
      <c r="G102" s="79"/>
      <c r="H102" s="79"/>
      <c r="J102" s="80" t="s">
        <v>21</v>
      </c>
      <c r="K102" s="80"/>
      <c r="L102" s="80"/>
      <c r="M102" s="80"/>
      <c r="N102" s="80"/>
      <c r="O102" s="80"/>
      <c r="P102" s="80"/>
      <c r="Q102" s="80"/>
      <c r="R102" s="80"/>
      <c r="S102" s="80"/>
      <c r="T102" s="80"/>
      <c r="U102" s="80"/>
      <c r="W102" s="81" t="str">
        <f>J102</f>
        <v>Dezembro</v>
      </c>
      <c r="X102" s="81"/>
      <c r="Y102" s="81"/>
      <c r="Z102" s="81"/>
      <c r="AA102" s="81"/>
      <c r="AB102" s="81"/>
      <c r="AC102" s="81"/>
      <c r="AE102" s="82" t="str">
        <f>W102</f>
        <v>Dezembro</v>
      </c>
      <c r="AF102" s="82"/>
      <c r="AG102" s="82"/>
      <c r="AH102" s="82"/>
      <c r="AI102" s="82"/>
      <c r="AJ102" s="82"/>
      <c r="AK102" s="82"/>
    </row>
    <row r="103" spans="1:37" ht="15.75" thickBot="1" x14ac:dyDescent="0.3">
      <c r="A103" s="83" t="s">
        <v>5</v>
      </c>
      <c r="B103" s="34" t="s">
        <v>6</v>
      </c>
      <c r="C103" s="22" t="s">
        <v>7</v>
      </c>
      <c r="D103" s="33" t="s">
        <v>8</v>
      </c>
      <c r="E103" s="22" t="s">
        <v>9</v>
      </c>
      <c r="F103" s="24" t="s">
        <v>10</v>
      </c>
      <c r="G103" s="23" t="s">
        <v>11</v>
      </c>
      <c r="H103" s="25" t="s">
        <v>12</v>
      </c>
      <c r="J103" s="6" t="s">
        <v>4</v>
      </c>
      <c r="K103" s="9">
        <v>45993</v>
      </c>
      <c r="L103" s="66">
        <v>46008</v>
      </c>
      <c r="M103" s="4"/>
      <c r="N103" s="4"/>
      <c r="O103" s="4"/>
      <c r="P103" s="4"/>
      <c r="Q103" s="4"/>
      <c r="R103" s="4"/>
      <c r="S103" s="4"/>
      <c r="T103" s="4"/>
      <c r="U103" s="5"/>
      <c r="W103" s="6" t="s">
        <v>4</v>
      </c>
      <c r="X103" s="9"/>
      <c r="Y103" s="4"/>
      <c r="Z103" s="4"/>
      <c r="AA103" s="4"/>
      <c r="AB103" s="4"/>
      <c r="AC103" s="5"/>
      <c r="AE103" s="6" t="s">
        <v>4</v>
      </c>
      <c r="AF103" s="9"/>
      <c r="AG103" s="4"/>
      <c r="AH103" s="4"/>
      <c r="AI103" s="4"/>
      <c r="AJ103" s="4"/>
      <c r="AK103" s="5"/>
    </row>
    <row r="104" spans="1:37" ht="15.75" thickBot="1" x14ac:dyDescent="0.3">
      <c r="A104" s="83"/>
      <c r="B104" s="27">
        <v>12065</v>
      </c>
      <c r="C104" s="27"/>
      <c r="D104" s="27"/>
      <c r="E104" s="27">
        <v>12626</v>
      </c>
      <c r="F104" s="27">
        <f>SUM(C104-B104)</f>
        <v>-12065</v>
      </c>
      <c r="G104" s="20">
        <f>SUM(E104-D104)</f>
        <v>12626</v>
      </c>
      <c r="H104" s="21">
        <f>SUM(F104:G104)</f>
        <v>561</v>
      </c>
      <c r="J104" s="7" t="s">
        <v>22</v>
      </c>
      <c r="K104" s="10">
        <v>196.64</v>
      </c>
      <c r="L104" s="11">
        <v>192.96</v>
      </c>
      <c r="M104" s="11"/>
      <c r="N104" s="11"/>
      <c r="O104" s="11"/>
      <c r="P104" s="11"/>
      <c r="Q104" s="11"/>
      <c r="R104" s="11"/>
      <c r="S104" s="11"/>
      <c r="T104" s="11"/>
      <c r="U104" s="12"/>
      <c r="W104" s="7" t="s">
        <v>22</v>
      </c>
      <c r="X104" s="10"/>
      <c r="Y104" s="11"/>
      <c r="Z104" s="11"/>
      <c r="AA104" s="11"/>
      <c r="AB104" s="11"/>
      <c r="AC104" s="12"/>
      <c r="AE104" s="7" t="s">
        <v>22</v>
      </c>
      <c r="AF104" s="10"/>
      <c r="AG104" s="11"/>
      <c r="AH104" s="11"/>
      <c r="AI104" s="11"/>
      <c r="AJ104" s="11"/>
      <c r="AK104" s="12"/>
    </row>
    <row r="105" spans="1:37" x14ac:dyDescent="0.25">
      <c r="J105" s="8"/>
      <c r="T105" s="8" t="s">
        <v>23</v>
      </c>
      <c r="U105" s="13">
        <f>SUM(K104:U104)</f>
        <v>389.6</v>
      </c>
      <c r="AB105" s="8" t="s">
        <v>23</v>
      </c>
      <c r="AC105" s="13">
        <f>SUM(X104:AC104)</f>
        <v>0</v>
      </c>
      <c r="AJ105" s="8" t="s">
        <v>23</v>
      </c>
      <c r="AK105" s="13">
        <f>SUM(AF104:AK104)</f>
        <v>0</v>
      </c>
    </row>
    <row r="106" spans="1:37" ht="15.75" thickBot="1" x14ac:dyDescent="0.3">
      <c r="A106" s="68">
        <v>2026</v>
      </c>
      <c r="B106" s="79" t="s">
        <v>88</v>
      </c>
      <c r="C106" s="79"/>
      <c r="D106" s="79"/>
      <c r="E106" s="79"/>
      <c r="F106" s="79"/>
      <c r="G106" s="79"/>
      <c r="H106" s="79"/>
      <c r="J106" s="80" t="s">
        <v>88</v>
      </c>
      <c r="K106" s="80"/>
      <c r="L106" s="80"/>
      <c r="M106" s="80"/>
      <c r="N106" s="80"/>
      <c r="O106" s="80"/>
      <c r="P106" s="80"/>
      <c r="Q106" s="80"/>
      <c r="R106" s="80"/>
      <c r="S106" s="80"/>
      <c r="T106" s="80"/>
      <c r="U106" s="80"/>
      <c r="W106" s="81" t="s">
        <v>88</v>
      </c>
      <c r="X106" s="81"/>
      <c r="Y106" s="81"/>
      <c r="Z106" s="81"/>
      <c r="AA106" s="81"/>
      <c r="AB106" s="81"/>
      <c r="AC106" s="81"/>
      <c r="AE106" s="82" t="s">
        <v>88</v>
      </c>
      <c r="AF106" s="82"/>
      <c r="AG106" s="82"/>
      <c r="AH106" s="82"/>
      <c r="AI106" s="82"/>
      <c r="AJ106" s="82"/>
      <c r="AK106" s="82"/>
    </row>
    <row r="107" spans="1:37" ht="15.75" thickBot="1" x14ac:dyDescent="0.3">
      <c r="A107" s="83" t="s">
        <v>5</v>
      </c>
      <c r="B107" s="34" t="s">
        <v>6</v>
      </c>
      <c r="C107" s="22" t="s">
        <v>7</v>
      </c>
      <c r="D107" s="33" t="s">
        <v>8</v>
      </c>
      <c r="E107" s="22" t="s">
        <v>9</v>
      </c>
      <c r="F107" s="24" t="s">
        <v>10</v>
      </c>
      <c r="G107" s="23" t="s">
        <v>11</v>
      </c>
      <c r="H107" s="25" t="s">
        <v>12</v>
      </c>
      <c r="J107" s="28" t="s">
        <v>4</v>
      </c>
      <c r="K107" s="9"/>
      <c r="L107" s="4"/>
      <c r="M107" s="4"/>
      <c r="N107" s="4"/>
      <c r="O107" s="4"/>
      <c r="P107" s="4"/>
      <c r="Q107" s="4"/>
      <c r="R107" s="4"/>
      <c r="S107" s="4"/>
      <c r="T107" s="4"/>
      <c r="U107" s="5"/>
      <c r="W107" s="6" t="s">
        <v>4</v>
      </c>
      <c r="X107" s="9"/>
      <c r="Y107" s="4"/>
      <c r="Z107" s="4"/>
      <c r="AA107" s="4"/>
      <c r="AB107" s="4"/>
      <c r="AC107" s="5"/>
      <c r="AE107" s="6" t="s">
        <v>4</v>
      </c>
      <c r="AF107" s="9"/>
      <c r="AG107" s="4"/>
      <c r="AH107" s="4"/>
      <c r="AI107" s="4"/>
      <c r="AJ107" s="4"/>
      <c r="AK107" s="5"/>
    </row>
    <row r="108" spans="1:37" ht="15.75" thickBot="1" x14ac:dyDescent="0.3">
      <c r="A108" s="83"/>
      <c r="B108" s="27">
        <v>12626</v>
      </c>
      <c r="C108" s="27"/>
      <c r="D108" s="27"/>
      <c r="E108" s="27">
        <v>14240</v>
      </c>
      <c r="F108" s="27">
        <f>SUM(C108-B108)</f>
        <v>-12626</v>
      </c>
      <c r="G108" s="20">
        <f>SUM(E108-D108)</f>
        <v>14240</v>
      </c>
      <c r="H108" s="21">
        <f>SUM(F108:G108)</f>
        <v>1614</v>
      </c>
      <c r="J108" s="29" t="s">
        <v>22</v>
      </c>
      <c r="K108" s="10"/>
      <c r="L108" s="11"/>
      <c r="M108" s="11"/>
      <c r="N108" s="11"/>
      <c r="O108" s="11"/>
      <c r="P108" s="11"/>
      <c r="Q108" s="11"/>
      <c r="R108" s="11"/>
      <c r="S108" s="11"/>
      <c r="T108" s="11"/>
      <c r="U108" s="12"/>
      <c r="W108" s="7" t="s">
        <v>22</v>
      </c>
      <c r="X108" s="10"/>
      <c r="Y108" s="11"/>
      <c r="Z108" s="11"/>
      <c r="AA108" s="11"/>
      <c r="AB108" s="11"/>
      <c r="AC108" s="12"/>
      <c r="AE108" s="7" t="s">
        <v>22</v>
      </c>
      <c r="AF108" s="10"/>
      <c r="AG108" s="11"/>
      <c r="AH108" s="11"/>
      <c r="AI108" s="11"/>
      <c r="AJ108" s="11"/>
      <c r="AK108" s="12"/>
    </row>
    <row r="109" spans="1:37" x14ac:dyDescent="0.25">
      <c r="J109" s="8"/>
      <c r="T109" s="8" t="s">
        <v>23</v>
      </c>
      <c r="U109" s="13">
        <f>SUM(K108:U108)</f>
        <v>0</v>
      </c>
      <c r="AB109" s="8" t="s">
        <v>23</v>
      </c>
      <c r="AC109" s="13">
        <f>SUM(X108:AC108)</f>
        <v>0</v>
      </c>
      <c r="AJ109" s="8" t="s">
        <v>23</v>
      </c>
      <c r="AK109" s="13">
        <f>SUM(AF108:AK108)</f>
        <v>0</v>
      </c>
    </row>
    <row r="110" spans="1:37" ht="15.75" thickBot="1" x14ac:dyDescent="0.3">
      <c r="A110" s="19"/>
      <c r="B110" s="79" t="s">
        <v>3</v>
      </c>
      <c r="C110" s="79"/>
      <c r="D110" s="79"/>
      <c r="E110" s="79"/>
      <c r="F110" s="79"/>
      <c r="G110" s="79"/>
      <c r="H110" s="79"/>
      <c r="J110" s="80" t="s">
        <v>3</v>
      </c>
      <c r="K110" s="80"/>
      <c r="L110" s="80"/>
      <c r="M110" s="80"/>
      <c r="N110" s="80"/>
      <c r="O110" s="80"/>
      <c r="P110" s="80"/>
      <c r="Q110" s="80"/>
      <c r="R110" s="80"/>
      <c r="S110" s="80"/>
      <c r="T110" s="80"/>
      <c r="U110" s="80"/>
      <c r="W110" s="81" t="s">
        <v>3</v>
      </c>
      <c r="X110" s="81"/>
      <c r="Y110" s="81"/>
      <c r="Z110" s="81"/>
      <c r="AA110" s="81"/>
      <c r="AB110" s="81"/>
      <c r="AC110" s="81"/>
      <c r="AE110" s="82" t="s">
        <v>3</v>
      </c>
      <c r="AF110" s="82"/>
      <c r="AG110" s="82"/>
      <c r="AH110" s="82"/>
      <c r="AI110" s="82"/>
      <c r="AJ110" s="82"/>
      <c r="AK110" s="82"/>
    </row>
    <row r="111" spans="1:37" ht="15.75" thickBot="1" x14ac:dyDescent="0.3">
      <c r="A111" s="83" t="s">
        <v>5</v>
      </c>
      <c r="B111" s="34" t="s">
        <v>6</v>
      </c>
      <c r="C111" s="22" t="s">
        <v>7</v>
      </c>
      <c r="D111" s="33" t="s">
        <v>8</v>
      </c>
      <c r="E111" s="22" t="s">
        <v>9</v>
      </c>
      <c r="F111" s="24" t="s">
        <v>10</v>
      </c>
      <c r="G111" s="23" t="s">
        <v>11</v>
      </c>
      <c r="H111" s="25" t="s">
        <v>12</v>
      </c>
      <c r="J111" s="28" t="s">
        <v>4</v>
      </c>
      <c r="K111" s="9"/>
      <c r="L111" s="66"/>
      <c r="M111" s="66"/>
      <c r="N111" s="4"/>
      <c r="O111" s="4"/>
      <c r="P111" s="4"/>
      <c r="Q111" s="4"/>
      <c r="R111" s="4"/>
      <c r="S111" s="4"/>
      <c r="T111" s="4"/>
      <c r="U111" s="5"/>
      <c r="W111" s="6" t="s">
        <v>4</v>
      </c>
      <c r="X111" s="9"/>
      <c r="Y111" s="4"/>
      <c r="Z111" s="4"/>
      <c r="AA111" s="4"/>
      <c r="AB111" s="4"/>
      <c r="AC111" s="5"/>
      <c r="AE111" s="6" t="s">
        <v>4</v>
      </c>
      <c r="AF111" s="9"/>
      <c r="AG111" s="4"/>
      <c r="AH111" s="4"/>
      <c r="AI111" s="4"/>
      <c r="AJ111" s="4"/>
      <c r="AK111" s="5"/>
    </row>
    <row r="112" spans="1:37" ht="15.75" thickBot="1" x14ac:dyDescent="0.3">
      <c r="A112" s="83"/>
      <c r="B112" s="26">
        <v>14240</v>
      </c>
      <c r="C112" s="27"/>
      <c r="D112" s="27"/>
      <c r="E112" s="27">
        <v>18135</v>
      </c>
      <c r="F112" s="27">
        <f>SUM(C112-B112)</f>
        <v>-14240</v>
      </c>
      <c r="G112" s="20">
        <f>SUM(E112-D112)</f>
        <v>18135</v>
      </c>
      <c r="H112" s="21">
        <f>SUM(F112:G112)</f>
        <v>3895</v>
      </c>
      <c r="J112" s="29" t="s">
        <v>22</v>
      </c>
      <c r="K112" s="10"/>
      <c r="L112" s="11"/>
      <c r="M112" s="11"/>
      <c r="N112" s="11"/>
      <c r="O112" s="11"/>
      <c r="P112" s="11"/>
      <c r="Q112" s="11"/>
      <c r="R112" s="11"/>
      <c r="S112" s="11"/>
      <c r="T112" s="11"/>
      <c r="U112" s="12"/>
      <c r="W112" s="7" t="s">
        <v>22</v>
      </c>
      <c r="X112" s="10"/>
      <c r="Y112" s="11"/>
      <c r="Z112" s="11"/>
      <c r="AA112" s="11"/>
      <c r="AB112" s="11"/>
      <c r="AC112" s="12"/>
      <c r="AE112" s="7" t="s">
        <v>22</v>
      </c>
      <c r="AF112" s="10"/>
      <c r="AG112" s="11"/>
      <c r="AH112" s="11"/>
      <c r="AI112" s="11"/>
      <c r="AJ112" s="11"/>
      <c r="AK112" s="12"/>
    </row>
    <row r="113" spans="1:37" x14ac:dyDescent="0.25">
      <c r="J113" s="8"/>
      <c r="T113" s="8" t="s">
        <v>23</v>
      </c>
      <c r="U113" s="13">
        <f>SUM(K112:U112)</f>
        <v>0</v>
      </c>
      <c r="AB113" s="8" t="s">
        <v>23</v>
      </c>
      <c r="AC113" s="13">
        <f>SUM(X112:AC112)</f>
        <v>0</v>
      </c>
      <c r="AJ113" s="8" t="s">
        <v>23</v>
      </c>
      <c r="AK113" s="13">
        <f>SUM(AF112:AK112)</f>
        <v>0</v>
      </c>
    </row>
    <row r="114" spans="1:37" ht="15.75" thickBot="1" x14ac:dyDescent="0.3">
      <c r="A114" s="68" t="s">
        <v>93</v>
      </c>
      <c r="B114" s="79" t="s">
        <v>13</v>
      </c>
      <c r="C114" s="79"/>
      <c r="D114" s="79"/>
      <c r="E114" s="79"/>
      <c r="F114" s="79"/>
      <c r="G114" s="79"/>
      <c r="H114" s="79"/>
      <c r="J114" s="80" t="s">
        <v>13</v>
      </c>
      <c r="K114" s="80"/>
      <c r="L114" s="80"/>
      <c r="M114" s="80"/>
      <c r="N114" s="80"/>
      <c r="O114" s="80"/>
      <c r="P114" s="80"/>
      <c r="Q114" s="80"/>
      <c r="R114" s="80"/>
      <c r="S114" s="80"/>
      <c r="T114" s="80"/>
      <c r="U114" s="80"/>
      <c r="W114" s="81" t="str">
        <f>J114</f>
        <v>Março</v>
      </c>
      <c r="X114" s="81"/>
      <c r="Y114" s="81"/>
      <c r="Z114" s="81"/>
      <c r="AA114" s="81"/>
      <c r="AB114" s="81"/>
      <c r="AC114" s="81"/>
      <c r="AE114" s="82" t="str">
        <f>W114</f>
        <v>Março</v>
      </c>
      <c r="AF114" s="82"/>
      <c r="AG114" s="82"/>
      <c r="AH114" s="82"/>
      <c r="AI114" s="82"/>
      <c r="AJ114" s="82"/>
      <c r="AK114" s="82"/>
    </row>
    <row r="115" spans="1:37" ht="15.75" thickBot="1" x14ac:dyDescent="0.3">
      <c r="A115" s="83" t="s">
        <v>5</v>
      </c>
      <c r="B115" s="34" t="s">
        <v>6</v>
      </c>
      <c r="C115" s="22" t="s">
        <v>7</v>
      </c>
      <c r="D115" s="33" t="s">
        <v>8</v>
      </c>
      <c r="E115" s="22" t="s">
        <v>9</v>
      </c>
      <c r="F115" s="24" t="s">
        <v>10</v>
      </c>
      <c r="G115" s="23" t="s">
        <v>11</v>
      </c>
      <c r="H115" s="25" t="s">
        <v>12</v>
      </c>
      <c r="J115" s="6" t="s">
        <v>4</v>
      </c>
      <c r="K115" s="9"/>
      <c r="L115" s="66"/>
      <c r="M115" s="4"/>
      <c r="N115" s="4"/>
      <c r="O115" s="4"/>
      <c r="P115" s="4"/>
      <c r="Q115" s="4"/>
      <c r="R115" s="4"/>
      <c r="S115" s="4"/>
      <c r="T115" s="4"/>
      <c r="U115" s="5"/>
      <c r="W115" s="6" t="s">
        <v>4</v>
      </c>
      <c r="X115" s="9"/>
      <c r="Y115" s="4"/>
      <c r="Z115" s="4"/>
      <c r="AA115" s="4"/>
      <c r="AB115" s="4"/>
      <c r="AC115" s="5"/>
      <c r="AE115" s="6" t="s">
        <v>4</v>
      </c>
      <c r="AF115" s="9"/>
      <c r="AG115" s="4"/>
      <c r="AH115" s="4"/>
      <c r="AI115" s="4"/>
      <c r="AJ115" s="4"/>
      <c r="AK115" s="5"/>
    </row>
    <row r="116" spans="1:37" ht="15.75" thickBot="1" x14ac:dyDescent="0.3">
      <c r="A116" s="83"/>
      <c r="B116" s="27">
        <v>18135</v>
      </c>
      <c r="C116" s="27">
        <v>18374</v>
      </c>
      <c r="D116" s="27"/>
      <c r="E116" s="27"/>
      <c r="F116" s="27">
        <f>SUM(C116-B116)</f>
        <v>239</v>
      </c>
      <c r="G116" s="20">
        <f>SUM(E116-D116)</f>
        <v>0</v>
      </c>
      <c r="H116" s="21">
        <f>SUM(F116:G116)</f>
        <v>239</v>
      </c>
      <c r="J116" s="7" t="s">
        <v>22</v>
      </c>
      <c r="K116" s="10"/>
      <c r="L116" s="11"/>
      <c r="M116" s="11"/>
      <c r="N116" s="11"/>
      <c r="O116" s="11"/>
      <c r="P116" s="11"/>
      <c r="Q116" s="11"/>
      <c r="R116" s="11"/>
      <c r="S116" s="11"/>
      <c r="T116" s="11"/>
      <c r="U116" s="12"/>
      <c r="W116" s="7" t="s">
        <v>22</v>
      </c>
      <c r="X116" s="10"/>
      <c r="Y116" s="11"/>
      <c r="Z116" s="11"/>
      <c r="AA116" s="11"/>
      <c r="AB116" s="11"/>
      <c r="AC116" s="12"/>
      <c r="AE116" s="7" t="s">
        <v>22</v>
      </c>
      <c r="AF116" s="10"/>
      <c r="AG116" s="11"/>
      <c r="AH116" s="11"/>
      <c r="AI116" s="11"/>
      <c r="AJ116" s="11"/>
      <c r="AK116" s="12"/>
    </row>
    <row r="117" spans="1:37" x14ac:dyDescent="0.25">
      <c r="J117" s="8"/>
      <c r="T117" s="8" t="s">
        <v>23</v>
      </c>
      <c r="U117" s="13">
        <f>SUM(K116:U116)</f>
        <v>0</v>
      </c>
      <c r="AB117" s="8" t="s">
        <v>23</v>
      </c>
      <c r="AC117" s="13">
        <f>SUM(X116:AC116)</f>
        <v>0</v>
      </c>
      <c r="AJ117" s="8" t="s">
        <v>23</v>
      </c>
      <c r="AK117" s="13">
        <f>SUM(AF116:AK116)</f>
        <v>0</v>
      </c>
    </row>
    <row r="118" spans="1:37" ht="15.75" thickBot="1" x14ac:dyDescent="0.3">
      <c r="A118" s="19"/>
      <c r="B118" s="79" t="s">
        <v>13</v>
      </c>
      <c r="C118" s="79"/>
      <c r="D118" s="79"/>
      <c r="E118" s="79"/>
      <c r="F118" s="79"/>
      <c r="G118" s="79"/>
      <c r="H118" s="79"/>
      <c r="J118" s="80" t="s">
        <v>13</v>
      </c>
      <c r="K118" s="80"/>
      <c r="L118" s="80"/>
      <c r="M118" s="80"/>
      <c r="N118" s="80"/>
      <c r="O118" s="80"/>
      <c r="P118" s="80"/>
      <c r="Q118" s="80"/>
      <c r="R118" s="80"/>
      <c r="S118" s="80"/>
      <c r="T118" s="80"/>
      <c r="U118" s="80"/>
      <c r="W118" s="81" t="str">
        <f>J118</f>
        <v>Março</v>
      </c>
      <c r="X118" s="81"/>
      <c r="Y118" s="81"/>
      <c r="Z118" s="81"/>
      <c r="AA118" s="81"/>
      <c r="AB118" s="81"/>
      <c r="AC118" s="81"/>
      <c r="AE118" s="82" t="str">
        <f>W118</f>
        <v>Março</v>
      </c>
      <c r="AF118" s="82"/>
      <c r="AG118" s="82"/>
      <c r="AH118" s="82"/>
      <c r="AI118" s="82"/>
      <c r="AJ118" s="82"/>
      <c r="AK118" s="82"/>
    </row>
    <row r="119" spans="1:37" ht="15.75" thickBot="1" x14ac:dyDescent="0.3">
      <c r="A119" s="83" t="s">
        <v>5</v>
      </c>
      <c r="B119" s="34" t="s">
        <v>6</v>
      </c>
      <c r="C119" s="22" t="s">
        <v>7</v>
      </c>
      <c r="D119" s="33" t="s">
        <v>8</v>
      </c>
      <c r="E119" s="22" t="s">
        <v>9</v>
      </c>
      <c r="F119" s="24" t="s">
        <v>10</v>
      </c>
      <c r="G119" s="23" t="s">
        <v>11</v>
      </c>
      <c r="H119" s="25" t="s">
        <v>12</v>
      </c>
      <c r="J119" s="6" t="s">
        <v>4</v>
      </c>
      <c r="K119" s="9"/>
      <c r="L119" s="66"/>
      <c r="M119" s="4"/>
      <c r="N119" s="4"/>
      <c r="O119" s="4"/>
      <c r="P119" s="4"/>
      <c r="Q119" s="4"/>
      <c r="R119" s="4"/>
      <c r="S119" s="4"/>
      <c r="T119" s="4"/>
      <c r="U119" s="5"/>
      <c r="W119" s="6" t="s">
        <v>4</v>
      </c>
      <c r="X119" s="9"/>
      <c r="Y119" s="4"/>
      <c r="Z119" s="4"/>
      <c r="AA119" s="4"/>
      <c r="AB119" s="4"/>
      <c r="AC119" s="5"/>
      <c r="AE119" s="6" t="s">
        <v>4</v>
      </c>
      <c r="AF119" s="9"/>
      <c r="AG119" s="4"/>
      <c r="AH119" s="4"/>
      <c r="AI119" s="4"/>
      <c r="AJ119" s="4"/>
      <c r="AK119" s="5"/>
    </row>
    <row r="120" spans="1:37" ht="15.75" thickBot="1" x14ac:dyDescent="0.3">
      <c r="A120" s="83"/>
      <c r="B120" s="27">
        <v>26283</v>
      </c>
      <c r="C120" s="27"/>
      <c r="D120" s="27"/>
      <c r="E120" s="27">
        <v>28787</v>
      </c>
      <c r="F120" s="27">
        <f>SUM(C120-B120)</f>
        <v>-26283</v>
      </c>
      <c r="G120" s="20">
        <f>SUM(E120-D120)</f>
        <v>28787</v>
      </c>
      <c r="H120" s="21">
        <f>SUM(F120:G120)</f>
        <v>2504</v>
      </c>
      <c r="J120" s="7" t="s">
        <v>22</v>
      </c>
      <c r="K120" s="10"/>
      <c r="L120" s="11"/>
      <c r="M120" s="11"/>
      <c r="N120" s="11"/>
      <c r="O120" s="11"/>
      <c r="P120" s="11"/>
      <c r="Q120" s="11"/>
      <c r="R120" s="11"/>
      <c r="S120" s="11"/>
      <c r="T120" s="11"/>
      <c r="U120" s="12"/>
      <c r="W120" s="7" t="s">
        <v>22</v>
      </c>
      <c r="X120" s="10"/>
      <c r="Y120" s="11"/>
      <c r="Z120" s="11"/>
      <c r="AA120" s="11"/>
      <c r="AB120" s="11"/>
      <c r="AC120" s="12"/>
      <c r="AE120" s="7" t="s">
        <v>22</v>
      </c>
      <c r="AF120" s="10"/>
      <c r="AG120" s="11"/>
      <c r="AH120" s="11"/>
      <c r="AI120" s="11"/>
      <c r="AJ120" s="11"/>
      <c r="AK120" s="12"/>
    </row>
    <row r="121" spans="1:37" x14ac:dyDescent="0.25">
      <c r="J121" s="8"/>
      <c r="T121" s="8" t="s">
        <v>23</v>
      </c>
      <c r="U121" s="13">
        <f>SUM(K120:U120)</f>
        <v>0</v>
      </c>
      <c r="AB121" s="8" t="s">
        <v>23</v>
      </c>
      <c r="AC121" s="13">
        <f>SUM(X120:AC120)</f>
        <v>0</v>
      </c>
      <c r="AJ121" s="8" t="s">
        <v>23</v>
      </c>
      <c r="AK121" s="13">
        <f>SUM(AF120:AK120)</f>
        <v>0</v>
      </c>
    </row>
    <row r="122" spans="1:37" ht="15.75" thickBot="1" x14ac:dyDescent="0.3">
      <c r="A122" s="19"/>
      <c r="B122" s="79" t="s">
        <v>14</v>
      </c>
      <c r="C122" s="79"/>
      <c r="D122" s="79"/>
      <c r="E122" s="79"/>
      <c r="F122" s="79"/>
      <c r="G122" s="79"/>
      <c r="H122" s="79"/>
      <c r="J122" s="80" t="s">
        <v>14</v>
      </c>
      <c r="K122" s="80"/>
      <c r="L122" s="80"/>
      <c r="M122" s="80"/>
      <c r="N122" s="80"/>
      <c r="O122" s="80"/>
      <c r="P122" s="80"/>
      <c r="Q122" s="80"/>
      <c r="R122" s="80"/>
      <c r="S122" s="80"/>
      <c r="T122" s="80"/>
      <c r="U122" s="80"/>
      <c r="W122" s="81" t="str">
        <f>J122</f>
        <v>Abril</v>
      </c>
      <c r="X122" s="81"/>
      <c r="Y122" s="81"/>
      <c r="Z122" s="81"/>
      <c r="AA122" s="81"/>
      <c r="AB122" s="81"/>
      <c r="AC122" s="81"/>
      <c r="AE122" s="82" t="str">
        <f>W122</f>
        <v>Abril</v>
      </c>
      <c r="AF122" s="82"/>
      <c r="AG122" s="82"/>
      <c r="AH122" s="82"/>
      <c r="AI122" s="82"/>
      <c r="AJ122" s="82"/>
      <c r="AK122" s="82"/>
    </row>
    <row r="123" spans="1:37" ht="15.75" thickBot="1" x14ac:dyDescent="0.3">
      <c r="A123" s="83" t="s">
        <v>5</v>
      </c>
      <c r="B123" s="34" t="s">
        <v>6</v>
      </c>
      <c r="C123" s="22" t="s">
        <v>7</v>
      </c>
      <c r="D123" s="33" t="s">
        <v>8</v>
      </c>
      <c r="E123" s="22" t="s">
        <v>9</v>
      </c>
      <c r="F123" s="24" t="s">
        <v>10</v>
      </c>
      <c r="G123" s="23" t="s">
        <v>11</v>
      </c>
      <c r="H123" s="25" t="s">
        <v>12</v>
      </c>
      <c r="J123" s="6" t="s">
        <v>4</v>
      </c>
      <c r="K123" s="9"/>
      <c r="L123" s="4"/>
      <c r="M123" s="4"/>
      <c r="N123" s="4"/>
      <c r="O123" s="4"/>
      <c r="P123" s="4"/>
      <c r="Q123" s="4"/>
      <c r="R123" s="4"/>
      <c r="S123" s="4"/>
      <c r="T123" s="4"/>
      <c r="U123" s="5"/>
      <c r="W123" s="6" t="s">
        <v>4</v>
      </c>
      <c r="X123" s="9"/>
      <c r="Y123" s="4"/>
      <c r="Z123" s="4"/>
      <c r="AA123" s="4"/>
      <c r="AB123" s="4"/>
      <c r="AC123" s="5"/>
      <c r="AE123" s="6" t="s">
        <v>4</v>
      </c>
      <c r="AF123" s="9"/>
      <c r="AG123" s="4"/>
      <c r="AH123" s="4"/>
      <c r="AI123" s="4"/>
      <c r="AJ123" s="4"/>
      <c r="AK123" s="5"/>
    </row>
    <row r="124" spans="1:37" ht="15.75" thickBot="1" x14ac:dyDescent="0.3">
      <c r="A124" s="83"/>
      <c r="B124" s="27">
        <v>28787</v>
      </c>
      <c r="C124" s="27"/>
      <c r="D124" s="27"/>
      <c r="E124" s="27">
        <v>31848</v>
      </c>
      <c r="F124" s="27">
        <f>SUM(C124-B124)</f>
        <v>-28787</v>
      </c>
      <c r="G124" s="20">
        <f>SUM(E124-D124)</f>
        <v>31848</v>
      </c>
      <c r="H124" s="21">
        <f>SUM(F124:G124)</f>
        <v>3061</v>
      </c>
      <c r="J124" s="7" t="s">
        <v>22</v>
      </c>
      <c r="K124" s="30"/>
      <c r="L124" s="31"/>
      <c r="M124" s="31"/>
      <c r="N124" s="31"/>
      <c r="O124" s="31"/>
      <c r="P124" s="31"/>
      <c r="Q124" s="31"/>
      <c r="R124" s="31"/>
      <c r="S124" s="31"/>
      <c r="T124" s="31"/>
      <c r="U124" s="32"/>
      <c r="W124" s="7" t="s">
        <v>22</v>
      </c>
      <c r="X124" s="10"/>
      <c r="Y124" s="11"/>
      <c r="Z124" s="11"/>
      <c r="AA124" s="11"/>
      <c r="AB124" s="11"/>
      <c r="AC124" s="12"/>
      <c r="AE124" s="7" t="s">
        <v>22</v>
      </c>
      <c r="AF124" s="10"/>
      <c r="AG124" s="11"/>
      <c r="AH124" s="11"/>
      <c r="AI124" s="11"/>
      <c r="AJ124" s="11"/>
      <c r="AK124" s="12"/>
    </row>
    <row r="125" spans="1:37" x14ac:dyDescent="0.25">
      <c r="J125" s="8"/>
      <c r="T125" s="8" t="s">
        <v>23</v>
      </c>
      <c r="U125" s="13">
        <f>SUM(K124:U124)</f>
        <v>0</v>
      </c>
      <c r="AB125" s="8" t="s">
        <v>23</v>
      </c>
      <c r="AC125" s="13">
        <f>SUM(X124:AC124)</f>
        <v>0</v>
      </c>
      <c r="AJ125" s="8" t="s">
        <v>23</v>
      </c>
      <c r="AK125" s="13">
        <f>SUM(AF124:AK124)</f>
        <v>0</v>
      </c>
    </row>
    <row r="126" spans="1:37" ht="15.75" thickBot="1" x14ac:dyDescent="0.3">
      <c r="A126" s="19"/>
      <c r="B126" s="79" t="s">
        <v>15</v>
      </c>
      <c r="C126" s="79"/>
      <c r="D126" s="79"/>
      <c r="E126" s="79"/>
      <c r="F126" s="79"/>
      <c r="G126" s="79"/>
      <c r="H126" s="79"/>
      <c r="J126" s="80" t="s">
        <v>15</v>
      </c>
      <c r="K126" s="80"/>
      <c r="L126" s="80"/>
      <c r="M126" s="80"/>
      <c r="N126" s="80"/>
      <c r="O126" s="80"/>
      <c r="P126" s="80"/>
      <c r="Q126" s="80"/>
      <c r="R126" s="80"/>
      <c r="S126" s="80"/>
      <c r="T126" s="80"/>
      <c r="U126" s="80"/>
      <c r="W126" s="81" t="str">
        <f>J126</f>
        <v>Maio</v>
      </c>
      <c r="X126" s="81"/>
      <c r="Y126" s="81"/>
      <c r="Z126" s="81"/>
      <c r="AA126" s="81"/>
      <c r="AB126" s="81"/>
      <c r="AC126" s="81"/>
      <c r="AE126" s="82" t="str">
        <f>W126</f>
        <v>Maio</v>
      </c>
      <c r="AF126" s="82"/>
      <c r="AG126" s="82"/>
      <c r="AH126" s="82"/>
      <c r="AI126" s="82"/>
      <c r="AJ126" s="82"/>
      <c r="AK126" s="82"/>
    </row>
    <row r="127" spans="1:37" ht="15.75" thickBot="1" x14ac:dyDescent="0.3">
      <c r="A127" s="83" t="s">
        <v>5</v>
      </c>
      <c r="B127" s="34" t="s">
        <v>6</v>
      </c>
      <c r="C127" s="22" t="s">
        <v>7</v>
      </c>
      <c r="D127" s="33" t="s">
        <v>8</v>
      </c>
      <c r="E127" s="22" t="s">
        <v>9</v>
      </c>
      <c r="F127" s="24" t="s">
        <v>10</v>
      </c>
      <c r="G127" s="23" t="s">
        <v>11</v>
      </c>
      <c r="H127" s="25" t="s">
        <v>12</v>
      </c>
      <c r="J127" s="6" t="s">
        <v>4</v>
      </c>
      <c r="K127" s="9"/>
      <c r="L127" s="4"/>
      <c r="M127" s="4"/>
      <c r="N127" s="4"/>
      <c r="O127" s="4"/>
      <c r="P127" s="4"/>
      <c r="Q127" s="4"/>
      <c r="R127" s="4"/>
      <c r="S127" s="4"/>
      <c r="T127" s="4"/>
      <c r="U127" s="5"/>
      <c r="W127" s="6" t="s">
        <v>4</v>
      </c>
      <c r="X127" s="9"/>
      <c r="Y127" s="4"/>
      <c r="Z127" s="4"/>
      <c r="AA127" s="4"/>
      <c r="AB127" s="4"/>
      <c r="AC127" s="5"/>
      <c r="AE127" s="6" t="s">
        <v>4</v>
      </c>
      <c r="AF127" s="9"/>
      <c r="AG127" s="4"/>
      <c r="AH127" s="4"/>
      <c r="AI127" s="4"/>
      <c r="AJ127" s="4"/>
      <c r="AK127" s="5"/>
    </row>
    <row r="128" spans="1:37" ht="15.75" thickBot="1" x14ac:dyDescent="0.3">
      <c r="A128" s="83"/>
      <c r="B128" s="27">
        <v>31848</v>
      </c>
      <c r="C128" s="27"/>
      <c r="D128" s="27"/>
      <c r="E128" s="27">
        <v>35115</v>
      </c>
      <c r="F128" s="27">
        <f>SUM(C128-B128)</f>
        <v>-31848</v>
      </c>
      <c r="G128" s="20">
        <f>SUM(E128-D128)</f>
        <v>35115</v>
      </c>
      <c r="H128" s="21">
        <f>SUM(F128:G128)</f>
        <v>3267</v>
      </c>
      <c r="J128" s="7" t="s">
        <v>22</v>
      </c>
      <c r="K128" s="10"/>
      <c r="L128" s="11"/>
      <c r="M128" s="11"/>
      <c r="N128" s="11"/>
      <c r="O128" s="11"/>
      <c r="P128" s="11"/>
      <c r="Q128" s="11"/>
      <c r="R128" s="11"/>
      <c r="S128" s="11"/>
      <c r="T128" s="11"/>
      <c r="U128" s="12"/>
      <c r="W128" s="7" t="s">
        <v>22</v>
      </c>
      <c r="X128" s="10"/>
      <c r="Y128" s="11"/>
      <c r="Z128" s="11"/>
      <c r="AA128" s="11"/>
      <c r="AB128" s="11"/>
      <c r="AC128" s="12"/>
      <c r="AE128" s="7" t="s">
        <v>22</v>
      </c>
      <c r="AF128" s="10"/>
      <c r="AG128" s="11"/>
      <c r="AH128" s="11"/>
      <c r="AI128" s="11"/>
      <c r="AJ128" s="11"/>
      <c r="AK128" s="12"/>
    </row>
    <row r="129" spans="1:37" x14ac:dyDescent="0.25">
      <c r="J129" s="8"/>
      <c r="T129" s="8" t="s">
        <v>23</v>
      </c>
      <c r="U129" s="13">
        <f>SUM(K128:U128)</f>
        <v>0</v>
      </c>
      <c r="AB129" s="8" t="s">
        <v>23</v>
      </c>
      <c r="AC129" s="13">
        <f>SUM(X128:AC128)</f>
        <v>0</v>
      </c>
      <c r="AJ129" s="8" t="s">
        <v>23</v>
      </c>
      <c r="AK129" s="13">
        <f>SUM(AF128:AK128)</f>
        <v>0</v>
      </c>
    </row>
    <row r="130" spans="1:37" ht="15.75" thickBot="1" x14ac:dyDescent="0.3">
      <c r="A130" s="19"/>
      <c r="B130" s="79" t="s">
        <v>24</v>
      </c>
      <c r="C130" s="79"/>
      <c r="D130" s="79"/>
      <c r="E130" s="79"/>
      <c r="F130" s="79"/>
      <c r="G130" s="79"/>
      <c r="H130" s="79"/>
      <c r="J130" s="80" t="s">
        <v>24</v>
      </c>
      <c r="K130" s="80"/>
      <c r="L130" s="80"/>
      <c r="M130" s="80"/>
      <c r="N130" s="80"/>
      <c r="O130" s="80"/>
      <c r="P130" s="80"/>
      <c r="Q130" s="80"/>
      <c r="R130" s="80"/>
      <c r="S130" s="80"/>
      <c r="T130" s="80"/>
      <c r="U130" s="80"/>
      <c r="W130" s="81" t="str">
        <f>J130</f>
        <v>Junho</v>
      </c>
      <c r="X130" s="81"/>
      <c r="Y130" s="81"/>
      <c r="Z130" s="81"/>
      <c r="AA130" s="81"/>
      <c r="AB130" s="81"/>
      <c r="AC130" s="81"/>
      <c r="AE130" s="82" t="str">
        <f>W130</f>
        <v>Junho</v>
      </c>
      <c r="AF130" s="82"/>
      <c r="AG130" s="82"/>
      <c r="AH130" s="82"/>
      <c r="AI130" s="82"/>
      <c r="AJ130" s="82"/>
      <c r="AK130" s="82"/>
    </row>
    <row r="131" spans="1:37" ht="15.75" thickBot="1" x14ac:dyDescent="0.3">
      <c r="A131" s="83" t="s">
        <v>5</v>
      </c>
      <c r="B131" s="34" t="s">
        <v>6</v>
      </c>
      <c r="C131" s="22" t="s">
        <v>7</v>
      </c>
      <c r="D131" s="33" t="s">
        <v>8</v>
      </c>
      <c r="E131" s="22" t="s">
        <v>9</v>
      </c>
      <c r="F131" s="24" t="s">
        <v>10</v>
      </c>
      <c r="G131" s="23" t="s">
        <v>11</v>
      </c>
      <c r="H131" s="25" t="s">
        <v>12</v>
      </c>
      <c r="J131" s="6" t="s">
        <v>4</v>
      </c>
      <c r="K131" s="9"/>
      <c r="L131" s="4"/>
      <c r="M131" s="4"/>
      <c r="N131" s="4"/>
      <c r="O131" s="4"/>
      <c r="P131" s="4"/>
      <c r="Q131" s="4"/>
      <c r="R131" s="4"/>
      <c r="S131" s="4"/>
      <c r="T131" s="4"/>
      <c r="U131" s="5"/>
      <c r="W131" s="6" t="s">
        <v>4</v>
      </c>
      <c r="X131" s="9"/>
      <c r="Y131" s="4"/>
      <c r="Z131" s="4"/>
      <c r="AA131" s="4"/>
      <c r="AB131" s="4"/>
      <c r="AC131" s="5"/>
      <c r="AE131" s="6" t="s">
        <v>4</v>
      </c>
      <c r="AF131" s="9"/>
      <c r="AG131" s="4"/>
      <c r="AH131" s="4"/>
      <c r="AI131" s="4"/>
      <c r="AJ131" s="4"/>
      <c r="AK131" s="5"/>
    </row>
    <row r="132" spans="1:37" ht="15.75" thickBot="1" x14ac:dyDescent="0.3">
      <c r="A132" s="83"/>
      <c r="B132" s="26"/>
      <c r="C132" s="27"/>
      <c r="D132" s="27"/>
      <c r="E132" s="27"/>
      <c r="F132" s="27">
        <f>SUM(C132-B132)</f>
        <v>0</v>
      </c>
      <c r="G132" s="20">
        <f>SUM(E132-D132)</f>
        <v>0</v>
      </c>
      <c r="H132" s="21">
        <f>SUM(F132:G132)</f>
        <v>0</v>
      </c>
      <c r="J132" s="7" t="s">
        <v>22</v>
      </c>
      <c r="K132" s="10"/>
      <c r="L132" s="11"/>
      <c r="M132" s="11"/>
      <c r="N132" s="11"/>
      <c r="O132" s="11"/>
      <c r="P132" s="11"/>
      <c r="Q132" s="11"/>
      <c r="R132" s="11"/>
      <c r="S132" s="11"/>
      <c r="T132" s="11"/>
      <c r="U132" s="12"/>
      <c r="W132" s="7" t="s">
        <v>22</v>
      </c>
      <c r="X132" s="10"/>
      <c r="Y132" s="11"/>
      <c r="Z132" s="11"/>
      <c r="AA132" s="11"/>
      <c r="AB132" s="11"/>
      <c r="AC132" s="12"/>
      <c r="AE132" s="7" t="s">
        <v>22</v>
      </c>
      <c r="AF132" s="10"/>
      <c r="AG132" s="11"/>
      <c r="AH132" s="11"/>
      <c r="AI132" s="11"/>
      <c r="AJ132" s="11"/>
      <c r="AK132" s="12"/>
    </row>
    <row r="133" spans="1:37" x14ac:dyDescent="0.25">
      <c r="J133" s="8"/>
      <c r="T133" s="8" t="s">
        <v>23</v>
      </c>
      <c r="U133" s="13">
        <f>SUM(K132:U132)</f>
        <v>0</v>
      </c>
      <c r="AB133" s="8" t="s">
        <v>23</v>
      </c>
      <c r="AC133" s="13">
        <f>SUM(X132:AC132)</f>
        <v>0</v>
      </c>
      <c r="AJ133" s="8" t="s">
        <v>23</v>
      </c>
      <c r="AK133" s="13">
        <f>SUM(AF132:AK132)</f>
        <v>0</v>
      </c>
    </row>
    <row r="134" spans="1:37" ht="15.75" thickBot="1" x14ac:dyDescent="0.3">
      <c r="A134" s="19"/>
      <c r="B134" s="79" t="s">
        <v>16</v>
      </c>
      <c r="C134" s="79"/>
      <c r="D134" s="79"/>
      <c r="E134" s="79"/>
      <c r="F134" s="79"/>
      <c r="G134" s="79"/>
      <c r="H134" s="79"/>
      <c r="J134" s="80" t="s">
        <v>16</v>
      </c>
      <c r="K134" s="80"/>
      <c r="L134" s="80"/>
      <c r="M134" s="80"/>
      <c r="N134" s="80"/>
      <c r="O134" s="80"/>
      <c r="P134" s="80"/>
      <c r="Q134" s="80"/>
      <c r="R134" s="80"/>
      <c r="S134" s="80"/>
      <c r="T134" s="80"/>
      <c r="U134" s="80"/>
      <c r="W134" s="81" t="str">
        <f>J134</f>
        <v>Julho</v>
      </c>
      <c r="X134" s="81"/>
      <c r="Y134" s="81"/>
      <c r="Z134" s="81"/>
      <c r="AA134" s="81"/>
      <c r="AB134" s="81"/>
      <c r="AC134" s="81"/>
      <c r="AE134" s="82" t="str">
        <f>W134</f>
        <v>Julho</v>
      </c>
      <c r="AF134" s="82"/>
      <c r="AG134" s="82"/>
      <c r="AH134" s="82"/>
      <c r="AI134" s="82"/>
      <c r="AJ134" s="82"/>
      <c r="AK134" s="82"/>
    </row>
    <row r="135" spans="1:37" ht="15.75" thickBot="1" x14ac:dyDescent="0.3">
      <c r="A135" s="83" t="s">
        <v>5</v>
      </c>
      <c r="B135" s="34" t="s">
        <v>6</v>
      </c>
      <c r="C135" s="22" t="s">
        <v>7</v>
      </c>
      <c r="D135" s="33" t="s">
        <v>8</v>
      </c>
      <c r="E135" s="22" t="s">
        <v>9</v>
      </c>
      <c r="F135" s="24" t="s">
        <v>10</v>
      </c>
      <c r="G135" s="23" t="s">
        <v>11</v>
      </c>
      <c r="H135" s="25" t="s">
        <v>12</v>
      </c>
      <c r="J135" s="6" t="s">
        <v>4</v>
      </c>
      <c r="K135" s="9"/>
      <c r="L135" s="4"/>
      <c r="M135" s="4"/>
      <c r="N135" s="4"/>
      <c r="O135" s="4"/>
      <c r="P135" s="4"/>
      <c r="Q135" s="4"/>
      <c r="R135" s="4"/>
      <c r="S135" s="4"/>
      <c r="T135" s="4"/>
      <c r="U135" s="5"/>
      <c r="W135" s="6" t="s">
        <v>4</v>
      </c>
      <c r="X135" s="9"/>
      <c r="Y135" s="4"/>
      <c r="Z135" s="4"/>
      <c r="AA135" s="4"/>
      <c r="AB135" s="4"/>
      <c r="AC135" s="5"/>
      <c r="AE135" s="6" t="s">
        <v>4</v>
      </c>
      <c r="AF135" s="9"/>
      <c r="AG135" s="4"/>
      <c r="AH135" s="4"/>
      <c r="AI135" s="4"/>
      <c r="AJ135" s="4"/>
      <c r="AK135" s="5"/>
    </row>
    <row r="136" spans="1:37" ht="15.75" thickBot="1" x14ac:dyDescent="0.3">
      <c r="A136" s="83"/>
      <c r="B136" s="26"/>
      <c r="C136" s="27"/>
      <c r="D136" s="27"/>
      <c r="E136" s="27"/>
      <c r="F136" s="27">
        <f>SUM(C136-B136)</f>
        <v>0</v>
      </c>
      <c r="G136" s="20">
        <f>SUM(E136-D136)</f>
        <v>0</v>
      </c>
      <c r="H136" s="21">
        <f>SUM(F136:G136)</f>
        <v>0</v>
      </c>
      <c r="J136" s="7" t="s">
        <v>22</v>
      </c>
      <c r="K136" s="10"/>
      <c r="L136" s="11"/>
      <c r="M136" s="11"/>
      <c r="N136" s="11"/>
      <c r="O136" s="11"/>
      <c r="P136" s="11"/>
      <c r="Q136" s="11"/>
      <c r="R136" s="11"/>
      <c r="S136" s="11"/>
      <c r="T136" s="11"/>
      <c r="U136" s="12"/>
      <c r="W136" s="7" t="s">
        <v>22</v>
      </c>
      <c r="X136" s="10"/>
      <c r="Y136" s="11"/>
      <c r="Z136" s="11"/>
      <c r="AA136" s="11"/>
      <c r="AB136" s="11"/>
      <c r="AC136" s="12"/>
      <c r="AE136" s="7" t="s">
        <v>22</v>
      </c>
      <c r="AF136" s="10"/>
      <c r="AG136" s="11"/>
      <c r="AH136" s="11"/>
      <c r="AI136" s="11"/>
      <c r="AJ136" s="11"/>
      <c r="AK136" s="12"/>
    </row>
    <row r="137" spans="1:37" x14ac:dyDescent="0.25">
      <c r="J137" s="8"/>
      <c r="T137" s="8" t="s">
        <v>23</v>
      </c>
      <c r="U137" s="13">
        <f>SUM(K136:U136)</f>
        <v>0</v>
      </c>
      <c r="AB137" s="8" t="s">
        <v>23</v>
      </c>
      <c r="AC137" s="13">
        <f>SUM(X136:AC136)</f>
        <v>0</v>
      </c>
      <c r="AJ137" s="8" t="s">
        <v>23</v>
      </c>
      <c r="AK137" s="13">
        <f>SUM(AF136:AK136)</f>
        <v>0</v>
      </c>
    </row>
    <row r="138" spans="1:37" ht="15.75" thickBot="1" x14ac:dyDescent="0.3">
      <c r="A138" s="19"/>
      <c r="B138" s="79" t="s">
        <v>17</v>
      </c>
      <c r="C138" s="79"/>
      <c r="D138" s="79"/>
      <c r="E138" s="79"/>
      <c r="F138" s="79"/>
      <c r="G138" s="79"/>
      <c r="H138" s="79"/>
      <c r="J138" s="80" t="s">
        <v>17</v>
      </c>
      <c r="K138" s="80"/>
      <c r="L138" s="80"/>
      <c r="M138" s="80"/>
      <c r="N138" s="80"/>
      <c r="O138" s="80"/>
      <c r="P138" s="80"/>
      <c r="Q138" s="80"/>
      <c r="R138" s="80"/>
      <c r="S138" s="80"/>
      <c r="T138" s="80"/>
      <c r="U138" s="80"/>
      <c r="W138" s="81" t="str">
        <f>J138</f>
        <v>Agosto</v>
      </c>
      <c r="X138" s="81"/>
      <c r="Y138" s="81"/>
      <c r="Z138" s="81"/>
      <c r="AA138" s="81"/>
      <c r="AB138" s="81"/>
      <c r="AC138" s="81"/>
      <c r="AE138" s="82" t="str">
        <f>W138</f>
        <v>Agosto</v>
      </c>
      <c r="AF138" s="82"/>
      <c r="AG138" s="82"/>
      <c r="AH138" s="82"/>
      <c r="AI138" s="82"/>
      <c r="AJ138" s="82"/>
      <c r="AK138" s="82"/>
    </row>
    <row r="139" spans="1:37" ht="15.75" thickBot="1" x14ac:dyDescent="0.3">
      <c r="A139" s="83" t="s">
        <v>5</v>
      </c>
      <c r="B139" s="34" t="s">
        <v>6</v>
      </c>
      <c r="C139" s="22" t="s">
        <v>7</v>
      </c>
      <c r="D139" s="33" t="s">
        <v>8</v>
      </c>
      <c r="E139" s="22" t="s">
        <v>9</v>
      </c>
      <c r="F139" s="24" t="s">
        <v>10</v>
      </c>
      <c r="G139" s="23" t="s">
        <v>11</v>
      </c>
      <c r="H139" s="25" t="s">
        <v>12</v>
      </c>
      <c r="J139" s="6" t="s">
        <v>4</v>
      </c>
      <c r="K139" s="9"/>
      <c r="L139" s="4"/>
      <c r="M139" s="4"/>
      <c r="N139" s="4"/>
      <c r="O139" s="4"/>
      <c r="P139" s="4"/>
      <c r="Q139" s="4"/>
      <c r="R139" s="4"/>
      <c r="S139" s="4"/>
      <c r="T139" s="4"/>
      <c r="U139" s="5"/>
      <c r="W139" s="6" t="s">
        <v>4</v>
      </c>
      <c r="X139" s="9"/>
      <c r="Y139" s="4"/>
      <c r="Z139" s="4"/>
      <c r="AA139" s="4"/>
      <c r="AB139" s="4"/>
      <c r="AC139" s="5"/>
      <c r="AE139" s="6" t="s">
        <v>4</v>
      </c>
      <c r="AF139" s="9"/>
      <c r="AG139" s="4"/>
      <c r="AH139" s="4"/>
      <c r="AI139" s="4"/>
      <c r="AJ139" s="4"/>
      <c r="AK139" s="5"/>
    </row>
    <row r="140" spans="1:37" ht="15.75" thickBot="1" x14ac:dyDescent="0.3">
      <c r="A140" s="83"/>
      <c r="B140" s="26"/>
      <c r="C140" s="27"/>
      <c r="D140" s="27"/>
      <c r="E140" s="27"/>
      <c r="F140" s="27">
        <f>SUM(C140-B140)</f>
        <v>0</v>
      </c>
      <c r="G140" s="20">
        <f>SUM(E140-D140)</f>
        <v>0</v>
      </c>
      <c r="H140" s="21">
        <f>SUM(F140:G140)</f>
        <v>0</v>
      </c>
      <c r="J140" s="7" t="s">
        <v>22</v>
      </c>
      <c r="K140" s="10"/>
      <c r="L140" s="11"/>
      <c r="M140" s="11"/>
      <c r="N140" s="11"/>
      <c r="O140" s="11"/>
      <c r="P140" s="11"/>
      <c r="Q140" s="11"/>
      <c r="R140" s="11"/>
      <c r="S140" s="11"/>
      <c r="T140" s="11"/>
      <c r="U140" s="12"/>
      <c r="W140" s="7" t="s">
        <v>22</v>
      </c>
      <c r="X140" s="10"/>
      <c r="Y140" s="11"/>
      <c r="Z140" s="11"/>
      <c r="AA140" s="11"/>
      <c r="AB140" s="11"/>
      <c r="AC140" s="12"/>
      <c r="AE140" s="7" t="s">
        <v>22</v>
      </c>
      <c r="AF140" s="10"/>
      <c r="AG140" s="11"/>
      <c r="AH140" s="11"/>
      <c r="AI140" s="11"/>
      <c r="AJ140" s="11"/>
      <c r="AK140" s="12"/>
    </row>
    <row r="141" spans="1:37" x14ac:dyDescent="0.25">
      <c r="J141" s="8"/>
      <c r="T141" s="8" t="s">
        <v>23</v>
      </c>
      <c r="U141" s="13">
        <f>SUM(K140:U140)</f>
        <v>0</v>
      </c>
      <c r="AB141" s="8" t="s">
        <v>23</v>
      </c>
      <c r="AC141" s="13">
        <f>SUM(X140:AC140)</f>
        <v>0</v>
      </c>
      <c r="AJ141" s="8" t="s">
        <v>23</v>
      </c>
      <c r="AK141" s="13">
        <f>SUM(AF140:AK140)</f>
        <v>0</v>
      </c>
    </row>
    <row r="142" spans="1:37" ht="15.75" thickBot="1" x14ac:dyDescent="0.3">
      <c r="A142" s="19"/>
      <c r="B142" s="79" t="s">
        <v>18</v>
      </c>
      <c r="C142" s="79"/>
      <c r="D142" s="79"/>
      <c r="E142" s="79"/>
      <c r="F142" s="79"/>
      <c r="G142" s="79"/>
      <c r="H142" s="79"/>
      <c r="J142" s="80" t="s">
        <v>18</v>
      </c>
      <c r="K142" s="80"/>
      <c r="L142" s="80"/>
      <c r="M142" s="80"/>
      <c r="N142" s="80"/>
      <c r="O142" s="80"/>
      <c r="P142" s="80"/>
      <c r="Q142" s="80"/>
      <c r="R142" s="80"/>
      <c r="S142" s="80"/>
      <c r="T142" s="80"/>
      <c r="U142" s="80"/>
      <c r="W142" s="81" t="str">
        <f>J142</f>
        <v>Setembro</v>
      </c>
      <c r="X142" s="81"/>
      <c r="Y142" s="81"/>
      <c r="Z142" s="81"/>
      <c r="AA142" s="81"/>
      <c r="AB142" s="81"/>
      <c r="AC142" s="81"/>
      <c r="AE142" s="82" t="str">
        <f>W142</f>
        <v>Setembro</v>
      </c>
      <c r="AF142" s="82"/>
      <c r="AG142" s="82"/>
      <c r="AH142" s="82"/>
      <c r="AI142" s="82"/>
      <c r="AJ142" s="82"/>
      <c r="AK142" s="82"/>
    </row>
    <row r="143" spans="1:37" ht="15.75" thickBot="1" x14ac:dyDescent="0.3">
      <c r="A143" s="83" t="s">
        <v>5</v>
      </c>
      <c r="B143" s="34" t="s">
        <v>6</v>
      </c>
      <c r="C143" s="22" t="s">
        <v>7</v>
      </c>
      <c r="D143" s="33" t="s">
        <v>8</v>
      </c>
      <c r="E143" s="22" t="s">
        <v>9</v>
      </c>
      <c r="F143" s="24" t="s">
        <v>10</v>
      </c>
      <c r="G143" s="23" t="s">
        <v>11</v>
      </c>
      <c r="H143" s="25" t="s">
        <v>12</v>
      </c>
      <c r="J143" s="6" t="s">
        <v>4</v>
      </c>
      <c r="K143" s="9"/>
      <c r="L143" s="4"/>
      <c r="M143" s="4"/>
      <c r="N143" s="4"/>
      <c r="O143" s="4"/>
      <c r="P143" s="4"/>
      <c r="Q143" s="4"/>
      <c r="R143" s="4"/>
      <c r="S143" s="4"/>
      <c r="T143" s="4"/>
      <c r="U143" s="5"/>
      <c r="W143" s="6" t="s">
        <v>4</v>
      </c>
      <c r="X143" s="9"/>
      <c r="Y143" s="4"/>
      <c r="Z143" s="4"/>
      <c r="AA143" s="4"/>
      <c r="AB143" s="4"/>
      <c r="AC143" s="5"/>
      <c r="AE143" s="6" t="s">
        <v>4</v>
      </c>
      <c r="AF143" s="9"/>
      <c r="AG143" s="4"/>
      <c r="AH143" s="4"/>
      <c r="AI143" s="4"/>
      <c r="AJ143" s="4"/>
      <c r="AK143" s="5"/>
    </row>
    <row r="144" spans="1:37" ht="15.75" thickBot="1" x14ac:dyDescent="0.3">
      <c r="A144" s="83"/>
      <c r="B144" s="26"/>
      <c r="C144" s="27"/>
      <c r="D144" s="27"/>
      <c r="E144" s="27"/>
      <c r="F144" s="27">
        <f>SUM(C144-B144)</f>
        <v>0</v>
      </c>
      <c r="G144" s="20">
        <f>SUM(E144-D144)</f>
        <v>0</v>
      </c>
      <c r="H144" s="21">
        <f>SUM(F144:G144)</f>
        <v>0</v>
      </c>
      <c r="J144" s="7" t="s">
        <v>22</v>
      </c>
      <c r="K144" s="10"/>
      <c r="L144" s="11"/>
      <c r="M144" s="11"/>
      <c r="N144" s="11"/>
      <c r="O144" s="11"/>
      <c r="P144" s="11"/>
      <c r="Q144" s="11"/>
      <c r="R144" s="11"/>
      <c r="S144" s="11"/>
      <c r="T144" s="11"/>
      <c r="U144" s="12"/>
      <c r="W144" s="7" t="s">
        <v>22</v>
      </c>
      <c r="X144" s="10"/>
      <c r="Y144" s="11"/>
      <c r="Z144" s="11"/>
      <c r="AA144" s="11"/>
      <c r="AB144" s="11"/>
      <c r="AC144" s="12"/>
      <c r="AE144" s="7" t="s">
        <v>22</v>
      </c>
      <c r="AF144" s="10"/>
      <c r="AG144" s="11"/>
      <c r="AH144" s="11"/>
      <c r="AI144" s="11"/>
      <c r="AJ144" s="11"/>
      <c r="AK144" s="12"/>
    </row>
    <row r="145" spans="10:37" x14ac:dyDescent="0.25">
      <c r="J145" s="8"/>
      <c r="T145" s="8" t="s">
        <v>23</v>
      </c>
      <c r="U145" s="13">
        <f>SUM(K144:U144)</f>
        <v>0</v>
      </c>
      <c r="AB145" s="8" t="s">
        <v>23</v>
      </c>
      <c r="AC145" s="13">
        <f>SUM(X144:AC144)</f>
        <v>0</v>
      </c>
      <c r="AJ145" s="8" t="s">
        <v>23</v>
      </c>
      <c r="AK145" s="13">
        <f>SUM(AF144:AK144)</f>
        <v>0</v>
      </c>
    </row>
  </sheetData>
  <mergeCells count="182">
    <mergeCell ref="A143:A144"/>
    <mergeCell ref="A135:A136"/>
    <mergeCell ref="B138:H138"/>
    <mergeCell ref="J138:U138"/>
    <mergeCell ref="W138:AC138"/>
    <mergeCell ref="AE138:AK138"/>
    <mergeCell ref="A139:A140"/>
    <mergeCell ref="B142:H142"/>
    <mergeCell ref="J142:U142"/>
    <mergeCell ref="W142:AC142"/>
    <mergeCell ref="AE142:AK142"/>
    <mergeCell ref="A127:A128"/>
    <mergeCell ref="B130:H130"/>
    <mergeCell ref="J130:U130"/>
    <mergeCell ref="W130:AC130"/>
    <mergeCell ref="AE130:AK130"/>
    <mergeCell ref="A131:A132"/>
    <mergeCell ref="B134:H134"/>
    <mergeCell ref="J134:U134"/>
    <mergeCell ref="W134:AC134"/>
    <mergeCell ref="AE134:AK134"/>
    <mergeCell ref="A115:A116"/>
    <mergeCell ref="B122:H122"/>
    <mergeCell ref="J122:U122"/>
    <mergeCell ref="W122:AC122"/>
    <mergeCell ref="AE122:AK122"/>
    <mergeCell ref="A123:A124"/>
    <mergeCell ref="B126:H126"/>
    <mergeCell ref="J126:U126"/>
    <mergeCell ref="W126:AC126"/>
    <mergeCell ref="AE126:AK126"/>
    <mergeCell ref="B118:H118"/>
    <mergeCell ref="J118:U118"/>
    <mergeCell ref="W118:AC118"/>
    <mergeCell ref="AE118:AK118"/>
    <mergeCell ref="A119:A120"/>
    <mergeCell ref="B110:H110"/>
    <mergeCell ref="J110:U110"/>
    <mergeCell ref="W110:AC110"/>
    <mergeCell ref="AE110:AK110"/>
    <mergeCell ref="A111:A112"/>
    <mergeCell ref="B114:H114"/>
    <mergeCell ref="J114:U114"/>
    <mergeCell ref="W114:AC114"/>
    <mergeCell ref="AE114:AK114"/>
    <mergeCell ref="B3:C3"/>
    <mergeCell ref="E3:F3"/>
    <mergeCell ref="B4:C4"/>
    <mergeCell ref="E4:F4"/>
    <mergeCell ref="B86:H86"/>
    <mergeCell ref="J86:U86"/>
    <mergeCell ref="W86:AC86"/>
    <mergeCell ref="AE86:AK86"/>
    <mergeCell ref="A87:A88"/>
    <mergeCell ref="B82:H82"/>
    <mergeCell ref="J82:U82"/>
    <mergeCell ref="W82:AC82"/>
    <mergeCell ref="AE82:AK82"/>
    <mergeCell ref="A83:A84"/>
    <mergeCell ref="B78:H78"/>
    <mergeCell ref="J78:U78"/>
    <mergeCell ref="W78:AC78"/>
    <mergeCell ref="AE78:AK78"/>
    <mergeCell ref="A79:A80"/>
    <mergeCell ref="B74:H74"/>
    <mergeCell ref="J74:U74"/>
    <mergeCell ref="W74:AC74"/>
    <mergeCell ref="AE74:AK74"/>
    <mergeCell ref="A75:A76"/>
    <mergeCell ref="B102:H102"/>
    <mergeCell ref="J102:U102"/>
    <mergeCell ref="W102:AC102"/>
    <mergeCell ref="AE102:AK102"/>
    <mergeCell ref="A103:A104"/>
    <mergeCell ref="B98:H98"/>
    <mergeCell ref="J98:U98"/>
    <mergeCell ref="W98:AC98"/>
    <mergeCell ref="AE98:AK98"/>
    <mergeCell ref="A99:A100"/>
    <mergeCell ref="B94:H94"/>
    <mergeCell ref="J94:U94"/>
    <mergeCell ref="W94:AC94"/>
    <mergeCell ref="AE94:AK94"/>
    <mergeCell ref="A95:A96"/>
    <mergeCell ref="B90:H90"/>
    <mergeCell ref="J90:U90"/>
    <mergeCell ref="W90:AC90"/>
    <mergeCell ref="AE90:AK90"/>
    <mergeCell ref="A91:A92"/>
    <mergeCell ref="B70:H70"/>
    <mergeCell ref="J70:U70"/>
    <mergeCell ref="W70:AC70"/>
    <mergeCell ref="AE70:AK70"/>
    <mergeCell ref="A71:A72"/>
    <mergeCell ref="B66:H66"/>
    <mergeCell ref="J66:U66"/>
    <mergeCell ref="W66:AC66"/>
    <mergeCell ref="AE66:AK66"/>
    <mergeCell ref="A67:A68"/>
    <mergeCell ref="B62:H62"/>
    <mergeCell ref="J62:U62"/>
    <mergeCell ref="W62:AC62"/>
    <mergeCell ref="AE62:AK62"/>
    <mergeCell ref="A63:A64"/>
    <mergeCell ref="B58:H58"/>
    <mergeCell ref="J58:U58"/>
    <mergeCell ref="W58:AC58"/>
    <mergeCell ref="AE58:AK58"/>
    <mergeCell ref="A59:A60"/>
    <mergeCell ref="AE42:AK42"/>
    <mergeCell ref="A43:A44"/>
    <mergeCell ref="B46:H46"/>
    <mergeCell ref="J46:U46"/>
    <mergeCell ref="W46:AC46"/>
    <mergeCell ref="AE46:AK46"/>
    <mergeCell ref="A47:A48"/>
    <mergeCell ref="B50:H50"/>
    <mergeCell ref="J50:U50"/>
    <mergeCell ref="W50:AC50"/>
    <mergeCell ref="AE50:AK50"/>
    <mergeCell ref="A55:A56"/>
    <mergeCell ref="B26:H26"/>
    <mergeCell ref="J26:U26"/>
    <mergeCell ref="W26:AC26"/>
    <mergeCell ref="AE26:AK26"/>
    <mergeCell ref="A39:A40"/>
    <mergeCell ref="B30:H30"/>
    <mergeCell ref="J30:U30"/>
    <mergeCell ref="W30:AC30"/>
    <mergeCell ref="AE30:AK30"/>
    <mergeCell ref="A31:A32"/>
    <mergeCell ref="B34:H34"/>
    <mergeCell ref="J34:U34"/>
    <mergeCell ref="W34:AC34"/>
    <mergeCell ref="AE34:AK34"/>
    <mergeCell ref="A35:A36"/>
    <mergeCell ref="B38:H38"/>
    <mergeCell ref="J38:U38"/>
    <mergeCell ref="W38:AC38"/>
    <mergeCell ref="AE38:AK38"/>
    <mergeCell ref="A51:A52"/>
    <mergeCell ref="B42:H42"/>
    <mergeCell ref="J42:U42"/>
    <mergeCell ref="W42:AC42"/>
    <mergeCell ref="J14:U14"/>
    <mergeCell ref="W14:AC14"/>
    <mergeCell ref="AE14:AK14"/>
    <mergeCell ref="A27:A28"/>
    <mergeCell ref="B18:H18"/>
    <mergeCell ref="J18:U18"/>
    <mergeCell ref="W18:AC18"/>
    <mergeCell ref="AE18:AK18"/>
    <mergeCell ref="A19:A20"/>
    <mergeCell ref="B22:H22"/>
    <mergeCell ref="J22:U22"/>
    <mergeCell ref="W22:AC22"/>
    <mergeCell ref="AE22:AK22"/>
    <mergeCell ref="A23:A24"/>
    <mergeCell ref="B106:H106"/>
    <mergeCell ref="J106:U106"/>
    <mergeCell ref="W106:AC106"/>
    <mergeCell ref="AE106:AK106"/>
    <mergeCell ref="A107:A108"/>
    <mergeCell ref="B2:C2"/>
    <mergeCell ref="E2:F2"/>
    <mergeCell ref="B5:C5"/>
    <mergeCell ref="E5:F5"/>
    <mergeCell ref="A8:H8"/>
    <mergeCell ref="B54:H54"/>
    <mergeCell ref="J54:U54"/>
    <mergeCell ref="W54:AC54"/>
    <mergeCell ref="AE54:AK54"/>
    <mergeCell ref="A15:A16"/>
    <mergeCell ref="W8:AC8"/>
    <mergeCell ref="AE8:AK8"/>
    <mergeCell ref="B10:H10"/>
    <mergeCell ref="J10:U10"/>
    <mergeCell ref="W10:AC10"/>
    <mergeCell ref="AE10:AK10"/>
    <mergeCell ref="J8:U8"/>
    <mergeCell ref="A11:A12"/>
    <mergeCell ref="B14:H14"/>
  </mergeCells>
  <phoneticPr fontId="3" type="noConversion"/>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52"/>
  <sheetViews>
    <sheetView showGridLines="0" topLeftCell="A7" workbookViewId="0">
      <selection activeCell="B23" sqref="B2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42578125" customWidth="1"/>
    <col min="10" max="10" width="13.42578125" bestFit="1" customWidth="1"/>
    <col min="11" max="13" width="10.42578125" bestFit="1" customWidth="1"/>
    <col min="21" max="21" width="10.42578125" bestFit="1" customWidth="1"/>
    <col min="34" max="36" width="10.140625" bestFit="1" customWidth="1"/>
  </cols>
  <sheetData>
    <row r="2" spans="1:37" x14ac:dyDescent="0.25">
      <c r="A2" t="s">
        <v>0</v>
      </c>
      <c r="B2" s="90">
        <v>46086</v>
      </c>
      <c r="C2" s="84"/>
      <c r="D2" s="1" t="s">
        <v>1</v>
      </c>
      <c r="E2" s="84" t="s">
        <v>110</v>
      </c>
      <c r="F2" s="84"/>
      <c r="H2" t="s">
        <v>106</v>
      </c>
      <c r="I2" s="73">
        <v>3000</v>
      </c>
    </row>
    <row r="3" spans="1:37" x14ac:dyDescent="0.25">
      <c r="F3" s="1"/>
    </row>
    <row r="4" spans="1:37" x14ac:dyDescent="0.25">
      <c r="A4" t="s">
        <v>2</v>
      </c>
      <c r="B4" s="85"/>
      <c r="C4" s="85"/>
      <c r="D4" s="1" t="s">
        <v>29</v>
      </c>
      <c r="E4" s="86">
        <v>50</v>
      </c>
      <c r="F4" s="86"/>
      <c r="H4" t="s">
        <v>70</v>
      </c>
      <c r="I4" s="67">
        <v>46086</v>
      </c>
    </row>
    <row r="7" spans="1:37" ht="21" x14ac:dyDescent="0.35">
      <c r="A7" s="87" t="s">
        <v>28</v>
      </c>
      <c r="B7" s="87"/>
      <c r="C7" s="87"/>
      <c r="D7" s="87"/>
      <c r="E7" s="87"/>
      <c r="F7" s="87"/>
      <c r="G7" s="87"/>
      <c r="H7" s="87"/>
      <c r="J7" s="89" t="s">
        <v>26</v>
      </c>
      <c r="K7" s="89"/>
      <c r="L7" s="89"/>
      <c r="M7" s="89"/>
      <c r="N7" s="89"/>
      <c r="O7" s="89"/>
      <c r="P7" s="89"/>
      <c r="Q7" s="89"/>
      <c r="R7" s="89"/>
      <c r="S7" s="89"/>
      <c r="T7" s="89"/>
      <c r="U7" s="89"/>
      <c r="V7" s="2"/>
      <c r="W7" s="88" t="s">
        <v>25</v>
      </c>
      <c r="X7" s="88"/>
      <c r="Y7" s="88"/>
      <c r="Z7" s="88"/>
      <c r="AA7" s="88"/>
      <c r="AB7" s="88"/>
      <c r="AC7" s="88"/>
      <c r="AD7" s="2"/>
      <c r="AE7" s="88" t="s">
        <v>27</v>
      </c>
      <c r="AF7" s="88"/>
      <c r="AG7" s="88"/>
      <c r="AH7" s="88"/>
      <c r="AI7" s="88"/>
      <c r="AJ7" s="88"/>
      <c r="AK7" s="88"/>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9" t="s">
        <v>3</v>
      </c>
      <c r="C9" s="79"/>
      <c r="D9" s="79"/>
      <c r="E9" s="79"/>
      <c r="F9" s="79"/>
      <c r="G9" s="79"/>
      <c r="H9" s="79"/>
      <c r="J9" s="80" t="s">
        <v>3</v>
      </c>
      <c r="K9" s="80"/>
      <c r="L9" s="80"/>
      <c r="M9" s="80"/>
      <c r="N9" s="80"/>
      <c r="O9" s="80"/>
      <c r="P9" s="80"/>
      <c r="Q9" s="80"/>
      <c r="R9" s="80"/>
      <c r="S9" s="80"/>
      <c r="T9" s="80"/>
      <c r="U9" s="80"/>
      <c r="W9" s="81" t="s">
        <v>3</v>
      </c>
      <c r="X9" s="81"/>
      <c r="Y9" s="81"/>
      <c r="Z9" s="81"/>
      <c r="AA9" s="81"/>
      <c r="AB9" s="81"/>
      <c r="AC9" s="81"/>
      <c r="AE9" s="82" t="s">
        <v>3</v>
      </c>
      <c r="AF9" s="82"/>
      <c r="AG9" s="82"/>
      <c r="AH9" s="82"/>
      <c r="AI9" s="82"/>
      <c r="AJ9" s="82"/>
      <c r="AK9" s="82"/>
    </row>
    <row r="10" spans="1:37"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9" t="s">
        <v>13</v>
      </c>
      <c r="C13" s="79"/>
      <c r="D13" s="79"/>
      <c r="E13" s="79"/>
      <c r="F13" s="79"/>
      <c r="G13" s="79"/>
      <c r="H13" s="79"/>
      <c r="J13" s="80" t="s">
        <v>13</v>
      </c>
      <c r="K13" s="80"/>
      <c r="L13" s="80"/>
      <c r="M13" s="80"/>
      <c r="N13" s="80"/>
      <c r="O13" s="80"/>
      <c r="P13" s="80"/>
      <c r="Q13" s="80"/>
      <c r="R13" s="80"/>
      <c r="S13" s="80"/>
      <c r="T13" s="80"/>
      <c r="U13" s="80"/>
      <c r="W13" s="81" t="str">
        <f>J13</f>
        <v>Março</v>
      </c>
      <c r="X13" s="81"/>
      <c r="Y13" s="81"/>
      <c r="Z13" s="81"/>
      <c r="AA13" s="81"/>
      <c r="AB13" s="81"/>
      <c r="AC13" s="81"/>
      <c r="AE13" s="82" t="str">
        <f>W13</f>
        <v>Março</v>
      </c>
      <c r="AF13" s="82"/>
      <c r="AG13" s="82"/>
      <c r="AH13" s="82"/>
      <c r="AI13" s="82"/>
      <c r="AJ13" s="82"/>
      <c r="AK13" s="82"/>
    </row>
    <row r="14" spans="1:37" ht="15.75" thickBot="1" x14ac:dyDescent="0.3">
      <c r="A14" s="83"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3"/>
      <c r="B15" s="26">
        <v>2109</v>
      </c>
      <c r="C15" s="27"/>
      <c r="D15" s="27"/>
      <c r="E15" s="27">
        <v>4352</v>
      </c>
      <c r="F15" s="27">
        <f>SUM(C15-B15)</f>
        <v>-2109</v>
      </c>
      <c r="G15" s="20">
        <f>SUM(E15-D15)</f>
        <v>4352</v>
      </c>
      <c r="H15" s="21">
        <f>SUM(F15:G15)</f>
        <v>2243</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9" t="s">
        <v>14</v>
      </c>
      <c r="C17" s="79"/>
      <c r="D17" s="79"/>
      <c r="E17" s="79"/>
      <c r="F17" s="79"/>
      <c r="G17" s="79"/>
      <c r="H17" s="79"/>
      <c r="J17" s="80" t="s">
        <v>14</v>
      </c>
      <c r="K17" s="80"/>
      <c r="L17" s="80"/>
      <c r="M17" s="80"/>
      <c r="N17" s="80"/>
      <c r="O17" s="80"/>
      <c r="P17" s="80"/>
      <c r="Q17" s="80"/>
      <c r="R17" s="80"/>
      <c r="S17" s="80"/>
      <c r="T17" s="80"/>
      <c r="U17" s="80"/>
      <c r="W17" s="81" t="str">
        <f>J17</f>
        <v>Abril</v>
      </c>
      <c r="X17" s="81"/>
      <c r="Y17" s="81"/>
      <c r="Z17" s="81"/>
      <c r="AA17" s="81"/>
      <c r="AB17" s="81"/>
      <c r="AC17" s="81"/>
      <c r="AE17" s="82" t="str">
        <f>W17</f>
        <v>Abril</v>
      </c>
      <c r="AF17" s="82"/>
      <c r="AG17" s="82"/>
      <c r="AH17" s="82"/>
      <c r="AI17" s="82"/>
      <c r="AJ17" s="82"/>
      <c r="AK17" s="82"/>
    </row>
    <row r="18" spans="1:37"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3"/>
      <c r="B19" s="27">
        <v>4352</v>
      </c>
      <c r="C19" s="27"/>
      <c r="D19" s="27"/>
      <c r="E19" s="27">
        <v>5720</v>
      </c>
      <c r="F19" s="27">
        <f>SUM(C19-B19)</f>
        <v>-4352</v>
      </c>
      <c r="G19" s="20">
        <f>SUM(E19-D19)</f>
        <v>5720</v>
      </c>
      <c r="H19" s="21">
        <f>SUM(F19:G19)</f>
        <v>1368</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9" t="s">
        <v>15</v>
      </c>
      <c r="C21" s="79"/>
      <c r="D21" s="79"/>
      <c r="E21" s="79"/>
      <c r="F21" s="79"/>
      <c r="G21" s="79"/>
      <c r="H21" s="79"/>
      <c r="J21" s="80" t="s">
        <v>15</v>
      </c>
      <c r="K21" s="80"/>
      <c r="L21" s="80"/>
      <c r="M21" s="80"/>
      <c r="N21" s="80"/>
      <c r="O21" s="80"/>
      <c r="P21" s="80"/>
      <c r="Q21" s="80"/>
      <c r="R21" s="80"/>
      <c r="S21" s="80"/>
      <c r="T21" s="80"/>
      <c r="U21" s="80"/>
      <c r="W21" s="81" t="str">
        <f>J21</f>
        <v>Maio</v>
      </c>
      <c r="X21" s="81"/>
      <c r="Y21" s="81"/>
      <c r="Z21" s="81"/>
      <c r="AA21" s="81"/>
      <c r="AB21" s="81"/>
      <c r="AC21" s="81"/>
      <c r="AE21" s="82" t="str">
        <f>W21</f>
        <v>Maio</v>
      </c>
      <c r="AF21" s="82"/>
      <c r="AG21" s="82"/>
      <c r="AH21" s="82"/>
      <c r="AI21" s="82"/>
      <c r="AJ21" s="82"/>
      <c r="AK21" s="82"/>
    </row>
    <row r="22" spans="1:37"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3"/>
      <c r="B23" s="27">
        <v>5720</v>
      </c>
      <c r="C23" s="27"/>
      <c r="D23" s="27"/>
      <c r="E23" s="27">
        <v>7448</v>
      </c>
      <c r="F23" s="27">
        <f>SUM(C23-B23)</f>
        <v>-5720</v>
      </c>
      <c r="G23" s="20">
        <f>SUM(E23-D23)</f>
        <v>7448</v>
      </c>
      <c r="H23" s="21">
        <f>SUM(F23:G23)</f>
        <v>1728</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9" t="s">
        <v>24</v>
      </c>
      <c r="C25" s="79"/>
      <c r="D25" s="79"/>
      <c r="E25" s="79"/>
      <c r="F25" s="79"/>
      <c r="G25" s="79"/>
      <c r="H25" s="79"/>
      <c r="J25" s="80" t="s">
        <v>24</v>
      </c>
      <c r="K25" s="80"/>
      <c r="L25" s="80"/>
      <c r="M25" s="80"/>
      <c r="N25" s="80"/>
      <c r="O25" s="80"/>
      <c r="P25" s="80"/>
      <c r="Q25" s="80"/>
      <c r="R25" s="80"/>
      <c r="S25" s="80"/>
      <c r="T25" s="80"/>
      <c r="U25" s="80"/>
      <c r="W25" s="81" t="str">
        <f>J25</f>
        <v>Junho</v>
      </c>
      <c r="X25" s="81"/>
      <c r="Y25" s="81"/>
      <c r="Z25" s="81"/>
      <c r="AA25" s="81"/>
      <c r="AB25" s="81"/>
      <c r="AC25" s="81"/>
      <c r="AE25" s="82" t="str">
        <f>W25</f>
        <v>Junho</v>
      </c>
      <c r="AF25" s="82"/>
      <c r="AG25" s="82"/>
      <c r="AH25" s="82"/>
      <c r="AI25" s="82"/>
      <c r="AJ25" s="82"/>
      <c r="AK25" s="82"/>
    </row>
    <row r="26" spans="1:37"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9" t="s">
        <v>16</v>
      </c>
      <c r="C29" s="79"/>
      <c r="D29" s="79"/>
      <c r="E29" s="79"/>
      <c r="F29" s="79"/>
      <c r="G29" s="79"/>
      <c r="H29" s="79"/>
      <c r="J29" s="80" t="s">
        <v>16</v>
      </c>
      <c r="K29" s="80"/>
      <c r="L29" s="80"/>
      <c r="M29" s="80"/>
      <c r="N29" s="80"/>
      <c r="O29" s="80"/>
      <c r="P29" s="80"/>
      <c r="Q29" s="80"/>
      <c r="R29" s="80"/>
      <c r="S29" s="80"/>
      <c r="T29" s="80"/>
      <c r="U29" s="80"/>
      <c r="W29" s="81" t="str">
        <f>J29</f>
        <v>Julho</v>
      </c>
      <c r="X29" s="81"/>
      <c r="Y29" s="81"/>
      <c r="Z29" s="81"/>
      <c r="AA29" s="81"/>
      <c r="AB29" s="81"/>
      <c r="AC29" s="81"/>
      <c r="AE29" s="82" t="str">
        <f>W29</f>
        <v>Julho</v>
      </c>
      <c r="AF29" s="82"/>
      <c r="AG29" s="82"/>
      <c r="AH29" s="82"/>
      <c r="AI29" s="82"/>
      <c r="AJ29" s="82"/>
      <c r="AK29" s="82"/>
    </row>
    <row r="30" spans="1:37"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9" t="s">
        <v>17</v>
      </c>
      <c r="C33" s="79"/>
      <c r="D33" s="79"/>
      <c r="E33" s="79"/>
      <c r="F33" s="79"/>
      <c r="G33" s="79"/>
      <c r="H33" s="79"/>
      <c r="J33" s="80" t="s">
        <v>17</v>
      </c>
      <c r="K33" s="80"/>
      <c r="L33" s="80"/>
      <c r="M33" s="80"/>
      <c r="N33" s="80"/>
      <c r="O33" s="80"/>
      <c r="P33" s="80"/>
      <c r="Q33" s="80"/>
      <c r="R33" s="80"/>
      <c r="S33" s="80"/>
      <c r="T33" s="80"/>
      <c r="U33" s="80"/>
      <c r="W33" s="81" t="str">
        <f>J33</f>
        <v>Agosto</v>
      </c>
      <c r="X33" s="81"/>
      <c r="Y33" s="81"/>
      <c r="Z33" s="81"/>
      <c r="AA33" s="81"/>
      <c r="AB33" s="81"/>
      <c r="AC33" s="81"/>
      <c r="AE33" s="82" t="str">
        <f>W33</f>
        <v>Agosto</v>
      </c>
      <c r="AF33" s="82"/>
      <c r="AG33" s="82"/>
      <c r="AH33" s="82"/>
      <c r="AI33" s="82"/>
      <c r="AJ33" s="82"/>
      <c r="AK33" s="82"/>
    </row>
    <row r="34" spans="1:37"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9" t="s">
        <v>18</v>
      </c>
      <c r="C37" s="79"/>
      <c r="D37" s="79"/>
      <c r="E37" s="79"/>
      <c r="F37" s="79"/>
      <c r="G37" s="79"/>
      <c r="H37" s="79"/>
      <c r="J37" s="80" t="s">
        <v>18</v>
      </c>
      <c r="K37" s="80"/>
      <c r="L37" s="80"/>
      <c r="M37" s="80"/>
      <c r="N37" s="80"/>
      <c r="O37" s="80"/>
      <c r="P37" s="80"/>
      <c r="Q37" s="80"/>
      <c r="R37" s="80"/>
      <c r="S37" s="80"/>
      <c r="T37" s="80"/>
      <c r="U37" s="80"/>
      <c r="W37" s="81" t="str">
        <f>J37</f>
        <v>Setembro</v>
      </c>
      <c r="X37" s="81"/>
      <c r="Y37" s="81"/>
      <c r="Z37" s="81"/>
      <c r="AA37" s="81"/>
      <c r="AB37" s="81"/>
      <c r="AC37" s="81"/>
      <c r="AE37" s="82" t="str">
        <f>W37</f>
        <v>Setembro</v>
      </c>
      <c r="AF37" s="82"/>
      <c r="AG37" s="82"/>
      <c r="AH37" s="82"/>
      <c r="AI37" s="82"/>
      <c r="AJ37" s="82"/>
      <c r="AK37" s="82"/>
    </row>
    <row r="38" spans="1:37"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9" t="s">
        <v>19</v>
      </c>
      <c r="C41" s="79"/>
      <c r="D41" s="79"/>
      <c r="E41" s="79"/>
      <c r="F41" s="79"/>
      <c r="G41" s="79"/>
      <c r="H41" s="79"/>
      <c r="J41" s="80" t="s">
        <v>19</v>
      </c>
      <c r="K41" s="80"/>
      <c r="L41" s="80"/>
      <c r="M41" s="80"/>
      <c r="N41" s="80"/>
      <c r="O41" s="80"/>
      <c r="P41" s="80"/>
      <c r="Q41" s="80"/>
      <c r="R41" s="80"/>
      <c r="S41" s="80"/>
      <c r="T41" s="80"/>
      <c r="U41" s="80"/>
      <c r="W41" s="81" t="str">
        <f>J41</f>
        <v>Outubro</v>
      </c>
      <c r="X41" s="81"/>
      <c r="Y41" s="81"/>
      <c r="Z41" s="81"/>
      <c r="AA41" s="81"/>
      <c r="AB41" s="81"/>
      <c r="AC41" s="81"/>
      <c r="AE41" s="82" t="str">
        <f>W41</f>
        <v>Outubro</v>
      </c>
      <c r="AF41" s="82"/>
      <c r="AG41" s="82"/>
      <c r="AH41" s="82"/>
      <c r="AI41" s="82"/>
      <c r="AJ41" s="82"/>
      <c r="AK41" s="82"/>
    </row>
    <row r="42" spans="1:37"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9" t="s">
        <v>20</v>
      </c>
      <c r="C45" s="79"/>
      <c r="D45" s="79"/>
      <c r="E45" s="79"/>
      <c r="F45" s="79"/>
      <c r="G45" s="79"/>
      <c r="H45" s="79"/>
      <c r="J45" s="80" t="s">
        <v>20</v>
      </c>
      <c r="K45" s="80"/>
      <c r="L45" s="80"/>
      <c r="M45" s="80"/>
      <c r="N45" s="80"/>
      <c r="O45" s="80"/>
      <c r="P45" s="80"/>
      <c r="Q45" s="80"/>
      <c r="R45" s="80"/>
      <c r="S45" s="80"/>
      <c r="T45" s="80"/>
      <c r="U45" s="80"/>
      <c r="W45" s="81" t="str">
        <f>J45</f>
        <v>Novembro</v>
      </c>
      <c r="X45" s="81"/>
      <c r="Y45" s="81"/>
      <c r="Z45" s="81"/>
      <c r="AA45" s="81"/>
      <c r="AB45" s="81"/>
      <c r="AC45" s="81"/>
      <c r="AE45" s="82" t="str">
        <f>W45</f>
        <v>Novembro</v>
      </c>
      <c r="AF45" s="82"/>
      <c r="AG45" s="82"/>
      <c r="AH45" s="82"/>
      <c r="AI45" s="82"/>
      <c r="AJ45" s="82"/>
      <c r="AK45" s="82"/>
    </row>
    <row r="46" spans="1:37"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9" t="s">
        <v>21</v>
      </c>
      <c r="C49" s="79"/>
      <c r="D49" s="79"/>
      <c r="E49" s="79"/>
      <c r="F49" s="79"/>
      <c r="G49" s="79"/>
      <c r="H49" s="79"/>
      <c r="J49" s="80" t="s">
        <v>21</v>
      </c>
      <c r="K49" s="80"/>
      <c r="L49" s="80"/>
      <c r="M49" s="80"/>
      <c r="N49" s="80"/>
      <c r="O49" s="80"/>
      <c r="P49" s="80"/>
      <c r="Q49" s="80"/>
      <c r="R49" s="80"/>
      <c r="S49" s="80"/>
      <c r="T49" s="80"/>
      <c r="U49" s="80"/>
      <c r="W49" s="81" t="str">
        <f>J49</f>
        <v>Dezembro</v>
      </c>
      <c r="X49" s="81"/>
      <c r="Y49" s="81"/>
      <c r="Z49" s="81"/>
      <c r="AA49" s="81"/>
      <c r="AB49" s="81"/>
      <c r="AC49" s="81"/>
      <c r="AE49" s="82" t="str">
        <f>W49</f>
        <v>Dezembro</v>
      </c>
      <c r="AF49" s="82"/>
      <c r="AG49" s="82"/>
      <c r="AH49" s="82"/>
      <c r="AI49" s="82"/>
      <c r="AJ49" s="82"/>
      <c r="AK49" s="82"/>
    </row>
    <row r="50" spans="1:37"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3">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s>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K88"/>
  <sheetViews>
    <sheetView showGridLines="0" topLeftCell="A52" workbookViewId="0">
      <selection activeCell="I5" sqref="I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6" width="10.42578125" bestFit="1" customWidth="1"/>
    <col min="21" max="21" width="12.140625" bestFit="1" customWidth="1"/>
    <col min="34" max="36" width="10.140625" bestFit="1" customWidth="1"/>
  </cols>
  <sheetData>
    <row r="2" spans="1:37" x14ac:dyDescent="0.25">
      <c r="A2" t="s">
        <v>0</v>
      </c>
      <c r="B2" s="84" t="s">
        <v>91</v>
      </c>
      <c r="C2" s="84"/>
      <c r="D2" s="1" t="s">
        <v>1</v>
      </c>
      <c r="E2" s="84" t="s">
        <v>90</v>
      </c>
      <c r="F2" s="84"/>
      <c r="H2" t="s">
        <v>89</v>
      </c>
      <c r="I2" s="73">
        <v>3000</v>
      </c>
    </row>
    <row r="3" spans="1:37" x14ac:dyDescent="0.25">
      <c r="F3" s="1"/>
    </row>
    <row r="4" spans="1:37" x14ac:dyDescent="0.25">
      <c r="A4" t="s">
        <v>2</v>
      </c>
      <c r="B4" s="85">
        <v>4039.73</v>
      </c>
      <c r="C4" s="85"/>
      <c r="D4" s="1" t="s">
        <v>29</v>
      </c>
      <c r="E4" s="95">
        <v>45</v>
      </c>
      <c r="F4" s="84"/>
      <c r="H4" t="s">
        <v>70</v>
      </c>
      <c r="I4" s="67">
        <v>45810</v>
      </c>
      <c r="J4" t="s">
        <v>107</v>
      </c>
      <c r="K4" s="67">
        <v>46086</v>
      </c>
    </row>
    <row r="7" spans="1:37" ht="21" x14ac:dyDescent="0.35">
      <c r="A7" s="87" t="s">
        <v>28</v>
      </c>
      <c r="B7" s="87"/>
      <c r="C7" s="87"/>
      <c r="D7" s="87"/>
      <c r="E7" s="87"/>
      <c r="F7" s="87"/>
      <c r="G7" s="87"/>
      <c r="H7" s="87"/>
      <c r="J7" s="89" t="s">
        <v>26</v>
      </c>
      <c r="K7" s="89"/>
      <c r="L7" s="89"/>
      <c r="M7" s="89"/>
      <c r="N7" s="89"/>
      <c r="O7" s="89"/>
      <c r="P7" s="89"/>
      <c r="Q7" s="89"/>
      <c r="R7" s="89"/>
      <c r="S7" s="89"/>
      <c r="T7" s="89"/>
      <c r="U7" s="89"/>
      <c r="V7" s="2"/>
      <c r="W7" s="88" t="s">
        <v>25</v>
      </c>
      <c r="X7" s="88"/>
      <c r="Y7" s="88"/>
      <c r="Z7" s="88"/>
      <c r="AA7" s="88"/>
      <c r="AB7" s="88"/>
      <c r="AC7" s="88"/>
      <c r="AD7" s="2"/>
      <c r="AE7" s="88" t="s">
        <v>27</v>
      </c>
      <c r="AF7" s="88"/>
      <c r="AG7" s="88"/>
      <c r="AH7" s="88"/>
      <c r="AI7" s="88"/>
      <c r="AJ7" s="88"/>
      <c r="AK7" s="88"/>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9" t="s">
        <v>3</v>
      </c>
      <c r="C9" s="79"/>
      <c r="D9" s="79"/>
      <c r="E9" s="79"/>
      <c r="F9" s="79"/>
      <c r="G9" s="79"/>
      <c r="H9" s="79"/>
      <c r="J9" s="80" t="s">
        <v>3</v>
      </c>
      <c r="K9" s="80"/>
      <c r="L9" s="80"/>
      <c r="M9" s="80"/>
      <c r="N9" s="80"/>
      <c r="O9" s="80"/>
      <c r="P9" s="80"/>
      <c r="Q9" s="80"/>
      <c r="R9" s="80"/>
      <c r="S9" s="80"/>
      <c r="T9" s="80"/>
      <c r="U9" s="80"/>
      <c r="W9" s="81" t="s">
        <v>3</v>
      </c>
      <c r="X9" s="81"/>
      <c r="Y9" s="81"/>
      <c r="Z9" s="81"/>
      <c r="AA9" s="81"/>
      <c r="AB9" s="81"/>
      <c r="AC9" s="81"/>
      <c r="AE9" s="82" t="s">
        <v>3</v>
      </c>
      <c r="AF9" s="82"/>
      <c r="AG9" s="82"/>
      <c r="AH9" s="82"/>
      <c r="AI9" s="82"/>
      <c r="AJ9" s="82"/>
      <c r="AK9" s="82"/>
    </row>
    <row r="10" spans="1:37"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9" t="s">
        <v>13</v>
      </c>
      <c r="C13" s="79"/>
      <c r="D13" s="79"/>
      <c r="E13" s="79"/>
      <c r="F13" s="79"/>
      <c r="G13" s="79"/>
      <c r="H13" s="79"/>
      <c r="J13" s="80" t="s">
        <v>13</v>
      </c>
      <c r="K13" s="80"/>
      <c r="L13" s="80"/>
      <c r="M13" s="80"/>
      <c r="N13" s="80"/>
      <c r="O13" s="80"/>
      <c r="P13" s="80"/>
      <c r="Q13" s="80"/>
      <c r="R13" s="80"/>
      <c r="S13" s="80"/>
      <c r="T13" s="80"/>
      <c r="U13" s="80"/>
      <c r="W13" s="81" t="str">
        <f>J13</f>
        <v>Março</v>
      </c>
      <c r="X13" s="81"/>
      <c r="Y13" s="81"/>
      <c r="Z13" s="81"/>
      <c r="AA13" s="81"/>
      <c r="AB13" s="81"/>
      <c r="AC13" s="81"/>
      <c r="AE13" s="82" t="str">
        <f>W13</f>
        <v>Março</v>
      </c>
      <c r="AF13" s="82"/>
      <c r="AG13" s="82"/>
      <c r="AH13" s="82"/>
      <c r="AI13" s="82"/>
      <c r="AJ13" s="82"/>
      <c r="AK13" s="82"/>
    </row>
    <row r="14" spans="1:37" ht="15.75" thickBot="1" x14ac:dyDescent="0.3">
      <c r="A14" s="83" t="s">
        <v>5</v>
      </c>
      <c r="B14" s="34" t="s">
        <v>6</v>
      </c>
      <c r="C14" s="22" t="s">
        <v>7</v>
      </c>
      <c r="D14" s="33" t="s">
        <v>8</v>
      </c>
      <c r="E14" s="22" t="s">
        <v>9</v>
      </c>
      <c r="F14" s="24" t="s">
        <v>10</v>
      </c>
      <c r="G14" s="23" t="s">
        <v>11</v>
      </c>
      <c r="H14" s="25" t="s">
        <v>12</v>
      </c>
      <c r="J14" s="6" t="s">
        <v>4</v>
      </c>
      <c r="K14" s="9"/>
      <c r="L14" s="66"/>
      <c r="M14" s="66"/>
      <c r="N14" s="66"/>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9" t="s">
        <v>14</v>
      </c>
      <c r="C17" s="79"/>
      <c r="D17" s="79"/>
      <c r="E17" s="79"/>
      <c r="F17" s="79"/>
      <c r="G17" s="79"/>
      <c r="H17" s="79"/>
      <c r="J17" s="80" t="s">
        <v>14</v>
      </c>
      <c r="K17" s="80"/>
      <c r="L17" s="80"/>
      <c r="M17" s="80"/>
      <c r="N17" s="80"/>
      <c r="O17" s="80"/>
      <c r="P17" s="80"/>
      <c r="Q17" s="80"/>
      <c r="R17" s="80"/>
      <c r="S17" s="80"/>
      <c r="T17" s="80"/>
      <c r="U17" s="80"/>
      <c r="W17" s="81" t="str">
        <f>J17</f>
        <v>Abril</v>
      </c>
      <c r="X17" s="81"/>
      <c r="Y17" s="81"/>
      <c r="Z17" s="81"/>
      <c r="AA17" s="81"/>
      <c r="AB17" s="81"/>
      <c r="AC17" s="81"/>
      <c r="AE17" s="82" t="str">
        <f>W17</f>
        <v>Abril</v>
      </c>
      <c r="AF17" s="82"/>
      <c r="AG17" s="82"/>
      <c r="AH17" s="82"/>
      <c r="AI17" s="82"/>
      <c r="AJ17" s="82"/>
      <c r="AK17" s="82"/>
    </row>
    <row r="18" spans="1:37"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9" t="s">
        <v>15</v>
      </c>
      <c r="C21" s="79"/>
      <c r="D21" s="79"/>
      <c r="E21" s="79"/>
      <c r="F21" s="79"/>
      <c r="G21" s="79"/>
      <c r="H21" s="79"/>
      <c r="J21" s="80" t="s">
        <v>15</v>
      </c>
      <c r="K21" s="80"/>
      <c r="L21" s="80"/>
      <c r="M21" s="80"/>
      <c r="N21" s="80"/>
      <c r="O21" s="80"/>
      <c r="P21" s="80"/>
      <c r="Q21" s="80"/>
      <c r="R21" s="80"/>
      <c r="S21" s="80"/>
      <c r="T21" s="80"/>
      <c r="U21" s="80"/>
      <c r="W21" s="81" t="str">
        <f>J21</f>
        <v>Maio</v>
      </c>
      <c r="X21" s="81"/>
      <c r="Y21" s="81"/>
      <c r="Z21" s="81"/>
      <c r="AA21" s="81"/>
      <c r="AB21" s="81"/>
      <c r="AC21" s="81"/>
      <c r="AE21" s="82" t="str">
        <f>W21</f>
        <v>Maio</v>
      </c>
      <c r="AF21" s="82"/>
      <c r="AG21" s="82"/>
      <c r="AH21" s="82"/>
      <c r="AI21" s="82"/>
      <c r="AJ21" s="82"/>
      <c r="AK21" s="82"/>
    </row>
    <row r="22" spans="1:37"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9" t="s">
        <v>24</v>
      </c>
      <c r="C25" s="79"/>
      <c r="D25" s="79"/>
      <c r="E25" s="79"/>
      <c r="F25" s="79"/>
      <c r="G25" s="79"/>
      <c r="H25" s="79"/>
      <c r="J25" s="80" t="s">
        <v>24</v>
      </c>
      <c r="K25" s="80"/>
      <c r="L25" s="80"/>
      <c r="M25" s="80"/>
      <c r="N25" s="80"/>
      <c r="O25" s="80"/>
      <c r="P25" s="80"/>
      <c r="Q25" s="80"/>
      <c r="R25" s="80"/>
      <c r="S25" s="80"/>
      <c r="T25" s="80"/>
      <c r="U25" s="80"/>
      <c r="W25" s="81" t="str">
        <f>J25</f>
        <v>Junho</v>
      </c>
      <c r="X25" s="81"/>
      <c r="Y25" s="81"/>
      <c r="Z25" s="81"/>
      <c r="AA25" s="81"/>
      <c r="AB25" s="81"/>
      <c r="AC25" s="81"/>
      <c r="AE25" s="82" t="str">
        <f>W25</f>
        <v>Junho</v>
      </c>
      <c r="AF25" s="82"/>
      <c r="AG25" s="82"/>
      <c r="AH25" s="82"/>
      <c r="AI25" s="82"/>
      <c r="AJ25" s="82"/>
      <c r="AK25" s="82"/>
    </row>
    <row r="26" spans="1:37" ht="15.75" thickBot="1" x14ac:dyDescent="0.3">
      <c r="A26" s="83" t="s">
        <v>5</v>
      </c>
      <c r="B26" s="34" t="s">
        <v>6</v>
      </c>
      <c r="C26" s="22" t="s">
        <v>7</v>
      </c>
      <c r="D26" s="33" t="s">
        <v>8</v>
      </c>
      <c r="E26" s="22" t="s">
        <v>9</v>
      </c>
      <c r="F26" s="24" t="s">
        <v>10</v>
      </c>
      <c r="G26" s="23" t="s">
        <v>11</v>
      </c>
      <c r="H26" s="25" t="s">
        <v>12</v>
      </c>
      <c r="J26" s="6" t="s">
        <v>4</v>
      </c>
      <c r="K26" s="9">
        <v>45813</v>
      </c>
      <c r="L26" s="66">
        <v>45817</v>
      </c>
      <c r="M26" s="66">
        <v>45821</v>
      </c>
      <c r="N26" s="66">
        <v>45835</v>
      </c>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3"/>
      <c r="B27" s="26">
        <v>26</v>
      </c>
      <c r="C27" s="27">
        <v>1165</v>
      </c>
      <c r="D27" s="27">
        <v>1165</v>
      </c>
      <c r="E27" s="27">
        <v>1832</v>
      </c>
      <c r="F27" s="27">
        <f>SUM(C27-B27)</f>
        <v>1139</v>
      </c>
      <c r="G27" s="20">
        <f>SUM(E27-D27)</f>
        <v>667</v>
      </c>
      <c r="H27" s="21">
        <f>SUM(F27:G27)</f>
        <v>1806</v>
      </c>
      <c r="J27" s="7" t="s">
        <v>22</v>
      </c>
      <c r="K27" s="10">
        <v>232.71</v>
      </c>
      <c r="L27" s="11">
        <v>225.52</v>
      </c>
      <c r="M27" s="11">
        <v>302</v>
      </c>
      <c r="N27" s="11">
        <v>251.96</v>
      </c>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1012.19</v>
      </c>
      <c r="AB28" s="8" t="s">
        <v>23</v>
      </c>
      <c r="AC28" s="13">
        <f>SUM(X27:AC27)</f>
        <v>0</v>
      </c>
      <c r="AJ28" s="8" t="s">
        <v>23</v>
      </c>
      <c r="AK28" s="13">
        <f>SUM(AF27:AK27)</f>
        <v>0</v>
      </c>
    </row>
    <row r="29" spans="1:37" ht="15.75" thickBot="1" x14ac:dyDescent="0.3">
      <c r="A29" s="19"/>
      <c r="B29" s="79" t="s">
        <v>16</v>
      </c>
      <c r="C29" s="79"/>
      <c r="D29" s="79"/>
      <c r="E29" s="79"/>
      <c r="F29" s="79"/>
      <c r="G29" s="79"/>
      <c r="H29" s="79"/>
      <c r="J29" s="80" t="s">
        <v>16</v>
      </c>
      <c r="K29" s="80"/>
      <c r="L29" s="80"/>
      <c r="M29" s="80"/>
      <c r="N29" s="80"/>
      <c r="O29" s="80"/>
      <c r="P29" s="80"/>
      <c r="Q29" s="80"/>
      <c r="R29" s="80"/>
      <c r="S29" s="80"/>
      <c r="T29" s="80"/>
      <c r="U29" s="80"/>
      <c r="W29" s="81" t="str">
        <f>J29</f>
        <v>Julho</v>
      </c>
      <c r="X29" s="81"/>
      <c r="Y29" s="81"/>
      <c r="Z29" s="81"/>
      <c r="AA29" s="81"/>
      <c r="AB29" s="81"/>
      <c r="AC29" s="81"/>
      <c r="AE29" s="82" t="str">
        <f>W29</f>
        <v>Julho</v>
      </c>
      <c r="AF29" s="82"/>
      <c r="AG29" s="82"/>
      <c r="AH29" s="82"/>
      <c r="AI29" s="82"/>
      <c r="AJ29" s="82"/>
      <c r="AK29" s="82"/>
    </row>
    <row r="30" spans="1:37" ht="15.75" thickBot="1" x14ac:dyDescent="0.3">
      <c r="A30" s="83" t="s">
        <v>5</v>
      </c>
      <c r="B30" s="34" t="s">
        <v>6</v>
      </c>
      <c r="C30" s="22" t="s">
        <v>7</v>
      </c>
      <c r="D30" s="33" t="s">
        <v>8</v>
      </c>
      <c r="E30" s="22" t="s">
        <v>9</v>
      </c>
      <c r="F30" s="24" t="s">
        <v>10</v>
      </c>
      <c r="G30" s="23" t="s">
        <v>11</v>
      </c>
      <c r="H30" s="25" t="s">
        <v>12</v>
      </c>
      <c r="J30" s="6" t="s">
        <v>4</v>
      </c>
      <c r="K30" s="9">
        <v>45841</v>
      </c>
      <c r="L30" s="66">
        <v>45847</v>
      </c>
      <c r="M30" s="66">
        <v>45853</v>
      </c>
      <c r="N30" s="66">
        <v>45860</v>
      </c>
      <c r="O30" s="66">
        <v>45863</v>
      </c>
      <c r="P30" s="66">
        <v>45868</v>
      </c>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3"/>
      <c r="B31" s="27">
        <v>1832</v>
      </c>
      <c r="C31" s="27">
        <v>2864</v>
      </c>
      <c r="D31" s="27">
        <v>2864</v>
      </c>
      <c r="E31" s="27">
        <v>4204</v>
      </c>
      <c r="F31" s="27">
        <f>SUM(C31-B31)</f>
        <v>1032</v>
      </c>
      <c r="G31" s="20">
        <f>SUM(E31-D31)</f>
        <v>1340</v>
      </c>
      <c r="H31" s="21">
        <f>SUM(F31:G31)</f>
        <v>2372</v>
      </c>
      <c r="J31" s="7" t="s">
        <v>22</v>
      </c>
      <c r="K31" s="10">
        <v>238.05</v>
      </c>
      <c r="L31" s="11">
        <v>245.8</v>
      </c>
      <c r="M31" s="11">
        <v>212.66</v>
      </c>
      <c r="N31" s="11">
        <v>270.08999999999997</v>
      </c>
      <c r="O31" s="11">
        <v>275.58</v>
      </c>
      <c r="P31" s="11">
        <v>235.34</v>
      </c>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1477.5199999999998</v>
      </c>
      <c r="AB32" s="8" t="s">
        <v>23</v>
      </c>
      <c r="AC32" s="13">
        <f>SUM(X31:AC31)</f>
        <v>0</v>
      </c>
      <c r="AJ32" s="8" t="s">
        <v>23</v>
      </c>
      <c r="AK32" s="13">
        <f>SUM(AF31:AK31)</f>
        <v>0</v>
      </c>
    </row>
    <row r="33" spans="1:37" ht="15.75" thickBot="1" x14ac:dyDescent="0.3">
      <c r="A33" s="19"/>
      <c r="B33" s="79" t="s">
        <v>17</v>
      </c>
      <c r="C33" s="79"/>
      <c r="D33" s="79"/>
      <c r="E33" s="79"/>
      <c r="F33" s="79"/>
      <c r="G33" s="79"/>
      <c r="H33" s="79"/>
      <c r="J33" s="80" t="s">
        <v>17</v>
      </c>
      <c r="K33" s="80"/>
      <c r="L33" s="80"/>
      <c r="M33" s="80"/>
      <c r="N33" s="80"/>
      <c r="O33" s="80"/>
      <c r="P33" s="80"/>
      <c r="Q33" s="80"/>
      <c r="R33" s="80"/>
      <c r="S33" s="80"/>
      <c r="T33" s="80"/>
      <c r="U33" s="80"/>
      <c r="W33" s="81" t="str">
        <f>J33</f>
        <v>Agosto</v>
      </c>
      <c r="X33" s="81"/>
      <c r="Y33" s="81"/>
      <c r="Z33" s="81"/>
      <c r="AA33" s="81"/>
      <c r="AB33" s="81"/>
      <c r="AC33" s="81"/>
      <c r="AE33" s="82" t="str">
        <f>W33</f>
        <v>Agosto</v>
      </c>
      <c r="AF33" s="82"/>
      <c r="AG33" s="82"/>
      <c r="AH33" s="82"/>
      <c r="AI33" s="82"/>
      <c r="AJ33" s="82"/>
      <c r="AK33" s="82"/>
    </row>
    <row r="34" spans="1:37" ht="15.75" thickBot="1" x14ac:dyDescent="0.3">
      <c r="A34" s="83" t="s">
        <v>5</v>
      </c>
      <c r="B34" s="34" t="s">
        <v>6</v>
      </c>
      <c r="C34" s="22" t="s">
        <v>7</v>
      </c>
      <c r="D34" s="33" t="s">
        <v>8</v>
      </c>
      <c r="E34" s="22" t="s">
        <v>9</v>
      </c>
      <c r="F34" s="24" t="s">
        <v>10</v>
      </c>
      <c r="G34" s="23" t="s">
        <v>11</v>
      </c>
      <c r="H34" s="25" t="s">
        <v>12</v>
      </c>
      <c r="J34" s="6" t="s">
        <v>4</v>
      </c>
      <c r="K34" s="9">
        <v>45873</v>
      </c>
      <c r="L34" s="66">
        <v>45891</v>
      </c>
      <c r="M34" s="66">
        <v>45897</v>
      </c>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3"/>
      <c r="B35" s="27">
        <v>4204</v>
      </c>
      <c r="C35" s="27">
        <v>4769</v>
      </c>
      <c r="D35" s="27">
        <v>4769</v>
      </c>
      <c r="E35" s="27">
        <v>5637</v>
      </c>
      <c r="F35" s="27">
        <f>SUM(C35-B35)</f>
        <v>565</v>
      </c>
      <c r="G35" s="20">
        <f>SUM(E35-D35)</f>
        <v>868</v>
      </c>
      <c r="H35" s="21">
        <f>SUM(F35:G35)</f>
        <v>1433</v>
      </c>
      <c r="J35" s="7" t="s">
        <v>22</v>
      </c>
      <c r="K35" s="10">
        <v>283.45999999999998</v>
      </c>
      <c r="L35" s="11">
        <v>276.69</v>
      </c>
      <c r="M35" s="11">
        <v>256.81</v>
      </c>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816.96</v>
      </c>
      <c r="AB36" s="8" t="s">
        <v>23</v>
      </c>
      <c r="AC36" s="13">
        <f>SUM(X35:AC35)</f>
        <v>0</v>
      </c>
      <c r="AJ36" s="8" t="s">
        <v>23</v>
      </c>
      <c r="AK36" s="13">
        <f>SUM(AF35:AK35)</f>
        <v>0</v>
      </c>
    </row>
    <row r="37" spans="1:37" ht="15.75" thickBot="1" x14ac:dyDescent="0.3">
      <c r="A37" s="19"/>
      <c r="B37" s="79" t="s">
        <v>18</v>
      </c>
      <c r="C37" s="79"/>
      <c r="D37" s="79"/>
      <c r="E37" s="79"/>
      <c r="F37" s="79"/>
      <c r="G37" s="79"/>
      <c r="H37" s="79"/>
      <c r="J37" s="80" t="s">
        <v>18</v>
      </c>
      <c r="K37" s="80"/>
      <c r="L37" s="80"/>
      <c r="M37" s="80"/>
      <c r="N37" s="80"/>
      <c r="O37" s="80"/>
      <c r="P37" s="80"/>
      <c r="Q37" s="80"/>
      <c r="R37" s="80"/>
      <c r="S37" s="80"/>
      <c r="T37" s="80"/>
      <c r="U37" s="80"/>
      <c r="W37" s="81" t="str">
        <f>J37</f>
        <v>Setembro</v>
      </c>
      <c r="X37" s="81"/>
      <c r="Y37" s="81"/>
      <c r="Z37" s="81"/>
      <c r="AA37" s="81"/>
      <c r="AB37" s="81"/>
      <c r="AC37" s="81"/>
      <c r="AE37" s="82" t="str">
        <f>W37</f>
        <v>Setembro</v>
      </c>
      <c r="AF37" s="82"/>
      <c r="AG37" s="82"/>
      <c r="AH37" s="82"/>
      <c r="AI37" s="82"/>
      <c r="AJ37" s="82"/>
      <c r="AK37" s="82"/>
    </row>
    <row r="38" spans="1:37" ht="15.75" thickBot="1" x14ac:dyDescent="0.3">
      <c r="A38" s="83" t="s">
        <v>5</v>
      </c>
      <c r="B38" s="34" t="s">
        <v>6</v>
      </c>
      <c r="C38" s="22" t="s">
        <v>7</v>
      </c>
      <c r="D38" s="33" t="s">
        <v>8</v>
      </c>
      <c r="E38" s="22" t="s">
        <v>9</v>
      </c>
      <c r="F38" s="24" t="s">
        <v>10</v>
      </c>
      <c r="G38" s="23" t="s">
        <v>11</v>
      </c>
      <c r="H38" s="25" t="s">
        <v>12</v>
      </c>
      <c r="J38" s="6" t="s">
        <v>4</v>
      </c>
      <c r="K38" s="9">
        <v>45903</v>
      </c>
      <c r="L38" s="66">
        <v>45917</v>
      </c>
      <c r="M38" s="66">
        <v>45923</v>
      </c>
      <c r="N38" s="66">
        <v>45926</v>
      </c>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3"/>
      <c r="B39" s="27">
        <v>5637</v>
      </c>
      <c r="C39" s="27">
        <v>5884</v>
      </c>
      <c r="D39" s="27">
        <v>5884</v>
      </c>
      <c r="E39" s="27">
        <v>7158</v>
      </c>
      <c r="F39" s="27">
        <f>SUM(C39-B39)</f>
        <v>247</v>
      </c>
      <c r="G39" s="20">
        <f>SUM(E39-D39)</f>
        <v>1274</v>
      </c>
      <c r="H39" s="21">
        <f>SUM(F39:G39)</f>
        <v>1521</v>
      </c>
      <c r="J39" s="7" t="s">
        <v>22</v>
      </c>
      <c r="K39" s="10">
        <v>257.19</v>
      </c>
      <c r="L39" s="11">
        <v>237.94</v>
      </c>
      <c r="M39" s="11">
        <v>246.94</v>
      </c>
      <c r="N39" s="11">
        <v>266.62</v>
      </c>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1008.6899999999999</v>
      </c>
      <c r="AB40" s="8" t="s">
        <v>23</v>
      </c>
      <c r="AC40" s="13">
        <f>SUM(X39:AC39)</f>
        <v>0</v>
      </c>
      <c r="AJ40" s="8" t="s">
        <v>23</v>
      </c>
      <c r="AK40" s="13">
        <f>SUM(AF39:AK39)</f>
        <v>0</v>
      </c>
    </row>
    <row r="41" spans="1:37" ht="15.75" thickBot="1" x14ac:dyDescent="0.3">
      <c r="A41" s="19"/>
      <c r="B41" s="79" t="s">
        <v>19</v>
      </c>
      <c r="C41" s="79"/>
      <c r="D41" s="79"/>
      <c r="E41" s="79"/>
      <c r="F41" s="79"/>
      <c r="G41" s="79"/>
      <c r="H41" s="79"/>
      <c r="J41" s="80" t="s">
        <v>19</v>
      </c>
      <c r="K41" s="80"/>
      <c r="L41" s="80"/>
      <c r="M41" s="80"/>
      <c r="N41" s="80"/>
      <c r="O41" s="80"/>
      <c r="P41" s="80"/>
      <c r="Q41" s="80"/>
      <c r="R41" s="80"/>
      <c r="S41" s="80"/>
      <c r="T41" s="80"/>
      <c r="U41" s="80"/>
      <c r="W41" s="81" t="str">
        <f>J41</f>
        <v>Outubro</v>
      </c>
      <c r="X41" s="81"/>
      <c r="Y41" s="81"/>
      <c r="Z41" s="81"/>
      <c r="AA41" s="81"/>
      <c r="AB41" s="81"/>
      <c r="AC41" s="81"/>
      <c r="AE41" s="82" t="str">
        <f>W41</f>
        <v>Outubro</v>
      </c>
      <c r="AF41" s="82"/>
      <c r="AG41" s="82"/>
      <c r="AH41" s="82"/>
      <c r="AI41" s="82"/>
      <c r="AJ41" s="82"/>
      <c r="AK41" s="82"/>
    </row>
    <row r="42" spans="1:37" ht="15.75" thickBot="1" x14ac:dyDescent="0.3">
      <c r="A42" s="83" t="s">
        <v>5</v>
      </c>
      <c r="B42" s="34" t="s">
        <v>6</v>
      </c>
      <c r="C42" s="22" t="s">
        <v>7</v>
      </c>
      <c r="D42" s="33" t="s">
        <v>8</v>
      </c>
      <c r="E42" s="22" t="s">
        <v>9</v>
      </c>
      <c r="F42" s="24" t="s">
        <v>10</v>
      </c>
      <c r="G42" s="23" t="s">
        <v>11</v>
      </c>
      <c r="H42" s="25" t="s">
        <v>12</v>
      </c>
      <c r="J42" s="6" t="s">
        <v>4</v>
      </c>
      <c r="K42" s="9">
        <v>45931</v>
      </c>
      <c r="L42" s="66">
        <v>45938</v>
      </c>
      <c r="M42" s="66">
        <v>45950</v>
      </c>
      <c r="N42" s="66">
        <v>45957</v>
      </c>
      <c r="O42" s="66">
        <v>45960</v>
      </c>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3"/>
      <c r="B43" s="27">
        <v>7158</v>
      </c>
      <c r="C43" s="27">
        <v>7833</v>
      </c>
      <c r="D43" s="27">
        <v>7833</v>
      </c>
      <c r="E43" s="27">
        <v>8959</v>
      </c>
      <c r="F43" s="27">
        <f>SUM(C43-B43)</f>
        <v>675</v>
      </c>
      <c r="G43" s="20">
        <f>SUM(E43-D43)</f>
        <v>1126</v>
      </c>
      <c r="H43" s="21">
        <f>SUM(F43:G43)</f>
        <v>1801</v>
      </c>
      <c r="J43" s="7" t="s">
        <v>22</v>
      </c>
      <c r="K43" s="10">
        <v>100</v>
      </c>
      <c r="L43" s="11">
        <v>204.22</v>
      </c>
      <c r="M43" s="11">
        <v>252.4</v>
      </c>
      <c r="N43" s="11">
        <v>269.17</v>
      </c>
      <c r="O43" s="11">
        <v>266.39</v>
      </c>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1092.1799999999998</v>
      </c>
      <c r="AB44" s="8" t="s">
        <v>23</v>
      </c>
      <c r="AC44" s="13">
        <f>SUM(X43:AC43)</f>
        <v>0</v>
      </c>
      <c r="AJ44" s="8" t="s">
        <v>23</v>
      </c>
      <c r="AK44" s="13">
        <f>SUM(AF43:AK43)</f>
        <v>0</v>
      </c>
    </row>
    <row r="45" spans="1:37" ht="15.75" thickBot="1" x14ac:dyDescent="0.3">
      <c r="A45" s="19"/>
      <c r="B45" s="79" t="s">
        <v>20</v>
      </c>
      <c r="C45" s="79"/>
      <c r="D45" s="79"/>
      <c r="E45" s="79"/>
      <c r="F45" s="79"/>
      <c r="G45" s="79"/>
      <c r="H45" s="79"/>
      <c r="J45" s="80" t="s">
        <v>20</v>
      </c>
      <c r="K45" s="80"/>
      <c r="L45" s="80"/>
      <c r="M45" s="80"/>
      <c r="N45" s="80"/>
      <c r="O45" s="80"/>
      <c r="P45" s="80"/>
      <c r="Q45" s="80"/>
      <c r="R45" s="80"/>
      <c r="S45" s="80"/>
      <c r="T45" s="80"/>
      <c r="U45" s="80"/>
      <c r="W45" s="81" t="str">
        <f>J45</f>
        <v>Novembro</v>
      </c>
      <c r="X45" s="81"/>
      <c r="Y45" s="81"/>
      <c r="Z45" s="81"/>
      <c r="AA45" s="81"/>
      <c r="AB45" s="81"/>
      <c r="AC45" s="81"/>
      <c r="AE45" s="82" t="str">
        <f>W45</f>
        <v>Novembro</v>
      </c>
      <c r="AF45" s="82"/>
      <c r="AG45" s="82"/>
      <c r="AH45" s="82"/>
      <c r="AI45" s="82"/>
      <c r="AJ45" s="82"/>
      <c r="AK45" s="82"/>
    </row>
    <row r="46" spans="1:37" ht="15.75" thickBot="1" x14ac:dyDescent="0.3">
      <c r="A46" s="83" t="s">
        <v>5</v>
      </c>
      <c r="B46" s="34" t="s">
        <v>6</v>
      </c>
      <c r="C46" s="22" t="s">
        <v>7</v>
      </c>
      <c r="D46" s="33" t="s">
        <v>8</v>
      </c>
      <c r="E46" s="22" t="s">
        <v>9</v>
      </c>
      <c r="F46" s="24" t="s">
        <v>10</v>
      </c>
      <c r="G46" s="23" t="s">
        <v>11</v>
      </c>
      <c r="H46" s="25" t="s">
        <v>12</v>
      </c>
      <c r="J46" s="6" t="s">
        <v>4</v>
      </c>
      <c r="K46" s="9">
        <v>45966</v>
      </c>
      <c r="L46" s="9">
        <v>45967</v>
      </c>
      <c r="M46" s="66">
        <v>45980</v>
      </c>
      <c r="N46" s="66">
        <v>45982</v>
      </c>
      <c r="O46" s="66">
        <v>45982</v>
      </c>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3"/>
      <c r="B47" s="27">
        <v>8959</v>
      </c>
      <c r="C47" s="27">
        <v>9803</v>
      </c>
      <c r="D47" s="27">
        <v>9803</v>
      </c>
      <c r="E47" s="27">
        <v>11186</v>
      </c>
      <c r="F47" s="27">
        <f>SUM(C47-B47)</f>
        <v>844</v>
      </c>
      <c r="G47" s="20">
        <f>SUM(E47-D47)</f>
        <v>1383</v>
      </c>
      <c r="H47" s="21">
        <f>SUM(F47:G47)</f>
        <v>2227</v>
      </c>
      <c r="J47" s="7" t="s">
        <v>22</v>
      </c>
      <c r="K47" s="10">
        <v>240.16</v>
      </c>
      <c r="L47" s="10">
        <v>210.54</v>
      </c>
      <c r="M47" s="11">
        <v>279.77</v>
      </c>
      <c r="N47" s="11">
        <v>164.2</v>
      </c>
      <c r="O47" s="11">
        <v>243.12</v>
      </c>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1137.79</v>
      </c>
      <c r="AB48" s="8" t="s">
        <v>23</v>
      </c>
      <c r="AC48" s="13">
        <f>SUM(X47:AC47)</f>
        <v>0</v>
      </c>
      <c r="AJ48" s="8" t="s">
        <v>23</v>
      </c>
      <c r="AK48" s="13">
        <f>SUM(AF47:AK47)</f>
        <v>0</v>
      </c>
    </row>
    <row r="49" spans="1:37" ht="15.75" thickBot="1" x14ac:dyDescent="0.3">
      <c r="A49" s="19"/>
      <c r="B49" s="79" t="s">
        <v>21</v>
      </c>
      <c r="C49" s="79"/>
      <c r="D49" s="79"/>
      <c r="E49" s="79"/>
      <c r="F49" s="79"/>
      <c r="G49" s="79"/>
      <c r="H49" s="79"/>
      <c r="J49" s="80" t="s">
        <v>21</v>
      </c>
      <c r="K49" s="80"/>
      <c r="L49" s="80"/>
      <c r="M49" s="80"/>
      <c r="N49" s="80"/>
      <c r="O49" s="80"/>
      <c r="P49" s="80"/>
      <c r="Q49" s="80"/>
      <c r="R49" s="80"/>
      <c r="S49" s="80"/>
      <c r="T49" s="80"/>
      <c r="U49" s="80"/>
      <c r="W49" s="81" t="str">
        <f>J49</f>
        <v>Dezembro</v>
      </c>
      <c r="X49" s="81"/>
      <c r="Y49" s="81"/>
      <c r="Z49" s="81"/>
      <c r="AA49" s="81"/>
      <c r="AB49" s="81"/>
      <c r="AC49" s="81"/>
      <c r="AE49" s="82" t="str">
        <f>W49</f>
        <v>Dezembro</v>
      </c>
      <c r="AF49" s="82"/>
      <c r="AG49" s="82"/>
      <c r="AH49" s="82"/>
      <c r="AI49" s="82"/>
      <c r="AJ49" s="82"/>
      <c r="AK49" s="82"/>
    </row>
    <row r="50" spans="1:37" ht="15.75" thickBot="1" x14ac:dyDescent="0.3">
      <c r="A50" s="83" t="s">
        <v>5</v>
      </c>
      <c r="B50" s="34" t="s">
        <v>6</v>
      </c>
      <c r="C50" s="22" t="s">
        <v>7</v>
      </c>
      <c r="D50" s="33" t="s">
        <v>8</v>
      </c>
      <c r="E50" s="22" t="s">
        <v>9</v>
      </c>
      <c r="F50" s="24" t="s">
        <v>10</v>
      </c>
      <c r="G50" s="23" t="s">
        <v>11</v>
      </c>
      <c r="H50" s="25" t="s">
        <v>12</v>
      </c>
      <c r="J50" s="6" t="s">
        <v>4</v>
      </c>
      <c r="K50" s="9">
        <v>45992</v>
      </c>
      <c r="L50" s="66">
        <v>45995</v>
      </c>
      <c r="M50" s="66">
        <v>46000</v>
      </c>
      <c r="N50" s="66">
        <v>46003</v>
      </c>
      <c r="O50" s="66">
        <v>46009</v>
      </c>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3"/>
      <c r="B51" s="27">
        <v>11186</v>
      </c>
      <c r="C51" s="27">
        <v>12368</v>
      </c>
      <c r="D51" s="27">
        <v>12368</v>
      </c>
      <c r="E51" s="27">
        <v>12734</v>
      </c>
      <c r="F51" s="27">
        <f>SUM(C51-B51)</f>
        <v>1182</v>
      </c>
      <c r="G51" s="20">
        <f>SUM(E51-D51)</f>
        <v>366</v>
      </c>
      <c r="H51" s="21">
        <f>SUM(F51:G51)</f>
        <v>1548</v>
      </c>
      <c r="J51" s="7" t="s">
        <v>22</v>
      </c>
      <c r="K51" s="10">
        <v>200</v>
      </c>
      <c r="L51" s="11">
        <v>100</v>
      </c>
      <c r="M51" s="11">
        <v>276.74</v>
      </c>
      <c r="N51" s="11">
        <v>295.89999999999998</v>
      </c>
      <c r="O51" s="11">
        <v>100</v>
      </c>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972.64</v>
      </c>
      <c r="AB52" s="8" t="s">
        <v>23</v>
      </c>
      <c r="AC52" s="13">
        <f>SUM(X51:AC51)</f>
        <v>0</v>
      </c>
      <c r="AJ52" s="8" t="s">
        <v>23</v>
      </c>
      <c r="AK52" s="13">
        <f>SUM(AF51:AK51)</f>
        <v>0</v>
      </c>
    </row>
    <row r="53" spans="1:37" ht="15.75" thickBot="1" x14ac:dyDescent="0.3">
      <c r="A53" s="68">
        <v>2026</v>
      </c>
      <c r="B53" s="79" t="s">
        <v>88</v>
      </c>
      <c r="C53" s="79"/>
      <c r="D53" s="79"/>
      <c r="E53" s="79"/>
      <c r="F53" s="79"/>
      <c r="G53" s="79"/>
      <c r="H53" s="79"/>
      <c r="J53" s="80" t="s">
        <v>88</v>
      </c>
      <c r="K53" s="80"/>
      <c r="L53" s="80"/>
      <c r="M53" s="80"/>
      <c r="N53" s="80"/>
      <c r="O53" s="80"/>
      <c r="P53" s="80"/>
      <c r="Q53" s="80"/>
      <c r="R53" s="80"/>
      <c r="S53" s="80"/>
      <c r="T53" s="80"/>
      <c r="U53" s="80"/>
      <c r="W53" s="81" t="s">
        <v>3</v>
      </c>
      <c r="X53" s="81"/>
      <c r="Y53" s="81"/>
      <c r="Z53" s="81"/>
      <c r="AA53" s="81"/>
      <c r="AB53" s="81"/>
      <c r="AC53" s="81"/>
      <c r="AE53" s="82" t="s">
        <v>3</v>
      </c>
      <c r="AF53" s="82"/>
      <c r="AG53" s="82"/>
      <c r="AH53" s="82"/>
      <c r="AI53" s="82"/>
      <c r="AJ53" s="82"/>
      <c r="AK53" s="82"/>
    </row>
    <row r="54" spans="1:37" ht="15.75" thickBot="1" x14ac:dyDescent="0.3">
      <c r="A54" s="83" t="s">
        <v>5</v>
      </c>
      <c r="B54" s="34" t="s">
        <v>6</v>
      </c>
      <c r="C54" s="22" t="s">
        <v>7</v>
      </c>
      <c r="D54" s="33" t="s">
        <v>8</v>
      </c>
      <c r="E54" s="22" t="s">
        <v>9</v>
      </c>
      <c r="F54" s="24" t="s">
        <v>10</v>
      </c>
      <c r="G54" s="23" t="s">
        <v>11</v>
      </c>
      <c r="H54" s="25" t="s">
        <v>12</v>
      </c>
      <c r="J54" s="28" t="s">
        <v>4</v>
      </c>
      <c r="K54" s="9"/>
      <c r="L54" s="66"/>
      <c r="M54" s="66"/>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83"/>
      <c r="B55" s="27">
        <v>12734</v>
      </c>
      <c r="C55" s="27"/>
      <c r="D55" s="27"/>
      <c r="E55" s="27">
        <v>14475</v>
      </c>
      <c r="F55" s="27">
        <f>SUM(C55-B55)</f>
        <v>-12734</v>
      </c>
      <c r="G55" s="20">
        <f>SUM(E55-D55)</f>
        <v>14475</v>
      </c>
      <c r="H55" s="21">
        <f>SUM(F55:G55)</f>
        <v>1741</v>
      </c>
      <c r="J55" s="29" t="s">
        <v>22</v>
      </c>
      <c r="K55" s="10"/>
      <c r="L55" s="11"/>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0</v>
      </c>
      <c r="AB56" s="8" t="s">
        <v>23</v>
      </c>
      <c r="AC56" s="13">
        <f>SUM(X55:AC55)</f>
        <v>0</v>
      </c>
      <c r="AJ56" s="8" t="s">
        <v>23</v>
      </c>
      <c r="AK56" s="13">
        <f>SUM(AF55:AK55)</f>
        <v>0</v>
      </c>
    </row>
    <row r="57" spans="1:37" ht="15.75" thickBot="1" x14ac:dyDescent="0.3">
      <c r="A57" s="19"/>
      <c r="B57" s="79" t="s">
        <v>3</v>
      </c>
      <c r="C57" s="79"/>
      <c r="D57" s="79"/>
      <c r="E57" s="79"/>
      <c r="F57" s="79"/>
      <c r="G57" s="79"/>
      <c r="H57" s="79"/>
      <c r="J57" s="80" t="s">
        <v>3</v>
      </c>
      <c r="K57" s="80"/>
      <c r="L57" s="80"/>
      <c r="M57" s="80"/>
      <c r="N57" s="80"/>
      <c r="O57" s="80"/>
      <c r="P57" s="80"/>
      <c r="Q57" s="80"/>
      <c r="R57" s="80"/>
      <c r="S57" s="80"/>
      <c r="T57" s="80"/>
      <c r="U57" s="80"/>
      <c r="W57" s="81" t="str">
        <f>J57</f>
        <v>Fevereiro</v>
      </c>
      <c r="X57" s="81"/>
      <c r="Y57" s="81"/>
      <c r="Z57" s="81"/>
      <c r="AA57" s="81"/>
      <c r="AB57" s="81"/>
      <c r="AC57" s="81"/>
      <c r="AE57" s="82" t="str">
        <f>W57</f>
        <v>Fevereiro</v>
      </c>
      <c r="AF57" s="82"/>
      <c r="AG57" s="82"/>
      <c r="AH57" s="82"/>
      <c r="AI57" s="82"/>
      <c r="AJ57" s="82"/>
      <c r="AK57" s="82"/>
    </row>
    <row r="58" spans="1:37" ht="15.75" thickBot="1" x14ac:dyDescent="0.3">
      <c r="A58" s="83" t="s">
        <v>5</v>
      </c>
      <c r="B58" s="34" t="s">
        <v>6</v>
      </c>
      <c r="C58" s="22" t="s">
        <v>7</v>
      </c>
      <c r="D58" s="33" t="s">
        <v>8</v>
      </c>
      <c r="E58" s="22" t="s">
        <v>9</v>
      </c>
      <c r="F58" s="24" t="s">
        <v>10</v>
      </c>
      <c r="G58" s="23" t="s">
        <v>11</v>
      </c>
      <c r="H58" s="25" t="s">
        <v>12</v>
      </c>
      <c r="J58" s="6" t="s">
        <v>4</v>
      </c>
      <c r="K58" s="9"/>
      <c r="L58" s="66"/>
      <c r="M58" s="4"/>
      <c r="N58" s="4"/>
      <c r="O58" s="4"/>
      <c r="P58" s="4"/>
      <c r="Q58" s="4"/>
      <c r="R58" s="4"/>
      <c r="S58" s="4"/>
      <c r="T58" s="4"/>
      <c r="U58" s="5"/>
      <c r="W58" s="6" t="s">
        <v>4</v>
      </c>
      <c r="X58" s="9"/>
      <c r="Y58" s="4"/>
      <c r="Z58" s="4"/>
      <c r="AA58" s="4"/>
      <c r="AB58" s="4"/>
      <c r="AC58" s="5"/>
      <c r="AE58" s="6" t="s">
        <v>4</v>
      </c>
      <c r="AF58" s="9"/>
      <c r="AG58" s="4"/>
      <c r="AH58" s="4"/>
      <c r="AI58" s="4"/>
      <c r="AJ58" s="4"/>
      <c r="AK58" s="5"/>
    </row>
    <row r="59" spans="1:37" ht="15.75" thickBot="1" x14ac:dyDescent="0.3">
      <c r="A59" s="83"/>
      <c r="B59" s="27">
        <v>14475</v>
      </c>
      <c r="C59" s="27"/>
      <c r="D59" s="27"/>
      <c r="E59" s="27">
        <v>15827</v>
      </c>
      <c r="F59" s="27">
        <f>SUM(C59-B59)</f>
        <v>-14475</v>
      </c>
      <c r="G59" s="20">
        <f>SUM(E59-D59)</f>
        <v>15827</v>
      </c>
      <c r="H59" s="21">
        <f>SUM(F59:G59)</f>
        <v>1352</v>
      </c>
      <c r="J59" s="7" t="s">
        <v>22</v>
      </c>
      <c r="K59" s="10"/>
      <c r="L59" s="11"/>
      <c r="M59" s="11"/>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0</v>
      </c>
      <c r="AB60" s="8" t="s">
        <v>23</v>
      </c>
      <c r="AC60" s="13">
        <f>SUM(X59:AC59)</f>
        <v>0</v>
      </c>
      <c r="AJ60" s="8" t="s">
        <v>23</v>
      </c>
      <c r="AK60" s="13">
        <f>SUM(AF59:AK59)</f>
        <v>0</v>
      </c>
    </row>
    <row r="61" spans="1:37" ht="15.75" thickBot="1" x14ac:dyDescent="0.3">
      <c r="A61" s="19"/>
      <c r="B61" s="79" t="s">
        <v>13</v>
      </c>
      <c r="C61" s="79"/>
      <c r="D61" s="79"/>
      <c r="E61" s="79"/>
      <c r="F61" s="79"/>
      <c r="G61" s="79"/>
      <c r="H61" s="79"/>
      <c r="J61" s="80" t="s">
        <v>13</v>
      </c>
      <c r="K61" s="80"/>
      <c r="L61" s="80"/>
      <c r="M61" s="80"/>
      <c r="N61" s="80"/>
      <c r="O61" s="80"/>
      <c r="P61" s="80"/>
      <c r="Q61" s="80"/>
      <c r="R61" s="80"/>
      <c r="S61" s="80"/>
      <c r="T61" s="80"/>
      <c r="U61" s="80"/>
      <c r="W61" s="81" t="str">
        <f>J61</f>
        <v>Março</v>
      </c>
      <c r="X61" s="81"/>
      <c r="Y61" s="81"/>
      <c r="Z61" s="81"/>
      <c r="AA61" s="81"/>
      <c r="AB61" s="81"/>
      <c r="AC61" s="81"/>
      <c r="AE61" s="82" t="str">
        <f>W61</f>
        <v>Março</v>
      </c>
      <c r="AF61" s="82"/>
      <c r="AG61" s="82"/>
      <c r="AH61" s="82"/>
      <c r="AI61" s="82"/>
      <c r="AJ61" s="82"/>
      <c r="AK61" s="82"/>
    </row>
    <row r="62" spans="1:37" ht="15.75" thickBot="1" x14ac:dyDescent="0.3">
      <c r="A62" s="83" t="s">
        <v>5</v>
      </c>
      <c r="B62" s="34" t="s">
        <v>6</v>
      </c>
      <c r="C62" s="22" t="s">
        <v>7</v>
      </c>
      <c r="D62" s="33" t="s">
        <v>8</v>
      </c>
      <c r="E62" s="22" t="s">
        <v>9</v>
      </c>
      <c r="F62" s="24" t="s">
        <v>10</v>
      </c>
      <c r="G62" s="23" t="s">
        <v>11</v>
      </c>
      <c r="H62" s="25" t="s">
        <v>12</v>
      </c>
      <c r="J62" s="6" t="s">
        <v>4</v>
      </c>
      <c r="K62" s="9"/>
      <c r="L62" s="66"/>
      <c r="M62" s="4"/>
      <c r="N62" s="4"/>
      <c r="O62" s="4"/>
      <c r="P62" s="4"/>
      <c r="Q62" s="4"/>
      <c r="R62" s="4"/>
      <c r="S62" s="4"/>
      <c r="T62" s="4"/>
      <c r="U62" s="5"/>
      <c r="W62" s="6" t="s">
        <v>4</v>
      </c>
      <c r="X62" s="9"/>
      <c r="Y62" s="4"/>
      <c r="Z62" s="4"/>
      <c r="AA62" s="4"/>
      <c r="AB62" s="4"/>
      <c r="AC62" s="5"/>
      <c r="AE62" s="6" t="s">
        <v>4</v>
      </c>
      <c r="AF62" s="9"/>
      <c r="AG62" s="4"/>
      <c r="AH62" s="4"/>
      <c r="AI62" s="4"/>
      <c r="AJ62" s="4"/>
      <c r="AK62" s="5"/>
    </row>
    <row r="63" spans="1:37" ht="15.75" thickBot="1" x14ac:dyDescent="0.3">
      <c r="A63" s="83"/>
      <c r="B63" s="27">
        <v>15827</v>
      </c>
      <c r="C63" s="27">
        <v>16070</v>
      </c>
      <c r="D63" s="27"/>
      <c r="E63" s="27"/>
      <c r="F63" s="27">
        <f>SUM(C63-B63)</f>
        <v>243</v>
      </c>
      <c r="G63" s="20">
        <f>SUM(E63-D63)</f>
        <v>0</v>
      </c>
      <c r="H63" s="21">
        <f>SUM(F63:G63)</f>
        <v>243</v>
      </c>
      <c r="J63" s="7" t="s">
        <v>22</v>
      </c>
      <c r="K63" s="10"/>
      <c r="L63" s="11"/>
      <c r="M63" s="11"/>
      <c r="N63" s="11"/>
      <c r="O63" s="11"/>
      <c r="P63" s="11"/>
      <c r="Q63" s="11"/>
      <c r="R63" s="11"/>
      <c r="S63" s="11"/>
      <c r="T63" s="11"/>
      <c r="U63" s="12"/>
      <c r="W63" s="7" t="s">
        <v>22</v>
      </c>
      <c r="X63" s="10"/>
      <c r="Y63" s="11"/>
      <c r="Z63" s="11"/>
      <c r="AA63" s="11"/>
      <c r="AB63" s="11"/>
      <c r="AC63" s="12"/>
      <c r="AE63" s="7" t="s">
        <v>22</v>
      </c>
      <c r="AF63" s="10"/>
      <c r="AG63" s="11"/>
      <c r="AH63" s="11"/>
      <c r="AI63" s="11"/>
      <c r="AJ63" s="11"/>
      <c r="AK63" s="12"/>
    </row>
    <row r="64" spans="1:37" x14ac:dyDescent="0.25">
      <c r="A64" s="74"/>
      <c r="F64" s="1"/>
      <c r="J64" s="8"/>
      <c r="K64" s="13"/>
      <c r="L64" s="13"/>
      <c r="M64" s="13"/>
      <c r="N64" s="13"/>
      <c r="O64" s="13"/>
      <c r="P64" s="13"/>
      <c r="Q64" s="13"/>
      <c r="R64" s="13"/>
      <c r="S64" s="13"/>
      <c r="T64" s="13"/>
      <c r="U64" s="13"/>
      <c r="W64" s="8"/>
      <c r="X64" s="13"/>
      <c r="Y64" s="13"/>
      <c r="Z64" s="13"/>
      <c r="AA64" s="13"/>
      <c r="AB64" s="13"/>
      <c r="AC64" s="13"/>
      <c r="AE64" s="8"/>
      <c r="AF64" s="13"/>
      <c r="AG64" s="13"/>
      <c r="AH64" s="13"/>
      <c r="AI64" s="13"/>
      <c r="AJ64" s="13"/>
      <c r="AK64" s="13"/>
    </row>
    <row r="65" spans="1:37" ht="15.75" thickBot="1" x14ac:dyDescent="0.3">
      <c r="A65" s="19"/>
      <c r="B65" s="79" t="s">
        <v>14</v>
      </c>
      <c r="C65" s="79"/>
      <c r="D65" s="79"/>
      <c r="E65" s="79"/>
      <c r="F65" s="79"/>
      <c r="G65" s="79"/>
      <c r="H65" s="79"/>
      <c r="J65" s="80" t="s">
        <v>14</v>
      </c>
      <c r="K65" s="80"/>
      <c r="L65" s="80"/>
      <c r="M65" s="80"/>
      <c r="N65" s="80"/>
      <c r="O65" s="80"/>
      <c r="P65" s="80"/>
      <c r="Q65" s="80"/>
      <c r="R65" s="80"/>
      <c r="S65" s="80"/>
      <c r="T65" s="80"/>
      <c r="U65" s="80"/>
      <c r="W65" s="81" t="str">
        <f>J65</f>
        <v>Abril</v>
      </c>
      <c r="X65" s="81"/>
      <c r="Y65" s="81"/>
      <c r="Z65" s="81"/>
      <c r="AA65" s="81"/>
      <c r="AB65" s="81"/>
      <c r="AC65" s="81"/>
      <c r="AE65" s="82" t="str">
        <f>W65</f>
        <v>Abril</v>
      </c>
      <c r="AF65" s="82"/>
      <c r="AG65" s="82"/>
      <c r="AH65" s="82"/>
      <c r="AI65" s="82"/>
      <c r="AJ65" s="82"/>
      <c r="AK65" s="82"/>
    </row>
    <row r="66" spans="1:37" ht="15.75" thickBot="1" x14ac:dyDescent="0.3">
      <c r="A66" s="83"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83"/>
      <c r="B67" s="26"/>
      <c r="C67" s="27"/>
      <c r="D67" s="27"/>
      <c r="E67" s="27"/>
      <c r="F67" s="27">
        <f>SUM(C67-B67)</f>
        <v>0</v>
      </c>
      <c r="G67" s="20">
        <f>SUM(E67-D67)</f>
        <v>0</v>
      </c>
      <c r="H67" s="21">
        <f>SUM(F67:G67)</f>
        <v>0</v>
      </c>
      <c r="J67" s="7" t="s">
        <v>22</v>
      </c>
      <c r="K67" s="30"/>
      <c r="L67" s="31"/>
      <c r="M67" s="31"/>
      <c r="N67" s="31"/>
      <c r="O67" s="31"/>
      <c r="P67" s="31"/>
      <c r="Q67" s="31"/>
      <c r="R67" s="31"/>
      <c r="S67" s="31"/>
      <c r="T67" s="31"/>
      <c r="U67" s="3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19"/>
      <c r="B69" s="79" t="s">
        <v>15</v>
      </c>
      <c r="C69" s="79"/>
      <c r="D69" s="79"/>
      <c r="E69" s="79"/>
      <c r="F69" s="79"/>
      <c r="G69" s="79"/>
      <c r="H69" s="79"/>
      <c r="J69" s="80" t="s">
        <v>15</v>
      </c>
      <c r="K69" s="80"/>
      <c r="L69" s="80"/>
      <c r="M69" s="80"/>
      <c r="N69" s="80"/>
      <c r="O69" s="80"/>
      <c r="P69" s="80"/>
      <c r="Q69" s="80"/>
      <c r="R69" s="80"/>
      <c r="S69" s="80"/>
      <c r="T69" s="80"/>
      <c r="U69" s="80"/>
      <c r="W69" s="81" t="str">
        <f>J69</f>
        <v>Maio</v>
      </c>
      <c r="X69" s="81"/>
      <c r="Y69" s="81"/>
      <c r="Z69" s="81"/>
      <c r="AA69" s="81"/>
      <c r="AB69" s="81"/>
      <c r="AC69" s="81"/>
      <c r="AE69" s="82" t="str">
        <f>W69</f>
        <v>Maio</v>
      </c>
      <c r="AF69" s="82"/>
      <c r="AG69" s="82"/>
      <c r="AH69" s="82"/>
      <c r="AI69" s="82"/>
      <c r="AJ69" s="82"/>
      <c r="AK69" s="82"/>
    </row>
    <row r="70" spans="1:37" ht="15.75" thickBot="1" x14ac:dyDescent="0.3">
      <c r="A70" s="83"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83"/>
      <c r="B71" s="26"/>
      <c r="C71" s="27"/>
      <c r="D71" s="27"/>
      <c r="E71" s="27"/>
      <c r="F71" s="27">
        <f>SUM(C71-B71)</f>
        <v>0</v>
      </c>
      <c r="G71" s="20">
        <f>SUM(E71-D71)</f>
        <v>0</v>
      </c>
      <c r="H71" s="21">
        <f>SUM(F71:G71)</f>
        <v>0</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9" t="s">
        <v>24</v>
      </c>
      <c r="C73" s="79"/>
      <c r="D73" s="79"/>
      <c r="E73" s="79"/>
      <c r="F73" s="79"/>
      <c r="G73" s="79"/>
      <c r="H73" s="79"/>
      <c r="J73" s="80" t="s">
        <v>24</v>
      </c>
      <c r="K73" s="80"/>
      <c r="L73" s="80"/>
      <c r="M73" s="80"/>
      <c r="N73" s="80"/>
      <c r="O73" s="80"/>
      <c r="P73" s="80"/>
      <c r="Q73" s="80"/>
      <c r="R73" s="80"/>
      <c r="S73" s="80"/>
      <c r="T73" s="80"/>
      <c r="U73" s="80"/>
      <c r="W73" s="81" t="str">
        <f>J73</f>
        <v>Junho</v>
      </c>
      <c r="X73" s="81"/>
      <c r="Y73" s="81"/>
      <c r="Z73" s="81"/>
      <c r="AA73" s="81"/>
      <c r="AB73" s="81"/>
      <c r="AC73" s="81"/>
      <c r="AE73" s="82" t="str">
        <f>W73</f>
        <v>Junho</v>
      </c>
      <c r="AF73" s="82"/>
      <c r="AG73" s="82"/>
      <c r="AH73" s="82"/>
      <c r="AI73" s="82"/>
      <c r="AJ73" s="82"/>
      <c r="AK73" s="82"/>
    </row>
    <row r="74" spans="1:37" ht="15.75" thickBot="1" x14ac:dyDescent="0.3">
      <c r="A74" s="83"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83"/>
      <c r="B75" s="26"/>
      <c r="C75" s="27"/>
      <c r="D75" s="27"/>
      <c r="E75" s="27"/>
      <c r="F75" s="27">
        <f>SUM(C75-B75)</f>
        <v>0</v>
      </c>
      <c r="G75" s="20">
        <f>SUM(E75-D75)</f>
        <v>0</v>
      </c>
      <c r="H75" s="21">
        <f>SUM(F75:G75)</f>
        <v>0</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9" t="s">
        <v>16</v>
      </c>
      <c r="C77" s="79"/>
      <c r="D77" s="79"/>
      <c r="E77" s="79"/>
      <c r="F77" s="79"/>
      <c r="G77" s="79"/>
      <c r="H77" s="79"/>
      <c r="J77" s="80" t="s">
        <v>16</v>
      </c>
      <c r="K77" s="80"/>
      <c r="L77" s="80"/>
      <c r="M77" s="80"/>
      <c r="N77" s="80"/>
      <c r="O77" s="80"/>
      <c r="P77" s="80"/>
      <c r="Q77" s="80"/>
      <c r="R77" s="80"/>
      <c r="S77" s="80"/>
      <c r="T77" s="80"/>
      <c r="U77" s="80"/>
      <c r="W77" s="81" t="str">
        <f>J77</f>
        <v>Julho</v>
      </c>
      <c r="X77" s="81"/>
      <c r="Y77" s="81"/>
      <c r="Z77" s="81"/>
      <c r="AA77" s="81"/>
      <c r="AB77" s="81"/>
      <c r="AC77" s="81"/>
      <c r="AE77" s="82" t="str">
        <f>W77</f>
        <v>Julho</v>
      </c>
      <c r="AF77" s="82"/>
      <c r="AG77" s="82"/>
      <c r="AH77" s="82"/>
      <c r="AI77" s="82"/>
      <c r="AJ77" s="82"/>
      <c r="AK77" s="82"/>
    </row>
    <row r="78" spans="1:37" ht="15.75" thickBot="1" x14ac:dyDescent="0.3">
      <c r="A78" s="83"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83"/>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9" t="s">
        <v>17</v>
      </c>
      <c r="C81" s="79"/>
      <c r="D81" s="79"/>
      <c r="E81" s="79"/>
      <c r="F81" s="79"/>
      <c r="G81" s="79"/>
      <c r="H81" s="79"/>
      <c r="J81" s="80" t="s">
        <v>17</v>
      </c>
      <c r="K81" s="80"/>
      <c r="L81" s="80"/>
      <c r="M81" s="80"/>
      <c r="N81" s="80"/>
      <c r="O81" s="80"/>
      <c r="P81" s="80"/>
      <c r="Q81" s="80"/>
      <c r="R81" s="80"/>
      <c r="S81" s="80"/>
      <c r="T81" s="80"/>
      <c r="U81" s="80"/>
      <c r="W81" s="81" t="str">
        <f>J81</f>
        <v>Agosto</v>
      </c>
      <c r="X81" s="81"/>
      <c r="Y81" s="81"/>
      <c r="Z81" s="81"/>
      <c r="AA81" s="81"/>
      <c r="AB81" s="81"/>
      <c r="AC81" s="81"/>
      <c r="AE81" s="82" t="str">
        <f>W81</f>
        <v>Agosto</v>
      </c>
      <c r="AF81" s="82"/>
      <c r="AG81" s="82"/>
      <c r="AH81" s="82"/>
      <c r="AI81" s="82"/>
      <c r="AJ81" s="82"/>
      <c r="AK81" s="82"/>
    </row>
    <row r="82" spans="1:37" ht="15.75" thickBot="1" x14ac:dyDescent="0.3">
      <c r="A82" s="83"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83"/>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row r="85" spans="1:37" ht="15.75" thickBot="1" x14ac:dyDescent="0.3">
      <c r="A85" s="19"/>
      <c r="B85" s="79" t="s">
        <v>18</v>
      </c>
      <c r="C85" s="79"/>
      <c r="D85" s="79"/>
      <c r="E85" s="79"/>
      <c r="F85" s="79"/>
      <c r="G85" s="79"/>
      <c r="H85" s="79"/>
      <c r="J85" s="80" t="s">
        <v>18</v>
      </c>
      <c r="K85" s="80"/>
      <c r="L85" s="80"/>
      <c r="M85" s="80"/>
      <c r="N85" s="80"/>
      <c r="O85" s="80"/>
      <c r="P85" s="80"/>
      <c r="Q85" s="80"/>
      <c r="R85" s="80"/>
      <c r="S85" s="80"/>
      <c r="T85" s="80"/>
      <c r="U85" s="80"/>
      <c r="W85" s="81" t="str">
        <f>J85</f>
        <v>Setembro</v>
      </c>
      <c r="X85" s="81"/>
      <c r="Y85" s="81"/>
      <c r="Z85" s="81"/>
      <c r="AA85" s="81"/>
      <c r="AB85" s="81"/>
      <c r="AC85" s="81"/>
      <c r="AE85" s="82" t="str">
        <f>W85</f>
        <v>Setembro</v>
      </c>
      <c r="AF85" s="82"/>
      <c r="AG85" s="82"/>
      <c r="AH85" s="82"/>
      <c r="AI85" s="82"/>
      <c r="AJ85" s="82"/>
      <c r="AK85" s="82"/>
    </row>
    <row r="86" spans="1:37" ht="15.75" thickBot="1" x14ac:dyDescent="0.3">
      <c r="A86" s="83"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W86" s="6" t="s">
        <v>4</v>
      </c>
      <c r="X86" s="9"/>
      <c r="Y86" s="4"/>
      <c r="Z86" s="4"/>
      <c r="AA86" s="4"/>
      <c r="AB86" s="4"/>
      <c r="AC86" s="5"/>
      <c r="AE86" s="6" t="s">
        <v>4</v>
      </c>
      <c r="AF86" s="9"/>
      <c r="AG86" s="4"/>
      <c r="AH86" s="4"/>
      <c r="AI86" s="4"/>
      <c r="AJ86" s="4"/>
      <c r="AK86" s="5"/>
    </row>
    <row r="87" spans="1:37" ht="15.75" thickBot="1" x14ac:dyDescent="0.3">
      <c r="A87" s="83"/>
      <c r="B87" s="26"/>
      <c r="C87" s="27"/>
      <c r="D87" s="27"/>
      <c r="E87" s="27"/>
      <c r="F87" s="27">
        <f>SUM(C87-B87)</f>
        <v>0</v>
      </c>
      <c r="G87" s="20">
        <f>SUM(E87-D87)</f>
        <v>0</v>
      </c>
      <c r="H87" s="21">
        <f>SUM(F87:G87)</f>
        <v>0</v>
      </c>
      <c r="J87" s="7" t="s">
        <v>22</v>
      </c>
      <c r="K87" s="10"/>
      <c r="L87" s="11"/>
      <c r="M87" s="11"/>
      <c r="N87" s="11"/>
      <c r="O87" s="11"/>
      <c r="P87" s="11"/>
      <c r="Q87" s="11"/>
      <c r="R87" s="11"/>
      <c r="S87" s="11"/>
      <c r="T87" s="11"/>
      <c r="U87" s="12"/>
      <c r="W87" s="7" t="s">
        <v>22</v>
      </c>
      <c r="X87" s="10"/>
      <c r="Y87" s="11"/>
      <c r="Z87" s="11"/>
      <c r="AA87" s="11"/>
      <c r="AB87" s="11"/>
      <c r="AC87" s="12"/>
      <c r="AE87" s="7" t="s">
        <v>22</v>
      </c>
      <c r="AF87" s="10"/>
      <c r="AG87" s="11"/>
      <c r="AH87" s="11"/>
      <c r="AI87" s="11"/>
      <c r="AJ87" s="11"/>
      <c r="AK87" s="12"/>
    </row>
    <row r="88" spans="1:37" x14ac:dyDescent="0.25">
      <c r="J88" s="8"/>
      <c r="T88" s="8" t="s">
        <v>23</v>
      </c>
      <c r="U88" s="13">
        <f>SUM(K87:U87)</f>
        <v>0</v>
      </c>
      <c r="AB88" s="8" t="s">
        <v>23</v>
      </c>
      <c r="AC88" s="13">
        <f>SUM(X87:AC87)</f>
        <v>0</v>
      </c>
      <c r="AJ88" s="8" t="s">
        <v>23</v>
      </c>
      <c r="AK88" s="13">
        <f>SUM(AF87:AK87)</f>
        <v>0</v>
      </c>
    </row>
  </sheetData>
  <mergeCells count="108">
    <mergeCell ref="B85:H85"/>
    <mergeCell ref="J85:U85"/>
    <mergeCell ref="W85:AC85"/>
    <mergeCell ref="AE85:AK85"/>
    <mergeCell ref="A86:A87"/>
    <mergeCell ref="B81:H81"/>
    <mergeCell ref="J81:U81"/>
    <mergeCell ref="W81:AC81"/>
    <mergeCell ref="AE81:AK81"/>
    <mergeCell ref="A82:A83"/>
    <mergeCell ref="B77:H77"/>
    <mergeCell ref="J77:U77"/>
    <mergeCell ref="W77:AC77"/>
    <mergeCell ref="AE77:AK77"/>
    <mergeCell ref="A78:A79"/>
    <mergeCell ref="B73:H73"/>
    <mergeCell ref="J73:U73"/>
    <mergeCell ref="W73:AC73"/>
    <mergeCell ref="AE73:AK73"/>
    <mergeCell ref="A74:A75"/>
    <mergeCell ref="B69:H69"/>
    <mergeCell ref="J69:U69"/>
    <mergeCell ref="W69:AC69"/>
    <mergeCell ref="AE69:AK69"/>
    <mergeCell ref="A70:A71"/>
    <mergeCell ref="B65:H65"/>
    <mergeCell ref="J65:U65"/>
    <mergeCell ref="W65:AC65"/>
    <mergeCell ref="AE65:AK65"/>
    <mergeCell ref="A66:A67"/>
    <mergeCell ref="B61:H61"/>
    <mergeCell ref="J61:U61"/>
    <mergeCell ref="W61:AC61"/>
    <mergeCell ref="AE61:AK61"/>
    <mergeCell ref="A62:A63"/>
    <mergeCell ref="B53:H53"/>
    <mergeCell ref="J53:U53"/>
    <mergeCell ref="W53:AC53"/>
    <mergeCell ref="AE53:AK53"/>
    <mergeCell ref="A54:A55"/>
    <mergeCell ref="B57:H57"/>
    <mergeCell ref="J57:U57"/>
    <mergeCell ref="W57:AC57"/>
    <mergeCell ref="AE57:AK57"/>
    <mergeCell ref="A58:A59"/>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B2:C2"/>
    <mergeCell ref="E2:F2"/>
    <mergeCell ref="B4:C4"/>
    <mergeCell ref="E4:F4"/>
    <mergeCell ref="A7:H7"/>
    <mergeCell ref="A14:A15"/>
    <mergeCell ref="W7:AC7"/>
    <mergeCell ref="AE7:AK7"/>
    <mergeCell ref="B9:H9"/>
    <mergeCell ref="J9:U9"/>
    <mergeCell ref="W9:AC9"/>
    <mergeCell ref="AE9:AK9"/>
    <mergeCell ref="J7:U7"/>
    <mergeCell ref="A10:A11"/>
    <mergeCell ref="B13:H13"/>
    <mergeCell ref="J13:U13"/>
    <mergeCell ref="W13:AC13"/>
    <mergeCell ref="AE13:AK13"/>
  </mergeCells>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K60"/>
  <sheetViews>
    <sheetView showGridLines="0" topLeftCell="A41" workbookViewId="0">
      <selection activeCell="K5" sqref="K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140625" customWidth="1"/>
    <col min="10" max="10" width="13.42578125" bestFit="1" customWidth="1"/>
    <col min="11" max="12" width="10.42578125" bestFit="1" customWidth="1"/>
    <col min="13" max="14" width="10.5703125" bestFit="1" customWidth="1"/>
    <col min="21" max="21" width="10.42578125" bestFit="1" customWidth="1"/>
    <col min="34" max="36" width="10.140625" bestFit="1" customWidth="1"/>
  </cols>
  <sheetData>
    <row r="2" spans="1:37" x14ac:dyDescent="0.25">
      <c r="A2" t="s">
        <v>0</v>
      </c>
      <c r="B2" s="84" t="s">
        <v>109</v>
      </c>
      <c r="C2" s="84"/>
      <c r="D2" s="1" t="s">
        <v>1</v>
      </c>
      <c r="E2" s="84" t="s">
        <v>108</v>
      </c>
      <c r="F2" s="84"/>
      <c r="H2" t="s">
        <v>106</v>
      </c>
      <c r="I2" s="73">
        <v>3000</v>
      </c>
    </row>
    <row r="3" spans="1:37" x14ac:dyDescent="0.25">
      <c r="F3" s="1"/>
    </row>
    <row r="4" spans="1:37" x14ac:dyDescent="0.25">
      <c r="A4" t="s">
        <v>2</v>
      </c>
      <c r="B4" s="85">
        <v>3837</v>
      </c>
      <c r="C4" s="85"/>
      <c r="D4" s="1" t="s">
        <v>29</v>
      </c>
      <c r="E4" s="86">
        <v>50</v>
      </c>
      <c r="F4" s="86"/>
      <c r="H4" t="s">
        <v>70</v>
      </c>
      <c r="I4" s="67">
        <v>45920</v>
      </c>
      <c r="J4" t="s">
        <v>107</v>
      </c>
      <c r="K4" s="67">
        <v>46081</v>
      </c>
    </row>
    <row r="7" spans="1:37" ht="21" x14ac:dyDescent="0.35">
      <c r="A7" s="87" t="s">
        <v>28</v>
      </c>
      <c r="B7" s="87"/>
      <c r="C7" s="87"/>
      <c r="D7" s="87"/>
      <c r="E7" s="87"/>
      <c r="F7" s="87"/>
      <c r="G7" s="87"/>
      <c r="H7" s="87"/>
      <c r="J7" s="89" t="s">
        <v>26</v>
      </c>
      <c r="K7" s="89"/>
      <c r="L7" s="89"/>
      <c r="M7" s="89"/>
      <c r="N7" s="89"/>
      <c r="O7" s="89"/>
      <c r="P7" s="89"/>
      <c r="Q7" s="89"/>
      <c r="R7" s="89"/>
      <c r="S7" s="89"/>
      <c r="T7" s="89"/>
      <c r="U7" s="89"/>
      <c r="V7" s="2"/>
      <c r="W7" s="88" t="s">
        <v>25</v>
      </c>
      <c r="X7" s="88"/>
      <c r="Y7" s="88"/>
      <c r="Z7" s="88"/>
      <c r="AA7" s="88"/>
      <c r="AB7" s="88"/>
      <c r="AC7" s="88"/>
      <c r="AD7" s="2"/>
      <c r="AE7" s="88" t="s">
        <v>27</v>
      </c>
      <c r="AF7" s="88"/>
      <c r="AG7" s="88"/>
      <c r="AH7" s="88"/>
      <c r="AI7" s="88"/>
      <c r="AJ7" s="88"/>
      <c r="AK7" s="88"/>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9" t="s">
        <v>3</v>
      </c>
      <c r="C9" s="79"/>
      <c r="D9" s="79"/>
      <c r="E9" s="79"/>
      <c r="F9" s="79"/>
      <c r="G9" s="79"/>
      <c r="H9" s="79"/>
      <c r="J9" s="80" t="s">
        <v>3</v>
      </c>
      <c r="K9" s="80"/>
      <c r="L9" s="80"/>
      <c r="M9" s="80"/>
      <c r="N9" s="80"/>
      <c r="O9" s="80"/>
      <c r="P9" s="80"/>
      <c r="Q9" s="80"/>
      <c r="R9" s="80"/>
      <c r="S9" s="80"/>
      <c r="T9" s="80"/>
      <c r="U9" s="80"/>
      <c r="W9" s="81" t="s">
        <v>3</v>
      </c>
      <c r="X9" s="81"/>
      <c r="Y9" s="81"/>
      <c r="Z9" s="81"/>
      <c r="AA9" s="81"/>
      <c r="AB9" s="81"/>
      <c r="AC9" s="81"/>
      <c r="AE9" s="82" t="s">
        <v>3</v>
      </c>
      <c r="AF9" s="82"/>
      <c r="AG9" s="82"/>
      <c r="AH9" s="82"/>
      <c r="AI9" s="82"/>
      <c r="AJ9" s="82"/>
      <c r="AK9" s="82"/>
    </row>
    <row r="10" spans="1:37"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9" t="s">
        <v>13</v>
      </c>
      <c r="C13" s="79"/>
      <c r="D13" s="79"/>
      <c r="E13" s="79"/>
      <c r="F13" s="79"/>
      <c r="G13" s="79"/>
      <c r="H13" s="79"/>
      <c r="J13" s="80" t="s">
        <v>13</v>
      </c>
      <c r="K13" s="80"/>
      <c r="L13" s="80"/>
      <c r="M13" s="80"/>
      <c r="N13" s="80"/>
      <c r="O13" s="80"/>
      <c r="P13" s="80"/>
      <c r="Q13" s="80"/>
      <c r="R13" s="80"/>
      <c r="S13" s="80"/>
      <c r="T13" s="80"/>
      <c r="U13" s="80"/>
      <c r="W13" s="81" t="str">
        <f>J13</f>
        <v>Março</v>
      </c>
      <c r="X13" s="81"/>
      <c r="Y13" s="81"/>
      <c r="Z13" s="81"/>
      <c r="AA13" s="81"/>
      <c r="AB13" s="81"/>
      <c r="AC13" s="81"/>
      <c r="AE13" s="82" t="str">
        <f>W13</f>
        <v>Março</v>
      </c>
      <c r="AF13" s="82"/>
      <c r="AG13" s="82"/>
      <c r="AH13" s="82"/>
      <c r="AI13" s="82"/>
      <c r="AJ13" s="82"/>
      <c r="AK13" s="82"/>
    </row>
    <row r="14" spans="1:37" ht="15.75" thickBot="1" x14ac:dyDescent="0.3">
      <c r="A14" s="83"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9" t="s">
        <v>14</v>
      </c>
      <c r="C17" s="79"/>
      <c r="D17" s="79"/>
      <c r="E17" s="79"/>
      <c r="F17" s="79"/>
      <c r="G17" s="79"/>
      <c r="H17" s="79"/>
      <c r="J17" s="80" t="s">
        <v>14</v>
      </c>
      <c r="K17" s="80"/>
      <c r="L17" s="80"/>
      <c r="M17" s="80"/>
      <c r="N17" s="80"/>
      <c r="O17" s="80"/>
      <c r="P17" s="80"/>
      <c r="Q17" s="80"/>
      <c r="R17" s="80"/>
      <c r="S17" s="80"/>
      <c r="T17" s="80"/>
      <c r="U17" s="80"/>
      <c r="W17" s="81" t="str">
        <f>J17</f>
        <v>Abril</v>
      </c>
      <c r="X17" s="81"/>
      <c r="Y17" s="81"/>
      <c r="Z17" s="81"/>
      <c r="AA17" s="81"/>
      <c r="AB17" s="81"/>
      <c r="AC17" s="81"/>
      <c r="AE17" s="82" t="str">
        <f>W17</f>
        <v>Abril</v>
      </c>
      <c r="AF17" s="82"/>
      <c r="AG17" s="82"/>
      <c r="AH17" s="82"/>
      <c r="AI17" s="82"/>
      <c r="AJ17" s="82"/>
      <c r="AK17" s="82"/>
    </row>
    <row r="18" spans="1:37"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9" t="s">
        <v>15</v>
      </c>
      <c r="C21" s="79"/>
      <c r="D21" s="79"/>
      <c r="E21" s="79"/>
      <c r="F21" s="79"/>
      <c r="G21" s="79"/>
      <c r="H21" s="79"/>
      <c r="J21" s="80" t="s">
        <v>15</v>
      </c>
      <c r="K21" s="80"/>
      <c r="L21" s="80"/>
      <c r="M21" s="80"/>
      <c r="N21" s="80"/>
      <c r="O21" s="80"/>
      <c r="P21" s="80"/>
      <c r="Q21" s="80"/>
      <c r="R21" s="80"/>
      <c r="S21" s="80"/>
      <c r="T21" s="80"/>
      <c r="U21" s="80"/>
      <c r="W21" s="81" t="str">
        <f>J21</f>
        <v>Maio</v>
      </c>
      <c r="X21" s="81"/>
      <c r="Y21" s="81"/>
      <c r="Z21" s="81"/>
      <c r="AA21" s="81"/>
      <c r="AB21" s="81"/>
      <c r="AC21" s="81"/>
      <c r="AE21" s="82" t="str">
        <f>W21</f>
        <v>Maio</v>
      </c>
      <c r="AF21" s="82"/>
      <c r="AG21" s="82"/>
      <c r="AH21" s="82"/>
      <c r="AI21" s="82"/>
      <c r="AJ21" s="82"/>
      <c r="AK21" s="82"/>
    </row>
    <row r="22" spans="1:37"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9" t="s">
        <v>24</v>
      </c>
      <c r="C25" s="79"/>
      <c r="D25" s="79"/>
      <c r="E25" s="79"/>
      <c r="F25" s="79"/>
      <c r="G25" s="79"/>
      <c r="H25" s="79"/>
      <c r="J25" s="80" t="s">
        <v>24</v>
      </c>
      <c r="K25" s="80"/>
      <c r="L25" s="80"/>
      <c r="M25" s="80"/>
      <c r="N25" s="80"/>
      <c r="O25" s="80"/>
      <c r="P25" s="80"/>
      <c r="Q25" s="80"/>
      <c r="R25" s="80"/>
      <c r="S25" s="80"/>
      <c r="T25" s="80"/>
      <c r="U25" s="80"/>
      <c r="W25" s="81" t="str">
        <f>J25</f>
        <v>Junho</v>
      </c>
      <c r="X25" s="81"/>
      <c r="Y25" s="81"/>
      <c r="Z25" s="81"/>
      <c r="AA25" s="81"/>
      <c r="AB25" s="81"/>
      <c r="AC25" s="81"/>
      <c r="AE25" s="82" t="str">
        <f>W25</f>
        <v>Junho</v>
      </c>
      <c r="AF25" s="82"/>
      <c r="AG25" s="82"/>
      <c r="AH25" s="82"/>
      <c r="AI25" s="82"/>
      <c r="AJ25" s="82"/>
      <c r="AK25" s="82"/>
    </row>
    <row r="26" spans="1:37"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9" t="s">
        <v>16</v>
      </c>
      <c r="C29" s="79"/>
      <c r="D29" s="79"/>
      <c r="E29" s="79"/>
      <c r="F29" s="79"/>
      <c r="G29" s="79"/>
      <c r="H29" s="79"/>
      <c r="J29" s="80" t="s">
        <v>16</v>
      </c>
      <c r="K29" s="80"/>
      <c r="L29" s="80"/>
      <c r="M29" s="80"/>
      <c r="N29" s="80"/>
      <c r="O29" s="80"/>
      <c r="P29" s="80"/>
      <c r="Q29" s="80"/>
      <c r="R29" s="80"/>
      <c r="S29" s="80"/>
      <c r="T29" s="80"/>
      <c r="U29" s="80"/>
      <c r="W29" s="81" t="str">
        <f>J29</f>
        <v>Julho</v>
      </c>
      <c r="X29" s="81"/>
      <c r="Y29" s="81"/>
      <c r="Z29" s="81"/>
      <c r="AA29" s="81"/>
      <c r="AB29" s="81"/>
      <c r="AC29" s="81"/>
      <c r="AE29" s="82" t="str">
        <f>W29</f>
        <v>Julho</v>
      </c>
      <c r="AF29" s="82"/>
      <c r="AG29" s="82"/>
      <c r="AH29" s="82"/>
      <c r="AI29" s="82"/>
      <c r="AJ29" s="82"/>
      <c r="AK29" s="82"/>
    </row>
    <row r="30" spans="1:37"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9" t="s">
        <v>17</v>
      </c>
      <c r="C33" s="79"/>
      <c r="D33" s="79"/>
      <c r="E33" s="79"/>
      <c r="F33" s="79"/>
      <c r="G33" s="79"/>
      <c r="H33" s="79"/>
      <c r="J33" s="80" t="s">
        <v>17</v>
      </c>
      <c r="K33" s="80"/>
      <c r="L33" s="80"/>
      <c r="M33" s="80"/>
      <c r="N33" s="80"/>
      <c r="O33" s="80"/>
      <c r="P33" s="80"/>
      <c r="Q33" s="80"/>
      <c r="R33" s="80"/>
      <c r="S33" s="80"/>
      <c r="T33" s="80"/>
      <c r="U33" s="80"/>
      <c r="W33" s="81" t="str">
        <f>J33</f>
        <v>Agosto</v>
      </c>
      <c r="X33" s="81"/>
      <c r="Y33" s="81"/>
      <c r="Z33" s="81"/>
      <c r="AA33" s="81"/>
      <c r="AB33" s="81"/>
      <c r="AC33" s="81"/>
      <c r="AE33" s="82" t="str">
        <f>W33</f>
        <v>Agosto</v>
      </c>
      <c r="AF33" s="82"/>
      <c r="AG33" s="82"/>
      <c r="AH33" s="82"/>
      <c r="AI33" s="82"/>
      <c r="AJ33" s="82"/>
      <c r="AK33" s="82"/>
    </row>
    <row r="34" spans="1:37"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9" t="s">
        <v>18</v>
      </c>
      <c r="C37" s="79"/>
      <c r="D37" s="79"/>
      <c r="E37" s="79"/>
      <c r="F37" s="79"/>
      <c r="G37" s="79"/>
      <c r="H37" s="79"/>
      <c r="J37" s="80" t="s">
        <v>18</v>
      </c>
      <c r="K37" s="80"/>
      <c r="L37" s="80"/>
      <c r="M37" s="80"/>
      <c r="N37" s="80"/>
      <c r="O37" s="80"/>
      <c r="P37" s="80"/>
      <c r="Q37" s="80"/>
      <c r="R37" s="80"/>
      <c r="S37" s="80"/>
      <c r="T37" s="80"/>
      <c r="U37" s="80"/>
      <c r="W37" s="81" t="str">
        <f>J37</f>
        <v>Setembro</v>
      </c>
      <c r="X37" s="81"/>
      <c r="Y37" s="81"/>
      <c r="Z37" s="81"/>
      <c r="AA37" s="81"/>
      <c r="AB37" s="81"/>
      <c r="AC37" s="81"/>
      <c r="AE37" s="82" t="str">
        <f>W37</f>
        <v>Setembro</v>
      </c>
      <c r="AF37" s="82"/>
      <c r="AG37" s="82"/>
      <c r="AH37" s="82"/>
      <c r="AI37" s="82"/>
      <c r="AJ37" s="82"/>
      <c r="AK37" s="82"/>
    </row>
    <row r="38" spans="1:37" ht="15.75" thickBot="1" x14ac:dyDescent="0.3">
      <c r="A38" s="83" t="s">
        <v>5</v>
      </c>
      <c r="B38" s="34" t="s">
        <v>6</v>
      </c>
      <c r="C38" s="22" t="s">
        <v>7</v>
      </c>
      <c r="D38" s="33" t="s">
        <v>8</v>
      </c>
      <c r="E38" s="22" t="s">
        <v>9</v>
      </c>
      <c r="F38" s="24" t="s">
        <v>10</v>
      </c>
      <c r="G38" s="23" t="s">
        <v>11</v>
      </c>
      <c r="H38" s="25" t="s">
        <v>12</v>
      </c>
      <c r="J38" s="6" t="s">
        <v>4</v>
      </c>
      <c r="K38" s="9"/>
      <c r="L38" s="66"/>
      <c r="M38" s="66"/>
      <c r="N38" s="66"/>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3"/>
      <c r="B39" s="26"/>
      <c r="C39" s="27"/>
      <c r="D39" s="27">
        <v>28926</v>
      </c>
      <c r="E39" s="27">
        <v>29590</v>
      </c>
      <c r="F39" s="27">
        <f>SUM(C39-B39)</f>
        <v>0</v>
      </c>
      <c r="G39" s="20">
        <f>SUM(E39-D39)</f>
        <v>664</v>
      </c>
      <c r="H39" s="21">
        <f>SUM(F39:G39)</f>
        <v>664</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9" t="s">
        <v>19</v>
      </c>
      <c r="C41" s="79"/>
      <c r="D41" s="79"/>
      <c r="E41" s="79"/>
      <c r="F41" s="79"/>
      <c r="G41" s="79"/>
      <c r="H41" s="79"/>
      <c r="J41" s="80" t="s">
        <v>19</v>
      </c>
      <c r="K41" s="80"/>
      <c r="L41" s="80"/>
      <c r="M41" s="80"/>
      <c r="N41" s="80"/>
      <c r="O41" s="80"/>
      <c r="P41" s="80"/>
      <c r="Q41" s="80"/>
      <c r="R41" s="80"/>
      <c r="S41" s="80"/>
      <c r="T41" s="80"/>
      <c r="U41" s="80"/>
      <c r="W41" s="81" t="str">
        <f>J41</f>
        <v>Outubro</v>
      </c>
      <c r="X41" s="81"/>
      <c r="Y41" s="81"/>
      <c r="Z41" s="81"/>
      <c r="AA41" s="81"/>
      <c r="AB41" s="81"/>
      <c r="AC41" s="81"/>
      <c r="AE41" s="82" t="str">
        <f>W41</f>
        <v>Outubro</v>
      </c>
      <c r="AF41" s="82"/>
      <c r="AG41" s="82"/>
      <c r="AH41" s="82"/>
      <c r="AI41" s="82"/>
      <c r="AJ41" s="82"/>
      <c r="AK41" s="82"/>
    </row>
    <row r="42" spans="1:37" ht="15.75" thickBot="1" x14ac:dyDescent="0.3">
      <c r="A42" s="83" t="s">
        <v>5</v>
      </c>
      <c r="B42" s="34" t="s">
        <v>6</v>
      </c>
      <c r="C42" s="22" t="s">
        <v>7</v>
      </c>
      <c r="D42" s="33" t="s">
        <v>8</v>
      </c>
      <c r="E42" s="22" t="s">
        <v>9</v>
      </c>
      <c r="F42" s="24" t="s">
        <v>10</v>
      </c>
      <c r="G42" s="23" t="s">
        <v>11</v>
      </c>
      <c r="H42" s="25" t="s">
        <v>12</v>
      </c>
      <c r="J42" s="6" t="s">
        <v>4</v>
      </c>
      <c r="K42" s="9">
        <v>45931</v>
      </c>
      <c r="L42" s="66">
        <v>45933</v>
      </c>
      <c r="M42" s="66">
        <v>45943</v>
      </c>
      <c r="N42" s="66">
        <v>45951</v>
      </c>
      <c r="O42" s="66">
        <v>45957</v>
      </c>
      <c r="P42" s="66">
        <v>45960</v>
      </c>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3"/>
      <c r="B43" s="27">
        <v>29590</v>
      </c>
      <c r="C43" s="27">
        <v>30131</v>
      </c>
      <c r="D43" s="27">
        <v>30131</v>
      </c>
      <c r="E43" s="27">
        <v>30859</v>
      </c>
      <c r="F43" s="27">
        <f>SUM(C43-B43)</f>
        <v>541</v>
      </c>
      <c r="G43" s="20">
        <f>SUM(E43-D43)</f>
        <v>728</v>
      </c>
      <c r="H43" s="21">
        <f>SUM(F43:G43)</f>
        <v>1269</v>
      </c>
      <c r="J43" s="7" t="s">
        <v>22</v>
      </c>
      <c r="K43" s="10">
        <v>50.02</v>
      </c>
      <c r="L43" s="11">
        <v>200.04</v>
      </c>
      <c r="M43" s="11">
        <v>203.07</v>
      </c>
      <c r="N43" s="11">
        <v>112.05</v>
      </c>
      <c r="O43" s="11">
        <v>160.02000000000001</v>
      </c>
      <c r="P43" s="11">
        <v>140.03</v>
      </c>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865.2299999999999</v>
      </c>
      <c r="AB44" s="8" t="s">
        <v>23</v>
      </c>
      <c r="AC44" s="13">
        <f>SUM(X43:AC43)</f>
        <v>0</v>
      </c>
      <c r="AJ44" s="8" t="s">
        <v>23</v>
      </c>
      <c r="AK44" s="13">
        <f>SUM(AF43:AK43)</f>
        <v>0</v>
      </c>
    </row>
    <row r="45" spans="1:37" ht="15.75" thickBot="1" x14ac:dyDescent="0.3">
      <c r="A45" s="19"/>
      <c r="B45" s="79" t="s">
        <v>20</v>
      </c>
      <c r="C45" s="79"/>
      <c r="D45" s="79"/>
      <c r="E45" s="79"/>
      <c r="F45" s="79"/>
      <c r="G45" s="79"/>
      <c r="H45" s="79"/>
      <c r="J45" s="80" t="s">
        <v>20</v>
      </c>
      <c r="K45" s="80"/>
      <c r="L45" s="80"/>
      <c r="M45" s="80"/>
      <c r="N45" s="80"/>
      <c r="O45" s="80"/>
      <c r="P45" s="80"/>
      <c r="Q45" s="80"/>
      <c r="R45" s="80"/>
      <c r="S45" s="80"/>
      <c r="T45" s="80"/>
      <c r="U45" s="80"/>
      <c r="W45" s="81" t="str">
        <f>J45</f>
        <v>Novembro</v>
      </c>
      <c r="X45" s="81"/>
      <c r="Y45" s="81"/>
      <c r="Z45" s="81"/>
      <c r="AA45" s="81"/>
      <c r="AB45" s="81"/>
      <c r="AC45" s="81"/>
      <c r="AE45" s="82" t="str">
        <f>W45</f>
        <v>Novembro</v>
      </c>
      <c r="AF45" s="82"/>
      <c r="AG45" s="82"/>
      <c r="AH45" s="82"/>
      <c r="AI45" s="82"/>
      <c r="AJ45" s="82"/>
      <c r="AK45" s="82"/>
    </row>
    <row r="46" spans="1:37" ht="15.75" thickBot="1" x14ac:dyDescent="0.3">
      <c r="A46" s="83" t="s">
        <v>5</v>
      </c>
      <c r="B46" s="34" t="s">
        <v>6</v>
      </c>
      <c r="C46" s="22" t="s">
        <v>7</v>
      </c>
      <c r="D46" s="33" t="s">
        <v>8</v>
      </c>
      <c r="E46" s="22" t="s">
        <v>9</v>
      </c>
      <c r="F46" s="24" t="s">
        <v>10</v>
      </c>
      <c r="G46" s="23" t="s">
        <v>11</v>
      </c>
      <c r="H46" s="25" t="s">
        <v>12</v>
      </c>
      <c r="J46" s="6" t="s">
        <v>4</v>
      </c>
      <c r="K46" s="9">
        <v>45967</v>
      </c>
      <c r="L46" s="66">
        <v>45972</v>
      </c>
      <c r="M46" s="66">
        <v>45975</v>
      </c>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3"/>
      <c r="B47" s="27">
        <v>30859</v>
      </c>
      <c r="C47" s="27">
        <v>31401</v>
      </c>
      <c r="D47" s="27">
        <v>31401</v>
      </c>
      <c r="E47" s="27">
        <v>31814</v>
      </c>
      <c r="F47" s="27">
        <f>SUM(C47-B47)</f>
        <v>542</v>
      </c>
      <c r="G47" s="20">
        <f>SUM(E47-D47)</f>
        <v>413</v>
      </c>
      <c r="H47" s="21">
        <f>SUM(F47:G47)</f>
        <v>955</v>
      </c>
      <c r="J47" s="7" t="s">
        <v>22</v>
      </c>
      <c r="K47" s="10">
        <v>157.16999999999999</v>
      </c>
      <c r="L47" s="11">
        <v>197.03</v>
      </c>
      <c r="M47" s="11">
        <v>158</v>
      </c>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512.20000000000005</v>
      </c>
      <c r="AB48" s="8" t="s">
        <v>23</v>
      </c>
      <c r="AC48" s="13">
        <f>SUM(X47:AC47)</f>
        <v>0</v>
      </c>
      <c r="AJ48" s="8" t="s">
        <v>23</v>
      </c>
      <c r="AK48" s="13">
        <f>SUM(AF47:AK47)</f>
        <v>0</v>
      </c>
    </row>
    <row r="49" spans="1:37" ht="15.75" thickBot="1" x14ac:dyDescent="0.3">
      <c r="A49" s="19"/>
      <c r="B49" s="79" t="s">
        <v>21</v>
      </c>
      <c r="C49" s="79"/>
      <c r="D49" s="79"/>
      <c r="E49" s="79"/>
      <c r="F49" s="79"/>
      <c r="G49" s="79"/>
      <c r="H49" s="79"/>
      <c r="J49" s="80" t="s">
        <v>21</v>
      </c>
      <c r="K49" s="80"/>
      <c r="L49" s="80"/>
      <c r="M49" s="80"/>
      <c r="N49" s="80"/>
      <c r="O49" s="80"/>
      <c r="P49" s="80"/>
      <c r="Q49" s="80"/>
      <c r="R49" s="80"/>
      <c r="S49" s="80"/>
      <c r="T49" s="80"/>
      <c r="U49" s="80"/>
      <c r="W49" s="81" t="str">
        <f>J49</f>
        <v>Dezembro</v>
      </c>
      <c r="X49" s="81"/>
      <c r="Y49" s="81"/>
      <c r="Z49" s="81"/>
      <c r="AA49" s="81"/>
      <c r="AB49" s="81"/>
      <c r="AC49" s="81"/>
      <c r="AE49" s="82" t="str">
        <f>W49</f>
        <v>Dezembro</v>
      </c>
      <c r="AF49" s="82"/>
      <c r="AG49" s="82"/>
      <c r="AH49" s="82"/>
      <c r="AI49" s="82"/>
      <c r="AJ49" s="82"/>
      <c r="AK49" s="82"/>
    </row>
    <row r="50" spans="1:37" ht="15.75" thickBot="1" x14ac:dyDescent="0.3">
      <c r="A50" s="83" t="s">
        <v>5</v>
      </c>
      <c r="B50" s="34" t="s">
        <v>6</v>
      </c>
      <c r="C50" s="22" t="s">
        <v>7</v>
      </c>
      <c r="D50" s="33" t="s">
        <v>8</v>
      </c>
      <c r="E50" s="22" t="s">
        <v>9</v>
      </c>
      <c r="F50" s="24" t="s">
        <v>10</v>
      </c>
      <c r="G50" s="23" t="s">
        <v>11</v>
      </c>
      <c r="H50" s="25" t="s">
        <v>12</v>
      </c>
      <c r="J50" s="6" t="s">
        <v>4</v>
      </c>
      <c r="K50" s="9">
        <v>46006</v>
      </c>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3"/>
      <c r="B51" s="27">
        <v>31814</v>
      </c>
      <c r="C51" s="27">
        <v>31872</v>
      </c>
      <c r="D51" s="27">
        <v>31872</v>
      </c>
      <c r="E51" s="26">
        <v>33390</v>
      </c>
      <c r="F51" s="27">
        <f>SUM(C51-B51)</f>
        <v>58</v>
      </c>
      <c r="G51" s="20">
        <f>SUM(E51-D51)</f>
        <v>1518</v>
      </c>
      <c r="H51" s="21">
        <f>SUM(F51:G51)</f>
        <v>1576</v>
      </c>
      <c r="J51" s="7" t="s">
        <v>22</v>
      </c>
      <c r="K51" s="10">
        <v>238</v>
      </c>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238</v>
      </c>
      <c r="AB52" s="8" t="s">
        <v>23</v>
      </c>
      <c r="AC52" s="13">
        <f>SUM(X51:AC51)</f>
        <v>0</v>
      </c>
      <c r="AJ52" s="8" t="s">
        <v>23</v>
      </c>
      <c r="AK52" s="13">
        <f>SUM(AF51:AK51)</f>
        <v>0</v>
      </c>
    </row>
    <row r="53" spans="1:37" ht="15.75" thickBot="1" x14ac:dyDescent="0.3">
      <c r="A53" s="68">
        <v>2026</v>
      </c>
      <c r="B53" s="79" t="s">
        <v>88</v>
      </c>
      <c r="C53" s="79"/>
      <c r="D53" s="79"/>
      <c r="E53" s="79"/>
      <c r="F53" s="79"/>
      <c r="G53" s="79"/>
      <c r="H53" s="79"/>
      <c r="J53" s="80" t="s">
        <v>88</v>
      </c>
      <c r="K53" s="80"/>
      <c r="L53" s="80"/>
      <c r="M53" s="80"/>
      <c r="N53" s="80"/>
      <c r="O53" s="80"/>
      <c r="P53" s="80"/>
      <c r="Q53" s="80"/>
      <c r="R53" s="80"/>
      <c r="S53" s="80"/>
      <c r="T53" s="80"/>
      <c r="U53" s="80"/>
      <c r="W53" s="81" t="s">
        <v>3</v>
      </c>
      <c r="X53" s="81"/>
      <c r="Y53" s="81"/>
      <c r="Z53" s="81"/>
      <c r="AA53" s="81"/>
      <c r="AB53" s="81"/>
      <c r="AC53" s="81"/>
      <c r="AE53" s="82" t="s">
        <v>3</v>
      </c>
      <c r="AF53" s="82"/>
      <c r="AG53" s="82"/>
      <c r="AH53" s="82"/>
      <c r="AI53" s="82"/>
      <c r="AJ53" s="82"/>
      <c r="AK53" s="82"/>
    </row>
    <row r="54" spans="1:37" ht="15.75" thickBot="1" x14ac:dyDescent="0.3">
      <c r="A54" s="83" t="s">
        <v>5</v>
      </c>
      <c r="B54" s="34" t="s">
        <v>6</v>
      </c>
      <c r="C54" s="22" t="s">
        <v>7</v>
      </c>
      <c r="D54" s="33" t="s">
        <v>8</v>
      </c>
      <c r="E54" s="22" t="s">
        <v>9</v>
      </c>
      <c r="F54" s="24" t="s">
        <v>10</v>
      </c>
      <c r="G54" s="23" t="s">
        <v>11</v>
      </c>
      <c r="H54" s="25" t="s">
        <v>12</v>
      </c>
      <c r="J54" s="28" t="s">
        <v>4</v>
      </c>
      <c r="K54" s="9"/>
      <c r="L54" s="66"/>
      <c r="M54" s="66"/>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83"/>
      <c r="B55" s="26">
        <v>33390</v>
      </c>
      <c r="C55" s="27"/>
      <c r="D55" s="27"/>
      <c r="E55" s="27">
        <v>34119</v>
      </c>
      <c r="F55" s="27">
        <f>SUM(C55-B55)</f>
        <v>-33390</v>
      </c>
      <c r="G55" s="20">
        <f>SUM(E55-D55)</f>
        <v>34119</v>
      </c>
      <c r="H55" s="21">
        <f>SUM(F55:G55)</f>
        <v>729</v>
      </c>
      <c r="J55" s="29" t="s">
        <v>22</v>
      </c>
      <c r="K55" s="10"/>
      <c r="L55" s="11"/>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0</v>
      </c>
      <c r="AB56" s="8" t="s">
        <v>23</v>
      </c>
      <c r="AC56" s="13">
        <f>SUM(X55:AC55)</f>
        <v>0</v>
      </c>
      <c r="AJ56" s="8" t="s">
        <v>23</v>
      </c>
      <c r="AK56" s="13">
        <f>SUM(AF55:AK55)</f>
        <v>0</v>
      </c>
    </row>
    <row r="57" spans="1:37" ht="15.75" thickBot="1" x14ac:dyDescent="0.3">
      <c r="A57" s="19"/>
      <c r="B57" s="79" t="s">
        <v>3</v>
      </c>
      <c r="C57" s="79"/>
      <c r="D57" s="79"/>
      <c r="E57" s="79"/>
      <c r="F57" s="79"/>
      <c r="G57" s="79"/>
      <c r="H57" s="79"/>
      <c r="J57" s="80" t="s">
        <v>3</v>
      </c>
      <c r="K57" s="80"/>
      <c r="L57" s="80"/>
      <c r="M57" s="80"/>
      <c r="N57" s="80"/>
      <c r="O57" s="80"/>
      <c r="P57" s="80"/>
      <c r="Q57" s="80"/>
      <c r="R57" s="80"/>
      <c r="S57" s="80"/>
      <c r="T57" s="80"/>
      <c r="U57" s="80"/>
      <c r="W57" s="81" t="str">
        <f>J57</f>
        <v>Fevereiro</v>
      </c>
      <c r="X57" s="81"/>
      <c r="Y57" s="81"/>
      <c r="Z57" s="81"/>
      <c r="AA57" s="81"/>
      <c r="AB57" s="81"/>
      <c r="AC57" s="81"/>
      <c r="AE57" s="82" t="str">
        <f>W57</f>
        <v>Fevereiro</v>
      </c>
      <c r="AF57" s="82"/>
      <c r="AG57" s="82"/>
      <c r="AH57" s="82"/>
      <c r="AI57" s="82"/>
      <c r="AJ57" s="82"/>
      <c r="AK57" s="82"/>
    </row>
    <row r="58" spans="1:37" ht="15.75" thickBot="1" x14ac:dyDescent="0.3">
      <c r="A58" s="83" t="s">
        <v>5</v>
      </c>
      <c r="B58" s="34" t="s">
        <v>6</v>
      </c>
      <c r="C58" s="22" t="s">
        <v>7</v>
      </c>
      <c r="D58" s="33" t="s">
        <v>8</v>
      </c>
      <c r="E58" s="22" t="s">
        <v>9</v>
      </c>
      <c r="F58" s="24" t="s">
        <v>10</v>
      </c>
      <c r="G58" s="23" t="s">
        <v>11</v>
      </c>
      <c r="H58" s="25" t="s">
        <v>12</v>
      </c>
      <c r="J58" s="6" t="s">
        <v>4</v>
      </c>
      <c r="K58" s="9"/>
      <c r="L58" s="66"/>
      <c r="M58" s="4"/>
      <c r="N58" s="4"/>
      <c r="O58" s="4"/>
      <c r="P58" s="4"/>
      <c r="Q58" s="4"/>
      <c r="R58" s="4"/>
      <c r="S58" s="4"/>
      <c r="T58" s="4"/>
      <c r="U58" s="5"/>
      <c r="W58" s="6" t="s">
        <v>4</v>
      </c>
      <c r="X58" s="9"/>
      <c r="Y58" s="4"/>
      <c r="Z58" s="4"/>
      <c r="AA58" s="4"/>
      <c r="AB58" s="4"/>
      <c r="AC58" s="5"/>
      <c r="AE58" s="6" t="s">
        <v>4</v>
      </c>
      <c r="AF58" s="9"/>
      <c r="AG58" s="4"/>
      <c r="AH58" s="4"/>
      <c r="AI58" s="4"/>
      <c r="AJ58" s="4"/>
      <c r="AK58" s="5"/>
    </row>
    <row r="59" spans="1:37" ht="15.75" thickBot="1" x14ac:dyDescent="0.3">
      <c r="A59" s="83"/>
      <c r="B59" s="27">
        <v>34119</v>
      </c>
      <c r="C59" s="27"/>
      <c r="D59" s="27"/>
      <c r="E59" s="27">
        <v>35549</v>
      </c>
      <c r="F59" s="27">
        <f>SUM(C59-B59)</f>
        <v>-34119</v>
      </c>
      <c r="G59" s="20">
        <f>SUM(E59-D59)</f>
        <v>35549</v>
      </c>
      <c r="H59" s="21">
        <f>SUM(F59:G59)</f>
        <v>1430</v>
      </c>
      <c r="J59" s="7" t="s">
        <v>22</v>
      </c>
      <c r="K59" s="10"/>
      <c r="L59" s="11"/>
      <c r="M59" s="11"/>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0</v>
      </c>
      <c r="AB60" s="8" t="s">
        <v>23</v>
      </c>
      <c r="AC60" s="13">
        <f>SUM(X59:AC59)</f>
        <v>0</v>
      </c>
      <c r="AJ60" s="8" t="s">
        <v>23</v>
      </c>
      <c r="AK60" s="13">
        <f>SUM(AF59:AK59)</f>
        <v>0</v>
      </c>
    </row>
  </sheetData>
  <mergeCells count="73">
    <mergeCell ref="B57:H57"/>
    <mergeCell ref="J57:U57"/>
    <mergeCell ref="W57:AC57"/>
    <mergeCell ref="AE57:AK57"/>
    <mergeCell ref="A58:A59"/>
    <mergeCell ref="B53:H53"/>
    <mergeCell ref="J53:U53"/>
    <mergeCell ref="W53:AC53"/>
    <mergeCell ref="AE53:AK53"/>
    <mergeCell ref="A54:A5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s>
  <pageMargins left="0.511811024" right="0.511811024" top="0.78740157499999996" bottom="0.78740157499999996" header="0.31496062000000002" footer="0.31496062000000002"/>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89"/>
  <sheetViews>
    <sheetView showGridLines="0" workbookViewId="0">
      <selection activeCell="I87" sqref="I87"/>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1.42578125" bestFit="1" customWidth="1"/>
    <col min="10" max="10" width="13.85546875" customWidth="1"/>
    <col min="11" max="11" width="12.140625" bestFit="1" customWidth="1"/>
    <col min="12" max="13" width="10.42578125" bestFit="1" customWidth="1"/>
    <col min="14" max="14" width="13.28515625" bestFit="1" customWidth="1"/>
    <col min="15" max="16" width="10.5703125" bestFit="1" customWidth="1"/>
    <col min="17" max="17" width="10.42578125" bestFit="1" customWidth="1"/>
    <col min="21" max="21" width="13.28515625" bestFit="1" customWidth="1"/>
    <col min="25" max="25" width="10.42578125" bestFit="1" customWidth="1"/>
    <col min="26" max="26" width="10.5703125" bestFit="1" customWidth="1"/>
    <col min="27" max="27" width="12.140625" bestFit="1" customWidth="1"/>
    <col min="29" max="29" width="12.140625" bestFit="1" customWidth="1"/>
    <col min="32" max="32" width="10.42578125" bestFit="1" customWidth="1"/>
    <col min="34" max="36" width="10.140625" bestFit="1" customWidth="1"/>
    <col min="37" max="37" width="12.140625" bestFit="1" customWidth="1"/>
  </cols>
  <sheetData>
    <row r="2" spans="1:37" x14ac:dyDescent="0.25">
      <c r="A2" t="s">
        <v>0</v>
      </c>
      <c r="B2" s="84" t="s">
        <v>82</v>
      </c>
      <c r="C2" s="84"/>
      <c r="D2" s="1" t="s">
        <v>1</v>
      </c>
      <c r="E2" s="84" t="s">
        <v>81</v>
      </c>
      <c r="F2" s="84"/>
      <c r="H2" t="s">
        <v>89</v>
      </c>
      <c r="I2" s="77">
        <v>5000</v>
      </c>
    </row>
    <row r="3" spans="1:37" x14ac:dyDescent="0.25">
      <c r="A3" s="76" t="s">
        <v>100</v>
      </c>
      <c r="B3" s="90">
        <v>45756</v>
      </c>
      <c r="C3" s="84"/>
      <c r="D3" s="1" t="s">
        <v>1</v>
      </c>
      <c r="E3" s="84" t="s">
        <v>81</v>
      </c>
      <c r="F3" s="84"/>
      <c r="H3" t="s">
        <v>98</v>
      </c>
      <c r="I3" s="67" t="s">
        <v>102</v>
      </c>
    </row>
    <row r="4" spans="1:37" x14ac:dyDescent="0.25">
      <c r="A4" s="76" t="s">
        <v>101</v>
      </c>
      <c r="B4" s="90">
        <v>45902</v>
      </c>
      <c r="C4" s="84"/>
      <c r="D4" s="1" t="s">
        <v>1</v>
      </c>
      <c r="E4" s="84" t="s">
        <v>99</v>
      </c>
      <c r="F4" s="84"/>
      <c r="H4" t="s">
        <v>98</v>
      </c>
      <c r="I4" s="67" t="s">
        <v>103</v>
      </c>
    </row>
    <row r="5" spans="1:37" x14ac:dyDescent="0.25">
      <c r="A5" t="s">
        <v>2</v>
      </c>
      <c r="B5" s="85">
        <v>4335.99</v>
      </c>
      <c r="C5" s="85"/>
      <c r="D5" s="1" t="s">
        <v>29</v>
      </c>
      <c r="E5" s="86">
        <v>50</v>
      </c>
      <c r="F5" s="86"/>
      <c r="H5" t="s">
        <v>70</v>
      </c>
      <c r="I5" s="78">
        <v>45383</v>
      </c>
      <c r="J5" t="s">
        <v>107</v>
      </c>
      <c r="K5" s="78">
        <v>45920</v>
      </c>
    </row>
    <row r="8" spans="1:37" ht="21" x14ac:dyDescent="0.35">
      <c r="A8" s="87" t="s">
        <v>28</v>
      </c>
      <c r="B8" s="87"/>
      <c r="C8" s="87"/>
      <c r="D8" s="87"/>
      <c r="E8" s="87"/>
      <c r="F8" s="87"/>
      <c r="G8" s="87"/>
      <c r="H8" s="87"/>
      <c r="J8" s="89" t="s">
        <v>26</v>
      </c>
      <c r="K8" s="89"/>
      <c r="L8" s="89"/>
      <c r="M8" s="89"/>
      <c r="N8" s="89"/>
      <c r="O8" s="89"/>
      <c r="P8" s="89"/>
      <c r="Q8" s="89"/>
      <c r="R8" s="89"/>
      <c r="S8" s="89"/>
      <c r="T8" s="89"/>
      <c r="U8" s="89"/>
      <c r="V8" s="2"/>
      <c r="W8" s="88" t="s">
        <v>25</v>
      </c>
      <c r="X8" s="88"/>
      <c r="Y8" s="88"/>
      <c r="Z8" s="88"/>
      <c r="AA8" s="88"/>
      <c r="AB8" s="88"/>
      <c r="AC8" s="88"/>
      <c r="AD8" s="2"/>
      <c r="AE8" s="88" t="s">
        <v>27</v>
      </c>
      <c r="AF8" s="88"/>
      <c r="AG8" s="88"/>
      <c r="AH8" s="88"/>
      <c r="AI8" s="88"/>
      <c r="AJ8" s="88"/>
      <c r="AK8" s="88"/>
    </row>
    <row r="9" spans="1:37" s="15" customFormat="1" ht="21" x14ac:dyDescent="0.35">
      <c r="A9" s="14"/>
      <c r="B9" s="14"/>
      <c r="C9" s="14"/>
      <c r="D9" s="14"/>
      <c r="E9" s="14"/>
      <c r="F9" s="14"/>
      <c r="G9" s="14"/>
      <c r="H9" s="14"/>
      <c r="J9" s="16"/>
      <c r="K9" s="16"/>
      <c r="L9" s="16"/>
      <c r="M9" s="16"/>
      <c r="N9" s="16"/>
      <c r="O9" s="16"/>
      <c r="P9" s="16"/>
      <c r="Q9" s="16"/>
      <c r="R9" s="16"/>
      <c r="S9" s="16"/>
      <c r="T9" s="16"/>
      <c r="U9" s="16"/>
      <c r="V9" s="17"/>
      <c r="W9" s="18"/>
      <c r="X9" s="18"/>
      <c r="Y9" s="18"/>
      <c r="Z9" s="18"/>
      <c r="AA9" s="18"/>
      <c r="AB9" s="18"/>
      <c r="AC9" s="18"/>
      <c r="AD9" s="17"/>
      <c r="AE9" s="18"/>
      <c r="AF9" s="18"/>
      <c r="AG9" s="18"/>
      <c r="AH9" s="18"/>
      <c r="AI9" s="18"/>
      <c r="AJ9" s="18"/>
      <c r="AK9" s="18"/>
    </row>
    <row r="10" spans="1:37" ht="15.75" thickBot="1" x14ac:dyDescent="0.3">
      <c r="A10" s="19"/>
      <c r="B10" s="79" t="s">
        <v>3</v>
      </c>
      <c r="C10" s="79"/>
      <c r="D10" s="79"/>
      <c r="E10" s="79"/>
      <c r="F10" s="79"/>
      <c r="G10" s="79"/>
      <c r="H10" s="79"/>
      <c r="J10" s="80" t="s">
        <v>3</v>
      </c>
      <c r="K10" s="80"/>
      <c r="L10" s="80"/>
      <c r="M10" s="80"/>
      <c r="N10" s="80"/>
      <c r="O10" s="80"/>
      <c r="P10" s="80"/>
      <c r="Q10" s="80"/>
      <c r="R10" s="80"/>
      <c r="S10" s="80"/>
      <c r="T10" s="80"/>
      <c r="U10" s="80"/>
      <c r="W10" s="81" t="s">
        <v>3</v>
      </c>
      <c r="X10" s="81"/>
      <c r="Y10" s="81"/>
      <c r="Z10" s="81"/>
      <c r="AA10" s="81"/>
      <c r="AB10" s="81"/>
      <c r="AC10" s="81"/>
      <c r="AE10" s="82" t="s">
        <v>3</v>
      </c>
      <c r="AF10" s="82"/>
      <c r="AG10" s="82"/>
      <c r="AH10" s="82"/>
      <c r="AI10" s="82"/>
      <c r="AJ10" s="82"/>
      <c r="AK10" s="82"/>
    </row>
    <row r="11" spans="1:37" ht="15.75" thickBot="1" x14ac:dyDescent="0.3">
      <c r="A11" s="83" t="s">
        <v>5</v>
      </c>
      <c r="B11" s="34" t="s">
        <v>6</v>
      </c>
      <c r="C11" s="22" t="s">
        <v>7</v>
      </c>
      <c r="D11" s="33" t="s">
        <v>8</v>
      </c>
      <c r="E11" s="22" t="s">
        <v>9</v>
      </c>
      <c r="F11" s="24" t="s">
        <v>10</v>
      </c>
      <c r="G11" s="23" t="s">
        <v>11</v>
      </c>
      <c r="H11" s="25" t="s">
        <v>12</v>
      </c>
      <c r="J11" s="28" t="s">
        <v>4</v>
      </c>
      <c r="K11" s="9"/>
      <c r="L11" s="66"/>
      <c r="M11" s="66"/>
      <c r="N11" s="4"/>
      <c r="O11" s="4"/>
      <c r="P11" s="4"/>
      <c r="Q11" s="4"/>
      <c r="R11" s="4"/>
      <c r="S11" s="4"/>
      <c r="T11" s="4"/>
      <c r="U11" s="5"/>
      <c r="W11" s="6" t="s">
        <v>4</v>
      </c>
      <c r="X11" s="9"/>
      <c r="Y11" s="4"/>
      <c r="Z11" s="4"/>
      <c r="AA11" s="4"/>
      <c r="AB11" s="4"/>
      <c r="AC11" s="5"/>
      <c r="AE11" s="6" t="s">
        <v>4</v>
      </c>
      <c r="AF11" s="9"/>
      <c r="AG11" s="4"/>
      <c r="AH11" s="4"/>
      <c r="AI11" s="4"/>
      <c r="AJ11" s="4"/>
      <c r="AK11" s="5"/>
    </row>
    <row r="12" spans="1:37" ht="15.75" thickBot="1" x14ac:dyDescent="0.3">
      <c r="A12" s="83"/>
      <c r="B12" s="26"/>
      <c r="C12" s="27"/>
      <c r="D12" s="27"/>
      <c r="E12" s="27"/>
      <c r="F12" s="27">
        <f>SUM(C12-B12)</f>
        <v>0</v>
      </c>
      <c r="G12" s="20">
        <f>SUM(E12-D12)</f>
        <v>0</v>
      </c>
      <c r="H12" s="21">
        <f>SUM(F12:G12)</f>
        <v>0</v>
      </c>
      <c r="J12" s="29" t="s">
        <v>22</v>
      </c>
      <c r="K12" s="10"/>
      <c r="L12" s="11"/>
      <c r="M12" s="11"/>
      <c r="N12" s="11"/>
      <c r="O12" s="11"/>
      <c r="P12" s="11"/>
      <c r="Q12" s="11"/>
      <c r="R12" s="11"/>
      <c r="S12" s="11"/>
      <c r="T12" s="11"/>
      <c r="U12" s="12"/>
      <c r="W12" s="7" t="s">
        <v>22</v>
      </c>
      <c r="X12" s="10"/>
      <c r="Y12" s="11"/>
      <c r="Z12" s="11"/>
      <c r="AA12" s="11"/>
      <c r="AB12" s="11"/>
      <c r="AC12" s="12"/>
      <c r="AE12" s="7" t="s">
        <v>22</v>
      </c>
      <c r="AF12" s="10"/>
      <c r="AG12" s="11"/>
      <c r="AH12" s="11"/>
      <c r="AI12" s="11"/>
      <c r="AJ12" s="11"/>
      <c r="AK12" s="12"/>
    </row>
    <row r="13" spans="1:37" x14ac:dyDescent="0.25">
      <c r="J13" s="8"/>
      <c r="T13" s="8" t="s">
        <v>23</v>
      </c>
      <c r="U13" s="13">
        <f>SUM(K12:U12)</f>
        <v>0</v>
      </c>
      <c r="AB13" s="8" t="s">
        <v>23</v>
      </c>
      <c r="AC13" s="13">
        <f>SUM(X12:AC12)</f>
        <v>0</v>
      </c>
      <c r="AJ13" s="8" t="s">
        <v>23</v>
      </c>
      <c r="AK13" s="13">
        <f>SUM(AF12:AK12)</f>
        <v>0</v>
      </c>
    </row>
    <row r="14" spans="1:37" ht="15.75" thickBot="1" x14ac:dyDescent="0.3">
      <c r="A14" s="19"/>
      <c r="B14" s="79" t="s">
        <v>13</v>
      </c>
      <c r="C14" s="79"/>
      <c r="D14" s="79"/>
      <c r="E14" s="79"/>
      <c r="F14" s="79"/>
      <c r="G14" s="79"/>
      <c r="H14" s="79"/>
      <c r="J14" s="80" t="s">
        <v>13</v>
      </c>
      <c r="K14" s="80"/>
      <c r="L14" s="80"/>
      <c r="M14" s="80"/>
      <c r="N14" s="80"/>
      <c r="O14" s="80"/>
      <c r="P14" s="80"/>
      <c r="Q14" s="80"/>
      <c r="R14" s="80"/>
      <c r="S14" s="80"/>
      <c r="T14" s="80"/>
      <c r="U14" s="80"/>
      <c r="W14" s="81" t="str">
        <f>J14</f>
        <v>Março</v>
      </c>
      <c r="X14" s="81"/>
      <c r="Y14" s="81"/>
      <c r="Z14" s="81"/>
      <c r="AA14" s="81"/>
      <c r="AB14" s="81"/>
      <c r="AC14" s="81"/>
      <c r="AE14" s="82" t="str">
        <f>W14</f>
        <v>Março</v>
      </c>
      <c r="AF14" s="82"/>
      <c r="AG14" s="82"/>
      <c r="AH14" s="82"/>
      <c r="AI14" s="82"/>
      <c r="AJ14" s="82"/>
      <c r="AK14" s="82"/>
    </row>
    <row r="15" spans="1:37" ht="15.75" thickBot="1" x14ac:dyDescent="0.3">
      <c r="A15" s="83" t="s">
        <v>5</v>
      </c>
      <c r="B15" s="34" t="s">
        <v>6</v>
      </c>
      <c r="C15" s="22" t="s">
        <v>7</v>
      </c>
      <c r="D15" s="33" t="s">
        <v>8</v>
      </c>
      <c r="E15" s="22" t="s">
        <v>9</v>
      </c>
      <c r="F15" s="24" t="s">
        <v>10</v>
      </c>
      <c r="G15" s="23" t="s">
        <v>11</v>
      </c>
      <c r="H15" s="25" t="s">
        <v>12</v>
      </c>
      <c r="J15" s="6" t="s">
        <v>4</v>
      </c>
      <c r="K15" s="9"/>
      <c r="L15" s="66"/>
      <c r="M15" s="66"/>
      <c r="N15" s="4"/>
      <c r="O15" s="4"/>
      <c r="P15" s="4"/>
      <c r="Q15" s="4"/>
      <c r="R15" s="4"/>
      <c r="S15" s="4"/>
      <c r="T15" s="4"/>
      <c r="U15" s="5"/>
      <c r="W15" s="6" t="s">
        <v>4</v>
      </c>
      <c r="X15" s="9"/>
      <c r="Y15" s="4"/>
      <c r="Z15" s="4"/>
      <c r="AA15" s="4"/>
      <c r="AB15" s="4"/>
      <c r="AC15" s="5"/>
      <c r="AE15" s="6" t="s">
        <v>4</v>
      </c>
      <c r="AF15" s="9"/>
      <c r="AG15" s="4"/>
      <c r="AH15" s="4"/>
      <c r="AI15" s="4"/>
      <c r="AJ15" s="4"/>
      <c r="AK15" s="5"/>
    </row>
    <row r="16" spans="1:37" ht="15.75" thickBot="1" x14ac:dyDescent="0.3">
      <c r="A16" s="83"/>
      <c r="B16" s="26"/>
      <c r="C16" s="27"/>
      <c r="D16" s="27"/>
      <c r="E16" s="27"/>
      <c r="F16" s="27">
        <f>SUM(C16-B16)</f>
        <v>0</v>
      </c>
      <c r="G16" s="20">
        <f>SUM(E16-D16)</f>
        <v>0</v>
      </c>
      <c r="H16" s="21">
        <f>SUM(F16:G16)</f>
        <v>0</v>
      </c>
      <c r="J16" s="7" t="s">
        <v>22</v>
      </c>
      <c r="K16" s="10"/>
      <c r="L16" s="11"/>
      <c r="M16" s="11"/>
      <c r="N16" s="11"/>
      <c r="O16" s="11"/>
      <c r="P16" s="11"/>
      <c r="Q16" s="11"/>
      <c r="R16" s="11"/>
      <c r="S16" s="11"/>
      <c r="T16" s="11"/>
      <c r="U16" s="12"/>
      <c r="W16" s="7" t="s">
        <v>22</v>
      </c>
      <c r="X16" s="10"/>
      <c r="Y16" s="11"/>
      <c r="Z16" s="11"/>
      <c r="AA16" s="11"/>
      <c r="AB16" s="11"/>
      <c r="AC16" s="12"/>
      <c r="AE16" s="7" t="s">
        <v>22</v>
      </c>
      <c r="AF16" s="10"/>
      <c r="AG16" s="11"/>
      <c r="AH16" s="11"/>
      <c r="AI16" s="11"/>
      <c r="AJ16" s="11"/>
      <c r="AK16" s="12"/>
    </row>
    <row r="17" spans="1:37" x14ac:dyDescent="0.25">
      <c r="J17" s="8"/>
      <c r="T17" s="8" t="s">
        <v>23</v>
      </c>
      <c r="U17" s="13">
        <f>SUM(K16:U16)</f>
        <v>0</v>
      </c>
      <c r="AB17" s="8" t="s">
        <v>23</v>
      </c>
      <c r="AC17" s="13">
        <f>SUM(X16:AC16)</f>
        <v>0</v>
      </c>
      <c r="AJ17" s="8" t="s">
        <v>23</v>
      </c>
      <c r="AK17" s="13">
        <f>SUM(AF16:AK16)</f>
        <v>0</v>
      </c>
    </row>
    <row r="18" spans="1:37" ht="15.75" thickBot="1" x14ac:dyDescent="0.3">
      <c r="A18" s="19"/>
      <c r="B18" s="79" t="s">
        <v>14</v>
      </c>
      <c r="C18" s="79"/>
      <c r="D18" s="79"/>
      <c r="E18" s="79"/>
      <c r="F18" s="79"/>
      <c r="G18" s="79"/>
      <c r="H18" s="79"/>
      <c r="J18" s="80" t="s">
        <v>14</v>
      </c>
      <c r="K18" s="80"/>
      <c r="L18" s="80"/>
      <c r="M18" s="80"/>
      <c r="N18" s="80"/>
      <c r="O18" s="80"/>
      <c r="P18" s="80"/>
      <c r="Q18" s="80"/>
      <c r="R18" s="80"/>
      <c r="S18" s="80"/>
      <c r="T18" s="80"/>
      <c r="U18" s="80"/>
      <c r="W18" s="81" t="str">
        <f>J18</f>
        <v>Abril</v>
      </c>
      <c r="X18" s="81"/>
      <c r="Y18" s="81"/>
      <c r="Z18" s="81"/>
      <c r="AA18" s="81"/>
      <c r="AB18" s="81"/>
      <c r="AC18" s="81"/>
      <c r="AE18" s="82" t="str">
        <f>W18</f>
        <v>Abril</v>
      </c>
      <c r="AF18" s="82"/>
      <c r="AG18" s="82"/>
      <c r="AH18" s="82"/>
      <c r="AI18" s="82"/>
      <c r="AJ18" s="82"/>
      <c r="AK18" s="82"/>
    </row>
    <row r="19" spans="1:37" ht="15.75" thickBot="1" x14ac:dyDescent="0.3">
      <c r="A19" s="83" t="s">
        <v>5</v>
      </c>
      <c r="B19" s="34" t="s">
        <v>6</v>
      </c>
      <c r="C19" s="22" t="s">
        <v>7</v>
      </c>
      <c r="D19" s="33" t="s">
        <v>8</v>
      </c>
      <c r="E19" s="22" t="s">
        <v>9</v>
      </c>
      <c r="F19" s="24" t="s">
        <v>10</v>
      </c>
      <c r="G19" s="23" t="s">
        <v>11</v>
      </c>
      <c r="H19" s="25" t="s">
        <v>12</v>
      </c>
      <c r="J19" s="6" t="s">
        <v>4</v>
      </c>
      <c r="K19" s="9">
        <v>45390</v>
      </c>
      <c r="L19" s="66">
        <v>45391</v>
      </c>
      <c r="M19" s="66">
        <v>45393</v>
      </c>
      <c r="N19" s="66">
        <v>45394</v>
      </c>
      <c r="O19" s="4"/>
      <c r="P19" s="4"/>
      <c r="Q19" s="4"/>
      <c r="R19" s="4"/>
      <c r="S19" s="4"/>
      <c r="T19" s="4"/>
      <c r="U19" s="5"/>
      <c r="W19" s="6" t="s">
        <v>4</v>
      </c>
      <c r="X19" s="9"/>
      <c r="Y19" s="4"/>
      <c r="Z19" s="4"/>
      <c r="AA19" s="4"/>
      <c r="AB19" s="4"/>
      <c r="AC19" s="5"/>
      <c r="AE19" s="6" t="s">
        <v>4</v>
      </c>
      <c r="AF19" s="9"/>
      <c r="AG19" s="4"/>
      <c r="AH19" s="4"/>
      <c r="AI19" s="4"/>
      <c r="AJ19" s="4"/>
      <c r="AK19" s="5"/>
    </row>
    <row r="20" spans="1:37" ht="15.75" thickBot="1" x14ac:dyDescent="0.3">
      <c r="A20" s="83"/>
      <c r="B20" s="26">
        <v>29778</v>
      </c>
      <c r="C20" s="27"/>
      <c r="D20" s="27"/>
      <c r="E20" s="27">
        <v>34438</v>
      </c>
      <c r="F20" s="27">
        <f>SUM(C20-B20)</f>
        <v>-29778</v>
      </c>
      <c r="G20" s="20">
        <f>SUM(E20-D20)</f>
        <v>34438</v>
      </c>
      <c r="H20" s="21">
        <f>SUM(F20:G20)</f>
        <v>4660</v>
      </c>
      <c r="J20" s="7" t="s">
        <v>22</v>
      </c>
      <c r="K20" s="30">
        <v>160.01</v>
      </c>
      <c r="L20" s="31">
        <v>188.1</v>
      </c>
      <c r="M20" s="31">
        <v>247.96</v>
      </c>
      <c r="N20" s="31">
        <v>141.91</v>
      </c>
      <c r="O20" s="31"/>
      <c r="P20" s="31"/>
      <c r="Q20" s="31"/>
      <c r="R20" s="31"/>
      <c r="S20" s="31"/>
      <c r="T20" s="31"/>
      <c r="U20" s="32"/>
      <c r="W20" s="7" t="s">
        <v>22</v>
      </c>
      <c r="X20" s="10"/>
      <c r="Y20" s="11"/>
      <c r="Z20" s="11"/>
      <c r="AA20" s="11"/>
      <c r="AB20" s="11"/>
      <c r="AC20" s="12"/>
      <c r="AE20" s="7" t="s">
        <v>22</v>
      </c>
      <c r="AF20" s="10"/>
      <c r="AG20" s="11"/>
      <c r="AH20" s="11"/>
      <c r="AI20" s="11"/>
      <c r="AJ20" s="11"/>
      <c r="AK20" s="12"/>
    </row>
    <row r="21" spans="1:37" x14ac:dyDescent="0.25">
      <c r="J21" s="8"/>
      <c r="T21" s="8" t="s">
        <v>23</v>
      </c>
      <c r="U21" s="13">
        <f>SUM(K20:U20)</f>
        <v>737.98</v>
      </c>
      <c r="AB21" s="8" t="s">
        <v>23</v>
      </c>
      <c r="AC21" s="13">
        <f>SUM(X20:AC20)</f>
        <v>0</v>
      </c>
      <c r="AJ21" s="8" t="s">
        <v>23</v>
      </c>
      <c r="AK21" s="13">
        <f>SUM(AF20:AK20)</f>
        <v>0</v>
      </c>
    </row>
    <row r="22" spans="1:37" ht="15.75" thickBot="1" x14ac:dyDescent="0.3">
      <c r="A22" s="19"/>
      <c r="B22" s="79" t="s">
        <v>15</v>
      </c>
      <c r="C22" s="79"/>
      <c r="D22" s="79"/>
      <c r="E22" s="79"/>
      <c r="F22" s="79"/>
      <c r="G22" s="79"/>
      <c r="H22" s="79"/>
      <c r="J22" s="80" t="s">
        <v>15</v>
      </c>
      <c r="K22" s="80"/>
      <c r="L22" s="80"/>
      <c r="M22" s="80"/>
      <c r="N22" s="80"/>
      <c r="O22" s="80"/>
      <c r="P22" s="80"/>
      <c r="Q22" s="80"/>
      <c r="R22" s="80"/>
      <c r="S22" s="80"/>
      <c r="T22" s="80"/>
      <c r="U22" s="80"/>
      <c r="W22" s="81" t="str">
        <f>J22</f>
        <v>Maio</v>
      </c>
      <c r="X22" s="81"/>
      <c r="Y22" s="81"/>
      <c r="Z22" s="81"/>
      <c r="AA22" s="81"/>
      <c r="AB22" s="81"/>
      <c r="AC22" s="81"/>
      <c r="AE22" s="82" t="str">
        <f>W22</f>
        <v>Maio</v>
      </c>
      <c r="AF22" s="82"/>
      <c r="AG22" s="82"/>
      <c r="AH22" s="82"/>
      <c r="AI22" s="82"/>
      <c r="AJ22" s="82"/>
      <c r="AK22" s="82"/>
    </row>
    <row r="23" spans="1:37" ht="15.75" thickBot="1" x14ac:dyDescent="0.3">
      <c r="A23" s="83" t="s">
        <v>5</v>
      </c>
      <c r="B23" s="34" t="s">
        <v>6</v>
      </c>
      <c r="C23" s="22" t="s">
        <v>7</v>
      </c>
      <c r="D23" s="33" t="s">
        <v>8</v>
      </c>
      <c r="E23" s="22" t="s">
        <v>9</v>
      </c>
      <c r="F23" s="24" t="s">
        <v>10</v>
      </c>
      <c r="G23" s="23" t="s">
        <v>11</v>
      </c>
      <c r="H23" s="25" t="s">
        <v>12</v>
      </c>
      <c r="J23" s="6" t="s">
        <v>4</v>
      </c>
      <c r="K23" s="9"/>
      <c r="L23" s="4"/>
      <c r="M23" s="4"/>
      <c r="N23" s="4"/>
      <c r="O23" s="4"/>
      <c r="P23" s="4"/>
      <c r="Q23" s="4"/>
      <c r="R23" s="4"/>
      <c r="S23" s="4"/>
      <c r="T23" s="4"/>
      <c r="U23" s="5"/>
      <c r="W23" s="6" t="s">
        <v>4</v>
      </c>
      <c r="X23" s="9"/>
      <c r="Y23" s="4"/>
      <c r="Z23" s="4"/>
      <c r="AA23" s="4"/>
      <c r="AB23" s="4"/>
      <c r="AC23" s="5"/>
      <c r="AE23" s="6" t="s">
        <v>4</v>
      </c>
      <c r="AF23" s="9"/>
      <c r="AG23" s="4"/>
      <c r="AH23" s="4"/>
      <c r="AI23" s="4"/>
      <c r="AJ23" s="4"/>
      <c r="AK23" s="5"/>
    </row>
    <row r="24" spans="1:37" ht="15.75" thickBot="1" x14ac:dyDescent="0.3">
      <c r="A24" s="83"/>
      <c r="B24" s="27">
        <v>34438</v>
      </c>
      <c r="C24" s="27"/>
      <c r="D24" s="27"/>
      <c r="E24" s="27">
        <v>35438</v>
      </c>
      <c r="F24" s="27">
        <f>SUM(C24-B24)</f>
        <v>-34438</v>
      </c>
      <c r="G24" s="20">
        <f>SUM(E24-D24)</f>
        <v>35438</v>
      </c>
      <c r="H24" s="21">
        <f>SUM(F24:G24)</f>
        <v>1000</v>
      </c>
      <c r="J24" s="7" t="s">
        <v>22</v>
      </c>
      <c r="K24" s="10"/>
      <c r="L24" s="11"/>
      <c r="M24" s="11"/>
      <c r="N24" s="11"/>
      <c r="O24" s="11"/>
      <c r="P24" s="11"/>
      <c r="Q24" s="11"/>
      <c r="R24" s="11"/>
      <c r="S24" s="11"/>
      <c r="T24" s="11"/>
      <c r="U24" s="12"/>
      <c r="W24" s="7" t="s">
        <v>22</v>
      </c>
      <c r="X24" s="10"/>
      <c r="Y24" s="11"/>
      <c r="Z24" s="11"/>
      <c r="AA24" s="11"/>
      <c r="AB24" s="11"/>
      <c r="AC24" s="12"/>
      <c r="AE24" s="7" t="s">
        <v>22</v>
      </c>
      <c r="AF24" s="10"/>
      <c r="AG24" s="11"/>
      <c r="AH24" s="11"/>
      <c r="AI24" s="11"/>
      <c r="AJ24" s="11"/>
      <c r="AK24" s="12"/>
    </row>
    <row r="25" spans="1:37" x14ac:dyDescent="0.25">
      <c r="J25" s="8"/>
      <c r="T25" s="8" t="s">
        <v>23</v>
      </c>
      <c r="U25" s="13">
        <f>SUM(K24:U24)</f>
        <v>0</v>
      </c>
      <c r="AB25" s="8" t="s">
        <v>23</v>
      </c>
      <c r="AC25" s="13">
        <f>SUM(X24:AC24)</f>
        <v>0</v>
      </c>
      <c r="AJ25" s="8" t="s">
        <v>23</v>
      </c>
      <c r="AK25" s="13">
        <f>SUM(AF24:AK24)</f>
        <v>0</v>
      </c>
    </row>
    <row r="26" spans="1:37" ht="15.75" thickBot="1" x14ac:dyDescent="0.3">
      <c r="A26" s="19"/>
      <c r="B26" s="79" t="s">
        <v>24</v>
      </c>
      <c r="C26" s="79"/>
      <c r="D26" s="79"/>
      <c r="E26" s="79"/>
      <c r="F26" s="79"/>
      <c r="G26" s="79"/>
      <c r="H26" s="79"/>
      <c r="J26" s="80" t="s">
        <v>24</v>
      </c>
      <c r="K26" s="80"/>
      <c r="L26" s="80"/>
      <c r="M26" s="80"/>
      <c r="N26" s="80"/>
      <c r="O26" s="80"/>
      <c r="P26" s="80"/>
      <c r="Q26" s="80"/>
      <c r="R26" s="80"/>
      <c r="S26" s="80"/>
      <c r="T26" s="80"/>
      <c r="U26" s="80"/>
      <c r="W26" s="81" t="str">
        <f>J26</f>
        <v>Junho</v>
      </c>
      <c r="X26" s="81"/>
      <c r="Y26" s="81"/>
      <c r="Z26" s="81"/>
      <c r="AA26" s="81"/>
      <c r="AB26" s="81"/>
      <c r="AC26" s="81"/>
      <c r="AE26" s="82" t="str">
        <f>W26</f>
        <v>Junho</v>
      </c>
      <c r="AF26" s="82"/>
      <c r="AG26" s="82"/>
      <c r="AH26" s="82"/>
      <c r="AI26" s="82"/>
      <c r="AJ26" s="82"/>
      <c r="AK26" s="82"/>
    </row>
    <row r="27" spans="1:37" ht="15.75" thickBot="1" x14ac:dyDescent="0.3">
      <c r="A27" s="83"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W27" s="6" t="s">
        <v>4</v>
      </c>
      <c r="X27" s="9"/>
      <c r="Y27" s="4"/>
      <c r="Z27" s="4"/>
      <c r="AA27" s="4"/>
      <c r="AB27" s="4"/>
      <c r="AC27" s="5"/>
      <c r="AE27" s="6" t="s">
        <v>4</v>
      </c>
      <c r="AF27" s="9"/>
      <c r="AG27" s="4"/>
      <c r="AH27" s="4"/>
      <c r="AI27" s="4"/>
      <c r="AJ27" s="4"/>
      <c r="AK27" s="5"/>
    </row>
    <row r="28" spans="1:37" ht="15.75" thickBot="1" x14ac:dyDescent="0.3">
      <c r="A28" s="83"/>
      <c r="B28" s="26">
        <v>35438</v>
      </c>
      <c r="C28" s="27"/>
      <c r="D28" s="27"/>
      <c r="E28" s="27">
        <v>36860</v>
      </c>
      <c r="F28" s="27">
        <f>SUM(C28-B28)</f>
        <v>-35438</v>
      </c>
      <c r="G28" s="20">
        <f>SUM(E28-D28)</f>
        <v>36860</v>
      </c>
      <c r="H28" s="21">
        <f>SUM(F28:G28)</f>
        <v>1422</v>
      </c>
      <c r="J28" s="7" t="s">
        <v>22</v>
      </c>
      <c r="K28" s="10"/>
      <c r="L28" s="11"/>
      <c r="M28" s="11"/>
      <c r="N28" s="11"/>
      <c r="O28" s="11"/>
      <c r="P28" s="11"/>
      <c r="Q28" s="11"/>
      <c r="R28" s="11"/>
      <c r="S28" s="11"/>
      <c r="T28" s="11"/>
      <c r="U28" s="12"/>
      <c r="W28" s="7" t="s">
        <v>22</v>
      </c>
      <c r="X28" s="10"/>
      <c r="Y28" s="11"/>
      <c r="Z28" s="11"/>
      <c r="AA28" s="11"/>
      <c r="AB28" s="11"/>
      <c r="AC28" s="12"/>
      <c r="AE28" s="7" t="s">
        <v>22</v>
      </c>
      <c r="AF28" s="10"/>
      <c r="AG28" s="11"/>
      <c r="AH28" s="11"/>
      <c r="AI28" s="11"/>
      <c r="AJ28" s="11"/>
      <c r="AK28" s="12"/>
    </row>
    <row r="29" spans="1:37" x14ac:dyDescent="0.25">
      <c r="J29" s="8"/>
      <c r="T29" s="8" t="s">
        <v>23</v>
      </c>
      <c r="U29" s="13">
        <f>SUM(K28:U28)</f>
        <v>0</v>
      </c>
      <c r="AB29" s="8" t="s">
        <v>23</v>
      </c>
      <c r="AC29" s="13">
        <f>SUM(X28:AC28)</f>
        <v>0</v>
      </c>
      <c r="AJ29" s="8" t="s">
        <v>23</v>
      </c>
      <c r="AK29" s="13">
        <f>SUM(AF28:AK28)</f>
        <v>0</v>
      </c>
    </row>
    <row r="30" spans="1:37" ht="15.75" thickBot="1" x14ac:dyDescent="0.3">
      <c r="A30" s="19"/>
      <c r="B30" s="79" t="s">
        <v>16</v>
      </c>
      <c r="C30" s="79"/>
      <c r="D30" s="79"/>
      <c r="E30" s="79"/>
      <c r="F30" s="79"/>
      <c r="G30" s="79"/>
      <c r="H30" s="79"/>
      <c r="J30" s="80" t="s">
        <v>16</v>
      </c>
      <c r="K30" s="80"/>
      <c r="L30" s="80"/>
      <c r="M30" s="80"/>
      <c r="N30" s="80"/>
      <c r="O30" s="80"/>
      <c r="P30" s="80"/>
      <c r="Q30" s="80"/>
      <c r="R30" s="80"/>
      <c r="S30" s="80"/>
      <c r="T30" s="80"/>
      <c r="U30" s="80"/>
      <c r="W30" s="81" t="str">
        <f>J30</f>
        <v>Julho</v>
      </c>
      <c r="X30" s="81"/>
      <c r="Y30" s="81"/>
      <c r="Z30" s="81"/>
      <c r="AA30" s="81"/>
      <c r="AB30" s="81"/>
      <c r="AC30" s="81"/>
      <c r="AE30" s="82" t="str">
        <f>W30</f>
        <v>Julho</v>
      </c>
      <c r="AF30" s="82"/>
      <c r="AG30" s="82"/>
      <c r="AH30" s="82"/>
      <c r="AI30" s="82"/>
      <c r="AJ30" s="82"/>
      <c r="AK30" s="82"/>
    </row>
    <row r="31" spans="1:37" ht="15.75" thickBot="1" x14ac:dyDescent="0.3">
      <c r="A31" s="83" t="s">
        <v>5</v>
      </c>
      <c r="B31" s="34" t="s">
        <v>6</v>
      </c>
      <c r="C31" s="22" t="s">
        <v>7</v>
      </c>
      <c r="D31" s="33" t="s">
        <v>8</v>
      </c>
      <c r="E31" s="22" t="s">
        <v>9</v>
      </c>
      <c r="F31" s="24" t="s">
        <v>10</v>
      </c>
      <c r="G31" s="23" t="s">
        <v>11</v>
      </c>
      <c r="H31" s="25" t="s">
        <v>12</v>
      </c>
      <c r="J31" s="6" t="s">
        <v>4</v>
      </c>
      <c r="K31" s="9"/>
      <c r="L31" s="4"/>
      <c r="M31" s="4"/>
      <c r="N31" s="4"/>
      <c r="O31" s="4"/>
      <c r="P31" s="4"/>
      <c r="Q31" s="4"/>
      <c r="R31" s="4"/>
      <c r="S31" s="4"/>
      <c r="T31" s="4"/>
      <c r="U31" s="5"/>
      <c r="W31" s="6" t="s">
        <v>4</v>
      </c>
      <c r="X31" s="9"/>
      <c r="Y31" s="4"/>
      <c r="Z31" s="4"/>
      <c r="AA31" s="4"/>
      <c r="AB31" s="4"/>
      <c r="AC31" s="5"/>
      <c r="AE31" s="6" t="s">
        <v>4</v>
      </c>
      <c r="AF31" s="9"/>
      <c r="AG31" s="4"/>
      <c r="AH31" s="4"/>
      <c r="AI31" s="4"/>
      <c r="AJ31" s="4"/>
      <c r="AK31" s="5"/>
    </row>
    <row r="32" spans="1:37" ht="15.75" thickBot="1" x14ac:dyDescent="0.3">
      <c r="A32" s="83"/>
      <c r="B32" s="26">
        <v>36860</v>
      </c>
      <c r="C32" s="27"/>
      <c r="D32" s="27"/>
      <c r="E32" s="27">
        <v>39830</v>
      </c>
      <c r="F32" s="27">
        <f>SUM(C32-B32)</f>
        <v>-36860</v>
      </c>
      <c r="G32" s="20">
        <f>SUM(E32-D32)</f>
        <v>39830</v>
      </c>
      <c r="H32" s="21">
        <f>SUM(F32:G32)</f>
        <v>2970</v>
      </c>
      <c r="J32" s="7" t="s">
        <v>22</v>
      </c>
      <c r="K32" s="10"/>
      <c r="L32" s="11"/>
      <c r="M32" s="11"/>
      <c r="N32" s="11"/>
      <c r="O32" s="11"/>
      <c r="P32" s="11"/>
      <c r="Q32" s="11"/>
      <c r="R32" s="11"/>
      <c r="S32" s="11"/>
      <c r="T32" s="11"/>
      <c r="U32" s="12"/>
      <c r="W32" s="7" t="s">
        <v>22</v>
      </c>
      <c r="X32" s="10"/>
      <c r="Y32" s="11"/>
      <c r="Z32" s="11"/>
      <c r="AA32" s="11"/>
      <c r="AB32" s="11"/>
      <c r="AC32" s="12"/>
      <c r="AE32" s="7" t="s">
        <v>22</v>
      </c>
      <c r="AF32" s="10"/>
      <c r="AG32" s="11"/>
      <c r="AH32" s="11"/>
      <c r="AI32" s="11"/>
      <c r="AJ32" s="11"/>
      <c r="AK32" s="12"/>
    </row>
    <row r="33" spans="1:37" x14ac:dyDescent="0.25">
      <c r="J33" s="8"/>
      <c r="T33" s="8" t="s">
        <v>23</v>
      </c>
      <c r="U33" s="13">
        <f>SUM(K32:U32)</f>
        <v>0</v>
      </c>
      <c r="AB33" s="8" t="s">
        <v>23</v>
      </c>
      <c r="AC33" s="13">
        <f>SUM(X32:AC32)</f>
        <v>0</v>
      </c>
      <c r="AJ33" s="8" t="s">
        <v>23</v>
      </c>
      <c r="AK33" s="13">
        <f>SUM(AF32:AK32)</f>
        <v>0</v>
      </c>
    </row>
    <row r="34" spans="1:37" ht="15.75" thickBot="1" x14ac:dyDescent="0.3">
      <c r="A34" s="19"/>
      <c r="B34" s="79" t="s">
        <v>17</v>
      </c>
      <c r="C34" s="79"/>
      <c r="D34" s="79"/>
      <c r="E34" s="79"/>
      <c r="F34" s="79"/>
      <c r="G34" s="79"/>
      <c r="H34" s="79"/>
      <c r="J34" s="80" t="s">
        <v>17</v>
      </c>
      <c r="K34" s="80"/>
      <c r="L34" s="80"/>
      <c r="M34" s="80"/>
      <c r="N34" s="80"/>
      <c r="O34" s="80"/>
      <c r="P34" s="80"/>
      <c r="Q34" s="80"/>
      <c r="R34" s="80"/>
      <c r="S34" s="80"/>
      <c r="T34" s="80"/>
      <c r="U34" s="80"/>
      <c r="W34" s="81" t="str">
        <f>J34</f>
        <v>Agosto</v>
      </c>
      <c r="X34" s="81"/>
      <c r="Y34" s="81"/>
      <c r="Z34" s="81"/>
      <c r="AA34" s="81"/>
      <c r="AB34" s="81"/>
      <c r="AC34" s="81"/>
      <c r="AE34" s="82" t="str">
        <f>W34</f>
        <v>Agosto</v>
      </c>
      <c r="AF34" s="82"/>
      <c r="AG34" s="82"/>
      <c r="AH34" s="82"/>
      <c r="AI34" s="82"/>
      <c r="AJ34" s="82"/>
      <c r="AK34" s="82"/>
    </row>
    <row r="35" spans="1:37" ht="15.75" thickBot="1" x14ac:dyDescent="0.3">
      <c r="A35" s="83" t="s">
        <v>5</v>
      </c>
      <c r="B35" s="34" t="s">
        <v>6</v>
      </c>
      <c r="C35" s="22" t="s">
        <v>7</v>
      </c>
      <c r="D35" s="33" t="s">
        <v>8</v>
      </c>
      <c r="E35" s="22" t="s">
        <v>9</v>
      </c>
      <c r="F35" s="24" t="s">
        <v>10</v>
      </c>
      <c r="G35" s="23" t="s">
        <v>11</v>
      </c>
      <c r="H35" s="25" t="s">
        <v>12</v>
      </c>
      <c r="J35" s="6" t="s">
        <v>4</v>
      </c>
      <c r="K35" s="9"/>
      <c r="L35" s="4"/>
      <c r="M35" s="4"/>
      <c r="N35" s="4"/>
      <c r="O35" s="4"/>
      <c r="P35" s="4"/>
      <c r="Q35" s="4"/>
      <c r="R35" s="4"/>
      <c r="S35" s="4"/>
      <c r="T35" s="4"/>
      <c r="U35" s="5"/>
      <c r="W35" s="6" t="s">
        <v>4</v>
      </c>
      <c r="X35" s="9"/>
      <c r="Y35" s="4"/>
      <c r="Z35" s="4"/>
      <c r="AA35" s="4"/>
      <c r="AB35" s="4"/>
      <c r="AC35" s="5"/>
      <c r="AE35" s="6" t="s">
        <v>4</v>
      </c>
      <c r="AF35" s="9"/>
      <c r="AG35" s="4"/>
      <c r="AH35" s="4"/>
      <c r="AI35" s="4"/>
      <c r="AJ35" s="4"/>
      <c r="AK35" s="5"/>
    </row>
    <row r="36" spans="1:37" ht="15.75" thickBot="1" x14ac:dyDescent="0.3">
      <c r="A36" s="83"/>
      <c r="B36" s="26">
        <v>39830</v>
      </c>
      <c r="C36" s="27"/>
      <c r="D36" s="27"/>
      <c r="E36" s="27">
        <v>42394</v>
      </c>
      <c r="F36" s="27">
        <f>SUM(C36-B36)</f>
        <v>-39830</v>
      </c>
      <c r="G36" s="20">
        <f>SUM(E36-D36)</f>
        <v>42394</v>
      </c>
      <c r="H36" s="21">
        <f>SUM(F36:G36)</f>
        <v>2564</v>
      </c>
      <c r="J36" s="7" t="s">
        <v>22</v>
      </c>
      <c r="K36" s="10"/>
      <c r="L36" s="11"/>
      <c r="M36" s="11"/>
      <c r="N36" s="11"/>
      <c r="O36" s="11"/>
      <c r="P36" s="11"/>
      <c r="Q36" s="11"/>
      <c r="R36" s="11"/>
      <c r="S36" s="11"/>
      <c r="T36" s="11"/>
      <c r="U36" s="12"/>
      <c r="W36" s="7" t="s">
        <v>22</v>
      </c>
      <c r="X36" s="10"/>
      <c r="Y36" s="11"/>
      <c r="Z36" s="11"/>
      <c r="AA36" s="11"/>
      <c r="AB36" s="11"/>
      <c r="AC36" s="12"/>
      <c r="AE36" s="7" t="s">
        <v>22</v>
      </c>
      <c r="AF36" s="10"/>
      <c r="AG36" s="11"/>
      <c r="AH36" s="11"/>
      <c r="AI36" s="11"/>
      <c r="AJ36" s="11"/>
      <c r="AK36" s="12"/>
    </row>
    <row r="37" spans="1:37" x14ac:dyDescent="0.25">
      <c r="J37" s="8"/>
      <c r="T37" s="8" t="s">
        <v>23</v>
      </c>
      <c r="U37" s="13">
        <f>SUM(K36:U36)</f>
        <v>0</v>
      </c>
      <c r="AB37" s="8" t="s">
        <v>23</v>
      </c>
      <c r="AC37" s="13">
        <f>SUM(X36:AC36)</f>
        <v>0</v>
      </c>
      <c r="AJ37" s="8" t="s">
        <v>23</v>
      </c>
      <c r="AK37" s="13">
        <f>SUM(AF36:AK36)</f>
        <v>0</v>
      </c>
    </row>
    <row r="38" spans="1:37" ht="15.75" thickBot="1" x14ac:dyDescent="0.3">
      <c r="A38" s="19"/>
      <c r="B38" s="79" t="s">
        <v>18</v>
      </c>
      <c r="C38" s="79"/>
      <c r="D38" s="79"/>
      <c r="E38" s="79"/>
      <c r="F38" s="79"/>
      <c r="G38" s="79"/>
      <c r="H38" s="79"/>
      <c r="J38" s="80" t="s">
        <v>18</v>
      </c>
      <c r="K38" s="80"/>
      <c r="L38" s="80"/>
      <c r="M38" s="80"/>
      <c r="N38" s="80"/>
      <c r="O38" s="80"/>
      <c r="P38" s="80"/>
      <c r="Q38" s="80"/>
      <c r="R38" s="80"/>
      <c r="S38" s="80"/>
      <c r="T38" s="80"/>
      <c r="U38" s="80"/>
      <c r="W38" s="81" t="str">
        <f>J38</f>
        <v>Setembro</v>
      </c>
      <c r="X38" s="81"/>
      <c r="Y38" s="81"/>
      <c r="Z38" s="81"/>
      <c r="AA38" s="81"/>
      <c r="AB38" s="81"/>
      <c r="AC38" s="81"/>
      <c r="AE38" s="82" t="str">
        <f>W38</f>
        <v>Setembro</v>
      </c>
      <c r="AF38" s="82"/>
      <c r="AG38" s="82"/>
      <c r="AH38" s="82"/>
      <c r="AI38" s="82"/>
      <c r="AJ38" s="82"/>
      <c r="AK38" s="82"/>
    </row>
    <row r="39" spans="1:37" ht="15.75" thickBot="1" x14ac:dyDescent="0.3">
      <c r="A39" s="83" t="s">
        <v>5</v>
      </c>
      <c r="B39" s="34" t="s">
        <v>6</v>
      </c>
      <c r="C39" s="22" t="s">
        <v>7</v>
      </c>
      <c r="D39" s="33" t="s">
        <v>8</v>
      </c>
      <c r="E39" s="22" t="s">
        <v>9</v>
      </c>
      <c r="F39" s="24" t="s">
        <v>10</v>
      </c>
      <c r="G39" s="23" t="s">
        <v>11</v>
      </c>
      <c r="H39" s="25" t="s">
        <v>12</v>
      </c>
      <c r="J39" s="6" t="s">
        <v>4</v>
      </c>
      <c r="K39" s="9"/>
      <c r="L39" s="4"/>
      <c r="M39" s="4"/>
      <c r="N39" s="4"/>
      <c r="O39" s="4"/>
      <c r="P39" s="4"/>
      <c r="Q39" s="4"/>
      <c r="R39" s="4"/>
      <c r="S39" s="4"/>
      <c r="T39" s="4"/>
      <c r="U39" s="5"/>
      <c r="W39" s="6" t="s">
        <v>4</v>
      </c>
      <c r="X39" s="9"/>
      <c r="Y39" s="4"/>
      <c r="Z39" s="4"/>
      <c r="AA39" s="4"/>
      <c r="AB39" s="4"/>
      <c r="AC39" s="5"/>
      <c r="AE39" s="6" t="s">
        <v>4</v>
      </c>
      <c r="AF39" s="9"/>
      <c r="AG39" s="4"/>
      <c r="AH39" s="4"/>
      <c r="AI39" s="4"/>
      <c r="AJ39" s="4"/>
      <c r="AK39" s="5"/>
    </row>
    <row r="40" spans="1:37" ht="15.75" thickBot="1" x14ac:dyDescent="0.3">
      <c r="A40" s="83"/>
      <c r="B40" s="26">
        <v>42394</v>
      </c>
      <c r="C40" s="27"/>
      <c r="D40" s="27"/>
      <c r="E40" s="27">
        <v>44018</v>
      </c>
      <c r="F40" s="27">
        <f>SUM(C40-B40)</f>
        <v>-42394</v>
      </c>
      <c r="G40" s="20">
        <f>SUM(E40-D40)</f>
        <v>44018</v>
      </c>
      <c r="H40" s="21">
        <f>SUM(F40:G40)</f>
        <v>1624</v>
      </c>
      <c r="J40" s="7" t="s">
        <v>22</v>
      </c>
      <c r="K40" s="10"/>
      <c r="L40" s="11"/>
      <c r="M40" s="11"/>
      <c r="N40" s="11"/>
      <c r="O40" s="11"/>
      <c r="P40" s="11"/>
      <c r="Q40" s="11"/>
      <c r="R40" s="11"/>
      <c r="S40" s="11"/>
      <c r="T40" s="11"/>
      <c r="U40" s="12"/>
      <c r="W40" s="7" t="s">
        <v>22</v>
      </c>
      <c r="X40" s="10"/>
      <c r="Y40" s="11"/>
      <c r="Z40" s="11"/>
      <c r="AA40" s="11"/>
      <c r="AB40" s="11"/>
      <c r="AC40" s="12"/>
      <c r="AE40" s="7" t="s">
        <v>22</v>
      </c>
      <c r="AF40" s="10"/>
      <c r="AG40" s="11"/>
      <c r="AH40" s="11"/>
      <c r="AI40" s="11"/>
      <c r="AJ40" s="11"/>
      <c r="AK40" s="12"/>
    </row>
    <row r="41" spans="1:37" x14ac:dyDescent="0.25">
      <c r="J41" s="8"/>
      <c r="T41" s="8" t="s">
        <v>23</v>
      </c>
      <c r="U41" s="13">
        <f>SUM(K40:U40)</f>
        <v>0</v>
      </c>
      <c r="AB41" s="8" t="s">
        <v>23</v>
      </c>
      <c r="AC41" s="13">
        <f>SUM(X40:AC40)</f>
        <v>0</v>
      </c>
      <c r="AJ41" s="8" t="s">
        <v>23</v>
      </c>
      <c r="AK41" s="13">
        <f>SUM(AF40:AK40)</f>
        <v>0</v>
      </c>
    </row>
    <row r="42" spans="1:37" ht="15.75" thickBot="1" x14ac:dyDescent="0.3">
      <c r="A42" s="19"/>
      <c r="B42" s="79" t="s">
        <v>19</v>
      </c>
      <c r="C42" s="79"/>
      <c r="D42" s="79"/>
      <c r="E42" s="79"/>
      <c r="F42" s="79"/>
      <c r="G42" s="79"/>
      <c r="H42" s="79"/>
      <c r="J42" s="80" t="s">
        <v>19</v>
      </c>
      <c r="K42" s="80"/>
      <c r="L42" s="80"/>
      <c r="M42" s="80"/>
      <c r="N42" s="80"/>
      <c r="O42" s="80"/>
      <c r="P42" s="80"/>
      <c r="Q42" s="80"/>
      <c r="R42" s="80"/>
      <c r="S42" s="80"/>
      <c r="T42" s="80"/>
      <c r="U42" s="80"/>
      <c r="W42" s="81" t="str">
        <f>J42</f>
        <v>Outubro</v>
      </c>
      <c r="X42" s="81"/>
      <c r="Y42" s="81"/>
      <c r="Z42" s="81"/>
      <c r="AA42" s="81"/>
      <c r="AB42" s="81"/>
      <c r="AC42" s="81"/>
      <c r="AE42" s="82" t="str">
        <f>W42</f>
        <v>Outubro</v>
      </c>
      <c r="AF42" s="82"/>
      <c r="AG42" s="82"/>
      <c r="AH42" s="82"/>
      <c r="AI42" s="82"/>
      <c r="AJ42" s="82"/>
      <c r="AK42" s="82"/>
    </row>
    <row r="43" spans="1:37" ht="15.75" thickBot="1" x14ac:dyDescent="0.3">
      <c r="A43" s="83" t="s">
        <v>5</v>
      </c>
      <c r="B43" s="34" t="s">
        <v>6</v>
      </c>
      <c r="C43" s="22" t="s">
        <v>7</v>
      </c>
      <c r="D43" s="33" t="s">
        <v>8</v>
      </c>
      <c r="E43" s="22" t="s">
        <v>9</v>
      </c>
      <c r="F43" s="24" t="s">
        <v>10</v>
      </c>
      <c r="G43" s="23" t="s">
        <v>11</v>
      </c>
      <c r="H43" s="25" t="s">
        <v>12</v>
      </c>
      <c r="J43" s="6" t="s">
        <v>4</v>
      </c>
      <c r="K43" s="9"/>
      <c r="L43" s="4"/>
      <c r="M43" s="4"/>
      <c r="N43" s="4"/>
      <c r="O43" s="4"/>
      <c r="P43" s="4"/>
      <c r="Q43" s="4"/>
      <c r="R43" s="4"/>
      <c r="S43" s="4"/>
      <c r="T43" s="4"/>
      <c r="U43" s="5"/>
      <c r="W43" s="6" t="s">
        <v>4</v>
      </c>
      <c r="X43" s="9"/>
      <c r="Y43" s="4"/>
      <c r="Z43" s="4"/>
      <c r="AA43" s="4"/>
      <c r="AB43" s="4"/>
      <c r="AC43" s="5"/>
      <c r="AE43" s="6" t="s">
        <v>4</v>
      </c>
      <c r="AF43" s="9"/>
      <c r="AG43" s="4"/>
      <c r="AH43" s="4"/>
      <c r="AI43" s="4"/>
      <c r="AJ43" s="4"/>
      <c r="AK43" s="5"/>
    </row>
    <row r="44" spans="1:37" ht="15.75" thickBot="1" x14ac:dyDescent="0.3">
      <c r="A44" s="83"/>
      <c r="B44" s="26"/>
      <c r="C44" s="27"/>
      <c r="D44" s="27"/>
      <c r="E44" s="27"/>
      <c r="F44" s="27">
        <f>SUM(C44-B44)</f>
        <v>0</v>
      </c>
      <c r="G44" s="20">
        <f>SUM(E44-D44)</f>
        <v>0</v>
      </c>
      <c r="H44" s="21">
        <f>SUM(F44:G44)</f>
        <v>0</v>
      </c>
      <c r="J44" s="7" t="s">
        <v>22</v>
      </c>
      <c r="K44" s="10"/>
      <c r="L44" s="11"/>
      <c r="M44" s="11"/>
      <c r="N44" s="11"/>
      <c r="O44" s="11"/>
      <c r="P44" s="11"/>
      <c r="Q44" s="11"/>
      <c r="R44" s="11"/>
      <c r="S44" s="11"/>
      <c r="T44" s="11"/>
      <c r="U44" s="12"/>
      <c r="W44" s="7" t="s">
        <v>22</v>
      </c>
      <c r="X44" s="10"/>
      <c r="Y44" s="11"/>
      <c r="Z44" s="11"/>
      <c r="AA44" s="11"/>
      <c r="AB44" s="11"/>
      <c r="AC44" s="12"/>
      <c r="AE44" s="7" t="s">
        <v>22</v>
      </c>
      <c r="AF44" s="10"/>
      <c r="AG44" s="11"/>
      <c r="AH44" s="11"/>
      <c r="AI44" s="11"/>
      <c r="AJ44" s="11"/>
      <c r="AK44" s="12"/>
    </row>
    <row r="45" spans="1:37" x14ac:dyDescent="0.25">
      <c r="J45" s="8"/>
      <c r="T45" s="8" t="s">
        <v>23</v>
      </c>
      <c r="U45" s="13">
        <f>SUM(K44:U44)</f>
        <v>0</v>
      </c>
      <c r="AB45" s="8" t="s">
        <v>23</v>
      </c>
      <c r="AC45" s="13">
        <f>SUM(X44:AC44)</f>
        <v>0</v>
      </c>
      <c r="AJ45" s="8" t="s">
        <v>23</v>
      </c>
      <c r="AK45" s="13">
        <f>SUM(AF44:AK44)</f>
        <v>0</v>
      </c>
    </row>
    <row r="46" spans="1:37" ht="15.75" thickBot="1" x14ac:dyDescent="0.3">
      <c r="A46" s="19"/>
      <c r="B46" s="79" t="s">
        <v>20</v>
      </c>
      <c r="C46" s="79"/>
      <c r="D46" s="79"/>
      <c r="E46" s="79"/>
      <c r="F46" s="79"/>
      <c r="G46" s="79"/>
      <c r="H46" s="79"/>
      <c r="J46" s="80" t="s">
        <v>20</v>
      </c>
      <c r="K46" s="80"/>
      <c r="L46" s="80"/>
      <c r="M46" s="80"/>
      <c r="N46" s="80"/>
      <c r="O46" s="80"/>
      <c r="P46" s="80"/>
      <c r="Q46" s="80"/>
      <c r="R46" s="80"/>
      <c r="S46" s="80"/>
      <c r="T46" s="80"/>
      <c r="U46" s="80"/>
      <c r="W46" s="81" t="str">
        <f>J46</f>
        <v>Novembro</v>
      </c>
      <c r="X46" s="81"/>
      <c r="Y46" s="81"/>
      <c r="Z46" s="81"/>
      <c r="AA46" s="81"/>
      <c r="AB46" s="81"/>
      <c r="AC46" s="81"/>
      <c r="AE46" s="82" t="str">
        <f>W46</f>
        <v>Novembro</v>
      </c>
      <c r="AF46" s="82"/>
      <c r="AG46" s="82"/>
      <c r="AH46" s="82"/>
      <c r="AI46" s="82"/>
      <c r="AJ46" s="82"/>
      <c r="AK46" s="82"/>
    </row>
    <row r="47" spans="1:37" ht="15.75" thickBot="1" x14ac:dyDescent="0.3">
      <c r="A47" s="83" t="s">
        <v>5</v>
      </c>
      <c r="B47" s="34" t="s">
        <v>6</v>
      </c>
      <c r="C47" s="22" t="s">
        <v>7</v>
      </c>
      <c r="D47" s="33" t="s">
        <v>8</v>
      </c>
      <c r="E47" s="22" t="s">
        <v>9</v>
      </c>
      <c r="F47" s="24" t="s">
        <v>10</v>
      </c>
      <c r="G47" s="23" t="s">
        <v>11</v>
      </c>
      <c r="H47" s="25" t="s">
        <v>12</v>
      </c>
      <c r="J47" s="6" t="s">
        <v>4</v>
      </c>
      <c r="K47" s="9"/>
      <c r="L47" s="4"/>
      <c r="M47" s="4"/>
      <c r="N47" s="4"/>
      <c r="O47" s="4"/>
      <c r="P47" s="4"/>
      <c r="Q47" s="4"/>
      <c r="R47" s="4"/>
      <c r="S47" s="4"/>
      <c r="T47" s="4"/>
      <c r="U47" s="5"/>
      <c r="W47" s="6" t="s">
        <v>4</v>
      </c>
      <c r="X47" s="9"/>
      <c r="Y47" s="4"/>
      <c r="Z47" s="4"/>
      <c r="AA47" s="4"/>
      <c r="AB47" s="4"/>
      <c r="AC47" s="5"/>
      <c r="AE47" s="6" t="s">
        <v>4</v>
      </c>
      <c r="AF47" s="9"/>
      <c r="AG47" s="4"/>
      <c r="AH47" s="4"/>
      <c r="AI47" s="4"/>
      <c r="AJ47" s="4"/>
      <c r="AK47" s="5"/>
    </row>
    <row r="48" spans="1:37" ht="15.75" thickBot="1" x14ac:dyDescent="0.3">
      <c r="A48" s="83"/>
      <c r="B48" s="26"/>
      <c r="C48" s="27"/>
      <c r="D48" s="27"/>
      <c r="E48" s="27"/>
      <c r="F48" s="27">
        <f>SUM(C48-B48)</f>
        <v>0</v>
      </c>
      <c r="G48" s="20">
        <f>SUM(E48-D48)</f>
        <v>0</v>
      </c>
      <c r="H48" s="21">
        <f>SUM(F48:G48)</f>
        <v>0</v>
      </c>
      <c r="J48" s="7" t="s">
        <v>22</v>
      </c>
      <c r="K48" s="10"/>
      <c r="L48" s="11"/>
      <c r="M48" s="11"/>
      <c r="N48" s="11"/>
      <c r="O48" s="11"/>
      <c r="P48" s="11"/>
      <c r="Q48" s="11"/>
      <c r="R48" s="11"/>
      <c r="S48" s="11"/>
      <c r="T48" s="11"/>
      <c r="U48" s="12"/>
      <c r="W48" s="7" t="s">
        <v>22</v>
      </c>
      <c r="X48" s="10"/>
      <c r="Y48" s="11"/>
      <c r="Z48" s="11"/>
      <c r="AA48" s="11"/>
      <c r="AB48" s="11"/>
      <c r="AC48" s="12"/>
      <c r="AE48" s="7" t="s">
        <v>22</v>
      </c>
      <c r="AF48" s="10"/>
      <c r="AG48" s="11"/>
      <c r="AH48" s="11"/>
      <c r="AI48" s="11"/>
      <c r="AJ48" s="11"/>
      <c r="AK48" s="12"/>
    </row>
    <row r="49" spans="1:37" x14ac:dyDescent="0.25">
      <c r="J49" s="8"/>
      <c r="T49" s="8" t="s">
        <v>23</v>
      </c>
      <c r="U49" s="13">
        <f>SUM(K48:U48)</f>
        <v>0</v>
      </c>
      <c r="AB49" s="8" t="s">
        <v>23</v>
      </c>
      <c r="AC49" s="13">
        <f>SUM(X48:AC48)</f>
        <v>0</v>
      </c>
      <c r="AJ49" s="8" t="s">
        <v>23</v>
      </c>
      <c r="AK49" s="13">
        <f>SUM(AF48:AK48)</f>
        <v>0</v>
      </c>
    </row>
    <row r="50" spans="1:37" ht="15.75" thickBot="1" x14ac:dyDescent="0.3">
      <c r="A50" s="19"/>
      <c r="B50" s="79" t="s">
        <v>21</v>
      </c>
      <c r="C50" s="79"/>
      <c r="D50" s="79"/>
      <c r="E50" s="79"/>
      <c r="F50" s="79"/>
      <c r="G50" s="79"/>
      <c r="H50" s="79"/>
      <c r="J50" s="80" t="s">
        <v>21</v>
      </c>
      <c r="K50" s="80"/>
      <c r="L50" s="80"/>
      <c r="M50" s="80"/>
      <c r="N50" s="80"/>
      <c r="O50" s="80"/>
      <c r="P50" s="80"/>
      <c r="Q50" s="80"/>
      <c r="R50" s="80"/>
      <c r="S50" s="80"/>
      <c r="T50" s="80"/>
      <c r="U50" s="80"/>
      <c r="W50" s="81" t="str">
        <f>J50</f>
        <v>Dezembro</v>
      </c>
      <c r="X50" s="81"/>
      <c r="Y50" s="81"/>
      <c r="Z50" s="81"/>
      <c r="AA50" s="81"/>
      <c r="AB50" s="81"/>
      <c r="AC50" s="81"/>
      <c r="AE50" s="82" t="str">
        <f>W50</f>
        <v>Dezembro</v>
      </c>
      <c r="AF50" s="82"/>
      <c r="AG50" s="82"/>
      <c r="AH50" s="82"/>
      <c r="AI50" s="82"/>
      <c r="AJ50" s="82"/>
      <c r="AK50" s="82"/>
    </row>
    <row r="51" spans="1:37" ht="15.75" thickBot="1" x14ac:dyDescent="0.3">
      <c r="A51" s="83" t="s">
        <v>5</v>
      </c>
      <c r="B51" s="34" t="s">
        <v>6</v>
      </c>
      <c r="C51" s="22" t="s">
        <v>7</v>
      </c>
      <c r="D51" s="33" t="s">
        <v>8</v>
      </c>
      <c r="E51" s="22" t="s">
        <v>9</v>
      </c>
      <c r="F51" s="24" t="s">
        <v>10</v>
      </c>
      <c r="G51" s="23" t="s">
        <v>11</v>
      </c>
      <c r="H51" s="25" t="s">
        <v>12</v>
      </c>
      <c r="J51" s="6" t="s">
        <v>4</v>
      </c>
      <c r="K51" s="9"/>
      <c r="L51" s="4"/>
      <c r="M51" s="4"/>
      <c r="N51" s="4"/>
      <c r="O51" s="4"/>
      <c r="P51" s="4"/>
      <c r="Q51" s="4"/>
      <c r="R51" s="4"/>
      <c r="S51" s="4"/>
      <c r="T51" s="4"/>
      <c r="U51" s="5"/>
      <c r="W51" s="6" t="s">
        <v>4</v>
      </c>
      <c r="X51" s="9"/>
      <c r="Y51" s="4"/>
      <c r="Z51" s="4"/>
      <c r="AA51" s="4"/>
      <c r="AB51" s="4"/>
      <c r="AC51" s="5"/>
      <c r="AE51" s="6" t="s">
        <v>4</v>
      </c>
      <c r="AF51" s="9"/>
      <c r="AG51" s="4"/>
      <c r="AH51" s="4"/>
      <c r="AI51" s="4"/>
      <c r="AJ51" s="4"/>
      <c r="AK51" s="5"/>
    </row>
    <row r="52" spans="1:37" ht="15.75" thickBot="1" x14ac:dyDescent="0.3">
      <c r="A52" s="83"/>
      <c r="B52" s="26">
        <v>47519</v>
      </c>
      <c r="C52" s="27">
        <v>48225</v>
      </c>
      <c r="D52" s="27">
        <v>48225</v>
      </c>
      <c r="E52" s="27">
        <v>48862</v>
      </c>
      <c r="F52" s="27">
        <f>SUM(C52-B52)</f>
        <v>706</v>
      </c>
      <c r="G52" s="20">
        <f>SUM(E52-D52)</f>
        <v>637</v>
      </c>
      <c r="H52" s="21">
        <f>SUM(F52:G52)</f>
        <v>1343</v>
      </c>
      <c r="J52" s="7" t="s">
        <v>22</v>
      </c>
      <c r="K52" s="10"/>
      <c r="L52" s="11"/>
      <c r="M52" s="11"/>
      <c r="N52" s="11"/>
      <c r="O52" s="11"/>
      <c r="P52" s="11"/>
      <c r="Q52" s="11"/>
      <c r="R52" s="11"/>
      <c r="S52" s="11"/>
      <c r="T52" s="11"/>
      <c r="U52" s="12"/>
      <c r="W52" s="7" t="s">
        <v>22</v>
      </c>
      <c r="X52" s="10"/>
      <c r="Y52" s="11"/>
      <c r="Z52" s="11"/>
      <c r="AA52" s="11"/>
      <c r="AB52" s="11"/>
      <c r="AC52" s="12"/>
      <c r="AE52" s="7" t="s">
        <v>22</v>
      </c>
      <c r="AF52" s="10"/>
      <c r="AG52" s="11"/>
      <c r="AH52" s="11"/>
      <c r="AI52" s="11"/>
      <c r="AJ52" s="11"/>
      <c r="AK52" s="12"/>
    </row>
    <row r="53" spans="1:37" x14ac:dyDescent="0.25">
      <c r="J53" s="8"/>
      <c r="T53" s="8" t="s">
        <v>23</v>
      </c>
      <c r="U53" s="13">
        <f>SUM(K52:U52)</f>
        <v>0</v>
      </c>
      <c r="AB53" s="8" t="s">
        <v>23</v>
      </c>
      <c r="AC53" s="13">
        <f>SUM(X52:AC52)</f>
        <v>0</v>
      </c>
      <c r="AJ53" s="8" t="s">
        <v>23</v>
      </c>
      <c r="AK53" s="13">
        <f>SUM(AF52:AK52)</f>
        <v>0</v>
      </c>
    </row>
    <row r="54" spans="1:37" ht="15.75" thickBot="1" x14ac:dyDescent="0.3">
      <c r="A54" s="68">
        <v>2025</v>
      </c>
      <c r="B54" s="79" t="s">
        <v>88</v>
      </c>
      <c r="C54" s="79"/>
      <c r="D54" s="79"/>
      <c r="E54" s="79"/>
      <c r="F54" s="79"/>
      <c r="G54" s="79"/>
      <c r="H54" s="79"/>
      <c r="J54" s="80" t="s">
        <v>88</v>
      </c>
      <c r="K54" s="80"/>
      <c r="L54" s="80"/>
      <c r="M54" s="80"/>
      <c r="N54" s="80"/>
      <c r="O54" s="80"/>
      <c r="P54" s="80"/>
      <c r="Q54" s="80"/>
      <c r="R54" s="80"/>
      <c r="S54" s="80"/>
      <c r="T54" s="80"/>
      <c r="U54" s="80"/>
      <c r="W54" s="81" t="str">
        <f>J54</f>
        <v>Janeiro</v>
      </c>
      <c r="X54" s="81"/>
      <c r="Y54" s="81"/>
      <c r="Z54" s="81"/>
      <c r="AA54" s="81"/>
      <c r="AB54" s="81"/>
      <c r="AC54" s="81"/>
      <c r="AE54" s="82" t="str">
        <f>W54</f>
        <v>Janeiro</v>
      </c>
      <c r="AF54" s="82"/>
      <c r="AG54" s="82"/>
      <c r="AH54" s="82"/>
      <c r="AI54" s="82"/>
      <c r="AJ54" s="82"/>
      <c r="AK54" s="82"/>
    </row>
    <row r="55" spans="1:37" ht="15.75" thickBot="1" x14ac:dyDescent="0.3">
      <c r="A55" s="83" t="s">
        <v>5</v>
      </c>
      <c r="B55" s="34" t="s">
        <v>6</v>
      </c>
      <c r="C55" s="22" t="s">
        <v>7</v>
      </c>
      <c r="D55" s="33" t="s">
        <v>8</v>
      </c>
      <c r="E55" s="22" t="s">
        <v>9</v>
      </c>
      <c r="F55" s="24" t="s">
        <v>10</v>
      </c>
      <c r="G55" s="23" t="s">
        <v>11</v>
      </c>
      <c r="H55" s="25" t="s">
        <v>12</v>
      </c>
      <c r="J55" s="6" t="s">
        <v>4</v>
      </c>
      <c r="K55" s="9"/>
      <c r="L55" s="4"/>
      <c r="M55" s="4"/>
      <c r="N55" s="4"/>
      <c r="O55" s="4"/>
      <c r="P55" s="4"/>
      <c r="Q55" s="4"/>
      <c r="R55" s="4"/>
      <c r="S55" s="4"/>
      <c r="T55" s="4"/>
      <c r="U55" s="5"/>
      <c r="W55" s="6" t="s">
        <v>4</v>
      </c>
      <c r="X55" s="9"/>
      <c r="Y55" s="4"/>
      <c r="Z55" s="4"/>
      <c r="AA55" s="4"/>
      <c r="AB55" s="4"/>
      <c r="AC55" s="5"/>
      <c r="AE55" s="6" t="s">
        <v>4</v>
      </c>
      <c r="AF55" s="9"/>
      <c r="AG55" s="4"/>
      <c r="AH55" s="4"/>
      <c r="AI55" s="4"/>
      <c r="AJ55" s="4"/>
      <c r="AK55" s="5"/>
    </row>
    <row r="56" spans="1:37" ht="15.75" thickBot="1" x14ac:dyDescent="0.3">
      <c r="A56" s="83"/>
      <c r="B56" s="26">
        <v>48862</v>
      </c>
      <c r="C56" s="27">
        <v>50191</v>
      </c>
      <c r="D56" s="27">
        <v>50191</v>
      </c>
      <c r="E56" s="27">
        <v>51195</v>
      </c>
      <c r="F56" s="27">
        <f>SUM(C56-B56)</f>
        <v>1329</v>
      </c>
      <c r="G56" s="20">
        <f>SUM(E56-D56)</f>
        <v>1004</v>
      </c>
      <c r="H56" s="21">
        <f>SUM(F56:G56)</f>
        <v>2333</v>
      </c>
      <c r="J56" s="7" t="s">
        <v>22</v>
      </c>
      <c r="K56" s="10"/>
      <c r="L56" s="11"/>
      <c r="M56" s="11"/>
      <c r="N56" s="11"/>
      <c r="O56" s="11"/>
      <c r="P56" s="11"/>
      <c r="Q56" s="11"/>
      <c r="R56" s="11"/>
      <c r="S56" s="11"/>
      <c r="T56" s="11"/>
      <c r="U56" s="12"/>
      <c r="W56" s="7" t="s">
        <v>22</v>
      </c>
      <c r="X56" s="10"/>
      <c r="Y56" s="11"/>
      <c r="Z56" s="11"/>
      <c r="AA56" s="11"/>
      <c r="AB56" s="11"/>
      <c r="AC56" s="12"/>
      <c r="AE56" s="7" t="s">
        <v>22</v>
      </c>
      <c r="AF56" s="10"/>
      <c r="AG56" s="11"/>
      <c r="AH56" s="11"/>
      <c r="AI56" s="11"/>
      <c r="AJ56" s="11"/>
      <c r="AK56" s="12"/>
    </row>
    <row r="57" spans="1:37" x14ac:dyDescent="0.25">
      <c r="J57" s="8"/>
      <c r="T57" s="8" t="s">
        <v>23</v>
      </c>
      <c r="U57" s="13">
        <f>SUM(K56:U56)</f>
        <v>0</v>
      </c>
      <c r="AB57" s="8" t="s">
        <v>23</v>
      </c>
      <c r="AC57" s="13">
        <f>SUM(X56:AC56)</f>
        <v>0</v>
      </c>
      <c r="AJ57" s="8" t="s">
        <v>23</v>
      </c>
      <c r="AK57" s="13">
        <f>SUM(AF56:AK56)</f>
        <v>0</v>
      </c>
    </row>
    <row r="58" spans="1:37" ht="15.75" thickBot="1" x14ac:dyDescent="0.3">
      <c r="A58" s="68"/>
      <c r="B58" s="79" t="s">
        <v>3</v>
      </c>
      <c r="C58" s="79"/>
      <c r="D58" s="79"/>
      <c r="E58" s="79"/>
      <c r="F58" s="79"/>
      <c r="G58" s="79"/>
      <c r="H58" s="79"/>
      <c r="J58" s="80" t="s">
        <v>3</v>
      </c>
      <c r="K58" s="80"/>
      <c r="L58" s="80"/>
      <c r="M58" s="80"/>
      <c r="N58" s="80"/>
      <c r="O58" s="80"/>
      <c r="P58" s="80"/>
      <c r="Q58" s="80"/>
      <c r="R58" s="80"/>
      <c r="S58" s="80"/>
      <c r="T58" s="80"/>
      <c r="U58" s="80"/>
      <c r="W58" s="81" t="str">
        <f>J58</f>
        <v>Fevereiro</v>
      </c>
      <c r="X58" s="81"/>
      <c r="Y58" s="81"/>
      <c r="Z58" s="81"/>
      <c r="AA58" s="81"/>
      <c r="AB58" s="81"/>
      <c r="AC58" s="81"/>
      <c r="AE58" s="82" t="str">
        <f>W58</f>
        <v>Fevereiro</v>
      </c>
      <c r="AF58" s="82"/>
      <c r="AG58" s="82"/>
      <c r="AH58" s="82"/>
      <c r="AI58" s="82"/>
      <c r="AJ58" s="82"/>
      <c r="AK58" s="82"/>
    </row>
    <row r="59" spans="1:37" ht="15.75" thickBot="1" x14ac:dyDescent="0.3">
      <c r="A59" s="83" t="s">
        <v>5</v>
      </c>
      <c r="B59" s="34" t="s">
        <v>6</v>
      </c>
      <c r="C59" s="22" t="s">
        <v>7</v>
      </c>
      <c r="D59" s="33" t="s">
        <v>8</v>
      </c>
      <c r="E59" s="22" t="s">
        <v>9</v>
      </c>
      <c r="F59" s="24" t="s">
        <v>10</v>
      </c>
      <c r="G59" s="23" t="s">
        <v>11</v>
      </c>
      <c r="H59" s="25" t="s">
        <v>12</v>
      </c>
      <c r="J59" s="6" t="s">
        <v>4</v>
      </c>
      <c r="K59" s="9">
        <v>45691</v>
      </c>
      <c r="L59" s="66">
        <v>45697</v>
      </c>
      <c r="M59" s="66">
        <v>45705</v>
      </c>
      <c r="N59" s="66">
        <v>45708</v>
      </c>
      <c r="O59" s="4"/>
      <c r="P59" s="4"/>
      <c r="Q59" s="4"/>
      <c r="R59" s="4"/>
      <c r="S59" s="4"/>
      <c r="T59" s="4"/>
      <c r="U59" s="5"/>
      <c r="W59" s="6" t="s">
        <v>4</v>
      </c>
      <c r="X59" s="9"/>
      <c r="Y59" s="4"/>
      <c r="Z59" s="4"/>
      <c r="AA59" s="4"/>
      <c r="AB59" s="4"/>
      <c r="AC59" s="5"/>
      <c r="AE59" s="6" t="s">
        <v>4</v>
      </c>
      <c r="AF59" s="9"/>
      <c r="AG59" s="4"/>
      <c r="AH59" s="4"/>
      <c r="AI59" s="4"/>
      <c r="AJ59" s="4"/>
      <c r="AK59" s="5"/>
    </row>
    <row r="60" spans="1:37" ht="15.75" thickBot="1" x14ac:dyDescent="0.3">
      <c r="A60" s="83"/>
      <c r="B60" s="26">
        <v>51119</v>
      </c>
      <c r="C60" s="27">
        <v>52515</v>
      </c>
      <c r="D60" s="27">
        <v>52515</v>
      </c>
      <c r="E60" s="27">
        <v>53289</v>
      </c>
      <c r="F60" s="27">
        <f>SUM(C60-B60)</f>
        <v>1396</v>
      </c>
      <c r="G60" s="20">
        <f>SUM(E60-D60)</f>
        <v>774</v>
      </c>
      <c r="H60" s="21">
        <f>SUM(F60:G60)</f>
        <v>2170</v>
      </c>
      <c r="J60" s="7" t="s">
        <v>22</v>
      </c>
      <c r="K60" s="10">
        <v>100</v>
      </c>
      <c r="L60" s="11">
        <v>290.05</v>
      </c>
      <c r="M60" s="11">
        <v>294.23</v>
      </c>
      <c r="N60" s="11">
        <v>310.04000000000002</v>
      </c>
      <c r="O60" s="11"/>
      <c r="P60" s="11"/>
      <c r="Q60" s="11"/>
      <c r="R60" s="11"/>
      <c r="S60" s="11"/>
      <c r="T60" s="11"/>
      <c r="U60" s="12"/>
      <c r="W60" s="7" t="s">
        <v>22</v>
      </c>
      <c r="X60" s="10"/>
      <c r="Y60" s="11"/>
      <c r="Z60" s="11"/>
      <c r="AA60" s="11"/>
      <c r="AB60" s="11"/>
      <c r="AC60" s="12"/>
      <c r="AE60" s="7" t="s">
        <v>22</v>
      </c>
      <c r="AF60" s="10"/>
      <c r="AG60" s="11"/>
      <c r="AH60" s="11"/>
      <c r="AI60" s="11"/>
      <c r="AJ60" s="11"/>
      <c r="AK60" s="12"/>
    </row>
    <row r="61" spans="1:37" x14ac:dyDescent="0.25">
      <c r="J61" s="8"/>
      <c r="T61" s="8" t="s">
        <v>23</v>
      </c>
      <c r="U61" s="13">
        <f>SUM(K60:U60)</f>
        <v>994.31999999999994</v>
      </c>
      <c r="AB61" s="8" t="s">
        <v>23</v>
      </c>
      <c r="AC61" s="13">
        <f>SUM(X60:AC60)</f>
        <v>0</v>
      </c>
      <c r="AJ61" s="8" t="s">
        <v>23</v>
      </c>
      <c r="AK61" s="13">
        <f>SUM(AF60:AK60)</f>
        <v>0</v>
      </c>
    </row>
    <row r="62" spans="1:37" ht="15.75" thickBot="1" x14ac:dyDescent="0.3">
      <c r="A62" s="19"/>
      <c r="B62" s="79" t="s">
        <v>13</v>
      </c>
      <c r="C62" s="79"/>
      <c r="D62" s="79"/>
      <c r="E62" s="79"/>
      <c r="F62" s="79"/>
      <c r="G62" s="79"/>
      <c r="H62" s="79"/>
      <c r="J62" s="80" t="s">
        <v>13</v>
      </c>
      <c r="K62" s="80"/>
      <c r="L62" s="80"/>
      <c r="M62" s="80"/>
      <c r="N62" s="80"/>
      <c r="O62" s="80"/>
      <c r="P62" s="80"/>
      <c r="Q62" s="80"/>
      <c r="R62" s="80"/>
      <c r="S62" s="80"/>
      <c r="T62" s="80"/>
      <c r="U62" s="80"/>
      <c r="W62" s="81" t="str">
        <f>J62</f>
        <v>Março</v>
      </c>
      <c r="X62" s="81"/>
      <c r="Y62" s="81"/>
      <c r="Z62" s="81"/>
      <c r="AA62" s="81"/>
      <c r="AB62" s="81"/>
      <c r="AC62" s="81"/>
      <c r="AE62" s="82" t="str">
        <f>W62</f>
        <v>Março</v>
      </c>
      <c r="AF62" s="82"/>
      <c r="AG62" s="82"/>
      <c r="AH62" s="82"/>
      <c r="AI62" s="82"/>
      <c r="AJ62" s="82"/>
      <c r="AK62" s="82"/>
    </row>
    <row r="63" spans="1:37" ht="15.75" thickBot="1" x14ac:dyDescent="0.3">
      <c r="A63" s="83" t="s">
        <v>5</v>
      </c>
      <c r="B63" s="34" t="s">
        <v>6</v>
      </c>
      <c r="C63" s="22" t="s">
        <v>7</v>
      </c>
      <c r="D63" s="33" t="s">
        <v>8</v>
      </c>
      <c r="E63" s="22" t="s">
        <v>9</v>
      </c>
      <c r="F63" s="24" t="s">
        <v>10</v>
      </c>
      <c r="G63" s="23" t="s">
        <v>11</v>
      </c>
      <c r="H63" s="25" t="s">
        <v>12</v>
      </c>
      <c r="J63" s="6" t="s">
        <v>4</v>
      </c>
      <c r="K63" s="9">
        <v>45721</v>
      </c>
      <c r="L63" s="66">
        <v>45728</v>
      </c>
      <c r="M63" s="66">
        <v>45738</v>
      </c>
      <c r="N63" s="66">
        <v>45742</v>
      </c>
      <c r="O63" s="66">
        <v>45743</v>
      </c>
      <c r="P63" s="66">
        <v>45745</v>
      </c>
      <c r="Q63" s="4"/>
      <c r="R63" s="4"/>
      <c r="S63" s="4"/>
      <c r="T63" s="4"/>
      <c r="U63" s="5"/>
      <c r="W63" s="6" t="s">
        <v>4</v>
      </c>
      <c r="X63" s="9"/>
      <c r="Y63" s="4"/>
      <c r="Z63" s="4"/>
      <c r="AA63" s="4"/>
      <c r="AB63" s="4"/>
      <c r="AC63" s="5"/>
      <c r="AE63" s="6" t="s">
        <v>4</v>
      </c>
      <c r="AF63" s="9"/>
      <c r="AG63" s="4"/>
      <c r="AH63" s="4"/>
      <c r="AI63" s="4"/>
      <c r="AJ63" s="4"/>
      <c r="AK63" s="5"/>
    </row>
    <row r="64" spans="1:37" ht="15.75" thickBot="1" x14ac:dyDescent="0.3">
      <c r="A64" s="83"/>
      <c r="B64" s="27">
        <v>53289</v>
      </c>
      <c r="C64" s="27">
        <v>54380</v>
      </c>
      <c r="D64" s="27">
        <v>54380</v>
      </c>
      <c r="E64" s="27">
        <v>55607</v>
      </c>
      <c r="F64" s="27">
        <f>SUM(C64-B64)</f>
        <v>1091</v>
      </c>
      <c r="G64" s="20">
        <f>SUM(E64-D64)</f>
        <v>1227</v>
      </c>
      <c r="H64" s="21">
        <f>SUM(F64:G64)</f>
        <v>2318</v>
      </c>
      <c r="J64" s="7" t="s">
        <v>22</v>
      </c>
      <c r="K64" s="10">
        <v>100</v>
      </c>
      <c r="L64" s="11">
        <v>307.02</v>
      </c>
      <c r="M64" s="11">
        <v>150</v>
      </c>
      <c r="N64" s="11">
        <v>150</v>
      </c>
      <c r="O64" s="11">
        <v>100</v>
      </c>
      <c r="P64" s="11">
        <v>200</v>
      </c>
      <c r="Q64" s="11"/>
      <c r="R64" s="11"/>
      <c r="S64" s="11"/>
      <c r="T64" s="11"/>
      <c r="U64" s="12"/>
      <c r="W64" s="7" t="s">
        <v>22</v>
      </c>
      <c r="X64" s="10"/>
      <c r="Y64" s="11"/>
      <c r="Z64" s="11"/>
      <c r="AA64" s="11"/>
      <c r="AB64" s="11"/>
      <c r="AC64" s="12"/>
      <c r="AE64" s="7" t="s">
        <v>22</v>
      </c>
      <c r="AF64" s="10"/>
      <c r="AG64" s="11"/>
      <c r="AH64" s="11"/>
      <c r="AI64" s="11"/>
      <c r="AJ64" s="11"/>
      <c r="AK64" s="12"/>
    </row>
    <row r="65" spans="1:37" x14ac:dyDescent="0.25">
      <c r="J65" s="8"/>
      <c r="T65" s="8" t="s">
        <v>23</v>
      </c>
      <c r="U65" s="13">
        <f>SUM(K64:U64)</f>
        <v>1007.02</v>
      </c>
      <c r="AB65" s="8" t="s">
        <v>23</v>
      </c>
      <c r="AC65" s="13">
        <f>SUM(X64:AC64)</f>
        <v>0</v>
      </c>
      <c r="AJ65" s="8" t="s">
        <v>23</v>
      </c>
      <c r="AK65" s="13">
        <f>SUM(AF64:AK64)</f>
        <v>0</v>
      </c>
    </row>
    <row r="66" spans="1:37" ht="15.75" thickBot="1" x14ac:dyDescent="0.3">
      <c r="A66" s="19"/>
      <c r="B66" s="79" t="s">
        <v>14</v>
      </c>
      <c r="C66" s="79"/>
      <c r="D66" s="79"/>
      <c r="E66" s="79"/>
      <c r="F66" s="79"/>
      <c r="G66" s="79"/>
      <c r="H66" s="79"/>
      <c r="J66" s="80" t="s">
        <v>14</v>
      </c>
      <c r="K66" s="80"/>
      <c r="L66" s="80"/>
      <c r="M66" s="80"/>
      <c r="N66" s="80"/>
      <c r="O66" s="80"/>
      <c r="P66" s="80"/>
      <c r="Q66" s="80"/>
      <c r="R66" s="80"/>
      <c r="S66" s="80"/>
      <c r="T66" s="80"/>
      <c r="U66" s="80"/>
      <c r="W66" s="81" t="str">
        <f>J66</f>
        <v>Abril</v>
      </c>
      <c r="X66" s="81"/>
      <c r="Y66" s="81"/>
      <c r="Z66" s="81"/>
      <c r="AA66" s="81"/>
      <c r="AB66" s="81"/>
      <c r="AC66" s="81"/>
      <c r="AE66" s="82" t="str">
        <f>W66</f>
        <v>Abril</v>
      </c>
      <c r="AF66" s="82"/>
      <c r="AG66" s="82"/>
      <c r="AH66" s="82"/>
      <c r="AI66" s="82"/>
      <c r="AJ66" s="82"/>
      <c r="AK66" s="82"/>
    </row>
    <row r="67" spans="1:37" ht="15.75" thickBot="1" x14ac:dyDescent="0.3">
      <c r="A67" s="83" t="s">
        <v>5</v>
      </c>
      <c r="B67" s="34" t="s">
        <v>6</v>
      </c>
      <c r="C67" s="22" t="s">
        <v>7</v>
      </c>
      <c r="D67" s="33" t="s">
        <v>8</v>
      </c>
      <c r="E67" s="22" t="s">
        <v>9</v>
      </c>
      <c r="F67" s="24" t="s">
        <v>10</v>
      </c>
      <c r="G67" s="23" t="s">
        <v>11</v>
      </c>
      <c r="H67" s="25" t="s">
        <v>12</v>
      </c>
      <c r="J67" s="6" t="s">
        <v>4</v>
      </c>
      <c r="K67" s="9">
        <v>45754</v>
      </c>
      <c r="L67" s="66">
        <v>45763</v>
      </c>
      <c r="M67" s="66">
        <v>45777</v>
      </c>
      <c r="N67" s="4"/>
      <c r="O67" s="4"/>
      <c r="P67" s="4"/>
      <c r="Q67" s="4"/>
      <c r="R67" s="4"/>
      <c r="S67" s="4"/>
      <c r="T67" s="4"/>
      <c r="U67" s="5"/>
      <c r="W67" s="6" t="s">
        <v>4</v>
      </c>
      <c r="X67" s="9"/>
      <c r="Y67" s="4"/>
      <c r="Z67" s="4"/>
      <c r="AA67" s="4"/>
      <c r="AB67" s="4"/>
      <c r="AC67" s="5"/>
      <c r="AE67" s="6" t="s">
        <v>4</v>
      </c>
      <c r="AF67" s="9">
        <v>45755</v>
      </c>
      <c r="AG67" s="4"/>
      <c r="AH67" s="4"/>
      <c r="AI67" s="4"/>
      <c r="AJ67" s="4"/>
      <c r="AK67" s="5"/>
    </row>
    <row r="68" spans="1:37" ht="15.75" thickBot="1" x14ac:dyDescent="0.3">
      <c r="A68" s="83"/>
      <c r="B68" s="27">
        <v>55607</v>
      </c>
      <c r="C68" s="27">
        <v>56469</v>
      </c>
      <c r="D68" s="27">
        <v>56469</v>
      </c>
      <c r="E68" s="27">
        <v>56844</v>
      </c>
      <c r="F68" s="27">
        <f>SUM(C68-B68)</f>
        <v>862</v>
      </c>
      <c r="G68" s="20">
        <f>SUM(E68-D68)</f>
        <v>375</v>
      </c>
      <c r="H68" s="21">
        <f>SUM(F68:G68)</f>
        <v>1237</v>
      </c>
      <c r="J68" s="7" t="s">
        <v>22</v>
      </c>
      <c r="K68" s="30">
        <v>295.02999999999997</v>
      </c>
      <c r="L68" s="31">
        <v>294.99</v>
      </c>
      <c r="M68" s="31">
        <v>243.6</v>
      </c>
      <c r="N68" s="31"/>
      <c r="O68" s="31"/>
      <c r="P68" s="31"/>
      <c r="Q68" s="31"/>
      <c r="R68" s="31"/>
      <c r="S68" s="31"/>
      <c r="T68" s="31"/>
      <c r="U68" s="32"/>
      <c r="W68" s="7" t="s">
        <v>22</v>
      </c>
      <c r="X68" s="10"/>
      <c r="Y68" s="11"/>
      <c r="Z68" s="11"/>
      <c r="AA68" s="11"/>
      <c r="AB68" s="11"/>
      <c r="AC68" s="12"/>
      <c r="AE68" s="7" t="s">
        <v>22</v>
      </c>
      <c r="AF68" s="10">
        <v>10</v>
      </c>
      <c r="AG68" s="11"/>
      <c r="AH68" s="11"/>
      <c r="AI68" s="11"/>
      <c r="AJ68" s="11"/>
      <c r="AK68" s="12"/>
    </row>
    <row r="69" spans="1:37" x14ac:dyDescent="0.25">
      <c r="J69" s="8"/>
      <c r="T69" s="8" t="s">
        <v>23</v>
      </c>
      <c r="U69" s="13">
        <f>SUM(K68:U68)</f>
        <v>833.62</v>
      </c>
      <c r="AB69" s="8" t="s">
        <v>23</v>
      </c>
      <c r="AC69" s="13">
        <f>SUM(X68:AC68)</f>
        <v>0</v>
      </c>
      <c r="AJ69" s="8" t="s">
        <v>23</v>
      </c>
      <c r="AK69" s="13">
        <f>SUM(AF68:AK68)</f>
        <v>10</v>
      </c>
    </row>
    <row r="70" spans="1:37" ht="15.75" thickBot="1" x14ac:dyDescent="0.3">
      <c r="A70" s="19"/>
      <c r="B70" s="79" t="s">
        <v>15</v>
      </c>
      <c r="C70" s="79"/>
      <c r="D70" s="79"/>
      <c r="E70" s="79"/>
      <c r="F70" s="79"/>
      <c r="G70" s="79"/>
      <c r="H70" s="79"/>
      <c r="J70" s="80" t="s">
        <v>15</v>
      </c>
      <c r="K70" s="80"/>
      <c r="L70" s="80"/>
      <c r="M70" s="80"/>
      <c r="N70" s="80"/>
      <c r="O70" s="80"/>
      <c r="P70" s="80"/>
      <c r="Q70" s="80"/>
      <c r="R70" s="80"/>
      <c r="S70" s="80"/>
      <c r="T70" s="80"/>
      <c r="U70" s="80"/>
      <c r="W70" s="81" t="str">
        <f>J70</f>
        <v>Maio</v>
      </c>
      <c r="X70" s="81"/>
      <c r="Y70" s="81"/>
      <c r="Z70" s="81"/>
      <c r="AA70" s="81"/>
      <c r="AB70" s="81"/>
      <c r="AC70" s="81"/>
      <c r="AE70" s="82" t="str">
        <f>W70</f>
        <v>Maio</v>
      </c>
      <c r="AF70" s="82"/>
      <c r="AG70" s="82"/>
      <c r="AH70" s="82"/>
      <c r="AI70" s="82"/>
      <c r="AJ70" s="82"/>
      <c r="AK70" s="82"/>
    </row>
    <row r="71" spans="1:37" ht="15.75" thickBot="1" x14ac:dyDescent="0.3">
      <c r="A71" s="83" t="s">
        <v>5</v>
      </c>
      <c r="B71" s="34" t="s">
        <v>6</v>
      </c>
      <c r="C71" s="22" t="s">
        <v>7</v>
      </c>
      <c r="D71" s="33" t="s">
        <v>8</v>
      </c>
      <c r="E71" s="22" t="s">
        <v>9</v>
      </c>
      <c r="F71" s="24" t="s">
        <v>10</v>
      </c>
      <c r="G71" s="23" t="s">
        <v>11</v>
      </c>
      <c r="H71" s="25" t="s">
        <v>12</v>
      </c>
      <c r="J71" s="6" t="s">
        <v>4</v>
      </c>
      <c r="K71" s="9">
        <v>45787</v>
      </c>
      <c r="L71" s="66">
        <v>45791</v>
      </c>
      <c r="M71" s="66">
        <v>45802</v>
      </c>
      <c r="N71" s="66">
        <v>45807</v>
      </c>
      <c r="O71" s="4"/>
      <c r="P71" s="4"/>
      <c r="Q71" s="4"/>
      <c r="R71" s="4"/>
      <c r="S71" s="4"/>
      <c r="T71" s="4"/>
      <c r="U71" s="5"/>
      <c r="W71" s="6" t="s">
        <v>4</v>
      </c>
      <c r="X71" s="9"/>
      <c r="Y71" s="66">
        <v>45799</v>
      </c>
      <c r="Z71" s="4"/>
      <c r="AA71" s="4"/>
      <c r="AB71" s="4"/>
      <c r="AC71" s="5"/>
      <c r="AE71" s="6" t="s">
        <v>4</v>
      </c>
      <c r="AF71" s="9"/>
      <c r="AG71" s="4"/>
      <c r="AH71" s="4"/>
      <c r="AI71" s="4"/>
      <c r="AJ71" s="4"/>
      <c r="AK71" s="5"/>
    </row>
    <row r="72" spans="1:37" ht="15.75" thickBot="1" x14ac:dyDescent="0.3">
      <c r="A72" s="83"/>
      <c r="B72" s="27">
        <v>56844</v>
      </c>
      <c r="C72" s="27">
        <v>58058</v>
      </c>
      <c r="D72" s="27">
        <v>58058</v>
      </c>
      <c r="E72" s="27">
        <v>58577</v>
      </c>
      <c r="F72" s="27">
        <f>SUM(C72-B72)</f>
        <v>1214</v>
      </c>
      <c r="G72" s="20">
        <f>SUM(E72-D72)</f>
        <v>519</v>
      </c>
      <c r="H72" s="21">
        <f>SUM(F72:G72)</f>
        <v>1733</v>
      </c>
      <c r="J72" s="7" t="s">
        <v>22</v>
      </c>
      <c r="K72" s="10">
        <v>266.13</v>
      </c>
      <c r="L72" s="11">
        <v>265.14999999999998</v>
      </c>
      <c r="M72" s="11">
        <v>201.28</v>
      </c>
      <c r="N72" s="11">
        <v>175.33</v>
      </c>
      <c r="O72" s="11"/>
      <c r="P72" s="11"/>
      <c r="Q72" s="11"/>
      <c r="R72" s="11"/>
      <c r="S72" s="11"/>
      <c r="T72" s="11"/>
      <c r="U72" s="12"/>
      <c r="W72" s="7" t="s">
        <v>22</v>
      </c>
      <c r="X72" s="10"/>
      <c r="Y72" s="11">
        <v>40</v>
      </c>
      <c r="Z72" s="11"/>
      <c r="AA72" s="11"/>
      <c r="AB72" s="11"/>
      <c r="AC72" s="12"/>
      <c r="AE72" s="7" t="s">
        <v>22</v>
      </c>
      <c r="AF72" s="10"/>
      <c r="AG72" s="11"/>
      <c r="AH72" s="11"/>
      <c r="AI72" s="11"/>
      <c r="AJ72" s="11"/>
      <c r="AK72" s="12"/>
    </row>
    <row r="73" spans="1:37" x14ac:dyDescent="0.25">
      <c r="J73" s="8"/>
      <c r="T73" s="8" t="s">
        <v>23</v>
      </c>
      <c r="U73" s="13">
        <f>SUM(K72:U72)</f>
        <v>907.89</v>
      </c>
      <c r="AB73" s="8" t="s">
        <v>23</v>
      </c>
      <c r="AC73" s="13">
        <f>SUM(X72:AC72)</f>
        <v>40</v>
      </c>
      <c r="AJ73" s="8" t="s">
        <v>23</v>
      </c>
      <c r="AK73" s="13">
        <f>SUM(AF72:AK72)</f>
        <v>0</v>
      </c>
    </row>
    <row r="74" spans="1:37" ht="15.75" thickBot="1" x14ac:dyDescent="0.3">
      <c r="A74" s="19"/>
      <c r="B74" s="79" t="s">
        <v>24</v>
      </c>
      <c r="C74" s="79"/>
      <c r="D74" s="79"/>
      <c r="E74" s="79"/>
      <c r="F74" s="79"/>
      <c r="G74" s="79"/>
      <c r="H74" s="79"/>
      <c r="J74" s="80" t="s">
        <v>24</v>
      </c>
      <c r="K74" s="80"/>
      <c r="L74" s="80"/>
      <c r="M74" s="80"/>
      <c r="N74" s="80"/>
      <c r="O74" s="80"/>
      <c r="P74" s="80"/>
      <c r="Q74" s="80"/>
      <c r="R74" s="80"/>
      <c r="S74" s="80"/>
      <c r="T74" s="80"/>
      <c r="U74" s="80"/>
      <c r="W74" s="81" t="str">
        <f>J74</f>
        <v>Junho</v>
      </c>
      <c r="X74" s="81"/>
      <c r="Y74" s="81"/>
      <c r="Z74" s="81"/>
      <c r="AA74" s="81"/>
      <c r="AB74" s="81"/>
      <c r="AC74" s="81"/>
      <c r="AE74" s="82" t="str">
        <f>W74</f>
        <v>Junho</v>
      </c>
      <c r="AF74" s="82"/>
      <c r="AG74" s="82"/>
      <c r="AH74" s="82"/>
      <c r="AI74" s="82"/>
      <c r="AJ74" s="82"/>
      <c r="AK74" s="82"/>
    </row>
    <row r="75" spans="1:37" ht="15.75" thickBot="1" x14ac:dyDescent="0.3">
      <c r="A75" s="83" t="s">
        <v>5</v>
      </c>
      <c r="B75" s="34" t="s">
        <v>6</v>
      </c>
      <c r="C75" s="22" t="s">
        <v>7</v>
      </c>
      <c r="D75" s="33" t="s">
        <v>8</v>
      </c>
      <c r="E75" s="22" t="s">
        <v>9</v>
      </c>
      <c r="F75" s="24" t="s">
        <v>10</v>
      </c>
      <c r="G75" s="23" t="s">
        <v>11</v>
      </c>
      <c r="H75" s="25" t="s">
        <v>12</v>
      </c>
      <c r="J75" s="6" t="s">
        <v>4</v>
      </c>
      <c r="K75" s="9">
        <v>45818</v>
      </c>
      <c r="L75" s="66">
        <v>45821</v>
      </c>
      <c r="M75" s="66">
        <v>45833</v>
      </c>
      <c r="N75" s="4"/>
      <c r="O75" s="4"/>
      <c r="P75" s="4"/>
      <c r="Q75" s="4"/>
      <c r="R75" s="4"/>
      <c r="S75" s="4"/>
      <c r="T75" s="4"/>
      <c r="U75" s="5"/>
      <c r="W75" s="6" t="s">
        <v>4</v>
      </c>
      <c r="X75" s="9"/>
      <c r="Y75" s="4"/>
      <c r="Z75" s="4"/>
      <c r="AA75" s="4"/>
      <c r="AB75" s="4"/>
      <c r="AC75" s="5"/>
      <c r="AE75" s="6" t="s">
        <v>4</v>
      </c>
      <c r="AF75" s="9"/>
      <c r="AG75" s="4"/>
      <c r="AH75" s="4"/>
      <c r="AI75" s="4"/>
      <c r="AJ75" s="4"/>
      <c r="AK75" s="5"/>
    </row>
    <row r="76" spans="1:37" ht="15.75" thickBot="1" x14ac:dyDescent="0.3">
      <c r="A76" s="83"/>
      <c r="B76" s="27">
        <v>58577</v>
      </c>
      <c r="C76" s="27">
        <v>59271</v>
      </c>
      <c r="D76" s="27">
        <v>59271</v>
      </c>
      <c r="E76" s="27">
        <v>59778</v>
      </c>
      <c r="F76" s="27">
        <f>SUM(C76-B76)</f>
        <v>694</v>
      </c>
      <c r="G76" s="20">
        <f>SUM(E76-D76)</f>
        <v>507</v>
      </c>
      <c r="H76" s="21">
        <f>SUM(F76:G76)</f>
        <v>1201</v>
      </c>
      <c r="J76" s="7" t="s">
        <v>22</v>
      </c>
      <c r="K76" s="10">
        <v>200.92</v>
      </c>
      <c r="L76" s="11">
        <v>269.81</v>
      </c>
      <c r="M76" s="11">
        <v>271.02999999999997</v>
      </c>
      <c r="N76" s="11"/>
      <c r="O76" s="11"/>
      <c r="P76" s="11"/>
      <c r="Q76" s="11"/>
      <c r="R76" s="11"/>
      <c r="S76" s="11"/>
      <c r="T76" s="11"/>
      <c r="U76" s="12"/>
      <c r="W76" s="7" t="s">
        <v>22</v>
      </c>
      <c r="X76" s="10"/>
      <c r="Y76" s="11"/>
      <c r="Z76" s="11"/>
      <c r="AA76" s="11"/>
      <c r="AB76" s="11"/>
      <c r="AC76" s="12"/>
      <c r="AE76" s="7" t="s">
        <v>22</v>
      </c>
      <c r="AF76" s="10"/>
      <c r="AG76" s="11"/>
      <c r="AH76" s="11"/>
      <c r="AI76" s="11"/>
      <c r="AJ76" s="11"/>
      <c r="AK76" s="12"/>
    </row>
    <row r="77" spans="1:37" x14ac:dyDescent="0.25">
      <c r="J77" s="8"/>
      <c r="T77" s="8" t="s">
        <v>23</v>
      </c>
      <c r="U77" s="13">
        <f>SUM(K76:U76)</f>
        <v>741.76</v>
      </c>
      <c r="AB77" s="8" t="s">
        <v>23</v>
      </c>
      <c r="AC77" s="13">
        <f>SUM(X76:AC76)</f>
        <v>0</v>
      </c>
      <c r="AJ77" s="8" t="s">
        <v>23</v>
      </c>
      <c r="AK77" s="13">
        <f>SUM(AF76:AK76)</f>
        <v>0</v>
      </c>
    </row>
    <row r="78" spans="1:37" ht="15.75" thickBot="1" x14ac:dyDescent="0.3">
      <c r="A78" s="19"/>
      <c r="B78" s="79" t="s">
        <v>16</v>
      </c>
      <c r="C78" s="79"/>
      <c r="D78" s="79"/>
      <c r="E78" s="79"/>
      <c r="F78" s="79"/>
      <c r="G78" s="79"/>
      <c r="H78" s="79"/>
      <c r="J78" s="80" t="s">
        <v>16</v>
      </c>
      <c r="K78" s="80"/>
      <c r="L78" s="80"/>
      <c r="M78" s="80"/>
      <c r="N78" s="80"/>
      <c r="O78" s="80"/>
      <c r="P78" s="80"/>
      <c r="Q78" s="80"/>
      <c r="R78" s="80"/>
      <c r="S78" s="80"/>
      <c r="T78" s="80"/>
      <c r="U78" s="80"/>
      <c r="W78" s="81" t="str">
        <f>J78</f>
        <v>Julho</v>
      </c>
      <c r="X78" s="81"/>
      <c r="Y78" s="81"/>
      <c r="Z78" s="81"/>
      <c r="AA78" s="81"/>
      <c r="AB78" s="81"/>
      <c r="AC78" s="81"/>
      <c r="AE78" s="82" t="str">
        <f>W78</f>
        <v>Julho</v>
      </c>
      <c r="AF78" s="82"/>
      <c r="AG78" s="82"/>
      <c r="AH78" s="82"/>
      <c r="AI78" s="82"/>
      <c r="AJ78" s="82"/>
      <c r="AK78" s="82"/>
    </row>
    <row r="79" spans="1:37" ht="15.75" thickBot="1" x14ac:dyDescent="0.3">
      <c r="A79" s="83" t="s">
        <v>5</v>
      </c>
      <c r="B79" s="34" t="s">
        <v>6</v>
      </c>
      <c r="C79" s="22" t="s">
        <v>7</v>
      </c>
      <c r="D79" s="33" t="s">
        <v>8</v>
      </c>
      <c r="E79" s="22" t="s">
        <v>9</v>
      </c>
      <c r="F79" s="24" t="s">
        <v>10</v>
      </c>
      <c r="G79" s="23" t="s">
        <v>11</v>
      </c>
      <c r="H79" s="25" t="s">
        <v>12</v>
      </c>
      <c r="J79" s="6" t="s">
        <v>4</v>
      </c>
      <c r="K79" s="9">
        <v>45849</v>
      </c>
      <c r="L79" s="66">
        <v>45855</v>
      </c>
      <c r="M79" s="66">
        <v>45857</v>
      </c>
      <c r="N79" s="4"/>
      <c r="O79" s="4"/>
      <c r="P79" s="4"/>
      <c r="Q79" s="4"/>
      <c r="R79" s="4"/>
      <c r="S79" s="4"/>
      <c r="T79" s="4"/>
      <c r="U79" s="5"/>
      <c r="W79" s="6" t="s">
        <v>4</v>
      </c>
      <c r="X79" s="9"/>
      <c r="Y79" s="4"/>
      <c r="Z79" s="4"/>
      <c r="AA79" s="4"/>
      <c r="AB79" s="4"/>
      <c r="AC79" s="5"/>
      <c r="AE79" s="6" t="s">
        <v>4</v>
      </c>
      <c r="AF79" s="9"/>
      <c r="AG79" s="4"/>
      <c r="AH79" s="4"/>
      <c r="AI79" s="4"/>
      <c r="AJ79" s="4"/>
      <c r="AK79" s="5"/>
    </row>
    <row r="80" spans="1:37" ht="15.75" thickBot="1" x14ac:dyDescent="0.3">
      <c r="A80" s="83"/>
      <c r="B80" s="27">
        <v>59778</v>
      </c>
      <c r="C80" s="27">
        <v>59847</v>
      </c>
      <c r="D80" s="27">
        <v>59847</v>
      </c>
      <c r="E80" s="27">
        <v>61106</v>
      </c>
      <c r="F80" s="27">
        <f>SUM(C80-B80)</f>
        <v>69</v>
      </c>
      <c r="G80" s="20">
        <f>SUM(E80-D80)</f>
        <v>1259</v>
      </c>
      <c r="H80" s="21">
        <f>SUM(F80:G80)</f>
        <v>1328</v>
      </c>
      <c r="J80" s="7" t="s">
        <v>22</v>
      </c>
      <c r="K80" s="10">
        <v>179.69</v>
      </c>
      <c r="L80" s="11">
        <v>254.02</v>
      </c>
      <c r="M80" s="11">
        <v>100</v>
      </c>
      <c r="N80" s="11"/>
      <c r="O80" s="11"/>
      <c r="P80" s="11"/>
      <c r="Q80" s="11"/>
      <c r="R80" s="11"/>
      <c r="S80" s="11"/>
      <c r="T80" s="11"/>
      <c r="U80" s="12"/>
      <c r="W80" s="7" t="s">
        <v>22</v>
      </c>
      <c r="X80" s="10"/>
      <c r="Y80" s="11"/>
      <c r="Z80" s="11"/>
      <c r="AA80" s="11"/>
      <c r="AB80" s="11"/>
      <c r="AC80" s="12"/>
      <c r="AE80" s="7" t="s">
        <v>22</v>
      </c>
      <c r="AF80" s="10"/>
      <c r="AG80" s="11"/>
      <c r="AH80" s="11"/>
      <c r="AI80" s="11"/>
      <c r="AJ80" s="11"/>
      <c r="AK80" s="12"/>
    </row>
    <row r="81" spans="1:37" x14ac:dyDescent="0.25">
      <c r="J81" s="8"/>
      <c r="T81" s="8" t="s">
        <v>23</v>
      </c>
      <c r="U81" s="13">
        <f>SUM(K80:U80)</f>
        <v>533.71</v>
      </c>
      <c r="AB81" s="8" t="s">
        <v>23</v>
      </c>
      <c r="AC81" s="13">
        <f>SUM(X80:AC80)</f>
        <v>0</v>
      </c>
      <c r="AJ81" s="8" t="s">
        <v>23</v>
      </c>
      <c r="AK81" s="13">
        <f>SUM(AF80:AK80)</f>
        <v>0</v>
      </c>
    </row>
    <row r="82" spans="1:37" ht="15.75" thickBot="1" x14ac:dyDescent="0.3">
      <c r="A82" s="19"/>
      <c r="B82" s="79" t="s">
        <v>17</v>
      </c>
      <c r="C82" s="79"/>
      <c r="D82" s="79"/>
      <c r="E82" s="79"/>
      <c r="F82" s="79"/>
      <c r="G82" s="79"/>
      <c r="H82" s="79"/>
      <c r="J82" s="80" t="s">
        <v>17</v>
      </c>
      <c r="K82" s="80"/>
      <c r="L82" s="80"/>
      <c r="M82" s="80"/>
      <c r="N82" s="80"/>
      <c r="O82" s="80"/>
      <c r="P82" s="80"/>
      <c r="Q82" s="80"/>
      <c r="R82" s="80"/>
      <c r="S82" s="80"/>
      <c r="T82" s="80"/>
      <c r="U82" s="80"/>
      <c r="W82" s="81" t="str">
        <f>J82</f>
        <v>Agosto</v>
      </c>
      <c r="X82" s="81"/>
      <c r="Y82" s="81"/>
      <c r="Z82" s="81"/>
      <c r="AA82" s="81"/>
      <c r="AB82" s="81"/>
      <c r="AC82" s="81"/>
      <c r="AE82" s="82" t="str">
        <f>W82</f>
        <v>Agosto</v>
      </c>
      <c r="AF82" s="82"/>
      <c r="AG82" s="82"/>
      <c r="AH82" s="82"/>
      <c r="AI82" s="82"/>
      <c r="AJ82" s="82"/>
      <c r="AK82" s="82"/>
    </row>
    <row r="83" spans="1:37" ht="15.75" thickBot="1" x14ac:dyDescent="0.3">
      <c r="A83" s="83" t="s">
        <v>5</v>
      </c>
      <c r="B83" s="34" t="s">
        <v>6</v>
      </c>
      <c r="C83" s="22" t="s">
        <v>7</v>
      </c>
      <c r="D83" s="33" t="s">
        <v>8</v>
      </c>
      <c r="E83" s="22" t="s">
        <v>9</v>
      </c>
      <c r="F83" s="24" t="s">
        <v>10</v>
      </c>
      <c r="G83" s="23" t="s">
        <v>11</v>
      </c>
      <c r="H83" s="25" t="s">
        <v>12</v>
      </c>
      <c r="J83" s="6" t="s">
        <v>4</v>
      </c>
      <c r="K83" s="9">
        <v>45871</v>
      </c>
      <c r="L83" s="66">
        <v>45872</v>
      </c>
      <c r="M83" s="66">
        <v>45875</v>
      </c>
      <c r="N83" s="66">
        <v>45881</v>
      </c>
      <c r="O83" s="66">
        <v>45891</v>
      </c>
      <c r="P83" s="66">
        <v>45893</v>
      </c>
      <c r="Q83" s="66">
        <v>45896</v>
      </c>
      <c r="R83" s="4"/>
      <c r="S83" s="4"/>
      <c r="T83" s="4"/>
      <c r="U83" s="5"/>
      <c r="W83" s="6" t="s">
        <v>4</v>
      </c>
      <c r="X83" s="9"/>
      <c r="Y83" s="4"/>
      <c r="Z83" s="4"/>
      <c r="AA83" s="4"/>
      <c r="AB83" s="4"/>
      <c r="AC83" s="5"/>
      <c r="AE83" s="6" t="s">
        <v>4</v>
      </c>
      <c r="AF83" s="9"/>
      <c r="AG83" s="4"/>
      <c r="AH83" s="4"/>
      <c r="AI83" s="4"/>
      <c r="AJ83" s="4"/>
      <c r="AK83" s="5"/>
    </row>
    <row r="84" spans="1:37" ht="15.75" thickBot="1" x14ac:dyDescent="0.3">
      <c r="A84" s="83"/>
      <c r="B84" s="27">
        <v>61106</v>
      </c>
      <c r="C84" s="27">
        <v>62595</v>
      </c>
      <c r="D84" s="27">
        <v>62595</v>
      </c>
      <c r="E84" s="27">
        <v>63306</v>
      </c>
      <c r="F84" s="27">
        <f>SUM(C84-B84)</f>
        <v>1489</v>
      </c>
      <c r="G84" s="20">
        <f>SUM(E84-D84)</f>
        <v>711</v>
      </c>
      <c r="H84" s="21">
        <f>SUM(F84:G84)</f>
        <v>2200</v>
      </c>
      <c r="J84" s="7" t="s">
        <v>22</v>
      </c>
      <c r="K84" s="10">
        <v>250</v>
      </c>
      <c r="L84" s="11">
        <v>297.13</v>
      </c>
      <c r="M84" s="11">
        <v>205.21</v>
      </c>
      <c r="N84" s="11">
        <v>285.81</v>
      </c>
      <c r="O84" s="11">
        <v>124.08</v>
      </c>
      <c r="P84" s="11">
        <v>145.66999999999999</v>
      </c>
      <c r="Q84" s="11">
        <v>200</v>
      </c>
      <c r="R84" s="11"/>
      <c r="S84" s="11"/>
      <c r="T84" s="11"/>
      <c r="U84" s="12"/>
      <c r="W84" s="7" t="s">
        <v>22</v>
      </c>
      <c r="X84" s="10"/>
      <c r="Y84" s="11"/>
      <c r="Z84" s="11"/>
      <c r="AA84" s="11"/>
      <c r="AB84" s="11"/>
      <c r="AC84" s="12"/>
      <c r="AE84" s="7" t="s">
        <v>22</v>
      </c>
      <c r="AF84" s="10"/>
      <c r="AG84" s="11"/>
      <c r="AH84" s="11"/>
      <c r="AI84" s="11"/>
      <c r="AJ84" s="11"/>
      <c r="AK84" s="12"/>
    </row>
    <row r="85" spans="1:37" x14ac:dyDescent="0.25">
      <c r="J85" s="8"/>
      <c r="T85" s="8" t="s">
        <v>23</v>
      </c>
      <c r="U85" s="13">
        <f>SUM(K84:U84)</f>
        <v>1507.9</v>
      </c>
      <c r="AB85" s="8" t="s">
        <v>23</v>
      </c>
      <c r="AC85" s="13">
        <f>SUM(X84:AC84)</f>
        <v>0</v>
      </c>
      <c r="AJ85" s="8" t="s">
        <v>23</v>
      </c>
      <c r="AK85" s="13">
        <f>SUM(AF84:AK84)</f>
        <v>0</v>
      </c>
    </row>
    <row r="86" spans="1:37" ht="15.75" thickBot="1" x14ac:dyDescent="0.3">
      <c r="A86" s="19"/>
      <c r="B86" s="79" t="s">
        <v>18</v>
      </c>
      <c r="C86" s="79"/>
      <c r="D86" s="79"/>
      <c r="E86" s="79"/>
      <c r="F86" s="79"/>
      <c r="G86" s="79"/>
      <c r="H86" s="79"/>
      <c r="J86" s="80" t="s">
        <v>18</v>
      </c>
      <c r="K86" s="80"/>
      <c r="L86" s="80"/>
      <c r="M86" s="80"/>
      <c r="N86" s="80"/>
      <c r="O86" s="80"/>
      <c r="P86" s="80"/>
      <c r="Q86" s="80"/>
      <c r="R86" s="80"/>
      <c r="S86" s="80"/>
      <c r="T86" s="80"/>
      <c r="U86" s="80"/>
      <c r="W86" s="81" t="str">
        <f>J86</f>
        <v>Setembro</v>
      </c>
      <c r="X86" s="81"/>
      <c r="Y86" s="81"/>
      <c r="Z86" s="81"/>
      <c r="AA86" s="81"/>
      <c r="AB86" s="81"/>
      <c r="AC86" s="81"/>
      <c r="AE86" s="82" t="str">
        <f>W86</f>
        <v>Setembro</v>
      </c>
      <c r="AF86" s="82"/>
      <c r="AG86" s="82"/>
      <c r="AH86" s="82"/>
      <c r="AI86" s="82"/>
      <c r="AJ86" s="82"/>
      <c r="AK86" s="82"/>
    </row>
    <row r="87" spans="1:37" ht="15.75" thickBot="1" x14ac:dyDescent="0.3">
      <c r="A87" s="83" t="s">
        <v>5</v>
      </c>
      <c r="B87" s="34" t="s">
        <v>6</v>
      </c>
      <c r="C87" s="22" t="s">
        <v>7</v>
      </c>
      <c r="D87" s="33" t="s">
        <v>8</v>
      </c>
      <c r="E87" s="22" t="s">
        <v>9</v>
      </c>
      <c r="F87" s="24" t="s">
        <v>10</v>
      </c>
      <c r="G87" s="23" t="s">
        <v>11</v>
      </c>
      <c r="H87" s="25" t="s">
        <v>12</v>
      </c>
      <c r="J87" s="6" t="s">
        <v>4</v>
      </c>
      <c r="K87" s="9">
        <v>45903</v>
      </c>
      <c r="L87" s="66">
        <v>45905</v>
      </c>
      <c r="M87" s="66">
        <v>45912</v>
      </c>
      <c r="N87" s="66">
        <v>45920</v>
      </c>
      <c r="O87" s="4"/>
      <c r="P87" s="4"/>
      <c r="Q87" s="4"/>
      <c r="R87" s="4"/>
      <c r="S87" s="4"/>
      <c r="T87" s="4"/>
      <c r="U87" s="5"/>
      <c r="W87" s="6" t="s">
        <v>4</v>
      </c>
      <c r="X87" s="9"/>
      <c r="Y87" s="4"/>
      <c r="Z87" s="4"/>
      <c r="AA87" s="4"/>
      <c r="AB87" s="4"/>
      <c r="AC87" s="5"/>
      <c r="AE87" s="6" t="s">
        <v>4</v>
      </c>
      <c r="AF87" s="9"/>
      <c r="AG87" s="4"/>
      <c r="AH87" s="4"/>
      <c r="AI87" s="4"/>
      <c r="AJ87" s="4"/>
      <c r="AK87" s="5"/>
    </row>
    <row r="88" spans="1:37" ht="15.75" thickBot="1" x14ac:dyDescent="0.3">
      <c r="A88" s="83"/>
      <c r="B88" s="26">
        <v>63306</v>
      </c>
      <c r="C88" s="27">
        <v>64362</v>
      </c>
      <c r="D88" s="27">
        <v>64362</v>
      </c>
      <c r="E88" s="27">
        <v>64603</v>
      </c>
      <c r="F88" s="27">
        <f>SUM(C88-B88)</f>
        <v>1056</v>
      </c>
      <c r="G88" s="20">
        <f>SUM(E88-D88)</f>
        <v>241</v>
      </c>
      <c r="H88" s="21">
        <f>SUM(F88:G88)</f>
        <v>1297</v>
      </c>
      <c r="J88" s="7" t="s">
        <v>22</v>
      </c>
      <c r="K88" s="10">
        <v>267.05</v>
      </c>
      <c r="L88" s="11">
        <v>142.01</v>
      </c>
      <c r="M88" s="11">
        <v>228.11</v>
      </c>
      <c r="N88" s="11">
        <v>242.63</v>
      </c>
      <c r="O88" s="11"/>
      <c r="P88" s="11"/>
      <c r="Q88" s="11"/>
      <c r="R88" s="11"/>
      <c r="S88" s="11"/>
      <c r="T88" s="11"/>
      <c r="U88" s="12"/>
      <c r="W88" s="7" t="s">
        <v>22</v>
      </c>
      <c r="X88" s="10"/>
      <c r="Y88" s="11"/>
      <c r="Z88" s="11"/>
      <c r="AA88" s="11"/>
      <c r="AB88" s="11"/>
      <c r="AC88" s="12"/>
      <c r="AE88" s="7" t="s">
        <v>22</v>
      </c>
      <c r="AF88" s="10"/>
      <c r="AG88" s="11"/>
      <c r="AH88" s="11"/>
      <c r="AI88" s="11"/>
      <c r="AJ88" s="11"/>
      <c r="AK88" s="12"/>
    </row>
    <row r="89" spans="1:37" x14ac:dyDescent="0.25">
      <c r="J89" s="8"/>
      <c r="T89" s="8" t="s">
        <v>23</v>
      </c>
      <c r="U89" s="13">
        <f>SUM(K88:U88)</f>
        <v>879.80000000000007</v>
      </c>
      <c r="AB89" s="8" t="s">
        <v>23</v>
      </c>
      <c r="AC89" s="13">
        <f>SUM(X88:AC88)</f>
        <v>0</v>
      </c>
      <c r="AJ89" s="8" t="s">
        <v>23</v>
      </c>
      <c r="AK89" s="13">
        <f>SUM(AF88:AK88)</f>
        <v>0</v>
      </c>
    </row>
  </sheetData>
  <mergeCells count="112">
    <mergeCell ref="B86:H86"/>
    <mergeCell ref="J86:U86"/>
    <mergeCell ref="W86:AC86"/>
    <mergeCell ref="AE86:AK86"/>
    <mergeCell ref="A87:A88"/>
    <mergeCell ref="B82:H82"/>
    <mergeCell ref="J82:U82"/>
    <mergeCell ref="W82:AC82"/>
    <mergeCell ref="AE82:AK82"/>
    <mergeCell ref="A83:A84"/>
    <mergeCell ref="B78:H78"/>
    <mergeCell ref="J78:U78"/>
    <mergeCell ref="W78:AC78"/>
    <mergeCell ref="AE78:AK78"/>
    <mergeCell ref="A79:A80"/>
    <mergeCell ref="B74:H74"/>
    <mergeCell ref="J74:U74"/>
    <mergeCell ref="W74:AC74"/>
    <mergeCell ref="AE74:AK74"/>
    <mergeCell ref="A75:A76"/>
    <mergeCell ref="B70:H70"/>
    <mergeCell ref="J70:U70"/>
    <mergeCell ref="W70:AC70"/>
    <mergeCell ref="AE70:AK70"/>
    <mergeCell ref="A71:A72"/>
    <mergeCell ref="B66:H66"/>
    <mergeCell ref="J66:U66"/>
    <mergeCell ref="W66:AC66"/>
    <mergeCell ref="AE66:AK66"/>
    <mergeCell ref="A67:A68"/>
    <mergeCell ref="B62:H62"/>
    <mergeCell ref="J62:U62"/>
    <mergeCell ref="W62:AC62"/>
    <mergeCell ref="AE62:AK62"/>
    <mergeCell ref="A63:A64"/>
    <mergeCell ref="B58:H58"/>
    <mergeCell ref="J58:U58"/>
    <mergeCell ref="W58:AC58"/>
    <mergeCell ref="AE58:AK58"/>
    <mergeCell ref="A59:A60"/>
    <mergeCell ref="B54:H54"/>
    <mergeCell ref="J54:U54"/>
    <mergeCell ref="W54:AC54"/>
    <mergeCell ref="AE54:AK54"/>
    <mergeCell ref="A55:A56"/>
    <mergeCell ref="A51:A52"/>
    <mergeCell ref="B42:H42"/>
    <mergeCell ref="J42:U42"/>
    <mergeCell ref="W42:AC42"/>
    <mergeCell ref="AE42:AK42"/>
    <mergeCell ref="A43:A44"/>
    <mergeCell ref="B46:H46"/>
    <mergeCell ref="J46:U46"/>
    <mergeCell ref="W46:AC46"/>
    <mergeCell ref="AE46:AK46"/>
    <mergeCell ref="A47:A48"/>
    <mergeCell ref="B50:H50"/>
    <mergeCell ref="J50:U50"/>
    <mergeCell ref="W50:AC50"/>
    <mergeCell ref="AE50:AK50"/>
    <mergeCell ref="A39:A40"/>
    <mergeCell ref="B30:H30"/>
    <mergeCell ref="J30:U30"/>
    <mergeCell ref="W30:AC30"/>
    <mergeCell ref="AE30:AK30"/>
    <mergeCell ref="A31:A32"/>
    <mergeCell ref="B34:H34"/>
    <mergeCell ref="J34:U34"/>
    <mergeCell ref="W34:AC34"/>
    <mergeCell ref="AE34:AK34"/>
    <mergeCell ref="A35:A36"/>
    <mergeCell ref="B38:H38"/>
    <mergeCell ref="J38:U38"/>
    <mergeCell ref="W38:AC38"/>
    <mergeCell ref="AE38:AK38"/>
    <mergeCell ref="A27:A28"/>
    <mergeCell ref="B18:H18"/>
    <mergeCell ref="J18:U18"/>
    <mergeCell ref="W18:AC18"/>
    <mergeCell ref="AE18:AK18"/>
    <mergeCell ref="A19:A20"/>
    <mergeCell ref="B22:H22"/>
    <mergeCell ref="J22:U22"/>
    <mergeCell ref="W22:AC22"/>
    <mergeCell ref="AE22:AK22"/>
    <mergeCell ref="A23:A24"/>
    <mergeCell ref="B26:H26"/>
    <mergeCell ref="J26:U26"/>
    <mergeCell ref="W26:AC26"/>
    <mergeCell ref="AE26:AK26"/>
    <mergeCell ref="B2:C2"/>
    <mergeCell ref="E2:F2"/>
    <mergeCell ref="B5:C5"/>
    <mergeCell ref="E5:F5"/>
    <mergeCell ref="A8:H8"/>
    <mergeCell ref="A15:A16"/>
    <mergeCell ref="W8:AC8"/>
    <mergeCell ref="AE8:AK8"/>
    <mergeCell ref="B10:H10"/>
    <mergeCell ref="J10:U10"/>
    <mergeCell ref="W10:AC10"/>
    <mergeCell ref="AE10:AK10"/>
    <mergeCell ref="J8:U8"/>
    <mergeCell ref="A11:A12"/>
    <mergeCell ref="B14:H14"/>
    <mergeCell ref="J14:U14"/>
    <mergeCell ref="W14:AC14"/>
    <mergeCell ref="AE14:AK14"/>
    <mergeCell ref="E3:F3"/>
    <mergeCell ref="E4:F4"/>
    <mergeCell ref="B3:C3"/>
    <mergeCell ref="B4:C4"/>
  </mergeCells>
  <phoneticPr fontId="3" type="noConversion"/>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K52"/>
  <sheetViews>
    <sheetView showGridLines="0" topLeftCell="A9" workbookViewId="0">
      <selection activeCell="A17" sqref="A17:XFD40"/>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3" width="10.42578125" bestFit="1" customWidth="1"/>
    <col min="14" max="14" width="13.28515625" bestFit="1" customWidth="1"/>
    <col min="21" max="21" width="12.140625" bestFit="1" customWidth="1"/>
    <col min="27" max="27" width="10.5703125" bestFit="1" customWidth="1"/>
    <col min="29" max="29" width="12.140625" bestFit="1" customWidth="1"/>
    <col min="34" max="34" width="10.140625" bestFit="1" customWidth="1"/>
    <col min="35" max="35" width="13.28515625" bestFit="1" customWidth="1"/>
    <col min="36" max="36" width="10.140625" bestFit="1" customWidth="1"/>
    <col min="37" max="37" width="13.28515625" bestFit="1" customWidth="1"/>
  </cols>
  <sheetData>
    <row r="2" spans="1:37" x14ac:dyDescent="0.25">
      <c r="A2" t="s">
        <v>0</v>
      </c>
      <c r="B2" s="84" t="s">
        <v>86</v>
      </c>
      <c r="C2" s="84"/>
      <c r="D2" s="1" t="s">
        <v>1</v>
      </c>
      <c r="E2" s="84" t="s">
        <v>87</v>
      </c>
      <c r="F2" s="84"/>
      <c r="H2" t="s">
        <v>45</v>
      </c>
      <c r="I2" s="54"/>
    </row>
    <row r="3" spans="1:37" x14ac:dyDescent="0.25">
      <c r="F3" s="1"/>
    </row>
    <row r="4" spans="1:37" x14ac:dyDescent="0.25">
      <c r="A4" t="s">
        <v>2</v>
      </c>
      <c r="B4" s="85"/>
      <c r="C4" s="85"/>
      <c r="D4" s="1" t="s">
        <v>29</v>
      </c>
      <c r="E4" s="84">
        <v>0</v>
      </c>
      <c r="F4" s="84"/>
      <c r="H4" t="s">
        <v>70</v>
      </c>
      <c r="I4" s="67">
        <v>45388</v>
      </c>
    </row>
    <row r="7" spans="1:37" ht="21" x14ac:dyDescent="0.35">
      <c r="A7" s="87" t="s">
        <v>28</v>
      </c>
      <c r="B7" s="87"/>
      <c r="C7" s="87"/>
      <c r="D7" s="87"/>
      <c r="E7" s="87"/>
      <c r="F7" s="87"/>
      <c r="G7" s="87"/>
      <c r="H7" s="87"/>
      <c r="J7" s="89" t="s">
        <v>26</v>
      </c>
      <c r="K7" s="89"/>
      <c r="L7" s="89"/>
      <c r="M7" s="89"/>
      <c r="N7" s="89"/>
      <c r="O7" s="89"/>
      <c r="P7" s="89"/>
      <c r="Q7" s="89"/>
      <c r="R7" s="89"/>
      <c r="S7" s="89"/>
      <c r="T7" s="89"/>
      <c r="U7" s="89"/>
      <c r="V7" s="2"/>
      <c r="W7" s="88" t="s">
        <v>25</v>
      </c>
      <c r="X7" s="88"/>
      <c r="Y7" s="88"/>
      <c r="Z7" s="88"/>
      <c r="AA7" s="88"/>
      <c r="AB7" s="88"/>
      <c r="AC7" s="88"/>
      <c r="AD7" s="2"/>
      <c r="AE7" s="88" t="s">
        <v>27</v>
      </c>
      <c r="AF7" s="88"/>
      <c r="AG7" s="88"/>
      <c r="AH7" s="88"/>
      <c r="AI7" s="88"/>
      <c r="AJ7" s="88"/>
      <c r="AK7" s="88"/>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9" t="s">
        <v>3</v>
      </c>
      <c r="C9" s="79"/>
      <c r="D9" s="79"/>
      <c r="E9" s="79"/>
      <c r="F9" s="79"/>
      <c r="G9" s="79"/>
      <c r="H9" s="79"/>
      <c r="J9" s="80" t="s">
        <v>3</v>
      </c>
      <c r="K9" s="80"/>
      <c r="L9" s="80"/>
      <c r="M9" s="80"/>
      <c r="N9" s="80"/>
      <c r="O9" s="80"/>
      <c r="P9" s="80"/>
      <c r="Q9" s="80"/>
      <c r="R9" s="80"/>
      <c r="S9" s="80"/>
      <c r="T9" s="80"/>
      <c r="U9" s="80"/>
      <c r="W9" s="81" t="s">
        <v>3</v>
      </c>
      <c r="X9" s="81"/>
      <c r="Y9" s="81"/>
      <c r="Z9" s="81"/>
      <c r="AA9" s="81"/>
      <c r="AB9" s="81"/>
      <c r="AC9" s="81"/>
      <c r="AE9" s="82" t="s">
        <v>3</v>
      </c>
      <c r="AF9" s="82"/>
      <c r="AG9" s="82"/>
      <c r="AH9" s="82"/>
      <c r="AI9" s="82"/>
      <c r="AJ9" s="82"/>
      <c r="AK9" s="82"/>
    </row>
    <row r="10" spans="1:37" ht="15.75" thickBot="1" x14ac:dyDescent="0.3">
      <c r="A10" s="83"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9" t="s">
        <v>13</v>
      </c>
      <c r="C13" s="79"/>
      <c r="D13" s="79"/>
      <c r="E13" s="79"/>
      <c r="F13" s="79"/>
      <c r="G13" s="79"/>
      <c r="H13" s="79"/>
      <c r="J13" s="80" t="s">
        <v>13</v>
      </c>
      <c r="K13" s="80"/>
      <c r="L13" s="80"/>
      <c r="M13" s="80"/>
      <c r="N13" s="80"/>
      <c r="O13" s="80"/>
      <c r="P13" s="80"/>
      <c r="Q13" s="80"/>
      <c r="R13" s="80"/>
      <c r="S13" s="80"/>
      <c r="T13" s="80"/>
      <c r="U13" s="80"/>
      <c r="W13" s="81" t="str">
        <f>J13</f>
        <v>Março</v>
      </c>
      <c r="X13" s="81"/>
      <c r="Y13" s="81"/>
      <c r="Z13" s="81"/>
      <c r="AA13" s="81"/>
      <c r="AB13" s="81"/>
      <c r="AC13" s="81"/>
      <c r="AE13" s="82" t="str">
        <f>W13</f>
        <v>Março</v>
      </c>
      <c r="AF13" s="82"/>
      <c r="AG13" s="82"/>
      <c r="AH13" s="82"/>
      <c r="AI13" s="82"/>
      <c r="AJ13" s="82"/>
      <c r="AK13" s="82"/>
    </row>
    <row r="14" spans="1:37" ht="15.75" thickBot="1" x14ac:dyDescent="0.3">
      <c r="A14" s="83"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9" t="s">
        <v>14</v>
      </c>
      <c r="C17" s="79"/>
      <c r="D17" s="79"/>
      <c r="E17" s="79"/>
      <c r="F17" s="79"/>
      <c r="G17" s="79"/>
      <c r="H17" s="79"/>
      <c r="J17" s="80" t="s">
        <v>14</v>
      </c>
      <c r="K17" s="80"/>
      <c r="L17" s="80"/>
      <c r="M17" s="80"/>
      <c r="N17" s="80"/>
      <c r="O17" s="80"/>
      <c r="P17" s="80"/>
      <c r="Q17" s="80"/>
      <c r="R17" s="80"/>
      <c r="S17" s="80"/>
      <c r="T17" s="80"/>
      <c r="U17" s="80"/>
      <c r="W17" s="81" t="str">
        <f>J17</f>
        <v>Abril</v>
      </c>
      <c r="X17" s="81"/>
      <c r="Y17" s="81"/>
      <c r="Z17" s="81"/>
      <c r="AA17" s="81"/>
      <c r="AB17" s="81"/>
      <c r="AC17" s="81"/>
      <c r="AE17" s="82" t="str">
        <f>W17</f>
        <v>Abril</v>
      </c>
      <c r="AF17" s="82"/>
      <c r="AG17" s="82"/>
      <c r="AH17" s="82"/>
      <c r="AI17" s="82"/>
      <c r="AJ17" s="82"/>
      <c r="AK17" s="82"/>
    </row>
    <row r="18" spans="1:37"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3"/>
      <c r="B19" s="26">
        <v>21986</v>
      </c>
      <c r="C19" s="27"/>
      <c r="D19" s="27"/>
      <c r="E19" s="27">
        <v>24247</v>
      </c>
      <c r="F19" s="27">
        <f>SUM(C19-B19)</f>
        <v>-21986</v>
      </c>
      <c r="G19" s="20">
        <f>SUM(E19-D19)</f>
        <v>24247</v>
      </c>
      <c r="H19" s="21">
        <f>SUM(F19:G19)</f>
        <v>2261</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9" t="s">
        <v>15</v>
      </c>
      <c r="C21" s="79"/>
      <c r="D21" s="79"/>
      <c r="E21" s="79"/>
      <c r="F21" s="79"/>
      <c r="G21" s="79"/>
      <c r="H21" s="79"/>
      <c r="J21" s="80" t="s">
        <v>15</v>
      </c>
      <c r="K21" s="80"/>
      <c r="L21" s="80"/>
      <c r="M21" s="80"/>
      <c r="N21" s="80"/>
      <c r="O21" s="80"/>
      <c r="P21" s="80"/>
      <c r="Q21" s="80"/>
      <c r="R21" s="80"/>
      <c r="S21" s="80"/>
      <c r="T21" s="80"/>
      <c r="U21" s="80"/>
      <c r="W21" s="81" t="str">
        <f>J21</f>
        <v>Maio</v>
      </c>
      <c r="X21" s="81"/>
      <c r="Y21" s="81"/>
      <c r="Z21" s="81"/>
      <c r="AA21" s="81"/>
      <c r="AB21" s="81"/>
      <c r="AC21" s="81"/>
      <c r="AE21" s="82" t="str">
        <f>W21</f>
        <v>Maio</v>
      </c>
      <c r="AF21" s="82"/>
      <c r="AG21" s="82"/>
      <c r="AH21" s="82"/>
      <c r="AI21" s="82"/>
      <c r="AJ21" s="82"/>
      <c r="AK21" s="82"/>
    </row>
    <row r="22" spans="1:37"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9" t="s">
        <v>24</v>
      </c>
      <c r="C25" s="79"/>
      <c r="D25" s="79"/>
      <c r="E25" s="79"/>
      <c r="F25" s="79"/>
      <c r="G25" s="79"/>
      <c r="H25" s="79"/>
      <c r="J25" s="80" t="s">
        <v>24</v>
      </c>
      <c r="K25" s="80"/>
      <c r="L25" s="80"/>
      <c r="M25" s="80"/>
      <c r="N25" s="80"/>
      <c r="O25" s="80"/>
      <c r="P25" s="80"/>
      <c r="Q25" s="80"/>
      <c r="R25" s="80"/>
      <c r="S25" s="80"/>
      <c r="T25" s="80"/>
      <c r="U25" s="80"/>
      <c r="W25" s="81" t="str">
        <f>J25</f>
        <v>Junho</v>
      </c>
      <c r="X25" s="81"/>
      <c r="Y25" s="81"/>
      <c r="Z25" s="81"/>
      <c r="AA25" s="81"/>
      <c r="AB25" s="81"/>
      <c r="AC25" s="81"/>
      <c r="AE25" s="82" t="str">
        <f>W25</f>
        <v>Junho</v>
      </c>
      <c r="AF25" s="82"/>
      <c r="AG25" s="82"/>
      <c r="AH25" s="82"/>
      <c r="AI25" s="82"/>
      <c r="AJ25" s="82"/>
      <c r="AK25" s="82"/>
    </row>
    <row r="26" spans="1:37"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9" t="s">
        <v>16</v>
      </c>
      <c r="C29" s="79"/>
      <c r="D29" s="79"/>
      <c r="E29" s="79"/>
      <c r="F29" s="79"/>
      <c r="G29" s="79"/>
      <c r="H29" s="79"/>
      <c r="J29" s="80" t="s">
        <v>16</v>
      </c>
      <c r="K29" s="80"/>
      <c r="L29" s="80"/>
      <c r="M29" s="80"/>
      <c r="N29" s="80"/>
      <c r="O29" s="80"/>
      <c r="P29" s="80"/>
      <c r="Q29" s="80"/>
      <c r="R29" s="80"/>
      <c r="S29" s="80"/>
      <c r="T29" s="80"/>
      <c r="U29" s="80"/>
      <c r="W29" s="81" t="str">
        <f>J29</f>
        <v>Julho</v>
      </c>
      <c r="X29" s="81"/>
      <c r="Y29" s="81"/>
      <c r="Z29" s="81"/>
      <c r="AA29" s="81"/>
      <c r="AB29" s="81"/>
      <c r="AC29" s="81"/>
      <c r="AE29" s="82" t="str">
        <f>W29</f>
        <v>Julho</v>
      </c>
      <c r="AF29" s="82"/>
      <c r="AG29" s="82"/>
      <c r="AH29" s="82"/>
      <c r="AI29" s="82"/>
      <c r="AJ29" s="82"/>
      <c r="AK29" s="82"/>
    </row>
    <row r="30" spans="1:37"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9" t="s">
        <v>17</v>
      </c>
      <c r="C33" s="79"/>
      <c r="D33" s="79"/>
      <c r="E33" s="79"/>
      <c r="F33" s="79"/>
      <c r="G33" s="79"/>
      <c r="H33" s="79"/>
      <c r="J33" s="80" t="s">
        <v>17</v>
      </c>
      <c r="K33" s="80"/>
      <c r="L33" s="80"/>
      <c r="M33" s="80"/>
      <c r="N33" s="80"/>
      <c r="O33" s="80"/>
      <c r="P33" s="80"/>
      <c r="Q33" s="80"/>
      <c r="R33" s="80"/>
      <c r="S33" s="80"/>
      <c r="T33" s="80"/>
      <c r="U33" s="80"/>
      <c r="W33" s="81" t="str">
        <f>J33</f>
        <v>Agosto</v>
      </c>
      <c r="X33" s="81"/>
      <c r="Y33" s="81"/>
      <c r="Z33" s="81"/>
      <c r="AA33" s="81"/>
      <c r="AB33" s="81"/>
      <c r="AC33" s="81"/>
      <c r="AE33" s="82" t="str">
        <f>W33</f>
        <v>Agosto</v>
      </c>
      <c r="AF33" s="82"/>
      <c r="AG33" s="82"/>
      <c r="AH33" s="82"/>
      <c r="AI33" s="82"/>
      <c r="AJ33" s="82"/>
      <c r="AK33" s="82"/>
    </row>
    <row r="34" spans="1:37"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9" t="s">
        <v>18</v>
      </c>
      <c r="C37" s="79"/>
      <c r="D37" s="79"/>
      <c r="E37" s="79"/>
      <c r="F37" s="79"/>
      <c r="G37" s="79"/>
      <c r="H37" s="79"/>
      <c r="J37" s="80" t="s">
        <v>18</v>
      </c>
      <c r="K37" s="80"/>
      <c r="L37" s="80"/>
      <c r="M37" s="80"/>
      <c r="N37" s="80"/>
      <c r="O37" s="80"/>
      <c r="P37" s="80"/>
      <c r="Q37" s="80"/>
      <c r="R37" s="80"/>
      <c r="S37" s="80"/>
      <c r="T37" s="80"/>
      <c r="U37" s="80"/>
      <c r="W37" s="81" t="str">
        <f>J37</f>
        <v>Setembro</v>
      </c>
      <c r="X37" s="81"/>
      <c r="Y37" s="81"/>
      <c r="Z37" s="81"/>
      <c r="AA37" s="81"/>
      <c r="AB37" s="81"/>
      <c r="AC37" s="81"/>
      <c r="AE37" s="82" t="str">
        <f>W37</f>
        <v>Setembro</v>
      </c>
      <c r="AF37" s="82"/>
      <c r="AG37" s="82"/>
      <c r="AH37" s="82"/>
      <c r="AI37" s="82"/>
      <c r="AJ37" s="82"/>
      <c r="AK37" s="82"/>
    </row>
    <row r="38" spans="1:37"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9" t="s">
        <v>19</v>
      </c>
      <c r="C41" s="79"/>
      <c r="D41" s="79"/>
      <c r="E41" s="79"/>
      <c r="F41" s="79"/>
      <c r="G41" s="79"/>
      <c r="H41" s="79"/>
      <c r="J41" s="80" t="s">
        <v>19</v>
      </c>
      <c r="K41" s="80"/>
      <c r="L41" s="80"/>
      <c r="M41" s="80"/>
      <c r="N41" s="80"/>
      <c r="O41" s="80"/>
      <c r="P41" s="80"/>
      <c r="Q41" s="80"/>
      <c r="R41" s="80"/>
      <c r="S41" s="80"/>
      <c r="T41" s="80"/>
      <c r="U41" s="80"/>
      <c r="W41" s="81" t="str">
        <f>J41</f>
        <v>Outubro</v>
      </c>
      <c r="X41" s="81"/>
      <c r="Y41" s="81"/>
      <c r="Z41" s="81"/>
      <c r="AA41" s="81"/>
      <c r="AB41" s="81"/>
      <c r="AC41" s="81"/>
      <c r="AE41" s="82" t="str">
        <f>W41</f>
        <v>Outubro</v>
      </c>
      <c r="AF41" s="82"/>
      <c r="AG41" s="82"/>
      <c r="AH41" s="82"/>
      <c r="AI41" s="82"/>
      <c r="AJ41" s="82"/>
      <c r="AK41" s="82"/>
    </row>
    <row r="42" spans="1:37"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9" t="s">
        <v>20</v>
      </c>
      <c r="C45" s="79"/>
      <c r="D45" s="79"/>
      <c r="E45" s="79"/>
      <c r="F45" s="79"/>
      <c r="G45" s="79"/>
      <c r="H45" s="79"/>
      <c r="J45" s="80" t="s">
        <v>20</v>
      </c>
      <c r="K45" s="80"/>
      <c r="L45" s="80"/>
      <c r="M45" s="80"/>
      <c r="N45" s="80"/>
      <c r="O45" s="80"/>
      <c r="P45" s="80"/>
      <c r="Q45" s="80"/>
      <c r="R45" s="80"/>
      <c r="S45" s="80"/>
      <c r="T45" s="80"/>
      <c r="U45" s="80"/>
      <c r="W45" s="81" t="str">
        <f>J45</f>
        <v>Novembro</v>
      </c>
      <c r="X45" s="81"/>
      <c r="Y45" s="81"/>
      <c r="Z45" s="81"/>
      <c r="AA45" s="81"/>
      <c r="AB45" s="81"/>
      <c r="AC45" s="81"/>
      <c r="AE45" s="82" t="str">
        <f>W45</f>
        <v>Novembro</v>
      </c>
      <c r="AF45" s="82"/>
      <c r="AG45" s="82"/>
      <c r="AH45" s="82"/>
      <c r="AI45" s="82"/>
      <c r="AJ45" s="82"/>
      <c r="AK45" s="82"/>
    </row>
    <row r="46" spans="1:37"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9" t="s">
        <v>21</v>
      </c>
      <c r="C49" s="79"/>
      <c r="D49" s="79"/>
      <c r="E49" s="79"/>
      <c r="F49" s="79"/>
      <c r="G49" s="79"/>
      <c r="H49" s="79"/>
      <c r="J49" s="80" t="s">
        <v>21</v>
      </c>
      <c r="K49" s="80"/>
      <c r="L49" s="80"/>
      <c r="M49" s="80"/>
      <c r="N49" s="80"/>
      <c r="O49" s="80"/>
      <c r="P49" s="80"/>
      <c r="Q49" s="80"/>
      <c r="R49" s="80"/>
      <c r="S49" s="80"/>
      <c r="T49" s="80"/>
      <c r="U49" s="80"/>
      <c r="W49" s="81" t="str">
        <f>J49</f>
        <v>Dezembro</v>
      </c>
      <c r="X49" s="81"/>
      <c r="Y49" s="81"/>
      <c r="Z49" s="81"/>
      <c r="AA49" s="81"/>
      <c r="AB49" s="81"/>
      <c r="AC49" s="81"/>
      <c r="AE49" s="82" t="str">
        <f>W49</f>
        <v>Dezembro</v>
      </c>
      <c r="AF49" s="82"/>
      <c r="AG49" s="82"/>
      <c r="AH49" s="82"/>
      <c r="AI49" s="82"/>
      <c r="AJ49" s="82"/>
      <c r="AK49" s="82"/>
    </row>
    <row r="50" spans="1:37"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3">
    <mergeCell ref="A50:A51"/>
    <mergeCell ref="E4:F4"/>
    <mergeCell ref="A38:A39"/>
    <mergeCell ref="B41:H41"/>
    <mergeCell ref="A42:A43"/>
    <mergeCell ref="B45:H45"/>
    <mergeCell ref="A46:A47"/>
    <mergeCell ref="B49:H49"/>
    <mergeCell ref="A26:A27"/>
    <mergeCell ref="B29:H29"/>
    <mergeCell ref="A30:A31"/>
    <mergeCell ref="B33:H33"/>
    <mergeCell ref="A34:A35"/>
    <mergeCell ref="B37:H37"/>
    <mergeCell ref="B25:H25"/>
    <mergeCell ref="AE7:AK7"/>
    <mergeCell ref="AE9:AK9"/>
    <mergeCell ref="AE13:AK13"/>
    <mergeCell ref="AE17:AK17"/>
    <mergeCell ref="AE49:AK49"/>
    <mergeCell ref="AE25:AK25"/>
    <mergeCell ref="AE29:AK29"/>
    <mergeCell ref="AE33:AK33"/>
    <mergeCell ref="AE37:AK37"/>
    <mergeCell ref="AE41:AK41"/>
    <mergeCell ref="AE45:AK45"/>
    <mergeCell ref="AE21:AK21"/>
    <mergeCell ref="W7:AC7"/>
    <mergeCell ref="W13:AC13"/>
    <mergeCell ref="W17:AC17"/>
    <mergeCell ref="W21:AC21"/>
    <mergeCell ref="W25:AC25"/>
    <mergeCell ref="J45:U45"/>
    <mergeCell ref="J49:U49"/>
    <mergeCell ref="W9:AC9"/>
    <mergeCell ref="J13:U13"/>
    <mergeCell ref="J17:U17"/>
    <mergeCell ref="J21:U21"/>
    <mergeCell ref="J25:U25"/>
    <mergeCell ref="J29:U29"/>
    <mergeCell ref="J33:U33"/>
    <mergeCell ref="J9:U9"/>
    <mergeCell ref="W49:AC49"/>
    <mergeCell ref="W29:AC29"/>
    <mergeCell ref="W33:AC33"/>
    <mergeCell ref="W37:AC37"/>
    <mergeCell ref="W41:AC41"/>
    <mergeCell ref="W45:AC45"/>
    <mergeCell ref="B2:C2"/>
    <mergeCell ref="E2:F2"/>
    <mergeCell ref="B4:C4"/>
    <mergeCell ref="J37:U37"/>
    <mergeCell ref="J41:U41"/>
    <mergeCell ref="J7:U7"/>
    <mergeCell ref="A7:H7"/>
    <mergeCell ref="A10:A11"/>
    <mergeCell ref="A14:A15"/>
    <mergeCell ref="A18:A19"/>
    <mergeCell ref="B9:H9"/>
    <mergeCell ref="B13:H13"/>
    <mergeCell ref="B17:H17"/>
    <mergeCell ref="B21:H21"/>
    <mergeCell ref="A22:A23"/>
  </mergeCells>
  <phoneticPr fontId="3" type="noConversion"/>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K100"/>
  <sheetViews>
    <sheetView showGridLines="0" workbookViewId="0">
      <selection activeCell="I6" sqref="I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3" width="10.42578125" bestFit="1" customWidth="1"/>
    <col min="21" max="21" width="13.28515625" bestFit="1" customWidth="1"/>
    <col min="34" max="36" width="10.140625" bestFit="1" customWidth="1"/>
  </cols>
  <sheetData>
    <row r="2" spans="1:37" x14ac:dyDescent="0.25">
      <c r="A2" t="s">
        <v>0</v>
      </c>
      <c r="B2" s="84" t="s">
        <v>84</v>
      </c>
      <c r="C2" s="84"/>
      <c r="D2" s="1" t="s">
        <v>1</v>
      </c>
      <c r="E2" s="84" t="s">
        <v>85</v>
      </c>
      <c r="F2" s="84"/>
      <c r="H2" t="s">
        <v>45</v>
      </c>
      <c r="I2" s="54"/>
    </row>
    <row r="3" spans="1:37" x14ac:dyDescent="0.25">
      <c r="F3" s="1"/>
    </row>
    <row r="4" spans="1:37" x14ac:dyDescent="0.25">
      <c r="A4" t="s">
        <v>2</v>
      </c>
      <c r="B4" s="85">
        <v>4144</v>
      </c>
      <c r="C4" s="85"/>
      <c r="D4" s="1" t="s">
        <v>29</v>
      </c>
      <c r="E4" s="86">
        <v>50</v>
      </c>
      <c r="F4" s="86"/>
      <c r="H4" t="s">
        <v>70</v>
      </c>
      <c r="I4" s="67">
        <v>45383</v>
      </c>
      <c r="J4" s="1" t="s">
        <v>104</v>
      </c>
      <c r="K4" s="67">
        <v>45924</v>
      </c>
    </row>
    <row r="7" spans="1:37" ht="21" x14ac:dyDescent="0.35">
      <c r="A7" s="87" t="s">
        <v>28</v>
      </c>
      <c r="B7" s="87"/>
      <c r="C7" s="87"/>
      <c r="D7" s="87"/>
      <c r="E7" s="87"/>
      <c r="F7" s="87"/>
      <c r="G7" s="87"/>
      <c r="H7" s="87"/>
      <c r="J7" s="89" t="s">
        <v>26</v>
      </c>
      <c r="K7" s="89"/>
      <c r="L7" s="89"/>
      <c r="M7" s="89"/>
      <c r="N7" s="89"/>
      <c r="O7" s="89"/>
      <c r="P7" s="89"/>
      <c r="Q7" s="89"/>
      <c r="R7" s="89"/>
      <c r="S7" s="89"/>
      <c r="T7" s="89"/>
      <c r="U7" s="89"/>
      <c r="V7" s="2"/>
      <c r="W7" s="88" t="s">
        <v>25</v>
      </c>
      <c r="X7" s="88"/>
      <c r="Y7" s="88"/>
      <c r="Z7" s="88"/>
      <c r="AA7" s="88"/>
      <c r="AB7" s="88"/>
      <c r="AC7" s="88"/>
      <c r="AD7" s="2"/>
      <c r="AE7" s="88" t="s">
        <v>27</v>
      </c>
      <c r="AF7" s="88"/>
      <c r="AG7" s="88"/>
      <c r="AH7" s="88"/>
      <c r="AI7" s="88"/>
      <c r="AJ7" s="88"/>
      <c r="AK7" s="88"/>
    </row>
    <row r="8" spans="1:37" s="15" customFormat="1" ht="21" x14ac:dyDescent="0.35">
      <c r="A8" s="14"/>
      <c r="B8" s="14"/>
      <c r="C8" s="14"/>
      <c r="D8" s="84" t="s">
        <v>72</v>
      </c>
      <c r="E8" s="8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9" t="s">
        <v>3</v>
      </c>
      <c r="C9" s="79"/>
      <c r="D9" s="79"/>
      <c r="E9" s="79"/>
      <c r="F9" s="79"/>
      <c r="G9" s="79"/>
      <c r="H9" s="79"/>
      <c r="J9" s="80" t="s">
        <v>3</v>
      </c>
      <c r="K9" s="80"/>
      <c r="L9" s="80"/>
      <c r="M9" s="80"/>
      <c r="N9" s="80"/>
      <c r="O9" s="80"/>
      <c r="P9" s="80"/>
      <c r="Q9" s="80"/>
      <c r="R9" s="80"/>
      <c r="S9" s="80"/>
      <c r="T9" s="80"/>
      <c r="U9" s="80"/>
      <c r="W9" s="81" t="s">
        <v>3</v>
      </c>
      <c r="X9" s="81"/>
      <c r="Y9" s="81"/>
      <c r="Z9" s="81"/>
      <c r="AA9" s="81"/>
      <c r="AB9" s="81"/>
      <c r="AC9" s="81"/>
      <c r="AE9" s="82" t="s">
        <v>3</v>
      </c>
      <c r="AF9" s="82"/>
      <c r="AG9" s="82"/>
      <c r="AH9" s="82"/>
      <c r="AI9" s="82"/>
      <c r="AJ9" s="82"/>
      <c r="AK9" s="82"/>
    </row>
    <row r="10" spans="1:37" ht="15.75" thickBot="1" x14ac:dyDescent="0.3">
      <c r="A10" s="83" t="s">
        <v>5</v>
      </c>
      <c r="B10" s="34" t="s">
        <v>6</v>
      </c>
      <c r="C10" s="22" t="s">
        <v>7</v>
      </c>
      <c r="D10" s="33" t="s">
        <v>8</v>
      </c>
      <c r="E10" s="22" t="s">
        <v>9</v>
      </c>
      <c r="F10" s="24" t="s">
        <v>10</v>
      </c>
      <c r="G10" s="23" t="s">
        <v>11</v>
      </c>
      <c r="H10" s="25" t="s">
        <v>12</v>
      </c>
      <c r="J10" s="28" t="s">
        <v>4</v>
      </c>
      <c r="K10" s="9"/>
      <c r="L10" s="66"/>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9" t="s">
        <v>13</v>
      </c>
      <c r="C13" s="79"/>
      <c r="D13" s="79"/>
      <c r="E13" s="79"/>
      <c r="F13" s="79"/>
      <c r="G13" s="79"/>
      <c r="H13" s="79"/>
      <c r="J13" s="80" t="s">
        <v>13</v>
      </c>
      <c r="K13" s="80"/>
      <c r="L13" s="80"/>
      <c r="M13" s="80"/>
      <c r="N13" s="80"/>
      <c r="O13" s="80"/>
      <c r="P13" s="80"/>
      <c r="Q13" s="80"/>
      <c r="R13" s="80"/>
      <c r="S13" s="80"/>
      <c r="T13" s="80"/>
      <c r="U13" s="80"/>
      <c r="W13" s="81" t="str">
        <f>J13</f>
        <v>Março</v>
      </c>
      <c r="X13" s="81"/>
      <c r="Y13" s="81"/>
      <c r="Z13" s="81"/>
      <c r="AA13" s="81"/>
      <c r="AB13" s="81"/>
      <c r="AC13" s="81"/>
      <c r="AE13" s="82" t="str">
        <f>W13</f>
        <v>Março</v>
      </c>
      <c r="AF13" s="82"/>
      <c r="AG13" s="82"/>
      <c r="AH13" s="82"/>
      <c r="AI13" s="82"/>
      <c r="AJ13" s="82"/>
      <c r="AK13" s="82"/>
    </row>
    <row r="14" spans="1:37" ht="15.75" thickBot="1" x14ac:dyDescent="0.3">
      <c r="A14" s="83" t="s">
        <v>5</v>
      </c>
      <c r="B14" s="34" t="s">
        <v>6</v>
      </c>
      <c r="C14" s="22" t="s">
        <v>7</v>
      </c>
      <c r="D14" s="33" t="s">
        <v>8</v>
      </c>
      <c r="E14" s="22" t="s">
        <v>9</v>
      </c>
      <c r="F14" s="24" t="s">
        <v>10</v>
      </c>
      <c r="G14" s="23" t="s">
        <v>11</v>
      </c>
      <c r="H14" s="25" t="s">
        <v>12</v>
      </c>
      <c r="J14" s="6" t="s">
        <v>4</v>
      </c>
      <c r="K14" s="66"/>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3"/>
      <c r="B15" s="26"/>
      <c r="C15" s="27"/>
      <c r="D15" s="27"/>
      <c r="E15" s="27"/>
      <c r="F15" s="27">
        <f>SUM(C15-B15)</f>
        <v>0</v>
      </c>
      <c r="G15" s="20">
        <f>SUM(E15-D15)</f>
        <v>0</v>
      </c>
      <c r="H15" s="21">
        <f>SUM(F15:G15)</f>
        <v>0</v>
      </c>
      <c r="J15" s="7" t="s">
        <v>22</v>
      </c>
      <c r="K15" s="11"/>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9" t="s">
        <v>14</v>
      </c>
      <c r="C17" s="79"/>
      <c r="D17" s="79"/>
      <c r="E17" s="79"/>
      <c r="F17" s="79"/>
      <c r="G17" s="79"/>
      <c r="H17" s="79"/>
      <c r="J17" s="80" t="s">
        <v>14</v>
      </c>
      <c r="K17" s="80"/>
      <c r="L17" s="80"/>
      <c r="M17" s="80"/>
      <c r="N17" s="80"/>
      <c r="O17" s="80"/>
      <c r="P17" s="80"/>
      <c r="Q17" s="80"/>
      <c r="R17" s="80"/>
      <c r="S17" s="80"/>
      <c r="T17" s="80"/>
      <c r="U17" s="80"/>
      <c r="W17" s="81" t="str">
        <f>J17</f>
        <v>Abril</v>
      </c>
      <c r="X17" s="81"/>
      <c r="Y17" s="81"/>
      <c r="Z17" s="81"/>
      <c r="AA17" s="81"/>
      <c r="AB17" s="81"/>
      <c r="AC17" s="81"/>
      <c r="AE17" s="82" t="str">
        <f>W17</f>
        <v>Abril</v>
      </c>
      <c r="AF17" s="82"/>
      <c r="AG17" s="82"/>
      <c r="AH17" s="82"/>
      <c r="AI17" s="82"/>
      <c r="AJ17" s="82"/>
      <c r="AK17" s="82"/>
    </row>
    <row r="18" spans="1:37"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3"/>
      <c r="B19" s="26">
        <v>18729</v>
      </c>
      <c r="C19" s="27"/>
      <c r="D19" s="27"/>
      <c r="E19" s="27">
        <v>21492</v>
      </c>
      <c r="F19" s="27">
        <f>SUM(C19-B19)</f>
        <v>-18729</v>
      </c>
      <c r="G19" s="20">
        <f>SUM(E19-D19)</f>
        <v>21492</v>
      </c>
      <c r="H19" s="21">
        <f>SUM(F19:G19)</f>
        <v>2763</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9" t="s">
        <v>15</v>
      </c>
      <c r="C21" s="79"/>
      <c r="D21" s="79"/>
      <c r="E21" s="79"/>
      <c r="F21" s="79"/>
      <c r="G21" s="79"/>
      <c r="H21" s="79"/>
      <c r="J21" s="80" t="s">
        <v>15</v>
      </c>
      <c r="K21" s="80"/>
      <c r="L21" s="80"/>
      <c r="M21" s="80"/>
      <c r="N21" s="80"/>
      <c r="O21" s="80"/>
      <c r="P21" s="80"/>
      <c r="Q21" s="80"/>
      <c r="R21" s="80"/>
      <c r="S21" s="80"/>
      <c r="T21" s="80"/>
      <c r="U21" s="80"/>
      <c r="W21" s="81" t="str">
        <f>J21</f>
        <v>Maio</v>
      </c>
      <c r="X21" s="81"/>
      <c r="Y21" s="81"/>
      <c r="Z21" s="81"/>
      <c r="AA21" s="81"/>
      <c r="AB21" s="81"/>
      <c r="AC21" s="81"/>
      <c r="AE21" s="82" t="str">
        <f>W21</f>
        <v>Maio</v>
      </c>
      <c r="AF21" s="82"/>
      <c r="AG21" s="82"/>
      <c r="AH21" s="82"/>
      <c r="AI21" s="82"/>
      <c r="AJ21" s="82"/>
      <c r="AK21" s="82"/>
    </row>
    <row r="22" spans="1:37"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3"/>
      <c r="B23" s="26">
        <v>21492</v>
      </c>
      <c r="C23" s="27"/>
      <c r="D23" s="27"/>
      <c r="E23" s="27">
        <v>23539</v>
      </c>
      <c r="F23" s="27">
        <f>SUM(C23-B23)</f>
        <v>-21492</v>
      </c>
      <c r="G23" s="20">
        <f>SUM(E23-D23)</f>
        <v>23539</v>
      </c>
      <c r="H23" s="21">
        <f>SUM(F23:G23)</f>
        <v>2047</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9" t="s">
        <v>24</v>
      </c>
      <c r="C25" s="79"/>
      <c r="D25" s="79"/>
      <c r="E25" s="79"/>
      <c r="F25" s="79"/>
      <c r="G25" s="79"/>
      <c r="H25" s="79"/>
      <c r="J25" s="80" t="s">
        <v>24</v>
      </c>
      <c r="K25" s="80"/>
      <c r="L25" s="80"/>
      <c r="M25" s="80"/>
      <c r="N25" s="80"/>
      <c r="O25" s="80"/>
      <c r="P25" s="80"/>
      <c r="Q25" s="80"/>
      <c r="R25" s="80"/>
      <c r="S25" s="80"/>
      <c r="T25" s="80"/>
      <c r="U25" s="80"/>
      <c r="W25" s="81" t="str">
        <f>J25</f>
        <v>Junho</v>
      </c>
      <c r="X25" s="81"/>
      <c r="Y25" s="81"/>
      <c r="Z25" s="81"/>
      <c r="AA25" s="81"/>
      <c r="AB25" s="81"/>
      <c r="AC25" s="81"/>
      <c r="AE25" s="82" t="str">
        <f>W25</f>
        <v>Junho</v>
      </c>
      <c r="AF25" s="82"/>
      <c r="AG25" s="82"/>
      <c r="AH25" s="82"/>
      <c r="AI25" s="82"/>
      <c r="AJ25" s="82"/>
      <c r="AK25" s="82"/>
    </row>
    <row r="26" spans="1:37"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3"/>
      <c r="B27" s="26">
        <v>23539</v>
      </c>
      <c r="C27" s="27"/>
      <c r="D27" s="27"/>
      <c r="E27" s="27">
        <v>25556</v>
      </c>
      <c r="F27" s="27">
        <f>SUM(C27-B27)</f>
        <v>-23539</v>
      </c>
      <c r="G27" s="20">
        <f>SUM(E27-D27)</f>
        <v>25556</v>
      </c>
      <c r="H27" s="21">
        <f>SUM(F27:G27)</f>
        <v>2017</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9" t="s">
        <v>16</v>
      </c>
      <c r="C29" s="79"/>
      <c r="D29" s="79"/>
      <c r="E29" s="79"/>
      <c r="F29" s="79"/>
      <c r="G29" s="79"/>
      <c r="H29" s="79"/>
      <c r="J29" s="80" t="s">
        <v>16</v>
      </c>
      <c r="K29" s="80"/>
      <c r="L29" s="80"/>
      <c r="M29" s="80"/>
      <c r="N29" s="80"/>
      <c r="O29" s="80"/>
      <c r="P29" s="80"/>
      <c r="Q29" s="80"/>
      <c r="R29" s="80"/>
      <c r="S29" s="80"/>
      <c r="T29" s="80"/>
      <c r="U29" s="80"/>
      <c r="W29" s="81" t="str">
        <f>J29</f>
        <v>Julho</v>
      </c>
      <c r="X29" s="81"/>
      <c r="Y29" s="81"/>
      <c r="Z29" s="81"/>
      <c r="AA29" s="81"/>
      <c r="AB29" s="81"/>
      <c r="AC29" s="81"/>
      <c r="AE29" s="82" t="str">
        <f>W29</f>
        <v>Julho</v>
      </c>
      <c r="AF29" s="82"/>
      <c r="AG29" s="82"/>
      <c r="AH29" s="82"/>
      <c r="AI29" s="82"/>
      <c r="AJ29" s="82"/>
      <c r="AK29" s="82"/>
    </row>
    <row r="30" spans="1:37"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3"/>
      <c r="B31" s="26">
        <v>25556</v>
      </c>
      <c r="C31" s="27"/>
      <c r="D31" s="27"/>
      <c r="E31" s="27">
        <v>27943</v>
      </c>
      <c r="F31" s="27">
        <f>SUM(C31-B31)</f>
        <v>-25556</v>
      </c>
      <c r="G31" s="20">
        <f>SUM(E31-D31)</f>
        <v>27943</v>
      </c>
      <c r="H31" s="21">
        <f>SUM(F31:G31)</f>
        <v>2387</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9" t="s">
        <v>17</v>
      </c>
      <c r="C33" s="79"/>
      <c r="D33" s="79"/>
      <c r="E33" s="79"/>
      <c r="F33" s="79"/>
      <c r="G33" s="79"/>
      <c r="H33" s="79"/>
      <c r="J33" s="80" t="s">
        <v>17</v>
      </c>
      <c r="K33" s="80"/>
      <c r="L33" s="80"/>
      <c r="M33" s="80"/>
      <c r="N33" s="80"/>
      <c r="O33" s="80"/>
      <c r="P33" s="80"/>
      <c r="Q33" s="80"/>
      <c r="R33" s="80"/>
      <c r="S33" s="80"/>
      <c r="T33" s="80"/>
      <c r="U33" s="80"/>
      <c r="W33" s="81" t="str">
        <f>J33</f>
        <v>Agosto</v>
      </c>
      <c r="X33" s="81"/>
      <c r="Y33" s="81"/>
      <c r="Z33" s="81"/>
      <c r="AA33" s="81"/>
      <c r="AB33" s="81"/>
      <c r="AC33" s="81"/>
      <c r="AE33" s="82" t="str">
        <f>W33</f>
        <v>Agosto</v>
      </c>
      <c r="AF33" s="82"/>
      <c r="AG33" s="82"/>
      <c r="AH33" s="82"/>
      <c r="AI33" s="82"/>
      <c r="AJ33" s="82"/>
      <c r="AK33" s="82"/>
    </row>
    <row r="34" spans="1:37"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3"/>
      <c r="B35" s="26">
        <v>27943</v>
      </c>
      <c r="C35" s="27"/>
      <c r="D35" s="27"/>
      <c r="E35" s="27">
        <v>29927</v>
      </c>
      <c r="F35" s="27">
        <f>SUM(C35-B35)</f>
        <v>-27943</v>
      </c>
      <c r="G35" s="20">
        <f>SUM(E35-D35)</f>
        <v>29927</v>
      </c>
      <c r="H35" s="21">
        <f>SUM(F35:G35)</f>
        <v>1984</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9" t="s">
        <v>18</v>
      </c>
      <c r="C37" s="79"/>
      <c r="D37" s="79"/>
      <c r="E37" s="79"/>
      <c r="F37" s="79"/>
      <c r="G37" s="79"/>
      <c r="H37" s="79"/>
      <c r="J37" s="80" t="s">
        <v>18</v>
      </c>
      <c r="K37" s="80"/>
      <c r="L37" s="80"/>
      <c r="M37" s="80"/>
      <c r="N37" s="80"/>
      <c r="O37" s="80"/>
      <c r="P37" s="80"/>
      <c r="Q37" s="80"/>
      <c r="R37" s="80"/>
      <c r="S37" s="80"/>
      <c r="T37" s="80"/>
      <c r="U37" s="80"/>
      <c r="W37" s="81" t="str">
        <f>J37</f>
        <v>Setembro</v>
      </c>
      <c r="X37" s="81"/>
      <c r="Y37" s="81"/>
      <c r="Z37" s="81"/>
      <c r="AA37" s="81"/>
      <c r="AB37" s="81"/>
      <c r="AC37" s="81"/>
      <c r="AE37" s="82" t="str">
        <f>W37</f>
        <v>Setembro</v>
      </c>
      <c r="AF37" s="82"/>
      <c r="AG37" s="82"/>
      <c r="AH37" s="82"/>
      <c r="AI37" s="82"/>
      <c r="AJ37" s="82"/>
      <c r="AK37" s="82"/>
    </row>
    <row r="38" spans="1:37"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3"/>
      <c r="B39" s="26">
        <v>29927</v>
      </c>
      <c r="C39" s="27"/>
      <c r="D39" s="27"/>
      <c r="E39" s="27">
        <v>32016</v>
      </c>
      <c r="F39" s="27">
        <f>SUM(C39-B39)</f>
        <v>-29927</v>
      </c>
      <c r="G39" s="20">
        <f>SUM(E39-D39)</f>
        <v>32016</v>
      </c>
      <c r="H39" s="21">
        <f>SUM(F39:G39)</f>
        <v>2089</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9" t="s">
        <v>19</v>
      </c>
      <c r="C41" s="79"/>
      <c r="D41" s="79"/>
      <c r="E41" s="79"/>
      <c r="F41" s="79"/>
      <c r="G41" s="79"/>
      <c r="H41" s="79"/>
      <c r="J41" s="80" t="s">
        <v>19</v>
      </c>
      <c r="K41" s="80"/>
      <c r="L41" s="80"/>
      <c r="M41" s="80"/>
      <c r="N41" s="80"/>
      <c r="O41" s="80"/>
      <c r="P41" s="80"/>
      <c r="Q41" s="80"/>
      <c r="R41" s="80"/>
      <c r="S41" s="80"/>
      <c r="T41" s="80"/>
      <c r="U41" s="80"/>
      <c r="W41" s="81" t="str">
        <f>J41</f>
        <v>Outubro</v>
      </c>
      <c r="X41" s="81"/>
      <c r="Y41" s="81"/>
      <c r="Z41" s="81"/>
      <c r="AA41" s="81"/>
      <c r="AB41" s="81"/>
      <c r="AC41" s="81"/>
      <c r="AE41" s="82" t="str">
        <f>W41</f>
        <v>Outubro</v>
      </c>
      <c r="AF41" s="82"/>
      <c r="AG41" s="82"/>
      <c r="AH41" s="82"/>
      <c r="AI41" s="82"/>
      <c r="AJ41" s="82"/>
      <c r="AK41" s="82"/>
    </row>
    <row r="42" spans="1:37"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3"/>
      <c r="B43" s="26">
        <v>32016</v>
      </c>
      <c r="C43" s="27"/>
      <c r="D43" s="27"/>
      <c r="E43" s="27">
        <v>33730</v>
      </c>
      <c r="F43" s="27">
        <f>SUM(C43-B43)</f>
        <v>-32016</v>
      </c>
      <c r="G43" s="20">
        <f>SUM(E43-D43)</f>
        <v>33730</v>
      </c>
      <c r="H43" s="21">
        <f>SUM(F43:G43)</f>
        <v>1714</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9" t="s">
        <v>20</v>
      </c>
      <c r="C45" s="79"/>
      <c r="D45" s="79"/>
      <c r="E45" s="79"/>
      <c r="F45" s="79"/>
      <c r="G45" s="79"/>
      <c r="H45" s="79"/>
      <c r="J45" s="80" t="s">
        <v>20</v>
      </c>
      <c r="K45" s="80"/>
      <c r="L45" s="80"/>
      <c r="M45" s="80"/>
      <c r="N45" s="80"/>
      <c r="O45" s="80"/>
      <c r="P45" s="80"/>
      <c r="Q45" s="80"/>
      <c r="R45" s="80"/>
      <c r="S45" s="80"/>
      <c r="T45" s="80"/>
      <c r="U45" s="80"/>
      <c r="W45" s="81" t="str">
        <f>J45</f>
        <v>Novembro</v>
      </c>
      <c r="X45" s="81"/>
      <c r="Y45" s="81"/>
      <c r="Z45" s="81"/>
      <c r="AA45" s="81"/>
      <c r="AB45" s="81"/>
      <c r="AC45" s="81"/>
      <c r="AE45" s="82" t="str">
        <f>W45</f>
        <v>Novembro</v>
      </c>
      <c r="AF45" s="82"/>
      <c r="AG45" s="82"/>
      <c r="AH45" s="82"/>
      <c r="AI45" s="82"/>
      <c r="AJ45" s="82"/>
      <c r="AK45" s="82"/>
    </row>
    <row r="46" spans="1:37"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3"/>
      <c r="B47" s="26">
        <v>33730</v>
      </c>
      <c r="C47" s="27">
        <v>34447</v>
      </c>
      <c r="D47" s="27">
        <v>34447</v>
      </c>
      <c r="E47" s="27">
        <v>35268</v>
      </c>
      <c r="F47" s="27">
        <f>SUM(C47-B47)</f>
        <v>717</v>
      </c>
      <c r="G47" s="20">
        <f>SUM(E47-D47)</f>
        <v>821</v>
      </c>
      <c r="H47" s="21">
        <f>SUM(F47:G47)</f>
        <v>1538</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9" t="s">
        <v>21</v>
      </c>
      <c r="C49" s="79"/>
      <c r="D49" s="79"/>
      <c r="E49" s="79"/>
      <c r="F49" s="79"/>
      <c r="G49" s="79"/>
      <c r="H49" s="79"/>
      <c r="J49" s="80" t="s">
        <v>21</v>
      </c>
      <c r="K49" s="80"/>
      <c r="L49" s="80"/>
      <c r="M49" s="80"/>
      <c r="N49" s="80"/>
      <c r="O49" s="80"/>
      <c r="P49" s="80"/>
      <c r="Q49" s="80"/>
      <c r="R49" s="80"/>
      <c r="S49" s="80"/>
      <c r="T49" s="80"/>
      <c r="U49" s="80"/>
      <c r="W49" s="81" t="str">
        <f>J49</f>
        <v>Dezembro</v>
      </c>
      <c r="X49" s="81"/>
      <c r="Y49" s="81"/>
      <c r="Z49" s="81"/>
      <c r="AA49" s="81"/>
      <c r="AB49" s="81"/>
      <c r="AC49" s="81"/>
      <c r="AE49" s="82" t="str">
        <f>W49</f>
        <v>Dezembro</v>
      </c>
      <c r="AF49" s="82"/>
      <c r="AG49" s="82"/>
      <c r="AH49" s="82"/>
      <c r="AI49" s="82"/>
      <c r="AJ49" s="82"/>
      <c r="AK49" s="82"/>
    </row>
    <row r="50" spans="1:37"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3"/>
      <c r="B51" s="26">
        <v>35268</v>
      </c>
      <c r="C51" s="27">
        <v>36196</v>
      </c>
      <c r="D51" s="27">
        <v>36196</v>
      </c>
      <c r="E51" s="27">
        <v>36590</v>
      </c>
      <c r="F51" s="27">
        <f>SUM(C51-B51)</f>
        <v>928</v>
      </c>
      <c r="G51" s="20">
        <f>SUM(E51-D51)</f>
        <v>394</v>
      </c>
      <c r="H51" s="21">
        <f>SUM(F51:G51)</f>
        <v>1322</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row r="53" spans="1:37" ht="15.75" thickBot="1" x14ac:dyDescent="0.3">
      <c r="A53" s="19"/>
      <c r="B53" s="79" t="s">
        <v>88</v>
      </c>
      <c r="C53" s="79"/>
      <c r="D53" s="79"/>
      <c r="E53" s="79"/>
      <c r="F53" s="79"/>
      <c r="G53" s="79"/>
      <c r="H53" s="79"/>
      <c r="J53" s="80" t="s">
        <v>88</v>
      </c>
      <c r="K53" s="80"/>
      <c r="L53" s="80"/>
      <c r="M53" s="80"/>
      <c r="N53" s="80"/>
      <c r="O53" s="80"/>
      <c r="P53" s="80"/>
      <c r="Q53" s="80"/>
      <c r="R53" s="80"/>
      <c r="S53" s="80"/>
      <c r="T53" s="80"/>
      <c r="U53" s="80"/>
      <c r="W53" s="81" t="str">
        <f>J53</f>
        <v>Janeiro</v>
      </c>
      <c r="X53" s="81"/>
      <c r="Y53" s="81"/>
      <c r="Z53" s="81"/>
      <c r="AA53" s="81"/>
      <c r="AB53" s="81"/>
      <c r="AC53" s="81"/>
      <c r="AE53" s="82" t="str">
        <f>W53</f>
        <v>Janeiro</v>
      </c>
      <c r="AF53" s="82"/>
      <c r="AG53" s="82"/>
      <c r="AH53" s="82"/>
      <c r="AI53" s="82"/>
      <c r="AJ53" s="82"/>
      <c r="AK53" s="82"/>
    </row>
    <row r="54" spans="1:37" ht="15.75" thickBot="1" x14ac:dyDescent="0.3">
      <c r="A54" s="83" t="s">
        <v>5</v>
      </c>
      <c r="B54" s="34" t="s">
        <v>6</v>
      </c>
      <c r="C54" s="22" t="s">
        <v>7</v>
      </c>
      <c r="D54" s="33" t="s">
        <v>8</v>
      </c>
      <c r="E54" s="22" t="s">
        <v>9</v>
      </c>
      <c r="F54" s="24" t="s">
        <v>10</v>
      </c>
      <c r="G54" s="23" t="s">
        <v>11</v>
      </c>
      <c r="H54" s="25" t="s">
        <v>12</v>
      </c>
      <c r="J54" s="6" t="s">
        <v>4</v>
      </c>
      <c r="K54" s="9"/>
      <c r="L54" s="4"/>
      <c r="M54" s="4"/>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83"/>
      <c r="B55" s="26">
        <v>36590</v>
      </c>
      <c r="C55" s="27">
        <v>37510</v>
      </c>
      <c r="D55" s="27">
        <v>37510</v>
      </c>
      <c r="E55" s="27">
        <v>38346</v>
      </c>
      <c r="F55" s="27">
        <f>SUM(C55-B55)</f>
        <v>920</v>
      </c>
      <c r="G55" s="20">
        <f>SUM(E55-D55)</f>
        <v>836</v>
      </c>
      <c r="H55" s="21">
        <f>SUM(F55:G55)</f>
        <v>1756</v>
      </c>
      <c r="J55" s="7" t="s">
        <v>22</v>
      </c>
      <c r="K55" s="10"/>
      <c r="L55" s="11"/>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0</v>
      </c>
      <c r="AB56" s="8" t="s">
        <v>23</v>
      </c>
      <c r="AC56" s="13">
        <f>SUM(X55:AC55)</f>
        <v>0</v>
      </c>
      <c r="AJ56" s="8" t="s">
        <v>23</v>
      </c>
      <c r="AK56" s="13">
        <f>SUM(AF55:AK55)</f>
        <v>0</v>
      </c>
    </row>
    <row r="57" spans="1:37" ht="15.75" thickBot="1" x14ac:dyDescent="0.3">
      <c r="A57" s="19"/>
      <c r="B57" s="79" t="s">
        <v>3</v>
      </c>
      <c r="C57" s="79"/>
      <c r="D57" s="79"/>
      <c r="E57" s="79"/>
      <c r="F57" s="79"/>
      <c r="G57" s="79"/>
      <c r="H57" s="79"/>
      <c r="J57" s="80" t="s">
        <v>3</v>
      </c>
      <c r="K57" s="80"/>
      <c r="L57" s="80"/>
      <c r="M57" s="80"/>
      <c r="N57" s="80"/>
      <c r="O57" s="80"/>
      <c r="P57" s="80"/>
      <c r="Q57" s="80"/>
      <c r="R57" s="80"/>
      <c r="S57" s="80"/>
      <c r="T57" s="80"/>
      <c r="U57" s="80"/>
      <c r="W57" s="81" t="str">
        <f>J57</f>
        <v>Fevereiro</v>
      </c>
      <c r="X57" s="81"/>
      <c r="Y57" s="81"/>
      <c r="Z57" s="81"/>
      <c r="AA57" s="81"/>
      <c r="AB57" s="81"/>
      <c r="AC57" s="81"/>
      <c r="AE57" s="82" t="str">
        <f>W57</f>
        <v>Fevereiro</v>
      </c>
      <c r="AF57" s="82"/>
      <c r="AG57" s="82"/>
      <c r="AH57" s="82"/>
      <c r="AI57" s="82"/>
      <c r="AJ57" s="82"/>
      <c r="AK57" s="82"/>
    </row>
    <row r="58" spans="1:37" ht="15.75" thickBot="1" x14ac:dyDescent="0.3">
      <c r="A58" s="83" t="s">
        <v>5</v>
      </c>
      <c r="B58" s="34" t="s">
        <v>6</v>
      </c>
      <c r="C58" s="22" t="s">
        <v>7</v>
      </c>
      <c r="D58" s="33" t="s">
        <v>8</v>
      </c>
      <c r="E58" s="22" t="s">
        <v>9</v>
      </c>
      <c r="F58" s="24" t="s">
        <v>10</v>
      </c>
      <c r="G58" s="23" t="s">
        <v>11</v>
      </c>
      <c r="H58" s="25" t="s">
        <v>12</v>
      </c>
      <c r="J58" s="6" t="s">
        <v>4</v>
      </c>
      <c r="K58" s="9"/>
      <c r="L58" s="4"/>
      <c r="M58" s="4"/>
      <c r="N58" s="4"/>
      <c r="O58" s="4"/>
      <c r="P58" s="4"/>
      <c r="Q58" s="4"/>
      <c r="R58" s="4"/>
      <c r="S58" s="4"/>
      <c r="T58" s="4"/>
      <c r="U58" s="5"/>
      <c r="W58" s="6" t="s">
        <v>4</v>
      </c>
      <c r="X58" s="9"/>
      <c r="Y58" s="4"/>
      <c r="Z58" s="4"/>
      <c r="AA58" s="4"/>
      <c r="AB58" s="4"/>
      <c r="AC58" s="5"/>
      <c r="AE58" s="6" t="s">
        <v>4</v>
      </c>
      <c r="AF58" s="9"/>
      <c r="AG58" s="4"/>
      <c r="AH58" s="4"/>
      <c r="AI58" s="4"/>
      <c r="AJ58" s="4"/>
      <c r="AK58" s="5"/>
    </row>
    <row r="59" spans="1:37" ht="15.75" thickBot="1" x14ac:dyDescent="0.3">
      <c r="A59" s="83"/>
      <c r="B59" s="26">
        <v>38346</v>
      </c>
      <c r="C59" s="27">
        <v>39209</v>
      </c>
      <c r="D59" s="27">
        <v>39209</v>
      </c>
      <c r="E59" s="27">
        <v>40260</v>
      </c>
      <c r="F59" s="27">
        <f>SUM(C59-B59)</f>
        <v>863</v>
      </c>
      <c r="G59" s="20">
        <f>SUM(E59-D59)</f>
        <v>1051</v>
      </c>
      <c r="H59" s="21">
        <f>SUM(F59:G59)</f>
        <v>1914</v>
      </c>
      <c r="J59" s="7" t="s">
        <v>22</v>
      </c>
      <c r="K59" s="10"/>
      <c r="L59" s="11"/>
      <c r="M59" s="11"/>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0</v>
      </c>
      <c r="AB60" s="8" t="s">
        <v>23</v>
      </c>
      <c r="AC60" s="13">
        <f>SUM(X59:AC59)</f>
        <v>0</v>
      </c>
      <c r="AJ60" s="8" t="s">
        <v>23</v>
      </c>
      <c r="AK60" s="13">
        <f>SUM(AF59:AK59)</f>
        <v>0</v>
      </c>
    </row>
    <row r="61" spans="1:37" ht="15.75" thickBot="1" x14ac:dyDescent="0.3">
      <c r="A61" s="19"/>
      <c r="B61" s="79" t="s">
        <v>13</v>
      </c>
      <c r="C61" s="79"/>
      <c r="D61" s="79"/>
      <c r="E61" s="79"/>
      <c r="F61" s="79"/>
      <c r="G61" s="79"/>
      <c r="H61" s="79"/>
      <c r="J61" s="80" t="s">
        <v>13</v>
      </c>
      <c r="K61" s="80"/>
      <c r="L61" s="80"/>
      <c r="M61" s="80"/>
      <c r="N61" s="80"/>
      <c r="O61" s="80"/>
      <c r="P61" s="80"/>
      <c r="Q61" s="80"/>
      <c r="R61" s="80"/>
      <c r="S61" s="80"/>
      <c r="T61" s="80"/>
      <c r="U61" s="80"/>
      <c r="W61" s="81" t="str">
        <f>J61</f>
        <v>Março</v>
      </c>
      <c r="X61" s="81"/>
      <c r="Y61" s="81"/>
      <c r="Z61" s="81"/>
      <c r="AA61" s="81"/>
      <c r="AB61" s="81"/>
      <c r="AC61" s="81"/>
      <c r="AE61" s="82" t="str">
        <f>W61</f>
        <v>Março</v>
      </c>
      <c r="AF61" s="82"/>
      <c r="AG61" s="82"/>
      <c r="AH61" s="82"/>
      <c r="AI61" s="82"/>
      <c r="AJ61" s="82"/>
      <c r="AK61" s="82"/>
    </row>
    <row r="62" spans="1:37" ht="15.75" thickBot="1" x14ac:dyDescent="0.3">
      <c r="A62" s="83" t="s">
        <v>5</v>
      </c>
      <c r="B62" s="34" t="s">
        <v>6</v>
      </c>
      <c r="C62" s="22" t="s">
        <v>7</v>
      </c>
      <c r="D62" s="33" t="s">
        <v>8</v>
      </c>
      <c r="E62" s="22" t="s">
        <v>9</v>
      </c>
      <c r="F62" s="24" t="s">
        <v>10</v>
      </c>
      <c r="G62" s="23" t="s">
        <v>11</v>
      </c>
      <c r="H62" s="25" t="s">
        <v>12</v>
      </c>
      <c r="J62" s="6" t="s">
        <v>4</v>
      </c>
      <c r="K62" s="9"/>
      <c r="L62" s="66"/>
      <c r="M62" s="66"/>
      <c r="N62" s="66"/>
      <c r="O62" s="4"/>
      <c r="P62" s="4"/>
      <c r="Q62" s="4"/>
      <c r="R62" s="4"/>
      <c r="S62" s="4"/>
      <c r="T62" s="4"/>
      <c r="U62" s="5"/>
      <c r="W62" s="6" t="s">
        <v>4</v>
      </c>
      <c r="X62" s="9"/>
      <c r="Y62" s="4"/>
      <c r="Z62" s="4"/>
      <c r="AA62" s="4"/>
      <c r="AB62" s="4"/>
      <c r="AC62" s="5"/>
      <c r="AE62" s="6" t="s">
        <v>4</v>
      </c>
      <c r="AF62" s="9"/>
      <c r="AG62" s="4"/>
      <c r="AH62" s="4"/>
      <c r="AI62" s="4"/>
      <c r="AJ62" s="4"/>
      <c r="AK62" s="5"/>
    </row>
    <row r="63" spans="1:37" ht="15.75" thickBot="1" x14ac:dyDescent="0.3">
      <c r="A63" s="83"/>
      <c r="B63" s="27">
        <v>40260</v>
      </c>
      <c r="C63" s="27">
        <v>40839</v>
      </c>
      <c r="D63" s="27">
        <v>40839</v>
      </c>
      <c r="E63" s="27">
        <v>41588</v>
      </c>
      <c r="F63" s="27">
        <f>SUM(C63-B63)</f>
        <v>579</v>
      </c>
      <c r="G63" s="20">
        <f>SUM(E63-D63)</f>
        <v>749</v>
      </c>
      <c r="H63" s="21">
        <f>SUM(F63:G63)</f>
        <v>1328</v>
      </c>
      <c r="J63" s="7" t="s">
        <v>22</v>
      </c>
      <c r="K63" s="10"/>
      <c r="L63" s="11"/>
      <c r="M63" s="11"/>
      <c r="N63" s="11"/>
      <c r="O63" s="11"/>
      <c r="P63" s="11"/>
      <c r="Q63" s="11"/>
      <c r="R63" s="11"/>
      <c r="S63" s="11"/>
      <c r="T63" s="11"/>
      <c r="U63" s="12"/>
      <c r="W63" s="7" t="s">
        <v>22</v>
      </c>
      <c r="X63" s="10"/>
      <c r="Y63" s="11"/>
      <c r="Z63" s="11"/>
      <c r="AA63" s="11"/>
      <c r="AB63" s="11"/>
      <c r="AC63" s="12"/>
      <c r="AE63" s="7" t="s">
        <v>22</v>
      </c>
      <c r="AF63" s="10"/>
      <c r="AG63" s="11"/>
      <c r="AH63" s="11"/>
      <c r="AI63" s="11"/>
      <c r="AJ63" s="11"/>
      <c r="AK63" s="12"/>
    </row>
    <row r="64" spans="1:37" x14ac:dyDescent="0.25">
      <c r="J64" s="8"/>
      <c r="T64" s="8" t="s">
        <v>23</v>
      </c>
      <c r="U64" s="13">
        <f>SUM(K63:U63)</f>
        <v>0</v>
      </c>
      <c r="AB64" s="8" t="s">
        <v>23</v>
      </c>
      <c r="AC64" s="13">
        <f>SUM(X63:AC63)</f>
        <v>0</v>
      </c>
      <c r="AJ64" s="8" t="s">
        <v>23</v>
      </c>
      <c r="AK64" s="13">
        <f>SUM(AF63:AK63)</f>
        <v>0</v>
      </c>
    </row>
    <row r="65" spans="1:37" ht="15.75" thickBot="1" x14ac:dyDescent="0.3">
      <c r="A65" s="19"/>
      <c r="B65" s="79" t="s">
        <v>14</v>
      </c>
      <c r="C65" s="79"/>
      <c r="D65" s="79"/>
      <c r="E65" s="79"/>
      <c r="F65" s="79"/>
      <c r="G65" s="79"/>
      <c r="H65" s="79"/>
      <c r="J65" s="80" t="s">
        <v>14</v>
      </c>
      <c r="K65" s="80"/>
      <c r="L65" s="80"/>
      <c r="M65" s="80"/>
      <c r="N65" s="80"/>
      <c r="O65" s="80"/>
      <c r="P65" s="80"/>
      <c r="Q65" s="80"/>
      <c r="R65" s="80"/>
      <c r="S65" s="80"/>
      <c r="T65" s="80"/>
      <c r="U65" s="80"/>
      <c r="W65" s="81" t="str">
        <f>J65</f>
        <v>Abril</v>
      </c>
      <c r="X65" s="81"/>
      <c r="Y65" s="81"/>
      <c r="Z65" s="81"/>
      <c r="AA65" s="81"/>
      <c r="AB65" s="81"/>
      <c r="AC65" s="81"/>
      <c r="AE65" s="82" t="str">
        <f>W65</f>
        <v>Abril</v>
      </c>
      <c r="AF65" s="82"/>
      <c r="AG65" s="82"/>
      <c r="AH65" s="82"/>
      <c r="AI65" s="82"/>
      <c r="AJ65" s="82"/>
      <c r="AK65" s="82"/>
    </row>
    <row r="66" spans="1:37" ht="15.75" thickBot="1" x14ac:dyDescent="0.3">
      <c r="A66" s="83"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83"/>
      <c r="B67" s="27">
        <v>41588</v>
      </c>
      <c r="C67" s="27">
        <v>42619</v>
      </c>
      <c r="D67" s="27">
        <v>42619</v>
      </c>
      <c r="E67" s="27">
        <v>43357</v>
      </c>
      <c r="F67" s="27">
        <f>SUM(C67-B67)</f>
        <v>1031</v>
      </c>
      <c r="G67" s="20">
        <f>SUM(E67-D67)</f>
        <v>738</v>
      </c>
      <c r="H67" s="21">
        <f>SUM(F67:G67)</f>
        <v>1769</v>
      </c>
      <c r="J67" s="7" t="s">
        <v>22</v>
      </c>
      <c r="K67" s="30"/>
      <c r="L67" s="31"/>
      <c r="M67" s="31"/>
      <c r="N67" s="31"/>
      <c r="O67" s="31"/>
      <c r="P67" s="31"/>
      <c r="Q67" s="31"/>
      <c r="R67" s="31"/>
      <c r="S67" s="31"/>
      <c r="T67" s="31"/>
      <c r="U67" s="3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19"/>
      <c r="B69" s="79" t="s">
        <v>15</v>
      </c>
      <c r="C69" s="79"/>
      <c r="D69" s="79"/>
      <c r="E69" s="79"/>
      <c r="F69" s="79"/>
      <c r="G69" s="79"/>
      <c r="H69" s="79"/>
      <c r="J69" s="80" t="s">
        <v>15</v>
      </c>
      <c r="K69" s="80"/>
      <c r="L69" s="80"/>
      <c r="M69" s="80"/>
      <c r="N69" s="80"/>
      <c r="O69" s="80"/>
      <c r="P69" s="80"/>
      <c r="Q69" s="80"/>
      <c r="R69" s="80"/>
      <c r="S69" s="80"/>
      <c r="T69" s="80"/>
      <c r="U69" s="80"/>
      <c r="W69" s="81" t="str">
        <f>J69</f>
        <v>Maio</v>
      </c>
      <c r="X69" s="81"/>
      <c r="Y69" s="81"/>
      <c r="Z69" s="81"/>
      <c r="AA69" s="81"/>
      <c r="AB69" s="81"/>
      <c r="AC69" s="81"/>
      <c r="AE69" s="82" t="str">
        <f>W69</f>
        <v>Maio</v>
      </c>
      <c r="AF69" s="82"/>
      <c r="AG69" s="82"/>
      <c r="AH69" s="82"/>
      <c r="AI69" s="82"/>
      <c r="AJ69" s="82"/>
      <c r="AK69" s="82"/>
    </row>
    <row r="70" spans="1:37" ht="15.75" thickBot="1" x14ac:dyDescent="0.3">
      <c r="A70" s="83"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83"/>
      <c r="B71" s="27">
        <v>43357</v>
      </c>
      <c r="C71" s="27">
        <v>43941</v>
      </c>
      <c r="D71" s="27">
        <v>43941</v>
      </c>
      <c r="E71" s="27">
        <v>44784</v>
      </c>
      <c r="F71" s="27">
        <f>SUM(C71-B71)</f>
        <v>584</v>
      </c>
      <c r="G71" s="20">
        <f>SUM(E71-D71)</f>
        <v>843</v>
      </c>
      <c r="H71" s="21">
        <f>SUM(F71:G71)</f>
        <v>1427</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9" t="s">
        <v>24</v>
      </c>
      <c r="C73" s="79"/>
      <c r="D73" s="79"/>
      <c r="E73" s="79"/>
      <c r="F73" s="79"/>
      <c r="G73" s="79"/>
      <c r="H73" s="79"/>
      <c r="J73" s="80" t="s">
        <v>24</v>
      </c>
      <c r="K73" s="80"/>
      <c r="L73" s="80"/>
      <c r="M73" s="80"/>
      <c r="N73" s="80"/>
      <c r="O73" s="80"/>
      <c r="P73" s="80"/>
      <c r="Q73" s="80"/>
      <c r="R73" s="80"/>
      <c r="S73" s="80"/>
      <c r="T73" s="80"/>
      <c r="U73" s="80"/>
      <c r="W73" s="81" t="str">
        <f>J73</f>
        <v>Junho</v>
      </c>
      <c r="X73" s="81"/>
      <c r="Y73" s="81"/>
      <c r="Z73" s="81"/>
      <c r="AA73" s="81"/>
      <c r="AB73" s="81"/>
      <c r="AC73" s="81"/>
      <c r="AE73" s="82" t="str">
        <f>W73</f>
        <v>Junho</v>
      </c>
      <c r="AF73" s="82"/>
      <c r="AG73" s="82"/>
      <c r="AH73" s="82"/>
      <c r="AI73" s="82"/>
      <c r="AJ73" s="82"/>
      <c r="AK73" s="82"/>
    </row>
    <row r="74" spans="1:37" ht="15.75" thickBot="1" x14ac:dyDescent="0.3">
      <c r="A74" s="83"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83"/>
      <c r="B75" s="27">
        <v>44784</v>
      </c>
      <c r="C75" s="27">
        <v>45719</v>
      </c>
      <c r="D75" s="27">
        <v>45719</v>
      </c>
      <c r="E75" s="27">
        <v>46410</v>
      </c>
      <c r="F75" s="27">
        <f>SUM(C75-B75)</f>
        <v>935</v>
      </c>
      <c r="G75" s="20">
        <f>SUM(E75-D75)</f>
        <v>691</v>
      </c>
      <c r="H75" s="21">
        <f>SUM(F75:G75)</f>
        <v>1626</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9" t="s">
        <v>16</v>
      </c>
      <c r="C77" s="79"/>
      <c r="D77" s="79"/>
      <c r="E77" s="79"/>
      <c r="F77" s="79"/>
      <c r="G77" s="79"/>
      <c r="H77" s="79"/>
      <c r="J77" s="80" t="s">
        <v>16</v>
      </c>
      <c r="K77" s="80"/>
      <c r="L77" s="80"/>
      <c r="M77" s="80"/>
      <c r="N77" s="80"/>
      <c r="O77" s="80"/>
      <c r="P77" s="80"/>
      <c r="Q77" s="80"/>
      <c r="R77" s="80"/>
      <c r="S77" s="80"/>
      <c r="T77" s="80"/>
      <c r="U77" s="80"/>
      <c r="W77" s="81" t="str">
        <f>J77</f>
        <v>Julho</v>
      </c>
      <c r="X77" s="81"/>
      <c r="Y77" s="81"/>
      <c r="Z77" s="81"/>
      <c r="AA77" s="81"/>
      <c r="AB77" s="81"/>
      <c r="AC77" s="81"/>
      <c r="AE77" s="82" t="str">
        <f>W77</f>
        <v>Julho</v>
      </c>
      <c r="AF77" s="82"/>
      <c r="AG77" s="82"/>
      <c r="AH77" s="82"/>
      <c r="AI77" s="82"/>
      <c r="AJ77" s="82"/>
      <c r="AK77" s="82"/>
    </row>
    <row r="78" spans="1:37" ht="15.75" thickBot="1" x14ac:dyDescent="0.3">
      <c r="A78" s="83"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83"/>
      <c r="B79" s="27">
        <v>46410</v>
      </c>
      <c r="C79" s="27">
        <v>46971</v>
      </c>
      <c r="D79" s="27">
        <v>46971</v>
      </c>
      <c r="E79" s="27">
        <v>47950</v>
      </c>
      <c r="F79" s="27">
        <f>SUM(C79-B79)</f>
        <v>561</v>
      </c>
      <c r="G79" s="20">
        <f>SUM(E79-D79)</f>
        <v>979</v>
      </c>
      <c r="H79" s="21">
        <f>SUM(F79:G79)</f>
        <v>1540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9" t="s">
        <v>17</v>
      </c>
      <c r="C81" s="79"/>
      <c r="D81" s="79"/>
      <c r="E81" s="79"/>
      <c r="F81" s="79"/>
      <c r="G81" s="79"/>
      <c r="H81" s="79"/>
      <c r="J81" s="80" t="s">
        <v>17</v>
      </c>
      <c r="K81" s="80"/>
      <c r="L81" s="80"/>
      <c r="M81" s="80"/>
      <c r="N81" s="80"/>
      <c r="O81" s="80"/>
      <c r="P81" s="80"/>
      <c r="Q81" s="80"/>
      <c r="R81" s="80"/>
      <c r="S81" s="80"/>
      <c r="T81" s="80"/>
      <c r="U81" s="80"/>
      <c r="W81" s="81" t="str">
        <f>J81</f>
        <v>Agosto</v>
      </c>
      <c r="X81" s="81"/>
      <c r="Y81" s="81"/>
      <c r="Z81" s="81"/>
      <c r="AA81" s="81"/>
      <c r="AB81" s="81"/>
      <c r="AC81" s="81"/>
      <c r="AE81" s="82" t="str">
        <f>W81</f>
        <v>Agosto</v>
      </c>
      <c r="AF81" s="82"/>
      <c r="AG81" s="82"/>
      <c r="AH81" s="82"/>
      <c r="AI81" s="82"/>
      <c r="AJ81" s="82"/>
      <c r="AK81" s="82"/>
    </row>
    <row r="82" spans="1:37" ht="15.75" thickBot="1" x14ac:dyDescent="0.3">
      <c r="A82" s="83"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83"/>
      <c r="B83" s="27">
        <v>47950</v>
      </c>
      <c r="C83" s="27">
        <v>48926</v>
      </c>
      <c r="D83" s="27">
        <v>48926</v>
      </c>
      <c r="E83" s="27">
        <v>50186</v>
      </c>
      <c r="F83" s="27">
        <f>SUM(C83-B83)</f>
        <v>976</v>
      </c>
      <c r="G83" s="20">
        <f>SUM(E83-D83)</f>
        <v>1260</v>
      </c>
      <c r="H83" s="21">
        <f>SUM(F83:G83)</f>
        <v>2236</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row r="85" spans="1:37" ht="15.75" thickBot="1" x14ac:dyDescent="0.3">
      <c r="A85" s="19"/>
      <c r="B85" s="79" t="s">
        <v>18</v>
      </c>
      <c r="C85" s="79"/>
      <c r="D85" s="79"/>
      <c r="E85" s="79"/>
      <c r="F85" s="79"/>
      <c r="G85" s="79"/>
      <c r="H85" s="79"/>
      <c r="J85" s="80" t="s">
        <v>18</v>
      </c>
      <c r="K85" s="80"/>
      <c r="L85" s="80"/>
      <c r="M85" s="80"/>
      <c r="N85" s="80"/>
      <c r="O85" s="80"/>
      <c r="P85" s="80"/>
      <c r="Q85" s="80"/>
      <c r="R85" s="80"/>
      <c r="S85" s="80"/>
      <c r="T85" s="80"/>
      <c r="U85" s="80"/>
      <c r="W85" s="81" t="str">
        <f>J85</f>
        <v>Setembro</v>
      </c>
      <c r="X85" s="81"/>
      <c r="Y85" s="81"/>
      <c r="Z85" s="81"/>
      <c r="AA85" s="81"/>
      <c r="AB85" s="81"/>
      <c r="AC85" s="81"/>
      <c r="AE85" s="82" t="str">
        <f>W85</f>
        <v>Setembro</v>
      </c>
      <c r="AF85" s="82"/>
      <c r="AG85" s="82"/>
      <c r="AH85" s="82"/>
      <c r="AI85" s="82"/>
      <c r="AJ85" s="82"/>
      <c r="AK85" s="82"/>
    </row>
    <row r="86" spans="1:37" ht="15.75" thickBot="1" x14ac:dyDescent="0.3">
      <c r="A86" s="83"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W86" s="6" t="s">
        <v>4</v>
      </c>
      <c r="X86" s="9"/>
      <c r="Y86" s="4"/>
      <c r="Z86" s="4"/>
      <c r="AA86" s="4"/>
      <c r="AB86" s="4"/>
      <c r="AC86" s="5"/>
      <c r="AE86" s="6" t="s">
        <v>4</v>
      </c>
      <c r="AF86" s="9"/>
      <c r="AG86" s="4"/>
      <c r="AH86" s="4"/>
      <c r="AI86" s="4"/>
      <c r="AJ86" s="4"/>
      <c r="AK86" s="5"/>
    </row>
    <row r="87" spans="1:37" ht="15.75" thickBot="1" x14ac:dyDescent="0.3">
      <c r="A87" s="83"/>
      <c r="B87" s="27">
        <v>50186</v>
      </c>
      <c r="C87" s="27">
        <v>50878</v>
      </c>
      <c r="D87" s="27">
        <v>50878</v>
      </c>
      <c r="E87" s="27">
        <v>51369</v>
      </c>
      <c r="F87" s="27">
        <f>SUM(C87-B87)</f>
        <v>692</v>
      </c>
      <c r="G87" s="20">
        <f>SUM(E87-D87)</f>
        <v>491</v>
      </c>
      <c r="H87" s="21">
        <f>SUM(F87:G87)</f>
        <v>1183</v>
      </c>
      <c r="J87" s="7" t="s">
        <v>22</v>
      </c>
      <c r="K87" s="10"/>
      <c r="L87" s="11"/>
      <c r="M87" s="11"/>
      <c r="N87" s="11"/>
      <c r="O87" s="11"/>
      <c r="P87" s="11"/>
      <c r="Q87" s="11"/>
      <c r="R87" s="11"/>
      <c r="S87" s="11"/>
      <c r="T87" s="11"/>
      <c r="U87" s="12"/>
      <c r="W87" s="7" t="s">
        <v>22</v>
      </c>
      <c r="X87" s="10"/>
      <c r="Y87" s="11"/>
      <c r="Z87" s="11"/>
      <c r="AA87" s="11"/>
      <c r="AB87" s="11"/>
      <c r="AC87" s="12"/>
      <c r="AE87" s="7" t="s">
        <v>22</v>
      </c>
      <c r="AF87" s="10"/>
      <c r="AG87" s="11"/>
      <c r="AH87" s="11"/>
      <c r="AI87" s="11"/>
      <c r="AJ87" s="11"/>
      <c r="AK87" s="12"/>
    </row>
    <row r="88" spans="1:37" x14ac:dyDescent="0.25">
      <c r="J88" s="8"/>
      <c r="T88" s="8" t="s">
        <v>23</v>
      </c>
      <c r="U88" s="13">
        <f>SUM(K87:U87)</f>
        <v>0</v>
      </c>
      <c r="AB88" s="8" t="s">
        <v>23</v>
      </c>
      <c r="AC88" s="13">
        <f>SUM(X87:AC87)</f>
        <v>0</v>
      </c>
      <c r="AJ88" s="8" t="s">
        <v>23</v>
      </c>
      <c r="AK88" s="13">
        <f>SUM(AF87:AK87)</f>
        <v>0</v>
      </c>
    </row>
    <row r="89" spans="1:37" ht="15.75" thickBot="1" x14ac:dyDescent="0.3">
      <c r="A89" s="19"/>
      <c r="B89" s="79" t="s">
        <v>19</v>
      </c>
      <c r="C89" s="79"/>
      <c r="D89" s="79"/>
      <c r="E89" s="79"/>
      <c r="F89" s="79"/>
      <c r="G89" s="79"/>
      <c r="H89" s="79"/>
      <c r="J89" s="80" t="s">
        <v>19</v>
      </c>
      <c r="K89" s="80"/>
      <c r="L89" s="80"/>
      <c r="M89" s="80"/>
      <c r="N89" s="80"/>
      <c r="O89" s="80"/>
      <c r="P89" s="80"/>
      <c r="Q89" s="80"/>
      <c r="R89" s="80"/>
      <c r="S89" s="80"/>
      <c r="T89" s="80"/>
      <c r="U89" s="80"/>
      <c r="W89" s="81" t="str">
        <f>J89</f>
        <v>Outubro</v>
      </c>
      <c r="X89" s="81"/>
      <c r="Y89" s="81"/>
      <c r="Z89" s="81"/>
      <c r="AA89" s="81"/>
      <c r="AB89" s="81"/>
      <c r="AC89" s="81"/>
      <c r="AE89" s="82" t="str">
        <f>W89</f>
        <v>Outubro</v>
      </c>
      <c r="AF89" s="82"/>
      <c r="AG89" s="82"/>
      <c r="AH89" s="82"/>
      <c r="AI89" s="82"/>
      <c r="AJ89" s="82"/>
      <c r="AK89" s="82"/>
    </row>
    <row r="90" spans="1:37" ht="15.75" thickBot="1" x14ac:dyDescent="0.3">
      <c r="A90" s="83" t="s">
        <v>5</v>
      </c>
      <c r="B90" s="34" t="s">
        <v>6</v>
      </c>
      <c r="C90" s="22" t="s">
        <v>7</v>
      </c>
      <c r="D90" s="33" t="s">
        <v>8</v>
      </c>
      <c r="E90" s="22" t="s">
        <v>9</v>
      </c>
      <c r="F90" s="24" t="s">
        <v>10</v>
      </c>
      <c r="G90" s="23" t="s">
        <v>11</v>
      </c>
      <c r="H90" s="25" t="s">
        <v>12</v>
      </c>
      <c r="J90" s="6" t="s">
        <v>4</v>
      </c>
      <c r="K90" s="9"/>
      <c r="L90" s="4"/>
      <c r="M90" s="4"/>
      <c r="N90" s="4"/>
      <c r="O90" s="4"/>
      <c r="P90" s="4"/>
      <c r="Q90" s="4"/>
      <c r="R90" s="4"/>
      <c r="S90" s="4"/>
      <c r="T90" s="4"/>
      <c r="U90" s="5"/>
      <c r="W90" s="6" t="s">
        <v>4</v>
      </c>
      <c r="X90" s="9"/>
      <c r="Y90" s="4"/>
      <c r="Z90" s="4"/>
      <c r="AA90" s="4"/>
      <c r="AB90" s="4"/>
      <c r="AC90" s="5"/>
      <c r="AE90" s="6" t="s">
        <v>4</v>
      </c>
      <c r="AF90" s="9"/>
      <c r="AG90" s="4"/>
      <c r="AH90" s="4"/>
      <c r="AI90" s="4"/>
      <c r="AJ90" s="4"/>
      <c r="AK90" s="5"/>
    </row>
    <row r="91" spans="1:37" ht="15.75" thickBot="1" x14ac:dyDescent="0.3">
      <c r="A91" s="83"/>
      <c r="B91" s="26"/>
      <c r="C91" s="27"/>
      <c r="D91" s="27"/>
      <c r="E91" s="27"/>
      <c r="F91" s="27">
        <f>SUM(C91-B91)</f>
        <v>0</v>
      </c>
      <c r="G91" s="20">
        <f>SUM(E91-D91)</f>
        <v>0</v>
      </c>
      <c r="H91" s="21">
        <f>SUM(F91:G91)</f>
        <v>0</v>
      </c>
      <c r="J91" s="7" t="s">
        <v>22</v>
      </c>
      <c r="K91" s="10"/>
      <c r="L91" s="11"/>
      <c r="M91" s="11"/>
      <c r="N91" s="11"/>
      <c r="O91" s="11"/>
      <c r="P91" s="11"/>
      <c r="Q91" s="11"/>
      <c r="R91" s="11"/>
      <c r="S91" s="11"/>
      <c r="T91" s="11"/>
      <c r="U91" s="12"/>
      <c r="W91" s="7" t="s">
        <v>22</v>
      </c>
      <c r="X91" s="10"/>
      <c r="Y91" s="11"/>
      <c r="Z91" s="11"/>
      <c r="AA91" s="11"/>
      <c r="AB91" s="11"/>
      <c r="AC91" s="12"/>
      <c r="AE91" s="7" t="s">
        <v>22</v>
      </c>
      <c r="AF91" s="10"/>
      <c r="AG91" s="11"/>
      <c r="AH91" s="11"/>
      <c r="AI91" s="11"/>
      <c r="AJ91" s="11"/>
      <c r="AK91" s="12"/>
    </row>
    <row r="92" spans="1:37" x14ac:dyDescent="0.25">
      <c r="J92" s="8"/>
      <c r="T92" s="8" t="s">
        <v>23</v>
      </c>
      <c r="U92" s="13">
        <f>SUM(K91:U91)</f>
        <v>0</v>
      </c>
      <c r="AB92" s="8" t="s">
        <v>23</v>
      </c>
      <c r="AC92" s="13">
        <f>SUM(X91:AC91)</f>
        <v>0</v>
      </c>
      <c r="AJ92" s="8" t="s">
        <v>23</v>
      </c>
      <c r="AK92" s="13">
        <f>SUM(AF91:AK91)</f>
        <v>0</v>
      </c>
    </row>
    <row r="93" spans="1:37" ht="15.75" thickBot="1" x14ac:dyDescent="0.3">
      <c r="A93" s="19"/>
      <c r="B93" s="79" t="s">
        <v>20</v>
      </c>
      <c r="C93" s="79"/>
      <c r="D93" s="79"/>
      <c r="E93" s="79"/>
      <c r="F93" s="79"/>
      <c r="G93" s="79"/>
      <c r="H93" s="79"/>
      <c r="J93" s="80" t="s">
        <v>20</v>
      </c>
      <c r="K93" s="80"/>
      <c r="L93" s="80"/>
      <c r="M93" s="80"/>
      <c r="N93" s="80"/>
      <c r="O93" s="80"/>
      <c r="P93" s="80"/>
      <c r="Q93" s="80"/>
      <c r="R93" s="80"/>
      <c r="S93" s="80"/>
      <c r="T93" s="80"/>
      <c r="U93" s="80"/>
      <c r="W93" s="81" t="str">
        <f>J93</f>
        <v>Novembro</v>
      </c>
      <c r="X93" s="81"/>
      <c r="Y93" s="81"/>
      <c r="Z93" s="81"/>
      <c r="AA93" s="81"/>
      <c r="AB93" s="81"/>
      <c r="AC93" s="81"/>
      <c r="AE93" s="82" t="str">
        <f>W93</f>
        <v>Novembro</v>
      </c>
      <c r="AF93" s="82"/>
      <c r="AG93" s="82"/>
      <c r="AH93" s="82"/>
      <c r="AI93" s="82"/>
      <c r="AJ93" s="82"/>
      <c r="AK93" s="82"/>
    </row>
    <row r="94" spans="1:37" ht="15.75" thickBot="1" x14ac:dyDescent="0.3">
      <c r="A94" s="83" t="s">
        <v>5</v>
      </c>
      <c r="B94" s="34" t="s">
        <v>6</v>
      </c>
      <c r="C94" s="22" t="s">
        <v>7</v>
      </c>
      <c r="D94" s="33" t="s">
        <v>8</v>
      </c>
      <c r="E94" s="22" t="s">
        <v>9</v>
      </c>
      <c r="F94" s="24" t="s">
        <v>10</v>
      </c>
      <c r="G94" s="23" t="s">
        <v>11</v>
      </c>
      <c r="H94" s="25" t="s">
        <v>12</v>
      </c>
      <c r="J94" s="6" t="s">
        <v>4</v>
      </c>
      <c r="K94" s="9"/>
      <c r="L94" s="4"/>
      <c r="M94" s="4"/>
      <c r="N94" s="4"/>
      <c r="O94" s="4"/>
      <c r="P94" s="4"/>
      <c r="Q94" s="4"/>
      <c r="R94" s="4"/>
      <c r="S94" s="4"/>
      <c r="T94" s="4"/>
      <c r="U94" s="5"/>
      <c r="W94" s="6" t="s">
        <v>4</v>
      </c>
      <c r="X94" s="9"/>
      <c r="Y94" s="4"/>
      <c r="Z94" s="4"/>
      <c r="AA94" s="4"/>
      <c r="AB94" s="4"/>
      <c r="AC94" s="5"/>
      <c r="AE94" s="6" t="s">
        <v>4</v>
      </c>
      <c r="AF94" s="9"/>
      <c r="AG94" s="4"/>
      <c r="AH94" s="4"/>
      <c r="AI94" s="4"/>
      <c r="AJ94" s="4"/>
      <c r="AK94" s="5"/>
    </row>
    <row r="95" spans="1:37" ht="15.75" thickBot="1" x14ac:dyDescent="0.3">
      <c r="A95" s="83"/>
      <c r="B95" s="26"/>
      <c r="C95" s="27"/>
      <c r="D95" s="27"/>
      <c r="E95" s="27"/>
      <c r="F95" s="27">
        <f>SUM(C95-B95)</f>
        <v>0</v>
      </c>
      <c r="G95" s="20">
        <f>SUM(E95-D95)</f>
        <v>0</v>
      </c>
      <c r="H95" s="21">
        <f>SUM(F95:G95)</f>
        <v>0</v>
      </c>
      <c r="J95" s="7" t="s">
        <v>22</v>
      </c>
      <c r="K95" s="10"/>
      <c r="L95" s="11"/>
      <c r="M95" s="11"/>
      <c r="N95" s="11"/>
      <c r="O95" s="11"/>
      <c r="P95" s="11"/>
      <c r="Q95" s="11"/>
      <c r="R95" s="11"/>
      <c r="S95" s="11"/>
      <c r="T95" s="11"/>
      <c r="U95" s="12"/>
      <c r="W95" s="7" t="s">
        <v>22</v>
      </c>
      <c r="X95" s="10"/>
      <c r="Y95" s="11"/>
      <c r="Z95" s="11"/>
      <c r="AA95" s="11"/>
      <c r="AB95" s="11"/>
      <c r="AC95" s="12"/>
      <c r="AE95" s="7" t="s">
        <v>22</v>
      </c>
      <c r="AF95" s="10"/>
      <c r="AG95" s="11"/>
      <c r="AH95" s="11"/>
      <c r="AI95" s="11"/>
      <c r="AJ95" s="11"/>
      <c r="AK95" s="12"/>
    </row>
    <row r="96" spans="1:37" x14ac:dyDescent="0.25">
      <c r="J96" s="8"/>
      <c r="T96" s="8" t="s">
        <v>23</v>
      </c>
      <c r="U96" s="13">
        <f>SUM(K95:U95)</f>
        <v>0</v>
      </c>
      <c r="AB96" s="8" t="s">
        <v>23</v>
      </c>
      <c r="AC96" s="13">
        <f>SUM(X95:AC95)</f>
        <v>0</v>
      </c>
      <c r="AJ96" s="8" t="s">
        <v>23</v>
      </c>
      <c r="AK96" s="13">
        <f>SUM(AF95:AK95)</f>
        <v>0</v>
      </c>
    </row>
    <row r="97" spans="1:37" ht="15.75" thickBot="1" x14ac:dyDescent="0.3">
      <c r="A97" s="19"/>
      <c r="B97" s="79" t="s">
        <v>21</v>
      </c>
      <c r="C97" s="79"/>
      <c r="D97" s="79"/>
      <c r="E97" s="79"/>
      <c r="F97" s="79"/>
      <c r="G97" s="79"/>
      <c r="H97" s="79"/>
      <c r="J97" s="80" t="s">
        <v>21</v>
      </c>
      <c r="K97" s="80"/>
      <c r="L97" s="80"/>
      <c r="M97" s="80"/>
      <c r="N97" s="80"/>
      <c r="O97" s="80"/>
      <c r="P97" s="80"/>
      <c r="Q97" s="80"/>
      <c r="R97" s="80"/>
      <c r="S97" s="80"/>
      <c r="T97" s="80"/>
      <c r="U97" s="80"/>
      <c r="W97" s="81" t="str">
        <f>J97</f>
        <v>Dezembro</v>
      </c>
      <c r="X97" s="81"/>
      <c r="Y97" s="81"/>
      <c r="Z97" s="81"/>
      <c r="AA97" s="81"/>
      <c r="AB97" s="81"/>
      <c r="AC97" s="81"/>
      <c r="AE97" s="82" t="str">
        <f>W97</f>
        <v>Dezembro</v>
      </c>
      <c r="AF97" s="82"/>
      <c r="AG97" s="82"/>
      <c r="AH97" s="82"/>
      <c r="AI97" s="82"/>
      <c r="AJ97" s="82"/>
      <c r="AK97" s="82"/>
    </row>
    <row r="98" spans="1:37" ht="15.75" thickBot="1" x14ac:dyDescent="0.3">
      <c r="A98" s="83" t="s">
        <v>5</v>
      </c>
      <c r="B98" s="34" t="s">
        <v>6</v>
      </c>
      <c r="C98" s="22" t="s">
        <v>7</v>
      </c>
      <c r="D98" s="33" t="s">
        <v>8</v>
      </c>
      <c r="E98" s="22" t="s">
        <v>9</v>
      </c>
      <c r="F98" s="24" t="s">
        <v>10</v>
      </c>
      <c r="G98" s="23" t="s">
        <v>11</v>
      </c>
      <c r="H98" s="25" t="s">
        <v>12</v>
      </c>
      <c r="J98" s="6" t="s">
        <v>4</v>
      </c>
      <c r="K98" s="9"/>
      <c r="L98" s="4"/>
      <c r="M98" s="4"/>
      <c r="N98" s="4"/>
      <c r="O98" s="4"/>
      <c r="P98" s="4"/>
      <c r="Q98" s="4"/>
      <c r="R98" s="4"/>
      <c r="S98" s="4"/>
      <c r="T98" s="4"/>
      <c r="U98" s="5"/>
      <c r="W98" s="6" t="s">
        <v>4</v>
      </c>
      <c r="X98" s="9"/>
      <c r="Y98" s="4"/>
      <c r="Z98" s="4"/>
      <c r="AA98" s="4"/>
      <c r="AB98" s="4"/>
      <c r="AC98" s="5"/>
      <c r="AE98" s="6" t="s">
        <v>4</v>
      </c>
      <c r="AF98" s="9"/>
      <c r="AG98" s="4"/>
      <c r="AH98" s="4"/>
      <c r="AI98" s="4"/>
      <c r="AJ98" s="4"/>
      <c r="AK98" s="5"/>
    </row>
    <row r="99" spans="1:37" ht="15.75" thickBot="1" x14ac:dyDescent="0.3">
      <c r="A99" s="83"/>
      <c r="B99" s="26"/>
      <c r="C99" s="27"/>
      <c r="D99" s="27"/>
      <c r="E99" s="27"/>
      <c r="F99" s="27">
        <f>SUM(C99-B99)</f>
        <v>0</v>
      </c>
      <c r="G99" s="20">
        <f>SUM(E99-D99)</f>
        <v>0</v>
      </c>
      <c r="H99" s="21">
        <f>SUM(F99:G99)</f>
        <v>0</v>
      </c>
      <c r="J99" s="7" t="s">
        <v>22</v>
      </c>
      <c r="K99" s="10"/>
      <c r="L99" s="11"/>
      <c r="M99" s="11"/>
      <c r="N99" s="11"/>
      <c r="O99" s="11"/>
      <c r="P99" s="11"/>
      <c r="Q99" s="11"/>
      <c r="R99" s="11"/>
      <c r="S99" s="11"/>
      <c r="T99" s="11"/>
      <c r="U99" s="12"/>
      <c r="W99" s="7" t="s">
        <v>22</v>
      </c>
      <c r="X99" s="10"/>
      <c r="Y99" s="11"/>
      <c r="Z99" s="11"/>
      <c r="AA99" s="11"/>
      <c r="AB99" s="11"/>
      <c r="AC99" s="12"/>
      <c r="AE99" s="7" t="s">
        <v>22</v>
      </c>
      <c r="AF99" s="10"/>
      <c r="AG99" s="11"/>
      <c r="AH99" s="11"/>
      <c r="AI99" s="11"/>
      <c r="AJ99" s="11"/>
      <c r="AK99" s="12"/>
    </row>
    <row r="100" spans="1:37" x14ac:dyDescent="0.25">
      <c r="J100" s="8"/>
      <c r="T100" s="8" t="s">
        <v>23</v>
      </c>
      <c r="U100" s="13">
        <f>SUM(K99:U99)</f>
        <v>0</v>
      </c>
      <c r="AB100" s="8" t="s">
        <v>23</v>
      </c>
      <c r="AC100" s="13">
        <f>SUM(X99:AC99)</f>
        <v>0</v>
      </c>
      <c r="AJ100" s="8" t="s">
        <v>23</v>
      </c>
      <c r="AK100" s="13">
        <f>SUM(AF99:AK99)</f>
        <v>0</v>
      </c>
    </row>
  </sheetData>
  <mergeCells count="124">
    <mergeCell ref="B97:H97"/>
    <mergeCell ref="J97:U97"/>
    <mergeCell ref="W97:AC97"/>
    <mergeCell ref="AE97:AK97"/>
    <mergeCell ref="A98:A99"/>
    <mergeCell ref="B93:H93"/>
    <mergeCell ref="J93:U93"/>
    <mergeCell ref="W93:AC93"/>
    <mergeCell ref="AE93:AK93"/>
    <mergeCell ref="A94:A95"/>
    <mergeCell ref="B89:H89"/>
    <mergeCell ref="J89:U89"/>
    <mergeCell ref="W89:AC89"/>
    <mergeCell ref="AE89:AK89"/>
    <mergeCell ref="A90:A91"/>
    <mergeCell ref="B85:H85"/>
    <mergeCell ref="J85:U85"/>
    <mergeCell ref="W85:AC85"/>
    <mergeCell ref="AE85:AK85"/>
    <mergeCell ref="A86:A87"/>
    <mergeCell ref="B81:H81"/>
    <mergeCell ref="J81:U81"/>
    <mergeCell ref="W81:AC81"/>
    <mergeCell ref="AE81:AK81"/>
    <mergeCell ref="A82:A83"/>
    <mergeCell ref="B77:H77"/>
    <mergeCell ref="J77:U77"/>
    <mergeCell ref="W77:AC77"/>
    <mergeCell ref="AE77:AK77"/>
    <mergeCell ref="A78:A79"/>
    <mergeCell ref="B73:H73"/>
    <mergeCell ref="J73:U73"/>
    <mergeCell ref="W73:AC73"/>
    <mergeCell ref="AE73:AK73"/>
    <mergeCell ref="A74:A75"/>
    <mergeCell ref="B69:H69"/>
    <mergeCell ref="J69:U69"/>
    <mergeCell ref="W69:AC69"/>
    <mergeCell ref="AE69:AK69"/>
    <mergeCell ref="A70:A71"/>
    <mergeCell ref="B65:H65"/>
    <mergeCell ref="J65:U65"/>
    <mergeCell ref="W65:AC65"/>
    <mergeCell ref="AE65:AK65"/>
    <mergeCell ref="A66:A67"/>
    <mergeCell ref="B61:H61"/>
    <mergeCell ref="J61:U61"/>
    <mergeCell ref="W61:AC61"/>
    <mergeCell ref="AE61:AK61"/>
    <mergeCell ref="A62:A63"/>
    <mergeCell ref="B57:H57"/>
    <mergeCell ref="J57:U57"/>
    <mergeCell ref="W57:AC57"/>
    <mergeCell ref="AE57:AK57"/>
    <mergeCell ref="A58:A59"/>
    <mergeCell ref="B53:H53"/>
    <mergeCell ref="J53:U53"/>
    <mergeCell ref="W53:AC53"/>
    <mergeCell ref="AE53:AK53"/>
    <mergeCell ref="A54:A5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B2:C2"/>
    <mergeCell ref="E2:F2"/>
    <mergeCell ref="B4:C4"/>
    <mergeCell ref="E4:F4"/>
    <mergeCell ref="A7:H7"/>
    <mergeCell ref="A14:A15"/>
    <mergeCell ref="W7:AC7"/>
    <mergeCell ref="AE7:AK7"/>
    <mergeCell ref="B9:H9"/>
    <mergeCell ref="J9:U9"/>
    <mergeCell ref="W9:AC9"/>
    <mergeCell ref="AE9:AK9"/>
    <mergeCell ref="J7:U7"/>
    <mergeCell ref="A10:A11"/>
    <mergeCell ref="B13:H13"/>
    <mergeCell ref="J13:U13"/>
    <mergeCell ref="W13:AC13"/>
    <mergeCell ref="AE13:AK13"/>
    <mergeCell ref="D8:E8"/>
  </mergeCells>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2"/>
  <sheetViews>
    <sheetView showGridLines="0" workbookViewId="0">
      <selection activeCell="B4" sqref="B4:C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F3" s="1"/>
    </row>
    <row r="4" spans="1:40" x14ac:dyDescent="0.25">
      <c r="A4" t="s">
        <v>2</v>
      </c>
      <c r="B4" s="85"/>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52"/>
  <sheetViews>
    <sheetView showGridLines="0" topLeftCell="A4" workbookViewId="0">
      <selection activeCell="E11" sqref="B11:E1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52"/>
  <sheetViews>
    <sheetView showGridLines="0" topLeftCell="A20" workbookViewId="0">
      <selection activeCell="E23" sqref="B23:E2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v>34000</v>
      </c>
      <c r="C11" s="27">
        <v>34500</v>
      </c>
      <c r="D11" s="27">
        <v>35990</v>
      </c>
      <c r="E11" s="27">
        <v>39950</v>
      </c>
      <c r="F11" s="27">
        <f>SUM(C11-B11)</f>
        <v>500</v>
      </c>
      <c r="G11" s="20">
        <f>SUM(E11-D11)</f>
        <v>3960</v>
      </c>
      <c r="H11" s="21">
        <f>SUM(F11:G11)</f>
        <v>4460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v>34000</v>
      </c>
      <c r="C15" s="27">
        <v>34500</v>
      </c>
      <c r="D15" s="27">
        <v>35990</v>
      </c>
      <c r="E15" s="27">
        <v>39950</v>
      </c>
      <c r="F15" s="27">
        <f>SUM(C15-B15)</f>
        <v>500</v>
      </c>
      <c r="G15" s="20">
        <f>SUM(E15-D15)</f>
        <v>3960</v>
      </c>
      <c r="H15" s="21">
        <f>SUM(F15:G15)</f>
        <v>4460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v>34000</v>
      </c>
      <c r="C19" s="27">
        <v>34500</v>
      </c>
      <c r="D19" s="27">
        <v>35990</v>
      </c>
      <c r="E19" s="27">
        <v>39950</v>
      </c>
      <c r="F19" s="27">
        <f>SUM(C19-B19)</f>
        <v>500</v>
      </c>
      <c r="G19" s="20">
        <f>SUM(E19-D19)</f>
        <v>3960</v>
      </c>
      <c r="H19" s="21">
        <f>SUM(F19:G19)</f>
        <v>4460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52"/>
  <sheetViews>
    <sheetView showGridLines="0" topLeftCell="A22"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52"/>
  <sheetViews>
    <sheetView showGridLines="0" topLeftCell="A19"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52"/>
  <sheetViews>
    <sheetView showGridLines="0" topLeftCell="A25"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52"/>
  <sheetViews>
    <sheetView showGridLines="0" topLeftCell="A19"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2"/>
  <sheetViews>
    <sheetView showGridLines="0" topLeftCell="A19"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topLeftCell="A25"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2"/>
  <sheetViews>
    <sheetView showGridLines="0" topLeftCell="A3" workbookViewId="0">
      <selection activeCell="E11" sqref="B11:E1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topLeftCell="A25"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topLeftCell="A28"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2"/>
  <sheetViews>
    <sheetView showGridLines="0" topLeftCell="A28"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topLeftCell="A25"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topLeftCell="A25"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topLeftCell="A6" workbookViewId="0">
      <selection activeCell="E11" sqref="B11:E1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topLeftCell="A28"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topLeftCell="A28" workbookViewId="0">
      <selection activeCell="E51"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topLeftCell="A22"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topLeftCell="A28" workbookViewId="0">
      <selection activeCell="E51"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topLeftCell="A28" workbookViewId="0">
      <selection activeCell="E51"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topLeftCell="A22"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topLeftCell="A25" workbookViewId="0">
      <selection activeCell="E52"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v>5325</v>
      </c>
    </row>
    <row r="3" spans="1:40" x14ac:dyDescent="0.25">
      <c r="F3" s="1"/>
    </row>
    <row r="4" spans="1:40" x14ac:dyDescent="0.25">
      <c r="A4" t="s">
        <v>2</v>
      </c>
      <c r="B4" s="85">
        <v>3500</v>
      </c>
      <c r="C4" s="85"/>
      <c r="D4" s="1" t="s">
        <v>29</v>
      </c>
      <c r="E4" s="84"/>
      <c r="F4" s="84"/>
    </row>
    <row r="7" spans="1:40" ht="21" x14ac:dyDescent="0.35">
      <c r="A7" s="87" t="s">
        <v>28</v>
      </c>
      <c r="B7" s="87"/>
      <c r="C7" s="87"/>
      <c r="D7" s="87"/>
      <c r="E7" s="87"/>
      <c r="F7" s="87"/>
      <c r="G7" s="87"/>
      <c r="H7" s="87"/>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9" t="s">
        <v>3</v>
      </c>
      <c r="C9" s="79"/>
      <c r="D9" s="79"/>
      <c r="E9" s="79"/>
      <c r="F9" s="79"/>
      <c r="G9" s="79"/>
      <c r="H9" s="79"/>
      <c r="J9" s="80" t="s">
        <v>3</v>
      </c>
      <c r="K9" s="80"/>
      <c r="L9" s="80"/>
      <c r="M9" s="80"/>
      <c r="N9" s="80"/>
      <c r="O9" s="80"/>
      <c r="P9" s="80"/>
      <c r="Q9" s="80"/>
      <c r="R9" s="80"/>
      <c r="S9" s="80"/>
      <c r="T9" s="80"/>
      <c r="U9" s="80"/>
      <c r="Y9" s="81" t="s">
        <v>3</v>
      </c>
      <c r="Z9" s="81"/>
      <c r="AA9" s="81"/>
      <c r="AB9" s="81"/>
      <c r="AC9" s="81"/>
      <c r="AD9" s="81"/>
      <c r="AE9" s="81"/>
      <c r="AH9" s="82" t="s">
        <v>3</v>
      </c>
      <c r="AI9" s="82"/>
      <c r="AJ9" s="82"/>
      <c r="AK9" s="82"/>
      <c r="AL9" s="82"/>
      <c r="AM9" s="82"/>
      <c r="AN9" s="82"/>
    </row>
    <row r="10" spans="1:40" ht="15.75" thickBot="1" x14ac:dyDescent="0.3">
      <c r="A10" s="83"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3"/>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9" t="s">
        <v>13</v>
      </c>
      <c r="C13" s="79"/>
      <c r="D13" s="79"/>
      <c r="E13" s="79"/>
      <c r="F13" s="79"/>
      <c r="G13" s="79"/>
      <c r="H13" s="79"/>
      <c r="J13" s="80" t="s">
        <v>13</v>
      </c>
      <c r="K13" s="80"/>
      <c r="L13" s="80"/>
      <c r="M13" s="80"/>
      <c r="N13" s="80"/>
      <c r="O13" s="80"/>
      <c r="P13" s="80"/>
      <c r="Q13" s="80"/>
      <c r="R13" s="80"/>
      <c r="S13" s="80"/>
      <c r="T13" s="80"/>
      <c r="U13" s="80"/>
      <c r="Y13" s="81" t="str">
        <f>J13</f>
        <v>Março</v>
      </c>
      <c r="Z13" s="81"/>
      <c r="AA13" s="81"/>
      <c r="AB13" s="81"/>
      <c r="AC13" s="81"/>
      <c r="AD13" s="81"/>
      <c r="AE13" s="81"/>
      <c r="AH13" s="82" t="str">
        <f>Y13</f>
        <v>Março</v>
      </c>
      <c r="AI13" s="82"/>
      <c r="AJ13" s="82"/>
      <c r="AK13" s="82"/>
      <c r="AL13" s="82"/>
      <c r="AM13" s="82"/>
      <c r="AN13" s="82"/>
    </row>
    <row r="14" spans="1:40" ht="15.75" thickBot="1" x14ac:dyDescent="0.3">
      <c r="A14" s="83"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3"/>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9" t="s">
        <v>14</v>
      </c>
      <c r="C17" s="79"/>
      <c r="D17" s="79"/>
      <c r="E17" s="79"/>
      <c r="F17" s="79"/>
      <c r="G17" s="79"/>
      <c r="H17" s="79"/>
      <c r="J17" s="80" t="s">
        <v>14</v>
      </c>
      <c r="K17" s="80"/>
      <c r="L17" s="80"/>
      <c r="M17" s="80"/>
      <c r="N17" s="80"/>
      <c r="O17" s="80"/>
      <c r="P17" s="80"/>
      <c r="Q17" s="80"/>
      <c r="R17" s="80"/>
      <c r="S17" s="80"/>
      <c r="T17" s="80"/>
      <c r="U17" s="80"/>
      <c r="Y17" s="81" t="str">
        <f>J17</f>
        <v>Abril</v>
      </c>
      <c r="Z17" s="81"/>
      <c r="AA17" s="81"/>
      <c r="AB17" s="81"/>
      <c r="AC17" s="81"/>
      <c r="AD17" s="81"/>
      <c r="AE17" s="81"/>
      <c r="AH17" s="82" t="str">
        <f>Y17</f>
        <v>Abril</v>
      </c>
      <c r="AI17" s="82"/>
      <c r="AJ17" s="82"/>
      <c r="AK17" s="82"/>
      <c r="AL17" s="82"/>
      <c r="AM17" s="82"/>
      <c r="AN17" s="82"/>
    </row>
    <row r="18" spans="1:40" ht="15.75" thickBot="1" x14ac:dyDescent="0.3">
      <c r="A18" s="83"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3"/>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9" t="s">
        <v>15</v>
      </c>
      <c r="C21" s="79"/>
      <c r="D21" s="79"/>
      <c r="E21" s="79"/>
      <c r="F21" s="79"/>
      <c r="G21" s="79"/>
      <c r="H21" s="79"/>
      <c r="J21" s="80" t="s">
        <v>15</v>
      </c>
      <c r="K21" s="80"/>
      <c r="L21" s="80"/>
      <c r="M21" s="80"/>
      <c r="N21" s="80"/>
      <c r="O21" s="80"/>
      <c r="P21" s="80"/>
      <c r="Q21" s="80"/>
      <c r="R21" s="80"/>
      <c r="S21" s="80"/>
      <c r="T21" s="80"/>
      <c r="U21" s="80"/>
      <c r="Y21" s="81" t="str">
        <f>J21</f>
        <v>Maio</v>
      </c>
      <c r="Z21" s="81"/>
      <c r="AA21" s="81"/>
      <c r="AB21" s="81"/>
      <c r="AC21" s="81"/>
      <c r="AD21" s="81"/>
      <c r="AE21" s="81"/>
      <c r="AH21" s="82" t="str">
        <f>Y21</f>
        <v>Maio</v>
      </c>
      <c r="AI21" s="82"/>
      <c r="AJ21" s="82"/>
      <c r="AK21" s="82"/>
      <c r="AL21" s="82"/>
      <c r="AM21" s="82"/>
      <c r="AN21" s="82"/>
    </row>
    <row r="22" spans="1:40" ht="15.75" thickBot="1" x14ac:dyDescent="0.3">
      <c r="A22" s="83"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3"/>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9" t="s">
        <v>24</v>
      </c>
      <c r="C25" s="79"/>
      <c r="D25" s="79"/>
      <c r="E25" s="79"/>
      <c r="F25" s="79"/>
      <c r="G25" s="79"/>
      <c r="H25" s="79"/>
      <c r="J25" s="80" t="s">
        <v>24</v>
      </c>
      <c r="K25" s="80"/>
      <c r="L25" s="80"/>
      <c r="M25" s="80"/>
      <c r="N25" s="80"/>
      <c r="O25" s="80"/>
      <c r="P25" s="80"/>
      <c r="Q25" s="80"/>
      <c r="R25" s="80"/>
      <c r="S25" s="80"/>
      <c r="T25" s="80"/>
      <c r="U25" s="80"/>
      <c r="Y25" s="81" t="str">
        <f>J25</f>
        <v>Junho</v>
      </c>
      <c r="Z25" s="81"/>
      <c r="AA25" s="81"/>
      <c r="AB25" s="81"/>
      <c r="AC25" s="81"/>
      <c r="AD25" s="81"/>
      <c r="AE25" s="81"/>
      <c r="AH25" s="82" t="str">
        <f>Y25</f>
        <v>Junho</v>
      </c>
      <c r="AI25" s="82"/>
      <c r="AJ25" s="82"/>
      <c r="AK25" s="82"/>
      <c r="AL25" s="82"/>
      <c r="AM25" s="82"/>
      <c r="AN25" s="82"/>
    </row>
    <row r="26" spans="1:40" ht="15.75" thickBot="1" x14ac:dyDescent="0.3">
      <c r="A26" s="83"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3"/>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9" t="s">
        <v>16</v>
      </c>
      <c r="C29" s="79"/>
      <c r="D29" s="79"/>
      <c r="E29" s="79"/>
      <c r="F29" s="79"/>
      <c r="G29" s="79"/>
      <c r="H29" s="79"/>
      <c r="J29" s="80" t="s">
        <v>16</v>
      </c>
      <c r="K29" s="80"/>
      <c r="L29" s="80"/>
      <c r="M29" s="80"/>
      <c r="N29" s="80"/>
      <c r="O29" s="80"/>
      <c r="P29" s="80"/>
      <c r="Q29" s="80"/>
      <c r="R29" s="80"/>
      <c r="S29" s="80"/>
      <c r="T29" s="80"/>
      <c r="U29" s="80"/>
      <c r="Y29" s="81" t="str">
        <f>J29</f>
        <v>Julho</v>
      </c>
      <c r="Z29" s="81"/>
      <c r="AA29" s="81"/>
      <c r="AB29" s="81"/>
      <c r="AC29" s="81"/>
      <c r="AD29" s="81"/>
      <c r="AE29" s="81"/>
      <c r="AH29" s="82" t="str">
        <f>Y29</f>
        <v>Julho</v>
      </c>
      <c r="AI29" s="82"/>
      <c r="AJ29" s="82"/>
      <c r="AK29" s="82"/>
      <c r="AL29" s="82"/>
      <c r="AM29" s="82"/>
      <c r="AN29" s="82"/>
    </row>
    <row r="30" spans="1:40" ht="15.75" thickBot="1" x14ac:dyDescent="0.3">
      <c r="A30" s="83"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3"/>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9" t="s">
        <v>17</v>
      </c>
      <c r="C33" s="79"/>
      <c r="D33" s="79"/>
      <c r="E33" s="79"/>
      <c r="F33" s="79"/>
      <c r="G33" s="79"/>
      <c r="H33" s="79"/>
      <c r="J33" s="80" t="s">
        <v>17</v>
      </c>
      <c r="K33" s="80"/>
      <c r="L33" s="80"/>
      <c r="M33" s="80"/>
      <c r="N33" s="80"/>
      <c r="O33" s="80"/>
      <c r="P33" s="80"/>
      <c r="Q33" s="80"/>
      <c r="R33" s="80"/>
      <c r="S33" s="80"/>
      <c r="T33" s="80"/>
      <c r="U33" s="80"/>
      <c r="Y33" s="81" t="str">
        <f>J33</f>
        <v>Agosto</v>
      </c>
      <c r="Z33" s="81"/>
      <c r="AA33" s="81"/>
      <c r="AB33" s="81"/>
      <c r="AC33" s="81"/>
      <c r="AD33" s="81"/>
      <c r="AE33" s="81"/>
      <c r="AH33" s="82" t="str">
        <f>Y33</f>
        <v>Agosto</v>
      </c>
      <c r="AI33" s="82"/>
      <c r="AJ33" s="82"/>
      <c r="AK33" s="82"/>
      <c r="AL33" s="82"/>
      <c r="AM33" s="82"/>
      <c r="AN33" s="82"/>
    </row>
    <row r="34" spans="1:40" ht="15.75" thickBot="1" x14ac:dyDescent="0.3">
      <c r="A34" s="83"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3"/>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9" t="s">
        <v>18</v>
      </c>
      <c r="C37" s="79"/>
      <c r="D37" s="79"/>
      <c r="E37" s="79"/>
      <c r="F37" s="79"/>
      <c r="G37" s="79"/>
      <c r="H37" s="79"/>
      <c r="J37" s="80" t="s">
        <v>18</v>
      </c>
      <c r="K37" s="80"/>
      <c r="L37" s="80"/>
      <c r="M37" s="80"/>
      <c r="N37" s="80"/>
      <c r="O37" s="80"/>
      <c r="P37" s="80"/>
      <c r="Q37" s="80"/>
      <c r="R37" s="80"/>
      <c r="S37" s="80"/>
      <c r="T37" s="80"/>
      <c r="U37" s="80"/>
      <c r="Y37" s="81" t="str">
        <f>J37</f>
        <v>Setembro</v>
      </c>
      <c r="Z37" s="81"/>
      <c r="AA37" s="81"/>
      <c r="AB37" s="81"/>
      <c r="AC37" s="81"/>
      <c r="AD37" s="81"/>
      <c r="AE37" s="81"/>
      <c r="AH37" s="82" t="str">
        <f>Y37</f>
        <v>Setembro</v>
      </c>
      <c r="AI37" s="82"/>
      <c r="AJ37" s="82"/>
      <c r="AK37" s="82"/>
      <c r="AL37" s="82"/>
      <c r="AM37" s="82"/>
      <c r="AN37" s="82"/>
    </row>
    <row r="38" spans="1:40" ht="15.75" thickBot="1" x14ac:dyDescent="0.3">
      <c r="A38" s="83"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3"/>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9" t="s">
        <v>19</v>
      </c>
      <c r="C41" s="79"/>
      <c r="D41" s="79"/>
      <c r="E41" s="79"/>
      <c r="F41" s="79"/>
      <c r="G41" s="79"/>
      <c r="H41" s="79"/>
      <c r="J41" s="80" t="s">
        <v>19</v>
      </c>
      <c r="K41" s="80"/>
      <c r="L41" s="80"/>
      <c r="M41" s="80"/>
      <c r="N41" s="80"/>
      <c r="O41" s="80"/>
      <c r="P41" s="80"/>
      <c r="Q41" s="80"/>
      <c r="R41" s="80"/>
      <c r="S41" s="80"/>
      <c r="T41" s="80"/>
      <c r="U41" s="80"/>
      <c r="Y41" s="81" t="str">
        <f>J41</f>
        <v>Outubro</v>
      </c>
      <c r="Z41" s="81"/>
      <c r="AA41" s="81"/>
      <c r="AB41" s="81"/>
      <c r="AC41" s="81"/>
      <c r="AD41" s="81"/>
      <c r="AE41" s="81"/>
      <c r="AH41" s="82" t="str">
        <f>Y41</f>
        <v>Outubro</v>
      </c>
      <c r="AI41" s="82"/>
      <c r="AJ41" s="82"/>
      <c r="AK41" s="82"/>
      <c r="AL41" s="82"/>
      <c r="AM41" s="82"/>
      <c r="AN41" s="82"/>
    </row>
    <row r="42" spans="1:40" ht="15.75" thickBot="1" x14ac:dyDescent="0.3">
      <c r="A42" s="83"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3"/>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9" t="s">
        <v>20</v>
      </c>
      <c r="C45" s="79"/>
      <c r="D45" s="79"/>
      <c r="E45" s="79"/>
      <c r="F45" s="79"/>
      <c r="G45" s="79"/>
      <c r="H45" s="79"/>
      <c r="J45" s="80" t="s">
        <v>20</v>
      </c>
      <c r="K45" s="80"/>
      <c r="L45" s="80"/>
      <c r="M45" s="80"/>
      <c r="N45" s="80"/>
      <c r="O45" s="80"/>
      <c r="P45" s="80"/>
      <c r="Q45" s="80"/>
      <c r="R45" s="80"/>
      <c r="S45" s="80"/>
      <c r="T45" s="80"/>
      <c r="U45" s="80"/>
      <c r="Y45" s="81" t="str">
        <f>J45</f>
        <v>Novembro</v>
      </c>
      <c r="Z45" s="81"/>
      <c r="AA45" s="81"/>
      <c r="AB45" s="81"/>
      <c r="AC45" s="81"/>
      <c r="AD45" s="81"/>
      <c r="AE45" s="81"/>
      <c r="AH45" s="82" t="str">
        <f>Y45</f>
        <v>Novembro</v>
      </c>
      <c r="AI45" s="82"/>
      <c r="AJ45" s="82"/>
      <c r="AK45" s="82"/>
      <c r="AL45" s="82"/>
      <c r="AM45" s="82"/>
      <c r="AN45" s="82"/>
    </row>
    <row r="46" spans="1:40" ht="15.75" thickBot="1" x14ac:dyDescent="0.3">
      <c r="A46" s="83"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3"/>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9" t="s">
        <v>21</v>
      </c>
      <c r="C49" s="79"/>
      <c r="D49" s="79"/>
      <c r="E49" s="79"/>
      <c r="F49" s="79"/>
      <c r="G49" s="79"/>
      <c r="H49" s="79"/>
      <c r="J49" s="80" t="s">
        <v>21</v>
      </c>
      <c r="K49" s="80"/>
      <c r="L49" s="80"/>
      <c r="M49" s="80"/>
      <c r="N49" s="80"/>
      <c r="O49" s="80"/>
      <c r="P49" s="80"/>
      <c r="Q49" s="80"/>
      <c r="R49" s="80"/>
      <c r="S49" s="80"/>
      <c r="T49" s="80"/>
      <c r="U49" s="80"/>
      <c r="Y49" s="81" t="str">
        <f>J49</f>
        <v>Dezembro</v>
      </c>
      <c r="Z49" s="81"/>
      <c r="AA49" s="81"/>
      <c r="AB49" s="81"/>
      <c r="AC49" s="81"/>
      <c r="AD49" s="81"/>
      <c r="AE49" s="81"/>
      <c r="AH49" s="82" t="str">
        <f>Y49</f>
        <v>Dezembro</v>
      </c>
      <c r="AI49" s="82"/>
      <c r="AJ49" s="82"/>
      <c r="AK49" s="82"/>
      <c r="AL49" s="82"/>
      <c r="AM49" s="82"/>
      <c r="AN49" s="82"/>
    </row>
    <row r="50" spans="1:40" ht="15.75" thickBot="1" x14ac:dyDescent="0.3">
      <c r="A50" s="83"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3"/>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Alire</vt:lpstr>
      <vt:lpstr>Tayonara</vt:lpstr>
      <vt:lpstr>Tayonara-Desmob</vt:lpstr>
      <vt:lpstr>Eucilene-Desmobi</vt:lpstr>
      <vt:lpstr>Eucilene-Desmob</vt:lpstr>
      <vt:lpstr>Erika - desmob</vt:lpstr>
      <vt:lpstr>Luciane-Desmob</vt:lpstr>
      <vt:lpstr>CAR_08</vt:lpstr>
      <vt:lpstr>CAR_09</vt:lpstr>
      <vt:lpstr>CAR_10</vt:lpstr>
      <vt:lpstr>CAR_11</vt:lpstr>
      <vt:lpstr>CAR_12</vt:lpstr>
      <vt:lpstr>CAR_13</vt:lpstr>
      <vt:lpstr>CAR_14</vt:lpstr>
      <vt:lpstr>CAR_15</vt:lpstr>
      <vt:lpstr>CAR_16</vt:lpstr>
      <vt:lpstr>CAR_17</vt:lpstr>
      <vt:lpstr>CAR_18</vt:lpstr>
      <vt:lpstr>CAR_19</vt:lpstr>
      <vt:lpstr>CAR_20</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2026-06-09T11:18:57Z</dcterms:modified>
</cp:coreProperties>
</file>