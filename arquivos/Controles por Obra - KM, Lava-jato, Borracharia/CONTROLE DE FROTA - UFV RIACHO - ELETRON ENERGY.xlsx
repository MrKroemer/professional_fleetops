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80A3E7AE-B99B-4D5B-9153-7D5B2C4F0BF9}" xr6:coauthVersionLast="47" xr6:coauthVersionMax="47" xr10:uidLastSave="{00000000-0000-0000-0000-000000000000}"/>
  <bookViews>
    <workbookView xWindow="-120" yWindow="-120" windowWidth="29040" windowHeight="15720" activeTab="4" xr2:uid="{00000000-000D-0000-FFFF-FFFF00000000}"/>
  </bookViews>
  <sheets>
    <sheet name="RESUMO" sheetId="3" r:id="rId1"/>
    <sheet name="Controle Central" sheetId="2" r:id="rId2"/>
    <sheet name="Andre Placido" sheetId="31" r:id="rId3"/>
    <sheet name="Ednei" sheetId="30" r:id="rId4"/>
    <sheet name="Claudio-Desmob" sheetId="32" r:id="rId5"/>
    <sheet name="Ualace-Desmob3" sheetId="29" r:id="rId6"/>
    <sheet name="Ualace-Desmob2" sheetId="11" r:id="rId7"/>
    <sheet name="André Plácido-Desmob" sheetId="4" r:id="rId8"/>
    <sheet name="Ednei-Desmob" sheetId="9" r:id="rId9"/>
    <sheet name="Wendel Matias-Desmob" sheetId="13" r:id="rId10"/>
    <sheet name="Ualace-Desmob" sheetId="1" r:id="rId11"/>
    <sheet name="CAR_10" sheetId="28"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4" i="31" l="1"/>
  <c r="AC24" i="31"/>
  <c r="U24" i="31"/>
  <c r="G23" i="31"/>
  <c r="H23" i="31" s="1"/>
  <c r="F23" i="31"/>
  <c r="W21" i="31"/>
  <c r="AE21" i="31" s="1"/>
  <c r="AK78" i="32" l="1"/>
  <c r="AC78" i="32"/>
  <c r="U78" i="32"/>
  <c r="G77" i="32"/>
  <c r="F77" i="32"/>
  <c r="W75" i="32"/>
  <c r="AE75" i="32" s="1"/>
  <c r="AK98" i="32"/>
  <c r="AC98" i="32"/>
  <c r="U98" i="32"/>
  <c r="G97" i="32"/>
  <c r="F97" i="32"/>
  <c r="W95" i="32"/>
  <c r="AE95" i="32" s="1"/>
  <c r="AK94" i="32"/>
  <c r="AC94" i="32"/>
  <c r="U94" i="32"/>
  <c r="G93" i="32"/>
  <c r="F93" i="32"/>
  <c r="W91" i="32"/>
  <c r="AE91" i="32" s="1"/>
  <c r="AK90" i="32"/>
  <c r="AC90" i="32"/>
  <c r="U90" i="32"/>
  <c r="G89" i="32"/>
  <c r="F89" i="32"/>
  <c r="W87" i="32"/>
  <c r="AE87" i="32" s="1"/>
  <c r="AK86" i="32"/>
  <c r="AC86" i="32"/>
  <c r="U86" i="32"/>
  <c r="G85" i="32"/>
  <c r="F85" i="32"/>
  <c r="W83" i="32"/>
  <c r="AE83" i="32" s="1"/>
  <c r="AK82" i="32"/>
  <c r="AC82" i="32"/>
  <c r="U82" i="32"/>
  <c r="G81" i="32"/>
  <c r="F81" i="32"/>
  <c r="W79" i="32"/>
  <c r="AE79" i="32" s="1"/>
  <c r="AK74" i="32"/>
  <c r="AC74" i="32"/>
  <c r="U74" i="32"/>
  <c r="G73" i="32"/>
  <c r="F73" i="32"/>
  <c r="W71" i="32"/>
  <c r="AE71" i="32" s="1"/>
  <c r="AK70" i="32"/>
  <c r="AC70" i="32"/>
  <c r="U70" i="32"/>
  <c r="G69" i="32"/>
  <c r="F69" i="32"/>
  <c r="W67" i="32"/>
  <c r="AE67" i="32" s="1"/>
  <c r="AK66" i="32"/>
  <c r="AC66" i="32"/>
  <c r="U66" i="32"/>
  <c r="G65" i="32"/>
  <c r="F65" i="32"/>
  <c r="AK62" i="32"/>
  <c r="AC62" i="32"/>
  <c r="U62" i="32"/>
  <c r="G61" i="32"/>
  <c r="F61" i="32"/>
  <c r="AK92" i="11"/>
  <c r="AC92" i="11"/>
  <c r="U92" i="11"/>
  <c r="G91" i="11"/>
  <c r="F91" i="11"/>
  <c r="H91" i="11" s="1"/>
  <c r="W89" i="11"/>
  <c r="AE89" i="11" s="1"/>
  <c r="AK88" i="11"/>
  <c r="AC88" i="11"/>
  <c r="U88" i="11"/>
  <c r="G87" i="11"/>
  <c r="H87" i="11" s="1"/>
  <c r="F87" i="11"/>
  <c r="W85" i="11"/>
  <c r="AE85" i="11" s="1"/>
  <c r="AK84" i="11"/>
  <c r="AC84" i="11"/>
  <c r="U84" i="11"/>
  <c r="G83" i="11"/>
  <c r="F83" i="11"/>
  <c r="H83" i="11" s="1"/>
  <c r="W81" i="11"/>
  <c r="AE81" i="11" s="1"/>
  <c r="AK80" i="11"/>
  <c r="AC80" i="11"/>
  <c r="U80" i="11"/>
  <c r="G79" i="11"/>
  <c r="F79" i="11"/>
  <c r="H79" i="11" s="1"/>
  <c r="W77" i="11"/>
  <c r="AE77" i="11" s="1"/>
  <c r="AK76" i="11"/>
  <c r="AC76" i="11"/>
  <c r="U76" i="11"/>
  <c r="G75" i="11"/>
  <c r="H75" i="11" s="1"/>
  <c r="F75" i="11"/>
  <c r="W73" i="11"/>
  <c r="AE73" i="11" s="1"/>
  <c r="AK72" i="11"/>
  <c r="AC72" i="11"/>
  <c r="U72" i="11"/>
  <c r="G71" i="11"/>
  <c r="F71" i="11"/>
  <c r="H71" i="11" s="1"/>
  <c r="W69" i="11"/>
  <c r="AE69" i="11" s="1"/>
  <c r="AK68" i="11"/>
  <c r="AC68" i="11"/>
  <c r="U68" i="11"/>
  <c r="G67" i="11"/>
  <c r="F67" i="11"/>
  <c r="W65" i="11"/>
  <c r="AE65" i="11" s="1"/>
  <c r="AK64" i="11"/>
  <c r="AC64" i="11"/>
  <c r="U64" i="11"/>
  <c r="G63" i="11"/>
  <c r="F63" i="11"/>
  <c r="AK60" i="11"/>
  <c r="AC60" i="11"/>
  <c r="U60" i="11"/>
  <c r="G59" i="11"/>
  <c r="F59" i="11"/>
  <c r="AK91" i="9"/>
  <c r="AC91" i="9"/>
  <c r="U91" i="9"/>
  <c r="H90" i="9"/>
  <c r="G90" i="9"/>
  <c r="F90" i="9"/>
  <c r="W88" i="9"/>
  <c r="AE88" i="9" s="1"/>
  <c r="AK87" i="9"/>
  <c r="AC87" i="9"/>
  <c r="U87" i="9"/>
  <c r="H86" i="9"/>
  <c r="G86" i="9"/>
  <c r="F86" i="9"/>
  <c r="W84" i="9"/>
  <c r="AE84" i="9" s="1"/>
  <c r="AK83" i="9"/>
  <c r="AC83" i="9"/>
  <c r="U83" i="9"/>
  <c r="H82" i="9"/>
  <c r="G82" i="9"/>
  <c r="F82" i="9"/>
  <c r="W80" i="9"/>
  <c r="AE80" i="9" s="1"/>
  <c r="AK79" i="9"/>
  <c r="AC79" i="9"/>
  <c r="U79" i="9"/>
  <c r="H78" i="9"/>
  <c r="G78" i="9"/>
  <c r="F78" i="9"/>
  <c r="W76" i="9"/>
  <c r="AE76" i="9" s="1"/>
  <c r="AK75" i="9"/>
  <c r="AC75" i="9"/>
  <c r="U75" i="9"/>
  <c r="H74" i="9"/>
  <c r="G74" i="9"/>
  <c r="F74" i="9"/>
  <c r="W72" i="9"/>
  <c r="AE72" i="9" s="1"/>
  <c r="AK71" i="9"/>
  <c r="AC71" i="9"/>
  <c r="U71" i="9"/>
  <c r="G70" i="9"/>
  <c r="F70" i="9"/>
  <c r="H70" i="9" s="1"/>
  <c r="W68" i="9"/>
  <c r="AE68" i="9" s="1"/>
  <c r="AK67" i="9"/>
  <c r="AC67" i="9"/>
  <c r="U67" i="9"/>
  <c r="G66" i="9"/>
  <c r="F66" i="9"/>
  <c r="W64" i="9"/>
  <c r="AE64" i="9" s="1"/>
  <c r="AK63" i="9"/>
  <c r="AC63" i="9"/>
  <c r="U63" i="9"/>
  <c r="G62" i="9"/>
  <c r="F62" i="9"/>
  <c r="AK59" i="9"/>
  <c r="AC59" i="9"/>
  <c r="U59" i="9"/>
  <c r="G58" i="9"/>
  <c r="F58" i="9"/>
  <c r="AK91" i="13"/>
  <c r="AC91" i="13"/>
  <c r="U91" i="13"/>
  <c r="G90" i="13"/>
  <c r="F90" i="13"/>
  <c r="H90" i="13" s="1"/>
  <c r="W88" i="13"/>
  <c r="AE88" i="13" s="1"/>
  <c r="AK87" i="13"/>
  <c r="AC87" i="13"/>
  <c r="U87" i="13"/>
  <c r="G86" i="13"/>
  <c r="F86" i="13"/>
  <c r="H86" i="13" s="1"/>
  <c r="W84" i="13"/>
  <c r="AE84" i="13" s="1"/>
  <c r="AK83" i="13"/>
  <c r="AC83" i="13"/>
  <c r="U83" i="13"/>
  <c r="G82" i="13"/>
  <c r="F82" i="13"/>
  <c r="H82" i="13" s="1"/>
  <c r="W80" i="13"/>
  <c r="AE80" i="13" s="1"/>
  <c r="AK79" i="13"/>
  <c r="AC79" i="13"/>
  <c r="U79" i="13"/>
  <c r="G78" i="13"/>
  <c r="F78" i="13"/>
  <c r="H78" i="13" s="1"/>
  <c r="W76" i="13"/>
  <c r="AE76" i="13" s="1"/>
  <c r="AK75" i="13"/>
  <c r="AC75" i="13"/>
  <c r="U75" i="13"/>
  <c r="H74" i="13"/>
  <c r="G74" i="13"/>
  <c r="F74" i="13"/>
  <c r="W72" i="13"/>
  <c r="AE72" i="13" s="1"/>
  <c r="AK71" i="13"/>
  <c r="AC71" i="13"/>
  <c r="U71" i="13"/>
  <c r="H70" i="13"/>
  <c r="G70" i="13"/>
  <c r="F70" i="13"/>
  <c r="W68" i="13"/>
  <c r="AE68" i="13" s="1"/>
  <c r="AK67" i="13"/>
  <c r="AC67" i="13"/>
  <c r="U67" i="13"/>
  <c r="G66" i="13"/>
  <c r="F66" i="13"/>
  <c r="W64" i="13"/>
  <c r="AE64" i="13" s="1"/>
  <c r="AK63" i="13"/>
  <c r="AC63" i="13"/>
  <c r="U63" i="13"/>
  <c r="G62" i="13"/>
  <c r="H62" i="13" s="1"/>
  <c r="F62" i="13"/>
  <c r="AK59" i="13"/>
  <c r="AC59" i="13"/>
  <c r="U59" i="13"/>
  <c r="G58" i="13"/>
  <c r="F58" i="13"/>
  <c r="AK93" i="4"/>
  <c r="AC93" i="4"/>
  <c r="U93" i="4"/>
  <c r="H92" i="4"/>
  <c r="G92" i="4"/>
  <c r="F92" i="4"/>
  <c r="W90" i="4"/>
  <c r="AE90" i="4" s="1"/>
  <c r="AK89" i="4"/>
  <c r="AC89" i="4"/>
  <c r="U89" i="4"/>
  <c r="H88" i="4"/>
  <c r="G88" i="4"/>
  <c r="F88" i="4"/>
  <c r="W86" i="4"/>
  <c r="AE86" i="4" s="1"/>
  <c r="AK85" i="4"/>
  <c r="AC85" i="4"/>
  <c r="U85" i="4"/>
  <c r="H84" i="4"/>
  <c r="G84" i="4"/>
  <c r="F84" i="4"/>
  <c r="W82" i="4"/>
  <c r="AE82" i="4" s="1"/>
  <c r="AK81" i="4"/>
  <c r="AC81" i="4"/>
  <c r="U81" i="4"/>
  <c r="H80" i="4"/>
  <c r="G80" i="4"/>
  <c r="F80" i="4"/>
  <c r="W78" i="4"/>
  <c r="AE78" i="4" s="1"/>
  <c r="AK77" i="4"/>
  <c r="AC77" i="4"/>
  <c r="U77" i="4"/>
  <c r="H76" i="4"/>
  <c r="G76" i="4"/>
  <c r="F76" i="4"/>
  <c r="W74" i="4"/>
  <c r="AE74" i="4" s="1"/>
  <c r="AK73" i="4"/>
  <c r="AC73" i="4"/>
  <c r="U73" i="4"/>
  <c r="G72" i="4"/>
  <c r="F72" i="4"/>
  <c r="H72" i="4" s="1"/>
  <c r="W70" i="4"/>
  <c r="AE70" i="4" s="1"/>
  <c r="AK69" i="4"/>
  <c r="AC69" i="4"/>
  <c r="U69" i="4"/>
  <c r="G68" i="4"/>
  <c r="F68" i="4"/>
  <c r="W66" i="4"/>
  <c r="AE66" i="4" s="1"/>
  <c r="AK65" i="4"/>
  <c r="AC65" i="4"/>
  <c r="U65" i="4"/>
  <c r="G64" i="4"/>
  <c r="F64" i="4"/>
  <c r="AK61" i="4"/>
  <c r="AC61" i="4"/>
  <c r="U61" i="4"/>
  <c r="G60" i="4"/>
  <c r="F60" i="4"/>
  <c r="AK138" i="1"/>
  <c r="AC138" i="1"/>
  <c r="U138" i="1"/>
  <c r="G137" i="1"/>
  <c r="F137" i="1"/>
  <c r="H137" i="1" s="1"/>
  <c r="W135" i="1"/>
  <c r="AE135" i="1" s="1"/>
  <c r="AK134" i="1"/>
  <c r="AC134" i="1"/>
  <c r="U134" i="1"/>
  <c r="G133" i="1"/>
  <c r="H133" i="1" s="1"/>
  <c r="F133" i="1"/>
  <c r="W131" i="1"/>
  <c r="AE131" i="1" s="1"/>
  <c r="AK130" i="1"/>
  <c r="AC130" i="1"/>
  <c r="U130" i="1"/>
  <c r="G129" i="1"/>
  <c r="F129" i="1"/>
  <c r="W127" i="1"/>
  <c r="AE127" i="1" s="1"/>
  <c r="AK126" i="1"/>
  <c r="AC126" i="1"/>
  <c r="U126" i="1"/>
  <c r="G125" i="1"/>
  <c r="F125" i="1"/>
  <c r="W123" i="1"/>
  <c r="AE123" i="1" s="1"/>
  <c r="AK122" i="1"/>
  <c r="AC122" i="1"/>
  <c r="U122" i="1"/>
  <c r="G121" i="1"/>
  <c r="F121" i="1"/>
  <c r="H121" i="1" s="1"/>
  <c r="W119" i="1"/>
  <c r="AE119" i="1" s="1"/>
  <c r="AK118" i="1"/>
  <c r="AC118" i="1"/>
  <c r="U118" i="1"/>
  <c r="H117" i="1"/>
  <c r="G117" i="1"/>
  <c r="F117" i="1"/>
  <c r="W115" i="1"/>
  <c r="AE115" i="1" s="1"/>
  <c r="AK114" i="1"/>
  <c r="AC114" i="1"/>
  <c r="U114" i="1"/>
  <c r="G113" i="1"/>
  <c r="F113" i="1"/>
  <c r="W111" i="1"/>
  <c r="AE111" i="1" s="1"/>
  <c r="AK110" i="1"/>
  <c r="AC110" i="1"/>
  <c r="U110" i="1"/>
  <c r="G109" i="1"/>
  <c r="F109" i="1"/>
  <c r="AK106" i="1"/>
  <c r="AC106" i="1"/>
  <c r="U106" i="1"/>
  <c r="G105" i="1"/>
  <c r="F105" i="1"/>
  <c r="F57" i="32"/>
  <c r="G57" i="32"/>
  <c r="F53" i="32"/>
  <c r="G53" i="32"/>
  <c r="H77" i="32" l="1"/>
  <c r="H73" i="32"/>
  <c r="H85" i="32"/>
  <c r="H93" i="32"/>
  <c r="H61" i="32"/>
  <c r="H81" i="32"/>
  <c r="H89" i="32"/>
  <c r="H53" i="32"/>
  <c r="H97" i="32"/>
  <c r="H66" i="13"/>
  <c r="H69" i="32"/>
  <c r="H66" i="9"/>
  <c r="H68" i="4"/>
  <c r="H67" i="11"/>
  <c r="H109" i="1"/>
  <c r="H129" i="1"/>
  <c r="H125" i="1"/>
  <c r="H113" i="1"/>
  <c r="H63" i="11"/>
  <c r="H62" i="9"/>
  <c r="H65" i="32"/>
  <c r="H64" i="4"/>
  <c r="H58" i="13"/>
  <c r="H105" i="1"/>
  <c r="H59" i="11"/>
  <c r="H58" i="9"/>
  <c r="H60" i="4"/>
  <c r="G101" i="1"/>
  <c r="AK102" i="1"/>
  <c r="AC102" i="1"/>
  <c r="U102" i="1"/>
  <c r="F101" i="1"/>
  <c r="W99" i="1"/>
  <c r="AE99" i="1" s="1"/>
  <c r="AK98" i="1"/>
  <c r="AC98" i="1"/>
  <c r="U98" i="1"/>
  <c r="G97" i="1"/>
  <c r="F97" i="1"/>
  <c r="W95" i="1"/>
  <c r="AE95" i="1" s="1"/>
  <c r="W47" i="32"/>
  <c r="AE47" i="32" s="1"/>
  <c r="F49" i="32"/>
  <c r="G49" i="32"/>
  <c r="U50" i="32"/>
  <c r="AC50" i="32"/>
  <c r="AK50" i="32"/>
  <c r="AK94" i="1"/>
  <c r="AC94" i="1"/>
  <c r="U94" i="1"/>
  <c r="G93" i="1"/>
  <c r="F93" i="1"/>
  <c r="W91" i="1"/>
  <c r="AE91" i="1" s="1"/>
  <c r="AK90" i="1"/>
  <c r="AC90" i="1"/>
  <c r="U90" i="1"/>
  <c r="G89" i="1"/>
  <c r="F89" i="1"/>
  <c r="W87" i="1"/>
  <c r="AE87" i="1" s="1"/>
  <c r="AK86" i="1"/>
  <c r="AC86" i="1"/>
  <c r="U86" i="1"/>
  <c r="G85" i="1"/>
  <c r="F85" i="1"/>
  <c r="W83" i="1"/>
  <c r="AE83" i="1" s="1"/>
  <c r="AK82" i="1"/>
  <c r="AC82" i="1"/>
  <c r="U82" i="1"/>
  <c r="G81" i="1"/>
  <c r="F81" i="1"/>
  <c r="W79" i="1"/>
  <c r="AE79" i="1" s="1"/>
  <c r="AK78" i="1"/>
  <c r="AC78" i="1"/>
  <c r="U78" i="1"/>
  <c r="G77" i="1"/>
  <c r="F77" i="1"/>
  <c r="W75" i="1"/>
  <c r="AE75" i="1" s="1"/>
  <c r="AK74" i="1"/>
  <c r="AC74" i="1"/>
  <c r="U74" i="1"/>
  <c r="G73" i="1"/>
  <c r="F73" i="1"/>
  <c r="W71" i="1"/>
  <c r="AE71" i="1" s="1"/>
  <c r="AK70" i="1"/>
  <c r="AC70" i="1"/>
  <c r="U70" i="1"/>
  <c r="G69" i="1"/>
  <c r="F69" i="1"/>
  <c r="W67" i="1"/>
  <c r="AE67" i="1" s="1"/>
  <c r="AK66" i="1"/>
  <c r="AC66" i="1"/>
  <c r="U66" i="1"/>
  <c r="G65" i="1"/>
  <c r="F65" i="1"/>
  <c r="W63" i="1"/>
  <c r="AE63" i="1" s="1"/>
  <c r="AK62" i="1"/>
  <c r="AC62" i="1"/>
  <c r="U62" i="1"/>
  <c r="G61" i="1"/>
  <c r="F61" i="1"/>
  <c r="AK12" i="11"/>
  <c r="AC12" i="11"/>
  <c r="U12" i="11"/>
  <c r="G11" i="11"/>
  <c r="F11" i="11"/>
  <c r="AK11" i="9"/>
  <c r="AC11" i="9"/>
  <c r="U11" i="9"/>
  <c r="G10" i="9"/>
  <c r="H10" i="9" s="1"/>
  <c r="F10" i="9"/>
  <c r="H89" i="1" l="1"/>
  <c r="H101" i="1"/>
  <c r="H81" i="1"/>
  <c r="H97" i="1"/>
  <c r="H49" i="32"/>
  <c r="H93" i="1"/>
  <c r="H85" i="1"/>
  <c r="H77" i="1"/>
  <c r="H73" i="1"/>
  <c r="H69" i="1"/>
  <c r="H65" i="1"/>
  <c r="H61" i="1"/>
  <c r="H11" i="11"/>
  <c r="AK11" i="13"/>
  <c r="AC11" i="13"/>
  <c r="U11" i="13"/>
  <c r="G10" i="13"/>
  <c r="F10" i="13"/>
  <c r="H10" i="13" l="1"/>
  <c r="AK13" i="4" l="1"/>
  <c r="AC13" i="4"/>
  <c r="U13" i="4"/>
  <c r="G12" i="4"/>
  <c r="F12" i="4"/>
  <c r="F16" i="4"/>
  <c r="G16" i="4"/>
  <c r="H12" i="4" l="1"/>
  <c r="H16" i="4"/>
  <c r="F57" i="1"/>
  <c r="G57" i="1"/>
  <c r="W55" i="1"/>
  <c r="AE55" i="1" s="1"/>
  <c r="U58" i="1"/>
  <c r="AC58" i="1"/>
  <c r="AK58" i="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8" i="32"/>
  <c r="M34" i="2" s="1"/>
  <c r="AC58" i="32"/>
  <c r="L34" i="2" s="1"/>
  <c r="U58" i="32"/>
  <c r="K34" i="2" s="1"/>
  <c r="W55" i="32"/>
  <c r="AE55" i="32" s="1"/>
  <c r="AK54" i="32"/>
  <c r="M33" i="2" s="1"/>
  <c r="AC54" i="32"/>
  <c r="L33" i="2" s="1"/>
  <c r="U54" i="32"/>
  <c r="K33" i="2" s="1"/>
  <c r="W51" i="32"/>
  <c r="AE51" i="32" s="1"/>
  <c r="AK46" i="32"/>
  <c r="M32" i="2" s="1"/>
  <c r="AC46" i="32"/>
  <c r="L32" i="2" s="1"/>
  <c r="U46" i="32"/>
  <c r="K32" i="2" s="1"/>
  <c r="G45" i="32"/>
  <c r="F45" i="32"/>
  <c r="W43" i="32"/>
  <c r="AE43" i="32" s="1"/>
  <c r="AK42" i="32"/>
  <c r="M31" i="2" s="1"/>
  <c r="AC42" i="32"/>
  <c r="L31" i="2" s="1"/>
  <c r="U42" i="32"/>
  <c r="K31" i="2" s="1"/>
  <c r="G41" i="32"/>
  <c r="F41" i="32"/>
  <c r="W39" i="32"/>
  <c r="AE39" i="32" s="1"/>
  <c r="AK38" i="32"/>
  <c r="M30" i="2" s="1"/>
  <c r="AC38" i="32"/>
  <c r="L30" i="2" s="1"/>
  <c r="U38" i="32"/>
  <c r="K30" i="2" s="1"/>
  <c r="G37" i="32"/>
  <c r="F37" i="32"/>
  <c r="W35" i="32"/>
  <c r="AE35" i="32" s="1"/>
  <c r="AK34" i="32"/>
  <c r="M29" i="2" s="1"/>
  <c r="AC34" i="32"/>
  <c r="L29" i="2" s="1"/>
  <c r="U34" i="32"/>
  <c r="K29" i="2" s="1"/>
  <c r="G33" i="32"/>
  <c r="F33" i="32"/>
  <c r="W31" i="32"/>
  <c r="AE31" i="32" s="1"/>
  <c r="AK30" i="32"/>
  <c r="M28" i="2" s="1"/>
  <c r="AC30" i="32"/>
  <c r="L28" i="2" s="1"/>
  <c r="U30" i="32"/>
  <c r="K28" i="2" s="1"/>
  <c r="G29" i="32"/>
  <c r="F29" i="32"/>
  <c r="W27" i="32"/>
  <c r="AE27" i="32" s="1"/>
  <c r="AK26" i="32"/>
  <c r="M27" i="2" s="1"/>
  <c r="AC26" i="32"/>
  <c r="L27" i="2" s="1"/>
  <c r="U26" i="32"/>
  <c r="K27" i="2" s="1"/>
  <c r="G25" i="32"/>
  <c r="F25" i="32"/>
  <c r="W23" i="32"/>
  <c r="AE23" i="32" s="1"/>
  <c r="AK22" i="32"/>
  <c r="M26" i="2" s="1"/>
  <c r="AC22" i="32"/>
  <c r="L26" i="2" s="1"/>
  <c r="U22" i="32"/>
  <c r="K26" i="2" s="1"/>
  <c r="G21" i="32"/>
  <c r="F21" i="32"/>
  <c r="W19" i="32"/>
  <c r="AE19" i="32" s="1"/>
  <c r="AK18" i="32"/>
  <c r="M25" i="2" s="1"/>
  <c r="AC18" i="32"/>
  <c r="L25" i="2" s="1"/>
  <c r="U18" i="32"/>
  <c r="K25" i="2" s="1"/>
  <c r="G17" i="32"/>
  <c r="F17" i="32"/>
  <c r="W15" i="32"/>
  <c r="AE15" i="32" s="1"/>
  <c r="AK14" i="32"/>
  <c r="M24" i="2" s="1"/>
  <c r="AC14" i="32"/>
  <c r="L24" i="2" s="1"/>
  <c r="U14" i="32"/>
  <c r="K24" i="2" s="1"/>
  <c r="G13" i="32"/>
  <c r="F13" i="32"/>
  <c r="AK56" i="31"/>
  <c r="T34" i="2" s="1"/>
  <c r="AC56" i="31"/>
  <c r="S34" i="2" s="1"/>
  <c r="U56" i="31"/>
  <c r="R34" i="2" s="1"/>
  <c r="G55" i="31"/>
  <c r="F55" i="31"/>
  <c r="W53" i="31"/>
  <c r="AE53" i="31" s="1"/>
  <c r="AK52" i="31"/>
  <c r="T33" i="2" s="1"/>
  <c r="AC52" i="31"/>
  <c r="S33" i="2" s="1"/>
  <c r="U52" i="31"/>
  <c r="R33" i="2" s="1"/>
  <c r="G51" i="31"/>
  <c r="F51" i="31"/>
  <c r="W49" i="31"/>
  <c r="AE49" i="31" s="1"/>
  <c r="AK48" i="31"/>
  <c r="T32" i="2" s="1"/>
  <c r="AC48" i="31"/>
  <c r="S32" i="2" s="1"/>
  <c r="U48" i="31"/>
  <c r="R32" i="2" s="1"/>
  <c r="G47" i="31"/>
  <c r="F47" i="31"/>
  <c r="W45" i="31"/>
  <c r="AE45" i="31" s="1"/>
  <c r="AK44" i="31"/>
  <c r="T31" i="2" s="1"/>
  <c r="AC44" i="31"/>
  <c r="S31" i="2" s="1"/>
  <c r="U44" i="31"/>
  <c r="R31" i="2" s="1"/>
  <c r="G43" i="31"/>
  <c r="F43" i="31"/>
  <c r="W41" i="31"/>
  <c r="AE41" i="31" s="1"/>
  <c r="AK40" i="31"/>
  <c r="T30" i="2" s="1"/>
  <c r="AC40" i="31"/>
  <c r="S30" i="2" s="1"/>
  <c r="U40" i="31"/>
  <c r="R30" i="2" s="1"/>
  <c r="G39" i="31"/>
  <c r="F39" i="31"/>
  <c r="W37" i="31"/>
  <c r="AE37" i="31" s="1"/>
  <c r="AK36" i="31"/>
  <c r="T29" i="2" s="1"/>
  <c r="AC36" i="31"/>
  <c r="S29" i="2" s="1"/>
  <c r="U36" i="31"/>
  <c r="R29" i="2" s="1"/>
  <c r="G35" i="31"/>
  <c r="F35" i="31"/>
  <c r="W33" i="31"/>
  <c r="AE33" i="31" s="1"/>
  <c r="AK32" i="31"/>
  <c r="T28" i="2" s="1"/>
  <c r="AC32" i="31"/>
  <c r="S28" i="2" s="1"/>
  <c r="U32" i="31"/>
  <c r="R28" i="2" s="1"/>
  <c r="G31" i="31"/>
  <c r="F31" i="31"/>
  <c r="W29" i="31"/>
  <c r="AE29" i="31" s="1"/>
  <c r="AK28" i="31"/>
  <c r="T27" i="2" s="1"/>
  <c r="AC28" i="31"/>
  <c r="S27" i="2" s="1"/>
  <c r="U28" i="31"/>
  <c r="R27" i="2" s="1"/>
  <c r="G27" i="31"/>
  <c r="F27" i="31"/>
  <c r="W25" i="31"/>
  <c r="AE25" i="31" s="1"/>
  <c r="AK20" i="31"/>
  <c r="T26" i="2" s="1"/>
  <c r="AC20" i="31"/>
  <c r="S26" i="2" s="1"/>
  <c r="U20" i="31"/>
  <c r="R26" i="2" s="1"/>
  <c r="G19" i="31"/>
  <c r="F19" i="31"/>
  <c r="W17" i="31"/>
  <c r="AE17" i="31" s="1"/>
  <c r="AK16" i="31"/>
  <c r="T25" i="2" s="1"/>
  <c r="AC16" i="31"/>
  <c r="S25" i="2" s="1"/>
  <c r="U16" i="31"/>
  <c r="R25" i="2" s="1"/>
  <c r="G15" i="31"/>
  <c r="F15" i="31"/>
  <c r="W13" i="31"/>
  <c r="AE13" i="31" s="1"/>
  <c r="AK12" i="31"/>
  <c r="T24" i="2" s="1"/>
  <c r="AC12" i="31"/>
  <c r="S24" i="2" s="1"/>
  <c r="U12" i="31"/>
  <c r="R24" i="2" s="1"/>
  <c r="G11" i="31"/>
  <c r="F11" i="31"/>
  <c r="AN52" i="30"/>
  <c r="AA34" i="2" s="1"/>
  <c r="AE52" i="30"/>
  <c r="Z34" i="2" s="1"/>
  <c r="U52" i="30"/>
  <c r="Y34" i="2" s="1"/>
  <c r="G51" i="30"/>
  <c r="F51" i="30"/>
  <c r="Y49" i="30"/>
  <c r="AH49" i="30" s="1"/>
  <c r="AN48" i="30"/>
  <c r="AA33" i="2" s="1"/>
  <c r="AE48" i="30"/>
  <c r="Z33" i="2" s="1"/>
  <c r="U48" i="30"/>
  <c r="Y33" i="2" s="1"/>
  <c r="G47" i="30"/>
  <c r="F47" i="30"/>
  <c r="Y45" i="30"/>
  <c r="AH45" i="30" s="1"/>
  <c r="AN44" i="30"/>
  <c r="AA32" i="2" s="1"/>
  <c r="AE44" i="30"/>
  <c r="Z32" i="2" s="1"/>
  <c r="U44" i="30"/>
  <c r="Y32" i="2" s="1"/>
  <c r="G43" i="30"/>
  <c r="F43" i="30"/>
  <c r="Y41" i="30"/>
  <c r="AH41" i="30" s="1"/>
  <c r="AN40" i="30"/>
  <c r="AA31" i="2" s="1"/>
  <c r="AE40" i="30"/>
  <c r="Z31" i="2" s="1"/>
  <c r="U40" i="30"/>
  <c r="Y31" i="2" s="1"/>
  <c r="G39" i="30"/>
  <c r="F39" i="30"/>
  <c r="Y37" i="30"/>
  <c r="AH37" i="30" s="1"/>
  <c r="AN36" i="30"/>
  <c r="AA30" i="2" s="1"/>
  <c r="AE36" i="30"/>
  <c r="Z30" i="2" s="1"/>
  <c r="U36" i="30"/>
  <c r="Y30" i="2" s="1"/>
  <c r="G35" i="30"/>
  <c r="F35" i="30"/>
  <c r="Y33" i="30"/>
  <c r="AH33" i="30" s="1"/>
  <c r="AN32" i="30"/>
  <c r="AA29" i="2" s="1"/>
  <c r="AE32" i="30"/>
  <c r="Z29" i="2" s="1"/>
  <c r="U32" i="30"/>
  <c r="Y29" i="2" s="1"/>
  <c r="G31" i="30"/>
  <c r="F31" i="30"/>
  <c r="Y29" i="30"/>
  <c r="AH29" i="30" s="1"/>
  <c r="AN28" i="30"/>
  <c r="AA28" i="2" s="1"/>
  <c r="AE28" i="30"/>
  <c r="Z28" i="2" s="1"/>
  <c r="U28" i="30"/>
  <c r="Y28" i="2" s="1"/>
  <c r="G27" i="30"/>
  <c r="F27" i="30"/>
  <c r="Y25" i="30"/>
  <c r="AH25" i="30" s="1"/>
  <c r="AN24" i="30"/>
  <c r="AA27" i="2" s="1"/>
  <c r="AE24" i="30"/>
  <c r="Z27" i="2" s="1"/>
  <c r="U24" i="30"/>
  <c r="Y27" i="2" s="1"/>
  <c r="G23" i="30"/>
  <c r="F23" i="30"/>
  <c r="Y21" i="30"/>
  <c r="AH21" i="30" s="1"/>
  <c r="AN20" i="30"/>
  <c r="AE20" i="30"/>
  <c r="Z26" i="2" s="1"/>
  <c r="U20" i="30"/>
  <c r="G19" i="30"/>
  <c r="F19" i="30"/>
  <c r="Y17" i="30"/>
  <c r="AH17" i="30" s="1"/>
  <c r="AN16" i="30"/>
  <c r="AA25" i="2" s="1"/>
  <c r="AE16" i="30"/>
  <c r="Z25" i="2" s="1"/>
  <c r="U16" i="30"/>
  <c r="Y25" i="2" s="1"/>
  <c r="G15" i="30"/>
  <c r="F15" i="30"/>
  <c r="Y13" i="30"/>
  <c r="AH13" i="30" s="1"/>
  <c r="AN12" i="30"/>
  <c r="AA24" i="2" s="1"/>
  <c r="AE12" i="30"/>
  <c r="Z24" i="2" s="1"/>
  <c r="U12" i="30"/>
  <c r="Y24" i="2" s="1"/>
  <c r="G11" i="30"/>
  <c r="F11"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H43" i="25" s="1"/>
  <c r="B70" i="2" s="1"/>
  <c r="C70" i="2" s="1"/>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H27" i="25" s="1"/>
  <c r="B66" i="2" s="1"/>
  <c r="C66" i="2" s="1"/>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H11" i="25" s="1"/>
  <c r="B62" i="2" s="1"/>
  <c r="C62" i="2" s="1"/>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H47" i="18" s="1"/>
  <c r="W90" i="2" s="1"/>
  <c r="X90" i="2" s="1"/>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5" i="13"/>
  <c r="AC55" i="13"/>
  <c r="U55" i="13"/>
  <c r="G54" i="13"/>
  <c r="F54" i="13"/>
  <c r="W52" i="13"/>
  <c r="AE52" i="13" s="1"/>
  <c r="AK51" i="13"/>
  <c r="AC51" i="13"/>
  <c r="U51" i="13"/>
  <c r="G50" i="13"/>
  <c r="F50" i="13"/>
  <c r="W48" i="13"/>
  <c r="AE48" i="13" s="1"/>
  <c r="AK47" i="13"/>
  <c r="AC47" i="13"/>
  <c r="U47" i="13"/>
  <c r="G46" i="13"/>
  <c r="F46" i="13"/>
  <c r="W44" i="13"/>
  <c r="AE44" i="13" s="1"/>
  <c r="AK43" i="13"/>
  <c r="AC43" i="13"/>
  <c r="U43" i="13"/>
  <c r="G42" i="13"/>
  <c r="F42" i="13"/>
  <c r="W40" i="13"/>
  <c r="AE40" i="13" s="1"/>
  <c r="AK39" i="13"/>
  <c r="AC39" i="13"/>
  <c r="U39" i="13"/>
  <c r="G38" i="13"/>
  <c r="F38" i="13"/>
  <c r="W36" i="13"/>
  <c r="AE36" i="13" s="1"/>
  <c r="AK35" i="13"/>
  <c r="AC35" i="13"/>
  <c r="U35" i="13"/>
  <c r="G34" i="13"/>
  <c r="F34" i="13"/>
  <c r="W32" i="13"/>
  <c r="AE32" i="13" s="1"/>
  <c r="AK31" i="13"/>
  <c r="AC31" i="13"/>
  <c r="U31" i="13"/>
  <c r="G30" i="13"/>
  <c r="F30" i="13"/>
  <c r="W28" i="13"/>
  <c r="AE28" i="13" s="1"/>
  <c r="AK27" i="13"/>
  <c r="AC27" i="13"/>
  <c r="U27" i="13"/>
  <c r="G26" i="13"/>
  <c r="F26" i="13"/>
  <c r="W24" i="13"/>
  <c r="AE24" i="13" s="1"/>
  <c r="AK23" i="13"/>
  <c r="AC23" i="13"/>
  <c r="U23" i="13"/>
  <c r="G22" i="13"/>
  <c r="F22" i="13"/>
  <c r="W20" i="13"/>
  <c r="AE20" i="13" s="1"/>
  <c r="AK19" i="13"/>
  <c r="AC19" i="13"/>
  <c r="U19" i="13"/>
  <c r="R6" i="2" s="1"/>
  <c r="G18" i="13"/>
  <c r="F18" i="13"/>
  <c r="W16" i="13"/>
  <c r="AE16" i="13" s="1"/>
  <c r="AK15" i="13"/>
  <c r="AC15" i="13"/>
  <c r="U15" i="13"/>
  <c r="R5" i="2" s="1"/>
  <c r="G14" i="13"/>
  <c r="F14"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6" i="11"/>
  <c r="F34" i="2" s="1"/>
  <c r="AC56" i="11"/>
  <c r="E34" i="2" s="1"/>
  <c r="U56" i="11"/>
  <c r="D34" i="2" s="1"/>
  <c r="G55" i="11"/>
  <c r="F55" i="11"/>
  <c r="W53" i="11"/>
  <c r="AE53" i="11" s="1"/>
  <c r="AK52" i="11"/>
  <c r="F33" i="2" s="1"/>
  <c r="AC52" i="11"/>
  <c r="E33" i="2" s="1"/>
  <c r="U52" i="11"/>
  <c r="D33" i="2" s="1"/>
  <c r="G51" i="11"/>
  <c r="F51" i="11"/>
  <c r="W49" i="11"/>
  <c r="AE49" i="11" s="1"/>
  <c r="AK48" i="11"/>
  <c r="F32" i="2" s="1"/>
  <c r="AC48" i="11"/>
  <c r="E32" i="2" s="1"/>
  <c r="U48" i="11"/>
  <c r="D32" i="2" s="1"/>
  <c r="G47" i="11"/>
  <c r="F47" i="11"/>
  <c r="W45" i="11"/>
  <c r="AE45" i="11" s="1"/>
  <c r="AK44" i="11"/>
  <c r="AC44" i="11"/>
  <c r="E31" i="2" s="1"/>
  <c r="U44" i="11"/>
  <c r="D31" i="2" s="1"/>
  <c r="G43" i="11"/>
  <c r="F43" i="11"/>
  <c r="W41" i="11"/>
  <c r="AE41" i="11" s="1"/>
  <c r="AK40" i="11"/>
  <c r="F30" i="2" s="1"/>
  <c r="AC40" i="11"/>
  <c r="E30" i="2" s="1"/>
  <c r="U40" i="11"/>
  <c r="D30" i="2" s="1"/>
  <c r="G39" i="11"/>
  <c r="F39" i="11"/>
  <c r="W37" i="11"/>
  <c r="AE37" i="11" s="1"/>
  <c r="AK36" i="11"/>
  <c r="F29" i="2" s="1"/>
  <c r="AC36" i="11"/>
  <c r="E29" i="2" s="1"/>
  <c r="U36" i="11"/>
  <c r="D29" i="2" s="1"/>
  <c r="G35" i="11"/>
  <c r="F35" i="11"/>
  <c r="W33" i="11"/>
  <c r="AE33" i="11" s="1"/>
  <c r="AK32" i="11"/>
  <c r="F28" i="2" s="1"/>
  <c r="AC32" i="11"/>
  <c r="E28" i="2" s="1"/>
  <c r="U32" i="11"/>
  <c r="D28" i="2" s="1"/>
  <c r="G31" i="11"/>
  <c r="F31" i="11"/>
  <c r="W29" i="11"/>
  <c r="AE29" i="11" s="1"/>
  <c r="AK28" i="11"/>
  <c r="F27" i="2" s="1"/>
  <c r="AC28" i="11"/>
  <c r="E27" i="2" s="1"/>
  <c r="U28" i="11"/>
  <c r="D27" i="2" s="1"/>
  <c r="G27" i="11"/>
  <c r="F27" i="11"/>
  <c r="W25" i="11"/>
  <c r="AE25" i="11" s="1"/>
  <c r="AK24" i="11"/>
  <c r="F26" i="2" s="1"/>
  <c r="AC24" i="11"/>
  <c r="E26" i="2" s="1"/>
  <c r="U24" i="11"/>
  <c r="D26" i="2" s="1"/>
  <c r="G23" i="11"/>
  <c r="F23" i="11"/>
  <c r="W21" i="11"/>
  <c r="AE21" i="11" s="1"/>
  <c r="AK20" i="11"/>
  <c r="F25" i="2" s="1"/>
  <c r="AC20" i="11"/>
  <c r="E25" i="2" s="1"/>
  <c r="U20" i="11"/>
  <c r="D25" i="2" s="1"/>
  <c r="G19" i="11"/>
  <c r="F19" i="11"/>
  <c r="W17" i="11"/>
  <c r="AE17" i="11" s="1"/>
  <c r="AK16" i="11"/>
  <c r="F24" i="2" s="1"/>
  <c r="AC16" i="11"/>
  <c r="E24" i="2" s="1"/>
  <c r="U16" i="11"/>
  <c r="D24" i="2" s="1"/>
  <c r="G15" i="11"/>
  <c r="F15"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H39" i="10" s="1"/>
  <c r="I124" i="2" s="1"/>
  <c r="J124" i="2" s="1"/>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5" i="9"/>
  <c r="AC55" i="9"/>
  <c r="U55" i="9"/>
  <c r="G54" i="9"/>
  <c r="F54" i="9"/>
  <c r="W52" i="9"/>
  <c r="AE52" i="9" s="1"/>
  <c r="AK51" i="9"/>
  <c r="AC51" i="9"/>
  <c r="U51" i="9"/>
  <c r="G50" i="9"/>
  <c r="F50" i="9"/>
  <c r="W48" i="9"/>
  <c r="AE48" i="9" s="1"/>
  <c r="AK47" i="9"/>
  <c r="AC47" i="9"/>
  <c r="U47" i="9"/>
  <c r="G46" i="9"/>
  <c r="F46" i="9"/>
  <c r="W44" i="9"/>
  <c r="AE44" i="9" s="1"/>
  <c r="AK43" i="9"/>
  <c r="AC43" i="9"/>
  <c r="U43" i="9"/>
  <c r="G42" i="9"/>
  <c r="F42" i="9"/>
  <c r="W40" i="9"/>
  <c r="AE40" i="9" s="1"/>
  <c r="AK39" i="9"/>
  <c r="AC39" i="9"/>
  <c r="U39" i="9"/>
  <c r="G38" i="9"/>
  <c r="F38" i="9"/>
  <c r="W36" i="9"/>
  <c r="AE36" i="9" s="1"/>
  <c r="AK35" i="9"/>
  <c r="AC35" i="9"/>
  <c r="U35" i="9"/>
  <c r="G34" i="9"/>
  <c r="F34" i="9"/>
  <c r="W32" i="9"/>
  <c r="AE32" i="9" s="1"/>
  <c r="AK31" i="9"/>
  <c r="AC31" i="9"/>
  <c r="U31" i="9"/>
  <c r="G30" i="9"/>
  <c r="F30" i="9"/>
  <c r="W28" i="9"/>
  <c r="AE28" i="9" s="1"/>
  <c r="AK27" i="9"/>
  <c r="AC27" i="9"/>
  <c r="U27" i="9"/>
  <c r="G26" i="9"/>
  <c r="F26" i="9"/>
  <c r="W24" i="9"/>
  <c r="AE24" i="9" s="1"/>
  <c r="AK23" i="9"/>
  <c r="AC23" i="9"/>
  <c r="U23" i="9"/>
  <c r="G22" i="9"/>
  <c r="F22" i="9"/>
  <c r="W20" i="9"/>
  <c r="AE20" i="9" s="1"/>
  <c r="AK19" i="9"/>
  <c r="AC19" i="9"/>
  <c r="U19" i="9"/>
  <c r="Y6" i="2" s="1"/>
  <c r="G18" i="9"/>
  <c r="F18" i="9"/>
  <c r="W16" i="9"/>
  <c r="AE16" i="9" s="1"/>
  <c r="AK15" i="9"/>
  <c r="AC15" i="9"/>
  <c r="U15" i="9"/>
  <c r="Y5" i="2" s="1"/>
  <c r="G14" i="9"/>
  <c r="F14"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7" i="4"/>
  <c r="AC57" i="4"/>
  <c r="U57" i="4"/>
  <c r="K15" i="2" s="1"/>
  <c r="G56" i="4"/>
  <c r="F56" i="4"/>
  <c r="W54" i="4"/>
  <c r="AE54" i="4" s="1"/>
  <c r="AK53" i="4"/>
  <c r="M14" i="2" s="1"/>
  <c r="AC53" i="4"/>
  <c r="L14" i="2" s="1"/>
  <c r="U53" i="4"/>
  <c r="K14" i="2" s="1"/>
  <c r="G52" i="4"/>
  <c r="F52" i="4"/>
  <c r="W50" i="4"/>
  <c r="AE50" i="4" s="1"/>
  <c r="AK49" i="4"/>
  <c r="M13" i="2" s="1"/>
  <c r="AC49" i="4"/>
  <c r="L13" i="2" s="1"/>
  <c r="U49" i="4"/>
  <c r="K13" i="2" s="1"/>
  <c r="G48" i="4"/>
  <c r="F48" i="4"/>
  <c r="W46" i="4"/>
  <c r="AE46" i="4" s="1"/>
  <c r="AK45" i="4"/>
  <c r="M12" i="2" s="1"/>
  <c r="AC45" i="4"/>
  <c r="L12" i="2" s="1"/>
  <c r="U45" i="4"/>
  <c r="K12" i="2" s="1"/>
  <c r="G44" i="4"/>
  <c r="F44" i="4"/>
  <c r="W42" i="4"/>
  <c r="AE42" i="4" s="1"/>
  <c r="AK41" i="4"/>
  <c r="M11" i="2" s="1"/>
  <c r="AC41" i="4"/>
  <c r="L11" i="2" s="1"/>
  <c r="U41" i="4"/>
  <c r="K11" i="2" s="1"/>
  <c r="G40" i="4"/>
  <c r="F40" i="4"/>
  <c r="W38" i="4"/>
  <c r="AE38" i="4" s="1"/>
  <c r="AK37" i="4"/>
  <c r="M10" i="2" s="1"/>
  <c r="AC37" i="4"/>
  <c r="L10" i="2" s="1"/>
  <c r="U37" i="4"/>
  <c r="K10" i="2" s="1"/>
  <c r="G36" i="4"/>
  <c r="F36" i="4"/>
  <c r="W34" i="4"/>
  <c r="AE34" i="4" s="1"/>
  <c r="AK33" i="4"/>
  <c r="AC33" i="4"/>
  <c r="L9" i="2" s="1"/>
  <c r="U33" i="4"/>
  <c r="K9" i="2" s="1"/>
  <c r="G32" i="4"/>
  <c r="F32" i="4"/>
  <c r="W30" i="4"/>
  <c r="AE30" i="4" s="1"/>
  <c r="AK29" i="4"/>
  <c r="M8" i="2" s="1"/>
  <c r="AC29" i="4"/>
  <c r="L8" i="2" s="1"/>
  <c r="U29" i="4"/>
  <c r="K8" i="2" s="1"/>
  <c r="G28" i="4"/>
  <c r="F28" i="4"/>
  <c r="W26" i="4"/>
  <c r="AE26" i="4" s="1"/>
  <c r="AK25" i="4"/>
  <c r="M7" i="2" s="1"/>
  <c r="AC25" i="4"/>
  <c r="L7" i="2" s="1"/>
  <c r="U25" i="4"/>
  <c r="K7" i="2" s="1"/>
  <c r="G24" i="4"/>
  <c r="F24" i="4"/>
  <c r="W22" i="4"/>
  <c r="AE22" i="4" s="1"/>
  <c r="AK21" i="4"/>
  <c r="M6" i="2" s="1"/>
  <c r="AC21" i="4"/>
  <c r="L6" i="2" s="1"/>
  <c r="U21" i="4"/>
  <c r="K6" i="2" s="1"/>
  <c r="G20" i="4"/>
  <c r="F20" i="4"/>
  <c r="W18" i="4"/>
  <c r="AE18" i="4" s="1"/>
  <c r="AK17" i="4"/>
  <c r="M5" i="2" s="1"/>
  <c r="AC17" i="4"/>
  <c r="L5" i="2" s="1"/>
  <c r="U17" i="4"/>
  <c r="K5" i="2" s="1"/>
  <c r="AK54" i="1"/>
  <c r="F15" i="2" s="1"/>
  <c r="AK50" i="1"/>
  <c r="F14" i="2" s="1"/>
  <c r="AK46" i="1"/>
  <c r="F13" i="2" s="1"/>
  <c r="AK42" i="1"/>
  <c r="F12" i="2" s="1"/>
  <c r="AK38" i="1"/>
  <c r="F11" i="2" s="1"/>
  <c r="AK34" i="1"/>
  <c r="F10" i="2" s="1"/>
  <c r="AK30" i="1"/>
  <c r="M9" i="2" s="1"/>
  <c r="AK26" i="1"/>
  <c r="F8" i="2" s="1"/>
  <c r="AK22" i="1"/>
  <c r="F7" i="2" s="1"/>
  <c r="AK18" i="1"/>
  <c r="F6" i="2" s="1"/>
  <c r="AK14" i="1"/>
  <c r="F5" i="2" s="1"/>
  <c r="W15" i="1"/>
  <c r="AE15" i="1" s="1"/>
  <c r="W19" i="1"/>
  <c r="AE19" i="1" s="1"/>
  <c r="W23" i="1"/>
  <c r="AE23" i="1" s="1"/>
  <c r="W27" i="1"/>
  <c r="AE27" i="1" s="1"/>
  <c r="W31" i="1"/>
  <c r="AE31" i="1" s="1"/>
  <c r="W35" i="1"/>
  <c r="AE35" i="1" s="1"/>
  <c r="W39" i="1"/>
  <c r="AE39" i="1" s="1"/>
  <c r="W43" i="1"/>
  <c r="AE43" i="1" s="1"/>
  <c r="W47" i="1"/>
  <c r="AE47" i="1" s="1"/>
  <c r="W51" i="1"/>
  <c r="AE51" i="1" s="1"/>
  <c r="AC54" i="1"/>
  <c r="E15" i="2" s="1"/>
  <c r="AC50" i="1"/>
  <c r="E14" i="2" s="1"/>
  <c r="AC46" i="1"/>
  <c r="E13" i="2" s="1"/>
  <c r="AC42" i="1"/>
  <c r="E12" i="2" s="1"/>
  <c r="AC38" i="1"/>
  <c r="E11" i="2" s="1"/>
  <c r="AC34" i="1"/>
  <c r="E10" i="2" s="1"/>
  <c r="AC30" i="1"/>
  <c r="E9" i="2" s="1"/>
  <c r="AC26" i="1"/>
  <c r="E8" i="2" s="1"/>
  <c r="AC22" i="1"/>
  <c r="E7" i="2" s="1"/>
  <c r="AC18" i="1"/>
  <c r="E6" i="2" s="1"/>
  <c r="AC14" i="1"/>
  <c r="E5" i="2" s="1"/>
  <c r="U50" i="1"/>
  <c r="D14" i="2" s="1"/>
  <c r="U46" i="1"/>
  <c r="D13" i="2" s="1"/>
  <c r="U42" i="1"/>
  <c r="D12" i="2" s="1"/>
  <c r="U38" i="1"/>
  <c r="D11" i="2" s="1"/>
  <c r="U34" i="1"/>
  <c r="D10" i="2" s="1"/>
  <c r="U30" i="1"/>
  <c r="D9" i="2" s="1"/>
  <c r="U26" i="1"/>
  <c r="D8" i="2" s="1"/>
  <c r="U22" i="1"/>
  <c r="D7" i="2" s="1"/>
  <c r="U18" i="1"/>
  <c r="D6" i="2" s="1"/>
  <c r="U14" i="1"/>
  <c r="D5" i="2" s="1"/>
  <c r="U54" i="1"/>
  <c r="D15" i="2" s="1"/>
  <c r="H11" i="21" l="1"/>
  <c r="B81" i="2" s="1"/>
  <c r="C81" i="2" s="1"/>
  <c r="H57" i="1"/>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1" i="30"/>
  <c r="W29" i="2" s="1"/>
  <c r="X29" i="2" s="1"/>
  <c r="F74" i="2"/>
  <c r="H28"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3" i="30"/>
  <c r="W32" i="2" s="1"/>
  <c r="X32" i="2" s="1"/>
  <c r="H11" i="7"/>
  <c r="B135" i="2" s="1"/>
  <c r="C135" i="2" s="1"/>
  <c r="H43" i="7"/>
  <c r="B143" i="2" s="1"/>
  <c r="C143" i="2" s="1"/>
  <c r="I33" i="2"/>
  <c r="J33" i="2" s="1"/>
  <c r="H27" i="5"/>
  <c r="I139" i="2" s="1"/>
  <c r="J139" i="2" s="1"/>
  <c r="H35" i="5"/>
  <c r="I141" i="2" s="1"/>
  <c r="J141" i="2" s="1"/>
  <c r="H43" i="5"/>
  <c r="I143" i="2" s="1"/>
  <c r="J143" i="2" s="1"/>
  <c r="H27" i="7"/>
  <c r="B139" i="2" s="1"/>
  <c r="C139" i="2" s="1"/>
  <c r="H51" i="7"/>
  <c r="B145" i="2" s="1"/>
  <c r="C145" i="2" s="1"/>
  <c r="H22" i="9"/>
  <c r="W7" i="2" s="1"/>
  <c r="X7" i="2" s="1"/>
  <c r="H26" i="9"/>
  <c r="W8" i="2" s="1"/>
  <c r="X8" i="2" s="1"/>
  <c r="H30" i="9"/>
  <c r="W9" i="2" s="1"/>
  <c r="X9" i="2" s="1"/>
  <c r="H54" i="9"/>
  <c r="W15" i="2" s="1"/>
  <c r="X15" i="2" s="1"/>
  <c r="H15" i="10"/>
  <c r="I118" i="2" s="1"/>
  <c r="J118" i="2" s="1"/>
  <c r="H31" i="10"/>
  <c r="I122" i="2" s="1"/>
  <c r="J122" i="2" s="1"/>
  <c r="H47" i="10"/>
  <c r="I126" i="2" s="1"/>
  <c r="J126" i="2" s="1"/>
  <c r="H35" i="11"/>
  <c r="B29" i="2" s="1"/>
  <c r="C29" i="2" s="1"/>
  <c r="H47" i="11"/>
  <c r="B32" i="2" s="1"/>
  <c r="C32" i="2" s="1"/>
  <c r="H51" i="11"/>
  <c r="B33" i="2" s="1"/>
  <c r="C33" i="2" s="1"/>
  <c r="H55" i="11"/>
  <c r="B34" i="2" s="1"/>
  <c r="C34" i="2" s="1"/>
  <c r="H18" i="13"/>
  <c r="P6" i="2" s="1"/>
  <c r="Q6" i="2" s="1"/>
  <c r="H22" i="13"/>
  <c r="P7" i="2" s="1"/>
  <c r="Q7" i="2" s="1"/>
  <c r="H26" i="13"/>
  <c r="P8" i="2" s="1"/>
  <c r="Q8" i="2" s="1"/>
  <c r="H34" i="13"/>
  <c r="P10" i="2" s="1"/>
  <c r="Q10" i="2" s="1"/>
  <c r="H38" i="13"/>
  <c r="P12" i="2" s="1"/>
  <c r="Q12" i="2" s="1"/>
  <c r="H42" i="13"/>
  <c r="P13" i="2" s="1"/>
  <c r="Q13" i="2" s="1"/>
  <c r="H50" i="13"/>
  <c r="P15" i="2" s="1"/>
  <c r="Q15" i="2" s="1"/>
  <c r="H54" i="13"/>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9" i="31"/>
  <c r="P30" i="2" s="1"/>
  <c r="Q30" i="2" s="1"/>
  <c r="H17" i="32"/>
  <c r="I25" i="2" s="1"/>
  <c r="J25" i="2" s="1"/>
  <c r="S17" i="2"/>
  <c r="H20" i="4"/>
  <c r="I6" i="2" s="1"/>
  <c r="J6" i="2" s="1"/>
  <c r="H40" i="4"/>
  <c r="I11" i="2" s="1"/>
  <c r="J11" i="2" s="1"/>
  <c r="H24" i="4"/>
  <c r="I7" i="2" s="1"/>
  <c r="J7" i="2" s="1"/>
  <c r="H36" i="4"/>
  <c r="I10" i="2" s="1"/>
  <c r="J10" i="2" s="1"/>
  <c r="H56" i="4"/>
  <c r="I15" i="2" s="1"/>
  <c r="J15" i="2" s="1"/>
  <c r="H52" i="4"/>
  <c r="I14" i="2" s="1"/>
  <c r="J14" i="2" s="1"/>
  <c r="H14" i="9"/>
  <c r="W5" i="2" s="1"/>
  <c r="X5" i="2" s="1"/>
  <c r="R17" i="2"/>
  <c r="J6" i="3"/>
  <c r="AA82" i="2"/>
  <c r="Z82" i="2"/>
  <c r="T129" i="2"/>
  <c r="L6" i="3"/>
  <c r="H30" i="13"/>
  <c r="P9" i="2" s="1"/>
  <c r="Q9" i="2" s="1"/>
  <c r="H46" i="13"/>
  <c r="P14" i="2" s="1"/>
  <c r="Q14" i="2" s="1"/>
  <c r="S89" i="2"/>
  <c r="T89" i="2"/>
  <c r="K111" i="2"/>
  <c r="AA86" i="2"/>
  <c r="Z86" i="2"/>
  <c r="H8" i="3" s="1"/>
  <c r="M6" i="3"/>
  <c r="D6" i="3"/>
  <c r="F6" i="3"/>
  <c r="T83" i="2"/>
  <c r="S83" i="2"/>
  <c r="E8" i="3" s="1"/>
  <c r="G6" i="3"/>
  <c r="I5" i="2"/>
  <c r="J5" i="2" s="1"/>
  <c r="H48" i="4"/>
  <c r="I13" i="2" s="1"/>
  <c r="J13" i="2" s="1"/>
  <c r="H19" i="7"/>
  <c r="B137" i="2" s="1"/>
  <c r="C137" i="2" s="1"/>
  <c r="AA90" i="2"/>
  <c r="Z90" i="2"/>
  <c r="K147" i="2"/>
  <c r="H6" i="3"/>
  <c r="H44" i="4"/>
  <c r="I12" i="2" s="1"/>
  <c r="J12" i="2" s="1"/>
  <c r="H18" i="9"/>
  <c r="W6" i="2" s="1"/>
  <c r="X6" i="2" s="1"/>
  <c r="F55" i="2"/>
  <c r="AA88" i="2"/>
  <c r="Z88" i="2"/>
  <c r="S81" i="2"/>
  <c r="T81" i="2"/>
  <c r="T17" i="2"/>
  <c r="T91" i="2"/>
  <c r="S91" i="2"/>
  <c r="C6" i="3"/>
  <c r="K6" i="3"/>
  <c r="H32" i="4"/>
  <c r="I9" i="2" s="1"/>
  <c r="J9" i="2" s="1"/>
  <c r="S85" i="2"/>
  <c r="T85" i="2"/>
  <c r="E74" i="2"/>
  <c r="Z84" i="2"/>
  <c r="AA84" i="2"/>
  <c r="E93" i="2"/>
  <c r="H47" i="22"/>
  <c r="W71" i="2" s="1"/>
  <c r="X71" i="2" s="1"/>
  <c r="H35" i="23"/>
  <c r="P68" i="2" s="1"/>
  <c r="Q68" i="2" s="1"/>
  <c r="H39" i="27"/>
  <c r="P50" i="2" s="1"/>
  <c r="Q50" i="2" s="1"/>
  <c r="H15" i="28"/>
  <c r="I44" i="2" s="1"/>
  <c r="J44" i="2" s="1"/>
  <c r="H31" i="28"/>
  <c r="I48" i="2" s="1"/>
  <c r="J48" i="2" s="1"/>
  <c r="H35"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E10" i="3" s="1"/>
  <c r="H39" i="18"/>
  <c r="W88" i="2" s="1"/>
  <c r="X88" i="2" s="1"/>
  <c r="Z91" i="2"/>
  <c r="AA91" i="2"/>
  <c r="H19" i="19"/>
  <c r="P83" i="2" s="1"/>
  <c r="Q83" i="2" s="1"/>
  <c r="T86" i="2"/>
  <c r="H10" i="3" s="1"/>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31" i="31"/>
  <c r="P28" i="2" s="1"/>
  <c r="Q28" i="2" s="1"/>
  <c r="H41"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19" i="31"/>
  <c r="P26" i="2" s="1"/>
  <c r="Q26" i="2" s="1"/>
  <c r="H55" i="31"/>
  <c r="P34" i="2" s="1"/>
  <c r="Q34" i="2" s="1"/>
  <c r="H33"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1" i="31"/>
  <c r="P24" i="2" s="1"/>
  <c r="Q24" i="2" s="1"/>
  <c r="H47" i="31"/>
  <c r="P32" i="2" s="1"/>
  <c r="Q32" i="2" s="1"/>
  <c r="H25" i="32"/>
  <c r="I27" i="2" s="1"/>
  <c r="J27" i="2" s="1"/>
  <c r="H19" i="28"/>
  <c r="I45" i="2" s="1"/>
  <c r="J45" i="2" s="1"/>
  <c r="H35" i="28"/>
  <c r="I49" i="2" s="1"/>
  <c r="J49" i="2" s="1"/>
  <c r="H39"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5"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1" i="30"/>
  <c r="W24" i="2" s="1"/>
  <c r="X24" i="2" s="1"/>
  <c r="H15" i="30"/>
  <c r="W25" i="2" s="1"/>
  <c r="X25" i="2" s="1"/>
  <c r="H19" i="30"/>
  <c r="W26" i="2" s="1"/>
  <c r="X26" i="2" s="1"/>
  <c r="H23" i="30"/>
  <c r="W27" i="2" s="1"/>
  <c r="X27" i="2" s="1"/>
  <c r="H27" i="30"/>
  <c r="W28" i="2" s="1"/>
  <c r="X28" i="2" s="1"/>
  <c r="H47" i="30"/>
  <c r="W33" i="2" s="1"/>
  <c r="X33" i="2" s="1"/>
  <c r="H51" i="30"/>
  <c r="W34" i="2" s="1"/>
  <c r="X34" i="2" s="1"/>
  <c r="H51" i="31"/>
  <c r="P33" i="2" s="1"/>
  <c r="Q33" i="2" s="1"/>
  <c r="H43" i="31"/>
  <c r="P31" i="2" s="1"/>
  <c r="Q31" i="2" s="1"/>
  <c r="H35" i="31"/>
  <c r="P29" i="2" s="1"/>
  <c r="Q29" i="2" s="1"/>
  <c r="H27" i="31"/>
  <c r="P27" i="2" s="1"/>
  <c r="Q27" i="2" s="1"/>
  <c r="H15" i="31"/>
  <c r="P25" i="2" s="1"/>
  <c r="Q25" i="2" s="1"/>
  <c r="H57" i="32"/>
  <c r="I34" i="2" s="1"/>
  <c r="J34" i="2" s="1"/>
  <c r="H45" i="32"/>
  <c r="I32" i="2" s="1"/>
  <c r="J32" i="2" s="1"/>
  <c r="H37" i="32"/>
  <c r="I30" i="2" s="1"/>
  <c r="J30" i="2" s="1"/>
  <c r="H29" i="32"/>
  <c r="I28" i="2" s="1"/>
  <c r="J28" i="2" s="1"/>
  <c r="H21" i="32"/>
  <c r="I26" i="2" s="1"/>
  <c r="J26" i="2" s="1"/>
  <c r="H13" i="32"/>
  <c r="I24" i="2" s="1"/>
  <c r="J24" i="2" s="1"/>
  <c r="H43" i="11"/>
  <c r="B31" i="2" s="1"/>
  <c r="C31" i="2" s="1"/>
  <c r="H39" i="11"/>
  <c r="B30" i="2" s="1"/>
  <c r="C30" i="2" s="1"/>
  <c r="H31" i="11"/>
  <c r="B28" i="2" s="1"/>
  <c r="C28" i="2" s="1"/>
  <c r="H27" i="11"/>
  <c r="B27" i="2" s="1"/>
  <c r="C27" i="2" s="1"/>
  <c r="H23" i="11"/>
  <c r="B26" i="2" s="1"/>
  <c r="C26" i="2" s="1"/>
  <c r="H19" i="11"/>
  <c r="B25" i="2" s="1"/>
  <c r="C25" i="2" s="1"/>
  <c r="H50" i="9"/>
  <c r="W14" i="2" s="1"/>
  <c r="X14" i="2" s="1"/>
  <c r="H46" i="9"/>
  <c r="W13" i="2" s="1"/>
  <c r="X13" i="2" s="1"/>
  <c r="H42" i="9"/>
  <c r="W12" i="2" s="1"/>
  <c r="X12" i="2" s="1"/>
  <c r="H38" i="9"/>
  <c r="W11" i="2" s="1"/>
  <c r="X11" i="2" s="1"/>
  <c r="H34" i="9"/>
  <c r="W10" i="2" s="1"/>
  <c r="X10" i="2" s="1"/>
  <c r="L15" i="2"/>
  <c r="L17" i="2" s="1"/>
  <c r="I6" i="3"/>
  <c r="J8" i="3"/>
  <c r="F9" i="2"/>
  <c r="I10" i="3"/>
  <c r="H14" i="13"/>
  <c r="M15" i="2"/>
  <c r="AA93"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3" i="1"/>
  <c r="F53" i="1"/>
  <c r="G49" i="1"/>
  <c r="F49" i="1"/>
  <c r="G45" i="1"/>
  <c r="F45" i="1"/>
  <c r="G41" i="1"/>
  <c r="F41" i="1"/>
  <c r="G37" i="1"/>
  <c r="F37" i="1"/>
  <c r="G33" i="1"/>
  <c r="F33" i="1"/>
  <c r="G29" i="1"/>
  <c r="F29" i="1"/>
  <c r="G25" i="1"/>
  <c r="F25" i="1"/>
  <c r="G21" i="1"/>
  <c r="F21" i="1"/>
  <c r="G17" i="1"/>
  <c r="F17" i="1"/>
  <c r="G13" i="1"/>
  <c r="F13" i="1"/>
  <c r="P101" i="2" l="1"/>
  <c r="Q101" i="2" s="1"/>
  <c r="W111" i="2"/>
  <c r="W112" i="2" s="1"/>
  <c r="H17" i="1"/>
  <c r="B6" i="2" s="1"/>
  <c r="C6" i="2" s="1"/>
  <c r="P11" i="2"/>
  <c r="Q11" i="2" s="1"/>
  <c r="W74" i="2"/>
  <c r="W75" i="2" s="1"/>
  <c r="S93" i="2"/>
  <c r="K8" i="3"/>
  <c r="H13" i="1"/>
  <c r="B5" i="2" s="1"/>
  <c r="C5" i="2" s="1"/>
  <c r="P74" i="2"/>
  <c r="P75" i="2" s="1"/>
  <c r="F8" i="3"/>
  <c r="K10" i="3"/>
  <c r="C8" i="3"/>
  <c r="F10" i="3"/>
  <c r="H29"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3" i="1"/>
  <c r="B10" i="2" s="1"/>
  <c r="C10" i="2" s="1"/>
  <c r="B93" i="2"/>
  <c r="B94" i="2" s="1"/>
  <c r="H21"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5" i="1"/>
  <c r="B8" i="2" s="1"/>
  <c r="C8" i="2" s="1"/>
  <c r="H41" i="1"/>
  <c r="B12" i="2" s="1"/>
  <c r="C12" i="2" s="1"/>
  <c r="H49" i="1"/>
  <c r="B14" i="2" s="1"/>
  <c r="C14" i="2" s="1"/>
  <c r="H45" i="1"/>
  <c r="B13" i="2" s="1"/>
  <c r="C13" i="2" s="1"/>
  <c r="H37" i="1"/>
  <c r="B11" i="2" s="1"/>
  <c r="C11" i="2" s="1"/>
  <c r="H53" i="1"/>
  <c r="B15" i="2" s="1"/>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tc={D5D6D785-1DCE-4E86-89ED-408C1763EAAA}</author>
    <author>tc={DF09AB1B-3934-4CB9-96F1-08C91BB00AB5}</author>
    <author>tc={7D71117C-A2FE-4736-B042-1F06E4BFED1E}</author>
  </authors>
  <commentList>
    <comment ref="B2" authorId="0" shapeId="0" xr:uid="{D5D6D785-1DCE-4E86-89ED-408C1763EAAA}">
      <text>
        <t>[Comentário encadeado]
Sua versão do Excel permite que você leia este comentário encadeado, no entanto, as edições serão removidas se o arquivo for aberto em uma versão mais recente do Excel. Saiba mais: https://go.microsoft.com/fwlink/?linkid=870924
Comentário:
    Realizada a reserva do grupo B e ao chegar na loja não tinha o carro, então foi disponibilizado provisoriamente o Polo UEK4H95 do grupo EA.</t>
      </text>
    </comment>
    <comment ref="D19" authorId="1" shapeId="0" xr:uid="{DF09AB1B-3934-4CB9-96F1-08C91BB00AB5}">
      <text>
        <t>[Comentário encadeado]
Sua versão do Excel permite que você leia este comentário encadeado, no entanto, as edições serão removidas se o arquivo for aberto em uma versão mais recente do Excel. Saiba mais: https://go.microsoft.com/fwlink/?linkid=870924
Comentário:
    Realizada a reserva do grupo B e ao chegar na loja não tinha o carro, então foi disponibilizado provisoriamente o Polo UEK4H95 do grupo EA.</t>
      </text>
    </comment>
    <comment ref="D23" authorId="2" shapeId="0" xr:uid="{7D71117C-A2FE-4736-B042-1F06E4BFED1E}">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25/04/26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tc={E9EE9F1C-7627-471D-9606-6D2310A30F99}</author>
  </authors>
  <commentList>
    <comment ref="D19" authorId="0" shapeId="0" xr:uid="{E9EE9F1C-7627-471D-9606-6D2310A30F99}">
      <text>
        <t>[Comentário encadeado]
Sua versão do Excel permite que você leia este comentário encadeado, no entanto, as edições serão removidas se o arquivo for aberto em uma versão mais recente do Excel. Saiba mais: https://go.microsoft.com/fwlink/?linkid=870924
Comentário:
    Locação 20/04/26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tc={570B4BFC-89AE-44D0-AA39-6E26EC1C4E02}</author>
    <author>tc={81DD335C-7A18-4F2E-88AE-7E38C0DD31EB}</author>
    <author>tc={B8DDF77F-7B61-4B5A-A6F4-016A7110E0BE}</author>
    <author>Administrativo2</author>
    <author>tc={44565909-F75C-440A-9FF7-B98C8300D8BC}</author>
    <author>tc={BEE343BF-D97F-4388-BB2E-A0E9B10FDD6B}</author>
    <author>tc={76FF8AEC-D1BF-43B7-98D6-7CF164C515C1}</author>
  </authors>
  <commentList>
    <comment ref="E4" authorId="0" shapeId="0" xr:uid="{570B4BFC-89AE-44D0-AA39-6E26EC1C4E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
      </text>
    </comment>
    <comment ref="B5" authorId="1" shapeId="0" xr:uid="{81DD335C-7A18-4F2E-88AE-7E38C0DD31E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
      </text>
    </comment>
    <comment ref="E5" authorId="2" shapeId="0" xr:uid="{B8DDF77F-7B61-4B5A-A6F4-016A7110E0BE}">
      <text>
        <t>[Comentário encadeado]
Sua versão do Excel permite que você leia este comentário encadeado, no entanto, as edições serão removidas se o arquivo for aberto em uma versão mais recente do Excel. Saiba mais: https://go.microsoft.com/fwlink/?linkid=870924
Comentário:
    Rastreador Unidas - 3s - os veículos anteriores era Recife GPS</t>
      </text>
    </comment>
    <comment ref="E45" authorId="3" shapeId="0" xr:uid="{22DA49FD-C000-4F50-8C42-D4107522ACCF}">
      <text>
        <r>
          <rPr>
            <b/>
            <sz val="9"/>
            <color indexed="81"/>
            <rFont val="Segoe UI"/>
            <family val="2"/>
          </rPr>
          <t>Devolução_substituição TCY1C25 25/10/25</t>
        </r>
        <r>
          <rPr>
            <sz val="9"/>
            <color indexed="81"/>
            <rFont val="Segoe UI"/>
            <family val="2"/>
          </rPr>
          <t xml:space="preserve">
</t>
        </r>
      </text>
    </comment>
    <comment ref="M48" authorId="3" shapeId="0" xr:uid="{0D53E369-500D-4346-A233-08B97C1C2622}">
      <text>
        <r>
          <rPr>
            <b/>
            <sz val="9"/>
            <color indexed="81"/>
            <rFont val="Segoe UI"/>
            <family val="2"/>
          </rPr>
          <t>Subsituição do veículo</t>
        </r>
        <r>
          <rPr>
            <sz val="9"/>
            <color indexed="81"/>
            <rFont val="Segoe UI"/>
            <family val="2"/>
          </rPr>
          <t xml:space="preserve">
</t>
        </r>
      </text>
    </comment>
    <comment ref="D49" authorId="3" shapeId="0" xr:uid="{4CACAC87-4235-400C-986B-CB3C4D539ACE}">
      <text>
        <r>
          <rPr>
            <sz val="9"/>
            <color indexed="81"/>
            <rFont val="Segoe UI"/>
            <family val="2"/>
          </rPr>
          <t xml:space="preserve">Substituição_Retirada TCV9F12 - 25/10/2025
</t>
        </r>
      </text>
    </comment>
    <comment ref="B53" authorId="3" shapeId="0" xr:uid="{63DAA013-0C37-4EF8-B2B5-FEEDADCFAF0A}">
      <text>
        <r>
          <rPr>
            <b/>
            <sz val="9"/>
            <color indexed="81"/>
            <rFont val="Segoe UI"/>
            <family val="2"/>
          </rPr>
          <t>substituição_retirada 01/11/2025</t>
        </r>
        <r>
          <rPr>
            <sz val="9"/>
            <color indexed="81"/>
            <rFont val="Segoe UI"/>
            <family val="2"/>
          </rPr>
          <t xml:space="preserve">
</t>
        </r>
      </text>
    </comment>
    <comment ref="C73" authorId="4" shapeId="0" xr:uid="{44565909-F75C-440A-9FF7-B98C8300D8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
      </text>
    </comment>
    <comment ref="B77" authorId="5" shapeId="0" xr:uid="{BEE343BF-D97F-4388-BB2E-A0E9B10FDD6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
      </text>
    </comment>
    <comment ref="C85" authorId="6" shapeId="0" xr:uid="{76FF8AEC-D1BF-43B7-98D6-7CF164C515C1}">
      <text>
        <t>[Comentário encadeado]
Sua versão do Excel permite que você leia este comentário encadeado, no entanto, as edições serão removidas se o arquivo for aberto em uma versão mais recente do Excel. Saiba mais: https://go.microsoft.com/fwlink/?linkid=870924
Comentário:
    Devolução 06/06/2026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tc={F5C85336-221F-45D4-8D7C-37ED7D26C869}</author>
  </authors>
  <commentList>
    <comment ref="D19" authorId="0" shapeId="0" xr:uid="{F5C85336-221F-45D4-8D7C-37ED7D26C8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Retirada 20/04/2026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tc={A252E5E1-39E6-4C6A-9223-197DA7902518}</author>
    <author>tc={AAF04E51-504D-42F4-96D2-076CBC3E77DC}</author>
    <author>Administrativo2</author>
    <author>tc={E25C452C-4036-4255-A41E-9B25C0EA7733}</author>
    <author>tc={7523F8F9-9B56-4C2B-9C6B-0DF194786F1D}</author>
    <author>tc={576F8809-3040-43B2-8B84-EC0E0F0BFF5E}</author>
    <author>tc={FAD49311-0E37-493F-AFCF-346349E71C1A}</author>
    <author>tc={B6C96D42-FE2C-498C-AF3F-6FB577F90035}</author>
  </authors>
  <commentList>
    <comment ref="I3" authorId="0" shapeId="0" xr:uid="{A252E5E1-39E6-4C6A-9223-197DA790251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FZP1E71 locado 18/01/25 por Isaac e em 13/03/26 com 31.871km foi transferido para Ualace.
</t>
      </text>
    </comment>
    <comment ref="B4" authorId="1" shapeId="0" xr:uid="{AAF04E51-504D-42F4-96D2-076CBC3E77D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Motivo Substituição FZP1E71: 
Ualace identificou um barulho no veículo, levou o carro 2x na oficina e na segunda identificou que o barulho seria na pinça de freio traseiro, o carro ficou na oficina de sexta 20/03 até a segunda 24/03 aguardando aprovação e, como ainda não constava a autorização, o veículo foi retirado da oficina porque a ausência iria impactar nas atividades, mesmo quando houvesse aprovação, a oficina só teria a peça com mais alguns dias para frente.
</t>
      </text>
    </comment>
    <comment ref="D31" authorId="2" shapeId="0" xr:uid="{B880125E-9141-40B7-B5EE-22C1CA4ED1B0}">
      <text>
        <r>
          <rPr>
            <sz val="9"/>
            <color indexed="81"/>
            <rFont val="Segoe UI"/>
            <family val="2"/>
          </rPr>
          <t xml:space="preserve">23/06/25 15.993km - 26/06/2025 17.064km - Utilizado 1071km
</t>
        </r>
      </text>
    </comment>
    <comment ref="B67" authorId="3" shapeId="0" xr:uid="{E25C452C-4036-4255-A41E-9B25C0EA7733}">
      <text>
        <t>[Comentário encadeado]
Sua versão do Excel permite que você leia este comentário encadeado, no entanto, as edições serão removidas se o arquivo for aberto em uma versão mais recente do Excel. Saiba mais: https://go.microsoft.com/fwlink/?linkid=870924
Comentário:
    TCross FZP1E71 - Isaac_carona ao cliente Jose Marcelo - Uso particular 06 a 07.03.2026 (utilizado 726km - Belo Horizonte)</t>
      </text>
    </comment>
    <comment ref="C67" authorId="4" shapeId="0" xr:uid="{7523F8F9-9B56-4C2B-9C6B-0DF194786F1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FZP1E71 locado 18/01/25 por Isaac e em 13/03/26 com 31.871km foi transferido para Ualace.
</t>
      </text>
    </comment>
    <comment ref="E67" authorId="5" shapeId="0" xr:uid="{576F8809-3040-43B2-8B84-EC0E0F0BFF5E}">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28/03/26</t>
      </text>
    </comment>
    <comment ref="B71" authorId="6" shapeId="0" xr:uid="{FAD49311-0E37-493F-AFCF-346349E71C1A}">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28/03/2026</t>
      </text>
    </comment>
    <comment ref="E71" authorId="7" shapeId="0" xr:uid="{B6C96D42-FE2C-498C-AF3F-6FB577F900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Devolução 21/04/2026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tc={3EA0E826-EA04-4CD7-91D3-1838E408ACA8}</author>
    <author>Administrativo2</author>
    <author>tc={BD116B6B-A756-4913-892C-F0430AF4F825}</author>
  </authors>
  <commentList>
    <comment ref="K5" authorId="0" shapeId="0" xr:uid="{3EA0E826-EA04-4CD7-91D3-1838E408AC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Devolvido em Montes Claros MG </t>
      </text>
    </comment>
    <comment ref="B24" authorId="1" shapeId="0" xr:uid="{674AC77F-A1DA-4432-AB2B-7AC9F1148CA2}">
      <text>
        <r>
          <rPr>
            <b/>
            <sz val="9"/>
            <color indexed="81"/>
            <rFont val="Segoe UI"/>
            <family val="2"/>
          </rPr>
          <t>Administrativo2:</t>
        </r>
        <r>
          <rPr>
            <sz val="9"/>
            <color indexed="81"/>
            <rFont val="Segoe UI"/>
            <family val="2"/>
          </rPr>
          <t xml:space="preserve">
Retirada (substituição) SVW5E64 em 04/04/2025
</t>
        </r>
      </text>
    </comment>
    <comment ref="D48" authorId="1" shapeId="0" xr:uid="{85410DC0-AD7D-4738-A7E5-363912A6EBF1}">
      <text>
        <r>
          <rPr>
            <b/>
            <sz val="9"/>
            <color indexed="81"/>
            <rFont val="Segoe UI"/>
            <family val="2"/>
          </rPr>
          <t>Uso particular
Tcross SVW5E64 17/10 - 28.119km a 22/10/25 - 29.929km - utilizado 1810km</t>
        </r>
        <r>
          <rPr>
            <sz val="9"/>
            <color indexed="81"/>
            <rFont val="Segoe UI"/>
            <family val="2"/>
          </rPr>
          <t xml:space="preserve">
</t>
        </r>
      </text>
    </comment>
    <comment ref="D52" authorId="1" shapeId="0" xr:uid="{29F1CF8C-D9DD-4443-96AD-F6FEF552916A}">
      <text>
        <r>
          <rPr>
            <b/>
            <sz val="9"/>
            <color indexed="81"/>
            <rFont val="Segoe UI"/>
            <family val="2"/>
          </rPr>
          <t xml:space="preserve">de 18 a 23/11/25 o veículo estava com Ualace
</t>
        </r>
        <r>
          <rPr>
            <sz val="9"/>
            <color indexed="81"/>
            <rFont val="Segoe UI"/>
            <family val="2"/>
          </rPr>
          <t xml:space="preserve">
</t>
        </r>
      </text>
    </comment>
    <comment ref="E72" authorId="2" shapeId="0" xr:uid="{BD116B6B-A756-4913-892C-F0430AF4F825}">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20/04/26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tc={7ECB04C1-1E17-4260-B761-3210736A0299}</author>
    <author>Administrativo2</author>
    <author>tc={A482663B-BF31-4493-8741-248AD462478A}</author>
    <author>tc={1F107CC0-19ED-40BC-A6E0-B45B05E1EBA8}</author>
    <author>tc={14FA7ADD-84BC-48C4-B72A-C0E156BE2844}</author>
  </authors>
  <commentList>
    <comment ref="K4" authorId="0" shapeId="0" xr:uid="{7ECB04C1-1E17-4260-B761-3210736A029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
</t>
      </text>
    </comment>
    <comment ref="D34" authorId="1" shapeId="0" xr:uid="{33D34EBC-59E2-44E5-861D-DFEF314BD062}">
      <text>
        <r>
          <rPr>
            <b/>
            <sz val="9"/>
            <color indexed="81"/>
            <rFont val="Segoe UI"/>
            <family val="2"/>
          </rPr>
          <t xml:space="preserve">
Uso Particular Ednei:</t>
        </r>
        <r>
          <rPr>
            <sz val="9"/>
            <color indexed="81"/>
            <rFont val="Segoe UI"/>
            <family val="2"/>
          </rPr>
          <t xml:space="preserve">19/07/25: 14.456km - 20/07/25: 14.635km </t>
        </r>
        <r>
          <rPr>
            <b/>
            <sz val="9"/>
            <color indexed="81"/>
            <rFont val="Segoe UI"/>
            <family val="2"/>
          </rPr>
          <t>- Utilizado 179km</t>
        </r>
        <r>
          <rPr>
            <sz val="9"/>
            <color indexed="81"/>
            <rFont val="Segoe UI"/>
            <family val="2"/>
          </rPr>
          <t xml:space="preserve">
</t>
        </r>
      </text>
    </comment>
    <comment ref="E58" authorId="2" shapeId="0" xr:uid="{A482663B-BF31-4493-8741-248AD462478A}">
      <text>
        <t>[Comentário encadeado]
Sua versão do Excel permite que você leia este comentário encadeado, no entanto, as edições serão removidas se o arquivo for aberto em uma versão mais recente do Excel. Saiba mais: https://go.microsoft.com/fwlink/?linkid=870924
Comentário:
    Uso particular de 31/01 a 01/02/26 - utilizado 128km</t>
      </text>
    </comment>
    <comment ref="E62" authorId="3" shapeId="0" xr:uid="{1F107CC0-19ED-40BC-A6E0-B45B05E1EBA8}">
      <text>
        <t>[Comentário encadeado]
Sua versão do Excel permite que você leia este comentário encadeado, no entanto, as edições serão removidas se o arquivo for aberto em uma versão mais recente do Excel. Saiba mais: https://go.microsoft.com/fwlink/?linkid=870924
Comentário:
    19/02 a 02/03 veículo com Ualace - folga de Ednei</t>
      </text>
    </comment>
    <comment ref="C70" authorId="4" shapeId="0" xr:uid="{14FA7ADD-84BC-48C4-B72A-C0E156BE28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tc={9A75A930-1DD8-4415-8B12-3FF43699EAD6}</author>
    <author>tc={9D002B29-805D-4F3F-A08E-BA9171F19CAA}</author>
    <author>tc={A8E59C7B-7DA6-4B05-80C4-88BAC351A21B}</author>
    <author>Administrativo2</author>
    <author>tc={8456C834-864B-4272-88EB-E3BBAAB8BC8F}</author>
    <author>tc={B5FC3E5B-8907-465A-B568-96133EE5D5F6}</author>
    <author>tc={4B32893B-7DEA-4BE0-ABE1-409D73D33D0E}</author>
  </authors>
  <commentList>
    <comment ref="E2" authorId="0" shapeId="0" xr:uid="{9A75A930-1DD8-4415-8B12-3FF43699EAD6}">
      <text>
        <t>[Comentário encadeado]
Sua versão do Excel permite que você leia este comentário encadeado, no entanto, as edições serão removidas se o arquivo for aberto em uma versão mais recente do Excel. Saiba mais: https://go.microsoft.com/fwlink/?linkid=870924
Comentário:
    DKU8J41 Guincho_Substituição 28/02/2026 - Veículo parou de funcionar, ascendia as luzes do painel mas não dava partida, a unidas enviou mecânico para dar recarga na bateria e não funcionou, precisou ser guinchado.</t>
      </text>
    </comment>
    <comment ref="B3" authorId="1" shapeId="0" xr:uid="{9D002B29-805D-4F3F-A08E-BA9171F19CAA}">
      <text>
        <t>[Comentário encadeado]
Sua versão do Excel permite que você leia este comentário encadeado, no entanto, as edições serão removidas se o arquivo for aberto em uma versão mais recente do Excel. Saiba mais: https://go.microsoft.com/fwlink/?linkid=870924
Comentário:
    DKU8J41 Guincho_Substituição 28/02/2026 - Veículo parou de funcionar, ascendia as luzes do painel mas não dava partida, a unidas enviou mecânico para dar recarga na bateria e não funcionou, precisou ser guinchado.</t>
      </text>
    </comment>
    <comment ref="E4" authorId="2" shapeId="0" xr:uid="{A8E59C7B-7DA6-4B05-80C4-88BAC351A21B}">
      <text>
        <t>[Comentário encadeado]
Sua versão do Excel permite que você leia este comentário encadeado, no entanto, as edições serão removidas se o arquivo for aberto em uma versão mais recente do Excel. Saiba mais: https://go.microsoft.com/fwlink/?linkid=870924
Comentário:
    Desisntalado em 26/02/26 Recife GPS - Substituição do veículo - novo carro TDY8E51 telemetria Unidas</t>
      </text>
    </comment>
    <comment ref="C38" authorId="3" shapeId="0" xr:uid="{24803B92-EA38-4D6C-B6B5-F52B0BCC6E8B}">
      <text>
        <r>
          <rPr>
            <b/>
            <sz val="9"/>
            <color indexed="81"/>
            <rFont val="Segoe UI"/>
            <family val="2"/>
          </rPr>
          <t>quilometragem do dia 12/08/25 - Wendel ficará de folga no período 12 a 26/08/2025 e o veículo ficará parado em sua residencia na obra.</t>
        </r>
        <r>
          <rPr>
            <sz val="9"/>
            <color indexed="81"/>
            <rFont val="Segoe UI"/>
            <family val="2"/>
          </rPr>
          <t xml:space="preserve">
</t>
        </r>
      </text>
    </comment>
    <comment ref="E62" authorId="4" shapeId="0" xr:uid="{8456C834-864B-4272-88EB-E3BBAAB8BC8F}">
      <text>
        <t>[Comentário encadeado]
Sua versão do Excel permite que você leia este comentário encadeado, no entanto, as edições serão removidas se o arquivo for aberto em uma versão mais recente do Excel. Saiba mais: https://go.microsoft.com/fwlink/?linkid=870924
Comentário:
    DKU8J41 Guincho_Substituição 28/02/2026 - Veículo parou de funcionar, ascendia as luzes do painel mas não dava partida, a unidas enviou mecânico para dar recarga na bateria e não funcionou, precisou ser guinchado.</t>
      </text>
    </comment>
    <comment ref="B66" authorId="5" shapeId="0" xr:uid="{B5FC3E5B-8907-465A-B568-96133EE5D5F6}">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28/02/26</t>
      </text>
    </comment>
    <comment ref="E66" authorId="6" shapeId="0" xr:uid="{4B32893B-7DEA-4BE0-ABE1-409D73D33D0E}">
      <text>
        <t>[Comentário encadeado]
Sua versão do Excel permite que você leia este comentário encadeado, no entanto, as edições serão removidas se o arquivo for aberto em uma versão mais recente do Excel. Saiba mais: https://go.microsoft.com/fwlink/?linkid=870924
Comentário:
    Devolução 01/04/26</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tc={6CF64121-8780-464F-A207-EDE243881379}</author>
    <author>Recepção</author>
    <author>tc={08723C60-82D7-472A-99BE-7E978F00C8F1}</author>
    <author>tc={49B86375-CC33-4A64-881C-4A23A9979941}</author>
    <author>tc={E79C895C-8BB7-467F-94BA-53391DCE72D0}</author>
  </authors>
  <commentList>
    <comment ref="I5" authorId="0" shapeId="0" xr:uid="{6CF64121-8780-464F-A207-EDE243881379}">
      <text>
        <t>[Comentário encadeado]
Sua versão do Excel permite que você leia este comentário encadeado, no entanto, as edições serão removidas se o arquivo for aberto em uma versão mais recente do Excel. Saiba mais: https://go.microsoft.com/fwlink/?linkid=870924
Comentário:
    Lazaro saiu do projeto e repassou o veículo TXD7J30 para Ualace no dia 06/03/26, com 19.951km</t>
      </text>
    </comment>
    <comment ref="C65" authorId="1" shapeId="0" xr:uid="{45935FF3-5089-410B-AFBC-B91D107919DC}">
      <text>
        <r>
          <rPr>
            <b/>
            <sz val="9"/>
            <color indexed="81"/>
            <rFont val="Segoe UI"/>
            <family val="2"/>
          </rPr>
          <t>Recepção:</t>
        </r>
        <r>
          <rPr>
            <sz val="9"/>
            <color indexed="81"/>
            <rFont val="Segoe UI"/>
            <family val="2"/>
          </rPr>
          <t xml:space="preserve">
Substituição 15/03/2025 Tcross Devolvido SYD7D49 - Tcross retirado SVR2H85</t>
        </r>
      </text>
    </comment>
    <comment ref="E109" authorId="2" shapeId="0" xr:uid="{08723C60-82D7-472A-99BE-7E978F00C8F1}">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28/02/2026 (solicitado pela locadora)</t>
      </text>
    </comment>
    <comment ref="B113" authorId="3" shapeId="0" xr:uid="{49B86375-CC33-4A64-881C-4A23A99799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28/02/2026
Responder:
    Lazaro saiu do projeto e repassou o veículo TXD7J30 para Ualace no dia 06/03/26, com 19.951km
</t>
      </text>
    </comment>
    <comment ref="C113" authorId="4" shapeId="0" xr:uid="{E79C895C-8BB7-467F-94BA-53391DCE72D0}">
      <text>
        <t>[Comentário encadeado]
Sua versão do Excel permite que você leia este comentário encadeado, no entanto, as edições serão removidas se o arquivo for aberto em uma versão mais recente do Excel. Saiba mais: https://go.microsoft.com/fwlink/?linkid=870924
Comentário:
    Devolvido 14/03/26</t>
      </text>
    </comment>
  </commentList>
</comments>
</file>

<file path=xl/sharedStrings.xml><?xml version="1.0" encoding="utf-8"?>
<sst xmlns="http://schemas.openxmlformats.org/spreadsheetml/2006/main" count="8845" uniqueCount="135">
  <si>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</si>
  <si>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</si>
  <si>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</si>
  <si>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</si>
  <si>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</si>
  <si>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</si>
  <si>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</si>
  <si>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</si>
  <si>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</si>
  <si>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</si>
  <si>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</si>
  <si>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</si>
  <si>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</si>
  <si>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</si>
  <si>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</si>
  <si>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</si>
  <si>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</si>
  <si>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</si>
  <si>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</si>
  <si>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</si>
  <si>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</si>
  <si>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</si>
  <si>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</si>
  <si>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</si>
  <si>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</si>
  <si>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</si>
  <si>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</si>
  <si>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</si>
  <si>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</si>
  <si>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</si>
  <si>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</si>
  <si>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</si>
  <si>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</si>
  <si>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</si>
  <si>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</si>
  <si>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</si>
  <si>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</si>
  <si>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</si>
  <si>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</si>
  <si>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</si>
  <si>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</si>
  <si>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</si>
  <si>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</si>
  <si>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</si>
  <si>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</si>
  <si>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</si>
  <si>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</si>
  <si>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</si>
  <si>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</si>
  <si>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</si>
  <si>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</si>
  <si>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</si>
  <si>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</si>
  <si>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</si>
  <si>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</si>
  <si>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</si>
  <si>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</si>
  <si>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</si>
  <si>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</si>
  <si>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</si>
  <si>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</si>
  <si>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</si>
  <si>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</si>
  <si>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</si>
  <si>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</si>
  <si>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</si>
  <si>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</si>
  <si>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</si>
  <si>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</si>
  <si>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</si>
  <si>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</si>
  <si>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</si>
  <si>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CAR_07</t>
  </si>
  <si>
    <t>CAR_06</t>
  </si>
  <si>
    <t>CAR_05</t>
  </si>
  <si>
    <t>Substituição (data)</t>
  </si>
  <si>
    <t>Modelo</t>
  </si>
  <si>
    <t xml:space="preserve">UFV RIACHO </t>
  </si>
  <si>
    <t>CAR_01</t>
  </si>
  <si>
    <t>CAR_02</t>
  </si>
  <si>
    <t>CAR_03</t>
  </si>
  <si>
    <t>CAR_04</t>
  </si>
  <si>
    <t>SYD7D49</t>
  </si>
  <si>
    <t>Janeiro</t>
  </si>
  <si>
    <t>Creta</t>
  </si>
  <si>
    <t>SIX0G88</t>
  </si>
  <si>
    <t>Polo Track</t>
  </si>
  <si>
    <t>DKU8J41</t>
  </si>
  <si>
    <t>HB20</t>
  </si>
  <si>
    <t>TCZ6B67</t>
  </si>
  <si>
    <t>T-Cross</t>
  </si>
  <si>
    <t>FZP1E71</t>
  </si>
  <si>
    <t>SIN8J85</t>
  </si>
  <si>
    <t>30/01/2025 SIN8J85</t>
  </si>
  <si>
    <t xml:space="preserve">Renegade </t>
  </si>
  <si>
    <t>3000km</t>
  </si>
  <si>
    <t>Argo</t>
  </si>
  <si>
    <t>TCY1C25</t>
  </si>
  <si>
    <t>KM</t>
  </si>
  <si>
    <t>SVR2H85</t>
  </si>
  <si>
    <t>Substituição 15/03/2025</t>
  </si>
  <si>
    <t>Retirado 12/03/2025</t>
  </si>
  <si>
    <t>SVW5E64</t>
  </si>
  <si>
    <t>Tcross</t>
  </si>
  <si>
    <t>R$ 240.88</t>
  </si>
  <si>
    <t>TCV9F12</t>
  </si>
  <si>
    <t>Substituição 1ª</t>
  </si>
  <si>
    <t>Substituição 2ª</t>
  </si>
  <si>
    <t>TES6H46</t>
  </si>
  <si>
    <t>C3</t>
  </si>
  <si>
    <t>km</t>
  </si>
  <si>
    <t>TDY8E51</t>
  </si>
  <si>
    <t>Substituição (data) 2</t>
  </si>
  <si>
    <t>TXD7J30</t>
  </si>
  <si>
    <t>Renegade</t>
  </si>
  <si>
    <t>Troca de Condutor</t>
  </si>
  <si>
    <t>Condutores</t>
  </si>
  <si>
    <t>Lazaro para Ualasse</t>
  </si>
  <si>
    <t>Data Desmob.</t>
  </si>
  <si>
    <t>Isaac para Ualace</t>
  </si>
  <si>
    <t>Substituição</t>
  </si>
  <si>
    <t>Março/Abril</t>
  </si>
  <si>
    <t>Substituição 3ª</t>
  </si>
  <si>
    <t>SHK5D77</t>
  </si>
  <si>
    <t>Onix</t>
  </si>
  <si>
    <t>Unidas - 3S</t>
  </si>
  <si>
    <t>C3 TES6H46</t>
  </si>
  <si>
    <t>Data desmob.</t>
  </si>
  <si>
    <t>UEK4H95</t>
  </si>
  <si>
    <t>Polo</t>
  </si>
  <si>
    <t>Unidas - 3s</t>
  </si>
  <si>
    <t>SYS9D28</t>
  </si>
  <si>
    <t>Data Desmob</t>
  </si>
  <si>
    <t>TCY1C84</t>
  </si>
  <si>
    <t>Antes era do projeto 24.024 Riacho e a partir de 04/05/26 o veículo TCY1C84 está sendo medido no projeto 25.031 - Filtro Harmõnico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</si>
</sst>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44" formatCode="_-&quot;R$&quot;\ * #,##0.00_-;\-&quot;R$&quot;\ * #,##0.00_-;_-&quot;R$&quot;\ * &quot;-&quot;??_-;_-@_-"/>
    <numFmt numFmtId="164" formatCode="_-[$R$-416]\ * #,##0.00_-;\-[$R$-416]\ * #,##0.00_-;_-[$R$-416]\ * &quot;-&quot;??_-;_-@_-"/>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b/>
      <sz val="11"/>
      <color rgb="FFFF0000"/>
      <name val="Aptos Narrow"/>
      <family val="2"/>
      <scheme val="minor"/>
    </font>
    <font>
      <sz val="9"/>
      <color indexed="81"/>
      <name val="Segoe UI"/>
      <family val="2"/>
    </font>
    <font>
      <b/>
      <sz val="9"/>
      <color indexed="81"/>
      <name val="Segoe UI"/>
      <family val="2"/>
    </font>
    <font>
      <b/>
      <sz val="10"/>
      <color rgb="FFFF0000"/>
      <name val="Aptos Narrow"/>
      <family val="2"/>
      <scheme val="minor"/>
    </font>
    <font>
      <sz val="10"/>
      <color rgb="FF000000"/>
      <name val="Arial"/>
      <family val="2"/>
    </font>
    <font>
      <b/>
      <sz val="12"/>
      <color rgb="FFFF0000"/>
      <name val="Aptos Narrow"/>
      <family val="2"/>
      <scheme val="minor"/>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3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1" fillId="0" borderId="0" applyFont="0" applyFill="0" applyBorder="0" applyAlignment="0" applyProtection="0"/>
  </cellStyleXfs>
  <cellXfs count="101">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2" fillId="2" borderId="0" xfId="0" applyFont="1" applyFill="1" applyAlignment="1">
      <alignment horizontal="center"/>
    </xf>
    <xf numFmtId="0" fontId="4" fillId="2" borderId="0" xfId="0" applyFont="1" applyFill="1" applyAlignment="1">
      <alignment horizontal="center"/>
    </xf>
    <xf numFmtId="14" fontId="2" fillId="2" borderId="0" xfId="0" applyNumberFormat="1" applyFont="1" applyFill="1" applyAlignment="1">
      <alignment horizontal="center"/>
    </xf>
    <xf numFmtId="0" fontId="7" fillId="0" borderId="0" xfId="0" applyFont="1" applyAlignment="1">
      <alignment horizontal="right"/>
    </xf>
    <xf numFmtId="14" fontId="2" fillId="0" borderId="0" xfId="0" applyNumberFormat="1" applyFont="1" applyAlignment="1">
      <alignment horizontal="right"/>
    </xf>
    <xf numFmtId="0" fontId="0" fillId="0" borderId="1" xfId="0" applyBorder="1" applyAlignment="1">
      <alignment horizontal="center"/>
    </xf>
    <xf numFmtId="0" fontId="10" fillId="0" borderId="0" xfId="0" applyFont="1" applyAlignment="1">
      <alignment horizontal="right"/>
    </xf>
    <xf numFmtId="14" fontId="0" fillId="0" borderId="1" xfId="0" applyNumberFormat="1" applyBorder="1" applyAlignment="1">
      <alignment horizontal="right"/>
    </xf>
    <xf numFmtId="0" fontId="0" fillId="0" borderId="1" xfId="0" applyBorder="1" applyAlignment="1">
      <alignment horizontal="left"/>
    </xf>
    <xf numFmtId="44" fontId="11" fillId="0" borderId="29" xfId="1" applyFont="1" applyBorder="1" applyAlignment="1">
      <alignment horizontal="center" vertical="center" wrapText="1"/>
    </xf>
    <xf numFmtId="0" fontId="11" fillId="0" borderId="29" xfId="0" applyFont="1" applyBorder="1" applyAlignment="1">
      <alignment horizontal="center" vertical="center" wrapText="1"/>
    </xf>
    <xf numFmtId="44" fontId="0" fillId="0" borderId="1" xfId="1" applyFont="1" applyBorder="1" applyAlignment="1">
      <alignment horizontal="center"/>
    </xf>
    <xf numFmtId="14" fontId="0" fillId="0" borderId="1" xfId="1" applyNumberFormat="1" applyFont="1" applyBorder="1" applyAlignment="1">
      <alignment horizontal="center"/>
    </xf>
    <xf numFmtId="0" fontId="0" fillId="0" borderId="1" xfId="1" applyNumberFormat="1" applyFont="1" applyBorder="1" applyAlignment="1">
      <alignment horizontal="center"/>
    </xf>
    <xf numFmtId="0" fontId="12" fillId="3" borderId="0" xfId="0" applyFont="1" applyFill="1" applyAlignment="1">
      <alignment horizontal="left"/>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0" borderId="0" xfId="0" applyFont="1" applyAlignment="1">
      <alignment horizontal="right" vertical="center"/>
    </xf>
    <xf numFmtId="14" fontId="2" fillId="2" borderId="0" xfId="0" applyNumberFormat="1" applyFont="1" applyFill="1" applyAlignment="1">
      <alignment horizontal="center"/>
    </xf>
    <xf numFmtId="0" fontId="2" fillId="2" borderId="0" xfId="0" applyFont="1" applyFill="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8" fontId="0" fillId="0" borderId="1" xfId="0" applyNumberFormat="1" applyBorder="1" applyAlignment="1">
      <alignment horizontal="center"/>
    </xf>
    <xf numFmtId="0" fontId="4" fillId="2" borderId="0" xfId="0" applyFont="1" applyFill="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0" fontId="2" fillId="5" borderId="14" xfId="0" applyFont="1" applyFill="1" applyBorder="1" applyAlignment="1">
      <alignment horizontal="center"/>
    </xf>
    <xf numFmtId="0" fontId="2" fillId="0" borderId="28" xfId="0" applyFont="1" applyBorder="1" applyAlignment="1">
      <alignment horizontal="right" vertical="center"/>
    </xf>
  </cellXfs>
  <cellStyles count="2">
    <cellStyle name="Moeda" xfId="1" builtinId="4"/>
    <cellStyle name="Normal" xfId="0" builtinId="0"/>
  </cellStyles>
  <dxfs count="1">
    <dxf>
      <font>
        <color theme="0"/>
      </font>
      <fill>
        <patternFill>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4181.93</c:v>
                </c:pt>
                <c:pt idx="2">
                  <c:v>4045.79</c:v>
                </c:pt>
                <c:pt idx="3">
                  <c:v>2208.94</c:v>
                </c:pt>
                <c:pt idx="4">
                  <c:v>2104.71</c:v>
                </c:pt>
                <c:pt idx="5">
                  <c:v>2237.94</c:v>
                </c:pt>
                <c:pt idx="6">
                  <c:v>3314.6600000000003</c:v>
                </c:pt>
                <c:pt idx="7">
                  <c:v>2693.6600000000003</c:v>
                </c:pt>
                <c:pt idx="8">
                  <c:v>2720.56</c:v>
                </c:pt>
                <c:pt idx="9">
                  <c:v>2087.61</c:v>
                </c:pt>
                <c:pt idx="10">
                  <c:v>2469.71</c:v>
                </c:pt>
                <c:pt idx="11">
                  <c:v>2665.21</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60</c:v>
                </c:pt>
                <c:pt idx="2">
                  <c:v>460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Office 6" id="{BEE5E5B0-B6E3-478C-938E-E2703CCD72F6}"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4-28T11:38:32.18" personId="{BEE5E5B0-B6E3-478C-938E-E2703CCD72F6}" id="{D5D6D785-1DCE-4E86-89ED-408C1763EAAA}">
    <text>Realizada a reserva do grupo B e ao chegar na loja não tinha o carro, então foi disponibilizado provisoriamente o Polo UEK4H95 do grupo EA.</text>
  </threadedComment>
  <threadedComment ref="D19" dT="2026-04-27T18:34:25.06" personId="{BEE5E5B0-B6E3-478C-938E-E2703CCD72F6}" id="{DF09AB1B-3934-4CB9-96F1-08C91BB00AB5}">
    <text>Realizada a reserva do grupo B e ao chegar na loja não tinha o carro, então foi disponibilizado provisoriamente o Polo UEK4H95 do grupo EA.</text>
  </threadedComment>
  <threadedComment ref="D23" dT="2026-04-28T13:01:32.55" personId="{BEE5E5B0-B6E3-478C-938E-E2703CCD72F6}" id="{7D71117C-A2FE-4736-B042-1F06E4BFED1E}">
    <text>Substituição_retirada 25/04/26</text>
  </threadedComment>
</ThreadedComments>
</file>

<file path=xl/threadedComments/threadedComment2.xml><?xml version="1.0" encoding="utf-8"?>
<ThreadedComments xmlns="http://schemas.microsoft.com/office/spreadsheetml/2018/threadedcomments" xmlns:x="http://schemas.openxmlformats.org/spreadsheetml/2006/main">
  <threadedComment ref="D19" dT="2026-04-30T13:37:16.92" personId="{BEE5E5B0-B6E3-478C-938E-E2703CCD72F6}" id="{E9EE9F1C-7627-471D-9606-6D2310A30F99}">
    <text>Locação 20/04/26</text>
  </threadedComment>
</ThreadedComments>
</file>

<file path=xl/threadedComments/threadedComment3.xml><?xml version="1.0" encoding="utf-8"?>
<ThreadedComments xmlns="http://schemas.microsoft.com/office/spreadsheetml/2018/threadedcomments" xmlns:x="http://schemas.openxmlformats.org/spreadsheetml/2006/main">
  <threadedComment ref="E4" dT="2026-04-20T11:54:41.61" personId="{BEE5E5B0-B6E3-478C-938E-E2703CCD72F6}" id="{570B4BFC-89AE-44D0-AA39-6E26EC1C4E02}">
    <text xml:space="preserve">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ext>
  </threadedComment>
  <threadedComment ref="B5" dT="2026-04-20T11:54:32.62" personId="{BEE5E5B0-B6E3-478C-938E-E2703CCD72F6}" id="{81DD335C-7A18-4F2E-88AE-7E38C0DD31EB}">
    <text xml:space="preserve">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ext>
  </threadedComment>
  <threadedComment ref="E5" dT="2026-04-20T11:55:52.12" personId="{BEE5E5B0-B6E3-478C-938E-E2703CCD72F6}" id="{B8DDF77F-7B61-4B5A-A6F4-016A7110E0BE}">
    <text>Rastreador Unidas - 3s - os veículos anteriores era Recife GPS</text>
  </threadedComment>
  <threadedComment ref="C73" dT="2026-04-20T11:20:48.85" personId="{BEE5E5B0-B6E3-478C-938E-E2703CCD72F6}" id="{44565909-F75C-440A-9FF7-B98C8300D8BC}">
    <text xml:space="preserve">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ext>
  </threadedComment>
  <threadedComment ref="B77" dT="2026-04-20T11:20:48.85" personId="{BEE5E5B0-B6E3-478C-938E-E2703CCD72F6}" id="{BEE343BF-D97F-4388-BB2E-A0E9B10FDD6B}">
    <text xml:space="preserve">Veículo C3 TES6H46 guinchado 09/04/26 - Motivo: veículo está com problema no freio e na oficina foi identificado a necessidade de trocar pastilha, disco e pinça de freio, porém o veículo ficou na oficina de 27 a 30/03 e só foi aprovado a troca da pastilha de freio - a pinça de freio é um item de custo alto e a oficina relatou de não seguro utilizar o veículo sem a correção - O táxi veio buscar Claudio no dia 09/04 a tarde e ele chegou na loja Unidas de Belo Horizonte no dia 10/04/26.
</text>
  </threadedComment>
  <threadedComment ref="C85" dT="2026-06-12T11:48:28.28" personId="{BEE5E5B0-B6E3-478C-938E-E2703CCD72F6}" id="{76FF8AEC-D1BF-43B7-98D6-7CF164C515C1}">
    <text>Devolução 06/06/2026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D19" dT="2026-04-30T16:58:05.14" personId="{BEE5E5B0-B6E3-478C-938E-E2703CCD72F6}" id="{F5C85336-221F-45D4-8D7C-37ED7D26C869}">
    <text xml:space="preserve">Retirada 20/04/2026
</text>
  </threadedComment>
</ThreadedComments>
</file>

<file path=xl/threadedComments/threadedComment5.xml><?xml version="1.0" encoding="utf-8"?>
<ThreadedComments xmlns="http://schemas.microsoft.com/office/spreadsheetml/2018/threadedcomments" xmlns:x="http://schemas.openxmlformats.org/spreadsheetml/2006/main">
  <threadedComment ref="I3" dT="2026-03-17T13:41:08.28" personId="{BEE5E5B0-B6E3-478C-938E-E2703CCD72F6}" id="{A252E5E1-39E6-4C6A-9223-197DA7902518}">
    <text xml:space="preserve">Veículo FZP1E71 locado 18/01/25 por Isaac e em 13/03/26 com 31.871km foi transferido para Ualace.
</text>
  </threadedComment>
  <threadedComment ref="B4" dT="2026-03-30T14:58:07.80" personId="{BEE5E5B0-B6E3-478C-938E-E2703CCD72F6}" id="{AAF04E51-504D-42F4-96D2-076CBC3E77DC}">
    <text xml:space="preserve">Motivo Substituição FZP1E71: 
Ualace identificou um barulho no veículo, levou o carro 2x na oficina e na segunda identificou que o barulho seria na pinça de freio traseiro, o carro ficou na oficina de sexta 20/03 até a segunda 24/03 aguardando aprovação e, como ainda não constava a autorização, o veículo foi retirado da oficina porque a ausência iria impactar nas atividades, mesmo quando houvesse aprovação, a oficina só teria a peça com mais alguns dias para frente.
</text>
  </threadedComment>
  <threadedComment ref="B67" dT="2026-03-10T18:58:11.72" personId="{BEE5E5B0-B6E3-478C-938E-E2703CCD72F6}" id="{E25C452C-4036-4255-A41E-9B25C0EA7733}">
    <text>TCross FZP1E71 - Isaac_carona ao cliente Jose Marcelo - Uso particular 06 a 07.03.2026 (utilizado 726km - Belo Horizonte)</text>
  </threadedComment>
  <threadedComment ref="C67" dT="2026-03-17T13:43:09.31" personId="{BEE5E5B0-B6E3-478C-938E-E2703CCD72F6}" id="{7523F8F9-9B56-4C2B-9C6B-0DF194786F1D}">
    <text xml:space="preserve">Veículo FZP1E71 locado 18/01/25 por Isaac e em 13/03/26 com 31.871km foi transferido para Ualace.
</text>
  </threadedComment>
  <threadedComment ref="E67" dT="2026-03-30T14:23:42.86" personId="{BEE5E5B0-B6E3-478C-938E-E2703CCD72F6}" id="{576F8809-3040-43B2-8B84-EC0E0F0BFF5E}">
    <text>Devolução_substituição 28/03/26</text>
  </threadedComment>
  <threadedComment ref="B71" dT="2026-03-30T15:06:59.76" personId="{BEE5E5B0-B6E3-478C-938E-E2703CCD72F6}" id="{FAD49311-0E37-493F-AFCF-346349E71C1A}">
    <text>Substituição_retirada 28/03/2026</text>
  </threadedComment>
  <threadedComment ref="E71" dT="2026-04-28T19:32:18.50" personId="{BEE5E5B0-B6E3-478C-938E-E2703CCD72F6}" id="{B6C96D42-FE2C-498C-AF3F-6FB577F90035}">
    <text xml:space="preserve">Devolução 21/04/2026
</text>
  </threadedComment>
</ThreadedComments>
</file>

<file path=xl/threadedComments/threadedComment6.xml><?xml version="1.0" encoding="utf-8"?>
<ThreadedComments xmlns="http://schemas.microsoft.com/office/spreadsheetml/2018/threadedcomments" xmlns:x="http://schemas.openxmlformats.org/spreadsheetml/2006/main">
  <threadedComment ref="K5" dT="2026-04-27T18:30:07.45" personId="{BEE5E5B0-B6E3-478C-938E-E2703CCD72F6}" id="{3EA0E826-EA04-4CD7-91D3-1838E408ACA8}">
    <text xml:space="preserve">Devolvido em Montes Claros MG </text>
  </threadedComment>
  <threadedComment ref="E72" dT="2026-04-27T17:21:39.00" personId="{BEE5E5B0-B6E3-478C-938E-E2703CCD72F6}" id="{BD116B6B-A756-4913-892C-F0430AF4F825}">
    <text>Devolução_substituição 20/04/26</text>
  </threadedComment>
</ThreadedComments>
</file>

<file path=xl/threadedComments/threadedComment7.xml><?xml version="1.0" encoding="utf-8"?>
<ThreadedComments xmlns="http://schemas.microsoft.com/office/spreadsheetml/2018/threadedcomments" xmlns:x="http://schemas.openxmlformats.org/spreadsheetml/2006/main">
  <threadedComment ref="K4" dT="2026-04-20T14:58:15.83" personId="{BEE5E5B0-B6E3-478C-938E-E2703CCD72F6}" id="{7ECB04C1-1E17-4260-B761-3210736A0299}">
    <text xml:space="preserve">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
</text>
  </threadedComment>
  <threadedComment ref="E58" dT="2026-02-11T17:09:46.26" personId="{BEE5E5B0-B6E3-478C-938E-E2703CCD72F6}" id="{A482663B-BF31-4493-8741-248AD462478A}">
    <text>Uso particular de 31/01 a 01/02/26 - utilizado 128km</text>
  </threadedComment>
  <threadedComment ref="E62" dT="2026-03-09T16:18:00.56" personId="{BEE5E5B0-B6E3-478C-938E-E2703CCD72F6}" id="{1F107CC0-19ED-40BC-A6E0-B45B05E1EBA8}">
    <text>19/02 a 02/03 veículo com Ualace - folga de Ednei</text>
  </threadedComment>
  <threadedComment ref="C70" dT="2026-04-20T14:58:24.22" personId="{BEE5E5B0-B6E3-478C-938E-E2703CCD72F6}" id="{14FA7ADD-84BC-48C4-B72A-C0E156BE2844}">
    <text xml:space="preserve">Veículo deixado na oficina Ponto Car em Pirapora MG no dia 07/04/26 para verificar os problemas: o ar condicionado está fazendo um barulho e com mau funcionamento, o carro está apresentando falha para dar partida, quando está em transito algumas vezes para e depois volta a funcionar e no dia 06/04/26 apresentou aquecimento - Ficou na oficina aguardando diagnostico até 13/04/26 e eles identificaram apenas que estava sumindo água mas não sabem o que ocasionou e para onde a água está indo. Devido a falta de diagnostico e demora para manutenção foi solicitado por e-mail o cancelamento do contrato do veículo TCZ6B67 a contar do dia 07/04/26.
</text>
  </threadedComment>
</ThreadedComments>
</file>

<file path=xl/threadedComments/threadedComment8.xml><?xml version="1.0" encoding="utf-8"?>
<ThreadedComments xmlns="http://schemas.microsoft.com/office/spreadsheetml/2018/threadedcomments" xmlns:x="http://schemas.openxmlformats.org/spreadsheetml/2006/main">
  <threadedComment ref="E2" dT="2026-03-02T12:30:35.05" personId="{BEE5E5B0-B6E3-478C-938E-E2703CCD72F6}" id="{9A75A930-1DD8-4415-8B12-3FF43699EAD6}">
    <text>DKU8J41 Guincho_Substituição 28/02/2026 - Veículo parou de funcionar, ascendia as luzes do painel mas não dava partida, a unidas enviou mecânico para dar recarga na bateria e não funcionou, precisou ser guinchado.</text>
  </threadedComment>
  <threadedComment ref="B3" dT="2026-03-02T12:31:15.67" personId="{BEE5E5B0-B6E3-478C-938E-E2703CCD72F6}" id="{9D002B29-805D-4F3F-A08E-BA9171F19CAA}">
    <text>DKU8J41 Guincho_Substituição 28/02/2026 - Veículo parou de funcionar, ascendia as luzes do painel mas não dava partida, a unidas enviou mecânico para dar recarga na bateria e não funcionou, precisou ser guinchado.</text>
  </threadedComment>
  <threadedComment ref="E4" dT="2026-03-02T12:32:56.34" personId="{BEE5E5B0-B6E3-478C-938E-E2703CCD72F6}" id="{A8E59C7B-7DA6-4B05-80C4-88BAC351A21B}">
    <text>Desisntalado em 26/02/26 Recife GPS - Substituição do veículo - novo carro TDY8E51 telemetria Unidas</text>
  </threadedComment>
  <threadedComment ref="E62" dT="2026-03-02T12:30:14.69" personId="{BEE5E5B0-B6E3-478C-938E-E2703CCD72F6}" id="{8456C834-864B-4272-88EB-E3BBAAB8BC8F}">
    <text>DKU8J41 Guincho_Substituição 28/02/2026 - Veículo parou de funcionar, ascendia as luzes do painel mas não dava partida, a unidas enviou mecânico para dar recarga na bateria e não funcionou, precisou ser guinchado.</text>
  </threadedComment>
  <threadedComment ref="B66" dT="2026-03-02T12:55:10.48" personId="{BEE5E5B0-B6E3-478C-938E-E2703CCD72F6}" id="{B5FC3E5B-8907-465A-B568-96133EE5D5F6}">
    <text>Substituição_Retirada 28/02/26</text>
  </threadedComment>
  <threadedComment ref="E66" dT="2026-04-07T13:36:53.86" personId="{BEE5E5B0-B6E3-478C-938E-E2703CCD72F6}" id="{4B32893B-7DEA-4BE0-ABE1-409D73D33D0E}">
    <text>Devolução 01/04/26</text>
  </threadedComment>
</ThreadedComments>
</file>

<file path=xl/threadedComments/threadedComment9.xml><?xml version="1.0" encoding="utf-8"?>
<ThreadedComments xmlns="http://schemas.microsoft.com/office/spreadsheetml/2018/threadedcomments" xmlns:x="http://schemas.openxmlformats.org/spreadsheetml/2006/main">
  <threadedComment ref="I5" dT="2026-03-11T13:02:26.14" personId="{BEE5E5B0-B6E3-478C-938E-E2703CCD72F6}" id="{6CF64121-8780-464F-A207-EDE243881379}">
    <text>Lazaro saiu do projeto e repassou o veículo TXD7J30 para Ualace no dia 06/03/26, com 19.951km</text>
  </threadedComment>
  <threadedComment ref="E109" dT="2026-03-02T16:27:19.29" personId="{BEE5E5B0-B6E3-478C-938E-E2703CCD72F6}" id="{08723C60-82D7-472A-99BE-7E978F00C8F1}">
    <text>Devolução_Substituição 28/02/2026 (solicitado pela locadora)</text>
  </threadedComment>
  <threadedComment ref="B113" dT="2026-03-09T16:47:48.01" personId="{BEE5E5B0-B6E3-478C-938E-E2703CCD72F6}" id="{49B86375-CC33-4A64-881C-4A23A9979941}">
    <text>Substituição_Retirada 28/02/2026</text>
  </threadedComment>
  <threadedComment ref="B113" dT="2026-03-11T13:04:22.33" personId="{BEE5E5B0-B6E3-478C-938E-E2703CCD72F6}" id="{D7EA0468-E363-4488-95B0-FF21EEE84781}" parentId="{49B86375-CC33-4A64-881C-4A23A9979941}">
    <text xml:space="preserve">Lazaro saiu do projeto e repassou o veículo TXD7J30 para Ualace no dia 06/03/26, com 19.951km
</text>
  </threadedComment>
  <threadedComment ref="C113" dT="2026-03-17T12:41:54.22" personId="{BEE5E5B0-B6E3-478C-938E-E2703CCD72F6}" id="{E79C895C-8BB7-467F-94BA-53391DCE72D0}">
    <text>Devolvido 14/03/26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96" t="s">
        <v>77</v>
      </c>
      <c r="B1" s="97"/>
      <c r="C1" s="97"/>
      <c r="D1" s="97"/>
      <c r="E1" s="97"/>
      <c r="F1" s="97"/>
      <c r="G1" s="97"/>
      <c r="H1" s="97"/>
      <c r="I1" s="97"/>
      <c r="J1" s="97"/>
      <c r="K1" s="97"/>
      <c r="L1" s="97"/>
      <c r="M1" s="97"/>
      <c r="N1" s="97"/>
      <c r="O1" s="97"/>
      <c r="P1" s="97"/>
      <c r="Q1" s="97"/>
      <c r="R1" s="97"/>
      <c r="S1" s="97"/>
      <c r="T1" s="97"/>
      <c r="U1" s="97"/>
      <c r="V1" s="97"/>
      <c r="W1" s="97"/>
      <c r="X1" s="97"/>
      <c r="Y1" s="97"/>
    </row>
    <row r="2" spans="1:25" x14ac:dyDescent="0.25">
      <c r="A2" s="97"/>
      <c r="B2" s="97"/>
      <c r="C2" s="97"/>
      <c r="D2" s="97"/>
      <c r="E2" s="97"/>
      <c r="F2" s="97"/>
      <c r="G2" s="97"/>
      <c r="H2" s="97"/>
      <c r="I2" s="97"/>
      <c r="J2" s="97"/>
      <c r="K2" s="97"/>
      <c r="L2" s="97"/>
      <c r="M2" s="97"/>
      <c r="N2" s="97"/>
      <c r="O2" s="97"/>
      <c r="P2" s="97"/>
      <c r="Q2" s="97"/>
      <c r="R2" s="97"/>
      <c r="S2" s="97"/>
      <c r="T2" s="97"/>
      <c r="U2" s="97"/>
      <c r="V2" s="97"/>
      <c r="W2" s="97"/>
      <c r="X2" s="97"/>
      <c r="Y2" s="97"/>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4181.93</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4045.79</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2208.94</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2104.71</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2237.94</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3314.6600000000003</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2693.6600000000003</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2720.56</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2087.61</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2469.71</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2665.21</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60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460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0</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0</v>
      </c>
    </row>
    <row r="13" spans="1:25" x14ac:dyDescent="0.25">
      <c r="B13" s="95"/>
      <c r="C13" s="95"/>
      <c r="D13" s="95"/>
      <c r="E13" s="95"/>
      <c r="F13" s="95"/>
      <c r="G13" s="95"/>
      <c r="H13" s="95"/>
      <c r="I13" s="95"/>
      <c r="J13" s="95"/>
      <c r="K13" s="95"/>
      <c r="L13" s="95"/>
      <c r="M13" s="95"/>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33" zoomScale="120" zoomScaleNormal="120" workbookViewId="0">
      <selection activeCell="G2" sqref="G2"/>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9" t="s">
        <v>78</v>
      </c>
      <c r="C2" s="89"/>
      <c r="D2" s="89"/>
      <c r="E2" s="89"/>
      <c r="F2" s="89"/>
      <c r="I2" s="98" t="s">
        <v>79</v>
      </c>
      <c r="J2" s="98"/>
      <c r="K2" s="98"/>
      <c r="L2" s="98"/>
      <c r="M2" s="98"/>
      <c r="P2" s="98" t="s">
        <v>80</v>
      </c>
      <c r="Q2" s="98"/>
      <c r="R2" s="98"/>
      <c r="S2" s="98"/>
      <c r="T2" s="98"/>
      <c r="W2" s="98" t="s">
        <v>81</v>
      </c>
      <c r="X2" s="98"/>
      <c r="Y2" s="98"/>
      <c r="Z2" s="98"/>
      <c r="AA2" s="98"/>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'Ualace-Desmob'!H13</f>
        <v>0</v>
      </c>
      <c r="C5" s="43">
        <f>SUM(5000-B5)</f>
        <v>5000</v>
      </c>
      <c r="D5" s="35">
        <f>'Ualace-Desmob'!U14</f>
        <v>0</v>
      </c>
      <c r="E5" s="35">
        <f>'Ualace-Desmob'!AC14</f>
        <v>0</v>
      </c>
      <c r="F5" s="36">
        <f>'Ualace-Desmob'!AK14</f>
        <v>0</v>
      </c>
      <c r="H5" s="38" t="s">
        <v>32</v>
      </c>
      <c r="I5" s="46">
        <f>'André Plácido-Desmob'!H16</f>
        <v>1828</v>
      </c>
      <c r="J5" s="43">
        <f>SUM(5000-I5)</f>
        <v>3172</v>
      </c>
      <c r="K5" s="35">
        <f>'André Plácido-Desmob'!U17</f>
        <v>962.7</v>
      </c>
      <c r="L5" s="35">
        <f>'André Plácido-Desmob'!AC17</f>
        <v>60</v>
      </c>
      <c r="M5" s="36">
        <f>'André Plácido-Desmob'!AK17</f>
        <v>0</v>
      </c>
      <c r="O5" s="38" t="s">
        <v>32</v>
      </c>
      <c r="P5" s="46">
        <f>'Wendel Matias-Desmob'!H14</f>
        <v>1843</v>
      </c>
      <c r="Q5" s="43">
        <f>SUM(5000-P5)</f>
        <v>3157</v>
      </c>
      <c r="R5" s="35">
        <f>'Wendel Matias-Desmob'!U15</f>
        <v>1156.78</v>
      </c>
      <c r="S5" s="35">
        <f>'Wendel Matias-Desmob'!AI15</f>
        <v>0</v>
      </c>
      <c r="T5" s="36">
        <f>'Wendel Matias-Desmob'!AR15</f>
        <v>0</v>
      </c>
      <c r="V5" s="38" t="s">
        <v>32</v>
      </c>
      <c r="W5" s="46">
        <f>'Ednei-Desmob'!H14</f>
        <v>1588</v>
      </c>
      <c r="X5" s="43">
        <f>SUM(5000-W5)</f>
        <v>3412</v>
      </c>
      <c r="Y5" s="35">
        <f>'Ednei-Desmob'!U15</f>
        <v>1154.69</v>
      </c>
      <c r="Z5" s="35">
        <f>'Ednei-Desmob'!AI15</f>
        <v>0</v>
      </c>
      <c r="AA5" s="36">
        <f>'Ednei-Desmob'!AR15</f>
        <v>0</v>
      </c>
    </row>
    <row r="6" spans="1:27" x14ac:dyDescent="0.25">
      <c r="A6" s="38" t="s">
        <v>33</v>
      </c>
      <c r="B6" s="46">
        <f>'Ualace-Desmob'!H17</f>
        <v>0</v>
      </c>
      <c r="C6" s="43">
        <f t="shared" ref="C6:C15" si="0">SUM(5000-B6)</f>
        <v>5000</v>
      </c>
      <c r="D6" s="35">
        <f>'Ualace-Desmob'!U18</f>
        <v>0</v>
      </c>
      <c r="E6" s="35">
        <f>'Ualace-Desmob'!AC18</f>
        <v>0</v>
      </c>
      <c r="F6" s="36">
        <f>'Ualace-Desmob'!AK18</f>
        <v>0</v>
      </c>
      <c r="H6" s="38" t="s">
        <v>33</v>
      </c>
      <c r="I6" s="46">
        <f>'André Plácido-Desmob'!H20</f>
        <v>1857</v>
      </c>
      <c r="J6" s="43">
        <f t="shared" ref="J6:J14" si="1">SUM(5000-I6)</f>
        <v>3143</v>
      </c>
      <c r="K6" s="35">
        <f>'André Plácido-Desmob'!U21</f>
        <v>792.09</v>
      </c>
      <c r="L6" s="35">
        <f>'André Plácido-Desmob'!AC21</f>
        <v>240</v>
      </c>
      <c r="M6" s="36">
        <f>'André Plácido-Desmob'!AK21</f>
        <v>0</v>
      </c>
      <c r="O6" s="38" t="s">
        <v>33</v>
      </c>
      <c r="P6" s="46">
        <f>'Wendel Matias-Desmob'!H18</f>
        <v>1069</v>
      </c>
      <c r="Q6" s="43">
        <f t="shared" ref="Q6:Q14" si="2">SUM(5000-P6)</f>
        <v>3931</v>
      </c>
      <c r="R6" s="35">
        <f>'Wendel Matias-Desmob'!U19</f>
        <v>816.11000000000013</v>
      </c>
      <c r="S6" s="35">
        <f>'Wendel Matias-Desmob'!AI19</f>
        <v>0</v>
      </c>
      <c r="T6" s="36">
        <f>'Wendel Matias-Desmob'!AR19</f>
        <v>0</v>
      </c>
      <c r="V6" s="38" t="s">
        <v>33</v>
      </c>
      <c r="W6" s="46">
        <f>'Ednei-Desmob'!H18</f>
        <v>925</v>
      </c>
      <c r="X6" s="43">
        <f t="shared" ref="X6:X15" si="3">SUM(5000-W6)</f>
        <v>4075</v>
      </c>
      <c r="Y6" s="35">
        <f>'Ednei-Desmob'!U19</f>
        <v>644.32000000000005</v>
      </c>
      <c r="Z6" s="35">
        <f>'Ednei-Desmob'!AI19</f>
        <v>0</v>
      </c>
      <c r="AA6" s="36">
        <f>'Ednei-Desmob'!AR19</f>
        <v>0</v>
      </c>
    </row>
    <row r="7" spans="1:27" x14ac:dyDescent="0.25">
      <c r="A7" s="38" t="s">
        <v>34</v>
      </c>
      <c r="B7" s="46">
        <f>'Ualace-Desmob'!H21</f>
        <v>0</v>
      </c>
      <c r="C7" s="43">
        <f t="shared" si="0"/>
        <v>5000</v>
      </c>
      <c r="D7" s="35">
        <f>'Ualace-Desmob'!U22</f>
        <v>0</v>
      </c>
      <c r="E7" s="35">
        <f>'Ualace-Desmob'!AC22</f>
        <v>0</v>
      </c>
      <c r="F7" s="36">
        <f>'Ualace-Desmob'!AK22</f>
        <v>0</v>
      </c>
      <c r="H7" s="38" t="s">
        <v>34</v>
      </c>
      <c r="I7" s="46">
        <f>'André Plácido-Desmob'!H24</f>
        <v>257</v>
      </c>
      <c r="J7" s="43">
        <f t="shared" si="1"/>
        <v>4743</v>
      </c>
      <c r="K7" s="35">
        <f>'André Plácido-Desmob'!U25</f>
        <v>0</v>
      </c>
      <c r="L7" s="35">
        <f>'André Plácido-Desmob'!AC25</f>
        <v>0</v>
      </c>
      <c r="M7" s="36">
        <f>'André Plácido-Desmob'!AK25</f>
        <v>0</v>
      </c>
      <c r="O7" s="38" t="s">
        <v>34</v>
      </c>
      <c r="P7" s="46">
        <f>'Wendel Matias-Desmob'!H22</f>
        <v>1649</v>
      </c>
      <c r="Q7" s="43">
        <f t="shared" si="2"/>
        <v>3351</v>
      </c>
      <c r="R7" s="35">
        <f>'Wendel Matias-Desmob'!Z23</f>
        <v>0</v>
      </c>
      <c r="S7" s="35">
        <f>'Wendel Matias-Desmob'!AI23</f>
        <v>0</v>
      </c>
      <c r="T7" s="36">
        <f>'Wendel Matias-Desmob'!AR23</f>
        <v>0</v>
      </c>
      <c r="V7" s="38" t="s">
        <v>34</v>
      </c>
      <c r="W7" s="46">
        <f>'Ednei-Desmob'!H22</f>
        <v>1461</v>
      </c>
      <c r="X7" s="43">
        <f t="shared" si="3"/>
        <v>3539</v>
      </c>
      <c r="Y7" s="35">
        <f>'Ednei-Desmob'!Z23</f>
        <v>0</v>
      </c>
      <c r="Z7" s="35">
        <f>'Ednei-Desmob'!AI23</f>
        <v>0</v>
      </c>
      <c r="AA7" s="36">
        <f>'Ednei-Desmob'!AR23</f>
        <v>0</v>
      </c>
    </row>
    <row r="8" spans="1:27" x14ac:dyDescent="0.25">
      <c r="A8" s="38" t="s">
        <v>35</v>
      </c>
      <c r="B8" s="46">
        <f>'Ualace-Desmob'!H25</f>
        <v>0</v>
      </c>
      <c r="C8" s="43">
        <f t="shared" si="0"/>
        <v>5000</v>
      </c>
      <c r="D8" s="35">
        <f>'Ualace-Desmob'!U26</f>
        <v>0</v>
      </c>
      <c r="E8" s="35">
        <f>'Ualace-Desmob'!AC26</f>
        <v>0</v>
      </c>
      <c r="F8" s="36">
        <f>'Ualace-Desmob'!AK26</f>
        <v>0</v>
      </c>
      <c r="H8" s="38" t="s">
        <v>35</v>
      </c>
      <c r="I8" s="46">
        <f>'André Plácido-Desmob'!H28</f>
        <v>2297</v>
      </c>
      <c r="J8" s="43">
        <f t="shared" si="1"/>
        <v>2703</v>
      </c>
      <c r="K8" s="35">
        <f>'André Plácido-Desmob'!U29</f>
        <v>0</v>
      </c>
      <c r="L8" s="35">
        <f>'André Plácido-Desmob'!AC29</f>
        <v>0</v>
      </c>
      <c r="M8" s="36">
        <f>'André Plácido-Desmob'!AK29</f>
        <v>0</v>
      </c>
      <c r="O8" s="38" t="s">
        <v>35</v>
      </c>
      <c r="P8" s="46">
        <f>'Wendel Matias-Desmob'!H26</f>
        <v>876</v>
      </c>
      <c r="Q8" s="43">
        <f t="shared" si="2"/>
        <v>4124</v>
      </c>
      <c r="R8" s="35">
        <f>'Wendel Matias-Desmob'!Z27</f>
        <v>0</v>
      </c>
      <c r="S8" s="35">
        <f>'Wendel Matias-Desmob'!AI27</f>
        <v>0</v>
      </c>
      <c r="T8" s="36">
        <f>'Wendel Matias-Desmob'!AR27</f>
        <v>0</v>
      </c>
      <c r="V8" s="38" t="s">
        <v>35</v>
      </c>
      <c r="W8" s="46">
        <f>'Ednei-Desmob'!H26</f>
        <v>1515</v>
      </c>
      <c r="X8" s="43">
        <f t="shared" si="3"/>
        <v>3485</v>
      </c>
      <c r="Y8" s="35">
        <f>'Ednei-Desmob'!Z27</f>
        <v>0</v>
      </c>
      <c r="Z8" s="35">
        <f>'Ednei-Desmob'!AI27</f>
        <v>0</v>
      </c>
      <c r="AA8" s="36">
        <f>'Ednei-Desmob'!AR27</f>
        <v>0</v>
      </c>
    </row>
    <row r="9" spans="1:27" x14ac:dyDescent="0.25">
      <c r="A9" s="38" t="s">
        <v>36</v>
      </c>
      <c r="B9" s="46">
        <f>'Ualace-Desmob'!H29</f>
        <v>0</v>
      </c>
      <c r="C9" s="43">
        <f t="shared" si="0"/>
        <v>5000</v>
      </c>
      <c r="D9" s="35">
        <f>'Ualace-Desmob'!U30</f>
        <v>0</v>
      </c>
      <c r="E9" s="35">
        <f>'Ualace-Desmob'!AC30</f>
        <v>0</v>
      </c>
      <c r="F9" s="36">
        <f>'Ualace-Desmob'!AK30</f>
        <v>0</v>
      </c>
      <c r="H9" s="38" t="s">
        <v>36</v>
      </c>
      <c r="I9" s="46">
        <f>'André Plácido-Desmob'!H32</f>
        <v>1355</v>
      </c>
      <c r="J9" s="43">
        <f t="shared" si="1"/>
        <v>3645</v>
      </c>
      <c r="K9" s="35">
        <f>'André Plácido-Desmob'!U33</f>
        <v>407.55</v>
      </c>
      <c r="L9" s="35">
        <f>'André Plácido-Desmob'!AC33</f>
        <v>0</v>
      </c>
      <c r="M9" s="36">
        <f>'Ualace-Desmob'!AK30</f>
        <v>0</v>
      </c>
      <c r="O9" s="38" t="s">
        <v>36</v>
      </c>
      <c r="P9" s="46">
        <f>'Wendel Matias-Desmob'!H30</f>
        <v>1648</v>
      </c>
      <c r="Q9" s="43">
        <f t="shared" si="2"/>
        <v>3352</v>
      </c>
      <c r="R9" s="35">
        <f>'Wendel Matias-Desmob'!Z31</f>
        <v>0</v>
      </c>
      <c r="S9" s="35">
        <f>'Wendel Matias-Desmob'!AI31</f>
        <v>0</v>
      </c>
      <c r="T9" s="36">
        <f>'Wendel Matias-Desmob'!AR31</f>
        <v>0</v>
      </c>
      <c r="V9" s="38" t="s">
        <v>36</v>
      </c>
      <c r="W9" s="46">
        <f>'Ednei-Desmob'!H30</f>
        <v>1696</v>
      </c>
      <c r="X9" s="43">
        <f t="shared" si="3"/>
        <v>3304</v>
      </c>
      <c r="Y9" s="35">
        <f>'Ednei-Desmob'!Z31</f>
        <v>0</v>
      </c>
      <c r="Z9" s="35">
        <f>'Ednei-Desmob'!AI31</f>
        <v>0</v>
      </c>
      <c r="AA9" s="36">
        <f>'Ednei-Desmob'!AR31</f>
        <v>0</v>
      </c>
    </row>
    <row r="10" spans="1:27" x14ac:dyDescent="0.25">
      <c r="A10" s="38" t="s">
        <v>37</v>
      </c>
      <c r="B10" s="46">
        <f>'Ualace-Desmob'!H33</f>
        <v>0</v>
      </c>
      <c r="C10" s="43">
        <f t="shared" si="0"/>
        <v>5000</v>
      </c>
      <c r="D10" s="35">
        <f>'Ualace-Desmob'!U34</f>
        <v>0</v>
      </c>
      <c r="E10" s="35">
        <f>'Ualace-Desmob'!AC34</f>
        <v>0</v>
      </c>
      <c r="F10" s="36">
        <f>'Ualace-Desmob'!AK34</f>
        <v>0</v>
      </c>
      <c r="H10" s="38" t="s">
        <v>37</v>
      </c>
      <c r="I10" s="46">
        <f>'André Plácido-Desmob'!H36</f>
        <v>1498</v>
      </c>
      <c r="J10" s="43">
        <f t="shared" si="1"/>
        <v>3502</v>
      </c>
      <c r="K10" s="35">
        <f>'André Plácido-Desmob'!U37</f>
        <v>859.81000000000006</v>
      </c>
      <c r="L10" s="35">
        <f>'André Plácido-Desmob'!AC37</f>
        <v>0</v>
      </c>
      <c r="M10" s="36">
        <f>'André Plácido-Desmob'!AK37</f>
        <v>0</v>
      </c>
      <c r="O10" s="38" t="s">
        <v>37</v>
      </c>
      <c r="P10" s="46">
        <f>'Wendel Matias-Desmob'!H34</f>
        <v>1821</v>
      </c>
      <c r="Q10" s="43">
        <f t="shared" si="2"/>
        <v>3179</v>
      </c>
      <c r="R10" s="35">
        <f>'Wendel Matias-Desmob'!Z35</f>
        <v>0</v>
      </c>
      <c r="S10" s="35">
        <f>'Wendel Matias-Desmob'!AI35</f>
        <v>0</v>
      </c>
      <c r="T10" s="36">
        <f>'Wendel Matias-Desmob'!AR35</f>
        <v>0</v>
      </c>
      <c r="V10" s="38" t="s">
        <v>37</v>
      </c>
      <c r="W10" s="46">
        <f>'Ednei-Desmob'!H34</f>
        <v>1816</v>
      </c>
      <c r="X10" s="43">
        <f t="shared" si="3"/>
        <v>3184</v>
      </c>
      <c r="Y10" s="35">
        <f>'Ednei-Desmob'!Z35</f>
        <v>0</v>
      </c>
      <c r="Z10" s="35">
        <f>'Ednei-Desmob'!AI35</f>
        <v>0</v>
      </c>
      <c r="AA10" s="36">
        <f>'Ednei-Desmob'!AR35</f>
        <v>0</v>
      </c>
    </row>
    <row r="11" spans="1:27" x14ac:dyDescent="0.25">
      <c r="A11" s="38" t="s">
        <v>38</v>
      </c>
      <c r="B11" s="46">
        <f>'Ualace-Desmob'!H37</f>
        <v>0</v>
      </c>
      <c r="C11" s="43">
        <f t="shared" si="0"/>
        <v>5000</v>
      </c>
      <c r="D11" s="35">
        <f>'Ualace-Desmob'!U38</f>
        <v>0</v>
      </c>
      <c r="E11" s="35">
        <f>'Ualace-Desmob'!AC38</f>
        <v>0</v>
      </c>
      <c r="F11" s="36">
        <f>'Ualace-Desmob'!AK38</f>
        <v>0</v>
      </c>
      <c r="H11" s="38" t="s">
        <v>38</v>
      </c>
      <c r="I11" s="46">
        <f>'André Plácido-Desmob'!H40</f>
        <v>1090</v>
      </c>
      <c r="J11" s="43">
        <f t="shared" si="1"/>
        <v>3910</v>
      </c>
      <c r="K11" s="35">
        <f>'André Plácido-Desmob'!U41</f>
        <v>966.28000000000009</v>
      </c>
      <c r="L11" s="35">
        <f>'André Plácido-Desmob'!AC41</f>
        <v>0</v>
      </c>
      <c r="M11" s="36">
        <f>'André Plácido-Desmob'!AK41</f>
        <v>0</v>
      </c>
      <c r="O11" s="38" t="s">
        <v>38</v>
      </c>
      <c r="P11" s="46">
        <f>'Wendel Matias-Desmob'!H38</f>
        <v>964</v>
      </c>
      <c r="Q11" s="43">
        <f t="shared" si="2"/>
        <v>4036</v>
      </c>
      <c r="R11" s="35">
        <f>'Wendel Matias-Desmob'!Z39</f>
        <v>0</v>
      </c>
      <c r="S11" s="35">
        <f>'Wendel Matias-Desmob'!AI39</f>
        <v>0</v>
      </c>
      <c r="T11" s="36">
        <f>'Wendel Matias-Desmob'!AR39</f>
        <v>0</v>
      </c>
      <c r="V11" s="38" t="s">
        <v>38</v>
      </c>
      <c r="W11" s="46">
        <f>'Ednei-Desmob'!H38</f>
        <v>2021</v>
      </c>
      <c r="X11" s="43">
        <f t="shared" si="3"/>
        <v>2979</v>
      </c>
      <c r="Y11" s="35">
        <f>'Ednei-Desmob'!Z39</f>
        <v>0</v>
      </c>
      <c r="Z11" s="35">
        <f>'Ednei-Desmob'!AI39</f>
        <v>0</v>
      </c>
      <c r="AA11" s="36">
        <f>'Ednei-Desmob'!AR39</f>
        <v>0</v>
      </c>
    </row>
    <row r="12" spans="1:27" x14ac:dyDescent="0.25">
      <c r="A12" s="38" t="s">
        <v>39</v>
      </c>
      <c r="B12" s="46">
        <f>'Ualace-Desmob'!H41</f>
        <v>0</v>
      </c>
      <c r="C12" s="43">
        <f t="shared" si="0"/>
        <v>5000</v>
      </c>
      <c r="D12" s="35">
        <f>'Ualace-Desmob'!U42</f>
        <v>0</v>
      </c>
      <c r="E12" s="35">
        <f>'Ualace-Desmob'!AC42</f>
        <v>0</v>
      </c>
      <c r="F12" s="36">
        <f>'Ualace-Desmob'!AK42</f>
        <v>0</v>
      </c>
      <c r="H12" s="38" t="s">
        <v>39</v>
      </c>
      <c r="I12" s="46">
        <f>'André Plácido-Desmob'!H44</f>
        <v>1335</v>
      </c>
      <c r="J12" s="43">
        <f t="shared" si="1"/>
        <v>3665</v>
      </c>
      <c r="K12" s="35">
        <f>'André Plácido-Desmob'!U45</f>
        <v>723.78</v>
      </c>
      <c r="L12" s="35">
        <f>'André Plácido-Desmob'!AC45</f>
        <v>0</v>
      </c>
      <c r="M12" s="36">
        <f>'André Plácido-Desmob'!AK45</f>
        <v>0</v>
      </c>
      <c r="O12" s="38" t="s">
        <v>39</v>
      </c>
      <c r="P12" s="46">
        <f>'Wendel Matias-Desmob'!H38</f>
        <v>964</v>
      </c>
      <c r="Q12" s="43">
        <f t="shared" si="2"/>
        <v>4036</v>
      </c>
      <c r="R12" s="35">
        <f>'Wendel Matias-Desmob'!Z43</f>
        <v>0</v>
      </c>
      <c r="S12" s="35">
        <f>'Wendel Matias-Desmob'!AI43</f>
        <v>0</v>
      </c>
      <c r="T12" s="36">
        <f>'Wendel Matias-Desmob'!AR43</f>
        <v>0</v>
      </c>
      <c r="V12" s="38" t="s">
        <v>39</v>
      </c>
      <c r="W12" s="46">
        <f>'Ednei-Desmob'!H42</f>
        <v>1648</v>
      </c>
      <c r="X12" s="43">
        <f t="shared" si="3"/>
        <v>3352</v>
      </c>
      <c r="Y12" s="35">
        <f>'Ednei-Desmob'!Z43</f>
        <v>0</v>
      </c>
      <c r="Z12" s="35">
        <f>'Ednei-Desmob'!AI43</f>
        <v>0</v>
      </c>
      <c r="AA12" s="36">
        <f>'Ednei-Desmob'!AR43</f>
        <v>0</v>
      </c>
    </row>
    <row r="13" spans="1:27" x14ac:dyDescent="0.25">
      <c r="A13" s="38" t="s">
        <v>40</v>
      </c>
      <c r="B13" s="46">
        <f>'Ualace-Desmob'!H45</f>
        <v>726</v>
      </c>
      <c r="C13" s="43">
        <f t="shared" si="0"/>
        <v>4274</v>
      </c>
      <c r="D13" s="35">
        <f>'Ualace-Desmob'!U46</f>
        <v>0</v>
      </c>
      <c r="E13" s="35">
        <f>'Ualace-Desmob'!AC46</f>
        <v>0</v>
      </c>
      <c r="F13" s="36">
        <f>'Ualace-Desmob'!AK46</f>
        <v>0</v>
      </c>
      <c r="H13" s="38" t="s">
        <v>40</v>
      </c>
      <c r="I13" s="46">
        <f>'André Plácido-Desmob'!H48</f>
        <v>2624</v>
      </c>
      <c r="J13" s="43">
        <f t="shared" si="1"/>
        <v>2376</v>
      </c>
      <c r="K13" s="35">
        <f>'André Plácido-Desmob'!U49</f>
        <v>643.44000000000005</v>
      </c>
      <c r="L13" s="35">
        <f>'André Plácido-Desmob'!AC49</f>
        <v>0</v>
      </c>
      <c r="M13" s="36">
        <f>'André Plácido-Desmob'!AK49</f>
        <v>0</v>
      </c>
      <c r="O13" s="38" t="s">
        <v>40</v>
      </c>
      <c r="P13" s="46">
        <f>'Wendel Matias-Desmob'!H42</f>
        <v>1939</v>
      </c>
      <c r="Q13" s="43">
        <f t="shared" si="2"/>
        <v>3061</v>
      </c>
      <c r="R13" s="35">
        <f>'Wendel Matias-Desmob'!Z47</f>
        <v>0</v>
      </c>
      <c r="S13" s="35">
        <f>'Wendel Matias-Desmob'!AI47</f>
        <v>0</v>
      </c>
      <c r="T13" s="36">
        <f>'Wendel Matias-Desmob'!AR47</f>
        <v>0</v>
      </c>
      <c r="V13" s="38" t="s">
        <v>40</v>
      </c>
      <c r="W13" s="46">
        <f>'Ednei-Desmob'!H46</f>
        <v>1564</v>
      </c>
      <c r="X13" s="43">
        <f t="shared" si="3"/>
        <v>3436</v>
      </c>
      <c r="Y13" s="35">
        <f>'Ednei-Desmob'!Z47</f>
        <v>0</v>
      </c>
      <c r="Z13" s="35">
        <f>'Ednei-Desmob'!AI47</f>
        <v>0</v>
      </c>
      <c r="AA13" s="36">
        <f>'Ednei-Desmob'!AR47</f>
        <v>0</v>
      </c>
    </row>
    <row r="14" spans="1:27" x14ac:dyDescent="0.25">
      <c r="A14" s="38" t="s">
        <v>41</v>
      </c>
      <c r="B14" s="46">
        <f>'Ualace-Desmob'!H49</f>
        <v>3829</v>
      </c>
      <c r="C14" s="43">
        <f t="shared" si="0"/>
        <v>1171</v>
      </c>
      <c r="D14" s="35">
        <f>'Ualace-Desmob'!U50</f>
        <v>0</v>
      </c>
      <c r="E14" s="35">
        <f>'Ualace-Desmob'!AC50</f>
        <v>0</v>
      </c>
      <c r="F14" s="36">
        <f>'Ualace-Desmob'!AK50</f>
        <v>0</v>
      </c>
      <c r="H14" s="38" t="s">
        <v>41</v>
      </c>
      <c r="I14" s="46">
        <f>'André Plácido-Desmob'!H52</f>
        <v>896</v>
      </c>
      <c r="J14" s="43">
        <f t="shared" si="1"/>
        <v>4104</v>
      </c>
      <c r="K14" s="35">
        <f>'André Plácido-Desmob'!U53</f>
        <v>400.06</v>
      </c>
      <c r="L14" s="35">
        <f>'André Plácido-Desmob'!AC53</f>
        <v>0</v>
      </c>
      <c r="M14" s="36">
        <f>'André Plácido-Desmob'!AK53</f>
        <v>0</v>
      </c>
      <c r="O14" s="38" t="s">
        <v>41</v>
      </c>
      <c r="P14" s="46">
        <f>'Wendel Matias-Desmob'!H46</f>
        <v>2022</v>
      </c>
      <c r="Q14" s="43">
        <f t="shared" si="2"/>
        <v>2978</v>
      </c>
      <c r="R14" s="35">
        <f>'Wendel Matias-Desmob'!Z51</f>
        <v>0</v>
      </c>
      <c r="S14" s="35">
        <f>'Wendel Matias-Desmob'!AI51</f>
        <v>0</v>
      </c>
      <c r="T14" s="36">
        <f>'Wendel Matias-Desmob'!AR51</f>
        <v>0</v>
      </c>
      <c r="V14" s="38" t="s">
        <v>41</v>
      </c>
      <c r="W14" s="46">
        <f>'Ednei-Desmob'!H50</f>
        <v>1462</v>
      </c>
      <c r="X14" s="43">
        <f t="shared" si="3"/>
        <v>3538</v>
      </c>
      <c r="Y14" s="35">
        <f>'Ednei-Desmob'!Z51</f>
        <v>0</v>
      </c>
      <c r="Z14" s="35">
        <f>'Ednei-Desmob'!AI51</f>
        <v>0</v>
      </c>
      <c r="AA14" s="36">
        <f>'Ednei-Desmob'!AR51</f>
        <v>0</v>
      </c>
    </row>
    <row r="15" spans="1:27" ht="15.75" thickBot="1" x14ac:dyDescent="0.3">
      <c r="A15" s="39" t="s">
        <v>42</v>
      </c>
      <c r="B15" s="47">
        <f>'Ualace-Desmob'!H53</f>
        <v>1771</v>
      </c>
      <c r="C15" s="44">
        <f t="shared" si="0"/>
        <v>3229</v>
      </c>
      <c r="D15" s="11">
        <f>'Ualace-Desmob'!U54</f>
        <v>1384.87</v>
      </c>
      <c r="E15" s="11">
        <f>'Ualace-Desmob'!AC54</f>
        <v>0</v>
      </c>
      <c r="F15" s="12">
        <f>'Ualace-Desmob'!AK54</f>
        <v>0</v>
      </c>
      <c r="H15" s="39" t="s">
        <v>42</v>
      </c>
      <c r="I15" s="47">
        <f>'André Plácido-Desmob'!H56</f>
        <v>719</v>
      </c>
      <c r="J15" s="44">
        <f>SUM(5000-I15)</f>
        <v>4281</v>
      </c>
      <c r="K15" s="11">
        <f>'André Plácido-Desmob'!U57</f>
        <v>500.31</v>
      </c>
      <c r="L15" s="11">
        <f>'André Plácido-Desmob'!AC53</f>
        <v>0</v>
      </c>
      <c r="M15" s="12">
        <f>'André Plácido-Desmob'!AK53</f>
        <v>0</v>
      </c>
      <c r="O15" s="39" t="s">
        <v>42</v>
      </c>
      <c r="P15" s="47">
        <f>'Wendel Matias-Desmob'!H50</f>
        <v>1848</v>
      </c>
      <c r="Q15" s="44">
        <f>SUM(5000-P15)</f>
        <v>3152</v>
      </c>
      <c r="R15" s="11">
        <f>'Wendel Matias-Desmob'!Z55</f>
        <v>0</v>
      </c>
      <c r="S15" s="11">
        <f>'Wendel Matias-Desmob'!AI51</f>
        <v>0</v>
      </c>
      <c r="T15" s="12">
        <f>'Wendel Matias-Desmob'!AR55</f>
        <v>0</v>
      </c>
      <c r="V15" s="39" t="s">
        <v>42</v>
      </c>
      <c r="W15" s="47">
        <f>'Ednei-Desmob'!H54</f>
        <v>1564</v>
      </c>
      <c r="X15" s="44">
        <f t="shared" si="3"/>
        <v>3436</v>
      </c>
      <c r="Y15" s="11">
        <f>'Ednei-Desmob'!Z55</f>
        <v>0</v>
      </c>
      <c r="Z15" s="11">
        <f>'Ednei-Desmob'!AI55</f>
        <v>0</v>
      </c>
      <c r="AA15" s="12">
        <f>'Ednei-Desmob'!AR55</f>
        <v>0</v>
      </c>
    </row>
    <row r="16" spans="1:27" ht="15.75" thickBot="1" x14ac:dyDescent="0.3"/>
    <row r="17" spans="1:27" ht="15.75" thickBot="1" x14ac:dyDescent="0.3">
      <c r="A17" s="3" t="s">
        <v>23</v>
      </c>
      <c r="B17" s="52">
        <f>SUM(B4:B15)</f>
        <v>6326</v>
      </c>
      <c r="C17" s="51"/>
      <c r="D17" s="50">
        <f>SUM(D4:D15)</f>
        <v>1384.87</v>
      </c>
      <c r="E17" s="49">
        <f>SUM(E4:E15)</f>
        <v>0</v>
      </c>
      <c r="F17" s="48">
        <f>SUM(F4:F15)</f>
        <v>0</v>
      </c>
      <c r="H17" s="3" t="s">
        <v>23</v>
      </c>
      <c r="I17" s="52">
        <f>SUM(I4:I15)</f>
        <v>15756</v>
      </c>
      <c r="J17" s="51"/>
      <c r="K17" s="50">
        <f>SUM(K4:K15)</f>
        <v>6256.02</v>
      </c>
      <c r="L17" s="49">
        <f>SUM(L4:L15)</f>
        <v>300</v>
      </c>
      <c r="M17" s="48">
        <f>SUM(M4:M15)</f>
        <v>0</v>
      </c>
      <c r="O17" s="3" t="s">
        <v>23</v>
      </c>
      <c r="P17" s="52">
        <f>SUM(P4:P15)</f>
        <v>16643</v>
      </c>
      <c r="Q17" s="51"/>
      <c r="R17" s="50">
        <f>SUM(R4:R15)</f>
        <v>1972.89</v>
      </c>
      <c r="S17" s="49">
        <f>SUM(S4:S15)</f>
        <v>0</v>
      </c>
      <c r="T17" s="48">
        <f>SUM(T4:T15)</f>
        <v>0</v>
      </c>
      <c r="V17" s="3" t="s">
        <v>23</v>
      </c>
      <c r="W17" s="52">
        <f>SUM(W4:W15)</f>
        <v>17260</v>
      </c>
      <c r="X17" s="51"/>
      <c r="Y17" s="50">
        <f>SUM(Y4:Y15)</f>
        <v>1799.0100000000002</v>
      </c>
      <c r="Z17" s="49">
        <f>SUM(Z4:Z15)</f>
        <v>0</v>
      </c>
      <c r="AA17" s="48">
        <f>SUM(AA4:AA15)</f>
        <v>0</v>
      </c>
    </row>
    <row r="18" spans="1:27" ht="15.75" thickBot="1" x14ac:dyDescent="0.3">
      <c r="A18" s="3" t="s">
        <v>44</v>
      </c>
      <c r="B18" s="23">
        <f>SUM(60000-B17)</f>
        <v>53674</v>
      </c>
      <c r="H18" s="3" t="s">
        <v>44</v>
      </c>
      <c r="I18" s="23">
        <f>SUM(60000-I17)</f>
        <v>44244</v>
      </c>
      <c r="O18" s="3" t="s">
        <v>44</v>
      </c>
      <c r="P18" s="23">
        <f>SUM(60000-P17)</f>
        <v>43357</v>
      </c>
      <c r="V18" s="3" t="s">
        <v>44</v>
      </c>
      <c r="W18" s="23">
        <f>SUM(60000-W17)</f>
        <v>42740</v>
      </c>
    </row>
    <row r="21" spans="1:27" ht="15.75" thickBot="1" x14ac:dyDescent="0.3">
      <c r="B21" s="98" t="s">
        <v>74</v>
      </c>
      <c r="C21" s="98"/>
      <c r="D21" s="98"/>
      <c r="E21" s="98"/>
      <c r="F21" s="98"/>
      <c r="I21" s="89" t="s">
        <v>73</v>
      </c>
      <c r="J21" s="89"/>
      <c r="K21" s="89"/>
      <c r="L21" s="89"/>
      <c r="M21" s="89"/>
      <c r="P21" s="89" t="s">
        <v>72</v>
      </c>
      <c r="Q21" s="89"/>
      <c r="R21" s="89"/>
      <c r="S21" s="89"/>
      <c r="T21" s="89"/>
      <c r="W21" s="89" t="s">
        <v>52</v>
      </c>
      <c r="X21" s="89"/>
      <c r="Y21" s="89"/>
      <c r="Z21" s="89"/>
      <c r="AA21" s="89"/>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'Ualace-Desmob2'!H15</f>
        <v>1610</v>
      </c>
      <c r="C24" s="43">
        <f>SUM(5000-B24)</f>
        <v>3390</v>
      </c>
      <c r="D24" s="35">
        <f>'Ualace-Desmob2'!U16</f>
        <v>907.76</v>
      </c>
      <c r="E24" s="35">
        <f>'Ualace-Desmob2'!AC16</f>
        <v>0</v>
      </c>
      <c r="F24" s="36">
        <f>'Ualace-Desmob2'!AK16</f>
        <v>0</v>
      </c>
      <c r="H24" s="38" t="s">
        <v>32</v>
      </c>
      <c r="I24" s="46">
        <f>'Claudio-Desmob'!H13</f>
        <v>0</v>
      </c>
      <c r="J24" s="43">
        <f>SUM(5000-I24)</f>
        <v>5000</v>
      </c>
      <c r="K24" s="35">
        <f>'Claudio-Desmob'!U14</f>
        <v>0</v>
      </c>
      <c r="L24" s="35">
        <f>'Claudio-Desmob'!AC14</f>
        <v>0</v>
      </c>
      <c r="M24" s="36">
        <f>'Claudio-Desmob'!AK14</f>
        <v>0</v>
      </c>
      <c r="O24" s="38" t="s">
        <v>32</v>
      </c>
      <c r="P24" s="46">
        <f>'Andre Placido'!H11</f>
        <v>0</v>
      </c>
      <c r="Q24" s="43">
        <f>SUM(5000-P24)</f>
        <v>5000</v>
      </c>
      <c r="R24" s="35">
        <f>'Andre Placido'!U12</f>
        <v>0</v>
      </c>
      <c r="S24" s="35">
        <f>'Andre Placido'!AC12</f>
        <v>0</v>
      </c>
      <c r="T24" s="36">
        <f>'Andre Placido'!AK12</f>
        <v>0</v>
      </c>
      <c r="V24" s="38" t="s">
        <v>32</v>
      </c>
      <c r="W24" s="46">
        <f>Ednei!H11</f>
        <v>0</v>
      </c>
      <c r="X24" s="43">
        <f>SUM(5000-W24)</f>
        <v>5000</v>
      </c>
      <c r="Y24" s="35">
        <f>Ednei!U12</f>
        <v>0</v>
      </c>
      <c r="Z24" s="35">
        <f>Ednei!AE12</f>
        <v>0</v>
      </c>
      <c r="AA24" s="36">
        <f>Ednei!AN12</f>
        <v>0</v>
      </c>
    </row>
    <row r="25" spans="1:27" x14ac:dyDescent="0.25">
      <c r="A25" s="38" t="s">
        <v>33</v>
      </c>
      <c r="B25" s="46">
        <f>'Ualace-Desmob2'!H19</f>
        <v>1827</v>
      </c>
      <c r="C25" s="43">
        <f t="shared" ref="C25:C34" si="4">SUM(5000-B25)</f>
        <v>3173</v>
      </c>
      <c r="D25" s="35">
        <f>'Ualace-Desmob2'!U20</f>
        <v>980.03</v>
      </c>
      <c r="E25" s="35">
        <f>'Ualace-Desmob2'!AC20</f>
        <v>180</v>
      </c>
      <c r="F25" s="36">
        <f>'Ualace-Desmob2'!AK20</f>
        <v>0</v>
      </c>
      <c r="H25" s="38" t="s">
        <v>33</v>
      </c>
      <c r="I25" s="46">
        <f>'Claudio-Desmob'!H17</f>
        <v>1341</v>
      </c>
      <c r="J25" s="43">
        <f t="shared" ref="J25:J34" si="5">SUM(5000-I25)</f>
        <v>3659</v>
      </c>
      <c r="K25" s="35">
        <f>'Claudio-Desmob'!U18</f>
        <v>813.24</v>
      </c>
      <c r="L25" s="35">
        <f>'Claudio-Desmob'!AC18</f>
        <v>40</v>
      </c>
      <c r="M25" s="36">
        <f>'Claudio-Desmob'!AK18</f>
        <v>0</v>
      </c>
      <c r="O25" s="38" t="s">
        <v>33</v>
      </c>
      <c r="P25" s="46">
        <f>'Andre Placido'!H15</f>
        <v>0</v>
      </c>
      <c r="Q25" s="43">
        <f t="shared" ref="Q25:Q34" si="6">SUM(5000-P25)</f>
        <v>5000</v>
      </c>
      <c r="R25" s="35">
        <f>'Andre Placido'!U16</f>
        <v>0</v>
      </c>
      <c r="S25" s="35">
        <f>'Andre Placido'!AC16</f>
        <v>0</v>
      </c>
      <c r="T25" s="36">
        <f>'Andre Placido'!AK16</f>
        <v>0</v>
      </c>
      <c r="V25" s="38" t="s">
        <v>33</v>
      </c>
      <c r="W25" s="46">
        <f>Ednei!H15</f>
        <v>0</v>
      </c>
      <c r="X25" s="43">
        <f t="shared" ref="X25:X34" si="7">SUM(5000-W25)</f>
        <v>5000</v>
      </c>
      <c r="Y25" s="35">
        <f>Ednei!U16</f>
        <v>0</v>
      </c>
      <c r="Z25" s="35">
        <f>Ednei!AE16</f>
        <v>0</v>
      </c>
      <c r="AA25" s="36">
        <f>Ednei!AN16</f>
        <v>0</v>
      </c>
    </row>
    <row r="26" spans="1:27" x14ac:dyDescent="0.25">
      <c r="A26" s="38" t="s">
        <v>34</v>
      </c>
      <c r="B26" s="46">
        <f>'Ualace-Desmob2'!H23</f>
        <v>1101</v>
      </c>
      <c r="C26" s="43">
        <f t="shared" si="4"/>
        <v>3899</v>
      </c>
      <c r="D26" s="35">
        <f>'Ualace-Desmob2'!U24</f>
        <v>930.52</v>
      </c>
      <c r="E26" s="35">
        <f>'Ualace-Desmob2'!AC24</f>
        <v>0</v>
      </c>
      <c r="F26" s="36">
        <f>'Ualace-Desmob2'!AK24</f>
        <v>0</v>
      </c>
      <c r="H26" s="38" t="s">
        <v>34</v>
      </c>
      <c r="I26" s="46">
        <f>'Claudio-Desmob'!H21</f>
        <v>2114</v>
      </c>
      <c r="J26" s="43">
        <f t="shared" si="5"/>
        <v>2886</v>
      </c>
      <c r="K26" s="35">
        <f>'Claudio-Desmob'!U22</f>
        <v>1278.42</v>
      </c>
      <c r="L26" s="35">
        <f>'Claudio-Desmob'!AC22</f>
        <v>0</v>
      </c>
      <c r="M26" s="36">
        <f>'Claudio-Desmob'!AK22</f>
        <v>0</v>
      </c>
      <c r="O26" s="38" t="s">
        <v>34</v>
      </c>
      <c r="P26" s="46">
        <f>'Andre Placido'!H19</f>
        <v>-964</v>
      </c>
      <c r="Q26" s="43">
        <f t="shared" si="6"/>
        <v>5964</v>
      </c>
      <c r="R26" s="35">
        <f>'Andre Placido'!U20</f>
        <v>0</v>
      </c>
      <c r="S26" s="35">
        <f>'Andre Placido'!AC20</f>
        <v>0</v>
      </c>
      <c r="T26" s="36">
        <f>'Andre Placido'!AK20</f>
        <v>0</v>
      </c>
      <c r="V26" s="38" t="s">
        <v>34</v>
      </c>
      <c r="W26" s="46">
        <f>Ednei!H19</f>
        <v>938</v>
      </c>
      <c r="X26" s="43">
        <f t="shared" si="7"/>
        <v>4062</v>
      </c>
      <c r="Y26" s="35">
        <f>Ednei!U200</f>
        <v>0</v>
      </c>
      <c r="Z26" s="35">
        <f>Ednei!AE20</f>
        <v>0</v>
      </c>
      <c r="AA26" s="36">
        <f>Ednei!AN200</f>
        <v>0</v>
      </c>
    </row>
    <row r="27" spans="1:27" x14ac:dyDescent="0.25">
      <c r="A27" s="38" t="s">
        <v>35</v>
      </c>
      <c r="B27" s="46">
        <f>'Ualace-Desmob2'!H27</f>
        <v>1326</v>
      </c>
      <c r="C27" s="43">
        <f t="shared" si="4"/>
        <v>3674</v>
      </c>
      <c r="D27" s="35">
        <f>'Ualace-Desmob2'!U28</f>
        <v>838.34</v>
      </c>
      <c r="E27" s="35">
        <f>'Ualace-Desmob2'!AC28</f>
        <v>0</v>
      </c>
      <c r="F27" s="36">
        <f>'Ualace-Desmob2'!AK28</f>
        <v>0</v>
      </c>
      <c r="H27" s="38" t="s">
        <v>35</v>
      </c>
      <c r="I27" s="46">
        <f>'Claudio-Desmob'!H25</f>
        <v>2068</v>
      </c>
      <c r="J27" s="43">
        <f t="shared" si="5"/>
        <v>2932</v>
      </c>
      <c r="K27" s="35">
        <f>'Claudio-Desmob'!U26</f>
        <v>1266.3699999999999</v>
      </c>
      <c r="L27" s="35">
        <f>'Claudio-Desmob'!AC26</f>
        <v>0</v>
      </c>
      <c r="M27" s="36">
        <f>'Claudio-Desmob'!AK26</f>
        <v>0</v>
      </c>
      <c r="O27" s="38" t="s">
        <v>35</v>
      </c>
      <c r="P27" s="46">
        <f>'Andre Placido'!H27</f>
        <v>1724</v>
      </c>
      <c r="Q27" s="43">
        <f t="shared" si="6"/>
        <v>3276</v>
      </c>
      <c r="R27" s="35">
        <f>'Andre Placido'!U28</f>
        <v>0</v>
      </c>
      <c r="S27" s="35">
        <f>'Andre Placido'!AC28</f>
        <v>0</v>
      </c>
      <c r="T27" s="36">
        <f>'Andre Placido'!AK28</f>
        <v>0</v>
      </c>
      <c r="V27" s="38" t="s">
        <v>35</v>
      </c>
      <c r="W27" s="46">
        <f>Ednei!H23</f>
        <v>2160</v>
      </c>
      <c r="X27" s="43">
        <f t="shared" si="7"/>
        <v>2840</v>
      </c>
      <c r="Y27" s="35">
        <f>Ednei!U24</f>
        <v>0</v>
      </c>
      <c r="Z27" s="35">
        <f>Ednei!AE24</f>
        <v>0</v>
      </c>
      <c r="AA27" s="36">
        <f>Ednei!AN24</f>
        <v>0</v>
      </c>
    </row>
    <row r="28" spans="1:27" x14ac:dyDescent="0.25">
      <c r="A28" s="38" t="s">
        <v>36</v>
      </c>
      <c r="B28" s="46">
        <f>'Ualace-Desmob2'!H31</f>
        <v>2563</v>
      </c>
      <c r="C28" s="43">
        <f t="shared" si="4"/>
        <v>2437</v>
      </c>
      <c r="D28" s="35">
        <f>'Ualace-Desmob2'!U32</f>
        <v>848.51</v>
      </c>
      <c r="E28" s="35">
        <f>'Ualace-Desmob2'!AC32</f>
        <v>0</v>
      </c>
      <c r="F28" s="36">
        <f>'Ualace-Desmob2'!AK32</f>
        <v>0</v>
      </c>
      <c r="H28" s="38" t="s">
        <v>36</v>
      </c>
      <c r="I28" s="46">
        <f>'Claudio-Desmob'!H29</f>
        <v>1338</v>
      </c>
      <c r="J28" s="43">
        <f t="shared" si="5"/>
        <v>3662</v>
      </c>
      <c r="K28" s="35">
        <f>'Claudio-Desmob'!U30</f>
        <v>981.88</v>
      </c>
      <c r="L28" s="35">
        <f>'Claudio-Desmob'!AC30</f>
        <v>0</v>
      </c>
      <c r="M28" s="36">
        <f>'Claudio-Desmob'!AK30</f>
        <v>0</v>
      </c>
      <c r="O28" s="38" t="s">
        <v>36</v>
      </c>
      <c r="P28" s="46">
        <f>'Andre Placido'!H31</f>
        <v>0</v>
      </c>
      <c r="Q28" s="43">
        <f t="shared" si="6"/>
        <v>5000</v>
      </c>
      <c r="R28" s="35">
        <f>'Andre Placido'!U32</f>
        <v>0</v>
      </c>
      <c r="S28" s="35">
        <f>'Andre Placido'!AC32</f>
        <v>0</v>
      </c>
      <c r="T28" s="36">
        <f>'Andre Placido'!AK32</f>
        <v>0</v>
      </c>
      <c r="V28" s="38" t="s">
        <v>36</v>
      </c>
      <c r="W28" s="46">
        <f>Ednei!H27</f>
        <v>0</v>
      </c>
      <c r="X28" s="43">
        <f t="shared" si="7"/>
        <v>5000</v>
      </c>
      <c r="Y28" s="35">
        <f>Ednei!U28</f>
        <v>0</v>
      </c>
      <c r="Z28" s="35">
        <f>Ednei!AE28</f>
        <v>0</v>
      </c>
      <c r="AA28" s="36">
        <f>Ednei!AN28</f>
        <v>0</v>
      </c>
    </row>
    <row r="29" spans="1:27" x14ac:dyDescent="0.25">
      <c r="A29" s="38" t="s">
        <v>37</v>
      </c>
      <c r="B29" s="46">
        <f>'Ualace-Desmob2'!H35</f>
        <v>1661</v>
      </c>
      <c r="C29" s="43">
        <f t="shared" si="4"/>
        <v>3339</v>
      </c>
      <c r="D29" s="35">
        <f>'Ualace-Desmob2'!U36</f>
        <v>1105.78</v>
      </c>
      <c r="E29" s="35">
        <f>'Ualace-Desmob2'!AC36</f>
        <v>0</v>
      </c>
      <c r="F29" s="36">
        <f>'Ualace-Desmob2'!AK36</f>
        <v>0</v>
      </c>
      <c r="H29" s="38" t="s">
        <v>37</v>
      </c>
      <c r="I29" s="46">
        <f>'Claudio-Desmob'!H33</f>
        <v>2288</v>
      </c>
      <c r="J29" s="43">
        <f t="shared" si="5"/>
        <v>2712</v>
      </c>
      <c r="K29" s="35">
        <f>'Claudio-Desmob'!U34</f>
        <v>1349.0700000000002</v>
      </c>
      <c r="L29" s="35">
        <f>'Claudio-Desmob'!AC34</f>
        <v>0</v>
      </c>
      <c r="M29" s="36">
        <f>'Claudio-Desmob'!AK34</f>
        <v>0</v>
      </c>
      <c r="O29" s="38" t="s">
        <v>37</v>
      </c>
      <c r="P29" s="46">
        <f>'Andre Placido'!H35</f>
        <v>0</v>
      </c>
      <c r="Q29" s="43">
        <f t="shared" si="6"/>
        <v>5000</v>
      </c>
      <c r="R29" s="35">
        <f>'Andre Placido'!U36</f>
        <v>0</v>
      </c>
      <c r="S29" s="35">
        <f>'Andre Placido'!AC36</f>
        <v>0</v>
      </c>
      <c r="T29" s="36">
        <f>'Andre Placido'!AK36</f>
        <v>0</v>
      </c>
      <c r="V29" s="38" t="s">
        <v>37</v>
      </c>
      <c r="W29" s="46">
        <f>Ednei!H31</f>
        <v>0</v>
      </c>
      <c r="X29" s="43">
        <f t="shared" si="7"/>
        <v>5000</v>
      </c>
      <c r="Y29" s="35">
        <f>Ednei!U32</f>
        <v>0</v>
      </c>
      <c r="Z29" s="35">
        <f>Ednei!AE32</f>
        <v>0</v>
      </c>
      <c r="AA29" s="36">
        <f>Ednei!AN32</f>
        <v>0</v>
      </c>
    </row>
    <row r="30" spans="1:27" x14ac:dyDescent="0.25">
      <c r="A30" s="38" t="s">
        <v>38</v>
      </c>
      <c r="B30" s="46">
        <f>'Ualace-Desmob2'!H39</f>
        <v>1255</v>
      </c>
      <c r="C30" s="43">
        <f t="shared" si="4"/>
        <v>3745</v>
      </c>
      <c r="D30" s="35">
        <f>'Ualace-Desmob2'!U40</f>
        <v>864.63</v>
      </c>
      <c r="E30" s="35">
        <f>'Ualace-Desmob2'!AC40</f>
        <v>0</v>
      </c>
      <c r="F30" s="36">
        <f>'Ualace-Desmob2'!AK40</f>
        <v>0</v>
      </c>
      <c r="H30" s="38" t="s">
        <v>38</v>
      </c>
      <c r="I30" s="46">
        <f>'Claudio-Desmob'!H37</f>
        <v>1594</v>
      </c>
      <c r="J30" s="43">
        <f t="shared" si="5"/>
        <v>3406</v>
      </c>
      <c r="K30" s="35">
        <f>'Claudio-Desmob'!U38</f>
        <v>862.75000000000011</v>
      </c>
      <c r="L30" s="35">
        <f>'Claudio-Desmob'!AC38</f>
        <v>0</v>
      </c>
      <c r="M30" s="36">
        <f>'Claudio-Desmob'!AK38</f>
        <v>0</v>
      </c>
      <c r="O30" s="38" t="s">
        <v>38</v>
      </c>
      <c r="P30" s="46">
        <f>'Andre Placido'!H39</f>
        <v>0</v>
      </c>
      <c r="Q30" s="43">
        <f t="shared" si="6"/>
        <v>5000</v>
      </c>
      <c r="R30" s="35">
        <f>'Andre Placido'!U40</f>
        <v>0</v>
      </c>
      <c r="S30" s="35">
        <f>'Andre Placido'!AC40</f>
        <v>0</v>
      </c>
      <c r="T30" s="36">
        <f>'Andre Placido'!AK40</f>
        <v>0</v>
      </c>
      <c r="V30" s="38" t="s">
        <v>38</v>
      </c>
      <c r="W30" s="46">
        <f>Ednei!H35</f>
        <v>0</v>
      </c>
      <c r="X30" s="43">
        <f t="shared" si="7"/>
        <v>5000</v>
      </c>
      <c r="Y30" s="35">
        <f>Ednei!U36</f>
        <v>0</v>
      </c>
      <c r="Z30" s="35">
        <f>Ednei!AE36</f>
        <v>0</v>
      </c>
      <c r="AA30" s="36">
        <f>Ednei!AN36</f>
        <v>0</v>
      </c>
    </row>
    <row r="31" spans="1:27" x14ac:dyDescent="0.25">
      <c r="A31" s="38" t="s">
        <v>39</v>
      </c>
      <c r="B31" s="46">
        <f>'Ualace-Desmob2'!H43</f>
        <v>2193</v>
      </c>
      <c r="C31" s="43">
        <f t="shared" si="4"/>
        <v>2807</v>
      </c>
      <c r="D31" s="35">
        <f>'Ualace-Desmob2'!U44</f>
        <v>1071.8</v>
      </c>
      <c r="E31" s="35">
        <f>'Ualace-Desmob2'!AC44</f>
        <v>0</v>
      </c>
      <c r="F31" s="36">
        <f>'Ualace-Desmob2'!AK5</f>
        <v>0</v>
      </c>
      <c r="H31" s="38" t="s">
        <v>39</v>
      </c>
      <c r="I31" s="46">
        <f>'Claudio-Desmob'!H41</f>
        <v>2121</v>
      </c>
      <c r="J31" s="43">
        <f t="shared" si="5"/>
        <v>2879</v>
      </c>
      <c r="K31" s="35">
        <f>'Claudio-Desmob'!U42</f>
        <v>924.9799999999999</v>
      </c>
      <c r="L31" s="35">
        <f>'Claudio-Desmob'!AC42</f>
        <v>0</v>
      </c>
      <c r="M31" s="36">
        <f>'Claudio-Desmob'!AK42</f>
        <v>0</v>
      </c>
      <c r="O31" s="38" t="s">
        <v>39</v>
      </c>
      <c r="P31" s="46">
        <f>'Andre Placido'!H43</f>
        <v>0</v>
      </c>
      <c r="Q31" s="43">
        <f t="shared" si="6"/>
        <v>5000</v>
      </c>
      <c r="R31" s="35">
        <f>'Andre Placido'!U44</f>
        <v>0</v>
      </c>
      <c r="S31" s="35">
        <f>'Andre Placido'!AC44</f>
        <v>0</v>
      </c>
      <c r="T31" s="36">
        <f>'Andre Placido'!AK44</f>
        <v>0</v>
      </c>
      <c r="V31" s="38" t="s">
        <v>39</v>
      </c>
      <c r="W31" s="46">
        <f>Ednei!H39</f>
        <v>0</v>
      </c>
      <c r="X31" s="43">
        <f t="shared" si="7"/>
        <v>5000</v>
      </c>
      <c r="Y31" s="35">
        <f>Ednei!U40</f>
        <v>0</v>
      </c>
      <c r="Z31" s="35">
        <f>Ednei!AE40</f>
        <v>0</v>
      </c>
      <c r="AA31" s="36">
        <f>Ednei!AN40</f>
        <v>0</v>
      </c>
    </row>
    <row r="32" spans="1:27" x14ac:dyDescent="0.25">
      <c r="A32" s="38" t="s">
        <v>40</v>
      </c>
      <c r="B32" s="46">
        <f>'Ualace-Desmob2'!H47</f>
        <v>1991</v>
      </c>
      <c r="C32" s="43">
        <f t="shared" si="4"/>
        <v>3009</v>
      </c>
      <c r="D32" s="35">
        <f>'Ualace-Desmob2'!U48</f>
        <v>1444.17</v>
      </c>
      <c r="E32" s="35">
        <f>'Ualace-Desmob2'!AC48</f>
        <v>0</v>
      </c>
      <c r="F32" s="36">
        <f>'Ualace-Desmob2'!AK48</f>
        <v>0</v>
      </c>
      <c r="H32" s="38" t="s">
        <v>40</v>
      </c>
      <c r="I32" s="46">
        <f>'Claudio-Desmob'!H45</f>
        <v>1825</v>
      </c>
      <c r="J32" s="43">
        <f t="shared" si="5"/>
        <v>3175</v>
      </c>
      <c r="K32" s="35">
        <f>'Claudio-Desmob'!U46</f>
        <v>0</v>
      </c>
      <c r="L32" s="35">
        <f>'Claudio-Desmob'!AC46</f>
        <v>0</v>
      </c>
      <c r="M32" s="36">
        <f>'Claudio-Desmob'!AK46</f>
        <v>0</v>
      </c>
      <c r="O32" s="38" t="s">
        <v>40</v>
      </c>
      <c r="P32" s="46">
        <f>'Andre Placido'!H47</f>
        <v>0</v>
      </c>
      <c r="Q32" s="43">
        <f t="shared" si="6"/>
        <v>5000</v>
      </c>
      <c r="R32" s="35">
        <f>'Andre Placido'!U48</f>
        <v>0</v>
      </c>
      <c r="S32" s="35">
        <f>'Andre Placido'!AC48</f>
        <v>0</v>
      </c>
      <c r="T32" s="36">
        <f>'Andre Placido'!AK48</f>
        <v>0</v>
      </c>
      <c r="V32" s="38" t="s">
        <v>40</v>
      </c>
      <c r="W32" s="46">
        <f>Ednei!H43</f>
        <v>0</v>
      </c>
      <c r="X32" s="43">
        <f t="shared" si="7"/>
        <v>5000</v>
      </c>
      <c r="Y32" s="35">
        <f>Ednei!U44</f>
        <v>0</v>
      </c>
      <c r="Z32" s="35">
        <f>Ednei!AE44</f>
        <v>0</v>
      </c>
      <c r="AA32" s="36">
        <f>Ednei!AN44</f>
        <v>0</v>
      </c>
    </row>
    <row r="33" spans="1:27" x14ac:dyDescent="0.25">
      <c r="A33" s="38" t="s">
        <v>41</v>
      </c>
      <c r="B33" s="46">
        <f>'Ualace-Desmob2'!H51</f>
        <v>2050</v>
      </c>
      <c r="C33" s="43">
        <f t="shared" si="4"/>
        <v>2950</v>
      </c>
      <c r="D33" s="35">
        <f>'Ualace-Desmob2'!U52</f>
        <v>777.06</v>
      </c>
      <c r="E33" s="35">
        <f>'Ualace-Desmob2'!AC52</f>
        <v>0</v>
      </c>
      <c r="F33" s="36">
        <f>'Ualace-Desmob2'!AK52</f>
        <v>0</v>
      </c>
      <c r="H33" s="38" t="s">
        <v>41</v>
      </c>
      <c r="I33" s="46">
        <f>'Claudio-Desmob'!H53</f>
        <v>2596</v>
      </c>
      <c r="J33" s="43">
        <f t="shared" si="5"/>
        <v>2404</v>
      </c>
      <c r="K33" s="35">
        <f>'Claudio-Desmob'!U54</f>
        <v>1292.5900000000001</v>
      </c>
      <c r="L33" s="35">
        <f>'Claudio-Desmob'!AC54</f>
        <v>0</v>
      </c>
      <c r="M33" s="36">
        <f>'Claudio-Desmob'!AK54</f>
        <v>0</v>
      </c>
      <c r="O33" s="38" t="s">
        <v>41</v>
      </c>
      <c r="P33" s="46">
        <f>'Andre Placido'!H51</f>
        <v>0</v>
      </c>
      <c r="Q33" s="43">
        <f t="shared" si="6"/>
        <v>5000</v>
      </c>
      <c r="R33" s="35">
        <f>'Andre Placido'!U52</f>
        <v>0</v>
      </c>
      <c r="S33" s="35">
        <f>'Andre Placido'!AC52</f>
        <v>0</v>
      </c>
      <c r="T33" s="36">
        <f>'Andre Placido'!AK52</f>
        <v>0</v>
      </c>
      <c r="V33" s="38" t="s">
        <v>41</v>
      </c>
      <c r="W33" s="46">
        <f>Ednei!H47</f>
        <v>0</v>
      </c>
      <c r="X33" s="43">
        <f t="shared" si="7"/>
        <v>5000</v>
      </c>
      <c r="Y33" s="35">
        <f>Ednei!U48</f>
        <v>0</v>
      </c>
      <c r="Z33" s="35">
        <f>Ednei!AE48</f>
        <v>0</v>
      </c>
      <c r="AA33" s="36">
        <f>Ednei!AN48</f>
        <v>0</v>
      </c>
    </row>
    <row r="34" spans="1:27" ht="15.75" thickBot="1" x14ac:dyDescent="0.3">
      <c r="A34" s="39" t="s">
        <v>42</v>
      </c>
      <c r="B34" s="47">
        <f>'Ualace-Desmob2'!H55</f>
        <v>765</v>
      </c>
      <c r="C34" s="44">
        <f t="shared" si="4"/>
        <v>4235</v>
      </c>
      <c r="D34" s="11">
        <f>'Ualace-Desmob2'!U56</f>
        <v>0</v>
      </c>
      <c r="E34" s="11">
        <f>'Ualace-Desmob2'!AC56</f>
        <v>0</v>
      </c>
      <c r="F34" s="12">
        <f>'Ualace-Desmob2'!AK56</f>
        <v>0</v>
      </c>
      <c r="H34" s="39" t="s">
        <v>42</v>
      </c>
      <c r="I34" s="47">
        <f>'Claudio-Desmob'!H57</f>
        <v>1544</v>
      </c>
      <c r="J34" s="44">
        <f t="shared" si="5"/>
        <v>3456</v>
      </c>
      <c r="K34" s="11">
        <f>'Claudio-Desmob'!U58</f>
        <v>780.03000000000009</v>
      </c>
      <c r="L34" s="11">
        <f>'Claudio-Desmob'!AC58</f>
        <v>0</v>
      </c>
      <c r="M34" s="12">
        <f>'Claudio-Desmob'!AK58</f>
        <v>0</v>
      </c>
      <c r="O34" s="39" t="s">
        <v>42</v>
      </c>
      <c r="P34" s="47">
        <f>'Andre Placido'!H55</f>
        <v>0</v>
      </c>
      <c r="Q34" s="44">
        <f t="shared" si="6"/>
        <v>5000</v>
      </c>
      <c r="R34" s="11">
        <f>'Andre Placido'!U56</f>
        <v>0</v>
      </c>
      <c r="S34" s="11">
        <f>'Andre Placido'!AC56</f>
        <v>0</v>
      </c>
      <c r="T34" s="12">
        <f>'Andre Placido'!AK56</f>
        <v>0</v>
      </c>
      <c r="V34" s="39" t="s">
        <v>42</v>
      </c>
      <c r="W34" s="47">
        <f>Ednei!H51</f>
        <v>0</v>
      </c>
      <c r="X34" s="44">
        <f t="shared" si="7"/>
        <v>5000</v>
      </c>
      <c r="Y34" s="11">
        <f>Ednei!U52</f>
        <v>0</v>
      </c>
      <c r="Z34" s="11">
        <f>Ednei!AE52</f>
        <v>0</v>
      </c>
      <c r="AA34" s="12">
        <f>Ednei!AN52</f>
        <v>0</v>
      </c>
    </row>
    <row r="35" spans="1:27" ht="15.75" thickBot="1" x14ac:dyDescent="0.3"/>
    <row r="36" spans="1:27" ht="15.75" thickBot="1" x14ac:dyDescent="0.3">
      <c r="A36" s="3" t="s">
        <v>23</v>
      </c>
      <c r="B36" s="52">
        <f>SUM(B23:B34)</f>
        <v>18342</v>
      </c>
      <c r="C36" s="51"/>
      <c r="D36" s="50">
        <f>SUM(D23:D34)</f>
        <v>9768.6</v>
      </c>
      <c r="E36" s="49">
        <f>SUM(E23:E34)</f>
        <v>180</v>
      </c>
      <c r="F36" s="48">
        <f>SUM(F23:F34)</f>
        <v>0</v>
      </c>
      <c r="H36" s="3" t="s">
        <v>23</v>
      </c>
      <c r="I36" s="52">
        <f>SUM(I23:I34)</f>
        <v>18829</v>
      </c>
      <c r="J36" s="51"/>
      <c r="K36" s="50">
        <f>SUM(K23:K34)</f>
        <v>9549.33</v>
      </c>
      <c r="L36" s="49">
        <f>SUM(L23:L34)</f>
        <v>40</v>
      </c>
      <c r="M36" s="48">
        <f>SUM(M23:M34)</f>
        <v>0</v>
      </c>
      <c r="O36" s="3" t="s">
        <v>23</v>
      </c>
      <c r="P36" s="52">
        <f>SUM(P23:P34)</f>
        <v>760</v>
      </c>
      <c r="Q36" s="51"/>
      <c r="R36" s="50">
        <f>SUM(R23:R34)</f>
        <v>0</v>
      </c>
      <c r="S36" s="49">
        <f>SUM(S23:S34)</f>
        <v>0</v>
      </c>
      <c r="T36" s="48">
        <f>SUM(T23:T34)</f>
        <v>0</v>
      </c>
      <c r="V36" s="3" t="s">
        <v>23</v>
      </c>
      <c r="W36" s="52">
        <f>SUM(W23:W34)</f>
        <v>3098</v>
      </c>
      <c r="X36" s="51"/>
      <c r="Y36" s="50">
        <f>SUM(Y23:Y34)</f>
        <v>0</v>
      </c>
      <c r="Z36" s="49">
        <f>SUM(Z23:Z34)</f>
        <v>0</v>
      </c>
      <c r="AA36" s="48">
        <f>SUM(AA23:AA34)</f>
        <v>0</v>
      </c>
    </row>
    <row r="37" spans="1:27" ht="15.75" thickBot="1" x14ac:dyDescent="0.3">
      <c r="A37" s="3" t="s">
        <v>44</v>
      </c>
      <c r="B37" s="23">
        <f>SUM(60000-B36)</f>
        <v>41658</v>
      </c>
      <c r="H37" s="3" t="s">
        <v>44</v>
      </c>
      <c r="I37" s="23">
        <f>SUM(60000-I36)</f>
        <v>41171</v>
      </c>
      <c r="O37" s="3" t="s">
        <v>44</v>
      </c>
      <c r="P37" s="23">
        <f>SUM(60000-P36)</f>
        <v>59240</v>
      </c>
      <c r="V37" s="3" t="s">
        <v>44</v>
      </c>
      <c r="W37" s="23">
        <f>SUM(60000-W36)</f>
        <v>56902</v>
      </c>
    </row>
    <row r="40" spans="1:27" ht="15.75" thickBot="1" x14ac:dyDescent="0.3">
      <c r="B40" s="89" t="s">
        <v>53</v>
      </c>
      <c r="C40" s="89"/>
      <c r="D40" s="89"/>
      <c r="E40" s="89"/>
      <c r="F40" s="89"/>
      <c r="I40" s="89" t="s">
        <v>54</v>
      </c>
      <c r="J40" s="89"/>
      <c r="K40" s="89"/>
      <c r="L40" s="89"/>
      <c r="M40" s="89"/>
      <c r="P40" s="89" t="s">
        <v>55</v>
      </c>
      <c r="Q40" s="89"/>
      <c r="R40" s="89"/>
      <c r="S40" s="89"/>
      <c r="T40" s="89"/>
      <c r="W40" s="89" t="s">
        <v>56</v>
      </c>
      <c r="X40" s="89"/>
      <c r="Y40" s="89"/>
      <c r="Z40" s="89"/>
      <c r="AA40" s="89"/>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'Ualace-Desmob3'!H11</f>
        <v>0</v>
      </c>
      <c r="C43" s="43">
        <f>SUM(5000-B43)</f>
        <v>5000</v>
      </c>
      <c r="D43" s="35">
        <f>'Ualace-Desmob3'!U12</f>
        <v>0</v>
      </c>
      <c r="E43" s="35">
        <f>'Ualace-Desmob3'!AE12</f>
        <v>0</v>
      </c>
      <c r="F43" s="36">
        <f>'Ualace-Desmob3'!AN12</f>
        <v>0</v>
      </c>
      <c r="H43" s="38" t="s">
        <v>32</v>
      </c>
      <c r="I43" s="46">
        <f>CAR_10!H11</f>
        <v>0</v>
      </c>
      <c r="J43" s="43">
        <f>SUM(5000-I43)</f>
        <v>5000</v>
      </c>
      <c r="K43" s="35">
        <f>CAR_10!U12</f>
        <v>0</v>
      </c>
      <c r="L43" s="35">
        <f>CAR_10!AE12</f>
        <v>0</v>
      </c>
      <c r="M43" s="36">
        <f>CAR_10!AN12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'Ualace-Desmob3'!H15</f>
        <v>0</v>
      </c>
      <c r="C44" s="43">
        <f t="shared" ref="C44:C53" si="8">SUM(5000-B44)</f>
        <v>5000</v>
      </c>
      <c r="D44" s="35">
        <f>'Ualace-Desmob3'!U16</f>
        <v>0</v>
      </c>
      <c r="E44" s="35">
        <f>'Ualace-Desmob3'!AE16</f>
        <v>0</v>
      </c>
      <c r="F44" s="36">
        <f>'Ualace-Desmob3'!AN16</f>
        <v>0</v>
      </c>
      <c r="H44" s="38" t="s">
        <v>33</v>
      </c>
      <c r="I44" s="46">
        <f>CAR_10!H15</f>
        <v>0</v>
      </c>
      <c r="J44" s="43">
        <f t="shared" ref="J44:J53" si="9">SUM(5000-I44)</f>
        <v>5000</v>
      </c>
      <c r="K44" s="35">
        <f>CAR_10!U16</f>
        <v>0</v>
      </c>
      <c r="L44" s="35">
        <f>CAR_10!AE16</f>
        <v>0</v>
      </c>
      <c r="M44" s="36">
        <f>CAR_10!AN16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'Ualace-Desmob3'!H19</f>
        <v>826</v>
      </c>
      <c r="C45" s="43">
        <f t="shared" si="8"/>
        <v>4174</v>
      </c>
      <c r="D45" s="35">
        <f>'Ualace-Desmob3'!U20</f>
        <v>0</v>
      </c>
      <c r="E45" s="35">
        <f>'Ualace-Desmob3'!AE20</f>
        <v>0</v>
      </c>
      <c r="F45" s="36">
        <f>'Ualace-Desmob3'!AN20</f>
        <v>0</v>
      </c>
      <c r="H45" s="38" t="s">
        <v>34</v>
      </c>
      <c r="I45" s="46">
        <f>CAR_10!H19</f>
        <v>0</v>
      </c>
      <c r="J45" s="43">
        <f t="shared" si="9"/>
        <v>5000</v>
      </c>
      <c r="K45" s="35">
        <f>CAR_10!U20</f>
        <v>0</v>
      </c>
      <c r="L45" s="35">
        <f>CAR_10!AE20</f>
        <v>0</v>
      </c>
      <c r="M45" s="36">
        <f>CAR_10!AN20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'Ualace-Desmob3'!H23</f>
        <v>1523</v>
      </c>
      <c r="C46" s="43">
        <f t="shared" si="8"/>
        <v>3477</v>
      </c>
      <c r="D46" s="35">
        <f>'Ualace-Desmob3'!U24</f>
        <v>0</v>
      </c>
      <c r="E46" s="35">
        <f>'Ualace-Desmob3'!AE24</f>
        <v>0</v>
      </c>
      <c r="F46" s="36">
        <f>'Ualace-Desmob3'!AN24</f>
        <v>0</v>
      </c>
      <c r="H46" s="38" t="s">
        <v>35</v>
      </c>
      <c r="I46" s="46">
        <f>CAR_10!H23</f>
        <v>0</v>
      </c>
      <c r="J46" s="43">
        <f t="shared" si="9"/>
        <v>5000</v>
      </c>
      <c r="K46" s="35">
        <f>CAR_10!U24</f>
        <v>0</v>
      </c>
      <c r="L46" s="35">
        <f>CAR_10!AE24</f>
        <v>0</v>
      </c>
      <c r="M46" s="36">
        <f>CAR_10!AN24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'Ualace-Desmob3'!H27</f>
        <v>0</v>
      </c>
      <c r="C47" s="43">
        <f t="shared" si="8"/>
        <v>5000</v>
      </c>
      <c r="D47" s="35">
        <f>'Ualace-Desmob3'!U28</f>
        <v>0</v>
      </c>
      <c r="E47" s="35">
        <f>'Ualace-Desmob3'!AE28</f>
        <v>0</v>
      </c>
      <c r="F47" s="36">
        <f>'Ualace-Desmob3'!AN28</f>
        <v>0</v>
      </c>
      <c r="H47" s="38" t="s">
        <v>36</v>
      </c>
      <c r="I47" s="46">
        <f>CAR_10!H27</f>
        <v>0</v>
      </c>
      <c r="J47" s="43">
        <f t="shared" si="9"/>
        <v>5000</v>
      </c>
      <c r="K47" s="35">
        <f>CAR_10!U28</f>
        <v>0</v>
      </c>
      <c r="L47" s="35">
        <f>CAR_10!AE28</f>
        <v>0</v>
      </c>
      <c r="M47" s="36">
        <f>CAR_10!AN28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'Ualace-Desmob3'!H31</f>
        <v>0</v>
      </c>
      <c r="C48" s="43">
        <f t="shared" si="8"/>
        <v>5000</v>
      </c>
      <c r="D48" s="35">
        <f>'Ualace-Desmob3'!U32</f>
        <v>0</v>
      </c>
      <c r="E48" s="35">
        <f>'Ualace-Desmob3'!AE32</f>
        <v>0</v>
      </c>
      <c r="F48" s="36">
        <f>'Ualace-Desmob3'!AN32</f>
        <v>0</v>
      </c>
      <c r="H48" s="38" t="s">
        <v>37</v>
      </c>
      <c r="I48" s="46">
        <f>CAR_10!H31</f>
        <v>0</v>
      </c>
      <c r="J48" s="43">
        <f t="shared" si="9"/>
        <v>5000</v>
      </c>
      <c r="K48" s="35">
        <f>CAR_10!U32</f>
        <v>0</v>
      </c>
      <c r="L48" s="35">
        <f>CAR_10!AE32</f>
        <v>0</v>
      </c>
      <c r="M48" s="36">
        <f>CAR_10!AN32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'Ualace-Desmob3'!H35</f>
        <v>0</v>
      </c>
      <c r="C49" s="43">
        <f t="shared" si="8"/>
        <v>5000</v>
      </c>
      <c r="D49" s="35">
        <f>'Ualace-Desmob3'!U36</f>
        <v>0</v>
      </c>
      <c r="E49" s="35">
        <f>'Ualace-Desmob3'!AE36</f>
        <v>0</v>
      </c>
      <c r="F49" s="36">
        <f>'Ualace-Desmob3'!AN36</f>
        <v>0</v>
      </c>
      <c r="H49" s="38" t="s">
        <v>38</v>
      </c>
      <c r="I49" s="46">
        <f>CAR_10!H35</f>
        <v>0</v>
      </c>
      <c r="J49" s="43">
        <f t="shared" si="9"/>
        <v>5000</v>
      </c>
      <c r="K49" s="35">
        <f>CAR_10!U36</f>
        <v>0</v>
      </c>
      <c r="L49" s="35">
        <f>CAR_10!AE36</f>
        <v>0</v>
      </c>
      <c r="M49" s="36">
        <f>CAR_10!AN36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'Ualace-Desmob3'!H39</f>
        <v>0</v>
      </c>
      <c r="C50" s="43">
        <f t="shared" si="8"/>
        <v>5000</v>
      </c>
      <c r="D50" s="35">
        <f>'Ualace-Desmob3'!U40</f>
        <v>0</v>
      </c>
      <c r="E50" s="35">
        <f>'Ualace-Desmob3'!AE40</f>
        <v>0</v>
      </c>
      <c r="F50" s="36">
        <f>'Ualace-Desmob3'!AN40</f>
        <v>0</v>
      </c>
      <c r="H50" s="38" t="s">
        <v>39</v>
      </c>
      <c r="I50" s="46">
        <f>CAR_10!H39</f>
        <v>0</v>
      </c>
      <c r="J50" s="43">
        <f t="shared" si="9"/>
        <v>5000</v>
      </c>
      <c r="K50" s="35">
        <f>CAR_10!U40</f>
        <v>0</v>
      </c>
      <c r="L50" s="35">
        <f>CAR_10!AE40</f>
        <v>0</v>
      </c>
      <c r="M50" s="36">
        <f>CAR_10!AN40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'Ualace-Desmob3'!H43</f>
        <v>0</v>
      </c>
      <c r="C51" s="43">
        <f t="shared" si="8"/>
        <v>5000</v>
      </c>
      <c r="D51" s="35">
        <f>'Ualace-Desmob3'!U44</f>
        <v>0</v>
      </c>
      <c r="E51" s="35">
        <f>'Ualace-Desmob3'!AE44</f>
        <v>0</v>
      </c>
      <c r="F51" s="36">
        <f>'Ualace-Desmob3'!AN44</f>
        <v>0</v>
      </c>
      <c r="H51" s="38" t="s">
        <v>40</v>
      </c>
      <c r="I51" s="46">
        <f>CAR_10!H43</f>
        <v>0</v>
      </c>
      <c r="J51" s="43">
        <f t="shared" si="9"/>
        <v>5000</v>
      </c>
      <c r="K51" s="35">
        <f>CAR_10!U44</f>
        <v>0</v>
      </c>
      <c r="L51" s="35">
        <f>CAR_10!AE44</f>
        <v>0</v>
      </c>
      <c r="M51" s="36">
        <f>CAR_10!AN44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'Ualace-Desmob3'!H47</f>
        <v>0</v>
      </c>
      <c r="C52" s="43">
        <f t="shared" si="8"/>
        <v>5000</v>
      </c>
      <c r="D52" s="35">
        <f>'Ualace-Desmob3'!U48</f>
        <v>0</v>
      </c>
      <c r="E52" s="35">
        <f>'Ualace-Desmob3'!AE48</f>
        <v>0</v>
      </c>
      <c r="F52" s="36">
        <f>'Ualace-Desmob3'!AN48</f>
        <v>0</v>
      </c>
      <c r="H52" s="38" t="s">
        <v>41</v>
      </c>
      <c r="I52" s="46">
        <f>CAR_10!H47</f>
        <v>0</v>
      </c>
      <c r="J52" s="43">
        <f t="shared" si="9"/>
        <v>5000</v>
      </c>
      <c r="K52" s="35">
        <f>CAR_10!U48</f>
        <v>0</v>
      </c>
      <c r="L52" s="35">
        <f>CAR_10!AE48</f>
        <v>0</v>
      </c>
      <c r="M52" s="36">
        <f>CAR_10!AN48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'Ualace-Desmob3'!H51</f>
        <v>0</v>
      </c>
      <c r="C53" s="44">
        <f t="shared" si="8"/>
        <v>5000</v>
      </c>
      <c r="D53" s="11">
        <f>'Ualace-Desmob3'!U52</f>
        <v>0</v>
      </c>
      <c r="E53" s="11">
        <f>'Ualace-Desmob3'!AE52</f>
        <v>0</v>
      </c>
      <c r="F53" s="12">
        <f>'Ualace-Desmob3'!AN52</f>
        <v>0</v>
      </c>
      <c r="H53" s="39" t="s">
        <v>42</v>
      </c>
      <c r="I53" s="47">
        <f>CAR_10!H51</f>
        <v>0</v>
      </c>
      <c r="J53" s="44">
        <f t="shared" si="9"/>
        <v>5000</v>
      </c>
      <c r="K53" s="11">
        <f>CAR_10!U52</f>
        <v>0</v>
      </c>
      <c r="L53" s="11">
        <f>CAR_10!AE52</f>
        <v>0</v>
      </c>
      <c r="M53" s="12">
        <f>CAR_10!AN52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2349</v>
      </c>
      <c r="C55" s="51"/>
      <c r="D55" s="50">
        <f>SUM(D42:D53)</f>
        <v>0</v>
      </c>
      <c r="E55" s="49">
        <f>SUM(E42:E53)</f>
        <v>0</v>
      </c>
      <c r="F55" s="48">
        <f>SUM(F42:F53)</f>
        <v>0</v>
      </c>
      <c r="H55" s="3" t="s">
        <v>23</v>
      </c>
      <c r="I55" s="52">
        <f>SUM(I42:I53)</f>
        <v>0</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57651</v>
      </c>
      <c r="H56" s="3" t="s">
        <v>44</v>
      </c>
      <c r="I56" s="23">
        <f>SUM(60000-I55)</f>
        <v>60000</v>
      </c>
      <c r="O56" s="3" t="s">
        <v>44</v>
      </c>
      <c r="P56" s="23">
        <f>SUM(60000-P55)</f>
        <v>60000</v>
      </c>
      <c r="V56" s="3" t="s">
        <v>44</v>
      </c>
      <c r="W56" s="23">
        <f>SUM(60000-W55)</f>
        <v>60000</v>
      </c>
    </row>
    <row r="59" spans="1:27" ht="15.75" thickBot="1" x14ac:dyDescent="0.3">
      <c r="B59" s="89" t="s">
        <v>57</v>
      </c>
      <c r="C59" s="89"/>
      <c r="D59" s="89"/>
      <c r="E59" s="89"/>
      <c r="F59" s="89"/>
      <c r="I59" s="89" t="s">
        <v>58</v>
      </c>
      <c r="J59" s="89"/>
      <c r="K59" s="89"/>
      <c r="L59" s="89"/>
      <c r="M59" s="89"/>
      <c r="P59" s="89" t="s">
        <v>59</v>
      </c>
      <c r="Q59" s="89"/>
      <c r="R59" s="89"/>
      <c r="S59" s="89"/>
      <c r="T59" s="89"/>
      <c r="W59" s="89" t="s">
        <v>60</v>
      </c>
      <c r="X59" s="89"/>
      <c r="Y59" s="89"/>
      <c r="Z59" s="89"/>
      <c r="AA59" s="89"/>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9" t="s">
        <v>61</v>
      </c>
      <c r="C78" s="89"/>
      <c r="D78" s="89"/>
      <c r="E78" s="89"/>
      <c r="F78" s="89"/>
      <c r="I78" s="89" t="s">
        <v>62</v>
      </c>
      <c r="J78" s="89"/>
      <c r="K78" s="89"/>
      <c r="L78" s="89"/>
      <c r="M78" s="89"/>
      <c r="P78" s="89" t="s">
        <v>63</v>
      </c>
      <c r="Q78" s="89"/>
      <c r="R78" s="89"/>
      <c r="S78" s="89"/>
      <c r="T78" s="89"/>
      <c r="W78" s="89" t="s">
        <v>64</v>
      </c>
      <c r="X78" s="89"/>
      <c r="Y78" s="89"/>
      <c r="Z78" s="89"/>
      <c r="AA78" s="89"/>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9" t="s">
        <v>65</v>
      </c>
      <c r="C96" s="89"/>
      <c r="D96" s="89"/>
      <c r="E96" s="89"/>
      <c r="F96" s="89"/>
      <c r="I96" s="89" t="s">
        <v>66</v>
      </c>
      <c r="J96" s="89"/>
      <c r="K96" s="89"/>
      <c r="L96" s="89"/>
      <c r="M96" s="89"/>
      <c r="P96" s="89" t="s">
        <v>67</v>
      </c>
      <c r="Q96" s="89"/>
      <c r="R96" s="89"/>
      <c r="S96" s="89"/>
      <c r="T96" s="89"/>
      <c r="W96" s="89" t="s">
        <v>68</v>
      </c>
      <c r="X96" s="89"/>
      <c r="Y96" s="89"/>
      <c r="Z96" s="89"/>
      <c r="AA96" s="89"/>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9" t="s">
        <v>51</v>
      </c>
      <c r="C114" s="89"/>
      <c r="D114" s="89"/>
      <c r="E114" s="89"/>
      <c r="F114" s="89"/>
      <c r="I114" s="89" t="s">
        <v>50</v>
      </c>
      <c r="J114" s="89"/>
      <c r="K114" s="89"/>
      <c r="L114" s="89"/>
      <c r="M114" s="89"/>
      <c r="P114" s="89" t="s">
        <v>49</v>
      </c>
      <c r="Q114" s="89"/>
      <c r="R114" s="89"/>
      <c r="S114" s="89"/>
      <c r="T114" s="89"/>
      <c r="W114" s="89" t="s">
        <v>48</v>
      </c>
      <c r="X114" s="89"/>
      <c r="Y114" s="89"/>
      <c r="Z114" s="89"/>
      <c r="AA114" s="89"/>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9" t="s">
        <v>47</v>
      </c>
      <c r="C132" s="89"/>
      <c r="D132" s="89"/>
      <c r="E132" s="89"/>
      <c r="F132" s="89"/>
      <c r="I132" s="89" t="s">
        <v>46</v>
      </c>
      <c r="J132" s="89"/>
      <c r="K132" s="89"/>
      <c r="L132" s="89"/>
      <c r="M132" s="89"/>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2:F2"/>
    <mergeCell ref="I2:M2"/>
    <mergeCell ref="P2:T2"/>
    <mergeCell ref="W2:AA2"/>
    <mergeCell ref="B21:F21"/>
    <mergeCell ref="I21:M21"/>
    <mergeCell ref="P21:T21"/>
    <mergeCell ref="W21:AA21"/>
    <mergeCell ref="B40:F40"/>
    <mergeCell ref="I40:M40"/>
    <mergeCell ref="P40:T40"/>
    <mergeCell ref="W40:AA40"/>
    <mergeCell ref="B59:F59"/>
    <mergeCell ref="I59:M59"/>
    <mergeCell ref="P59:T59"/>
    <mergeCell ref="W59:AA59"/>
    <mergeCell ref="B78:F78"/>
    <mergeCell ref="I78:M78"/>
    <mergeCell ref="P78:T78"/>
    <mergeCell ref="W78:AA78"/>
    <mergeCell ref="B96:F96"/>
    <mergeCell ref="I96:M96"/>
    <mergeCell ref="P96:T96"/>
    <mergeCell ref="W96:AA96"/>
    <mergeCell ref="B114:F114"/>
    <mergeCell ref="I114:M114"/>
    <mergeCell ref="P114:T114"/>
    <mergeCell ref="W114:AA114"/>
    <mergeCell ref="B132:F132"/>
    <mergeCell ref="I132:M132"/>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K56"/>
  <sheetViews>
    <sheetView showGridLines="0" topLeftCell="A12" workbookViewId="0">
      <selection activeCell="B27" sqref="B2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42578125" customWidth="1"/>
    <col min="10" max="10" width="13.42578125" bestFit="1" customWidth="1"/>
    <col min="11" max="13" width="10.42578125" bestFit="1" customWidth="1"/>
    <col min="21" max="21" width="10.42578125" bestFit="1" customWidth="1"/>
    <col min="34" max="36" width="10.140625" bestFit="1" customWidth="1"/>
  </cols>
  <sheetData>
    <row r="2" spans="1:37" x14ac:dyDescent="0.25">
      <c r="A2" t="s">
        <v>0</v>
      </c>
      <c r="B2" s="90" t="s">
        <v>128</v>
      </c>
      <c r="C2" s="90"/>
      <c r="D2" s="1" t="s">
        <v>1</v>
      </c>
      <c r="E2" s="90" t="s">
        <v>129</v>
      </c>
      <c r="F2" s="90"/>
      <c r="H2" t="s">
        <v>110</v>
      </c>
      <c r="I2" s="81">
        <v>3000</v>
      </c>
    </row>
    <row r="3" spans="1:37" x14ac:dyDescent="0.25">
      <c r="A3" t="s">
        <v>75</v>
      </c>
      <c r="B3" s="94">
        <v>46137</v>
      </c>
      <c r="C3" s="90"/>
      <c r="D3" s="1" t="s">
        <v>1</v>
      </c>
      <c r="E3" s="90" t="s">
        <v>111</v>
      </c>
      <c r="F3" s="90"/>
      <c r="H3" t="s">
        <v>76</v>
      </c>
      <c r="I3" s="79" t="s">
        <v>96</v>
      </c>
    </row>
    <row r="4" spans="1:37" x14ac:dyDescent="0.25">
      <c r="A4" t="s">
        <v>2</v>
      </c>
      <c r="B4" s="91">
        <v>2484</v>
      </c>
      <c r="C4" s="91"/>
      <c r="D4" s="1" t="s">
        <v>29</v>
      </c>
      <c r="E4" s="90" t="s">
        <v>130</v>
      </c>
      <c r="F4" s="90"/>
      <c r="H4" t="s">
        <v>70</v>
      </c>
      <c r="I4" s="80">
        <v>46132</v>
      </c>
    </row>
    <row r="7" spans="1:37" ht="21" x14ac:dyDescent="0.35">
      <c r="A7" s="93" t="s">
        <v>28</v>
      </c>
      <c r="B7" s="93"/>
      <c r="C7" s="93"/>
      <c r="D7" s="93"/>
      <c r="E7" s="93"/>
      <c r="F7" s="93"/>
      <c r="G7" s="93"/>
      <c r="H7" s="93"/>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83" t="s">
        <v>3</v>
      </c>
      <c r="C9" s="83"/>
      <c r="D9" s="83"/>
      <c r="E9" s="83"/>
      <c r="F9" s="83"/>
      <c r="G9" s="83"/>
      <c r="H9" s="83"/>
      <c r="J9" s="84" t="s">
        <v>3</v>
      </c>
      <c r="K9" s="84"/>
      <c r="L9" s="84"/>
      <c r="M9" s="84"/>
      <c r="N9" s="84"/>
      <c r="O9" s="84"/>
      <c r="P9" s="84"/>
      <c r="Q9" s="84"/>
      <c r="R9" s="84"/>
      <c r="S9" s="84"/>
      <c r="T9" s="84"/>
      <c r="U9" s="84"/>
      <c r="W9" s="85" t="s">
        <v>3</v>
      </c>
      <c r="X9" s="85"/>
      <c r="Y9" s="85"/>
      <c r="Z9" s="85"/>
      <c r="AA9" s="85"/>
      <c r="AB9" s="85"/>
      <c r="AC9" s="85"/>
      <c r="AE9" s="86" t="s">
        <v>3</v>
      </c>
      <c r="AF9" s="86"/>
      <c r="AG9" s="86"/>
      <c r="AH9" s="86"/>
      <c r="AI9" s="86"/>
      <c r="AJ9" s="86"/>
      <c r="AK9" s="86"/>
    </row>
    <row r="10" spans="1:37"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83" t="s">
        <v>13</v>
      </c>
      <c r="C13" s="83"/>
      <c r="D13" s="83"/>
      <c r="E13" s="83"/>
      <c r="F13" s="83"/>
      <c r="G13" s="83"/>
      <c r="H13" s="83"/>
      <c r="J13" s="84" t="s">
        <v>13</v>
      </c>
      <c r="K13" s="84"/>
      <c r="L13" s="84"/>
      <c r="M13" s="84"/>
      <c r="N13" s="84"/>
      <c r="O13" s="84"/>
      <c r="P13" s="84"/>
      <c r="Q13" s="84"/>
      <c r="R13" s="84"/>
      <c r="S13" s="84"/>
      <c r="T13" s="84"/>
      <c r="U13" s="84"/>
      <c r="W13" s="85" t="str">
        <f>J13</f>
        <v>Março</v>
      </c>
      <c r="X13" s="85"/>
      <c r="Y13" s="85"/>
      <c r="Z13" s="85"/>
      <c r="AA13" s="85"/>
      <c r="AB13" s="85"/>
      <c r="AC13" s="85"/>
      <c r="AE13" s="86" t="str">
        <f>W13</f>
        <v>Março</v>
      </c>
      <c r="AF13" s="86"/>
      <c r="AG13" s="86"/>
      <c r="AH13" s="86"/>
      <c r="AI13" s="86"/>
      <c r="AJ13" s="86"/>
      <c r="AK13" s="86"/>
    </row>
    <row r="14" spans="1:37" ht="15.75" thickBot="1" x14ac:dyDescent="0.3">
      <c r="A14" s="87"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t="s">
        <v>128</v>
      </c>
      <c r="B17" s="83" t="s">
        <v>14</v>
      </c>
      <c r="C17" s="83"/>
      <c r="D17" s="83"/>
      <c r="E17" s="83"/>
      <c r="F17" s="83"/>
      <c r="G17" s="83"/>
      <c r="H17" s="83"/>
      <c r="J17" s="84" t="s">
        <v>14</v>
      </c>
      <c r="K17" s="84"/>
      <c r="L17" s="84"/>
      <c r="M17" s="84"/>
      <c r="N17" s="84"/>
      <c r="O17" s="84"/>
      <c r="P17" s="84"/>
      <c r="Q17" s="84"/>
      <c r="R17" s="84"/>
      <c r="S17" s="84"/>
      <c r="T17" s="84"/>
      <c r="U17" s="84"/>
      <c r="W17" s="85" t="str">
        <f>J17</f>
        <v>Abril</v>
      </c>
      <c r="X17" s="85"/>
      <c r="Y17" s="85"/>
      <c r="Z17" s="85"/>
      <c r="AA17" s="85"/>
      <c r="AB17" s="85"/>
      <c r="AC17" s="85"/>
      <c r="AE17" s="86" t="str">
        <f>W17</f>
        <v>Abril</v>
      </c>
      <c r="AF17" s="86"/>
      <c r="AG17" s="86"/>
      <c r="AH17" s="86"/>
      <c r="AI17" s="86"/>
      <c r="AJ17" s="86"/>
      <c r="AK17" s="86"/>
    </row>
    <row r="18" spans="1:37"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87"/>
      <c r="B19" s="26"/>
      <c r="C19" s="27"/>
      <c r="D19" s="27">
        <v>964</v>
      </c>
      <c r="E19" s="27"/>
      <c r="F19" s="27">
        <f>SUM(C19-B19)</f>
        <v>0</v>
      </c>
      <c r="G19" s="20">
        <f>SUM(E19-D19)</f>
        <v>-964</v>
      </c>
      <c r="H19" s="21">
        <f>SUM(F19:G19)</f>
        <v>-964</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t="s">
        <v>111</v>
      </c>
      <c r="B21" s="83" t="s">
        <v>14</v>
      </c>
      <c r="C21" s="83"/>
      <c r="D21" s="83"/>
      <c r="E21" s="83"/>
      <c r="F21" s="83"/>
      <c r="G21" s="83"/>
      <c r="H21" s="83"/>
      <c r="J21" s="84" t="s">
        <v>14</v>
      </c>
      <c r="K21" s="84"/>
      <c r="L21" s="84"/>
      <c r="M21" s="84"/>
      <c r="N21" s="84"/>
      <c r="O21" s="84"/>
      <c r="P21" s="84"/>
      <c r="Q21" s="84"/>
      <c r="R21" s="84"/>
      <c r="S21" s="84"/>
      <c r="T21" s="84"/>
      <c r="U21" s="84"/>
      <c r="W21" s="85" t="str">
        <f>J21</f>
        <v>Abril</v>
      </c>
      <c r="X21" s="85"/>
      <c r="Y21" s="85"/>
      <c r="Z21" s="85"/>
      <c r="AA21" s="85"/>
      <c r="AB21" s="85"/>
      <c r="AC21" s="85"/>
      <c r="AE21" s="86" t="str">
        <f>W21</f>
        <v>Abril</v>
      </c>
      <c r="AF21" s="86"/>
      <c r="AG21" s="86"/>
      <c r="AH21" s="86"/>
      <c r="AI21" s="86"/>
      <c r="AJ21" s="86"/>
      <c r="AK21" s="86"/>
    </row>
    <row r="22" spans="1:37"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7"/>
      <c r="B23" s="26"/>
      <c r="C23" s="27"/>
      <c r="D23" s="26">
        <v>32749</v>
      </c>
      <c r="E23" s="27">
        <v>33100</v>
      </c>
      <c r="F23" s="27">
        <f>SUM(C23-B23)</f>
        <v>0</v>
      </c>
      <c r="G23" s="20">
        <f>SUM(E23-D23)</f>
        <v>351</v>
      </c>
      <c r="H23" s="21">
        <f>SUM(F23:G23)</f>
        <v>351</v>
      </c>
      <c r="J23" s="7" t="s">
        <v>22</v>
      </c>
      <c r="K23" s="30"/>
      <c r="L23" s="31"/>
      <c r="M23" s="31"/>
      <c r="N23" s="31"/>
      <c r="O23" s="31"/>
      <c r="P23" s="31"/>
      <c r="Q23" s="31"/>
      <c r="R23" s="31"/>
      <c r="S23" s="31"/>
      <c r="T23" s="31"/>
      <c r="U23" s="3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83" t="s">
        <v>15</v>
      </c>
      <c r="C25" s="83"/>
      <c r="D25" s="83"/>
      <c r="E25" s="83"/>
      <c r="F25" s="83"/>
      <c r="G25" s="83"/>
      <c r="H25" s="83"/>
      <c r="J25" s="84" t="s">
        <v>15</v>
      </c>
      <c r="K25" s="84"/>
      <c r="L25" s="84"/>
      <c r="M25" s="84"/>
      <c r="N25" s="84"/>
      <c r="O25" s="84"/>
      <c r="P25" s="84"/>
      <c r="Q25" s="84"/>
      <c r="R25" s="84"/>
      <c r="S25" s="84"/>
      <c r="T25" s="84"/>
      <c r="U25" s="84"/>
      <c r="W25" s="85" t="str">
        <f>J25</f>
        <v>Maio</v>
      </c>
      <c r="X25" s="85"/>
      <c r="Y25" s="85"/>
      <c r="Z25" s="85"/>
      <c r="AA25" s="85"/>
      <c r="AB25" s="85"/>
      <c r="AC25" s="85"/>
      <c r="AE25" s="86" t="str">
        <f>W25</f>
        <v>Maio</v>
      </c>
      <c r="AF25" s="86"/>
      <c r="AG25" s="86"/>
      <c r="AH25" s="86"/>
      <c r="AI25" s="86"/>
      <c r="AJ25" s="86"/>
      <c r="AK25" s="86"/>
    </row>
    <row r="26" spans="1:37"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7"/>
      <c r="B27" s="27">
        <v>33100</v>
      </c>
      <c r="C27" s="27"/>
      <c r="D27" s="27"/>
      <c r="E27" s="27">
        <v>34824</v>
      </c>
      <c r="F27" s="27">
        <f>SUM(C27-B27)</f>
        <v>-33100</v>
      </c>
      <c r="G27" s="20">
        <f>SUM(E27-D27)</f>
        <v>34824</v>
      </c>
      <c r="H27" s="21">
        <f>SUM(F27:G27)</f>
        <v>1724</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83" t="s">
        <v>24</v>
      </c>
      <c r="C29" s="83"/>
      <c r="D29" s="83"/>
      <c r="E29" s="83"/>
      <c r="F29" s="83"/>
      <c r="G29" s="83"/>
      <c r="H29" s="83"/>
      <c r="J29" s="84" t="s">
        <v>24</v>
      </c>
      <c r="K29" s="84"/>
      <c r="L29" s="84"/>
      <c r="M29" s="84"/>
      <c r="N29" s="84"/>
      <c r="O29" s="84"/>
      <c r="P29" s="84"/>
      <c r="Q29" s="84"/>
      <c r="R29" s="84"/>
      <c r="S29" s="84"/>
      <c r="T29" s="84"/>
      <c r="U29" s="84"/>
      <c r="W29" s="85" t="str">
        <f>J29</f>
        <v>Junho</v>
      </c>
      <c r="X29" s="85"/>
      <c r="Y29" s="85"/>
      <c r="Z29" s="85"/>
      <c r="AA29" s="85"/>
      <c r="AB29" s="85"/>
      <c r="AC29" s="85"/>
      <c r="AE29" s="86" t="str">
        <f>W29</f>
        <v>Junho</v>
      </c>
      <c r="AF29" s="86"/>
      <c r="AG29" s="86"/>
      <c r="AH29" s="86"/>
      <c r="AI29" s="86"/>
      <c r="AJ29" s="86"/>
      <c r="AK29" s="86"/>
    </row>
    <row r="30" spans="1:37"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83" t="s">
        <v>16</v>
      </c>
      <c r="C33" s="83"/>
      <c r="D33" s="83"/>
      <c r="E33" s="83"/>
      <c r="F33" s="83"/>
      <c r="G33" s="83"/>
      <c r="H33" s="83"/>
      <c r="J33" s="84" t="s">
        <v>16</v>
      </c>
      <c r="K33" s="84"/>
      <c r="L33" s="84"/>
      <c r="M33" s="84"/>
      <c r="N33" s="84"/>
      <c r="O33" s="84"/>
      <c r="P33" s="84"/>
      <c r="Q33" s="84"/>
      <c r="R33" s="84"/>
      <c r="S33" s="84"/>
      <c r="T33" s="84"/>
      <c r="U33" s="84"/>
      <c r="W33" s="85" t="str">
        <f>J33</f>
        <v>Julho</v>
      </c>
      <c r="X33" s="85"/>
      <c r="Y33" s="85"/>
      <c r="Z33" s="85"/>
      <c r="AA33" s="85"/>
      <c r="AB33" s="85"/>
      <c r="AC33" s="85"/>
      <c r="AE33" s="86" t="str">
        <f>W33</f>
        <v>Julho</v>
      </c>
      <c r="AF33" s="86"/>
      <c r="AG33" s="86"/>
      <c r="AH33" s="86"/>
      <c r="AI33" s="86"/>
      <c r="AJ33" s="86"/>
      <c r="AK33" s="86"/>
    </row>
    <row r="34" spans="1:37"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83" t="s">
        <v>17</v>
      </c>
      <c r="C37" s="83"/>
      <c r="D37" s="83"/>
      <c r="E37" s="83"/>
      <c r="F37" s="83"/>
      <c r="G37" s="83"/>
      <c r="H37" s="83"/>
      <c r="J37" s="84" t="s">
        <v>17</v>
      </c>
      <c r="K37" s="84"/>
      <c r="L37" s="84"/>
      <c r="M37" s="84"/>
      <c r="N37" s="84"/>
      <c r="O37" s="84"/>
      <c r="P37" s="84"/>
      <c r="Q37" s="84"/>
      <c r="R37" s="84"/>
      <c r="S37" s="84"/>
      <c r="T37" s="84"/>
      <c r="U37" s="84"/>
      <c r="W37" s="85" t="str">
        <f>J37</f>
        <v>Agosto</v>
      </c>
      <c r="X37" s="85"/>
      <c r="Y37" s="85"/>
      <c r="Z37" s="85"/>
      <c r="AA37" s="85"/>
      <c r="AB37" s="85"/>
      <c r="AC37" s="85"/>
      <c r="AE37" s="86" t="str">
        <f>W37</f>
        <v>Agosto</v>
      </c>
      <c r="AF37" s="86"/>
      <c r="AG37" s="86"/>
      <c r="AH37" s="86"/>
      <c r="AI37" s="86"/>
      <c r="AJ37" s="86"/>
      <c r="AK37" s="86"/>
    </row>
    <row r="38" spans="1:37"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83" t="s">
        <v>18</v>
      </c>
      <c r="C41" s="83"/>
      <c r="D41" s="83"/>
      <c r="E41" s="83"/>
      <c r="F41" s="83"/>
      <c r="G41" s="83"/>
      <c r="H41" s="83"/>
      <c r="J41" s="84" t="s">
        <v>18</v>
      </c>
      <c r="K41" s="84"/>
      <c r="L41" s="84"/>
      <c r="M41" s="84"/>
      <c r="N41" s="84"/>
      <c r="O41" s="84"/>
      <c r="P41" s="84"/>
      <c r="Q41" s="84"/>
      <c r="R41" s="84"/>
      <c r="S41" s="84"/>
      <c r="T41" s="84"/>
      <c r="U41" s="84"/>
      <c r="W41" s="85" t="str">
        <f>J41</f>
        <v>Setembro</v>
      </c>
      <c r="X41" s="85"/>
      <c r="Y41" s="85"/>
      <c r="Z41" s="85"/>
      <c r="AA41" s="85"/>
      <c r="AB41" s="85"/>
      <c r="AC41" s="85"/>
      <c r="AE41" s="86" t="str">
        <f>W41</f>
        <v>Setembro</v>
      </c>
      <c r="AF41" s="86"/>
      <c r="AG41" s="86"/>
      <c r="AH41" s="86"/>
      <c r="AI41" s="86"/>
      <c r="AJ41" s="86"/>
      <c r="AK41" s="86"/>
    </row>
    <row r="42" spans="1:37"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83" t="s">
        <v>19</v>
      </c>
      <c r="C45" s="83"/>
      <c r="D45" s="83"/>
      <c r="E45" s="83"/>
      <c r="F45" s="83"/>
      <c r="G45" s="83"/>
      <c r="H45" s="83"/>
      <c r="J45" s="84" t="s">
        <v>19</v>
      </c>
      <c r="K45" s="84"/>
      <c r="L45" s="84"/>
      <c r="M45" s="84"/>
      <c r="N45" s="84"/>
      <c r="O45" s="84"/>
      <c r="P45" s="84"/>
      <c r="Q45" s="84"/>
      <c r="R45" s="84"/>
      <c r="S45" s="84"/>
      <c r="T45" s="84"/>
      <c r="U45" s="84"/>
      <c r="W45" s="85" t="str">
        <f>J45</f>
        <v>Outubro</v>
      </c>
      <c r="X45" s="85"/>
      <c r="Y45" s="85"/>
      <c r="Z45" s="85"/>
      <c r="AA45" s="85"/>
      <c r="AB45" s="85"/>
      <c r="AC45" s="85"/>
      <c r="AE45" s="86" t="str">
        <f>W45</f>
        <v>Outubro</v>
      </c>
      <c r="AF45" s="86"/>
      <c r="AG45" s="86"/>
      <c r="AH45" s="86"/>
      <c r="AI45" s="86"/>
      <c r="AJ45" s="86"/>
      <c r="AK45" s="86"/>
    </row>
    <row r="46" spans="1:37"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0</v>
      </c>
      <c r="AB48" s="8" t="s">
        <v>23</v>
      </c>
      <c r="AC48" s="13">
        <f>SUM(X47:AC47)</f>
        <v>0</v>
      </c>
      <c r="AJ48" s="8" t="s">
        <v>23</v>
      </c>
      <c r="AK48" s="13">
        <f>SUM(AF47:AK47)</f>
        <v>0</v>
      </c>
    </row>
    <row r="49" spans="1:37" ht="15.75" thickBot="1" x14ac:dyDescent="0.3">
      <c r="A49" s="19"/>
      <c r="B49" s="83" t="s">
        <v>20</v>
      </c>
      <c r="C49" s="83"/>
      <c r="D49" s="83"/>
      <c r="E49" s="83"/>
      <c r="F49" s="83"/>
      <c r="G49" s="83"/>
      <c r="H49" s="83"/>
      <c r="J49" s="84" t="s">
        <v>20</v>
      </c>
      <c r="K49" s="84"/>
      <c r="L49" s="84"/>
      <c r="M49" s="84"/>
      <c r="N49" s="84"/>
      <c r="O49" s="84"/>
      <c r="P49" s="84"/>
      <c r="Q49" s="84"/>
      <c r="R49" s="84"/>
      <c r="S49" s="84"/>
      <c r="T49" s="84"/>
      <c r="U49" s="84"/>
      <c r="W49" s="85" t="str">
        <f>J49</f>
        <v>Novembro</v>
      </c>
      <c r="X49" s="85"/>
      <c r="Y49" s="85"/>
      <c r="Z49" s="85"/>
      <c r="AA49" s="85"/>
      <c r="AB49" s="85"/>
      <c r="AC49" s="85"/>
      <c r="AE49" s="86" t="str">
        <f>W49</f>
        <v>Novembro</v>
      </c>
      <c r="AF49" s="86"/>
      <c r="AG49" s="86"/>
      <c r="AH49" s="86"/>
      <c r="AI49" s="86"/>
      <c r="AJ49" s="86"/>
      <c r="AK49" s="86"/>
    </row>
    <row r="50" spans="1:37"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0</v>
      </c>
      <c r="AB52" s="8" t="s">
        <v>23</v>
      </c>
      <c r="AC52" s="13">
        <f>SUM(X51:AC51)</f>
        <v>0</v>
      </c>
      <c r="AJ52" s="8" t="s">
        <v>23</v>
      </c>
      <c r="AK52" s="13">
        <f>SUM(AF51:AK51)</f>
        <v>0</v>
      </c>
    </row>
    <row r="53" spans="1:37" ht="15.75" thickBot="1" x14ac:dyDescent="0.3">
      <c r="A53" s="19"/>
      <c r="B53" s="83" t="s">
        <v>21</v>
      </c>
      <c r="C53" s="83"/>
      <c r="D53" s="83"/>
      <c r="E53" s="83"/>
      <c r="F53" s="83"/>
      <c r="G53" s="83"/>
      <c r="H53" s="83"/>
      <c r="J53" s="84" t="s">
        <v>21</v>
      </c>
      <c r="K53" s="84"/>
      <c r="L53" s="84"/>
      <c r="M53" s="84"/>
      <c r="N53" s="84"/>
      <c r="O53" s="84"/>
      <c r="P53" s="84"/>
      <c r="Q53" s="84"/>
      <c r="R53" s="84"/>
      <c r="S53" s="84"/>
      <c r="T53" s="84"/>
      <c r="U53" s="84"/>
      <c r="W53" s="85" t="str">
        <f>J53</f>
        <v>Dezembro</v>
      </c>
      <c r="X53" s="85"/>
      <c r="Y53" s="85"/>
      <c r="Z53" s="85"/>
      <c r="AA53" s="85"/>
      <c r="AB53" s="85"/>
      <c r="AC53" s="85"/>
      <c r="AE53" s="86" t="str">
        <f>W53</f>
        <v>Dezembro</v>
      </c>
      <c r="AF53" s="86"/>
      <c r="AG53" s="86"/>
      <c r="AH53" s="86"/>
      <c r="AI53" s="86"/>
      <c r="AJ53" s="86"/>
      <c r="AK53" s="86"/>
    </row>
    <row r="54" spans="1:37" ht="15.75" thickBot="1" x14ac:dyDescent="0.3">
      <c r="A54" s="8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87"/>
      <c r="B55" s="26"/>
      <c r="C55" s="27"/>
      <c r="D55" s="27"/>
      <c r="E55" s="27"/>
      <c r="F55" s="27">
        <f>SUM(C55-B55)</f>
        <v>0</v>
      </c>
      <c r="G55" s="20">
        <f>SUM(E55-D55)</f>
        <v>0</v>
      </c>
      <c r="H55" s="21">
        <f>SUM(F55:G55)</f>
        <v>0</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sheetData>
  <mergeCells count="70">
    <mergeCell ref="J21:U21"/>
    <mergeCell ref="W21:AC21"/>
    <mergeCell ref="AE21:AK21"/>
    <mergeCell ref="A22:A23"/>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AE13:AK13"/>
    <mergeCell ref="A30:A31"/>
    <mergeCell ref="B17:H17"/>
    <mergeCell ref="J17:U17"/>
    <mergeCell ref="W17:AC17"/>
    <mergeCell ref="AE17:AK17"/>
    <mergeCell ref="A18:A19"/>
    <mergeCell ref="B25:H25"/>
    <mergeCell ref="J25:U25"/>
    <mergeCell ref="W25:AC25"/>
    <mergeCell ref="AE25:AK25"/>
    <mergeCell ref="A26:A27"/>
    <mergeCell ref="B29:H29"/>
    <mergeCell ref="J29:U29"/>
    <mergeCell ref="W29:AC29"/>
    <mergeCell ref="AE29:AK29"/>
    <mergeCell ref="B21:H21"/>
    <mergeCell ref="A42:A43"/>
    <mergeCell ref="B33:H33"/>
    <mergeCell ref="J33:U33"/>
    <mergeCell ref="W33:AC33"/>
    <mergeCell ref="AE33:AK33"/>
    <mergeCell ref="A34:A35"/>
    <mergeCell ref="B37:H37"/>
    <mergeCell ref="J37:U37"/>
    <mergeCell ref="W37:AC37"/>
    <mergeCell ref="AE37:AK37"/>
    <mergeCell ref="A38:A39"/>
    <mergeCell ref="B41:H41"/>
    <mergeCell ref="J41:U41"/>
    <mergeCell ref="W41:AC41"/>
    <mergeCell ref="AE41:AK41"/>
    <mergeCell ref="A54:A55"/>
    <mergeCell ref="B45:H45"/>
    <mergeCell ref="J45:U45"/>
    <mergeCell ref="W45:AC45"/>
    <mergeCell ref="AE45:AK45"/>
    <mergeCell ref="A46:A47"/>
    <mergeCell ref="B49:H49"/>
    <mergeCell ref="J49:U49"/>
    <mergeCell ref="W49:AC49"/>
    <mergeCell ref="AE49:AK49"/>
    <mergeCell ref="A50:A51"/>
    <mergeCell ref="B53:H53"/>
    <mergeCell ref="J53:U53"/>
    <mergeCell ref="W53:AC53"/>
    <mergeCell ref="AE53:AK53"/>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2"/>
  <sheetViews>
    <sheetView showGridLines="0" workbookViewId="0">
      <selection activeCell="B23" sqref="B2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4"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t="s">
        <v>124</v>
      </c>
      <c r="C2" s="90"/>
      <c r="D2" s="1" t="s">
        <v>1</v>
      </c>
      <c r="E2" s="90" t="s">
        <v>131</v>
      </c>
      <c r="F2" s="90"/>
      <c r="H2" t="s">
        <v>110</v>
      </c>
      <c r="I2" s="81">
        <v>3000</v>
      </c>
    </row>
    <row r="3" spans="1:40" x14ac:dyDescent="0.25">
      <c r="A3" t="s">
        <v>75</v>
      </c>
      <c r="B3" s="90"/>
      <c r="C3" s="90"/>
      <c r="D3" s="1" t="s">
        <v>1</v>
      </c>
      <c r="E3" s="90"/>
      <c r="F3" s="90"/>
      <c r="H3" t="s">
        <v>76</v>
      </c>
      <c r="I3" s="54"/>
    </row>
    <row r="4" spans="1:40" x14ac:dyDescent="0.25">
      <c r="A4" t="s">
        <v>2</v>
      </c>
      <c r="B4" s="91">
        <v>2484</v>
      </c>
      <c r="C4" s="91"/>
      <c r="D4" s="1" t="s">
        <v>29</v>
      </c>
      <c r="E4" s="90" t="s">
        <v>130</v>
      </c>
      <c r="F4" s="90"/>
      <c r="H4" t="s">
        <v>132</v>
      </c>
      <c r="I4" s="80">
        <v>46132</v>
      </c>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v>52737</v>
      </c>
      <c r="E19" s="27">
        <v>53675</v>
      </c>
      <c r="F19" s="27">
        <f>SUM(C19-B19)</f>
        <v>0</v>
      </c>
      <c r="G19" s="20">
        <f>SUM(E19-D19)</f>
        <v>938</v>
      </c>
      <c r="H19" s="21">
        <f>SUM(F19:G19)</f>
        <v>938</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7">
        <v>53675</v>
      </c>
      <c r="C23" s="27"/>
      <c r="D23" s="27"/>
      <c r="E23" s="27">
        <v>55835</v>
      </c>
      <c r="F23" s="27">
        <f>SUM(C23-B23)</f>
        <v>-53675</v>
      </c>
      <c r="G23" s="20">
        <f>SUM(E23-D23)</f>
        <v>55835</v>
      </c>
      <c r="H23" s="21">
        <f>SUM(F23:G23)</f>
        <v>2160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K98"/>
  <sheetViews>
    <sheetView showGridLines="0" tabSelected="1" topLeftCell="A67" workbookViewId="0">
      <selection activeCell="I86" sqref="I8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2" width="10.42578125" bestFit="1" customWidth="1"/>
    <col min="13" max="14" width="10.5703125" bestFit="1" customWidth="1"/>
    <col min="15" max="17" width="10.42578125" bestFit="1" customWidth="1"/>
    <col min="21" max="21" width="12.140625" bestFit="1" customWidth="1"/>
    <col min="24" max="24" width="10.42578125" bestFit="1" customWidth="1"/>
    <col min="29" max="29" width="9.5703125" bestFit="1" customWidth="1"/>
    <col min="34" max="36" width="10.140625" bestFit="1" customWidth="1"/>
  </cols>
  <sheetData>
    <row r="2" spans="1:37" x14ac:dyDescent="0.25">
      <c r="A2" t="s">
        <v>0</v>
      </c>
      <c r="B2" s="90" t="s">
        <v>96</v>
      </c>
      <c r="C2" s="90"/>
      <c r="D2" s="1" t="s">
        <v>1</v>
      </c>
      <c r="E2" s="90" t="s">
        <v>97</v>
      </c>
      <c r="F2" s="90"/>
      <c r="H2" t="s">
        <v>98</v>
      </c>
      <c r="I2" s="79" t="s">
        <v>95</v>
      </c>
    </row>
    <row r="3" spans="1:37" x14ac:dyDescent="0.25">
      <c r="A3" t="s">
        <v>106</v>
      </c>
      <c r="B3" s="94">
        <v>45955</v>
      </c>
      <c r="C3" s="90"/>
      <c r="D3" s="1" t="s">
        <v>1</v>
      </c>
      <c r="E3" s="90" t="s">
        <v>105</v>
      </c>
      <c r="F3" s="90"/>
      <c r="H3" t="s">
        <v>76</v>
      </c>
      <c r="I3" s="79" t="s">
        <v>96</v>
      </c>
    </row>
    <row r="4" spans="1:37" x14ac:dyDescent="0.25">
      <c r="A4" t="s">
        <v>107</v>
      </c>
      <c r="B4" s="94">
        <v>45962</v>
      </c>
      <c r="C4" s="90"/>
      <c r="D4" s="1" t="s">
        <v>1</v>
      </c>
      <c r="E4" s="90" t="s">
        <v>108</v>
      </c>
      <c r="F4" s="90"/>
      <c r="H4" t="s">
        <v>76</v>
      </c>
      <c r="I4" s="79" t="s">
        <v>109</v>
      </c>
    </row>
    <row r="5" spans="1:37" x14ac:dyDescent="0.25">
      <c r="A5" t="s">
        <v>122</v>
      </c>
      <c r="B5" s="94">
        <v>46122</v>
      </c>
      <c r="C5" s="90"/>
      <c r="D5" s="1" t="s">
        <v>1</v>
      </c>
      <c r="E5" s="90" t="s">
        <v>123</v>
      </c>
      <c r="F5" s="90"/>
      <c r="H5" t="s">
        <v>76</v>
      </c>
      <c r="I5" s="79" t="s">
        <v>124</v>
      </c>
    </row>
    <row r="6" spans="1:37" x14ac:dyDescent="0.25">
      <c r="A6" t="s">
        <v>2</v>
      </c>
      <c r="B6" s="91">
        <v>2484</v>
      </c>
      <c r="C6" s="91"/>
      <c r="D6" s="1" t="s">
        <v>29</v>
      </c>
      <c r="E6" s="92" t="s">
        <v>125</v>
      </c>
      <c r="F6" s="90"/>
      <c r="H6" t="s">
        <v>70</v>
      </c>
      <c r="I6" s="80">
        <v>45728</v>
      </c>
      <c r="J6" t="s">
        <v>127</v>
      </c>
      <c r="K6" s="80">
        <v>46179</v>
      </c>
    </row>
    <row r="9" spans="1:37" ht="21" x14ac:dyDescent="0.35">
      <c r="A9" s="93" t="s">
        <v>28</v>
      </c>
      <c r="B9" s="93"/>
      <c r="C9" s="93"/>
      <c r="D9" s="93"/>
      <c r="E9" s="93"/>
      <c r="F9" s="93"/>
      <c r="G9" s="93"/>
      <c r="H9" s="93"/>
      <c r="J9" s="89" t="s">
        <v>26</v>
      </c>
      <c r="K9" s="89"/>
      <c r="L9" s="89"/>
      <c r="M9" s="89"/>
      <c r="N9" s="89"/>
      <c r="O9" s="89"/>
      <c r="P9" s="89"/>
      <c r="Q9" s="89"/>
      <c r="R9" s="89"/>
      <c r="S9" s="89"/>
      <c r="T9" s="89"/>
      <c r="U9" s="89"/>
      <c r="V9" s="2"/>
      <c r="W9" s="88" t="s">
        <v>25</v>
      </c>
      <c r="X9" s="88"/>
      <c r="Y9" s="88"/>
      <c r="Z9" s="88"/>
      <c r="AA9" s="88"/>
      <c r="AB9" s="88"/>
      <c r="AC9" s="88"/>
      <c r="AD9" s="2"/>
      <c r="AE9" s="88" t="s">
        <v>27</v>
      </c>
      <c r="AF9" s="88"/>
      <c r="AG9" s="88"/>
      <c r="AH9" s="88"/>
      <c r="AI9" s="88"/>
      <c r="AJ9" s="88"/>
      <c r="AK9" s="88"/>
    </row>
    <row r="10" spans="1:37" s="15" customFormat="1" ht="21" x14ac:dyDescent="0.35">
      <c r="A10" s="14"/>
      <c r="B10" s="14"/>
      <c r="C10" s="14"/>
      <c r="D10" s="14"/>
      <c r="E10" s="14"/>
      <c r="F10" s="14"/>
      <c r="G10" s="14"/>
      <c r="H10" s="14"/>
      <c r="J10" s="16"/>
      <c r="K10" s="16"/>
      <c r="L10" s="16"/>
      <c r="M10" s="16"/>
      <c r="N10" s="16"/>
      <c r="O10" s="16"/>
      <c r="P10" s="16"/>
      <c r="Q10" s="16"/>
      <c r="R10" s="16"/>
      <c r="S10" s="16"/>
      <c r="T10" s="16"/>
      <c r="U10" s="16"/>
      <c r="V10" s="17"/>
      <c r="W10" s="18"/>
      <c r="X10" s="18"/>
      <c r="Y10" s="18"/>
      <c r="Z10" s="18"/>
      <c r="AA10" s="18"/>
      <c r="AB10" s="18"/>
      <c r="AC10" s="18"/>
      <c r="AD10" s="17"/>
      <c r="AE10" s="18"/>
      <c r="AF10" s="18"/>
      <c r="AG10" s="18"/>
      <c r="AH10" s="18"/>
      <c r="AI10" s="18"/>
      <c r="AJ10" s="18"/>
      <c r="AK10" s="18"/>
    </row>
    <row r="11" spans="1:37" ht="15.75" thickBot="1" x14ac:dyDescent="0.3">
      <c r="A11" s="19"/>
      <c r="B11" s="83" t="s">
        <v>3</v>
      </c>
      <c r="C11" s="83"/>
      <c r="D11" s="83"/>
      <c r="E11" s="83"/>
      <c r="F11" s="83"/>
      <c r="G11" s="83"/>
      <c r="H11" s="83"/>
      <c r="J11" s="84" t="s">
        <v>3</v>
      </c>
      <c r="K11" s="84"/>
      <c r="L11" s="84"/>
      <c r="M11" s="84"/>
      <c r="N11" s="84"/>
      <c r="O11" s="84"/>
      <c r="P11" s="84"/>
      <c r="Q11" s="84"/>
      <c r="R11" s="84"/>
      <c r="S11" s="84"/>
      <c r="T11" s="84"/>
      <c r="U11" s="84"/>
      <c r="W11" s="85" t="s">
        <v>3</v>
      </c>
      <c r="X11" s="85"/>
      <c r="Y11" s="85"/>
      <c r="Z11" s="85"/>
      <c r="AA11" s="85"/>
      <c r="AB11" s="85"/>
      <c r="AC11" s="85"/>
      <c r="AE11" s="86" t="s">
        <v>3</v>
      </c>
      <c r="AF11" s="86"/>
      <c r="AG11" s="86"/>
      <c r="AH11" s="86"/>
      <c r="AI11" s="86"/>
      <c r="AJ11" s="86"/>
      <c r="AK11" s="86"/>
    </row>
    <row r="12" spans="1:37" ht="15.75" thickBot="1" x14ac:dyDescent="0.3">
      <c r="A12" s="87" t="s">
        <v>5</v>
      </c>
      <c r="B12" s="34" t="s">
        <v>6</v>
      </c>
      <c r="C12" s="22" t="s">
        <v>7</v>
      </c>
      <c r="D12" s="33" t="s">
        <v>8</v>
      </c>
      <c r="E12" s="22" t="s">
        <v>9</v>
      </c>
      <c r="F12" s="24" t="s">
        <v>10</v>
      </c>
      <c r="G12" s="23" t="s">
        <v>11</v>
      </c>
      <c r="H12" s="25" t="s">
        <v>12</v>
      </c>
      <c r="J12" s="28" t="s">
        <v>4</v>
      </c>
      <c r="K12" s="9"/>
      <c r="L12" s="4"/>
      <c r="M12" s="4"/>
      <c r="N12" s="4"/>
      <c r="O12" s="4"/>
      <c r="P12" s="4"/>
      <c r="Q12" s="4"/>
      <c r="R12" s="4"/>
      <c r="S12" s="4"/>
      <c r="T12" s="4"/>
      <c r="U12" s="5"/>
      <c r="W12" s="6" t="s">
        <v>4</v>
      </c>
      <c r="X12" s="9"/>
      <c r="Y12" s="4"/>
      <c r="Z12" s="4"/>
      <c r="AA12" s="4"/>
      <c r="AB12" s="4"/>
      <c r="AC12" s="5"/>
      <c r="AE12" s="6" t="s">
        <v>4</v>
      </c>
      <c r="AF12" s="9"/>
      <c r="AG12" s="4"/>
      <c r="AH12" s="4"/>
      <c r="AI12" s="4"/>
      <c r="AJ12" s="4"/>
      <c r="AK12" s="5"/>
    </row>
    <row r="13" spans="1:37" ht="15.75" thickBot="1" x14ac:dyDescent="0.3">
      <c r="A13" s="87"/>
      <c r="B13" s="26"/>
      <c r="C13" s="27"/>
      <c r="D13" s="27"/>
      <c r="E13" s="27"/>
      <c r="F13" s="27">
        <f>SUM(C13-B13)</f>
        <v>0</v>
      </c>
      <c r="G13" s="20">
        <f>SUM(E13-D13)</f>
        <v>0</v>
      </c>
      <c r="H13" s="21">
        <f>SUM(F13:G13)</f>
        <v>0</v>
      </c>
      <c r="J13" s="29" t="s">
        <v>22</v>
      </c>
      <c r="K13" s="10"/>
      <c r="L13" s="11"/>
      <c r="M13" s="11"/>
      <c r="N13" s="11"/>
      <c r="O13" s="11"/>
      <c r="P13" s="11"/>
      <c r="Q13" s="11"/>
      <c r="R13" s="11"/>
      <c r="S13" s="11"/>
      <c r="T13" s="11"/>
      <c r="U13" s="12"/>
      <c r="W13" s="7" t="s">
        <v>22</v>
      </c>
      <c r="X13" s="10"/>
      <c r="Y13" s="11"/>
      <c r="Z13" s="11"/>
      <c r="AA13" s="11"/>
      <c r="AB13" s="11"/>
      <c r="AC13" s="12"/>
      <c r="AE13" s="7" t="s">
        <v>22</v>
      </c>
      <c r="AF13" s="10"/>
      <c r="AG13" s="11"/>
      <c r="AH13" s="11"/>
      <c r="AI13" s="11"/>
      <c r="AJ13" s="11"/>
      <c r="AK13" s="12"/>
    </row>
    <row r="14" spans="1:37" x14ac:dyDescent="0.25">
      <c r="J14" s="8"/>
      <c r="T14" s="8" t="s">
        <v>23</v>
      </c>
      <c r="U14" s="13">
        <f>SUM(K13:U13)</f>
        <v>0</v>
      </c>
      <c r="AB14" s="8" t="s">
        <v>23</v>
      </c>
      <c r="AC14" s="13">
        <f>SUM(X13:AC13)</f>
        <v>0</v>
      </c>
      <c r="AJ14" s="8" t="s">
        <v>23</v>
      </c>
      <c r="AK14" s="13">
        <f>SUM(AF13:AK13)</f>
        <v>0</v>
      </c>
    </row>
    <row r="15" spans="1:37" ht="15.75" thickBot="1" x14ac:dyDescent="0.3">
      <c r="A15" s="19" t="s">
        <v>101</v>
      </c>
      <c r="B15" s="83" t="s">
        <v>13</v>
      </c>
      <c r="C15" s="83"/>
      <c r="D15" s="83"/>
      <c r="E15" s="83"/>
      <c r="F15" s="83"/>
      <c r="G15" s="83"/>
      <c r="H15" s="83"/>
      <c r="J15" s="84" t="s">
        <v>13</v>
      </c>
      <c r="K15" s="84"/>
      <c r="L15" s="84"/>
      <c r="M15" s="84"/>
      <c r="N15" s="84"/>
      <c r="O15" s="84"/>
      <c r="P15" s="84"/>
      <c r="Q15" s="84"/>
      <c r="R15" s="84"/>
      <c r="S15" s="84"/>
      <c r="T15" s="84"/>
      <c r="U15" s="84"/>
      <c r="W15" s="85" t="str">
        <f>J15</f>
        <v>Março</v>
      </c>
      <c r="X15" s="85"/>
      <c r="Y15" s="85"/>
      <c r="Z15" s="85"/>
      <c r="AA15" s="85"/>
      <c r="AB15" s="85"/>
      <c r="AC15" s="85"/>
      <c r="AE15" s="86" t="str">
        <f>W15</f>
        <v>Março</v>
      </c>
      <c r="AF15" s="86"/>
      <c r="AG15" s="86"/>
      <c r="AH15" s="86"/>
      <c r="AI15" s="86"/>
      <c r="AJ15" s="86"/>
      <c r="AK15" s="86"/>
    </row>
    <row r="16" spans="1:37" ht="15.75" thickBot="1" x14ac:dyDescent="0.3">
      <c r="A16" s="87" t="s">
        <v>5</v>
      </c>
      <c r="B16" s="34" t="s">
        <v>6</v>
      </c>
      <c r="C16" s="22" t="s">
        <v>7</v>
      </c>
      <c r="D16" s="33" t="s">
        <v>8</v>
      </c>
      <c r="E16" s="22" t="s">
        <v>9</v>
      </c>
      <c r="F16" s="24" t="s">
        <v>10</v>
      </c>
      <c r="G16" s="23" t="s">
        <v>11</v>
      </c>
      <c r="H16" s="25" t="s">
        <v>12</v>
      </c>
      <c r="J16" s="6" t="s">
        <v>4</v>
      </c>
      <c r="K16" s="9">
        <v>45730</v>
      </c>
      <c r="L16" s="66">
        <v>45734</v>
      </c>
      <c r="M16" s="66">
        <v>45741</v>
      </c>
      <c r="N16" s="66">
        <v>45744</v>
      </c>
      <c r="O16" s="4"/>
      <c r="P16" s="4"/>
      <c r="Q16" s="4"/>
      <c r="R16" s="4"/>
      <c r="S16" s="4"/>
      <c r="T16" s="4"/>
      <c r="U16" s="5"/>
      <c r="W16" s="6" t="s">
        <v>4</v>
      </c>
      <c r="X16" s="9">
        <v>45738</v>
      </c>
      <c r="Y16" s="4"/>
      <c r="Z16" s="4"/>
      <c r="AA16" s="4"/>
      <c r="AB16" s="4"/>
      <c r="AC16" s="5"/>
      <c r="AE16" s="6" t="s">
        <v>4</v>
      </c>
      <c r="AF16" s="9"/>
      <c r="AG16" s="4"/>
      <c r="AH16" s="4"/>
      <c r="AI16" s="4"/>
      <c r="AJ16" s="4"/>
      <c r="AK16" s="5"/>
    </row>
    <row r="17" spans="1:37" ht="15.75" thickBot="1" x14ac:dyDescent="0.3">
      <c r="A17" s="87"/>
      <c r="B17" s="26">
        <v>12832</v>
      </c>
      <c r="C17" s="27">
        <v>13247</v>
      </c>
      <c r="D17" s="27">
        <v>13247</v>
      </c>
      <c r="E17" s="27">
        <v>14173</v>
      </c>
      <c r="F17" s="27">
        <f>SUM(C17-B17)</f>
        <v>415</v>
      </c>
      <c r="G17" s="20">
        <f>SUM(E17-D17)</f>
        <v>926</v>
      </c>
      <c r="H17" s="21">
        <f>SUM(F17:G17)</f>
        <v>1341</v>
      </c>
      <c r="J17" s="7" t="s">
        <v>22</v>
      </c>
      <c r="K17" s="10">
        <v>253.28</v>
      </c>
      <c r="L17" s="11">
        <v>190.8</v>
      </c>
      <c r="M17" s="11">
        <v>260.11</v>
      </c>
      <c r="N17" s="11">
        <v>109.05</v>
      </c>
      <c r="O17" s="11"/>
      <c r="P17" s="11"/>
      <c r="Q17" s="11"/>
      <c r="R17" s="11"/>
      <c r="S17" s="11"/>
      <c r="T17" s="11"/>
      <c r="U17" s="12"/>
      <c r="W17" s="7" t="s">
        <v>22</v>
      </c>
      <c r="X17" s="10">
        <v>40</v>
      </c>
      <c r="Y17" s="11"/>
      <c r="Z17" s="11"/>
      <c r="AA17" s="11"/>
      <c r="AB17" s="11"/>
      <c r="AC17" s="12"/>
      <c r="AE17" s="7" t="s">
        <v>22</v>
      </c>
      <c r="AF17" s="10"/>
      <c r="AG17" s="11"/>
      <c r="AH17" s="11"/>
      <c r="AI17" s="11"/>
      <c r="AJ17" s="11"/>
      <c r="AK17" s="12"/>
    </row>
    <row r="18" spans="1:37" x14ac:dyDescent="0.25">
      <c r="J18" s="8"/>
      <c r="T18" s="8" t="s">
        <v>23</v>
      </c>
      <c r="U18" s="13">
        <f>SUM(K17:U17)</f>
        <v>813.24</v>
      </c>
      <c r="AB18" s="8" t="s">
        <v>23</v>
      </c>
      <c r="AC18" s="13">
        <f>SUM(X17:AC17)</f>
        <v>40</v>
      </c>
      <c r="AJ18" s="8" t="s">
        <v>23</v>
      </c>
      <c r="AK18" s="13">
        <f>SUM(AF17:AK17)</f>
        <v>0</v>
      </c>
    </row>
    <row r="19" spans="1:37" ht="15.75" thickBot="1" x14ac:dyDescent="0.3">
      <c r="A19" s="19"/>
      <c r="B19" s="83" t="s">
        <v>14</v>
      </c>
      <c r="C19" s="83"/>
      <c r="D19" s="83"/>
      <c r="E19" s="83"/>
      <c r="F19" s="83"/>
      <c r="G19" s="83"/>
      <c r="H19" s="83"/>
      <c r="J19" s="84" t="s">
        <v>14</v>
      </c>
      <c r="K19" s="84"/>
      <c r="L19" s="84"/>
      <c r="M19" s="84"/>
      <c r="N19" s="84"/>
      <c r="O19" s="84"/>
      <c r="P19" s="84"/>
      <c r="Q19" s="84"/>
      <c r="R19" s="84"/>
      <c r="S19" s="84"/>
      <c r="T19" s="84"/>
      <c r="U19" s="84"/>
      <c r="W19" s="85" t="str">
        <f>J19</f>
        <v>Abril</v>
      </c>
      <c r="X19" s="85"/>
      <c r="Y19" s="85"/>
      <c r="Z19" s="85"/>
      <c r="AA19" s="85"/>
      <c r="AB19" s="85"/>
      <c r="AC19" s="85"/>
      <c r="AE19" s="86" t="str">
        <f>W19</f>
        <v>Abril</v>
      </c>
      <c r="AF19" s="86"/>
      <c r="AG19" s="86"/>
      <c r="AH19" s="86"/>
      <c r="AI19" s="86"/>
      <c r="AJ19" s="86"/>
      <c r="AK19" s="86"/>
    </row>
    <row r="20" spans="1:37" ht="15.75" thickBot="1" x14ac:dyDescent="0.3">
      <c r="A20" s="87" t="s">
        <v>5</v>
      </c>
      <c r="B20" s="34" t="s">
        <v>6</v>
      </c>
      <c r="C20" s="22" t="s">
        <v>7</v>
      </c>
      <c r="D20" s="33" t="s">
        <v>8</v>
      </c>
      <c r="E20" s="22" t="s">
        <v>9</v>
      </c>
      <c r="F20" s="24" t="s">
        <v>10</v>
      </c>
      <c r="G20" s="23" t="s">
        <v>11</v>
      </c>
      <c r="H20" s="25" t="s">
        <v>12</v>
      </c>
      <c r="J20" s="6" t="s">
        <v>4</v>
      </c>
      <c r="K20" s="9">
        <v>45751</v>
      </c>
      <c r="L20" s="66">
        <v>45755</v>
      </c>
      <c r="M20" s="66">
        <v>45762</v>
      </c>
      <c r="N20" s="66">
        <v>45769</v>
      </c>
      <c r="O20" s="66">
        <v>45772</v>
      </c>
      <c r="P20" s="66">
        <v>45776</v>
      </c>
      <c r="Q20" s="4"/>
      <c r="R20" s="4"/>
      <c r="S20" s="4"/>
      <c r="T20" s="4"/>
      <c r="U20" s="5"/>
      <c r="W20" s="6" t="s">
        <v>4</v>
      </c>
      <c r="X20" s="9"/>
      <c r="Y20" s="4"/>
      <c r="Z20" s="4"/>
      <c r="AA20" s="4"/>
      <c r="AB20" s="4"/>
      <c r="AC20" s="5"/>
      <c r="AE20" s="6" t="s">
        <v>4</v>
      </c>
      <c r="AF20" s="9"/>
      <c r="AG20" s="4"/>
      <c r="AH20" s="4"/>
      <c r="AI20" s="4"/>
      <c r="AJ20" s="4"/>
      <c r="AK20" s="5"/>
    </row>
    <row r="21" spans="1:37" ht="15.75" thickBot="1" x14ac:dyDescent="0.3">
      <c r="A21" s="87"/>
      <c r="B21" s="27">
        <v>14173</v>
      </c>
      <c r="C21" s="27">
        <v>15178</v>
      </c>
      <c r="D21" s="27">
        <v>15178</v>
      </c>
      <c r="E21" s="27">
        <v>16287</v>
      </c>
      <c r="F21" s="27">
        <f>SUM(C21-B21)</f>
        <v>1005</v>
      </c>
      <c r="G21" s="20">
        <f>SUM(E21-D21)</f>
        <v>1109</v>
      </c>
      <c r="H21" s="21">
        <f>SUM(F21:G21)</f>
        <v>2114</v>
      </c>
      <c r="J21" s="7" t="s">
        <v>22</v>
      </c>
      <c r="K21" s="30">
        <v>248.2</v>
      </c>
      <c r="L21" s="31">
        <v>264.26</v>
      </c>
      <c r="M21" s="31">
        <v>171.33</v>
      </c>
      <c r="N21" s="31">
        <v>214.66</v>
      </c>
      <c r="O21" s="31">
        <v>166.21</v>
      </c>
      <c r="P21" s="31">
        <v>213.76</v>
      </c>
      <c r="Q21" s="31"/>
      <c r="R21" s="31"/>
      <c r="S21" s="31"/>
      <c r="T21" s="31"/>
      <c r="U21" s="32"/>
      <c r="W21" s="7" t="s">
        <v>22</v>
      </c>
      <c r="X21" s="10"/>
      <c r="Y21" s="11"/>
      <c r="Z21" s="11"/>
      <c r="AA21" s="11"/>
      <c r="AB21" s="11"/>
      <c r="AC21" s="12"/>
      <c r="AE21" s="7" t="s">
        <v>22</v>
      </c>
      <c r="AF21" s="10"/>
      <c r="AG21" s="11"/>
      <c r="AH21" s="11"/>
      <c r="AI21" s="11"/>
      <c r="AJ21" s="11"/>
      <c r="AK21" s="12"/>
    </row>
    <row r="22" spans="1:37" x14ac:dyDescent="0.25">
      <c r="J22" s="8"/>
      <c r="T22" s="8" t="s">
        <v>23</v>
      </c>
      <c r="U22" s="13">
        <f>SUM(K21:U21)</f>
        <v>1278.42</v>
      </c>
      <c r="AB22" s="8" t="s">
        <v>23</v>
      </c>
      <c r="AC22" s="13">
        <f>SUM(X21:AC21)</f>
        <v>0</v>
      </c>
      <c r="AJ22" s="8" t="s">
        <v>23</v>
      </c>
      <c r="AK22" s="13">
        <f>SUM(AF21:AK21)</f>
        <v>0</v>
      </c>
    </row>
    <row r="23" spans="1:37" ht="15.75" thickBot="1" x14ac:dyDescent="0.3">
      <c r="A23" s="19"/>
      <c r="B23" s="83" t="s">
        <v>15</v>
      </c>
      <c r="C23" s="83"/>
      <c r="D23" s="83"/>
      <c r="E23" s="83"/>
      <c r="F23" s="83"/>
      <c r="G23" s="83"/>
      <c r="H23" s="83"/>
      <c r="J23" s="84" t="s">
        <v>15</v>
      </c>
      <c r="K23" s="84"/>
      <c r="L23" s="84"/>
      <c r="M23" s="84"/>
      <c r="N23" s="84"/>
      <c r="O23" s="84"/>
      <c r="P23" s="84"/>
      <c r="Q23" s="84"/>
      <c r="R23" s="84"/>
      <c r="S23" s="84"/>
      <c r="T23" s="84"/>
      <c r="U23" s="84"/>
      <c r="W23" s="85" t="str">
        <f>J23</f>
        <v>Maio</v>
      </c>
      <c r="X23" s="85"/>
      <c r="Y23" s="85"/>
      <c r="Z23" s="85"/>
      <c r="AA23" s="85"/>
      <c r="AB23" s="85"/>
      <c r="AC23" s="85"/>
      <c r="AE23" s="86" t="str">
        <f>W23</f>
        <v>Maio</v>
      </c>
      <c r="AF23" s="86"/>
      <c r="AG23" s="86"/>
      <c r="AH23" s="86"/>
      <c r="AI23" s="86"/>
      <c r="AJ23" s="86"/>
      <c r="AK23" s="86"/>
    </row>
    <row r="24" spans="1:37" ht="15.75" thickBot="1" x14ac:dyDescent="0.3">
      <c r="A24" s="87" t="s">
        <v>5</v>
      </c>
      <c r="B24" s="34" t="s">
        <v>6</v>
      </c>
      <c r="C24" s="22" t="s">
        <v>7</v>
      </c>
      <c r="D24" s="33" t="s">
        <v>8</v>
      </c>
      <c r="E24" s="22" t="s">
        <v>9</v>
      </c>
      <c r="F24" s="24" t="s">
        <v>10</v>
      </c>
      <c r="G24" s="23" t="s">
        <v>11</v>
      </c>
      <c r="H24" s="25" t="s">
        <v>12</v>
      </c>
      <c r="J24" s="6" t="s">
        <v>4</v>
      </c>
      <c r="K24" s="9">
        <v>45779</v>
      </c>
      <c r="L24" s="66">
        <v>45783</v>
      </c>
      <c r="M24" s="66">
        <v>45790</v>
      </c>
      <c r="N24" s="66">
        <v>45793</v>
      </c>
      <c r="O24" s="66">
        <v>45797</v>
      </c>
      <c r="P24" s="66">
        <v>45800</v>
      </c>
      <c r="Q24" s="66">
        <v>45804</v>
      </c>
      <c r="R24" s="4"/>
      <c r="S24" s="4"/>
      <c r="T24" s="4"/>
      <c r="U24" s="5"/>
      <c r="W24" s="6" t="s">
        <v>4</v>
      </c>
      <c r="X24" s="9"/>
      <c r="Y24" s="4"/>
      <c r="Z24" s="4"/>
      <c r="AA24" s="4"/>
      <c r="AB24" s="4"/>
      <c r="AC24" s="5"/>
      <c r="AE24" s="6" t="s">
        <v>4</v>
      </c>
      <c r="AF24" s="9"/>
      <c r="AG24" s="4"/>
      <c r="AH24" s="4"/>
      <c r="AI24" s="4"/>
      <c r="AJ24" s="4"/>
      <c r="AK24" s="5"/>
    </row>
    <row r="25" spans="1:37" ht="15.75" thickBot="1" x14ac:dyDescent="0.3">
      <c r="A25" s="87"/>
      <c r="B25" s="27">
        <v>16287</v>
      </c>
      <c r="C25" s="27">
        <v>17230</v>
      </c>
      <c r="D25" s="27">
        <v>17230</v>
      </c>
      <c r="E25" s="27">
        <v>18355</v>
      </c>
      <c r="F25" s="27">
        <f>SUM(C25-B25)</f>
        <v>943</v>
      </c>
      <c r="G25" s="20">
        <f>SUM(E25-D25)</f>
        <v>1125</v>
      </c>
      <c r="H25" s="21">
        <f>SUM(F25:G25)</f>
        <v>2068</v>
      </c>
      <c r="J25" s="7" t="s">
        <v>22</v>
      </c>
      <c r="K25" s="10">
        <v>138.88</v>
      </c>
      <c r="L25" s="11">
        <v>166.27</v>
      </c>
      <c r="M25" s="11">
        <v>266.18</v>
      </c>
      <c r="N25" s="11">
        <v>187.97</v>
      </c>
      <c r="O25" s="11">
        <v>187.9</v>
      </c>
      <c r="P25" s="11">
        <v>131.33000000000001</v>
      </c>
      <c r="Q25" s="11">
        <v>187.84</v>
      </c>
      <c r="R25" s="11"/>
      <c r="S25" s="11"/>
      <c r="T25" s="11"/>
      <c r="U25" s="12"/>
      <c r="W25" s="7" t="s">
        <v>22</v>
      </c>
      <c r="X25" s="10"/>
      <c r="Y25" s="11"/>
      <c r="Z25" s="11"/>
      <c r="AA25" s="11"/>
      <c r="AB25" s="11"/>
      <c r="AC25" s="12"/>
      <c r="AE25" s="7" t="s">
        <v>22</v>
      </c>
      <c r="AF25" s="10"/>
      <c r="AG25" s="11"/>
      <c r="AH25" s="11"/>
      <c r="AI25" s="11"/>
      <c r="AJ25" s="11"/>
      <c r="AK25" s="12"/>
    </row>
    <row r="26" spans="1:37" x14ac:dyDescent="0.25">
      <c r="J26" s="8"/>
      <c r="T26" s="8" t="s">
        <v>23</v>
      </c>
      <c r="U26" s="13">
        <f>SUM(K25:U25)</f>
        <v>1266.3699999999999</v>
      </c>
      <c r="AB26" s="8" t="s">
        <v>23</v>
      </c>
      <c r="AC26" s="13">
        <f>SUM(X25:AC25)</f>
        <v>0</v>
      </c>
      <c r="AJ26" s="8" t="s">
        <v>23</v>
      </c>
      <c r="AK26" s="13">
        <f>SUM(AF25:AK25)</f>
        <v>0</v>
      </c>
    </row>
    <row r="27" spans="1:37" ht="15.75" thickBot="1" x14ac:dyDescent="0.3">
      <c r="A27" s="19"/>
      <c r="B27" s="83" t="s">
        <v>24</v>
      </c>
      <c r="C27" s="83"/>
      <c r="D27" s="83"/>
      <c r="E27" s="83"/>
      <c r="F27" s="83"/>
      <c r="G27" s="83"/>
      <c r="H27" s="83"/>
      <c r="J27" s="84" t="s">
        <v>24</v>
      </c>
      <c r="K27" s="84"/>
      <c r="L27" s="84"/>
      <c r="M27" s="84"/>
      <c r="N27" s="84"/>
      <c r="O27" s="84"/>
      <c r="P27" s="84"/>
      <c r="Q27" s="84"/>
      <c r="R27" s="84"/>
      <c r="S27" s="84"/>
      <c r="T27" s="84"/>
      <c r="U27" s="84"/>
      <c r="W27" s="85" t="str">
        <f>J27</f>
        <v>Junho</v>
      </c>
      <c r="X27" s="85"/>
      <c r="Y27" s="85"/>
      <c r="Z27" s="85"/>
      <c r="AA27" s="85"/>
      <c r="AB27" s="85"/>
      <c r="AC27" s="85"/>
      <c r="AE27" s="86" t="str">
        <f>W27</f>
        <v>Junho</v>
      </c>
      <c r="AF27" s="86"/>
      <c r="AG27" s="86"/>
      <c r="AH27" s="86"/>
      <c r="AI27" s="86"/>
      <c r="AJ27" s="86"/>
      <c r="AK27" s="86"/>
    </row>
    <row r="28" spans="1:37" ht="15.75" thickBot="1" x14ac:dyDescent="0.3">
      <c r="A28" s="87" t="s">
        <v>5</v>
      </c>
      <c r="B28" s="34" t="s">
        <v>6</v>
      </c>
      <c r="C28" s="22" t="s">
        <v>7</v>
      </c>
      <c r="D28" s="33" t="s">
        <v>8</v>
      </c>
      <c r="E28" s="22" t="s">
        <v>9</v>
      </c>
      <c r="F28" s="24" t="s">
        <v>10</v>
      </c>
      <c r="G28" s="23" t="s">
        <v>11</v>
      </c>
      <c r="H28" s="25" t="s">
        <v>12</v>
      </c>
      <c r="J28" s="6" t="s">
        <v>4</v>
      </c>
      <c r="K28" s="9">
        <v>45811</v>
      </c>
      <c r="L28" s="66">
        <v>45814</v>
      </c>
      <c r="M28" s="66">
        <v>45818</v>
      </c>
      <c r="N28" s="66">
        <v>45821</v>
      </c>
      <c r="O28" s="66">
        <v>45835</v>
      </c>
      <c r="P28" s="4"/>
      <c r="Q28" s="4"/>
      <c r="R28" s="4"/>
      <c r="S28" s="4"/>
      <c r="T28" s="4"/>
      <c r="U28" s="5"/>
      <c r="W28" s="6" t="s">
        <v>4</v>
      </c>
      <c r="X28" s="9"/>
      <c r="Y28" s="4"/>
      <c r="Z28" s="4"/>
      <c r="AA28" s="4"/>
      <c r="AB28" s="4"/>
      <c r="AC28" s="5"/>
      <c r="AE28" s="6" t="s">
        <v>4</v>
      </c>
      <c r="AF28" s="9"/>
      <c r="AG28" s="4"/>
      <c r="AH28" s="4"/>
      <c r="AI28" s="4"/>
      <c r="AJ28" s="4"/>
      <c r="AK28" s="5"/>
    </row>
    <row r="29" spans="1:37" ht="15.75" thickBot="1" x14ac:dyDescent="0.3">
      <c r="A29" s="87"/>
      <c r="B29" s="27">
        <v>18355</v>
      </c>
      <c r="C29" s="27">
        <v>19295</v>
      </c>
      <c r="D29" s="27">
        <v>19295</v>
      </c>
      <c r="E29" s="27">
        <v>19693</v>
      </c>
      <c r="F29" s="27">
        <f>SUM(C29-B29)</f>
        <v>940</v>
      </c>
      <c r="G29" s="20">
        <f>SUM(E29-D29)</f>
        <v>398</v>
      </c>
      <c r="H29" s="21">
        <f>SUM(F29:G29)</f>
        <v>1338</v>
      </c>
      <c r="J29" s="7" t="s">
        <v>22</v>
      </c>
      <c r="K29" s="10">
        <v>241.6</v>
      </c>
      <c r="L29" s="11">
        <v>191.1</v>
      </c>
      <c r="M29" s="11">
        <v>197.82</v>
      </c>
      <c r="N29" s="11">
        <v>157.94999999999999</v>
      </c>
      <c r="O29" s="11">
        <v>193.41</v>
      </c>
      <c r="P29" s="11"/>
      <c r="Q29" s="11"/>
      <c r="R29" s="11"/>
      <c r="S29" s="11"/>
      <c r="T29" s="11"/>
      <c r="U29" s="12"/>
      <c r="W29" s="7" t="s">
        <v>22</v>
      </c>
      <c r="X29" s="10"/>
      <c r="Y29" s="11"/>
      <c r="Z29" s="11"/>
      <c r="AA29" s="11"/>
      <c r="AB29" s="11"/>
      <c r="AC29" s="12"/>
      <c r="AE29" s="7" t="s">
        <v>22</v>
      </c>
      <c r="AF29" s="10"/>
      <c r="AG29" s="11"/>
      <c r="AH29" s="11"/>
      <c r="AI29" s="11"/>
      <c r="AJ29" s="11"/>
      <c r="AK29" s="12"/>
    </row>
    <row r="30" spans="1:37" x14ac:dyDescent="0.25">
      <c r="J30" s="8"/>
      <c r="T30" s="8" t="s">
        <v>23</v>
      </c>
      <c r="U30" s="13">
        <f>SUM(K29:U29)</f>
        <v>981.88</v>
      </c>
      <c r="AB30" s="8" t="s">
        <v>23</v>
      </c>
      <c r="AC30" s="13">
        <f>SUM(X29:AC29)</f>
        <v>0</v>
      </c>
      <c r="AJ30" s="8" t="s">
        <v>23</v>
      </c>
      <c r="AK30" s="13">
        <f>SUM(AF29:AK29)</f>
        <v>0</v>
      </c>
    </row>
    <row r="31" spans="1:37" ht="15.75" thickBot="1" x14ac:dyDescent="0.3">
      <c r="A31" s="19"/>
      <c r="B31" s="83" t="s">
        <v>16</v>
      </c>
      <c r="C31" s="83"/>
      <c r="D31" s="83"/>
      <c r="E31" s="83"/>
      <c r="F31" s="83"/>
      <c r="G31" s="83"/>
      <c r="H31" s="83"/>
      <c r="J31" s="84" t="s">
        <v>16</v>
      </c>
      <c r="K31" s="84"/>
      <c r="L31" s="84"/>
      <c r="M31" s="84"/>
      <c r="N31" s="84"/>
      <c r="O31" s="84"/>
      <c r="P31" s="84"/>
      <c r="Q31" s="84"/>
      <c r="R31" s="84"/>
      <c r="S31" s="84"/>
      <c r="T31" s="84"/>
      <c r="U31" s="84"/>
      <c r="W31" s="85" t="str">
        <f>J31</f>
        <v>Julho</v>
      </c>
      <c r="X31" s="85"/>
      <c r="Y31" s="85"/>
      <c r="Z31" s="85"/>
      <c r="AA31" s="85"/>
      <c r="AB31" s="85"/>
      <c r="AC31" s="85"/>
      <c r="AE31" s="86" t="str">
        <f>W31</f>
        <v>Julho</v>
      </c>
      <c r="AF31" s="86"/>
      <c r="AG31" s="86"/>
      <c r="AH31" s="86"/>
      <c r="AI31" s="86"/>
      <c r="AJ31" s="86"/>
      <c r="AK31" s="86"/>
    </row>
    <row r="32" spans="1:37" ht="15.75" thickBot="1" x14ac:dyDescent="0.3">
      <c r="A32" s="87" t="s">
        <v>5</v>
      </c>
      <c r="B32" s="34" t="s">
        <v>6</v>
      </c>
      <c r="C32" s="22" t="s">
        <v>7</v>
      </c>
      <c r="D32" s="33" t="s">
        <v>8</v>
      </c>
      <c r="E32" s="22" t="s">
        <v>9</v>
      </c>
      <c r="F32" s="24" t="s">
        <v>10</v>
      </c>
      <c r="G32" s="23" t="s">
        <v>11</v>
      </c>
      <c r="H32" s="25" t="s">
        <v>12</v>
      </c>
      <c r="J32" s="6" t="s">
        <v>4</v>
      </c>
      <c r="K32" s="9">
        <v>45841</v>
      </c>
      <c r="L32" s="66">
        <v>45846</v>
      </c>
      <c r="M32" s="66">
        <v>45849</v>
      </c>
      <c r="N32" s="66">
        <v>45853</v>
      </c>
      <c r="O32" s="66">
        <v>45856</v>
      </c>
      <c r="P32" s="66">
        <v>45860</v>
      </c>
      <c r="Q32" s="66">
        <v>45863</v>
      </c>
      <c r="R32" s="4"/>
      <c r="S32" s="4"/>
      <c r="T32" s="4"/>
      <c r="U32" s="5"/>
      <c r="W32" s="6" t="s">
        <v>4</v>
      </c>
      <c r="X32" s="9"/>
      <c r="Y32" s="4"/>
      <c r="Z32" s="4"/>
      <c r="AA32" s="4"/>
      <c r="AB32" s="4"/>
      <c r="AC32" s="5"/>
      <c r="AE32" s="6" t="s">
        <v>4</v>
      </c>
      <c r="AF32" s="9"/>
      <c r="AG32" s="4"/>
      <c r="AH32" s="4"/>
      <c r="AI32" s="4"/>
      <c r="AJ32" s="4"/>
      <c r="AK32" s="5"/>
    </row>
    <row r="33" spans="1:37" ht="15.75" thickBot="1" x14ac:dyDescent="0.3">
      <c r="A33" s="87"/>
      <c r="B33" s="27">
        <v>19693</v>
      </c>
      <c r="C33" s="78">
        <v>20782</v>
      </c>
      <c r="D33" s="78">
        <v>20782</v>
      </c>
      <c r="E33" s="27">
        <v>21981</v>
      </c>
      <c r="F33" s="27">
        <f>SUM(C33-B33)</f>
        <v>1089</v>
      </c>
      <c r="G33" s="20">
        <f>SUM(E33-D33)</f>
        <v>1199</v>
      </c>
      <c r="H33" s="21">
        <f>SUM(F33:G33)</f>
        <v>2288</v>
      </c>
      <c r="J33" s="7" t="s">
        <v>22</v>
      </c>
      <c r="K33" s="77">
        <v>258.89999999999998</v>
      </c>
      <c r="L33" s="77">
        <v>249.33</v>
      </c>
      <c r="M33" s="77">
        <v>145.72999999999999</v>
      </c>
      <c r="N33" s="77">
        <v>208.2</v>
      </c>
      <c r="O33" s="11">
        <v>117</v>
      </c>
      <c r="P33" s="11">
        <v>189.48</v>
      </c>
      <c r="Q33" s="11">
        <v>180.43</v>
      </c>
      <c r="R33" s="11"/>
      <c r="S33" s="11"/>
      <c r="T33" s="11"/>
      <c r="U33" s="12"/>
      <c r="W33" s="7" t="s">
        <v>22</v>
      </c>
      <c r="X33" s="10"/>
      <c r="Y33" s="11"/>
      <c r="Z33" s="11"/>
      <c r="AA33" s="11"/>
      <c r="AB33" s="11"/>
      <c r="AC33" s="12"/>
      <c r="AE33" s="7" t="s">
        <v>22</v>
      </c>
      <c r="AF33" s="10"/>
      <c r="AG33" s="11"/>
      <c r="AH33" s="11"/>
      <c r="AI33" s="11"/>
      <c r="AJ33" s="11"/>
      <c r="AK33" s="12"/>
    </row>
    <row r="34" spans="1:37" x14ac:dyDescent="0.25">
      <c r="J34" s="8"/>
      <c r="T34" s="8" t="s">
        <v>23</v>
      </c>
      <c r="U34" s="13">
        <f>SUM(K33:U33)</f>
        <v>1349.0700000000002</v>
      </c>
      <c r="AB34" s="8" t="s">
        <v>23</v>
      </c>
      <c r="AC34" s="13">
        <f>SUM(X33:AC33)</f>
        <v>0</v>
      </c>
      <c r="AJ34" s="8" t="s">
        <v>23</v>
      </c>
      <c r="AK34" s="13">
        <f>SUM(AF33:AK33)</f>
        <v>0</v>
      </c>
    </row>
    <row r="35" spans="1:37" ht="15.75" thickBot="1" x14ac:dyDescent="0.3">
      <c r="A35" s="19"/>
      <c r="B35" s="83" t="s">
        <v>17</v>
      </c>
      <c r="C35" s="83"/>
      <c r="D35" s="83"/>
      <c r="E35" s="83"/>
      <c r="F35" s="83"/>
      <c r="G35" s="83"/>
      <c r="H35" s="83"/>
      <c r="J35" s="84" t="s">
        <v>17</v>
      </c>
      <c r="K35" s="84"/>
      <c r="L35" s="84"/>
      <c r="M35" s="84"/>
      <c r="N35" s="84"/>
      <c r="O35" s="84"/>
      <c r="P35" s="84"/>
      <c r="Q35" s="84"/>
      <c r="R35" s="84"/>
      <c r="S35" s="84"/>
      <c r="T35" s="84"/>
      <c r="U35" s="84"/>
      <c r="W35" s="85" t="str">
        <f>J35</f>
        <v>Agosto</v>
      </c>
      <c r="X35" s="85"/>
      <c r="Y35" s="85"/>
      <c r="Z35" s="85"/>
      <c r="AA35" s="85"/>
      <c r="AB35" s="85"/>
      <c r="AC35" s="85"/>
      <c r="AE35" s="86" t="str">
        <f>W35</f>
        <v>Agosto</v>
      </c>
      <c r="AF35" s="86"/>
      <c r="AG35" s="86"/>
      <c r="AH35" s="86"/>
      <c r="AI35" s="86"/>
      <c r="AJ35" s="86"/>
      <c r="AK35" s="86"/>
    </row>
    <row r="36" spans="1:37" ht="15.75" thickBot="1" x14ac:dyDescent="0.3">
      <c r="A36" s="87" t="s">
        <v>5</v>
      </c>
      <c r="B36" s="34" t="s">
        <v>6</v>
      </c>
      <c r="C36" s="22" t="s">
        <v>7</v>
      </c>
      <c r="D36" s="33" t="s">
        <v>8</v>
      </c>
      <c r="E36" s="22" t="s">
        <v>9</v>
      </c>
      <c r="F36" s="24" t="s">
        <v>10</v>
      </c>
      <c r="G36" s="23" t="s">
        <v>11</v>
      </c>
      <c r="H36" s="25" t="s">
        <v>12</v>
      </c>
      <c r="J36" s="6" t="s">
        <v>4</v>
      </c>
      <c r="K36" s="9">
        <v>45874</v>
      </c>
      <c r="L36" s="66">
        <v>45884</v>
      </c>
      <c r="M36" s="66">
        <v>45888</v>
      </c>
      <c r="N36" s="66">
        <v>45891</v>
      </c>
      <c r="O36" s="66">
        <v>45895</v>
      </c>
      <c r="P36" s="4"/>
      <c r="Q36" s="4"/>
      <c r="R36" s="4"/>
      <c r="S36" s="4"/>
      <c r="T36" s="4"/>
      <c r="U36" s="5"/>
      <c r="W36" s="6" t="s">
        <v>4</v>
      </c>
      <c r="X36" s="9"/>
      <c r="Y36" s="4"/>
      <c r="Z36" s="4"/>
      <c r="AA36" s="4"/>
      <c r="AB36" s="4"/>
      <c r="AC36" s="5"/>
      <c r="AE36" s="6" t="s">
        <v>4</v>
      </c>
      <c r="AF36" s="9"/>
      <c r="AG36" s="4"/>
      <c r="AH36" s="4"/>
      <c r="AI36" s="4"/>
      <c r="AJ36" s="4"/>
      <c r="AK36" s="5"/>
    </row>
    <row r="37" spans="1:37" ht="15.75" thickBot="1" x14ac:dyDescent="0.3">
      <c r="A37" s="87"/>
      <c r="B37" s="27">
        <v>21981</v>
      </c>
      <c r="C37" s="27">
        <v>22618</v>
      </c>
      <c r="D37" s="27">
        <v>22618</v>
      </c>
      <c r="E37" s="27">
        <v>23575</v>
      </c>
      <c r="F37" s="27">
        <f>SUM(C37-B37)</f>
        <v>637</v>
      </c>
      <c r="G37" s="20">
        <f>SUM(E37-D37)</f>
        <v>957</v>
      </c>
      <c r="H37" s="21">
        <f>SUM(F37:G37)</f>
        <v>1594</v>
      </c>
      <c r="J37" s="7" t="s">
        <v>22</v>
      </c>
      <c r="K37" s="10">
        <v>219.24</v>
      </c>
      <c r="L37" s="11">
        <v>163.93</v>
      </c>
      <c r="M37" s="11">
        <v>151.26</v>
      </c>
      <c r="N37" s="11">
        <v>144.24</v>
      </c>
      <c r="O37" s="11">
        <v>184.08</v>
      </c>
      <c r="P37" s="11"/>
      <c r="Q37" s="11"/>
      <c r="R37" s="11"/>
      <c r="S37" s="11"/>
      <c r="T37" s="11"/>
      <c r="U37" s="12"/>
      <c r="W37" s="7" t="s">
        <v>22</v>
      </c>
      <c r="X37" s="10"/>
      <c r="Y37" s="11"/>
      <c r="Z37" s="11"/>
      <c r="AA37" s="11"/>
      <c r="AB37" s="11"/>
      <c r="AC37" s="12"/>
      <c r="AE37" s="7" t="s">
        <v>22</v>
      </c>
      <c r="AF37" s="10"/>
      <c r="AG37" s="11"/>
      <c r="AH37" s="11"/>
      <c r="AI37" s="11"/>
      <c r="AJ37" s="11"/>
      <c r="AK37" s="12"/>
    </row>
    <row r="38" spans="1:37" x14ac:dyDescent="0.25">
      <c r="J38" s="8"/>
      <c r="T38" s="8" t="s">
        <v>23</v>
      </c>
      <c r="U38" s="13">
        <f>SUM(K37:U37)</f>
        <v>862.75000000000011</v>
      </c>
      <c r="AB38" s="8" t="s">
        <v>23</v>
      </c>
      <c r="AC38" s="13">
        <f>SUM(X37:AC37)</f>
        <v>0</v>
      </c>
      <c r="AJ38" s="8" t="s">
        <v>23</v>
      </c>
      <c r="AK38" s="13">
        <f>SUM(AF37:AK37)</f>
        <v>0</v>
      </c>
    </row>
    <row r="39" spans="1:37" ht="15.75" thickBot="1" x14ac:dyDescent="0.3">
      <c r="A39" s="19"/>
      <c r="B39" s="83" t="s">
        <v>18</v>
      </c>
      <c r="C39" s="83"/>
      <c r="D39" s="83"/>
      <c r="E39" s="83"/>
      <c r="F39" s="83"/>
      <c r="G39" s="83"/>
      <c r="H39" s="83"/>
      <c r="J39" s="84" t="s">
        <v>18</v>
      </c>
      <c r="K39" s="84"/>
      <c r="L39" s="84"/>
      <c r="M39" s="84"/>
      <c r="N39" s="84"/>
      <c r="O39" s="84"/>
      <c r="P39" s="84"/>
      <c r="Q39" s="84"/>
      <c r="R39" s="84"/>
      <c r="S39" s="84"/>
      <c r="T39" s="84"/>
      <c r="U39" s="84"/>
      <c r="W39" s="85" t="str">
        <f>J39</f>
        <v>Setembro</v>
      </c>
      <c r="X39" s="85"/>
      <c r="Y39" s="85"/>
      <c r="Z39" s="85"/>
      <c r="AA39" s="85"/>
      <c r="AB39" s="85"/>
      <c r="AC39" s="85"/>
      <c r="AE39" s="86" t="str">
        <f>W39</f>
        <v>Setembro</v>
      </c>
      <c r="AF39" s="86"/>
      <c r="AG39" s="86"/>
      <c r="AH39" s="86"/>
      <c r="AI39" s="86"/>
      <c r="AJ39" s="86"/>
      <c r="AK39" s="86"/>
    </row>
    <row r="40" spans="1:37" ht="15.75" thickBot="1" x14ac:dyDescent="0.3">
      <c r="A40" s="87" t="s">
        <v>5</v>
      </c>
      <c r="B40" s="34" t="s">
        <v>6</v>
      </c>
      <c r="C40" s="22" t="s">
        <v>7</v>
      </c>
      <c r="D40" s="33" t="s">
        <v>8</v>
      </c>
      <c r="E40" s="22" t="s">
        <v>9</v>
      </c>
      <c r="F40" s="24" t="s">
        <v>10</v>
      </c>
      <c r="G40" s="23" t="s">
        <v>11</v>
      </c>
      <c r="H40" s="25" t="s">
        <v>12</v>
      </c>
      <c r="J40" s="6" t="s">
        <v>4</v>
      </c>
      <c r="K40" s="9">
        <v>45902</v>
      </c>
      <c r="L40" s="66">
        <v>45905</v>
      </c>
      <c r="M40" s="66">
        <v>45909</v>
      </c>
      <c r="N40" s="66">
        <v>45912</v>
      </c>
      <c r="O40" s="66">
        <v>45916</v>
      </c>
      <c r="P40" s="4"/>
      <c r="Q40" s="4"/>
      <c r="R40" s="4"/>
      <c r="S40" s="4"/>
      <c r="T40" s="4"/>
      <c r="U40" s="5"/>
      <c r="W40" s="6" t="s">
        <v>4</v>
      </c>
      <c r="X40" s="9"/>
      <c r="Y40" s="4"/>
      <c r="Z40" s="4"/>
      <c r="AA40" s="4"/>
      <c r="AB40" s="4"/>
      <c r="AC40" s="5"/>
      <c r="AE40" s="6" t="s">
        <v>4</v>
      </c>
      <c r="AF40" s="9"/>
      <c r="AG40" s="4"/>
      <c r="AH40" s="4"/>
      <c r="AI40" s="4"/>
      <c r="AJ40" s="4"/>
      <c r="AK40" s="5"/>
    </row>
    <row r="41" spans="1:37" ht="15.75" thickBot="1" x14ac:dyDescent="0.3">
      <c r="A41" s="87"/>
      <c r="B41" s="27">
        <v>23575</v>
      </c>
      <c r="C41" s="27">
        <v>24809</v>
      </c>
      <c r="D41" s="27">
        <v>24809</v>
      </c>
      <c r="E41" s="27">
        <v>25696</v>
      </c>
      <c r="F41" s="27">
        <f>SUM(C41-B41)</f>
        <v>1234</v>
      </c>
      <c r="G41" s="20">
        <f>SUM(E41-D41)</f>
        <v>887</v>
      </c>
      <c r="H41" s="21">
        <f>SUM(F41:G41)</f>
        <v>2121</v>
      </c>
      <c r="J41" s="7" t="s">
        <v>22</v>
      </c>
      <c r="K41" s="10">
        <v>229.39</v>
      </c>
      <c r="L41" s="11">
        <v>184.01</v>
      </c>
      <c r="M41" s="11">
        <v>192.67</v>
      </c>
      <c r="N41" s="11">
        <v>50.78</v>
      </c>
      <c r="O41" s="11">
        <v>268.13</v>
      </c>
      <c r="P41" s="11"/>
      <c r="Q41" s="11"/>
      <c r="R41" s="11"/>
      <c r="S41" s="11"/>
      <c r="T41" s="11"/>
      <c r="U41" s="12"/>
      <c r="W41" s="7" t="s">
        <v>22</v>
      </c>
      <c r="X41" s="10"/>
      <c r="Y41" s="11"/>
      <c r="Z41" s="11"/>
      <c r="AA41" s="11"/>
      <c r="AB41" s="11"/>
      <c r="AC41" s="12"/>
      <c r="AE41" s="7" t="s">
        <v>22</v>
      </c>
      <c r="AF41" s="10"/>
      <c r="AG41" s="11"/>
      <c r="AH41" s="11"/>
      <c r="AI41" s="11"/>
      <c r="AJ41" s="11"/>
      <c r="AK41" s="12"/>
    </row>
    <row r="42" spans="1:37" x14ac:dyDescent="0.25">
      <c r="J42" s="8"/>
      <c r="T42" s="8" t="s">
        <v>23</v>
      </c>
      <c r="U42" s="13">
        <f>SUM(K41:U41)</f>
        <v>924.9799999999999</v>
      </c>
      <c r="AB42" s="8" t="s">
        <v>23</v>
      </c>
      <c r="AC42" s="13">
        <f>SUM(X41:AC41)</f>
        <v>0</v>
      </c>
      <c r="AJ42" s="8" t="s">
        <v>23</v>
      </c>
      <c r="AK42" s="13">
        <f>SUM(AF41:AK41)</f>
        <v>0</v>
      </c>
    </row>
    <row r="43" spans="1:37" ht="15.75" thickBot="1" x14ac:dyDescent="0.3">
      <c r="A43" s="71" t="s">
        <v>97</v>
      </c>
      <c r="B43" s="83" t="s">
        <v>19</v>
      </c>
      <c r="C43" s="83"/>
      <c r="D43" s="83"/>
      <c r="E43" s="83"/>
      <c r="F43" s="83"/>
      <c r="G43" s="83"/>
      <c r="H43" s="83"/>
      <c r="J43" s="84" t="s">
        <v>19</v>
      </c>
      <c r="K43" s="84"/>
      <c r="L43" s="84"/>
      <c r="M43" s="84"/>
      <c r="N43" s="84"/>
      <c r="O43" s="84"/>
      <c r="P43" s="84"/>
      <c r="Q43" s="84"/>
      <c r="R43" s="84"/>
      <c r="S43" s="84"/>
      <c r="T43" s="84"/>
      <c r="U43" s="84"/>
      <c r="W43" s="85" t="str">
        <f>J43</f>
        <v>Outubro</v>
      </c>
      <c r="X43" s="85"/>
      <c r="Y43" s="85"/>
      <c r="Z43" s="85"/>
      <c r="AA43" s="85"/>
      <c r="AB43" s="85"/>
      <c r="AC43" s="85"/>
      <c r="AE43" s="86" t="str">
        <f>W43</f>
        <v>Outubro</v>
      </c>
      <c r="AF43" s="86"/>
      <c r="AG43" s="86"/>
      <c r="AH43" s="86"/>
      <c r="AI43" s="86"/>
      <c r="AJ43" s="86"/>
      <c r="AK43" s="86"/>
    </row>
    <row r="44" spans="1:37" ht="15.75" thickBot="1" x14ac:dyDescent="0.3">
      <c r="A44" s="87" t="s">
        <v>5</v>
      </c>
      <c r="B44" s="34" t="s">
        <v>6</v>
      </c>
      <c r="C44" s="22" t="s">
        <v>7</v>
      </c>
      <c r="D44" s="33" t="s">
        <v>8</v>
      </c>
      <c r="E44" s="22" t="s">
        <v>9</v>
      </c>
      <c r="F44" s="24" t="s">
        <v>10</v>
      </c>
      <c r="G44" s="23" t="s">
        <v>11</v>
      </c>
      <c r="H44" s="25" t="s">
        <v>12</v>
      </c>
      <c r="J44" s="6" t="s">
        <v>4</v>
      </c>
      <c r="K44" s="9"/>
      <c r="L44" s="4"/>
      <c r="M44" s="4"/>
      <c r="N44" s="4"/>
      <c r="O44" s="4"/>
      <c r="P44" s="4"/>
      <c r="Q44" s="4"/>
      <c r="R44" s="4"/>
      <c r="S44" s="4"/>
      <c r="T44" s="4"/>
      <c r="U44" s="5"/>
      <c r="W44" s="6" t="s">
        <v>4</v>
      </c>
      <c r="X44" s="9"/>
      <c r="Y44" s="4"/>
      <c r="Z44" s="4"/>
      <c r="AA44" s="4"/>
      <c r="AB44" s="4"/>
      <c r="AC44" s="5"/>
      <c r="AE44" s="6" t="s">
        <v>4</v>
      </c>
      <c r="AF44" s="9"/>
      <c r="AG44" s="4"/>
      <c r="AH44" s="4"/>
      <c r="AI44" s="4"/>
      <c r="AJ44" s="4"/>
      <c r="AK44" s="5"/>
    </row>
    <row r="45" spans="1:37" ht="15.75" thickBot="1" x14ac:dyDescent="0.3">
      <c r="A45" s="87"/>
      <c r="B45" s="27">
        <v>25696</v>
      </c>
      <c r="C45" s="27">
        <v>26661</v>
      </c>
      <c r="D45" s="27">
        <v>26661</v>
      </c>
      <c r="E45" s="27">
        <v>27521</v>
      </c>
      <c r="F45" s="27">
        <f>SUM(C45-B45)</f>
        <v>965</v>
      </c>
      <c r="G45" s="20">
        <f>SUM(E45-D45)</f>
        <v>860</v>
      </c>
      <c r="H45" s="21">
        <f>SUM(F45:G45)</f>
        <v>1825</v>
      </c>
      <c r="J45" s="7" t="s">
        <v>22</v>
      </c>
      <c r="K45" s="10"/>
      <c r="L45" s="11"/>
      <c r="M45" s="11"/>
      <c r="N45" s="11"/>
      <c r="O45" s="11"/>
      <c r="P45" s="11"/>
      <c r="Q45" s="11"/>
      <c r="R45" s="11"/>
      <c r="S45" s="11"/>
      <c r="T45" s="11"/>
      <c r="U45" s="12"/>
      <c r="W45" s="7" t="s">
        <v>22</v>
      </c>
      <c r="X45" s="10"/>
      <c r="Y45" s="11"/>
      <c r="Z45" s="11"/>
      <c r="AA45" s="11"/>
      <c r="AB45" s="11"/>
      <c r="AC45" s="12"/>
      <c r="AE45" s="7" t="s">
        <v>22</v>
      </c>
      <c r="AF45" s="10"/>
      <c r="AG45" s="11"/>
      <c r="AH45" s="11"/>
      <c r="AI45" s="11"/>
      <c r="AJ45" s="11"/>
      <c r="AK45" s="12"/>
    </row>
    <row r="46" spans="1:37" x14ac:dyDescent="0.25">
      <c r="J46" s="8"/>
      <c r="T46" s="8" t="s">
        <v>23</v>
      </c>
      <c r="U46" s="13">
        <f>SUM(K45:U45)</f>
        <v>0</v>
      </c>
      <c r="AB46" s="8" t="s">
        <v>23</v>
      </c>
      <c r="AC46" s="13">
        <f>SUM(X45:AC45)</f>
        <v>0</v>
      </c>
      <c r="AJ46" s="8" t="s">
        <v>23</v>
      </c>
      <c r="AK46" s="13">
        <f>SUM(AF45:AK45)</f>
        <v>0</v>
      </c>
    </row>
    <row r="47" spans="1:37" ht="15.75" thickBot="1" x14ac:dyDescent="0.3">
      <c r="A47" s="71" t="s">
        <v>105</v>
      </c>
      <c r="B47" s="83" t="s">
        <v>19</v>
      </c>
      <c r="C47" s="83"/>
      <c r="D47" s="83"/>
      <c r="E47" s="83"/>
      <c r="F47" s="83"/>
      <c r="G47" s="83"/>
      <c r="H47" s="83"/>
      <c r="J47" s="84" t="s">
        <v>19</v>
      </c>
      <c r="K47" s="84"/>
      <c r="L47" s="84"/>
      <c r="M47" s="84"/>
      <c r="N47" s="84"/>
      <c r="O47" s="84"/>
      <c r="P47" s="84"/>
      <c r="Q47" s="84"/>
      <c r="R47" s="84"/>
      <c r="S47" s="84"/>
      <c r="T47" s="84"/>
      <c r="U47" s="84"/>
      <c r="W47" s="85" t="str">
        <f>J47</f>
        <v>Outubro</v>
      </c>
      <c r="X47" s="85"/>
      <c r="Y47" s="85"/>
      <c r="Z47" s="85"/>
      <c r="AA47" s="85"/>
      <c r="AB47" s="85"/>
      <c r="AC47" s="85"/>
      <c r="AE47" s="86" t="str">
        <f>W47</f>
        <v>Outubro</v>
      </c>
      <c r="AF47" s="86"/>
      <c r="AG47" s="86"/>
      <c r="AH47" s="86"/>
      <c r="AI47" s="86"/>
      <c r="AJ47" s="86"/>
      <c r="AK47" s="86"/>
    </row>
    <row r="48" spans="1:37" ht="15.75" thickBot="1" x14ac:dyDescent="0.3">
      <c r="A48" s="87" t="s">
        <v>5</v>
      </c>
      <c r="B48" s="34" t="s">
        <v>6</v>
      </c>
      <c r="C48" s="22" t="s">
        <v>7</v>
      </c>
      <c r="D48" s="33" t="s">
        <v>8</v>
      </c>
      <c r="E48" s="22" t="s">
        <v>9</v>
      </c>
      <c r="F48" s="24" t="s">
        <v>10</v>
      </c>
      <c r="G48" s="23" t="s">
        <v>11</v>
      </c>
      <c r="H48" s="25" t="s">
        <v>12</v>
      </c>
      <c r="J48" s="6" t="s">
        <v>4</v>
      </c>
      <c r="K48" s="9">
        <v>45958</v>
      </c>
      <c r="L48" s="66">
        <v>45961</v>
      </c>
      <c r="M48" s="66">
        <v>45962</v>
      </c>
      <c r="N48" s="4"/>
      <c r="O48" s="4"/>
      <c r="P48" s="4"/>
      <c r="Q48" s="4"/>
      <c r="R48" s="4"/>
      <c r="S48" s="4"/>
      <c r="T48" s="4"/>
      <c r="U48" s="5"/>
      <c r="W48" s="6" t="s">
        <v>4</v>
      </c>
      <c r="X48" s="9"/>
      <c r="Y48" s="4"/>
      <c r="Z48" s="4"/>
      <c r="AA48" s="4"/>
      <c r="AB48" s="4"/>
      <c r="AC48" s="5"/>
      <c r="AE48" s="6" t="s">
        <v>4</v>
      </c>
      <c r="AF48" s="9"/>
      <c r="AG48" s="4"/>
      <c r="AH48" s="4"/>
      <c r="AI48" s="4"/>
      <c r="AJ48" s="4"/>
      <c r="AK48" s="5"/>
    </row>
    <row r="49" spans="1:37" ht="15.75" thickBot="1" x14ac:dyDescent="0.3">
      <c r="A49" s="87"/>
      <c r="B49" s="27"/>
      <c r="C49" s="27"/>
      <c r="D49" s="27">
        <v>21757</v>
      </c>
      <c r="E49" s="27">
        <v>22624</v>
      </c>
      <c r="F49" s="27">
        <f>SUM(C49-B49)</f>
        <v>0</v>
      </c>
      <c r="G49" s="20">
        <f>SUM(E49-D49)</f>
        <v>867</v>
      </c>
      <c r="H49" s="21">
        <f>SUM(F49:G49)</f>
        <v>867</v>
      </c>
      <c r="J49" s="7" t="s">
        <v>22</v>
      </c>
      <c r="K49" s="10">
        <v>260</v>
      </c>
      <c r="L49" s="11">
        <v>240.18</v>
      </c>
      <c r="M49" s="11">
        <v>46.3</v>
      </c>
      <c r="N49" s="11"/>
      <c r="O49" s="11"/>
      <c r="P49" s="11"/>
      <c r="Q49" s="11"/>
      <c r="R49" s="11"/>
      <c r="S49" s="11"/>
      <c r="T49" s="11"/>
      <c r="U49" s="12"/>
      <c r="W49" s="7" t="s">
        <v>22</v>
      </c>
      <c r="X49" s="10"/>
      <c r="Y49" s="11"/>
      <c r="Z49" s="11"/>
      <c r="AA49" s="11"/>
      <c r="AB49" s="11"/>
      <c r="AC49" s="12"/>
      <c r="AE49" s="7" t="s">
        <v>22</v>
      </c>
      <c r="AF49" s="10"/>
      <c r="AG49" s="11"/>
      <c r="AH49" s="11"/>
      <c r="AI49" s="11"/>
      <c r="AJ49" s="11"/>
      <c r="AK49" s="12"/>
    </row>
    <row r="50" spans="1:37" x14ac:dyDescent="0.25">
      <c r="J50" s="8"/>
      <c r="T50" s="8" t="s">
        <v>23</v>
      </c>
      <c r="U50" s="13">
        <f>SUM(K49:U49)</f>
        <v>546.48</v>
      </c>
      <c r="AB50" s="8" t="s">
        <v>23</v>
      </c>
      <c r="AC50" s="13">
        <f>SUM(X49:AC49)</f>
        <v>0</v>
      </c>
      <c r="AJ50" s="8" t="s">
        <v>23</v>
      </c>
      <c r="AK50" s="13">
        <f>SUM(AF49:AK49)</f>
        <v>0</v>
      </c>
    </row>
    <row r="51" spans="1:37" ht="15.75" thickBot="1" x14ac:dyDescent="0.3">
      <c r="A51" s="71" t="s">
        <v>108</v>
      </c>
      <c r="B51" s="83" t="s">
        <v>20</v>
      </c>
      <c r="C51" s="83"/>
      <c r="D51" s="83"/>
      <c r="E51" s="83"/>
      <c r="F51" s="83"/>
      <c r="G51" s="83"/>
      <c r="H51" s="83"/>
      <c r="J51" s="84" t="s">
        <v>20</v>
      </c>
      <c r="K51" s="84"/>
      <c r="L51" s="84"/>
      <c r="M51" s="84"/>
      <c r="N51" s="84"/>
      <c r="O51" s="84"/>
      <c r="P51" s="84"/>
      <c r="Q51" s="84"/>
      <c r="R51" s="84"/>
      <c r="S51" s="84"/>
      <c r="T51" s="84"/>
      <c r="U51" s="84"/>
      <c r="W51" s="85" t="str">
        <f>J51</f>
        <v>Novembro</v>
      </c>
      <c r="X51" s="85"/>
      <c r="Y51" s="85"/>
      <c r="Z51" s="85"/>
      <c r="AA51" s="85"/>
      <c r="AB51" s="85"/>
      <c r="AC51" s="85"/>
      <c r="AE51" s="86" t="str">
        <f>W51</f>
        <v>Novembro</v>
      </c>
      <c r="AF51" s="86"/>
      <c r="AG51" s="86"/>
      <c r="AH51" s="86"/>
      <c r="AI51" s="86"/>
      <c r="AJ51" s="86"/>
      <c r="AK51" s="86"/>
    </row>
    <row r="52" spans="1:37" ht="15.75" thickBot="1" x14ac:dyDescent="0.3">
      <c r="A52" s="87" t="s">
        <v>5</v>
      </c>
      <c r="B52" s="34" t="s">
        <v>6</v>
      </c>
      <c r="C52" s="22" t="s">
        <v>7</v>
      </c>
      <c r="D52" s="33" t="s">
        <v>8</v>
      </c>
      <c r="E52" s="22" t="s">
        <v>9</v>
      </c>
      <c r="F52" s="24" t="s">
        <v>10</v>
      </c>
      <c r="G52" s="23" t="s">
        <v>11</v>
      </c>
      <c r="H52" s="25" t="s">
        <v>12</v>
      </c>
      <c r="J52" s="6" t="s">
        <v>4</v>
      </c>
      <c r="K52" s="9">
        <v>45965</v>
      </c>
      <c r="L52" s="66">
        <v>45968</v>
      </c>
      <c r="M52" s="66">
        <v>45972</v>
      </c>
      <c r="N52" s="66">
        <v>45975</v>
      </c>
      <c r="O52" s="66">
        <v>45982</v>
      </c>
      <c r="P52" s="66">
        <v>45986</v>
      </c>
      <c r="Q52" s="4"/>
      <c r="R52" s="4"/>
      <c r="S52" s="4"/>
      <c r="T52" s="4"/>
      <c r="U52" s="5"/>
      <c r="W52" s="6" t="s">
        <v>4</v>
      </c>
      <c r="X52" s="9"/>
      <c r="Y52" s="4"/>
      <c r="Z52" s="4"/>
      <c r="AA52" s="4"/>
      <c r="AB52" s="4"/>
      <c r="AC52" s="5"/>
      <c r="AE52" s="6" t="s">
        <v>4</v>
      </c>
      <c r="AF52" s="9"/>
      <c r="AG52" s="4"/>
      <c r="AH52" s="4"/>
      <c r="AI52" s="4"/>
      <c r="AJ52" s="4"/>
      <c r="AK52" s="5"/>
    </row>
    <row r="53" spans="1:37" ht="15.75" thickBot="1" x14ac:dyDescent="0.3">
      <c r="A53" s="87"/>
      <c r="B53" s="26">
        <v>8164</v>
      </c>
      <c r="C53" s="27">
        <v>9698</v>
      </c>
      <c r="D53" s="27">
        <v>9698</v>
      </c>
      <c r="E53" s="27">
        <v>10760</v>
      </c>
      <c r="F53" s="27">
        <f>SUM(C53-B53)</f>
        <v>1534</v>
      </c>
      <c r="G53" s="20">
        <f>SUM(E53-D53)</f>
        <v>1062</v>
      </c>
      <c r="H53" s="21">
        <f>SUM(F53:G53)</f>
        <v>2596</v>
      </c>
      <c r="J53" s="7" t="s">
        <v>22</v>
      </c>
      <c r="K53" s="10">
        <v>265.47000000000003</v>
      </c>
      <c r="L53" s="11">
        <v>214.82</v>
      </c>
      <c r="M53" s="11">
        <v>192.97</v>
      </c>
      <c r="N53" s="11">
        <v>242.18</v>
      </c>
      <c r="O53" s="11">
        <v>221.16</v>
      </c>
      <c r="P53" s="11">
        <v>155.99</v>
      </c>
      <c r="Q53" s="11"/>
      <c r="R53" s="11"/>
      <c r="S53" s="11"/>
      <c r="T53" s="11"/>
      <c r="U53" s="12"/>
      <c r="W53" s="7" t="s">
        <v>22</v>
      </c>
      <c r="X53" s="10"/>
      <c r="Y53" s="11"/>
      <c r="Z53" s="11"/>
      <c r="AA53" s="11"/>
      <c r="AB53" s="11"/>
      <c r="AC53" s="12"/>
      <c r="AE53" s="7" t="s">
        <v>22</v>
      </c>
      <c r="AF53" s="10"/>
      <c r="AG53" s="11"/>
      <c r="AH53" s="11"/>
      <c r="AI53" s="11"/>
      <c r="AJ53" s="11"/>
      <c r="AK53" s="12"/>
    </row>
    <row r="54" spans="1:37" x14ac:dyDescent="0.25">
      <c r="J54" s="8"/>
      <c r="T54" s="8" t="s">
        <v>23</v>
      </c>
      <c r="U54" s="13">
        <f>SUM(K53:U53)</f>
        <v>1292.5900000000001</v>
      </c>
      <c r="AB54" s="8" t="s">
        <v>23</v>
      </c>
      <c r="AC54" s="13">
        <f>SUM(X53:AC53)</f>
        <v>0</v>
      </c>
      <c r="AJ54" s="8" t="s">
        <v>23</v>
      </c>
      <c r="AK54" s="13">
        <f>SUM(AF53:AK53)</f>
        <v>0</v>
      </c>
    </row>
    <row r="55" spans="1:37" ht="15.75" thickBot="1" x14ac:dyDescent="0.3">
      <c r="A55" s="19"/>
      <c r="B55" s="83" t="s">
        <v>21</v>
      </c>
      <c r="C55" s="83"/>
      <c r="D55" s="83"/>
      <c r="E55" s="83"/>
      <c r="F55" s="83"/>
      <c r="G55" s="83"/>
      <c r="H55" s="83"/>
      <c r="J55" s="84" t="s">
        <v>21</v>
      </c>
      <c r="K55" s="84"/>
      <c r="L55" s="84"/>
      <c r="M55" s="84"/>
      <c r="N55" s="84"/>
      <c r="O55" s="84"/>
      <c r="P55" s="84"/>
      <c r="Q55" s="84"/>
      <c r="R55" s="84"/>
      <c r="S55" s="84"/>
      <c r="T55" s="84"/>
      <c r="U55" s="84"/>
      <c r="W55" s="85" t="str">
        <f>J55</f>
        <v>Dezembro</v>
      </c>
      <c r="X55" s="85"/>
      <c r="Y55" s="85"/>
      <c r="Z55" s="85"/>
      <c r="AA55" s="85"/>
      <c r="AB55" s="85"/>
      <c r="AC55" s="85"/>
      <c r="AE55" s="86" t="str">
        <f>W55</f>
        <v>Dezembro</v>
      </c>
      <c r="AF55" s="86"/>
      <c r="AG55" s="86"/>
      <c r="AH55" s="86"/>
      <c r="AI55" s="86"/>
      <c r="AJ55" s="86"/>
      <c r="AK55" s="86"/>
    </row>
    <row r="56" spans="1:37" ht="15.75" thickBot="1" x14ac:dyDescent="0.3">
      <c r="A56" s="87" t="s">
        <v>5</v>
      </c>
      <c r="B56" s="34" t="s">
        <v>6</v>
      </c>
      <c r="C56" s="22" t="s">
        <v>7</v>
      </c>
      <c r="D56" s="33" t="s">
        <v>8</v>
      </c>
      <c r="E56" s="22" t="s">
        <v>9</v>
      </c>
      <c r="F56" s="24" t="s">
        <v>10</v>
      </c>
      <c r="G56" s="23" t="s">
        <v>11</v>
      </c>
      <c r="H56" s="25" t="s">
        <v>12</v>
      </c>
      <c r="J56" s="6" t="s">
        <v>4</v>
      </c>
      <c r="K56" s="9">
        <v>45993</v>
      </c>
      <c r="L56" s="66">
        <v>45997</v>
      </c>
      <c r="M56" s="66">
        <v>46007</v>
      </c>
      <c r="N56" s="4"/>
      <c r="O56" s="4"/>
      <c r="P56" s="4"/>
      <c r="Q56" s="4"/>
      <c r="R56" s="4"/>
      <c r="S56" s="4"/>
      <c r="T56" s="4"/>
      <c r="U56" s="5"/>
      <c r="W56" s="6" t="s">
        <v>4</v>
      </c>
      <c r="X56" s="9"/>
      <c r="Y56" s="4"/>
      <c r="Z56" s="4"/>
      <c r="AA56" s="4"/>
      <c r="AB56" s="4"/>
      <c r="AC56" s="5"/>
      <c r="AE56" s="6" t="s">
        <v>4</v>
      </c>
      <c r="AF56" s="9"/>
      <c r="AG56" s="4"/>
      <c r="AH56" s="4"/>
      <c r="AI56" s="4"/>
      <c r="AJ56" s="4"/>
      <c r="AK56" s="5"/>
    </row>
    <row r="57" spans="1:37" ht="15.75" thickBot="1" x14ac:dyDescent="0.3">
      <c r="A57" s="87"/>
      <c r="B57" s="27">
        <v>10760</v>
      </c>
      <c r="C57" s="27">
        <v>12085</v>
      </c>
      <c r="D57" s="27">
        <v>12085</v>
      </c>
      <c r="E57" s="27">
        <v>12304</v>
      </c>
      <c r="F57" s="27">
        <f>SUM(C57-B57)</f>
        <v>1325</v>
      </c>
      <c r="G57" s="20">
        <f>SUM(E57-D57)</f>
        <v>219</v>
      </c>
      <c r="H57" s="21">
        <f>SUM(F57:G57)</f>
        <v>1544</v>
      </c>
      <c r="J57" s="7" t="s">
        <v>22</v>
      </c>
      <c r="K57" s="10">
        <v>275</v>
      </c>
      <c r="L57" s="11">
        <v>266.44</v>
      </c>
      <c r="M57" s="11">
        <v>238.59</v>
      </c>
      <c r="N57" s="11"/>
      <c r="O57" s="11"/>
      <c r="P57" s="11"/>
      <c r="Q57" s="11"/>
      <c r="R57" s="11"/>
      <c r="S57" s="11"/>
      <c r="T57" s="11"/>
      <c r="U57" s="12"/>
      <c r="W57" s="7" t="s">
        <v>22</v>
      </c>
      <c r="X57" s="10"/>
      <c r="Y57" s="11"/>
      <c r="Z57" s="11"/>
      <c r="AA57" s="11"/>
      <c r="AB57" s="11"/>
      <c r="AC57" s="12"/>
      <c r="AE57" s="7" t="s">
        <v>22</v>
      </c>
      <c r="AF57" s="10"/>
      <c r="AG57" s="11"/>
      <c r="AH57" s="11"/>
      <c r="AI57" s="11"/>
      <c r="AJ57" s="11"/>
      <c r="AK57" s="12"/>
    </row>
    <row r="58" spans="1:37" x14ac:dyDescent="0.25">
      <c r="J58" s="8"/>
      <c r="T58" s="8" t="s">
        <v>23</v>
      </c>
      <c r="U58" s="13">
        <f>SUM(K57:U57)</f>
        <v>780.03000000000009</v>
      </c>
      <c r="AB58" s="8" t="s">
        <v>23</v>
      </c>
      <c r="AC58" s="13">
        <f>SUM(X57:AC57)</f>
        <v>0</v>
      </c>
      <c r="AJ58" s="8" t="s">
        <v>23</v>
      </c>
      <c r="AK58" s="13">
        <f>SUM(AF57:AK57)</f>
        <v>0</v>
      </c>
    </row>
    <row r="59" spans="1:37" ht="15.75" thickBot="1" x14ac:dyDescent="0.3">
      <c r="A59" s="19">
        <v>2026</v>
      </c>
      <c r="B59" s="83" t="s">
        <v>83</v>
      </c>
      <c r="C59" s="83"/>
      <c r="D59" s="83"/>
      <c r="E59" s="83"/>
      <c r="F59" s="83"/>
      <c r="G59" s="83"/>
      <c r="H59" s="83"/>
      <c r="J59" s="84" t="s">
        <v>83</v>
      </c>
      <c r="K59" s="84"/>
      <c r="L59" s="84"/>
      <c r="M59" s="84"/>
      <c r="N59" s="84"/>
      <c r="O59" s="84"/>
      <c r="P59" s="84"/>
      <c r="Q59" s="84"/>
      <c r="R59" s="84"/>
      <c r="S59" s="84"/>
      <c r="T59" s="84"/>
      <c r="U59" s="84"/>
      <c r="W59" s="85" t="s">
        <v>83</v>
      </c>
      <c r="X59" s="85"/>
      <c r="Y59" s="85"/>
      <c r="Z59" s="85"/>
      <c r="AA59" s="85"/>
      <c r="AB59" s="85"/>
      <c r="AC59" s="85"/>
      <c r="AE59" s="86" t="s">
        <v>83</v>
      </c>
      <c r="AF59" s="86"/>
      <c r="AG59" s="86"/>
      <c r="AH59" s="86"/>
      <c r="AI59" s="86"/>
      <c r="AJ59" s="86"/>
      <c r="AK59" s="86"/>
    </row>
    <row r="60" spans="1:37" ht="15.75" thickBot="1" x14ac:dyDescent="0.3">
      <c r="A60" s="87" t="s">
        <v>5</v>
      </c>
      <c r="B60" s="34" t="s">
        <v>6</v>
      </c>
      <c r="C60" s="22" t="s">
        <v>7</v>
      </c>
      <c r="D60" s="33" t="s">
        <v>8</v>
      </c>
      <c r="E60" s="22" t="s">
        <v>9</v>
      </c>
      <c r="F60" s="24" t="s">
        <v>10</v>
      </c>
      <c r="G60" s="23" t="s">
        <v>11</v>
      </c>
      <c r="H60" s="25" t="s">
        <v>12</v>
      </c>
      <c r="J60" s="28" t="s">
        <v>4</v>
      </c>
      <c r="K60" s="9"/>
      <c r="L60" s="4"/>
      <c r="M60" s="4"/>
      <c r="N60" s="4"/>
      <c r="O60" s="4"/>
      <c r="P60" s="4"/>
      <c r="Q60" s="4"/>
      <c r="R60" s="4"/>
      <c r="S60" s="4"/>
      <c r="T60" s="4"/>
      <c r="U60" s="5"/>
      <c r="W60" s="6" t="s">
        <v>4</v>
      </c>
      <c r="X60" s="9"/>
      <c r="Y60" s="4"/>
      <c r="Z60" s="4"/>
      <c r="AA60" s="4"/>
      <c r="AB60" s="4"/>
      <c r="AC60" s="5"/>
      <c r="AE60" s="6" t="s">
        <v>4</v>
      </c>
      <c r="AF60" s="9"/>
      <c r="AG60" s="4"/>
      <c r="AH60" s="4"/>
      <c r="AI60" s="4"/>
      <c r="AJ60" s="4"/>
      <c r="AK60" s="5"/>
    </row>
    <row r="61" spans="1:37" ht="15.75" thickBot="1" x14ac:dyDescent="0.3">
      <c r="A61" s="87"/>
      <c r="B61" s="26">
        <v>12304</v>
      </c>
      <c r="C61" s="27"/>
      <c r="D61" s="27"/>
      <c r="E61" s="27">
        <v>14398</v>
      </c>
      <c r="F61" s="27">
        <f>SUM(C61-B61)</f>
        <v>-12304</v>
      </c>
      <c r="G61" s="20">
        <f>SUM(E61-D61)</f>
        <v>14398</v>
      </c>
      <c r="H61" s="21">
        <f>SUM(F61:G61)</f>
        <v>2094</v>
      </c>
      <c r="J61" s="29" t="s">
        <v>22</v>
      </c>
      <c r="K61" s="10"/>
      <c r="L61" s="11"/>
      <c r="M61" s="11"/>
      <c r="N61" s="11"/>
      <c r="O61" s="11"/>
      <c r="P61" s="11"/>
      <c r="Q61" s="11"/>
      <c r="R61" s="11"/>
      <c r="S61" s="11"/>
      <c r="T61" s="11"/>
      <c r="U61" s="12"/>
      <c r="W61" s="7" t="s">
        <v>22</v>
      </c>
      <c r="X61" s="10"/>
      <c r="Y61" s="11"/>
      <c r="Z61" s="11"/>
      <c r="AA61" s="11"/>
      <c r="AB61" s="11"/>
      <c r="AC61" s="12"/>
      <c r="AE61" s="7" t="s">
        <v>22</v>
      </c>
      <c r="AF61" s="10"/>
      <c r="AG61" s="11"/>
      <c r="AH61" s="11"/>
      <c r="AI61" s="11"/>
      <c r="AJ61" s="11"/>
      <c r="AK61" s="12"/>
    </row>
    <row r="62" spans="1:37" x14ac:dyDescent="0.25">
      <c r="J62" s="8"/>
      <c r="T62" s="8" t="s">
        <v>23</v>
      </c>
      <c r="U62" s="13">
        <f>SUM(K61:U61)</f>
        <v>0</v>
      </c>
      <c r="AB62" s="8" t="s">
        <v>23</v>
      </c>
      <c r="AC62" s="13">
        <f>SUM(X61:AC61)</f>
        <v>0</v>
      </c>
      <c r="AJ62" s="8" t="s">
        <v>23</v>
      </c>
      <c r="AK62" s="13">
        <f>SUM(AF61:AK61)</f>
        <v>0</v>
      </c>
    </row>
    <row r="63" spans="1:37" ht="15.75" thickBot="1" x14ac:dyDescent="0.3">
      <c r="A63" s="19"/>
      <c r="B63" s="83" t="s">
        <v>3</v>
      </c>
      <c r="C63" s="83"/>
      <c r="D63" s="83"/>
      <c r="E63" s="83"/>
      <c r="F63" s="83"/>
      <c r="G63" s="83"/>
      <c r="H63" s="83"/>
      <c r="J63" s="84" t="s">
        <v>3</v>
      </c>
      <c r="K63" s="84"/>
      <c r="L63" s="84"/>
      <c r="M63" s="84"/>
      <c r="N63" s="84"/>
      <c r="O63" s="84"/>
      <c r="P63" s="84"/>
      <c r="Q63" s="84"/>
      <c r="R63" s="84"/>
      <c r="S63" s="84"/>
      <c r="T63" s="84"/>
      <c r="U63" s="84"/>
      <c r="W63" s="85" t="s">
        <v>3</v>
      </c>
      <c r="X63" s="85"/>
      <c r="Y63" s="85"/>
      <c r="Z63" s="85"/>
      <c r="AA63" s="85"/>
      <c r="AB63" s="85"/>
      <c r="AC63" s="85"/>
      <c r="AE63" s="86" t="s">
        <v>3</v>
      </c>
      <c r="AF63" s="86"/>
      <c r="AG63" s="86"/>
      <c r="AH63" s="86"/>
      <c r="AI63" s="86"/>
      <c r="AJ63" s="86"/>
      <c r="AK63" s="86"/>
    </row>
    <row r="64" spans="1:37" ht="15.75" thickBot="1" x14ac:dyDescent="0.3">
      <c r="A64" s="87" t="s">
        <v>5</v>
      </c>
      <c r="B64" s="34" t="s">
        <v>6</v>
      </c>
      <c r="C64" s="22" t="s">
        <v>7</v>
      </c>
      <c r="D64" s="33" t="s">
        <v>8</v>
      </c>
      <c r="E64" s="22" t="s">
        <v>9</v>
      </c>
      <c r="F64" s="24" t="s">
        <v>10</v>
      </c>
      <c r="G64" s="23" t="s">
        <v>11</v>
      </c>
      <c r="H64" s="25" t="s">
        <v>12</v>
      </c>
      <c r="J64" s="28" t="s">
        <v>4</v>
      </c>
      <c r="K64" s="9"/>
      <c r="L64" s="66"/>
      <c r="M64" s="66"/>
      <c r="N64" s="4"/>
      <c r="O64" s="4"/>
      <c r="P64" s="4"/>
      <c r="Q64" s="4"/>
      <c r="R64" s="4"/>
      <c r="S64" s="4"/>
      <c r="T64" s="4"/>
      <c r="U64" s="5"/>
      <c r="W64" s="6" t="s">
        <v>4</v>
      </c>
      <c r="X64" s="9"/>
      <c r="Y64" s="4"/>
      <c r="Z64" s="4"/>
      <c r="AA64" s="4"/>
      <c r="AB64" s="4"/>
      <c r="AC64" s="5"/>
      <c r="AE64" s="6" t="s">
        <v>4</v>
      </c>
      <c r="AF64" s="9"/>
      <c r="AG64" s="4"/>
      <c r="AH64" s="4"/>
      <c r="AI64" s="4"/>
      <c r="AJ64" s="4"/>
      <c r="AK64" s="5"/>
    </row>
    <row r="65" spans="1:37" ht="15.75" thickBot="1" x14ac:dyDescent="0.3">
      <c r="A65" s="87"/>
      <c r="B65" s="27">
        <v>14398</v>
      </c>
      <c r="C65" s="27"/>
      <c r="D65" s="27"/>
      <c r="E65" s="27">
        <v>16721</v>
      </c>
      <c r="F65" s="27">
        <f>SUM(C65-B65)</f>
        <v>-14398</v>
      </c>
      <c r="G65" s="20">
        <f>SUM(E65-D65)</f>
        <v>16721</v>
      </c>
      <c r="H65" s="21">
        <f>SUM(F65:G65)</f>
        <v>2323</v>
      </c>
      <c r="J65" s="29" t="s">
        <v>22</v>
      </c>
      <c r="K65" s="10"/>
      <c r="L65" s="11"/>
      <c r="M65" s="11"/>
      <c r="N65" s="11"/>
      <c r="O65" s="11"/>
      <c r="P65" s="11"/>
      <c r="Q65" s="11"/>
      <c r="R65" s="11"/>
      <c r="S65" s="11"/>
      <c r="T65" s="11"/>
      <c r="U65" s="12"/>
      <c r="W65" s="7" t="s">
        <v>22</v>
      </c>
      <c r="X65" s="10"/>
      <c r="Y65" s="11"/>
      <c r="Z65" s="11"/>
      <c r="AA65" s="11"/>
      <c r="AB65" s="11"/>
      <c r="AC65" s="12"/>
      <c r="AE65" s="7" t="s">
        <v>22</v>
      </c>
      <c r="AF65" s="10"/>
      <c r="AG65" s="11"/>
      <c r="AH65" s="11"/>
      <c r="AI65" s="11"/>
      <c r="AJ65" s="11"/>
      <c r="AK65" s="12"/>
    </row>
    <row r="66" spans="1:37" x14ac:dyDescent="0.25">
      <c r="J66" s="8"/>
      <c r="T66" s="8" t="s">
        <v>23</v>
      </c>
      <c r="U66" s="13">
        <f>SUM(K65:U65)</f>
        <v>0</v>
      </c>
      <c r="AB66" s="8" t="s">
        <v>23</v>
      </c>
      <c r="AC66" s="13">
        <f>SUM(X65:AC65)</f>
        <v>0</v>
      </c>
      <c r="AJ66" s="8" t="s">
        <v>23</v>
      </c>
      <c r="AK66" s="13">
        <f>SUM(AF65:AK65)</f>
        <v>0</v>
      </c>
    </row>
    <row r="67" spans="1:37" ht="15.75" thickBot="1" x14ac:dyDescent="0.3">
      <c r="A67" s="19"/>
      <c r="B67" s="83" t="s">
        <v>13</v>
      </c>
      <c r="C67" s="83"/>
      <c r="D67" s="83"/>
      <c r="E67" s="83"/>
      <c r="F67" s="83"/>
      <c r="G67" s="83"/>
      <c r="H67" s="83"/>
      <c r="J67" s="84" t="s">
        <v>13</v>
      </c>
      <c r="K67" s="84"/>
      <c r="L67" s="84"/>
      <c r="M67" s="84"/>
      <c r="N67" s="84"/>
      <c r="O67" s="84"/>
      <c r="P67" s="84"/>
      <c r="Q67" s="84"/>
      <c r="R67" s="84"/>
      <c r="S67" s="84"/>
      <c r="T67" s="84"/>
      <c r="U67" s="84"/>
      <c r="W67" s="85" t="str">
        <f>J67</f>
        <v>Março</v>
      </c>
      <c r="X67" s="85"/>
      <c r="Y67" s="85"/>
      <c r="Z67" s="85"/>
      <c r="AA67" s="85"/>
      <c r="AB67" s="85"/>
      <c r="AC67" s="85"/>
      <c r="AE67" s="86" t="str">
        <f>W67</f>
        <v>Março</v>
      </c>
      <c r="AF67" s="86"/>
      <c r="AG67" s="86"/>
      <c r="AH67" s="86"/>
      <c r="AI67" s="86"/>
      <c r="AJ67" s="86"/>
      <c r="AK67" s="86"/>
    </row>
    <row r="68" spans="1:37" ht="15.75" thickBot="1" x14ac:dyDescent="0.3">
      <c r="A68" s="87" t="s">
        <v>5</v>
      </c>
      <c r="B68" s="34" t="s">
        <v>6</v>
      </c>
      <c r="C68" s="22" t="s">
        <v>7</v>
      </c>
      <c r="D68" s="33" t="s">
        <v>8</v>
      </c>
      <c r="E68" s="22" t="s">
        <v>9</v>
      </c>
      <c r="F68" s="24" t="s">
        <v>10</v>
      </c>
      <c r="G68" s="23" t="s">
        <v>11</v>
      </c>
      <c r="H68" s="25" t="s">
        <v>12</v>
      </c>
      <c r="J68" s="6" t="s">
        <v>4</v>
      </c>
      <c r="K68" s="9"/>
      <c r="L68" s="66"/>
      <c r="M68" s="66"/>
      <c r="N68" s="4"/>
      <c r="O68" s="4"/>
      <c r="P68" s="4"/>
      <c r="Q68" s="4"/>
      <c r="R68" s="4"/>
      <c r="S68" s="4"/>
      <c r="T68" s="4"/>
      <c r="U68" s="5"/>
      <c r="W68" s="6" t="s">
        <v>4</v>
      </c>
      <c r="X68" s="9"/>
      <c r="Y68" s="4"/>
      <c r="Z68" s="4"/>
      <c r="AA68" s="4"/>
      <c r="AB68" s="4"/>
      <c r="AC68" s="5"/>
      <c r="AE68" s="6" t="s">
        <v>4</v>
      </c>
      <c r="AF68" s="9"/>
      <c r="AG68" s="4"/>
      <c r="AH68" s="4"/>
      <c r="AI68" s="4"/>
      <c r="AJ68" s="4"/>
      <c r="AK68" s="5"/>
    </row>
    <row r="69" spans="1:37" ht="15.75" thickBot="1" x14ac:dyDescent="0.3">
      <c r="A69" s="87"/>
      <c r="B69" s="27">
        <v>16721</v>
      </c>
      <c r="C69" s="27"/>
      <c r="D69" s="27"/>
      <c r="E69" s="27">
        <v>18824</v>
      </c>
      <c r="F69" s="27">
        <f>SUM(C69-B69)</f>
        <v>-16721</v>
      </c>
      <c r="G69" s="20">
        <f>SUM(E69-D69)</f>
        <v>18824</v>
      </c>
      <c r="H69" s="21">
        <f>SUM(F69:G69)</f>
        <v>2103</v>
      </c>
      <c r="J69" s="7" t="s">
        <v>22</v>
      </c>
      <c r="K69" s="10"/>
      <c r="L69" s="11"/>
      <c r="M69" s="11"/>
      <c r="N69" s="11"/>
      <c r="O69" s="11"/>
      <c r="P69" s="11"/>
      <c r="Q69" s="11"/>
      <c r="R69" s="11"/>
      <c r="S69" s="11"/>
      <c r="T69" s="11"/>
      <c r="U69" s="12"/>
      <c r="W69" s="7" t="s">
        <v>22</v>
      </c>
      <c r="X69" s="10"/>
      <c r="Y69" s="11"/>
      <c r="Z69" s="11"/>
      <c r="AA69" s="11"/>
      <c r="AB69" s="11"/>
      <c r="AC69" s="12"/>
      <c r="AE69" s="7" t="s">
        <v>22</v>
      </c>
      <c r="AF69" s="10"/>
      <c r="AG69" s="11"/>
      <c r="AH69" s="11"/>
      <c r="AI69" s="11"/>
      <c r="AJ69" s="11"/>
      <c r="AK69" s="12"/>
    </row>
    <row r="70" spans="1:37" x14ac:dyDescent="0.25">
      <c r="J70" s="8"/>
      <c r="T70" s="8" t="s">
        <v>23</v>
      </c>
      <c r="U70" s="13">
        <f>SUM(K69:U69)</f>
        <v>0</v>
      </c>
      <c r="AB70" s="8" t="s">
        <v>23</v>
      </c>
      <c r="AC70" s="13">
        <f>SUM(X69:AC69)</f>
        <v>0</v>
      </c>
      <c r="AJ70" s="8" t="s">
        <v>23</v>
      </c>
      <c r="AK70" s="13">
        <f>SUM(AF69:AK69)</f>
        <v>0</v>
      </c>
    </row>
    <row r="71" spans="1:37" ht="15.75" thickBot="1" x14ac:dyDescent="0.3">
      <c r="A71" s="71" t="s">
        <v>126</v>
      </c>
      <c r="B71" s="83" t="s">
        <v>14</v>
      </c>
      <c r="C71" s="83"/>
      <c r="D71" s="83"/>
      <c r="E71" s="83"/>
      <c r="F71" s="83"/>
      <c r="G71" s="83"/>
      <c r="H71" s="83"/>
      <c r="J71" s="84" t="s">
        <v>14</v>
      </c>
      <c r="K71" s="84"/>
      <c r="L71" s="84"/>
      <c r="M71" s="84"/>
      <c r="N71" s="84"/>
      <c r="O71" s="84"/>
      <c r="P71" s="84"/>
      <c r="Q71" s="84"/>
      <c r="R71" s="84"/>
      <c r="S71" s="84"/>
      <c r="T71" s="84"/>
      <c r="U71" s="84"/>
      <c r="W71" s="85" t="str">
        <f>J71</f>
        <v>Abril</v>
      </c>
      <c r="X71" s="85"/>
      <c r="Y71" s="85"/>
      <c r="Z71" s="85"/>
      <c r="AA71" s="85"/>
      <c r="AB71" s="85"/>
      <c r="AC71" s="85"/>
      <c r="AE71" s="86" t="str">
        <f>W71</f>
        <v>Abril</v>
      </c>
      <c r="AF71" s="86"/>
      <c r="AG71" s="86"/>
      <c r="AH71" s="86"/>
      <c r="AI71" s="86"/>
      <c r="AJ71" s="86"/>
      <c r="AK71" s="86"/>
    </row>
    <row r="72" spans="1:37" ht="15.75" thickBot="1" x14ac:dyDescent="0.3">
      <c r="A72" s="87" t="s">
        <v>5</v>
      </c>
      <c r="B72" s="34" t="s">
        <v>6</v>
      </c>
      <c r="C72" s="22" t="s">
        <v>7</v>
      </c>
      <c r="D72" s="33" t="s">
        <v>8</v>
      </c>
      <c r="E72" s="22" t="s">
        <v>9</v>
      </c>
      <c r="F72" s="24" t="s">
        <v>10</v>
      </c>
      <c r="G72" s="23" t="s">
        <v>11</v>
      </c>
      <c r="H72" s="25" t="s">
        <v>12</v>
      </c>
      <c r="J72" s="6" t="s">
        <v>4</v>
      </c>
      <c r="K72" s="9"/>
      <c r="L72" s="4"/>
      <c r="M72" s="4"/>
      <c r="N72" s="4"/>
      <c r="O72" s="4"/>
      <c r="P72" s="4"/>
      <c r="Q72" s="4"/>
      <c r="R72" s="4"/>
      <c r="S72" s="4"/>
      <c r="T72" s="4"/>
      <c r="U72" s="5"/>
      <c r="W72" s="6" t="s">
        <v>4</v>
      </c>
      <c r="X72" s="9"/>
      <c r="Y72" s="4"/>
      <c r="Z72" s="4"/>
      <c r="AA72" s="4"/>
      <c r="AB72" s="4"/>
      <c r="AC72" s="5"/>
      <c r="AE72" s="6" t="s">
        <v>4</v>
      </c>
      <c r="AF72" s="9"/>
      <c r="AG72" s="4"/>
      <c r="AH72" s="4"/>
      <c r="AI72" s="4"/>
      <c r="AJ72" s="4"/>
      <c r="AK72" s="5"/>
    </row>
    <row r="73" spans="1:37" ht="15.75" thickBot="1" x14ac:dyDescent="0.3">
      <c r="A73" s="87"/>
      <c r="B73" s="27">
        <v>18824</v>
      </c>
      <c r="C73" s="27">
        <v>18848</v>
      </c>
      <c r="D73" s="27"/>
      <c r="E73" s="27"/>
      <c r="F73" s="27">
        <f>SUM(C73-B73)</f>
        <v>24</v>
      </c>
      <c r="G73" s="20">
        <f>SUM(E73-D73)</f>
        <v>0</v>
      </c>
      <c r="H73" s="21">
        <f>SUM(F73:G73)</f>
        <v>24</v>
      </c>
      <c r="J73" s="7" t="s">
        <v>22</v>
      </c>
      <c r="K73" s="30"/>
      <c r="L73" s="31"/>
      <c r="M73" s="31"/>
      <c r="N73" s="31"/>
      <c r="O73" s="31"/>
      <c r="P73" s="31"/>
      <c r="Q73" s="31"/>
      <c r="R73" s="31"/>
      <c r="S73" s="31"/>
      <c r="T73" s="31"/>
      <c r="U73" s="32"/>
      <c r="W73" s="7" t="s">
        <v>22</v>
      </c>
      <c r="X73" s="10"/>
      <c r="Y73" s="11"/>
      <c r="Z73" s="11"/>
      <c r="AA73" s="11"/>
      <c r="AB73" s="11"/>
      <c r="AC73" s="12"/>
      <c r="AE73" s="7" t="s">
        <v>22</v>
      </c>
      <c r="AF73" s="10"/>
      <c r="AG73" s="11"/>
      <c r="AH73" s="11"/>
      <c r="AI73" s="11"/>
      <c r="AJ73" s="11"/>
      <c r="AK73" s="12"/>
    </row>
    <row r="74" spans="1:37" x14ac:dyDescent="0.25">
      <c r="J74" s="8"/>
      <c r="T74" s="8" t="s">
        <v>23</v>
      </c>
      <c r="U74" s="13">
        <f>SUM(K73:U73)</f>
        <v>0</v>
      </c>
      <c r="AB74" s="8" t="s">
        <v>23</v>
      </c>
      <c r="AC74" s="13">
        <f>SUM(X73:AC73)</f>
        <v>0</v>
      </c>
      <c r="AJ74" s="8" t="s">
        <v>23</v>
      </c>
      <c r="AK74" s="13">
        <f>SUM(AF73:AK73)</f>
        <v>0</v>
      </c>
    </row>
    <row r="75" spans="1:37" ht="15.75" thickBot="1" x14ac:dyDescent="0.3">
      <c r="A75" s="71" t="s">
        <v>123</v>
      </c>
      <c r="B75" s="83" t="s">
        <v>14</v>
      </c>
      <c r="C75" s="83"/>
      <c r="D75" s="83"/>
      <c r="E75" s="83"/>
      <c r="F75" s="83"/>
      <c r="G75" s="83"/>
      <c r="H75" s="83"/>
      <c r="J75" s="84" t="s">
        <v>14</v>
      </c>
      <c r="K75" s="84"/>
      <c r="L75" s="84"/>
      <c r="M75" s="84"/>
      <c r="N75" s="84"/>
      <c r="O75" s="84"/>
      <c r="P75" s="84"/>
      <c r="Q75" s="84"/>
      <c r="R75" s="84"/>
      <c r="S75" s="84"/>
      <c r="T75" s="84"/>
      <c r="U75" s="84"/>
      <c r="W75" s="85" t="str">
        <f>J75</f>
        <v>Abril</v>
      </c>
      <c r="X75" s="85"/>
      <c r="Y75" s="85"/>
      <c r="Z75" s="85"/>
      <c r="AA75" s="85"/>
      <c r="AB75" s="85"/>
      <c r="AC75" s="85"/>
      <c r="AE75" s="86" t="str">
        <f>W75</f>
        <v>Abril</v>
      </c>
      <c r="AF75" s="86"/>
      <c r="AG75" s="86"/>
      <c r="AH75" s="86"/>
      <c r="AI75" s="86"/>
      <c r="AJ75" s="86"/>
      <c r="AK75" s="86"/>
    </row>
    <row r="76" spans="1:37" ht="15.75" thickBot="1" x14ac:dyDescent="0.3">
      <c r="A76" s="87" t="s">
        <v>5</v>
      </c>
      <c r="B76" s="34" t="s">
        <v>6</v>
      </c>
      <c r="C76" s="22" t="s">
        <v>7</v>
      </c>
      <c r="D76" s="33" t="s">
        <v>8</v>
      </c>
      <c r="E76" s="22" t="s">
        <v>9</v>
      </c>
      <c r="F76" s="24" t="s">
        <v>10</v>
      </c>
      <c r="G76" s="23" t="s">
        <v>11</v>
      </c>
      <c r="H76" s="25" t="s">
        <v>12</v>
      </c>
      <c r="J76" s="6" t="s">
        <v>4</v>
      </c>
      <c r="K76" s="9"/>
      <c r="L76" s="4"/>
      <c r="M76" s="4"/>
      <c r="N76" s="4"/>
      <c r="O76" s="4"/>
      <c r="P76" s="4"/>
      <c r="Q76" s="4"/>
      <c r="R76" s="4"/>
      <c r="S76" s="4"/>
      <c r="T76" s="4"/>
      <c r="U76" s="5"/>
      <c r="W76" s="6" t="s">
        <v>4</v>
      </c>
      <c r="X76" s="9"/>
      <c r="Y76" s="4"/>
      <c r="Z76" s="4"/>
      <c r="AA76" s="4"/>
      <c r="AB76" s="4"/>
      <c r="AC76" s="5"/>
      <c r="AE76" s="6" t="s">
        <v>4</v>
      </c>
      <c r="AF76" s="9"/>
      <c r="AG76" s="4"/>
      <c r="AH76" s="4"/>
      <c r="AI76" s="4"/>
      <c r="AJ76" s="4"/>
      <c r="AK76" s="5"/>
    </row>
    <row r="77" spans="1:37" ht="15.75" thickBot="1" x14ac:dyDescent="0.3">
      <c r="A77" s="87"/>
      <c r="B77" s="27">
        <v>67298</v>
      </c>
      <c r="C77" s="27"/>
      <c r="D77" s="27"/>
      <c r="E77" s="27">
        <v>69491</v>
      </c>
      <c r="F77" s="27">
        <f>SUM(C77-B77)</f>
        <v>-67298</v>
      </c>
      <c r="G77" s="20">
        <f>SUM(E77-D77)</f>
        <v>69491</v>
      </c>
      <c r="H77" s="21">
        <f>SUM(F77:G77)</f>
        <v>2193</v>
      </c>
      <c r="J77" s="7" t="s">
        <v>22</v>
      </c>
      <c r="K77" s="30"/>
      <c r="L77" s="31"/>
      <c r="M77" s="31"/>
      <c r="N77" s="31"/>
      <c r="O77" s="31"/>
      <c r="P77" s="31"/>
      <c r="Q77" s="31"/>
      <c r="R77" s="31"/>
      <c r="S77" s="31"/>
      <c r="T77" s="31"/>
      <c r="U77" s="32"/>
      <c r="W77" s="7" t="s">
        <v>22</v>
      </c>
      <c r="X77" s="10"/>
      <c r="Y77" s="11"/>
      <c r="Z77" s="11"/>
      <c r="AA77" s="11"/>
      <c r="AB77" s="11"/>
      <c r="AC77" s="12"/>
      <c r="AE77" s="7" t="s">
        <v>22</v>
      </c>
      <c r="AF77" s="10"/>
      <c r="AG77" s="11"/>
      <c r="AH77" s="11"/>
      <c r="AI77" s="11"/>
      <c r="AJ77" s="11"/>
      <c r="AK77" s="12"/>
    </row>
    <row r="78" spans="1:37" x14ac:dyDescent="0.25">
      <c r="J78" s="8"/>
      <c r="T78" s="8" t="s">
        <v>23</v>
      </c>
      <c r="U78" s="13">
        <f>SUM(K77:U77)</f>
        <v>0</v>
      </c>
      <c r="AB78" s="8" t="s">
        <v>23</v>
      </c>
      <c r="AC78" s="13">
        <f>SUM(X77:AC77)</f>
        <v>0</v>
      </c>
      <c r="AJ78" s="8" t="s">
        <v>23</v>
      </c>
      <c r="AK78" s="13">
        <f>SUM(AF77:AK77)</f>
        <v>0</v>
      </c>
    </row>
    <row r="79" spans="1:37" ht="15.75" thickBot="1" x14ac:dyDescent="0.3">
      <c r="A79" s="19"/>
      <c r="B79" s="83" t="s">
        <v>15</v>
      </c>
      <c r="C79" s="83"/>
      <c r="D79" s="83"/>
      <c r="E79" s="83"/>
      <c r="F79" s="83"/>
      <c r="G79" s="83"/>
      <c r="H79" s="83"/>
      <c r="J79" s="84" t="s">
        <v>15</v>
      </c>
      <c r="K79" s="84"/>
      <c r="L79" s="84"/>
      <c r="M79" s="84"/>
      <c r="N79" s="84"/>
      <c r="O79" s="84"/>
      <c r="P79" s="84"/>
      <c r="Q79" s="84"/>
      <c r="R79" s="84"/>
      <c r="S79" s="84"/>
      <c r="T79" s="84"/>
      <c r="U79" s="84"/>
      <c r="W79" s="85" t="str">
        <f>J79</f>
        <v>Maio</v>
      </c>
      <c r="X79" s="85"/>
      <c r="Y79" s="85"/>
      <c r="Z79" s="85"/>
      <c r="AA79" s="85"/>
      <c r="AB79" s="85"/>
      <c r="AC79" s="85"/>
      <c r="AE79" s="86" t="str">
        <f>W79</f>
        <v>Maio</v>
      </c>
      <c r="AF79" s="86"/>
      <c r="AG79" s="86"/>
      <c r="AH79" s="86"/>
      <c r="AI79" s="86"/>
      <c r="AJ79" s="86"/>
      <c r="AK79" s="86"/>
    </row>
    <row r="80" spans="1:37" ht="15.75" thickBot="1" x14ac:dyDescent="0.3">
      <c r="A80" s="87" t="s">
        <v>5</v>
      </c>
      <c r="B80" s="34" t="s">
        <v>6</v>
      </c>
      <c r="C80" s="22" t="s">
        <v>7</v>
      </c>
      <c r="D80" s="33" t="s">
        <v>8</v>
      </c>
      <c r="E80" s="22" t="s">
        <v>9</v>
      </c>
      <c r="F80" s="24" t="s">
        <v>10</v>
      </c>
      <c r="G80" s="23" t="s">
        <v>11</v>
      </c>
      <c r="H80" s="25" t="s">
        <v>12</v>
      </c>
      <c r="J80" s="6" t="s">
        <v>4</v>
      </c>
      <c r="K80" s="9"/>
      <c r="L80" s="4"/>
      <c r="M80" s="4"/>
      <c r="N80" s="4"/>
      <c r="O80" s="4"/>
      <c r="P80" s="4"/>
      <c r="Q80" s="4"/>
      <c r="R80" s="4"/>
      <c r="S80" s="4"/>
      <c r="T80" s="4"/>
      <c r="U80" s="5"/>
      <c r="W80" s="6" t="s">
        <v>4</v>
      </c>
      <c r="X80" s="9"/>
      <c r="Y80" s="4"/>
      <c r="Z80" s="4"/>
      <c r="AA80" s="4"/>
      <c r="AB80" s="4"/>
      <c r="AC80" s="5"/>
      <c r="AE80" s="6" t="s">
        <v>4</v>
      </c>
      <c r="AF80" s="9"/>
      <c r="AG80" s="4"/>
      <c r="AH80" s="4"/>
      <c r="AI80" s="4"/>
      <c r="AJ80" s="4"/>
      <c r="AK80" s="5"/>
    </row>
    <row r="81" spans="1:37" ht="15.75" thickBot="1" x14ac:dyDescent="0.3">
      <c r="A81" s="87"/>
      <c r="B81" s="27">
        <v>69491</v>
      </c>
      <c r="C81" s="27"/>
      <c r="D81" s="27"/>
      <c r="E81" s="27">
        <v>72033</v>
      </c>
      <c r="F81" s="27">
        <f>SUM(C81-B81)</f>
        <v>-69491</v>
      </c>
      <c r="G81" s="20">
        <f>SUM(E81-D81)</f>
        <v>72033</v>
      </c>
      <c r="H81" s="21">
        <f>SUM(F81:G81)</f>
        <v>2542</v>
      </c>
      <c r="J81" s="7" t="s">
        <v>22</v>
      </c>
      <c r="K81" s="10"/>
      <c r="L81" s="11"/>
      <c r="M81" s="11"/>
      <c r="N81" s="11"/>
      <c r="O81" s="11"/>
      <c r="P81" s="11"/>
      <c r="Q81" s="11"/>
      <c r="R81" s="11"/>
      <c r="S81" s="11"/>
      <c r="T81" s="11"/>
      <c r="U81" s="12"/>
      <c r="W81" s="7" t="s">
        <v>22</v>
      </c>
      <c r="X81" s="10"/>
      <c r="Y81" s="11"/>
      <c r="Z81" s="11"/>
      <c r="AA81" s="11"/>
      <c r="AB81" s="11"/>
      <c r="AC81" s="12"/>
      <c r="AE81" s="7" t="s">
        <v>22</v>
      </c>
      <c r="AF81" s="10"/>
      <c r="AG81" s="11"/>
      <c r="AH81" s="11"/>
      <c r="AI81" s="11"/>
      <c r="AJ81" s="11"/>
      <c r="AK81" s="12"/>
    </row>
    <row r="82" spans="1:37" x14ac:dyDescent="0.25">
      <c r="J82" s="8"/>
      <c r="T82" s="8" t="s">
        <v>23</v>
      </c>
      <c r="U82" s="13">
        <f>SUM(K81:U81)</f>
        <v>0</v>
      </c>
      <c r="AB82" s="8" t="s">
        <v>23</v>
      </c>
      <c r="AC82" s="13">
        <f>SUM(X81:AC81)</f>
        <v>0</v>
      </c>
      <c r="AJ82" s="8" t="s">
        <v>23</v>
      </c>
      <c r="AK82" s="13">
        <f>SUM(AF81:AK81)</f>
        <v>0</v>
      </c>
    </row>
    <row r="83" spans="1:37" ht="15.75" thickBot="1" x14ac:dyDescent="0.3">
      <c r="A83" s="19"/>
      <c r="B83" s="83" t="s">
        <v>24</v>
      </c>
      <c r="C83" s="83"/>
      <c r="D83" s="83"/>
      <c r="E83" s="83"/>
      <c r="F83" s="83"/>
      <c r="G83" s="83"/>
      <c r="H83" s="83"/>
      <c r="J83" s="84" t="s">
        <v>24</v>
      </c>
      <c r="K83" s="84"/>
      <c r="L83" s="84"/>
      <c r="M83" s="84"/>
      <c r="N83" s="84"/>
      <c r="O83" s="84"/>
      <c r="P83" s="84"/>
      <c r="Q83" s="84"/>
      <c r="R83" s="84"/>
      <c r="S83" s="84"/>
      <c r="T83" s="84"/>
      <c r="U83" s="84"/>
      <c r="W83" s="85" t="str">
        <f>J83</f>
        <v>Junho</v>
      </c>
      <c r="X83" s="85"/>
      <c r="Y83" s="85"/>
      <c r="Z83" s="85"/>
      <c r="AA83" s="85"/>
      <c r="AB83" s="85"/>
      <c r="AC83" s="85"/>
      <c r="AE83" s="86" t="str">
        <f>W83</f>
        <v>Junho</v>
      </c>
      <c r="AF83" s="86"/>
      <c r="AG83" s="86"/>
      <c r="AH83" s="86"/>
      <c r="AI83" s="86"/>
      <c r="AJ83" s="86"/>
      <c r="AK83" s="86"/>
    </row>
    <row r="84" spans="1:37" ht="15.75" thickBot="1" x14ac:dyDescent="0.3">
      <c r="A84" s="87" t="s">
        <v>5</v>
      </c>
      <c r="B84" s="34" t="s">
        <v>6</v>
      </c>
      <c r="C84" s="22" t="s">
        <v>7</v>
      </c>
      <c r="D84" s="33" t="s">
        <v>8</v>
      </c>
      <c r="E84" s="22" t="s">
        <v>9</v>
      </c>
      <c r="F84" s="24" t="s">
        <v>10</v>
      </c>
      <c r="G84" s="23" t="s">
        <v>11</v>
      </c>
      <c r="H84" s="25" t="s">
        <v>12</v>
      </c>
      <c r="J84" s="6" t="s">
        <v>4</v>
      </c>
      <c r="K84" s="9"/>
      <c r="L84" s="4"/>
      <c r="M84" s="4"/>
      <c r="N84" s="4"/>
      <c r="O84" s="4"/>
      <c r="P84" s="4"/>
      <c r="Q84" s="4"/>
      <c r="R84" s="4"/>
      <c r="S84" s="4"/>
      <c r="T84" s="4"/>
      <c r="U84" s="5"/>
      <c r="W84" s="6" t="s">
        <v>4</v>
      </c>
      <c r="X84" s="9"/>
      <c r="Y84" s="4"/>
      <c r="Z84" s="4"/>
      <c r="AA84" s="4"/>
      <c r="AB84" s="4"/>
      <c r="AC84" s="5"/>
      <c r="AE84" s="6" t="s">
        <v>4</v>
      </c>
      <c r="AF84" s="9"/>
      <c r="AG84" s="4"/>
      <c r="AH84" s="4"/>
      <c r="AI84" s="4"/>
      <c r="AJ84" s="4"/>
      <c r="AK84" s="5"/>
    </row>
    <row r="85" spans="1:37" ht="15.75" thickBot="1" x14ac:dyDescent="0.3">
      <c r="A85" s="87"/>
      <c r="B85" s="27">
        <v>72033</v>
      </c>
      <c r="C85" s="27">
        <v>72638</v>
      </c>
      <c r="D85" s="27"/>
      <c r="E85" s="27"/>
      <c r="F85" s="27">
        <f>SUM(C85-B85)</f>
        <v>605</v>
      </c>
      <c r="G85" s="20">
        <f>SUM(E85-D85)</f>
        <v>0</v>
      </c>
      <c r="H85" s="21">
        <f>SUM(F85:G85)</f>
        <v>605</v>
      </c>
      <c r="J85" s="7" t="s">
        <v>22</v>
      </c>
      <c r="K85" s="10"/>
      <c r="L85" s="11"/>
      <c r="M85" s="11"/>
      <c r="N85" s="11"/>
      <c r="O85" s="11"/>
      <c r="P85" s="11"/>
      <c r="Q85" s="11"/>
      <c r="R85" s="11"/>
      <c r="S85" s="11"/>
      <c r="T85" s="11"/>
      <c r="U85" s="12"/>
      <c r="W85" s="7" t="s">
        <v>22</v>
      </c>
      <c r="X85" s="10"/>
      <c r="Y85" s="11"/>
      <c r="Z85" s="11"/>
      <c r="AA85" s="11"/>
      <c r="AB85" s="11"/>
      <c r="AC85" s="12"/>
      <c r="AE85" s="7" t="s">
        <v>22</v>
      </c>
      <c r="AF85" s="10"/>
      <c r="AG85" s="11"/>
      <c r="AH85" s="11"/>
      <c r="AI85" s="11"/>
      <c r="AJ85" s="11"/>
      <c r="AK85" s="12"/>
    </row>
    <row r="86" spans="1:37" x14ac:dyDescent="0.25">
      <c r="J86" s="8"/>
      <c r="T86" s="8" t="s">
        <v>23</v>
      </c>
      <c r="U86" s="13">
        <f>SUM(K85:U85)</f>
        <v>0</v>
      </c>
      <c r="AB86" s="8" t="s">
        <v>23</v>
      </c>
      <c r="AC86" s="13">
        <f>SUM(X85:AC85)</f>
        <v>0</v>
      </c>
      <c r="AJ86" s="8" t="s">
        <v>23</v>
      </c>
      <c r="AK86" s="13">
        <f>SUM(AF85:AK85)</f>
        <v>0</v>
      </c>
    </row>
    <row r="87" spans="1:37" ht="15.75" thickBot="1" x14ac:dyDescent="0.3">
      <c r="A87" s="19"/>
      <c r="B87" s="83" t="s">
        <v>16</v>
      </c>
      <c r="C87" s="83"/>
      <c r="D87" s="83"/>
      <c r="E87" s="83"/>
      <c r="F87" s="83"/>
      <c r="G87" s="83"/>
      <c r="H87" s="83"/>
      <c r="J87" s="84" t="s">
        <v>16</v>
      </c>
      <c r="K87" s="84"/>
      <c r="L87" s="84"/>
      <c r="M87" s="84"/>
      <c r="N87" s="84"/>
      <c r="O87" s="84"/>
      <c r="P87" s="84"/>
      <c r="Q87" s="84"/>
      <c r="R87" s="84"/>
      <c r="S87" s="84"/>
      <c r="T87" s="84"/>
      <c r="U87" s="84"/>
      <c r="W87" s="85" t="str">
        <f>J87</f>
        <v>Julho</v>
      </c>
      <c r="X87" s="85"/>
      <c r="Y87" s="85"/>
      <c r="Z87" s="85"/>
      <c r="AA87" s="85"/>
      <c r="AB87" s="85"/>
      <c r="AC87" s="85"/>
      <c r="AE87" s="86" t="str">
        <f>W87</f>
        <v>Julho</v>
      </c>
      <c r="AF87" s="86"/>
      <c r="AG87" s="86"/>
      <c r="AH87" s="86"/>
      <c r="AI87" s="86"/>
      <c r="AJ87" s="86"/>
      <c r="AK87" s="86"/>
    </row>
    <row r="88" spans="1:37" ht="15.75" thickBot="1" x14ac:dyDescent="0.3">
      <c r="A88" s="87" t="s">
        <v>5</v>
      </c>
      <c r="B88" s="34" t="s">
        <v>6</v>
      </c>
      <c r="C88" s="22" t="s">
        <v>7</v>
      </c>
      <c r="D88" s="33" t="s">
        <v>8</v>
      </c>
      <c r="E88" s="22" t="s">
        <v>9</v>
      </c>
      <c r="F88" s="24" t="s">
        <v>10</v>
      </c>
      <c r="G88" s="23" t="s">
        <v>11</v>
      </c>
      <c r="H88" s="25" t="s">
        <v>12</v>
      </c>
      <c r="J88" s="6" t="s">
        <v>4</v>
      </c>
      <c r="K88" s="9"/>
      <c r="L88" s="4"/>
      <c r="M88" s="4"/>
      <c r="N88" s="4"/>
      <c r="O88" s="4"/>
      <c r="P88" s="4"/>
      <c r="Q88" s="4"/>
      <c r="R88" s="4"/>
      <c r="S88" s="4"/>
      <c r="T88" s="4"/>
      <c r="U88" s="5"/>
      <c r="W88" s="6" t="s">
        <v>4</v>
      </c>
      <c r="X88" s="9"/>
      <c r="Y88" s="4"/>
      <c r="Z88" s="4"/>
      <c r="AA88" s="4"/>
      <c r="AB88" s="4"/>
      <c r="AC88" s="5"/>
      <c r="AE88" s="6" t="s">
        <v>4</v>
      </c>
      <c r="AF88" s="9"/>
      <c r="AG88" s="4"/>
      <c r="AH88" s="4"/>
      <c r="AI88" s="4"/>
      <c r="AJ88" s="4"/>
      <c r="AK88" s="5"/>
    </row>
    <row r="89" spans="1:37" ht="15.75" thickBot="1" x14ac:dyDescent="0.3">
      <c r="A89" s="87"/>
      <c r="B89" s="26"/>
      <c r="C89" s="27"/>
      <c r="D89" s="27"/>
      <c r="E89" s="27"/>
      <c r="F89" s="27">
        <f>SUM(C89-B89)</f>
        <v>0</v>
      </c>
      <c r="G89" s="20">
        <f>SUM(E89-D89)</f>
        <v>0</v>
      </c>
      <c r="H89" s="21">
        <f>SUM(F89:G89)</f>
        <v>0</v>
      </c>
      <c r="J89" s="7" t="s">
        <v>22</v>
      </c>
      <c r="K89" s="10"/>
      <c r="L89" s="11"/>
      <c r="M89" s="11"/>
      <c r="N89" s="11"/>
      <c r="O89" s="11"/>
      <c r="P89" s="11"/>
      <c r="Q89" s="11"/>
      <c r="R89" s="11"/>
      <c r="S89" s="11"/>
      <c r="T89" s="11"/>
      <c r="U89" s="12"/>
      <c r="W89" s="7" t="s">
        <v>22</v>
      </c>
      <c r="X89" s="10"/>
      <c r="Y89" s="11"/>
      <c r="Z89" s="11"/>
      <c r="AA89" s="11"/>
      <c r="AB89" s="11"/>
      <c r="AC89" s="12"/>
      <c r="AE89" s="7" t="s">
        <v>22</v>
      </c>
      <c r="AF89" s="10"/>
      <c r="AG89" s="11"/>
      <c r="AH89" s="11"/>
      <c r="AI89" s="11"/>
      <c r="AJ89" s="11"/>
      <c r="AK89" s="12"/>
    </row>
    <row r="90" spans="1:37" x14ac:dyDescent="0.25">
      <c r="J90" s="8"/>
      <c r="T90" s="8" t="s">
        <v>23</v>
      </c>
      <c r="U90" s="13">
        <f>SUM(K89:U89)</f>
        <v>0</v>
      </c>
      <c r="AB90" s="8" t="s">
        <v>23</v>
      </c>
      <c r="AC90" s="13">
        <f>SUM(X89:AC89)</f>
        <v>0</v>
      </c>
      <c r="AJ90" s="8" t="s">
        <v>23</v>
      </c>
      <c r="AK90" s="13">
        <f>SUM(AF89:AK89)</f>
        <v>0</v>
      </c>
    </row>
    <row r="91" spans="1:37" ht="15.75" thickBot="1" x14ac:dyDescent="0.3">
      <c r="A91" s="19"/>
      <c r="B91" s="83" t="s">
        <v>17</v>
      </c>
      <c r="C91" s="83"/>
      <c r="D91" s="83"/>
      <c r="E91" s="83"/>
      <c r="F91" s="83"/>
      <c r="G91" s="83"/>
      <c r="H91" s="83"/>
      <c r="J91" s="84" t="s">
        <v>17</v>
      </c>
      <c r="K91" s="84"/>
      <c r="L91" s="84"/>
      <c r="M91" s="84"/>
      <c r="N91" s="84"/>
      <c r="O91" s="84"/>
      <c r="P91" s="84"/>
      <c r="Q91" s="84"/>
      <c r="R91" s="84"/>
      <c r="S91" s="84"/>
      <c r="T91" s="84"/>
      <c r="U91" s="84"/>
      <c r="W91" s="85" t="str">
        <f>J91</f>
        <v>Agosto</v>
      </c>
      <c r="X91" s="85"/>
      <c r="Y91" s="85"/>
      <c r="Z91" s="85"/>
      <c r="AA91" s="85"/>
      <c r="AB91" s="85"/>
      <c r="AC91" s="85"/>
      <c r="AE91" s="86" t="str">
        <f>W91</f>
        <v>Agosto</v>
      </c>
      <c r="AF91" s="86"/>
      <c r="AG91" s="86"/>
      <c r="AH91" s="86"/>
      <c r="AI91" s="86"/>
      <c r="AJ91" s="86"/>
      <c r="AK91" s="86"/>
    </row>
    <row r="92" spans="1:37" ht="15.75" thickBot="1" x14ac:dyDescent="0.3">
      <c r="A92" s="87" t="s">
        <v>5</v>
      </c>
      <c r="B92" s="34" t="s">
        <v>6</v>
      </c>
      <c r="C92" s="22" t="s">
        <v>7</v>
      </c>
      <c r="D92" s="33" t="s">
        <v>8</v>
      </c>
      <c r="E92" s="22" t="s">
        <v>9</v>
      </c>
      <c r="F92" s="24" t="s">
        <v>10</v>
      </c>
      <c r="G92" s="23" t="s">
        <v>11</v>
      </c>
      <c r="H92" s="25" t="s">
        <v>12</v>
      </c>
      <c r="J92" s="6" t="s">
        <v>4</v>
      </c>
      <c r="K92" s="9"/>
      <c r="L92" s="4"/>
      <c r="M92" s="4"/>
      <c r="N92" s="4"/>
      <c r="O92" s="4"/>
      <c r="P92" s="4"/>
      <c r="Q92" s="4"/>
      <c r="R92" s="4"/>
      <c r="S92" s="4"/>
      <c r="T92" s="4"/>
      <c r="U92" s="5"/>
      <c r="W92" s="6" t="s">
        <v>4</v>
      </c>
      <c r="X92" s="9"/>
      <c r="Y92" s="4"/>
      <c r="Z92" s="4"/>
      <c r="AA92" s="4"/>
      <c r="AB92" s="4"/>
      <c r="AC92" s="5"/>
      <c r="AE92" s="6" t="s">
        <v>4</v>
      </c>
      <c r="AF92" s="9"/>
      <c r="AG92" s="4"/>
      <c r="AH92" s="4"/>
      <c r="AI92" s="4"/>
      <c r="AJ92" s="4"/>
      <c r="AK92" s="5"/>
    </row>
    <row r="93" spans="1:37" ht="15.75" thickBot="1" x14ac:dyDescent="0.3">
      <c r="A93" s="87"/>
      <c r="B93" s="26"/>
      <c r="C93" s="27"/>
      <c r="D93" s="27"/>
      <c r="E93" s="27"/>
      <c r="F93" s="27">
        <f>SUM(C93-B93)</f>
        <v>0</v>
      </c>
      <c r="G93" s="20">
        <f>SUM(E93-D93)</f>
        <v>0</v>
      </c>
      <c r="H93" s="21">
        <f>SUM(F93:G93)</f>
        <v>0</v>
      </c>
      <c r="J93" s="7" t="s">
        <v>22</v>
      </c>
      <c r="K93" s="10"/>
      <c r="L93" s="11"/>
      <c r="M93" s="11"/>
      <c r="N93" s="11"/>
      <c r="O93" s="11"/>
      <c r="P93" s="11"/>
      <c r="Q93" s="11"/>
      <c r="R93" s="11"/>
      <c r="S93" s="11"/>
      <c r="T93" s="11"/>
      <c r="U93" s="12"/>
      <c r="W93" s="7" t="s">
        <v>22</v>
      </c>
      <c r="X93" s="10"/>
      <c r="Y93" s="11"/>
      <c r="Z93" s="11"/>
      <c r="AA93" s="11"/>
      <c r="AB93" s="11"/>
      <c r="AC93" s="12"/>
      <c r="AE93" s="7" t="s">
        <v>22</v>
      </c>
      <c r="AF93" s="10"/>
      <c r="AG93" s="11"/>
      <c r="AH93" s="11"/>
      <c r="AI93" s="11"/>
      <c r="AJ93" s="11"/>
      <c r="AK93" s="12"/>
    </row>
    <row r="94" spans="1:37" x14ac:dyDescent="0.25">
      <c r="J94" s="8"/>
      <c r="T94" s="8" t="s">
        <v>23</v>
      </c>
      <c r="U94" s="13">
        <f>SUM(K93:U93)</f>
        <v>0</v>
      </c>
      <c r="AB94" s="8" t="s">
        <v>23</v>
      </c>
      <c r="AC94" s="13">
        <f>SUM(X93:AC93)</f>
        <v>0</v>
      </c>
      <c r="AJ94" s="8" t="s">
        <v>23</v>
      </c>
      <c r="AK94" s="13">
        <f>SUM(AF93:AK93)</f>
        <v>0</v>
      </c>
    </row>
    <row r="95" spans="1:37" ht="15.75" thickBot="1" x14ac:dyDescent="0.3">
      <c r="A95" s="19"/>
      <c r="B95" s="83" t="s">
        <v>18</v>
      </c>
      <c r="C95" s="83"/>
      <c r="D95" s="83"/>
      <c r="E95" s="83"/>
      <c r="F95" s="83"/>
      <c r="G95" s="83"/>
      <c r="H95" s="83"/>
      <c r="J95" s="84" t="s">
        <v>18</v>
      </c>
      <c r="K95" s="84"/>
      <c r="L95" s="84"/>
      <c r="M95" s="84"/>
      <c r="N95" s="84"/>
      <c r="O95" s="84"/>
      <c r="P95" s="84"/>
      <c r="Q95" s="84"/>
      <c r="R95" s="84"/>
      <c r="S95" s="84"/>
      <c r="T95" s="84"/>
      <c r="U95" s="84"/>
      <c r="W95" s="85" t="str">
        <f>J95</f>
        <v>Setembro</v>
      </c>
      <c r="X95" s="85"/>
      <c r="Y95" s="85"/>
      <c r="Z95" s="85"/>
      <c r="AA95" s="85"/>
      <c r="AB95" s="85"/>
      <c r="AC95" s="85"/>
      <c r="AE95" s="86" t="str">
        <f>W95</f>
        <v>Setembro</v>
      </c>
      <c r="AF95" s="86"/>
      <c r="AG95" s="86"/>
      <c r="AH95" s="86"/>
      <c r="AI95" s="86"/>
      <c r="AJ95" s="86"/>
      <c r="AK95" s="86"/>
    </row>
    <row r="96" spans="1:37" ht="15.75" thickBot="1" x14ac:dyDescent="0.3">
      <c r="A96" s="87" t="s">
        <v>5</v>
      </c>
      <c r="B96" s="34" t="s">
        <v>6</v>
      </c>
      <c r="C96" s="22" t="s">
        <v>7</v>
      </c>
      <c r="D96" s="33" t="s">
        <v>8</v>
      </c>
      <c r="E96" s="22" t="s">
        <v>9</v>
      </c>
      <c r="F96" s="24" t="s">
        <v>10</v>
      </c>
      <c r="G96" s="23" t="s">
        <v>11</v>
      </c>
      <c r="H96" s="25" t="s">
        <v>12</v>
      </c>
      <c r="J96" s="6" t="s">
        <v>4</v>
      </c>
      <c r="K96" s="9"/>
      <c r="L96" s="4"/>
      <c r="M96" s="4"/>
      <c r="N96" s="4"/>
      <c r="O96" s="4"/>
      <c r="P96" s="4"/>
      <c r="Q96" s="4"/>
      <c r="R96" s="4"/>
      <c r="S96" s="4"/>
      <c r="T96" s="4"/>
      <c r="U96" s="5"/>
      <c r="W96" s="6" t="s">
        <v>4</v>
      </c>
      <c r="X96" s="9"/>
      <c r="Y96" s="4"/>
      <c r="Z96" s="4"/>
      <c r="AA96" s="4"/>
      <c r="AB96" s="4"/>
      <c r="AC96" s="5"/>
      <c r="AE96" s="6" t="s">
        <v>4</v>
      </c>
      <c r="AF96" s="9"/>
      <c r="AG96" s="4"/>
      <c r="AH96" s="4"/>
      <c r="AI96" s="4"/>
      <c r="AJ96" s="4"/>
      <c r="AK96" s="5"/>
    </row>
    <row r="97" spans="1:37" ht="15.75" thickBot="1" x14ac:dyDescent="0.3">
      <c r="A97" s="87"/>
      <c r="B97" s="26"/>
      <c r="C97" s="27"/>
      <c r="D97" s="27"/>
      <c r="E97" s="27"/>
      <c r="F97" s="27">
        <f>SUM(C97-B97)</f>
        <v>0</v>
      </c>
      <c r="G97" s="20">
        <f>SUM(E97-D97)</f>
        <v>0</v>
      </c>
      <c r="H97" s="21">
        <f>SUM(F97:G97)</f>
        <v>0</v>
      </c>
      <c r="J97" s="7" t="s">
        <v>22</v>
      </c>
      <c r="K97" s="10"/>
      <c r="L97" s="11"/>
      <c r="M97" s="11"/>
      <c r="N97" s="11"/>
      <c r="O97" s="11"/>
      <c r="P97" s="11"/>
      <c r="Q97" s="11"/>
      <c r="R97" s="11"/>
      <c r="S97" s="11"/>
      <c r="T97" s="11"/>
      <c r="U97" s="12"/>
      <c r="W97" s="7" t="s">
        <v>22</v>
      </c>
      <c r="X97" s="10"/>
      <c r="Y97" s="11"/>
      <c r="Z97" s="11"/>
      <c r="AA97" s="11"/>
      <c r="AB97" s="11"/>
      <c r="AC97" s="12"/>
      <c r="AE97" s="7" t="s">
        <v>22</v>
      </c>
      <c r="AF97" s="10"/>
      <c r="AG97" s="11"/>
      <c r="AH97" s="11"/>
      <c r="AI97" s="11"/>
      <c r="AJ97" s="11"/>
      <c r="AK97" s="12"/>
    </row>
    <row r="98" spans="1:37" x14ac:dyDescent="0.25">
      <c r="J98" s="8"/>
      <c r="T98" s="8" t="s">
        <v>23</v>
      </c>
      <c r="U98" s="13">
        <f>SUM(K97:U97)</f>
        <v>0</v>
      </c>
      <c r="AB98" s="8" t="s">
        <v>23</v>
      </c>
      <c r="AC98" s="13">
        <f>SUM(X97:AC97)</f>
        <v>0</v>
      </c>
      <c r="AJ98" s="8" t="s">
        <v>23</v>
      </c>
      <c r="AK98" s="13">
        <f>SUM(AF97:AK97)</f>
        <v>0</v>
      </c>
    </row>
  </sheetData>
  <mergeCells count="124">
    <mergeCell ref="B95:H95"/>
    <mergeCell ref="J95:U95"/>
    <mergeCell ref="W95:AC95"/>
    <mergeCell ref="AE95:AK95"/>
    <mergeCell ref="A96:A97"/>
    <mergeCell ref="B91:H91"/>
    <mergeCell ref="J91:U91"/>
    <mergeCell ref="W91:AC91"/>
    <mergeCell ref="AE91:AK91"/>
    <mergeCell ref="A92:A93"/>
    <mergeCell ref="B87:H87"/>
    <mergeCell ref="J87:U87"/>
    <mergeCell ref="W87:AC87"/>
    <mergeCell ref="AE87:AK87"/>
    <mergeCell ref="A88:A89"/>
    <mergeCell ref="B83:H83"/>
    <mergeCell ref="J83:U83"/>
    <mergeCell ref="W83:AC83"/>
    <mergeCell ref="AE83:AK83"/>
    <mergeCell ref="A84:A85"/>
    <mergeCell ref="B79:H79"/>
    <mergeCell ref="J79:U79"/>
    <mergeCell ref="W79:AC79"/>
    <mergeCell ref="AE79:AK79"/>
    <mergeCell ref="A80:A81"/>
    <mergeCell ref="B71:H71"/>
    <mergeCell ref="J71:U71"/>
    <mergeCell ref="W71:AC71"/>
    <mergeCell ref="AE71:AK71"/>
    <mergeCell ref="A72:A73"/>
    <mergeCell ref="B75:H75"/>
    <mergeCell ref="J75:U75"/>
    <mergeCell ref="W75:AC75"/>
    <mergeCell ref="AE75:AK75"/>
    <mergeCell ref="A76:A77"/>
    <mergeCell ref="B67:H67"/>
    <mergeCell ref="J67:U67"/>
    <mergeCell ref="W67:AC67"/>
    <mergeCell ref="AE67:AK67"/>
    <mergeCell ref="A68:A69"/>
    <mergeCell ref="B63:H63"/>
    <mergeCell ref="J63:U63"/>
    <mergeCell ref="W63:AC63"/>
    <mergeCell ref="AE63:AK63"/>
    <mergeCell ref="A64:A65"/>
    <mergeCell ref="B59:H59"/>
    <mergeCell ref="J59:U59"/>
    <mergeCell ref="W59:AC59"/>
    <mergeCell ref="AE59:AK59"/>
    <mergeCell ref="A60:A61"/>
    <mergeCell ref="J47:U47"/>
    <mergeCell ref="W47:AC47"/>
    <mergeCell ref="AE47:AK47"/>
    <mergeCell ref="A48:A49"/>
    <mergeCell ref="A56:A57"/>
    <mergeCell ref="A52:A53"/>
    <mergeCell ref="B55:H55"/>
    <mergeCell ref="J55:U55"/>
    <mergeCell ref="W55:AC55"/>
    <mergeCell ref="AE55:AK55"/>
    <mergeCell ref="B2:C2"/>
    <mergeCell ref="E2:F2"/>
    <mergeCell ref="B6:C6"/>
    <mergeCell ref="E6:F6"/>
    <mergeCell ref="A9:H9"/>
    <mergeCell ref="B3:C3"/>
    <mergeCell ref="E3:F3"/>
    <mergeCell ref="B4:C4"/>
    <mergeCell ref="E4:F4"/>
    <mergeCell ref="B5:C5"/>
    <mergeCell ref="E5:F5"/>
    <mergeCell ref="A16:A17"/>
    <mergeCell ref="W9:AC9"/>
    <mergeCell ref="AE9:AK9"/>
    <mergeCell ref="B11:H11"/>
    <mergeCell ref="J11:U11"/>
    <mergeCell ref="W11:AC11"/>
    <mergeCell ref="AE11:AK11"/>
    <mergeCell ref="J9:U9"/>
    <mergeCell ref="A12:A13"/>
    <mergeCell ref="B15:H15"/>
    <mergeCell ref="J15:U15"/>
    <mergeCell ref="W15:AC15"/>
    <mergeCell ref="AE15:AK15"/>
    <mergeCell ref="A28:A29"/>
    <mergeCell ref="B19:H19"/>
    <mergeCell ref="J19:U19"/>
    <mergeCell ref="W19:AC19"/>
    <mergeCell ref="AE19:AK19"/>
    <mergeCell ref="A20:A21"/>
    <mergeCell ref="B23:H23"/>
    <mergeCell ref="J23:U23"/>
    <mergeCell ref="W23:AC23"/>
    <mergeCell ref="AE23:AK23"/>
    <mergeCell ref="A24:A25"/>
    <mergeCell ref="B27:H27"/>
    <mergeCell ref="J27:U27"/>
    <mergeCell ref="W27:AC27"/>
    <mergeCell ref="AE27:AK27"/>
    <mergeCell ref="A40:A41"/>
    <mergeCell ref="B31:H31"/>
    <mergeCell ref="J31:U31"/>
    <mergeCell ref="W31:AC31"/>
    <mergeCell ref="AE31:AK31"/>
    <mergeCell ref="A32:A33"/>
    <mergeCell ref="B35:H35"/>
    <mergeCell ref="J35:U35"/>
    <mergeCell ref="W35:AC35"/>
    <mergeCell ref="AE35:AK35"/>
    <mergeCell ref="A36:A37"/>
    <mergeCell ref="B39:H39"/>
    <mergeCell ref="J39:U39"/>
    <mergeCell ref="W39:AC39"/>
    <mergeCell ref="AE39:AK39"/>
    <mergeCell ref="B43:H43"/>
    <mergeCell ref="J43:U43"/>
    <mergeCell ref="W43:AC43"/>
    <mergeCell ref="AE43:AK43"/>
    <mergeCell ref="A44:A45"/>
    <mergeCell ref="B51:H51"/>
    <mergeCell ref="J51:U51"/>
    <mergeCell ref="W51:AC51"/>
    <mergeCell ref="AE51:AK51"/>
    <mergeCell ref="B47:H47"/>
  </mergeCells>
  <phoneticPr fontId="3" type="noConversion"/>
  <conditionalFormatting sqref="C33:D33">
    <cfRule type="cellIs" dxfId="0" priority="1" operator="equal">
      <formula>0</formula>
    </cfRule>
  </conditionalFormatting>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topLeftCell="A27" workbookViewId="0">
      <selection activeCell="I58" sqref="I5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2.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t="s">
        <v>96</v>
      </c>
      <c r="C2" s="90"/>
      <c r="D2" s="1" t="s">
        <v>1</v>
      </c>
      <c r="E2" s="90" t="s">
        <v>133</v>
      </c>
      <c r="F2" s="90"/>
      <c r="H2" t="s">
        <v>110</v>
      </c>
      <c r="I2" s="81">
        <v>3000</v>
      </c>
    </row>
    <row r="3" spans="1:40" x14ac:dyDescent="0.25">
      <c r="A3" t="s">
        <v>75</v>
      </c>
      <c r="B3" s="90"/>
      <c r="C3" s="90"/>
      <c r="D3" s="1" t="s">
        <v>1</v>
      </c>
      <c r="E3" s="90"/>
      <c r="F3" s="90"/>
      <c r="H3" t="s">
        <v>76</v>
      </c>
      <c r="I3" s="54"/>
    </row>
    <row r="4" spans="1:40" x14ac:dyDescent="0.25">
      <c r="A4" t="s">
        <v>2</v>
      </c>
      <c r="B4" s="91">
        <v>2484</v>
      </c>
      <c r="C4" s="91"/>
      <c r="D4" s="1" t="s">
        <v>29</v>
      </c>
      <c r="E4" s="90" t="s">
        <v>130</v>
      </c>
      <c r="F4" s="90"/>
      <c r="H4" t="s">
        <v>132</v>
      </c>
      <c r="I4" s="80">
        <v>46132</v>
      </c>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82" t="s">
        <v>134</v>
      </c>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v>39790</v>
      </c>
      <c r="E19" s="27">
        <v>40616</v>
      </c>
      <c r="F19" s="27">
        <f>SUM(C19-B19)</f>
        <v>0</v>
      </c>
      <c r="G19" s="20">
        <f>SUM(E19-D19)</f>
        <v>826</v>
      </c>
      <c r="H19" s="21">
        <f>SUM(F19:G19)</f>
        <v>826</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7">
        <v>40616</v>
      </c>
      <c r="C23" s="27"/>
      <c r="D23" s="27"/>
      <c r="E23" s="27">
        <v>42139</v>
      </c>
      <c r="F23" s="27">
        <f>SUM(C23-B23)</f>
        <v>-40616</v>
      </c>
      <c r="G23" s="20">
        <f>SUM(E23-D23)</f>
        <v>42139</v>
      </c>
      <c r="H23" s="21">
        <f>SUM(F23:G23)</f>
        <v>1523</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92"/>
  <sheetViews>
    <sheetView showGridLines="0" workbookViewId="0">
      <selection activeCell="L5" sqref="L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7.42578125" customWidth="1"/>
    <col min="10" max="10" width="13.42578125" bestFit="1" customWidth="1"/>
    <col min="11" max="14" width="10.42578125" bestFit="1" customWidth="1"/>
    <col min="15" max="15" width="10.5703125" bestFit="1" customWidth="1"/>
    <col min="16" max="17" width="10.42578125" bestFit="1" customWidth="1"/>
    <col min="21" max="21" width="12.140625" bestFit="1" customWidth="1"/>
    <col min="24" max="26" width="10.42578125" bestFit="1" customWidth="1"/>
    <col min="29" max="29" width="10.5703125" bestFit="1" customWidth="1"/>
    <col min="34" max="36" width="10.140625" bestFit="1" customWidth="1"/>
  </cols>
  <sheetData>
    <row r="1" spans="1:37" x14ac:dyDescent="0.25">
      <c r="I1" s="1"/>
    </row>
    <row r="2" spans="1:37" x14ac:dyDescent="0.25">
      <c r="A2" t="s">
        <v>0</v>
      </c>
      <c r="B2" s="90" t="s">
        <v>90</v>
      </c>
      <c r="C2" s="90"/>
      <c r="D2" s="1" t="s">
        <v>1</v>
      </c>
      <c r="E2" s="90" t="s">
        <v>91</v>
      </c>
      <c r="F2" s="90"/>
      <c r="H2" t="s">
        <v>45</v>
      </c>
      <c r="I2" s="79" t="s">
        <v>95</v>
      </c>
    </row>
    <row r="3" spans="1:37" x14ac:dyDescent="0.25">
      <c r="A3" t="s">
        <v>115</v>
      </c>
      <c r="B3" s="94">
        <v>46094</v>
      </c>
      <c r="C3" s="90"/>
      <c r="D3" s="1" t="s">
        <v>1</v>
      </c>
      <c r="E3" s="90" t="s">
        <v>91</v>
      </c>
      <c r="F3" s="90"/>
      <c r="H3" t="s">
        <v>116</v>
      </c>
      <c r="I3" s="79" t="s">
        <v>119</v>
      </c>
    </row>
    <row r="4" spans="1:37" x14ac:dyDescent="0.25">
      <c r="A4" t="s">
        <v>120</v>
      </c>
      <c r="B4" s="94">
        <v>46109</v>
      </c>
      <c r="C4" s="90"/>
      <c r="D4" s="1" t="s">
        <v>1</v>
      </c>
      <c r="E4" s="90" t="s">
        <v>99</v>
      </c>
      <c r="F4" s="90"/>
      <c r="H4" t="s">
        <v>76</v>
      </c>
      <c r="I4" s="79" t="s">
        <v>90</v>
      </c>
    </row>
    <row r="5" spans="1:37" x14ac:dyDescent="0.25">
      <c r="A5" t="s">
        <v>2</v>
      </c>
      <c r="B5" s="91">
        <v>3511.2</v>
      </c>
      <c r="C5" s="91"/>
      <c r="D5" s="1" t="s">
        <v>29</v>
      </c>
      <c r="E5" s="92">
        <v>45</v>
      </c>
      <c r="F5" s="90"/>
      <c r="H5" t="s">
        <v>70</v>
      </c>
      <c r="I5" s="80">
        <v>45675</v>
      </c>
      <c r="J5" t="s">
        <v>127</v>
      </c>
      <c r="K5" s="80">
        <v>46133</v>
      </c>
    </row>
    <row r="8" spans="1:37" ht="21" x14ac:dyDescent="0.35">
      <c r="A8" s="93" t="s">
        <v>28</v>
      </c>
      <c r="B8" s="93"/>
      <c r="C8" s="93"/>
      <c r="D8" s="93"/>
      <c r="E8" s="93"/>
      <c r="F8" s="93"/>
      <c r="G8" s="93"/>
      <c r="H8" s="93"/>
      <c r="J8" s="89" t="s">
        <v>26</v>
      </c>
      <c r="K8" s="89"/>
      <c r="L8" s="89"/>
      <c r="M8" s="89"/>
      <c r="N8" s="89"/>
      <c r="O8" s="89"/>
      <c r="P8" s="89"/>
      <c r="Q8" s="89"/>
      <c r="R8" s="89"/>
      <c r="S8" s="89"/>
      <c r="T8" s="89"/>
      <c r="U8" s="89"/>
      <c r="V8" s="2"/>
      <c r="W8" s="88" t="s">
        <v>25</v>
      </c>
      <c r="X8" s="88"/>
      <c r="Y8" s="88"/>
      <c r="Z8" s="88"/>
      <c r="AA8" s="88"/>
      <c r="AB8" s="88"/>
      <c r="AC8" s="88"/>
      <c r="AD8" s="2"/>
      <c r="AE8" s="88" t="s">
        <v>27</v>
      </c>
      <c r="AF8" s="88"/>
      <c r="AG8" s="88"/>
      <c r="AH8" s="88"/>
      <c r="AI8" s="88"/>
      <c r="AJ8" s="88"/>
      <c r="AK8" s="88"/>
    </row>
    <row r="9" spans="1:37" ht="15.75" thickBot="1" x14ac:dyDescent="0.3">
      <c r="A9" s="72">
        <v>45675</v>
      </c>
      <c r="B9" s="83" t="s">
        <v>83</v>
      </c>
      <c r="C9" s="83"/>
      <c r="D9" s="83"/>
      <c r="E9" s="83"/>
      <c r="F9" s="83"/>
      <c r="G9" s="83"/>
      <c r="H9" s="83"/>
      <c r="J9" s="84" t="s">
        <v>83</v>
      </c>
      <c r="K9" s="84"/>
      <c r="L9" s="84"/>
      <c r="M9" s="84"/>
      <c r="N9" s="84"/>
      <c r="O9" s="84"/>
      <c r="P9" s="84"/>
      <c r="Q9" s="84"/>
      <c r="R9" s="84"/>
      <c r="S9" s="84"/>
      <c r="T9" s="84"/>
      <c r="U9" s="84"/>
      <c r="W9" s="85" t="s">
        <v>83</v>
      </c>
      <c r="X9" s="85"/>
      <c r="Y9" s="85"/>
      <c r="Z9" s="85"/>
      <c r="AA9" s="85"/>
      <c r="AB9" s="85"/>
      <c r="AC9" s="85"/>
      <c r="AE9" s="86" t="s">
        <v>83</v>
      </c>
      <c r="AF9" s="86"/>
      <c r="AG9" s="86"/>
      <c r="AH9" s="86"/>
      <c r="AI9" s="86"/>
      <c r="AJ9" s="86"/>
      <c r="AK9" s="86"/>
    </row>
    <row r="10" spans="1:37" ht="15.75" thickBot="1" x14ac:dyDescent="0.3">
      <c r="A10" s="87" t="s">
        <v>5</v>
      </c>
      <c r="B10" s="34" t="s">
        <v>6</v>
      </c>
      <c r="C10" s="22" t="s">
        <v>7</v>
      </c>
      <c r="D10" s="33" t="s">
        <v>8</v>
      </c>
      <c r="E10" s="22" t="s">
        <v>9</v>
      </c>
      <c r="F10" s="24" t="s">
        <v>10</v>
      </c>
      <c r="G10" s="23" t="s">
        <v>11</v>
      </c>
      <c r="H10" s="25" t="s">
        <v>12</v>
      </c>
      <c r="J10" s="28" t="s">
        <v>4</v>
      </c>
      <c r="K10" s="9">
        <v>45678</v>
      </c>
      <c r="L10" s="66">
        <v>45681</v>
      </c>
      <c r="M10" s="66">
        <v>45685</v>
      </c>
      <c r="N10" s="66">
        <v>45688</v>
      </c>
      <c r="O10" s="4"/>
      <c r="P10" s="4"/>
      <c r="Q10" s="4"/>
      <c r="R10" s="4"/>
      <c r="S10" s="4"/>
      <c r="T10" s="4"/>
      <c r="U10" s="5"/>
      <c r="W10" s="6" t="s">
        <v>4</v>
      </c>
      <c r="X10" s="9"/>
      <c r="Y10" s="4"/>
      <c r="Z10" s="4"/>
      <c r="AA10" s="4"/>
      <c r="AB10" s="4"/>
      <c r="AC10" s="5"/>
      <c r="AE10" s="6" t="s">
        <v>4</v>
      </c>
      <c r="AF10" s="9"/>
      <c r="AG10" s="4"/>
      <c r="AH10" s="4"/>
      <c r="AI10" s="4"/>
      <c r="AJ10" s="4"/>
      <c r="AK10" s="5"/>
    </row>
    <row r="11" spans="1:37" s="15" customFormat="1" ht="15.75" thickBot="1" x14ac:dyDescent="0.3">
      <c r="A11" s="87"/>
      <c r="B11" s="26"/>
      <c r="C11" s="27"/>
      <c r="D11" s="27">
        <v>7543</v>
      </c>
      <c r="E11" s="27">
        <v>8909</v>
      </c>
      <c r="F11" s="27">
        <f>SUM(C11-B11)</f>
        <v>0</v>
      </c>
      <c r="G11" s="20">
        <f>SUM(E11-D11)</f>
        <v>1366</v>
      </c>
      <c r="H11" s="21">
        <f>SUM(F11:G11)</f>
        <v>1366</v>
      </c>
      <c r="I11"/>
      <c r="J11" s="29" t="s">
        <v>22</v>
      </c>
      <c r="K11" s="10">
        <v>270.94</v>
      </c>
      <c r="L11" s="11">
        <v>178.09</v>
      </c>
      <c r="M11" s="11">
        <v>298.35000000000002</v>
      </c>
      <c r="N11" s="11">
        <v>264.61</v>
      </c>
      <c r="O11" s="11"/>
      <c r="P11" s="11"/>
      <c r="Q11" s="11"/>
      <c r="R11" s="11"/>
      <c r="S11" s="11"/>
      <c r="T11" s="11"/>
      <c r="U11" s="12"/>
      <c r="V11"/>
      <c r="W11" s="7" t="s">
        <v>22</v>
      </c>
      <c r="X11" s="10"/>
      <c r="Y11" s="11"/>
      <c r="Z11" s="11"/>
      <c r="AA11" s="11"/>
      <c r="AB11" s="11"/>
      <c r="AC11" s="12"/>
      <c r="AD11"/>
      <c r="AE11" s="7" t="s">
        <v>22</v>
      </c>
      <c r="AF11" s="10"/>
      <c r="AG11" s="11"/>
      <c r="AH11" s="11"/>
      <c r="AI11" s="11"/>
      <c r="AJ11" s="11"/>
      <c r="AK11" s="12"/>
    </row>
    <row r="12" spans="1:37" s="15" customFormat="1" x14ac:dyDescent="0.25">
      <c r="A12"/>
      <c r="B12" s="1"/>
      <c r="C12" s="1"/>
      <c r="D12" s="1"/>
      <c r="E12" s="1"/>
      <c r="F12"/>
      <c r="G12"/>
      <c r="H12"/>
      <c r="I12"/>
      <c r="J12" s="8"/>
      <c r="K12"/>
      <c r="L12"/>
      <c r="M12"/>
      <c r="N12"/>
      <c r="O12"/>
      <c r="P12"/>
      <c r="Q12"/>
      <c r="R12"/>
      <c r="S12"/>
      <c r="T12" s="8" t="s">
        <v>23</v>
      </c>
      <c r="U12" s="13">
        <f>SUM(K11:U11)</f>
        <v>1011.99</v>
      </c>
      <c r="V12"/>
      <c r="W12"/>
      <c r="X12"/>
      <c r="Y12"/>
      <c r="Z12"/>
      <c r="AA12"/>
      <c r="AB12" s="8" t="s">
        <v>23</v>
      </c>
      <c r="AC12" s="13">
        <f>SUM(X11:AC11)</f>
        <v>0</v>
      </c>
      <c r="AD12"/>
      <c r="AE12"/>
      <c r="AF12"/>
      <c r="AG12"/>
      <c r="AH12"/>
      <c r="AI12"/>
      <c r="AJ12" s="8" t="s">
        <v>23</v>
      </c>
      <c r="AK12" s="13">
        <f>SUM(AF11:AK11)</f>
        <v>0</v>
      </c>
    </row>
    <row r="13" spans="1:37" ht="15.75" thickBot="1" x14ac:dyDescent="0.3">
      <c r="A13" s="19"/>
      <c r="B13" s="83" t="s">
        <v>3</v>
      </c>
      <c r="C13" s="83"/>
      <c r="D13" s="83"/>
      <c r="E13" s="83"/>
      <c r="F13" s="83"/>
      <c r="G13" s="83"/>
      <c r="H13" s="83"/>
      <c r="J13" s="84" t="s">
        <v>3</v>
      </c>
      <c r="K13" s="84"/>
      <c r="L13" s="84"/>
      <c r="M13" s="84"/>
      <c r="N13" s="84"/>
      <c r="O13" s="84"/>
      <c r="P13" s="84"/>
      <c r="Q13" s="84"/>
      <c r="R13" s="84"/>
      <c r="S13" s="84"/>
      <c r="T13" s="84"/>
      <c r="U13" s="84"/>
      <c r="W13" s="85" t="s">
        <v>3</v>
      </c>
      <c r="X13" s="85"/>
      <c r="Y13" s="85"/>
      <c r="Z13" s="85"/>
      <c r="AA13" s="85"/>
      <c r="AB13" s="85"/>
      <c r="AC13" s="85"/>
      <c r="AE13" s="86" t="s">
        <v>3</v>
      </c>
      <c r="AF13" s="86"/>
      <c r="AG13" s="86"/>
      <c r="AH13" s="86"/>
      <c r="AI13" s="86"/>
      <c r="AJ13" s="86"/>
      <c r="AK13" s="86"/>
    </row>
    <row r="14" spans="1:37" ht="15.75" thickBot="1" x14ac:dyDescent="0.3">
      <c r="A14" s="87" t="s">
        <v>5</v>
      </c>
      <c r="B14" s="34" t="s">
        <v>6</v>
      </c>
      <c r="C14" s="22" t="s">
        <v>7</v>
      </c>
      <c r="D14" s="33" t="s">
        <v>8</v>
      </c>
      <c r="E14" s="22" t="s">
        <v>9</v>
      </c>
      <c r="F14" s="24" t="s">
        <v>10</v>
      </c>
      <c r="G14" s="23" t="s">
        <v>11</v>
      </c>
      <c r="H14" s="25" t="s">
        <v>12</v>
      </c>
      <c r="J14" s="28" t="s">
        <v>4</v>
      </c>
      <c r="K14" s="9">
        <v>45692</v>
      </c>
      <c r="L14" s="66">
        <v>45695</v>
      </c>
      <c r="M14" s="66">
        <v>45702</v>
      </c>
      <c r="N14" s="66">
        <v>45706</v>
      </c>
      <c r="O14" s="66">
        <v>45709</v>
      </c>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87"/>
      <c r="B15" s="26">
        <v>8909</v>
      </c>
      <c r="C15" s="27">
        <v>10032</v>
      </c>
      <c r="D15" s="27">
        <v>10032</v>
      </c>
      <c r="E15" s="27">
        <v>10519</v>
      </c>
      <c r="F15" s="27">
        <f>SUM(C15-B15)</f>
        <v>1123</v>
      </c>
      <c r="G15" s="20">
        <f>SUM(E15-D15)</f>
        <v>487</v>
      </c>
      <c r="H15" s="21">
        <f>SUM(F15:G15)</f>
        <v>1610</v>
      </c>
      <c r="J15" s="29" t="s">
        <v>22</v>
      </c>
      <c r="K15" s="10">
        <v>122.83</v>
      </c>
      <c r="L15" s="11">
        <v>194.01</v>
      </c>
      <c r="M15" s="11">
        <v>271.88</v>
      </c>
      <c r="N15" s="11">
        <v>124.9</v>
      </c>
      <c r="O15" s="11">
        <v>194.14</v>
      </c>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907.76</v>
      </c>
      <c r="AB16" s="8" t="s">
        <v>23</v>
      </c>
      <c r="AC16" s="13">
        <f>SUM(X15:AC15)</f>
        <v>0</v>
      </c>
      <c r="AJ16" s="8" t="s">
        <v>23</v>
      </c>
      <c r="AK16" s="13">
        <f>SUM(AF15:AK15)</f>
        <v>0</v>
      </c>
    </row>
    <row r="17" spans="1:37" ht="15.75" thickBot="1" x14ac:dyDescent="0.3">
      <c r="A17" s="19"/>
      <c r="B17" s="83" t="s">
        <v>13</v>
      </c>
      <c r="C17" s="83"/>
      <c r="D17" s="83"/>
      <c r="E17" s="83"/>
      <c r="F17" s="83"/>
      <c r="G17" s="83"/>
      <c r="H17" s="83"/>
      <c r="J17" s="84" t="s">
        <v>13</v>
      </c>
      <c r="K17" s="84"/>
      <c r="L17" s="84"/>
      <c r="M17" s="84"/>
      <c r="N17" s="84"/>
      <c r="O17" s="84"/>
      <c r="P17" s="84"/>
      <c r="Q17" s="84"/>
      <c r="R17" s="84"/>
      <c r="S17" s="84"/>
      <c r="T17" s="84"/>
      <c r="U17" s="84"/>
      <c r="W17" s="85" t="str">
        <f>J17</f>
        <v>Março</v>
      </c>
      <c r="X17" s="85"/>
      <c r="Y17" s="85"/>
      <c r="Z17" s="85"/>
      <c r="AA17" s="85"/>
      <c r="AB17" s="85"/>
      <c r="AC17" s="85"/>
      <c r="AE17" s="86" t="str">
        <f>W17</f>
        <v>Março</v>
      </c>
      <c r="AF17" s="86"/>
      <c r="AG17" s="86"/>
      <c r="AH17" s="86"/>
      <c r="AI17" s="86"/>
      <c r="AJ17" s="86"/>
      <c r="AK17" s="86"/>
    </row>
    <row r="18" spans="1:37" ht="15.75" thickBot="1" x14ac:dyDescent="0.3">
      <c r="A18" s="87" t="s">
        <v>5</v>
      </c>
      <c r="B18" s="34" t="s">
        <v>6</v>
      </c>
      <c r="C18" s="22" t="s">
        <v>7</v>
      </c>
      <c r="D18" s="33" t="s">
        <v>8</v>
      </c>
      <c r="E18" s="22" t="s">
        <v>9</v>
      </c>
      <c r="F18" s="24" t="s">
        <v>10</v>
      </c>
      <c r="G18" s="23" t="s">
        <v>11</v>
      </c>
      <c r="H18" s="25" t="s">
        <v>12</v>
      </c>
      <c r="J18" s="6" t="s">
        <v>4</v>
      </c>
      <c r="K18" s="9">
        <v>45723</v>
      </c>
      <c r="L18" s="66">
        <v>45727</v>
      </c>
      <c r="M18" s="66">
        <v>45730</v>
      </c>
      <c r="N18" s="66">
        <v>45737</v>
      </c>
      <c r="O18" s="66">
        <v>45744</v>
      </c>
      <c r="P18" s="4"/>
      <c r="Q18" s="4"/>
      <c r="R18" s="4"/>
      <c r="S18" s="4"/>
      <c r="T18" s="4"/>
      <c r="U18" s="5"/>
      <c r="W18" s="6" t="s">
        <v>4</v>
      </c>
      <c r="X18" s="9">
        <v>45724</v>
      </c>
      <c r="Y18" s="66">
        <v>45731</v>
      </c>
      <c r="Z18" s="66">
        <v>45744</v>
      </c>
      <c r="AA18" s="4"/>
      <c r="AB18" s="4"/>
      <c r="AC18" s="5"/>
      <c r="AE18" s="6" t="s">
        <v>4</v>
      </c>
      <c r="AF18" s="9"/>
      <c r="AG18" s="4"/>
      <c r="AH18" s="4"/>
      <c r="AI18" s="4"/>
      <c r="AJ18" s="4"/>
      <c r="AK18" s="5"/>
    </row>
    <row r="19" spans="1:37" ht="15.75" thickBot="1" x14ac:dyDescent="0.3">
      <c r="A19" s="87"/>
      <c r="B19" s="27">
        <v>10519</v>
      </c>
      <c r="C19" s="27">
        <v>11119</v>
      </c>
      <c r="D19" s="27">
        <v>11119</v>
      </c>
      <c r="E19" s="27">
        <v>12346</v>
      </c>
      <c r="F19" s="27">
        <f>SUM(C19-B19)</f>
        <v>600</v>
      </c>
      <c r="G19" s="20">
        <f>SUM(E19-D19)</f>
        <v>1227</v>
      </c>
      <c r="H19" s="21">
        <f>SUM(F19:G19)</f>
        <v>1827</v>
      </c>
      <c r="J19" s="7" t="s">
        <v>22</v>
      </c>
      <c r="K19" s="10">
        <v>143.84</v>
      </c>
      <c r="L19" s="11">
        <v>101.96</v>
      </c>
      <c r="M19" s="11">
        <v>188.39</v>
      </c>
      <c r="N19" s="11">
        <v>264.45999999999998</v>
      </c>
      <c r="O19" s="11">
        <v>281.38</v>
      </c>
      <c r="P19" s="11"/>
      <c r="Q19" s="11"/>
      <c r="R19" s="11"/>
      <c r="S19" s="11"/>
      <c r="T19" s="11"/>
      <c r="U19" s="12"/>
      <c r="W19" s="7" t="s">
        <v>22</v>
      </c>
      <c r="X19" s="10">
        <v>60</v>
      </c>
      <c r="Y19" s="11">
        <v>60</v>
      </c>
      <c r="Z19" s="11">
        <v>60</v>
      </c>
      <c r="AA19" s="11"/>
      <c r="AB19" s="11"/>
      <c r="AC19" s="12"/>
      <c r="AE19" s="7" t="s">
        <v>22</v>
      </c>
      <c r="AF19" s="10"/>
      <c r="AG19" s="11"/>
      <c r="AH19" s="11"/>
      <c r="AI19" s="11"/>
      <c r="AJ19" s="11"/>
      <c r="AK19" s="12"/>
    </row>
    <row r="20" spans="1:37" x14ac:dyDescent="0.25">
      <c r="J20" s="8"/>
      <c r="T20" s="8" t="s">
        <v>23</v>
      </c>
      <c r="U20" s="13">
        <f>SUM(K19:U19)</f>
        <v>980.03</v>
      </c>
      <c r="AB20" s="8" t="s">
        <v>23</v>
      </c>
      <c r="AC20" s="13">
        <f>SUM(X19:AC19)</f>
        <v>180</v>
      </c>
      <c r="AJ20" s="8" t="s">
        <v>23</v>
      </c>
      <c r="AK20" s="13">
        <f>SUM(AF19:AK19)</f>
        <v>0</v>
      </c>
    </row>
    <row r="21" spans="1:37" ht="15.75" thickBot="1" x14ac:dyDescent="0.3">
      <c r="A21" s="19"/>
      <c r="B21" s="83" t="s">
        <v>14</v>
      </c>
      <c r="C21" s="83"/>
      <c r="D21" s="83"/>
      <c r="E21" s="83"/>
      <c r="F21" s="83"/>
      <c r="G21" s="83"/>
      <c r="H21" s="83"/>
      <c r="J21" s="84" t="s">
        <v>14</v>
      </c>
      <c r="K21" s="84"/>
      <c r="L21" s="84"/>
      <c r="M21" s="84"/>
      <c r="N21" s="84"/>
      <c r="O21" s="84"/>
      <c r="P21" s="84"/>
      <c r="Q21" s="84"/>
      <c r="R21" s="84"/>
      <c r="S21" s="84"/>
      <c r="T21" s="84"/>
      <c r="U21" s="84"/>
      <c r="W21" s="85" t="str">
        <f>J21</f>
        <v>Abril</v>
      </c>
      <c r="X21" s="85"/>
      <c r="Y21" s="85"/>
      <c r="Z21" s="85"/>
      <c r="AA21" s="85"/>
      <c r="AB21" s="85"/>
      <c r="AC21" s="85"/>
      <c r="AE21" s="86" t="str">
        <f>W21</f>
        <v>Abril</v>
      </c>
      <c r="AF21" s="86"/>
      <c r="AG21" s="86"/>
      <c r="AH21" s="86"/>
      <c r="AI21" s="86"/>
      <c r="AJ21" s="86"/>
      <c r="AK21" s="86"/>
    </row>
    <row r="22" spans="1:37" ht="15.75" thickBot="1" x14ac:dyDescent="0.3">
      <c r="A22" s="87" t="s">
        <v>5</v>
      </c>
      <c r="B22" s="34" t="s">
        <v>6</v>
      </c>
      <c r="C22" s="22" t="s">
        <v>7</v>
      </c>
      <c r="D22" s="33" t="s">
        <v>8</v>
      </c>
      <c r="E22" s="22" t="s">
        <v>9</v>
      </c>
      <c r="F22" s="24" t="s">
        <v>10</v>
      </c>
      <c r="G22" s="23" t="s">
        <v>11</v>
      </c>
      <c r="H22" s="25" t="s">
        <v>12</v>
      </c>
      <c r="J22" s="6" t="s">
        <v>4</v>
      </c>
      <c r="K22" s="9">
        <v>45748</v>
      </c>
      <c r="L22" s="66">
        <v>45755</v>
      </c>
      <c r="M22" s="66">
        <v>45758</v>
      </c>
      <c r="N22" s="66">
        <v>45762</v>
      </c>
      <c r="O22" s="66">
        <v>45769</v>
      </c>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87"/>
      <c r="B23" s="27">
        <v>12346</v>
      </c>
      <c r="C23" s="27">
        <v>13051</v>
      </c>
      <c r="D23" s="27">
        <v>13051</v>
      </c>
      <c r="E23" s="27">
        <v>13447</v>
      </c>
      <c r="F23" s="27">
        <f>SUM(C23-B23)</f>
        <v>705</v>
      </c>
      <c r="G23" s="20">
        <f>SUM(E23-D23)</f>
        <v>396</v>
      </c>
      <c r="H23" s="21">
        <f>SUM(F23:G23)</f>
        <v>1101</v>
      </c>
      <c r="J23" s="7" t="s">
        <v>22</v>
      </c>
      <c r="K23" s="30">
        <v>294.36</v>
      </c>
      <c r="L23" s="31">
        <v>196.02</v>
      </c>
      <c r="M23" s="31">
        <v>154.41</v>
      </c>
      <c r="N23" s="31">
        <v>133.6</v>
      </c>
      <c r="O23" s="31">
        <v>152.13</v>
      </c>
      <c r="P23" s="31"/>
      <c r="Q23" s="31"/>
      <c r="R23" s="31"/>
      <c r="S23" s="31"/>
      <c r="T23" s="31"/>
      <c r="U23" s="32"/>
      <c r="W23" s="7" t="s">
        <v>22</v>
      </c>
      <c r="X23" s="10"/>
      <c r="Y23" s="11"/>
      <c r="Z23" s="11"/>
      <c r="AA23" s="11"/>
      <c r="AB23" s="11"/>
      <c r="AC23" s="12"/>
      <c r="AE23" s="7" t="s">
        <v>22</v>
      </c>
      <c r="AF23" s="10"/>
      <c r="AG23" s="11"/>
      <c r="AH23" s="11"/>
      <c r="AI23" s="11"/>
      <c r="AJ23" s="11"/>
      <c r="AK23" s="12"/>
    </row>
    <row r="24" spans="1:37" x14ac:dyDescent="0.25">
      <c r="J24" s="8"/>
      <c r="T24" s="8" t="s">
        <v>23</v>
      </c>
      <c r="U24" s="13">
        <f>SUM(K23:U23)</f>
        <v>930.52</v>
      </c>
      <c r="AB24" s="8" t="s">
        <v>23</v>
      </c>
      <c r="AC24" s="13">
        <f>SUM(X23:AC23)</f>
        <v>0</v>
      </c>
      <c r="AJ24" s="8" t="s">
        <v>23</v>
      </c>
      <c r="AK24" s="13">
        <f>SUM(AF23:AK23)</f>
        <v>0</v>
      </c>
    </row>
    <row r="25" spans="1:37" ht="15.75" thickBot="1" x14ac:dyDescent="0.3">
      <c r="A25" s="19"/>
      <c r="B25" s="83" t="s">
        <v>15</v>
      </c>
      <c r="C25" s="83"/>
      <c r="D25" s="83"/>
      <c r="E25" s="83"/>
      <c r="F25" s="83"/>
      <c r="G25" s="83"/>
      <c r="H25" s="83"/>
      <c r="J25" s="84" t="s">
        <v>15</v>
      </c>
      <c r="K25" s="84"/>
      <c r="L25" s="84"/>
      <c r="M25" s="84"/>
      <c r="N25" s="84"/>
      <c r="O25" s="84"/>
      <c r="P25" s="84"/>
      <c r="Q25" s="84"/>
      <c r="R25" s="84"/>
      <c r="S25" s="84"/>
      <c r="T25" s="84"/>
      <c r="U25" s="84"/>
      <c r="W25" s="85" t="str">
        <f>J25</f>
        <v>Maio</v>
      </c>
      <c r="X25" s="85"/>
      <c r="Y25" s="85"/>
      <c r="Z25" s="85"/>
      <c r="AA25" s="85"/>
      <c r="AB25" s="85"/>
      <c r="AC25" s="85"/>
      <c r="AE25" s="86" t="str">
        <f>W25</f>
        <v>Maio</v>
      </c>
      <c r="AF25" s="86"/>
      <c r="AG25" s="86"/>
      <c r="AH25" s="86"/>
      <c r="AI25" s="86"/>
      <c r="AJ25" s="86"/>
      <c r="AK25" s="86"/>
    </row>
    <row r="26" spans="1:37" ht="15.75" thickBot="1" x14ac:dyDescent="0.3">
      <c r="A26" s="87" t="s">
        <v>5</v>
      </c>
      <c r="B26" s="34" t="s">
        <v>6</v>
      </c>
      <c r="C26" s="22" t="s">
        <v>7</v>
      </c>
      <c r="D26" s="33" t="s">
        <v>8</v>
      </c>
      <c r="E26" s="22" t="s">
        <v>9</v>
      </c>
      <c r="F26" s="24" t="s">
        <v>10</v>
      </c>
      <c r="G26" s="23" t="s">
        <v>11</v>
      </c>
      <c r="H26" s="25" t="s">
        <v>12</v>
      </c>
      <c r="J26" s="6" t="s">
        <v>4</v>
      </c>
      <c r="K26" s="9">
        <v>45783</v>
      </c>
      <c r="L26" s="66">
        <v>45790</v>
      </c>
      <c r="M26" s="66">
        <v>45797</v>
      </c>
      <c r="N26" s="66">
        <v>45804</v>
      </c>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87"/>
      <c r="B27" s="27">
        <v>13447</v>
      </c>
      <c r="C27" s="27">
        <v>13975</v>
      </c>
      <c r="D27" s="27">
        <v>13975</v>
      </c>
      <c r="E27" s="27">
        <v>14773</v>
      </c>
      <c r="F27" s="27">
        <f>SUM(C27-B27)</f>
        <v>528</v>
      </c>
      <c r="G27" s="20">
        <f>SUM(E27-D27)</f>
        <v>798</v>
      </c>
      <c r="H27" s="21">
        <f>SUM(F27:G27)</f>
        <v>1326</v>
      </c>
      <c r="J27" s="7" t="s">
        <v>22</v>
      </c>
      <c r="K27" s="10">
        <v>177.28</v>
      </c>
      <c r="L27" s="11">
        <v>187.07</v>
      </c>
      <c r="M27" s="11">
        <v>229.38</v>
      </c>
      <c r="N27" s="11">
        <v>244.61</v>
      </c>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838.34</v>
      </c>
      <c r="AB28" s="8" t="s">
        <v>23</v>
      </c>
      <c r="AC28" s="13">
        <f>SUM(X27:AC27)</f>
        <v>0</v>
      </c>
      <c r="AJ28" s="8" t="s">
        <v>23</v>
      </c>
      <c r="AK28" s="13">
        <f>SUM(AF27:AK27)</f>
        <v>0</v>
      </c>
    </row>
    <row r="29" spans="1:37" ht="15.75" thickBot="1" x14ac:dyDescent="0.3">
      <c r="A29" s="19"/>
      <c r="B29" s="83" t="s">
        <v>24</v>
      </c>
      <c r="C29" s="83"/>
      <c r="D29" s="83"/>
      <c r="E29" s="83"/>
      <c r="F29" s="83"/>
      <c r="G29" s="83"/>
      <c r="H29" s="83"/>
      <c r="J29" s="84" t="s">
        <v>24</v>
      </c>
      <c r="K29" s="84"/>
      <c r="L29" s="84"/>
      <c r="M29" s="84"/>
      <c r="N29" s="84"/>
      <c r="O29" s="84"/>
      <c r="P29" s="84"/>
      <c r="Q29" s="84"/>
      <c r="R29" s="84"/>
      <c r="S29" s="84"/>
      <c r="T29" s="84"/>
      <c r="U29" s="84"/>
      <c r="W29" s="85" t="str">
        <f>J29</f>
        <v>Junho</v>
      </c>
      <c r="X29" s="85"/>
      <c r="Y29" s="85"/>
      <c r="Z29" s="85"/>
      <c r="AA29" s="85"/>
      <c r="AB29" s="85"/>
      <c r="AC29" s="85"/>
      <c r="AE29" s="86" t="str">
        <f>W29</f>
        <v>Junho</v>
      </c>
      <c r="AF29" s="86"/>
      <c r="AG29" s="86"/>
      <c r="AH29" s="86"/>
      <c r="AI29" s="86"/>
      <c r="AJ29" s="86"/>
      <c r="AK29" s="86"/>
    </row>
    <row r="30" spans="1:37" ht="15.75" thickBot="1" x14ac:dyDescent="0.3">
      <c r="A30" s="87" t="s">
        <v>5</v>
      </c>
      <c r="B30" s="34" t="s">
        <v>6</v>
      </c>
      <c r="C30" s="22" t="s">
        <v>7</v>
      </c>
      <c r="D30" s="33" t="s">
        <v>8</v>
      </c>
      <c r="E30" s="22" t="s">
        <v>9</v>
      </c>
      <c r="F30" s="24" t="s">
        <v>10</v>
      </c>
      <c r="G30" s="23" t="s">
        <v>11</v>
      </c>
      <c r="H30" s="25" t="s">
        <v>12</v>
      </c>
      <c r="J30" s="6" t="s">
        <v>4</v>
      </c>
      <c r="K30" s="9">
        <v>45811</v>
      </c>
      <c r="L30" s="66">
        <v>45814</v>
      </c>
      <c r="M30" s="66">
        <v>45818</v>
      </c>
      <c r="N30" s="66">
        <v>45821</v>
      </c>
      <c r="O30" s="66">
        <v>45828</v>
      </c>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87"/>
      <c r="B31" s="27">
        <v>14773</v>
      </c>
      <c r="C31" s="27">
        <v>15474</v>
      </c>
      <c r="D31" s="27">
        <v>15474</v>
      </c>
      <c r="E31" s="27">
        <v>17336</v>
      </c>
      <c r="F31" s="27">
        <f>SUM(C31-B31)</f>
        <v>701</v>
      </c>
      <c r="G31" s="20">
        <f>SUM(E31-D31)</f>
        <v>1862</v>
      </c>
      <c r="H31" s="21">
        <f>SUM(F31:G31)</f>
        <v>2563</v>
      </c>
      <c r="J31" s="7" t="s">
        <v>22</v>
      </c>
      <c r="K31" s="10">
        <v>199.1</v>
      </c>
      <c r="L31" s="11">
        <v>161.28</v>
      </c>
      <c r="M31" s="11">
        <v>93.63</v>
      </c>
      <c r="N31" s="11">
        <v>115.2</v>
      </c>
      <c r="O31" s="11">
        <v>279.3</v>
      </c>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848.51</v>
      </c>
      <c r="AB32" s="8" t="s">
        <v>23</v>
      </c>
      <c r="AC32" s="13">
        <f>SUM(X31:AC31)</f>
        <v>0</v>
      </c>
      <c r="AJ32" s="8" t="s">
        <v>23</v>
      </c>
      <c r="AK32" s="13">
        <f>SUM(AF31:AK31)</f>
        <v>0</v>
      </c>
    </row>
    <row r="33" spans="1:37" ht="15.75" thickBot="1" x14ac:dyDescent="0.3">
      <c r="A33" s="19"/>
      <c r="B33" s="83" t="s">
        <v>16</v>
      </c>
      <c r="C33" s="83"/>
      <c r="D33" s="83"/>
      <c r="E33" s="83"/>
      <c r="F33" s="83"/>
      <c r="G33" s="83"/>
      <c r="H33" s="83"/>
      <c r="J33" s="84" t="s">
        <v>16</v>
      </c>
      <c r="K33" s="84"/>
      <c r="L33" s="84"/>
      <c r="M33" s="84"/>
      <c r="N33" s="84"/>
      <c r="O33" s="84"/>
      <c r="P33" s="84"/>
      <c r="Q33" s="84"/>
      <c r="R33" s="84"/>
      <c r="S33" s="84"/>
      <c r="T33" s="84"/>
      <c r="U33" s="84"/>
      <c r="W33" s="85" t="str">
        <f>J33</f>
        <v>Julho</v>
      </c>
      <c r="X33" s="85"/>
      <c r="Y33" s="85"/>
      <c r="Z33" s="85"/>
      <c r="AA33" s="85"/>
      <c r="AB33" s="85"/>
      <c r="AC33" s="85"/>
      <c r="AE33" s="86" t="str">
        <f>W33</f>
        <v>Julho</v>
      </c>
      <c r="AF33" s="86"/>
      <c r="AG33" s="86"/>
      <c r="AH33" s="86"/>
      <c r="AI33" s="86"/>
      <c r="AJ33" s="86"/>
      <c r="AK33" s="86"/>
    </row>
    <row r="34" spans="1:37" ht="15.75" thickBot="1" x14ac:dyDescent="0.3">
      <c r="A34" s="87" t="s">
        <v>5</v>
      </c>
      <c r="B34" s="34" t="s">
        <v>6</v>
      </c>
      <c r="C34" s="22" t="s">
        <v>7</v>
      </c>
      <c r="D34" s="33" t="s">
        <v>8</v>
      </c>
      <c r="E34" s="22" t="s">
        <v>9</v>
      </c>
      <c r="F34" s="24" t="s">
        <v>10</v>
      </c>
      <c r="G34" s="23" t="s">
        <v>11</v>
      </c>
      <c r="H34" s="25" t="s">
        <v>12</v>
      </c>
      <c r="J34" s="6" t="s">
        <v>4</v>
      </c>
      <c r="K34" s="9">
        <v>45839</v>
      </c>
      <c r="L34" s="66">
        <v>45849</v>
      </c>
      <c r="M34" s="66">
        <v>45856</v>
      </c>
      <c r="N34" s="66">
        <v>45860</v>
      </c>
      <c r="O34" s="66">
        <v>45863</v>
      </c>
      <c r="P34" s="66">
        <v>45867</v>
      </c>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87"/>
      <c r="B35" s="27">
        <v>17336</v>
      </c>
      <c r="C35" s="27">
        <v>18095</v>
      </c>
      <c r="D35" s="27">
        <v>18095</v>
      </c>
      <c r="E35" s="27">
        <v>18997</v>
      </c>
      <c r="F35" s="27">
        <f>SUM(C35-B35)</f>
        <v>759</v>
      </c>
      <c r="G35" s="20">
        <f>SUM(E35-D35)</f>
        <v>902</v>
      </c>
      <c r="H35" s="21">
        <f>SUM(F35:G35)</f>
        <v>1661</v>
      </c>
      <c r="J35" s="7" t="s">
        <v>22</v>
      </c>
      <c r="K35" s="10">
        <v>224.19</v>
      </c>
      <c r="L35" s="11">
        <v>290.48</v>
      </c>
      <c r="M35" s="11">
        <v>244.92</v>
      </c>
      <c r="N35" s="11">
        <v>102.43</v>
      </c>
      <c r="O35" s="11">
        <v>111.48</v>
      </c>
      <c r="P35" s="11">
        <v>132.28</v>
      </c>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1105.78</v>
      </c>
      <c r="AB36" s="8" t="s">
        <v>23</v>
      </c>
      <c r="AC36" s="13">
        <f>SUM(X35:AC35)</f>
        <v>0</v>
      </c>
      <c r="AJ36" s="8" t="s">
        <v>23</v>
      </c>
      <c r="AK36" s="13">
        <f>SUM(AF35:AK35)</f>
        <v>0</v>
      </c>
    </row>
    <row r="37" spans="1:37" ht="15.75" thickBot="1" x14ac:dyDescent="0.3">
      <c r="A37" s="19"/>
      <c r="B37" s="83" t="s">
        <v>17</v>
      </c>
      <c r="C37" s="83"/>
      <c r="D37" s="83"/>
      <c r="E37" s="83"/>
      <c r="F37" s="83"/>
      <c r="G37" s="83"/>
      <c r="H37" s="83"/>
      <c r="J37" s="84" t="s">
        <v>17</v>
      </c>
      <c r="K37" s="84"/>
      <c r="L37" s="84"/>
      <c r="M37" s="84"/>
      <c r="N37" s="84"/>
      <c r="O37" s="84"/>
      <c r="P37" s="84"/>
      <c r="Q37" s="84"/>
      <c r="R37" s="84"/>
      <c r="S37" s="84"/>
      <c r="T37" s="84"/>
      <c r="U37" s="84"/>
      <c r="W37" s="85" t="str">
        <f>J37</f>
        <v>Agosto</v>
      </c>
      <c r="X37" s="85"/>
      <c r="Y37" s="85"/>
      <c r="Z37" s="85"/>
      <c r="AA37" s="85"/>
      <c r="AB37" s="85"/>
      <c r="AC37" s="85"/>
      <c r="AE37" s="86" t="str">
        <f>W37</f>
        <v>Agosto</v>
      </c>
      <c r="AF37" s="86"/>
      <c r="AG37" s="86"/>
      <c r="AH37" s="86"/>
      <c r="AI37" s="86"/>
      <c r="AJ37" s="86"/>
      <c r="AK37" s="86"/>
    </row>
    <row r="38" spans="1:37" ht="15.75" thickBot="1" x14ac:dyDescent="0.3">
      <c r="A38" s="87" t="s">
        <v>5</v>
      </c>
      <c r="B38" s="34" t="s">
        <v>6</v>
      </c>
      <c r="C38" s="22" t="s">
        <v>7</v>
      </c>
      <c r="D38" s="33" t="s">
        <v>8</v>
      </c>
      <c r="E38" s="22" t="s">
        <v>9</v>
      </c>
      <c r="F38" s="24" t="s">
        <v>10</v>
      </c>
      <c r="G38" s="23" t="s">
        <v>11</v>
      </c>
      <c r="H38" s="25" t="s">
        <v>12</v>
      </c>
      <c r="J38" s="6" t="s">
        <v>4</v>
      </c>
      <c r="K38" s="9">
        <v>45877</v>
      </c>
      <c r="L38" s="66">
        <v>45884</v>
      </c>
      <c r="M38" s="66">
        <v>45891</v>
      </c>
      <c r="N38" s="66">
        <v>45898</v>
      </c>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87"/>
      <c r="B39" s="27">
        <v>18997</v>
      </c>
      <c r="C39" s="27">
        <v>19580</v>
      </c>
      <c r="D39" s="27">
        <v>19580</v>
      </c>
      <c r="E39" s="27">
        <v>20252</v>
      </c>
      <c r="F39" s="27">
        <f>SUM(C39-B39)</f>
        <v>583</v>
      </c>
      <c r="G39" s="20">
        <f>SUM(E39-D39)</f>
        <v>672</v>
      </c>
      <c r="H39" s="21">
        <f>SUM(F39:G39)</f>
        <v>1255</v>
      </c>
      <c r="J39" s="7" t="s">
        <v>22</v>
      </c>
      <c r="K39" s="10">
        <v>241.93</v>
      </c>
      <c r="L39" s="11">
        <v>228.6</v>
      </c>
      <c r="M39" s="11">
        <v>225.1</v>
      </c>
      <c r="N39" s="11">
        <v>169</v>
      </c>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864.63</v>
      </c>
      <c r="AB40" s="8" t="s">
        <v>23</v>
      </c>
      <c r="AC40" s="13">
        <f>SUM(X39:AC39)</f>
        <v>0</v>
      </c>
      <c r="AJ40" s="8" t="s">
        <v>23</v>
      </c>
      <c r="AK40" s="13">
        <f>SUM(AF39:AK39)</f>
        <v>0</v>
      </c>
    </row>
    <row r="41" spans="1:37" ht="15.75" thickBot="1" x14ac:dyDescent="0.3">
      <c r="A41" s="19"/>
      <c r="B41" s="83" t="s">
        <v>18</v>
      </c>
      <c r="C41" s="83"/>
      <c r="D41" s="83"/>
      <c r="E41" s="83"/>
      <c r="F41" s="83"/>
      <c r="G41" s="83"/>
      <c r="H41" s="83"/>
      <c r="J41" s="84" t="s">
        <v>18</v>
      </c>
      <c r="K41" s="84"/>
      <c r="L41" s="84"/>
      <c r="M41" s="84"/>
      <c r="N41" s="84"/>
      <c r="O41" s="84"/>
      <c r="P41" s="84"/>
      <c r="Q41" s="84"/>
      <c r="R41" s="84"/>
      <c r="S41" s="84"/>
      <c r="T41" s="84"/>
      <c r="U41" s="84"/>
      <c r="W41" s="85" t="str">
        <f>J41</f>
        <v>Setembro</v>
      </c>
      <c r="X41" s="85"/>
      <c r="Y41" s="85"/>
      <c r="Z41" s="85"/>
      <c r="AA41" s="85"/>
      <c r="AB41" s="85"/>
      <c r="AC41" s="85"/>
      <c r="AE41" s="86" t="str">
        <f>W41</f>
        <v>Setembro</v>
      </c>
      <c r="AF41" s="86"/>
      <c r="AG41" s="86"/>
      <c r="AH41" s="86"/>
      <c r="AI41" s="86"/>
      <c r="AJ41" s="86"/>
      <c r="AK41" s="86"/>
    </row>
    <row r="42" spans="1:37" ht="15.75" thickBot="1" x14ac:dyDescent="0.3">
      <c r="A42" s="87" t="s">
        <v>5</v>
      </c>
      <c r="B42" s="34" t="s">
        <v>6</v>
      </c>
      <c r="C42" s="22" t="s">
        <v>7</v>
      </c>
      <c r="D42" s="33" t="s">
        <v>8</v>
      </c>
      <c r="E42" s="22" t="s">
        <v>9</v>
      </c>
      <c r="F42" s="24" t="s">
        <v>10</v>
      </c>
      <c r="G42" s="23" t="s">
        <v>11</v>
      </c>
      <c r="H42" s="25" t="s">
        <v>12</v>
      </c>
      <c r="J42" s="6" t="s">
        <v>4</v>
      </c>
      <c r="K42" s="9">
        <v>45902</v>
      </c>
      <c r="L42" s="66">
        <v>45905</v>
      </c>
      <c r="M42" s="66">
        <v>45909</v>
      </c>
      <c r="N42" s="66">
        <v>45919</v>
      </c>
      <c r="O42" s="66">
        <v>45923</v>
      </c>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87"/>
      <c r="B43" s="27">
        <v>20252</v>
      </c>
      <c r="C43" s="27">
        <v>21459</v>
      </c>
      <c r="D43" s="27">
        <v>21459</v>
      </c>
      <c r="E43" s="27">
        <v>22445</v>
      </c>
      <c r="F43" s="27">
        <f>SUM(C43-B43)</f>
        <v>1207</v>
      </c>
      <c r="G43" s="20">
        <f>SUM(E43-D43)</f>
        <v>986</v>
      </c>
      <c r="H43" s="21">
        <f>SUM(F43:G43)</f>
        <v>2193</v>
      </c>
      <c r="J43" s="7" t="s">
        <v>22</v>
      </c>
      <c r="K43" s="10">
        <v>114.02</v>
      </c>
      <c r="L43" s="11">
        <v>133.58000000000001</v>
      </c>
      <c r="M43" s="11">
        <v>269.42</v>
      </c>
      <c r="N43" s="11">
        <v>262.27999999999997</v>
      </c>
      <c r="O43" s="11">
        <v>292.5</v>
      </c>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1071.8</v>
      </c>
      <c r="AB44" s="8" t="s">
        <v>23</v>
      </c>
      <c r="AC44" s="13">
        <f>SUM(X43:AC43)</f>
        <v>0</v>
      </c>
      <c r="AJ44" s="8" t="s">
        <v>23</v>
      </c>
      <c r="AK44" s="13">
        <f>SUM(AF43:AK43)</f>
        <v>0</v>
      </c>
    </row>
    <row r="45" spans="1:37" ht="15.75" thickBot="1" x14ac:dyDescent="0.3">
      <c r="A45" s="19"/>
      <c r="B45" s="83" t="s">
        <v>19</v>
      </c>
      <c r="C45" s="83"/>
      <c r="D45" s="83"/>
      <c r="E45" s="83"/>
      <c r="F45" s="83"/>
      <c r="G45" s="83"/>
      <c r="H45" s="83"/>
      <c r="J45" s="84" t="s">
        <v>19</v>
      </c>
      <c r="K45" s="84"/>
      <c r="L45" s="84"/>
      <c r="M45" s="84"/>
      <c r="N45" s="84"/>
      <c r="O45" s="84"/>
      <c r="P45" s="84"/>
      <c r="Q45" s="84"/>
      <c r="R45" s="84"/>
      <c r="S45" s="84"/>
      <c r="T45" s="84"/>
      <c r="U45" s="84"/>
      <c r="W45" s="85" t="str">
        <f>J45</f>
        <v>Outubro</v>
      </c>
      <c r="X45" s="85"/>
      <c r="Y45" s="85"/>
      <c r="Z45" s="85"/>
      <c r="AA45" s="85"/>
      <c r="AB45" s="85"/>
      <c r="AC45" s="85"/>
      <c r="AE45" s="86" t="str">
        <f>W45</f>
        <v>Outubro</v>
      </c>
      <c r="AF45" s="86"/>
      <c r="AG45" s="86"/>
      <c r="AH45" s="86"/>
      <c r="AI45" s="86"/>
      <c r="AJ45" s="86"/>
      <c r="AK45" s="86"/>
    </row>
    <row r="46" spans="1:37" ht="15.75" thickBot="1" x14ac:dyDescent="0.3">
      <c r="A46" s="87" t="s">
        <v>5</v>
      </c>
      <c r="B46" s="34" t="s">
        <v>6</v>
      </c>
      <c r="C46" s="22" t="s">
        <v>7</v>
      </c>
      <c r="D46" s="33" t="s">
        <v>8</v>
      </c>
      <c r="E46" s="22" t="s">
        <v>9</v>
      </c>
      <c r="F46" s="24" t="s">
        <v>10</v>
      </c>
      <c r="G46" s="23" t="s">
        <v>11</v>
      </c>
      <c r="H46" s="25" t="s">
        <v>12</v>
      </c>
      <c r="J46" s="6" t="s">
        <v>4</v>
      </c>
      <c r="K46" s="9">
        <v>45933</v>
      </c>
      <c r="L46" s="66">
        <v>45937</v>
      </c>
      <c r="M46" s="66">
        <v>45944</v>
      </c>
      <c r="N46" s="66">
        <v>45951</v>
      </c>
      <c r="O46" s="66">
        <v>45954</v>
      </c>
      <c r="P46" s="66">
        <v>45958</v>
      </c>
      <c r="Q46" s="66">
        <v>45961</v>
      </c>
      <c r="R46" s="4"/>
      <c r="S46" s="4"/>
      <c r="T46" s="4"/>
      <c r="U46" s="5"/>
      <c r="W46" s="6" t="s">
        <v>4</v>
      </c>
      <c r="X46" s="9"/>
      <c r="Y46" s="4"/>
      <c r="Z46" s="4"/>
      <c r="AA46" s="4"/>
      <c r="AB46" s="4"/>
      <c r="AC46" s="5"/>
      <c r="AE46" s="6" t="s">
        <v>4</v>
      </c>
      <c r="AF46" s="9"/>
      <c r="AG46" s="4"/>
      <c r="AH46" s="4"/>
      <c r="AI46" s="4"/>
      <c r="AJ46" s="4"/>
      <c r="AK46" s="5"/>
    </row>
    <row r="47" spans="1:37" ht="15.75" thickBot="1" x14ac:dyDescent="0.3">
      <c r="A47" s="87"/>
      <c r="B47" s="26">
        <v>22445</v>
      </c>
      <c r="C47" s="27">
        <v>23275</v>
      </c>
      <c r="D47" s="27">
        <v>23275</v>
      </c>
      <c r="E47" s="27">
        <v>24436</v>
      </c>
      <c r="F47" s="27">
        <f>SUM(C47-B47)</f>
        <v>830</v>
      </c>
      <c r="G47" s="20">
        <f>SUM(E47-D47)</f>
        <v>1161</v>
      </c>
      <c r="H47" s="21">
        <f>SUM(F47:G47)</f>
        <v>1991</v>
      </c>
      <c r="J47" s="7" t="s">
        <v>22</v>
      </c>
      <c r="K47" s="10">
        <v>290.49</v>
      </c>
      <c r="L47" s="11">
        <v>208.98</v>
      </c>
      <c r="M47" s="11">
        <v>276.31</v>
      </c>
      <c r="N47" s="11">
        <v>188.96</v>
      </c>
      <c r="O47" s="11">
        <v>184.98</v>
      </c>
      <c r="P47" s="11">
        <v>141.83000000000001</v>
      </c>
      <c r="Q47" s="11">
        <v>152.62</v>
      </c>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1444.17</v>
      </c>
      <c r="AB48" s="8" t="s">
        <v>23</v>
      </c>
      <c r="AC48" s="13">
        <f>SUM(X47:AC47)</f>
        <v>0</v>
      </c>
      <c r="AJ48" s="8" t="s">
        <v>23</v>
      </c>
      <c r="AK48" s="13">
        <f>SUM(AF47:AK47)</f>
        <v>0</v>
      </c>
    </row>
    <row r="49" spans="1:37" ht="15.75" thickBot="1" x14ac:dyDescent="0.3">
      <c r="A49" s="19"/>
      <c r="B49" s="83" t="s">
        <v>20</v>
      </c>
      <c r="C49" s="83"/>
      <c r="D49" s="83"/>
      <c r="E49" s="83"/>
      <c r="F49" s="83"/>
      <c r="G49" s="83"/>
      <c r="H49" s="83"/>
      <c r="J49" s="84" t="s">
        <v>20</v>
      </c>
      <c r="K49" s="84"/>
      <c r="L49" s="84"/>
      <c r="M49" s="84"/>
      <c r="N49" s="84"/>
      <c r="O49" s="84"/>
      <c r="P49" s="84"/>
      <c r="Q49" s="84"/>
      <c r="R49" s="84"/>
      <c r="S49" s="84"/>
      <c r="T49" s="84"/>
      <c r="U49" s="84"/>
      <c r="W49" s="85" t="str">
        <f>J49</f>
        <v>Novembro</v>
      </c>
      <c r="X49" s="85"/>
      <c r="Y49" s="85"/>
      <c r="Z49" s="85"/>
      <c r="AA49" s="85"/>
      <c r="AB49" s="85"/>
      <c r="AC49" s="85"/>
      <c r="AE49" s="86" t="str">
        <f>W49</f>
        <v>Novembro</v>
      </c>
      <c r="AF49" s="86"/>
      <c r="AG49" s="86"/>
      <c r="AH49" s="86"/>
      <c r="AI49" s="86"/>
      <c r="AJ49" s="86"/>
      <c r="AK49" s="86"/>
    </row>
    <row r="50" spans="1:37" ht="15.75" thickBot="1" x14ac:dyDescent="0.3">
      <c r="A50" s="87" t="s">
        <v>5</v>
      </c>
      <c r="B50" s="34" t="s">
        <v>6</v>
      </c>
      <c r="C50" s="22" t="s">
        <v>7</v>
      </c>
      <c r="D50" s="33" t="s">
        <v>8</v>
      </c>
      <c r="E50" s="22" t="s">
        <v>9</v>
      </c>
      <c r="F50" s="24" t="s">
        <v>10</v>
      </c>
      <c r="G50" s="23" t="s">
        <v>11</v>
      </c>
      <c r="H50" s="25" t="s">
        <v>12</v>
      </c>
      <c r="J50" s="6" t="s">
        <v>4</v>
      </c>
      <c r="K50" s="9">
        <v>45968</v>
      </c>
      <c r="L50" s="66">
        <v>45975</v>
      </c>
      <c r="M50" s="66">
        <v>45982</v>
      </c>
      <c r="N50" s="66">
        <v>45986</v>
      </c>
      <c r="O50" s="4"/>
      <c r="P50" s="4"/>
      <c r="Q50" s="4"/>
      <c r="R50" s="4"/>
      <c r="S50" s="4"/>
      <c r="T50" s="4"/>
      <c r="U50" s="5"/>
      <c r="W50" s="6" t="s">
        <v>4</v>
      </c>
      <c r="X50" s="9"/>
      <c r="Y50" s="4"/>
      <c r="Z50" s="4"/>
      <c r="AA50" s="4"/>
      <c r="AB50" s="4"/>
      <c r="AC50" s="5"/>
      <c r="AE50" s="6" t="s">
        <v>4</v>
      </c>
      <c r="AF50" s="9"/>
      <c r="AG50" s="4"/>
      <c r="AH50" s="4"/>
      <c r="AI50" s="4"/>
      <c r="AJ50" s="4"/>
      <c r="AK50" s="5"/>
    </row>
    <row r="51" spans="1:37" ht="15.75" thickBot="1" x14ac:dyDescent="0.3">
      <c r="A51" s="87"/>
      <c r="B51" s="27">
        <v>24436</v>
      </c>
      <c r="C51" s="27">
        <v>25804</v>
      </c>
      <c r="D51" s="27">
        <v>25804</v>
      </c>
      <c r="E51" s="27">
        <v>26486</v>
      </c>
      <c r="F51" s="27">
        <f>SUM(C51-B51)</f>
        <v>1368</v>
      </c>
      <c r="G51" s="20">
        <f>SUM(E51-D51)</f>
        <v>682</v>
      </c>
      <c r="H51" s="21">
        <f>SUM(F51:G51)</f>
        <v>2050</v>
      </c>
      <c r="J51" s="7" t="s">
        <v>22</v>
      </c>
      <c r="K51" s="10">
        <v>203.12</v>
      </c>
      <c r="L51" s="11">
        <v>242.64</v>
      </c>
      <c r="M51" s="11">
        <v>213.92</v>
      </c>
      <c r="N51" s="11">
        <v>117.38</v>
      </c>
      <c r="O51" s="11"/>
      <c r="P51" s="11"/>
      <c r="Q51" s="11"/>
      <c r="R51" s="11"/>
      <c r="S51" s="11"/>
      <c r="T51" s="11"/>
      <c r="U51" s="12"/>
      <c r="W51" s="7" t="s">
        <v>22</v>
      </c>
      <c r="X51" s="10"/>
      <c r="Y51" s="11"/>
      <c r="Z51" s="11"/>
      <c r="AA51" s="11"/>
      <c r="AB51" s="11"/>
      <c r="AC51" s="12"/>
      <c r="AE51" s="7" t="s">
        <v>22</v>
      </c>
      <c r="AF51" s="10"/>
      <c r="AG51" s="11"/>
      <c r="AH51" s="11"/>
      <c r="AI51" s="11"/>
      <c r="AJ51" s="11"/>
      <c r="AK51" s="12"/>
    </row>
    <row r="52" spans="1:37" x14ac:dyDescent="0.25">
      <c r="J52" s="8"/>
      <c r="T52" s="8" t="s">
        <v>23</v>
      </c>
      <c r="U52" s="13">
        <f>SUM(K51:U51)</f>
        <v>777.06</v>
      </c>
      <c r="AB52" s="8" t="s">
        <v>23</v>
      </c>
      <c r="AC52" s="13">
        <f>SUM(X51:AC51)</f>
        <v>0</v>
      </c>
      <c r="AJ52" s="8" t="s">
        <v>23</v>
      </c>
      <c r="AK52" s="13">
        <f>SUM(AF51:AK51)</f>
        <v>0</v>
      </c>
    </row>
    <row r="53" spans="1:37" ht="15.75" thickBot="1" x14ac:dyDescent="0.3">
      <c r="A53" s="19"/>
      <c r="B53" s="83" t="s">
        <v>21</v>
      </c>
      <c r="C53" s="83"/>
      <c r="D53" s="83"/>
      <c r="E53" s="83"/>
      <c r="F53" s="83"/>
      <c r="G53" s="83"/>
      <c r="H53" s="83"/>
      <c r="J53" s="84" t="s">
        <v>21</v>
      </c>
      <c r="K53" s="84"/>
      <c r="L53" s="84"/>
      <c r="M53" s="84"/>
      <c r="N53" s="84"/>
      <c r="O53" s="84"/>
      <c r="P53" s="84"/>
      <c r="Q53" s="84"/>
      <c r="R53" s="84"/>
      <c r="S53" s="84"/>
      <c r="T53" s="84"/>
      <c r="U53" s="84"/>
      <c r="W53" s="85" t="str">
        <f>J53</f>
        <v>Dezembro</v>
      </c>
      <c r="X53" s="85"/>
      <c r="Y53" s="85"/>
      <c r="Z53" s="85"/>
      <c r="AA53" s="85"/>
      <c r="AB53" s="85"/>
      <c r="AC53" s="85"/>
      <c r="AE53" s="86" t="str">
        <f>W53</f>
        <v>Dezembro</v>
      </c>
      <c r="AF53" s="86"/>
      <c r="AG53" s="86"/>
      <c r="AH53" s="86"/>
      <c r="AI53" s="86"/>
      <c r="AJ53" s="86"/>
      <c r="AK53" s="86"/>
    </row>
    <row r="54" spans="1:37" ht="15.75" thickBot="1" x14ac:dyDescent="0.3">
      <c r="A54" s="87"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W54" s="6" t="s">
        <v>4</v>
      </c>
      <c r="X54" s="9"/>
      <c r="Y54" s="4"/>
      <c r="Z54" s="4"/>
      <c r="AA54" s="4"/>
      <c r="AB54" s="4"/>
      <c r="AC54" s="5"/>
      <c r="AE54" s="6" t="s">
        <v>4</v>
      </c>
      <c r="AF54" s="9"/>
      <c r="AG54" s="4"/>
      <c r="AH54" s="4"/>
      <c r="AI54" s="4"/>
      <c r="AJ54" s="4"/>
      <c r="AK54" s="5"/>
    </row>
    <row r="55" spans="1:37" ht="15.75" thickBot="1" x14ac:dyDescent="0.3">
      <c r="A55" s="87"/>
      <c r="B55" s="27">
        <v>26476</v>
      </c>
      <c r="C55" s="27">
        <v>27156</v>
      </c>
      <c r="D55" s="27">
        <v>27156</v>
      </c>
      <c r="E55" s="27">
        <v>27241</v>
      </c>
      <c r="F55" s="27">
        <f>SUM(C55-B55)</f>
        <v>680</v>
      </c>
      <c r="G55" s="20">
        <f>SUM(E55-D55)</f>
        <v>85</v>
      </c>
      <c r="H55" s="21">
        <f>SUM(F55:G55)</f>
        <v>765</v>
      </c>
      <c r="J55" s="7" t="s">
        <v>22</v>
      </c>
      <c r="K55" s="10"/>
      <c r="L55" s="11"/>
      <c r="M55" s="11"/>
      <c r="N55" s="11"/>
      <c r="O55" s="11"/>
      <c r="P55" s="11"/>
      <c r="Q55" s="11"/>
      <c r="R55" s="11"/>
      <c r="S55" s="11"/>
      <c r="T55" s="11"/>
      <c r="U55" s="12"/>
      <c r="W55" s="7" t="s">
        <v>22</v>
      </c>
      <c r="X55" s="10"/>
      <c r="Y55" s="11"/>
      <c r="Z55" s="11"/>
      <c r="AA55" s="11"/>
      <c r="AB55" s="11"/>
      <c r="AC55" s="12"/>
      <c r="AE55" s="7" t="s">
        <v>22</v>
      </c>
      <c r="AF55" s="10"/>
      <c r="AG55" s="11"/>
      <c r="AH55" s="11"/>
      <c r="AI55" s="11"/>
      <c r="AJ55" s="11"/>
      <c r="AK55" s="12"/>
    </row>
    <row r="56" spans="1:37" x14ac:dyDescent="0.25">
      <c r="J56" s="8"/>
      <c r="T56" s="8" t="s">
        <v>23</v>
      </c>
      <c r="U56" s="13">
        <f>SUM(K55:U55)</f>
        <v>0</v>
      </c>
      <c r="AB56" s="8" t="s">
        <v>23</v>
      </c>
      <c r="AC56" s="13">
        <f>SUM(X55:AC55)</f>
        <v>0</v>
      </c>
      <c r="AJ56" s="8" t="s">
        <v>23</v>
      </c>
      <c r="AK56" s="13">
        <f>SUM(AF55:AK55)</f>
        <v>0</v>
      </c>
    </row>
    <row r="57" spans="1:37" ht="15.75" thickBot="1" x14ac:dyDescent="0.3">
      <c r="A57" s="19"/>
      <c r="B57" s="83" t="s">
        <v>83</v>
      </c>
      <c r="C57" s="83"/>
      <c r="D57" s="83"/>
      <c r="E57" s="83"/>
      <c r="F57" s="83"/>
      <c r="G57" s="83"/>
      <c r="H57" s="83"/>
      <c r="J57" s="84" t="s">
        <v>83</v>
      </c>
      <c r="K57" s="84"/>
      <c r="L57" s="84"/>
      <c r="M57" s="84"/>
      <c r="N57" s="84"/>
      <c r="O57" s="84"/>
      <c r="P57" s="84"/>
      <c r="Q57" s="84"/>
      <c r="R57" s="84"/>
      <c r="S57" s="84"/>
      <c r="T57" s="84"/>
      <c r="U57" s="84"/>
      <c r="W57" s="85" t="s">
        <v>83</v>
      </c>
      <c r="X57" s="85"/>
      <c r="Y57" s="85"/>
      <c r="Z57" s="85"/>
      <c r="AA57" s="85"/>
      <c r="AB57" s="85"/>
      <c r="AC57" s="85"/>
      <c r="AE57" s="86" t="s">
        <v>83</v>
      </c>
      <c r="AF57" s="86"/>
      <c r="AG57" s="86"/>
      <c r="AH57" s="86"/>
      <c r="AI57" s="86"/>
      <c r="AJ57" s="86"/>
      <c r="AK57" s="86"/>
    </row>
    <row r="58" spans="1:37" ht="15.75" thickBot="1" x14ac:dyDescent="0.3">
      <c r="A58" s="87" t="s">
        <v>5</v>
      </c>
      <c r="B58" s="34" t="s">
        <v>6</v>
      </c>
      <c r="C58" s="22" t="s">
        <v>7</v>
      </c>
      <c r="D58" s="33" t="s">
        <v>8</v>
      </c>
      <c r="E58" s="22" t="s">
        <v>9</v>
      </c>
      <c r="F58" s="24" t="s">
        <v>10</v>
      </c>
      <c r="G58" s="23" t="s">
        <v>11</v>
      </c>
      <c r="H58" s="25" t="s">
        <v>12</v>
      </c>
      <c r="J58" s="28" t="s">
        <v>4</v>
      </c>
      <c r="K58" s="9"/>
      <c r="L58" s="4"/>
      <c r="M58" s="4"/>
      <c r="N58" s="4"/>
      <c r="O58" s="4"/>
      <c r="P58" s="4"/>
      <c r="Q58" s="4"/>
      <c r="R58" s="4"/>
      <c r="S58" s="4"/>
      <c r="T58" s="4"/>
      <c r="U58" s="5"/>
      <c r="W58" s="6" t="s">
        <v>4</v>
      </c>
      <c r="X58" s="9"/>
      <c r="Y58" s="4"/>
      <c r="Z58" s="4"/>
      <c r="AA58" s="4"/>
      <c r="AB58" s="4"/>
      <c r="AC58" s="5"/>
      <c r="AE58" s="6" t="s">
        <v>4</v>
      </c>
      <c r="AF58" s="9"/>
      <c r="AG58" s="4"/>
      <c r="AH58" s="4"/>
      <c r="AI58" s="4"/>
      <c r="AJ58" s="4"/>
      <c r="AK58" s="5"/>
    </row>
    <row r="59" spans="1:37" ht="15.75" thickBot="1" x14ac:dyDescent="0.3">
      <c r="A59" s="87"/>
      <c r="B59" s="27">
        <v>27241</v>
      </c>
      <c r="C59" s="27"/>
      <c r="D59" s="27"/>
      <c r="E59" s="27">
        <v>29445</v>
      </c>
      <c r="F59" s="27">
        <f>SUM(C59-B59)</f>
        <v>-27241</v>
      </c>
      <c r="G59" s="20">
        <f>SUM(E59-D59)</f>
        <v>29445</v>
      </c>
      <c r="H59" s="21">
        <f>SUM(F59:G59)</f>
        <v>2204</v>
      </c>
      <c r="J59" s="29" t="s">
        <v>22</v>
      </c>
      <c r="K59" s="10"/>
      <c r="L59" s="11"/>
      <c r="M59" s="11"/>
      <c r="N59" s="11"/>
      <c r="O59" s="11"/>
      <c r="P59" s="11"/>
      <c r="Q59" s="11"/>
      <c r="R59" s="11"/>
      <c r="S59" s="11"/>
      <c r="T59" s="11"/>
      <c r="U59" s="12"/>
      <c r="W59" s="7" t="s">
        <v>22</v>
      </c>
      <c r="X59" s="10"/>
      <c r="Y59" s="11"/>
      <c r="Z59" s="11"/>
      <c r="AA59" s="11"/>
      <c r="AB59" s="11"/>
      <c r="AC59" s="12"/>
      <c r="AE59" s="7" t="s">
        <v>22</v>
      </c>
      <c r="AF59" s="10"/>
      <c r="AG59" s="11"/>
      <c r="AH59" s="11"/>
      <c r="AI59" s="11"/>
      <c r="AJ59" s="11"/>
      <c r="AK59" s="12"/>
    </row>
    <row r="60" spans="1:37" x14ac:dyDescent="0.25">
      <c r="J60" s="8"/>
      <c r="T60" s="8" t="s">
        <v>23</v>
      </c>
      <c r="U60" s="13">
        <f>SUM(K59:U59)</f>
        <v>0</v>
      </c>
      <c r="AB60" s="8" t="s">
        <v>23</v>
      </c>
      <c r="AC60" s="13">
        <f>SUM(X59:AC59)</f>
        <v>0</v>
      </c>
      <c r="AJ60" s="8" t="s">
        <v>23</v>
      </c>
      <c r="AK60" s="13">
        <f>SUM(AF59:AK59)</f>
        <v>0</v>
      </c>
    </row>
    <row r="61" spans="1:37" ht="15.75" thickBot="1" x14ac:dyDescent="0.3">
      <c r="A61" s="19"/>
      <c r="B61" s="83" t="s">
        <v>3</v>
      </c>
      <c r="C61" s="83"/>
      <c r="D61" s="83"/>
      <c r="E61" s="83"/>
      <c r="F61" s="83"/>
      <c r="G61" s="83"/>
      <c r="H61" s="83"/>
      <c r="J61" s="84" t="s">
        <v>3</v>
      </c>
      <c r="K61" s="84"/>
      <c r="L61" s="84"/>
      <c r="M61" s="84"/>
      <c r="N61" s="84"/>
      <c r="O61" s="84"/>
      <c r="P61" s="84"/>
      <c r="Q61" s="84"/>
      <c r="R61" s="84"/>
      <c r="S61" s="84"/>
      <c r="T61" s="84"/>
      <c r="U61" s="84"/>
      <c r="W61" s="85" t="s">
        <v>3</v>
      </c>
      <c r="X61" s="85"/>
      <c r="Y61" s="85"/>
      <c r="Z61" s="85"/>
      <c r="AA61" s="85"/>
      <c r="AB61" s="85"/>
      <c r="AC61" s="85"/>
      <c r="AE61" s="86" t="s">
        <v>3</v>
      </c>
      <c r="AF61" s="86"/>
      <c r="AG61" s="86"/>
      <c r="AH61" s="86"/>
      <c r="AI61" s="86"/>
      <c r="AJ61" s="86"/>
      <c r="AK61" s="86"/>
    </row>
    <row r="62" spans="1:37" ht="15.75" thickBot="1" x14ac:dyDescent="0.3">
      <c r="A62" s="87" t="s">
        <v>5</v>
      </c>
      <c r="B62" s="34" t="s">
        <v>6</v>
      </c>
      <c r="C62" s="22" t="s">
        <v>7</v>
      </c>
      <c r="D62" s="33" t="s">
        <v>8</v>
      </c>
      <c r="E62" s="22" t="s">
        <v>9</v>
      </c>
      <c r="F62" s="24" t="s">
        <v>10</v>
      </c>
      <c r="G62" s="23" t="s">
        <v>11</v>
      </c>
      <c r="H62" s="25" t="s">
        <v>12</v>
      </c>
      <c r="J62" s="28" t="s">
        <v>4</v>
      </c>
      <c r="K62" s="9"/>
      <c r="L62" s="66"/>
      <c r="M62" s="66"/>
      <c r="N62" s="4"/>
      <c r="O62" s="4"/>
      <c r="P62" s="4"/>
      <c r="Q62" s="4"/>
      <c r="R62" s="4"/>
      <c r="S62" s="4"/>
      <c r="T62" s="4"/>
      <c r="U62" s="5"/>
      <c r="W62" s="6" t="s">
        <v>4</v>
      </c>
      <c r="X62" s="9"/>
      <c r="Y62" s="4"/>
      <c r="Z62" s="4"/>
      <c r="AA62" s="4"/>
      <c r="AB62" s="4"/>
      <c r="AC62" s="5"/>
      <c r="AE62" s="6" t="s">
        <v>4</v>
      </c>
      <c r="AF62" s="9"/>
      <c r="AG62" s="4"/>
      <c r="AH62" s="4"/>
      <c r="AI62" s="4"/>
      <c r="AJ62" s="4"/>
      <c r="AK62" s="5"/>
    </row>
    <row r="63" spans="1:37" ht="15.75" thickBot="1" x14ac:dyDescent="0.3">
      <c r="A63" s="87"/>
      <c r="B63" s="27">
        <v>29445</v>
      </c>
      <c r="C63" s="27"/>
      <c r="D63" s="27"/>
      <c r="E63" s="27">
        <v>30320</v>
      </c>
      <c r="F63" s="27">
        <f>SUM(C63-B63)</f>
        <v>-29445</v>
      </c>
      <c r="G63" s="20">
        <f>SUM(E63-D63)</f>
        <v>30320</v>
      </c>
      <c r="H63" s="21">
        <f>SUM(F63:G63)</f>
        <v>875</v>
      </c>
      <c r="J63" s="29" t="s">
        <v>22</v>
      </c>
      <c r="K63" s="10"/>
      <c r="L63" s="11"/>
      <c r="M63" s="11"/>
      <c r="N63" s="11"/>
      <c r="O63" s="11"/>
      <c r="P63" s="11"/>
      <c r="Q63" s="11"/>
      <c r="R63" s="11"/>
      <c r="S63" s="11"/>
      <c r="T63" s="11"/>
      <c r="U63" s="12"/>
      <c r="W63" s="7" t="s">
        <v>22</v>
      </c>
      <c r="X63" s="10"/>
      <c r="Y63" s="11"/>
      <c r="Z63" s="11"/>
      <c r="AA63" s="11"/>
      <c r="AB63" s="11"/>
      <c r="AC63" s="12"/>
      <c r="AE63" s="7" t="s">
        <v>22</v>
      </c>
      <c r="AF63" s="10"/>
      <c r="AG63" s="11"/>
      <c r="AH63" s="11"/>
      <c r="AI63" s="11"/>
      <c r="AJ63" s="11"/>
      <c r="AK63" s="12"/>
    </row>
    <row r="64" spans="1:37" x14ac:dyDescent="0.25">
      <c r="J64" s="8"/>
      <c r="T64" s="8" t="s">
        <v>23</v>
      </c>
      <c r="U64" s="13">
        <f>SUM(K63:U63)</f>
        <v>0</v>
      </c>
      <c r="AB64" s="8" t="s">
        <v>23</v>
      </c>
      <c r="AC64" s="13">
        <f>SUM(X63:AC63)</f>
        <v>0</v>
      </c>
      <c r="AJ64" s="8" t="s">
        <v>23</v>
      </c>
      <c r="AK64" s="13">
        <f>SUM(AF63:AK63)</f>
        <v>0</v>
      </c>
    </row>
    <row r="65" spans="1:37" ht="15.75" thickBot="1" x14ac:dyDescent="0.3">
      <c r="A65" s="71" t="s">
        <v>91</v>
      </c>
      <c r="B65" s="83" t="s">
        <v>13</v>
      </c>
      <c r="C65" s="83"/>
      <c r="D65" s="83"/>
      <c r="E65" s="83"/>
      <c r="F65" s="83"/>
      <c r="G65" s="83"/>
      <c r="H65" s="83"/>
      <c r="J65" s="84" t="s">
        <v>13</v>
      </c>
      <c r="K65" s="84"/>
      <c r="L65" s="84"/>
      <c r="M65" s="84"/>
      <c r="N65" s="84"/>
      <c r="O65" s="84"/>
      <c r="P65" s="84"/>
      <c r="Q65" s="84"/>
      <c r="R65" s="84"/>
      <c r="S65" s="84"/>
      <c r="T65" s="84"/>
      <c r="U65" s="84"/>
      <c r="W65" s="85" t="str">
        <f>J65</f>
        <v>Março</v>
      </c>
      <c r="X65" s="85"/>
      <c r="Y65" s="85"/>
      <c r="Z65" s="85"/>
      <c r="AA65" s="85"/>
      <c r="AB65" s="85"/>
      <c r="AC65" s="85"/>
      <c r="AE65" s="86" t="str">
        <f>W65</f>
        <v>Março</v>
      </c>
      <c r="AF65" s="86"/>
      <c r="AG65" s="86"/>
      <c r="AH65" s="86"/>
      <c r="AI65" s="86"/>
      <c r="AJ65" s="86"/>
      <c r="AK65" s="86"/>
    </row>
    <row r="66" spans="1:37" ht="15.75" thickBot="1" x14ac:dyDescent="0.3">
      <c r="A66" s="87" t="s">
        <v>5</v>
      </c>
      <c r="B66" s="34" t="s">
        <v>6</v>
      </c>
      <c r="C66" s="22" t="s">
        <v>7</v>
      </c>
      <c r="D66" s="33" t="s">
        <v>8</v>
      </c>
      <c r="E66" s="22" t="s">
        <v>9</v>
      </c>
      <c r="F66" s="24" t="s">
        <v>10</v>
      </c>
      <c r="G66" s="23" t="s">
        <v>11</v>
      </c>
      <c r="H66" s="25" t="s">
        <v>12</v>
      </c>
      <c r="J66" s="6" t="s">
        <v>4</v>
      </c>
      <c r="K66" s="9"/>
      <c r="L66" s="66"/>
      <c r="M66" s="66"/>
      <c r="N66" s="4"/>
      <c r="O66" s="4"/>
      <c r="P66" s="4"/>
      <c r="Q66" s="4"/>
      <c r="R66" s="4"/>
      <c r="S66" s="4"/>
      <c r="T66" s="4"/>
      <c r="U66" s="5"/>
      <c r="W66" s="6" t="s">
        <v>4</v>
      </c>
      <c r="X66" s="9"/>
      <c r="Y66" s="4"/>
      <c r="Z66" s="4"/>
      <c r="AA66" s="4"/>
      <c r="AB66" s="4"/>
      <c r="AC66" s="5"/>
      <c r="AE66" s="6" t="s">
        <v>4</v>
      </c>
      <c r="AF66" s="9"/>
      <c r="AG66" s="4"/>
      <c r="AH66" s="4"/>
      <c r="AI66" s="4"/>
      <c r="AJ66" s="4"/>
      <c r="AK66" s="5"/>
    </row>
    <row r="67" spans="1:37" ht="15.75" thickBot="1" x14ac:dyDescent="0.3">
      <c r="A67" s="87"/>
      <c r="B67" s="26">
        <v>30320</v>
      </c>
      <c r="C67" s="27">
        <v>31871</v>
      </c>
      <c r="D67" s="27">
        <v>31871</v>
      </c>
      <c r="E67" s="27">
        <v>32852</v>
      </c>
      <c r="F67" s="27">
        <f>SUM(C67-B67)</f>
        <v>1551</v>
      </c>
      <c r="G67" s="20">
        <f>SUM(E67-D67)</f>
        <v>981</v>
      </c>
      <c r="H67" s="21">
        <f>SUM(F67:G67)</f>
        <v>2532</v>
      </c>
      <c r="J67" s="7" t="s">
        <v>22</v>
      </c>
      <c r="K67" s="10"/>
      <c r="L67" s="11"/>
      <c r="M67" s="11"/>
      <c r="N67" s="11"/>
      <c r="O67" s="11"/>
      <c r="P67" s="11"/>
      <c r="Q67" s="11"/>
      <c r="R67" s="11"/>
      <c r="S67" s="11"/>
      <c r="T67" s="11"/>
      <c r="U67" s="12"/>
      <c r="W67" s="7" t="s">
        <v>22</v>
      </c>
      <c r="X67" s="10"/>
      <c r="Y67" s="11"/>
      <c r="Z67" s="11"/>
      <c r="AA67" s="11"/>
      <c r="AB67" s="11"/>
      <c r="AC67" s="12"/>
      <c r="AE67" s="7" t="s">
        <v>22</v>
      </c>
      <c r="AF67" s="10"/>
      <c r="AG67" s="11"/>
      <c r="AH67" s="11"/>
      <c r="AI67" s="11"/>
      <c r="AJ67" s="11"/>
      <c r="AK67" s="12"/>
    </row>
    <row r="68" spans="1:37" x14ac:dyDescent="0.25">
      <c r="J68" s="8"/>
      <c r="T68" s="8" t="s">
        <v>23</v>
      </c>
      <c r="U68" s="13">
        <f>SUM(K67:U67)</f>
        <v>0</v>
      </c>
      <c r="AB68" s="8" t="s">
        <v>23</v>
      </c>
      <c r="AC68" s="13">
        <f>SUM(X67:AC67)</f>
        <v>0</v>
      </c>
      <c r="AJ68" s="8" t="s">
        <v>23</v>
      </c>
      <c r="AK68" s="13">
        <f>SUM(AF67:AK67)</f>
        <v>0</v>
      </c>
    </row>
    <row r="69" spans="1:37" ht="15.75" thickBot="1" x14ac:dyDescent="0.3">
      <c r="A69" s="71" t="s">
        <v>99</v>
      </c>
      <c r="B69" s="83" t="s">
        <v>121</v>
      </c>
      <c r="C69" s="83"/>
      <c r="D69" s="83"/>
      <c r="E69" s="83"/>
      <c r="F69" s="83"/>
      <c r="G69" s="83"/>
      <c r="H69" s="83"/>
      <c r="J69" s="84" t="s">
        <v>14</v>
      </c>
      <c r="K69" s="84"/>
      <c r="L69" s="84"/>
      <c r="M69" s="84"/>
      <c r="N69" s="84"/>
      <c r="O69" s="84"/>
      <c r="P69" s="84"/>
      <c r="Q69" s="84"/>
      <c r="R69" s="84"/>
      <c r="S69" s="84"/>
      <c r="T69" s="84"/>
      <c r="U69" s="84"/>
      <c r="W69" s="85" t="str">
        <f>J69</f>
        <v>Abril</v>
      </c>
      <c r="X69" s="85"/>
      <c r="Y69" s="85"/>
      <c r="Z69" s="85"/>
      <c r="AA69" s="85"/>
      <c r="AB69" s="85"/>
      <c r="AC69" s="85"/>
      <c r="AE69" s="86" t="str">
        <f>W69</f>
        <v>Abril</v>
      </c>
      <c r="AF69" s="86"/>
      <c r="AG69" s="86"/>
      <c r="AH69" s="86"/>
      <c r="AI69" s="86"/>
      <c r="AJ69" s="86"/>
      <c r="AK69" s="86"/>
    </row>
    <row r="70" spans="1:37" ht="15.75" thickBot="1" x14ac:dyDescent="0.3">
      <c r="A70" s="87"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W70" s="6" t="s">
        <v>4</v>
      </c>
      <c r="X70" s="9"/>
      <c r="Y70" s="4"/>
      <c r="Z70" s="4"/>
      <c r="AA70" s="4"/>
      <c r="AB70" s="4"/>
      <c r="AC70" s="5"/>
      <c r="AE70" s="6" t="s">
        <v>4</v>
      </c>
      <c r="AF70" s="9"/>
      <c r="AG70" s="4"/>
      <c r="AH70" s="4"/>
      <c r="AI70" s="4"/>
      <c r="AJ70" s="4"/>
      <c r="AK70" s="5"/>
    </row>
    <row r="71" spans="1:37" ht="15.75" thickBot="1" x14ac:dyDescent="0.3">
      <c r="A71" s="87"/>
      <c r="B71" s="26">
        <v>39895</v>
      </c>
      <c r="C71" s="27"/>
      <c r="D71" s="27"/>
      <c r="E71" s="27">
        <v>42111</v>
      </c>
      <c r="F71" s="27">
        <f>SUM(C71-B71)</f>
        <v>-39895</v>
      </c>
      <c r="G71" s="20">
        <f>SUM(E71-D71)</f>
        <v>42111</v>
      </c>
      <c r="H71" s="21">
        <f>SUM(F71:G71)</f>
        <v>2216</v>
      </c>
      <c r="J71" s="7" t="s">
        <v>22</v>
      </c>
      <c r="K71" s="30"/>
      <c r="L71" s="31"/>
      <c r="M71" s="31"/>
      <c r="N71" s="31"/>
      <c r="O71" s="31"/>
      <c r="P71" s="31"/>
      <c r="Q71" s="31"/>
      <c r="R71" s="31"/>
      <c r="S71" s="31"/>
      <c r="T71" s="31"/>
      <c r="U71" s="32"/>
      <c r="W71" s="7" t="s">
        <v>22</v>
      </c>
      <c r="X71" s="10"/>
      <c r="Y71" s="11"/>
      <c r="Z71" s="11"/>
      <c r="AA71" s="11"/>
      <c r="AB71" s="11"/>
      <c r="AC71" s="12"/>
      <c r="AE71" s="7" t="s">
        <v>22</v>
      </c>
      <c r="AF71" s="10"/>
      <c r="AG71" s="11"/>
      <c r="AH71" s="11"/>
      <c r="AI71" s="11"/>
      <c r="AJ71" s="11"/>
      <c r="AK71" s="12"/>
    </row>
    <row r="72" spans="1:37" x14ac:dyDescent="0.25">
      <c r="J72" s="8"/>
      <c r="T72" s="8" t="s">
        <v>23</v>
      </c>
      <c r="U72" s="13">
        <f>SUM(K71:U71)</f>
        <v>0</v>
      </c>
      <c r="AB72" s="8" t="s">
        <v>23</v>
      </c>
      <c r="AC72" s="13">
        <f>SUM(X71:AC71)</f>
        <v>0</v>
      </c>
      <c r="AJ72" s="8" t="s">
        <v>23</v>
      </c>
      <c r="AK72" s="13">
        <f>SUM(AF71:AK71)</f>
        <v>0</v>
      </c>
    </row>
    <row r="73" spans="1:37" ht="15.75" thickBot="1" x14ac:dyDescent="0.3">
      <c r="A73" s="19"/>
      <c r="B73" s="83" t="s">
        <v>15</v>
      </c>
      <c r="C73" s="83"/>
      <c r="D73" s="83"/>
      <c r="E73" s="83"/>
      <c r="F73" s="83"/>
      <c r="G73" s="83"/>
      <c r="H73" s="83"/>
      <c r="J73" s="84" t="s">
        <v>15</v>
      </c>
      <c r="K73" s="84"/>
      <c r="L73" s="84"/>
      <c r="M73" s="84"/>
      <c r="N73" s="84"/>
      <c r="O73" s="84"/>
      <c r="P73" s="84"/>
      <c r="Q73" s="84"/>
      <c r="R73" s="84"/>
      <c r="S73" s="84"/>
      <c r="T73" s="84"/>
      <c r="U73" s="84"/>
      <c r="W73" s="85" t="str">
        <f>J73</f>
        <v>Maio</v>
      </c>
      <c r="X73" s="85"/>
      <c r="Y73" s="85"/>
      <c r="Z73" s="85"/>
      <c r="AA73" s="85"/>
      <c r="AB73" s="85"/>
      <c r="AC73" s="85"/>
      <c r="AE73" s="86" t="str">
        <f>W73</f>
        <v>Maio</v>
      </c>
      <c r="AF73" s="86"/>
      <c r="AG73" s="86"/>
      <c r="AH73" s="86"/>
      <c r="AI73" s="86"/>
      <c r="AJ73" s="86"/>
      <c r="AK73" s="86"/>
    </row>
    <row r="74" spans="1:37" ht="15.75" thickBot="1" x14ac:dyDescent="0.3">
      <c r="A74" s="87"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W74" s="6" t="s">
        <v>4</v>
      </c>
      <c r="X74" s="9"/>
      <c r="Y74" s="4"/>
      <c r="Z74" s="4"/>
      <c r="AA74" s="4"/>
      <c r="AB74" s="4"/>
      <c r="AC74" s="5"/>
      <c r="AE74" s="6" t="s">
        <v>4</v>
      </c>
      <c r="AF74" s="9"/>
      <c r="AG74" s="4"/>
      <c r="AH74" s="4"/>
      <c r="AI74" s="4"/>
      <c r="AJ74" s="4"/>
      <c r="AK74" s="5"/>
    </row>
    <row r="75" spans="1:37" ht="15.75" thickBot="1" x14ac:dyDescent="0.3">
      <c r="A75" s="87"/>
      <c r="B75" s="26"/>
      <c r="C75" s="27"/>
      <c r="D75" s="27"/>
      <c r="E75" s="27"/>
      <c r="F75" s="27">
        <f>SUM(C75-B75)</f>
        <v>0</v>
      </c>
      <c r="G75" s="20">
        <f>SUM(E75-D75)</f>
        <v>0</v>
      </c>
      <c r="H75" s="21">
        <f>SUM(F75:G75)</f>
        <v>0</v>
      </c>
      <c r="J75" s="7" t="s">
        <v>22</v>
      </c>
      <c r="K75" s="10"/>
      <c r="L75" s="11"/>
      <c r="M75" s="11"/>
      <c r="N75" s="11"/>
      <c r="O75" s="11"/>
      <c r="P75" s="11"/>
      <c r="Q75" s="11"/>
      <c r="R75" s="11"/>
      <c r="S75" s="11"/>
      <c r="T75" s="11"/>
      <c r="U75" s="12"/>
      <c r="W75" s="7" t="s">
        <v>22</v>
      </c>
      <c r="X75" s="10"/>
      <c r="Y75" s="11"/>
      <c r="Z75" s="11"/>
      <c r="AA75" s="11"/>
      <c r="AB75" s="11"/>
      <c r="AC75" s="12"/>
      <c r="AE75" s="7" t="s">
        <v>22</v>
      </c>
      <c r="AF75" s="10"/>
      <c r="AG75" s="11"/>
      <c r="AH75" s="11"/>
      <c r="AI75" s="11"/>
      <c r="AJ75" s="11"/>
      <c r="AK75" s="12"/>
    </row>
    <row r="76" spans="1:37" x14ac:dyDescent="0.25">
      <c r="J76" s="8"/>
      <c r="T76" s="8" t="s">
        <v>23</v>
      </c>
      <c r="U76" s="13">
        <f>SUM(K75:U75)</f>
        <v>0</v>
      </c>
      <c r="AB76" s="8" t="s">
        <v>23</v>
      </c>
      <c r="AC76" s="13">
        <f>SUM(X75:AC75)</f>
        <v>0</v>
      </c>
      <c r="AJ76" s="8" t="s">
        <v>23</v>
      </c>
      <c r="AK76" s="13">
        <f>SUM(AF75:AK75)</f>
        <v>0</v>
      </c>
    </row>
    <row r="77" spans="1:37" ht="15.75" thickBot="1" x14ac:dyDescent="0.3">
      <c r="A77" s="19"/>
      <c r="B77" s="83" t="s">
        <v>24</v>
      </c>
      <c r="C77" s="83"/>
      <c r="D77" s="83"/>
      <c r="E77" s="83"/>
      <c r="F77" s="83"/>
      <c r="G77" s="83"/>
      <c r="H77" s="83"/>
      <c r="J77" s="84" t="s">
        <v>24</v>
      </c>
      <c r="K77" s="84"/>
      <c r="L77" s="84"/>
      <c r="M77" s="84"/>
      <c r="N77" s="84"/>
      <c r="O77" s="84"/>
      <c r="P77" s="84"/>
      <c r="Q77" s="84"/>
      <c r="R77" s="84"/>
      <c r="S77" s="84"/>
      <c r="T77" s="84"/>
      <c r="U77" s="84"/>
      <c r="W77" s="85" t="str">
        <f>J77</f>
        <v>Junho</v>
      </c>
      <c r="X77" s="85"/>
      <c r="Y77" s="85"/>
      <c r="Z77" s="85"/>
      <c r="AA77" s="85"/>
      <c r="AB77" s="85"/>
      <c r="AC77" s="85"/>
      <c r="AE77" s="86" t="str">
        <f>W77</f>
        <v>Junho</v>
      </c>
      <c r="AF77" s="86"/>
      <c r="AG77" s="86"/>
      <c r="AH77" s="86"/>
      <c r="AI77" s="86"/>
      <c r="AJ77" s="86"/>
      <c r="AK77" s="86"/>
    </row>
    <row r="78" spans="1:37" ht="15.75" thickBot="1" x14ac:dyDescent="0.3">
      <c r="A78" s="87"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W78" s="6" t="s">
        <v>4</v>
      </c>
      <c r="X78" s="9"/>
      <c r="Y78" s="4"/>
      <c r="Z78" s="4"/>
      <c r="AA78" s="4"/>
      <c r="AB78" s="4"/>
      <c r="AC78" s="5"/>
      <c r="AE78" s="6" t="s">
        <v>4</v>
      </c>
      <c r="AF78" s="9"/>
      <c r="AG78" s="4"/>
      <c r="AH78" s="4"/>
      <c r="AI78" s="4"/>
      <c r="AJ78" s="4"/>
      <c r="AK78" s="5"/>
    </row>
    <row r="79" spans="1:37" ht="15.75" thickBot="1" x14ac:dyDescent="0.3">
      <c r="A79" s="87"/>
      <c r="B79" s="26"/>
      <c r="C79" s="27"/>
      <c r="D79" s="27"/>
      <c r="E79" s="27"/>
      <c r="F79" s="27">
        <f>SUM(C79-B79)</f>
        <v>0</v>
      </c>
      <c r="G79" s="20">
        <f>SUM(E79-D79)</f>
        <v>0</v>
      </c>
      <c r="H79" s="21">
        <f>SUM(F79:G79)</f>
        <v>0</v>
      </c>
      <c r="J79" s="7" t="s">
        <v>22</v>
      </c>
      <c r="K79" s="10"/>
      <c r="L79" s="11"/>
      <c r="M79" s="11"/>
      <c r="N79" s="11"/>
      <c r="O79" s="11"/>
      <c r="P79" s="11"/>
      <c r="Q79" s="11"/>
      <c r="R79" s="11"/>
      <c r="S79" s="11"/>
      <c r="T79" s="11"/>
      <c r="U79" s="12"/>
      <c r="W79" s="7" t="s">
        <v>22</v>
      </c>
      <c r="X79" s="10"/>
      <c r="Y79" s="11"/>
      <c r="Z79" s="11"/>
      <c r="AA79" s="11"/>
      <c r="AB79" s="11"/>
      <c r="AC79" s="12"/>
      <c r="AE79" s="7" t="s">
        <v>22</v>
      </c>
      <c r="AF79" s="10"/>
      <c r="AG79" s="11"/>
      <c r="AH79" s="11"/>
      <c r="AI79" s="11"/>
      <c r="AJ79" s="11"/>
      <c r="AK79" s="12"/>
    </row>
    <row r="80" spans="1:37" x14ac:dyDescent="0.25">
      <c r="J80" s="8"/>
      <c r="T80" s="8" t="s">
        <v>23</v>
      </c>
      <c r="U80" s="13">
        <f>SUM(K79:U79)</f>
        <v>0</v>
      </c>
      <c r="AB80" s="8" t="s">
        <v>23</v>
      </c>
      <c r="AC80" s="13">
        <f>SUM(X79:AC79)</f>
        <v>0</v>
      </c>
      <c r="AJ80" s="8" t="s">
        <v>23</v>
      </c>
      <c r="AK80" s="13">
        <f>SUM(AF79:AK79)</f>
        <v>0</v>
      </c>
    </row>
    <row r="81" spans="1:37" ht="15.75" thickBot="1" x14ac:dyDescent="0.3">
      <c r="A81" s="19"/>
      <c r="B81" s="83" t="s">
        <v>16</v>
      </c>
      <c r="C81" s="83"/>
      <c r="D81" s="83"/>
      <c r="E81" s="83"/>
      <c r="F81" s="83"/>
      <c r="G81" s="83"/>
      <c r="H81" s="83"/>
      <c r="J81" s="84" t="s">
        <v>16</v>
      </c>
      <c r="K81" s="84"/>
      <c r="L81" s="84"/>
      <c r="M81" s="84"/>
      <c r="N81" s="84"/>
      <c r="O81" s="84"/>
      <c r="P81" s="84"/>
      <c r="Q81" s="84"/>
      <c r="R81" s="84"/>
      <c r="S81" s="84"/>
      <c r="T81" s="84"/>
      <c r="U81" s="84"/>
      <c r="W81" s="85" t="str">
        <f>J81</f>
        <v>Julho</v>
      </c>
      <c r="X81" s="85"/>
      <c r="Y81" s="85"/>
      <c r="Z81" s="85"/>
      <c r="AA81" s="85"/>
      <c r="AB81" s="85"/>
      <c r="AC81" s="85"/>
      <c r="AE81" s="86" t="str">
        <f>W81</f>
        <v>Julho</v>
      </c>
      <c r="AF81" s="86"/>
      <c r="AG81" s="86"/>
      <c r="AH81" s="86"/>
      <c r="AI81" s="86"/>
      <c r="AJ81" s="86"/>
      <c r="AK81" s="86"/>
    </row>
    <row r="82" spans="1:37" ht="15.75" thickBot="1" x14ac:dyDescent="0.3">
      <c r="A82" s="87"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W82" s="6" t="s">
        <v>4</v>
      </c>
      <c r="X82" s="9"/>
      <c r="Y82" s="4"/>
      <c r="Z82" s="4"/>
      <c r="AA82" s="4"/>
      <c r="AB82" s="4"/>
      <c r="AC82" s="5"/>
      <c r="AE82" s="6" t="s">
        <v>4</v>
      </c>
      <c r="AF82" s="9"/>
      <c r="AG82" s="4"/>
      <c r="AH82" s="4"/>
      <c r="AI82" s="4"/>
      <c r="AJ82" s="4"/>
      <c r="AK82" s="5"/>
    </row>
    <row r="83" spans="1:37" ht="15.75" thickBot="1" x14ac:dyDescent="0.3">
      <c r="A83" s="87"/>
      <c r="B83" s="26"/>
      <c r="C83" s="27"/>
      <c r="D83" s="27"/>
      <c r="E83" s="27"/>
      <c r="F83" s="27">
        <f>SUM(C83-B83)</f>
        <v>0</v>
      </c>
      <c r="G83" s="20">
        <f>SUM(E83-D83)</f>
        <v>0</v>
      </c>
      <c r="H83" s="21">
        <f>SUM(F83:G83)</f>
        <v>0</v>
      </c>
      <c r="J83" s="7" t="s">
        <v>22</v>
      </c>
      <c r="K83" s="10"/>
      <c r="L83" s="11"/>
      <c r="M83" s="11"/>
      <c r="N83" s="11"/>
      <c r="O83" s="11"/>
      <c r="P83" s="11"/>
      <c r="Q83" s="11"/>
      <c r="R83" s="11"/>
      <c r="S83" s="11"/>
      <c r="T83" s="11"/>
      <c r="U83" s="12"/>
      <c r="W83" s="7" t="s">
        <v>22</v>
      </c>
      <c r="X83" s="10"/>
      <c r="Y83" s="11"/>
      <c r="Z83" s="11"/>
      <c r="AA83" s="11"/>
      <c r="AB83" s="11"/>
      <c r="AC83" s="12"/>
      <c r="AE83" s="7" t="s">
        <v>22</v>
      </c>
      <c r="AF83" s="10"/>
      <c r="AG83" s="11"/>
      <c r="AH83" s="11"/>
      <c r="AI83" s="11"/>
      <c r="AJ83" s="11"/>
      <c r="AK83" s="12"/>
    </row>
    <row r="84" spans="1:37" x14ac:dyDescent="0.25">
      <c r="J84" s="8"/>
      <c r="T84" s="8" t="s">
        <v>23</v>
      </c>
      <c r="U84" s="13">
        <f>SUM(K83:U83)</f>
        <v>0</v>
      </c>
      <c r="AB84" s="8" t="s">
        <v>23</v>
      </c>
      <c r="AC84" s="13">
        <f>SUM(X83:AC83)</f>
        <v>0</v>
      </c>
      <c r="AJ84" s="8" t="s">
        <v>23</v>
      </c>
      <c r="AK84" s="13">
        <f>SUM(AF83:AK83)</f>
        <v>0</v>
      </c>
    </row>
    <row r="85" spans="1:37" ht="15.75" thickBot="1" x14ac:dyDescent="0.3">
      <c r="A85" s="19"/>
      <c r="B85" s="83" t="s">
        <v>17</v>
      </c>
      <c r="C85" s="83"/>
      <c r="D85" s="83"/>
      <c r="E85" s="83"/>
      <c r="F85" s="83"/>
      <c r="G85" s="83"/>
      <c r="H85" s="83"/>
      <c r="J85" s="84" t="s">
        <v>17</v>
      </c>
      <c r="K85" s="84"/>
      <c r="L85" s="84"/>
      <c r="M85" s="84"/>
      <c r="N85" s="84"/>
      <c r="O85" s="84"/>
      <c r="P85" s="84"/>
      <c r="Q85" s="84"/>
      <c r="R85" s="84"/>
      <c r="S85" s="84"/>
      <c r="T85" s="84"/>
      <c r="U85" s="84"/>
      <c r="W85" s="85" t="str">
        <f>J85</f>
        <v>Agosto</v>
      </c>
      <c r="X85" s="85"/>
      <c r="Y85" s="85"/>
      <c r="Z85" s="85"/>
      <c r="AA85" s="85"/>
      <c r="AB85" s="85"/>
      <c r="AC85" s="85"/>
      <c r="AE85" s="86" t="str">
        <f>W85</f>
        <v>Agosto</v>
      </c>
      <c r="AF85" s="86"/>
      <c r="AG85" s="86"/>
      <c r="AH85" s="86"/>
      <c r="AI85" s="86"/>
      <c r="AJ85" s="86"/>
      <c r="AK85" s="86"/>
    </row>
    <row r="86" spans="1:37" ht="15.75" thickBot="1" x14ac:dyDescent="0.3">
      <c r="A86" s="87"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W86" s="6" t="s">
        <v>4</v>
      </c>
      <c r="X86" s="9"/>
      <c r="Y86" s="4"/>
      <c r="Z86" s="4"/>
      <c r="AA86" s="4"/>
      <c r="AB86" s="4"/>
      <c r="AC86" s="5"/>
      <c r="AE86" s="6" t="s">
        <v>4</v>
      </c>
      <c r="AF86" s="9"/>
      <c r="AG86" s="4"/>
      <c r="AH86" s="4"/>
      <c r="AI86" s="4"/>
      <c r="AJ86" s="4"/>
      <c r="AK86" s="5"/>
    </row>
    <row r="87" spans="1:37" ht="15.75" thickBot="1" x14ac:dyDescent="0.3">
      <c r="A87" s="87"/>
      <c r="B87" s="26"/>
      <c r="C87" s="27"/>
      <c r="D87" s="27"/>
      <c r="E87" s="27"/>
      <c r="F87" s="27">
        <f>SUM(C87-B87)</f>
        <v>0</v>
      </c>
      <c r="G87" s="20">
        <f>SUM(E87-D87)</f>
        <v>0</v>
      </c>
      <c r="H87" s="21">
        <f>SUM(F87:G87)</f>
        <v>0</v>
      </c>
      <c r="J87" s="7" t="s">
        <v>22</v>
      </c>
      <c r="K87" s="10"/>
      <c r="L87" s="11"/>
      <c r="M87" s="11"/>
      <c r="N87" s="11"/>
      <c r="O87" s="11"/>
      <c r="P87" s="11"/>
      <c r="Q87" s="11"/>
      <c r="R87" s="11"/>
      <c r="S87" s="11"/>
      <c r="T87" s="11"/>
      <c r="U87" s="12"/>
      <c r="W87" s="7" t="s">
        <v>22</v>
      </c>
      <c r="X87" s="10"/>
      <c r="Y87" s="11"/>
      <c r="Z87" s="11"/>
      <c r="AA87" s="11"/>
      <c r="AB87" s="11"/>
      <c r="AC87" s="12"/>
      <c r="AE87" s="7" t="s">
        <v>22</v>
      </c>
      <c r="AF87" s="10"/>
      <c r="AG87" s="11"/>
      <c r="AH87" s="11"/>
      <c r="AI87" s="11"/>
      <c r="AJ87" s="11"/>
      <c r="AK87" s="12"/>
    </row>
    <row r="88" spans="1:37" x14ac:dyDescent="0.25">
      <c r="J88" s="8"/>
      <c r="T88" s="8" t="s">
        <v>23</v>
      </c>
      <c r="U88" s="13">
        <f>SUM(K87:U87)</f>
        <v>0</v>
      </c>
      <c r="AB88" s="8" t="s">
        <v>23</v>
      </c>
      <c r="AC88" s="13">
        <f>SUM(X87:AC87)</f>
        <v>0</v>
      </c>
      <c r="AJ88" s="8" t="s">
        <v>23</v>
      </c>
      <c r="AK88" s="13">
        <f>SUM(AF87:AK87)</f>
        <v>0</v>
      </c>
    </row>
    <row r="89" spans="1:37" ht="15.75" thickBot="1" x14ac:dyDescent="0.3">
      <c r="A89" s="19"/>
      <c r="B89" s="83" t="s">
        <v>18</v>
      </c>
      <c r="C89" s="83"/>
      <c r="D89" s="83"/>
      <c r="E89" s="83"/>
      <c r="F89" s="83"/>
      <c r="G89" s="83"/>
      <c r="H89" s="83"/>
      <c r="J89" s="84" t="s">
        <v>18</v>
      </c>
      <c r="K89" s="84"/>
      <c r="L89" s="84"/>
      <c r="M89" s="84"/>
      <c r="N89" s="84"/>
      <c r="O89" s="84"/>
      <c r="P89" s="84"/>
      <c r="Q89" s="84"/>
      <c r="R89" s="84"/>
      <c r="S89" s="84"/>
      <c r="T89" s="84"/>
      <c r="U89" s="84"/>
      <c r="W89" s="85" t="str">
        <f>J89</f>
        <v>Setembro</v>
      </c>
      <c r="X89" s="85"/>
      <c r="Y89" s="85"/>
      <c r="Z89" s="85"/>
      <c r="AA89" s="85"/>
      <c r="AB89" s="85"/>
      <c r="AC89" s="85"/>
      <c r="AE89" s="86" t="str">
        <f>W89</f>
        <v>Setembro</v>
      </c>
      <c r="AF89" s="86"/>
      <c r="AG89" s="86"/>
      <c r="AH89" s="86"/>
      <c r="AI89" s="86"/>
      <c r="AJ89" s="86"/>
      <c r="AK89" s="86"/>
    </row>
    <row r="90" spans="1:37" ht="15.75" thickBot="1" x14ac:dyDescent="0.3">
      <c r="A90" s="87"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W90" s="6" t="s">
        <v>4</v>
      </c>
      <c r="X90" s="9"/>
      <c r="Y90" s="4"/>
      <c r="Z90" s="4"/>
      <c r="AA90" s="4"/>
      <c r="AB90" s="4"/>
      <c r="AC90" s="5"/>
      <c r="AE90" s="6" t="s">
        <v>4</v>
      </c>
      <c r="AF90" s="9"/>
      <c r="AG90" s="4"/>
      <c r="AH90" s="4"/>
      <c r="AI90" s="4"/>
      <c r="AJ90" s="4"/>
      <c r="AK90" s="5"/>
    </row>
    <row r="91" spans="1:37" ht="15.75" thickBot="1" x14ac:dyDescent="0.3">
      <c r="A91" s="87"/>
      <c r="B91" s="26"/>
      <c r="C91" s="27"/>
      <c r="D91" s="27"/>
      <c r="E91" s="27"/>
      <c r="F91" s="27">
        <f>SUM(C91-B91)</f>
        <v>0</v>
      </c>
      <c r="G91" s="20">
        <f>SUM(E91-D91)</f>
        <v>0</v>
      </c>
      <c r="H91" s="21">
        <f>SUM(F91:G91)</f>
        <v>0</v>
      </c>
      <c r="J91" s="7" t="s">
        <v>22</v>
      </c>
      <c r="K91" s="10"/>
      <c r="L91" s="11"/>
      <c r="M91" s="11"/>
      <c r="N91" s="11"/>
      <c r="O91" s="11"/>
      <c r="P91" s="11"/>
      <c r="Q91" s="11"/>
      <c r="R91" s="11"/>
      <c r="S91" s="11"/>
      <c r="T91" s="11"/>
      <c r="U91" s="12"/>
      <c r="W91" s="7" t="s">
        <v>22</v>
      </c>
      <c r="X91" s="10"/>
      <c r="Y91" s="11"/>
      <c r="Z91" s="11"/>
      <c r="AA91" s="11"/>
      <c r="AB91" s="11"/>
      <c r="AC91" s="12"/>
      <c r="AE91" s="7" t="s">
        <v>22</v>
      </c>
      <c r="AF91" s="10"/>
      <c r="AG91" s="11"/>
      <c r="AH91" s="11"/>
      <c r="AI91" s="11"/>
      <c r="AJ91" s="11"/>
      <c r="AK91" s="12"/>
    </row>
    <row r="92" spans="1:37" x14ac:dyDescent="0.25">
      <c r="J92" s="8"/>
      <c r="T92" s="8" t="s">
        <v>23</v>
      </c>
      <c r="U92" s="13">
        <f>SUM(K91:U91)</f>
        <v>0</v>
      </c>
      <c r="AB92" s="8" t="s">
        <v>23</v>
      </c>
      <c r="AC92" s="13">
        <f>SUM(X91:AC91)</f>
        <v>0</v>
      </c>
      <c r="AJ92" s="8" t="s">
        <v>23</v>
      </c>
      <c r="AK92" s="13">
        <f>SUM(AF91:AK91)</f>
        <v>0</v>
      </c>
    </row>
  </sheetData>
  <mergeCells count="117">
    <mergeCell ref="B89:H89"/>
    <mergeCell ref="J89:U89"/>
    <mergeCell ref="W89:AC89"/>
    <mergeCell ref="AE89:AK89"/>
    <mergeCell ref="A90:A91"/>
    <mergeCell ref="B85:H85"/>
    <mergeCell ref="J85:U85"/>
    <mergeCell ref="W85:AC85"/>
    <mergeCell ref="AE85:AK85"/>
    <mergeCell ref="A86:A87"/>
    <mergeCell ref="B81:H81"/>
    <mergeCell ref="J81:U81"/>
    <mergeCell ref="W81:AC81"/>
    <mergeCell ref="AE81:AK81"/>
    <mergeCell ref="A82:A83"/>
    <mergeCell ref="B77:H77"/>
    <mergeCell ref="J77:U77"/>
    <mergeCell ref="W77:AC77"/>
    <mergeCell ref="AE77:AK77"/>
    <mergeCell ref="A78:A79"/>
    <mergeCell ref="B73:H73"/>
    <mergeCell ref="J73:U73"/>
    <mergeCell ref="W73:AC73"/>
    <mergeCell ref="AE73:AK73"/>
    <mergeCell ref="A74:A75"/>
    <mergeCell ref="B69:H69"/>
    <mergeCell ref="J69:U69"/>
    <mergeCell ref="W69:AC69"/>
    <mergeCell ref="AE69:AK69"/>
    <mergeCell ref="A70:A71"/>
    <mergeCell ref="B65:H65"/>
    <mergeCell ref="J65:U65"/>
    <mergeCell ref="W65:AC65"/>
    <mergeCell ref="AE65:AK65"/>
    <mergeCell ref="A66:A67"/>
    <mergeCell ref="B61:H61"/>
    <mergeCell ref="J61:U61"/>
    <mergeCell ref="W61:AC61"/>
    <mergeCell ref="AE61:AK61"/>
    <mergeCell ref="A62:A63"/>
    <mergeCell ref="B57:H57"/>
    <mergeCell ref="J57:U57"/>
    <mergeCell ref="W57:AC57"/>
    <mergeCell ref="AE57:AK57"/>
    <mergeCell ref="A58:A59"/>
    <mergeCell ref="AE9:AK9"/>
    <mergeCell ref="A10:A11"/>
    <mergeCell ref="B2:C2"/>
    <mergeCell ref="E2:F2"/>
    <mergeCell ref="B5:C5"/>
    <mergeCell ref="E5:F5"/>
    <mergeCell ref="A8:H8"/>
    <mergeCell ref="B3:C3"/>
    <mergeCell ref="E3:F3"/>
    <mergeCell ref="A18:A19"/>
    <mergeCell ref="W8:AC8"/>
    <mergeCell ref="AE8:AK8"/>
    <mergeCell ref="B13:H13"/>
    <mergeCell ref="J13:U13"/>
    <mergeCell ref="W13:AC13"/>
    <mergeCell ref="AE13:AK13"/>
    <mergeCell ref="J8:U8"/>
    <mergeCell ref="A14:A15"/>
    <mergeCell ref="B17:H17"/>
    <mergeCell ref="B9:H9"/>
    <mergeCell ref="J9:U9"/>
    <mergeCell ref="W9:AC9"/>
    <mergeCell ref="A30:A31"/>
    <mergeCell ref="B21:H21"/>
    <mergeCell ref="J21:U21"/>
    <mergeCell ref="W21:AC21"/>
    <mergeCell ref="AE21:AK21"/>
    <mergeCell ref="A22:A23"/>
    <mergeCell ref="B25:H25"/>
    <mergeCell ref="J25:U25"/>
    <mergeCell ref="W25:AC25"/>
    <mergeCell ref="AE25:AK25"/>
    <mergeCell ref="A26:A27"/>
    <mergeCell ref="B29:H29"/>
    <mergeCell ref="J29:U29"/>
    <mergeCell ref="W29:AC29"/>
    <mergeCell ref="AE29:AK29"/>
    <mergeCell ref="J37:U37"/>
    <mergeCell ref="W37:AC37"/>
    <mergeCell ref="AE37:AK37"/>
    <mergeCell ref="A38:A39"/>
    <mergeCell ref="B41:H41"/>
    <mergeCell ref="J41:U41"/>
    <mergeCell ref="W41:AC41"/>
    <mergeCell ref="AE41:AK41"/>
    <mergeCell ref="J17:U17"/>
    <mergeCell ref="W17:AC17"/>
    <mergeCell ref="AE17:AK17"/>
    <mergeCell ref="B4:C4"/>
    <mergeCell ref="E4:F4"/>
    <mergeCell ref="A54:A55"/>
    <mergeCell ref="B45:H45"/>
    <mergeCell ref="J45:U45"/>
    <mergeCell ref="W45:AC45"/>
    <mergeCell ref="AE45:AK45"/>
    <mergeCell ref="A46:A47"/>
    <mergeCell ref="B49:H49"/>
    <mergeCell ref="J49:U49"/>
    <mergeCell ref="W49:AC49"/>
    <mergeCell ref="AE49:AK49"/>
    <mergeCell ref="A50:A51"/>
    <mergeCell ref="B53:H53"/>
    <mergeCell ref="J53:U53"/>
    <mergeCell ref="W53:AC53"/>
    <mergeCell ref="AE53:AK53"/>
    <mergeCell ref="A42:A43"/>
    <mergeCell ref="B33:H33"/>
    <mergeCell ref="J33:U33"/>
    <mergeCell ref="W33:AC33"/>
    <mergeCell ref="AE33:AK33"/>
    <mergeCell ref="A34:A35"/>
    <mergeCell ref="B37:H37"/>
  </mergeCells>
  <phoneticPr fontId="3" type="noConversion"/>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K93"/>
  <sheetViews>
    <sheetView showGridLines="0" topLeftCell="A52" workbookViewId="0">
      <selection activeCell="Q5" sqref="Q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5703125" customWidth="1"/>
    <col min="10" max="10" width="13.42578125" bestFit="1" customWidth="1"/>
    <col min="11" max="11" width="12.140625" bestFit="1" customWidth="1"/>
    <col min="12" max="13" width="10.42578125" bestFit="1" customWidth="1"/>
    <col min="14" max="14" width="13.28515625" bestFit="1" customWidth="1"/>
    <col min="15" max="16" width="10.42578125" bestFit="1" customWidth="1"/>
    <col min="21" max="21" width="13.28515625" bestFit="1" customWidth="1"/>
    <col min="24" max="25" width="10.42578125" bestFit="1" customWidth="1"/>
    <col min="26" max="26" width="10.5703125" bestFit="1" customWidth="1"/>
    <col min="27" max="27" width="12.140625" bestFit="1" customWidth="1"/>
    <col min="29" max="29" width="12.140625" bestFit="1" customWidth="1"/>
    <col min="34" max="36" width="10.140625" bestFit="1" customWidth="1"/>
    <col min="37" max="37" width="12.140625" bestFit="1" customWidth="1"/>
  </cols>
  <sheetData>
    <row r="2" spans="1:37" x14ac:dyDescent="0.25">
      <c r="A2" t="s">
        <v>0</v>
      </c>
      <c r="B2" s="90" t="s">
        <v>84</v>
      </c>
      <c r="C2" s="90"/>
      <c r="D2" s="1" t="s">
        <v>1</v>
      </c>
      <c r="E2" s="90" t="s">
        <v>85</v>
      </c>
      <c r="F2" s="90"/>
      <c r="H2" t="s">
        <v>110</v>
      </c>
      <c r="I2" s="81">
        <v>4500</v>
      </c>
    </row>
    <row r="3" spans="1:37" x14ac:dyDescent="0.25">
      <c r="A3" t="s">
        <v>75</v>
      </c>
      <c r="B3" s="94">
        <v>45687</v>
      </c>
      <c r="C3" s="90"/>
      <c r="D3" s="1" t="s">
        <v>1</v>
      </c>
      <c r="E3" s="90" t="s">
        <v>92</v>
      </c>
      <c r="F3" s="90"/>
      <c r="H3" t="s">
        <v>76</v>
      </c>
      <c r="I3" s="79" t="s">
        <v>94</v>
      </c>
    </row>
    <row r="4" spans="1:37" x14ac:dyDescent="0.25">
      <c r="A4" t="s">
        <v>75</v>
      </c>
      <c r="B4" s="75">
        <v>45751</v>
      </c>
      <c r="C4" s="73"/>
      <c r="D4" s="1" t="s">
        <v>1</v>
      </c>
      <c r="E4" s="73"/>
      <c r="F4" s="76" t="s">
        <v>102</v>
      </c>
      <c r="H4" t="s">
        <v>76</v>
      </c>
      <c r="I4" s="79" t="s">
        <v>103</v>
      </c>
    </row>
    <row r="5" spans="1:37" x14ac:dyDescent="0.25">
      <c r="A5" t="s">
        <v>2</v>
      </c>
      <c r="B5" s="91"/>
      <c r="C5" s="91"/>
      <c r="D5" s="1" t="s">
        <v>29</v>
      </c>
      <c r="E5" s="92">
        <v>45</v>
      </c>
      <c r="F5" s="90"/>
      <c r="H5" t="s">
        <v>70</v>
      </c>
      <c r="I5" s="80">
        <v>45666</v>
      </c>
      <c r="J5" t="s">
        <v>127</v>
      </c>
      <c r="K5" s="80">
        <v>46132</v>
      </c>
    </row>
    <row r="8" spans="1:37" ht="21" x14ac:dyDescent="0.35">
      <c r="A8" s="93" t="s">
        <v>28</v>
      </c>
      <c r="B8" s="93"/>
      <c r="C8" s="93"/>
      <c r="D8" s="93"/>
      <c r="E8" s="93"/>
      <c r="F8" s="93"/>
      <c r="G8" s="93"/>
      <c r="H8" s="93"/>
      <c r="J8" s="89" t="s">
        <v>26</v>
      </c>
      <c r="K8" s="89"/>
      <c r="L8" s="89"/>
      <c r="M8" s="89"/>
      <c r="N8" s="89"/>
      <c r="O8" s="89"/>
      <c r="P8" s="89"/>
      <c r="Q8" s="89"/>
      <c r="R8" s="89"/>
      <c r="S8" s="89"/>
      <c r="T8" s="89"/>
      <c r="U8" s="89"/>
      <c r="V8" s="2"/>
      <c r="W8" s="88" t="s">
        <v>25</v>
      </c>
      <c r="X8" s="88"/>
      <c r="Y8" s="88"/>
      <c r="Z8" s="88"/>
      <c r="AA8" s="88"/>
      <c r="AB8" s="88"/>
      <c r="AC8" s="88"/>
      <c r="AD8" s="2"/>
      <c r="AE8" s="88" t="s">
        <v>27</v>
      </c>
      <c r="AF8" s="88"/>
      <c r="AG8" s="88"/>
      <c r="AH8" s="88"/>
      <c r="AI8" s="88"/>
      <c r="AJ8" s="88"/>
      <c r="AK8" s="88"/>
    </row>
    <row r="9" spans="1:37" ht="21" x14ac:dyDescent="0.35">
      <c r="A9" s="69"/>
      <c r="B9" s="69"/>
      <c r="C9" s="69"/>
      <c r="D9" s="69"/>
      <c r="E9" s="69"/>
      <c r="F9" s="69"/>
      <c r="G9" s="69"/>
      <c r="H9" s="69"/>
      <c r="J9" s="68"/>
      <c r="K9" s="68"/>
      <c r="L9" s="68"/>
      <c r="M9" s="68"/>
      <c r="N9" s="68"/>
      <c r="O9" s="68"/>
      <c r="P9" s="68"/>
      <c r="Q9" s="68"/>
      <c r="R9" s="68"/>
      <c r="S9" s="68"/>
      <c r="T9" s="68"/>
      <c r="U9" s="68"/>
      <c r="V9" s="2"/>
      <c r="W9" s="70"/>
      <c r="X9" s="70"/>
      <c r="Y9" s="70"/>
      <c r="Z9" s="70"/>
      <c r="AA9" s="70"/>
      <c r="AB9" s="70"/>
      <c r="AC9" s="70"/>
      <c r="AD9" s="2"/>
      <c r="AE9" s="70"/>
      <c r="AF9" s="70"/>
      <c r="AG9" s="70"/>
      <c r="AH9" s="70"/>
      <c r="AI9" s="70"/>
      <c r="AJ9" s="70"/>
      <c r="AK9" s="70"/>
    </row>
    <row r="10" spans="1:37" s="15" customFormat="1" ht="15.75" thickBot="1" x14ac:dyDescent="0.3">
      <c r="A10" s="71" t="s">
        <v>93</v>
      </c>
      <c r="B10" s="83" t="s">
        <v>83</v>
      </c>
      <c r="C10" s="83"/>
      <c r="D10" s="83"/>
      <c r="E10" s="83"/>
      <c r="F10" s="83"/>
      <c r="G10" s="83"/>
      <c r="H10" s="83"/>
      <c r="I10"/>
      <c r="J10" s="99" t="s">
        <v>83</v>
      </c>
      <c r="K10" s="99"/>
      <c r="L10" s="99"/>
      <c r="M10" s="99"/>
      <c r="N10" s="99"/>
      <c r="O10" s="99"/>
      <c r="P10" s="99"/>
      <c r="Q10" s="99"/>
      <c r="R10" s="99"/>
      <c r="S10" s="99"/>
      <c r="T10" s="99"/>
      <c r="U10" s="99"/>
      <c r="V10"/>
      <c r="W10" s="85" t="s">
        <v>83</v>
      </c>
      <c r="X10" s="85"/>
      <c r="Y10" s="85"/>
      <c r="Z10" s="85"/>
      <c r="AA10" s="85"/>
      <c r="AB10" s="85"/>
      <c r="AC10" s="85"/>
      <c r="AD10"/>
      <c r="AE10" s="86" t="s">
        <v>83</v>
      </c>
      <c r="AF10" s="86"/>
      <c r="AG10" s="86"/>
      <c r="AH10" s="86"/>
      <c r="AI10" s="86"/>
      <c r="AJ10" s="86"/>
      <c r="AK10" s="86"/>
    </row>
    <row r="11" spans="1:37" ht="15.75" thickBot="1" x14ac:dyDescent="0.3">
      <c r="A11" s="100" t="s">
        <v>5</v>
      </c>
      <c r="B11" s="34" t="s">
        <v>6</v>
      </c>
      <c r="C11" s="22" t="s">
        <v>7</v>
      </c>
      <c r="D11" s="33" t="s">
        <v>8</v>
      </c>
      <c r="E11" s="22" t="s">
        <v>9</v>
      </c>
      <c r="F11" s="24" t="s">
        <v>10</v>
      </c>
      <c r="G11" s="23" t="s">
        <v>11</v>
      </c>
      <c r="H11" s="25" t="s">
        <v>12</v>
      </c>
      <c r="J11" s="28" t="s">
        <v>4</v>
      </c>
      <c r="K11" s="9">
        <v>45670</v>
      </c>
      <c r="L11" s="66">
        <v>45674</v>
      </c>
      <c r="M11" s="66">
        <v>45678</v>
      </c>
      <c r="N11" s="66">
        <v>45681</v>
      </c>
      <c r="O11" s="66">
        <v>45685</v>
      </c>
      <c r="P11" s="66">
        <v>45687</v>
      </c>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100"/>
      <c r="B12" s="26">
        <v>39318</v>
      </c>
      <c r="C12" s="27">
        <v>41432</v>
      </c>
      <c r="D12" s="27">
        <v>41432</v>
      </c>
      <c r="E12" s="27">
        <v>42871</v>
      </c>
      <c r="F12" s="27">
        <f>SUM(C12-B12)</f>
        <v>2114</v>
      </c>
      <c r="G12" s="20">
        <f>SUM(E12-D12)</f>
        <v>1439</v>
      </c>
      <c r="H12" s="21">
        <f>SUM(F12:G12)</f>
        <v>3553</v>
      </c>
      <c r="J12" s="29" t="s">
        <v>22</v>
      </c>
      <c r="K12" s="10">
        <v>254.56</v>
      </c>
      <c r="L12" s="11">
        <v>186.69</v>
      </c>
      <c r="M12" s="11">
        <v>218.03</v>
      </c>
      <c r="N12" s="11">
        <v>150.04</v>
      </c>
      <c r="O12" s="11">
        <v>110.04</v>
      </c>
      <c r="P12" s="11">
        <v>174.57</v>
      </c>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1093.9299999999998</v>
      </c>
      <c r="AB13" s="8" t="s">
        <v>23</v>
      </c>
      <c r="AC13" s="13">
        <f>SUM(X12:AC12)</f>
        <v>0</v>
      </c>
      <c r="AJ13" s="8" t="s">
        <v>23</v>
      </c>
      <c r="AK13" s="13">
        <f>SUM(AF12:AK12)</f>
        <v>0</v>
      </c>
    </row>
    <row r="14" spans="1:37" ht="15.75" thickBot="1" x14ac:dyDescent="0.3">
      <c r="A14" s="19"/>
      <c r="B14" s="83" t="s">
        <v>3</v>
      </c>
      <c r="C14" s="83"/>
      <c r="D14" s="83"/>
      <c r="E14" s="83"/>
      <c r="F14" s="83"/>
      <c r="G14" s="83"/>
      <c r="H14" s="83"/>
      <c r="J14" s="99" t="s">
        <v>3</v>
      </c>
      <c r="K14" s="99"/>
      <c r="L14" s="99"/>
      <c r="M14" s="99"/>
      <c r="N14" s="99"/>
      <c r="O14" s="99"/>
      <c r="P14" s="99"/>
      <c r="Q14" s="99"/>
      <c r="R14" s="99"/>
      <c r="S14" s="99"/>
      <c r="T14" s="99"/>
      <c r="U14" s="99"/>
      <c r="W14" s="85" t="s">
        <v>3</v>
      </c>
      <c r="X14" s="85"/>
      <c r="Y14" s="85"/>
      <c r="Z14" s="85"/>
      <c r="AA14" s="85"/>
      <c r="AB14" s="85"/>
      <c r="AC14" s="85"/>
      <c r="AE14" s="86" t="s">
        <v>3</v>
      </c>
      <c r="AF14" s="86"/>
      <c r="AG14" s="86"/>
      <c r="AH14" s="86"/>
      <c r="AI14" s="86"/>
      <c r="AJ14" s="86"/>
      <c r="AK14" s="86"/>
    </row>
    <row r="15" spans="1:37" ht="15.75" thickBot="1" x14ac:dyDescent="0.3">
      <c r="A15" s="100" t="s">
        <v>5</v>
      </c>
      <c r="B15" s="34" t="s">
        <v>6</v>
      </c>
      <c r="C15" s="22" t="s">
        <v>7</v>
      </c>
      <c r="D15" s="33" t="s">
        <v>8</v>
      </c>
      <c r="E15" s="22" t="s">
        <v>9</v>
      </c>
      <c r="F15" s="24" t="s">
        <v>10</v>
      </c>
      <c r="G15" s="23" t="s">
        <v>11</v>
      </c>
      <c r="H15" s="25" t="s">
        <v>12</v>
      </c>
      <c r="J15" s="28" t="s">
        <v>4</v>
      </c>
      <c r="K15" s="9">
        <v>45699</v>
      </c>
      <c r="L15" s="66">
        <v>45702</v>
      </c>
      <c r="M15" s="66">
        <v>45709</v>
      </c>
      <c r="N15" s="66">
        <v>45713</v>
      </c>
      <c r="O15" s="4"/>
      <c r="P15" s="4"/>
      <c r="Q15" s="4"/>
      <c r="R15" s="4"/>
      <c r="S15" s="4"/>
      <c r="T15" s="4"/>
      <c r="U15" s="5"/>
      <c r="W15" s="6" t="s">
        <v>4</v>
      </c>
      <c r="X15" s="9">
        <v>45716</v>
      </c>
      <c r="Y15" s="4"/>
      <c r="Z15" s="4"/>
      <c r="AA15" s="4"/>
      <c r="AB15" s="4"/>
      <c r="AC15" s="5"/>
      <c r="AE15" s="6" t="s">
        <v>4</v>
      </c>
      <c r="AF15" s="9"/>
      <c r="AG15" s="4"/>
      <c r="AH15" s="4"/>
      <c r="AI15" s="4"/>
      <c r="AJ15" s="4"/>
      <c r="AK15" s="5"/>
    </row>
    <row r="16" spans="1:37" ht="15.75" thickBot="1" x14ac:dyDescent="0.3">
      <c r="A16" s="100"/>
      <c r="B16" s="26">
        <v>25699</v>
      </c>
      <c r="C16" s="27">
        <v>26424</v>
      </c>
      <c r="D16" s="27">
        <v>26424</v>
      </c>
      <c r="E16" s="27">
        <v>27527</v>
      </c>
      <c r="F16" s="27">
        <f>SUM(C16-B16)</f>
        <v>725</v>
      </c>
      <c r="G16" s="20">
        <f>SUM(E16-D16)</f>
        <v>1103</v>
      </c>
      <c r="H16" s="21">
        <f>SUM(F16:G16)</f>
        <v>1828</v>
      </c>
      <c r="J16" s="29" t="s">
        <v>22</v>
      </c>
      <c r="K16" s="10">
        <v>185.05</v>
      </c>
      <c r="L16" s="11">
        <v>167.05</v>
      </c>
      <c r="M16" s="11">
        <v>309.88</v>
      </c>
      <c r="N16" s="11">
        <v>300.72000000000003</v>
      </c>
      <c r="O16" s="11"/>
      <c r="P16" s="11"/>
      <c r="Q16" s="11"/>
      <c r="R16" s="11"/>
      <c r="S16" s="11"/>
      <c r="T16" s="11"/>
      <c r="U16" s="12"/>
      <c r="W16" s="7" t="s">
        <v>22</v>
      </c>
      <c r="X16" s="10">
        <v>60</v>
      </c>
      <c r="Y16" s="11"/>
      <c r="Z16" s="11"/>
      <c r="AA16" s="11"/>
      <c r="AB16" s="11"/>
      <c r="AC16" s="12"/>
      <c r="AE16" s="7" t="s">
        <v>22</v>
      </c>
      <c r="AF16" s="10"/>
      <c r="AG16" s="11"/>
      <c r="AH16" s="11"/>
      <c r="AI16" s="11"/>
      <c r="AJ16" s="11"/>
      <c r="AK16" s="12"/>
    </row>
    <row r="17" spans="1:37" x14ac:dyDescent="0.25">
      <c r="J17" s="8"/>
      <c r="T17" s="8" t="s">
        <v>23</v>
      </c>
      <c r="U17" s="13">
        <f>SUM(K16:U16)</f>
        <v>962.7</v>
      </c>
      <c r="AB17" s="8" t="s">
        <v>23</v>
      </c>
      <c r="AC17" s="13">
        <f>SUM(X16:AC16)</f>
        <v>60</v>
      </c>
      <c r="AJ17" s="8" t="s">
        <v>23</v>
      </c>
      <c r="AK17" s="13">
        <f>SUM(AF16:AK16)</f>
        <v>0</v>
      </c>
    </row>
    <row r="18" spans="1:37" ht="15.75" thickBot="1" x14ac:dyDescent="0.3">
      <c r="A18" s="19"/>
      <c r="B18" s="83" t="s">
        <v>13</v>
      </c>
      <c r="C18" s="83"/>
      <c r="D18" s="83"/>
      <c r="E18" s="83"/>
      <c r="F18" s="83"/>
      <c r="G18" s="83"/>
      <c r="H18" s="83"/>
      <c r="J18" s="84" t="s">
        <v>13</v>
      </c>
      <c r="K18" s="84"/>
      <c r="L18" s="84"/>
      <c r="M18" s="84"/>
      <c r="N18" s="84"/>
      <c r="O18" s="84"/>
      <c r="P18" s="84"/>
      <c r="Q18" s="84"/>
      <c r="R18" s="84"/>
      <c r="S18" s="84"/>
      <c r="T18" s="84"/>
      <c r="U18" s="84"/>
      <c r="W18" s="85" t="str">
        <f>J18</f>
        <v>Março</v>
      </c>
      <c r="X18" s="85"/>
      <c r="Y18" s="85"/>
      <c r="Z18" s="85"/>
      <c r="AA18" s="85"/>
      <c r="AB18" s="85"/>
      <c r="AC18" s="85"/>
      <c r="AE18" s="86" t="str">
        <f>W18</f>
        <v>Março</v>
      </c>
      <c r="AF18" s="86"/>
      <c r="AG18" s="86"/>
      <c r="AH18" s="86"/>
      <c r="AI18" s="86"/>
      <c r="AJ18" s="86"/>
      <c r="AK18" s="86"/>
    </row>
    <row r="19" spans="1:37" ht="15.75" thickBot="1" x14ac:dyDescent="0.3">
      <c r="A19" s="87" t="s">
        <v>5</v>
      </c>
      <c r="B19" s="34" t="s">
        <v>6</v>
      </c>
      <c r="C19" s="22" t="s">
        <v>7</v>
      </c>
      <c r="D19" s="33" t="s">
        <v>8</v>
      </c>
      <c r="E19" s="22" t="s">
        <v>9</v>
      </c>
      <c r="F19" s="24" t="s">
        <v>10</v>
      </c>
      <c r="G19" s="23" t="s">
        <v>11</v>
      </c>
      <c r="H19" s="25" t="s">
        <v>12</v>
      </c>
      <c r="J19" s="6" t="s">
        <v>4</v>
      </c>
      <c r="K19" s="9">
        <v>45723</v>
      </c>
      <c r="L19" s="66">
        <v>45727</v>
      </c>
      <c r="M19" s="66">
        <v>45730</v>
      </c>
      <c r="N19" s="66">
        <v>45734</v>
      </c>
      <c r="O19" s="66">
        <v>45741</v>
      </c>
      <c r="P19" s="4"/>
      <c r="Q19" s="4"/>
      <c r="R19" s="4"/>
      <c r="S19" s="4"/>
      <c r="T19" s="4"/>
      <c r="U19" s="5"/>
      <c r="W19" s="6" t="s">
        <v>4</v>
      </c>
      <c r="X19" s="9">
        <v>45724</v>
      </c>
      <c r="Y19" s="66">
        <v>45731</v>
      </c>
      <c r="Z19" s="66">
        <v>45737</v>
      </c>
      <c r="AA19" s="66">
        <v>45745</v>
      </c>
      <c r="AB19" s="4"/>
      <c r="AC19" s="5"/>
      <c r="AE19" s="6" t="s">
        <v>4</v>
      </c>
      <c r="AF19" s="9"/>
      <c r="AG19" s="4"/>
      <c r="AH19" s="4"/>
      <c r="AI19" s="4"/>
      <c r="AJ19" s="4"/>
      <c r="AK19" s="5"/>
    </row>
    <row r="20" spans="1:37" ht="15.75" thickBot="1" x14ac:dyDescent="0.3">
      <c r="A20" s="87"/>
      <c r="B20" s="26">
        <v>27527</v>
      </c>
      <c r="C20" s="27">
        <v>28747</v>
      </c>
      <c r="D20" s="27">
        <v>28747</v>
      </c>
      <c r="E20" s="27">
        <v>29384</v>
      </c>
      <c r="F20" s="27">
        <f>SUM(C20-B20)</f>
        <v>1220</v>
      </c>
      <c r="G20" s="20">
        <f>SUM(E20-D20)</f>
        <v>637</v>
      </c>
      <c r="H20" s="21">
        <f>SUM(F20:G20)</f>
        <v>1857</v>
      </c>
      <c r="J20" s="7" t="s">
        <v>22</v>
      </c>
      <c r="K20" s="10">
        <v>148.05000000000001</v>
      </c>
      <c r="L20" s="11">
        <v>123.5</v>
      </c>
      <c r="M20" s="11">
        <v>135</v>
      </c>
      <c r="N20" s="11">
        <v>137.81</v>
      </c>
      <c r="O20" s="11">
        <v>247.73</v>
      </c>
      <c r="P20" s="11"/>
      <c r="Q20" s="11"/>
      <c r="R20" s="11"/>
      <c r="S20" s="11"/>
      <c r="T20" s="11"/>
      <c r="U20" s="12"/>
      <c r="W20" s="7" t="s">
        <v>22</v>
      </c>
      <c r="X20" s="10">
        <v>60</v>
      </c>
      <c r="Y20" s="11">
        <v>60</v>
      </c>
      <c r="Z20" s="11">
        <v>60</v>
      </c>
      <c r="AA20" s="11">
        <v>60</v>
      </c>
      <c r="AB20" s="11"/>
      <c r="AC20" s="12"/>
      <c r="AE20" s="7" t="s">
        <v>22</v>
      </c>
      <c r="AF20" s="10"/>
      <c r="AG20" s="11"/>
      <c r="AH20" s="11"/>
      <c r="AI20" s="11"/>
      <c r="AJ20" s="11"/>
      <c r="AK20" s="12"/>
    </row>
    <row r="21" spans="1:37" x14ac:dyDescent="0.25">
      <c r="J21" s="8"/>
      <c r="T21" s="8" t="s">
        <v>23</v>
      </c>
      <c r="U21" s="13">
        <f>SUM(K20:U20)</f>
        <v>792.09</v>
      </c>
      <c r="AB21" s="8" t="s">
        <v>23</v>
      </c>
      <c r="AC21" s="13">
        <f>SUM(X20:AC20)</f>
        <v>240</v>
      </c>
      <c r="AJ21" s="8" t="s">
        <v>23</v>
      </c>
      <c r="AK21" s="13">
        <f>SUM(AF20:AK20)</f>
        <v>0</v>
      </c>
    </row>
    <row r="22" spans="1:37" ht="15.75" thickBot="1" x14ac:dyDescent="0.3">
      <c r="A22" s="71" t="s">
        <v>102</v>
      </c>
      <c r="B22" s="83" t="s">
        <v>14</v>
      </c>
      <c r="C22" s="83"/>
      <c r="D22" s="83"/>
      <c r="E22" s="83"/>
      <c r="F22" s="83"/>
      <c r="G22" s="83"/>
      <c r="H22" s="83"/>
      <c r="J22" s="84" t="s">
        <v>14</v>
      </c>
      <c r="K22" s="84"/>
      <c r="L22" s="84"/>
      <c r="M22" s="84"/>
      <c r="N22" s="84"/>
      <c r="O22" s="84"/>
      <c r="P22" s="84"/>
      <c r="Q22" s="84"/>
      <c r="R22" s="84"/>
      <c r="S22" s="84"/>
      <c r="T22" s="84"/>
      <c r="U22" s="84"/>
      <c r="W22" s="85" t="str">
        <f>J22</f>
        <v>Abril</v>
      </c>
      <c r="X22" s="85"/>
      <c r="Y22" s="85"/>
      <c r="Z22" s="85"/>
      <c r="AA22" s="85"/>
      <c r="AB22" s="85"/>
      <c r="AC22" s="85"/>
      <c r="AE22" s="86" t="str">
        <f>W22</f>
        <v>Abril</v>
      </c>
      <c r="AF22" s="86"/>
      <c r="AG22" s="86"/>
      <c r="AH22" s="86"/>
      <c r="AI22" s="86"/>
      <c r="AJ22" s="86"/>
      <c r="AK22" s="86"/>
    </row>
    <row r="23" spans="1:37" ht="15.75" thickBot="1" x14ac:dyDescent="0.3">
      <c r="A23" s="87" t="s">
        <v>5</v>
      </c>
      <c r="B23" s="34" t="s">
        <v>6</v>
      </c>
      <c r="C23" s="22" t="s">
        <v>7</v>
      </c>
      <c r="D23" s="33" t="s">
        <v>8</v>
      </c>
      <c r="E23" s="22" t="s">
        <v>9</v>
      </c>
      <c r="F23" s="24" t="s">
        <v>10</v>
      </c>
      <c r="G23" s="23" t="s">
        <v>11</v>
      </c>
      <c r="H23" s="25" t="s">
        <v>12</v>
      </c>
      <c r="J23" s="6" t="s">
        <v>4</v>
      </c>
      <c r="K23" s="9"/>
      <c r="L23" s="66"/>
      <c r="M23" s="66"/>
      <c r="N23" s="66"/>
      <c r="O23" s="4"/>
      <c r="P23" s="4"/>
      <c r="Q23" s="4"/>
      <c r="R23" s="4"/>
      <c r="S23" s="4"/>
      <c r="T23" s="4"/>
      <c r="U23" s="5"/>
      <c r="W23" s="6" t="s">
        <v>4</v>
      </c>
      <c r="X23" s="9"/>
      <c r="Y23" s="4"/>
      <c r="Z23" s="4"/>
      <c r="AA23" s="4"/>
      <c r="AB23" s="4"/>
      <c r="AC23" s="5"/>
      <c r="AE23" s="6" t="s">
        <v>4</v>
      </c>
      <c r="AF23" s="9"/>
      <c r="AG23" s="4"/>
      <c r="AH23" s="4"/>
      <c r="AI23" s="4"/>
      <c r="AJ23" s="4"/>
      <c r="AK23" s="5"/>
    </row>
    <row r="24" spans="1:37" ht="15.75" thickBot="1" x14ac:dyDescent="0.3">
      <c r="A24" s="87"/>
      <c r="B24" s="26">
        <v>19789</v>
      </c>
      <c r="C24" s="27"/>
      <c r="D24" s="27"/>
      <c r="E24" s="27">
        <v>20046</v>
      </c>
      <c r="F24" s="27">
        <f>SUM(C24-B24)</f>
        <v>-19789</v>
      </c>
      <c r="G24" s="20">
        <f>SUM(E24-D24)</f>
        <v>20046</v>
      </c>
      <c r="H24" s="21">
        <f>SUM(F24:G24)</f>
        <v>257</v>
      </c>
      <c r="J24" s="7" t="s">
        <v>22</v>
      </c>
      <c r="K24" s="30"/>
      <c r="L24" s="31"/>
      <c r="M24" s="31"/>
      <c r="N24" s="31"/>
      <c r="O24" s="31"/>
      <c r="P24" s="31"/>
      <c r="Q24" s="31"/>
      <c r="R24" s="31"/>
      <c r="S24" s="31"/>
      <c r="T24" s="31"/>
      <c r="U24" s="32"/>
      <c r="W24" s="7" t="s">
        <v>22</v>
      </c>
      <c r="X24" s="10"/>
      <c r="Y24" s="11"/>
      <c r="Z24" s="11"/>
      <c r="AA24" s="11"/>
      <c r="AB24" s="11"/>
      <c r="AC24" s="12"/>
      <c r="AE24" s="7" t="s">
        <v>22</v>
      </c>
      <c r="AF24" s="10"/>
      <c r="AG24" s="11"/>
      <c r="AH24" s="11"/>
      <c r="AI24" s="11"/>
      <c r="AJ24" s="11"/>
      <c r="AK24" s="12"/>
    </row>
    <row r="25" spans="1:37" x14ac:dyDescent="0.25">
      <c r="J25" s="8"/>
      <c r="T25" s="8" t="s">
        <v>23</v>
      </c>
      <c r="U25" s="13">
        <f>SUM(K24:U24)</f>
        <v>0</v>
      </c>
      <c r="AB25" s="8" t="s">
        <v>23</v>
      </c>
      <c r="AC25" s="13">
        <f>SUM(X24:AC24)</f>
        <v>0</v>
      </c>
      <c r="AJ25" s="8" t="s">
        <v>23</v>
      </c>
      <c r="AK25" s="13">
        <f>SUM(AF24:AK24)</f>
        <v>0</v>
      </c>
    </row>
    <row r="26" spans="1:37" ht="15.75" thickBot="1" x14ac:dyDescent="0.3">
      <c r="A26" s="19"/>
      <c r="B26" s="83" t="s">
        <v>15</v>
      </c>
      <c r="C26" s="83"/>
      <c r="D26" s="83"/>
      <c r="E26" s="83"/>
      <c r="F26" s="83"/>
      <c r="G26" s="83"/>
      <c r="H26" s="83"/>
      <c r="J26" s="84" t="s">
        <v>15</v>
      </c>
      <c r="K26" s="84"/>
      <c r="L26" s="84"/>
      <c r="M26" s="84"/>
      <c r="N26" s="84"/>
      <c r="O26" s="84"/>
      <c r="P26" s="84"/>
      <c r="Q26" s="84"/>
      <c r="R26" s="84"/>
      <c r="S26" s="84"/>
      <c r="T26" s="84"/>
      <c r="U26" s="84"/>
      <c r="W26" s="85" t="str">
        <f>J26</f>
        <v>Maio</v>
      </c>
      <c r="X26" s="85"/>
      <c r="Y26" s="85"/>
      <c r="Z26" s="85"/>
      <c r="AA26" s="85"/>
      <c r="AB26" s="85"/>
      <c r="AC26" s="85"/>
      <c r="AE26" s="86" t="str">
        <f>W26</f>
        <v>Maio</v>
      </c>
      <c r="AF26" s="86"/>
      <c r="AG26" s="86"/>
      <c r="AH26" s="86"/>
      <c r="AI26" s="86"/>
      <c r="AJ26" s="86"/>
      <c r="AK26" s="86"/>
    </row>
    <row r="27" spans="1:37" ht="15.75" thickBot="1" x14ac:dyDescent="0.3">
      <c r="A27" s="87"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W27" s="6" t="s">
        <v>4</v>
      </c>
      <c r="X27" s="9"/>
      <c r="Y27" s="4"/>
      <c r="Z27" s="4"/>
      <c r="AA27" s="4"/>
      <c r="AB27" s="4"/>
      <c r="AC27" s="5"/>
      <c r="AE27" s="6" t="s">
        <v>4</v>
      </c>
      <c r="AF27" s="9"/>
      <c r="AG27" s="4"/>
      <c r="AH27" s="4"/>
      <c r="AI27" s="4"/>
      <c r="AJ27" s="4"/>
      <c r="AK27" s="5"/>
    </row>
    <row r="28" spans="1:37" ht="15.75" thickBot="1" x14ac:dyDescent="0.3">
      <c r="A28" s="87"/>
      <c r="B28" s="27">
        <v>20046</v>
      </c>
      <c r="C28" s="27">
        <v>21541</v>
      </c>
      <c r="D28" s="27">
        <v>21541</v>
      </c>
      <c r="E28" s="27">
        <v>22343</v>
      </c>
      <c r="F28" s="27">
        <f>SUM(C28-B28)</f>
        <v>1495</v>
      </c>
      <c r="G28" s="20">
        <f>SUM(E28-D28)</f>
        <v>802</v>
      </c>
      <c r="H28" s="21">
        <f>SUM(F28:G28)</f>
        <v>2297</v>
      </c>
      <c r="J28" s="7" t="s">
        <v>22</v>
      </c>
      <c r="K28" s="10"/>
      <c r="L28" s="11"/>
      <c r="M28" s="11"/>
      <c r="N28" s="11"/>
      <c r="O28" s="11"/>
      <c r="P28" s="11"/>
      <c r="Q28" s="11"/>
      <c r="R28" s="11"/>
      <c r="S28" s="11"/>
      <c r="T28" s="11"/>
      <c r="U28" s="12"/>
      <c r="W28" s="7" t="s">
        <v>22</v>
      </c>
      <c r="X28" s="10"/>
      <c r="Y28" s="11"/>
      <c r="Z28" s="11"/>
      <c r="AA28" s="11"/>
      <c r="AB28" s="11"/>
      <c r="AC28" s="12"/>
      <c r="AE28" s="7" t="s">
        <v>22</v>
      </c>
      <c r="AF28" s="10"/>
      <c r="AG28" s="11"/>
      <c r="AH28" s="11"/>
      <c r="AI28" s="11"/>
      <c r="AJ28" s="11"/>
      <c r="AK28" s="12"/>
    </row>
    <row r="29" spans="1:37" x14ac:dyDescent="0.25">
      <c r="J29" s="8"/>
      <c r="T29" s="8" t="s">
        <v>23</v>
      </c>
      <c r="U29" s="13">
        <f>SUM(K28:U28)</f>
        <v>0</v>
      </c>
      <c r="AB29" s="8" t="s">
        <v>23</v>
      </c>
      <c r="AC29" s="13">
        <f>SUM(X28:AC28)</f>
        <v>0</v>
      </c>
      <c r="AJ29" s="8" t="s">
        <v>23</v>
      </c>
      <c r="AK29" s="13">
        <f>SUM(AF28:AK28)</f>
        <v>0</v>
      </c>
    </row>
    <row r="30" spans="1:37" ht="15.75" thickBot="1" x14ac:dyDescent="0.3">
      <c r="A30" s="19"/>
      <c r="B30" s="83" t="s">
        <v>24</v>
      </c>
      <c r="C30" s="83"/>
      <c r="D30" s="83"/>
      <c r="E30" s="83"/>
      <c r="F30" s="83"/>
      <c r="G30" s="83"/>
      <c r="H30" s="83"/>
      <c r="J30" s="84" t="s">
        <v>24</v>
      </c>
      <c r="K30" s="84"/>
      <c r="L30" s="84"/>
      <c r="M30" s="84"/>
      <c r="N30" s="84"/>
      <c r="O30" s="84"/>
      <c r="P30" s="84"/>
      <c r="Q30" s="84"/>
      <c r="R30" s="84"/>
      <c r="S30" s="84"/>
      <c r="T30" s="84"/>
      <c r="U30" s="84"/>
      <c r="W30" s="85" t="str">
        <f>J30</f>
        <v>Junho</v>
      </c>
      <c r="X30" s="85"/>
      <c r="Y30" s="85"/>
      <c r="Z30" s="85"/>
      <c r="AA30" s="85"/>
      <c r="AB30" s="85"/>
      <c r="AC30" s="85"/>
      <c r="AE30" s="86" t="str">
        <f>W30</f>
        <v>Junho</v>
      </c>
      <c r="AF30" s="86"/>
      <c r="AG30" s="86"/>
      <c r="AH30" s="86"/>
      <c r="AI30" s="86"/>
      <c r="AJ30" s="86"/>
      <c r="AK30" s="86"/>
    </row>
    <row r="31" spans="1:37" ht="15.75" thickBot="1" x14ac:dyDescent="0.3">
      <c r="A31" s="87" t="s">
        <v>5</v>
      </c>
      <c r="B31" s="34" t="s">
        <v>6</v>
      </c>
      <c r="C31" s="22" t="s">
        <v>7</v>
      </c>
      <c r="D31" s="33" t="s">
        <v>8</v>
      </c>
      <c r="E31" s="22" t="s">
        <v>9</v>
      </c>
      <c r="F31" s="24" t="s">
        <v>10</v>
      </c>
      <c r="G31" s="23" t="s">
        <v>11</v>
      </c>
      <c r="H31" s="25" t="s">
        <v>12</v>
      </c>
      <c r="J31" s="6" t="s">
        <v>4</v>
      </c>
      <c r="K31" s="9">
        <v>45825</v>
      </c>
      <c r="L31" s="66">
        <v>45835</v>
      </c>
      <c r="M31" s="4"/>
      <c r="N31" s="4"/>
      <c r="O31" s="4"/>
      <c r="P31" s="4"/>
      <c r="Q31" s="4"/>
      <c r="R31" s="4"/>
      <c r="S31" s="4"/>
      <c r="T31" s="4"/>
      <c r="U31" s="5"/>
      <c r="W31" s="6" t="s">
        <v>4</v>
      </c>
      <c r="X31" s="9"/>
      <c r="Y31" s="4"/>
      <c r="Z31" s="4"/>
      <c r="AA31" s="4"/>
      <c r="AB31" s="4"/>
      <c r="AC31" s="5"/>
      <c r="AE31" s="6" t="s">
        <v>4</v>
      </c>
      <c r="AF31" s="9"/>
      <c r="AG31" s="4"/>
      <c r="AH31" s="4"/>
      <c r="AI31" s="4"/>
      <c r="AJ31" s="4"/>
      <c r="AK31" s="5"/>
    </row>
    <row r="32" spans="1:37" ht="15.75" thickBot="1" x14ac:dyDescent="0.3">
      <c r="A32" s="87"/>
      <c r="B32" s="27">
        <v>22343</v>
      </c>
      <c r="C32" s="27">
        <v>23151</v>
      </c>
      <c r="D32" s="27">
        <v>23151</v>
      </c>
      <c r="E32" s="27">
        <v>23698</v>
      </c>
      <c r="F32" s="27">
        <f>SUM(C32-B32)</f>
        <v>808</v>
      </c>
      <c r="G32" s="20">
        <f>SUM(E32-D32)</f>
        <v>547</v>
      </c>
      <c r="H32" s="21">
        <f>SUM(F32:G32)</f>
        <v>1355</v>
      </c>
      <c r="J32" s="7" t="s">
        <v>22</v>
      </c>
      <c r="K32" s="10">
        <v>192.99</v>
      </c>
      <c r="L32" s="11">
        <v>214.56</v>
      </c>
      <c r="M32" s="11"/>
      <c r="N32" s="11"/>
      <c r="O32" s="11"/>
      <c r="P32" s="11"/>
      <c r="Q32" s="11"/>
      <c r="R32" s="11"/>
      <c r="S32" s="11"/>
      <c r="T32" s="11"/>
      <c r="U32" s="12"/>
      <c r="W32" s="7" t="s">
        <v>22</v>
      </c>
      <c r="X32" s="10"/>
      <c r="Y32" s="11"/>
      <c r="Z32" s="11"/>
      <c r="AA32" s="11"/>
      <c r="AB32" s="11"/>
      <c r="AC32" s="12"/>
      <c r="AE32" s="7" t="s">
        <v>22</v>
      </c>
      <c r="AF32" s="10"/>
      <c r="AG32" s="11"/>
      <c r="AH32" s="11"/>
      <c r="AI32" s="11"/>
      <c r="AJ32" s="11"/>
      <c r="AK32" s="12"/>
    </row>
    <row r="33" spans="1:37" x14ac:dyDescent="0.25">
      <c r="J33" s="8"/>
      <c r="T33" s="8" t="s">
        <v>23</v>
      </c>
      <c r="U33" s="13">
        <f>SUM(K32:U32)</f>
        <v>407.55</v>
      </c>
      <c r="AB33" s="8" t="s">
        <v>23</v>
      </c>
      <c r="AC33" s="13">
        <f>SUM(X32:AC32)</f>
        <v>0</v>
      </c>
      <c r="AJ33" s="8" t="s">
        <v>23</v>
      </c>
      <c r="AK33" s="13">
        <f>SUM(AF32:AK32)</f>
        <v>0</v>
      </c>
    </row>
    <row r="34" spans="1:37" ht="15.75" thickBot="1" x14ac:dyDescent="0.3">
      <c r="A34" s="19"/>
      <c r="B34" s="83" t="s">
        <v>16</v>
      </c>
      <c r="C34" s="83"/>
      <c r="D34" s="83"/>
      <c r="E34" s="83"/>
      <c r="F34" s="83"/>
      <c r="G34" s="83"/>
      <c r="H34" s="83"/>
      <c r="J34" s="84" t="s">
        <v>16</v>
      </c>
      <c r="K34" s="84"/>
      <c r="L34" s="84"/>
      <c r="M34" s="84"/>
      <c r="N34" s="84"/>
      <c r="O34" s="84"/>
      <c r="P34" s="84"/>
      <c r="Q34" s="84"/>
      <c r="R34" s="84"/>
      <c r="S34" s="84"/>
      <c r="T34" s="84"/>
      <c r="U34" s="84"/>
      <c r="W34" s="85" t="str">
        <f>J34</f>
        <v>Julho</v>
      </c>
      <c r="X34" s="85"/>
      <c r="Y34" s="85"/>
      <c r="Z34" s="85"/>
      <c r="AA34" s="85"/>
      <c r="AB34" s="85"/>
      <c r="AC34" s="85"/>
      <c r="AE34" s="86" t="str">
        <f>W34</f>
        <v>Julho</v>
      </c>
      <c r="AF34" s="86"/>
      <c r="AG34" s="86"/>
      <c r="AH34" s="86"/>
      <c r="AI34" s="86"/>
      <c r="AJ34" s="86"/>
      <c r="AK34" s="86"/>
    </row>
    <row r="35" spans="1:37" ht="15.75" thickBot="1" x14ac:dyDescent="0.3">
      <c r="A35" s="87" t="s">
        <v>5</v>
      </c>
      <c r="B35" s="34" t="s">
        <v>6</v>
      </c>
      <c r="C35" s="22" t="s">
        <v>7</v>
      </c>
      <c r="D35" s="33" t="s">
        <v>8</v>
      </c>
      <c r="E35" s="22" t="s">
        <v>9</v>
      </c>
      <c r="F35" s="24" t="s">
        <v>10</v>
      </c>
      <c r="G35" s="23" t="s">
        <v>11</v>
      </c>
      <c r="H35" s="25" t="s">
        <v>12</v>
      </c>
      <c r="J35" s="6" t="s">
        <v>4</v>
      </c>
      <c r="K35" s="9">
        <v>45839</v>
      </c>
      <c r="L35" s="66">
        <v>45842</v>
      </c>
      <c r="M35" s="66">
        <v>45849</v>
      </c>
      <c r="N35" s="66">
        <v>45860</v>
      </c>
      <c r="O35" s="66">
        <v>45863</v>
      </c>
      <c r="P35" s="4"/>
      <c r="Q35" s="4"/>
      <c r="R35" s="4"/>
      <c r="S35" s="4"/>
      <c r="T35" s="4"/>
      <c r="U35" s="5"/>
      <c r="W35" s="6" t="s">
        <v>4</v>
      </c>
      <c r="X35" s="9"/>
      <c r="Y35" s="4"/>
      <c r="Z35" s="4"/>
      <c r="AA35" s="4"/>
      <c r="AB35" s="4"/>
      <c r="AC35" s="5"/>
      <c r="AE35" s="6" t="s">
        <v>4</v>
      </c>
      <c r="AF35" s="9"/>
      <c r="AG35" s="4"/>
      <c r="AH35" s="4"/>
      <c r="AI35" s="4"/>
      <c r="AJ35" s="4"/>
      <c r="AK35" s="5"/>
    </row>
    <row r="36" spans="1:37" ht="15.75" thickBot="1" x14ac:dyDescent="0.3">
      <c r="A36" s="87"/>
      <c r="B36" s="27">
        <v>23698</v>
      </c>
      <c r="C36" s="27">
        <v>24438</v>
      </c>
      <c r="D36" s="27">
        <v>24438</v>
      </c>
      <c r="E36" s="27">
        <v>25196</v>
      </c>
      <c r="F36" s="27">
        <f>SUM(C36-B36)</f>
        <v>740</v>
      </c>
      <c r="G36" s="20">
        <f>SUM(E36-D36)</f>
        <v>758</v>
      </c>
      <c r="H36" s="21">
        <f>SUM(F36:G36)</f>
        <v>1498</v>
      </c>
      <c r="J36" s="7" t="s">
        <v>22</v>
      </c>
      <c r="K36" s="10">
        <v>99.64</v>
      </c>
      <c r="L36" s="11">
        <v>187.33</v>
      </c>
      <c r="M36" s="11">
        <v>204.62</v>
      </c>
      <c r="N36" s="11">
        <v>249.08</v>
      </c>
      <c r="O36" s="11">
        <v>119.14</v>
      </c>
      <c r="P36" s="11"/>
      <c r="Q36" s="11"/>
      <c r="R36" s="11"/>
      <c r="S36" s="11"/>
      <c r="T36" s="11"/>
      <c r="U36" s="12"/>
      <c r="W36" s="7" t="s">
        <v>22</v>
      </c>
      <c r="X36" s="10"/>
      <c r="Y36" s="11"/>
      <c r="Z36" s="11"/>
      <c r="AA36" s="11"/>
      <c r="AB36" s="11"/>
      <c r="AC36" s="12"/>
      <c r="AE36" s="7" t="s">
        <v>22</v>
      </c>
      <c r="AF36" s="10"/>
      <c r="AG36" s="11"/>
      <c r="AH36" s="11"/>
      <c r="AI36" s="11"/>
      <c r="AJ36" s="11"/>
      <c r="AK36" s="12"/>
    </row>
    <row r="37" spans="1:37" x14ac:dyDescent="0.25">
      <c r="J37" s="8"/>
      <c r="T37" s="8" t="s">
        <v>23</v>
      </c>
      <c r="U37" s="13">
        <f>SUM(K36:U36)</f>
        <v>859.81000000000006</v>
      </c>
      <c r="AB37" s="8" t="s">
        <v>23</v>
      </c>
      <c r="AC37" s="13">
        <f>SUM(X36:AC36)</f>
        <v>0</v>
      </c>
      <c r="AJ37" s="8" t="s">
        <v>23</v>
      </c>
      <c r="AK37" s="13">
        <f>SUM(AF36:AK36)</f>
        <v>0</v>
      </c>
    </row>
    <row r="38" spans="1:37" ht="15.75" thickBot="1" x14ac:dyDescent="0.3">
      <c r="A38" s="19"/>
      <c r="B38" s="83" t="s">
        <v>17</v>
      </c>
      <c r="C38" s="83"/>
      <c r="D38" s="83"/>
      <c r="E38" s="83"/>
      <c r="F38" s="83"/>
      <c r="G38" s="83"/>
      <c r="H38" s="83"/>
      <c r="J38" s="84" t="s">
        <v>17</v>
      </c>
      <c r="K38" s="84"/>
      <c r="L38" s="84"/>
      <c r="M38" s="84"/>
      <c r="N38" s="84"/>
      <c r="O38" s="84"/>
      <c r="P38" s="84"/>
      <c r="Q38" s="84"/>
      <c r="R38" s="84"/>
      <c r="S38" s="84"/>
      <c r="T38" s="84"/>
      <c r="U38" s="84"/>
      <c r="W38" s="85" t="str">
        <f>J38</f>
        <v>Agosto</v>
      </c>
      <c r="X38" s="85"/>
      <c r="Y38" s="85"/>
      <c r="Z38" s="85"/>
      <c r="AA38" s="85"/>
      <c r="AB38" s="85"/>
      <c r="AC38" s="85"/>
      <c r="AE38" s="86" t="str">
        <f>W38</f>
        <v>Agosto</v>
      </c>
      <c r="AF38" s="86"/>
      <c r="AG38" s="86"/>
      <c r="AH38" s="86"/>
      <c r="AI38" s="86"/>
      <c r="AJ38" s="86"/>
      <c r="AK38" s="86"/>
    </row>
    <row r="39" spans="1:37" ht="15.75" thickBot="1" x14ac:dyDescent="0.3">
      <c r="A39" s="87" t="s">
        <v>5</v>
      </c>
      <c r="B39" s="34" t="s">
        <v>6</v>
      </c>
      <c r="C39" s="22" t="s">
        <v>7</v>
      </c>
      <c r="D39" s="33" t="s">
        <v>8</v>
      </c>
      <c r="E39" s="22" t="s">
        <v>9</v>
      </c>
      <c r="F39" s="24" t="s">
        <v>10</v>
      </c>
      <c r="G39" s="23" t="s">
        <v>11</v>
      </c>
      <c r="H39" s="25" t="s">
        <v>12</v>
      </c>
      <c r="J39" s="6" t="s">
        <v>4</v>
      </c>
      <c r="K39" s="9">
        <v>45870</v>
      </c>
      <c r="L39" s="66">
        <v>45874</v>
      </c>
      <c r="M39" s="66">
        <v>45881</v>
      </c>
      <c r="N39" s="66">
        <v>45895</v>
      </c>
      <c r="O39" s="66">
        <v>45898</v>
      </c>
      <c r="P39" s="4"/>
      <c r="Q39" s="4"/>
      <c r="R39" s="4"/>
      <c r="S39" s="4"/>
      <c r="T39" s="4"/>
      <c r="U39" s="5"/>
      <c r="W39" s="6" t="s">
        <v>4</v>
      </c>
      <c r="X39" s="9"/>
      <c r="Y39" s="4"/>
      <c r="Z39" s="4"/>
      <c r="AA39" s="4"/>
      <c r="AB39" s="4"/>
      <c r="AC39" s="5"/>
      <c r="AE39" s="6" t="s">
        <v>4</v>
      </c>
      <c r="AF39" s="9"/>
      <c r="AG39" s="4"/>
      <c r="AH39" s="4"/>
      <c r="AI39" s="4"/>
      <c r="AJ39" s="4"/>
      <c r="AK39" s="5"/>
    </row>
    <row r="40" spans="1:37" ht="15.75" thickBot="1" x14ac:dyDescent="0.3">
      <c r="A40" s="87"/>
      <c r="B40" s="27">
        <v>25196</v>
      </c>
      <c r="C40" s="27">
        <v>25858</v>
      </c>
      <c r="D40" s="27">
        <v>25858</v>
      </c>
      <c r="E40" s="27">
        <v>26286</v>
      </c>
      <c r="F40" s="27">
        <f>SUM(C40-B40)</f>
        <v>662</v>
      </c>
      <c r="G40" s="20">
        <f>SUM(E40-D40)</f>
        <v>428</v>
      </c>
      <c r="H40" s="21">
        <f>SUM(F40:G40)</f>
        <v>1090</v>
      </c>
      <c r="J40" s="7" t="s">
        <v>22</v>
      </c>
      <c r="K40" s="10">
        <v>260</v>
      </c>
      <c r="L40" s="11">
        <v>138.83000000000001</v>
      </c>
      <c r="M40" s="11">
        <v>196.89</v>
      </c>
      <c r="N40" s="11">
        <v>233.68</v>
      </c>
      <c r="O40" s="11">
        <v>136.88</v>
      </c>
      <c r="P40" s="11"/>
      <c r="Q40" s="11"/>
      <c r="R40" s="11"/>
      <c r="S40" s="11"/>
      <c r="T40" s="11"/>
      <c r="U40" s="12"/>
      <c r="W40" s="7" t="s">
        <v>22</v>
      </c>
      <c r="X40" s="10"/>
      <c r="Y40" s="11"/>
      <c r="Z40" s="11"/>
      <c r="AA40" s="11"/>
      <c r="AB40" s="11"/>
      <c r="AC40" s="12"/>
      <c r="AE40" s="7" t="s">
        <v>22</v>
      </c>
      <c r="AF40" s="10"/>
      <c r="AG40" s="11"/>
      <c r="AH40" s="11"/>
      <c r="AI40" s="11"/>
      <c r="AJ40" s="11"/>
      <c r="AK40" s="12"/>
    </row>
    <row r="41" spans="1:37" x14ac:dyDescent="0.25">
      <c r="J41" s="8"/>
      <c r="T41" s="8" t="s">
        <v>23</v>
      </c>
      <c r="U41" s="13">
        <f>SUM(K40:U40)</f>
        <v>966.28000000000009</v>
      </c>
      <c r="AB41" s="8" t="s">
        <v>23</v>
      </c>
      <c r="AC41" s="13">
        <f>SUM(X40:AC40)</f>
        <v>0</v>
      </c>
      <c r="AJ41" s="8" t="s">
        <v>23</v>
      </c>
      <c r="AK41" s="13">
        <f>SUM(AF40:AK40)</f>
        <v>0</v>
      </c>
    </row>
    <row r="42" spans="1:37" ht="15.75" thickBot="1" x14ac:dyDescent="0.3">
      <c r="A42" s="19"/>
      <c r="B42" s="83" t="s">
        <v>18</v>
      </c>
      <c r="C42" s="83"/>
      <c r="D42" s="83"/>
      <c r="E42" s="83"/>
      <c r="F42" s="83"/>
      <c r="G42" s="83"/>
      <c r="H42" s="83"/>
      <c r="J42" s="84" t="s">
        <v>18</v>
      </c>
      <c r="K42" s="84"/>
      <c r="L42" s="84"/>
      <c r="M42" s="84"/>
      <c r="N42" s="84"/>
      <c r="O42" s="84"/>
      <c r="P42" s="84"/>
      <c r="Q42" s="84"/>
      <c r="R42" s="84"/>
      <c r="S42" s="84"/>
      <c r="T42" s="84"/>
      <c r="U42" s="84"/>
      <c r="W42" s="85" t="str">
        <f>J42</f>
        <v>Setembro</v>
      </c>
      <c r="X42" s="85"/>
      <c r="Y42" s="85"/>
      <c r="Z42" s="85"/>
      <c r="AA42" s="85"/>
      <c r="AB42" s="85"/>
      <c r="AC42" s="85"/>
      <c r="AE42" s="86" t="str">
        <f>W42</f>
        <v>Setembro</v>
      </c>
      <c r="AF42" s="86"/>
      <c r="AG42" s="86"/>
      <c r="AH42" s="86"/>
      <c r="AI42" s="86"/>
      <c r="AJ42" s="86"/>
      <c r="AK42" s="86"/>
    </row>
    <row r="43" spans="1:37" ht="15.75" thickBot="1" x14ac:dyDescent="0.3">
      <c r="A43" s="87" t="s">
        <v>5</v>
      </c>
      <c r="B43" s="34" t="s">
        <v>6</v>
      </c>
      <c r="C43" s="22" t="s">
        <v>7</v>
      </c>
      <c r="D43" s="33" t="s">
        <v>8</v>
      </c>
      <c r="E43" s="22" t="s">
        <v>9</v>
      </c>
      <c r="F43" s="24" t="s">
        <v>10</v>
      </c>
      <c r="G43" s="23" t="s">
        <v>11</v>
      </c>
      <c r="H43" s="25" t="s">
        <v>12</v>
      </c>
      <c r="J43" s="6" t="s">
        <v>4</v>
      </c>
      <c r="K43" s="9">
        <v>45905</v>
      </c>
      <c r="L43" s="66">
        <v>45912</v>
      </c>
      <c r="M43" s="66">
        <v>45919</v>
      </c>
      <c r="N43" s="66">
        <v>45930</v>
      </c>
      <c r="O43" s="4"/>
      <c r="P43" s="4"/>
      <c r="Q43" s="4"/>
      <c r="R43" s="4"/>
      <c r="S43" s="4"/>
      <c r="T43" s="4"/>
      <c r="U43" s="5"/>
      <c r="W43" s="6" t="s">
        <v>4</v>
      </c>
      <c r="X43" s="9"/>
      <c r="Y43" s="4"/>
      <c r="Z43" s="4"/>
      <c r="AA43" s="4"/>
      <c r="AB43" s="4"/>
      <c r="AC43" s="5"/>
      <c r="AE43" s="6" t="s">
        <v>4</v>
      </c>
      <c r="AF43" s="9"/>
      <c r="AG43" s="4"/>
      <c r="AH43" s="4"/>
      <c r="AI43" s="4"/>
      <c r="AJ43" s="4"/>
      <c r="AK43" s="5"/>
    </row>
    <row r="44" spans="1:37" ht="15.75" thickBot="1" x14ac:dyDescent="0.3">
      <c r="A44" s="87"/>
      <c r="B44" s="27">
        <v>26286</v>
      </c>
      <c r="C44" s="27">
        <v>26841</v>
      </c>
      <c r="D44" s="27">
        <v>26841</v>
      </c>
      <c r="E44" s="27">
        <v>27621</v>
      </c>
      <c r="F44" s="27">
        <f>SUM(C44-B44)</f>
        <v>555</v>
      </c>
      <c r="G44" s="20">
        <f>SUM(E44-D44)</f>
        <v>780</v>
      </c>
      <c r="H44" s="21">
        <f>SUM(F44:G44)</f>
        <v>1335</v>
      </c>
      <c r="J44" s="7" t="s">
        <v>22</v>
      </c>
      <c r="K44" s="10">
        <v>202.09</v>
      </c>
      <c r="L44" s="11">
        <v>161.85</v>
      </c>
      <c r="M44" s="11">
        <v>217.3</v>
      </c>
      <c r="N44" s="11">
        <v>142.54</v>
      </c>
      <c r="O44" s="11"/>
      <c r="P44" s="11"/>
      <c r="Q44" s="11"/>
      <c r="R44" s="11"/>
      <c r="S44" s="11"/>
      <c r="T44" s="11"/>
      <c r="U44" s="12"/>
      <c r="W44" s="7" t="s">
        <v>22</v>
      </c>
      <c r="X44" s="10"/>
      <c r="Y44" s="11"/>
      <c r="Z44" s="11"/>
      <c r="AA44" s="11"/>
      <c r="AB44" s="11"/>
      <c r="AC44" s="12"/>
      <c r="AE44" s="7" t="s">
        <v>22</v>
      </c>
      <c r="AF44" s="10"/>
      <c r="AG44" s="11"/>
      <c r="AH44" s="11"/>
      <c r="AI44" s="11"/>
      <c r="AJ44" s="11"/>
      <c r="AK44" s="12"/>
    </row>
    <row r="45" spans="1:37" x14ac:dyDescent="0.25">
      <c r="J45" s="8"/>
      <c r="T45" s="8" t="s">
        <v>23</v>
      </c>
      <c r="U45" s="13">
        <f>SUM(K44:U44)</f>
        <v>723.78</v>
      </c>
      <c r="AB45" s="8" t="s">
        <v>23</v>
      </c>
      <c r="AC45" s="13">
        <f>SUM(X44:AC44)</f>
        <v>0</v>
      </c>
      <c r="AJ45" s="8" t="s">
        <v>23</v>
      </c>
      <c r="AK45" s="13">
        <f>SUM(AF44:AK44)</f>
        <v>0</v>
      </c>
    </row>
    <row r="46" spans="1:37" ht="15.75" thickBot="1" x14ac:dyDescent="0.3">
      <c r="A46" s="19"/>
      <c r="B46" s="83" t="s">
        <v>19</v>
      </c>
      <c r="C46" s="83"/>
      <c r="D46" s="83"/>
      <c r="E46" s="83"/>
      <c r="F46" s="83"/>
      <c r="G46" s="83"/>
      <c r="H46" s="83"/>
      <c r="J46" s="84" t="s">
        <v>19</v>
      </c>
      <c r="K46" s="84"/>
      <c r="L46" s="84"/>
      <c r="M46" s="84"/>
      <c r="N46" s="84"/>
      <c r="O46" s="84"/>
      <c r="P46" s="84"/>
      <c r="Q46" s="84"/>
      <c r="R46" s="84"/>
      <c r="S46" s="84"/>
      <c r="T46" s="84"/>
      <c r="U46" s="84"/>
      <c r="W46" s="85" t="str">
        <f>J46</f>
        <v>Outubro</v>
      </c>
      <c r="X46" s="85"/>
      <c r="Y46" s="85"/>
      <c r="Z46" s="85"/>
      <c r="AA46" s="85"/>
      <c r="AB46" s="85"/>
      <c r="AC46" s="85"/>
      <c r="AE46" s="86" t="str">
        <f>W46</f>
        <v>Outubro</v>
      </c>
      <c r="AF46" s="86"/>
      <c r="AG46" s="86"/>
      <c r="AH46" s="86"/>
      <c r="AI46" s="86"/>
      <c r="AJ46" s="86"/>
      <c r="AK46" s="86"/>
    </row>
    <row r="47" spans="1:37" ht="15.75" thickBot="1" x14ac:dyDescent="0.3">
      <c r="A47" s="87" t="s">
        <v>5</v>
      </c>
      <c r="B47" s="34" t="s">
        <v>6</v>
      </c>
      <c r="C47" s="22" t="s">
        <v>7</v>
      </c>
      <c r="D47" s="33" t="s">
        <v>8</v>
      </c>
      <c r="E47" s="22" t="s">
        <v>9</v>
      </c>
      <c r="F47" s="24" t="s">
        <v>10</v>
      </c>
      <c r="G47" s="23" t="s">
        <v>11</v>
      </c>
      <c r="H47" s="25" t="s">
        <v>12</v>
      </c>
      <c r="J47" s="6" t="s">
        <v>4</v>
      </c>
      <c r="K47" s="9">
        <v>45940</v>
      </c>
      <c r="L47" s="66">
        <v>45944</v>
      </c>
      <c r="M47" s="66">
        <v>45960</v>
      </c>
      <c r="N47" s="4"/>
      <c r="O47" s="4"/>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87"/>
      <c r="B48" s="27">
        <v>27621</v>
      </c>
      <c r="C48" s="27">
        <v>28119</v>
      </c>
      <c r="D48" s="27">
        <v>28119</v>
      </c>
      <c r="E48" s="27">
        <v>30245</v>
      </c>
      <c r="F48" s="27">
        <f>SUM(C48-B48)</f>
        <v>498</v>
      </c>
      <c r="G48" s="20">
        <f>SUM(E48-D48)</f>
        <v>2126</v>
      </c>
      <c r="H48" s="21">
        <f>SUM(F48:G48)</f>
        <v>2624</v>
      </c>
      <c r="J48" s="7" t="s">
        <v>22</v>
      </c>
      <c r="K48" s="10">
        <v>241.74</v>
      </c>
      <c r="L48" s="11">
        <v>128.69999999999999</v>
      </c>
      <c r="M48" s="11">
        <v>273</v>
      </c>
      <c r="N48" s="11"/>
      <c r="O48" s="11"/>
      <c r="P48" s="11"/>
      <c r="Q48" s="11"/>
      <c r="R48" s="11"/>
      <c r="S48" s="11"/>
      <c r="T48" s="11"/>
      <c r="U48" s="12"/>
      <c r="W48" s="7" t="s">
        <v>22</v>
      </c>
      <c r="X48" s="10"/>
      <c r="Y48" s="11"/>
      <c r="Z48" s="11"/>
      <c r="AA48" s="11"/>
      <c r="AB48" s="11"/>
      <c r="AC48" s="12"/>
      <c r="AE48" s="7" t="s">
        <v>22</v>
      </c>
      <c r="AF48" s="10"/>
      <c r="AG48" s="11"/>
      <c r="AH48" s="11"/>
      <c r="AI48" s="11"/>
      <c r="AJ48" s="11"/>
      <c r="AK48" s="12"/>
    </row>
    <row r="49" spans="1:37" x14ac:dyDescent="0.25">
      <c r="J49" s="8"/>
      <c r="T49" s="8" t="s">
        <v>23</v>
      </c>
      <c r="U49" s="13">
        <f>SUM(K48:U48)</f>
        <v>643.44000000000005</v>
      </c>
      <c r="AB49" s="8" t="s">
        <v>23</v>
      </c>
      <c r="AC49" s="13">
        <f>SUM(X48:AC48)</f>
        <v>0</v>
      </c>
      <c r="AJ49" s="8" t="s">
        <v>23</v>
      </c>
      <c r="AK49" s="13">
        <f>SUM(AF48:AK48)</f>
        <v>0</v>
      </c>
    </row>
    <row r="50" spans="1:37" ht="15.75" thickBot="1" x14ac:dyDescent="0.3">
      <c r="A50" s="19"/>
      <c r="B50" s="83" t="s">
        <v>20</v>
      </c>
      <c r="C50" s="83"/>
      <c r="D50" s="83"/>
      <c r="E50" s="83"/>
      <c r="F50" s="83"/>
      <c r="G50" s="83"/>
      <c r="H50" s="83"/>
      <c r="J50" s="84" t="s">
        <v>20</v>
      </c>
      <c r="K50" s="84"/>
      <c r="L50" s="84"/>
      <c r="M50" s="84"/>
      <c r="N50" s="84"/>
      <c r="O50" s="84"/>
      <c r="P50" s="84"/>
      <c r="Q50" s="84"/>
      <c r="R50" s="84"/>
      <c r="S50" s="84"/>
      <c r="T50" s="84"/>
      <c r="U50" s="84"/>
      <c r="W50" s="85" t="str">
        <f>J50</f>
        <v>Novembro</v>
      </c>
      <c r="X50" s="85"/>
      <c r="Y50" s="85"/>
      <c r="Z50" s="85"/>
      <c r="AA50" s="85"/>
      <c r="AB50" s="85"/>
      <c r="AC50" s="85"/>
      <c r="AE50" s="86" t="str">
        <f>W50</f>
        <v>Novembro</v>
      </c>
      <c r="AF50" s="86"/>
      <c r="AG50" s="86"/>
      <c r="AH50" s="86"/>
      <c r="AI50" s="86"/>
      <c r="AJ50" s="86"/>
      <c r="AK50" s="86"/>
    </row>
    <row r="51" spans="1:37" ht="15.75" thickBot="1" x14ac:dyDescent="0.3">
      <c r="A51" s="87" t="s">
        <v>5</v>
      </c>
      <c r="B51" s="34" t="s">
        <v>6</v>
      </c>
      <c r="C51" s="22" t="s">
        <v>7</v>
      </c>
      <c r="D51" s="33" t="s">
        <v>8</v>
      </c>
      <c r="E51" s="22" t="s">
        <v>9</v>
      </c>
      <c r="F51" s="24" t="s">
        <v>10</v>
      </c>
      <c r="G51" s="23" t="s">
        <v>11</v>
      </c>
      <c r="H51" s="25" t="s">
        <v>12</v>
      </c>
      <c r="J51" s="6" t="s">
        <v>4</v>
      </c>
      <c r="K51" s="9">
        <v>45968</v>
      </c>
      <c r="L51" s="66">
        <v>45975</v>
      </c>
      <c r="M51" s="4"/>
      <c r="N51" s="4"/>
      <c r="O51" s="4"/>
      <c r="P51" s="4"/>
      <c r="Q51" s="4"/>
      <c r="R51" s="4"/>
      <c r="S51" s="4"/>
      <c r="T51" s="4"/>
      <c r="U51" s="5"/>
      <c r="W51" s="6" t="s">
        <v>4</v>
      </c>
      <c r="X51" s="9"/>
      <c r="Y51" s="4"/>
      <c r="Z51" s="4"/>
      <c r="AA51" s="4"/>
      <c r="AB51" s="4"/>
      <c r="AC51" s="5"/>
      <c r="AE51" s="6" t="s">
        <v>4</v>
      </c>
      <c r="AF51" s="9"/>
      <c r="AG51" s="4"/>
      <c r="AH51" s="4"/>
      <c r="AI51" s="4"/>
      <c r="AJ51" s="4"/>
      <c r="AK51" s="5"/>
    </row>
    <row r="52" spans="1:37" ht="15.75" thickBot="1" x14ac:dyDescent="0.3">
      <c r="A52" s="87"/>
      <c r="B52" s="27">
        <v>30245</v>
      </c>
      <c r="C52" s="27">
        <v>30700</v>
      </c>
      <c r="D52" s="27">
        <v>30700</v>
      </c>
      <c r="E52" s="27">
        <v>31141</v>
      </c>
      <c r="F52" s="27">
        <f>SUM(C52-B52)</f>
        <v>455</v>
      </c>
      <c r="G52" s="20">
        <f>SUM(E52-D52)</f>
        <v>441</v>
      </c>
      <c r="H52" s="21">
        <f>SUM(F52:G52)</f>
        <v>896</v>
      </c>
      <c r="J52" s="7" t="s">
        <v>22</v>
      </c>
      <c r="K52" s="10">
        <v>212.86</v>
      </c>
      <c r="L52" s="11">
        <v>187.2</v>
      </c>
      <c r="M52" s="11"/>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37" x14ac:dyDescent="0.25">
      <c r="J53" s="8"/>
      <c r="T53" s="8" t="s">
        <v>23</v>
      </c>
      <c r="U53" s="13">
        <f>SUM(K52:U52)</f>
        <v>400.06</v>
      </c>
      <c r="AB53" s="8" t="s">
        <v>23</v>
      </c>
      <c r="AC53" s="13">
        <f>SUM(X52:AC52)</f>
        <v>0</v>
      </c>
      <c r="AJ53" s="8" t="s">
        <v>23</v>
      </c>
      <c r="AK53" s="13">
        <f>SUM(AF52:AK52)</f>
        <v>0</v>
      </c>
    </row>
    <row r="54" spans="1:37" ht="15.75" thickBot="1" x14ac:dyDescent="0.3">
      <c r="A54" s="19"/>
      <c r="B54" s="83" t="s">
        <v>21</v>
      </c>
      <c r="C54" s="83"/>
      <c r="D54" s="83"/>
      <c r="E54" s="83"/>
      <c r="F54" s="83"/>
      <c r="G54" s="83"/>
      <c r="H54" s="83"/>
      <c r="J54" s="84" t="s">
        <v>21</v>
      </c>
      <c r="K54" s="84"/>
      <c r="L54" s="84"/>
      <c r="M54" s="84"/>
      <c r="N54" s="84"/>
      <c r="O54" s="84"/>
      <c r="P54" s="84"/>
      <c r="Q54" s="84"/>
      <c r="R54" s="84"/>
      <c r="S54" s="84"/>
      <c r="T54" s="84"/>
      <c r="U54" s="84"/>
      <c r="W54" s="85" t="str">
        <f>J54</f>
        <v>Dezembro</v>
      </c>
      <c r="X54" s="85"/>
      <c r="Y54" s="85"/>
      <c r="Z54" s="85"/>
      <c r="AA54" s="85"/>
      <c r="AB54" s="85"/>
      <c r="AC54" s="85"/>
      <c r="AE54" s="86" t="str">
        <f>W54</f>
        <v>Dezembro</v>
      </c>
      <c r="AF54" s="86"/>
      <c r="AG54" s="86"/>
      <c r="AH54" s="86"/>
      <c r="AI54" s="86"/>
      <c r="AJ54" s="86"/>
      <c r="AK54" s="86"/>
    </row>
    <row r="55" spans="1:37" ht="15.75" thickBot="1" x14ac:dyDescent="0.3">
      <c r="A55" s="87" t="s">
        <v>5</v>
      </c>
      <c r="B55" s="34" t="s">
        <v>6</v>
      </c>
      <c r="C55" s="22" t="s">
        <v>7</v>
      </c>
      <c r="D55" s="33" t="s">
        <v>8</v>
      </c>
      <c r="E55" s="22" t="s">
        <v>9</v>
      </c>
      <c r="F55" s="24" t="s">
        <v>10</v>
      </c>
      <c r="G55" s="23" t="s">
        <v>11</v>
      </c>
      <c r="H55" s="25" t="s">
        <v>12</v>
      </c>
      <c r="J55" s="6" t="s">
        <v>4</v>
      </c>
      <c r="K55" s="9">
        <v>45996</v>
      </c>
      <c r="L55" s="66">
        <v>46008</v>
      </c>
      <c r="M55" s="4"/>
      <c r="N55" s="4"/>
      <c r="O55" s="4"/>
      <c r="P55" s="4"/>
      <c r="Q55" s="4"/>
      <c r="R55" s="4"/>
      <c r="S55" s="4"/>
      <c r="T55" s="4"/>
      <c r="U55" s="5"/>
      <c r="W55" s="6" t="s">
        <v>4</v>
      </c>
      <c r="X55" s="9"/>
      <c r="Y55" s="4"/>
      <c r="Z55" s="4"/>
      <c r="AA55" s="4"/>
      <c r="AB55" s="4"/>
      <c r="AC55" s="5"/>
      <c r="AE55" s="6" t="s">
        <v>4</v>
      </c>
      <c r="AF55" s="9"/>
      <c r="AG55" s="4"/>
      <c r="AH55" s="4"/>
      <c r="AI55" s="4"/>
      <c r="AJ55" s="4"/>
      <c r="AK55" s="5"/>
    </row>
    <row r="56" spans="1:37" ht="15.75" thickBot="1" x14ac:dyDescent="0.3">
      <c r="A56" s="87"/>
      <c r="B56" s="27">
        <v>31141</v>
      </c>
      <c r="C56" s="27">
        <v>31651</v>
      </c>
      <c r="D56" s="27">
        <v>31651</v>
      </c>
      <c r="E56" s="27">
        <v>31860</v>
      </c>
      <c r="F56" s="27">
        <f>SUM(C56-B56)</f>
        <v>510</v>
      </c>
      <c r="G56" s="20">
        <f>SUM(E56-D56)</f>
        <v>209</v>
      </c>
      <c r="H56" s="21">
        <f>SUM(F56:G56)</f>
        <v>719</v>
      </c>
      <c r="J56" s="7" t="s">
        <v>22</v>
      </c>
      <c r="K56" s="10">
        <v>248.71</v>
      </c>
      <c r="L56" s="11">
        <v>251.6</v>
      </c>
      <c r="M56" s="11"/>
      <c r="N56" s="11"/>
      <c r="O56" s="11"/>
      <c r="P56" s="11"/>
      <c r="Q56" s="11"/>
      <c r="R56" s="11"/>
      <c r="S56" s="11"/>
      <c r="T56" s="11"/>
      <c r="U56" s="12"/>
      <c r="W56" s="7" t="s">
        <v>22</v>
      </c>
      <c r="X56" s="10"/>
      <c r="Y56" s="11"/>
      <c r="Z56" s="11"/>
      <c r="AA56" s="11"/>
      <c r="AB56" s="11"/>
      <c r="AC56" s="12"/>
      <c r="AE56" s="7" t="s">
        <v>22</v>
      </c>
      <c r="AF56" s="10"/>
      <c r="AG56" s="11"/>
      <c r="AH56" s="11"/>
      <c r="AI56" s="11"/>
      <c r="AJ56" s="11"/>
      <c r="AK56" s="12"/>
    </row>
    <row r="57" spans="1:37" x14ac:dyDescent="0.25">
      <c r="J57" s="8"/>
      <c r="T57" s="8" t="s">
        <v>23</v>
      </c>
      <c r="U57" s="13">
        <f>SUM(K56:U56)</f>
        <v>500.31</v>
      </c>
      <c r="AB57" s="8" t="s">
        <v>23</v>
      </c>
      <c r="AC57" s="13">
        <f>SUM(X56:AC56)</f>
        <v>0</v>
      </c>
      <c r="AJ57" s="8" t="s">
        <v>23</v>
      </c>
      <c r="AK57" s="13">
        <f>SUM(AF56:AK56)</f>
        <v>0</v>
      </c>
    </row>
    <row r="58" spans="1:37" ht="15.75" thickBot="1" x14ac:dyDescent="0.3">
      <c r="A58" s="19">
        <v>2026</v>
      </c>
      <c r="B58" s="83" t="s">
        <v>83</v>
      </c>
      <c r="C58" s="83"/>
      <c r="D58" s="83"/>
      <c r="E58" s="83"/>
      <c r="F58" s="83"/>
      <c r="G58" s="83"/>
      <c r="H58" s="83"/>
      <c r="J58" s="84" t="s">
        <v>83</v>
      </c>
      <c r="K58" s="84"/>
      <c r="L58" s="84"/>
      <c r="M58" s="84"/>
      <c r="N58" s="84"/>
      <c r="O58" s="84"/>
      <c r="P58" s="84"/>
      <c r="Q58" s="84"/>
      <c r="R58" s="84"/>
      <c r="S58" s="84"/>
      <c r="T58" s="84"/>
      <c r="U58" s="84"/>
      <c r="W58" s="85" t="s">
        <v>83</v>
      </c>
      <c r="X58" s="85"/>
      <c r="Y58" s="85"/>
      <c r="Z58" s="85"/>
      <c r="AA58" s="85"/>
      <c r="AB58" s="85"/>
      <c r="AC58" s="85"/>
      <c r="AE58" s="86" t="s">
        <v>83</v>
      </c>
      <c r="AF58" s="86"/>
      <c r="AG58" s="86"/>
      <c r="AH58" s="86"/>
      <c r="AI58" s="86"/>
      <c r="AJ58" s="86"/>
      <c r="AK58" s="86"/>
    </row>
    <row r="59" spans="1:37" ht="15.75" thickBot="1" x14ac:dyDescent="0.3">
      <c r="A59" s="87" t="s">
        <v>5</v>
      </c>
      <c r="B59" s="34" t="s">
        <v>6</v>
      </c>
      <c r="C59" s="22" t="s">
        <v>7</v>
      </c>
      <c r="D59" s="33" t="s">
        <v>8</v>
      </c>
      <c r="E59" s="22" t="s">
        <v>9</v>
      </c>
      <c r="F59" s="24" t="s">
        <v>10</v>
      </c>
      <c r="G59" s="23" t="s">
        <v>11</v>
      </c>
      <c r="H59" s="25" t="s">
        <v>12</v>
      </c>
      <c r="J59" s="28" t="s">
        <v>4</v>
      </c>
      <c r="K59" s="9"/>
      <c r="L59" s="4"/>
      <c r="M59" s="4"/>
      <c r="N59" s="4"/>
      <c r="O59" s="4"/>
      <c r="P59" s="4"/>
      <c r="Q59" s="4"/>
      <c r="R59" s="4"/>
      <c r="S59" s="4"/>
      <c r="T59" s="4"/>
      <c r="U59" s="5"/>
      <c r="W59" s="6" t="s">
        <v>4</v>
      </c>
      <c r="X59" s="9"/>
      <c r="Y59" s="4"/>
      <c r="Z59" s="4"/>
      <c r="AA59" s="4"/>
      <c r="AB59" s="4"/>
      <c r="AC59" s="5"/>
      <c r="AE59" s="6" t="s">
        <v>4</v>
      </c>
      <c r="AF59" s="9"/>
      <c r="AG59" s="4"/>
      <c r="AH59" s="4"/>
      <c r="AI59" s="4"/>
      <c r="AJ59" s="4"/>
      <c r="AK59" s="5"/>
    </row>
    <row r="60" spans="1:37" ht="15.75" thickBot="1" x14ac:dyDescent="0.3">
      <c r="A60" s="87"/>
      <c r="B60" s="27">
        <v>31860</v>
      </c>
      <c r="C60" s="27"/>
      <c r="D60" s="27"/>
      <c r="E60" s="27">
        <v>33503</v>
      </c>
      <c r="F60" s="27">
        <f>SUM(C60-B60)</f>
        <v>-31860</v>
      </c>
      <c r="G60" s="20">
        <f>SUM(E60-D60)</f>
        <v>33503</v>
      </c>
      <c r="H60" s="21">
        <f>SUM(F60:G60)</f>
        <v>1643</v>
      </c>
      <c r="J60" s="29" t="s">
        <v>22</v>
      </c>
      <c r="K60" s="10"/>
      <c r="L60" s="11"/>
      <c r="M60" s="11"/>
      <c r="N60" s="11"/>
      <c r="O60" s="11"/>
      <c r="P60" s="11"/>
      <c r="Q60" s="11"/>
      <c r="R60" s="11"/>
      <c r="S60" s="11"/>
      <c r="T60" s="11"/>
      <c r="U60" s="12"/>
      <c r="W60" s="7" t="s">
        <v>22</v>
      </c>
      <c r="X60" s="10"/>
      <c r="Y60" s="11"/>
      <c r="Z60" s="11"/>
      <c r="AA60" s="11"/>
      <c r="AB60" s="11"/>
      <c r="AC60" s="12"/>
      <c r="AE60" s="7" t="s">
        <v>22</v>
      </c>
      <c r="AF60" s="10"/>
      <c r="AG60" s="11"/>
      <c r="AH60" s="11"/>
      <c r="AI60" s="11"/>
      <c r="AJ60" s="11"/>
      <c r="AK60" s="12"/>
    </row>
    <row r="61" spans="1:37" x14ac:dyDescent="0.25">
      <c r="J61" s="8"/>
      <c r="T61" s="8" t="s">
        <v>23</v>
      </c>
      <c r="U61" s="13">
        <f>SUM(K60:U60)</f>
        <v>0</v>
      </c>
      <c r="AB61" s="8" t="s">
        <v>23</v>
      </c>
      <c r="AC61" s="13">
        <f>SUM(X60:AC60)</f>
        <v>0</v>
      </c>
      <c r="AJ61" s="8" t="s">
        <v>23</v>
      </c>
      <c r="AK61" s="13">
        <f>SUM(AF60:AK60)</f>
        <v>0</v>
      </c>
    </row>
    <row r="62" spans="1:37" ht="15.75" thickBot="1" x14ac:dyDescent="0.3">
      <c r="A62" s="19"/>
      <c r="B62" s="83" t="s">
        <v>3</v>
      </c>
      <c r="C62" s="83"/>
      <c r="D62" s="83"/>
      <c r="E62" s="83"/>
      <c r="F62" s="83"/>
      <c r="G62" s="83"/>
      <c r="H62" s="83"/>
      <c r="J62" s="84" t="s">
        <v>3</v>
      </c>
      <c r="K62" s="84"/>
      <c r="L62" s="84"/>
      <c r="M62" s="84"/>
      <c r="N62" s="84"/>
      <c r="O62" s="84"/>
      <c r="P62" s="84"/>
      <c r="Q62" s="84"/>
      <c r="R62" s="84"/>
      <c r="S62" s="84"/>
      <c r="T62" s="84"/>
      <c r="U62" s="84"/>
      <c r="W62" s="85" t="s">
        <v>3</v>
      </c>
      <c r="X62" s="85"/>
      <c r="Y62" s="85"/>
      <c r="Z62" s="85"/>
      <c r="AA62" s="85"/>
      <c r="AB62" s="85"/>
      <c r="AC62" s="85"/>
      <c r="AE62" s="86" t="s">
        <v>3</v>
      </c>
      <c r="AF62" s="86"/>
      <c r="AG62" s="86"/>
      <c r="AH62" s="86"/>
      <c r="AI62" s="86"/>
      <c r="AJ62" s="86"/>
      <c r="AK62" s="86"/>
    </row>
    <row r="63" spans="1:37" ht="15.75" thickBot="1" x14ac:dyDescent="0.3">
      <c r="A63" s="87" t="s">
        <v>5</v>
      </c>
      <c r="B63" s="34" t="s">
        <v>6</v>
      </c>
      <c r="C63" s="22" t="s">
        <v>7</v>
      </c>
      <c r="D63" s="33" t="s">
        <v>8</v>
      </c>
      <c r="E63" s="22" t="s">
        <v>9</v>
      </c>
      <c r="F63" s="24" t="s">
        <v>10</v>
      </c>
      <c r="G63" s="23" t="s">
        <v>11</v>
      </c>
      <c r="H63" s="25" t="s">
        <v>12</v>
      </c>
      <c r="J63" s="28" t="s">
        <v>4</v>
      </c>
      <c r="K63" s="9"/>
      <c r="L63" s="66"/>
      <c r="M63" s="66"/>
      <c r="N63" s="4"/>
      <c r="O63" s="4"/>
      <c r="P63" s="4"/>
      <c r="Q63" s="4"/>
      <c r="R63" s="4"/>
      <c r="S63" s="4"/>
      <c r="T63" s="4"/>
      <c r="U63" s="5"/>
      <c r="W63" s="6" t="s">
        <v>4</v>
      </c>
      <c r="X63" s="9"/>
      <c r="Y63" s="4"/>
      <c r="Z63" s="4"/>
      <c r="AA63" s="4"/>
      <c r="AB63" s="4"/>
      <c r="AC63" s="5"/>
      <c r="AE63" s="6" t="s">
        <v>4</v>
      </c>
      <c r="AF63" s="9"/>
      <c r="AG63" s="4"/>
      <c r="AH63" s="4"/>
      <c r="AI63" s="4"/>
      <c r="AJ63" s="4"/>
      <c r="AK63" s="5"/>
    </row>
    <row r="64" spans="1:37" ht="15.75" thickBot="1" x14ac:dyDescent="0.3">
      <c r="A64" s="87"/>
      <c r="B64" s="27">
        <v>33503</v>
      </c>
      <c r="C64" s="27"/>
      <c r="D64" s="27"/>
      <c r="E64" s="27">
        <v>34966</v>
      </c>
      <c r="F64" s="27">
        <f>SUM(C64-B64)</f>
        <v>-33503</v>
      </c>
      <c r="G64" s="20">
        <f>SUM(E64-D64)</f>
        <v>34966</v>
      </c>
      <c r="H64" s="21">
        <f>SUM(F64:G64)</f>
        <v>1463</v>
      </c>
      <c r="J64" s="29" t="s">
        <v>22</v>
      </c>
      <c r="K64" s="10"/>
      <c r="L64" s="11"/>
      <c r="M64" s="11"/>
      <c r="N64" s="11"/>
      <c r="O64" s="11"/>
      <c r="P64" s="11"/>
      <c r="Q64" s="11"/>
      <c r="R64" s="11"/>
      <c r="S64" s="11"/>
      <c r="T64" s="11"/>
      <c r="U64" s="12"/>
      <c r="W64" s="7" t="s">
        <v>22</v>
      </c>
      <c r="X64" s="10"/>
      <c r="Y64" s="11"/>
      <c r="Z64" s="11"/>
      <c r="AA64" s="11"/>
      <c r="AB64" s="11"/>
      <c r="AC64" s="12"/>
      <c r="AE64" s="7" t="s">
        <v>22</v>
      </c>
      <c r="AF64" s="10"/>
      <c r="AG64" s="11"/>
      <c r="AH64" s="11"/>
      <c r="AI64" s="11"/>
      <c r="AJ64" s="11"/>
      <c r="AK64" s="12"/>
    </row>
    <row r="65" spans="1:37" x14ac:dyDescent="0.25">
      <c r="J65" s="8"/>
      <c r="T65" s="8" t="s">
        <v>23</v>
      </c>
      <c r="U65" s="13">
        <f>SUM(K64:U64)</f>
        <v>0</v>
      </c>
      <c r="AB65" s="8" t="s">
        <v>23</v>
      </c>
      <c r="AC65" s="13">
        <f>SUM(X64:AC64)</f>
        <v>0</v>
      </c>
      <c r="AJ65" s="8" t="s">
        <v>23</v>
      </c>
      <c r="AK65" s="13">
        <f>SUM(AF64:AK64)</f>
        <v>0</v>
      </c>
    </row>
    <row r="66" spans="1:37" ht="15.75" thickBot="1" x14ac:dyDescent="0.3">
      <c r="A66" s="19"/>
      <c r="B66" s="83" t="s">
        <v>13</v>
      </c>
      <c r="C66" s="83"/>
      <c r="D66" s="83"/>
      <c r="E66" s="83"/>
      <c r="F66" s="83"/>
      <c r="G66" s="83"/>
      <c r="H66" s="83"/>
      <c r="J66" s="84" t="s">
        <v>13</v>
      </c>
      <c r="K66" s="84"/>
      <c r="L66" s="84"/>
      <c r="M66" s="84"/>
      <c r="N66" s="84"/>
      <c r="O66" s="84"/>
      <c r="P66" s="84"/>
      <c r="Q66" s="84"/>
      <c r="R66" s="84"/>
      <c r="S66" s="84"/>
      <c r="T66" s="84"/>
      <c r="U66" s="84"/>
      <c r="W66" s="85" t="str">
        <f>J66</f>
        <v>Março</v>
      </c>
      <c r="X66" s="85"/>
      <c r="Y66" s="85"/>
      <c r="Z66" s="85"/>
      <c r="AA66" s="85"/>
      <c r="AB66" s="85"/>
      <c r="AC66" s="85"/>
      <c r="AE66" s="86" t="str">
        <f>W66</f>
        <v>Março</v>
      </c>
      <c r="AF66" s="86"/>
      <c r="AG66" s="86"/>
      <c r="AH66" s="86"/>
      <c r="AI66" s="86"/>
      <c r="AJ66" s="86"/>
      <c r="AK66" s="86"/>
    </row>
    <row r="67" spans="1:37" ht="15.75" thickBot="1" x14ac:dyDescent="0.3">
      <c r="A67" s="87" t="s">
        <v>5</v>
      </c>
      <c r="B67" s="34" t="s">
        <v>6</v>
      </c>
      <c r="C67" s="22" t="s">
        <v>7</v>
      </c>
      <c r="D67" s="33" t="s">
        <v>8</v>
      </c>
      <c r="E67" s="22" t="s">
        <v>9</v>
      </c>
      <c r="F67" s="24" t="s">
        <v>10</v>
      </c>
      <c r="G67" s="23" t="s">
        <v>11</v>
      </c>
      <c r="H67" s="25" t="s">
        <v>12</v>
      </c>
      <c r="J67" s="6" t="s">
        <v>4</v>
      </c>
      <c r="K67" s="9"/>
      <c r="L67" s="66"/>
      <c r="M67" s="66"/>
      <c r="N67" s="4"/>
      <c r="O67" s="4"/>
      <c r="P67" s="4"/>
      <c r="Q67" s="4"/>
      <c r="R67" s="4"/>
      <c r="S67" s="4"/>
      <c r="T67" s="4"/>
      <c r="U67" s="5"/>
      <c r="W67" s="6" t="s">
        <v>4</v>
      </c>
      <c r="X67" s="9"/>
      <c r="Y67" s="4"/>
      <c r="Z67" s="4"/>
      <c r="AA67" s="4"/>
      <c r="AB67" s="4"/>
      <c r="AC67" s="5"/>
      <c r="AE67" s="6" t="s">
        <v>4</v>
      </c>
      <c r="AF67" s="9"/>
      <c r="AG67" s="4"/>
      <c r="AH67" s="4"/>
      <c r="AI67" s="4"/>
      <c r="AJ67" s="4"/>
      <c r="AK67" s="5"/>
    </row>
    <row r="68" spans="1:37" ht="15.75" thickBot="1" x14ac:dyDescent="0.3">
      <c r="A68" s="87"/>
      <c r="B68" s="27">
        <v>34966</v>
      </c>
      <c r="C68" s="27"/>
      <c r="D68" s="27"/>
      <c r="E68" s="27">
        <v>36213</v>
      </c>
      <c r="F68" s="27">
        <f>SUM(C68-B68)</f>
        <v>-34966</v>
      </c>
      <c r="G68" s="20">
        <f>SUM(E68-D68)</f>
        <v>36213</v>
      </c>
      <c r="H68" s="21">
        <f>SUM(F68:G68)</f>
        <v>1247</v>
      </c>
      <c r="J68" s="7" t="s">
        <v>22</v>
      </c>
      <c r="K68" s="10"/>
      <c r="L68" s="11"/>
      <c r="M68" s="11"/>
      <c r="N68" s="11"/>
      <c r="O68" s="11"/>
      <c r="P68" s="11"/>
      <c r="Q68" s="11"/>
      <c r="R68" s="11"/>
      <c r="S68" s="11"/>
      <c r="T68" s="11"/>
      <c r="U68" s="12"/>
      <c r="W68" s="7" t="s">
        <v>22</v>
      </c>
      <c r="X68" s="10"/>
      <c r="Y68" s="11"/>
      <c r="Z68" s="11"/>
      <c r="AA68" s="11"/>
      <c r="AB68" s="11"/>
      <c r="AC68" s="12"/>
      <c r="AE68" s="7" t="s">
        <v>22</v>
      </c>
      <c r="AF68" s="10"/>
      <c r="AG68" s="11"/>
      <c r="AH68" s="11"/>
      <c r="AI68" s="11"/>
      <c r="AJ68" s="11"/>
      <c r="AK68" s="12"/>
    </row>
    <row r="69" spans="1:37" x14ac:dyDescent="0.25">
      <c r="J69" s="8"/>
      <c r="T69" s="8" t="s">
        <v>23</v>
      </c>
      <c r="U69" s="13">
        <f>SUM(K68:U68)</f>
        <v>0</v>
      </c>
      <c r="AB69" s="8" t="s">
        <v>23</v>
      </c>
      <c r="AC69" s="13">
        <f>SUM(X68:AC68)</f>
        <v>0</v>
      </c>
      <c r="AJ69" s="8" t="s">
        <v>23</v>
      </c>
      <c r="AK69" s="13">
        <f>SUM(AF68:AK68)</f>
        <v>0</v>
      </c>
    </row>
    <row r="70" spans="1:37" ht="15.75" thickBot="1" x14ac:dyDescent="0.3">
      <c r="A70" s="19"/>
      <c r="B70" s="83" t="s">
        <v>14</v>
      </c>
      <c r="C70" s="83"/>
      <c r="D70" s="83"/>
      <c r="E70" s="83"/>
      <c r="F70" s="83"/>
      <c r="G70" s="83"/>
      <c r="H70" s="83"/>
      <c r="J70" s="84" t="s">
        <v>14</v>
      </c>
      <c r="K70" s="84"/>
      <c r="L70" s="84"/>
      <c r="M70" s="84"/>
      <c r="N70" s="84"/>
      <c r="O70" s="84"/>
      <c r="P70" s="84"/>
      <c r="Q70" s="84"/>
      <c r="R70" s="84"/>
      <c r="S70" s="84"/>
      <c r="T70" s="84"/>
      <c r="U70" s="84"/>
      <c r="W70" s="85" t="str">
        <f>J70</f>
        <v>Abril</v>
      </c>
      <c r="X70" s="85"/>
      <c r="Y70" s="85"/>
      <c r="Z70" s="85"/>
      <c r="AA70" s="85"/>
      <c r="AB70" s="85"/>
      <c r="AC70" s="85"/>
      <c r="AE70" s="86" t="str">
        <f>W70</f>
        <v>Abril</v>
      </c>
      <c r="AF70" s="86"/>
      <c r="AG70" s="86"/>
      <c r="AH70" s="86"/>
      <c r="AI70" s="86"/>
      <c r="AJ70" s="86"/>
      <c r="AK70" s="86"/>
    </row>
    <row r="71" spans="1:37" ht="15.75" thickBot="1" x14ac:dyDescent="0.3">
      <c r="A71" s="87" t="s">
        <v>5</v>
      </c>
      <c r="B71" s="34" t="s">
        <v>6</v>
      </c>
      <c r="C71" s="22" t="s">
        <v>7</v>
      </c>
      <c r="D71" s="33" t="s">
        <v>8</v>
      </c>
      <c r="E71" s="22" t="s">
        <v>9</v>
      </c>
      <c r="F71" s="24" t="s">
        <v>10</v>
      </c>
      <c r="G71" s="23" t="s">
        <v>11</v>
      </c>
      <c r="H71" s="25" t="s">
        <v>12</v>
      </c>
      <c r="J71" s="6" t="s">
        <v>4</v>
      </c>
      <c r="K71" s="9"/>
      <c r="L71" s="4"/>
      <c r="M71" s="4"/>
      <c r="N71" s="4"/>
      <c r="O71" s="4"/>
      <c r="P71" s="4"/>
      <c r="Q71" s="4"/>
      <c r="R71" s="4"/>
      <c r="S71" s="4"/>
      <c r="T71" s="4"/>
      <c r="U71" s="5"/>
      <c r="W71" s="6" t="s">
        <v>4</v>
      </c>
      <c r="X71" s="9"/>
      <c r="Y71" s="4"/>
      <c r="Z71" s="4"/>
      <c r="AA71" s="4"/>
      <c r="AB71" s="4"/>
      <c r="AC71" s="5"/>
      <c r="AE71" s="6" t="s">
        <v>4</v>
      </c>
      <c r="AF71" s="9"/>
      <c r="AG71" s="4"/>
      <c r="AH71" s="4"/>
      <c r="AI71" s="4"/>
      <c r="AJ71" s="4"/>
      <c r="AK71" s="5"/>
    </row>
    <row r="72" spans="1:37" ht="15.75" thickBot="1" x14ac:dyDescent="0.3">
      <c r="A72" s="87"/>
      <c r="B72" s="27">
        <v>36213</v>
      </c>
      <c r="C72" s="27"/>
      <c r="D72" s="27"/>
      <c r="E72" s="27">
        <v>37370</v>
      </c>
      <c r="F72" s="27">
        <f>SUM(C72-B72)</f>
        <v>-36213</v>
      </c>
      <c r="G72" s="20">
        <f>SUM(E72-D72)</f>
        <v>37370</v>
      </c>
      <c r="H72" s="21">
        <f>SUM(F72:G72)</f>
        <v>1157</v>
      </c>
      <c r="J72" s="7" t="s">
        <v>22</v>
      </c>
      <c r="K72" s="30"/>
      <c r="L72" s="31"/>
      <c r="M72" s="31"/>
      <c r="N72" s="31"/>
      <c r="O72" s="31"/>
      <c r="P72" s="31"/>
      <c r="Q72" s="31"/>
      <c r="R72" s="31"/>
      <c r="S72" s="31"/>
      <c r="T72" s="31"/>
      <c r="U72" s="32"/>
      <c r="W72" s="7" t="s">
        <v>22</v>
      </c>
      <c r="X72" s="10"/>
      <c r="Y72" s="11"/>
      <c r="Z72" s="11"/>
      <c r="AA72" s="11"/>
      <c r="AB72" s="11"/>
      <c r="AC72" s="12"/>
      <c r="AE72" s="7" t="s">
        <v>22</v>
      </c>
      <c r="AF72" s="10"/>
      <c r="AG72" s="11"/>
      <c r="AH72" s="11"/>
      <c r="AI72" s="11"/>
      <c r="AJ72" s="11"/>
      <c r="AK72" s="12"/>
    </row>
    <row r="73" spans="1:37" x14ac:dyDescent="0.25">
      <c r="J73" s="8"/>
      <c r="T73" s="8" t="s">
        <v>23</v>
      </c>
      <c r="U73" s="13">
        <f>SUM(K72:U72)</f>
        <v>0</v>
      </c>
      <c r="AB73" s="8" t="s">
        <v>23</v>
      </c>
      <c r="AC73" s="13">
        <f>SUM(X72:AC72)</f>
        <v>0</v>
      </c>
      <c r="AJ73" s="8" t="s">
        <v>23</v>
      </c>
      <c r="AK73" s="13">
        <f>SUM(AF72:AK72)</f>
        <v>0</v>
      </c>
    </row>
    <row r="74" spans="1:37" ht="15.75" thickBot="1" x14ac:dyDescent="0.3">
      <c r="A74" s="19"/>
      <c r="B74" s="83" t="s">
        <v>15</v>
      </c>
      <c r="C74" s="83"/>
      <c r="D74" s="83"/>
      <c r="E74" s="83"/>
      <c r="F74" s="83"/>
      <c r="G74" s="83"/>
      <c r="H74" s="83"/>
      <c r="J74" s="84" t="s">
        <v>15</v>
      </c>
      <c r="K74" s="84"/>
      <c r="L74" s="84"/>
      <c r="M74" s="84"/>
      <c r="N74" s="84"/>
      <c r="O74" s="84"/>
      <c r="P74" s="84"/>
      <c r="Q74" s="84"/>
      <c r="R74" s="84"/>
      <c r="S74" s="84"/>
      <c r="T74" s="84"/>
      <c r="U74" s="84"/>
      <c r="W74" s="85" t="str">
        <f>J74</f>
        <v>Maio</v>
      </c>
      <c r="X74" s="85"/>
      <c r="Y74" s="85"/>
      <c r="Z74" s="85"/>
      <c r="AA74" s="85"/>
      <c r="AB74" s="85"/>
      <c r="AC74" s="85"/>
      <c r="AE74" s="86" t="str">
        <f>W74</f>
        <v>Maio</v>
      </c>
      <c r="AF74" s="86"/>
      <c r="AG74" s="86"/>
      <c r="AH74" s="86"/>
      <c r="AI74" s="86"/>
      <c r="AJ74" s="86"/>
      <c r="AK74" s="86"/>
    </row>
    <row r="75" spans="1:37" ht="15.75" thickBot="1" x14ac:dyDescent="0.3">
      <c r="A75" s="87" t="s">
        <v>5</v>
      </c>
      <c r="B75" s="34" t="s">
        <v>6</v>
      </c>
      <c r="C75" s="22" t="s">
        <v>7</v>
      </c>
      <c r="D75" s="33" t="s">
        <v>8</v>
      </c>
      <c r="E75" s="22" t="s">
        <v>9</v>
      </c>
      <c r="F75" s="24" t="s">
        <v>10</v>
      </c>
      <c r="G75" s="23" t="s">
        <v>11</v>
      </c>
      <c r="H75" s="25" t="s">
        <v>12</v>
      </c>
      <c r="J75" s="6" t="s">
        <v>4</v>
      </c>
      <c r="K75" s="9"/>
      <c r="L75" s="4"/>
      <c r="M75" s="4"/>
      <c r="N75" s="4"/>
      <c r="O75" s="4"/>
      <c r="P75" s="4"/>
      <c r="Q75" s="4"/>
      <c r="R75" s="4"/>
      <c r="S75" s="4"/>
      <c r="T75" s="4"/>
      <c r="U75" s="5"/>
      <c r="W75" s="6" t="s">
        <v>4</v>
      </c>
      <c r="X75" s="9"/>
      <c r="Y75" s="4"/>
      <c r="Z75" s="4"/>
      <c r="AA75" s="4"/>
      <c r="AB75" s="4"/>
      <c r="AC75" s="5"/>
      <c r="AE75" s="6" t="s">
        <v>4</v>
      </c>
      <c r="AF75" s="9"/>
      <c r="AG75" s="4"/>
      <c r="AH75" s="4"/>
      <c r="AI75" s="4"/>
      <c r="AJ75" s="4"/>
      <c r="AK75" s="5"/>
    </row>
    <row r="76" spans="1:37" ht="15.75" thickBot="1" x14ac:dyDescent="0.3">
      <c r="A76" s="87"/>
      <c r="B76" s="26"/>
      <c r="C76" s="27"/>
      <c r="D76" s="27"/>
      <c r="E76" s="27"/>
      <c r="F76" s="27">
        <f>SUM(C76-B76)</f>
        <v>0</v>
      </c>
      <c r="G76" s="20">
        <f>SUM(E76-D76)</f>
        <v>0</v>
      </c>
      <c r="H76" s="21">
        <f>SUM(F76:G76)</f>
        <v>0</v>
      </c>
      <c r="J76" s="7" t="s">
        <v>22</v>
      </c>
      <c r="K76" s="10"/>
      <c r="L76" s="11"/>
      <c r="M76" s="11"/>
      <c r="N76" s="11"/>
      <c r="O76" s="11"/>
      <c r="P76" s="11"/>
      <c r="Q76" s="11"/>
      <c r="R76" s="11"/>
      <c r="S76" s="11"/>
      <c r="T76" s="11"/>
      <c r="U76" s="12"/>
      <c r="W76" s="7" t="s">
        <v>22</v>
      </c>
      <c r="X76" s="10"/>
      <c r="Y76" s="11"/>
      <c r="Z76" s="11"/>
      <c r="AA76" s="11"/>
      <c r="AB76" s="11"/>
      <c r="AC76" s="12"/>
      <c r="AE76" s="7" t="s">
        <v>22</v>
      </c>
      <c r="AF76" s="10"/>
      <c r="AG76" s="11"/>
      <c r="AH76" s="11"/>
      <c r="AI76" s="11"/>
      <c r="AJ76" s="11"/>
      <c r="AK76" s="12"/>
    </row>
    <row r="77" spans="1:37" x14ac:dyDescent="0.25">
      <c r="J77" s="8"/>
      <c r="T77" s="8" t="s">
        <v>23</v>
      </c>
      <c r="U77" s="13">
        <f>SUM(K76:U76)</f>
        <v>0</v>
      </c>
      <c r="AB77" s="8" t="s">
        <v>23</v>
      </c>
      <c r="AC77" s="13">
        <f>SUM(X76:AC76)</f>
        <v>0</v>
      </c>
      <c r="AJ77" s="8" t="s">
        <v>23</v>
      </c>
      <c r="AK77" s="13">
        <f>SUM(AF76:AK76)</f>
        <v>0</v>
      </c>
    </row>
    <row r="78" spans="1:37" ht="15.75" thickBot="1" x14ac:dyDescent="0.3">
      <c r="A78" s="19"/>
      <c r="B78" s="83" t="s">
        <v>24</v>
      </c>
      <c r="C78" s="83"/>
      <c r="D78" s="83"/>
      <c r="E78" s="83"/>
      <c r="F78" s="83"/>
      <c r="G78" s="83"/>
      <c r="H78" s="83"/>
      <c r="J78" s="84" t="s">
        <v>24</v>
      </c>
      <c r="K78" s="84"/>
      <c r="L78" s="84"/>
      <c r="M78" s="84"/>
      <c r="N78" s="84"/>
      <c r="O78" s="84"/>
      <c r="P78" s="84"/>
      <c r="Q78" s="84"/>
      <c r="R78" s="84"/>
      <c r="S78" s="84"/>
      <c r="T78" s="84"/>
      <c r="U78" s="84"/>
      <c r="W78" s="85" t="str">
        <f>J78</f>
        <v>Junho</v>
      </c>
      <c r="X78" s="85"/>
      <c r="Y78" s="85"/>
      <c r="Z78" s="85"/>
      <c r="AA78" s="85"/>
      <c r="AB78" s="85"/>
      <c r="AC78" s="85"/>
      <c r="AE78" s="86" t="str">
        <f>W78</f>
        <v>Junho</v>
      </c>
      <c r="AF78" s="86"/>
      <c r="AG78" s="86"/>
      <c r="AH78" s="86"/>
      <c r="AI78" s="86"/>
      <c r="AJ78" s="86"/>
      <c r="AK78" s="86"/>
    </row>
    <row r="79" spans="1:37" ht="15.75" thickBot="1" x14ac:dyDescent="0.3">
      <c r="A79" s="87" t="s">
        <v>5</v>
      </c>
      <c r="B79" s="34" t="s">
        <v>6</v>
      </c>
      <c r="C79" s="22" t="s">
        <v>7</v>
      </c>
      <c r="D79" s="33" t="s">
        <v>8</v>
      </c>
      <c r="E79" s="22" t="s">
        <v>9</v>
      </c>
      <c r="F79" s="24" t="s">
        <v>10</v>
      </c>
      <c r="G79" s="23" t="s">
        <v>11</v>
      </c>
      <c r="H79" s="25" t="s">
        <v>12</v>
      </c>
      <c r="J79" s="6" t="s">
        <v>4</v>
      </c>
      <c r="K79" s="9"/>
      <c r="L79" s="4"/>
      <c r="M79" s="4"/>
      <c r="N79" s="4"/>
      <c r="O79" s="4"/>
      <c r="P79" s="4"/>
      <c r="Q79" s="4"/>
      <c r="R79" s="4"/>
      <c r="S79" s="4"/>
      <c r="T79" s="4"/>
      <c r="U79" s="5"/>
      <c r="W79" s="6" t="s">
        <v>4</v>
      </c>
      <c r="X79" s="9"/>
      <c r="Y79" s="4"/>
      <c r="Z79" s="4"/>
      <c r="AA79" s="4"/>
      <c r="AB79" s="4"/>
      <c r="AC79" s="5"/>
      <c r="AE79" s="6" t="s">
        <v>4</v>
      </c>
      <c r="AF79" s="9"/>
      <c r="AG79" s="4"/>
      <c r="AH79" s="4"/>
      <c r="AI79" s="4"/>
      <c r="AJ79" s="4"/>
      <c r="AK79" s="5"/>
    </row>
    <row r="80" spans="1:37" ht="15.75" thickBot="1" x14ac:dyDescent="0.3">
      <c r="A80" s="87"/>
      <c r="B80" s="26"/>
      <c r="C80" s="27"/>
      <c r="D80" s="27"/>
      <c r="E80" s="27"/>
      <c r="F80" s="27">
        <f>SUM(C80-B80)</f>
        <v>0</v>
      </c>
      <c r="G80" s="20">
        <f>SUM(E80-D80)</f>
        <v>0</v>
      </c>
      <c r="H80" s="21">
        <f>SUM(F80:G80)</f>
        <v>0</v>
      </c>
      <c r="J80" s="7" t="s">
        <v>22</v>
      </c>
      <c r="K80" s="10"/>
      <c r="L80" s="11"/>
      <c r="M80" s="11"/>
      <c r="N80" s="11"/>
      <c r="O80" s="11"/>
      <c r="P80" s="11"/>
      <c r="Q80" s="11"/>
      <c r="R80" s="11"/>
      <c r="S80" s="11"/>
      <c r="T80" s="11"/>
      <c r="U80" s="12"/>
      <c r="W80" s="7" t="s">
        <v>22</v>
      </c>
      <c r="X80" s="10"/>
      <c r="Y80" s="11"/>
      <c r="Z80" s="11"/>
      <c r="AA80" s="11"/>
      <c r="AB80" s="11"/>
      <c r="AC80" s="12"/>
      <c r="AE80" s="7" t="s">
        <v>22</v>
      </c>
      <c r="AF80" s="10"/>
      <c r="AG80" s="11"/>
      <c r="AH80" s="11"/>
      <c r="AI80" s="11"/>
      <c r="AJ80" s="11"/>
      <c r="AK80" s="12"/>
    </row>
    <row r="81" spans="1:37" x14ac:dyDescent="0.25">
      <c r="J81" s="8"/>
      <c r="T81" s="8" t="s">
        <v>23</v>
      </c>
      <c r="U81" s="13">
        <f>SUM(K80:U80)</f>
        <v>0</v>
      </c>
      <c r="AB81" s="8" t="s">
        <v>23</v>
      </c>
      <c r="AC81" s="13">
        <f>SUM(X80:AC80)</f>
        <v>0</v>
      </c>
      <c r="AJ81" s="8" t="s">
        <v>23</v>
      </c>
      <c r="AK81" s="13">
        <f>SUM(AF80:AK80)</f>
        <v>0</v>
      </c>
    </row>
    <row r="82" spans="1:37" ht="15.75" thickBot="1" x14ac:dyDescent="0.3">
      <c r="A82" s="19"/>
      <c r="B82" s="83" t="s">
        <v>16</v>
      </c>
      <c r="C82" s="83"/>
      <c r="D82" s="83"/>
      <c r="E82" s="83"/>
      <c r="F82" s="83"/>
      <c r="G82" s="83"/>
      <c r="H82" s="83"/>
      <c r="J82" s="84" t="s">
        <v>16</v>
      </c>
      <c r="K82" s="84"/>
      <c r="L82" s="84"/>
      <c r="M82" s="84"/>
      <c r="N82" s="84"/>
      <c r="O82" s="84"/>
      <c r="P82" s="84"/>
      <c r="Q82" s="84"/>
      <c r="R82" s="84"/>
      <c r="S82" s="84"/>
      <c r="T82" s="84"/>
      <c r="U82" s="84"/>
      <c r="W82" s="85" t="str">
        <f>J82</f>
        <v>Julho</v>
      </c>
      <c r="X82" s="85"/>
      <c r="Y82" s="85"/>
      <c r="Z82" s="85"/>
      <c r="AA82" s="85"/>
      <c r="AB82" s="85"/>
      <c r="AC82" s="85"/>
      <c r="AE82" s="86" t="str">
        <f>W82</f>
        <v>Julho</v>
      </c>
      <c r="AF82" s="86"/>
      <c r="AG82" s="86"/>
      <c r="AH82" s="86"/>
      <c r="AI82" s="86"/>
      <c r="AJ82" s="86"/>
      <c r="AK82" s="86"/>
    </row>
    <row r="83" spans="1:37" ht="15.75" thickBot="1" x14ac:dyDescent="0.3">
      <c r="A83" s="87" t="s">
        <v>5</v>
      </c>
      <c r="B83" s="34" t="s">
        <v>6</v>
      </c>
      <c r="C83" s="22" t="s">
        <v>7</v>
      </c>
      <c r="D83" s="33" t="s">
        <v>8</v>
      </c>
      <c r="E83" s="22" t="s">
        <v>9</v>
      </c>
      <c r="F83" s="24" t="s">
        <v>10</v>
      </c>
      <c r="G83" s="23" t="s">
        <v>11</v>
      </c>
      <c r="H83" s="25" t="s">
        <v>12</v>
      </c>
      <c r="J83" s="6" t="s">
        <v>4</v>
      </c>
      <c r="K83" s="9"/>
      <c r="L83" s="4"/>
      <c r="M83" s="4"/>
      <c r="N83" s="4"/>
      <c r="O83" s="4"/>
      <c r="P83" s="4"/>
      <c r="Q83" s="4"/>
      <c r="R83" s="4"/>
      <c r="S83" s="4"/>
      <c r="T83" s="4"/>
      <c r="U83" s="5"/>
      <c r="W83" s="6" t="s">
        <v>4</v>
      </c>
      <c r="X83" s="9"/>
      <c r="Y83" s="4"/>
      <c r="Z83" s="4"/>
      <c r="AA83" s="4"/>
      <c r="AB83" s="4"/>
      <c r="AC83" s="5"/>
      <c r="AE83" s="6" t="s">
        <v>4</v>
      </c>
      <c r="AF83" s="9"/>
      <c r="AG83" s="4"/>
      <c r="AH83" s="4"/>
      <c r="AI83" s="4"/>
      <c r="AJ83" s="4"/>
      <c r="AK83" s="5"/>
    </row>
    <row r="84" spans="1:37" ht="15.75" thickBot="1" x14ac:dyDescent="0.3">
      <c r="A84" s="87"/>
      <c r="B84" s="26"/>
      <c r="C84" s="27"/>
      <c r="D84" s="27"/>
      <c r="E84" s="27"/>
      <c r="F84" s="27">
        <f>SUM(C84-B84)</f>
        <v>0</v>
      </c>
      <c r="G84" s="20">
        <f>SUM(E84-D84)</f>
        <v>0</v>
      </c>
      <c r="H84" s="21">
        <f>SUM(F84:G84)</f>
        <v>0</v>
      </c>
      <c r="J84" s="7" t="s">
        <v>22</v>
      </c>
      <c r="K84" s="10"/>
      <c r="L84" s="11"/>
      <c r="M84" s="11"/>
      <c r="N84" s="11"/>
      <c r="O84" s="11"/>
      <c r="P84" s="11"/>
      <c r="Q84" s="11"/>
      <c r="R84" s="11"/>
      <c r="S84" s="11"/>
      <c r="T84" s="11"/>
      <c r="U84" s="12"/>
      <c r="W84" s="7" t="s">
        <v>22</v>
      </c>
      <c r="X84" s="10"/>
      <c r="Y84" s="11"/>
      <c r="Z84" s="11"/>
      <c r="AA84" s="11"/>
      <c r="AB84" s="11"/>
      <c r="AC84" s="12"/>
      <c r="AE84" s="7" t="s">
        <v>22</v>
      </c>
      <c r="AF84" s="10"/>
      <c r="AG84" s="11"/>
      <c r="AH84" s="11"/>
      <c r="AI84" s="11"/>
      <c r="AJ84" s="11"/>
      <c r="AK84" s="12"/>
    </row>
    <row r="85" spans="1:37" x14ac:dyDescent="0.25">
      <c r="J85" s="8"/>
      <c r="T85" s="8" t="s">
        <v>23</v>
      </c>
      <c r="U85" s="13">
        <f>SUM(K84:U84)</f>
        <v>0</v>
      </c>
      <c r="AB85" s="8" t="s">
        <v>23</v>
      </c>
      <c r="AC85" s="13">
        <f>SUM(X84:AC84)</f>
        <v>0</v>
      </c>
      <c r="AJ85" s="8" t="s">
        <v>23</v>
      </c>
      <c r="AK85" s="13">
        <f>SUM(AF84:AK84)</f>
        <v>0</v>
      </c>
    </row>
    <row r="86" spans="1:37" ht="15.75" thickBot="1" x14ac:dyDescent="0.3">
      <c r="A86" s="19"/>
      <c r="B86" s="83" t="s">
        <v>17</v>
      </c>
      <c r="C86" s="83"/>
      <c r="D86" s="83"/>
      <c r="E86" s="83"/>
      <c r="F86" s="83"/>
      <c r="G86" s="83"/>
      <c r="H86" s="83"/>
      <c r="J86" s="84" t="s">
        <v>17</v>
      </c>
      <c r="K86" s="84"/>
      <c r="L86" s="84"/>
      <c r="M86" s="84"/>
      <c r="N86" s="84"/>
      <c r="O86" s="84"/>
      <c r="P86" s="84"/>
      <c r="Q86" s="84"/>
      <c r="R86" s="84"/>
      <c r="S86" s="84"/>
      <c r="T86" s="84"/>
      <c r="U86" s="84"/>
      <c r="W86" s="85" t="str">
        <f>J86</f>
        <v>Agosto</v>
      </c>
      <c r="X86" s="85"/>
      <c r="Y86" s="85"/>
      <c r="Z86" s="85"/>
      <c r="AA86" s="85"/>
      <c r="AB86" s="85"/>
      <c r="AC86" s="85"/>
      <c r="AE86" s="86" t="str">
        <f>W86</f>
        <v>Agosto</v>
      </c>
      <c r="AF86" s="86"/>
      <c r="AG86" s="86"/>
      <c r="AH86" s="86"/>
      <c r="AI86" s="86"/>
      <c r="AJ86" s="86"/>
      <c r="AK86" s="86"/>
    </row>
    <row r="87" spans="1:37" ht="15.75" thickBot="1" x14ac:dyDescent="0.3">
      <c r="A87" s="87" t="s">
        <v>5</v>
      </c>
      <c r="B87" s="34" t="s">
        <v>6</v>
      </c>
      <c r="C87" s="22" t="s">
        <v>7</v>
      </c>
      <c r="D87" s="33" t="s">
        <v>8</v>
      </c>
      <c r="E87" s="22" t="s">
        <v>9</v>
      </c>
      <c r="F87" s="24" t="s">
        <v>10</v>
      </c>
      <c r="G87" s="23" t="s">
        <v>11</v>
      </c>
      <c r="H87" s="25" t="s">
        <v>12</v>
      </c>
      <c r="J87" s="6" t="s">
        <v>4</v>
      </c>
      <c r="K87" s="9"/>
      <c r="L87" s="4"/>
      <c r="M87" s="4"/>
      <c r="N87" s="4"/>
      <c r="O87" s="4"/>
      <c r="P87" s="4"/>
      <c r="Q87" s="4"/>
      <c r="R87" s="4"/>
      <c r="S87" s="4"/>
      <c r="T87" s="4"/>
      <c r="U87" s="5"/>
      <c r="W87" s="6" t="s">
        <v>4</v>
      </c>
      <c r="X87" s="9"/>
      <c r="Y87" s="4"/>
      <c r="Z87" s="4"/>
      <c r="AA87" s="4"/>
      <c r="AB87" s="4"/>
      <c r="AC87" s="5"/>
      <c r="AE87" s="6" t="s">
        <v>4</v>
      </c>
      <c r="AF87" s="9"/>
      <c r="AG87" s="4"/>
      <c r="AH87" s="4"/>
      <c r="AI87" s="4"/>
      <c r="AJ87" s="4"/>
      <c r="AK87" s="5"/>
    </row>
    <row r="88" spans="1:37" ht="15.75" thickBot="1" x14ac:dyDescent="0.3">
      <c r="A88" s="87"/>
      <c r="B88" s="26"/>
      <c r="C88" s="27"/>
      <c r="D88" s="27"/>
      <c r="E88" s="27"/>
      <c r="F88" s="27">
        <f>SUM(C88-B88)</f>
        <v>0</v>
      </c>
      <c r="G88" s="20">
        <f>SUM(E88-D88)</f>
        <v>0</v>
      </c>
      <c r="H88" s="21">
        <f>SUM(F88:G88)</f>
        <v>0</v>
      </c>
      <c r="J88" s="7" t="s">
        <v>22</v>
      </c>
      <c r="K88" s="10"/>
      <c r="L88" s="11"/>
      <c r="M88" s="11"/>
      <c r="N88" s="11"/>
      <c r="O88" s="11"/>
      <c r="P88" s="11"/>
      <c r="Q88" s="11"/>
      <c r="R88" s="11"/>
      <c r="S88" s="11"/>
      <c r="T88" s="11"/>
      <c r="U88" s="12"/>
      <c r="W88" s="7" t="s">
        <v>22</v>
      </c>
      <c r="X88" s="10"/>
      <c r="Y88" s="11"/>
      <c r="Z88" s="11"/>
      <c r="AA88" s="11"/>
      <c r="AB88" s="11"/>
      <c r="AC88" s="12"/>
      <c r="AE88" s="7" t="s">
        <v>22</v>
      </c>
      <c r="AF88" s="10"/>
      <c r="AG88" s="11"/>
      <c r="AH88" s="11"/>
      <c r="AI88" s="11"/>
      <c r="AJ88" s="11"/>
      <c r="AK88" s="12"/>
    </row>
    <row r="89" spans="1:37" x14ac:dyDescent="0.25">
      <c r="J89" s="8"/>
      <c r="T89" s="8" t="s">
        <v>23</v>
      </c>
      <c r="U89" s="13">
        <f>SUM(K88:U88)</f>
        <v>0</v>
      </c>
      <c r="AB89" s="8" t="s">
        <v>23</v>
      </c>
      <c r="AC89" s="13">
        <f>SUM(X88:AC88)</f>
        <v>0</v>
      </c>
      <c r="AJ89" s="8" t="s">
        <v>23</v>
      </c>
      <c r="AK89" s="13">
        <f>SUM(AF88:AK88)</f>
        <v>0</v>
      </c>
    </row>
    <row r="90" spans="1:37" ht="15.75" thickBot="1" x14ac:dyDescent="0.3">
      <c r="A90" s="19"/>
      <c r="B90" s="83" t="s">
        <v>18</v>
      </c>
      <c r="C90" s="83"/>
      <c r="D90" s="83"/>
      <c r="E90" s="83"/>
      <c r="F90" s="83"/>
      <c r="G90" s="83"/>
      <c r="H90" s="83"/>
      <c r="J90" s="84" t="s">
        <v>18</v>
      </c>
      <c r="K90" s="84"/>
      <c r="L90" s="84"/>
      <c r="M90" s="84"/>
      <c r="N90" s="84"/>
      <c r="O90" s="84"/>
      <c r="P90" s="84"/>
      <c r="Q90" s="84"/>
      <c r="R90" s="84"/>
      <c r="S90" s="84"/>
      <c r="T90" s="84"/>
      <c r="U90" s="84"/>
      <c r="W90" s="85" t="str">
        <f>J90</f>
        <v>Setembro</v>
      </c>
      <c r="X90" s="85"/>
      <c r="Y90" s="85"/>
      <c r="Z90" s="85"/>
      <c r="AA90" s="85"/>
      <c r="AB90" s="85"/>
      <c r="AC90" s="85"/>
      <c r="AE90" s="86" t="str">
        <f>W90</f>
        <v>Setembro</v>
      </c>
      <c r="AF90" s="86"/>
      <c r="AG90" s="86"/>
      <c r="AH90" s="86"/>
      <c r="AI90" s="86"/>
      <c r="AJ90" s="86"/>
      <c r="AK90" s="86"/>
    </row>
    <row r="91" spans="1:37" ht="15.75" thickBot="1" x14ac:dyDescent="0.3">
      <c r="A91" s="87" t="s">
        <v>5</v>
      </c>
      <c r="B91" s="34" t="s">
        <v>6</v>
      </c>
      <c r="C91" s="22" t="s">
        <v>7</v>
      </c>
      <c r="D91" s="33" t="s">
        <v>8</v>
      </c>
      <c r="E91" s="22" t="s">
        <v>9</v>
      </c>
      <c r="F91" s="24" t="s">
        <v>10</v>
      </c>
      <c r="G91" s="23" t="s">
        <v>11</v>
      </c>
      <c r="H91" s="25" t="s">
        <v>12</v>
      </c>
      <c r="J91" s="6" t="s">
        <v>4</v>
      </c>
      <c r="K91" s="9"/>
      <c r="L91" s="4"/>
      <c r="M91" s="4"/>
      <c r="N91" s="4"/>
      <c r="O91" s="4"/>
      <c r="P91" s="4"/>
      <c r="Q91" s="4"/>
      <c r="R91" s="4"/>
      <c r="S91" s="4"/>
      <c r="T91" s="4"/>
      <c r="U91" s="5"/>
      <c r="W91" s="6" t="s">
        <v>4</v>
      </c>
      <c r="X91" s="9"/>
      <c r="Y91" s="4"/>
      <c r="Z91" s="4"/>
      <c r="AA91" s="4"/>
      <c r="AB91" s="4"/>
      <c r="AC91" s="5"/>
      <c r="AE91" s="6" t="s">
        <v>4</v>
      </c>
      <c r="AF91" s="9"/>
      <c r="AG91" s="4"/>
      <c r="AH91" s="4"/>
      <c r="AI91" s="4"/>
      <c r="AJ91" s="4"/>
      <c r="AK91" s="5"/>
    </row>
    <row r="92" spans="1:37" ht="15.75" thickBot="1" x14ac:dyDescent="0.3">
      <c r="A92" s="87"/>
      <c r="B92" s="26"/>
      <c r="C92" s="27"/>
      <c r="D92" s="27"/>
      <c r="E92" s="27"/>
      <c r="F92" s="27">
        <f>SUM(C92-B92)</f>
        <v>0</v>
      </c>
      <c r="G92" s="20">
        <f>SUM(E92-D92)</f>
        <v>0</v>
      </c>
      <c r="H92" s="21">
        <f>SUM(F92:G92)</f>
        <v>0</v>
      </c>
      <c r="J92" s="7" t="s">
        <v>22</v>
      </c>
      <c r="K92" s="10"/>
      <c r="L92" s="11"/>
      <c r="M92" s="11"/>
      <c r="N92" s="11"/>
      <c r="O92" s="11"/>
      <c r="P92" s="11"/>
      <c r="Q92" s="11"/>
      <c r="R92" s="11"/>
      <c r="S92" s="11"/>
      <c r="T92" s="11"/>
      <c r="U92" s="12"/>
      <c r="W92" s="7" t="s">
        <v>22</v>
      </c>
      <c r="X92" s="10"/>
      <c r="Y92" s="11"/>
      <c r="Z92" s="11"/>
      <c r="AA92" s="11"/>
      <c r="AB92" s="11"/>
      <c r="AC92" s="12"/>
      <c r="AE92" s="7" t="s">
        <v>22</v>
      </c>
      <c r="AF92" s="10"/>
      <c r="AG92" s="11"/>
      <c r="AH92" s="11"/>
      <c r="AI92" s="11"/>
      <c r="AJ92" s="11"/>
      <c r="AK92" s="12"/>
    </row>
    <row r="93" spans="1:37" x14ac:dyDescent="0.25">
      <c r="J93" s="8"/>
      <c r="T93" s="8" t="s">
        <v>23</v>
      </c>
      <c r="U93" s="13">
        <f>SUM(K92:U92)</f>
        <v>0</v>
      </c>
      <c r="AB93" s="8" t="s">
        <v>23</v>
      </c>
      <c r="AC93" s="13">
        <f>SUM(X92:AC92)</f>
        <v>0</v>
      </c>
      <c r="AJ93" s="8" t="s">
        <v>23</v>
      </c>
      <c r="AK93" s="13">
        <f>SUM(AF92:AK92)</f>
        <v>0</v>
      </c>
    </row>
  </sheetData>
  <mergeCells count="115">
    <mergeCell ref="B90:H90"/>
    <mergeCell ref="J90:U90"/>
    <mergeCell ref="W90:AC90"/>
    <mergeCell ref="AE90:AK90"/>
    <mergeCell ref="A91:A92"/>
    <mergeCell ref="B86:H86"/>
    <mergeCell ref="J86:U86"/>
    <mergeCell ref="W86:AC86"/>
    <mergeCell ref="AE86:AK86"/>
    <mergeCell ref="A87:A88"/>
    <mergeCell ref="B82:H82"/>
    <mergeCell ref="J82:U82"/>
    <mergeCell ref="W82:AC82"/>
    <mergeCell ref="AE82:AK82"/>
    <mergeCell ref="A83:A84"/>
    <mergeCell ref="B78:H78"/>
    <mergeCell ref="J78:U78"/>
    <mergeCell ref="W78:AC78"/>
    <mergeCell ref="AE78:AK78"/>
    <mergeCell ref="A79:A80"/>
    <mergeCell ref="B74:H74"/>
    <mergeCell ref="J74:U74"/>
    <mergeCell ref="W74:AC74"/>
    <mergeCell ref="AE74:AK74"/>
    <mergeCell ref="A75:A76"/>
    <mergeCell ref="B70:H70"/>
    <mergeCell ref="J70:U70"/>
    <mergeCell ref="W70:AC70"/>
    <mergeCell ref="AE70:AK70"/>
    <mergeCell ref="A71:A72"/>
    <mergeCell ref="B66:H66"/>
    <mergeCell ref="J66:U66"/>
    <mergeCell ref="W66:AC66"/>
    <mergeCell ref="AE66:AK66"/>
    <mergeCell ref="A67:A68"/>
    <mergeCell ref="B62:H62"/>
    <mergeCell ref="J62:U62"/>
    <mergeCell ref="W62:AC62"/>
    <mergeCell ref="AE62:AK62"/>
    <mergeCell ref="A63:A64"/>
    <mergeCell ref="B58:H58"/>
    <mergeCell ref="J58:U58"/>
    <mergeCell ref="W58:AC58"/>
    <mergeCell ref="AE58:AK58"/>
    <mergeCell ref="A59:A60"/>
    <mergeCell ref="AE10:AK10"/>
    <mergeCell ref="A11:A12"/>
    <mergeCell ref="B2:C2"/>
    <mergeCell ref="E2:F2"/>
    <mergeCell ref="B5:C5"/>
    <mergeCell ref="E5:F5"/>
    <mergeCell ref="A8:H8"/>
    <mergeCell ref="B3:C3"/>
    <mergeCell ref="E3:F3"/>
    <mergeCell ref="A19:A20"/>
    <mergeCell ref="W8:AC8"/>
    <mergeCell ref="AE8:AK8"/>
    <mergeCell ref="B14:H14"/>
    <mergeCell ref="J14:U14"/>
    <mergeCell ref="W14:AC14"/>
    <mergeCell ref="AE14:AK14"/>
    <mergeCell ref="J8:U8"/>
    <mergeCell ref="A15:A16"/>
    <mergeCell ref="B18:H18"/>
    <mergeCell ref="J18:U18"/>
    <mergeCell ref="W18:AC18"/>
    <mergeCell ref="AE18:AK18"/>
    <mergeCell ref="B10:H10"/>
    <mergeCell ref="J10:U10"/>
    <mergeCell ref="W10:AC10"/>
    <mergeCell ref="A31:A32"/>
    <mergeCell ref="B22:H22"/>
    <mergeCell ref="J22:U22"/>
    <mergeCell ref="W22:AC22"/>
    <mergeCell ref="AE22:AK22"/>
    <mergeCell ref="A23:A24"/>
    <mergeCell ref="B26:H26"/>
    <mergeCell ref="J26:U26"/>
    <mergeCell ref="W26:AC26"/>
    <mergeCell ref="AE26:AK26"/>
    <mergeCell ref="A27:A28"/>
    <mergeCell ref="B30:H30"/>
    <mergeCell ref="J30:U30"/>
    <mergeCell ref="W30:AC30"/>
    <mergeCell ref="AE30:AK30"/>
    <mergeCell ref="A43:A44"/>
    <mergeCell ref="B34:H34"/>
    <mergeCell ref="J34:U34"/>
    <mergeCell ref="W34:AC34"/>
    <mergeCell ref="AE34:AK34"/>
    <mergeCell ref="A35:A36"/>
    <mergeCell ref="B38:H38"/>
    <mergeCell ref="J38:U38"/>
    <mergeCell ref="W38:AC38"/>
    <mergeCell ref="AE38:AK38"/>
    <mergeCell ref="A39:A40"/>
    <mergeCell ref="B42:H42"/>
    <mergeCell ref="J42:U42"/>
    <mergeCell ref="W42:AC42"/>
    <mergeCell ref="AE42:AK42"/>
    <mergeCell ref="A55:A56"/>
    <mergeCell ref="B46:H46"/>
    <mergeCell ref="J46:U46"/>
    <mergeCell ref="W46:AC46"/>
    <mergeCell ref="AE46:AK46"/>
    <mergeCell ref="A47:A48"/>
    <mergeCell ref="B50:H50"/>
    <mergeCell ref="J50:U50"/>
    <mergeCell ref="W50:AC50"/>
    <mergeCell ref="AE50:AK50"/>
    <mergeCell ref="A51:A52"/>
    <mergeCell ref="B54:H54"/>
    <mergeCell ref="J54:U54"/>
    <mergeCell ref="W54:AC54"/>
    <mergeCell ref="AE54:AK54"/>
  </mergeCells>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K91"/>
  <sheetViews>
    <sheetView showGridLines="0" workbookViewId="0">
      <selection activeCell="I78" sqref="I7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3" width="10.42578125" bestFit="1" customWidth="1"/>
    <col min="14" max="17" width="10.5703125" bestFit="1" customWidth="1"/>
    <col min="21" max="21" width="13.28515625" bestFit="1" customWidth="1"/>
    <col min="24" max="27" width="10.42578125" bestFit="1" customWidth="1"/>
    <col min="29" max="29" width="10.5703125" bestFit="1" customWidth="1"/>
    <col min="34" max="36" width="10.140625" bestFit="1" customWidth="1"/>
  </cols>
  <sheetData>
    <row r="2" spans="1:37" x14ac:dyDescent="0.25">
      <c r="A2" t="s">
        <v>0</v>
      </c>
      <c r="B2" s="90" t="s">
        <v>88</v>
      </c>
      <c r="C2" s="90"/>
      <c r="D2" s="1" t="s">
        <v>1</v>
      </c>
      <c r="E2" s="90" t="s">
        <v>89</v>
      </c>
      <c r="F2" s="90"/>
      <c r="H2" t="s">
        <v>98</v>
      </c>
      <c r="I2" s="54" t="s">
        <v>95</v>
      </c>
    </row>
    <row r="3" spans="1:37" x14ac:dyDescent="0.25">
      <c r="A3" t="s">
        <v>75</v>
      </c>
      <c r="B3" s="90"/>
      <c r="C3" s="90"/>
      <c r="D3" s="1" t="s">
        <v>1</v>
      </c>
      <c r="E3" s="90"/>
      <c r="F3" s="90"/>
      <c r="H3" t="s">
        <v>76</v>
      </c>
      <c r="I3" s="54"/>
    </row>
    <row r="4" spans="1:37" x14ac:dyDescent="0.25">
      <c r="A4" t="s">
        <v>2</v>
      </c>
      <c r="B4" s="91">
        <v>2294.35</v>
      </c>
      <c r="C4" s="91"/>
      <c r="D4" s="1" t="s">
        <v>29</v>
      </c>
      <c r="E4" s="92">
        <v>45</v>
      </c>
      <c r="F4" s="90"/>
      <c r="H4" t="s">
        <v>70</v>
      </c>
      <c r="I4" s="67">
        <v>45684</v>
      </c>
      <c r="J4" t="s">
        <v>118</v>
      </c>
      <c r="K4" s="67">
        <v>46119</v>
      </c>
    </row>
    <row r="7" spans="1:37" ht="21" x14ac:dyDescent="0.35">
      <c r="A7" s="93" t="s">
        <v>28</v>
      </c>
      <c r="B7" s="93"/>
      <c r="C7" s="93"/>
      <c r="D7" s="93"/>
      <c r="E7" s="93"/>
      <c r="F7" s="93"/>
      <c r="G7" s="93"/>
      <c r="H7" s="93"/>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s="15" customFormat="1" ht="15.75" thickBot="1" x14ac:dyDescent="0.3">
      <c r="A8" s="72">
        <v>45684</v>
      </c>
      <c r="B8" s="83" t="s">
        <v>83</v>
      </c>
      <c r="C8" s="83"/>
      <c r="D8" s="83"/>
      <c r="E8" s="83"/>
      <c r="F8" s="83"/>
      <c r="G8" s="83"/>
      <c r="H8" s="83"/>
      <c r="I8"/>
      <c r="J8" s="99" t="s">
        <v>83</v>
      </c>
      <c r="K8" s="99"/>
      <c r="L8" s="99"/>
      <c r="M8" s="99"/>
      <c r="N8" s="99"/>
      <c r="O8" s="99"/>
      <c r="P8" s="99"/>
      <c r="Q8" s="99"/>
      <c r="R8" s="99"/>
      <c r="S8" s="99"/>
      <c r="T8" s="99"/>
      <c r="U8" s="99"/>
      <c r="V8"/>
      <c r="W8" s="85" t="s">
        <v>83</v>
      </c>
      <c r="X8" s="85"/>
      <c r="Y8" s="85"/>
      <c r="Z8" s="85"/>
      <c r="AA8" s="85"/>
      <c r="AB8" s="85"/>
      <c r="AC8" s="85"/>
      <c r="AD8"/>
      <c r="AE8" s="86" t="s">
        <v>83</v>
      </c>
      <c r="AF8" s="86"/>
      <c r="AG8" s="86"/>
      <c r="AH8" s="86"/>
      <c r="AI8" s="86"/>
      <c r="AJ8" s="86"/>
      <c r="AK8" s="86"/>
    </row>
    <row r="9" spans="1:37" s="15" customFormat="1" ht="15.75" thickBot="1" x14ac:dyDescent="0.3">
      <c r="A9" s="87" t="s">
        <v>5</v>
      </c>
      <c r="B9" s="34" t="s">
        <v>6</v>
      </c>
      <c r="C9" s="22" t="s">
        <v>7</v>
      </c>
      <c r="D9" s="33" t="s">
        <v>8</v>
      </c>
      <c r="E9" s="22" t="s">
        <v>9</v>
      </c>
      <c r="F9" s="24" t="s">
        <v>10</v>
      </c>
      <c r="G9" s="23" t="s">
        <v>11</v>
      </c>
      <c r="H9" s="25" t="s">
        <v>12</v>
      </c>
      <c r="I9"/>
      <c r="J9" s="28" t="s">
        <v>4</v>
      </c>
      <c r="K9" s="9">
        <v>45685</v>
      </c>
      <c r="L9" s="66">
        <v>45688</v>
      </c>
      <c r="M9" s="4"/>
      <c r="N9" s="4"/>
      <c r="O9" s="4"/>
      <c r="P9" s="4"/>
      <c r="Q9" s="4"/>
      <c r="R9" s="4"/>
      <c r="S9" s="4"/>
      <c r="T9" s="4"/>
      <c r="U9" s="5"/>
      <c r="V9"/>
      <c r="W9" s="6" t="s">
        <v>4</v>
      </c>
      <c r="X9" s="9"/>
      <c r="Y9" s="4"/>
      <c r="Z9" s="4"/>
      <c r="AA9" s="4"/>
      <c r="AB9" s="4"/>
      <c r="AC9" s="5"/>
      <c r="AD9"/>
      <c r="AE9" s="6" t="s">
        <v>4</v>
      </c>
      <c r="AF9" s="9"/>
      <c r="AG9" s="4"/>
      <c r="AH9" s="4"/>
      <c r="AI9" s="4"/>
      <c r="AJ9" s="4"/>
      <c r="AK9" s="5"/>
    </row>
    <row r="10" spans="1:37" s="15" customFormat="1" ht="15.75" thickBot="1" x14ac:dyDescent="0.3">
      <c r="A10" s="87"/>
      <c r="B10" s="26"/>
      <c r="C10" s="27"/>
      <c r="D10" s="27">
        <v>5601</v>
      </c>
      <c r="E10" s="27">
        <v>6062</v>
      </c>
      <c r="F10" s="27">
        <f>SUM(C10-B10)</f>
        <v>0</v>
      </c>
      <c r="G10" s="20">
        <f>SUM(E10-D10)</f>
        <v>461</v>
      </c>
      <c r="H10" s="21">
        <f>SUM(F10:G10)</f>
        <v>461</v>
      </c>
      <c r="I10"/>
      <c r="J10" s="29" t="s">
        <v>22</v>
      </c>
      <c r="K10" s="10">
        <v>201.86</v>
      </c>
      <c r="L10" s="11">
        <v>170.23</v>
      </c>
      <c r="M10" s="11"/>
      <c r="N10" s="11"/>
      <c r="O10" s="11"/>
      <c r="P10" s="11"/>
      <c r="Q10" s="11"/>
      <c r="R10" s="11"/>
      <c r="S10" s="11"/>
      <c r="T10" s="11"/>
      <c r="U10" s="12"/>
      <c r="V10"/>
      <c r="W10" s="7" t="s">
        <v>22</v>
      </c>
      <c r="X10" s="10"/>
      <c r="Y10" s="11"/>
      <c r="Z10" s="11"/>
      <c r="AA10" s="11"/>
      <c r="AB10" s="11"/>
      <c r="AC10" s="12"/>
      <c r="AD10"/>
      <c r="AE10" s="7" t="s">
        <v>22</v>
      </c>
      <c r="AF10" s="10"/>
      <c r="AG10" s="11"/>
      <c r="AH10" s="11"/>
      <c r="AI10" s="11"/>
      <c r="AJ10" s="11"/>
      <c r="AK10" s="12"/>
    </row>
    <row r="11" spans="1:37" s="15" customFormat="1" x14ac:dyDescent="0.25">
      <c r="A11"/>
      <c r="B11" s="1"/>
      <c r="C11" s="1"/>
      <c r="D11" s="1"/>
      <c r="E11" s="1"/>
      <c r="F11"/>
      <c r="G11"/>
      <c r="H11"/>
      <c r="I11"/>
      <c r="J11" s="8"/>
      <c r="K11"/>
      <c r="L11"/>
      <c r="M11"/>
      <c r="N11"/>
      <c r="O11"/>
      <c r="P11"/>
      <c r="Q11"/>
      <c r="R11"/>
      <c r="S11"/>
      <c r="T11" s="8" t="s">
        <v>23</v>
      </c>
      <c r="U11" s="13">
        <f>SUM(K10:U10)</f>
        <v>372.09000000000003</v>
      </c>
      <c r="V11"/>
      <c r="W11"/>
      <c r="X11"/>
      <c r="Y11"/>
      <c r="Z11"/>
      <c r="AA11"/>
      <c r="AB11" s="8" t="s">
        <v>23</v>
      </c>
      <c r="AC11" s="13">
        <f>SUM(X10:AC10)</f>
        <v>0</v>
      </c>
      <c r="AD11"/>
      <c r="AE11"/>
      <c r="AF11"/>
      <c r="AG11"/>
      <c r="AH11"/>
      <c r="AI11"/>
      <c r="AJ11" s="8" t="s">
        <v>23</v>
      </c>
      <c r="AK11" s="13">
        <f>SUM(AF10:AK10)</f>
        <v>0</v>
      </c>
    </row>
    <row r="12" spans="1:37" ht="15.75" thickBot="1" x14ac:dyDescent="0.3">
      <c r="A12" s="19"/>
      <c r="B12" s="83" t="s">
        <v>3</v>
      </c>
      <c r="C12" s="83"/>
      <c r="D12" s="83"/>
      <c r="E12" s="83"/>
      <c r="F12" s="83"/>
      <c r="G12" s="83"/>
      <c r="H12" s="83"/>
      <c r="J12" s="99" t="s">
        <v>3</v>
      </c>
      <c r="K12" s="99"/>
      <c r="L12" s="99"/>
      <c r="M12" s="99"/>
      <c r="N12" s="99"/>
      <c r="O12" s="99"/>
      <c r="P12" s="99"/>
      <c r="Q12" s="99"/>
      <c r="R12" s="99"/>
      <c r="S12" s="99"/>
      <c r="T12" s="99"/>
      <c r="U12" s="99"/>
      <c r="W12" s="85" t="s">
        <v>3</v>
      </c>
      <c r="X12" s="85"/>
      <c r="Y12" s="85"/>
      <c r="Z12" s="85"/>
      <c r="AA12" s="85"/>
      <c r="AB12" s="85"/>
      <c r="AC12" s="85"/>
      <c r="AE12" s="86" t="s">
        <v>3</v>
      </c>
      <c r="AF12" s="86"/>
      <c r="AG12" s="86"/>
      <c r="AH12" s="86"/>
      <c r="AI12" s="86"/>
      <c r="AJ12" s="86"/>
      <c r="AK12" s="86"/>
    </row>
    <row r="13" spans="1:37" ht="15.75" thickBot="1" x14ac:dyDescent="0.3">
      <c r="A13" s="87" t="s">
        <v>5</v>
      </c>
      <c r="B13" s="34" t="s">
        <v>6</v>
      </c>
      <c r="C13" s="22" t="s">
        <v>7</v>
      </c>
      <c r="D13" s="33" t="s">
        <v>8</v>
      </c>
      <c r="E13" s="22" t="s">
        <v>9</v>
      </c>
      <c r="F13" s="24" t="s">
        <v>10</v>
      </c>
      <c r="G13" s="23" t="s">
        <v>11</v>
      </c>
      <c r="H13" s="25" t="s">
        <v>12</v>
      </c>
      <c r="J13" s="28" t="s">
        <v>4</v>
      </c>
      <c r="K13" s="9">
        <v>45692</v>
      </c>
      <c r="L13" s="66">
        <v>45694</v>
      </c>
      <c r="M13" s="66">
        <v>45699</v>
      </c>
      <c r="N13" s="66">
        <v>45702</v>
      </c>
      <c r="O13" s="9">
        <v>45706</v>
      </c>
      <c r="P13" s="66">
        <v>45709</v>
      </c>
      <c r="Q13" s="66">
        <v>45716</v>
      </c>
      <c r="R13" s="4"/>
      <c r="S13" s="4"/>
      <c r="T13" s="4"/>
      <c r="U13" s="5"/>
      <c r="W13" s="6" t="s">
        <v>4</v>
      </c>
      <c r="X13" s="9"/>
      <c r="Y13" s="4"/>
      <c r="Z13" s="4"/>
      <c r="AA13" s="4"/>
      <c r="AB13" s="4"/>
      <c r="AC13" s="5"/>
      <c r="AE13" s="6" t="s">
        <v>4</v>
      </c>
      <c r="AF13" s="9"/>
      <c r="AG13" s="4"/>
      <c r="AH13" s="4"/>
      <c r="AI13" s="4"/>
      <c r="AJ13" s="4"/>
      <c r="AK13" s="5"/>
    </row>
    <row r="14" spans="1:37" ht="15.75" thickBot="1" x14ac:dyDescent="0.3">
      <c r="A14" s="87"/>
      <c r="B14" s="26">
        <v>6062</v>
      </c>
      <c r="C14" s="27">
        <v>6902</v>
      </c>
      <c r="D14" s="27">
        <v>6902</v>
      </c>
      <c r="E14" s="27">
        <v>7650</v>
      </c>
      <c r="F14" s="27">
        <f>SUM(C14-B14)</f>
        <v>840</v>
      </c>
      <c r="G14" s="20">
        <f>SUM(E14-D14)</f>
        <v>748</v>
      </c>
      <c r="H14" s="21">
        <f>SUM(F14:G14)</f>
        <v>1588</v>
      </c>
      <c r="J14" s="29" t="s">
        <v>22</v>
      </c>
      <c r="K14" s="10">
        <v>125.37</v>
      </c>
      <c r="L14" s="11">
        <v>135.66999999999999</v>
      </c>
      <c r="M14" s="11">
        <v>141.76</v>
      </c>
      <c r="N14" s="11">
        <v>127.51</v>
      </c>
      <c r="O14" s="10">
        <v>240.64</v>
      </c>
      <c r="P14" s="11">
        <v>142.36000000000001</v>
      </c>
      <c r="Q14" s="11">
        <v>241.38</v>
      </c>
      <c r="R14" s="11"/>
      <c r="S14" s="11"/>
      <c r="T14" s="11"/>
      <c r="U14" s="12"/>
      <c r="W14" s="7" t="s">
        <v>22</v>
      </c>
      <c r="X14" s="10"/>
      <c r="Y14" s="11"/>
      <c r="Z14" s="11"/>
      <c r="AA14" s="11"/>
      <c r="AB14" s="11"/>
      <c r="AC14" s="12"/>
      <c r="AE14" s="7" t="s">
        <v>22</v>
      </c>
      <c r="AF14" s="10"/>
      <c r="AG14" s="11"/>
      <c r="AH14" s="11"/>
      <c r="AI14" s="11"/>
      <c r="AJ14" s="11"/>
      <c r="AK14" s="12"/>
    </row>
    <row r="15" spans="1:37" x14ac:dyDescent="0.25">
      <c r="J15" s="8"/>
      <c r="T15" s="8" t="s">
        <v>23</v>
      </c>
      <c r="U15" s="13">
        <f>SUM(K14:U14)</f>
        <v>1154.69</v>
      </c>
      <c r="AB15" s="8" t="s">
        <v>23</v>
      </c>
      <c r="AC15" s="13">
        <f>SUM(X14:AC14)</f>
        <v>0</v>
      </c>
      <c r="AJ15" s="8" t="s">
        <v>23</v>
      </c>
      <c r="AK15" s="13">
        <f>SUM(AF14:AK14)</f>
        <v>0</v>
      </c>
    </row>
    <row r="16" spans="1:37" ht="15.75" thickBot="1" x14ac:dyDescent="0.3">
      <c r="A16" s="19"/>
      <c r="B16" s="83" t="s">
        <v>13</v>
      </c>
      <c r="C16" s="83"/>
      <c r="D16" s="83"/>
      <c r="E16" s="83"/>
      <c r="F16" s="83"/>
      <c r="G16" s="83"/>
      <c r="H16" s="83"/>
      <c r="J16" s="84" t="s">
        <v>13</v>
      </c>
      <c r="K16" s="84"/>
      <c r="L16" s="84"/>
      <c r="M16" s="84"/>
      <c r="N16" s="84"/>
      <c r="O16" s="84"/>
      <c r="P16" s="84"/>
      <c r="Q16" s="84"/>
      <c r="R16" s="84"/>
      <c r="S16" s="84"/>
      <c r="T16" s="84"/>
      <c r="U16" s="84"/>
      <c r="W16" s="85" t="str">
        <f>J16</f>
        <v>Março</v>
      </c>
      <c r="X16" s="85"/>
      <c r="Y16" s="85"/>
      <c r="Z16" s="85"/>
      <c r="AA16" s="85"/>
      <c r="AB16" s="85"/>
      <c r="AC16" s="85"/>
      <c r="AE16" s="86" t="str">
        <f>W16</f>
        <v>Março</v>
      </c>
      <c r="AF16" s="86"/>
      <c r="AG16" s="86"/>
      <c r="AH16" s="86"/>
      <c r="AI16" s="86"/>
      <c r="AJ16" s="86"/>
      <c r="AK16" s="86"/>
    </row>
    <row r="17" spans="1:37" ht="15.75" thickBot="1" x14ac:dyDescent="0.3">
      <c r="A17" s="87" t="s">
        <v>5</v>
      </c>
      <c r="B17" s="34" t="s">
        <v>6</v>
      </c>
      <c r="C17" s="22" t="s">
        <v>7</v>
      </c>
      <c r="D17" s="33" t="s">
        <v>8</v>
      </c>
      <c r="E17" s="22" t="s">
        <v>9</v>
      </c>
      <c r="F17" s="24" t="s">
        <v>10</v>
      </c>
      <c r="G17" s="23" t="s">
        <v>11</v>
      </c>
      <c r="H17" s="25" t="s">
        <v>12</v>
      </c>
      <c r="J17" s="6" t="s">
        <v>4</v>
      </c>
      <c r="K17" s="66">
        <v>45723</v>
      </c>
      <c r="L17" s="66">
        <v>45730</v>
      </c>
      <c r="M17" s="66">
        <v>45744</v>
      </c>
      <c r="N17" s="4"/>
      <c r="O17" s="4"/>
      <c r="P17" s="4"/>
      <c r="Q17" s="4"/>
      <c r="R17" s="4"/>
      <c r="S17" s="4"/>
      <c r="T17" s="4"/>
      <c r="U17" s="5"/>
      <c r="W17" s="6" t="s">
        <v>4</v>
      </c>
      <c r="X17" s="9">
        <v>45717</v>
      </c>
      <c r="Y17" s="66">
        <v>45723</v>
      </c>
      <c r="Z17" s="66">
        <v>45730</v>
      </c>
      <c r="AA17" s="66">
        <v>45744</v>
      </c>
      <c r="AB17" s="4"/>
      <c r="AC17" s="5"/>
      <c r="AE17" s="6" t="s">
        <v>4</v>
      </c>
      <c r="AF17" s="9"/>
      <c r="AG17" s="4"/>
      <c r="AH17" s="4"/>
      <c r="AI17" s="4"/>
      <c r="AJ17" s="4"/>
      <c r="AK17" s="5"/>
    </row>
    <row r="18" spans="1:37" ht="15.75" thickBot="1" x14ac:dyDescent="0.3">
      <c r="A18" s="87"/>
      <c r="B18" s="26">
        <v>7650</v>
      </c>
      <c r="C18" s="27">
        <v>8225</v>
      </c>
      <c r="D18" s="27">
        <v>8225</v>
      </c>
      <c r="E18" s="27">
        <v>8575</v>
      </c>
      <c r="F18" s="27">
        <f>SUM(C18-B18)</f>
        <v>575</v>
      </c>
      <c r="G18" s="20">
        <f>SUM(E18-D18)</f>
        <v>350</v>
      </c>
      <c r="H18" s="21">
        <f>SUM(F18:G18)</f>
        <v>925</v>
      </c>
      <c r="J18" s="7" t="s">
        <v>22</v>
      </c>
      <c r="K18" s="11">
        <v>211.34</v>
      </c>
      <c r="L18" s="11">
        <v>255.83</v>
      </c>
      <c r="M18" s="11">
        <v>177.15</v>
      </c>
      <c r="N18" s="11"/>
      <c r="O18" s="11"/>
      <c r="P18" s="11"/>
      <c r="Q18" s="11"/>
      <c r="R18" s="11"/>
      <c r="S18" s="11"/>
      <c r="T18" s="11"/>
      <c r="U18" s="12"/>
      <c r="W18" s="7" t="s">
        <v>22</v>
      </c>
      <c r="X18" s="10">
        <v>40</v>
      </c>
      <c r="Y18" s="11">
        <v>40</v>
      </c>
      <c r="Z18" s="11">
        <v>40</v>
      </c>
      <c r="AA18" s="11">
        <v>40</v>
      </c>
      <c r="AB18" s="11"/>
      <c r="AC18" s="12"/>
      <c r="AE18" s="7" t="s">
        <v>22</v>
      </c>
      <c r="AF18" s="10"/>
      <c r="AG18" s="11"/>
      <c r="AH18" s="11"/>
      <c r="AI18" s="11"/>
      <c r="AJ18" s="11"/>
      <c r="AK18" s="12"/>
    </row>
    <row r="19" spans="1:37" x14ac:dyDescent="0.25">
      <c r="J19" s="8"/>
      <c r="T19" s="8" t="s">
        <v>23</v>
      </c>
      <c r="U19" s="13">
        <f>SUM(K18:U18)</f>
        <v>644.32000000000005</v>
      </c>
      <c r="AB19" s="8" t="s">
        <v>23</v>
      </c>
      <c r="AC19" s="13">
        <f>SUM(X18:AC18)</f>
        <v>160</v>
      </c>
      <c r="AJ19" s="8" t="s">
        <v>23</v>
      </c>
      <c r="AK19" s="13">
        <f>SUM(AF18:AK18)</f>
        <v>0</v>
      </c>
    </row>
    <row r="20" spans="1:37" ht="15.75" thickBot="1" x14ac:dyDescent="0.3">
      <c r="A20" s="19"/>
      <c r="B20" s="83" t="s">
        <v>14</v>
      </c>
      <c r="C20" s="83"/>
      <c r="D20" s="83"/>
      <c r="E20" s="83"/>
      <c r="F20" s="83"/>
      <c r="G20" s="83"/>
      <c r="H20" s="83"/>
      <c r="J20" s="84" t="s">
        <v>14</v>
      </c>
      <c r="K20" s="84"/>
      <c r="L20" s="84"/>
      <c r="M20" s="84"/>
      <c r="N20" s="84"/>
      <c r="O20" s="84"/>
      <c r="P20" s="84"/>
      <c r="Q20" s="84"/>
      <c r="R20" s="84"/>
      <c r="S20" s="84"/>
      <c r="T20" s="84"/>
      <c r="U20" s="84"/>
      <c r="W20" s="85" t="str">
        <f>J20</f>
        <v>Abril</v>
      </c>
      <c r="X20" s="85"/>
      <c r="Y20" s="85"/>
      <c r="Z20" s="85"/>
      <c r="AA20" s="85"/>
      <c r="AB20" s="85"/>
      <c r="AC20" s="85"/>
      <c r="AE20" s="86" t="str">
        <f>W20</f>
        <v>Abril</v>
      </c>
      <c r="AF20" s="86"/>
      <c r="AG20" s="86"/>
      <c r="AH20" s="86"/>
      <c r="AI20" s="86"/>
      <c r="AJ20" s="86"/>
      <c r="AK20" s="86"/>
    </row>
    <row r="21" spans="1:37" ht="15.75" thickBot="1" x14ac:dyDescent="0.3">
      <c r="A21" s="87" t="s">
        <v>5</v>
      </c>
      <c r="B21" s="34" t="s">
        <v>6</v>
      </c>
      <c r="C21" s="22" t="s">
        <v>7</v>
      </c>
      <c r="D21" s="33" t="s">
        <v>8</v>
      </c>
      <c r="E21" s="22" t="s">
        <v>9</v>
      </c>
      <c r="F21" s="24" t="s">
        <v>10</v>
      </c>
      <c r="G21" s="23" t="s">
        <v>11</v>
      </c>
      <c r="H21" s="25" t="s">
        <v>12</v>
      </c>
      <c r="J21" s="6" t="s">
        <v>4</v>
      </c>
      <c r="K21" s="9">
        <v>45751</v>
      </c>
      <c r="L21" s="66">
        <v>45755</v>
      </c>
      <c r="M21" s="66">
        <v>45762</v>
      </c>
      <c r="N21" s="66">
        <v>45772</v>
      </c>
      <c r="O21" s="66">
        <v>45776</v>
      </c>
      <c r="P21" s="4"/>
      <c r="Q21" s="4"/>
      <c r="R21" s="4"/>
      <c r="S21" s="4"/>
      <c r="T21" s="4"/>
      <c r="U21" s="5"/>
      <c r="W21" s="6" t="s">
        <v>4</v>
      </c>
      <c r="X21" s="9"/>
      <c r="Y21" s="4"/>
      <c r="Z21" s="4"/>
      <c r="AA21" s="4"/>
      <c r="AB21" s="4"/>
      <c r="AC21" s="5"/>
      <c r="AE21" s="6" t="s">
        <v>4</v>
      </c>
      <c r="AF21" s="9"/>
      <c r="AG21" s="4"/>
      <c r="AH21" s="4"/>
      <c r="AI21" s="4"/>
      <c r="AJ21" s="4"/>
      <c r="AK21" s="5"/>
    </row>
    <row r="22" spans="1:37" ht="15.75" thickBot="1" x14ac:dyDescent="0.3">
      <c r="A22" s="87"/>
      <c r="B22" s="27">
        <v>8575</v>
      </c>
      <c r="C22" s="27">
        <v>9371</v>
      </c>
      <c r="D22" s="27">
        <v>9371</v>
      </c>
      <c r="E22" s="27">
        <v>10036</v>
      </c>
      <c r="F22" s="27">
        <f>SUM(C22-B22)</f>
        <v>796</v>
      </c>
      <c r="G22" s="20">
        <f>SUM(E22-D22)</f>
        <v>665</v>
      </c>
      <c r="H22" s="21">
        <f>SUM(F22:G22)</f>
        <v>1461</v>
      </c>
      <c r="J22" s="7" t="s">
        <v>22</v>
      </c>
      <c r="K22" s="30">
        <v>224.65</v>
      </c>
      <c r="L22" s="31">
        <v>166.85</v>
      </c>
      <c r="M22" s="31">
        <v>217.83</v>
      </c>
      <c r="N22" s="31">
        <v>224.64</v>
      </c>
      <c r="O22" s="31">
        <v>134.91</v>
      </c>
      <c r="P22" s="31"/>
      <c r="Q22" s="31"/>
      <c r="R22" s="31"/>
      <c r="S22" s="31"/>
      <c r="T22" s="31"/>
      <c r="U22" s="32"/>
      <c r="W22" s="7" t="s">
        <v>22</v>
      </c>
      <c r="X22" s="10"/>
      <c r="Y22" s="11"/>
      <c r="Z22" s="11"/>
      <c r="AA22" s="11"/>
      <c r="AB22" s="11"/>
      <c r="AC22" s="12"/>
      <c r="AE22" s="7" t="s">
        <v>22</v>
      </c>
      <c r="AF22" s="10"/>
      <c r="AG22" s="11"/>
      <c r="AH22" s="11"/>
      <c r="AI22" s="11"/>
      <c r="AJ22" s="11"/>
      <c r="AK22" s="12"/>
    </row>
    <row r="23" spans="1:37" x14ac:dyDescent="0.25">
      <c r="J23" s="8"/>
      <c r="T23" s="8" t="s">
        <v>23</v>
      </c>
      <c r="U23" s="13">
        <f>SUM(K22:U22)</f>
        <v>968.88</v>
      </c>
      <c r="AB23" s="8" t="s">
        <v>23</v>
      </c>
      <c r="AC23" s="13">
        <f>SUM(X22:AC22)</f>
        <v>0</v>
      </c>
      <c r="AJ23" s="8" t="s">
        <v>23</v>
      </c>
      <c r="AK23" s="13">
        <f>SUM(AF22:AK22)</f>
        <v>0</v>
      </c>
    </row>
    <row r="24" spans="1:37" ht="15.75" thickBot="1" x14ac:dyDescent="0.3">
      <c r="A24" s="19"/>
      <c r="B24" s="83" t="s">
        <v>15</v>
      </c>
      <c r="C24" s="83"/>
      <c r="D24" s="83"/>
      <c r="E24" s="83"/>
      <c r="F24" s="83"/>
      <c r="G24" s="83"/>
      <c r="H24" s="83"/>
      <c r="J24" s="84" t="s">
        <v>15</v>
      </c>
      <c r="K24" s="84"/>
      <c r="L24" s="84"/>
      <c r="M24" s="84"/>
      <c r="N24" s="84"/>
      <c r="O24" s="84"/>
      <c r="P24" s="84"/>
      <c r="Q24" s="84"/>
      <c r="R24" s="84"/>
      <c r="S24" s="84"/>
      <c r="T24" s="84"/>
      <c r="U24" s="84"/>
      <c r="W24" s="85" t="str">
        <f>J24</f>
        <v>Maio</v>
      </c>
      <c r="X24" s="85"/>
      <c r="Y24" s="85"/>
      <c r="Z24" s="85"/>
      <c r="AA24" s="85"/>
      <c r="AB24" s="85"/>
      <c r="AC24" s="85"/>
      <c r="AE24" s="86" t="str">
        <f>W24</f>
        <v>Maio</v>
      </c>
      <c r="AF24" s="86"/>
      <c r="AG24" s="86"/>
      <c r="AH24" s="86"/>
      <c r="AI24" s="86"/>
      <c r="AJ24" s="86"/>
      <c r="AK24" s="86"/>
    </row>
    <row r="25" spans="1:37" ht="15.75" thickBot="1" x14ac:dyDescent="0.3">
      <c r="A25" s="87" t="s">
        <v>5</v>
      </c>
      <c r="B25" s="34" t="s">
        <v>6</v>
      </c>
      <c r="C25" s="22" t="s">
        <v>7</v>
      </c>
      <c r="D25" s="33" t="s">
        <v>8</v>
      </c>
      <c r="E25" s="22" t="s">
        <v>9</v>
      </c>
      <c r="F25" s="24" t="s">
        <v>10</v>
      </c>
      <c r="G25" s="23" t="s">
        <v>11</v>
      </c>
      <c r="H25" s="25" t="s">
        <v>12</v>
      </c>
      <c r="J25" s="6" t="s">
        <v>4</v>
      </c>
      <c r="K25" s="9">
        <v>45783</v>
      </c>
      <c r="L25" s="66">
        <v>45790</v>
      </c>
      <c r="M25" s="66">
        <v>45800</v>
      </c>
      <c r="N25" s="66">
        <v>45807</v>
      </c>
      <c r="O25" s="4"/>
      <c r="P25" s="4"/>
      <c r="Q25" s="4"/>
      <c r="R25" s="4"/>
      <c r="S25" s="4"/>
      <c r="T25" s="4"/>
      <c r="U25" s="5"/>
      <c r="W25" s="6" t="s">
        <v>4</v>
      </c>
      <c r="X25" s="9"/>
      <c r="Y25" s="4"/>
      <c r="Z25" s="4"/>
      <c r="AA25" s="4"/>
      <c r="AB25" s="4"/>
      <c r="AC25" s="5"/>
      <c r="AE25" s="6" t="s">
        <v>4</v>
      </c>
      <c r="AF25" s="9"/>
      <c r="AG25" s="4"/>
      <c r="AH25" s="4"/>
      <c r="AI25" s="4"/>
      <c r="AJ25" s="4"/>
      <c r="AK25" s="5"/>
    </row>
    <row r="26" spans="1:37" ht="15.75" thickBot="1" x14ac:dyDescent="0.3">
      <c r="A26" s="87"/>
      <c r="B26" s="27">
        <v>10036</v>
      </c>
      <c r="C26" s="27">
        <v>10842</v>
      </c>
      <c r="D26" s="27">
        <v>10842</v>
      </c>
      <c r="E26" s="27">
        <v>11551</v>
      </c>
      <c r="F26" s="27">
        <f>SUM(C26-B26)</f>
        <v>806</v>
      </c>
      <c r="G26" s="20">
        <f>SUM(E26-D26)</f>
        <v>709</v>
      </c>
      <c r="H26" s="21">
        <f>SUM(F26:G26)</f>
        <v>1515</v>
      </c>
      <c r="J26" s="7" t="s">
        <v>22</v>
      </c>
      <c r="K26" s="10">
        <v>238.59</v>
      </c>
      <c r="L26" s="11">
        <v>230.91</v>
      </c>
      <c r="M26" s="11">
        <v>236.8</v>
      </c>
      <c r="N26" s="11">
        <v>236.74</v>
      </c>
      <c r="O26" s="11"/>
      <c r="P26" s="11"/>
      <c r="Q26" s="11"/>
      <c r="R26" s="11"/>
      <c r="S26" s="11"/>
      <c r="T26" s="11"/>
      <c r="U26" s="12"/>
      <c r="W26" s="7" t="s">
        <v>22</v>
      </c>
      <c r="X26" s="10"/>
      <c r="Y26" s="11"/>
      <c r="Z26" s="11"/>
      <c r="AA26" s="11"/>
      <c r="AB26" s="11"/>
      <c r="AC26" s="12"/>
      <c r="AE26" s="7" t="s">
        <v>22</v>
      </c>
      <c r="AF26" s="10"/>
      <c r="AG26" s="11"/>
      <c r="AH26" s="11"/>
      <c r="AI26" s="11"/>
      <c r="AJ26" s="11"/>
      <c r="AK26" s="12"/>
    </row>
    <row r="27" spans="1:37" x14ac:dyDescent="0.25">
      <c r="J27" s="8"/>
      <c r="T27" s="8" t="s">
        <v>23</v>
      </c>
      <c r="U27" s="13">
        <f>SUM(K26:U26)</f>
        <v>943.04</v>
      </c>
      <c r="AB27" s="8" t="s">
        <v>23</v>
      </c>
      <c r="AC27" s="13">
        <f>SUM(X26:AC26)</f>
        <v>0</v>
      </c>
      <c r="AJ27" s="8" t="s">
        <v>23</v>
      </c>
      <c r="AK27" s="13">
        <f>SUM(AF26:AK26)</f>
        <v>0</v>
      </c>
    </row>
    <row r="28" spans="1:37" ht="15.75" thickBot="1" x14ac:dyDescent="0.3">
      <c r="A28" s="19"/>
      <c r="B28" s="83" t="s">
        <v>24</v>
      </c>
      <c r="C28" s="83"/>
      <c r="D28" s="83"/>
      <c r="E28" s="83"/>
      <c r="F28" s="83"/>
      <c r="G28" s="83"/>
      <c r="H28" s="83"/>
      <c r="J28" s="84" t="s">
        <v>24</v>
      </c>
      <c r="K28" s="84"/>
      <c r="L28" s="84"/>
      <c r="M28" s="84"/>
      <c r="N28" s="84"/>
      <c r="O28" s="84"/>
      <c r="P28" s="84"/>
      <c r="Q28" s="84"/>
      <c r="R28" s="84"/>
      <c r="S28" s="84"/>
      <c r="T28" s="84"/>
      <c r="U28" s="84"/>
      <c r="W28" s="85" t="str">
        <f>J28</f>
        <v>Junho</v>
      </c>
      <c r="X28" s="85"/>
      <c r="Y28" s="85"/>
      <c r="Z28" s="85"/>
      <c r="AA28" s="85"/>
      <c r="AB28" s="85"/>
      <c r="AC28" s="85"/>
      <c r="AE28" s="86" t="str">
        <f>W28</f>
        <v>Junho</v>
      </c>
      <c r="AF28" s="86"/>
      <c r="AG28" s="86"/>
      <c r="AH28" s="86"/>
      <c r="AI28" s="86"/>
      <c r="AJ28" s="86"/>
      <c r="AK28" s="86"/>
    </row>
    <row r="29" spans="1:37" ht="15.75" thickBot="1" x14ac:dyDescent="0.3">
      <c r="A29" s="87" t="s">
        <v>5</v>
      </c>
      <c r="B29" s="34" t="s">
        <v>6</v>
      </c>
      <c r="C29" s="22" t="s">
        <v>7</v>
      </c>
      <c r="D29" s="33" t="s">
        <v>8</v>
      </c>
      <c r="E29" s="22" t="s">
        <v>9</v>
      </c>
      <c r="F29" s="24" t="s">
        <v>10</v>
      </c>
      <c r="G29" s="23" t="s">
        <v>11</v>
      </c>
      <c r="H29" s="25" t="s">
        <v>12</v>
      </c>
      <c r="J29" s="6" t="s">
        <v>4</v>
      </c>
      <c r="K29" s="9">
        <v>45811</v>
      </c>
      <c r="L29" s="66">
        <v>45818</v>
      </c>
      <c r="M29" s="66">
        <v>45824</v>
      </c>
      <c r="N29" s="66">
        <v>45832</v>
      </c>
      <c r="O29" s="66">
        <v>45835</v>
      </c>
      <c r="P29" s="4"/>
      <c r="Q29" s="4"/>
      <c r="R29" s="4"/>
      <c r="S29" s="4"/>
      <c r="T29" s="4"/>
      <c r="U29" s="5"/>
      <c r="W29" s="6" t="s">
        <v>4</v>
      </c>
      <c r="X29" s="9"/>
      <c r="Y29" s="4"/>
      <c r="Z29" s="4"/>
      <c r="AA29" s="4"/>
      <c r="AB29" s="4"/>
      <c r="AC29" s="5"/>
      <c r="AE29" s="6" t="s">
        <v>4</v>
      </c>
      <c r="AF29" s="9"/>
      <c r="AG29" s="4"/>
      <c r="AH29" s="4"/>
      <c r="AI29" s="4"/>
      <c r="AJ29" s="4"/>
      <c r="AK29" s="5"/>
    </row>
    <row r="30" spans="1:37" ht="15.75" thickBot="1" x14ac:dyDescent="0.3">
      <c r="A30" s="87"/>
      <c r="B30" s="27">
        <v>11551</v>
      </c>
      <c r="C30" s="27">
        <v>12422</v>
      </c>
      <c r="D30" s="27">
        <v>12422</v>
      </c>
      <c r="E30" s="27">
        <v>13247</v>
      </c>
      <c r="F30" s="27">
        <f>SUM(C30-B30)</f>
        <v>871</v>
      </c>
      <c r="G30" s="20">
        <f>SUM(E30-D30)</f>
        <v>825</v>
      </c>
      <c r="H30" s="21">
        <f>SUM(F30:G30)</f>
        <v>1696</v>
      </c>
      <c r="J30" s="7" t="s">
        <v>22</v>
      </c>
      <c r="K30" s="10">
        <v>157.44</v>
      </c>
      <c r="L30" s="11">
        <v>239.74</v>
      </c>
      <c r="M30" s="11">
        <v>187.47</v>
      </c>
      <c r="N30" s="11">
        <v>175.3</v>
      </c>
      <c r="O30" s="11">
        <v>115.64</v>
      </c>
      <c r="P30" s="11"/>
      <c r="Q30" s="11"/>
      <c r="R30" s="11"/>
      <c r="S30" s="11"/>
      <c r="T30" s="11"/>
      <c r="U30" s="12"/>
      <c r="W30" s="7" t="s">
        <v>22</v>
      </c>
      <c r="X30" s="10"/>
      <c r="Y30" s="11"/>
      <c r="Z30" s="11"/>
      <c r="AA30" s="11"/>
      <c r="AB30" s="11"/>
      <c r="AC30" s="12"/>
      <c r="AE30" s="7" t="s">
        <v>22</v>
      </c>
      <c r="AF30" s="10"/>
      <c r="AG30" s="11"/>
      <c r="AH30" s="11"/>
      <c r="AI30" s="11"/>
      <c r="AJ30" s="11"/>
      <c r="AK30" s="12"/>
    </row>
    <row r="31" spans="1:37" x14ac:dyDescent="0.25">
      <c r="J31" s="8"/>
      <c r="T31" s="8" t="s">
        <v>23</v>
      </c>
      <c r="U31" s="13">
        <f>SUM(K30:U30)</f>
        <v>875.59</v>
      </c>
      <c r="AB31" s="8" t="s">
        <v>23</v>
      </c>
      <c r="AC31" s="13">
        <f>SUM(X30:AC30)</f>
        <v>0</v>
      </c>
      <c r="AJ31" s="8" t="s">
        <v>23</v>
      </c>
      <c r="AK31" s="13">
        <f>SUM(AF30:AK30)</f>
        <v>0</v>
      </c>
    </row>
    <row r="32" spans="1:37" ht="15.75" thickBot="1" x14ac:dyDescent="0.3">
      <c r="A32" s="19"/>
      <c r="B32" s="83" t="s">
        <v>16</v>
      </c>
      <c r="C32" s="83"/>
      <c r="D32" s="83"/>
      <c r="E32" s="83"/>
      <c r="F32" s="83"/>
      <c r="G32" s="83"/>
      <c r="H32" s="83"/>
      <c r="J32" s="84" t="s">
        <v>16</v>
      </c>
      <c r="K32" s="84"/>
      <c r="L32" s="84"/>
      <c r="M32" s="84"/>
      <c r="N32" s="84"/>
      <c r="O32" s="84"/>
      <c r="P32" s="84"/>
      <c r="Q32" s="84"/>
      <c r="R32" s="84"/>
      <c r="S32" s="84"/>
      <c r="T32" s="84"/>
      <c r="U32" s="84"/>
      <c r="W32" s="85" t="str">
        <f>J32</f>
        <v>Julho</v>
      </c>
      <c r="X32" s="85"/>
      <c r="Y32" s="85"/>
      <c r="Z32" s="85"/>
      <c r="AA32" s="85"/>
      <c r="AB32" s="85"/>
      <c r="AC32" s="85"/>
      <c r="AE32" s="86" t="str">
        <f>W32</f>
        <v>Julho</v>
      </c>
      <c r="AF32" s="86"/>
      <c r="AG32" s="86"/>
      <c r="AH32" s="86"/>
      <c r="AI32" s="86"/>
      <c r="AJ32" s="86"/>
      <c r="AK32" s="86"/>
    </row>
    <row r="33" spans="1:37" ht="15.75" thickBot="1" x14ac:dyDescent="0.3">
      <c r="A33" s="87" t="s">
        <v>5</v>
      </c>
      <c r="B33" s="34" t="s">
        <v>6</v>
      </c>
      <c r="C33" s="22" t="s">
        <v>7</v>
      </c>
      <c r="D33" s="33" t="s">
        <v>8</v>
      </c>
      <c r="E33" s="22" t="s">
        <v>9</v>
      </c>
      <c r="F33" s="24" t="s">
        <v>10</v>
      </c>
      <c r="G33" s="23" t="s">
        <v>11</v>
      </c>
      <c r="H33" s="25" t="s">
        <v>12</v>
      </c>
      <c r="J33" s="6" t="s">
        <v>4</v>
      </c>
      <c r="K33" s="9">
        <v>45842</v>
      </c>
      <c r="L33" s="66">
        <v>45849</v>
      </c>
      <c r="M33" s="66">
        <v>45860</v>
      </c>
      <c r="N33" s="66">
        <v>45863</v>
      </c>
      <c r="O33" s="4"/>
      <c r="P33" s="4"/>
      <c r="Q33" s="4"/>
      <c r="R33" s="4"/>
      <c r="S33" s="4"/>
      <c r="T33" s="4"/>
      <c r="U33" s="5"/>
      <c r="W33" s="6" t="s">
        <v>4</v>
      </c>
      <c r="X33" s="9"/>
      <c r="Y33" s="4"/>
      <c r="Z33" s="4"/>
      <c r="AA33" s="4"/>
      <c r="AB33" s="4"/>
      <c r="AC33" s="5"/>
      <c r="AE33" s="6" t="s">
        <v>4</v>
      </c>
      <c r="AF33" s="9"/>
      <c r="AG33" s="4"/>
      <c r="AH33" s="4"/>
      <c r="AI33" s="4"/>
      <c r="AJ33" s="4"/>
      <c r="AK33" s="5"/>
    </row>
    <row r="34" spans="1:37" ht="15.75" thickBot="1" x14ac:dyDescent="0.3">
      <c r="A34" s="87"/>
      <c r="B34" s="26">
        <v>13247</v>
      </c>
      <c r="C34" s="27">
        <v>14242</v>
      </c>
      <c r="D34" s="27">
        <v>14242</v>
      </c>
      <c r="E34" s="27">
        <v>15063</v>
      </c>
      <c r="F34" s="27">
        <f>SUM(C34-B34)</f>
        <v>995</v>
      </c>
      <c r="G34" s="20">
        <f>SUM(E34-D34)</f>
        <v>821</v>
      </c>
      <c r="H34" s="21">
        <f>SUM(F34:G34)</f>
        <v>1816</v>
      </c>
      <c r="J34" s="7" t="s">
        <v>22</v>
      </c>
      <c r="K34" s="10" t="s">
        <v>104</v>
      </c>
      <c r="L34" s="10">
        <v>236.4</v>
      </c>
      <c r="M34" s="11">
        <v>249.08</v>
      </c>
      <c r="N34" s="11">
        <v>119.14</v>
      </c>
      <c r="O34" s="11"/>
      <c r="P34" s="11"/>
      <c r="Q34" s="11"/>
      <c r="R34" s="11"/>
      <c r="S34" s="11"/>
      <c r="T34" s="11"/>
      <c r="U34" s="12"/>
      <c r="W34" s="7" t="s">
        <v>22</v>
      </c>
      <c r="X34" s="10"/>
      <c r="Y34" s="11"/>
      <c r="Z34" s="11"/>
      <c r="AA34" s="11"/>
      <c r="AB34" s="11"/>
      <c r="AC34" s="12"/>
      <c r="AE34" s="7" t="s">
        <v>22</v>
      </c>
      <c r="AF34" s="10"/>
      <c r="AG34" s="11"/>
      <c r="AH34" s="11"/>
      <c r="AI34" s="11"/>
      <c r="AJ34" s="11"/>
      <c r="AK34" s="12"/>
    </row>
    <row r="35" spans="1:37" x14ac:dyDescent="0.25">
      <c r="J35" s="8"/>
      <c r="T35" s="8" t="s">
        <v>23</v>
      </c>
      <c r="U35" s="13">
        <f>SUM(K34:U34)</f>
        <v>604.62</v>
      </c>
      <c r="AB35" s="8" t="s">
        <v>23</v>
      </c>
      <c r="AC35" s="13">
        <f>SUM(X34:AC34)</f>
        <v>0</v>
      </c>
      <c r="AJ35" s="8" t="s">
        <v>23</v>
      </c>
      <c r="AK35" s="13">
        <f>SUM(AF34:AK34)</f>
        <v>0</v>
      </c>
    </row>
    <row r="36" spans="1:37" ht="15.75" thickBot="1" x14ac:dyDescent="0.3">
      <c r="A36" s="19"/>
      <c r="B36" s="83" t="s">
        <v>17</v>
      </c>
      <c r="C36" s="83"/>
      <c r="D36" s="83"/>
      <c r="E36" s="83"/>
      <c r="F36" s="83"/>
      <c r="G36" s="83"/>
      <c r="H36" s="83"/>
      <c r="J36" s="84" t="s">
        <v>17</v>
      </c>
      <c r="K36" s="84"/>
      <c r="L36" s="84"/>
      <c r="M36" s="84"/>
      <c r="N36" s="84"/>
      <c r="O36" s="84"/>
      <c r="P36" s="84"/>
      <c r="Q36" s="84"/>
      <c r="R36" s="84"/>
      <c r="S36" s="84"/>
      <c r="T36" s="84"/>
      <c r="U36" s="84"/>
      <c r="W36" s="85" t="str">
        <f>J36</f>
        <v>Agosto</v>
      </c>
      <c r="X36" s="85"/>
      <c r="Y36" s="85"/>
      <c r="Z36" s="85"/>
      <c r="AA36" s="85"/>
      <c r="AB36" s="85"/>
      <c r="AC36" s="85"/>
      <c r="AE36" s="86" t="str">
        <f>W36</f>
        <v>Agosto</v>
      </c>
      <c r="AF36" s="86"/>
      <c r="AG36" s="86"/>
      <c r="AH36" s="86"/>
      <c r="AI36" s="86"/>
      <c r="AJ36" s="86"/>
      <c r="AK36" s="86"/>
    </row>
    <row r="37" spans="1:37" ht="15.75" thickBot="1" x14ac:dyDescent="0.3">
      <c r="A37" s="87" t="s">
        <v>5</v>
      </c>
      <c r="B37" s="34" t="s">
        <v>6</v>
      </c>
      <c r="C37" s="22" t="s">
        <v>7</v>
      </c>
      <c r="D37" s="33" t="s">
        <v>8</v>
      </c>
      <c r="E37" s="22" t="s">
        <v>9</v>
      </c>
      <c r="F37" s="24" t="s">
        <v>10</v>
      </c>
      <c r="G37" s="23" t="s">
        <v>11</v>
      </c>
      <c r="H37" s="25" t="s">
        <v>12</v>
      </c>
      <c r="J37" s="6" t="s">
        <v>4</v>
      </c>
      <c r="K37" s="9">
        <v>45877</v>
      </c>
      <c r="L37" s="66">
        <v>45881</v>
      </c>
      <c r="M37" s="66">
        <v>45884</v>
      </c>
      <c r="N37" s="66">
        <v>45888</v>
      </c>
      <c r="O37" s="66">
        <v>45891</v>
      </c>
      <c r="P37" s="66">
        <v>45895</v>
      </c>
      <c r="Q37" s="66">
        <v>45898</v>
      </c>
      <c r="R37" s="4"/>
      <c r="S37" s="4"/>
      <c r="T37" s="4"/>
      <c r="U37" s="5"/>
      <c r="W37" s="6" t="s">
        <v>4</v>
      </c>
      <c r="X37" s="9"/>
      <c r="Y37" s="4"/>
      <c r="Z37" s="4"/>
      <c r="AA37" s="4"/>
      <c r="AB37" s="4"/>
      <c r="AC37" s="5"/>
      <c r="AE37" s="6" t="s">
        <v>4</v>
      </c>
      <c r="AF37" s="9"/>
      <c r="AG37" s="4"/>
      <c r="AH37" s="4"/>
      <c r="AI37" s="4"/>
      <c r="AJ37" s="4"/>
      <c r="AK37" s="5"/>
    </row>
    <row r="38" spans="1:37" ht="15.75" thickBot="1" x14ac:dyDescent="0.3">
      <c r="A38" s="87"/>
      <c r="B38" s="27">
        <v>15063</v>
      </c>
      <c r="C38" s="27">
        <v>16103</v>
      </c>
      <c r="D38" s="27">
        <v>16103</v>
      </c>
      <c r="E38" s="27">
        <v>17084</v>
      </c>
      <c r="F38" s="27">
        <f>SUM(C38-B38)</f>
        <v>1040</v>
      </c>
      <c r="G38" s="20">
        <f>SUM(E38-D38)</f>
        <v>981</v>
      </c>
      <c r="H38" s="21">
        <f>SUM(F38:G38)</f>
        <v>2021</v>
      </c>
      <c r="J38" s="7" t="s">
        <v>22</v>
      </c>
      <c r="K38" s="10">
        <v>264.02999999999997</v>
      </c>
      <c r="L38" s="11">
        <v>120.7</v>
      </c>
      <c r="M38" s="11">
        <v>145.47</v>
      </c>
      <c r="N38" s="11">
        <v>141.97</v>
      </c>
      <c r="O38" s="11">
        <v>130.59</v>
      </c>
      <c r="P38" s="11">
        <v>137.28</v>
      </c>
      <c r="Q38" s="11">
        <v>151</v>
      </c>
      <c r="R38" s="11"/>
      <c r="S38" s="11"/>
      <c r="T38" s="11"/>
      <c r="U38" s="12"/>
      <c r="W38" s="7" t="s">
        <v>22</v>
      </c>
      <c r="X38" s="10"/>
      <c r="Y38" s="11"/>
      <c r="Z38" s="11"/>
      <c r="AA38" s="11"/>
      <c r="AB38" s="11"/>
      <c r="AC38" s="12"/>
      <c r="AE38" s="7" t="s">
        <v>22</v>
      </c>
      <c r="AF38" s="10"/>
      <c r="AG38" s="11"/>
      <c r="AH38" s="11"/>
      <c r="AI38" s="11"/>
      <c r="AJ38" s="11"/>
      <c r="AK38" s="12"/>
    </row>
    <row r="39" spans="1:37" x14ac:dyDescent="0.25">
      <c r="J39" s="8"/>
      <c r="T39" s="8" t="s">
        <v>23</v>
      </c>
      <c r="U39" s="13">
        <f>SUM(K38:U38)</f>
        <v>1091.04</v>
      </c>
      <c r="AB39" s="8" t="s">
        <v>23</v>
      </c>
      <c r="AC39" s="13">
        <f>SUM(X38:AC38)</f>
        <v>0</v>
      </c>
      <c r="AJ39" s="8" t="s">
        <v>23</v>
      </c>
      <c r="AK39" s="13">
        <f>SUM(AF38:AK38)</f>
        <v>0</v>
      </c>
    </row>
    <row r="40" spans="1:37" ht="15.75" thickBot="1" x14ac:dyDescent="0.3">
      <c r="A40" s="19"/>
      <c r="B40" s="83" t="s">
        <v>18</v>
      </c>
      <c r="C40" s="83"/>
      <c r="D40" s="83"/>
      <c r="E40" s="83"/>
      <c r="F40" s="83"/>
      <c r="G40" s="83"/>
      <c r="H40" s="83"/>
      <c r="J40" s="84" t="s">
        <v>18</v>
      </c>
      <c r="K40" s="84"/>
      <c r="L40" s="84"/>
      <c r="M40" s="84"/>
      <c r="N40" s="84"/>
      <c r="O40" s="84"/>
      <c r="P40" s="84"/>
      <c r="Q40" s="84"/>
      <c r="R40" s="84"/>
      <c r="S40" s="84"/>
      <c r="T40" s="84"/>
      <c r="U40" s="84"/>
      <c r="W40" s="85" t="str">
        <f>J40</f>
        <v>Setembro</v>
      </c>
      <c r="X40" s="85"/>
      <c r="Y40" s="85"/>
      <c r="Z40" s="85"/>
      <c r="AA40" s="85"/>
      <c r="AB40" s="85"/>
      <c r="AC40" s="85"/>
      <c r="AE40" s="86" t="str">
        <f>W40</f>
        <v>Setembro</v>
      </c>
      <c r="AF40" s="86"/>
      <c r="AG40" s="86"/>
      <c r="AH40" s="86"/>
      <c r="AI40" s="86"/>
      <c r="AJ40" s="86"/>
      <c r="AK40" s="86"/>
    </row>
    <row r="41" spans="1:37" ht="15.75" thickBot="1" x14ac:dyDescent="0.3">
      <c r="A41" s="87" t="s">
        <v>5</v>
      </c>
      <c r="B41" s="34" t="s">
        <v>6</v>
      </c>
      <c r="C41" s="22" t="s">
        <v>7</v>
      </c>
      <c r="D41" s="33" t="s">
        <v>8</v>
      </c>
      <c r="E41" s="22" t="s">
        <v>9</v>
      </c>
      <c r="F41" s="24" t="s">
        <v>10</v>
      </c>
      <c r="G41" s="23" t="s">
        <v>11</v>
      </c>
      <c r="H41" s="25" t="s">
        <v>12</v>
      </c>
      <c r="J41" s="6" t="s">
        <v>4</v>
      </c>
      <c r="K41" s="9">
        <v>45909</v>
      </c>
      <c r="L41" s="66">
        <v>45916</v>
      </c>
      <c r="M41" s="66">
        <v>45919</v>
      </c>
      <c r="N41" s="66">
        <v>45923</v>
      </c>
      <c r="O41" s="66">
        <v>45926</v>
      </c>
      <c r="P41" s="66">
        <v>45930</v>
      </c>
      <c r="Q41" s="4"/>
      <c r="R41" s="4"/>
      <c r="S41" s="4"/>
      <c r="T41" s="4"/>
      <c r="U41" s="5"/>
      <c r="W41" s="6" t="s">
        <v>4</v>
      </c>
      <c r="X41" s="9"/>
      <c r="Y41" s="4"/>
      <c r="Z41" s="4"/>
      <c r="AA41" s="4"/>
      <c r="AB41" s="4"/>
      <c r="AC41" s="5"/>
      <c r="AE41" s="6" t="s">
        <v>4</v>
      </c>
      <c r="AF41" s="9"/>
      <c r="AG41" s="4"/>
      <c r="AH41" s="4"/>
      <c r="AI41" s="4"/>
      <c r="AJ41" s="4"/>
      <c r="AK41" s="5"/>
    </row>
    <row r="42" spans="1:37" ht="15.75" thickBot="1" x14ac:dyDescent="0.3">
      <c r="A42" s="87"/>
      <c r="B42" s="27">
        <v>17084</v>
      </c>
      <c r="C42" s="27">
        <v>17624</v>
      </c>
      <c r="D42" s="27">
        <v>17624</v>
      </c>
      <c r="E42" s="27">
        <v>18732</v>
      </c>
      <c r="F42" s="27">
        <f>SUM(C42-B42)</f>
        <v>540</v>
      </c>
      <c r="G42" s="20">
        <f>SUM(E42-D42)</f>
        <v>1108</v>
      </c>
      <c r="H42" s="21">
        <f>SUM(F42:G42)</f>
        <v>1648</v>
      </c>
      <c r="J42" s="7" t="s">
        <v>22</v>
      </c>
      <c r="K42" s="10">
        <v>147.82</v>
      </c>
      <c r="L42" s="11">
        <v>209.62</v>
      </c>
      <c r="M42" s="11">
        <v>189.67</v>
      </c>
      <c r="N42" s="11">
        <v>169</v>
      </c>
      <c r="O42" s="11">
        <v>182</v>
      </c>
      <c r="P42" s="11">
        <v>137.47999999999999</v>
      </c>
      <c r="Q42" s="11"/>
      <c r="R42" s="11"/>
      <c r="S42" s="11"/>
      <c r="T42" s="11"/>
      <c r="U42" s="12"/>
      <c r="W42" s="7" t="s">
        <v>22</v>
      </c>
      <c r="X42" s="10"/>
      <c r="Y42" s="11"/>
      <c r="Z42" s="11"/>
      <c r="AA42" s="11"/>
      <c r="AB42" s="11"/>
      <c r="AC42" s="12"/>
      <c r="AE42" s="7" t="s">
        <v>22</v>
      </c>
      <c r="AF42" s="10"/>
      <c r="AG42" s="11"/>
      <c r="AH42" s="11"/>
      <c r="AI42" s="11"/>
      <c r="AJ42" s="11"/>
      <c r="AK42" s="12"/>
    </row>
    <row r="43" spans="1:37" x14ac:dyDescent="0.25">
      <c r="J43" s="8"/>
      <c r="T43" s="8" t="s">
        <v>23</v>
      </c>
      <c r="U43" s="13">
        <f>SUM(K42:U42)</f>
        <v>1035.5899999999999</v>
      </c>
      <c r="AB43" s="8" t="s">
        <v>23</v>
      </c>
      <c r="AC43" s="13">
        <f>SUM(X42:AC42)</f>
        <v>0</v>
      </c>
      <c r="AJ43" s="8" t="s">
        <v>23</v>
      </c>
      <c r="AK43" s="13">
        <f>SUM(AF42:AK42)</f>
        <v>0</v>
      </c>
    </row>
    <row r="44" spans="1:37" ht="15.75" thickBot="1" x14ac:dyDescent="0.3">
      <c r="A44" s="19"/>
      <c r="B44" s="83" t="s">
        <v>19</v>
      </c>
      <c r="C44" s="83"/>
      <c r="D44" s="83"/>
      <c r="E44" s="83"/>
      <c r="F44" s="83"/>
      <c r="G44" s="83"/>
      <c r="H44" s="83"/>
      <c r="J44" s="84" t="s">
        <v>19</v>
      </c>
      <c r="K44" s="84"/>
      <c r="L44" s="84"/>
      <c r="M44" s="84"/>
      <c r="N44" s="84"/>
      <c r="O44" s="84"/>
      <c r="P44" s="84"/>
      <c r="Q44" s="84"/>
      <c r="R44" s="84"/>
      <c r="S44" s="84"/>
      <c r="T44" s="84"/>
      <c r="U44" s="84"/>
      <c r="W44" s="85" t="str">
        <f>J44</f>
        <v>Outubro</v>
      </c>
      <c r="X44" s="85"/>
      <c r="Y44" s="85"/>
      <c r="Z44" s="85"/>
      <c r="AA44" s="85"/>
      <c r="AB44" s="85"/>
      <c r="AC44" s="85"/>
      <c r="AE44" s="86" t="str">
        <f>W44</f>
        <v>Outubro</v>
      </c>
      <c r="AF44" s="86"/>
      <c r="AG44" s="86"/>
      <c r="AH44" s="86"/>
      <c r="AI44" s="86"/>
      <c r="AJ44" s="86"/>
      <c r="AK44" s="86"/>
    </row>
    <row r="45" spans="1:37" ht="15.75" thickBot="1" x14ac:dyDescent="0.3">
      <c r="A45" s="87" t="s">
        <v>5</v>
      </c>
      <c r="B45" s="34" t="s">
        <v>6</v>
      </c>
      <c r="C45" s="22" t="s">
        <v>7</v>
      </c>
      <c r="D45" s="33" t="s">
        <v>8</v>
      </c>
      <c r="E45" s="22" t="s">
        <v>9</v>
      </c>
      <c r="F45" s="24" t="s">
        <v>10</v>
      </c>
      <c r="G45" s="23" t="s">
        <v>11</v>
      </c>
      <c r="H45" s="25" t="s">
        <v>12</v>
      </c>
      <c r="J45" s="6" t="s">
        <v>4</v>
      </c>
      <c r="K45" s="9">
        <v>45933</v>
      </c>
      <c r="L45" s="66">
        <v>45937</v>
      </c>
      <c r="M45" s="66">
        <v>45940</v>
      </c>
      <c r="N45" s="66">
        <v>45954</v>
      </c>
      <c r="O45" s="66">
        <v>45956</v>
      </c>
      <c r="P45" s="66">
        <v>45958</v>
      </c>
      <c r="Q45" s="4"/>
      <c r="R45" s="4"/>
      <c r="S45" s="4"/>
      <c r="T45" s="4"/>
      <c r="U45" s="5"/>
      <c r="W45" s="6" t="s">
        <v>4</v>
      </c>
      <c r="X45" s="9"/>
      <c r="Y45" s="4"/>
      <c r="Z45" s="4"/>
      <c r="AA45" s="4"/>
      <c r="AB45" s="4"/>
      <c r="AC45" s="5"/>
      <c r="AE45" s="6" t="s">
        <v>4</v>
      </c>
      <c r="AF45" s="9"/>
      <c r="AG45" s="4"/>
      <c r="AH45" s="4"/>
      <c r="AI45" s="4"/>
      <c r="AJ45" s="4"/>
      <c r="AK45" s="5"/>
    </row>
    <row r="46" spans="1:37" ht="15.75" thickBot="1" x14ac:dyDescent="0.3">
      <c r="A46" s="87"/>
      <c r="B46" s="26">
        <v>18732</v>
      </c>
      <c r="C46" s="27">
        <v>19414</v>
      </c>
      <c r="D46" s="27">
        <v>19414</v>
      </c>
      <c r="E46" s="27">
        <v>20296</v>
      </c>
      <c r="F46" s="27">
        <f>SUM(C46-B46)</f>
        <v>682</v>
      </c>
      <c r="G46" s="20">
        <f>SUM(E46-D46)</f>
        <v>882</v>
      </c>
      <c r="H46" s="21">
        <f>SUM(F46:G46)</f>
        <v>1564</v>
      </c>
      <c r="J46" s="7" t="s">
        <v>22</v>
      </c>
      <c r="K46" s="10">
        <v>158.22</v>
      </c>
      <c r="L46" s="11">
        <v>122.79</v>
      </c>
      <c r="M46" s="11">
        <v>149.5</v>
      </c>
      <c r="N46" s="11">
        <v>190.64</v>
      </c>
      <c r="O46" s="11">
        <v>150</v>
      </c>
      <c r="P46" s="11">
        <v>101.99</v>
      </c>
      <c r="Q46" s="11"/>
      <c r="R46" s="11"/>
      <c r="S46" s="11"/>
      <c r="T46" s="11"/>
      <c r="U46" s="12"/>
      <c r="W46" s="7" t="s">
        <v>22</v>
      </c>
      <c r="X46" s="10"/>
      <c r="Y46" s="11"/>
      <c r="Z46" s="11"/>
      <c r="AA46" s="11"/>
      <c r="AB46" s="11"/>
      <c r="AC46" s="12"/>
      <c r="AE46" s="7" t="s">
        <v>22</v>
      </c>
      <c r="AF46" s="10"/>
      <c r="AG46" s="11"/>
      <c r="AH46" s="11"/>
      <c r="AI46" s="11"/>
      <c r="AJ46" s="11"/>
      <c r="AK46" s="12"/>
    </row>
    <row r="47" spans="1:37" x14ac:dyDescent="0.25">
      <c r="J47" s="8"/>
      <c r="T47" s="8" t="s">
        <v>23</v>
      </c>
      <c r="U47" s="13">
        <f>SUM(K46:U46)</f>
        <v>873.14</v>
      </c>
      <c r="AB47" s="8" t="s">
        <v>23</v>
      </c>
      <c r="AC47" s="13">
        <f>SUM(X46:AC46)</f>
        <v>0</v>
      </c>
      <c r="AJ47" s="8" t="s">
        <v>23</v>
      </c>
      <c r="AK47" s="13">
        <f>SUM(AF46:AK46)</f>
        <v>0</v>
      </c>
    </row>
    <row r="48" spans="1:37" ht="15.75" thickBot="1" x14ac:dyDescent="0.3">
      <c r="A48" s="19"/>
      <c r="B48" s="83" t="s">
        <v>20</v>
      </c>
      <c r="C48" s="83"/>
      <c r="D48" s="83"/>
      <c r="E48" s="83"/>
      <c r="F48" s="83"/>
      <c r="G48" s="83"/>
      <c r="H48" s="83"/>
      <c r="J48" s="84" t="s">
        <v>20</v>
      </c>
      <c r="K48" s="84"/>
      <c r="L48" s="84"/>
      <c r="M48" s="84"/>
      <c r="N48" s="84"/>
      <c r="O48" s="84"/>
      <c r="P48" s="84"/>
      <c r="Q48" s="84"/>
      <c r="R48" s="84"/>
      <c r="S48" s="84"/>
      <c r="T48" s="84"/>
      <c r="U48" s="84"/>
      <c r="W48" s="85" t="str">
        <f>J48</f>
        <v>Novembro</v>
      </c>
      <c r="X48" s="85"/>
      <c r="Y48" s="85"/>
      <c r="Z48" s="85"/>
      <c r="AA48" s="85"/>
      <c r="AB48" s="85"/>
      <c r="AC48" s="85"/>
      <c r="AE48" s="86" t="str">
        <f>W48</f>
        <v>Novembro</v>
      </c>
      <c r="AF48" s="86"/>
      <c r="AG48" s="86"/>
      <c r="AH48" s="86"/>
      <c r="AI48" s="86"/>
      <c r="AJ48" s="86"/>
      <c r="AK48" s="86"/>
    </row>
    <row r="49" spans="1:37" ht="15.75" thickBot="1" x14ac:dyDescent="0.3">
      <c r="A49" s="87" t="s">
        <v>5</v>
      </c>
      <c r="B49" s="34" t="s">
        <v>6</v>
      </c>
      <c r="C49" s="22" t="s">
        <v>7</v>
      </c>
      <c r="D49" s="33" t="s">
        <v>8</v>
      </c>
      <c r="E49" s="22" t="s">
        <v>9</v>
      </c>
      <c r="F49" s="24" t="s">
        <v>10</v>
      </c>
      <c r="G49" s="23" t="s">
        <v>11</v>
      </c>
      <c r="H49" s="25" t="s">
        <v>12</v>
      </c>
      <c r="J49" s="6" t="s">
        <v>4</v>
      </c>
      <c r="K49" s="9">
        <v>45968</v>
      </c>
      <c r="L49" s="66">
        <v>45975</v>
      </c>
      <c r="M49" s="66">
        <v>45979</v>
      </c>
      <c r="N49" s="66">
        <v>45982</v>
      </c>
      <c r="O49" s="66">
        <v>45986</v>
      </c>
      <c r="P49" s="66">
        <v>45989</v>
      </c>
      <c r="Q49" s="4"/>
      <c r="R49" s="4"/>
      <c r="S49" s="4"/>
      <c r="T49" s="4"/>
      <c r="U49" s="5"/>
      <c r="W49" s="6" t="s">
        <v>4</v>
      </c>
      <c r="X49" s="9"/>
      <c r="Y49" s="4"/>
      <c r="Z49" s="4"/>
      <c r="AA49" s="4"/>
      <c r="AB49" s="4"/>
      <c r="AC49" s="5"/>
      <c r="AE49" s="6" t="s">
        <v>4</v>
      </c>
      <c r="AF49" s="9"/>
      <c r="AG49" s="4"/>
      <c r="AH49" s="4"/>
      <c r="AI49" s="4"/>
      <c r="AJ49" s="4"/>
      <c r="AK49" s="5"/>
    </row>
    <row r="50" spans="1:37" ht="15.75" thickBot="1" x14ac:dyDescent="0.3">
      <c r="A50" s="87"/>
      <c r="B50" s="27">
        <v>20296</v>
      </c>
      <c r="C50" s="27">
        <v>20911</v>
      </c>
      <c r="D50" s="27">
        <v>20911</v>
      </c>
      <c r="E50" s="27">
        <v>21758</v>
      </c>
      <c r="F50" s="27">
        <f>SUM(C50-B50)</f>
        <v>615</v>
      </c>
      <c r="G50" s="20">
        <f>SUM(E50-D50)</f>
        <v>847</v>
      </c>
      <c r="H50" s="21">
        <f>SUM(F50:G50)</f>
        <v>1462</v>
      </c>
      <c r="J50" s="7" t="s">
        <v>22</v>
      </c>
      <c r="K50" s="10">
        <v>274.3</v>
      </c>
      <c r="L50" s="11">
        <v>235.17</v>
      </c>
      <c r="M50" s="11">
        <v>167.94</v>
      </c>
      <c r="N50" s="11">
        <v>88.06</v>
      </c>
      <c r="O50" s="11">
        <v>147.88</v>
      </c>
      <c r="P50" s="11">
        <v>135.11000000000001</v>
      </c>
      <c r="Q50" s="11"/>
      <c r="R50" s="11"/>
      <c r="S50" s="11"/>
      <c r="T50" s="11"/>
      <c r="U50" s="12"/>
      <c r="W50" s="7" t="s">
        <v>22</v>
      </c>
      <c r="X50" s="10"/>
      <c r="Y50" s="11"/>
      <c r="Z50" s="11"/>
      <c r="AA50" s="11"/>
      <c r="AB50" s="11"/>
      <c r="AC50" s="12"/>
      <c r="AE50" s="7" t="s">
        <v>22</v>
      </c>
      <c r="AF50" s="10"/>
      <c r="AG50" s="11"/>
      <c r="AH50" s="11"/>
      <c r="AI50" s="11"/>
      <c r="AJ50" s="11"/>
      <c r="AK50" s="12"/>
    </row>
    <row r="51" spans="1:37" x14ac:dyDescent="0.25">
      <c r="J51" s="8"/>
      <c r="T51" s="8" t="s">
        <v>23</v>
      </c>
      <c r="U51" s="13">
        <f>SUM(K50:U50)</f>
        <v>1048.46</v>
      </c>
      <c r="AB51" s="8" t="s">
        <v>23</v>
      </c>
      <c r="AC51" s="13">
        <f>SUM(X50:AC50)</f>
        <v>0</v>
      </c>
      <c r="AJ51" s="8" t="s">
        <v>23</v>
      </c>
      <c r="AK51" s="13">
        <f>SUM(AF50:AK50)</f>
        <v>0</v>
      </c>
    </row>
    <row r="52" spans="1:37" ht="15.75" thickBot="1" x14ac:dyDescent="0.3">
      <c r="A52" s="19"/>
      <c r="B52" s="83" t="s">
        <v>21</v>
      </c>
      <c r="C52" s="83"/>
      <c r="D52" s="83"/>
      <c r="E52" s="83"/>
      <c r="F52" s="83"/>
      <c r="G52" s="83"/>
      <c r="H52" s="83"/>
      <c r="J52" s="84" t="s">
        <v>21</v>
      </c>
      <c r="K52" s="84"/>
      <c r="L52" s="84"/>
      <c r="M52" s="84"/>
      <c r="N52" s="84"/>
      <c r="O52" s="84"/>
      <c r="P52" s="84"/>
      <c r="Q52" s="84"/>
      <c r="R52" s="84"/>
      <c r="S52" s="84"/>
      <c r="T52" s="84"/>
      <c r="U52" s="84"/>
      <c r="W52" s="85" t="str">
        <f>J52</f>
        <v>Dezembro</v>
      </c>
      <c r="X52" s="85"/>
      <c r="Y52" s="85"/>
      <c r="Z52" s="85"/>
      <c r="AA52" s="85"/>
      <c r="AB52" s="85"/>
      <c r="AC52" s="85"/>
      <c r="AE52" s="86" t="str">
        <f>W52</f>
        <v>Dezembro</v>
      </c>
      <c r="AF52" s="86"/>
      <c r="AG52" s="86"/>
      <c r="AH52" s="86"/>
      <c r="AI52" s="86"/>
      <c r="AJ52" s="86"/>
      <c r="AK52" s="86"/>
    </row>
    <row r="53" spans="1:37" ht="15.75" thickBot="1" x14ac:dyDescent="0.3">
      <c r="A53" s="87" t="s">
        <v>5</v>
      </c>
      <c r="B53" s="34" t="s">
        <v>6</v>
      </c>
      <c r="C53" s="22" t="s">
        <v>7</v>
      </c>
      <c r="D53" s="33" t="s">
        <v>8</v>
      </c>
      <c r="E53" s="22" t="s">
        <v>9</v>
      </c>
      <c r="F53" s="24" t="s">
        <v>10</v>
      </c>
      <c r="G53" s="23" t="s">
        <v>11</v>
      </c>
      <c r="H53" s="25" t="s">
        <v>12</v>
      </c>
      <c r="J53" s="6" t="s">
        <v>4</v>
      </c>
      <c r="K53" s="9">
        <v>45993</v>
      </c>
      <c r="L53" s="66">
        <v>45996</v>
      </c>
      <c r="M53" s="66">
        <v>46000</v>
      </c>
      <c r="N53" s="66">
        <v>46007</v>
      </c>
      <c r="O53" s="4"/>
      <c r="P53" s="4"/>
      <c r="Q53" s="4"/>
      <c r="R53" s="4"/>
      <c r="S53" s="4"/>
      <c r="T53" s="4"/>
      <c r="U53" s="5"/>
      <c r="W53" s="6" t="s">
        <v>4</v>
      </c>
      <c r="X53" s="9"/>
      <c r="Y53" s="4"/>
      <c r="Z53" s="4"/>
      <c r="AA53" s="4"/>
      <c r="AB53" s="4"/>
      <c r="AC53" s="5"/>
      <c r="AE53" s="6" t="s">
        <v>4</v>
      </c>
      <c r="AF53" s="9"/>
      <c r="AG53" s="4"/>
      <c r="AH53" s="4"/>
      <c r="AI53" s="4"/>
      <c r="AJ53" s="4"/>
      <c r="AK53" s="5"/>
    </row>
    <row r="54" spans="1:37" ht="15.75" thickBot="1" x14ac:dyDescent="0.3">
      <c r="A54" s="87"/>
      <c r="B54" s="27">
        <v>21758</v>
      </c>
      <c r="C54" s="27">
        <v>22916</v>
      </c>
      <c r="D54" s="27">
        <v>22916</v>
      </c>
      <c r="E54" s="26">
        <v>23322</v>
      </c>
      <c r="F54" s="27">
        <f>SUM(C54-B54)</f>
        <v>1158</v>
      </c>
      <c r="G54" s="20">
        <f>SUM(E54-D54)</f>
        <v>406</v>
      </c>
      <c r="H54" s="21">
        <f>SUM(F54:G54)</f>
        <v>1564</v>
      </c>
      <c r="J54" s="7" t="s">
        <v>22</v>
      </c>
      <c r="K54" s="10">
        <v>124.16</v>
      </c>
      <c r="L54" s="11">
        <v>144.16</v>
      </c>
      <c r="M54" s="11">
        <v>149.32</v>
      </c>
      <c r="N54" s="11">
        <v>273.74</v>
      </c>
      <c r="O54" s="11"/>
      <c r="P54" s="11"/>
      <c r="Q54" s="11"/>
      <c r="R54" s="11"/>
      <c r="S54" s="11"/>
      <c r="T54" s="11"/>
      <c r="U54" s="12"/>
      <c r="W54" s="7" t="s">
        <v>22</v>
      </c>
      <c r="X54" s="10"/>
      <c r="Y54" s="11"/>
      <c r="Z54" s="11"/>
      <c r="AA54" s="11"/>
      <c r="AB54" s="11"/>
      <c r="AC54" s="12"/>
      <c r="AE54" s="7" t="s">
        <v>22</v>
      </c>
      <c r="AF54" s="10"/>
      <c r="AG54" s="11"/>
      <c r="AH54" s="11"/>
      <c r="AI54" s="11"/>
      <c r="AJ54" s="11"/>
      <c r="AK54" s="12"/>
    </row>
    <row r="55" spans="1:37" x14ac:dyDescent="0.25">
      <c r="J55" s="8"/>
      <c r="T55" s="8" t="s">
        <v>23</v>
      </c>
      <c r="U55" s="13">
        <f>SUM(K54:U54)</f>
        <v>691.38</v>
      </c>
      <c r="AB55" s="8" t="s">
        <v>23</v>
      </c>
      <c r="AC55" s="13">
        <f>SUM(X54:AC54)</f>
        <v>0</v>
      </c>
      <c r="AJ55" s="8" t="s">
        <v>23</v>
      </c>
      <c r="AK55" s="13">
        <f>SUM(AF54:AK54)</f>
        <v>0</v>
      </c>
    </row>
    <row r="56" spans="1:37" ht="15.75" thickBot="1" x14ac:dyDescent="0.3">
      <c r="A56" s="19">
        <v>2026</v>
      </c>
      <c r="B56" s="83" t="s">
        <v>83</v>
      </c>
      <c r="C56" s="83"/>
      <c r="D56" s="83"/>
      <c r="E56" s="83"/>
      <c r="F56" s="83"/>
      <c r="G56" s="83"/>
      <c r="H56" s="83"/>
      <c r="J56" s="84" t="s">
        <v>83</v>
      </c>
      <c r="K56" s="84"/>
      <c r="L56" s="84"/>
      <c r="M56" s="84"/>
      <c r="N56" s="84"/>
      <c r="O56" s="84"/>
      <c r="P56" s="84"/>
      <c r="Q56" s="84"/>
      <c r="R56" s="84"/>
      <c r="S56" s="84"/>
      <c r="T56" s="84"/>
      <c r="U56" s="84"/>
      <c r="W56" s="85" t="s">
        <v>83</v>
      </c>
      <c r="X56" s="85"/>
      <c r="Y56" s="85"/>
      <c r="Z56" s="85"/>
      <c r="AA56" s="85"/>
      <c r="AB56" s="85"/>
      <c r="AC56" s="85"/>
      <c r="AE56" s="86" t="s">
        <v>83</v>
      </c>
      <c r="AF56" s="86"/>
      <c r="AG56" s="86"/>
      <c r="AH56" s="86"/>
      <c r="AI56" s="86"/>
      <c r="AJ56" s="86"/>
      <c r="AK56" s="86"/>
    </row>
    <row r="57" spans="1:37" ht="15.75" thickBot="1" x14ac:dyDescent="0.3">
      <c r="A57" s="87" t="s">
        <v>5</v>
      </c>
      <c r="B57" s="34" t="s">
        <v>6</v>
      </c>
      <c r="C57" s="22" t="s">
        <v>7</v>
      </c>
      <c r="D57" s="33" t="s">
        <v>8</v>
      </c>
      <c r="E57" s="22" t="s">
        <v>9</v>
      </c>
      <c r="F57" s="24" t="s">
        <v>10</v>
      </c>
      <c r="G57" s="23" t="s">
        <v>11</v>
      </c>
      <c r="H57" s="25" t="s">
        <v>12</v>
      </c>
      <c r="J57" s="28" t="s">
        <v>4</v>
      </c>
      <c r="K57" s="9"/>
      <c r="L57" s="4"/>
      <c r="M57" s="4"/>
      <c r="N57" s="4"/>
      <c r="O57" s="4"/>
      <c r="P57" s="4"/>
      <c r="Q57" s="4"/>
      <c r="R57" s="4"/>
      <c r="S57" s="4"/>
      <c r="T57" s="4"/>
      <c r="U57" s="5"/>
      <c r="W57" s="6" t="s">
        <v>4</v>
      </c>
      <c r="X57" s="9"/>
      <c r="Y57" s="4"/>
      <c r="Z57" s="4"/>
      <c r="AA57" s="4"/>
      <c r="AB57" s="4"/>
      <c r="AC57" s="5"/>
      <c r="AE57" s="6" t="s">
        <v>4</v>
      </c>
      <c r="AF57" s="9"/>
      <c r="AG57" s="4"/>
      <c r="AH57" s="4"/>
      <c r="AI57" s="4"/>
      <c r="AJ57" s="4"/>
      <c r="AK57" s="5"/>
    </row>
    <row r="58" spans="1:37" ht="15.75" thickBot="1" x14ac:dyDescent="0.3">
      <c r="A58" s="87"/>
      <c r="B58" s="26">
        <v>23322</v>
      </c>
      <c r="C58" s="27"/>
      <c r="D58" s="27"/>
      <c r="E58" s="27">
        <v>25592</v>
      </c>
      <c r="F58" s="27">
        <f>SUM(C58-B58)</f>
        <v>-23322</v>
      </c>
      <c r="G58" s="20">
        <f>SUM(E58-D58)</f>
        <v>25592</v>
      </c>
      <c r="H58" s="21">
        <f>SUM(F58:G58)</f>
        <v>2270</v>
      </c>
      <c r="J58" s="29" t="s">
        <v>22</v>
      </c>
      <c r="K58" s="10"/>
      <c r="L58" s="11"/>
      <c r="M58" s="11"/>
      <c r="N58" s="11"/>
      <c r="O58" s="11"/>
      <c r="P58" s="11"/>
      <c r="Q58" s="11"/>
      <c r="R58" s="11"/>
      <c r="S58" s="11"/>
      <c r="T58" s="11"/>
      <c r="U58" s="12"/>
      <c r="W58" s="7" t="s">
        <v>22</v>
      </c>
      <c r="X58" s="10"/>
      <c r="Y58" s="11"/>
      <c r="Z58" s="11"/>
      <c r="AA58" s="11"/>
      <c r="AB58" s="11"/>
      <c r="AC58" s="12"/>
      <c r="AE58" s="7" t="s">
        <v>22</v>
      </c>
      <c r="AF58" s="10"/>
      <c r="AG58" s="11"/>
      <c r="AH58" s="11"/>
      <c r="AI58" s="11"/>
      <c r="AJ58" s="11"/>
      <c r="AK58" s="12"/>
    </row>
    <row r="59" spans="1:37" x14ac:dyDescent="0.25">
      <c r="J59" s="8"/>
      <c r="T59" s="8" t="s">
        <v>23</v>
      </c>
      <c r="U59" s="13">
        <f>SUM(K58:U58)</f>
        <v>0</v>
      </c>
      <c r="AB59" s="8" t="s">
        <v>23</v>
      </c>
      <c r="AC59" s="13">
        <f>SUM(X58:AC58)</f>
        <v>0</v>
      </c>
      <c r="AJ59" s="8" t="s">
        <v>23</v>
      </c>
      <c r="AK59" s="13">
        <f>SUM(AF58:AK58)</f>
        <v>0</v>
      </c>
    </row>
    <row r="60" spans="1:37" ht="15.75" thickBot="1" x14ac:dyDescent="0.3">
      <c r="A60" s="19"/>
      <c r="B60" s="83" t="s">
        <v>3</v>
      </c>
      <c r="C60" s="83"/>
      <c r="D60" s="83"/>
      <c r="E60" s="83"/>
      <c r="F60" s="83"/>
      <c r="G60" s="83"/>
      <c r="H60" s="83"/>
      <c r="J60" s="84" t="s">
        <v>3</v>
      </c>
      <c r="K60" s="84"/>
      <c r="L60" s="84"/>
      <c r="M60" s="84"/>
      <c r="N60" s="84"/>
      <c r="O60" s="84"/>
      <c r="P60" s="84"/>
      <c r="Q60" s="84"/>
      <c r="R60" s="84"/>
      <c r="S60" s="84"/>
      <c r="T60" s="84"/>
      <c r="U60" s="84"/>
      <c r="W60" s="85" t="s">
        <v>3</v>
      </c>
      <c r="X60" s="85"/>
      <c r="Y60" s="85"/>
      <c r="Z60" s="85"/>
      <c r="AA60" s="85"/>
      <c r="AB60" s="85"/>
      <c r="AC60" s="85"/>
      <c r="AE60" s="86" t="s">
        <v>3</v>
      </c>
      <c r="AF60" s="86"/>
      <c r="AG60" s="86"/>
      <c r="AH60" s="86"/>
      <c r="AI60" s="86"/>
      <c r="AJ60" s="86"/>
      <c r="AK60" s="86"/>
    </row>
    <row r="61" spans="1:37" ht="15.75" thickBot="1" x14ac:dyDescent="0.3">
      <c r="A61" s="87" t="s">
        <v>5</v>
      </c>
      <c r="B61" s="34" t="s">
        <v>6</v>
      </c>
      <c r="C61" s="22" t="s">
        <v>7</v>
      </c>
      <c r="D61" s="33" t="s">
        <v>8</v>
      </c>
      <c r="E61" s="22" t="s">
        <v>9</v>
      </c>
      <c r="F61" s="24" t="s">
        <v>10</v>
      </c>
      <c r="G61" s="23" t="s">
        <v>11</v>
      </c>
      <c r="H61" s="25" t="s">
        <v>12</v>
      </c>
      <c r="J61" s="28" t="s">
        <v>4</v>
      </c>
      <c r="K61" s="9"/>
      <c r="L61" s="66"/>
      <c r="M61" s="66"/>
      <c r="N61" s="4"/>
      <c r="O61" s="4"/>
      <c r="P61" s="4"/>
      <c r="Q61" s="4"/>
      <c r="R61" s="4"/>
      <c r="S61" s="4"/>
      <c r="T61" s="4"/>
      <c r="U61" s="5"/>
      <c r="W61" s="6" t="s">
        <v>4</v>
      </c>
      <c r="X61" s="9"/>
      <c r="Y61" s="4"/>
      <c r="Z61" s="4"/>
      <c r="AA61" s="4"/>
      <c r="AB61" s="4"/>
      <c r="AC61" s="5"/>
      <c r="AE61" s="6" t="s">
        <v>4</v>
      </c>
      <c r="AF61" s="9"/>
      <c r="AG61" s="4"/>
      <c r="AH61" s="4"/>
      <c r="AI61" s="4"/>
      <c r="AJ61" s="4"/>
      <c r="AK61" s="5"/>
    </row>
    <row r="62" spans="1:37" ht="15.75" thickBot="1" x14ac:dyDescent="0.3">
      <c r="A62" s="87"/>
      <c r="B62" s="26">
        <v>25592</v>
      </c>
      <c r="C62" s="27"/>
      <c r="D62" s="27"/>
      <c r="E62" s="27">
        <v>27259</v>
      </c>
      <c r="F62" s="27">
        <f>SUM(C62-B62)</f>
        <v>-25592</v>
      </c>
      <c r="G62" s="20">
        <f>SUM(E62-D62)</f>
        <v>27259</v>
      </c>
      <c r="H62" s="21">
        <f>SUM(F62:G62)</f>
        <v>1667</v>
      </c>
      <c r="J62" s="29" t="s">
        <v>22</v>
      </c>
      <c r="K62" s="10"/>
      <c r="L62" s="11"/>
      <c r="M62" s="11"/>
      <c r="N62" s="11"/>
      <c r="O62" s="11"/>
      <c r="P62" s="11"/>
      <c r="Q62" s="11"/>
      <c r="R62" s="11"/>
      <c r="S62" s="11"/>
      <c r="T62" s="11"/>
      <c r="U62" s="12"/>
      <c r="W62" s="7" t="s">
        <v>22</v>
      </c>
      <c r="X62" s="10"/>
      <c r="Y62" s="11"/>
      <c r="Z62" s="11"/>
      <c r="AA62" s="11"/>
      <c r="AB62" s="11"/>
      <c r="AC62" s="12"/>
      <c r="AE62" s="7" t="s">
        <v>22</v>
      </c>
      <c r="AF62" s="10"/>
      <c r="AG62" s="11"/>
      <c r="AH62" s="11"/>
      <c r="AI62" s="11"/>
      <c r="AJ62" s="11"/>
      <c r="AK62" s="12"/>
    </row>
    <row r="63" spans="1:37" x14ac:dyDescent="0.25">
      <c r="J63" s="8"/>
      <c r="T63" s="8" t="s">
        <v>23</v>
      </c>
      <c r="U63" s="13">
        <f>SUM(K62:U62)</f>
        <v>0</v>
      </c>
      <c r="AB63" s="8" t="s">
        <v>23</v>
      </c>
      <c r="AC63" s="13">
        <f>SUM(X62:AC62)</f>
        <v>0</v>
      </c>
      <c r="AJ63" s="8" t="s">
        <v>23</v>
      </c>
      <c r="AK63" s="13">
        <f>SUM(AF62:AK62)</f>
        <v>0</v>
      </c>
    </row>
    <row r="64" spans="1:37" ht="15.75" thickBot="1" x14ac:dyDescent="0.3">
      <c r="A64" s="19"/>
      <c r="B64" s="83" t="s">
        <v>13</v>
      </c>
      <c r="C64" s="83"/>
      <c r="D64" s="83"/>
      <c r="E64" s="83"/>
      <c r="F64" s="83"/>
      <c r="G64" s="83"/>
      <c r="H64" s="83"/>
      <c r="J64" s="84" t="s">
        <v>13</v>
      </c>
      <c r="K64" s="84"/>
      <c r="L64" s="84"/>
      <c r="M64" s="84"/>
      <c r="N64" s="84"/>
      <c r="O64" s="84"/>
      <c r="P64" s="84"/>
      <c r="Q64" s="84"/>
      <c r="R64" s="84"/>
      <c r="S64" s="84"/>
      <c r="T64" s="84"/>
      <c r="U64" s="84"/>
      <c r="W64" s="85" t="str">
        <f>J64</f>
        <v>Março</v>
      </c>
      <c r="X64" s="85"/>
      <c r="Y64" s="85"/>
      <c r="Z64" s="85"/>
      <c r="AA64" s="85"/>
      <c r="AB64" s="85"/>
      <c r="AC64" s="85"/>
      <c r="AE64" s="86" t="str">
        <f>W64</f>
        <v>Março</v>
      </c>
      <c r="AF64" s="86"/>
      <c r="AG64" s="86"/>
      <c r="AH64" s="86"/>
      <c r="AI64" s="86"/>
      <c r="AJ64" s="86"/>
      <c r="AK64" s="86"/>
    </row>
    <row r="65" spans="1:37" ht="15.75" thickBot="1" x14ac:dyDescent="0.3">
      <c r="A65" s="87" t="s">
        <v>5</v>
      </c>
      <c r="B65" s="34" t="s">
        <v>6</v>
      </c>
      <c r="C65" s="22" t="s">
        <v>7</v>
      </c>
      <c r="D65" s="33" t="s">
        <v>8</v>
      </c>
      <c r="E65" s="22" t="s">
        <v>9</v>
      </c>
      <c r="F65" s="24" t="s">
        <v>10</v>
      </c>
      <c r="G65" s="23" t="s">
        <v>11</v>
      </c>
      <c r="H65" s="25" t="s">
        <v>12</v>
      </c>
      <c r="J65" s="6" t="s">
        <v>4</v>
      </c>
      <c r="K65" s="9"/>
      <c r="L65" s="66"/>
      <c r="M65" s="66"/>
      <c r="N65" s="4"/>
      <c r="O65" s="4"/>
      <c r="P65" s="4"/>
      <c r="Q65" s="4"/>
      <c r="R65" s="4"/>
      <c r="S65" s="4"/>
      <c r="T65" s="4"/>
      <c r="U65" s="5"/>
      <c r="W65" s="6" t="s">
        <v>4</v>
      </c>
      <c r="X65" s="9"/>
      <c r="Y65" s="4"/>
      <c r="Z65" s="4"/>
      <c r="AA65" s="4"/>
      <c r="AB65" s="4"/>
      <c r="AC65" s="5"/>
      <c r="AE65" s="6" t="s">
        <v>4</v>
      </c>
      <c r="AF65" s="9"/>
      <c r="AG65" s="4"/>
      <c r="AH65" s="4"/>
      <c r="AI65" s="4"/>
      <c r="AJ65" s="4"/>
      <c r="AK65" s="5"/>
    </row>
    <row r="66" spans="1:37" ht="15.75" thickBot="1" x14ac:dyDescent="0.3">
      <c r="A66" s="87"/>
      <c r="B66" s="26">
        <v>27259</v>
      </c>
      <c r="C66" s="27"/>
      <c r="D66" s="27"/>
      <c r="E66" s="27">
        <v>29605</v>
      </c>
      <c r="F66" s="27">
        <f>SUM(C66-B66)</f>
        <v>-27259</v>
      </c>
      <c r="G66" s="20">
        <f>SUM(E66-D66)</f>
        <v>29605</v>
      </c>
      <c r="H66" s="21">
        <f>SUM(F66:G66)</f>
        <v>2346</v>
      </c>
      <c r="J66" s="7" t="s">
        <v>22</v>
      </c>
      <c r="K66" s="10"/>
      <c r="L66" s="11"/>
      <c r="M66" s="11"/>
      <c r="N66" s="11"/>
      <c r="O66" s="11"/>
      <c r="P66" s="11"/>
      <c r="Q66" s="11"/>
      <c r="R66" s="11"/>
      <c r="S66" s="11"/>
      <c r="T66" s="11"/>
      <c r="U66" s="12"/>
      <c r="W66" s="7" t="s">
        <v>22</v>
      </c>
      <c r="X66" s="10"/>
      <c r="Y66" s="11"/>
      <c r="Z66" s="11"/>
      <c r="AA66" s="11"/>
      <c r="AB66" s="11"/>
      <c r="AC66" s="12"/>
      <c r="AE66" s="7" t="s">
        <v>22</v>
      </c>
      <c r="AF66" s="10"/>
      <c r="AG66" s="11"/>
      <c r="AH66" s="11"/>
      <c r="AI66" s="11"/>
      <c r="AJ66" s="11"/>
      <c r="AK66" s="12"/>
    </row>
    <row r="67" spans="1:37" x14ac:dyDescent="0.25">
      <c r="J67" s="8"/>
      <c r="T67" s="8" t="s">
        <v>23</v>
      </c>
      <c r="U67" s="13">
        <f>SUM(K66:U66)</f>
        <v>0</v>
      </c>
      <c r="AB67" s="8" t="s">
        <v>23</v>
      </c>
      <c r="AC67" s="13">
        <f>SUM(X66:AC66)</f>
        <v>0</v>
      </c>
      <c r="AJ67" s="8" t="s">
        <v>23</v>
      </c>
      <c r="AK67" s="13">
        <f>SUM(AF66:AK66)</f>
        <v>0</v>
      </c>
    </row>
    <row r="68" spans="1:37" ht="15.75" thickBot="1" x14ac:dyDescent="0.3">
      <c r="A68" s="19"/>
      <c r="B68" s="83" t="s">
        <v>14</v>
      </c>
      <c r="C68" s="83"/>
      <c r="D68" s="83"/>
      <c r="E68" s="83"/>
      <c r="F68" s="83"/>
      <c r="G68" s="83"/>
      <c r="H68" s="83"/>
      <c r="J68" s="84" t="s">
        <v>14</v>
      </c>
      <c r="K68" s="84"/>
      <c r="L68" s="84"/>
      <c r="M68" s="84"/>
      <c r="N68" s="84"/>
      <c r="O68" s="84"/>
      <c r="P68" s="84"/>
      <c r="Q68" s="84"/>
      <c r="R68" s="84"/>
      <c r="S68" s="84"/>
      <c r="T68" s="84"/>
      <c r="U68" s="84"/>
      <c r="W68" s="85" t="str">
        <f>J68</f>
        <v>Abril</v>
      </c>
      <c r="X68" s="85"/>
      <c r="Y68" s="85"/>
      <c r="Z68" s="85"/>
      <c r="AA68" s="85"/>
      <c r="AB68" s="85"/>
      <c r="AC68" s="85"/>
      <c r="AE68" s="86" t="str">
        <f>W68</f>
        <v>Abril</v>
      </c>
      <c r="AF68" s="86"/>
      <c r="AG68" s="86"/>
      <c r="AH68" s="86"/>
      <c r="AI68" s="86"/>
      <c r="AJ68" s="86"/>
      <c r="AK68" s="86"/>
    </row>
    <row r="69" spans="1:37" ht="15.75" thickBot="1" x14ac:dyDescent="0.3">
      <c r="A69" s="87" t="s">
        <v>5</v>
      </c>
      <c r="B69" s="34" t="s">
        <v>6</v>
      </c>
      <c r="C69" s="22" t="s">
        <v>7</v>
      </c>
      <c r="D69" s="33" t="s">
        <v>8</v>
      </c>
      <c r="E69" s="22" t="s">
        <v>9</v>
      </c>
      <c r="F69" s="24" t="s">
        <v>10</v>
      </c>
      <c r="G69" s="23" t="s">
        <v>11</v>
      </c>
      <c r="H69" s="25" t="s">
        <v>12</v>
      </c>
      <c r="J69" s="6" t="s">
        <v>4</v>
      </c>
      <c r="K69" s="9"/>
      <c r="L69" s="4"/>
      <c r="M69" s="4"/>
      <c r="N69" s="4"/>
      <c r="O69" s="4"/>
      <c r="P69" s="4"/>
      <c r="Q69" s="4"/>
      <c r="R69" s="4"/>
      <c r="S69" s="4"/>
      <c r="T69" s="4"/>
      <c r="U69" s="5"/>
      <c r="W69" s="6" t="s">
        <v>4</v>
      </c>
      <c r="X69" s="9"/>
      <c r="Y69" s="4"/>
      <c r="Z69" s="4"/>
      <c r="AA69" s="4"/>
      <c r="AB69" s="4"/>
      <c r="AC69" s="5"/>
      <c r="AE69" s="6" t="s">
        <v>4</v>
      </c>
      <c r="AF69" s="9"/>
      <c r="AG69" s="4"/>
      <c r="AH69" s="4"/>
      <c r="AI69" s="4"/>
      <c r="AJ69" s="4"/>
      <c r="AK69" s="5"/>
    </row>
    <row r="70" spans="1:37" ht="15.75" thickBot="1" x14ac:dyDescent="0.3">
      <c r="A70" s="87"/>
      <c r="B70" s="27">
        <v>29605</v>
      </c>
      <c r="C70" s="27">
        <v>30104</v>
      </c>
      <c r="D70" s="27"/>
      <c r="E70" s="27"/>
      <c r="F70" s="27">
        <f>SUM(C70-B70)</f>
        <v>499</v>
      </c>
      <c r="G70" s="20">
        <f>SUM(E70-D70)</f>
        <v>0</v>
      </c>
      <c r="H70" s="21">
        <f>SUM(F70:G70)</f>
        <v>499</v>
      </c>
      <c r="J70" s="7" t="s">
        <v>22</v>
      </c>
      <c r="K70" s="30"/>
      <c r="L70" s="31"/>
      <c r="M70" s="31"/>
      <c r="N70" s="31"/>
      <c r="O70" s="31"/>
      <c r="P70" s="31"/>
      <c r="Q70" s="31"/>
      <c r="R70" s="31"/>
      <c r="S70" s="31"/>
      <c r="T70" s="31"/>
      <c r="U70" s="32"/>
      <c r="W70" s="7" t="s">
        <v>22</v>
      </c>
      <c r="X70" s="10"/>
      <c r="Y70" s="11"/>
      <c r="Z70" s="11"/>
      <c r="AA70" s="11"/>
      <c r="AB70" s="11"/>
      <c r="AC70" s="12"/>
      <c r="AE70" s="7" t="s">
        <v>22</v>
      </c>
      <c r="AF70" s="10"/>
      <c r="AG70" s="11"/>
      <c r="AH70" s="11"/>
      <c r="AI70" s="11"/>
      <c r="AJ70" s="11"/>
      <c r="AK70" s="12"/>
    </row>
    <row r="71" spans="1:37" x14ac:dyDescent="0.25">
      <c r="J71" s="8"/>
      <c r="T71" s="8" t="s">
        <v>23</v>
      </c>
      <c r="U71" s="13">
        <f>SUM(K70:U70)</f>
        <v>0</v>
      </c>
      <c r="AB71" s="8" t="s">
        <v>23</v>
      </c>
      <c r="AC71" s="13">
        <f>SUM(X70:AC70)</f>
        <v>0</v>
      </c>
      <c r="AJ71" s="8" t="s">
        <v>23</v>
      </c>
      <c r="AK71" s="13">
        <f>SUM(AF70:AK70)</f>
        <v>0</v>
      </c>
    </row>
    <row r="72" spans="1:37" ht="15.75" thickBot="1" x14ac:dyDescent="0.3">
      <c r="A72" s="19"/>
      <c r="B72" s="83" t="s">
        <v>15</v>
      </c>
      <c r="C72" s="83"/>
      <c r="D72" s="83"/>
      <c r="E72" s="83"/>
      <c r="F72" s="83"/>
      <c r="G72" s="83"/>
      <c r="H72" s="83"/>
      <c r="J72" s="84" t="s">
        <v>15</v>
      </c>
      <c r="K72" s="84"/>
      <c r="L72" s="84"/>
      <c r="M72" s="84"/>
      <c r="N72" s="84"/>
      <c r="O72" s="84"/>
      <c r="P72" s="84"/>
      <c r="Q72" s="84"/>
      <c r="R72" s="84"/>
      <c r="S72" s="84"/>
      <c r="T72" s="84"/>
      <c r="U72" s="84"/>
      <c r="W72" s="85" t="str">
        <f>J72</f>
        <v>Maio</v>
      </c>
      <c r="X72" s="85"/>
      <c r="Y72" s="85"/>
      <c r="Z72" s="85"/>
      <c r="AA72" s="85"/>
      <c r="AB72" s="85"/>
      <c r="AC72" s="85"/>
      <c r="AE72" s="86" t="str">
        <f>W72</f>
        <v>Maio</v>
      </c>
      <c r="AF72" s="86"/>
      <c r="AG72" s="86"/>
      <c r="AH72" s="86"/>
      <c r="AI72" s="86"/>
      <c r="AJ72" s="86"/>
      <c r="AK72" s="86"/>
    </row>
    <row r="73" spans="1:37" ht="15.75" thickBot="1" x14ac:dyDescent="0.3">
      <c r="A73" s="87" t="s">
        <v>5</v>
      </c>
      <c r="B73" s="34" t="s">
        <v>6</v>
      </c>
      <c r="C73" s="22" t="s">
        <v>7</v>
      </c>
      <c r="D73" s="33" t="s">
        <v>8</v>
      </c>
      <c r="E73" s="22" t="s">
        <v>9</v>
      </c>
      <c r="F73" s="24" t="s">
        <v>10</v>
      </c>
      <c r="G73" s="23" t="s">
        <v>11</v>
      </c>
      <c r="H73" s="25" t="s">
        <v>12</v>
      </c>
      <c r="J73" s="6" t="s">
        <v>4</v>
      </c>
      <c r="K73" s="9"/>
      <c r="L73" s="4"/>
      <c r="M73" s="4"/>
      <c r="N73" s="4"/>
      <c r="O73" s="4"/>
      <c r="P73" s="4"/>
      <c r="Q73" s="4"/>
      <c r="R73" s="4"/>
      <c r="S73" s="4"/>
      <c r="T73" s="4"/>
      <c r="U73" s="5"/>
      <c r="W73" s="6" t="s">
        <v>4</v>
      </c>
      <c r="X73" s="9"/>
      <c r="Y73" s="4"/>
      <c r="Z73" s="4"/>
      <c r="AA73" s="4"/>
      <c r="AB73" s="4"/>
      <c r="AC73" s="5"/>
      <c r="AE73" s="6" t="s">
        <v>4</v>
      </c>
      <c r="AF73" s="9"/>
      <c r="AG73" s="4"/>
      <c r="AH73" s="4"/>
      <c r="AI73" s="4"/>
      <c r="AJ73" s="4"/>
      <c r="AK73" s="5"/>
    </row>
    <row r="74" spans="1:37" ht="15.75" thickBot="1" x14ac:dyDescent="0.3">
      <c r="A74" s="87"/>
      <c r="B74" s="26"/>
      <c r="C74" s="27"/>
      <c r="D74" s="27"/>
      <c r="E74" s="27"/>
      <c r="F74" s="27">
        <f>SUM(C74-B74)</f>
        <v>0</v>
      </c>
      <c r="G74" s="20">
        <f>SUM(E74-D74)</f>
        <v>0</v>
      </c>
      <c r="H74" s="21">
        <f>SUM(F74:G74)</f>
        <v>0</v>
      </c>
      <c r="J74" s="7" t="s">
        <v>22</v>
      </c>
      <c r="K74" s="10"/>
      <c r="L74" s="11"/>
      <c r="M74" s="11"/>
      <c r="N74" s="11"/>
      <c r="O74" s="11"/>
      <c r="P74" s="11"/>
      <c r="Q74" s="11"/>
      <c r="R74" s="11"/>
      <c r="S74" s="11"/>
      <c r="T74" s="11"/>
      <c r="U74" s="12"/>
      <c r="W74" s="7" t="s">
        <v>22</v>
      </c>
      <c r="X74" s="10"/>
      <c r="Y74" s="11"/>
      <c r="Z74" s="11"/>
      <c r="AA74" s="11"/>
      <c r="AB74" s="11"/>
      <c r="AC74" s="12"/>
      <c r="AE74" s="7" t="s">
        <v>22</v>
      </c>
      <c r="AF74" s="10"/>
      <c r="AG74" s="11"/>
      <c r="AH74" s="11"/>
      <c r="AI74" s="11"/>
      <c r="AJ74" s="11"/>
      <c r="AK74" s="12"/>
    </row>
    <row r="75" spans="1:37" x14ac:dyDescent="0.25">
      <c r="J75" s="8"/>
      <c r="T75" s="8" t="s">
        <v>23</v>
      </c>
      <c r="U75" s="13">
        <f>SUM(K74:U74)</f>
        <v>0</v>
      </c>
      <c r="AB75" s="8" t="s">
        <v>23</v>
      </c>
      <c r="AC75" s="13">
        <f>SUM(X74:AC74)</f>
        <v>0</v>
      </c>
      <c r="AJ75" s="8" t="s">
        <v>23</v>
      </c>
      <c r="AK75" s="13">
        <f>SUM(AF74:AK74)</f>
        <v>0</v>
      </c>
    </row>
    <row r="76" spans="1:37" ht="15.75" thickBot="1" x14ac:dyDescent="0.3">
      <c r="A76" s="19"/>
      <c r="B76" s="83" t="s">
        <v>24</v>
      </c>
      <c r="C76" s="83"/>
      <c r="D76" s="83"/>
      <c r="E76" s="83"/>
      <c r="F76" s="83"/>
      <c r="G76" s="83"/>
      <c r="H76" s="83"/>
      <c r="J76" s="84" t="s">
        <v>24</v>
      </c>
      <c r="K76" s="84"/>
      <c r="L76" s="84"/>
      <c r="M76" s="84"/>
      <c r="N76" s="84"/>
      <c r="O76" s="84"/>
      <c r="P76" s="84"/>
      <c r="Q76" s="84"/>
      <c r="R76" s="84"/>
      <c r="S76" s="84"/>
      <c r="T76" s="84"/>
      <c r="U76" s="84"/>
      <c r="W76" s="85" t="str">
        <f>J76</f>
        <v>Junho</v>
      </c>
      <c r="X76" s="85"/>
      <c r="Y76" s="85"/>
      <c r="Z76" s="85"/>
      <c r="AA76" s="85"/>
      <c r="AB76" s="85"/>
      <c r="AC76" s="85"/>
      <c r="AE76" s="86" t="str">
        <f>W76</f>
        <v>Junho</v>
      </c>
      <c r="AF76" s="86"/>
      <c r="AG76" s="86"/>
      <c r="AH76" s="86"/>
      <c r="AI76" s="86"/>
      <c r="AJ76" s="86"/>
      <c r="AK76" s="86"/>
    </row>
    <row r="77" spans="1:37" ht="15.75" thickBot="1" x14ac:dyDescent="0.3">
      <c r="A77" s="87" t="s">
        <v>5</v>
      </c>
      <c r="B77" s="34" t="s">
        <v>6</v>
      </c>
      <c r="C77" s="22" t="s">
        <v>7</v>
      </c>
      <c r="D77" s="33" t="s">
        <v>8</v>
      </c>
      <c r="E77" s="22" t="s">
        <v>9</v>
      </c>
      <c r="F77" s="24" t="s">
        <v>10</v>
      </c>
      <c r="G77" s="23" t="s">
        <v>11</v>
      </c>
      <c r="H77" s="25" t="s">
        <v>12</v>
      </c>
      <c r="J77" s="6" t="s">
        <v>4</v>
      </c>
      <c r="K77" s="9"/>
      <c r="L77" s="4"/>
      <c r="M77" s="4"/>
      <c r="N77" s="4"/>
      <c r="O77" s="4"/>
      <c r="P77" s="4"/>
      <c r="Q77" s="4"/>
      <c r="R77" s="4"/>
      <c r="S77" s="4"/>
      <c r="T77" s="4"/>
      <c r="U77" s="5"/>
      <c r="W77" s="6" t="s">
        <v>4</v>
      </c>
      <c r="X77" s="9"/>
      <c r="Y77" s="4"/>
      <c r="Z77" s="4"/>
      <c r="AA77" s="4"/>
      <c r="AB77" s="4"/>
      <c r="AC77" s="5"/>
      <c r="AE77" s="6" t="s">
        <v>4</v>
      </c>
      <c r="AF77" s="9"/>
      <c r="AG77" s="4"/>
      <c r="AH77" s="4"/>
      <c r="AI77" s="4"/>
      <c r="AJ77" s="4"/>
      <c r="AK77" s="5"/>
    </row>
    <row r="78" spans="1:37" ht="15.75" thickBot="1" x14ac:dyDescent="0.3">
      <c r="A78" s="87"/>
      <c r="B78" s="26"/>
      <c r="C78" s="27"/>
      <c r="D78" s="27"/>
      <c r="E78" s="27"/>
      <c r="F78" s="27">
        <f>SUM(C78-B78)</f>
        <v>0</v>
      </c>
      <c r="G78" s="20">
        <f>SUM(E78-D78)</f>
        <v>0</v>
      </c>
      <c r="H78" s="21">
        <f>SUM(F78:G78)</f>
        <v>0</v>
      </c>
      <c r="J78" s="7" t="s">
        <v>22</v>
      </c>
      <c r="K78" s="10"/>
      <c r="L78" s="11"/>
      <c r="M78" s="11"/>
      <c r="N78" s="11"/>
      <c r="O78" s="11"/>
      <c r="P78" s="11"/>
      <c r="Q78" s="11"/>
      <c r="R78" s="11"/>
      <c r="S78" s="11"/>
      <c r="T78" s="11"/>
      <c r="U78" s="12"/>
      <c r="W78" s="7" t="s">
        <v>22</v>
      </c>
      <c r="X78" s="10"/>
      <c r="Y78" s="11"/>
      <c r="Z78" s="11"/>
      <c r="AA78" s="11"/>
      <c r="AB78" s="11"/>
      <c r="AC78" s="12"/>
      <c r="AE78" s="7" t="s">
        <v>22</v>
      </c>
      <c r="AF78" s="10"/>
      <c r="AG78" s="11"/>
      <c r="AH78" s="11"/>
      <c r="AI78" s="11"/>
      <c r="AJ78" s="11"/>
      <c r="AK78" s="12"/>
    </row>
    <row r="79" spans="1:37" x14ac:dyDescent="0.25">
      <c r="J79" s="8"/>
      <c r="T79" s="8" t="s">
        <v>23</v>
      </c>
      <c r="U79" s="13">
        <f>SUM(K78:U78)</f>
        <v>0</v>
      </c>
      <c r="AB79" s="8" t="s">
        <v>23</v>
      </c>
      <c r="AC79" s="13">
        <f>SUM(X78:AC78)</f>
        <v>0</v>
      </c>
      <c r="AJ79" s="8" t="s">
        <v>23</v>
      </c>
      <c r="AK79" s="13">
        <f>SUM(AF78:AK78)</f>
        <v>0</v>
      </c>
    </row>
    <row r="80" spans="1:37" ht="15.75" thickBot="1" x14ac:dyDescent="0.3">
      <c r="A80" s="19"/>
      <c r="B80" s="83" t="s">
        <v>16</v>
      </c>
      <c r="C80" s="83"/>
      <c r="D80" s="83"/>
      <c r="E80" s="83"/>
      <c r="F80" s="83"/>
      <c r="G80" s="83"/>
      <c r="H80" s="83"/>
      <c r="J80" s="84" t="s">
        <v>16</v>
      </c>
      <c r="K80" s="84"/>
      <c r="L80" s="84"/>
      <c r="M80" s="84"/>
      <c r="N80" s="84"/>
      <c r="O80" s="84"/>
      <c r="P80" s="84"/>
      <c r="Q80" s="84"/>
      <c r="R80" s="84"/>
      <c r="S80" s="84"/>
      <c r="T80" s="84"/>
      <c r="U80" s="84"/>
      <c r="W80" s="85" t="str">
        <f>J80</f>
        <v>Julho</v>
      </c>
      <c r="X80" s="85"/>
      <c r="Y80" s="85"/>
      <c r="Z80" s="85"/>
      <c r="AA80" s="85"/>
      <c r="AB80" s="85"/>
      <c r="AC80" s="85"/>
      <c r="AE80" s="86" t="str">
        <f>W80</f>
        <v>Julho</v>
      </c>
      <c r="AF80" s="86"/>
      <c r="AG80" s="86"/>
      <c r="AH80" s="86"/>
      <c r="AI80" s="86"/>
      <c r="AJ80" s="86"/>
      <c r="AK80" s="86"/>
    </row>
    <row r="81" spans="1:37" ht="15.75" thickBot="1" x14ac:dyDescent="0.3">
      <c r="A81" s="87" t="s">
        <v>5</v>
      </c>
      <c r="B81" s="34" t="s">
        <v>6</v>
      </c>
      <c r="C81" s="22" t="s">
        <v>7</v>
      </c>
      <c r="D81" s="33" t="s">
        <v>8</v>
      </c>
      <c r="E81" s="22" t="s">
        <v>9</v>
      </c>
      <c r="F81" s="24" t="s">
        <v>10</v>
      </c>
      <c r="G81" s="23" t="s">
        <v>11</v>
      </c>
      <c r="H81" s="25" t="s">
        <v>12</v>
      </c>
      <c r="J81" s="6" t="s">
        <v>4</v>
      </c>
      <c r="K81" s="9"/>
      <c r="L81" s="4"/>
      <c r="M81" s="4"/>
      <c r="N81" s="4"/>
      <c r="O81" s="4"/>
      <c r="P81" s="4"/>
      <c r="Q81" s="4"/>
      <c r="R81" s="4"/>
      <c r="S81" s="4"/>
      <c r="T81" s="4"/>
      <c r="U81" s="5"/>
      <c r="W81" s="6" t="s">
        <v>4</v>
      </c>
      <c r="X81" s="9"/>
      <c r="Y81" s="4"/>
      <c r="Z81" s="4"/>
      <c r="AA81" s="4"/>
      <c r="AB81" s="4"/>
      <c r="AC81" s="5"/>
      <c r="AE81" s="6" t="s">
        <v>4</v>
      </c>
      <c r="AF81" s="9"/>
      <c r="AG81" s="4"/>
      <c r="AH81" s="4"/>
      <c r="AI81" s="4"/>
      <c r="AJ81" s="4"/>
      <c r="AK81" s="5"/>
    </row>
    <row r="82" spans="1:37" ht="15.75" thickBot="1" x14ac:dyDescent="0.3">
      <c r="A82" s="87"/>
      <c r="B82" s="26"/>
      <c r="C82" s="27"/>
      <c r="D82" s="27"/>
      <c r="E82" s="27"/>
      <c r="F82" s="27">
        <f>SUM(C82-B82)</f>
        <v>0</v>
      </c>
      <c r="G82" s="20">
        <f>SUM(E82-D82)</f>
        <v>0</v>
      </c>
      <c r="H82" s="21">
        <f>SUM(F82:G82)</f>
        <v>0</v>
      </c>
      <c r="J82" s="7" t="s">
        <v>22</v>
      </c>
      <c r="K82" s="10"/>
      <c r="L82" s="11"/>
      <c r="M82" s="11"/>
      <c r="N82" s="11"/>
      <c r="O82" s="11"/>
      <c r="P82" s="11"/>
      <c r="Q82" s="11"/>
      <c r="R82" s="11"/>
      <c r="S82" s="11"/>
      <c r="T82" s="11"/>
      <c r="U82" s="12"/>
      <c r="W82" s="7" t="s">
        <v>22</v>
      </c>
      <c r="X82" s="10"/>
      <c r="Y82" s="11"/>
      <c r="Z82" s="11"/>
      <c r="AA82" s="11"/>
      <c r="AB82" s="11"/>
      <c r="AC82" s="12"/>
      <c r="AE82" s="7" t="s">
        <v>22</v>
      </c>
      <c r="AF82" s="10"/>
      <c r="AG82" s="11"/>
      <c r="AH82" s="11"/>
      <c r="AI82" s="11"/>
      <c r="AJ82" s="11"/>
      <c r="AK82" s="12"/>
    </row>
    <row r="83" spans="1:37" x14ac:dyDescent="0.25">
      <c r="J83" s="8"/>
      <c r="T83" s="8" t="s">
        <v>23</v>
      </c>
      <c r="U83" s="13">
        <f>SUM(K82:U82)</f>
        <v>0</v>
      </c>
      <c r="AB83" s="8" t="s">
        <v>23</v>
      </c>
      <c r="AC83" s="13">
        <f>SUM(X82:AC82)</f>
        <v>0</v>
      </c>
      <c r="AJ83" s="8" t="s">
        <v>23</v>
      </c>
      <c r="AK83" s="13">
        <f>SUM(AF82:AK82)</f>
        <v>0</v>
      </c>
    </row>
    <row r="84" spans="1:37" ht="15.75" thickBot="1" x14ac:dyDescent="0.3">
      <c r="A84" s="19"/>
      <c r="B84" s="83" t="s">
        <v>17</v>
      </c>
      <c r="C84" s="83"/>
      <c r="D84" s="83"/>
      <c r="E84" s="83"/>
      <c r="F84" s="83"/>
      <c r="G84" s="83"/>
      <c r="H84" s="83"/>
      <c r="J84" s="84" t="s">
        <v>17</v>
      </c>
      <c r="K84" s="84"/>
      <c r="L84" s="84"/>
      <c r="M84" s="84"/>
      <c r="N84" s="84"/>
      <c r="O84" s="84"/>
      <c r="P84" s="84"/>
      <c r="Q84" s="84"/>
      <c r="R84" s="84"/>
      <c r="S84" s="84"/>
      <c r="T84" s="84"/>
      <c r="U84" s="84"/>
      <c r="W84" s="85" t="str">
        <f>J84</f>
        <v>Agosto</v>
      </c>
      <c r="X84" s="85"/>
      <c r="Y84" s="85"/>
      <c r="Z84" s="85"/>
      <c r="AA84" s="85"/>
      <c r="AB84" s="85"/>
      <c r="AC84" s="85"/>
      <c r="AE84" s="86" t="str">
        <f>W84</f>
        <v>Agosto</v>
      </c>
      <c r="AF84" s="86"/>
      <c r="AG84" s="86"/>
      <c r="AH84" s="86"/>
      <c r="AI84" s="86"/>
      <c r="AJ84" s="86"/>
      <c r="AK84" s="86"/>
    </row>
    <row r="85" spans="1:37" ht="15.75" thickBot="1" x14ac:dyDescent="0.3">
      <c r="A85" s="87" t="s">
        <v>5</v>
      </c>
      <c r="B85" s="34" t="s">
        <v>6</v>
      </c>
      <c r="C85" s="22" t="s">
        <v>7</v>
      </c>
      <c r="D85" s="33" t="s">
        <v>8</v>
      </c>
      <c r="E85" s="22" t="s">
        <v>9</v>
      </c>
      <c r="F85" s="24" t="s">
        <v>10</v>
      </c>
      <c r="G85" s="23" t="s">
        <v>11</v>
      </c>
      <c r="H85" s="25" t="s">
        <v>12</v>
      </c>
      <c r="J85" s="6" t="s">
        <v>4</v>
      </c>
      <c r="K85" s="9"/>
      <c r="L85" s="4"/>
      <c r="M85" s="4"/>
      <c r="N85" s="4"/>
      <c r="O85" s="4"/>
      <c r="P85" s="4"/>
      <c r="Q85" s="4"/>
      <c r="R85" s="4"/>
      <c r="S85" s="4"/>
      <c r="T85" s="4"/>
      <c r="U85" s="5"/>
      <c r="W85" s="6" t="s">
        <v>4</v>
      </c>
      <c r="X85" s="9"/>
      <c r="Y85" s="4"/>
      <c r="Z85" s="4"/>
      <c r="AA85" s="4"/>
      <c r="AB85" s="4"/>
      <c r="AC85" s="5"/>
      <c r="AE85" s="6" t="s">
        <v>4</v>
      </c>
      <c r="AF85" s="9"/>
      <c r="AG85" s="4"/>
      <c r="AH85" s="4"/>
      <c r="AI85" s="4"/>
      <c r="AJ85" s="4"/>
      <c r="AK85" s="5"/>
    </row>
    <row r="86" spans="1:37" ht="15.75" thickBot="1" x14ac:dyDescent="0.3">
      <c r="A86" s="87"/>
      <c r="B86" s="26"/>
      <c r="C86" s="27"/>
      <c r="D86" s="27"/>
      <c r="E86" s="27"/>
      <c r="F86" s="27">
        <f>SUM(C86-B86)</f>
        <v>0</v>
      </c>
      <c r="G86" s="20">
        <f>SUM(E86-D86)</f>
        <v>0</v>
      </c>
      <c r="H86" s="21">
        <f>SUM(F86:G86)</f>
        <v>0</v>
      </c>
      <c r="J86" s="7" t="s">
        <v>22</v>
      </c>
      <c r="K86" s="10"/>
      <c r="L86" s="11"/>
      <c r="M86" s="11"/>
      <c r="N86" s="11"/>
      <c r="O86" s="11"/>
      <c r="P86" s="11"/>
      <c r="Q86" s="11"/>
      <c r="R86" s="11"/>
      <c r="S86" s="11"/>
      <c r="T86" s="11"/>
      <c r="U86" s="12"/>
      <c r="W86" s="7" t="s">
        <v>22</v>
      </c>
      <c r="X86" s="10"/>
      <c r="Y86" s="11"/>
      <c r="Z86" s="11"/>
      <c r="AA86" s="11"/>
      <c r="AB86" s="11"/>
      <c r="AC86" s="12"/>
      <c r="AE86" s="7" t="s">
        <v>22</v>
      </c>
      <c r="AF86" s="10"/>
      <c r="AG86" s="11"/>
      <c r="AH86" s="11"/>
      <c r="AI86" s="11"/>
      <c r="AJ86" s="11"/>
      <c r="AK86" s="12"/>
    </row>
    <row r="87" spans="1:37" x14ac:dyDescent="0.25">
      <c r="J87" s="8"/>
      <c r="T87" s="8" t="s">
        <v>23</v>
      </c>
      <c r="U87" s="13">
        <f>SUM(K86:U86)</f>
        <v>0</v>
      </c>
      <c r="AB87" s="8" t="s">
        <v>23</v>
      </c>
      <c r="AC87" s="13">
        <f>SUM(X86:AC86)</f>
        <v>0</v>
      </c>
      <c r="AJ87" s="8" t="s">
        <v>23</v>
      </c>
      <c r="AK87" s="13">
        <f>SUM(AF86:AK86)</f>
        <v>0</v>
      </c>
    </row>
    <row r="88" spans="1:37" ht="15.75" thickBot="1" x14ac:dyDescent="0.3">
      <c r="A88" s="19"/>
      <c r="B88" s="83" t="s">
        <v>18</v>
      </c>
      <c r="C88" s="83"/>
      <c r="D88" s="83"/>
      <c r="E88" s="83"/>
      <c r="F88" s="83"/>
      <c r="G88" s="83"/>
      <c r="H88" s="83"/>
      <c r="J88" s="84" t="s">
        <v>18</v>
      </c>
      <c r="K88" s="84"/>
      <c r="L88" s="84"/>
      <c r="M88" s="84"/>
      <c r="N88" s="84"/>
      <c r="O88" s="84"/>
      <c r="P88" s="84"/>
      <c r="Q88" s="84"/>
      <c r="R88" s="84"/>
      <c r="S88" s="84"/>
      <c r="T88" s="84"/>
      <c r="U88" s="84"/>
      <c r="W88" s="85" t="str">
        <f>J88</f>
        <v>Setembro</v>
      </c>
      <c r="X88" s="85"/>
      <c r="Y88" s="85"/>
      <c r="Z88" s="85"/>
      <c r="AA88" s="85"/>
      <c r="AB88" s="85"/>
      <c r="AC88" s="85"/>
      <c r="AE88" s="86" t="str">
        <f>W88</f>
        <v>Setembro</v>
      </c>
      <c r="AF88" s="86"/>
      <c r="AG88" s="86"/>
      <c r="AH88" s="86"/>
      <c r="AI88" s="86"/>
      <c r="AJ88" s="86"/>
      <c r="AK88" s="86"/>
    </row>
    <row r="89" spans="1:37" ht="15.75" thickBot="1" x14ac:dyDescent="0.3">
      <c r="A89" s="87" t="s">
        <v>5</v>
      </c>
      <c r="B89" s="34" t="s">
        <v>6</v>
      </c>
      <c r="C89" s="22" t="s">
        <v>7</v>
      </c>
      <c r="D89" s="33" t="s">
        <v>8</v>
      </c>
      <c r="E89" s="22" t="s">
        <v>9</v>
      </c>
      <c r="F89" s="24" t="s">
        <v>10</v>
      </c>
      <c r="G89" s="23" t="s">
        <v>11</v>
      </c>
      <c r="H89" s="25" t="s">
        <v>12</v>
      </c>
      <c r="J89" s="6" t="s">
        <v>4</v>
      </c>
      <c r="K89" s="9"/>
      <c r="L89" s="4"/>
      <c r="M89" s="4"/>
      <c r="N89" s="4"/>
      <c r="O89" s="4"/>
      <c r="P89" s="4"/>
      <c r="Q89" s="4"/>
      <c r="R89" s="4"/>
      <c r="S89" s="4"/>
      <c r="T89" s="4"/>
      <c r="U89" s="5"/>
      <c r="W89" s="6" t="s">
        <v>4</v>
      </c>
      <c r="X89" s="9"/>
      <c r="Y89" s="4"/>
      <c r="Z89" s="4"/>
      <c r="AA89" s="4"/>
      <c r="AB89" s="4"/>
      <c r="AC89" s="5"/>
      <c r="AE89" s="6" t="s">
        <v>4</v>
      </c>
      <c r="AF89" s="9"/>
      <c r="AG89" s="4"/>
      <c r="AH89" s="4"/>
      <c r="AI89" s="4"/>
      <c r="AJ89" s="4"/>
      <c r="AK89" s="5"/>
    </row>
    <row r="90" spans="1:37" ht="15.75" thickBot="1" x14ac:dyDescent="0.3">
      <c r="A90" s="87"/>
      <c r="B90" s="26"/>
      <c r="C90" s="27"/>
      <c r="D90" s="27"/>
      <c r="E90" s="27"/>
      <c r="F90" s="27">
        <f>SUM(C90-B90)</f>
        <v>0</v>
      </c>
      <c r="G90" s="20">
        <f>SUM(E90-D90)</f>
        <v>0</v>
      </c>
      <c r="H90" s="21">
        <f>SUM(F90:G90)</f>
        <v>0</v>
      </c>
      <c r="J90" s="7" t="s">
        <v>22</v>
      </c>
      <c r="K90" s="10"/>
      <c r="L90" s="11"/>
      <c r="M90" s="11"/>
      <c r="N90" s="11"/>
      <c r="O90" s="11"/>
      <c r="P90" s="11"/>
      <c r="Q90" s="11"/>
      <c r="R90" s="11"/>
      <c r="S90" s="11"/>
      <c r="T90" s="11"/>
      <c r="U90" s="12"/>
      <c r="W90" s="7" t="s">
        <v>22</v>
      </c>
      <c r="X90" s="10"/>
      <c r="Y90" s="11"/>
      <c r="Z90" s="11"/>
      <c r="AA90" s="11"/>
      <c r="AB90" s="11"/>
      <c r="AC90" s="12"/>
      <c r="AE90" s="7" t="s">
        <v>22</v>
      </c>
      <c r="AF90" s="10"/>
      <c r="AG90" s="11"/>
      <c r="AH90" s="11"/>
      <c r="AI90" s="11"/>
      <c r="AJ90" s="11"/>
      <c r="AK90" s="12"/>
    </row>
    <row r="91" spans="1:37" x14ac:dyDescent="0.25">
      <c r="J91" s="8"/>
      <c r="T91" s="8" t="s">
        <v>23</v>
      </c>
      <c r="U91" s="13">
        <f>SUM(K90:U90)</f>
        <v>0</v>
      </c>
      <c r="AB91" s="8" t="s">
        <v>23</v>
      </c>
      <c r="AC91" s="13">
        <f>SUM(X90:AC90)</f>
        <v>0</v>
      </c>
      <c r="AJ91" s="8" t="s">
        <v>23</v>
      </c>
      <c r="AK91" s="13">
        <f>SUM(AF90:AK90)</f>
        <v>0</v>
      </c>
    </row>
  </sheetData>
  <mergeCells count="115">
    <mergeCell ref="B88:H88"/>
    <mergeCell ref="J88:U88"/>
    <mergeCell ref="W88:AC88"/>
    <mergeCell ref="AE88:AK88"/>
    <mergeCell ref="A89:A90"/>
    <mergeCell ref="B84:H84"/>
    <mergeCell ref="J84:U84"/>
    <mergeCell ref="W84:AC84"/>
    <mergeCell ref="AE84:AK84"/>
    <mergeCell ref="A85:A86"/>
    <mergeCell ref="B80:H80"/>
    <mergeCell ref="J80:U80"/>
    <mergeCell ref="W80:AC80"/>
    <mergeCell ref="AE80:AK80"/>
    <mergeCell ref="A81:A82"/>
    <mergeCell ref="B76:H76"/>
    <mergeCell ref="J76:U76"/>
    <mergeCell ref="W76:AC76"/>
    <mergeCell ref="AE76:AK76"/>
    <mergeCell ref="A77:A78"/>
    <mergeCell ref="B72:H72"/>
    <mergeCell ref="J72:U72"/>
    <mergeCell ref="W72:AC72"/>
    <mergeCell ref="AE72:AK72"/>
    <mergeCell ref="A73:A74"/>
    <mergeCell ref="B68:H68"/>
    <mergeCell ref="J68:U68"/>
    <mergeCell ref="W68:AC68"/>
    <mergeCell ref="AE68:AK68"/>
    <mergeCell ref="A69:A70"/>
    <mergeCell ref="B64:H64"/>
    <mergeCell ref="J64:U64"/>
    <mergeCell ref="W64:AC64"/>
    <mergeCell ref="AE64:AK64"/>
    <mergeCell ref="A65:A66"/>
    <mergeCell ref="B60:H60"/>
    <mergeCell ref="J60:U60"/>
    <mergeCell ref="W60:AC60"/>
    <mergeCell ref="AE60:AK60"/>
    <mergeCell ref="A61:A62"/>
    <mergeCell ref="B56:H56"/>
    <mergeCell ref="J56:U56"/>
    <mergeCell ref="W56:AC56"/>
    <mergeCell ref="AE56:AK56"/>
    <mergeCell ref="A57:A58"/>
    <mergeCell ref="B2:C2"/>
    <mergeCell ref="E2:F2"/>
    <mergeCell ref="B4:C4"/>
    <mergeCell ref="E4:F4"/>
    <mergeCell ref="A7:H7"/>
    <mergeCell ref="B3:C3"/>
    <mergeCell ref="E3:F3"/>
    <mergeCell ref="A17:A18"/>
    <mergeCell ref="W7:AC7"/>
    <mergeCell ref="AE7:AK7"/>
    <mergeCell ref="B12:H12"/>
    <mergeCell ref="J12:U12"/>
    <mergeCell ref="W12:AC12"/>
    <mergeCell ref="AE12:AK12"/>
    <mergeCell ref="J7:U7"/>
    <mergeCell ref="A13:A14"/>
    <mergeCell ref="B16:H16"/>
    <mergeCell ref="J16:U16"/>
    <mergeCell ref="W16:AC16"/>
    <mergeCell ref="AE16:AK16"/>
    <mergeCell ref="A9:A10"/>
    <mergeCell ref="B8:H8"/>
    <mergeCell ref="J8:U8"/>
    <mergeCell ref="A29:A30"/>
    <mergeCell ref="B20:H20"/>
    <mergeCell ref="J20:U20"/>
    <mergeCell ref="W20:AC20"/>
    <mergeCell ref="AE20:AK20"/>
    <mergeCell ref="A21:A22"/>
    <mergeCell ref="B24:H24"/>
    <mergeCell ref="J24:U24"/>
    <mergeCell ref="W24:AC24"/>
    <mergeCell ref="AE24:AK24"/>
    <mergeCell ref="A25:A26"/>
    <mergeCell ref="B28:H28"/>
    <mergeCell ref="J28:U28"/>
    <mergeCell ref="W28:AC28"/>
    <mergeCell ref="AE28:AK28"/>
    <mergeCell ref="W8:AC8"/>
    <mergeCell ref="AE8:AK8"/>
    <mergeCell ref="A41:A42"/>
    <mergeCell ref="B32:H32"/>
    <mergeCell ref="J32:U32"/>
    <mergeCell ref="W32:AC32"/>
    <mergeCell ref="AE32:AK32"/>
    <mergeCell ref="A33:A34"/>
    <mergeCell ref="B36:H36"/>
    <mergeCell ref="J36:U36"/>
    <mergeCell ref="W36:AC36"/>
    <mergeCell ref="AE36:AK36"/>
    <mergeCell ref="A37:A38"/>
    <mergeCell ref="B40:H40"/>
    <mergeCell ref="J40:U40"/>
    <mergeCell ref="W40:AC40"/>
    <mergeCell ref="AE40:AK40"/>
    <mergeCell ref="A53:A54"/>
    <mergeCell ref="B44:H44"/>
    <mergeCell ref="J44:U44"/>
    <mergeCell ref="W44:AC44"/>
    <mergeCell ref="AE44:AK44"/>
    <mergeCell ref="A45:A46"/>
    <mergeCell ref="B48:H48"/>
    <mergeCell ref="J48:U48"/>
    <mergeCell ref="W48:AC48"/>
    <mergeCell ref="AE48:AK48"/>
    <mergeCell ref="A49:A50"/>
    <mergeCell ref="B52:H52"/>
    <mergeCell ref="J52:U52"/>
    <mergeCell ref="W52:AC52"/>
    <mergeCell ref="AE52:AK52"/>
  </mergeCells>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K91"/>
  <sheetViews>
    <sheetView showGridLines="0" topLeftCell="A49" zoomScaleNormal="100" workbookViewId="0">
      <selection activeCell="I58" sqref="I58"/>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13" width="11.28515625" bestFit="1" customWidth="1"/>
    <col min="14" max="16" width="10.5703125" bestFit="1" customWidth="1"/>
    <col min="17" max="18" width="10.42578125" bestFit="1" customWidth="1"/>
    <col min="21" max="21" width="12.140625" bestFit="1" customWidth="1"/>
    <col min="24" max="26" width="10.42578125" bestFit="1" customWidth="1"/>
    <col min="29" max="29" width="15.85546875" bestFit="1" customWidth="1"/>
    <col min="34" max="36" width="10.140625" bestFit="1" customWidth="1"/>
    <col min="37" max="37" width="10.5703125" bestFit="1" customWidth="1"/>
  </cols>
  <sheetData>
    <row r="2" spans="1:37" x14ac:dyDescent="0.25">
      <c r="A2" t="s">
        <v>0</v>
      </c>
      <c r="B2" s="90" t="s">
        <v>86</v>
      </c>
      <c r="C2" s="90"/>
      <c r="D2" s="1" t="s">
        <v>1</v>
      </c>
      <c r="E2" s="90" t="s">
        <v>87</v>
      </c>
      <c r="F2" s="90"/>
      <c r="G2" s="2"/>
      <c r="H2" t="s">
        <v>110</v>
      </c>
      <c r="I2" s="81">
        <v>3000</v>
      </c>
    </row>
    <row r="3" spans="1:37" x14ac:dyDescent="0.25">
      <c r="A3" t="s">
        <v>75</v>
      </c>
      <c r="B3" s="94">
        <v>46081</v>
      </c>
      <c r="C3" s="90"/>
      <c r="D3" s="1" t="s">
        <v>1</v>
      </c>
      <c r="E3" s="90" t="s">
        <v>111</v>
      </c>
      <c r="F3" s="90"/>
      <c r="H3" t="s">
        <v>76</v>
      </c>
      <c r="I3" s="79" t="s">
        <v>96</v>
      </c>
    </row>
    <row r="4" spans="1:37" x14ac:dyDescent="0.25">
      <c r="A4" t="s">
        <v>2</v>
      </c>
      <c r="B4" s="91">
        <v>2294.35</v>
      </c>
      <c r="C4" s="91"/>
      <c r="D4" s="1" t="s">
        <v>29</v>
      </c>
      <c r="E4" s="92">
        <v>45</v>
      </c>
      <c r="F4" s="90"/>
      <c r="H4" t="s">
        <v>70</v>
      </c>
      <c r="I4" s="80">
        <v>45680</v>
      </c>
      <c r="J4" t="s">
        <v>118</v>
      </c>
      <c r="K4" s="80">
        <v>46113</v>
      </c>
    </row>
    <row r="7" spans="1:37" ht="21" x14ac:dyDescent="0.35">
      <c r="A7" s="93" t="s">
        <v>28</v>
      </c>
      <c r="B7" s="93"/>
      <c r="C7" s="93"/>
      <c r="D7" s="93"/>
      <c r="E7" s="93"/>
      <c r="F7" s="93"/>
      <c r="G7" s="93"/>
      <c r="H7" s="93"/>
      <c r="J7" s="89" t="s">
        <v>26</v>
      </c>
      <c r="K7" s="89"/>
      <c r="L7" s="89"/>
      <c r="M7" s="89"/>
      <c r="N7" s="89"/>
      <c r="O7" s="89"/>
      <c r="P7" s="89"/>
      <c r="Q7" s="89"/>
      <c r="R7" s="89"/>
      <c r="S7" s="89"/>
      <c r="T7" s="89"/>
      <c r="U7" s="89"/>
      <c r="V7" s="2"/>
      <c r="W7" s="88" t="s">
        <v>25</v>
      </c>
      <c r="X7" s="88"/>
      <c r="Y7" s="88"/>
      <c r="Z7" s="88"/>
      <c r="AA7" s="88"/>
      <c r="AB7" s="88"/>
      <c r="AC7" s="88"/>
      <c r="AD7" s="2"/>
      <c r="AE7" s="88" t="s">
        <v>27</v>
      </c>
      <c r="AF7" s="88"/>
      <c r="AG7" s="88"/>
      <c r="AH7" s="88"/>
      <c r="AI7" s="88"/>
      <c r="AJ7" s="88"/>
      <c r="AK7" s="88"/>
    </row>
    <row r="8" spans="1:37" ht="15.75" thickBot="1" x14ac:dyDescent="0.3">
      <c r="A8" s="72">
        <v>45680</v>
      </c>
      <c r="B8" s="83" t="s">
        <v>83</v>
      </c>
      <c r="C8" s="83"/>
      <c r="D8" s="83"/>
      <c r="E8" s="83"/>
      <c r="F8" s="83"/>
      <c r="G8" s="83"/>
      <c r="H8" s="83"/>
      <c r="J8" s="99" t="s">
        <v>83</v>
      </c>
      <c r="K8" s="99"/>
      <c r="L8" s="99"/>
      <c r="M8" s="99"/>
      <c r="N8" s="99"/>
      <c r="O8" s="99"/>
      <c r="P8" s="99"/>
      <c r="Q8" s="99"/>
      <c r="R8" s="99"/>
      <c r="S8" s="99"/>
      <c r="T8" s="99"/>
      <c r="U8" s="99"/>
      <c r="W8" s="85" t="s">
        <v>83</v>
      </c>
      <c r="X8" s="85"/>
      <c r="Y8" s="85"/>
      <c r="Z8" s="85"/>
      <c r="AA8" s="85"/>
      <c r="AB8" s="85"/>
      <c r="AC8" s="85"/>
      <c r="AE8" s="86" t="s">
        <v>83</v>
      </c>
      <c r="AF8" s="86"/>
      <c r="AG8" s="86"/>
      <c r="AH8" s="86"/>
      <c r="AI8" s="86"/>
      <c r="AJ8" s="86"/>
      <c r="AK8" s="86"/>
    </row>
    <row r="9" spans="1:37" ht="15.75" thickBot="1" x14ac:dyDescent="0.3">
      <c r="A9" s="87" t="s">
        <v>5</v>
      </c>
      <c r="B9" s="34" t="s">
        <v>6</v>
      </c>
      <c r="C9" s="22" t="s">
        <v>7</v>
      </c>
      <c r="D9" s="33" t="s">
        <v>8</v>
      </c>
      <c r="E9" s="22" t="s">
        <v>9</v>
      </c>
      <c r="F9" s="24" t="s">
        <v>10</v>
      </c>
      <c r="G9" s="23" t="s">
        <v>11</v>
      </c>
      <c r="H9" s="25" t="s">
        <v>12</v>
      </c>
      <c r="J9" s="28" t="s">
        <v>4</v>
      </c>
      <c r="K9" s="9">
        <v>45685</v>
      </c>
      <c r="L9" s="66">
        <v>45688</v>
      </c>
      <c r="M9" s="66"/>
      <c r="N9" s="4"/>
      <c r="O9" s="4"/>
      <c r="P9" s="4"/>
      <c r="Q9" s="4"/>
      <c r="R9" s="4"/>
      <c r="S9" s="4"/>
      <c r="T9" s="4"/>
      <c r="U9" s="5"/>
      <c r="W9" s="6" t="s">
        <v>4</v>
      </c>
      <c r="X9" s="9"/>
      <c r="Y9" s="4"/>
      <c r="Z9" s="4"/>
      <c r="AA9" s="4"/>
      <c r="AB9" s="4"/>
      <c r="AC9" s="5"/>
      <c r="AE9" s="6" t="s">
        <v>4</v>
      </c>
      <c r="AF9" s="9"/>
      <c r="AG9" s="4"/>
      <c r="AH9" s="4"/>
      <c r="AI9" s="4"/>
      <c r="AJ9" s="4"/>
      <c r="AK9" s="5"/>
    </row>
    <row r="10" spans="1:37" s="15" customFormat="1" ht="15.75" thickBot="1" x14ac:dyDescent="0.3">
      <c r="A10" s="87"/>
      <c r="B10" s="26"/>
      <c r="C10" s="27"/>
      <c r="D10" s="26">
        <v>9377</v>
      </c>
      <c r="E10" s="27">
        <v>9988</v>
      </c>
      <c r="F10" s="27">
        <f>SUM(C10-B10)</f>
        <v>0</v>
      </c>
      <c r="G10" s="20">
        <f>SUM(E10-D10)</f>
        <v>611</v>
      </c>
      <c r="H10" s="21">
        <f>SUM(F10:G10)</f>
        <v>611</v>
      </c>
      <c r="I10"/>
      <c r="J10" s="29" t="s">
        <v>22</v>
      </c>
      <c r="K10" s="10">
        <v>274.77</v>
      </c>
      <c r="L10" s="11">
        <v>171.83</v>
      </c>
      <c r="M10" s="11"/>
      <c r="N10" s="11"/>
      <c r="O10" s="11"/>
      <c r="P10" s="11"/>
      <c r="Q10" s="11"/>
      <c r="R10" s="11"/>
      <c r="S10" s="11"/>
      <c r="T10" s="11"/>
      <c r="U10" s="12"/>
      <c r="V10"/>
      <c r="W10" s="7" t="s">
        <v>22</v>
      </c>
      <c r="X10" s="10"/>
      <c r="Y10" s="11"/>
      <c r="Z10" s="11"/>
      <c r="AA10" s="11"/>
      <c r="AB10" s="11"/>
      <c r="AC10" s="12"/>
      <c r="AD10"/>
      <c r="AE10" s="7" t="s">
        <v>22</v>
      </c>
      <c r="AF10" s="10"/>
      <c r="AG10" s="11"/>
      <c r="AH10" s="11"/>
      <c r="AI10" s="11"/>
      <c r="AJ10" s="11"/>
      <c r="AK10" s="12"/>
    </row>
    <row r="11" spans="1:37" s="15" customFormat="1" x14ac:dyDescent="0.25">
      <c r="A11"/>
      <c r="B11" s="1"/>
      <c r="C11" s="1"/>
      <c r="D11" s="1"/>
      <c r="E11" s="1"/>
      <c r="F11"/>
      <c r="G11"/>
      <c r="H11"/>
      <c r="I11"/>
      <c r="J11" s="8"/>
      <c r="K11"/>
      <c r="L11"/>
      <c r="M11"/>
      <c r="N11"/>
      <c r="O11"/>
      <c r="P11"/>
      <c r="Q11"/>
      <c r="R11"/>
      <c r="S11"/>
      <c r="T11" s="8" t="s">
        <v>23</v>
      </c>
      <c r="U11" s="13">
        <f>SUM(K10:U10)</f>
        <v>446.6</v>
      </c>
      <c r="V11"/>
      <c r="W11"/>
      <c r="X11"/>
      <c r="Y11"/>
      <c r="Z11"/>
      <c r="AA11"/>
      <c r="AB11" s="8" t="s">
        <v>23</v>
      </c>
      <c r="AC11" s="13">
        <f>SUM(X10:AC10)</f>
        <v>0</v>
      </c>
      <c r="AD11"/>
      <c r="AE11"/>
      <c r="AF11"/>
      <c r="AG11"/>
      <c r="AH11"/>
      <c r="AI11"/>
      <c r="AJ11" s="8" t="s">
        <v>23</v>
      </c>
      <c r="AK11" s="13">
        <f>SUM(AF10:AK10)</f>
        <v>0</v>
      </c>
    </row>
    <row r="12" spans="1:37" ht="15.75" thickBot="1" x14ac:dyDescent="0.3">
      <c r="A12" s="19"/>
      <c r="B12" s="83" t="s">
        <v>3</v>
      </c>
      <c r="C12" s="83"/>
      <c r="D12" s="83"/>
      <c r="E12" s="83"/>
      <c r="F12" s="83"/>
      <c r="G12" s="83"/>
      <c r="H12" s="83"/>
      <c r="J12" s="99" t="s">
        <v>3</v>
      </c>
      <c r="K12" s="99"/>
      <c r="L12" s="99"/>
      <c r="M12" s="99"/>
      <c r="N12" s="99"/>
      <c r="O12" s="99"/>
      <c r="P12" s="99"/>
      <c r="Q12" s="99"/>
      <c r="R12" s="99"/>
      <c r="S12" s="99"/>
      <c r="T12" s="99"/>
      <c r="U12" s="99"/>
      <c r="W12" s="85" t="s">
        <v>3</v>
      </c>
      <c r="X12" s="85"/>
      <c r="Y12" s="85"/>
      <c r="Z12" s="85"/>
      <c r="AA12" s="85"/>
      <c r="AB12" s="85"/>
      <c r="AC12" s="85"/>
      <c r="AE12" s="86" t="s">
        <v>3</v>
      </c>
      <c r="AF12" s="86"/>
      <c r="AG12" s="86"/>
      <c r="AH12" s="86"/>
      <c r="AI12" s="86"/>
      <c r="AJ12" s="86"/>
      <c r="AK12" s="86"/>
    </row>
    <row r="13" spans="1:37" ht="15.75" thickBot="1" x14ac:dyDescent="0.3">
      <c r="A13" s="87" t="s">
        <v>5</v>
      </c>
      <c r="B13" s="34" t="s">
        <v>6</v>
      </c>
      <c r="C13" s="22" t="s">
        <v>7</v>
      </c>
      <c r="D13" s="33" t="s">
        <v>8</v>
      </c>
      <c r="E13" s="22" t="s">
        <v>9</v>
      </c>
      <c r="F13" s="24" t="s">
        <v>10</v>
      </c>
      <c r="G13" s="23" t="s">
        <v>11</v>
      </c>
      <c r="H13" s="25" t="s">
        <v>12</v>
      </c>
      <c r="J13" s="28" t="s">
        <v>4</v>
      </c>
      <c r="K13" s="9">
        <v>45692</v>
      </c>
      <c r="L13" s="66">
        <v>45695</v>
      </c>
      <c r="M13" s="66">
        <v>45702</v>
      </c>
      <c r="N13" s="66">
        <v>45706</v>
      </c>
      <c r="O13" s="66">
        <v>45713</v>
      </c>
      <c r="P13" s="66">
        <v>45716</v>
      </c>
      <c r="Q13" s="4"/>
      <c r="R13" s="4"/>
      <c r="S13" s="4"/>
      <c r="T13" s="4"/>
      <c r="U13" s="5"/>
      <c r="W13" s="6" t="s">
        <v>4</v>
      </c>
      <c r="X13" s="9">
        <v>45716</v>
      </c>
      <c r="Y13" s="4"/>
      <c r="Z13" s="4"/>
      <c r="AA13" s="4"/>
      <c r="AB13" s="4"/>
      <c r="AC13" s="5"/>
      <c r="AE13" s="6" t="s">
        <v>4</v>
      </c>
      <c r="AF13" s="9"/>
      <c r="AG13" s="4"/>
      <c r="AH13" s="4"/>
      <c r="AI13" s="4"/>
      <c r="AJ13" s="4"/>
      <c r="AK13" s="5"/>
    </row>
    <row r="14" spans="1:37" ht="15.75" thickBot="1" x14ac:dyDescent="0.3">
      <c r="A14" s="87"/>
      <c r="B14" s="26">
        <v>9988</v>
      </c>
      <c r="C14" s="27">
        <v>10895</v>
      </c>
      <c r="D14" s="27">
        <v>10895</v>
      </c>
      <c r="E14" s="27">
        <v>11831</v>
      </c>
      <c r="F14" s="27">
        <f>SUM(C14-B14)</f>
        <v>907</v>
      </c>
      <c r="G14" s="20">
        <f>SUM(E14-D14)</f>
        <v>936</v>
      </c>
      <c r="H14" s="21">
        <f>SUM(F14:G14)</f>
        <v>1843</v>
      </c>
      <c r="J14" s="29" t="s">
        <v>22</v>
      </c>
      <c r="K14" s="10">
        <v>155.88</v>
      </c>
      <c r="L14" s="11">
        <v>124.97</v>
      </c>
      <c r="M14" s="11">
        <v>295.7</v>
      </c>
      <c r="N14" s="11">
        <v>270.68</v>
      </c>
      <c r="O14" s="11">
        <v>134.34</v>
      </c>
      <c r="P14" s="11">
        <v>175.21</v>
      </c>
      <c r="Q14" s="11"/>
      <c r="R14" s="11"/>
      <c r="S14" s="11"/>
      <c r="T14" s="11"/>
      <c r="U14" s="12"/>
      <c r="W14" s="7" t="s">
        <v>22</v>
      </c>
      <c r="X14" s="10">
        <v>40</v>
      </c>
      <c r="Y14" s="11"/>
      <c r="Z14" s="11"/>
      <c r="AA14" s="11"/>
      <c r="AB14" s="11"/>
      <c r="AC14" s="12"/>
      <c r="AE14" s="7" t="s">
        <v>22</v>
      </c>
      <c r="AF14" s="10"/>
      <c r="AG14" s="11"/>
      <c r="AH14" s="11"/>
      <c r="AI14" s="11"/>
      <c r="AJ14" s="11"/>
      <c r="AK14" s="12"/>
    </row>
    <row r="15" spans="1:37" x14ac:dyDescent="0.25">
      <c r="J15" s="8"/>
      <c r="T15" s="8" t="s">
        <v>23</v>
      </c>
      <c r="U15" s="13">
        <f>SUM(K14:U14)</f>
        <v>1156.78</v>
      </c>
      <c r="AB15" s="8" t="s">
        <v>23</v>
      </c>
      <c r="AC15" s="13">
        <f>SUM(X14:AC14)</f>
        <v>40</v>
      </c>
      <c r="AJ15" s="8" t="s">
        <v>23</v>
      </c>
      <c r="AK15" s="13">
        <f>SUM(AF14:AK14)</f>
        <v>0</v>
      </c>
    </row>
    <row r="16" spans="1:37" ht="15.75" thickBot="1" x14ac:dyDescent="0.3">
      <c r="A16" s="19"/>
      <c r="B16" s="83" t="s">
        <v>13</v>
      </c>
      <c r="C16" s="83"/>
      <c r="D16" s="83"/>
      <c r="E16" s="83"/>
      <c r="F16" s="83"/>
      <c r="G16" s="83"/>
      <c r="H16" s="83"/>
      <c r="J16" s="84" t="s">
        <v>13</v>
      </c>
      <c r="K16" s="84"/>
      <c r="L16" s="84"/>
      <c r="M16" s="84"/>
      <c r="N16" s="84"/>
      <c r="O16" s="84"/>
      <c r="P16" s="84"/>
      <c r="Q16" s="84"/>
      <c r="R16" s="84"/>
      <c r="S16" s="84"/>
      <c r="T16" s="84"/>
      <c r="U16" s="84"/>
      <c r="W16" s="85" t="str">
        <f>J16</f>
        <v>Março</v>
      </c>
      <c r="X16" s="85"/>
      <c r="Y16" s="85"/>
      <c r="Z16" s="85"/>
      <c r="AA16" s="85"/>
      <c r="AB16" s="85"/>
      <c r="AC16" s="85"/>
      <c r="AE16" s="86" t="str">
        <f>W16</f>
        <v>Março</v>
      </c>
      <c r="AF16" s="86"/>
      <c r="AG16" s="86"/>
      <c r="AH16" s="86"/>
      <c r="AI16" s="86"/>
      <c r="AJ16" s="86"/>
      <c r="AK16" s="86"/>
    </row>
    <row r="17" spans="1:37" ht="15.75" thickBot="1" x14ac:dyDescent="0.3">
      <c r="A17" s="87" t="s">
        <v>5</v>
      </c>
      <c r="B17" s="34" t="s">
        <v>6</v>
      </c>
      <c r="C17" s="22" t="s">
        <v>7</v>
      </c>
      <c r="D17" s="33" t="s">
        <v>8</v>
      </c>
      <c r="E17" s="22" t="s">
        <v>9</v>
      </c>
      <c r="F17" s="24" t="s">
        <v>10</v>
      </c>
      <c r="G17" s="23" t="s">
        <v>11</v>
      </c>
      <c r="H17" s="25" t="s">
        <v>12</v>
      </c>
      <c r="J17" s="6" t="s">
        <v>4</v>
      </c>
      <c r="K17" s="9">
        <v>45720</v>
      </c>
      <c r="L17" s="9">
        <v>45723</v>
      </c>
      <c r="M17" s="66">
        <v>45727</v>
      </c>
      <c r="N17" s="66">
        <v>45741</v>
      </c>
      <c r="O17" s="66">
        <v>45744</v>
      </c>
      <c r="P17" s="4"/>
      <c r="Q17" s="4"/>
      <c r="R17" s="4"/>
      <c r="S17" s="4"/>
      <c r="T17" s="4"/>
      <c r="U17" s="5"/>
      <c r="W17" s="6" t="s">
        <v>4</v>
      </c>
      <c r="X17" s="9">
        <v>45723</v>
      </c>
      <c r="Y17" s="66">
        <v>45730</v>
      </c>
      <c r="Z17" s="66">
        <v>45747</v>
      </c>
      <c r="AA17" s="4"/>
      <c r="AB17" s="4"/>
      <c r="AC17" s="5"/>
      <c r="AE17" s="6" t="s">
        <v>4</v>
      </c>
      <c r="AF17" s="9"/>
      <c r="AG17" s="4"/>
      <c r="AH17" s="4"/>
      <c r="AI17" s="4"/>
      <c r="AJ17" s="4"/>
      <c r="AK17" s="5"/>
    </row>
    <row r="18" spans="1:37" ht="15.75" thickBot="1" x14ac:dyDescent="0.3">
      <c r="A18" s="87"/>
      <c r="B18" s="26">
        <v>11831</v>
      </c>
      <c r="C18" s="27">
        <v>12506</v>
      </c>
      <c r="D18" s="27">
        <v>12506</v>
      </c>
      <c r="E18" s="27">
        <v>12900</v>
      </c>
      <c r="F18" s="27">
        <f>SUM(C18-B18)</f>
        <v>675</v>
      </c>
      <c r="G18" s="20">
        <f>SUM(E18-D18)</f>
        <v>394</v>
      </c>
      <c r="H18" s="21">
        <f>SUM(F18:G18)</f>
        <v>1069</v>
      </c>
      <c r="J18" s="7" t="s">
        <v>22</v>
      </c>
      <c r="K18" s="10">
        <v>142.30000000000001</v>
      </c>
      <c r="L18" s="10">
        <v>149.05000000000001</v>
      </c>
      <c r="M18" s="11">
        <v>139.35</v>
      </c>
      <c r="N18" s="11">
        <v>213.21</v>
      </c>
      <c r="O18" s="11">
        <v>172.2</v>
      </c>
      <c r="P18" s="11"/>
      <c r="Q18" s="11"/>
      <c r="R18" s="11"/>
      <c r="S18" s="11"/>
      <c r="T18" s="11"/>
      <c r="U18" s="12"/>
      <c r="W18" s="7" t="s">
        <v>22</v>
      </c>
      <c r="X18" s="10">
        <v>40</v>
      </c>
      <c r="Y18" s="11">
        <v>40</v>
      </c>
      <c r="Z18" s="11">
        <v>40</v>
      </c>
      <c r="AA18" s="11"/>
      <c r="AB18" s="11"/>
      <c r="AC18" s="12"/>
      <c r="AE18" s="7" t="s">
        <v>22</v>
      </c>
      <c r="AF18" s="10"/>
      <c r="AG18" s="11"/>
      <c r="AH18" s="11"/>
      <c r="AI18" s="11"/>
      <c r="AJ18" s="11"/>
      <c r="AK18" s="12"/>
    </row>
    <row r="19" spans="1:37" x14ac:dyDescent="0.25">
      <c r="J19" s="8"/>
      <c r="T19" s="8" t="s">
        <v>23</v>
      </c>
      <c r="U19" s="13">
        <f>SUM(K18:U18)</f>
        <v>816.11000000000013</v>
      </c>
      <c r="AB19" s="8" t="s">
        <v>23</v>
      </c>
      <c r="AC19" s="13">
        <f>SUM(X18:AC18)</f>
        <v>120</v>
      </c>
      <c r="AJ19" s="8" t="s">
        <v>23</v>
      </c>
      <c r="AK19" s="13">
        <f>SUM(AF18:AK18)</f>
        <v>0</v>
      </c>
    </row>
    <row r="20" spans="1:37" ht="15.75" thickBot="1" x14ac:dyDescent="0.3">
      <c r="A20" s="19"/>
      <c r="B20" s="83" t="s">
        <v>14</v>
      </c>
      <c r="C20" s="83"/>
      <c r="D20" s="83"/>
      <c r="E20" s="83"/>
      <c r="F20" s="83"/>
      <c r="G20" s="83"/>
      <c r="H20" s="83"/>
      <c r="J20" s="84" t="s">
        <v>14</v>
      </c>
      <c r="K20" s="84"/>
      <c r="L20" s="84"/>
      <c r="M20" s="84"/>
      <c r="N20" s="84"/>
      <c r="O20" s="84"/>
      <c r="P20" s="84"/>
      <c r="Q20" s="84"/>
      <c r="R20" s="84"/>
      <c r="S20" s="84"/>
      <c r="T20" s="84"/>
      <c r="U20" s="84"/>
      <c r="W20" s="85" t="str">
        <f>J20</f>
        <v>Abril</v>
      </c>
      <c r="X20" s="85"/>
      <c r="Y20" s="85"/>
      <c r="Z20" s="85"/>
      <c r="AA20" s="85"/>
      <c r="AB20" s="85"/>
      <c r="AC20" s="85"/>
      <c r="AE20" s="86" t="str">
        <f>W20</f>
        <v>Abril</v>
      </c>
      <c r="AF20" s="86"/>
      <c r="AG20" s="86"/>
      <c r="AH20" s="86"/>
      <c r="AI20" s="86"/>
      <c r="AJ20" s="86"/>
      <c r="AK20" s="86"/>
    </row>
    <row r="21" spans="1:37" ht="15.75" thickBot="1" x14ac:dyDescent="0.3">
      <c r="A21" s="87" t="s">
        <v>5</v>
      </c>
      <c r="B21" s="34" t="s">
        <v>6</v>
      </c>
      <c r="C21" s="22" t="s">
        <v>7</v>
      </c>
      <c r="D21" s="33" t="s">
        <v>8</v>
      </c>
      <c r="E21" s="22" t="s">
        <v>9</v>
      </c>
      <c r="F21" s="24" t="s">
        <v>10</v>
      </c>
      <c r="G21" s="23" t="s">
        <v>11</v>
      </c>
      <c r="H21" s="25" t="s">
        <v>12</v>
      </c>
      <c r="J21" s="6" t="s">
        <v>4</v>
      </c>
      <c r="K21" s="9">
        <v>45751</v>
      </c>
      <c r="L21" s="66">
        <v>45755</v>
      </c>
      <c r="M21" s="66">
        <v>45758</v>
      </c>
      <c r="N21" s="66">
        <v>45762</v>
      </c>
      <c r="O21" s="66">
        <v>45769</v>
      </c>
      <c r="P21" s="66">
        <v>45772</v>
      </c>
      <c r="Q21" s="66">
        <v>45776</v>
      </c>
      <c r="R21" s="4"/>
      <c r="S21" s="4"/>
      <c r="T21" s="4"/>
      <c r="U21" s="5"/>
      <c r="W21" s="6" t="s">
        <v>4</v>
      </c>
      <c r="X21" s="9"/>
      <c r="Y21" s="4"/>
      <c r="Z21" s="4"/>
      <c r="AA21" s="4"/>
      <c r="AB21" s="4"/>
      <c r="AC21" s="5"/>
      <c r="AE21" s="6" t="s">
        <v>4</v>
      </c>
      <c r="AF21" s="9"/>
      <c r="AG21" s="4"/>
      <c r="AH21" s="4"/>
      <c r="AI21" s="4"/>
      <c r="AJ21" s="4"/>
      <c r="AK21" s="5"/>
    </row>
    <row r="22" spans="1:37" ht="15.75" thickBot="1" x14ac:dyDescent="0.3">
      <c r="A22" s="87"/>
      <c r="B22" s="27">
        <v>12900</v>
      </c>
      <c r="C22" s="27">
        <v>13704</v>
      </c>
      <c r="D22" s="27">
        <v>13704</v>
      </c>
      <c r="E22" s="27">
        <v>14549</v>
      </c>
      <c r="F22" s="27">
        <f>SUM(C22-B22)</f>
        <v>804</v>
      </c>
      <c r="G22" s="20">
        <f>SUM(E22-D22)</f>
        <v>845</v>
      </c>
      <c r="H22" s="21">
        <f>SUM(F22:G22)</f>
        <v>1649</v>
      </c>
      <c r="J22" s="7" t="s">
        <v>22</v>
      </c>
      <c r="K22" s="30">
        <v>218.9</v>
      </c>
      <c r="L22" s="31">
        <v>170.33</v>
      </c>
      <c r="M22" s="31">
        <v>162.63</v>
      </c>
      <c r="N22" s="31">
        <v>127.44</v>
      </c>
      <c r="O22" s="31">
        <v>183.74</v>
      </c>
      <c r="P22" s="31">
        <v>124.93</v>
      </c>
      <c r="Q22" s="31">
        <v>142.4</v>
      </c>
      <c r="R22" s="31"/>
      <c r="S22" s="31"/>
      <c r="T22" s="31"/>
      <c r="U22" s="32"/>
      <c r="W22" s="7" t="s">
        <v>22</v>
      </c>
      <c r="X22" s="10"/>
      <c r="Y22" s="11"/>
      <c r="Z22" s="11"/>
      <c r="AA22" s="11"/>
      <c r="AB22" s="11"/>
      <c r="AC22" s="12"/>
      <c r="AE22" s="7" t="s">
        <v>22</v>
      </c>
      <c r="AF22" s="10"/>
      <c r="AG22" s="11"/>
      <c r="AH22" s="11"/>
      <c r="AI22" s="11"/>
      <c r="AJ22" s="11"/>
      <c r="AK22" s="12"/>
    </row>
    <row r="23" spans="1:37" x14ac:dyDescent="0.25">
      <c r="J23" s="8"/>
      <c r="T23" s="8" t="s">
        <v>23</v>
      </c>
      <c r="U23" s="13">
        <f>SUM(K22:U22)</f>
        <v>1130.3700000000001</v>
      </c>
      <c r="AB23" s="8" t="s">
        <v>23</v>
      </c>
      <c r="AC23" s="13">
        <f>SUM(X22:AC22)</f>
        <v>0</v>
      </c>
      <c r="AJ23" s="8" t="s">
        <v>23</v>
      </c>
      <c r="AK23" s="13">
        <f>SUM(AF22:AK22)</f>
        <v>0</v>
      </c>
    </row>
    <row r="24" spans="1:37" ht="15.75" thickBot="1" x14ac:dyDescent="0.3">
      <c r="A24" s="19"/>
      <c r="B24" s="83" t="s">
        <v>15</v>
      </c>
      <c r="C24" s="83"/>
      <c r="D24" s="83"/>
      <c r="E24" s="83"/>
      <c r="F24" s="83"/>
      <c r="G24" s="83"/>
      <c r="H24" s="83"/>
      <c r="J24" s="84" t="s">
        <v>15</v>
      </c>
      <c r="K24" s="84"/>
      <c r="L24" s="84"/>
      <c r="M24" s="84"/>
      <c r="N24" s="84"/>
      <c r="O24" s="84"/>
      <c r="P24" s="84"/>
      <c r="Q24" s="84"/>
      <c r="R24" s="84"/>
      <c r="S24" s="84"/>
      <c r="T24" s="84"/>
      <c r="U24" s="84"/>
      <c r="W24" s="85" t="str">
        <f>J24</f>
        <v>Maio</v>
      </c>
      <c r="X24" s="85"/>
      <c r="Y24" s="85"/>
      <c r="Z24" s="85"/>
      <c r="AA24" s="85"/>
      <c r="AB24" s="85"/>
      <c r="AC24" s="85"/>
      <c r="AE24" s="86" t="str">
        <f>W24</f>
        <v>Maio</v>
      </c>
      <c r="AF24" s="86"/>
      <c r="AG24" s="86"/>
      <c r="AH24" s="86"/>
      <c r="AI24" s="86"/>
      <c r="AJ24" s="86"/>
      <c r="AK24" s="86"/>
    </row>
    <row r="25" spans="1:37" ht="15.75" thickBot="1" x14ac:dyDescent="0.3">
      <c r="A25" s="87" t="s">
        <v>5</v>
      </c>
      <c r="B25" s="34" t="s">
        <v>6</v>
      </c>
      <c r="C25" s="22" t="s">
        <v>7</v>
      </c>
      <c r="D25" s="33" t="s">
        <v>8</v>
      </c>
      <c r="E25" s="22" t="s">
        <v>9</v>
      </c>
      <c r="F25" s="24" t="s">
        <v>10</v>
      </c>
      <c r="G25" s="23" t="s">
        <v>11</v>
      </c>
      <c r="H25" s="25" t="s">
        <v>12</v>
      </c>
      <c r="J25" s="6" t="s">
        <v>4</v>
      </c>
      <c r="K25" s="9">
        <v>45779</v>
      </c>
      <c r="L25" s="66">
        <v>45786</v>
      </c>
      <c r="M25" s="66">
        <v>45797</v>
      </c>
      <c r="N25" s="66">
        <v>45807</v>
      </c>
      <c r="O25" s="4"/>
      <c r="P25" s="4"/>
      <c r="Q25" s="4"/>
      <c r="R25" s="4"/>
      <c r="S25" s="4"/>
      <c r="T25" s="4"/>
      <c r="U25" s="5"/>
      <c r="W25" s="6" t="s">
        <v>4</v>
      </c>
      <c r="X25" s="9"/>
      <c r="Y25" s="4"/>
      <c r="Z25" s="4"/>
      <c r="AA25" s="4"/>
      <c r="AB25" s="4"/>
      <c r="AC25" s="5"/>
      <c r="AE25" s="6" t="s">
        <v>4</v>
      </c>
      <c r="AF25" s="9"/>
      <c r="AG25" s="4"/>
      <c r="AH25" s="4"/>
      <c r="AI25" s="4"/>
      <c r="AJ25" s="4"/>
      <c r="AK25" s="5"/>
    </row>
    <row r="26" spans="1:37" ht="15.75" thickBot="1" x14ac:dyDescent="0.3">
      <c r="A26" s="87"/>
      <c r="B26" s="27">
        <v>14549</v>
      </c>
      <c r="C26" s="27">
        <v>15055</v>
      </c>
      <c r="D26" s="27">
        <v>15055</v>
      </c>
      <c r="E26" s="27">
        <v>15425</v>
      </c>
      <c r="F26" s="27">
        <f>SUM(C26-B26)</f>
        <v>506</v>
      </c>
      <c r="G26" s="20">
        <f>SUM(E26-D26)</f>
        <v>370</v>
      </c>
      <c r="H26" s="21">
        <f>SUM(F26:G26)</f>
        <v>876</v>
      </c>
      <c r="J26" s="7" t="s">
        <v>22</v>
      </c>
      <c r="K26" s="10">
        <v>103.68</v>
      </c>
      <c r="L26" s="11">
        <v>191.42</v>
      </c>
      <c r="M26" s="11">
        <v>110.4</v>
      </c>
      <c r="N26" s="11">
        <v>110.53</v>
      </c>
      <c r="O26" s="11"/>
      <c r="P26" s="11"/>
      <c r="Q26" s="11"/>
      <c r="R26" s="11"/>
      <c r="S26" s="11"/>
      <c r="T26" s="11"/>
      <c r="U26" s="12"/>
      <c r="W26" s="7" t="s">
        <v>22</v>
      </c>
      <c r="X26" s="10"/>
      <c r="Y26" s="11"/>
      <c r="Z26" s="11"/>
      <c r="AA26" s="11"/>
      <c r="AB26" s="11"/>
      <c r="AC26" s="12"/>
      <c r="AE26" s="7" t="s">
        <v>22</v>
      </c>
      <c r="AF26" s="10"/>
      <c r="AG26" s="11"/>
      <c r="AH26" s="11"/>
      <c r="AI26" s="11"/>
      <c r="AJ26" s="11"/>
      <c r="AK26" s="12"/>
    </row>
    <row r="27" spans="1:37" x14ac:dyDescent="0.25">
      <c r="J27" s="8"/>
      <c r="T27" s="8" t="s">
        <v>23</v>
      </c>
      <c r="U27" s="13">
        <f>SUM(K26:U26)</f>
        <v>516.03</v>
      </c>
      <c r="AB27" s="8" t="s">
        <v>23</v>
      </c>
      <c r="AC27" s="13">
        <f>SUM(X26:AC26)</f>
        <v>0</v>
      </c>
      <c r="AJ27" s="8" t="s">
        <v>23</v>
      </c>
      <c r="AK27" s="13">
        <f>SUM(AF26:AK26)</f>
        <v>0</v>
      </c>
    </row>
    <row r="28" spans="1:37" ht="15.75" thickBot="1" x14ac:dyDescent="0.3">
      <c r="A28" s="19"/>
      <c r="B28" s="83" t="s">
        <v>24</v>
      </c>
      <c r="C28" s="83"/>
      <c r="D28" s="83"/>
      <c r="E28" s="83"/>
      <c r="F28" s="83"/>
      <c r="G28" s="83"/>
      <c r="H28" s="83"/>
      <c r="J28" s="84" t="s">
        <v>24</v>
      </c>
      <c r="K28" s="84"/>
      <c r="L28" s="84"/>
      <c r="M28" s="84"/>
      <c r="N28" s="84"/>
      <c r="O28" s="84"/>
      <c r="P28" s="84"/>
      <c r="Q28" s="84"/>
      <c r="R28" s="84"/>
      <c r="S28" s="84"/>
      <c r="T28" s="84"/>
      <c r="U28" s="84"/>
      <c r="W28" s="85" t="str">
        <f>J28</f>
        <v>Junho</v>
      </c>
      <c r="X28" s="85"/>
      <c r="Y28" s="85"/>
      <c r="Z28" s="85"/>
      <c r="AA28" s="85"/>
      <c r="AB28" s="85"/>
      <c r="AC28" s="85"/>
      <c r="AE28" s="86" t="str">
        <f>W28</f>
        <v>Junho</v>
      </c>
      <c r="AF28" s="86"/>
      <c r="AG28" s="86"/>
      <c r="AH28" s="86"/>
      <c r="AI28" s="86"/>
      <c r="AJ28" s="86"/>
      <c r="AK28" s="86"/>
    </row>
    <row r="29" spans="1:37" ht="15.75" thickBot="1" x14ac:dyDescent="0.3">
      <c r="A29" s="87" t="s">
        <v>5</v>
      </c>
      <c r="B29" s="34" t="s">
        <v>6</v>
      </c>
      <c r="C29" s="22" t="s">
        <v>7</v>
      </c>
      <c r="D29" s="33" t="s">
        <v>8</v>
      </c>
      <c r="E29" s="22" t="s">
        <v>9</v>
      </c>
      <c r="F29" s="24" t="s">
        <v>10</v>
      </c>
      <c r="G29" s="23" t="s">
        <v>11</v>
      </c>
      <c r="H29" s="25" t="s">
        <v>12</v>
      </c>
      <c r="J29" s="6" t="s">
        <v>4</v>
      </c>
      <c r="K29" s="9">
        <v>45811</v>
      </c>
      <c r="L29" s="66">
        <v>45814</v>
      </c>
      <c r="M29" s="66">
        <v>45818</v>
      </c>
      <c r="N29" s="66">
        <v>45821</v>
      </c>
      <c r="O29" s="66">
        <v>45825</v>
      </c>
      <c r="P29" s="66">
        <v>45828</v>
      </c>
      <c r="Q29" s="66">
        <v>45832</v>
      </c>
      <c r="R29" s="66">
        <v>45835</v>
      </c>
      <c r="S29" s="4"/>
      <c r="T29" s="4"/>
      <c r="U29" s="5"/>
      <c r="W29" s="6" t="s">
        <v>4</v>
      </c>
      <c r="X29" s="9"/>
      <c r="Y29" s="4"/>
      <c r="Z29" s="4"/>
      <c r="AA29" s="4"/>
      <c r="AB29" s="4"/>
      <c r="AC29" s="5"/>
      <c r="AE29" s="6" t="s">
        <v>4</v>
      </c>
      <c r="AF29" s="9"/>
      <c r="AG29" s="4"/>
      <c r="AH29" s="4"/>
      <c r="AI29" s="4"/>
      <c r="AJ29" s="4"/>
      <c r="AK29" s="5"/>
    </row>
    <row r="30" spans="1:37" ht="15.75" thickBot="1" x14ac:dyDescent="0.3">
      <c r="A30" s="87"/>
      <c r="B30" s="27">
        <v>15425</v>
      </c>
      <c r="C30" s="27">
        <v>16204</v>
      </c>
      <c r="D30" s="27">
        <v>16204</v>
      </c>
      <c r="E30" s="27">
        <v>17073</v>
      </c>
      <c r="F30" s="27">
        <f>SUM(C30-B30)</f>
        <v>779</v>
      </c>
      <c r="G30" s="20">
        <f>SUM(E30-D30)</f>
        <v>869</v>
      </c>
      <c r="H30" s="21">
        <f>SUM(F30:G30)</f>
        <v>1648</v>
      </c>
      <c r="J30" s="7" t="s">
        <v>22</v>
      </c>
      <c r="K30" s="10">
        <v>121.09</v>
      </c>
      <c r="L30" s="11">
        <v>92.93</v>
      </c>
      <c r="M30" s="11">
        <v>93.76</v>
      </c>
      <c r="N30" s="11">
        <v>102.4</v>
      </c>
      <c r="O30" s="11">
        <v>124.61</v>
      </c>
      <c r="P30" s="11">
        <v>119.68</v>
      </c>
      <c r="Q30" s="11">
        <v>122.5</v>
      </c>
      <c r="R30" s="11">
        <v>95.68</v>
      </c>
      <c r="S30" s="11"/>
      <c r="T30" s="11"/>
      <c r="U30" s="12"/>
      <c r="W30" s="7" t="s">
        <v>22</v>
      </c>
      <c r="X30" s="10"/>
      <c r="Y30" s="11"/>
      <c r="Z30" s="11"/>
      <c r="AA30" s="11"/>
      <c r="AB30" s="11"/>
      <c r="AC30" s="12"/>
      <c r="AE30" s="7" t="s">
        <v>22</v>
      </c>
      <c r="AF30" s="10"/>
      <c r="AG30" s="11"/>
      <c r="AH30" s="11"/>
      <c r="AI30" s="11"/>
      <c r="AJ30" s="11"/>
      <c r="AK30" s="12"/>
    </row>
    <row r="31" spans="1:37" x14ac:dyDescent="0.25">
      <c r="J31" s="8"/>
      <c r="T31" s="8" t="s">
        <v>23</v>
      </c>
      <c r="U31" s="13">
        <f>SUM(K30:U30)</f>
        <v>872.65000000000009</v>
      </c>
      <c r="AB31" s="8" t="s">
        <v>23</v>
      </c>
      <c r="AC31" s="13">
        <f>SUM(X30:AC30)</f>
        <v>0</v>
      </c>
      <c r="AJ31" s="8" t="s">
        <v>23</v>
      </c>
      <c r="AK31" s="13">
        <f>SUM(AF30:AK30)</f>
        <v>0</v>
      </c>
    </row>
    <row r="32" spans="1:37" ht="15.75" thickBot="1" x14ac:dyDescent="0.3">
      <c r="A32" s="19"/>
      <c r="B32" s="83" t="s">
        <v>16</v>
      </c>
      <c r="C32" s="83"/>
      <c r="D32" s="83"/>
      <c r="E32" s="83"/>
      <c r="F32" s="83"/>
      <c r="G32" s="83"/>
      <c r="H32" s="83"/>
      <c r="J32" s="84" t="s">
        <v>16</v>
      </c>
      <c r="K32" s="84"/>
      <c r="L32" s="84"/>
      <c r="M32" s="84"/>
      <c r="N32" s="84"/>
      <c r="O32" s="84"/>
      <c r="P32" s="84"/>
      <c r="Q32" s="84"/>
      <c r="R32" s="84"/>
      <c r="S32" s="84"/>
      <c r="T32" s="84"/>
      <c r="U32" s="84"/>
      <c r="W32" s="85" t="str">
        <f>J32</f>
        <v>Julho</v>
      </c>
      <c r="X32" s="85"/>
      <c r="Y32" s="85"/>
      <c r="Z32" s="85"/>
      <c r="AA32" s="85"/>
      <c r="AB32" s="85"/>
      <c r="AC32" s="85"/>
      <c r="AE32" s="86" t="str">
        <f>W32</f>
        <v>Julho</v>
      </c>
      <c r="AF32" s="86"/>
      <c r="AG32" s="86"/>
      <c r="AH32" s="86"/>
      <c r="AI32" s="86"/>
      <c r="AJ32" s="86"/>
      <c r="AK32" s="86"/>
    </row>
    <row r="33" spans="1:37" ht="15.75" thickBot="1" x14ac:dyDescent="0.3">
      <c r="A33" s="87" t="s">
        <v>5</v>
      </c>
      <c r="B33" s="34" t="s">
        <v>6</v>
      </c>
      <c r="C33" s="22" t="s">
        <v>7</v>
      </c>
      <c r="D33" s="33" t="s">
        <v>8</v>
      </c>
      <c r="E33" s="22" t="s">
        <v>9</v>
      </c>
      <c r="F33" s="24" t="s">
        <v>10</v>
      </c>
      <c r="G33" s="23" t="s">
        <v>11</v>
      </c>
      <c r="H33" s="25" t="s">
        <v>12</v>
      </c>
      <c r="J33" s="6" t="s">
        <v>4</v>
      </c>
      <c r="K33" s="9">
        <v>45839</v>
      </c>
      <c r="L33" s="66">
        <v>45842</v>
      </c>
      <c r="M33" s="66">
        <v>45846</v>
      </c>
      <c r="N33" s="66">
        <v>45853</v>
      </c>
      <c r="O33" s="66">
        <v>45856</v>
      </c>
      <c r="P33" s="66">
        <v>45860</v>
      </c>
      <c r="Q33" s="66">
        <v>45863</v>
      </c>
      <c r="R33" s="66">
        <v>45867</v>
      </c>
      <c r="S33" s="4"/>
      <c r="T33" s="4"/>
      <c r="U33" s="5"/>
      <c r="W33" s="6" t="s">
        <v>4</v>
      </c>
      <c r="X33" s="9"/>
      <c r="Y33" s="4"/>
      <c r="Z33" s="4"/>
      <c r="AA33" s="4"/>
      <c r="AB33" s="4"/>
      <c r="AC33" s="5"/>
      <c r="AE33" s="6" t="s">
        <v>4</v>
      </c>
      <c r="AF33" s="9"/>
      <c r="AG33" s="4"/>
      <c r="AH33" s="4"/>
      <c r="AI33" s="4"/>
      <c r="AJ33" s="4"/>
      <c r="AK33" s="5"/>
    </row>
    <row r="34" spans="1:37" ht="15.75" thickBot="1" x14ac:dyDescent="0.3">
      <c r="A34" s="87"/>
      <c r="B34" s="27">
        <v>17073</v>
      </c>
      <c r="C34" s="27">
        <v>17949</v>
      </c>
      <c r="D34" s="27">
        <v>17949</v>
      </c>
      <c r="E34" s="27">
        <v>18894</v>
      </c>
      <c r="F34" s="27">
        <f>SUM(C34-B34)</f>
        <v>876</v>
      </c>
      <c r="G34" s="20">
        <f>SUM(E34-D34)</f>
        <v>945</v>
      </c>
      <c r="H34" s="21">
        <f>SUM(F34:G34)</f>
        <v>1821</v>
      </c>
      <c r="J34" s="7" t="s">
        <v>22</v>
      </c>
      <c r="K34" s="10">
        <v>88.06</v>
      </c>
      <c r="L34" s="11">
        <v>106.3</v>
      </c>
      <c r="M34" s="11">
        <v>118.91</v>
      </c>
      <c r="N34" s="11">
        <v>112.26</v>
      </c>
      <c r="O34" s="11">
        <v>131.5</v>
      </c>
      <c r="P34" s="11">
        <v>130.05000000000001</v>
      </c>
      <c r="Q34" s="11">
        <v>112.45</v>
      </c>
      <c r="R34" s="11">
        <v>90.87</v>
      </c>
      <c r="S34" s="11"/>
      <c r="T34" s="11"/>
      <c r="U34" s="12"/>
      <c r="W34" s="7" t="s">
        <v>22</v>
      </c>
      <c r="X34" s="10"/>
      <c r="Y34" s="11"/>
      <c r="Z34" s="11"/>
      <c r="AA34" s="11"/>
      <c r="AB34" s="11"/>
      <c r="AC34" s="12"/>
      <c r="AE34" s="7" t="s">
        <v>22</v>
      </c>
      <c r="AF34" s="10"/>
      <c r="AG34" s="11"/>
      <c r="AH34" s="11"/>
      <c r="AI34" s="11"/>
      <c r="AJ34" s="11"/>
      <c r="AK34" s="12"/>
    </row>
    <row r="35" spans="1:37" x14ac:dyDescent="0.25">
      <c r="J35" s="8"/>
      <c r="T35" s="8" t="s">
        <v>23</v>
      </c>
      <c r="U35" s="13">
        <f>SUM(K34:U34)</f>
        <v>890.4</v>
      </c>
      <c r="AB35" s="8" t="s">
        <v>23</v>
      </c>
      <c r="AC35" s="13">
        <f>SUM(X34:AC34)</f>
        <v>0</v>
      </c>
      <c r="AJ35" s="8" t="s">
        <v>23</v>
      </c>
      <c r="AK35" s="13">
        <f>SUM(AF34:AK34)</f>
        <v>0</v>
      </c>
    </row>
    <row r="36" spans="1:37" ht="15.75" thickBot="1" x14ac:dyDescent="0.3">
      <c r="A36" s="19"/>
      <c r="B36" s="83" t="s">
        <v>17</v>
      </c>
      <c r="C36" s="83"/>
      <c r="D36" s="83"/>
      <c r="E36" s="83"/>
      <c r="F36" s="83"/>
      <c r="G36" s="83"/>
      <c r="H36" s="83"/>
      <c r="J36" s="84" t="s">
        <v>17</v>
      </c>
      <c r="K36" s="84"/>
      <c r="L36" s="84"/>
      <c r="M36" s="84"/>
      <c r="N36" s="84"/>
      <c r="O36" s="84"/>
      <c r="P36" s="84"/>
      <c r="Q36" s="84"/>
      <c r="R36" s="84"/>
      <c r="S36" s="84"/>
      <c r="T36" s="84"/>
      <c r="U36" s="84"/>
      <c r="W36" s="85" t="str">
        <f>J36</f>
        <v>Agosto</v>
      </c>
      <c r="X36" s="85"/>
      <c r="Y36" s="85"/>
      <c r="Z36" s="85"/>
      <c r="AA36" s="85"/>
      <c r="AB36" s="85"/>
      <c r="AC36" s="85"/>
      <c r="AE36" s="86" t="str">
        <f>W36</f>
        <v>Agosto</v>
      </c>
      <c r="AF36" s="86"/>
      <c r="AG36" s="86"/>
      <c r="AH36" s="86"/>
      <c r="AI36" s="86"/>
      <c r="AJ36" s="86"/>
      <c r="AK36" s="86"/>
    </row>
    <row r="37" spans="1:37" ht="15.75" thickBot="1" x14ac:dyDescent="0.3">
      <c r="A37" s="87" t="s">
        <v>5</v>
      </c>
      <c r="B37" s="34" t="s">
        <v>6</v>
      </c>
      <c r="C37" s="22" t="s">
        <v>7</v>
      </c>
      <c r="D37" s="33" t="s">
        <v>8</v>
      </c>
      <c r="E37" s="22" t="s">
        <v>9</v>
      </c>
      <c r="F37" s="24" t="s">
        <v>10</v>
      </c>
      <c r="G37" s="23" t="s">
        <v>11</v>
      </c>
      <c r="H37" s="25" t="s">
        <v>12</v>
      </c>
      <c r="J37" s="6" t="s">
        <v>4</v>
      </c>
      <c r="K37" s="9">
        <v>45874</v>
      </c>
      <c r="L37" s="66">
        <v>45877</v>
      </c>
      <c r="M37" s="66">
        <v>45898</v>
      </c>
      <c r="N37" s="4"/>
      <c r="O37" s="4"/>
      <c r="P37" s="4"/>
      <c r="Q37" s="4"/>
      <c r="R37" s="4"/>
      <c r="S37" s="4"/>
      <c r="T37" s="4"/>
      <c r="U37" s="5"/>
      <c r="W37" s="6" t="s">
        <v>4</v>
      </c>
      <c r="X37" s="9"/>
      <c r="Y37" s="4"/>
      <c r="Z37" s="4"/>
      <c r="AA37" s="4"/>
      <c r="AB37" s="4"/>
      <c r="AC37" s="5"/>
      <c r="AE37" s="6" t="s">
        <v>4</v>
      </c>
      <c r="AF37" s="9"/>
      <c r="AG37" s="4"/>
      <c r="AH37" s="4"/>
      <c r="AI37" s="4"/>
      <c r="AJ37" s="4"/>
      <c r="AK37" s="5"/>
    </row>
    <row r="38" spans="1:37" ht="15.75" thickBot="1" x14ac:dyDescent="0.3">
      <c r="A38" s="87"/>
      <c r="B38" s="27">
        <v>18894</v>
      </c>
      <c r="C38" s="27">
        <v>19550</v>
      </c>
      <c r="D38" s="27">
        <v>19550</v>
      </c>
      <c r="E38" s="27">
        <v>19858</v>
      </c>
      <c r="F38" s="27">
        <f>SUM(C38-B38)</f>
        <v>656</v>
      </c>
      <c r="G38" s="20">
        <f>SUM(E38-D38)</f>
        <v>308</v>
      </c>
      <c r="H38" s="21">
        <f>SUM(F38:G38)</f>
        <v>964</v>
      </c>
      <c r="J38" s="7" t="s">
        <v>22</v>
      </c>
      <c r="K38" s="10">
        <v>235.33</v>
      </c>
      <c r="L38" s="11">
        <v>129.02000000000001</v>
      </c>
      <c r="M38" s="11">
        <v>237.25</v>
      </c>
      <c r="N38" s="11"/>
      <c r="O38" s="11"/>
      <c r="P38" s="11"/>
      <c r="Q38" s="11"/>
      <c r="R38" s="11"/>
      <c r="S38" s="11"/>
      <c r="T38" s="11"/>
      <c r="U38" s="12"/>
      <c r="W38" s="7" t="s">
        <v>22</v>
      </c>
      <c r="X38" s="10"/>
      <c r="Y38" s="11"/>
      <c r="Z38" s="11"/>
      <c r="AA38" s="11"/>
      <c r="AB38" s="11"/>
      <c r="AC38" s="12"/>
      <c r="AE38" s="7" t="s">
        <v>22</v>
      </c>
      <c r="AF38" s="10"/>
      <c r="AG38" s="11"/>
      <c r="AH38" s="11"/>
      <c r="AI38" s="11"/>
      <c r="AJ38" s="11"/>
      <c r="AK38" s="12"/>
    </row>
    <row r="39" spans="1:37" x14ac:dyDescent="0.25">
      <c r="J39" s="8"/>
      <c r="T39" s="8" t="s">
        <v>23</v>
      </c>
      <c r="U39" s="13">
        <f>SUM(K38:U38)</f>
        <v>601.6</v>
      </c>
      <c r="AB39" s="8" t="s">
        <v>23</v>
      </c>
      <c r="AC39" s="13">
        <f>SUM(X38:AC38)</f>
        <v>0</v>
      </c>
      <c r="AJ39" s="8" t="s">
        <v>23</v>
      </c>
      <c r="AK39" s="13">
        <f>SUM(AF38:AK38)</f>
        <v>0</v>
      </c>
    </row>
    <row r="40" spans="1:37" ht="15.75" thickBot="1" x14ac:dyDescent="0.3">
      <c r="A40" s="19"/>
      <c r="B40" s="83" t="s">
        <v>18</v>
      </c>
      <c r="C40" s="83"/>
      <c r="D40" s="83"/>
      <c r="E40" s="83"/>
      <c r="F40" s="83"/>
      <c r="G40" s="83"/>
      <c r="H40" s="83"/>
      <c r="J40" s="84" t="s">
        <v>18</v>
      </c>
      <c r="K40" s="84"/>
      <c r="L40" s="84"/>
      <c r="M40" s="84"/>
      <c r="N40" s="84"/>
      <c r="O40" s="84"/>
      <c r="P40" s="84"/>
      <c r="Q40" s="84"/>
      <c r="R40" s="84"/>
      <c r="S40" s="84"/>
      <c r="T40" s="84"/>
      <c r="U40" s="84"/>
      <c r="W40" s="85" t="str">
        <f>J40</f>
        <v>Setembro</v>
      </c>
      <c r="X40" s="85"/>
      <c r="Y40" s="85"/>
      <c r="Z40" s="85"/>
      <c r="AA40" s="85"/>
      <c r="AB40" s="85"/>
      <c r="AC40" s="85"/>
      <c r="AE40" s="86" t="str">
        <f>W40</f>
        <v>Setembro</v>
      </c>
      <c r="AF40" s="86"/>
      <c r="AG40" s="86"/>
      <c r="AH40" s="86"/>
      <c r="AI40" s="86"/>
      <c r="AJ40" s="86"/>
      <c r="AK40" s="86"/>
    </row>
    <row r="41" spans="1:37" ht="15.75" thickBot="1" x14ac:dyDescent="0.3">
      <c r="A41" s="87" t="s">
        <v>5</v>
      </c>
      <c r="B41" s="34" t="s">
        <v>6</v>
      </c>
      <c r="C41" s="22" t="s">
        <v>7</v>
      </c>
      <c r="D41" s="33" t="s">
        <v>8</v>
      </c>
      <c r="E41" s="22" t="s">
        <v>9</v>
      </c>
      <c r="F41" s="24" t="s">
        <v>10</v>
      </c>
      <c r="G41" s="23" t="s">
        <v>11</v>
      </c>
      <c r="H41" s="25" t="s">
        <v>12</v>
      </c>
      <c r="J41" s="6" t="s">
        <v>4</v>
      </c>
      <c r="K41" s="9">
        <v>45902</v>
      </c>
      <c r="L41" s="66">
        <v>45905</v>
      </c>
      <c r="M41" s="66">
        <v>45909</v>
      </c>
      <c r="N41" s="66">
        <v>45912</v>
      </c>
      <c r="O41" s="66">
        <v>45916</v>
      </c>
      <c r="P41" s="66">
        <v>45919</v>
      </c>
      <c r="Q41" s="4"/>
      <c r="R41" s="4"/>
      <c r="S41" s="4"/>
      <c r="T41" s="4"/>
      <c r="U41" s="5"/>
      <c r="W41" s="6" t="s">
        <v>4</v>
      </c>
      <c r="X41" s="9"/>
      <c r="Y41" s="4"/>
      <c r="Z41" s="4"/>
      <c r="AA41" s="4"/>
      <c r="AB41" s="4"/>
      <c r="AC41" s="5"/>
      <c r="AE41" s="6" t="s">
        <v>4</v>
      </c>
      <c r="AF41" s="9"/>
      <c r="AG41" s="4"/>
      <c r="AH41" s="4"/>
      <c r="AI41" s="4"/>
      <c r="AJ41" s="4"/>
      <c r="AK41" s="5"/>
    </row>
    <row r="42" spans="1:37" ht="15.75" thickBot="1" x14ac:dyDescent="0.3">
      <c r="A42" s="87"/>
      <c r="B42" s="27">
        <v>19858</v>
      </c>
      <c r="C42" s="27">
        <v>20851</v>
      </c>
      <c r="D42" s="27">
        <v>20851</v>
      </c>
      <c r="E42" s="27">
        <v>21797</v>
      </c>
      <c r="F42" s="27">
        <f>SUM(C42-B42)</f>
        <v>993</v>
      </c>
      <c r="G42" s="20">
        <f>SUM(E42-D42)</f>
        <v>946</v>
      </c>
      <c r="H42" s="21">
        <f>SUM(F42:G42)</f>
        <v>1939</v>
      </c>
      <c r="J42" s="7" t="s">
        <v>22</v>
      </c>
      <c r="K42" s="10">
        <v>128</v>
      </c>
      <c r="L42" s="11">
        <v>151.16999999999999</v>
      </c>
      <c r="M42" s="11">
        <v>157.57</v>
      </c>
      <c r="N42" s="11">
        <v>121.6</v>
      </c>
      <c r="O42" s="11">
        <v>132.35</v>
      </c>
      <c r="P42" s="11">
        <v>156.19999999999999</v>
      </c>
      <c r="Q42" s="11"/>
      <c r="R42" s="11"/>
      <c r="S42" s="11"/>
      <c r="T42" s="11"/>
      <c r="U42" s="12"/>
      <c r="W42" s="7" t="s">
        <v>22</v>
      </c>
      <c r="X42" s="10"/>
      <c r="Y42" s="11"/>
      <c r="Z42" s="11"/>
      <c r="AA42" s="11"/>
      <c r="AB42" s="11"/>
      <c r="AC42" s="12"/>
      <c r="AE42" s="7" t="s">
        <v>22</v>
      </c>
      <c r="AF42" s="10"/>
      <c r="AG42" s="11"/>
      <c r="AH42" s="11"/>
      <c r="AI42" s="11"/>
      <c r="AJ42" s="11"/>
      <c r="AK42" s="12"/>
    </row>
    <row r="43" spans="1:37" x14ac:dyDescent="0.25">
      <c r="J43" s="8"/>
      <c r="T43" s="8" t="s">
        <v>23</v>
      </c>
      <c r="U43" s="13">
        <f>SUM(K42:U42)</f>
        <v>846.88999999999987</v>
      </c>
      <c r="AB43" s="8" t="s">
        <v>23</v>
      </c>
      <c r="AC43" s="13">
        <f>SUM(X42:AC42)</f>
        <v>0</v>
      </c>
      <c r="AJ43" s="8" t="s">
        <v>23</v>
      </c>
      <c r="AK43" s="13">
        <f>SUM(AF42:AK42)</f>
        <v>0</v>
      </c>
    </row>
    <row r="44" spans="1:37" ht="15.75" thickBot="1" x14ac:dyDescent="0.3">
      <c r="A44" s="19"/>
      <c r="B44" s="83" t="s">
        <v>19</v>
      </c>
      <c r="C44" s="83"/>
      <c r="D44" s="83"/>
      <c r="E44" s="83"/>
      <c r="F44" s="83"/>
      <c r="G44" s="83"/>
      <c r="H44" s="83"/>
      <c r="J44" s="84" t="s">
        <v>19</v>
      </c>
      <c r="K44" s="84"/>
      <c r="L44" s="84"/>
      <c r="M44" s="84"/>
      <c r="N44" s="84"/>
      <c r="O44" s="84"/>
      <c r="P44" s="84"/>
      <c r="Q44" s="84"/>
      <c r="R44" s="84"/>
      <c r="S44" s="84"/>
      <c r="T44" s="84"/>
      <c r="U44" s="84"/>
      <c r="W44" s="85" t="str">
        <f>J44</f>
        <v>Outubro</v>
      </c>
      <c r="X44" s="85"/>
      <c r="Y44" s="85"/>
      <c r="Z44" s="85"/>
      <c r="AA44" s="85"/>
      <c r="AB44" s="85"/>
      <c r="AC44" s="85"/>
      <c r="AE44" s="86" t="str">
        <f>W44</f>
        <v>Outubro</v>
      </c>
      <c r="AF44" s="86"/>
      <c r="AG44" s="86"/>
      <c r="AH44" s="86"/>
      <c r="AI44" s="86"/>
      <c r="AJ44" s="86"/>
      <c r="AK44" s="86"/>
    </row>
    <row r="45" spans="1:37" ht="15.75" thickBot="1" x14ac:dyDescent="0.3">
      <c r="A45" s="87" t="s">
        <v>5</v>
      </c>
      <c r="B45" s="34" t="s">
        <v>6</v>
      </c>
      <c r="C45" s="22" t="s">
        <v>7</v>
      </c>
      <c r="D45" s="33" t="s">
        <v>8</v>
      </c>
      <c r="E45" s="22" t="s">
        <v>9</v>
      </c>
      <c r="F45" s="24" t="s">
        <v>10</v>
      </c>
      <c r="G45" s="23" t="s">
        <v>11</v>
      </c>
      <c r="H45" s="25" t="s">
        <v>12</v>
      </c>
      <c r="J45" s="6" t="s">
        <v>4</v>
      </c>
      <c r="K45" s="9">
        <v>45933</v>
      </c>
      <c r="L45" s="66">
        <v>45937</v>
      </c>
      <c r="M45" s="66">
        <v>45940</v>
      </c>
      <c r="N45" s="66">
        <v>45947</v>
      </c>
      <c r="O45" s="66">
        <v>45951</v>
      </c>
      <c r="P45" s="66">
        <v>45954</v>
      </c>
      <c r="Q45" s="66">
        <v>45958</v>
      </c>
      <c r="R45" s="66">
        <v>45961</v>
      </c>
      <c r="S45" s="4"/>
      <c r="T45" s="4"/>
      <c r="U45" s="5"/>
      <c r="W45" s="6" t="s">
        <v>4</v>
      </c>
      <c r="X45" s="9"/>
      <c r="Y45" s="4"/>
      <c r="Z45" s="4"/>
      <c r="AA45" s="4"/>
      <c r="AB45" s="4"/>
      <c r="AC45" s="5"/>
      <c r="AE45" s="6" t="s">
        <v>4</v>
      </c>
      <c r="AF45" s="9"/>
      <c r="AG45" s="4"/>
      <c r="AH45" s="4"/>
      <c r="AI45" s="4"/>
      <c r="AJ45" s="4"/>
      <c r="AK45" s="5"/>
    </row>
    <row r="46" spans="1:37" ht="15.75" thickBot="1" x14ac:dyDescent="0.3">
      <c r="A46" s="87"/>
      <c r="B46" s="27">
        <v>21797</v>
      </c>
      <c r="C46" s="27">
        <v>22704</v>
      </c>
      <c r="D46" s="27">
        <v>22704</v>
      </c>
      <c r="E46" s="27">
        <v>23819</v>
      </c>
      <c r="F46" s="27">
        <f>SUM(C46-B46)</f>
        <v>907</v>
      </c>
      <c r="G46" s="20">
        <f>SUM(E46-D46)</f>
        <v>1115</v>
      </c>
      <c r="H46" s="21">
        <f>SUM(F46:G46)</f>
        <v>2022</v>
      </c>
      <c r="J46" s="7" t="s">
        <v>22</v>
      </c>
      <c r="K46" s="10">
        <v>249.79</v>
      </c>
      <c r="L46" s="11">
        <v>191.85</v>
      </c>
      <c r="M46" s="11">
        <v>148.47</v>
      </c>
      <c r="N46" s="11">
        <v>232.51</v>
      </c>
      <c r="O46" s="11">
        <v>158.80000000000001</v>
      </c>
      <c r="P46" s="11">
        <v>113.75</v>
      </c>
      <c r="Q46" s="11">
        <v>180.38</v>
      </c>
      <c r="R46" s="11">
        <v>161.4</v>
      </c>
      <c r="S46" s="11"/>
      <c r="T46" s="11"/>
      <c r="U46" s="12"/>
      <c r="W46" s="7" t="s">
        <v>22</v>
      </c>
      <c r="X46" s="10"/>
      <c r="Y46" s="11"/>
      <c r="Z46" s="11"/>
      <c r="AA46" s="11"/>
      <c r="AB46" s="11"/>
      <c r="AC46" s="12"/>
      <c r="AE46" s="7" t="s">
        <v>22</v>
      </c>
      <c r="AF46" s="10"/>
      <c r="AG46" s="11"/>
      <c r="AH46" s="11"/>
      <c r="AI46" s="11"/>
      <c r="AJ46" s="11"/>
      <c r="AK46" s="12"/>
    </row>
    <row r="47" spans="1:37" x14ac:dyDescent="0.25">
      <c r="J47" s="8"/>
      <c r="T47" s="8" t="s">
        <v>23</v>
      </c>
      <c r="U47" s="13">
        <f>SUM(K46:U46)</f>
        <v>1436.9500000000003</v>
      </c>
      <c r="AB47" s="8" t="s">
        <v>23</v>
      </c>
      <c r="AC47" s="13">
        <f>SUM(X46:AC46)</f>
        <v>0</v>
      </c>
      <c r="AJ47" s="8" t="s">
        <v>23</v>
      </c>
      <c r="AK47" s="13">
        <f>SUM(AF46:AK46)</f>
        <v>0</v>
      </c>
    </row>
    <row r="48" spans="1:37" ht="15.75" thickBot="1" x14ac:dyDescent="0.3">
      <c r="A48" s="19"/>
      <c r="B48" s="83" t="s">
        <v>20</v>
      </c>
      <c r="C48" s="83"/>
      <c r="D48" s="83"/>
      <c r="E48" s="83"/>
      <c r="F48" s="83"/>
      <c r="G48" s="83"/>
      <c r="H48" s="83"/>
      <c r="J48" s="84" t="s">
        <v>20</v>
      </c>
      <c r="K48" s="84"/>
      <c r="L48" s="84"/>
      <c r="M48" s="84"/>
      <c r="N48" s="84"/>
      <c r="O48" s="84"/>
      <c r="P48" s="84"/>
      <c r="Q48" s="84"/>
      <c r="R48" s="84"/>
      <c r="S48" s="84"/>
      <c r="T48" s="84"/>
      <c r="U48" s="84"/>
      <c r="W48" s="85" t="str">
        <f>J48</f>
        <v>Novembro</v>
      </c>
      <c r="X48" s="85"/>
      <c r="Y48" s="85"/>
      <c r="Z48" s="85"/>
      <c r="AA48" s="85"/>
      <c r="AB48" s="85"/>
      <c r="AC48" s="85"/>
      <c r="AE48" s="86" t="str">
        <f>W48</f>
        <v>Novembro</v>
      </c>
      <c r="AF48" s="86"/>
      <c r="AG48" s="86"/>
      <c r="AH48" s="86"/>
      <c r="AI48" s="86"/>
      <c r="AJ48" s="86"/>
      <c r="AK48" s="86"/>
    </row>
    <row r="49" spans="1:37" ht="15.75" thickBot="1" x14ac:dyDescent="0.3">
      <c r="A49" s="87" t="s">
        <v>5</v>
      </c>
      <c r="B49" s="34" t="s">
        <v>6</v>
      </c>
      <c r="C49" s="22" t="s">
        <v>7</v>
      </c>
      <c r="D49" s="33" t="s">
        <v>8</v>
      </c>
      <c r="E49" s="22" t="s">
        <v>9</v>
      </c>
      <c r="F49" s="24" t="s">
        <v>10</v>
      </c>
      <c r="G49" s="23" t="s">
        <v>11</v>
      </c>
      <c r="H49" s="25" t="s">
        <v>12</v>
      </c>
      <c r="J49" s="6" t="s">
        <v>4</v>
      </c>
      <c r="K49" s="9">
        <v>45968</v>
      </c>
      <c r="L49" s="66">
        <v>45972</v>
      </c>
      <c r="M49" s="66">
        <v>45975</v>
      </c>
      <c r="N49" s="66">
        <v>45979</v>
      </c>
      <c r="O49" s="66">
        <v>45982</v>
      </c>
      <c r="P49" s="66">
        <v>45989</v>
      </c>
      <c r="Q49" s="4"/>
      <c r="R49" s="4"/>
      <c r="S49" s="4"/>
      <c r="T49" s="4"/>
      <c r="U49" s="5"/>
      <c r="W49" s="6" t="s">
        <v>4</v>
      </c>
      <c r="X49" s="9"/>
      <c r="Y49" s="4"/>
      <c r="Z49" s="4"/>
      <c r="AA49" s="4"/>
      <c r="AB49" s="4"/>
      <c r="AC49" s="5"/>
      <c r="AE49" s="6" t="s">
        <v>4</v>
      </c>
      <c r="AF49" s="9"/>
      <c r="AG49" s="4"/>
      <c r="AH49" s="4"/>
      <c r="AI49" s="4"/>
      <c r="AJ49" s="4"/>
      <c r="AK49" s="5"/>
    </row>
    <row r="50" spans="1:37" ht="15.75" thickBot="1" x14ac:dyDescent="0.3">
      <c r="A50" s="87"/>
      <c r="B50" s="27">
        <v>23819</v>
      </c>
      <c r="C50" s="27">
        <v>24790</v>
      </c>
      <c r="D50" s="27">
        <v>24790</v>
      </c>
      <c r="E50" s="27">
        <v>25667</v>
      </c>
      <c r="F50" s="27">
        <f>SUM(C50-B50)</f>
        <v>971</v>
      </c>
      <c r="G50" s="20">
        <f>SUM(E50-D50)</f>
        <v>877</v>
      </c>
      <c r="H50" s="21">
        <f>SUM(F50:G50)</f>
        <v>1848</v>
      </c>
      <c r="J50" s="7" t="s">
        <v>22</v>
      </c>
      <c r="K50" s="10">
        <v>254.46</v>
      </c>
      <c r="L50" s="11">
        <v>160.44999999999999</v>
      </c>
      <c r="M50" s="11">
        <v>125.51</v>
      </c>
      <c r="N50" s="11">
        <v>131.79</v>
      </c>
      <c r="O50" s="11">
        <v>100.26</v>
      </c>
      <c r="P50" s="11">
        <v>230.27</v>
      </c>
      <c r="Q50" s="11"/>
      <c r="R50" s="11"/>
      <c r="S50" s="11"/>
      <c r="T50" s="11"/>
      <c r="U50" s="12"/>
      <c r="W50" s="7" t="s">
        <v>22</v>
      </c>
      <c r="X50" s="10"/>
      <c r="Y50" s="11"/>
      <c r="Z50" s="11"/>
      <c r="AA50" s="11"/>
      <c r="AB50" s="11"/>
      <c r="AC50" s="12"/>
      <c r="AE50" s="7" t="s">
        <v>22</v>
      </c>
      <c r="AF50" s="10"/>
      <c r="AG50" s="11"/>
      <c r="AH50" s="11"/>
      <c r="AI50" s="11"/>
      <c r="AJ50" s="11"/>
      <c r="AK50" s="12"/>
    </row>
    <row r="51" spans="1:37" x14ac:dyDescent="0.25">
      <c r="J51" s="8"/>
      <c r="T51" s="8" t="s">
        <v>23</v>
      </c>
      <c r="U51" s="13">
        <f>SUM(K50:U50)</f>
        <v>1002.7399999999999</v>
      </c>
      <c r="AB51" s="8" t="s">
        <v>23</v>
      </c>
      <c r="AC51" s="13">
        <f>SUM(X50:AC50)</f>
        <v>0</v>
      </c>
      <c r="AJ51" s="8" t="s">
        <v>23</v>
      </c>
      <c r="AK51" s="13">
        <f>SUM(AF50:AK50)</f>
        <v>0</v>
      </c>
    </row>
    <row r="52" spans="1:37" ht="15.75" thickBot="1" x14ac:dyDescent="0.3">
      <c r="A52" s="19"/>
      <c r="B52" s="83" t="s">
        <v>21</v>
      </c>
      <c r="C52" s="83"/>
      <c r="D52" s="83"/>
      <c r="E52" s="83"/>
      <c r="F52" s="83"/>
      <c r="G52" s="83"/>
      <c r="H52" s="83"/>
      <c r="J52" s="84" t="s">
        <v>21</v>
      </c>
      <c r="K52" s="84"/>
      <c r="L52" s="84"/>
      <c r="M52" s="84"/>
      <c r="N52" s="84"/>
      <c r="O52" s="84"/>
      <c r="P52" s="84"/>
      <c r="Q52" s="84"/>
      <c r="R52" s="84"/>
      <c r="S52" s="84"/>
      <c r="T52" s="84"/>
      <c r="U52" s="84"/>
      <c r="W52" s="85" t="str">
        <f>J52</f>
        <v>Dezembro</v>
      </c>
      <c r="X52" s="85"/>
      <c r="Y52" s="85"/>
      <c r="Z52" s="85"/>
      <c r="AA52" s="85"/>
      <c r="AB52" s="85"/>
      <c r="AC52" s="85"/>
      <c r="AE52" s="86" t="str">
        <f>W52</f>
        <v>Dezembro</v>
      </c>
      <c r="AF52" s="86"/>
      <c r="AG52" s="86"/>
      <c r="AH52" s="86"/>
      <c r="AI52" s="86"/>
      <c r="AJ52" s="86"/>
      <c r="AK52" s="86"/>
    </row>
    <row r="53" spans="1:37" ht="15.75" thickBot="1" x14ac:dyDescent="0.3">
      <c r="A53" s="87" t="s">
        <v>5</v>
      </c>
      <c r="B53" s="34" t="s">
        <v>6</v>
      </c>
      <c r="C53" s="22" t="s">
        <v>7</v>
      </c>
      <c r="D53" s="33" t="s">
        <v>8</v>
      </c>
      <c r="E53" s="22" t="s">
        <v>9</v>
      </c>
      <c r="F53" s="24" t="s">
        <v>10</v>
      </c>
      <c r="G53" s="23" t="s">
        <v>11</v>
      </c>
      <c r="H53" s="25" t="s">
        <v>12</v>
      </c>
      <c r="J53" s="6" t="s">
        <v>4</v>
      </c>
      <c r="K53" s="9">
        <v>45996</v>
      </c>
      <c r="L53" s="66">
        <v>46000</v>
      </c>
      <c r="M53" s="66">
        <v>46003</v>
      </c>
      <c r="N53" s="4"/>
      <c r="O53" s="4"/>
      <c r="P53" s="4"/>
      <c r="Q53" s="4"/>
      <c r="R53" s="4"/>
      <c r="S53" s="4"/>
      <c r="T53" s="4"/>
      <c r="U53" s="5"/>
      <c r="W53" s="6" t="s">
        <v>4</v>
      </c>
      <c r="X53" s="9"/>
      <c r="Y53" s="4"/>
      <c r="Z53" s="4"/>
      <c r="AA53" s="4"/>
      <c r="AB53" s="4"/>
      <c r="AC53" s="5"/>
      <c r="AE53" s="6" t="s">
        <v>4</v>
      </c>
      <c r="AF53" s="9"/>
      <c r="AG53" s="4"/>
      <c r="AH53" s="4"/>
      <c r="AI53" s="4"/>
      <c r="AJ53" s="4"/>
      <c r="AK53" s="5"/>
    </row>
    <row r="54" spans="1:37" ht="15.75" thickBot="1" x14ac:dyDescent="0.3">
      <c r="A54" s="87"/>
      <c r="B54" s="27">
        <v>25667</v>
      </c>
      <c r="C54" s="27">
        <v>26705</v>
      </c>
      <c r="D54" s="27">
        <v>26705</v>
      </c>
      <c r="E54" s="27">
        <v>26763</v>
      </c>
      <c r="F54" s="27">
        <f>SUM(C54-B54)</f>
        <v>1038</v>
      </c>
      <c r="G54" s="20">
        <f>SUM(E54-D54)</f>
        <v>58</v>
      </c>
      <c r="H54" s="21">
        <f>SUM(F54:G54)</f>
        <v>1096</v>
      </c>
      <c r="J54" s="7" t="s">
        <v>22</v>
      </c>
      <c r="K54" s="10">
        <v>164.84</v>
      </c>
      <c r="L54" s="11">
        <v>114.03</v>
      </c>
      <c r="M54" s="11">
        <v>166.24</v>
      </c>
      <c r="N54" s="11"/>
      <c r="O54" s="11"/>
      <c r="P54" s="11"/>
      <c r="Q54" s="11"/>
      <c r="R54" s="11"/>
      <c r="S54" s="11"/>
      <c r="T54" s="11"/>
      <c r="U54" s="12"/>
      <c r="W54" s="7" t="s">
        <v>22</v>
      </c>
      <c r="X54" s="10"/>
      <c r="Y54" s="11"/>
      <c r="Z54" s="11"/>
      <c r="AA54" s="11"/>
      <c r="AB54" s="11"/>
      <c r="AC54" s="12"/>
      <c r="AE54" s="7" t="s">
        <v>22</v>
      </c>
      <c r="AF54" s="10"/>
      <c r="AG54" s="11"/>
      <c r="AH54" s="11"/>
      <c r="AI54" s="11"/>
      <c r="AJ54" s="11"/>
      <c r="AK54" s="12"/>
    </row>
    <row r="55" spans="1:37" x14ac:dyDescent="0.25">
      <c r="J55" s="8"/>
      <c r="T55" s="8" t="s">
        <v>23</v>
      </c>
      <c r="U55" s="13">
        <f>SUM(K54:U54)</f>
        <v>445.11</v>
      </c>
      <c r="AB55" s="8" t="s">
        <v>23</v>
      </c>
      <c r="AC55" s="13">
        <f>SUM(X54:AC54)</f>
        <v>0</v>
      </c>
      <c r="AJ55" s="8" t="s">
        <v>23</v>
      </c>
      <c r="AK55" s="13">
        <f>SUM(AF54:AK54)</f>
        <v>0</v>
      </c>
    </row>
    <row r="56" spans="1:37" ht="15.75" thickBot="1" x14ac:dyDescent="0.3">
      <c r="A56" s="19">
        <v>2026</v>
      </c>
      <c r="B56" s="83" t="s">
        <v>83</v>
      </c>
      <c r="C56" s="83"/>
      <c r="D56" s="83"/>
      <c r="E56" s="83"/>
      <c r="F56" s="83"/>
      <c r="G56" s="83"/>
      <c r="H56" s="83"/>
      <c r="J56" s="84" t="s">
        <v>83</v>
      </c>
      <c r="K56" s="84"/>
      <c r="L56" s="84"/>
      <c r="M56" s="84"/>
      <c r="N56" s="84"/>
      <c r="O56" s="84"/>
      <c r="P56" s="84"/>
      <c r="Q56" s="84"/>
      <c r="R56" s="84"/>
      <c r="S56" s="84"/>
      <c r="T56" s="84"/>
      <c r="U56" s="84"/>
      <c r="W56" s="85" t="s">
        <v>83</v>
      </c>
      <c r="X56" s="85"/>
      <c r="Y56" s="85"/>
      <c r="Z56" s="85"/>
      <c r="AA56" s="85"/>
      <c r="AB56" s="85"/>
      <c r="AC56" s="85"/>
      <c r="AE56" s="86" t="s">
        <v>83</v>
      </c>
      <c r="AF56" s="86"/>
      <c r="AG56" s="86"/>
      <c r="AH56" s="86"/>
      <c r="AI56" s="86"/>
      <c r="AJ56" s="86"/>
      <c r="AK56" s="86"/>
    </row>
    <row r="57" spans="1:37" ht="15.75" thickBot="1" x14ac:dyDescent="0.3">
      <c r="A57" s="87" t="s">
        <v>5</v>
      </c>
      <c r="B57" s="34" t="s">
        <v>6</v>
      </c>
      <c r="C57" s="22" t="s">
        <v>7</v>
      </c>
      <c r="D57" s="33" t="s">
        <v>8</v>
      </c>
      <c r="E57" s="22" t="s">
        <v>9</v>
      </c>
      <c r="F57" s="24" t="s">
        <v>10</v>
      </c>
      <c r="G57" s="23" t="s">
        <v>11</v>
      </c>
      <c r="H57" s="25" t="s">
        <v>12</v>
      </c>
      <c r="J57" s="28" t="s">
        <v>4</v>
      </c>
      <c r="K57" s="9"/>
      <c r="L57" s="4"/>
      <c r="M57" s="4"/>
      <c r="N57" s="4"/>
      <c r="O57" s="4"/>
      <c r="P57" s="4"/>
      <c r="Q57" s="4"/>
      <c r="R57" s="4"/>
      <c r="S57" s="4"/>
      <c r="T57" s="4"/>
      <c r="U57" s="5"/>
      <c r="W57" s="6" t="s">
        <v>4</v>
      </c>
      <c r="X57" s="9"/>
      <c r="Y57" s="4"/>
      <c r="Z57" s="4"/>
      <c r="AA57" s="4"/>
      <c r="AB57" s="4"/>
      <c r="AC57" s="5"/>
      <c r="AE57" s="6" t="s">
        <v>4</v>
      </c>
      <c r="AF57" s="9"/>
      <c r="AG57" s="4"/>
      <c r="AH57" s="4"/>
      <c r="AI57" s="4"/>
      <c r="AJ57" s="4"/>
      <c r="AK57" s="5"/>
    </row>
    <row r="58" spans="1:37" ht="15.75" thickBot="1" x14ac:dyDescent="0.3">
      <c r="A58" s="87"/>
      <c r="B58" s="27">
        <v>26763</v>
      </c>
      <c r="C58" s="27"/>
      <c r="D58" s="27"/>
      <c r="E58" s="27">
        <v>28286</v>
      </c>
      <c r="F58" s="27">
        <f>SUM(C58-B58)</f>
        <v>-26763</v>
      </c>
      <c r="G58" s="20">
        <f>SUM(E58-D58)</f>
        <v>28286</v>
      </c>
      <c r="H58" s="21">
        <f>SUM(F58:G58)</f>
        <v>1523</v>
      </c>
      <c r="J58" s="29" t="s">
        <v>22</v>
      </c>
      <c r="K58" s="10"/>
      <c r="L58" s="11"/>
      <c r="M58" s="11"/>
      <c r="N58" s="11"/>
      <c r="O58" s="11"/>
      <c r="P58" s="11"/>
      <c r="Q58" s="11"/>
      <c r="R58" s="11"/>
      <c r="S58" s="11"/>
      <c r="T58" s="11"/>
      <c r="U58" s="12"/>
      <c r="W58" s="7" t="s">
        <v>22</v>
      </c>
      <c r="X58" s="10"/>
      <c r="Y58" s="11"/>
      <c r="Z58" s="11"/>
      <c r="AA58" s="11"/>
      <c r="AB58" s="11"/>
      <c r="AC58" s="12"/>
      <c r="AE58" s="7" t="s">
        <v>22</v>
      </c>
      <c r="AF58" s="10"/>
      <c r="AG58" s="11"/>
      <c r="AH58" s="11"/>
      <c r="AI58" s="11"/>
      <c r="AJ58" s="11"/>
      <c r="AK58" s="12"/>
    </row>
    <row r="59" spans="1:37" x14ac:dyDescent="0.25">
      <c r="J59" s="8"/>
      <c r="T59" s="8" t="s">
        <v>23</v>
      </c>
      <c r="U59" s="13">
        <f>SUM(K58:U58)</f>
        <v>0</v>
      </c>
      <c r="AB59" s="8" t="s">
        <v>23</v>
      </c>
      <c r="AC59" s="13">
        <f>SUM(X58:AC58)</f>
        <v>0</v>
      </c>
      <c r="AJ59" s="8" t="s">
        <v>23</v>
      </c>
      <c r="AK59" s="13">
        <f>SUM(AF58:AK58)</f>
        <v>0</v>
      </c>
    </row>
    <row r="60" spans="1:37" ht="15.75" thickBot="1" x14ac:dyDescent="0.3">
      <c r="A60" s="71" t="s">
        <v>87</v>
      </c>
      <c r="B60" s="83" t="s">
        <v>3</v>
      </c>
      <c r="C60" s="83"/>
      <c r="D60" s="83"/>
      <c r="E60" s="83"/>
      <c r="F60" s="83"/>
      <c r="G60" s="83"/>
      <c r="H60" s="83"/>
      <c r="J60" s="84" t="s">
        <v>3</v>
      </c>
      <c r="K60" s="84"/>
      <c r="L60" s="84"/>
      <c r="M60" s="84"/>
      <c r="N60" s="84"/>
      <c r="O60" s="84"/>
      <c r="P60" s="84"/>
      <c r="Q60" s="84"/>
      <c r="R60" s="84"/>
      <c r="S60" s="84"/>
      <c r="T60" s="84"/>
      <c r="U60" s="84"/>
      <c r="W60" s="85" t="s">
        <v>3</v>
      </c>
      <c r="X60" s="85"/>
      <c r="Y60" s="85"/>
      <c r="Z60" s="85"/>
      <c r="AA60" s="85"/>
      <c r="AB60" s="85"/>
      <c r="AC60" s="85"/>
      <c r="AE60" s="86" t="s">
        <v>3</v>
      </c>
      <c r="AF60" s="86"/>
      <c r="AG60" s="86"/>
      <c r="AH60" s="86"/>
      <c r="AI60" s="86"/>
      <c r="AJ60" s="86"/>
      <c r="AK60" s="86"/>
    </row>
    <row r="61" spans="1:37" ht="15.75" thickBot="1" x14ac:dyDescent="0.3">
      <c r="A61" s="87" t="s">
        <v>5</v>
      </c>
      <c r="B61" s="34" t="s">
        <v>6</v>
      </c>
      <c r="C61" s="22" t="s">
        <v>7</v>
      </c>
      <c r="D61" s="33" t="s">
        <v>8</v>
      </c>
      <c r="E61" s="22" t="s">
        <v>9</v>
      </c>
      <c r="F61" s="24" t="s">
        <v>10</v>
      </c>
      <c r="G61" s="23" t="s">
        <v>11</v>
      </c>
      <c r="H61" s="25" t="s">
        <v>12</v>
      </c>
      <c r="J61" s="28" t="s">
        <v>4</v>
      </c>
      <c r="K61" s="9">
        <v>46056</v>
      </c>
      <c r="L61" s="66">
        <v>46059</v>
      </c>
      <c r="M61" s="66">
        <v>46063</v>
      </c>
      <c r="N61" s="66">
        <v>46070</v>
      </c>
      <c r="O61" s="66">
        <v>46073</v>
      </c>
      <c r="P61" s="66">
        <v>46077</v>
      </c>
      <c r="Q61" s="4"/>
      <c r="R61" s="4"/>
      <c r="S61" s="4"/>
      <c r="T61" s="4"/>
      <c r="U61" s="5"/>
      <c r="W61" s="6" t="s">
        <v>4</v>
      </c>
      <c r="X61" s="9"/>
      <c r="Y61" s="4"/>
      <c r="Z61" s="4"/>
      <c r="AA61" s="4"/>
      <c r="AB61" s="4"/>
      <c r="AC61" s="5"/>
      <c r="AE61" s="6" t="s">
        <v>4</v>
      </c>
      <c r="AF61" s="9"/>
      <c r="AG61" s="4"/>
      <c r="AH61" s="4"/>
      <c r="AI61" s="4"/>
      <c r="AJ61" s="4"/>
      <c r="AK61" s="5"/>
    </row>
    <row r="62" spans="1:37" ht="15.75" thickBot="1" x14ac:dyDescent="0.3">
      <c r="A62" s="87"/>
      <c r="B62" s="27">
        <v>28286</v>
      </c>
      <c r="C62" s="27"/>
      <c r="D62" s="27"/>
      <c r="E62" s="27">
        <v>29862</v>
      </c>
      <c r="F62" s="27">
        <f>SUM(C62-B62)</f>
        <v>-28286</v>
      </c>
      <c r="G62" s="20">
        <f>SUM(E62-D62)</f>
        <v>29862</v>
      </c>
      <c r="H62" s="21">
        <f>SUM(F62:G62)</f>
        <v>1576</v>
      </c>
      <c r="J62" s="29" t="s">
        <v>22</v>
      </c>
      <c r="K62" s="10">
        <v>191.47</v>
      </c>
      <c r="L62" s="11">
        <v>141.9</v>
      </c>
      <c r="M62" s="11">
        <v>167.5</v>
      </c>
      <c r="N62" s="11">
        <v>189.71</v>
      </c>
      <c r="O62" s="11">
        <v>177.69</v>
      </c>
      <c r="P62" s="11">
        <v>129.01</v>
      </c>
      <c r="Q62" s="11"/>
      <c r="R62" s="11"/>
      <c r="S62" s="11"/>
      <c r="T62" s="11"/>
      <c r="U62" s="12"/>
      <c r="W62" s="7" t="s">
        <v>22</v>
      </c>
      <c r="X62" s="10"/>
      <c r="Y62" s="11"/>
      <c r="Z62" s="11"/>
      <c r="AA62" s="11"/>
      <c r="AB62" s="11"/>
      <c r="AC62" s="12"/>
      <c r="AE62" s="7" t="s">
        <v>22</v>
      </c>
      <c r="AF62" s="10"/>
      <c r="AG62" s="11"/>
      <c r="AH62" s="11"/>
      <c r="AI62" s="11"/>
      <c r="AJ62" s="11"/>
      <c r="AK62" s="12"/>
    </row>
    <row r="63" spans="1:37" x14ac:dyDescent="0.25">
      <c r="J63" s="8"/>
      <c r="T63" s="8" t="s">
        <v>23</v>
      </c>
      <c r="U63" s="13">
        <f>SUM(K62:U62)</f>
        <v>997.28</v>
      </c>
      <c r="AB63" s="8" t="s">
        <v>23</v>
      </c>
      <c r="AC63" s="13">
        <f>SUM(X62:AC62)</f>
        <v>0</v>
      </c>
      <c r="AJ63" s="8" t="s">
        <v>23</v>
      </c>
      <c r="AK63" s="13">
        <f>SUM(AF62:AK62)</f>
        <v>0</v>
      </c>
    </row>
    <row r="64" spans="1:37" ht="15.75" thickBot="1" x14ac:dyDescent="0.3">
      <c r="A64" s="71" t="s">
        <v>111</v>
      </c>
      <c r="B64" s="83" t="s">
        <v>13</v>
      </c>
      <c r="C64" s="83"/>
      <c r="D64" s="83"/>
      <c r="E64" s="83"/>
      <c r="F64" s="83"/>
      <c r="G64" s="83"/>
      <c r="H64" s="83"/>
      <c r="J64" s="84" t="s">
        <v>13</v>
      </c>
      <c r="K64" s="84"/>
      <c r="L64" s="84"/>
      <c r="M64" s="84"/>
      <c r="N64" s="84"/>
      <c r="O64" s="84"/>
      <c r="P64" s="84"/>
      <c r="Q64" s="84"/>
      <c r="R64" s="84"/>
      <c r="S64" s="84"/>
      <c r="T64" s="84"/>
      <c r="U64" s="84"/>
      <c r="W64" s="85" t="str">
        <f>J64</f>
        <v>Março</v>
      </c>
      <c r="X64" s="85"/>
      <c r="Y64" s="85"/>
      <c r="Z64" s="85"/>
      <c r="AA64" s="85"/>
      <c r="AB64" s="85"/>
      <c r="AC64" s="85"/>
      <c r="AE64" s="86" t="str">
        <f>W64</f>
        <v>Março</v>
      </c>
      <c r="AF64" s="86"/>
      <c r="AG64" s="86"/>
      <c r="AH64" s="86"/>
      <c r="AI64" s="86"/>
      <c r="AJ64" s="86"/>
      <c r="AK64" s="86"/>
    </row>
    <row r="65" spans="1:37" ht="15.75" thickBot="1" x14ac:dyDescent="0.3">
      <c r="A65" s="87" t="s">
        <v>5</v>
      </c>
      <c r="B65" s="34" t="s">
        <v>6</v>
      </c>
      <c r="C65" s="22" t="s">
        <v>7</v>
      </c>
      <c r="D65" s="33" t="s">
        <v>8</v>
      </c>
      <c r="E65" s="22" t="s">
        <v>9</v>
      </c>
      <c r="F65" s="24" t="s">
        <v>10</v>
      </c>
      <c r="G65" s="23" t="s">
        <v>11</v>
      </c>
      <c r="H65" s="25" t="s">
        <v>12</v>
      </c>
      <c r="J65" s="6" t="s">
        <v>4</v>
      </c>
      <c r="K65" s="9"/>
      <c r="L65" s="66"/>
      <c r="M65" s="66"/>
      <c r="N65" s="4"/>
      <c r="O65" s="4"/>
      <c r="P65" s="4"/>
      <c r="Q65" s="4"/>
      <c r="R65" s="4"/>
      <c r="S65" s="4"/>
      <c r="T65" s="4"/>
      <c r="U65" s="5"/>
      <c r="W65" s="6" t="s">
        <v>4</v>
      </c>
      <c r="X65" s="9"/>
      <c r="Y65" s="4"/>
      <c r="Z65" s="4"/>
      <c r="AA65" s="4"/>
      <c r="AB65" s="4"/>
      <c r="AC65" s="5"/>
      <c r="AE65" s="6" t="s">
        <v>4</v>
      </c>
      <c r="AF65" s="9"/>
      <c r="AG65" s="4"/>
      <c r="AH65" s="4"/>
      <c r="AI65" s="4"/>
      <c r="AJ65" s="4"/>
      <c r="AK65" s="5"/>
    </row>
    <row r="66" spans="1:37" ht="15.75" thickBot="1" x14ac:dyDescent="0.3">
      <c r="A66" s="87"/>
      <c r="B66" s="26">
        <v>27839</v>
      </c>
      <c r="C66" s="27"/>
      <c r="D66" s="27"/>
      <c r="E66" s="27">
        <v>30120</v>
      </c>
      <c r="F66" s="27">
        <f>SUM(C66-B66)</f>
        <v>-27839</v>
      </c>
      <c r="G66" s="20">
        <f>SUM(E66-D66)</f>
        <v>30120</v>
      </c>
      <c r="H66" s="21">
        <f>SUM(F66:G66)</f>
        <v>2281</v>
      </c>
      <c r="J66" s="7" t="s">
        <v>22</v>
      </c>
      <c r="K66" s="10"/>
      <c r="L66" s="11"/>
      <c r="M66" s="11"/>
      <c r="N66" s="11"/>
      <c r="O66" s="11"/>
      <c r="P66" s="11"/>
      <c r="Q66" s="11"/>
      <c r="R66" s="11"/>
      <c r="S66" s="11"/>
      <c r="T66" s="11"/>
      <c r="U66" s="12"/>
      <c r="W66" s="7" t="s">
        <v>22</v>
      </c>
      <c r="X66" s="10"/>
      <c r="Y66" s="11"/>
      <c r="Z66" s="11"/>
      <c r="AA66" s="11"/>
      <c r="AB66" s="11"/>
      <c r="AC66" s="12"/>
      <c r="AE66" s="7" t="s">
        <v>22</v>
      </c>
      <c r="AF66" s="10"/>
      <c r="AG66" s="11"/>
      <c r="AH66" s="11"/>
      <c r="AI66" s="11"/>
      <c r="AJ66" s="11"/>
      <c r="AK66" s="12"/>
    </row>
    <row r="67" spans="1:37" x14ac:dyDescent="0.25">
      <c r="J67" s="8"/>
      <c r="T67" s="8" t="s">
        <v>23</v>
      </c>
      <c r="U67" s="13">
        <f>SUM(K66:U66)</f>
        <v>0</v>
      </c>
      <c r="AB67" s="8" t="s">
        <v>23</v>
      </c>
      <c r="AC67" s="13">
        <f>SUM(X66:AC66)</f>
        <v>0</v>
      </c>
      <c r="AJ67" s="8" t="s">
        <v>23</v>
      </c>
      <c r="AK67" s="13">
        <f>SUM(AF66:AK66)</f>
        <v>0</v>
      </c>
    </row>
    <row r="68" spans="1:37" ht="15.75" thickBot="1" x14ac:dyDescent="0.3">
      <c r="A68" s="19"/>
      <c r="B68" s="83" t="s">
        <v>14</v>
      </c>
      <c r="C68" s="83"/>
      <c r="D68" s="83"/>
      <c r="E68" s="83"/>
      <c r="F68" s="83"/>
      <c r="G68" s="83"/>
      <c r="H68" s="83"/>
      <c r="J68" s="84" t="s">
        <v>14</v>
      </c>
      <c r="K68" s="84"/>
      <c r="L68" s="84"/>
      <c r="M68" s="84"/>
      <c r="N68" s="84"/>
      <c r="O68" s="84"/>
      <c r="P68" s="84"/>
      <c r="Q68" s="84"/>
      <c r="R68" s="84"/>
      <c r="S68" s="84"/>
      <c r="T68" s="84"/>
      <c r="U68" s="84"/>
      <c r="W68" s="85" t="str">
        <f>J68</f>
        <v>Abril</v>
      </c>
      <c r="X68" s="85"/>
      <c r="Y68" s="85"/>
      <c r="Z68" s="85"/>
      <c r="AA68" s="85"/>
      <c r="AB68" s="85"/>
      <c r="AC68" s="85"/>
      <c r="AE68" s="86" t="str">
        <f>W68</f>
        <v>Abril</v>
      </c>
      <c r="AF68" s="86"/>
      <c r="AG68" s="86"/>
      <c r="AH68" s="86"/>
      <c r="AI68" s="86"/>
      <c r="AJ68" s="86"/>
      <c r="AK68" s="86"/>
    </row>
    <row r="69" spans="1:37" ht="15.75" thickBot="1" x14ac:dyDescent="0.3">
      <c r="A69" s="87" t="s">
        <v>5</v>
      </c>
      <c r="B69" s="34" t="s">
        <v>6</v>
      </c>
      <c r="C69" s="22" t="s">
        <v>7</v>
      </c>
      <c r="D69" s="33" t="s">
        <v>8</v>
      </c>
      <c r="E69" s="22" t="s">
        <v>9</v>
      </c>
      <c r="F69" s="24" t="s">
        <v>10</v>
      </c>
      <c r="G69" s="23" t="s">
        <v>11</v>
      </c>
      <c r="H69" s="25" t="s">
        <v>12</v>
      </c>
      <c r="J69" s="6" t="s">
        <v>4</v>
      </c>
      <c r="K69" s="9"/>
      <c r="L69" s="4"/>
      <c r="M69" s="4"/>
      <c r="N69" s="4"/>
      <c r="O69" s="4"/>
      <c r="P69" s="4"/>
      <c r="Q69" s="4"/>
      <c r="R69" s="4"/>
      <c r="S69" s="4"/>
      <c r="T69" s="4"/>
      <c r="U69" s="5"/>
      <c r="W69" s="6" t="s">
        <v>4</v>
      </c>
      <c r="X69" s="9"/>
      <c r="Y69" s="4"/>
      <c r="Z69" s="4"/>
      <c r="AA69" s="4"/>
      <c r="AB69" s="4"/>
      <c r="AC69" s="5"/>
      <c r="AE69" s="6" t="s">
        <v>4</v>
      </c>
      <c r="AF69" s="9"/>
      <c r="AG69" s="4"/>
      <c r="AH69" s="4"/>
      <c r="AI69" s="4"/>
      <c r="AJ69" s="4"/>
      <c r="AK69" s="5"/>
    </row>
    <row r="70" spans="1:37" ht="15.75" thickBot="1" x14ac:dyDescent="0.3">
      <c r="A70" s="87"/>
      <c r="B70" s="26"/>
      <c r="C70" s="27"/>
      <c r="D70" s="27"/>
      <c r="E70" s="27"/>
      <c r="F70" s="27">
        <f>SUM(C70-B70)</f>
        <v>0</v>
      </c>
      <c r="G70" s="20">
        <f>SUM(E70-D70)</f>
        <v>0</v>
      </c>
      <c r="H70" s="21">
        <f>SUM(F70:G70)</f>
        <v>0</v>
      </c>
      <c r="J70" s="7" t="s">
        <v>22</v>
      </c>
      <c r="K70" s="30"/>
      <c r="L70" s="31"/>
      <c r="M70" s="31"/>
      <c r="N70" s="31"/>
      <c r="O70" s="31"/>
      <c r="P70" s="31"/>
      <c r="Q70" s="31"/>
      <c r="R70" s="31"/>
      <c r="S70" s="31"/>
      <c r="T70" s="31"/>
      <c r="U70" s="32"/>
      <c r="W70" s="7" t="s">
        <v>22</v>
      </c>
      <c r="X70" s="10"/>
      <c r="Y70" s="11"/>
      <c r="Z70" s="11"/>
      <c r="AA70" s="11"/>
      <c r="AB70" s="11"/>
      <c r="AC70" s="12"/>
      <c r="AE70" s="7" t="s">
        <v>22</v>
      </c>
      <c r="AF70" s="10"/>
      <c r="AG70" s="11"/>
      <c r="AH70" s="11"/>
      <c r="AI70" s="11"/>
      <c r="AJ70" s="11"/>
      <c r="AK70" s="12"/>
    </row>
    <row r="71" spans="1:37" x14ac:dyDescent="0.25">
      <c r="J71" s="8"/>
      <c r="T71" s="8" t="s">
        <v>23</v>
      </c>
      <c r="U71" s="13">
        <f>SUM(K70:U70)</f>
        <v>0</v>
      </c>
      <c r="AB71" s="8" t="s">
        <v>23</v>
      </c>
      <c r="AC71" s="13">
        <f>SUM(X70:AC70)</f>
        <v>0</v>
      </c>
      <c r="AJ71" s="8" t="s">
        <v>23</v>
      </c>
      <c r="AK71" s="13">
        <f>SUM(AF70:AK70)</f>
        <v>0</v>
      </c>
    </row>
    <row r="72" spans="1:37" ht="15.75" thickBot="1" x14ac:dyDescent="0.3">
      <c r="A72" s="19"/>
      <c r="B72" s="83" t="s">
        <v>15</v>
      </c>
      <c r="C72" s="83"/>
      <c r="D72" s="83"/>
      <c r="E72" s="83"/>
      <c r="F72" s="83"/>
      <c r="G72" s="83"/>
      <c r="H72" s="83"/>
      <c r="J72" s="84" t="s">
        <v>15</v>
      </c>
      <c r="K72" s="84"/>
      <c r="L72" s="84"/>
      <c r="M72" s="84"/>
      <c r="N72" s="84"/>
      <c r="O72" s="84"/>
      <c r="P72" s="84"/>
      <c r="Q72" s="84"/>
      <c r="R72" s="84"/>
      <c r="S72" s="84"/>
      <c r="T72" s="84"/>
      <c r="U72" s="84"/>
      <c r="W72" s="85" t="str">
        <f>J72</f>
        <v>Maio</v>
      </c>
      <c r="X72" s="85"/>
      <c r="Y72" s="85"/>
      <c r="Z72" s="85"/>
      <c r="AA72" s="85"/>
      <c r="AB72" s="85"/>
      <c r="AC72" s="85"/>
      <c r="AE72" s="86" t="str">
        <f>W72</f>
        <v>Maio</v>
      </c>
      <c r="AF72" s="86"/>
      <c r="AG72" s="86"/>
      <c r="AH72" s="86"/>
      <c r="AI72" s="86"/>
      <c r="AJ72" s="86"/>
      <c r="AK72" s="86"/>
    </row>
    <row r="73" spans="1:37" ht="15.75" thickBot="1" x14ac:dyDescent="0.3">
      <c r="A73" s="87" t="s">
        <v>5</v>
      </c>
      <c r="B73" s="34" t="s">
        <v>6</v>
      </c>
      <c r="C73" s="22" t="s">
        <v>7</v>
      </c>
      <c r="D73" s="33" t="s">
        <v>8</v>
      </c>
      <c r="E73" s="22" t="s">
        <v>9</v>
      </c>
      <c r="F73" s="24" t="s">
        <v>10</v>
      </c>
      <c r="G73" s="23" t="s">
        <v>11</v>
      </c>
      <c r="H73" s="25" t="s">
        <v>12</v>
      </c>
      <c r="J73" s="6" t="s">
        <v>4</v>
      </c>
      <c r="K73" s="9"/>
      <c r="L73" s="4"/>
      <c r="M73" s="4"/>
      <c r="N73" s="4"/>
      <c r="O73" s="4"/>
      <c r="P73" s="4"/>
      <c r="Q73" s="4"/>
      <c r="R73" s="4"/>
      <c r="S73" s="4"/>
      <c r="T73" s="4"/>
      <c r="U73" s="5"/>
      <c r="W73" s="6" t="s">
        <v>4</v>
      </c>
      <c r="X73" s="9"/>
      <c r="Y73" s="4"/>
      <c r="Z73" s="4"/>
      <c r="AA73" s="4"/>
      <c r="AB73" s="4"/>
      <c r="AC73" s="5"/>
      <c r="AE73" s="6" t="s">
        <v>4</v>
      </c>
      <c r="AF73" s="9"/>
      <c r="AG73" s="4"/>
      <c r="AH73" s="4"/>
      <c r="AI73" s="4"/>
      <c r="AJ73" s="4"/>
      <c r="AK73" s="5"/>
    </row>
    <row r="74" spans="1:37" ht="15.75" thickBot="1" x14ac:dyDescent="0.3">
      <c r="A74" s="87"/>
      <c r="B74" s="26"/>
      <c r="C74" s="27"/>
      <c r="D74" s="27"/>
      <c r="E74" s="27"/>
      <c r="F74" s="27">
        <f>SUM(C74-B74)</f>
        <v>0</v>
      </c>
      <c r="G74" s="20">
        <f>SUM(E74-D74)</f>
        <v>0</v>
      </c>
      <c r="H74" s="21">
        <f>SUM(F74:G74)</f>
        <v>0</v>
      </c>
      <c r="J74" s="7" t="s">
        <v>22</v>
      </c>
      <c r="K74" s="10"/>
      <c r="L74" s="11"/>
      <c r="M74" s="11"/>
      <c r="N74" s="11"/>
      <c r="O74" s="11"/>
      <c r="P74" s="11"/>
      <c r="Q74" s="11"/>
      <c r="R74" s="11"/>
      <c r="S74" s="11"/>
      <c r="T74" s="11"/>
      <c r="U74" s="12"/>
      <c r="W74" s="7" t="s">
        <v>22</v>
      </c>
      <c r="X74" s="10"/>
      <c r="Y74" s="11"/>
      <c r="Z74" s="11"/>
      <c r="AA74" s="11"/>
      <c r="AB74" s="11"/>
      <c r="AC74" s="12"/>
      <c r="AE74" s="7" t="s">
        <v>22</v>
      </c>
      <c r="AF74" s="10"/>
      <c r="AG74" s="11"/>
      <c r="AH74" s="11"/>
      <c r="AI74" s="11"/>
      <c r="AJ74" s="11"/>
      <c r="AK74" s="12"/>
    </row>
    <row r="75" spans="1:37" x14ac:dyDescent="0.25">
      <c r="J75" s="8"/>
      <c r="T75" s="8" t="s">
        <v>23</v>
      </c>
      <c r="U75" s="13">
        <f>SUM(K74:U74)</f>
        <v>0</v>
      </c>
      <c r="AB75" s="8" t="s">
        <v>23</v>
      </c>
      <c r="AC75" s="13">
        <f>SUM(X74:AC74)</f>
        <v>0</v>
      </c>
      <c r="AJ75" s="8" t="s">
        <v>23</v>
      </c>
      <c r="AK75" s="13">
        <f>SUM(AF74:AK74)</f>
        <v>0</v>
      </c>
    </row>
    <row r="76" spans="1:37" ht="15.75" thickBot="1" x14ac:dyDescent="0.3">
      <c r="A76" s="19"/>
      <c r="B76" s="83" t="s">
        <v>24</v>
      </c>
      <c r="C76" s="83"/>
      <c r="D76" s="83"/>
      <c r="E76" s="83"/>
      <c r="F76" s="83"/>
      <c r="G76" s="83"/>
      <c r="H76" s="83"/>
      <c r="J76" s="84" t="s">
        <v>24</v>
      </c>
      <c r="K76" s="84"/>
      <c r="L76" s="84"/>
      <c r="M76" s="84"/>
      <c r="N76" s="84"/>
      <c r="O76" s="84"/>
      <c r="P76" s="84"/>
      <c r="Q76" s="84"/>
      <c r="R76" s="84"/>
      <c r="S76" s="84"/>
      <c r="T76" s="84"/>
      <c r="U76" s="84"/>
      <c r="W76" s="85" t="str">
        <f>J76</f>
        <v>Junho</v>
      </c>
      <c r="X76" s="85"/>
      <c r="Y76" s="85"/>
      <c r="Z76" s="85"/>
      <c r="AA76" s="85"/>
      <c r="AB76" s="85"/>
      <c r="AC76" s="85"/>
      <c r="AE76" s="86" t="str">
        <f>W76</f>
        <v>Junho</v>
      </c>
      <c r="AF76" s="86"/>
      <c r="AG76" s="86"/>
      <c r="AH76" s="86"/>
      <c r="AI76" s="86"/>
      <c r="AJ76" s="86"/>
      <c r="AK76" s="86"/>
    </row>
    <row r="77" spans="1:37" ht="15.75" thickBot="1" x14ac:dyDescent="0.3">
      <c r="A77" s="87" t="s">
        <v>5</v>
      </c>
      <c r="B77" s="34" t="s">
        <v>6</v>
      </c>
      <c r="C77" s="22" t="s">
        <v>7</v>
      </c>
      <c r="D77" s="33" t="s">
        <v>8</v>
      </c>
      <c r="E77" s="22" t="s">
        <v>9</v>
      </c>
      <c r="F77" s="24" t="s">
        <v>10</v>
      </c>
      <c r="G77" s="23" t="s">
        <v>11</v>
      </c>
      <c r="H77" s="25" t="s">
        <v>12</v>
      </c>
      <c r="J77" s="6" t="s">
        <v>4</v>
      </c>
      <c r="K77" s="9"/>
      <c r="L77" s="4"/>
      <c r="M77" s="4"/>
      <c r="N77" s="4"/>
      <c r="O77" s="4"/>
      <c r="P77" s="4"/>
      <c r="Q77" s="4"/>
      <c r="R77" s="4"/>
      <c r="S77" s="4"/>
      <c r="T77" s="4"/>
      <c r="U77" s="5"/>
      <c r="W77" s="6" t="s">
        <v>4</v>
      </c>
      <c r="X77" s="9"/>
      <c r="Y77" s="4"/>
      <c r="Z77" s="4"/>
      <c r="AA77" s="4"/>
      <c r="AB77" s="4"/>
      <c r="AC77" s="5"/>
      <c r="AE77" s="6" t="s">
        <v>4</v>
      </c>
      <c r="AF77" s="9"/>
      <c r="AG77" s="4"/>
      <c r="AH77" s="4"/>
      <c r="AI77" s="4"/>
      <c r="AJ77" s="4"/>
      <c r="AK77" s="5"/>
    </row>
    <row r="78" spans="1:37" ht="15.75" thickBot="1" x14ac:dyDescent="0.3">
      <c r="A78" s="87"/>
      <c r="B78" s="26"/>
      <c r="C78" s="27"/>
      <c r="D78" s="27"/>
      <c r="E78" s="27"/>
      <c r="F78" s="27">
        <f>SUM(C78-B78)</f>
        <v>0</v>
      </c>
      <c r="G78" s="20">
        <f>SUM(E78-D78)</f>
        <v>0</v>
      </c>
      <c r="H78" s="21">
        <f>SUM(F78:G78)</f>
        <v>0</v>
      </c>
      <c r="J78" s="7" t="s">
        <v>22</v>
      </c>
      <c r="K78" s="10"/>
      <c r="L78" s="11"/>
      <c r="M78" s="11"/>
      <c r="N78" s="11"/>
      <c r="O78" s="11"/>
      <c r="P78" s="11"/>
      <c r="Q78" s="11"/>
      <c r="R78" s="11"/>
      <c r="S78" s="11"/>
      <c r="T78" s="11"/>
      <c r="U78" s="12"/>
      <c r="W78" s="7" t="s">
        <v>22</v>
      </c>
      <c r="X78" s="10"/>
      <c r="Y78" s="11"/>
      <c r="Z78" s="11"/>
      <c r="AA78" s="11"/>
      <c r="AB78" s="11"/>
      <c r="AC78" s="12"/>
      <c r="AE78" s="7" t="s">
        <v>22</v>
      </c>
      <c r="AF78" s="10"/>
      <c r="AG78" s="11"/>
      <c r="AH78" s="11"/>
      <c r="AI78" s="11"/>
      <c r="AJ78" s="11"/>
      <c r="AK78" s="12"/>
    </row>
    <row r="79" spans="1:37" x14ac:dyDescent="0.25">
      <c r="J79" s="8"/>
      <c r="T79" s="8" t="s">
        <v>23</v>
      </c>
      <c r="U79" s="13">
        <f>SUM(K78:U78)</f>
        <v>0</v>
      </c>
      <c r="AB79" s="8" t="s">
        <v>23</v>
      </c>
      <c r="AC79" s="13">
        <f>SUM(X78:AC78)</f>
        <v>0</v>
      </c>
      <c r="AJ79" s="8" t="s">
        <v>23</v>
      </c>
      <c r="AK79" s="13">
        <f>SUM(AF78:AK78)</f>
        <v>0</v>
      </c>
    </row>
    <row r="80" spans="1:37" ht="15.75" thickBot="1" x14ac:dyDescent="0.3">
      <c r="A80" s="19"/>
      <c r="B80" s="83" t="s">
        <v>16</v>
      </c>
      <c r="C80" s="83"/>
      <c r="D80" s="83"/>
      <c r="E80" s="83"/>
      <c r="F80" s="83"/>
      <c r="G80" s="83"/>
      <c r="H80" s="83"/>
      <c r="J80" s="84" t="s">
        <v>16</v>
      </c>
      <c r="K80" s="84"/>
      <c r="L80" s="84"/>
      <c r="M80" s="84"/>
      <c r="N80" s="84"/>
      <c r="O80" s="84"/>
      <c r="P80" s="84"/>
      <c r="Q80" s="84"/>
      <c r="R80" s="84"/>
      <c r="S80" s="84"/>
      <c r="T80" s="84"/>
      <c r="U80" s="84"/>
      <c r="W80" s="85" t="str">
        <f>J80</f>
        <v>Julho</v>
      </c>
      <c r="X80" s="85"/>
      <c r="Y80" s="85"/>
      <c r="Z80" s="85"/>
      <c r="AA80" s="85"/>
      <c r="AB80" s="85"/>
      <c r="AC80" s="85"/>
      <c r="AE80" s="86" t="str">
        <f>W80</f>
        <v>Julho</v>
      </c>
      <c r="AF80" s="86"/>
      <c r="AG80" s="86"/>
      <c r="AH80" s="86"/>
      <c r="AI80" s="86"/>
      <c r="AJ80" s="86"/>
      <c r="AK80" s="86"/>
    </row>
    <row r="81" spans="1:37" ht="15.75" thickBot="1" x14ac:dyDescent="0.3">
      <c r="A81" s="87" t="s">
        <v>5</v>
      </c>
      <c r="B81" s="34" t="s">
        <v>6</v>
      </c>
      <c r="C81" s="22" t="s">
        <v>7</v>
      </c>
      <c r="D81" s="33" t="s">
        <v>8</v>
      </c>
      <c r="E81" s="22" t="s">
        <v>9</v>
      </c>
      <c r="F81" s="24" t="s">
        <v>10</v>
      </c>
      <c r="G81" s="23" t="s">
        <v>11</v>
      </c>
      <c r="H81" s="25" t="s">
        <v>12</v>
      </c>
      <c r="J81" s="6" t="s">
        <v>4</v>
      </c>
      <c r="K81" s="9"/>
      <c r="L81" s="4"/>
      <c r="M81" s="4"/>
      <c r="N81" s="4"/>
      <c r="O81" s="4"/>
      <c r="P81" s="4"/>
      <c r="Q81" s="4"/>
      <c r="R81" s="4"/>
      <c r="S81" s="4"/>
      <c r="T81" s="4"/>
      <c r="U81" s="5"/>
      <c r="W81" s="6" t="s">
        <v>4</v>
      </c>
      <c r="X81" s="9"/>
      <c r="Y81" s="4"/>
      <c r="Z81" s="4"/>
      <c r="AA81" s="4"/>
      <c r="AB81" s="4"/>
      <c r="AC81" s="5"/>
      <c r="AE81" s="6" t="s">
        <v>4</v>
      </c>
      <c r="AF81" s="9"/>
      <c r="AG81" s="4"/>
      <c r="AH81" s="4"/>
      <c r="AI81" s="4"/>
      <c r="AJ81" s="4"/>
      <c r="AK81" s="5"/>
    </row>
    <row r="82" spans="1:37" ht="15.75" thickBot="1" x14ac:dyDescent="0.3">
      <c r="A82" s="87"/>
      <c r="B82" s="26"/>
      <c r="C82" s="27"/>
      <c r="D82" s="27"/>
      <c r="E82" s="27"/>
      <c r="F82" s="27">
        <f>SUM(C82-B82)</f>
        <v>0</v>
      </c>
      <c r="G82" s="20">
        <f>SUM(E82-D82)</f>
        <v>0</v>
      </c>
      <c r="H82" s="21">
        <f>SUM(F82:G82)</f>
        <v>0</v>
      </c>
      <c r="J82" s="7" t="s">
        <v>22</v>
      </c>
      <c r="K82" s="10"/>
      <c r="L82" s="11"/>
      <c r="M82" s="11"/>
      <c r="N82" s="11"/>
      <c r="O82" s="11"/>
      <c r="P82" s="11"/>
      <c r="Q82" s="11"/>
      <c r="R82" s="11"/>
      <c r="S82" s="11"/>
      <c r="T82" s="11"/>
      <c r="U82" s="12"/>
      <c r="W82" s="7" t="s">
        <v>22</v>
      </c>
      <c r="X82" s="10"/>
      <c r="Y82" s="11"/>
      <c r="Z82" s="11"/>
      <c r="AA82" s="11"/>
      <c r="AB82" s="11"/>
      <c r="AC82" s="12"/>
      <c r="AE82" s="7" t="s">
        <v>22</v>
      </c>
      <c r="AF82" s="10"/>
      <c r="AG82" s="11"/>
      <c r="AH82" s="11"/>
      <c r="AI82" s="11"/>
      <c r="AJ82" s="11"/>
      <c r="AK82" s="12"/>
    </row>
    <row r="83" spans="1:37" x14ac:dyDescent="0.25">
      <c r="J83" s="8"/>
      <c r="T83" s="8" t="s">
        <v>23</v>
      </c>
      <c r="U83" s="13">
        <f>SUM(K82:U82)</f>
        <v>0</v>
      </c>
      <c r="AB83" s="8" t="s">
        <v>23</v>
      </c>
      <c r="AC83" s="13">
        <f>SUM(X82:AC82)</f>
        <v>0</v>
      </c>
      <c r="AJ83" s="8" t="s">
        <v>23</v>
      </c>
      <c r="AK83" s="13">
        <f>SUM(AF82:AK82)</f>
        <v>0</v>
      </c>
    </row>
    <row r="84" spans="1:37" ht="15.75" thickBot="1" x14ac:dyDescent="0.3">
      <c r="A84" s="19"/>
      <c r="B84" s="83" t="s">
        <v>17</v>
      </c>
      <c r="C84" s="83"/>
      <c r="D84" s="83"/>
      <c r="E84" s="83"/>
      <c r="F84" s="83"/>
      <c r="G84" s="83"/>
      <c r="H84" s="83"/>
      <c r="J84" s="84" t="s">
        <v>17</v>
      </c>
      <c r="K84" s="84"/>
      <c r="L84" s="84"/>
      <c r="M84" s="84"/>
      <c r="N84" s="84"/>
      <c r="O84" s="84"/>
      <c r="P84" s="84"/>
      <c r="Q84" s="84"/>
      <c r="R84" s="84"/>
      <c r="S84" s="84"/>
      <c r="T84" s="84"/>
      <c r="U84" s="84"/>
      <c r="W84" s="85" t="str">
        <f>J84</f>
        <v>Agosto</v>
      </c>
      <c r="X84" s="85"/>
      <c r="Y84" s="85"/>
      <c r="Z84" s="85"/>
      <c r="AA84" s="85"/>
      <c r="AB84" s="85"/>
      <c r="AC84" s="85"/>
      <c r="AE84" s="86" t="str">
        <f>W84</f>
        <v>Agosto</v>
      </c>
      <c r="AF84" s="86"/>
      <c r="AG84" s="86"/>
      <c r="AH84" s="86"/>
      <c r="AI84" s="86"/>
      <c r="AJ84" s="86"/>
      <c r="AK84" s="86"/>
    </row>
    <row r="85" spans="1:37" ht="15.75" thickBot="1" x14ac:dyDescent="0.3">
      <c r="A85" s="87" t="s">
        <v>5</v>
      </c>
      <c r="B85" s="34" t="s">
        <v>6</v>
      </c>
      <c r="C85" s="22" t="s">
        <v>7</v>
      </c>
      <c r="D85" s="33" t="s">
        <v>8</v>
      </c>
      <c r="E85" s="22" t="s">
        <v>9</v>
      </c>
      <c r="F85" s="24" t="s">
        <v>10</v>
      </c>
      <c r="G85" s="23" t="s">
        <v>11</v>
      </c>
      <c r="H85" s="25" t="s">
        <v>12</v>
      </c>
      <c r="J85" s="6" t="s">
        <v>4</v>
      </c>
      <c r="K85" s="9"/>
      <c r="L85" s="4"/>
      <c r="M85" s="4"/>
      <c r="N85" s="4"/>
      <c r="O85" s="4"/>
      <c r="P85" s="4"/>
      <c r="Q85" s="4"/>
      <c r="R85" s="4"/>
      <c r="S85" s="4"/>
      <c r="T85" s="4"/>
      <c r="U85" s="5"/>
      <c r="W85" s="6" t="s">
        <v>4</v>
      </c>
      <c r="X85" s="9"/>
      <c r="Y85" s="4"/>
      <c r="Z85" s="4"/>
      <c r="AA85" s="4"/>
      <c r="AB85" s="4"/>
      <c r="AC85" s="5"/>
      <c r="AE85" s="6" t="s">
        <v>4</v>
      </c>
      <c r="AF85" s="9"/>
      <c r="AG85" s="4"/>
      <c r="AH85" s="4"/>
      <c r="AI85" s="4"/>
      <c r="AJ85" s="4"/>
      <c r="AK85" s="5"/>
    </row>
    <row r="86" spans="1:37" ht="15.75" thickBot="1" x14ac:dyDescent="0.3">
      <c r="A86" s="87"/>
      <c r="B86" s="26"/>
      <c r="C86" s="27"/>
      <c r="D86" s="27"/>
      <c r="E86" s="27"/>
      <c r="F86" s="27">
        <f>SUM(C86-B86)</f>
        <v>0</v>
      </c>
      <c r="G86" s="20">
        <f>SUM(E86-D86)</f>
        <v>0</v>
      </c>
      <c r="H86" s="21">
        <f>SUM(F86:G86)</f>
        <v>0</v>
      </c>
      <c r="J86" s="7" t="s">
        <v>22</v>
      </c>
      <c r="K86" s="10"/>
      <c r="L86" s="11"/>
      <c r="M86" s="11"/>
      <c r="N86" s="11"/>
      <c r="O86" s="11"/>
      <c r="P86" s="11"/>
      <c r="Q86" s="11"/>
      <c r="R86" s="11"/>
      <c r="S86" s="11"/>
      <c r="T86" s="11"/>
      <c r="U86" s="12"/>
      <c r="W86" s="7" t="s">
        <v>22</v>
      </c>
      <c r="X86" s="10"/>
      <c r="Y86" s="11"/>
      <c r="Z86" s="11"/>
      <c r="AA86" s="11"/>
      <c r="AB86" s="11"/>
      <c r="AC86" s="12"/>
      <c r="AE86" s="7" t="s">
        <v>22</v>
      </c>
      <c r="AF86" s="10"/>
      <c r="AG86" s="11"/>
      <c r="AH86" s="11"/>
      <c r="AI86" s="11"/>
      <c r="AJ86" s="11"/>
      <c r="AK86" s="12"/>
    </row>
    <row r="87" spans="1:37" x14ac:dyDescent="0.25">
      <c r="J87" s="8"/>
      <c r="T87" s="8" t="s">
        <v>23</v>
      </c>
      <c r="U87" s="13">
        <f>SUM(K86:U86)</f>
        <v>0</v>
      </c>
      <c r="AB87" s="8" t="s">
        <v>23</v>
      </c>
      <c r="AC87" s="13">
        <f>SUM(X86:AC86)</f>
        <v>0</v>
      </c>
      <c r="AJ87" s="8" t="s">
        <v>23</v>
      </c>
      <c r="AK87" s="13">
        <f>SUM(AF86:AK86)</f>
        <v>0</v>
      </c>
    </row>
    <row r="88" spans="1:37" ht="15.75" thickBot="1" x14ac:dyDescent="0.3">
      <c r="A88" s="19"/>
      <c r="B88" s="83" t="s">
        <v>18</v>
      </c>
      <c r="C88" s="83"/>
      <c r="D88" s="83"/>
      <c r="E88" s="83"/>
      <c r="F88" s="83"/>
      <c r="G88" s="83"/>
      <c r="H88" s="83"/>
      <c r="J88" s="84" t="s">
        <v>18</v>
      </c>
      <c r="K88" s="84"/>
      <c r="L88" s="84"/>
      <c r="M88" s="84"/>
      <c r="N88" s="84"/>
      <c r="O88" s="84"/>
      <c r="P88" s="84"/>
      <c r="Q88" s="84"/>
      <c r="R88" s="84"/>
      <c r="S88" s="84"/>
      <c r="T88" s="84"/>
      <c r="U88" s="84"/>
      <c r="W88" s="85" t="str">
        <f>J88</f>
        <v>Setembro</v>
      </c>
      <c r="X88" s="85"/>
      <c r="Y88" s="85"/>
      <c r="Z88" s="85"/>
      <c r="AA88" s="85"/>
      <c r="AB88" s="85"/>
      <c r="AC88" s="85"/>
      <c r="AE88" s="86" t="str">
        <f>W88</f>
        <v>Setembro</v>
      </c>
      <c r="AF88" s="86"/>
      <c r="AG88" s="86"/>
      <c r="AH88" s="86"/>
      <c r="AI88" s="86"/>
      <c r="AJ88" s="86"/>
      <c r="AK88" s="86"/>
    </row>
    <row r="89" spans="1:37" ht="15.75" thickBot="1" x14ac:dyDescent="0.3">
      <c r="A89" s="87" t="s">
        <v>5</v>
      </c>
      <c r="B89" s="34" t="s">
        <v>6</v>
      </c>
      <c r="C89" s="22" t="s">
        <v>7</v>
      </c>
      <c r="D89" s="33" t="s">
        <v>8</v>
      </c>
      <c r="E89" s="22" t="s">
        <v>9</v>
      </c>
      <c r="F89" s="24" t="s">
        <v>10</v>
      </c>
      <c r="G89" s="23" t="s">
        <v>11</v>
      </c>
      <c r="H89" s="25" t="s">
        <v>12</v>
      </c>
      <c r="J89" s="6" t="s">
        <v>4</v>
      </c>
      <c r="K89" s="9"/>
      <c r="L89" s="4"/>
      <c r="M89" s="4"/>
      <c r="N89" s="4"/>
      <c r="O89" s="4"/>
      <c r="P89" s="4"/>
      <c r="Q89" s="4"/>
      <c r="R89" s="4"/>
      <c r="S89" s="4"/>
      <c r="T89" s="4"/>
      <c r="U89" s="5"/>
      <c r="W89" s="6" t="s">
        <v>4</v>
      </c>
      <c r="X89" s="9"/>
      <c r="Y89" s="4"/>
      <c r="Z89" s="4"/>
      <c r="AA89" s="4"/>
      <c r="AB89" s="4"/>
      <c r="AC89" s="5"/>
      <c r="AE89" s="6" t="s">
        <v>4</v>
      </c>
      <c r="AF89" s="9"/>
      <c r="AG89" s="4"/>
      <c r="AH89" s="4"/>
      <c r="AI89" s="4"/>
      <c r="AJ89" s="4"/>
      <c r="AK89" s="5"/>
    </row>
    <row r="90" spans="1:37" ht="15.75" thickBot="1" x14ac:dyDescent="0.3">
      <c r="A90" s="87"/>
      <c r="B90" s="26"/>
      <c r="C90" s="27"/>
      <c r="D90" s="27"/>
      <c r="E90" s="27"/>
      <c r="F90" s="27">
        <f>SUM(C90-B90)</f>
        <v>0</v>
      </c>
      <c r="G90" s="20">
        <f>SUM(E90-D90)</f>
        <v>0</v>
      </c>
      <c r="H90" s="21">
        <f>SUM(F90:G90)</f>
        <v>0</v>
      </c>
      <c r="J90" s="7" t="s">
        <v>22</v>
      </c>
      <c r="K90" s="10"/>
      <c r="L90" s="11"/>
      <c r="M90" s="11"/>
      <c r="N90" s="11"/>
      <c r="O90" s="11"/>
      <c r="P90" s="11"/>
      <c r="Q90" s="11"/>
      <c r="R90" s="11"/>
      <c r="S90" s="11"/>
      <c r="T90" s="11"/>
      <c r="U90" s="12"/>
      <c r="W90" s="7" t="s">
        <v>22</v>
      </c>
      <c r="X90" s="10"/>
      <c r="Y90" s="11"/>
      <c r="Z90" s="11"/>
      <c r="AA90" s="11"/>
      <c r="AB90" s="11"/>
      <c r="AC90" s="12"/>
      <c r="AE90" s="7" t="s">
        <v>22</v>
      </c>
      <c r="AF90" s="10"/>
      <c r="AG90" s="11"/>
      <c r="AH90" s="11"/>
      <c r="AI90" s="11"/>
      <c r="AJ90" s="11"/>
      <c r="AK90" s="12"/>
    </row>
    <row r="91" spans="1:37" x14ac:dyDescent="0.25">
      <c r="J91" s="8"/>
      <c r="T91" s="8" t="s">
        <v>23</v>
      </c>
      <c r="U91" s="13">
        <f>SUM(K90:U90)</f>
        <v>0</v>
      </c>
      <c r="AB91" s="8" t="s">
        <v>23</v>
      </c>
      <c r="AC91" s="13">
        <f>SUM(X90:AC90)</f>
        <v>0</v>
      </c>
      <c r="AJ91" s="8" t="s">
        <v>23</v>
      </c>
      <c r="AK91" s="13">
        <f>SUM(AF90:AK90)</f>
        <v>0</v>
      </c>
    </row>
  </sheetData>
  <mergeCells count="115">
    <mergeCell ref="B88:H88"/>
    <mergeCell ref="J88:U88"/>
    <mergeCell ref="W88:AC88"/>
    <mergeCell ref="AE88:AK88"/>
    <mergeCell ref="A89:A90"/>
    <mergeCell ref="B84:H84"/>
    <mergeCell ref="J84:U84"/>
    <mergeCell ref="W84:AC84"/>
    <mergeCell ref="AE84:AK84"/>
    <mergeCell ref="A85:A86"/>
    <mergeCell ref="B80:H80"/>
    <mergeCell ref="J80:U80"/>
    <mergeCell ref="W80:AC80"/>
    <mergeCell ref="AE80:AK80"/>
    <mergeCell ref="A81:A82"/>
    <mergeCell ref="B76:H76"/>
    <mergeCell ref="J76:U76"/>
    <mergeCell ref="W76:AC76"/>
    <mergeCell ref="AE76:AK76"/>
    <mergeCell ref="A77:A78"/>
    <mergeCell ref="B72:H72"/>
    <mergeCell ref="J72:U72"/>
    <mergeCell ref="W72:AC72"/>
    <mergeCell ref="AE72:AK72"/>
    <mergeCell ref="A73:A74"/>
    <mergeCell ref="B68:H68"/>
    <mergeCell ref="J68:U68"/>
    <mergeCell ref="W68:AC68"/>
    <mergeCell ref="AE68:AK68"/>
    <mergeCell ref="A69:A70"/>
    <mergeCell ref="B64:H64"/>
    <mergeCell ref="J64:U64"/>
    <mergeCell ref="W64:AC64"/>
    <mergeCell ref="AE64:AK64"/>
    <mergeCell ref="A65:A66"/>
    <mergeCell ref="B60:H60"/>
    <mergeCell ref="J60:U60"/>
    <mergeCell ref="W60:AC60"/>
    <mergeCell ref="AE60:AK60"/>
    <mergeCell ref="A61:A62"/>
    <mergeCell ref="B56:H56"/>
    <mergeCell ref="J56:U56"/>
    <mergeCell ref="W56:AC56"/>
    <mergeCell ref="AE56:AK56"/>
    <mergeCell ref="A57:A58"/>
    <mergeCell ref="B2:C2"/>
    <mergeCell ref="E2:F2"/>
    <mergeCell ref="B4:C4"/>
    <mergeCell ref="E4:F4"/>
    <mergeCell ref="A7:H7"/>
    <mergeCell ref="B3:C3"/>
    <mergeCell ref="E3:F3"/>
    <mergeCell ref="A17:A18"/>
    <mergeCell ref="W7:AC7"/>
    <mergeCell ref="AE7:AK7"/>
    <mergeCell ref="B12:H12"/>
    <mergeCell ref="J12:U12"/>
    <mergeCell ref="W12:AC12"/>
    <mergeCell ref="AE12:AK12"/>
    <mergeCell ref="J7:U7"/>
    <mergeCell ref="A13:A14"/>
    <mergeCell ref="B16:H16"/>
    <mergeCell ref="J16:U16"/>
    <mergeCell ref="W16:AC16"/>
    <mergeCell ref="AE16:AK16"/>
    <mergeCell ref="B8:H8"/>
    <mergeCell ref="J8:U8"/>
    <mergeCell ref="W8:AC8"/>
    <mergeCell ref="A29:A30"/>
    <mergeCell ref="B20:H20"/>
    <mergeCell ref="J20:U20"/>
    <mergeCell ref="W20:AC20"/>
    <mergeCell ref="AE20:AK20"/>
    <mergeCell ref="A21:A22"/>
    <mergeCell ref="B24:H24"/>
    <mergeCell ref="J24:U24"/>
    <mergeCell ref="W24:AC24"/>
    <mergeCell ref="AE24:AK24"/>
    <mergeCell ref="A25:A26"/>
    <mergeCell ref="B28:H28"/>
    <mergeCell ref="J28:U28"/>
    <mergeCell ref="W28:AC28"/>
    <mergeCell ref="AE28:AK28"/>
    <mergeCell ref="AE8:AK8"/>
    <mergeCell ref="A9:A10"/>
    <mergeCell ref="A41:A42"/>
    <mergeCell ref="B32:H32"/>
    <mergeCell ref="J32:U32"/>
    <mergeCell ref="W32:AC32"/>
    <mergeCell ref="AE32:AK32"/>
    <mergeCell ref="A33:A34"/>
    <mergeCell ref="B36:H36"/>
    <mergeCell ref="J36:U36"/>
    <mergeCell ref="W36:AC36"/>
    <mergeCell ref="AE36:AK36"/>
    <mergeCell ref="A37:A38"/>
    <mergeCell ref="B40:H40"/>
    <mergeCell ref="J40:U40"/>
    <mergeCell ref="W40:AC40"/>
    <mergeCell ref="AE40:AK40"/>
    <mergeCell ref="A53:A54"/>
    <mergeCell ref="B44:H44"/>
    <mergeCell ref="J44:U44"/>
    <mergeCell ref="W44:AC44"/>
    <mergeCell ref="AE44:AK44"/>
    <mergeCell ref="A45:A46"/>
    <mergeCell ref="B48:H48"/>
    <mergeCell ref="J48:U48"/>
    <mergeCell ref="W48:AC48"/>
    <mergeCell ref="AE48:AK48"/>
    <mergeCell ref="A49:A50"/>
    <mergeCell ref="B52:H52"/>
    <mergeCell ref="J52:U52"/>
    <mergeCell ref="W52:AC52"/>
    <mergeCell ref="AE52:AK52"/>
  </mergeCells>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K138"/>
  <sheetViews>
    <sheetView showGridLines="0" workbookViewId="0">
      <selection activeCell="M6" sqref="M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0.7109375" bestFit="1" customWidth="1"/>
    <col min="10" max="10" width="13.42578125" bestFit="1" customWidth="1"/>
    <col min="11" max="13" width="10.42578125" bestFit="1" customWidth="1"/>
    <col min="14" max="14" width="13.28515625" bestFit="1" customWidth="1"/>
    <col min="15" max="18" width="10.42578125" bestFit="1" customWidth="1"/>
    <col min="19" max="19" width="10.5703125" bestFit="1" customWidth="1"/>
    <col min="21" max="21" width="12.140625" bestFit="1" customWidth="1"/>
    <col min="24" max="26" width="10.42578125" bestFit="1" customWidth="1"/>
    <col min="27" max="27" width="10.5703125" bestFit="1" customWidth="1"/>
    <col min="29" max="29" width="12.140625" bestFit="1" customWidth="1"/>
    <col min="34" max="34" width="10.140625" bestFit="1" customWidth="1"/>
    <col min="35" max="35" width="13.28515625" bestFit="1" customWidth="1"/>
    <col min="36" max="36" width="10.140625" bestFit="1" customWidth="1"/>
    <col min="37" max="37" width="13.28515625" bestFit="1" customWidth="1"/>
  </cols>
  <sheetData>
    <row r="2" spans="1:37" x14ac:dyDescent="0.25">
      <c r="A2" t="s">
        <v>0</v>
      </c>
      <c r="B2" s="90" t="s">
        <v>90</v>
      </c>
      <c r="C2" s="90"/>
      <c r="D2" s="1" t="s">
        <v>1</v>
      </c>
      <c r="E2" s="90" t="s">
        <v>82</v>
      </c>
      <c r="F2" s="90"/>
      <c r="H2" t="s">
        <v>98</v>
      </c>
      <c r="I2" s="81">
        <v>3000</v>
      </c>
    </row>
    <row r="3" spans="1:37" x14ac:dyDescent="0.25">
      <c r="A3" t="s">
        <v>75</v>
      </c>
      <c r="B3" s="94">
        <v>45731</v>
      </c>
      <c r="C3" s="90"/>
      <c r="D3" s="1" t="s">
        <v>1</v>
      </c>
      <c r="E3" s="90" t="s">
        <v>99</v>
      </c>
      <c r="F3" s="90"/>
      <c r="H3" t="s">
        <v>76</v>
      </c>
      <c r="I3" s="79" t="s">
        <v>90</v>
      </c>
    </row>
    <row r="4" spans="1:37" x14ac:dyDescent="0.25">
      <c r="A4" t="s">
        <v>112</v>
      </c>
      <c r="B4" s="94">
        <v>46081</v>
      </c>
      <c r="C4" s="90"/>
      <c r="D4" s="1" t="s">
        <v>1</v>
      </c>
      <c r="E4" s="90" t="s">
        <v>113</v>
      </c>
      <c r="F4" s="90" t="s">
        <v>113</v>
      </c>
      <c r="H4" t="s">
        <v>76</v>
      </c>
      <c r="I4" s="79" t="s">
        <v>114</v>
      </c>
    </row>
    <row r="5" spans="1:37" x14ac:dyDescent="0.25">
      <c r="A5" t="s">
        <v>115</v>
      </c>
      <c r="B5" s="94">
        <v>46087</v>
      </c>
      <c r="C5" s="90"/>
      <c r="D5" s="1" t="s">
        <v>1</v>
      </c>
      <c r="E5" s="90" t="s">
        <v>113</v>
      </c>
      <c r="F5" s="90" t="s">
        <v>113</v>
      </c>
      <c r="H5" t="s">
        <v>116</v>
      </c>
      <c r="I5" s="79" t="s">
        <v>117</v>
      </c>
    </row>
    <row r="6" spans="1:37" x14ac:dyDescent="0.25">
      <c r="A6" t="s">
        <v>2</v>
      </c>
      <c r="B6" s="91">
        <v>3511.2</v>
      </c>
      <c r="C6" s="91"/>
      <c r="D6" s="1" t="s">
        <v>29</v>
      </c>
      <c r="E6" s="92">
        <v>45</v>
      </c>
      <c r="F6" s="90"/>
      <c r="H6" t="s">
        <v>70</v>
      </c>
      <c r="I6" s="80">
        <v>45586</v>
      </c>
      <c r="J6" t="s">
        <v>118</v>
      </c>
      <c r="K6" s="80">
        <v>46095</v>
      </c>
    </row>
    <row r="9" spans="1:37" ht="21" x14ac:dyDescent="0.35">
      <c r="A9" s="93" t="s">
        <v>28</v>
      </c>
      <c r="B9" s="93"/>
      <c r="C9" s="93"/>
      <c r="D9" s="93"/>
      <c r="E9" s="93"/>
      <c r="F9" s="93"/>
      <c r="G9" s="93"/>
      <c r="H9" s="93"/>
      <c r="J9" s="89" t="s">
        <v>26</v>
      </c>
      <c r="K9" s="89"/>
      <c r="L9" s="89"/>
      <c r="M9" s="89"/>
      <c r="N9" s="89"/>
      <c r="O9" s="89"/>
      <c r="P9" s="89"/>
      <c r="Q9" s="89"/>
      <c r="R9" s="89"/>
      <c r="S9" s="89"/>
      <c r="T9" s="89"/>
      <c r="U9" s="89"/>
      <c r="V9" s="2"/>
      <c r="W9" s="88" t="s">
        <v>25</v>
      </c>
      <c r="X9" s="88"/>
      <c r="Y9" s="88"/>
      <c r="Z9" s="88"/>
      <c r="AA9" s="88"/>
      <c r="AB9" s="88"/>
      <c r="AC9" s="88"/>
      <c r="AD9" s="2"/>
      <c r="AE9" s="88" t="s">
        <v>27</v>
      </c>
      <c r="AF9" s="88"/>
      <c r="AG9" s="88"/>
      <c r="AH9" s="88"/>
      <c r="AI9" s="88"/>
      <c r="AJ9" s="88"/>
      <c r="AK9" s="88"/>
    </row>
    <row r="10" spans="1:37" s="15" customFormat="1" ht="21" x14ac:dyDescent="0.35">
      <c r="A10" s="14"/>
      <c r="B10" s="14"/>
      <c r="C10" s="14"/>
      <c r="D10" s="14"/>
      <c r="E10" s="14"/>
      <c r="F10" s="14"/>
      <c r="G10" s="14"/>
      <c r="H10" s="14"/>
      <c r="J10" s="16"/>
      <c r="K10" s="16"/>
      <c r="L10" s="16"/>
      <c r="M10" s="16"/>
      <c r="N10" s="16"/>
      <c r="O10" s="16"/>
      <c r="P10" s="16"/>
      <c r="Q10" s="16"/>
      <c r="R10" s="16"/>
      <c r="S10" s="16"/>
      <c r="T10" s="16"/>
      <c r="U10" s="16"/>
      <c r="V10" s="17"/>
      <c r="W10" s="18"/>
      <c r="X10" s="18"/>
      <c r="Y10" s="18"/>
      <c r="Z10" s="18"/>
      <c r="AA10" s="18"/>
      <c r="AB10" s="18"/>
      <c r="AC10" s="18"/>
      <c r="AD10" s="17"/>
      <c r="AE10" s="18"/>
      <c r="AF10" s="18"/>
      <c r="AG10" s="18"/>
      <c r="AH10" s="18"/>
      <c r="AI10" s="18"/>
      <c r="AJ10" s="18"/>
      <c r="AK10" s="18"/>
    </row>
    <row r="11" spans="1:37" ht="15.75" thickBot="1" x14ac:dyDescent="0.3">
      <c r="A11" s="19"/>
      <c r="B11" s="83" t="s">
        <v>3</v>
      </c>
      <c r="C11" s="83"/>
      <c r="D11" s="83"/>
      <c r="E11" s="83"/>
      <c r="F11" s="83"/>
      <c r="G11" s="83"/>
      <c r="H11" s="83"/>
      <c r="J11" s="84" t="s">
        <v>3</v>
      </c>
      <c r="K11" s="84"/>
      <c r="L11" s="84"/>
      <c r="M11" s="84"/>
      <c r="N11" s="84"/>
      <c r="O11" s="84"/>
      <c r="P11" s="84"/>
      <c r="Q11" s="84"/>
      <c r="R11" s="84"/>
      <c r="S11" s="84"/>
      <c r="T11" s="84"/>
      <c r="U11" s="84"/>
      <c r="W11" s="85" t="s">
        <v>3</v>
      </c>
      <c r="X11" s="85"/>
      <c r="Y11" s="85"/>
      <c r="Z11" s="85"/>
      <c r="AA11" s="85"/>
      <c r="AB11" s="85"/>
      <c r="AC11" s="85"/>
      <c r="AE11" s="86" t="s">
        <v>3</v>
      </c>
      <c r="AF11" s="86"/>
      <c r="AG11" s="86"/>
      <c r="AH11" s="86"/>
      <c r="AI11" s="86"/>
      <c r="AJ11" s="86"/>
      <c r="AK11" s="86"/>
    </row>
    <row r="12" spans="1:37" ht="15.75" thickBot="1" x14ac:dyDescent="0.3">
      <c r="A12" s="87" t="s">
        <v>5</v>
      </c>
      <c r="B12" s="34" t="s">
        <v>6</v>
      </c>
      <c r="C12" s="22" t="s">
        <v>7</v>
      </c>
      <c r="D12" s="33" t="s">
        <v>8</v>
      </c>
      <c r="E12" s="22" t="s">
        <v>9</v>
      </c>
      <c r="F12" s="24" t="s">
        <v>10</v>
      </c>
      <c r="G12" s="23" t="s">
        <v>11</v>
      </c>
      <c r="H12" s="25" t="s">
        <v>12</v>
      </c>
      <c r="J12" s="28" t="s">
        <v>4</v>
      </c>
      <c r="K12" s="9"/>
      <c r="L12" s="66"/>
      <c r="M12" s="66"/>
      <c r="N12" s="4"/>
      <c r="O12" s="4"/>
      <c r="P12" s="4"/>
      <c r="Q12" s="4"/>
      <c r="R12" s="4"/>
      <c r="S12" s="4"/>
      <c r="T12" s="4"/>
      <c r="U12" s="5"/>
      <c r="W12" s="6" t="s">
        <v>4</v>
      </c>
      <c r="X12" s="9"/>
      <c r="Y12" s="4"/>
      <c r="Z12" s="4"/>
      <c r="AA12" s="4"/>
      <c r="AB12" s="4"/>
      <c r="AC12" s="5"/>
      <c r="AE12" s="6" t="s">
        <v>4</v>
      </c>
      <c r="AF12" s="9"/>
      <c r="AG12" s="4"/>
      <c r="AH12" s="4"/>
      <c r="AI12" s="4"/>
      <c r="AJ12" s="4"/>
      <c r="AK12" s="5"/>
    </row>
    <row r="13" spans="1:37" ht="15.75" thickBot="1" x14ac:dyDescent="0.3">
      <c r="A13" s="87"/>
      <c r="B13" s="26"/>
      <c r="C13" s="27"/>
      <c r="D13" s="27"/>
      <c r="E13" s="27"/>
      <c r="F13" s="27">
        <f>SUM(C13-B13)</f>
        <v>0</v>
      </c>
      <c r="G13" s="20">
        <f>SUM(E13-D13)</f>
        <v>0</v>
      </c>
      <c r="H13" s="21">
        <f>SUM(F13:G13)</f>
        <v>0</v>
      </c>
      <c r="J13" s="29" t="s">
        <v>22</v>
      </c>
      <c r="K13" s="10"/>
      <c r="L13" s="11"/>
      <c r="M13" s="11"/>
      <c r="N13" s="11"/>
      <c r="O13" s="11"/>
      <c r="P13" s="11"/>
      <c r="Q13" s="11"/>
      <c r="R13" s="11"/>
      <c r="S13" s="11"/>
      <c r="T13" s="11"/>
      <c r="U13" s="12"/>
      <c r="W13" s="7" t="s">
        <v>22</v>
      </c>
      <c r="X13" s="10"/>
      <c r="Y13" s="11"/>
      <c r="Z13" s="11"/>
      <c r="AA13" s="11"/>
      <c r="AB13" s="11"/>
      <c r="AC13" s="12"/>
      <c r="AE13" s="7" t="s">
        <v>22</v>
      </c>
      <c r="AF13" s="10"/>
      <c r="AG13" s="11"/>
      <c r="AH13" s="11"/>
      <c r="AI13" s="11"/>
      <c r="AJ13" s="11"/>
      <c r="AK13" s="12"/>
    </row>
    <row r="14" spans="1:37" x14ac:dyDescent="0.25">
      <c r="J14" s="8"/>
      <c r="T14" s="8" t="s">
        <v>23</v>
      </c>
      <c r="U14" s="13">
        <f>SUM(K13:U13)</f>
        <v>0</v>
      </c>
      <c r="AB14" s="8" t="s">
        <v>23</v>
      </c>
      <c r="AC14" s="13">
        <f>SUM(X13:AC13)</f>
        <v>0</v>
      </c>
      <c r="AJ14" s="8" t="s">
        <v>23</v>
      </c>
      <c r="AK14" s="13">
        <f>SUM(AF13:AK13)</f>
        <v>0</v>
      </c>
    </row>
    <row r="15" spans="1:37" ht="15.75" thickBot="1" x14ac:dyDescent="0.3">
      <c r="A15" s="19"/>
      <c r="B15" s="83" t="s">
        <v>13</v>
      </c>
      <c r="C15" s="83"/>
      <c r="D15" s="83"/>
      <c r="E15" s="83"/>
      <c r="F15" s="83"/>
      <c r="G15" s="83"/>
      <c r="H15" s="83"/>
      <c r="J15" s="84" t="s">
        <v>13</v>
      </c>
      <c r="K15" s="84"/>
      <c r="L15" s="84"/>
      <c r="M15" s="84"/>
      <c r="N15" s="84"/>
      <c r="O15" s="84"/>
      <c r="P15" s="84"/>
      <c r="Q15" s="84"/>
      <c r="R15" s="84"/>
      <c r="S15" s="84"/>
      <c r="T15" s="84"/>
      <c r="U15" s="84"/>
      <c r="W15" s="85" t="str">
        <f>J15</f>
        <v>Março</v>
      </c>
      <c r="X15" s="85"/>
      <c r="Y15" s="85"/>
      <c r="Z15" s="85"/>
      <c r="AA15" s="85"/>
      <c r="AB15" s="85"/>
      <c r="AC15" s="85"/>
      <c r="AE15" s="86" t="str">
        <f>W15</f>
        <v>Março</v>
      </c>
      <c r="AF15" s="86"/>
      <c r="AG15" s="86"/>
      <c r="AH15" s="86"/>
      <c r="AI15" s="86"/>
      <c r="AJ15" s="86"/>
      <c r="AK15" s="86"/>
    </row>
    <row r="16" spans="1:37" ht="15.75" thickBot="1" x14ac:dyDescent="0.3">
      <c r="A16" s="87" t="s">
        <v>5</v>
      </c>
      <c r="B16" s="34" t="s">
        <v>6</v>
      </c>
      <c r="C16" s="22" t="s">
        <v>7</v>
      </c>
      <c r="D16" s="33" t="s">
        <v>8</v>
      </c>
      <c r="E16" s="22" t="s">
        <v>9</v>
      </c>
      <c r="F16" s="24" t="s">
        <v>10</v>
      </c>
      <c r="G16" s="23" t="s">
        <v>11</v>
      </c>
      <c r="H16" s="25" t="s">
        <v>12</v>
      </c>
      <c r="J16" s="6" t="s">
        <v>4</v>
      </c>
      <c r="K16" s="9"/>
      <c r="L16" s="66"/>
      <c r="M16" s="66"/>
      <c r="N16" s="4"/>
      <c r="O16" s="4"/>
      <c r="P16" s="4"/>
      <c r="Q16" s="4"/>
      <c r="R16" s="4"/>
      <c r="S16" s="4"/>
      <c r="T16" s="4"/>
      <c r="U16" s="5"/>
      <c r="W16" s="6" t="s">
        <v>4</v>
      </c>
      <c r="X16" s="9"/>
      <c r="Y16" s="4"/>
      <c r="Z16" s="4"/>
      <c r="AA16" s="4"/>
      <c r="AB16" s="4"/>
      <c r="AC16" s="5"/>
      <c r="AE16" s="6" t="s">
        <v>4</v>
      </c>
      <c r="AF16" s="9"/>
      <c r="AG16" s="4"/>
      <c r="AH16" s="4"/>
      <c r="AI16" s="4"/>
      <c r="AJ16" s="4"/>
      <c r="AK16" s="5"/>
    </row>
    <row r="17" spans="1:37" ht="15.75" thickBot="1" x14ac:dyDescent="0.3">
      <c r="A17" s="87"/>
      <c r="B17" s="26"/>
      <c r="C17" s="27"/>
      <c r="D17" s="27"/>
      <c r="E17" s="27"/>
      <c r="F17" s="27">
        <f>SUM(C17-B17)</f>
        <v>0</v>
      </c>
      <c r="G17" s="20">
        <f>SUM(E17-D17)</f>
        <v>0</v>
      </c>
      <c r="H17" s="21">
        <f>SUM(F17:G17)</f>
        <v>0</v>
      </c>
      <c r="J17" s="7" t="s">
        <v>22</v>
      </c>
      <c r="K17" s="10"/>
      <c r="L17" s="11"/>
      <c r="M17" s="11"/>
      <c r="N17" s="11"/>
      <c r="O17" s="11"/>
      <c r="P17" s="11"/>
      <c r="Q17" s="11"/>
      <c r="R17" s="11"/>
      <c r="S17" s="11"/>
      <c r="T17" s="11"/>
      <c r="U17" s="12"/>
      <c r="W17" s="7" t="s">
        <v>22</v>
      </c>
      <c r="X17" s="10"/>
      <c r="Y17" s="11"/>
      <c r="Z17" s="11"/>
      <c r="AA17" s="11"/>
      <c r="AB17" s="11"/>
      <c r="AC17" s="12"/>
      <c r="AE17" s="7" t="s">
        <v>22</v>
      </c>
      <c r="AF17" s="10"/>
      <c r="AG17" s="11"/>
      <c r="AH17" s="11"/>
      <c r="AI17" s="11"/>
      <c r="AJ17" s="11"/>
      <c r="AK17" s="12"/>
    </row>
    <row r="18" spans="1:37" x14ac:dyDescent="0.25">
      <c r="J18" s="8"/>
      <c r="T18" s="8" t="s">
        <v>23</v>
      </c>
      <c r="U18" s="13">
        <f>SUM(K17:U17)</f>
        <v>0</v>
      </c>
      <c r="AB18" s="8" t="s">
        <v>23</v>
      </c>
      <c r="AC18" s="13">
        <f>SUM(X17:AC17)</f>
        <v>0</v>
      </c>
      <c r="AJ18" s="8" t="s">
        <v>23</v>
      </c>
      <c r="AK18" s="13">
        <f>SUM(AF17:AK17)</f>
        <v>0</v>
      </c>
    </row>
    <row r="19" spans="1:37" ht="15.75" thickBot="1" x14ac:dyDescent="0.3">
      <c r="A19" s="19"/>
      <c r="B19" s="83" t="s">
        <v>14</v>
      </c>
      <c r="C19" s="83"/>
      <c r="D19" s="83"/>
      <c r="E19" s="83"/>
      <c r="F19" s="83"/>
      <c r="G19" s="83"/>
      <c r="H19" s="83"/>
      <c r="J19" s="84" t="s">
        <v>14</v>
      </c>
      <c r="K19" s="84"/>
      <c r="L19" s="84"/>
      <c r="M19" s="84"/>
      <c r="N19" s="84"/>
      <c r="O19" s="84"/>
      <c r="P19" s="84"/>
      <c r="Q19" s="84"/>
      <c r="R19" s="84"/>
      <c r="S19" s="84"/>
      <c r="T19" s="84"/>
      <c r="U19" s="84"/>
      <c r="W19" s="85" t="str">
        <f>J19</f>
        <v>Abril</v>
      </c>
      <c r="X19" s="85"/>
      <c r="Y19" s="85"/>
      <c r="Z19" s="85"/>
      <c r="AA19" s="85"/>
      <c r="AB19" s="85"/>
      <c r="AC19" s="85"/>
      <c r="AE19" s="86" t="str">
        <f>W19</f>
        <v>Abril</v>
      </c>
      <c r="AF19" s="86"/>
      <c r="AG19" s="86"/>
      <c r="AH19" s="86"/>
      <c r="AI19" s="86"/>
      <c r="AJ19" s="86"/>
      <c r="AK19" s="86"/>
    </row>
    <row r="20" spans="1:37" ht="15.75" thickBot="1" x14ac:dyDescent="0.3">
      <c r="A20" s="87" t="s">
        <v>5</v>
      </c>
      <c r="B20" s="34" t="s">
        <v>6</v>
      </c>
      <c r="C20" s="22" t="s">
        <v>7</v>
      </c>
      <c r="D20" s="33" t="s">
        <v>8</v>
      </c>
      <c r="E20" s="22" t="s">
        <v>9</v>
      </c>
      <c r="F20" s="24" t="s">
        <v>10</v>
      </c>
      <c r="G20" s="23" t="s">
        <v>11</v>
      </c>
      <c r="H20" s="25" t="s">
        <v>12</v>
      </c>
      <c r="J20" s="6" t="s">
        <v>4</v>
      </c>
      <c r="K20" s="9"/>
      <c r="L20" s="4"/>
      <c r="M20" s="4"/>
      <c r="N20" s="4"/>
      <c r="O20" s="4"/>
      <c r="P20" s="4"/>
      <c r="Q20" s="4"/>
      <c r="R20" s="4"/>
      <c r="S20" s="4"/>
      <c r="T20" s="4"/>
      <c r="U20" s="5"/>
      <c r="W20" s="6" t="s">
        <v>4</v>
      </c>
      <c r="X20" s="9"/>
      <c r="Y20" s="4"/>
      <c r="Z20" s="4"/>
      <c r="AA20" s="4"/>
      <c r="AB20" s="4"/>
      <c r="AC20" s="5"/>
      <c r="AE20" s="6" t="s">
        <v>4</v>
      </c>
      <c r="AF20" s="9"/>
      <c r="AG20" s="4"/>
      <c r="AH20" s="4"/>
      <c r="AI20" s="4"/>
      <c r="AJ20" s="4"/>
      <c r="AK20" s="5"/>
    </row>
    <row r="21" spans="1:37" ht="15.75" thickBot="1" x14ac:dyDescent="0.3">
      <c r="A21" s="87"/>
      <c r="B21" s="26"/>
      <c r="C21" s="27"/>
      <c r="D21" s="27"/>
      <c r="E21" s="27"/>
      <c r="F21" s="27">
        <f>SUM(C21-B21)</f>
        <v>0</v>
      </c>
      <c r="G21" s="20">
        <f>SUM(E21-D21)</f>
        <v>0</v>
      </c>
      <c r="H21" s="21">
        <f>SUM(F21:G21)</f>
        <v>0</v>
      </c>
      <c r="J21" s="7" t="s">
        <v>22</v>
      </c>
      <c r="K21" s="30"/>
      <c r="L21" s="31"/>
      <c r="M21" s="31"/>
      <c r="N21" s="31"/>
      <c r="O21" s="31"/>
      <c r="P21" s="31"/>
      <c r="Q21" s="31"/>
      <c r="R21" s="31"/>
      <c r="S21" s="31"/>
      <c r="T21" s="31"/>
      <c r="U21" s="32"/>
      <c r="W21" s="7" t="s">
        <v>22</v>
      </c>
      <c r="X21" s="10"/>
      <c r="Y21" s="11"/>
      <c r="Z21" s="11"/>
      <c r="AA21" s="11"/>
      <c r="AB21" s="11"/>
      <c r="AC21" s="12"/>
      <c r="AE21" s="7" t="s">
        <v>22</v>
      </c>
      <c r="AF21" s="10"/>
      <c r="AG21" s="11"/>
      <c r="AH21" s="11"/>
      <c r="AI21" s="11"/>
      <c r="AJ21" s="11"/>
      <c r="AK21" s="12"/>
    </row>
    <row r="22" spans="1:37" x14ac:dyDescent="0.25">
      <c r="J22" s="8"/>
      <c r="T22" s="8" t="s">
        <v>23</v>
      </c>
      <c r="U22" s="13">
        <f>SUM(K21:U21)</f>
        <v>0</v>
      </c>
      <c r="AB22" s="8" t="s">
        <v>23</v>
      </c>
      <c r="AC22" s="13">
        <f>SUM(X21:AC21)</f>
        <v>0</v>
      </c>
      <c r="AJ22" s="8" t="s">
        <v>23</v>
      </c>
      <c r="AK22" s="13">
        <f>SUM(AF21:AK21)</f>
        <v>0</v>
      </c>
    </row>
    <row r="23" spans="1:37" ht="15.75" thickBot="1" x14ac:dyDescent="0.3">
      <c r="A23" s="19"/>
      <c r="B23" s="83" t="s">
        <v>15</v>
      </c>
      <c r="C23" s="83"/>
      <c r="D23" s="83"/>
      <c r="E23" s="83"/>
      <c r="F23" s="83"/>
      <c r="G23" s="83"/>
      <c r="H23" s="83"/>
      <c r="J23" s="84" t="s">
        <v>15</v>
      </c>
      <c r="K23" s="84"/>
      <c r="L23" s="84"/>
      <c r="M23" s="84"/>
      <c r="N23" s="84"/>
      <c r="O23" s="84"/>
      <c r="P23" s="84"/>
      <c r="Q23" s="84"/>
      <c r="R23" s="84"/>
      <c r="S23" s="84"/>
      <c r="T23" s="84"/>
      <c r="U23" s="84"/>
      <c r="W23" s="85" t="str">
        <f>J23</f>
        <v>Maio</v>
      </c>
      <c r="X23" s="85"/>
      <c r="Y23" s="85"/>
      <c r="Z23" s="85"/>
      <c r="AA23" s="85"/>
      <c r="AB23" s="85"/>
      <c r="AC23" s="85"/>
      <c r="AE23" s="86" t="str">
        <f>W23</f>
        <v>Maio</v>
      </c>
      <c r="AF23" s="86"/>
      <c r="AG23" s="86"/>
      <c r="AH23" s="86"/>
      <c r="AI23" s="86"/>
      <c r="AJ23" s="86"/>
      <c r="AK23" s="86"/>
    </row>
    <row r="24" spans="1:37" ht="15.75" thickBot="1" x14ac:dyDescent="0.3">
      <c r="A24" s="87" t="s">
        <v>5</v>
      </c>
      <c r="B24" s="34" t="s">
        <v>6</v>
      </c>
      <c r="C24" s="22" t="s">
        <v>7</v>
      </c>
      <c r="D24" s="33" t="s">
        <v>8</v>
      </c>
      <c r="E24" s="22" t="s">
        <v>9</v>
      </c>
      <c r="F24" s="24" t="s">
        <v>10</v>
      </c>
      <c r="G24" s="23" t="s">
        <v>11</v>
      </c>
      <c r="H24" s="25" t="s">
        <v>12</v>
      </c>
      <c r="J24" s="6" t="s">
        <v>4</v>
      </c>
      <c r="K24" s="9"/>
      <c r="L24" s="4"/>
      <c r="M24" s="4"/>
      <c r="N24" s="4"/>
      <c r="O24" s="4"/>
      <c r="P24" s="4"/>
      <c r="Q24" s="4"/>
      <c r="R24" s="4"/>
      <c r="S24" s="4"/>
      <c r="T24" s="4"/>
      <c r="U24" s="5"/>
      <c r="W24" s="6" t="s">
        <v>4</v>
      </c>
      <c r="X24" s="9"/>
      <c r="Y24" s="4"/>
      <c r="Z24" s="4"/>
      <c r="AA24" s="4"/>
      <c r="AB24" s="4"/>
      <c r="AC24" s="5"/>
      <c r="AE24" s="6" t="s">
        <v>4</v>
      </c>
      <c r="AF24" s="9"/>
      <c r="AG24" s="4"/>
      <c r="AH24" s="4"/>
      <c r="AI24" s="4"/>
      <c r="AJ24" s="4"/>
      <c r="AK24" s="5"/>
    </row>
    <row r="25" spans="1:37" ht="15.75" thickBot="1" x14ac:dyDescent="0.3">
      <c r="A25" s="87"/>
      <c r="B25" s="26"/>
      <c r="C25" s="27"/>
      <c r="D25" s="27"/>
      <c r="E25" s="27"/>
      <c r="F25" s="27">
        <f>SUM(C25-B25)</f>
        <v>0</v>
      </c>
      <c r="G25" s="20">
        <f>SUM(E25-D25)</f>
        <v>0</v>
      </c>
      <c r="H25" s="21">
        <f>SUM(F25:G25)</f>
        <v>0</v>
      </c>
      <c r="J25" s="7" t="s">
        <v>22</v>
      </c>
      <c r="K25" s="10"/>
      <c r="L25" s="11"/>
      <c r="M25" s="11"/>
      <c r="N25" s="11"/>
      <c r="O25" s="11"/>
      <c r="P25" s="11"/>
      <c r="Q25" s="11"/>
      <c r="R25" s="11"/>
      <c r="S25" s="11"/>
      <c r="T25" s="11"/>
      <c r="U25" s="12"/>
      <c r="W25" s="7" t="s">
        <v>22</v>
      </c>
      <c r="X25" s="10"/>
      <c r="Y25" s="11"/>
      <c r="Z25" s="11"/>
      <c r="AA25" s="11"/>
      <c r="AB25" s="11"/>
      <c r="AC25" s="12"/>
      <c r="AE25" s="7" t="s">
        <v>22</v>
      </c>
      <c r="AF25" s="10"/>
      <c r="AG25" s="11"/>
      <c r="AH25" s="11"/>
      <c r="AI25" s="11"/>
      <c r="AJ25" s="11"/>
      <c r="AK25" s="12"/>
    </row>
    <row r="26" spans="1:37" x14ac:dyDescent="0.25">
      <c r="J26" s="8"/>
      <c r="T26" s="8" t="s">
        <v>23</v>
      </c>
      <c r="U26" s="13">
        <f>SUM(K25:U25)</f>
        <v>0</v>
      </c>
      <c r="AB26" s="8" t="s">
        <v>23</v>
      </c>
      <c r="AC26" s="13">
        <f>SUM(X25:AC25)</f>
        <v>0</v>
      </c>
      <c r="AJ26" s="8" t="s">
        <v>23</v>
      </c>
      <c r="AK26" s="13">
        <f>SUM(AF25:AK25)</f>
        <v>0</v>
      </c>
    </row>
    <row r="27" spans="1:37" ht="15.75" thickBot="1" x14ac:dyDescent="0.3">
      <c r="A27" s="19"/>
      <c r="B27" s="83" t="s">
        <v>24</v>
      </c>
      <c r="C27" s="83"/>
      <c r="D27" s="83"/>
      <c r="E27" s="83"/>
      <c r="F27" s="83"/>
      <c r="G27" s="83"/>
      <c r="H27" s="83"/>
      <c r="J27" s="84" t="s">
        <v>24</v>
      </c>
      <c r="K27" s="84"/>
      <c r="L27" s="84"/>
      <c r="M27" s="84"/>
      <c r="N27" s="84"/>
      <c r="O27" s="84"/>
      <c r="P27" s="84"/>
      <c r="Q27" s="84"/>
      <c r="R27" s="84"/>
      <c r="S27" s="84"/>
      <c r="T27" s="84"/>
      <c r="U27" s="84"/>
      <c r="W27" s="85" t="str">
        <f>J27</f>
        <v>Junho</v>
      </c>
      <c r="X27" s="85"/>
      <c r="Y27" s="85"/>
      <c r="Z27" s="85"/>
      <c r="AA27" s="85"/>
      <c r="AB27" s="85"/>
      <c r="AC27" s="85"/>
      <c r="AE27" s="86" t="str">
        <f>W27</f>
        <v>Junho</v>
      </c>
      <c r="AF27" s="86"/>
      <c r="AG27" s="86"/>
      <c r="AH27" s="86"/>
      <c r="AI27" s="86"/>
      <c r="AJ27" s="86"/>
      <c r="AK27" s="86"/>
    </row>
    <row r="28" spans="1:37" ht="15.75" thickBot="1" x14ac:dyDescent="0.3">
      <c r="A28" s="87" t="s">
        <v>5</v>
      </c>
      <c r="B28" s="34" t="s">
        <v>6</v>
      </c>
      <c r="C28" s="22" t="s">
        <v>7</v>
      </c>
      <c r="D28" s="33" t="s">
        <v>8</v>
      </c>
      <c r="E28" s="22" t="s">
        <v>9</v>
      </c>
      <c r="F28" s="24" t="s">
        <v>10</v>
      </c>
      <c r="G28" s="23" t="s">
        <v>11</v>
      </c>
      <c r="H28" s="25" t="s">
        <v>12</v>
      </c>
      <c r="J28" s="6" t="s">
        <v>4</v>
      </c>
      <c r="K28" s="9"/>
      <c r="L28" s="4"/>
      <c r="M28" s="4"/>
      <c r="N28" s="4"/>
      <c r="O28" s="4"/>
      <c r="P28" s="4"/>
      <c r="Q28" s="4"/>
      <c r="R28" s="4"/>
      <c r="S28" s="4"/>
      <c r="T28" s="4"/>
      <c r="U28" s="5"/>
      <c r="W28" s="6" t="s">
        <v>4</v>
      </c>
      <c r="X28" s="9"/>
      <c r="Y28" s="4"/>
      <c r="Z28" s="4"/>
      <c r="AA28" s="4"/>
      <c r="AB28" s="4"/>
      <c r="AC28" s="5"/>
      <c r="AE28" s="6" t="s">
        <v>4</v>
      </c>
      <c r="AF28" s="9"/>
      <c r="AG28" s="4"/>
      <c r="AH28" s="4"/>
      <c r="AI28" s="4"/>
      <c r="AJ28" s="4"/>
      <c r="AK28" s="5"/>
    </row>
    <row r="29" spans="1:37" ht="15.75" thickBot="1" x14ac:dyDescent="0.3">
      <c r="A29" s="87"/>
      <c r="B29" s="26"/>
      <c r="C29" s="27"/>
      <c r="D29" s="27"/>
      <c r="E29" s="27"/>
      <c r="F29" s="27">
        <f>SUM(C29-B29)</f>
        <v>0</v>
      </c>
      <c r="G29" s="20">
        <f>SUM(E29-D29)</f>
        <v>0</v>
      </c>
      <c r="H29" s="21">
        <f>SUM(F29:G29)</f>
        <v>0</v>
      </c>
      <c r="J29" s="7" t="s">
        <v>22</v>
      </c>
      <c r="K29" s="10"/>
      <c r="L29" s="11"/>
      <c r="M29" s="11"/>
      <c r="N29" s="11"/>
      <c r="O29" s="11"/>
      <c r="P29" s="11"/>
      <c r="Q29" s="11"/>
      <c r="R29" s="11"/>
      <c r="S29" s="11"/>
      <c r="T29" s="11"/>
      <c r="U29" s="12"/>
      <c r="W29" s="7" t="s">
        <v>22</v>
      </c>
      <c r="X29" s="10"/>
      <c r="Y29" s="11"/>
      <c r="Z29" s="11"/>
      <c r="AA29" s="11"/>
      <c r="AB29" s="11"/>
      <c r="AC29" s="12"/>
      <c r="AE29" s="7" t="s">
        <v>22</v>
      </c>
      <c r="AF29" s="10"/>
      <c r="AG29" s="11"/>
      <c r="AH29" s="11"/>
      <c r="AI29" s="11"/>
      <c r="AJ29" s="11"/>
      <c r="AK29" s="12"/>
    </row>
    <row r="30" spans="1:37" x14ac:dyDescent="0.25">
      <c r="J30" s="8"/>
      <c r="T30" s="8" t="s">
        <v>23</v>
      </c>
      <c r="U30" s="13">
        <f>SUM(K29:U29)</f>
        <v>0</v>
      </c>
      <c r="AB30" s="8" t="s">
        <v>23</v>
      </c>
      <c r="AC30" s="13">
        <f>SUM(X29:AC29)</f>
        <v>0</v>
      </c>
      <c r="AJ30" s="8" t="s">
        <v>23</v>
      </c>
      <c r="AK30" s="13">
        <f>SUM(AF29:AK29)</f>
        <v>0</v>
      </c>
    </row>
    <row r="31" spans="1:37" ht="15.75" thickBot="1" x14ac:dyDescent="0.3">
      <c r="A31" s="19"/>
      <c r="B31" s="83" t="s">
        <v>16</v>
      </c>
      <c r="C31" s="83"/>
      <c r="D31" s="83"/>
      <c r="E31" s="83"/>
      <c r="F31" s="83"/>
      <c r="G31" s="83"/>
      <c r="H31" s="83"/>
      <c r="J31" s="84" t="s">
        <v>16</v>
      </c>
      <c r="K31" s="84"/>
      <c r="L31" s="84"/>
      <c r="M31" s="84"/>
      <c r="N31" s="84"/>
      <c r="O31" s="84"/>
      <c r="P31" s="84"/>
      <c r="Q31" s="84"/>
      <c r="R31" s="84"/>
      <c r="S31" s="84"/>
      <c r="T31" s="84"/>
      <c r="U31" s="84"/>
      <c r="W31" s="85" t="str">
        <f>J31</f>
        <v>Julho</v>
      </c>
      <c r="X31" s="85"/>
      <c r="Y31" s="85"/>
      <c r="Z31" s="85"/>
      <c r="AA31" s="85"/>
      <c r="AB31" s="85"/>
      <c r="AC31" s="85"/>
      <c r="AE31" s="86" t="str">
        <f>W31</f>
        <v>Julho</v>
      </c>
      <c r="AF31" s="86"/>
      <c r="AG31" s="86"/>
      <c r="AH31" s="86"/>
      <c r="AI31" s="86"/>
      <c r="AJ31" s="86"/>
      <c r="AK31" s="86"/>
    </row>
    <row r="32" spans="1:37" ht="15.75" thickBot="1" x14ac:dyDescent="0.3">
      <c r="A32" s="87" t="s">
        <v>5</v>
      </c>
      <c r="B32" s="34" t="s">
        <v>6</v>
      </c>
      <c r="C32" s="22" t="s">
        <v>7</v>
      </c>
      <c r="D32" s="33" t="s">
        <v>8</v>
      </c>
      <c r="E32" s="22" t="s">
        <v>9</v>
      </c>
      <c r="F32" s="24" t="s">
        <v>10</v>
      </c>
      <c r="G32" s="23" t="s">
        <v>11</v>
      </c>
      <c r="H32" s="25" t="s">
        <v>12</v>
      </c>
      <c r="J32" s="6" t="s">
        <v>4</v>
      </c>
      <c r="K32" s="9"/>
      <c r="L32" s="4"/>
      <c r="M32" s="4"/>
      <c r="N32" s="4"/>
      <c r="O32" s="4"/>
      <c r="P32" s="4"/>
      <c r="Q32" s="4"/>
      <c r="R32" s="4"/>
      <c r="S32" s="4"/>
      <c r="T32" s="4"/>
      <c r="U32" s="5"/>
      <c r="W32" s="6" t="s">
        <v>4</v>
      </c>
      <c r="X32" s="9"/>
      <c r="Y32" s="4"/>
      <c r="Z32" s="4"/>
      <c r="AA32" s="4"/>
      <c r="AB32" s="4"/>
      <c r="AC32" s="5"/>
      <c r="AE32" s="6" t="s">
        <v>4</v>
      </c>
      <c r="AF32" s="9"/>
      <c r="AG32" s="4"/>
      <c r="AH32" s="4"/>
      <c r="AI32" s="4"/>
      <c r="AJ32" s="4"/>
      <c r="AK32" s="5"/>
    </row>
    <row r="33" spans="1:37" ht="15.75" thickBot="1" x14ac:dyDescent="0.3">
      <c r="A33" s="87"/>
      <c r="B33" s="26"/>
      <c r="C33" s="27"/>
      <c r="D33" s="27"/>
      <c r="E33" s="27"/>
      <c r="F33" s="27">
        <f>SUM(C33-B33)</f>
        <v>0</v>
      </c>
      <c r="G33" s="20">
        <f>SUM(E33-D33)</f>
        <v>0</v>
      </c>
      <c r="H33" s="21">
        <f>SUM(F33:G33)</f>
        <v>0</v>
      </c>
      <c r="J33" s="7" t="s">
        <v>22</v>
      </c>
      <c r="K33" s="10"/>
      <c r="L33" s="11"/>
      <c r="M33" s="11"/>
      <c r="N33" s="11"/>
      <c r="O33" s="11"/>
      <c r="P33" s="11"/>
      <c r="Q33" s="11"/>
      <c r="R33" s="11"/>
      <c r="S33" s="11"/>
      <c r="T33" s="11"/>
      <c r="U33" s="12"/>
      <c r="W33" s="7" t="s">
        <v>22</v>
      </c>
      <c r="X33" s="10"/>
      <c r="Y33" s="11"/>
      <c r="Z33" s="11"/>
      <c r="AA33" s="11"/>
      <c r="AB33" s="11"/>
      <c r="AC33" s="12"/>
      <c r="AE33" s="7" t="s">
        <v>22</v>
      </c>
      <c r="AF33" s="10"/>
      <c r="AG33" s="11"/>
      <c r="AH33" s="11"/>
      <c r="AI33" s="11"/>
      <c r="AJ33" s="11"/>
      <c r="AK33" s="12"/>
    </row>
    <row r="34" spans="1:37" x14ac:dyDescent="0.25">
      <c r="J34" s="8"/>
      <c r="T34" s="8" t="s">
        <v>23</v>
      </c>
      <c r="U34" s="13">
        <f>SUM(K33:U33)</f>
        <v>0</v>
      </c>
      <c r="AB34" s="8" t="s">
        <v>23</v>
      </c>
      <c r="AC34" s="13">
        <f>SUM(X33:AC33)</f>
        <v>0</v>
      </c>
      <c r="AJ34" s="8" t="s">
        <v>23</v>
      </c>
      <c r="AK34" s="13">
        <f>SUM(AF33:AK33)</f>
        <v>0</v>
      </c>
    </row>
    <row r="35" spans="1:37" ht="15.75" thickBot="1" x14ac:dyDescent="0.3">
      <c r="A35" s="19"/>
      <c r="B35" s="83" t="s">
        <v>17</v>
      </c>
      <c r="C35" s="83"/>
      <c r="D35" s="83"/>
      <c r="E35" s="83"/>
      <c r="F35" s="83"/>
      <c r="G35" s="83"/>
      <c r="H35" s="83"/>
      <c r="J35" s="84" t="s">
        <v>17</v>
      </c>
      <c r="K35" s="84"/>
      <c r="L35" s="84"/>
      <c r="M35" s="84"/>
      <c r="N35" s="84"/>
      <c r="O35" s="84"/>
      <c r="P35" s="84"/>
      <c r="Q35" s="84"/>
      <c r="R35" s="84"/>
      <c r="S35" s="84"/>
      <c r="T35" s="84"/>
      <c r="U35" s="84"/>
      <c r="W35" s="85" t="str">
        <f>J35</f>
        <v>Agosto</v>
      </c>
      <c r="X35" s="85"/>
      <c r="Y35" s="85"/>
      <c r="Z35" s="85"/>
      <c r="AA35" s="85"/>
      <c r="AB35" s="85"/>
      <c r="AC35" s="85"/>
      <c r="AE35" s="86" t="str">
        <f>W35</f>
        <v>Agosto</v>
      </c>
      <c r="AF35" s="86"/>
      <c r="AG35" s="86"/>
      <c r="AH35" s="86"/>
      <c r="AI35" s="86"/>
      <c r="AJ35" s="86"/>
      <c r="AK35" s="86"/>
    </row>
    <row r="36" spans="1:37" ht="15.75" thickBot="1" x14ac:dyDescent="0.3">
      <c r="A36" s="87" t="s">
        <v>5</v>
      </c>
      <c r="B36" s="34" t="s">
        <v>6</v>
      </c>
      <c r="C36" s="22" t="s">
        <v>7</v>
      </c>
      <c r="D36" s="33" t="s">
        <v>8</v>
      </c>
      <c r="E36" s="22" t="s">
        <v>9</v>
      </c>
      <c r="F36" s="24" t="s">
        <v>10</v>
      </c>
      <c r="G36" s="23" t="s">
        <v>11</v>
      </c>
      <c r="H36" s="25" t="s">
        <v>12</v>
      </c>
      <c r="J36" s="6" t="s">
        <v>4</v>
      </c>
      <c r="K36" s="9"/>
      <c r="L36" s="4"/>
      <c r="M36" s="4"/>
      <c r="N36" s="4"/>
      <c r="O36" s="4"/>
      <c r="P36" s="4"/>
      <c r="Q36" s="4"/>
      <c r="R36" s="4"/>
      <c r="S36" s="4"/>
      <c r="T36" s="4"/>
      <c r="U36" s="5"/>
      <c r="W36" s="6" t="s">
        <v>4</v>
      </c>
      <c r="X36" s="9"/>
      <c r="Y36" s="4"/>
      <c r="Z36" s="4"/>
      <c r="AA36" s="4"/>
      <c r="AB36" s="4"/>
      <c r="AC36" s="5"/>
      <c r="AE36" s="6" t="s">
        <v>4</v>
      </c>
      <c r="AF36" s="9"/>
      <c r="AG36" s="4"/>
      <c r="AH36" s="4"/>
      <c r="AI36" s="4"/>
      <c r="AJ36" s="4"/>
      <c r="AK36" s="5"/>
    </row>
    <row r="37" spans="1:37" ht="15.75" thickBot="1" x14ac:dyDescent="0.3">
      <c r="A37" s="87"/>
      <c r="B37" s="26"/>
      <c r="C37" s="27"/>
      <c r="D37" s="27"/>
      <c r="E37" s="27"/>
      <c r="F37" s="27">
        <f>SUM(C37-B37)</f>
        <v>0</v>
      </c>
      <c r="G37" s="20">
        <f>SUM(E37-D37)</f>
        <v>0</v>
      </c>
      <c r="H37" s="21">
        <f>SUM(F37:G37)</f>
        <v>0</v>
      </c>
      <c r="J37" s="7" t="s">
        <v>22</v>
      </c>
      <c r="K37" s="10"/>
      <c r="L37" s="11"/>
      <c r="M37" s="11"/>
      <c r="N37" s="11"/>
      <c r="O37" s="11"/>
      <c r="P37" s="11"/>
      <c r="Q37" s="11"/>
      <c r="R37" s="11"/>
      <c r="S37" s="11"/>
      <c r="T37" s="11"/>
      <c r="U37" s="12"/>
      <c r="W37" s="7" t="s">
        <v>22</v>
      </c>
      <c r="X37" s="10"/>
      <c r="Y37" s="11"/>
      <c r="Z37" s="11"/>
      <c r="AA37" s="11"/>
      <c r="AB37" s="11"/>
      <c r="AC37" s="12"/>
      <c r="AE37" s="7" t="s">
        <v>22</v>
      </c>
      <c r="AF37" s="10"/>
      <c r="AG37" s="11"/>
      <c r="AH37" s="11"/>
      <c r="AI37" s="11"/>
      <c r="AJ37" s="11"/>
      <c r="AK37" s="12"/>
    </row>
    <row r="38" spans="1:37" x14ac:dyDescent="0.25">
      <c r="J38" s="8"/>
      <c r="T38" s="8" t="s">
        <v>23</v>
      </c>
      <c r="U38" s="13">
        <f>SUM(K37:U37)</f>
        <v>0</v>
      </c>
      <c r="AB38" s="8" t="s">
        <v>23</v>
      </c>
      <c r="AC38" s="13">
        <f>SUM(X37:AC37)</f>
        <v>0</v>
      </c>
      <c r="AJ38" s="8" t="s">
        <v>23</v>
      </c>
      <c r="AK38" s="13">
        <f>SUM(AF37:AK37)</f>
        <v>0</v>
      </c>
    </row>
    <row r="39" spans="1:37" ht="15.75" thickBot="1" x14ac:dyDescent="0.3">
      <c r="A39" s="19"/>
      <c r="B39" s="83" t="s">
        <v>18</v>
      </c>
      <c r="C39" s="83"/>
      <c r="D39" s="83"/>
      <c r="E39" s="83"/>
      <c r="F39" s="83"/>
      <c r="G39" s="83"/>
      <c r="H39" s="83"/>
      <c r="J39" s="84" t="s">
        <v>18</v>
      </c>
      <c r="K39" s="84"/>
      <c r="L39" s="84"/>
      <c r="M39" s="84"/>
      <c r="N39" s="84"/>
      <c r="O39" s="84"/>
      <c r="P39" s="84"/>
      <c r="Q39" s="84"/>
      <c r="R39" s="84"/>
      <c r="S39" s="84"/>
      <c r="T39" s="84"/>
      <c r="U39" s="84"/>
      <c r="W39" s="85" t="str">
        <f>J39</f>
        <v>Setembro</v>
      </c>
      <c r="X39" s="85"/>
      <c r="Y39" s="85"/>
      <c r="Z39" s="85"/>
      <c r="AA39" s="85"/>
      <c r="AB39" s="85"/>
      <c r="AC39" s="85"/>
      <c r="AE39" s="86" t="str">
        <f>W39</f>
        <v>Setembro</v>
      </c>
      <c r="AF39" s="86"/>
      <c r="AG39" s="86"/>
      <c r="AH39" s="86"/>
      <c r="AI39" s="86"/>
      <c r="AJ39" s="86"/>
      <c r="AK39" s="86"/>
    </row>
    <row r="40" spans="1:37" ht="15.75" thickBot="1" x14ac:dyDescent="0.3">
      <c r="A40" s="87" t="s">
        <v>5</v>
      </c>
      <c r="B40" s="34" t="s">
        <v>6</v>
      </c>
      <c r="C40" s="22" t="s">
        <v>7</v>
      </c>
      <c r="D40" s="33" t="s">
        <v>8</v>
      </c>
      <c r="E40" s="22" t="s">
        <v>9</v>
      </c>
      <c r="F40" s="24" t="s">
        <v>10</v>
      </c>
      <c r="G40" s="23" t="s">
        <v>11</v>
      </c>
      <c r="H40" s="25" t="s">
        <v>12</v>
      </c>
      <c r="J40" s="6" t="s">
        <v>4</v>
      </c>
      <c r="K40" s="9"/>
      <c r="L40" s="4"/>
      <c r="M40" s="4"/>
      <c r="N40" s="4"/>
      <c r="O40" s="4"/>
      <c r="P40" s="4"/>
      <c r="Q40" s="4"/>
      <c r="R40" s="4"/>
      <c r="S40" s="4"/>
      <c r="T40" s="4"/>
      <c r="U40" s="5"/>
      <c r="W40" s="6" t="s">
        <v>4</v>
      </c>
      <c r="X40" s="9"/>
      <c r="Y40" s="4"/>
      <c r="Z40" s="4"/>
      <c r="AA40" s="4"/>
      <c r="AB40" s="4"/>
      <c r="AC40" s="5"/>
      <c r="AE40" s="6" t="s">
        <v>4</v>
      </c>
      <c r="AF40" s="9"/>
      <c r="AG40" s="4"/>
      <c r="AH40" s="4"/>
      <c r="AI40" s="4"/>
      <c r="AJ40" s="4"/>
      <c r="AK40" s="5"/>
    </row>
    <row r="41" spans="1:37" ht="15.75" thickBot="1" x14ac:dyDescent="0.3">
      <c r="A41" s="87"/>
      <c r="B41" s="26"/>
      <c r="C41" s="27"/>
      <c r="D41" s="27"/>
      <c r="E41" s="27"/>
      <c r="F41" s="27">
        <f>SUM(C41-B41)</f>
        <v>0</v>
      </c>
      <c r="G41" s="20">
        <f>SUM(E41-D41)</f>
        <v>0</v>
      </c>
      <c r="H41" s="21">
        <f>SUM(F41:G41)</f>
        <v>0</v>
      </c>
      <c r="J41" s="7" t="s">
        <v>22</v>
      </c>
      <c r="K41" s="10"/>
      <c r="L41" s="11"/>
      <c r="M41" s="11"/>
      <c r="N41" s="11"/>
      <c r="O41" s="11"/>
      <c r="P41" s="11"/>
      <c r="Q41" s="11"/>
      <c r="R41" s="11"/>
      <c r="S41" s="11"/>
      <c r="T41" s="11"/>
      <c r="U41" s="12"/>
      <c r="W41" s="7" t="s">
        <v>22</v>
      </c>
      <c r="X41" s="10"/>
      <c r="Y41" s="11"/>
      <c r="Z41" s="11"/>
      <c r="AA41" s="11"/>
      <c r="AB41" s="11"/>
      <c r="AC41" s="12"/>
      <c r="AE41" s="7" t="s">
        <v>22</v>
      </c>
      <c r="AF41" s="10"/>
      <c r="AG41" s="11"/>
      <c r="AH41" s="11"/>
      <c r="AI41" s="11"/>
      <c r="AJ41" s="11"/>
      <c r="AK41" s="12"/>
    </row>
    <row r="42" spans="1:37" x14ac:dyDescent="0.25">
      <c r="J42" s="8"/>
      <c r="T42" s="8" t="s">
        <v>23</v>
      </c>
      <c r="U42" s="13">
        <f>SUM(K41:U41)</f>
        <v>0</v>
      </c>
      <c r="AB42" s="8" t="s">
        <v>23</v>
      </c>
      <c r="AC42" s="13">
        <f>SUM(X41:AC41)</f>
        <v>0</v>
      </c>
      <c r="AJ42" s="8" t="s">
        <v>23</v>
      </c>
      <c r="AK42" s="13">
        <f>SUM(AF41:AK41)</f>
        <v>0</v>
      </c>
    </row>
    <row r="43" spans="1:37" ht="15.75" thickBot="1" x14ac:dyDescent="0.3">
      <c r="A43" s="19"/>
      <c r="B43" s="83" t="s">
        <v>19</v>
      </c>
      <c r="C43" s="83"/>
      <c r="D43" s="83"/>
      <c r="E43" s="83"/>
      <c r="F43" s="83"/>
      <c r="G43" s="83"/>
      <c r="H43" s="83"/>
      <c r="J43" s="84" t="s">
        <v>19</v>
      </c>
      <c r="K43" s="84"/>
      <c r="L43" s="84"/>
      <c r="M43" s="84"/>
      <c r="N43" s="84"/>
      <c r="O43" s="84"/>
      <c r="P43" s="84"/>
      <c r="Q43" s="84"/>
      <c r="R43" s="84"/>
      <c r="S43" s="84"/>
      <c r="T43" s="84"/>
      <c r="U43" s="84"/>
      <c r="W43" s="85" t="str">
        <f>J43</f>
        <v>Outubro</v>
      </c>
      <c r="X43" s="85"/>
      <c r="Y43" s="85"/>
      <c r="Z43" s="85"/>
      <c r="AA43" s="85"/>
      <c r="AB43" s="85"/>
      <c r="AC43" s="85"/>
      <c r="AE43" s="86" t="str">
        <f>W43</f>
        <v>Outubro</v>
      </c>
      <c r="AF43" s="86"/>
      <c r="AG43" s="86"/>
      <c r="AH43" s="86"/>
      <c r="AI43" s="86"/>
      <c r="AJ43" s="86"/>
      <c r="AK43" s="86"/>
    </row>
    <row r="44" spans="1:37" ht="15.75" thickBot="1" x14ac:dyDescent="0.3">
      <c r="A44" s="87" t="s">
        <v>5</v>
      </c>
      <c r="B44" s="34" t="s">
        <v>6</v>
      </c>
      <c r="C44" s="22" t="s">
        <v>7</v>
      </c>
      <c r="D44" s="33" t="s">
        <v>8</v>
      </c>
      <c r="E44" s="22" t="s">
        <v>9</v>
      </c>
      <c r="F44" s="24" t="s">
        <v>10</v>
      </c>
      <c r="G44" s="23" t="s">
        <v>11</v>
      </c>
      <c r="H44" s="25" t="s">
        <v>12</v>
      </c>
      <c r="J44" s="6" t="s">
        <v>4</v>
      </c>
      <c r="K44" s="9"/>
      <c r="L44" s="4"/>
      <c r="M44" s="4"/>
      <c r="N44" s="4"/>
      <c r="O44" s="4"/>
      <c r="P44" s="4"/>
      <c r="Q44" s="4"/>
      <c r="R44" s="4"/>
      <c r="S44" s="4"/>
      <c r="T44" s="4"/>
      <c r="U44" s="5"/>
      <c r="W44" s="6" t="s">
        <v>4</v>
      </c>
      <c r="X44" s="9"/>
      <c r="Y44" s="4"/>
      <c r="Z44" s="4"/>
      <c r="AA44" s="4"/>
      <c r="AB44" s="4"/>
      <c r="AC44" s="5"/>
      <c r="AE44" s="6" t="s">
        <v>4</v>
      </c>
      <c r="AF44" s="9"/>
      <c r="AG44" s="4"/>
      <c r="AH44" s="4"/>
      <c r="AI44" s="4"/>
      <c r="AJ44" s="4"/>
      <c r="AK44" s="5"/>
    </row>
    <row r="45" spans="1:37" ht="15.75" thickBot="1" x14ac:dyDescent="0.3">
      <c r="A45" s="87"/>
      <c r="B45" s="26"/>
      <c r="C45" s="27"/>
      <c r="D45" s="27">
        <v>33485</v>
      </c>
      <c r="E45" s="27">
        <v>34211</v>
      </c>
      <c r="F45" s="27">
        <f>SUM(C45-B45)</f>
        <v>0</v>
      </c>
      <c r="G45" s="20">
        <f>SUM(E45-D45)</f>
        <v>726</v>
      </c>
      <c r="H45" s="21">
        <f>SUM(F45:G45)</f>
        <v>726</v>
      </c>
      <c r="J45" s="7" t="s">
        <v>22</v>
      </c>
      <c r="K45" s="10"/>
      <c r="L45" s="11"/>
      <c r="M45" s="11"/>
      <c r="N45" s="11"/>
      <c r="O45" s="11"/>
      <c r="P45" s="11"/>
      <c r="Q45" s="11"/>
      <c r="R45" s="11"/>
      <c r="S45" s="11"/>
      <c r="T45" s="11"/>
      <c r="U45" s="12"/>
      <c r="W45" s="7" t="s">
        <v>22</v>
      </c>
      <c r="X45" s="10"/>
      <c r="Y45" s="11"/>
      <c r="Z45" s="11"/>
      <c r="AA45" s="11"/>
      <c r="AB45" s="11"/>
      <c r="AC45" s="12"/>
      <c r="AE45" s="7" t="s">
        <v>22</v>
      </c>
      <c r="AF45" s="10"/>
      <c r="AG45" s="11"/>
      <c r="AH45" s="11"/>
      <c r="AI45" s="11"/>
      <c r="AJ45" s="11"/>
      <c r="AK45" s="12"/>
    </row>
    <row r="46" spans="1:37" x14ac:dyDescent="0.25">
      <c r="J46" s="8"/>
      <c r="T46" s="8" t="s">
        <v>23</v>
      </c>
      <c r="U46" s="13">
        <f>SUM(K45:U45)</f>
        <v>0</v>
      </c>
      <c r="AB46" s="8" t="s">
        <v>23</v>
      </c>
      <c r="AC46" s="13">
        <f>SUM(X45:AC45)</f>
        <v>0</v>
      </c>
      <c r="AJ46" s="8" t="s">
        <v>23</v>
      </c>
      <c r="AK46" s="13">
        <f>SUM(AF45:AK45)</f>
        <v>0</v>
      </c>
    </row>
    <row r="47" spans="1:37" ht="15.75" thickBot="1" x14ac:dyDescent="0.3">
      <c r="A47" s="19"/>
      <c r="B47" s="83" t="s">
        <v>20</v>
      </c>
      <c r="C47" s="83"/>
      <c r="D47" s="83"/>
      <c r="E47" s="83"/>
      <c r="F47" s="83"/>
      <c r="G47" s="83"/>
      <c r="H47" s="83"/>
      <c r="J47" s="84" t="s">
        <v>20</v>
      </c>
      <c r="K47" s="84"/>
      <c r="L47" s="84"/>
      <c r="M47" s="84"/>
      <c r="N47" s="84"/>
      <c r="O47" s="84"/>
      <c r="P47" s="84"/>
      <c r="Q47" s="84"/>
      <c r="R47" s="84"/>
      <c r="S47" s="84"/>
      <c r="T47" s="84"/>
      <c r="U47" s="84"/>
      <c r="W47" s="85" t="str">
        <f>J47</f>
        <v>Novembro</v>
      </c>
      <c r="X47" s="85"/>
      <c r="Y47" s="85"/>
      <c r="Z47" s="85"/>
      <c r="AA47" s="85"/>
      <c r="AB47" s="85"/>
      <c r="AC47" s="85"/>
      <c r="AE47" s="86" t="str">
        <f>W47</f>
        <v>Novembro</v>
      </c>
      <c r="AF47" s="86"/>
      <c r="AG47" s="86"/>
      <c r="AH47" s="86"/>
      <c r="AI47" s="86"/>
      <c r="AJ47" s="86"/>
      <c r="AK47" s="86"/>
    </row>
    <row r="48" spans="1:37" ht="15.75" thickBot="1" x14ac:dyDescent="0.3">
      <c r="A48" s="87" t="s">
        <v>5</v>
      </c>
      <c r="B48" s="34" t="s">
        <v>6</v>
      </c>
      <c r="C48" s="22" t="s">
        <v>7</v>
      </c>
      <c r="D48" s="33" t="s">
        <v>8</v>
      </c>
      <c r="E48" s="22" t="s">
        <v>9</v>
      </c>
      <c r="F48" s="24" t="s">
        <v>10</v>
      </c>
      <c r="G48" s="23" t="s">
        <v>11</v>
      </c>
      <c r="H48" s="25" t="s">
        <v>12</v>
      </c>
      <c r="J48" s="6" t="s">
        <v>4</v>
      </c>
      <c r="K48" s="9"/>
      <c r="L48" s="4"/>
      <c r="M48" s="4"/>
      <c r="N48" s="4"/>
      <c r="O48" s="4"/>
      <c r="P48" s="4"/>
      <c r="Q48" s="4"/>
      <c r="R48" s="4"/>
      <c r="S48" s="4"/>
      <c r="T48" s="4"/>
      <c r="U48" s="5"/>
      <c r="W48" s="6" t="s">
        <v>4</v>
      </c>
      <c r="X48" s="9"/>
      <c r="Y48" s="4"/>
      <c r="Z48" s="4"/>
      <c r="AA48" s="4"/>
      <c r="AB48" s="4"/>
      <c r="AC48" s="5"/>
      <c r="AE48" s="6" t="s">
        <v>4</v>
      </c>
      <c r="AF48" s="9"/>
      <c r="AG48" s="4"/>
      <c r="AH48" s="4"/>
      <c r="AI48" s="4"/>
      <c r="AJ48" s="4"/>
      <c r="AK48" s="5"/>
    </row>
    <row r="49" spans="1:37" ht="15.75" thickBot="1" x14ac:dyDescent="0.3">
      <c r="A49" s="87"/>
      <c r="B49" s="26">
        <v>34211</v>
      </c>
      <c r="C49" s="27">
        <v>36542</v>
      </c>
      <c r="D49" s="27">
        <v>36542</v>
      </c>
      <c r="E49" s="27">
        <v>38040</v>
      </c>
      <c r="F49" s="27">
        <f>SUM(C49-B49)</f>
        <v>2331</v>
      </c>
      <c r="G49" s="20">
        <f>SUM(E49-D49)</f>
        <v>1498</v>
      </c>
      <c r="H49" s="21">
        <f>SUM(F49:G49)</f>
        <v>3829</v>
      </c>
      <c r="J49" s="7" t="s">
        <v>22</v>
      </c>
      <c r="K49" s="10"/>
      <c r="L49" s="11"/>
      <c r="M49" s="11"/>
      <c r="N49" s="11"/>
      <c r="O49" s="11"/>
      <c r="P49" s="11"/>
      <c r="Q49" s="11"/>
      <c r="R49" s="11"/>
      <c r="S49" s="11"/>
      <c r="T49" s="11"/>
      <c r="U49" s="12"/>
      <c r="W49" s="7" t="s">
        <v>22</v>
      </c>
      <c r="X49" s="10"/>
      <c r="Y49" s="11"/>
      <c r="Z49" s="11"/>
      <c r="AA49" s="11"/>
      <c r="AB49" s="11"/>
      <c r="AC49" s="12"/>
      <c r="AE49" s="7" t="s">
        <v>22</v>
      </c>
      <c r="AF49" s="10"/>
      <c r="AG49" s="11"/>
      <c r="AH49" s="11"/>
      <c r="AI49" s="11"/>
      <c r="AJ49" s="11"/>
      <c r="AK49" s="12"/>
    </row>
    <row r="50" spans="1:37" x14ac:dyDescent="0.25">
      <c r="J50" s="8"/>
      <c r="T50" s="8" t="s">
        <v>23</v>
      </c>
      <c r="U50" s="13">
        <f>SUM(K49:U49)</f>
        <v>0</v>
      </c>
      <c r="AB50" s="8" t="s">
        <v>23</v>
      </c>
      <c r="AC50" s="13">
        <f>SUM(X49:AC49)</f>
        <v>0</v>
      </c>
      <c r="AJ50" s="8" t="s">
        <v>23</v>
      </c>
      <c r="AK50" s="13">
        <f>SUM(AF49:AK49)</f>
        <v>0</v>
      </c>
    </row>
    <row r="51" spans="1:37" ht="15.75" thickBot="1" x14ac:dyDescent="0.3">
      <c r="A51" s="19"/>
      <c r="B51" s="83" t="s">
        <v>21</v>
      </c>
      <c r="C51" s="83"/>
      <c r="D51" s="83"/>
      <c r="E51" s="83"/>
      <c r="F51" s="83"/>
      <c r="G51" s="83"/>
      <c r="H51" s="83"/>
      <c r="J51" s="84" t="s">
        <v>21</v>
      </c>
      <c r="K51" s="84"/>
      <c r="L51" s="84"/>
      <c r="M51" s="84"/>
      <c r="N51" s="84"/>
      <c r="O51" s="84"/>
      <c r="P51" s="84"/>
      <c r="Q51" s="84"/>
      <c r="R51" s="84"/>
      <c r="S51" s="84"/>
      <c r="T51" s="84"/>
      <c r="U51" s="84"/>
      <c r="W51" s="85" t="str">
        <f>J51</f>
        <v>Dezembro</v>
      </c>
      <c r="X51" s="85"/>
      <c r="Y51" s="85"/>
      <c r="Z51" s="85"/>
      <c r="AA51" s="85"/>
      <c r="AB51" s="85"/>
      <c r="AC51" s="85"/>
      <c r="AE51" s="86" t="str">
        <f>W51</f>
        <v>Dezembro</v>
      </c>
      <c r="AF51" s="86"/>
      <c r="AG51" s="86"/>
      <c r="AH51" s="86"/>
      <c r="AI51" s="86"/>
      <c r="AJ51" s="86"/>
      <c r="AK51" s="86"/>
    </row>
    <row r="52" spans="1:37" ht="15.75" thickBot="1" x14ac:dyDescent="0.3">
      <c r="A52" s="87" t="s">
        <v>5</v>
      </c>
      <c r="B52" s="34" t="s">
        <v>6</v>
      </c>
      <c r="C52" s="22" t="s">
        <v>7</v>
      </c>
      <c r="D52" s="33" t="s">
        <v>8</v>
      </c>
      <c r="E52" s="22" t="s">
        <v>9</v>
      </c>
      <c r="F52" s="24" t="s">
        <v>10</v>
      </c>
      <c r="G52" s="23" t="s">
        <v>11</v>
      </c>
      <c r="H52" s="25" t="s">
        <v>12</v>
      </c>
      <c r="J52" s="6" t="s">
        <v>4</v>
      </c>
      <c r="K52" s="9">
        <v>45629</v>
      </c>
      <c r="L52" s="66">
        <v>45632</v>
      </c>
      <c r="M52" s="66">
        <v>45636</v>
      </c>
      <c r="N52" s="66">
        <v>45639</v>
      </c>
      <c r="O52" s="66">
        <v>45643</v>
      </c>
      <c r="P52" s="66">
        <v>45646</v>
      </c>
      <c r="Q52" s="4"/>
      <c r="R52" s="4"/>
      <c r="S52" s="4"/>
      <c r="T52" s="4"/>
      <c r="U52" s="5"/>
      <c r="W52" s="6" t="s">
        <v>4</v>
      </c>
      <c r="X52" s="9"/>
      <c r="Y52" s="4"/>
      <c r="Z52" s="4"/>
      <c r="AA52" s="4"/>
      <c r="AB52" s="4"/>
      <c r="AC52" s="5"/>
      <c r="AE52" s="6" t="s">
        <v>4</v>
      </c>
      <c r="AF52" s="9"/>
      <c r="AG52" s="4"/>
      <c r="AH52" s="4"/>
      <c r="AI52" s="4"/>
      <c r="AJ52" s="4"/>
      <c r="AK52" s="5"/>
    </row>
    <row r="53" spans="1:37" ht="15.75" thickBot="1" x14ac:dyDescent="0.3">
      <c r="A53" s="87"/>
      <c r="B53" s="26">
        <v>38040</v>
      </c>
      <c r="C53" s="27">
        <v>39337</v>
      </c>
      <c r="D53" s="27">
        <v>39500</v>
      </c>
      <c r="E53" s="27">
        <v>39974</v>
      </c>
      <c r="F53" s="27">
        <f>SUM(C53-B53)</f>
        <v>1297</v>
      </c>
      <c r="G53" s="20">
        <f>SUM(E53-D53)</f>
        <v>474</v>
      </c>
      <c r="H53" s="21">
        <f>SUM(F53:G53)</f>
        <v>1771</v>
      </c>
      <c r="J53" s="7" t="s">
        <v>22</v>
      </c>
      <c r="K53" s="10">
        <v>262.04000000000002</v>
      </c>
      <c r="L53" s="11">
        <v>233.93</v>
      </c>
      <c r="M53" s="11">
        <v>277.07</v>
      </c>
      <c r="N53" s="11">
        <v>245.81</v>
      </c>
      <c r="O53" s="11">
        <v>83.66</v>
      </c>
      <c r="P53" s="11">
        <v>282.36</v>
      </c>
      <c r="Q53" s="11"/>
      <c r="R53" s="11"/>
      <c r="S53" s="11"/>
      <c r="T53" s="11"/>
      <c r="U53" s="12"/>
      <c r="W53" s="7" t="s">
        <v>22</v>
      </c>
      <c r="X53" s="10"/>
      <c r="Y53" s="11"/>
      <c r="Z53" s="11"/>
      <c r="AA53" s="11"/>
      <c r="AB53" s="11"/>
      <c r="AC53" s="12"/>
      <c r="AE53" s="7" t="s">
        <v>22</v>
      </c>
      <c r="AF53" s="10"/>
      <c r="AG53" s="11"/>
      <c r="AH53" s="11"/>
      <c r="AI53" s="11"/>
      <c r="AJ53" s="11"/>
      <c r="AK53" s="12"/>
    </row>
    <row r="54" spans="1:37" x14ac:dyDescent="0.25">
      <c r="J54" s="8"/>
      <c r="T54" s="8" t="s">
        <v>23</v>
      </c>
      <c r="U54" s="13">
        <f>SUM(K53:U53)</f>
        <v>1384.87</v>
      </c>
      <c r="AB54" s="8" t="s">
        <v>23</v>
      </c>
      <c r="AC54" s="13">
        <f>SUM(X53:AC53)</f>
        <v>0</v>
      </c>
      <c r="AJ54" s="8" t="s">
        <v>23</v>
      </c>
      <c r="AK54" s="13">
        <f>SUM(AF53:AK53)</f>
        <v>0</v>
      </c>
    </row>
    <row r="55" spans="1:37" ht="15.75" thickBot="1" x14ac:dyDescent="0.3">
      <c r="A55" s="71">
        <v>2025</v>
      </c>
      <c r="B55" s="83" t="s">
        <v>83</v>
      </c>
      <c r="C55" s="83"/>
      <c r="D55" s="83"/>
      <c r="E55" s="83"/>
      <c r="F55" s="83"/>
      <c r="G55" s="83"/>
      <c r="H55" s="83"/>
      <c r="J55" s="84" t="s">
        <v>83</v>
      </c>
      <c r="K55" s="84"/>
      <c r="L55" s="84"/>
      <c r="M55" s="84"/>
      <c r="N55" s="84"/>
      <c r="O55" s="84"/>
      <c r="P55" s="84"/>
      <c r="Q55" s="84"/>
      <c r="R55" s="84"/>
      <c r="S55" s="84"/>
      <c r="T55" s="84"/>
      <c r="U55" s="84"/>
      <c r="W55" s="85" t="str">
        <f>J55</f>
        <v>Janeiro</v>
      </c>
      <c r="X55" s="85"/>
      <c r="Y55" s="85"/>
      <c r="Z55" s="85"/>
      <c r="AA55" s="85"/>
      <c r="AB55" s="85"/>
      <c r="AC55" s="85"/>
      <c r="AE55" s="86" t="str">
        <f>W55</f>
        <v>Janeiro</v>
      </c>
      <c r="AF55" s="86"/>
      <c r="AG55" s="86"/>
      <c r="AH55" s="86"/>
      <c r="AI55" s="86"/>
      <c r="AJ55" s="86"/>
      <c r="AK55" s="86"/>
    </row>
    <row r="56" spans="1:37" ht="15.75" thickBot="1" x14ac:dyDescent="0.3">
      <c r="A56" s="87" t="s">
        <v>5</v>
      </c>
      <c r="B56" s="34" t="s">
        <v>6</v>
      </c>
      <c r="C56" s="22" t="s">
        <v>7</v>
      </c>
      <c r="D56" s="33" t="s">
        <v>8</v>
      </c>
      <c r="E56" s="22" t="s">
        <v>9</v>
      </c>
      <c r="F56" s="24" t="s">
        <v>10</v>
      </c>
      <c r="G56" s="23" t="s">
        <v>11</v>
      </c>
      <c r="H56" s="25" t="s">
        <v>12</v>
      </c>
      <c r="J56" s="6" t="s">
        <v>4</v>
      </c>
      <c r="K56" s="9">
        <v>45664</v>
      </c>
      <c r="L56" s="66">
        <v>45667</v>
      </c>
      <c r="M56" s="66">
        <v>45670</v>
      </c>
      <c r="N56" s="66">
        <v>45674</v>
      </c>
      <c r="O56" s="66">
        <v>45678</v>
      </c>
      <c r="P56" s="66">
        <v>45681</v>
      </c>
      <c r="Q56" s="66">
        <v>45685</v>
      </c>
      <c r="R56" s="66">
        <v>45688</v>
      </c>
      <c r="S56" s="4"/>
      <c r="T56" s="4"/>
      <c r="U56" s="5"/>
      <c r="W56" s="6" t="s">
        <v>4</v>
      </c>
      <c r="X56" s="9"/>
      <c r="Y56" s="4"/>
      <c r="Z56" s="4"/>
      <c r="AA56" s="4"/>
      <c r="AB56" s="4"/>
      <c r="AC56" s="5"/>
      <c r="AE56" s="6" t="s">
        <v>4</v>
      </c>
      <c r="AF56" s="9"/>
      <c r="AG56" s="4"/>
      <c r="AH56" s="4"/>
      <c r="AI56" s="4"/>
      <c r="AJ56" s="4"/>
      <c r="AK56" s="5"/>
    </row>
    <row r="57" spans="1:37" ht="15.75" thickBot="1" x14ac:dyDescent="0.3">
      <c r="A57" s="87"/>
      <c r="B57" s="26">
        <v>39974</v>
      </c>
      <c r="C57" s="27">
        <v>41179</v>
      </c>
      <c r="D57" s="27">
        <v>41179</v>
      </c>
      <c r="E57" s="27">
        <v>42380</v>
      </c>
      <c r="F57" s="27">
        <f>SUM(C57-B57)</f>
        <v>1205</v>
      </c>
      <c r="G57" s="20">
        <f>SUM(E57-D57)</f>
        <v>1201</v>
      </c>
      <c r="H57" s="21">
        <f>SUM(F57:G57)</f>
        <v>2406</v>
      </c>
      <c r="J57" s="7" t="s">
        <v>22</v>
      </c>
      <c r="K57" s="10">
        <v>283.05</v>
      </c>
      <c r="L57" s="11">
        <v>242.04</v>
      </c>
      <c r="M57" s="11">
        <v>246.95</v>
      </c>
      <c r="N57" s="11">
        <v>255</v>
      </c>
      <c r="O57" s="11">
        <v>296.82</v>
      </c>
      <c r="P57" s="11">
        <v>255.86</v>
      </c>
      <c r="Q57" s="11">
        <v>238.35</v>
      </c>
      <c r="R57" s="11">
        <v>159.24</v>
      </c>
      <c r="S57" s="11"/>
      <c r="T57" s="11"/>
      <c r="U57" s="12"/>
      <c r="W57" s="7" t="s">
        <v>22</v>
      </c>
      <c r="X57" s="10"/>
      <c r="Y57" s="11"/>
      <c r="Z57" s="11"/>
      <c r="AA57" s="11"/>
      <c r="AB57" s="11"/>
      <c r="AC57" s="12"/>
      <c r="AE57" s="7" t="s">
        <v>22</v>
      </c>
      <c r="AF57" s="10"/>
      <c r="AG57" s="11"/>
      <c r="AH57" s="11"/>
      <c r="AI57" s="11"/>
      <c r="AJ57" s="11"/>
      <c r="AK57" s="12"/>
    </row>
    <row r="58" spans="1:37" x14ac:dyDescent="0.25">
      <c r="J58" s="8"/>
      <c r="T58" s="8" t="s">
        <v>23</v>
      </c>
      <c r="U58" s="13">
        <f>SUM(K57:U57)</f>
        <v>1977.3099999999997</v>
      </c>
      <c r="AB58" s="8" t="s">
        <v>23</v>
      </c>
      <c r="AC58" s="13">
        <f>SUM(X57:AC57)</f>
        <v>0</v>
      </c>
      <c r="AJ58" s="8" t="s">
        <v>23</v>
      </c>
      <c r="AK58" s="13">
        <f>SUM(AF57:AK57)</f>
        <v>0</v>
      </c>
    </row>
    <row r="59" spans="1:37" ht="15.75" thickBot="1" x14ac:dyDescent="0.3">
      <c r="A59" s="71"/>
      <c r="B59" s="83" t="s">
        <v>3</v>
      </c>
      <c r="C59" s="83"/>
      <c r="D59" s="83"/>
      <c r="E59" s="83"/>
      <c r="F59" s="83"/>
      <c r="G59" s="83"/>
      <c r="H59" s="83"/>
      <c r="J59" s="84" t="s">
        <v>3</v>
      </c>
      <c r="K59" s="84"/>
      <c r="L59" s="84"/>
      <c r="M59" s="84"/>
      <c r="N59" s="84"/>
      <c r="O59" s="84"/>
      <c r="P59" s="84"/>
      <c r="Q59" s="84"/>
      <c r="R59" s="84"/>
      <c r="S59" s="84"/>
      <c r="T59" s="84"/>
      <c r="U59" s="84"/>
      <c r="W59" s="85" t="s">
        <v>3</v>
      </c>
      <c r="X59" s="85"/>
      <c r="Y59" s="85"/>
      <c r="Z59" s="85"/>
      <c r="AA59" s="85"/>
      <c r="AB59" s="85"/>
      <c r="AC59" s="85"/>
      <c r="AE59" s="86" t="s">
        <v>3</v>
      </c>
      <c r="AF59" s="86"/>
      <c r="AG59" s="86"/>
      <c r="AH59" s="86"/>
      <c r="AI59" s="86"/>
      <c r="AJ59" s="86"/>
      <c r="AK59" s="86"/>
    </row>
    <row r="60" spans="1:37" ht="15.75" thickBot="1" x14ac:dyDescent="0.3">
      <c r="A60" s="87" t="s">
        <v>5</v>
      </c>
      <c r="B60" s="34" t="s">
        <v>6</v>
      </c>
      <c r="C60" s="22" t="s">
        <v>7</v>
      </c>
      <c r="D60" s="33" t="s">
        <v>8</v>
      </c>
      <c r="E60" s="22" t="s">
        <v>9</v>
      </c>
      <c r="F60" s="24" t="s">
        <v>10</v>
      </c>
      <c r="G60" s="23" t="s">
        <v>11</v>
      </c>
      <c r="H60" s="25" t="s">
        <v>12</v>
      </c>
      <c r="J60" s="28" t="s">
        <v>4</v>
      </c>
      <c r="K60" s="9">
        <v>45692</v>
      </c>
      <c r="L60" s="66">
        <v>45695</v>
      </c>
      <c r="M60" s="66">
        <v>45699</v>
      </c>
      <c r="N60" s="66">
        <v>45702</v>
      </c>
      <c r="O60" s="66">
        <v>45706</v>
      </c>
      <c r="P60" s="66">
        <v>45709</v>
      </c>
      <c r="Q60" s="66">
        <v>45713</v>
      </c>
      <c r="R60" s="4"/>
      <c r="S60" s="4"/>
      <c r="T60" s="4"/>
      <c r="U60" s="5"/>
      <c r="W60" s="6" t="s">
        <v>4</v>
      </c>
      <c r="X60" s="9"/>
      <c r="Y60" s="4"/>
      <c r="Z60" s="4"/>
      <c r="AA60" s="4"/>
      <c r="AB60" s="4"/>
      <c r="AC60" s="5"/>
      <c r="AE60" s="6" t="s">
        <v>4</v>
      </c>
      <c r="AF60" s="9"/>
      <c r="AG60" s="4"/>
      <c r="AH60" s="4"/>
      <c r="AI60" s="4"/>
      <c r="AJ60" s="4"/>
      <c r="AK60" s="5"/>
    </row>
    <row r="61" spans="1:37" ht="15.75" thickBot="1" x14ac:dyDescent="0.3">
      <c r="A61" s="87"/>
      <c r="B61" s="26">
        <v>42380</v>
      </c>
      <c r="C61" s="27">
        <v>43542</v>
      </c>
      <c r="D61" s="27">
        <v>43542</v>
      </c>
      <c r="E61" s="27">
        <v>44418</v>
      </c>
      <c r="F61" s="27">
        <f>SUM(C61-B61)</f>
        <v>1162</v>
      </c>
      <c r="G61" s="20">
        <f>SUM(E61-D61)</f>
        <v>876</v>
      </c>
      <c r="H61" s="21">
        <f>SUM(F61:G61)</f>
        <v>2038</v>
      </c>
      <c r="J61" s="29" t="s">
        <v>22</v>
      </c>
      <c r="K61" s="10">
        <v>280.91000000000003</v>
      </c>
      <c r="L61" s="11">
        <v>203.84</v>
      </c>
      <c r="M61" s="11">
        <v>245.26</v>
      </c>
      <c r="N61" s="11">
        <v>267.2</v>
      </c>
      <c r="O61" s="11">
        <v>243.32</v>
      </c>
      <c r="P61" s="11">
        <v>309.01</v>
      </c>
      <c r="Q61" s="11">
        <v>129.91999999999999</v>
      </c>
      <c r="R61" s="11"/>
      <c r="S61" s="11"/>
      <c r="T61" s="11"/>
      <c r="U61" s="12"/>
      <c r="W61" s="7" t="s">
        <v>22</v>
      </c>
      <c r="X61" s="10"/>
      <c r="Y61" s="11"/>
      <c r="Z61" s="11"/>
      <c r="AA61" s="11"/>
      <c r="AB61" s="11"/>
      <c r="AC61" s="12"/>
      <c r="AE61" s="7" t="s">
        <v>22</v>
      </c>
      <c r="AF61" s="10"/>
      <c r="AG61" s="11"/>
      <c r="AH61" s="11"/>
      <c r="AI61" s="11"/>
      <c r="AJ61" s="11"/>
      <c r="AK61" s="12"/>
    </row>
    <row r="62" spans="1:37" x14ac:dyDescent="0.25">
      <c r="J62" s="8"/>
      <c r="T62" s="8" t="s">
        <v>23</v>
      </c>
      <c r="U62" s="13">
        <f>SUM(K61:U61)</f>
        <v>1679.46</v>
      </c>
      <c r="AB62" s="8" t="s">
        <v>23</v>
      </c>
      <c r="AC62" s="13">
        <f>SUM(X61:AC61)</f>
        <v>0</v>
      </c>
      <c r="AJ62" s="8" t="s">
        <v>23</v>
      </c>
      <c r="AK62" s="13">
        <f>SUM(AF61:AK61)</f>
        <v>0</v>
      </c>
    </row>
    <row r="63" spans="1:37" ht="15.75" thickBot="1" x14ac:dyDescent="0.3">
      <c r="A63" s="74" t="s">
        <v>100</v>
      </c>
      <c r="B63" s="83" t="s">
        <v>13</v>
      </c>
      <c r="C63" s="83"/>
      <c r="D63" s="83"/>
      <c r="E63" s="83"/>
      <c r="F63" s="83"/>
      <c r="G63" s="83"/>
      <c r="H63" s="83"/>
      <c r="J63" s="84" t="s">
        <v>13</v>
      </c>
      <c r="K63" s="84"/>
      <c r="L63" s="84"/>
      <c r="M63" s="84"/>
      <c r="N63" s="84"/>
      <c r="O63" s="84"/>
      <c r="P63" s="84"/>
      <c r="Q63" s="84"/>
      <c r="R63" s="84"/>
      <c r="S63" s="84"/>
      <c r="T63" s="84"/>
      <c r="U63" s="84"/>
      <c r="W63" s="85" t="str">
        <f>J63</f>
        <v>Março</v>
      </c>
      <c r="X63" s="85"/>
      <c r="Y63" s="85"/>
      <c r="Z63" s="85"/>
      <c r="AA63" s="85"/>
      <c r="AB63" s="85"/>
      <c r="AC63" s="85"/>
      <c r="AE63" s="86" t="str">
        <f>W63</f>
        <v>Março</v>
      </c>
      <c r="AF63" s="86"/>
      <c r="AG63" s="86"/>
      <c r="AH63" s="86"/>
      <c r="AI63" s="86"/>
      <c r="AJ63" s="86"/>
      <c r="AK63" s="86"/>
    </row>
    <row r="64" spans="1:37" ht="15.75" thickBot="1" x14ac:dyDescent="0.3">
      <c r="A64" s="87" t="s">
        <v>5</v>
      </c>
      <c r="B64" s="34" t="s">
        <v>6</v>
      </c>
      <c r="C64" s="22" t="s">
        <v>7</v>
      </c>
      <c r="D64" s="33" t="s">
        <v>8</v>
      </c>
      <c r="E64" s="22" t="s">
        <v>9</v>
      </c>
      <c r="F64" s="24" t="s">
        <v>10</v>
      </c>
      <c r="G64" s="23" t="s">
        <v>11</v>
      </c>
      <c r="H64" s="25" t="s">
        <v>12</v>
      </c>
      <c r="J64" s="6" t="s">
        <v>4</v>
      </c>
      <c r="K64" s="9">
        <v>45723</v>
      </c>
      <c r="L64" s="66">
        <v>45727</v>
      </c>
      <c r="M64" s="66">
        <v>45730</v>
      </c>
      <c r="N64" s="66">
        <v>45734</v>
      </c>
      <c r="O64" s="66">
        <v>45737</v>
      </c>
      <c r="P64" s="66">
        <v>45741</v>
      </c>
      <c r="Q64" s="66">
        <v>45744</v>
      </c>
      <c r="R64" s="4"/>
      <c r="S64" s="4"/>
      <c r="T64" s="4"/>
      <c r="U64" s="5"/>
      <c r="W64" s="6" t="s">
        <v>4</v>
      </c>
      <c r="X64" s="9">
        <v>45725</v>
      </c>
      <c r="Y64" s="66">
        <v>45730</v>
      </c>
      <c r="Z64" s="66">
        <v>45738</v>
      </c>
      <c r="AA64" s="66">
        <v>45745</v>
      </c>
      <c r="AB64" s="4"/>
      <c r="AC64" s="5"/>
      <c r="AE64" s="6" t="s">
        <v>4</v>
      </c>
      <c r="AF64" s="9"/>
      <c r="AG64" s="4"/>
      <c r="AH64" s="4"/>
      <c r="AI64" s="4"/>
      <c r="AJ64" s="4"/>
      <c r="AK64" s="5"/>
    </row>
    <row r="65" spans="1:37" ht="15.75" thickBot="1" x14ac:dyDescent="0.3">
      <c r="A65" s="87"/>
      <c r="B65" s="26">
        <v>44418</v>
      </c>
      <c r="C65" s="27">
        <v>45541</v>
      </c>
      <c r="D65" s="27">
        <v>13036</v>
      </c>
      <c r="E65" s="27">
        <v>14568</v>
      </c>
      <c r="F65" s="27">
        <f>SUM(C65-B65)</f>
        <v>1123</v>
      </c>
      <c r="G65" s="20">
        <f>SUM(E65-D65)</f>
        <v>1532</v>
      </c>
      <c r="H65" s="21">
        <f>SUM(F65:G65)</f>
        <v>2655</v>
      </c>
      <c r="J65" s="7" t="s">
        <v>22</v>
      </c>
      <c r="K65" s="10">
        <v>321.05</v>
      </c>
      <c r="L65" s="11">
        <v>250.88</v>
      </c>
      <c r="M65" s="11">
        <v>292.55</v>
      </c>
      <c r="N65" s="11">
        <v>268.39999999999998</v>
      </c>
      <c r="O65" s="11">
        <v>279.51</v>
      </c>
      <c r="P65" s="11">
        <v>197.76</v>
      </c>
      <c r="Q65" s="11">
        <v>239.7</v>
      </c>
      <c r="R65" s="11"/>
      <c r="S65" s="11"/>
      <c r="T65" s="11"/>
      <c r="U65" s="12"/>
      <c r="W65" s="7" t="s">
        <v>22</v>
      </c>
      <c r="X65" s="10">
        <v>60</v>
      </c>
      <c r="Y65" s="11">
        <v>60</v>
      </c>
      <c r="Z65" s="11">
        <v>60</v>
      </c>
      <c r="AA65" s="11">
        <v>60</v>
      </c>
      <c r="AB65" s="11"/>
      <c r="AC65" s="12"/>
      <c r="AE65" s="7" t="s">
        <v>22</v>
      </c>
      <c r="AF65" s="10"/>
      <c r="AG65" s="11"/>
      <c r="AH65" s="11"/>
      <c r="AI65" s="11"/>
      <c r="AJ65" s="11"/>
      <c r="AK65" s="12"/>
    </row>
    <row r="66" spans="1:37" x14ac:dyDescent="0.25">
      <c r="J66" s="8"/>
      <c r="T66" s="8" t="s">
        <v>23</v>
      </c>
      <c r="U66" s="13">
        <f>SUM(K65:U65)</f>
        <v>1849.8500000000001</v>
      </c>
      <c r="AB66" s="8" t="s">
        <v>23</v>
      </c>
      <c r="AC66" s="13">
        <f>SUM(X65:AC65)</f>
        <v>240</v>
      </c>
      <c r="AJ66" s="8" t="s">
        <v>23</v>
      </c>
      <c r="AK66" s="13">
        <f>SUM(AF65:AK65)</f>
        <v>0</v>
      </c>
    </row>
    <row r="67" spans="1:37" ht="15.75" thickBot="1" x14ac:dyDescent="0.3">
      <c r="A67" s="19"/>
      <c r="B67" s="83" t="s">
        <v>14</v>
      </c>
      <c r="C67" s="83"/>
      <c r="D67" s="83"/>
      <c r="E67" s="83"/>
      <c r="F67" s="83"/>
      <c r="G67" s="83"/>
      <c r="H67" s="83"/>
      <c r="J67" s="84" t="s">
        <v>14</v>
      </c>
      <c r="K67" s="84"/>
      <c r="L67" s="84"/>
      <c r="M67" s="84"/>
      <c r="N67" s="84"/>
      <c r="O67" s="84"/>
      <c r="P67" s="84"/>
      <c r="Q67" s="84"/>
      <c r="R67" s="84"/>
      <c r="S67" s="84"/>
      <c r="T67" s="84"/>
      <c r="U67" s="84"/>
      <c r="W67" s="85" t="str">
        <f>J67</f>
        <v>Abril</v>
      </c>
      <c r="X67" s="85"/>
      <c r="Y67" s="85"/>
      <c r="Z67" s="85"/>
      <c r="AA67" s="85"/>
      <c r="AB67" s="85"/>
      <c r="AC67" s="85"/>
      <c r="AE67" s="86" t="str">
        <f>W67</f>
        <v>Abril</v>
      </c>
      <c r="AF67" s="86"/>
      <c r="AG67" s="86"/>
      <c r="AH67" s="86"/>
      <c r="AI67" s="86"/>
      <c r="AJ67" s="86"/>
      <c r="AK67" s="86"/>
    </row>
    <row r="68" spans="1:37" ht="15.75" thickBot="1" x14ac:dyDescent="0.3">
      <c r="A68" s="87" t="s">
        <v>5</v>
      </c>
      <c r="B68" s="34" t="s">
        <v>6</v>
      </c>
      <c r="C68" s="22" t="s">
        <v>7</v>
      </c>
      <c r="D68" s="33" t="s">
        <v>8</v>
      </c>
      <c r="E68" s="22" t="s">
        <v>9</v>
      </c>
      <c r="F68" s="24" t="s">
        <v>10</v>
      </c>
      <c r="G68" s="23" t="s">
        <v>11</v>
      </c>
      <c r="H68" s="25" t="s">
        <v>12</v>
      </c>
      <c r="J68" s="6" t="s">
        <v>4</v>
      </c>
      <c r="K68" s="9">
        <v>45748</v>
      </c>
      <c r="L68" s="66">
        <v>45751</v>
      </c>
      <c r="M68" s="66">
        <v>45755</v>
      </c>
      <c r="N68" s="66">
        <v>45758</v>
      </c>
      <c r="O68" s="66">
        <v>45762</v>
      </c>
      <c r="P68" s="66">
        <v>45776</v>
      </c>
      <c r="Q68" s="4"/>
      <c r="R68" s="4"/>
      <c r="S68" s="4"/>
      <c r="T68" s="4"/>
      <c r="U68" s="5"/>
      <c r="W68" s="6" t="s">
        <v>4</v>
      </c>
      <c r="X68" s="9"/>
      <c r="Y68" s="4"/>
      <c r="Z68" s="4"/>
      <c r="AA68" s="4"/>
      <c r="AB68" s="4"/>
      <c r="AC68" s="5"/>
      <c r="AE68" s="6" t="s">
        <v>4</v>
      </c>
      <c r="AF68" s="9"/>
      <c r="AG68" s="4"/>
      <c r="AH68" s="4"/>
      <c r="AI68" s="4"/>
      <c r="AJ68" s="4"/>
      <c r="AK68" s="5"/>
    </row>
    <row r="69" spans="1:37" ht="15.75" thickBot="1" x14ac:dyDescent="0.3">
      <c r="A69" s="87"/>
      <c r="B69" s="26">
        <v>14601</v>
      </c>
      <c r="C69" s="27">
        <v>15776</v>
      </c>
      <c r="D69" s="27">
        <v>15776</v>
      </c>
      <c r="E69" s="27">
        <v>16189</v>
      </c>
      <c r="F69" s="27">
        <f>SUM(C69-B69)</f>
        <v>1175</v>
      </c>
      <c r="G69" s="20">
        <f>SUM(E69-D69)</f>
        <v>413</v>
      </c>
      <c r="H69" s="21">
        <f>SUM(F69:G69)</f>
        <v>1588</v>
      </c>
      <c r="J69" s="7" t="s">
        <v>22</v>
      </c>
      <c r="K69" s="30">
        <v>267.60000000000002</v>
      </c>
      <c r="L69" s="31">
        <v>220.97</v>
      </c>
      <c r="M69" s="31">
        <v>250.61</v>
      </c>
      <c r="N69" s="31">
        <v>205.99</v>
      </c>
      <c r="O69" s="31">
        <v>169.86</v>
      </c>
      <c r="P69" s="31">
        <v>211.2</v>
      </c>
      <c r="Q69" s="31"/>
      <c r="R69" s="31"/>
      <c r="S69" s="31"/>
      <c r="T69" s="31"/>
      <c r="U69" s="32"/>
      <c r="W69" s="7" t="s">
        <v>22</v>
      </c>
      <c r="X69" s="10"/>
      <c r="Y69" s="11"/>
      <c r="Z69" s="11"/>
      <c r="AA69" s="11"/>
      <c r="AB69" s="11"/>
      <c r="AC69" s="12"/>
      <c r="AE69" s="7" t="s">
        <v>22</v>
      </c>
      <c r="AF69" s="10"/>
      <c r="AG69" s="11"/>
      <c r="AH69" s="11"/>
      <c r="AI69" s="11"/>
      <c r="AJ69" s="11"/>
      <c r="AK69" s="12"/>
    </row>
    <row r="70" spans="1:37" x14ac:dyDescent="0.25">
      <c r="J70" s="8"/>
      <c r="T70" s="8" t="s">
        <v>23</v>
      </c>
      <c r="U70" s="13">
        <f>SUM(K69:U69)</f>
        <v>1326.2300000000002</v>
      </c>
      <c r="AB70" s="8" t="s">
        <v>23</v>
      </c>
      <c r="AC70" s="13">
        <f>SUM(X69:AC69)</f>
        <v>0</v>
      </c>
      <c r="AJ70" s="8" t="s">
        <v>23</v>
      </c>
      <c r="AK70" s="13">
        <f>SUM(AF69:AK69)</f>
        <v>0</v>
      </c>
    </row>
    <row r="71" spans="1:37" ht="15.75" thickBot="1" x14ac:dyDescent="0.3">
      <c r="A71" s="19"/>
      <c r="B71" s="83" t="s">
        <v>15</v>
      </c>
      <c r="C71" s="83"/>
      <c r="D71" s="83"/>
      <c r="E71" s="83"/>
      <c r="F71" s="83"/>
      <c r="G71" s="83"/>
      <c r="H71" s="83"/>
      <c r="J71" s="84" t="s">
        <v>15</v>
      </c>
      <c r="K71" s="84"/>
      <c r="L71" s="84"/>
      <c r="M71" s="84"/>
      <c r="N71" s="84"/>
      <c r="O71" s="84"/>
      <c r="P71" s="84"/>
      <c r="Q71" s="84"/>
      <c r="R71" s="84"/>
      <c r="S71" s="84"/>
      <c r="T71" s="84"/>
      <c r="U71" s="84"/>
      <c r="W71" s="85" t="str">
        <f>J71</f>
        <v>Maio</v>
      </c>
      <c r="X71" s="85"/>
      <c r="Y71" s="85"/>
      <c r="Z71" s="85"/>
      <c r="AA71" s="85"/>
      <c r="AB71" s="85"/>
      <c r="AC71" s="85"/>
      <c r="AE71" s="86" t="str">
        <f>W71</f>
        <v>Maio</v>
      </c>
      <c r="AF71" s="86"/>
      <c r="AG71" s="86"/>
      <c r="AH71" s="86"/>
      <c r="AI71" s="86"/>
      <c r="AJ71" s="86"/>
      <c r="AK71" s="86"/>
    </row>
    <row r="72" spans="1:37" ht="15.75" thickBot="1" x14ac:dyDescent="0.3">
      <c r="A72" s="87" t="s">
        <v>5</v>
      </c>
      <c r="B72" s="34" t="s">
        <v>6</v>
      </c>
      <c r="C72" s="22" t="s">
        <v>7</v>
      </c>
      <c r="D72" s="33" t="s">
        <v>8</v>
      </c>
      <c r="E72" s="22" t="s">
        <v>9</v>
      </c>
      <c r="F72" s="24" t="s">
        <v>10</v>
      </c>
      <c r="G72" s="23" t="s">
        <v>11</v>
      </c>
      <c r="H72" s="25" t="s">
        <v>12</v>
      </c>
      <c r="J72" s="6" t="s">
        <v>4</v>
      </c>
      <c r="K72" s="9">
        <v>45779</v>
      </c>
      <c r="L72" s="66">
        <v>45783</v>
      </c>
      <c r="M72" s="66">
        <v>45786</v>
      </c>
      <c r="N72" s="66">
        <v>45790</v>
      </c>
      <c r="O72" s="66">
        <v>45793</v>
      </c>
      <c r="P72" s="66">
        <v>45797</v>
      </c>
      <c r="Q72" s="66">
        <v>45800</v>
      </c>
      <c r="R72" s="66">
        <v>45804</v>
      </c>
      <c r="S72" s="66">
        <v>45807</v>
      </c>
      <c r="T72" s="4"/>
      <c r="U72" s="5"/>
      <c r="W72" s="6" t="s">
        <v>4</v>
      </c>
      <c r="X72" s="9"/>
      <c r="Y72" s="4"/>
      <c r="Z72" s="4"/>
      <c r="AA72" s="4"/>
      <c r="AB72" s="4"/>
      <c r="AC72" s="5"/>
      <c r="AE72" s="6" t="s">
        <v>4</v>
      </c>
      <c r="AF72" s="9"/>
      <c r="AG72" s="4"/>
      <c r="AH72" s="4"/>
      <c r="AI72" s="4"/>
      <c r="AJ72" s="4"/>
      <c r="AK72" s="5"/>
    </row>
    <row r="73" spans="1:37" ht="15.75" thickBot="1" x14ac:dyDescent="0.3">
      <c r="A73" s="87"/>
      <c r="B73" s="27">
        <v>16189</v>
      </c>
      <c r="C73" s="27">
        <v>17421</v>
      </c>
      <c r="D73" s="27">
        <v>17421</v>
      </c>
      <c r="E73" s="27">
        <v>18762</v>
      </c>
      <c r="F73" s="27">
        <f>SUM(C73-B73)</f>
        <v>1232</v>
      </c>
      <c r="G73" s="20">
        <f>SUM(E73-D73)</f>
        <v>1341</v>
      </c>
      <c r="H73" s="21">
        <f>SUM(F73:G73)</f>
        <v>2573</v>
      </c>
      <c r="J73" s="7" t="s">
        <v>22</v>
      </c>
      <c r="K73" s="10">
        <v>141.25</v>
      </c>
      <c r="L73" s="11">
        <v>174.91</v>
      </c>
      <c r="M73" s="11">
        <v>165.63</v>
      </c>
      <c r="N73" s="11">
        <v>192</v>
      </c>
      <c r="O73" s="11">
        <v>201.02</v>
      </c>
      <c r="P73" s="11">
        <v>179.01</v>
      </c>
      <c r="Q73" s="11">
        <v>226.75</v>
      </c>
      <c r="R73" s="11">
        <v>220.99</v>
      </c>
      <c r="S73" s="11">
        <v>170.18</v>
      </c>
      <c r="T73" s="11"/>
      <c r="U73" s="12"/>
      <c r="W73" s="7" t="s">
        <v>22</v>
      </c>
      <c r="X73" s="10"/>
      <c r="Y73" s="11"/>
      <c r="Z73" s="11"/>
      <c r="AA73" s="11"/>
      <c r="AB73" s="11"/>
      <c r="AC73" s="12"/>
      <c r="AE73" s="7" t="s">
        <v>22</v>
      </c>
      <c r="AF73" s="10"/>
      <c r="AG73" s="11"/>
      <c r="AH73" s="11"/>
      <c r="AI73" s="11"/>
      <c r="AJ73" s="11"/>
      <c r="AK73" s="12"/>
    </row>
    <row r="74" spans="1:37" x14ac:dyDescent="0.25">
      <c r="J74" s="8"/>
      <c r="T74" s="8" t="s">
        <v>23</v>
      </c>
      <c r="U74" s="13">
        <f>SUM(K73:U73)</f>
        <v>1671.74</v>
      </c>
      <c r="AB74" s="8" t="s">
        <v>23</v>
      </c>
      <c r="AC74" s="13">
        <f>SUM(X73:AC73)</f>
        <v>0</v>
      </c>
      <c r="AJ74" s="8" t="s">
        <v>23</v>
      </c>
      <c r="AK74" s="13">
        <f>SUM(AF73:AK73)</f>
        <v>0</v>
      </c>
    </row>
    <row r="75" spans="1:37" ht="15.75" thickBot="1" x14ac:dyDescent="0.3">
      <c r="A75" s="19"/>
      <c r="B75" s="83" t="s">
        <v>24</v>
      </c>
      <c r="C75" s="83"/>
      <c r="D75" s="83"/>
      <c r="E75" s="83"/>
      <c r="F75" s="83"/>
      <c r="G75" s="83"/>
      <c r="H75" s="83"/>
      <c r="J75" s="84" t="s">
        <v>24</v>
      </c>
      <c r="K75" s="84"/>
      <c r="L75" s="84"/>
      <c r="M75" s="84"/>
      <c r="N75" s="84"/>
      <c r="O75" s="84"/>
      <c r="P75" s="84"/>
      <c r="Q75" s="84"/>
      <c r="R75" s="84"/>
      <c r="S75" s="84"/>
      <c r="T75" s="84"/>
      <c r="U75" s="84"/>
      <c r="W75" s="85" t="str">
        <f>J75</f>
        <v>Junho</v>
      </c>
      <c r="X75" s="85"/>
      <c r="Y75" s="85"/>
      <c r="Z75" s="85"/>
      <c r="AA75" s="85"/>
      <c r="AB75" s="85"/>
      <c r="AC75" s="85"/>
      <c r="AE75" s="86" t="str">
        <f>W75</f>
        <v>Junho</v>
      </c>
      <c r="AF75" s="86"/>
      <c r="AG75" s="86"/>
      <c r="AH75" s="86"/>
      <c r="AI75" s="86"/>
      <c r="AJ75" s="86"/>
      <c r="AK75" s="86"/>
    </row>
    <row r="76" spans="1:37" ht="15.75" thickBot="1" x14ac:dyDescent="0.3">
      <c r="A76" s="87" t="s">
        <v>5</v>
      </c>
      <c r="B76" s="34" t="s">
        <v>6</v>
      </c>
      <c r="C76" s="22" t="s">
        <v>7</v>
      </c>
      <c r="D76" s="33" t="s">
        <v>8</v>
      </c>
      <c r="E76" s="22" t="s">
        <v>9</v>
      </c>
      <c r="F76" s="24" t="s">
        <v>10</v>
      </c>
      <c r="G76" s="23" t="s">
        <v>11</v>
      </c>
      <c r="H76" s="25" t="s">
        <v>12</v>
      </c>
      <c r="J76" s="6" t="s">
        <v>4</v>
      </c>
      <c r="K76" s="9">
        <v>45811</v>
      </c>
      <c r="L76" s="66">
        <v>45814</v>
      </c>
      <c r="M76" s="66">
        <v>45818</v>
      </c>
      <c r="N76" s="66">
        <v>45821</v>
      </c>
      <c r="O76" s="66">
        <v>45825</v>
      </c>
      <c r="P76" s="66">
        <v>45832</v>
      </c>
      <c r="Q76" s="4"/>
      <c r="R76" s="4"/>
      <c r="S76" s="4"/>
      <c r="T76" s="4"/>
      <c r="U76" s="5"/>
      <c r="W76" s="6" t="s">
        <v>4</v>
      </c>
      <c r="X76" s="9"/>
      <c r="Y76" s="4"/>
      <c r="Z76" s="4"/>
      <c r="AA76" s="4"/>
      <c r="AB76" s="4"/>
      <c r="AC76" s="5"/>
      <c r="AE76" s="6" t="s">
        <v>4</v>
      </c>
      <c r="AF76" s="9"/>
      <c r="AG76" s="4"/>
      <c r="AH76" s="4"/>
      <c r="AI76" s="4"/>
      <c r="AJ76" s="4"/>
      <c r="AK76" s="5"/>
    </row>
    <row r="77" spans="1:37" ht="15.75" thickBot="1" x14ac:dyDescent="0.3">
      <c r="A77" s="87"/>
      <c r="B77" s="27">
        <v>18762</v>
      </c>
      <c r="C77" s="27">
        <v>19849</v>
      </c>
      <c r="D77" s="27">
        <v>19849</v>
      </c>
      <c r="E77" s="27">
        <v>20516</v>
      </c>
      <c r="F77" s="27">
        <f>SUM(C77-B77)</f>
        <v>1087</v>
      </c>
      <c r="G77" s="20">
        <f>SUM(E77-D77)</f>
        <v>667</v>
      </c>
      <c r="H77" s="21">
        <f>SUM(F77:G77)</f>
        <v>1754</v>
      </c>
      <c r="J77" s="7" t="s">
        <v>22</v>
      </c>
      <c r="K77" s="10">
        <v>210.05</v>
      </c>
      <c r="L77" s="11">
        <v>140.80000000000001</v>
      </c>
      <c r="M77" s="11">
        <v>218.43</v>
      </c>
      <c r="N77" s="11">
        <v>207.55</v>
      </c>
      <c r="O77" s="11">
        <v>137.15</v>
      </c>
      <c r="P77" s="11">
        <v>152.04</v>
      </c>
      <c r="Q77" s="11"/>
      <c r="R77" s="11"/>
      <c r="S77" s="11"/>
      <c r="T77" s="11"/>
      <c r="U77" s="12"/>
      <c r="W77" s="7" t="s">
        <v>22</v>
      </c>
      <c r="X77" s="10"/>
      <c r="Y77" s="11"/>
      <c r="Z77" s="11"/>
      <c r="AA77" s="11"/>
      <c r="AB77" s="11"/>
      <c r="AC77" s="12"/>
      <c r="AE77" s="7" t="s">
        <v>22</v>
      </c>
      <c r="AF77" s="10"/>
      <c r="AG77" s="11"/>
      <c r="AH77" s="11"/>
      <c r="AI77" s="11"/>
      <c r="AJ77" s="11"/>
      <c r="AK77" s="12"/>
    </row>
    <row r="78" spans="1:37" x14ac:dyDescent="0.25">
      <c r="J78" s="8"/>
      <c r="T78" s="8" t="s">
        <v>23</v>
      </c>
      <c r="U78" s="13">
        <f>SUM(K77:U77)</f>
        <v>1066.02</v>
      </c>
      <c r="AB78" s="8" t="s">
        <v>23</v>
      </c>
      <c r="AC78" s="13">
        <f>SUM(X77:AC77)</f>
        <v>0</v>
      </c>
      <c r="AJ78" s="8" t="s">
        <v>23</v>
      </c>
      <c r="AK78" s="13">
        <f>SUM(AF77:AK77)</f>
        <v>0</v>
      </c>
    </row>
    <row r="79" spans="1:37" ht="15.75" thickBot="1" x14ac:dyDescent="0.3">
      <c r="A79" s="19"/>
      <c r="B79" s="83" t="s">
        <v>16</v>
      </c>
      <c r="C79" s="83"/>
      <c r="D79" s="83"/>
      <c r="E79" s="83"/>
      <c r="F79" s="83"/>
      <c r="G79" s="83"/>
      <c r="H79" s="83"/>
      <c r="J79" s="84" t="s">
        <v>16</v>
      </c>
      <c r="K79" s="84"/>
      <c r="L79" s="84"/>
      <c r="M79" s="84"/>
      <c r="N79" s="84"/>
      <c r="O79" s="84"/>
      <c r="P79" s="84"/>
      <c r="Q79" s="84"/>
      <c r="R79" s="84"/>
      <c r="S79" s="84"/>
      <c r="T79" s="84"/>
      <c r="U79" s="84"/>
      <c r="W79" s="85" t="str">
        <f>J79</f>
        <v>Julho</v>
      </c>
      <c r="X79" s="85"/>
      <c r="Y79" s="85"/>
      <c r="Z79" s="85"/>
      <c r="AA79" s="85"/>
      <c r="AB79" s="85"/>
      <c r="AC79" s="85"/>
      <c r="AE79" s="86" t="str">
        <f>W79</f>
        <v>Julho</v>
      </c>
      <c r="AF79" s="86"/>
      <c r="AG79" s="86"/>
      <c r="AH79" s="86"/>
      <c r="AI79" s="86"/>
      <c r="AJ79" s="86"/>
      <c r="AK79" s="86"/>
    </row>
    <row r="80" spans="1:37" ht="15.75" thickBot="1" x14ac:dyDescent="0.3">
      <c r="A80" s="87" t="s">
        <v>5</v>
      </c>
      <c r="B80" s="34" t="s">
        <v>6</v>
      </c>
      <c r="C80" s="22" t="s">
        <v>7</v>
      </c>
      <c r="D80" s="33" t="s">
        <v>8</v>
      </c>
      <c r="E80" s="22" t="s">
        <v>9</v>
      </c>
      <c r="F80" s="24" t="s">
        <v>10</v>
      </c>
      <c r="G80" s="23" t="s">
        <v>11</v>
      </c>
      <c r="H80" s="25" t="s">
        <v>12</v>
      </c>
      <c r="J80" s="6" t="s">
        <v>4</v>
      </c>
      <c r="K80" s="9">
        <v>45839</v>
      </c>
      <c r="L80" s="66">
        <v>45842</v>
      </c>
      <c r="M80" s="66">
        <v>45846</v>
      </c>
      <c r="N80" s="66">
        <v>45849</v>
      </c>
      <c r="O80" s="66">
        <v>45853</v>
      </c>
      <c r="P80" s="66">
        <v>45856</v>
      </c>
      <c r="Q80" s="66">
        <v>45860</v>
      </c>
      <c r="R80" s="66">
        <v>45863</v>
      </c>
      <c r="S80" s="66">
        <v>45867</v>
      </c>
      <c r="T80" s="4"/>
      <c r="U80" s="5"/>
      <c r="W80" s="6" t="s">
        <v>4</v>
      </c>
      <c r="X80" s="9"/>
      <c r="Y80" s="4"/>
      <c r="Z80" s="4"/>
      <c r="AA80" s="4"/>
      <c r="AB80" s="4"/>
      <c r="AC80" s="5"/>
      <c r="AE80" s="6" t="s">
        <v>4</v>
      </c>
      <c r="AF80" s="9"/>
      <c r="AG80" s="4"/>
      <c r="AH80" s="4"/>
      <c r="AI80" s="4"/>
      <c r="AJ80" s="4"/>
      <c r="AK80" s="5"/>
    </row>
    <row r="81" spans="1:37" ht="15.75" thickBot="1" x14ac:dyDescent="0.3">
      <c r="A81" s="87"/>
      <c r="B81" s="27">
        <v>20516</v>
      </c>
      <c r="C81" s="27">
        <v>21767</v>
      </c>
      <c r="D81" s="27">
        <v>21767</v>
      </c>
      <c r="E81" s="27">
        <v>23130</v>
      </c>
      <c r="F81" s="27">
        <f>SUM(C81-B81)</f>
        <v>1251</v>
      </c>
      <c r="G81" s="20">
        <f>SUM(E81-D81)</f>
        <v>1363</v>
      </c>
      <c r="H81" s="21">
        <f>SUM(F81:G81)</f>
        <v>2614</v>
      </c>
      <c r="J81" s="7" t="s">
        <v>22</v>
      </c>
      <c r="K81" s="10">
        <v>241.86</v>
      </c>
      <c r="L81" s="11">
        <v>154.24</v>
      </c>
      <c r="M81" s="11">
        <v>201.04</v>
      </c>
      <c r="N81" s="11">
        <v>211.44</v>
      </c>
      <c r="O81" s="11">
        <v>209.04</v>
      </c>
      <c r="P81" s="11">
        <v>254.09</v>
      </c>
      <c r="Q81" s="11">
        <v>231.6</v>
      </c>
      <c r="R81" s="11">
        <v>164.39</v>
      </c>
      <c r="S81" s="11">
        <v>156</v>
      </c>
      <c r="T81" s="11"/>
      <c r="U81" s="12"/>
      <c r="W81" s="7" t="s">
        <v>22</v>
      </c>
      <c r="X81" s="10"/>
      <c r="Y81" s="11"/>
      <c r="Z81" s="11"/>
      <c r="AA81" s="11"/>
      <c r="AB81" s="11"/>
      <c r="AC81" s="12"/>
      <c r="AE81" s="7" t="s">
        <v>22</v>
      </c>
      <c r="AF81" s="10"/>
      <c r="AG81" s="11"/>
      <c r="AH81" s="11"/>
      <c r="AI81" s="11"/>
      <c r="AJ81" s="11"/>
      <c r="AK81" s="12"/>
    </row>
    <row r="82" spans="1:37" x14ac:dyDescent="0.25">
      <c r="J82" s="8"/>
      <c r="T82" s="8" t="s">
        <v>23</v>
      </c>
      <c r="U82" s="13">
        <f>SUM(K81:U81)</f>
        <v>1823.6999999999998</v>
      </c>
      <c r="AB82" s="8" t="s">
        <v>23</v>
      </c>
      <c r="AC82" s="13">
        <f>SUM(X81:AC81)</f>
        <v>0</v>
      </c>
      <c r="AJ82" s="8" t="s">
        <v>23</v>
      </c>
      <c r="AK82" s="13">
        <f>SUM(AF81:AK81)</f>
        <v>0</v>
      </c>
    </row>
    <row r="83" spans="1:37" ht="15.75" thickBot="1" x14ac:dyDescent="0.3">
      <c r="A83" s="19"/>
      <c r="B83" s="83" t="s">
        <v>17</v>
      </c>
      <c r="C83" s="83"/>
      <c r="D83" s="83"/>
      <c r="E83" s="83"/>
      <c r="F83" s="83"/>
      <c r="G83" s="83"/>
      <c r="H83" s="83"/>
      <c r="J83" s="84" t="s">
        <v>17</v>
      </c>
      <c r="K83" s="84"/>
      <c r="L83" s="84"/>
      <c r="M83" s="84"/>
      <c r="N83" s="84"/>
      <c r="O83" s="84"/>
      <c r="P83" s="84"/>
      <c r="Q83" s="84"/>
      <c r="R83" s="84"/>
      <c r="S83" s="84"/>
      <c r="T83" s="84"/>
      <c r="U83" s="84"/>
      <c r="W83" s="85" t="str">
        <f>J83</f>
        <v>Agosto</v>
      </c>
      <c r="X83" s="85"/>
      <c r="Y83" s="85"/>
      <c r="Z83" s="85"/>
      <c r="AA83" s="85"/>
      <c r="AB83" s="85"/>
      <c r="AC83" s="85"/>
      <c r="AE83" s="86" t="str">
        <f>W83</f>
        <v>Agosto</v>
      </c>
      <c r="AF83" s="86"/>
      <c r="AG83" s="86"/>
      <c r="AH83" s="86"/>
      <c r="AI83" s="86"/>
      <c r="AJ83" s="86"/>
      <c r="AK83" s="86"/>
    </row>
    <row r="84" spans="1:37" ht="15.75" thickBot="1" x14ac:dyDescent="0.3">
      <c r="A84" s="87" t="s">
        <v>5</v>
      </c>
      <c r="B84" s="34" t="s">
        <v>6</v>
      </c>
      <c r="C84" s="22" t="s">
        <v>7</v>
      </c>
      <c r="D84" s="33" t="s">
        <v>8</v>
      </c>
      <c r="E84" s="22" t="s">
        <v>9</v>
      </c>
      <c r="F84" s="24" t="s">
        <v>10</v>
      </c>
      <c r="G84" s="23" t="s">
        <v>11</v>
      </c>
      <c r="H84" s="25" t="s">
        <v>12</v>
      </c>
      <c r="J84" s="6" t="s">
        <v>4</v>
      </c>
      <c r="K84" s="9">
        <v>45870</v>
      </c>
      <c r="L84" s="66">
        <v>45874</v>
      </c>
      <c r="M84" s="66">
        <v>45877</v>
      </c>
      <c r="N84" s="66">
        <v>45881</v>
      </c>
      <c r="O84" s="66">
        <v>45884</v>
      </c>
      <c r="P84" s="66">
        <v>45888</v>
      </c>
      <c r="Q84" s="66">
        <v>45891</v>
      </c>
      <c r="R84" s="4"/>
      <c r="S84" s="4"/>
      <c r="T84" s="4"/>
      <c r="U84" s="5"/>
      <c r="W84" s="6" t="s">
        <v>4</v>
      </c>
      <c r="X84" s="9"/>
      <c r="Y84" s="4"/>
      <c r="Z84" s="4"/>
      <c r="AA84" s="4"/>
      <c r="AB84" s="4"/>
      <c r="AC84" s="5"/>
      <c r="AE84" s="6" t="s">
        <v>4</v>
      </c>
      <c r="AF84" s="9"/>
      <c r="AG84" s="4"/>
      <c r="AH84" s="4"/>
      <c r="AI84" s="4"/>
      <c r="AJ84" s="4"/>
      <c r="AK84" s="5"/>
    </row>
    <row r="85" spans="1:37" ht="15.75" thickBot="1" x14ac:dyDescent="0.3">
      <c r="A85" s="87"/>
      <c r="B85" s="27">
        <v>23130</v>
      </c>
      <c r="C85" s="27">
        <v>24354</v>
      </c>
      <c r="D85" s="27">
        <v>24354</v>
      </c>
      <c r="E85" s="27">
        <v>25605</v>
      </c>
      <c r="F85" s="27">
        <f>SUM(C85-B85)</f>
        <v>1224</v>
      </c>
      <c r="G85" s="20">
        <f>SUM(E85-D85)</f>
        <v>1251</v>
      </c>
      <c r="H85" s="21">
        <f>SUM(F85:G85)</f>
        <v>2475</v>
      </c>
      <c r="J85" s="7" t="s">
        <v>22</v>
      </c>
      <c r="K85" s="10">
        <v>182.46</v>
      </c>
      <c r="L85" s="11">
        <v>159.71</v>
      </c>
      <c r="M85" s="11">
        <v>193.24</v>
      </c>
      <c r="N85" s="11">
        <v>199.68</v>
      </c>
      <c r="O85" s="11">
        <v>185.7</v>
      </c>
      <c r="P85" s="11">
        <v>200.79</v>
      </c>
      <c r="Q85" s="11">
        <v>212.49</v>
      </c>
      <c r="R85" s="11"/>
      <c r="S85" s="11"/>
      <c r="T85" s="11"/>
      <c r="U85" s="12"/>
      <c r="W85" s="7" t="s">
        <v>22</v>
      </c>
      <c r="X85" s="10"/>
      <c r="Y85" s="11"/>
      <c r="Z85" s="11"/>
      <c r="AA85" s="11"/>
      <c r="AB85" s="11"/>
      <c r="AC85" s="12"/>
      <c r="AE85" s="7" t="s">
        <v>22</v>
      </c>
      <c r="AF85" s="10"/>
      <c r="AG85" s="11"/>
      <c r="AH85" s="11"/>
      <c r="AI85" s="11"/>
      <c r="AJ85" s="11"/>
      <c r="AK85" s="12"/>
    </row>
    <row r="86" spans="1:37" x14ac:dyDescent="0.25">
      <c r="J86" s="8"/>
      <c r="T86" s="8" t="s">
        <v>23</v>
      </c>
      <c r="U86" s="13">
        <f>SUM(K85:U85)</f>
        <v>1334.0700000000002</v>
      </c>
      <c r="AB86" s="8" t="s">
        <v>23</v>
      </c>
      <c r="AC86" s="13">
        <f>SUM(X85:AC85)</f>
        <v>0</v>
      </c>
      <c r="AJ86" s="8" t="s">
        <v>23</v>
      </c>
      <c r="AK86" s="13">
        <f>SUM(AF85:AK85)</f>
        <v>0</v>
      </c>
    </row>
    <row r="87" spans="1:37" ht="15.75" thickBot="1" x14ac:dyDescent="0.3">
      <c r="A87" s="19"/>
      <c r="B87" s="83" t="s">
        <v>18</v>
      </c>
      <c r="C87" s="83"/>
      <c r="D87" s="83"/>
      <c r="E87" s="83"/>
      <c r="F87" s="83"/>
      <c r="G87" s="83"/>
      <c r="H87" s="83"/>
      <c r="J87" s="84" t="s">
        <v>18</v>
      </c>
      <c r="K87" s="84"/>
      <c r="L87" s="84"/>
      <c r="M87" s="84"/>
      <c r="N87" s="84"/>
      <c r="O87" s="84"/>
      <c r="P87" s="84"/>
      <c r="Q87" s="84"/>
      <c r="R87" s="84"/>
      <c r="S87" s="84"/>
      <c r="T87" s="84"/>
      <c r="U87" s="84"/>
      <c r="W87" s="85" t="str">
        <f>J87</f>
        <v>Setembro</v>
      </c>
      <c r="X87" s="85"/>
      <c r="Y87" s="85"/>
      <c r="Z87" s="85"/>
      <c r="AA87" s="85"/>
      <c r="AB87" s="85"/>
      <c r="AC87" s="85"/>
      <c r="AE87" s="86" t="str">
        <f>W87</f>
        <v>Setembro</v>
      </c>
      <c r="AF87" s="86"/>
      <c r="AG87" s="86"/>
      <c r="AH87" s="86"/>
      <c r="AI87" s="86"/>
      <c r="AJ87" s="86"/>
      <c r="AK87" s="86"/>
    </row>
    <row r="88" spans="1:37" ht="15.75" thickBot="1" x14ac:dyDescent="0.3">
      <c r="A88" s="87" t="s">
        <v>5</v>
      </c>
      <c r="B88" s="34" t="s">
        <v>6</v>
      </c>
      <c r="C88" s="22" t="s">
        <v>7</v>
      </c>
      <c r="D88" s="33" t="s">
        <v>8</v>
      </c>
      <c r="E88" s="22" t="s">
        <v>9</v>
      </c>
      <c r="F88" s="24" t="s">
        <v>10</v>
      </c>
      <c r="G88" s="23" t="s">
        <v>11</v>
      </c>
      <c r="H88" s="25" t="s">
        <v>12</v>
      </c>
      <c r="J88" s="6" t="s">
        <v>4</v>
      </c>
      <c r="K88" s="9">
        <v>45902</v>
      </c>
      <c r="L88" s="66">
        <v>45905</v>
      </c>
      <c r="M88" s="66">
        <v>45909</v>
      </c>
      <c r="N88" s="66">
        <v>45912</v>
      </c>
      <c r="O88" s="66">
        <v>45916</v>
      </c>
      <c r="P88" s="66">
        <v>45923</v>
      </c>
      <c r="Q88" s="66">
        <v>45926</v>
      </c>
      <c r="R88" s="66">
        <v>45930</v>
      </c>
      <c r="S88" s="4"/>
      <c r="T88" s="4"/>
      <c r="U88" s="5"/>
      <c r="W88" s="6" t="s">
        <v>4</v>
      </c>
      <c r="X88" s="9"/>
      <c r="Y88" s="4"/>
      <c r="Z88" s="4"/>
      <c r="AA88" s="4"/>
      <c r="AB88" s="4"/>
      <c r="AC88" s="5"/>
      <c r="AE88" s="6" t="s">
        <v>4</v>
      </c>
      <c r="AF88" s="9"/>
      <c r="AG88" s="4"/>
      <c r="AH88" s="4"/>
      <c r="AI88" s="4"/>
      <c r="AJ88" s="4"/>
      <c r="AK88" s="5"/>
    </row>
    <row r="89" spans="1:37" ht="15.75" thickBot="1" x14ac:dyDescent="0.3">
      <c r="A89" s="87"/>
      <c r="B89" s="27">
        <v>25605</v>
      </c>
      <c r="C89" s="27">
        <v>26743</v>
      </c>
      <c r="D89" s="27">
        <v>26743</v>
      </c>
      <c r="E89" s="27">
        <v>27993</v>
      </c>
      <c r="F89" s="27">
        <f>SUM(C89-B89)</f>
        <v>1138</v>
      </c>
      <c r="G89" s="20">
        <f>SUM(E89-D89)</f>
        <v>1250</v>
      </c>
      <c r="H89" s="21">
        <f>SUM(F89:G89)</f>
        <v>2388</v>
      </c>
      <c r="J89" s="7" t="s">
        <v>22</v>
      </c>
      <c r="K89" s="10">
        <v>226</v>
      </c>
      <c r="L89" s="11">
        <v>180.76</v>
      </c>
      <c r="M89" s="11">
        <v>235.63</v>
      </c>
      <c r="N89" s="11">
        <v>250.31</v>
      </c>
      <c r="O89" s="11">
        <v>214.5</v>
      </c>
      <c r="P89" s="11">
        <v>216.97</v>
      </c>
      <c r="Q89" s="11">
        <v>172.12</v>
      </c>
      <c r="R89" s="11">
        <v>208.71</v>
      </c>
      <c r="S89" s="11"/>
      <c r="T89" s="11"/>
      <c r="U89" s="12"/>
      <c r="W89" s="7" t="s">
        <v>22</v>
      </c>
      <c r="X89" s="10"/>
      <c r="Y89" s="11"/>
      <c r="Z89" s="11"/>
      <c r="AA89" s="11"/>
      <c r="AB89" s="11"/>
      <c r="AC89" s="12"/>
      <c r="AE89" s="7" t="s">
        <v>22</v>
      </c>
      <c r="AF89" s="10"/>
      <c r="AG89" s="11"/>
      <c r="AH89" s="11"/>
      <c r="AI89" s="11"/>
      <c r="AJ89" s="11"/>
      <c r="AK89" s="12"/>
    </row>
    <row r="90" spans="1:37" x14ac:dyDescent="0.25">
      <c r="J90" s="8"/>
      <c r="T90" s="8" t="s">
        <v>23</v>
      </c>
      <c r="U90" s="13">
        <f>SUM(K89:U89)</f>
        <v>1705</v>
      </c>
      <c r="AB90" s="8" t="s">
        <v>23</v>
      </c>
      <c r="AC90" s="13">
        <f>SUM(X89:AC89)</f>
        <v>0</v>
      </c>
      <c r="AJ90" s="8" t="s">
        <v>23</v>
      </c>
      <c r="AK90" s="13">
        <f>SUM(AF89:AK89)</f>
        <v>0</v>
      </c>
    </row>
    <row r="91" spans="1:37" ht="15.75" thickBot="1" x14ac:dyDescent="0.3">
      <c r="A91" s="19"/>
      <c r="B91" s="83" t="s">
        <v>19</v>
      </c>
      <c r="C91" s="83"/>
      <c r="D91" s="83"/>
      <c r="E91" s="83"/>
      <c r="F91" s="83"/>
      <c r="G91" s="83"/>
      <c r="H91" s="83"/>
      <c r="J91" s="84" t="s">
        <v>19</v>
      </c>
      <c r="K91" s="84"/>
      <c r="L91" s="84"/>
      <c r="M91" s="84"/>
      <c r="N91" s="84"/>
      <c r="O91" s="84"/>
      <c r="P91" s="84"/>
      <c r="Q91" s="84"/>
      <c r="R91" s="84"/>
      <c r="S91" s="84"/>
      <c r="T91" s="84"/>
      <c r="U91" s="84"/>
      <c r="W91" s="85" t="str">
        <f>J91</f>
        <v>Outubro</v>
      </c>
      <c r="X91" s="85"/>
      <c r="Y91" s="85"/>
      <c r="Z91" s="85"/>
      <c r="AA91" s="85"/>
      <c r="AB91" s="85"/>
      <c r="AC91" s="85"/>
      <c r="AE91" s="86" t="str">
        <f>W91</f>
        <v>Outubro</v>
      </c>
      <c r="AF91" s="86"/>
      <c r="AG91" s="86"/>
      <c r="AH91" s="86"/>
      <c r="AI91" s="86"/>
      <c r="AJ91" s="86"/>
      <c r="AK91" s="86"/>
    </row>
    <row r="92" spans="1:37" ht="15.75" thickBot="1" x14ac:dyDescent="0.3">
      <c r="A92" s="87" t="s">
        <v>5</v>
      </c>
      <c r="B92" s="34" t="s">
        <v>6</v>
      </c>
      <c r="C92" s="22" t="s">
        <v>7</v>
      </c>
      <c r="D92" s="33" t="s">
        <v>8</v>
      </c>
      <c r="E92" s="22" t="s">
        <v>9</v>
      </c>
      <c r="F92" s="24" t="s">
        <v>10</v>
      </c>
      <c r="G92" s="23" t="s">
        <v>11</v>
      </c>
      <c r="H92" s="25" t="s">
        <v>12</v>
      </c>
      <c r="J92" s="6" t="s">
        <v>4</v>
      </c>
      <c r="K92" s="9">
        <v>45933</v>
      </c>
      <c r="L92" s="66">
        <v>45937</v>
      </c>
      <c r="M92" s="66">
        <v>45940</v>
      </c>
      <c r="N92" s="66">
        <v>45944</v>
      </c>
      <c r="O92" s="66">
        <v>45947</v>
      </c>
      <c r="P92" s="66">
        <v>45951</v>
      </c>
      <c r="Q92" s="66">
        <v>45954</v>
      </c>
      <c r="R92" s="66">
        <v>45958</v>
      </c>
      <c r="S92" s="66">
        <v>45961</v>
      </c>
      <c r="T92" s="4"/>
      <c r="U92" s="5"/>
      <c r="W92" s="6" t="s">
        <v>4</v>
      </c>
      <c r="X92" s="9"/>
      <c r="Y92" s="4"/>
      <c r="Z92" s="4"/>
      <c r="AA92" s="4"/>
      <c r="AB92" s="4"/>
      <c r="AC92" s="5"/>
      <c r="AE92" s="6" t="s">
        <v>4</v>
      </c>
      <c r="AF92" s="9"/>
      <c r="AG92" s="4"/>
      <c r="AH92" s="4"/>
      <c r="AI92" s="4"/>
      <c r="AJ92" s="4"/>
      <c r="AK92" s="5"/>
    </row>
    <row r="93" spans="1:37" ht="15.75" thickBot="1" x14ac:dyDescent="0.3">
      <c r="A93" s="87"/>
      <c r="B93" s="27">
        <v>27993</v>
      </c>
      <c r="C93" s="27">
        <v>29186</v>
      </c>
      <c r="D93" s="27">
        <v>29186</v>
      </c>
      <c r="E93" s="27">
        <v>30644</v>
      </c>
      <c r="F93" s="27">
        <f>SUM(C93-B93)</f>
        <v>1193</v>
      </c>
      <c r="G93" s="20">
        <f>SUM(E93-D93)</f>
        <v>1458</v>
      </c>
      <c r="H93" s="21">
        <f>SUM(F93:G93)</f>
        <v>2651</v>
      </c>
      <c r="J93" s="7" t="s">
        <v>22</v>
      </c>
      <c r="K93" s="10">
        <v>174.07</v>
      </c>
      <c r="L93" s="11">
        <v>196.82</v>
      </c>
      <c r="M93" s="11">
        <v>193.38</v>
      </c>
      <c r="N93" s="11">
        <v>155.02000000000001</v>
      </c>
      <c r="O93" s="11">
        <v>234.71</v>
      </c>
      <c r="P93" s="11">
        <v>240.96</v>
      </c>
      <c r="Q93" s="11">
        <v>219.54</v>
      </c>
      <c r="R93" s="11">
        <v>115.76</v>
      </c>
      <c r="S93" s="11">
        <v>228.48</v>
      </c>
      <c r="T93" s="11"/>
      <c r="U93" s="12"/>
      <c r="W93" s="7" t="s">
        <v>22</v>
      </c>
      <c r="X93" s="10"/>
      <c r="Y93" s="11"/>
      <c r="Z93" s="11"/>
      <c r="AA93" s="11"/>
      <c r="AB93" s="11"/>
      <c r="AC93" s="12"/>
      <c r="AE93" s="7" t="s">
        <v>22</v>
      </c>
      <c r="AF93" s="10"/>
      <c r="AG93" s="11"/>
      <c r="AH93" s="11"/>
      <c r="AI93" s="11"/>
      <c r="AJ93" s="11"/>
      <c r="AK93" s="12"/>
    </row>
    <row r="94" spans="1:37" x14ac:dyDescent="0.25">
      <c r="J94" s="8"/>
      <c r="T94" s="8" t="s">
        <v>23</v>
      </c>
      <c r="U94" s="13">
        <f>SUM(K93:U93)</f>
        <v>1758.74</v>
      </c>
      <c r="AB94" s="8" t="s">
        <v>23</v>
      </c>
      <c r="AC94" s="13">
        <f>SUM(X93:AC93)</f>
        <v>0</v>
      </c>
      <c r="AJ94" s="8" t="s">
        <v>23</v>
      </c>
      <c r="AK94" s="13">
        <f>SUM(AF93:AK93)</f>
        <v>0</v>
      </c>
    </row>
    <row r="95" spans="1:37" ht="15.75" thickBot="1" x14ac:dyDescent="0.3">
      <c r="A95" s="19"/>
      <c r="B95" s="83" t="s">
        <v>20</v>
      </c>
      <c r="C95" s="83"/>
      <c r="D95" s="83"/>
      <c r="E95" s="83"/>
      <c r="F95" s="83"/>
      <c r="G95" s="83"/>
      <c r="H95" s="83"/>
      <c r="J95" s="84" t="s">
        <v>20</v>
      </c>
      <c r="K95" s="84"/>
      <c r="L95" s="84"/>
      <c r="M95" s="84"/>
      <c r="N95" s="84"/>
      <c r="O95" s="84"/>
      <c r="P95" s="84"/>
      <c r="Q95" s="84"/>
      <c r="R95" s="84"/>
      <c r="S95" s="84"/>
      <c r="T95" s="84"/>
      <c r="U95" s="84"/>
      <c r="W95" s="85" t="str">
        <f>J95</f>
        <v>Novembro</v>
      </c>
      <c r="X95" s="85"/>
      <c r="Y95" s="85"/>
      <c r="Z95" s="85"/>
      <c r="AA95" s="85"/>
      <c r="AB95" s="85"/>
      <c r="AC95" s="85"/>
      <c r="AE95" s="86" t="str">
        <f>W95</f>
        <v>Novembro</v>
      </c>
      <c r="AF95" s="86"/>
      <c r="AG95" s="86"/>
      <c r="AH95" s="86"/>
      <c r="AI95" s="86"/>
      <c r="AJ95" s="86"/>
      <c r="AK95" s="86"/>
    </row>
    <row r="96" spans="1:37" ht="15.75" thickBot="1" x14ac:dyDescent="0.3">
      <c r="A96" s="87" t="s">
        <v>5</v>
      </c>
      <c r="B96" s="34" t="s">
        <v>6</v>
      </c>
      <c r="C96" s="22" t="s">
        <v>7</v>
      </c>
      <c r="D96" s="33" t="s">
        <v>8</v>
      </c>
      <c r="E96" s="22" t="s">
        <v>9</v>
      </c>
      <c r="F96" s="24" t="s">
        <v>10</v>
      </c>
      <c r="G96" s="23" t="s">
        <v>11</v>
      </c>
      <c r="H96" s="25" t="s">
        <v>12</v>
      </c>
      <c r="J96" s="6" t="s">
        <v>4</v>
      </c>
      <c r="K96" s="9">
        <v>45965</v>
      </c>
      <c r="L96" s="66">
        <v>45968</v>
      </c>
      <c r="M96" s="66">
        <v>45972</v>
      </c>
      <c r="N96" s="66">
        <v>45986</v>
      </c>
      <c r="O96" s="66">
        <v>45989</v>
      </c>
      <c r="P96" s="4"/>
      <c r="Q96" s="4"/>
      <c r="R96" s="4"/>
      <c r="S96" s="4"/>
      <c r="T96" s="4"/>
      <c r="U96" s="5"/>
      <c r="W96" s="6" t="s">
        <v>4</v>
      </c>
      <c r="X96" s="9"/>
      <c r="Y96" s="4"/>
      <c r="Z96" s="4"/>
      <c r="AA96" s="4"/>
      <c r="AB96" s="4"/>
      <c r="AC96" s="5"/>
      <c r="AE96" s="6" t="s">
        <v>4</v>
      </c>
      <c r="AF96" s="9"/>
      <c r="AG96" s="4"/>
      <c r="AH96" s="4"/>
      <c r="AI96" s="4"/>
      <c r="AJ96" s="4"/>
      <c r="AK96" s="5"/>
    </row>
    <row r="97" spans="1:37" ht="15.75" thickBot="1" x14ac:dyDescent="0.3">
      <c r="A97" s="87"/>
      <c r="B97" s="27">
        <v>30644</v>
      </c>
      <c r="C97" s="27">
        <v>31649</v>
      </c>
      <c r="D97" s="27">
        <v>31649</v>
      </c>
      <c r="E97" s="27">
        <v>32116</v>
      </c>
      <c r="F97" s="27">
        <f>SUM(C97-B97)</f>
        <v>1005</v>
      </c>
      <c r="G97" s="20">
        <f>SUM(E97-D97)</f>
        <v>467</v>
      </c>
      <c r="H97" s="21">
        <f>SUM(F97:G97)</f>
        <v>1472</v>
      </c>
      <c r="J97" s="7" t="s">
        <v>22</v>
      </c>
      <c r="K97" s="10">
        <v>214.96</v>
      </c>
      <c r="L97" s="11">
        <v>221</v>
      </c>
      <c r="M97" s="11">
        <v>130.27000000000001</v>
      </c>
      <c r="N97" s="11">
        <v>201.71</v>
      </c>
      <c r="O97" s="11">
        <v>187.76</v>
      </c>
      <c r="P97" s="11"/>
      <c r="Q97" s="11"/>
      <c r="R97" s="11"/>
      <c r="S97" s="11"/>
      <c r="T97" s="11"/>
      <c r="U97" s="12"/>
      <c r="W97" s="7" t="s">
        <v>22</v>
      </c>
      <c r="X97" s="10"/>
      <c r="Y97" s="11"/>
      <c r="Z97" s="11"/>
      <c r="AA97" s="11"/>
      <c r="AB97" s="11"/>
      <c r="AC97" s="12"/>
      <c r="AE97" s="7" t="s">
        <v>22</v>
      </c>
      <c r="AF97" s="10"/>
      <c r="AG97" s="11"/>
      <c r="AH97" s="11"/>
      <c r="AI97" s="11"/>
      <c r="AJ97" s="11"/>
      <c r="AK97" s="12"/>
    </row>
    <row r="98" spans="1:37" x14ac:dyDescent="0.25">
      <c r="J98" s="8"/>
      <c r="T98" s="8" t="s">
        <v>23</v>
      </c>
      <c r="U98" s="13">
        <f>SUM(K97:U97)</f>
        <v>955.7</v>
      </c>
      <c r="AB98" s="8" t="s">
        <v>23</v>
      </c>
      <c r="AC98" s="13">
        <f>SUM(X97:AC97)</f>
        <v>0</v>
      </c>
      <c r="AJ98" s="8" t="s">
        <v>23</v>
      </c>
      <c r="AK98" s="13">
        <f>SUM(AF97:AK97)</f>
        <v>0</v>
      </c>
    </row>
    <row r="99" spans="1:37" ht="15.75" thickBot="1" x14ac:dyDescent="0.3">
      <c r="A99" s="19"/>
      <c r="B99" s="83" t="s">
        <v>21</v>
      </c>
      <c r="C99" s="83"/>
      <c r="D99" s="83"/>
      <c r="E99" s="83"/>
      <c r="F99" s="83"/>
      <c r="G99" s="83"/>
      <c r="H99" s="83"/>
      <c r="J99" s="84" t="s">
        <v>21</v>
      </c>
      <c r="K99" s="84"/>
      <c r="L99" s="84"/>
      <c r="M99" s="84"/>
      <c r="N99" s="84"/>
      <c r="O99" s="84"/>
      <c r="P99" s="84"/>
      <c r="Q99" s="84"/>
      <c r="R99" s="84"/>
      <c r="S99" s="84"/>
      <c r="T99" s="84"/>
      <c r="U99" s="84"/>
      <c r="W99" s="85" t="str">
        <f>J99</f>
        <v>Dezembro</v>
      </c>
      <c r="X99" s="85"/>
      <c r="Y99" s="85"/>
      <c r="Z99" s="85"/>
      <c r="AA99" s="85"/>
      <c r="AB99" s="85"/>
      <c r="AC99" s="85"/>
      <c r="AE99" s="86" t="str">
        <f>W99</f>
        <v>Dezembro</v>
      </c>
      <c r="AF99" s="86"/>
      <c r="AG99" s="86"/>
      <c r="AH99" s="86"/>
      <c r="AI99" s="86"/>
      <c r="AJ99" s="86"/>
      <c r="AK99" s="86"/>
    </row>
    <row r="100" spans="1:37" ht="15.75" thickBot="1" x14ac:dyDescent="0.3">
      <c r="A100" s="87" t="s">
        <v>5</v>
      </c>
      <c r="B100" s="34" t="s">
        <v>6</v>
      </c>
      <c r="C100" s="22" t="s">
        <v>7</v>
      </c>
      <c r="D100" s="33" t="s">
        <v>8</v>
      </c>
      <c r="E100" s="22" t="s">
        <v>9</v>
      </c>
      <c r="F100" s="24" t="s">
        <v>10</v>
      </c>
      <c r="G100" s="23" t="s">
        <v>11</v>
      </c>
      <c r="H100" s="25" t="s">
        <v>12</v>
      </c>
      <c r="J100" s="6" t="s">
        <v>4</v>
      </c>
      <c r="K100" s="9">
        <v>45993</v>
      </c>
      <c r="L100" s="66">
        <v>45996</v>
      </c>
      <c r="M100" s="66">
        <v>46000</v>
      </c>
      <c r="N100" s="66">
        <v>46003</v>
      </c>
      <c r="O100" s="66">
        <v>46006</v>
      </c>
      <c r="P100" s="4"/>
      <c r="Q100" s="4"/>
      <c r="R100" s="4"/>
      <c r="S100" s="4"/>
      <c r="T100" s="4"/>
      <c r="U100" s="5"/>
      <c r="W100" s="6" t="s">
        <v>4</v>
      </c>
      <c r="X100" s="9"/>
      <c r="Y100" s="4"/>
      <c r="Z100" s="4"/>
      <c r="AA100" s="4"/>
      <c r="AB100" s="4"/>
      <c r="AC100" s="5"/>
      <c r="AE100" s="6" t="s">
        <v>4</v>
      </c>
      <c r="AF100" s="9"/>
      <c r="AG100" s="4"/>
      <c r="AH100" s="4"/>
      <c r="AI100" s="4"/>
      <c r="AJ100" s="4"/>
      <c r="AK100" s="5"/>
    </row>
    <row r="101" spans="1:37" ht="15.75" thickBot="1" x14ac:dyDescent="0.3">
      <c r="A101" s="87"/>
      <c r="B101" s="27">
        <v>32116</v>
      </c>
      <c r="C101" s="27">
        <v>33353</v>
      </c>
      <c r="D101" s="27">
        <v>33353</v>
      </c>
      <c r="E101" s="27">
        <v>33455</v>
      </c>
      <c r="F101" s="27">
        <f>SUM(C101-B101)</f>
        <v>1237</v>
      </c>
      <c r="G101" s="20">
        <f>SUM(E101-D101)</f>
        <v>102</v>
      </c>
      <c r="H101" s="21">
        <f>SUM(F101:G101)</f>
        <v>1339</v>
      </c>
      <c r="J101" s="7" t="s">
        <v>22</v>
      </c>
      <c r="K101" s="10">
        <v>156.62</v>
      </c>
      <c r="L101" s="11">
        <v>175.61</v>
      </c>
      <c r="M101" s="11">
        <v>214.24</v>
      </c>
      <c r="N101" s="11">
        <v>202.03</v>
      </c>
      <c r="O101" s="11">
        <v>145.1</v>
      </c>
      <c r="P101" s="11"/>
      <c r="Q101" s="11"/>
      <c r="R101" s="11"/>
      <c r="S101" s="11"/>
      <c r="T101" s="11"/>
      <c r="U101" s="12"/>
      <c r="W101" s="7" t="s">
        <v>22</v>
      </c>
      <c r="X101" s="10"/>
      <c r="Y101" s="11"/>
      <c r="Z101" s="11"/>
      <c r="AA101" s="11"/>
      <c r="AB101" s="11"/>
      <c r="AC101" s="12"/>
      <c r="AE101" s="7" t="s">
        <v>22</v>
      </c>
      <c r="AF101" s="10"/>
      <c r="AG101" s="11"/>
      <c r="AH101" s="11"/>
      <c r="AI101" s="11"/>
      <c r="AJ101" s="11"/>
      <c r="AK101" s="12"/>
    </row>
    <row r="102" spans="1:37" x14ac:dyDescent="0.25">
      <c r="J102" s="8"/>
      <c r="T102" s="8" t="s">
        <v>23</v>
      </c>
      <c r="U102" s="13">
        <f>SUM(K101:U101)</f>
        <v>893.6</v>
      </c>
      <c r="AB102" s="8" t="s">
        <v>23</v>
      </c>
      <c r="AC102" s="13">
        <f>SUM(X101:AC101)</f>
        <v>0</v>
      </c>
      <c r="AJ102" s="8" t="s">
        <v>23</v>
      </c>
      <c r="AK102" s="13">
        <f>SUM(AF101:AK101)</f>
        <v>0</v>
      </c>
    </row>
    <row r="103" spans="1:37" ht="15.75" thickBot="1" x14ac:dyDescent="0.3">
      <c r="A103" s="19">
        <v>2026</v>
      </c>
      <c r="B103" s="83" t="s">
        <v>83</v>
      </c>
      <c r="C103" s="83"/>
      <c r="D103" s="83"/>
      <c r="E103" s="83"/>
      <c r="F103" s="83"/>
      <c r="G103" s="83"/>
      <c r="H103" s="83"/>
      <c r="J103" s="84" t="s">
        <v>83</v>
      </c>
      <c r="K103" s="84"/>
      <c r="L103" s="84"/>
      <c r="M103" s="84"/>
      <c r="N103" s="84"/>
      <c r="O103" s="84"/>
      <c r="P103" s="84"/>
      <c r="Q103" s="84"/>
      <c r="R103" s="84"/>
      <c r="S103" s="84"/>
      <c r="T103" s="84"/>
      <c r="U103" s="84"/>
      <c r="W103" s="85" t="s">
        <v>83</v>
      </c>
      <c r="X103" s="85"/>
      <c r="Y103" s="85"/>
      <c r="Z103" s="85"/>
      <c r="AA103" s="85"/>
      <c r="AB103" s="85"/>
      <c r="AC103" s="85"/>
      <c r="AE103" s="86" t="s">
        <v>83</v>
      </c>
      <c r="AF103" s="86"/>
      <c r="AG103" s="86"/>
      <c r="AH103" s="86"/>
      <c r="AI103" s="86"/>
      <c r="AJ103" s="86"/>
      <c r="AK103" s="86"/>
    </row>
    <row r="104" spans="1:37" ht="15.75" thickBot="1" x14ac:dyDescent="0.3">
      <c r="A104" s="87" t="s">
        <v>5</v>
      </c>
      <c r="B104" s="34" t="s">
        <v>6</v>
      </c>
      <c r="C104" s="22" t="s">
        <v>7</v>
      </c>
      <c r="D104" s="33" t="s">
        <v>8</v>
      </c>
      <c r="E104" s="22" t="s">
        <v>9</v>
      </c>
      <c r="F104" s="24" t="s">
        <v>10</v>
      </c>
      <c r="G104" s="23" t="s">
        <v>11</v>
      </c>
      <c r="H104" s="25" t="s">
        <v>12</v>
      </c>
      <c r="J104" s="28" t="s">
        <v>4</v>
      </c>
      <c r="K104" s="9"/>
      <c r="L104" s="4"/>
      <c r="M104" s="4"/>
      <c r="N104" s="4"/>
      <c r="O104" s="4"/>
      <c r="P104" s="4"/>
      <c r="Q104" s="4"/>
      <c r="R104" s="4"/>
      <c r="S104" s="4"/>
      <c r="T104" s="4"/>
      <c r="U104" s="5"/>
      <c r="W104" s="6" t="s">
        <v>4</v>
      </c>
      <c r="X104" s="9"/>
      <c r="Y104" s="4"/>
      <c r="Z104" s="4"/>
      <c r="AA104" s="4"/>
      <c r="AB104" s="4"/>
      <c r="AC104" s="5"/>
      <c r="AE104" s="6" t="s">
        <v>4</v>
      </c>
      <c r="AF104" s="9"/>
      <c r="AG104" s="4"/>
      <c r="AH104" s="4"/>
      <c r="AI104" s="4"/>
      <c r="AJ104" s="4"/>
      <c r="AK104" s="5"/>
    </row>
    <row r="105" spans="1:37" ht="15.75" thickBot="1" x14ac:dyDescent="0.3">
      <c r="A105" s="87"/>
      <c r="B105" s="27">
        <v>33455</v>
      </c>
      <c r="C105" s="27"/>
      <c r="D105" s="27"/>
      <c r="E105" s="27">
        <v>35661</v>
      </c>
      <c r="F105" s="27">
        <f>SUM(C105-B105)</f>
        <v>-33455</v>
      </c>
      <c r="G105" s="20">
        <f>SUM(E105-D105)</f>
        <v>35661</v>
      </c>
      <c r="H105" s="21">
        <f>SUM(F105:G105)</f>
        <v>2206</v>
      </c>
      <c r="J105" s="29" t="s">
        <v>22</v>
      </c>
      <c r="K105" s="10"/>
      <c r="L105" s="11"/>
      <c r="M105" s="11"/>
      <c r="N105" s="11"/>
      <c r="O105" s="11"/>
      <c r="P105" s="11"/>
      <c r="Q105" s="11"/>
      <c r="R105" s="11"/>
      <c r="S105" s="11"/>
      <c r="T105" s="11"/>
      <c r="U105" s="12"/>
      <c r="W105" s="7" t="s">
        <v>22</v>
      </c>
      <c r="X105" s="10"/>
      <c r="Y105" s="11"/>
      <c r="Z105" s="11"/>
      <c r="AA105" s="11"/>
      <c r="AB105" s="11"/>
      <c r="AC105" s="12"/>
      <c r="AE105" s="7" t="s">
        <v>22</v>
      </c>
      <c r="AF105" s="10"/>
      <c r="AG105" s="11"/>
      <c r="AH105" s="11"/>
      <c r="AI105" s="11"/>
      <c r="AJ105" s="11"/>
      <c r="AK105" s="12"/>
    </row>
    <row r="106" spans="1:37" x14ac:dyDescent="0.25">
      <c r="J106" s="8"/>
      <c r="T106" s="8" t="s">
        <v>23</v>
      </c>
      <c r="U106" s="13">
        <f>SUM(K105:U105)</f>
        <v>0</v>
      </c>
      <c r="AB106" s="8" t="s">
        <v>23</v>
      </c>
      <c r="AC106" s="13">
        <f>SUM(X105:AC105)</f>
        <v>0</v>
      </c>
      <c r="AJ106" s="8" t="s">
        <v>23</v>
      </c>
      <c r="AK106" s="13">
        <f>SUM(AF105:AK105)</f>
        <v>0</v>
      </c>
    </row>
    <row r="107" spans="1:37" ht="15.75" thickBot="1" x14ac:dyDescent="0.3">
      <c r="A107" s="71" t="s">
        <v>99</v>
      </c>
      <c r="B107" s="83" t="s">
        <v>3</v>
      </c>
      <c r="C107" s="83"/>
      <c r="D107" s="83"/>
      <c r="E107" s="83"/>
      <c r="F107" s="83"/>
      <c r="G107" s="83"/>
      <c r="H107" s="83"/>
      <c r="J107" s="84" t="s">
        <v>3</v>
      </c>
      <c r="K107" s="84"/>
      <c r="L107" s="84"/>
      <c r="M107" s="84"/>
      <c r="N107" s="84"/>
      <c r="O107" s="84"/>
      <c r="P107" s="84"/>
      <c r="Q107" s="84"/>
      <c r="R107" s="84"/>
      <c r="S107" s="84"/>
      <c r="T107" s="84"/>
      <c r="U107" s="84"/>
      <c r="W107" s="85" t="s">
        <v>3</v>
      </c>
      <c r="X107" s="85"/>
      <c r="Y107" s="85"/>
      <c r="Z107" s="85"/>
      <c r="AA107" s="85"/>
      <c r="AB107" s="85"/>
      <c r="AC107" s="85"/>
      <c r="AE107" s="86" t="s">
        <v>3</v>
      </c>
      <c r="AF107" s="86"/>
      <c r="AG107" s="86"/>
      <c r="AH107" s="86"/>
      <c r="AI107" s="86"/>
      <c r="AJ107" s="86"/>
      <c r="AK107" s="86"/>
    </row>
    <row r="108" spans="1:37" ht="15.75" thickBot="1" x14ac:dyDescent="0.3">
      <c r="A108" s="87" t="s">
        <v>5</v>
      </c>
      <c r="B108" s="34" t="s">
        <v>6</v>
      </c>
      <c r="C108" s="22" t="s">
        <v>7</v>
      </c>
      <c r="D108" s="33" t="s">
        <v>8</v>
      </c>
      <c r="E108" s="22" t="s">
        <v>9</v>
      </c>
      <c r="F108" s="24" t="s">
        <v>10</v>
      </c>
      <c r="G108" s="23" t="s">
        <v>11</v>
      </c>
      <c r="H108" s="25" t="s">
        <v>12</v>
      </c>
      <c r="J108" s="28" t="s">
        <v>4</v>
      </c>
      <c r="K108" s="9">
        <v>46056</v>
      </c>
      <c r="L108" s="66">
        <v>46059</v>
      </c>
      <c r="M108" s="66">
        <v>46063</v>
      </c>
      <c r="N108" s="66">
        <v>46066</v>
      </c>
      <c r="O108" s="66">
        <v>46070</v>
      </c>
      <c r="P108" s="66">
        <v>46073</v>
      </c>
      <c r="Q108" s="66">
        <v>46077</v>
      </c>
      <c r="R108" s="66">
        <v>46080</v>
      </c>
      <c r="S108" s="4"/>
      <c r="T108" s="4"/>
      <c r="U108" s="5"/>
      <c r="W108" s="6" t="s">
        <v>4</v>
      </c>
      <c r="X108" s="9"/>
      <c r="Y108" s="4"/>
      <c r="Z108" s="4"/>
      <c r="AA108" s="4"/>
      <c r="AB108" s="4"/>
      <c r="AC108" s="5"/>
      <c r="AE108" s="6" t="s">
        <v>4</v>
      </c>
      <c r="AF108" s="9"/>
      <c r="AG108" s="4"/>
      <c r="AH108" s="4"/>
      <c r="AI108" s="4"/>
      <c r="AJ108" s="4"/>
      <c r="AK108" s="5"/>
    </row>
    <row r="109" spans="1:37" ht="15.75" thickBot="1" x14ac:dyDescent="0.3">
      <c r="A109" s="87"/>
      <c r="B109" s="27">
        <v>35661</v>
      </c>
      <c r="C109" s="27"/>
      <c r="D109" s="27"/>
      <c r="E109" s="27">
        <v>37855</v>
      </c>
      <c r="F109" s="27">
        <f>SUM(C109-B109)</f>
        <v>-35661</v>
      </c>
      <c r="G109" s="20">
        <f>SUM(E109-D109)</f>
        <v>37855</v>
      </c>
      <c r="H109" s="21">
        <f>SUM(F109:G109)</f>
        <v>2194</v>
      </c>
      <c r="J109" s="29" t="s">
        <v>22</v>
      </c>
      <c r="K109" s="10">
        <v>232.23</v>
      </c>
      <c r="L109" s="11">
        <v>193.73</v>
      </c>
      <c r="M109" s="11">
        <v>212.16</v>
      </c>
      <c r="N109" s="11">
        <v>125.3</v>
      </c>
      <c r="O109" s="11">
        <v>234.37</v>
      </c>
      <c r="P109" s="11">
        <v>176.62</v>
      </c>
      <c r="Q109" s="11">
        <v>207.57</v>
      </c>
      <c r="R109" s="11">
        <v>148.69999999999999</v>
      </c>
      <c r="S109" s="11"/>
      <c r="T109" s="11"/>
      <c r="U109" s="12"/>
      <c r="W109" s="7" t="s">
        <v>22</v>
      </c>
      <c r="X109" s="10"/>
      <c r="Y109" s="11"/>
      <c r="Z109" s="11"/>
      <c r="AA109" s="11"/>
      <c r="AB109" s="11"/>
      <c r="AC109" s="12"/>
      <c r="AE109" s="7" t="s">
        <v>22</v>
      </c>
      <c r="AF109" s="10"/>
      <c r="AG109" s="11"/>
      <c r="AH109" s="11"/>
      <c r="AI109" s="11"/>
      <c r="AJ109" s="11"/>
      <c r="AK109" s="12"/>
    </row>
    <row r="110" spans="1:37" x14ac:dyDescent="0.25">
      <c r="J110" s="8"/>
      <c r="T110" s="8" t="s">
        <v>23</v>
      </c>
      <c r="U110" s="13">
        <f>SUM(K109:U109)</f>
        <v>1530.6799999999998</v>
      </c>
      <c r="AB110" s="8" t="s">
        <v>23</v>
      </c>
      <c r="AC110" s="13">
        <f>SUM(X109:AC109)</f>
        <v>0</v>
      </c>
      <c r="AJ110" s="8" t="s">
        <v>23</v>
      </c>
      <c r="AK110" s="13">
        <f>SUM(AF109:AK109)</f>
        <v>0</v>
      </c>
    </row>
    <row r="111" spans="1:37" ht="15.75" thickBot="1" x14ac:dyDescent="0.3">
      <c r="A111" s="71" t="s">
        <v>113</v>
      </c>
      <c r="B111" s="83" t="s">
        <v>13</v>
      </c>
      <c r="C111" s="83"/>
      <c r="D111" s="83"/>
      <c r="E111" s="83"/>
      <c r="F111" s="83"/>
      <c r="G111" s="83"/>
      <c r="H111" s="83"/>
      <c r="J111" s="84" t="s">
        <v>13</v>
      </c>
      <c r="K111" s="84"/>
      <c r="L111" s="84"/>
      <c r="M111" s="84"/>
      <c r="N111" s="84"/>
      <c r="O111" s="84"/>
      <c r="P111" s="84"/>
      <c r="Q111" s="84"/>
      <c r="R111" s="84"/>
      <c r="S111" s="84"/>
      <c r="T111" s="84"/>
      <c r="U111" s="84"/>
      <c r="W111" s="85" t="str">
        <f>J111</f>
        <v>Março</v>
      </c>
      <c r="X111" s="85"/>
      <c r="Y111" s="85"/>
      <c r="Z111" s="85"/>
      <c r="AA111" s="85"/>
      <c r="AB111" s="85"/>
      <c r="AC111" s="85"/>
      <c r="AE111" s="86" t="str">
        <f>W111</f>
        <v>Março</v>
      </c>
      <c r="AF111" s="86"/>
      <c r="AG111" s="86"/>
      <c r="AH111" s="86"/>
      <c r="AI111" s="86"/>
      <c r="AJ111" s="86"/>
      <c r="AK111" s="86"/>
    </row>
    <row r="112" spans="1:37" ht="15.75" thickBot="1" x14ac:dyDescent="0.3">
      <c r="A112" s="87" t="s">
        <v>5</v>
      </c>
      <c r="B112" s="34" t="s">
        <v>6</v>
      </c>
      <c r="C112" s="22" t="s">
        <v>7</v>
      </c>
      <c r="D112" s="33" t="s">
        <v>8</v>
      </c>
      <c r="E112" s="22" t="s">
        <v>9</v>
      </c>
      <c r="F112" s="24" t="s">
        <v>10</v>
      </c>
      <c r="G112" s="23" t="s">
        <v>11</v>
      </c>
      <c r="H112" s="25" t="s">
        <v>12</v>
      </c>
      <c r="J112" s="6" t="s">
        <v>4</v>
      </c>
      <c r="K112" s="9">
        <v>46092</v>
      </c>
      <c r="L112" s="66">
        <v>46094</v>
      </c>
      <c r="M112" s="66">
        <v>46095</v>
      </c>
      <c r="N112" s="4"/>
      <c r="O112" s="4"/>
      <c r="P112" s="4"/>
      <c r="Q112" s="4"/>
      <c r="R112" s="4"/>
      <c r="S112" s="4"/>
      <c r="T112" s="4"/>
      <c r="U112" s="5"/>
      <c r="W112" s="6" t="s">
        <v>4</v>
      </c>
      <c r="X112" s="9"/>
      <c r="Y112" s="4"/>
      <c r="Z112" s="4"/>
      <c r="AA112" s="4"/>
      <c r="AB112" s="4"/>
      <c r="AC112" s="5"/>
      <c r="AE112" s="6" t="s">
        <v>4</v>
      </c>
      <c r="AF112" s="9"/>
      <c r="AG112" s="4"/>
      <c r="AH112" s="4"/>
      <c r="AI112" s="4"/>
      <c r="AJ112" s="4"/>
      <c r="AK112" s="5"/>
    </row>
    <row r="113" spans="1:37" ht="15.75" thickBot="1" x14ac:dyDescent="0.3">
      <c r="A113" s="87"/>
      <c r="B113" s="26">
        <v>18713</v>
      </c>
      <c r="C113" s="27">
        <v>20760</v>
      </c>
      <c r="D113" s="27"/>
      <c r="E113" s="27"/>
      <c r="F113" s="27">
        <f>SUM(C113-B113)</f>
        <v>2047</v>
      </c>
      <c r="G113" s="20">
        <f>SUM(E113-D113)</f>
        <v>0</v>
      </c>
      <c r="H113" s="21">
        <f>SUM(F113:G113)</f>
        <v>2047</v>
      </c>
      <c r="J113" s="7" t="s">
        <v>22</v>
      </c>
      <c r="K113" s="10">
        <v>302.05</v>
      </c>
      <c r="L113" s="11">
        <v>142.28</v>
      </c>
      <c r="M113" s="11">
        <v>106.04</v>
      </c>
      <c r="N113" s="11"/>
      <c r="O113" s="11"/>
      <c r="P113" s="11"/>
      <c r="Q113" s="11"/>
      <c r="R113" s="11"/>
      <c r="S113" s="11"/>
      <c r="T113" s="11"/>
      <c r="U113" s="12"/>
      <c r="W113" s="7" t="s">
        <v>22</v>
      </c>
      <c r="X113" s="10"/>
      <c r="Y113" s="11"/>
      <c r="Z113" s="11"/>
      <c r="AA113" s="11"/>
      <c r="AB113" s="11"/>
      <c r="AC113" s="12"/>
      <c r="AE113" s="7" t="s">
        <v>22</v>
      </c>
      <c r="AF113" s="10"/>
      <c r="AG113" s="11"/>
      <c r="AH113" s="11"/>
      <c r="AI113" s="11"/>
      <c r="AJ113" s="11"/>
      <c r="AK113" s="12"/>
    </row>
    <row r="114" spans="1:37" x14ac:dyDescent="0.25">
      <c r="J114" s="8"/>
      <c r="T114" s="8" t="s">
        <v>23</v>
      </c>
      <c r="U114" s="13">
        <f>SUM(K113:U113)</f>
        <v>550.37</v>
      </c>
      <c r="AB114" s="8" t="s">
        <v>23</v>
      </c>
      <c r="AC114" s="13">
        <f>SUM(X113:AC113)</f>
        <v>0</v>
      </c>
      <c r="AJ114" s="8" t="s">
        <v>23</v>
      </c>
      <c r="AK114" s="13">
        <f>SUM(AF113:AK113)</f>
        <v>0</v>
      </c>
    </row>
    <row r="115" spans="1:37" ht="15.75" thickBot="1" x14ac:dyDescent="0.3">
      <c r="A115" s="19"/>
      <c r="B115" s="83" t="s">
        <v>14</v>
      </c>
      <c r="C115" s="83"/>
      <c r="D115" s="83"/>
      <c r="E115" s="83"/>
      <c r="F115" s="83"/>
      <c r="G115" s="83"/>
      <c r="H115" s="83"/>
      <c r="J115" s="84" t="s">
        <v>14</v>
      </c>
      <c r="K115" s="84"/>
      <c r="L115" s="84"/>
      <c r="M115" s="84"/>
      <c r="N115" s="84"/>
      <c r="O115" s="84"/>
      <c r="P115" s="84"/>
      <c r="Q115" s="84"/>
      <c r="R115" s="84"/>
      <c r="S115" s="84"/>
      <c r="T115" s="84"/>
      <c r="U115" s="84"/>
      <c r="W115" s="85" t="str">
        <f>J115</f>
        <v>Abril</v>
      </c>
      <c r="X115" s="85"/>
      <c r="Y115" s="85"/>
      <c r="Z115" s="85"/>
      <c r="AA115" s="85"/>
      <c r="AB115" s="85"/>
      <c r="AC115" s="85"/>
      <c r="AE115" s="86" t="str">
        <f>W115</f>
        <v>Abril</v>
      </c>
      <c r="AF115" s="86"/>
      <c r="AG115" s="86"/>
      <c r="AH115" s="86"/>
      <c r="AI115" s="86"/>
      <c r="AJ115" s="86"/>
      <c r="AK115" s="86"/>
    </row>
    <row r="116" spans="1:37" ht="15.75" thickBot="1" x14ac:dyDescent="0.3">
      <c r="A116" s="87" t="s">
        <v>5</v>
      </c>
      <c r="B116" s="34" t="s">
        <v>6</v>
      </c>
      <c r="C116" s="22" t="s">
        <v>7</v>
      </c>
      <c r="D116" s="33" t="s">
        <v>8</v>
      </c>
      <c r="E116" s="22" t="s">
        <v>9</v>
      </c>
      <c r="F116" s="24" t="s">
        <v>10</v>
      </c>
      <c r="G116" s="23" t="s">
        <v>11</v>
      </c>
      <c r="H116" s="25" t="s">
        <v>12</v>
      </c>
      <c r="J116" s="6" t="s">
        <v>4</v>
      </c>
      <c r="K116" s="9"/>
      <c r="L116" s="4"/>
      <c r="M116" s="4"/>
      <c r="N116" s="4"/>
      <c r="O116" s="4"/>
      <c r="P116" s="4"/>
      <c r="Q116" s="4"/>
      <c r="R116" s="4"/>
      <c r="S116" s="4"/>
      <c r="T116" s="4"/>
      <c r="U116" s="5"/>
      <c r="W116" s="6" t="s">
        <v>4</v>
      </c>
      <c r="X116" s="9"/>
      <c r="Y116" s="4"/>
      <c r="Z116" s="4"/>
      <c r="AA116" s="4"/>
      <c r="AB116" s="4"/>
      <c r="AC116" s="5"/>
      <c r="AE116" s="6" t="s">
        <v>4</v>
      </c>
      <c r="AF116" s="9"/>
      <c r="AG116" s="4"/>
      <c r="AH116" s="4"/>
      <c r="AI116" s="4"/>
      <c r="AJ116" s="4"/>
      <c r="AK116" s="5"/>
    </row>
    <row r="117" spans="1:37" ht="15.75" thickBot="1" x14ac:dyDescent="0.3">
      <c r="A117" s="87"/>
      <c r="B117" s="26"/>
      <c r="C117" s="27"/>
      <c r="D117" s="27"/>
      <c r="E117" s="27"/>
      <c r="F117" s="27">
        <f>SUM(C117-B117)</f>
        <v>0</v>
      </c>
      <c r="G117" s="20">
        <f>SUM(E117-D117)</f>
        <v>0</v>
      </c>
      <c r="H117" s="21">
        <f>SUM(F117:G117)</f>
        <v>0</v>
      </c>
      <c r="J117" s="7" t="s">
        <v>22</v>
      </c>
      <c r="K117" s="30"/>
      <c r="L117" s="31"/>
      <c r="M117" s="31"/>
      <c r="N117" s="31"/>
      <c r="O117" s="31"/>
      <c r="P117" s="31"/>
      <c r="Q117" s="31"/>
      <c r="R117" s="31"/>
      <c r="S117" s="31"/>
      <c r="T117" s="31"/>
      <c r="U117" s="32"/>
      <c r="W117" s="7" t="s">
        <v>22</v>
      </c>
      <c r="X117" s="10"/>
      <c r="Y117" s="11"/>
      <c r="Z117" s="11"/>
      <c r="AA117" s="11"/>
      <c r="AB117" s="11"/>
      <c r="AC117" s="12"/>
      <c r="AE117" s="7" t="s">
        <v>22</v>
      </c>
      <c r="AF117" s="10"/>
      <c r="AG117" s="11"/>
      <c r="AH117" s="11"/>
      <c r="AI117" s="11"/>
      <c r="AJ117" s="11"/>
      <c r="AK117" s="12"/>
    </row>
    <row r="118" spans="1:37" x14ac:dyDescent="0.25">
      <c r="J118" s="8"/>
      <c r="T118" s="8" t="s">
        <v>23</v>
      </c>
      <c r="U118" s="13">
        <f>SUM(K117:U117)</f>
        <v>0</v>
      </c>
      <c r="AB118" s="8" t="s">
        <v>23</v>
      </c>
      <c r="AC118" s="13">
        <f>SUM(X117:AC117)</f>
        <v>0</v>
      </c>
      <c r="AJ118" s="8" t="s">
        <v>23</v>
      </c>
      <c r="AK118" s="13">
        <f>SUM(AF117:AK117)</f>
        <v>0</v>
      </c>
    </row>
    <row r="119" spans="1:37" ht="15.75" thickBot="1" x14ac:dyDescent="0.3">
      <c r="A119" s="19"/>
      <c r="B119" s="83" t="s">
        <v>15</v>
      </c>
      <c r="C119" s="83"/>
      <c r="D119" s="83"/>
      <c r="E119" s="83"/>
      <c r="F119" s="83"/>
      <c r="G119" s="83"/>
      <c r="H119" s="83"/>
      <c r="J119" s="84" t="s">
        <v>15</v>
      </c>
      <c r="K119" s="84"/>
      <c r="L119" s="84"/>
      <c r="M119" s="84"/>
      <c r="N119" s="84"/>
      <c r="O119" s="84"/>
      <c r="P119" s="84"/>
      <c r="Q119" s="84"/>
      <c r="R119" s="84"/>
      <c r="S119" s="84"/>
      <c r="T119" s="84"/>
      <c r="U119" s="84"/>
      <c r="W119" s="85" t="str">
        <f>J119</f>
        <v>Maio</v>
      </c>
      <c r="X119" s="85"/>
      <c r="Y119" s="85"/>
      <c r="Z119" s="85"/>
      <c r="AA119" s="85"/>
      <c r="AB119" s="85"/>
      <c r="AC119" s="85"/>
      <c r="AE119" s="86" t="str">
        <f>W119</f>
        <v>Maio</v>
      </c>
      <c r="AF119" s="86"/>
      <c r="AG119" s="86"/>
      <c r="AH119" s="86"/>
      <c r="AI119" s="86"/>
      <c r="AJ119" s="86"/>
      <c r="AK119" s="86"/>
    </row>
    <row r="120" spans="1:37" ht="15.75" thickBot="1" x14ac:dyDescent="0.3">
      <c r="A120" s="87" t="s">
        <v>5</v>
      </c>
      <c r="B120" s="34" t="s">
        <v>6</v>
      </c>
      <c r="C120" s="22" t="s">
        <v>7</v>
      </c>
      <c r="D120" s="33" t="s">
        <v>8</v>
      </c>
      <c r="E120" s="22" t="s">
        <v>9</v>
      </c>
      <c r="F120" s="24" t="s">
        <v>10</v>
      </c>
      <c r="G120" s="23" t="s">
        <v>11</v>
      </c>
      <c r="H120" s="25" t="s">
        <v>12</v>
      </c>
      <c r="J120" s="6" t="s">
        <v>4</v>
      </c>
      <c r="K120" s="9"/>
      <c r="L120" s="4"/>
      <c r="M120" s="4"/>
      <c r="N120" s="4"/>
      <c r="O120" s="4"/>
      <c r="P120" s="4"/>
      <c r="Q120" s="4"/>
      <c r="R120" s="4"/>
      <c r="S120" s="4"/>
      <c r="T120" s="4"/>
      <c r="U120" s="5"/>
      <c r="W120" s="6" t="s">
        <v>4</v>
      </c>
      <c r="X120" s="9"/>
      <c r="Y120" s="4"/>
      <c r="Z120" s="4"/>
      <c r="AA120" s="4"/>
      <c r="AB120" s="4"/>
      <c r="AC120" s="5"/>
      <c r="AE120" s="6" t="s">
        <v>4</v>
      </c>
      <c r="AF120" s="9"/>
      <c r="AG120" s="4"/>
      <c r="AH120" s="4"/>
      <c r="AI120" s="4"/>
      <c r="AJ120" s="4"/>
      <c r="AK120" s="5"/>
    </row>
    <row r="121" spans="1:37" ht="15.75" thickBot="1" x14ac:dyDescent="0.3">
      <c r="A121" s="87"/>
      <c r="B121" s="26"/>
      <c r="C121" s="27"/>
      <c r="D121" s="27"/>
      <c r="E121" s="27"/>
      <c r="F121" s="27">
        <f>SUM(C121-B121)</f>
        <v>0</v>
      </c>
      <c r="G121" s="20">
        <f>SUM(E121-D121)</f>
        <v>0</v>
      </c>
      <c r="H121" s="21">
        <f>SUM(F121:G121)</f>
        <v>0</v>
      </c>
      <c r="J121" s="7" t="s">
        <v>22</v>
      </c>
      <c r="K121" s="10"/>
      <c r="L121" s="11"/>
      <c r="M121" s="11"/>
      <c r="N121" s="11"/>
      <c r="O121" s="11"/>
      <c r="P121" s="11"/>
      <c r="Q121" s="11"/>
      <c r="R121" s="11"/>
      <c r="S121" s="11"/>
      <c r="T121" s="11"/>
      <c r="U121" s="12"/>
      <c r="W121" s="7" t="s">
        <v>22</v>
      </c>
      <c r="X121" s="10"/>
      <c r="Y121" s="11"/>
      <c r="Z121" s="11"/>
      <c r="AA121" s="11"/>
      <c r="AB121" s="11"/>
      <c r="AC121" s="12"/>
      <c r="AE121" s="7" t="s">
        <v>22</v>
      </c>
      <c r="AF121" s="10"/>
      <c r="AG121" s="11"/>
      <c r="AH121" s="11"/>
      <c r="AI121" s="11"/>
      <c r="AJ121" s="11"/>
      <c r="AK121" s="12"/>
    </row>
    <row r="122" spans="1:37" x14ac:dyDescent="0.25">
      <c r="J122" s="8"/>
      <c r="T122" s="8" t="s">
        <v>23</v>
      </c>
      <c r="U122" s="13">
        <f>SUM(K121:U121)</f>
        <v>0</v>
      </c>
      <c r="AB122" s="8" t="s">
        <v>23</v>
      </c>
      <c r="AC122" s="13">
        <f>SUM(X121:AC121)</f>
        <v>0</v>
      </c>
      <c r="AJ122" s="8" t="s">
        <v>23</v>
      </c>
      <c r="AK122" s="13">
        <f>SUM(AF121:AK121)</f>
        <v>0</v>
      </c>
    </row>
    <row r="123" spans="1:37" ht="15.75" thickBot="1" x14ac:dyDescent="0.3">
      <c r="A123" s="19"/>
      <c r="B123" s="83" t="s">
        <v>24</v>
      </c>
      <c r="C123" s="83"/>
      <c r="D123" s="83"/>
      <c r="E123" s="83"/>
      <c r="F123" s="83"/>
      <c r="G123" s="83"/>
      <c r="H123" s="83"/>
      <c r="J123" s="84" t="s">
        <v>24</v>
      </c>
      <c r="K123" s="84"/>
      <c r="L123" s="84"/>
      <c r="M123" s="84"/>
      <c r="N123" s="84"/>
      <c r="O123" s="84"/>
      <c r="P123" s="84"/>
      <c r="Q123" s="84"/>
      <c r="R123" s="84"/>
      <c r="S123" s="84"/>
      <c r="T123" s="84"/>
      <c r="U123" s="84"/>
      <c r="W123" s="85" t="str">
        <f>J123</f>
        <v>Junho</v>
      </c>
      <c r="X123" s="85"/>
      <c r="Y123" s="85"/>
      <c r="Z123" s="85"/>
      <c r="AA123" s="85"/>
      <c r="AB123" s="85"/>
      <c r="AC123" s="85"/>
      <c r="AE123" s="86" t="str">
        <f>W123</f>
        <v>Junho</v>
      </c>
      <c r="AF123" s="86"/>
      <c r="AG123" s="86"/>
      <c r="AH123" s="86"/>
      <c r="AI123" s="86"/>
      <c r="AJ123" s="86"/>
      <c r="AK123" s="86"/>
    </row>
    <row r="124" spans="1:37" ht="15.75" thickBot="1" x14ac:dyDescent="0.3">
      <c r="A124" s="87" t="s">
        <v>5</v>
      </c>
      <c r="B124" s="34" t="s">
        <v>6</v>
      </c>
      <c r="C124" s="22" t="s">
        <v>7</v>
      </c>
      <c r="D124" s="33" t="s">
        <v>8</v>
      </c>
      <c r="E124" s="22" t="s">
        <v>9</v>
      </c>
      <c r="F124" s="24" t="s">
        <v>10</v>
      </c>
      <c r="G124" s="23" t="s">
        <v>11</v>
      </c>
      <c r="H124" s="25" t="s">
        <v>12</v>
      </c>
      <c r="J124" s="6" t="s">
        <v>4</v>
      </c>
      <c r="K124" s="9"/>
      <c r="L124" s="4"/>
      <c r="M124" s="4"/>
      <c r="N124" s="4"/>
      <c r="O124" s="4"/>
      <c r="P124" s="4"/>
      <c r="Q124" s="4"/>
      <c r="R124" s="4"/>
      <c r="S124" s="4"/>
      <c r="T124" s="4"/>
      <c r="U124" s="5"/>
      <c r="W124" s="6" t="s">
        <v>4</v>
      </c>
      <c r="X124" s="9"/>
      <c r="Y124" s="4"/>
      <c r="Z124" s="4"/>
      <c r="AA124" s="4"/>
      <c r="AB124" s="4"/>
      <c r="AC124" s="5"/>
      <c r="AE124" s="6" t="s">
        <v>4</v>
      </c>
      <c r="AF124" s="9"/>
      <c r="AG124" s="4"/>
      <c r="AH124" s="4"/>
      <c r="AI124" s="4"/>
      <c r="AJ124" s="4"/>
      <c r="AK124" s="5"/>
    </row>
    <row r="125" spans="1:37" ht="15.75" thickBot="1" x14ac:dyDescent="0.3">
      <c r="A125" s="87"/>
      <c r="B125" s="26"/>
      <c r="C125" s="27"/>
      <c r="D125" s="27"/>
      <c r="E125" s="27"/>
      <c r="F125" s="27">
        <f>SUM(C125-B125)</f>
        <v>0</v>
      </c>
      <c r="G125" s="20">
        <f>SUM(E125-D125)</f>
        <v>0</v>
      </c>
      <c r="H125" s="21">
        <f>SUM(F125:G125)</f>
        <v>0</v>
      </c>
      <c r="J125" s="7" t="s">
        <v>22</v>
      </c>
      <c r="K125" s="10"/>
      <c r="L125" s="11"/>
      <c r="M125" s="11"/>
      <c r="N125" s="11"/>
      <c r="O125" s="11"/>
      <c r="P125" s="11"/>
      <c r="Q125" s="11"/>
      <c r="R125" s="11"/>
      <c r="S125" s="11"/>
      <c r="T125" s="11"/>
      <c r="U125" s="12"/>
      <c r="W125" s="7" t="s">
        <v>22</v>
      </c>
      <c r="X125" s="10"/>
      <c r="Y125" s="11"/>
      <c r="Z125" s="11"/>
      <c r="AA125" s="11"/>
      <c r="AB125" s="11"/>
      <c r="AC125" s="12"/>
      <c r="AE125" s="7" t="s">
        <v>22</v>
      </c>
      <c r="AF125" s="10"/>
      <c r="AG125" s="11"/>
      <c r="AH125" s="11"/>
      <c r="AI125" s="11"/>
      <c r="AJ125" s="11"/>
      <c r="AK125" s="12"/>
    </row>
    <row r="126" spans="1:37" x14ac:dyDescent="0.25">
      <c r="J126" s="8"/>
      <c r="T126" s="8" t="s">
        <v>23</v>
      </c>
      <c r="U126" s="13">
        <f>SUM(K125:U125)</f>
        <v>0</v>
      </c>
      <c r="AB126" s="8" t="s">
        <v>23</v>
      </c>
      <c r="AC126" s="13">
        <f>SUM(X125:AC125)</f>
        <v>0</v>
      </c>
      <c r="AJ126" s="8" t="s">
        <v>23</v>
      </c>
      <c r="AK126" s="13">
        <f>SUM(AF125:AK125)</f>
        <v>0</v>
      </c>
    </row>
    <row r="127" spans="1:37" ht="15.75" thickBot="1" x14ac:dyDescent="0.3">
      <c r="A127" s="19"/>
      <c r="B127" s="83" t="s">
        <v>16</v>
      </c>
      <c r="C127" s="83"/>
      <c r="D127" s="83"/>
      <c r="E127" s="83"/>
      <c r="F127" s="83"/>
      <c r="G127" s="83"/>
      <c r="H127" s="83"/>
      <c r="J127" s="84" t="s">
        <v>16</v>
      </c>
      <c r="K127" s="84"/>
      <c r="L127" s="84"/>
      <c r="M127" s="84"/>
      <c r="N127" s="84"/>
      <c r="O127" s="84"/>
      <c r="P127" s="84"/>
      <c r="Q127" s="84"/>
      <c r="R127" s="84"/>
      <c r="S127" s="84"/>
      <c r="T127" s="84"/>
      <c r="U127" s="84"/>
      <c r="W127" s="85" t="str">
        <f>J127</f>
        <v>Julho</v>
      </c>
      <c r="X127" s="85"/>
      <c r="Y127" s="85"/>
      <c r="Z127" s="85"/>
      <c r="AA127" s="85"/>
      <c r="AB127" s="85"/>
      <c r="AC127" s="85"/>
      <c r="AE127" s="86" t="str">
        <f>W127</f>
        <v>Julho</v>
      </c>
      <c r="AF127" s="86"/>
      <c r="AG127" s="86"/>
      <c r="AH127" s="86"/>
      <c r="AI127" s="86"/>
      <c r="AJ127" s="86"/>
      <c r="AK127" s="86"/>
    </row>
    <row r="128" spans="1:37" ht="15.75" thickBot="1" x14ac:dyDescent="0.3">
      <c r="A128" s="87" t="s">
        <v>5</v>
      </c>
      <c r="B128" s="34" t="s">
        <v>6</v>
      </c>
      <c r="C128" s="22" t="s">
        <v>7</v>
      </c>
      <c r="D128" s="33" t="s">
        <v>8</v>
      </c>
      <c r="E128" s="22" t="s">
        <v>9</v>
      </c>
      <c r="F128" s="24" t="s">
        <v>10</v>
      </c>
      <c r="G128" s="23" t="s">
        <v>11</v>
      </c>
      <c r="H128" s="25" t="s">
        <v>12</v>
      </c>
      <c r="J128" s="6" t="s">
        <v>4</v>
      </c>
      <c r="K128" s="9"/>
      <c r="L128" s="4"/>
      <c r="M128" s="4"/>
      <c r="N128" s="4"/>
      <c r="O128" s="4"/>
      <c r="P128" s="4"/>
      <c r="Q128" s="4"/>
      <c r="R128" s="4"/>
      <c r="S128" s="4"/>
      <c r="T128" s="4"/>
      <c r="U128" s="5"/>
      <c r="W128" s="6" t="s">
        <v>4</v>
      </c>
      <c r="X128" s="9"/>
      <c r="Y128" s="4"/>
      <c r="Z128" s="4"/>
      <c r="AA128" s="4"/>
      <c r="AB128" s="4"/>
      <c r="AC128" s="5"/>
      <c r="AE128" s="6" t="s">
        <v>4</v>
      </c>
      <c r="AF128" s="9"/>
      <c r="AG128" s="4"/>
      <c r="AH128" s="4"/>
      <c r="AI128" s="4"/>
      <c r="AJ128" s="4"/>
      <c r="AK128" s="5"/>
    </row>
    <row r="129" spans="1:37" ht="15.75" thickBot="1" x14ac:dyDescent="0.3">
      <c r="A129" s="87"/>
      <c r="B129" s="26"/>
      <c r="C129" s="27"/>
      <c r="D129" s="27"/>
      <c r="E129" s="27"/>
      <c r="F129" s="27">
        <f>SUM(C129-B129)</f>
        <v>0</v>
      </c>
      <c r="G129" s="20">
        <f>SUM(E129-D129)</f>
        <v>0</v>
      </c>
      <c r="H129" s="21">
        <f>SUM(F129:G129)</f>
        <v>0</v>
      </c>
      <c r="J129" s="7" t="s">
        <v>22</v>
      </c>
      <c r="K129" s="10"/>
      <c r="L129" s="11"/>
      <c r="M129" s="11"/>
      <c r="N129" s="11"/>
      <c r="O129" s="11"/>
      <c r="P129" s="11"/>
      <c r="Q129" s="11"/>
      <c r="R129" s="11"/>
      <c r="S129" s="11"/>
      <c r="T129" s="11"/>
      <c r="U129" s="12"/>
      <c r="W129" s="7" t="s">
        <v>22</v>
      </c>
      <c r="X129" s="10"/>
      <c r="Y129" s="11"/>
      <c r="Z129" s="11"/>
      <c r="AA129" s="11"/>
      <c r="AB129" s="11"/>
      <c r="AC129" s="12"/>
      <c r="AE129" s="7" t="s">
        <v>22</v>
      </c>
      <c r="AF129" s="10"/>
      <c r="AG129" s="11"/>
      <c r="AH129" s="11"/>
      <c r="AI129" s="11"/>
      <c r="AJ129" s="11"/>
      <c r="AK129" s="12"/>
    </row>
    <row r="130" spans="1:37" x14ac:dyDescent="0.25">
      <c r="J130" s="8"/>
      <c r="T130" s="8" t="s">
        <v>23</v>
      </c>
      <c r="U130" s="13">
        <f>SUM(K129:U129)</f>
        <v>0</v>
      </c>
      <c r="AB130" s="8" t="s">
        <v>23</v>
      </c>
      <c r="AC130" s="13">
        <f>SUM(X129:AC129)</f>
        <v>0</v>
      </c>
      <c r="AJ130" s="8" t="s">
        <v>23</v>
      </c>
      <c r="AK130" s="13">
        <f>SUM(AF129:AK129)</f>
        <v>0</v>
      </c>
    </row>
    <row r="131" spans="1:37" ht="15.75" thickBot="1" x14ac:dyDescent="0.3">
      <c r="A131" s="19"/>
      <c r="B131" s="83" t="s">
        <v>17</v>
      </c>
      <c r="C131" s="83"/>
      <c r="D131" s="83"/>
      <c r="E131" s="83"/>
      <c r="F131" s="83"/>
      <c r="G131" s="83"/>
      <c r="H131" s="83"/>
      <c r="J131" s="84" t="s">
        <v>17</v>
      </c>
      <c r="K131" s="84"/>
      <c r="L131" s="84"/>
      <c r="M131" s="84"/>
      <c r="N131" s="84"/>
      <c r="O131" s="84"/>
      <c r="P131" s="84"/>
      <c r="Q131" s="84"/>
      <c r="R131" s="84"/>
      <c r="S131" s="84"/>
      <c r="T131" s="84"/>
      <c r="U131" s="84"/>
      <c r="W131" s="85" t="str">
        <f>J131</f>
        <v>Agosto</v>
      </c>
      <c r="X131" s="85"/>
      <c r="Y131" s="85"/>
      <c r="Z131" s="85"/>
      <c r="AA131" s="85"/>
      <c r="AB131" s="85"/>
      <c r="AC131" s="85"/>
      <c r="AE131" s="86" t="str">
        <f>W131</f>
        <v>Agosto</v>
      </c>
      <c r="AF131" s="86"/>
      <c r="AG131" s="86"/>
      <c r="AH131" s="86"/>
      <c r="AI131" s="86"/>
      <c r="AJ131" s="86"/>
      <c r="AK131" s="86"/>
    </row>
    <row r="132" spans="1:37" ht="15.75" thickBot="1" x14ac:dyDescent="0.3">
      <c r="A132" s="87" t="s">
        <v>5</v>
      </c>
      <c r="B132" s="34" t="s">
        <v>6</v>
      </c>
      <c r="C132" s="22" t="s">
        <v>7</v>
      </c>
      <c r="D132" s="33" t="s">
        <v>8</v>
      </c>
      <c r="E132" s="22" t="s">
        <v>9</v>
      </c>
      <c r="F132" s="24" t="s">
        <v>10</v>
      </c>
      <c r="G132" s="23" t="s">
        <v>11</v>
      </c>
      <c r="H132" s="25" t="s">
        <v>12</v>
      </c>
      <c r="J132" s="6" t="s">
        <v>4</v>
      </c>
      <c r="K132" s="9"/>
      <c r="L132" s="4"/>
      <c r="M132" s="4"/>
      <c r="N132" s="4"/>
      <c r="O132" s="4"/>
      <c r="P132" s="4"/>
      <c r="Q132" s="4"/>
      <c r="R132" s="4"/>
      <c r="S132" s="4"/>
      <c r="T132" s="4"/>
      <c r="U132" s="5"/>
      <c r="W132" s="6" t="s">
        <v>4</v>
      </c>
      <c r="X132" s="9"/>
      <c r="Y132" s="4"/>
      <c r="Z132" s="4"/>
      <c r="AA132" s="4"/>
      <c r="AB132" s="4"/>
      <c r="AC132" s="5"/>
      <c r="AE132" s="6" t="s">
        <v>4</v>
      </c>
      <c r="AF132" s="9"/>
      <c r="AG132" s="4"/>
      <c r="AH132" s="4"/>
      <c r="AI132" s="4"/>
      <c r="AJ132" s="4"/>
      <c r="AK132" s="5"/>
    </row>
    <row r="133" spans="1:37" ht="15.75" thickBot="1" x14ac:dyDescent="0.3">
      <c r="A133" s="87"/>
      <c r="B133" s="26"/>
      <c r="C133" s="27"/>
      <c r="D133" s="27"/>
      <c r="E133" s="27"/>
      <c r="F133" s="27">
        <f>SUM(C133-B133)</f>
        <v>0</v>
      </c>
      <c r="G133" s="20">
        <f>SUM(E133-D133)</f>
        <v>0</v>
      </c>
      <c r="H133" s="21">
        <f>SUM(F133:G133)</f>
        <v>0</v>
      </c>
      <c r="J133" s="7" t="s">
        <v>22</v>
      </c>
      <c r="K133" s="10"/>
      <c r="L133" s="11"/>
      <c r="M133" s="11"/>
      <c r="N133" s="11"/>
      <c r="O133" s="11"/>
      <c r="P133" s="11"/>
      <c r="Q133" s="11"/>
      <c r="R133" s="11"/>
      <c r="S133" s="11"/>
      <c r="T133" s="11"/>
      <c r="U133" s="12"/>
      <c r="W133" s="7" t="s">
        <v>22</v>
      </c>
      <c r="X133" s="10"/>
      <c r="Y133" s="11"/>
      <c r="Z133" s="11"/>
      <c r="AA133" s="11"/>
      <c r="AB133" s="11"/>
      <c r="AC133" s="12"/>
      <c r="AE133" s="7" t="s">
        <v>22</v>
      </c>
      <c r="AF133" s="10"/>
      <c r="AG133" s="11"/>
      <c r="AH133" s="11"/>
      <c r="AI133" s="11"/>
      <c r="AJ133" s="11"/>
      <c r="AK133" s="12"/>
    </row>
    <row r="134" spans="1:37" x14ac:dyDescent="0.25">
      <c r="J134" s="8"/>
      <c r="T134" s="8" t="s">
        <v>23</v>
      </c>
      <c r="U134" s="13">
        <f>SUM(K133:U133)</f>
        <v>0</v>
      </c>
      <c r="AB134" s="8" t="s">
        <v>23</v>
      </c>
      <c r="AC134" s="13">
        <f>SUM(X133:AC133)</f>
        <v>0</v>
      </c>
      <c r="AJ134" s="8" t="s">
        <v>23</v>
      </c>
      <c r="AK134" s="13">
        <f>SUM(AF133:AK133)</f>
        <v>0</v>
      </c>
    </row>
    <row r="135" spans="1:37" ht="15.75" thickBot="1" x14ac:dyDescent="0.3">
      <c r="A135" s="19"/>
      <c r="B135" s="83" t="s">
        <v>18</v>
      </c>
      <c r="C135" s="83"/>
      <c r="D135" s="83"/>
      <c r="E135" s="83"/>
      <c r="F135" s="83"/>
      <c r="G135" s="83"/>
      <c r="H135" s="83"/>
      <c r="J135" s="84" t="s">
        <v>18</v>
      </c>
      <c r="K135" s="84"/>
      <c r="L135" s="84"/>
      <c r="M135" s="84"/>
      <c r="N135" s="84"/>
      <c r="O135" s="84"/>
      <c r="P135" s="84"/>
      <c r="Q135" s="84"/>
      <c r="R135" s="84"/>
      <c r="S135" s="84"/>
      <c r="T135" s="84"/>
      <c r="U135" s="84"/>
      <c r="W135" s="85" t="str">
        <f>J135</f>
        <v>Setembro</v>
      </c>
      <c r="X135" s="85"/>
      <c r="Y135" s="85"/>
      <c r="Z135" s="85"/>
      <c r="AA135" s="85"/>
      <c r="AB135" s="85"/>
      <c r="AC135" s="85"/>
      <c r="AE135" s="86" t="str">
        <f>W135</f>
        <v>Setembro</v>
      </c>
      <c r="AF135" s="86"/>
      <c r="AG135" s="86"/>
      <c r="AH135" s="86"/>
      <c r="AI135" s="86"/>
      <c r="AJ135" s="86"/>
      <c r="AK135" s="86"/>
    </row>
    <row r="136" spans="1:37" ht="15.75" thickBot="1" x14ac:dyDescent="0.3">
      <c r="A136" s="87" t="s">
        <v>5</v>
      </c>
      <c r="B136" s="34" t="s">
        <v>6</v>
      </c>
      <c r="C136" s="22" t="s">
        <v>7</v>
      </c>
      <c r="D136" s="33" t="s">
        <v>8</v>
      </c>
      <c r="E136" s="22" t="s">
        <v>9</v>
      </c>
      <c r="F136" s="24" t="s">
        <v>10</v>
      </c>
      <c r="G136" s="23" t="s">
        <v>11</v>
      </c>
      <c r="H136" s="25" t="s">
        <v>12</v>
      </c>
      <c r="J136" s="6" t="s">
        <v>4</v>
      </c>
      <c r="K136" s="9"/>
      <c r="L136" s="4"/>
      <c r="M136" s="4"/>
      <c r="N136" s="4"/>
      <c r="O136" s="4"/>
      <c r="P136" s="4"/>
      <c r="Q136" s="4"/>
      <c r="R136" s="4"/>
      <c r="S136" s="4"/>
      <c r="T136" s="4"/>
      <c r="U136" s="5"/>
      <c r="W136" s="6" t="s">
        <v>4</v>
      </c>
      <c r="X136" s="9"/>
      <c r="Y136" s="4"/>
      <c r="Z136" s="4"/>
      <c r="AA136" s="4"/>
      <c r="AB136" s="4"/>
      <c r="AC136" s="5"/>
      <c r="AE136" s="6" t="s">
        <v>4</v>
      </c>
      <c r="AF136" s="9"/>
      <c r="AG136" s="4"/>
      <c r="AH136" s="4"/>
      <c r="AI136" s="4"/>
      <c r="AJ136" s="4"/>
      <c r="AK136" s="5"/>
    </row>
    <row r="137" spans="1:37" ht="15.75" thickBot="1" x14ac:dyDescent="0.3">
      <c r="A137" s="87"/>
      <c r="B137" s="26"/>
      <c r="C137" s="27"/>
      <c r="D137" s="27"/>
      <c r="E137" s="27"/>
      <c r="F137" s="27">
        <f>SUM(C137-B137)</f>
        <v>0</v>
      </c>
      <c r="G137" s="20">
        <f>SUM(E137-D137)</f>
        <v>0</v>
      </c>
      <c r="H137" s="21">
        <f>SUM(F137:G137)</f>
        <v>0</v>
      </c>
      <c r="J137" s="7" t="s">
        <v>22</v>
      </c>
      <c r="K137" s="10"/>
      <c r="L137" s="11"/>
      <c r="M137" s="11"/>
      <c r="N137" s="11"/>
      <c r="O137" s="11"/>
      <c r="P137" s="11"/>
      <c r="Q137" s="11"/>
      <c r="R137" s="11"/>
      <c r="S137" s="11"/>
      <c r="T137" s="11"/>
      <c r="U137" s="12"/>
      <c r="W137" s="7" t="s">
        <v>22</v>
      </c>
      <c r="X137" s="10"/>
      <c r="Y137" s="11"/>
      <c r="Z137" s="11"/>
      <c r="AA137" s="11"/>
      <c r="AB137" s="11"/>
      <c r="AC137" s="12"/>
      <c r="AE137" s="7" t="s">
        <v>22</v>
      </c>
      <c r="AF137" s="10"/>
      <c r="AG137" s="11"/>
      <c r="AH137" s="11"/>
      <c r="AI137" s="11"/>
      <c r="AJ137" s="11"/>
      <c r="AK137" s="12"/>
    </row>
    <row r="138" spans="1:37" x14ac:dyDescent="0.25">
      <c r="J138" s="8"/>
      <c r="T138" s="8" t="s">
        <v>23</v>
      </c>
      <c r="U138" s="13">
        <f>SUM(K137:U137)</f>
        <v>0</v>
      </c>
      <c r="AB138" s="8" t="s">
        <v>23</v>
      </c>
      <c r="AC138" s="13">
        <f>SUM(X137:AC137)</f>
        <v>0</v>
      </c>
      <c r="AJ138" s="8" t="s">
        <v>23</v>
      </c>
      <c r="AK138" s="13">
        <f>SUM(AF137:AK137)</f>
        <v>0</v>
      </c>
    </row>
  </sheetData>
  <mergeCells count="174">
    <mergeCell ref="A132:A133"/>
    <mergeCell ref="B135:H135"/>
    <mergeCell ref="J135:U135"/>
    <mergeCell ref="W135:AC135"/>
    <mergeCell ref="AE135:AK135"/>
    <mergeCell ref="A136:A137"/>
    <mergeCell ref="A124:A125"/>
    <mergeCell ref="B127:H127"/>
    <mergeCell ref="J127:U127"/>
    <mergeCell ref="W127:AC127"/>
    <mergeCell ref="AE127:AK127"/>
    <mergeCell ref="A128:A129"/>
    <mergeCell ref="B131:H131"/>
    <mergeCell ref="J131:U131"/>
    <mergeCell ref="W131:AC131"/>
    <mergeCell ref="AE131:AK131"/>
    <mergeCell ref="B123:H123"/>
    <mergeCell ref="J123:U123"/>
    <mergeCell ref="W123:AC123"/>
    <mergeCell ref="AE123:AK123"/>
    <mergeCell ref="A108:A109"/>
    <mergeCell ref="B111:H111"/>
    <mergeCell ref="J111:U111"/>
    <mergeCell ref="W111:AC111"/>
    <mergeCell ref="AE111:AK111"/>
    <mergeCell ref="A112:A113"/>
    <mergeCell ref="B115:H115"/>
    <mergeCell ref="J115:U115"/>
    <mergeCell ref="W115:AC115"/>
    <mergeCell ref="AE115:AK115"/>
    <mergeCell ref="A116:A117"/>
    <mergeCell ref="B119:H119"/>
    <mergeCell ref="J119:U119"/>
    <mergeCell ref="W119:AC119"/>
    <mergeCell ref="AE119:AK119"/>
    <mergeCell ref="A120:A121"/>
    <mergeCell ref="B103:H103"/>
    <mergeCell ref="J103:U103"/>
    <mergeCell ref="W103:AC103"/>
    <mergeCell ref="AE103:AK103"/>
    <mergeCell ref="A104:A105"/>
    <mergeCell ref="B107:H107"/>
    <mergeCell ref="J107:U107"/>
    <mergeCell ref="W107:AC107"/>
    <mergeCell ref="AE107:AK107"/>
    <mergeCell ref="B55:H55"/>
    <mergeCell ref="J55:U55"/>
    <mergeCell ref="W55:AC55"/>
    <mergeCell ref="AE55:AK55"/>
    <mergeCell ref="A56:A57"/>
    <mergeCell ref="B2:C2"/>
    <mergeCell ref="E2:F2"/>
    <mergeCell ref="B6:C6"/>
    <mergeCell ref="J39:U39"/>
    <mergeCell ref="J43:U43"/>
    <mergeCell ref="J9:U9"/>
    <mergeCell ref="A9:H9"/>
    <mergeCell ref="A12:A13"/>
    <mergeCell ref="A16:A17"/>
    <mergeCell ref="A20:A21"/>
    <mergeCell ref="B11:H11"/>
    <mergeCell ref="B15:H15"/>
    <mergeCell ref="B19:H19"/>
    <mergeCell ref="B23:H23"/>
    <mergeCell ref="A24:A25"/>
    <mergeCell ref="B3:C3"/>
    <mergeCell ref="W9:AC9"/>
    <mergeCell ref="W15:AC15"/>
    <mergeCell ref="W19:AC19"/>
    <mergeCell ref="W23:AC23"/>
    <mergeCell ref="W27:AC27"/>
    <mergeCell ref="J47:U47"/>
    <mergeCell ref="J51:U51"/>
    <mergeCell ref="W11:AC11"/>
    <mergeCell ref="J15:U15"/>
    <mergeCell ref="J19:U19"/>
    <mergeCell ref="J23:U23"/>
    <mergeCell ref="J27:U27"/>
    <mergeCell ref="J31:U31"/>
    <mergeCell ref="J35:U35"/>
    <mergeCell ref="J11:U11"/>
    <mergeCell ref="W51:AC51"/>
    <mergeCell ref="W31:AC31"/>
    <mergeCell ref="W35:AC35"/>
    <mergeCell ref="W39:AC39"/>
    <mergeCell ref="W43:AC43"/>
    <mergeCell ref="W47:AC47"/>
    <mergeCell ref="AE9:AK9"/>
    <mergeCell ref="AE11:AK11"/>
    <mergeCell ref="AE15:AK15"/>
    <mergeCell ref="AE19:AK19"/>
    <mergeCell ref="AE51:AK51"/>
    <mergeCell ref="AE27:AK27"/>
    <mergeCell ref="AE31:AK31"/>
    <mergeCell ref="AE35:AK35"/>
    <mergeCell ref="AE39:AK39"/>
    <mergeCell ref="AE43:AK43"/>
    <mergeCell ref="AE47:AK47"/>
    <mergeCell ref="AE23:AK23"/>
    <mergeCell ref="E3:F3"/>
    <mergeCell ref="A52:A53"/>
    <mergeCell ref="E6:F6"/>
    <mergeCell ref="A40:A41"/>
    <mergeCell ref="B43:H43"/>
    <mergeCell ref="A44:A45"/>
    <mergeCell ref="B47:H47"/>
    <mergeCell ref="A48:A49"/>
    <mergeCell ref="B51:H51"/>
    <mergeCell ref="A28:A29"/>
    <mergeCell ref="B31:H31"/>
    <mergeCell ref="A32:A33"/>
    <mergeCell ref="B35:H35"/>
    <mergeCell ref="A36:A37"/>
    <mergeCell ref="B39:H39"/>
    <mergeCell ref="B27:H27"/>
    <mergeCell ref="B4:C4"/>
    <mergeCell ref="E4:F4"/>
    <mergeCell ref="B5:C5"/>
    <mergeCell ref="E5:F5"/>
    <mergeCell ref="B63:H63"/>
    <mergeCell ref="J63:U63"/>
    <mergeCell ref="W63:AC63"/>
    <mergeCell ref="AE63:AK63"/>
    <mergeCell ref="A64:A65"/>
    <mergeCell ref="B59:H59"/>
    <mergeCell ref="J59:U59"/>
    <mergeCell ref="W59:AC59"/>
    <mergeCell ref="AE59:AK59"/>
    <mergeCell ref="A60:A61"/>
    <mergeCell ref="B71:H71"/>
    <mergeCell ref="J71:U71"/>
    <mergeCell ref="W71:AC71"/>
    <mergeCell ref="AE71:AK71"/>
    <mergeCell ref="A72:A73"/>
    <mergeCell ref="B67:H67"/>
    <mergeCell ref="J67:U67"/>
    <mergeCell ref="W67:AC67"/>
    <mergeCell ref="AE67:AK67"/>
    <mergeCell ref="A68:A69"/>
    <mergeCell ref="W83:AC83"/>
    <mergeCell ref="AE83:AK83"/>
    <mergeCell ref="A84:A85"/>
    <mergeCell ref="B79:H79"/>
    <mergeCell ref="J79:U79"/>
    <mergeCell ref="W79:AC79"/>
    <mergeCell ref="AE79:AK79"/>
    <mergeCell ref="A80:A81"/>
    <mergeCell ref="B75:H75"/>
    <mergeCell ref="J75:U75"/>
    <mergeCell ref="W75:AC75"/>
    <mergeCell ref="AE75:AK75"/>
    <mergeCell ref="A76:A77"/>
    <mergeCell ref="B83:H83"/>
    <mergeCell ref="J83:U83"/>
    <mergeCell ref="A100:A101"/>
    <mergeCell ref="B95:H95"/>
    <mergeCell ref="J95:U95"/>
    <mergeCell ref="W95:AC95"/>
    <mergeCell ref="AE95:AK95"/>
    <mergeCell ref="A96:A97"/>
    <mergeCell ref="B99:H99"/>
    <mergeCell ref="J99:U99"/>
    <mergeCell ref="W99:AC99"/>
    <mergeCell ref="AE99:AK99"/>
    <mergeCell ref="B91:H91"/>
    <mergeCell ref="J91:U91"/>
    <mergeCell ref="W91:AC91"/>
    <mergeCell ref="AE91:AK91"/>
    <mergeCell ref="A92:A93"/>
    <mergeCell ref="B87:H87"/>
    <mergeCell ref="J87:U87"/>
    <mergeCell ref="W87:AC87"/>
    <mergeCell ref="AE87:AK87"/>
    <mergeCell ref="A88:A89"/>
  </mergeCells>
  <phoneticPr fontId="3" type="noConversion"/>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v>5325</v>
      </c>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90"/>
      <c r="C2" s="90"/>
      <c r="D2" s="1" t="s">
        <v>1</v>
      </c>
      <c r="E2" s="90"/>
      <c r="F2" s="90"/>
      <c r="H2" t="s">
        <v>45</v>
      </c>
      <c r="I2" s="54"/>
    </row>
    <row r="3" spans="1:40" x14ac:dyDescent="0.25">
      <c r="A3" t="s">
        <v>75</v>
      </c>
      <c r="B3" s="90"/>
      <c r="C3" s="90"/>
      <c r="D3" s="1" t="s">
        <v>1</v>
      </c>
      <c r="E3" s="90"/>
      <c r="F3" s="90"/>
      <c r="H3" t="s">
        <v>76</v>
      </c>
      <c r="I3" s="54"/>
    </row>
    <row r="4" spans="1:40" x14ac:dyDescent="0.25">
      <c r="A4" t="s">
        <v>2</v>
      </c>
      <c r="B4" s="91"/>
      <c r="C4" s="91"/>
      <c r="D4" s="1" t="s">
        <v>29</v>
      </c>
      <c r="E4" s="90"/>
      <c r="F4" s="90"/>
    </row>
    <row r="7" spans="1:40" ht="21" x14ac:dyDescent="0.35">
      <c r="A7" s="93" t="s">
        <v>28</v>
      </c>
      <c r="B7" s="93"/>
      <c r="C7" s="93"/>
      <c r="D7" s="93"/>
      <c r="E7" s="93"/>
      <c r="F7" s="93"/>
      <c r="G7" s="93"/>
      <c r="H7" s="93"/>
      <c r="J7" s="89" t="s">
        <v>26</v>
      </c>
      <c r="K7" s="89"/>
      <c r="L7" s="89"/>
      <c r="M7" s="89"/>
      <c r="N7" s="89"/>
      <c r="O7" s="89"/>
      <c r="P7" s="89"/>
      <c r="Q7" s="89"/>
      <c r="R7" s="89"/>
      <c r="S7" s="89"/>
      <c r="T7" s="89"/>
      <c r="U7" s="89"/>
      <c r="V7" s="2"/>
      <c r="W7" s="2"/>
      <c r="X7" s="2"/>
      <c r="Y7" s="88" t="s">
        <v>25</v>
      </c>
      <c r="Z7" s="88"/>
      <c r="AA7" s="88"/>
      <c r="AB7" s="88"/>
      <c r="AC7" s="88"/>
      <c r="AD7" s="88"/>
      <c r="AE7" s="88"/>
      <c r="AF7" s="2"/>
      <c r="AG7" s="2"/>
      <c r="AH7" s="88" t="s">
        <v>27</v>
      </c>
      <c r="AI7" s="88"/>
      <c r="AJ7" s="88"/>
      <c r="AK7" s="88"/>
      <c r="AL7" s="88"/>
      <c r="AM7" s="88"/>
      <c r="AN7" s="88"/>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83" t="s">
        <v>3</v>
      </c>
      <c r="C9" s="83"/>
      <c r="D9" s="83"/>
      <c r="E9" s="83"/>
      <c r="F9" s="83"/>
      <c r="G9" s="83"/>
      <c r="H9" s="83"/>
      <c r="J9" s="84" t="s">
        <v>3</v>
      </c>
      <c r="K9" s="84"/>
      <c r="L9" s="84"/>
      <c r="M9" s="84"/>
      <c r="N9" s="84"/>
      <c r="O9" s="84"/>
      <c r="P9" s="84"/>
      <c r="Q9" s="84"/>
      <c r="R9" s="84"/>
      <c r="S9" s="84"/>
      <c r="T9" s="84"/>
      <c r="U9" s="84"/>
      <c r="Y9" s="85" t="s">
        <v>3</v>
      </c>
      <c r="Z9" s="85"/>
      <c r="AA9" s="85"/>
      <c r="AB9" s="85"/>
      <c r="AC9" s="85"/>
      <c r="AD9" s="85"/>
      <c r="AE9" s="85"/>
      <c r="AH9" s="86" t="s">
        <v>3</v>
      </c>
      <c r="AI9" s="86"/>
      <c r="AJ9" s="86"/>
      <c r="AK9" s="86"/>
      <c r="AL9" s="86"/>
      <c r="AM9" s="86"/>
      <c r="AN9" s="86"/>
    </row>
    <row r="10" spans="1:40" ht="15.75" thickBot="1" x14ac:dyDescent="0.3">
      <c r="A10" s="87"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87"/>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83" t="s">
        <v>13</v>
      </c>
      <c r="C13" s="83"/>
      <c r="D13" s="83"/>
      <c r="E13" s="83"/>
      <c r="F13" s="83"/>
      <c r="G13" s="83"/>
      <c r="H13" s="83"/>
      <c r="J13" s="84" t="s">
        <v>13</v>
      </c>
      <c r="K13" s="84"/>
      <c r="L13" s="84"/>
      <c r="M13" s="84"/>
      <c r="N13" s="84"/>
      <c r="O13" s="84"/>
      <c r="P13" s="84"/>
      <c r="Q13" s="84"/>
      <c r="R13" s="84"/>
      <c r="S13" s="84"/>
      <c r="T13" s="84"/>
      <c r="U13" s="84"/>
      <c r="Y13" s="85" t="str">
        <f>J13</f>
        <v>Março</v>
      </c>
      <c r="Z13" s="85"/>
      <c r="AA13" s="85"/>
      <c r="AB13" s="85"/>
      <c r="AC13" s="85"/>
      <c r="AD13" s="85"/>
      <c r="AE13" s="85"/>
      <c r="AH13" s="86" t="str">
        <f>Y13</f>
        <v>Março</v>
      </c>
      <c r="AI13" s="86"/>
      <c r="AJ13" s="86"/>
      <c r="AK13" s="86"/>
      <c r="AL13" s="86"/>
      <c r="AM13" s="86"/>
      <c r="AN13" s="86"/>
    </row>
    <row r="14" spans="1:40" ht="15.75" thickBot="1" x14ac:dyDescent="0.3">
      <c r="A14" s="87"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87"/>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83" t="s">
        <v>14</v>
      </c>
      <c r="C17" s="83"/>
      <c r="D17" s="83"/>
      <c r="E17" s="83"/>
      <c r="F17" s="83"/>
      <c r="G17" s="83"/>
      <c r="H17" s="83"/>
      <c r="J17" s="84" t="s">
        <v>14</v>
      </c>
      <c r="K17" s="84"/>
      <c r="L17" s="84"/>
      <c r="M17" s="84"/>
      <c r="N17" s="84"/>
      <c r="O17" s="84"/>
      <c r="P17" s="84"/>
      <c r="Q17" s="84"/>
      <c r="R17" s="84"/>
      <c r="S17" s="84"/>
      <c r="T17" s="84"/>
      <c r="U17" s="84"/>
      <c r="Y17" s="85" t="str">
        <f>J17</f>
        <v>Abril</v>
      </c>
      <c r="Z17" s="85"/>
      <c r="AA17" s="85"/>
      <c r="AB17" s="85"/>
      <c r="AC17" s="85"/>
      <c r="AD17" s="85"/>
      <c r="AE17" s="85"/>
      <c r="AH17" s="86" t="str">
        <f>Y17</f>
        <v>Abril</v>
      </c>
      <c r="AI17" s="86"/>
      <c r="AJ17" s="86"/>
      <c r="AK17" s="86"/>
      <c r="AL17" s="86"/>
      <c r="AM17" s="86"/>
      <c r="AN17" s="86"/>
    </row>
    <row r="18" spans="1:40" ht="15.75" thickBot="1" x14ac:dyDescent="0.3">
      <c r="A18" s="87"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87"/>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83" t="s">
        <v>15</v>
      </c>
      <c r="C21" s="83"/>
      <c r="D21" s="83"/>
      <c r="E21" s="83"/>
      <c r="F21" s="83"/>
      <c r="G21" s="83"/>
      <c r="H21" s="83"/>
      <c r="J21" s="84" t="s">
        <v>15</v>
      </c>
      <c r="K21" s="84"/>
      <c r="L21" s="84"/>
      <c r="M21" s="84"/>
      <c r="N21" s="84"/>
      <c r="O21" s="84"/>
      <c r="P21" s="84"/>
      <c r="Q21" s="84"/>
      <c r="R21" s="84"/>
      <c r="S21" s="84"/>
      <c r="T21" s="84"/>
      <c r="U21" s="84"/>
      <c r="Y21" s="85" t="str">
        <f>J21</f>
        <v>Maio</v>
      </c>
      <c r="Z21" s="85"/>
      <c r="AA21" s="85"/>
      <c r="AB21" s="85"/>
      <c r="AC21" s="85"/>
      <c r="AD21" s="85"/>
      <c r="AE21" s="85"/>
      <c r="AH21" s="86" t="str">
        <f>Y21</f>
        <v>Maio</v>
      </c>
      <c r="AI21" s="86"/>
      <c r="AJ21" s="86"/>
      <c r="AK21" s="86"/>
      <c r="AL21" s="86"/>
      <c r="AM21" s="86"/>
      <c r="AN21" s="86"/>
    </row>
    <row r="22" spans="1:40" ht="15.75" thickBot="1" x14ac:dyDescent="0.3">
      <c r="A22" s="87"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87"/>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83" t="s">
        <v>24</v>
      </c>
      <c r="C25" s="83"/>
      <c r="D25" s="83"/>
      <c r="E25" s="83"/>
      <c r="F25" s="83"/>
      <c r="G25" s="83"/>
      <c r="H25" s="83"/>
      <c r="J25" s="84" t="s">
        <v>24</v>
      </c>
      <c r="K25" s="84"/>
      <c r="L25" s="84"/>
      <c r="M25" s="84"/>
      <c r="N25" s="84"/>
      <c r="O25" s="84"/>
      <c r="P25" s="84"/>
      <c r="Q25" s="84"/>
      <c r="R25" s="84"/>
      <c r="S25" s="84"/>
      <c r="T25" s="84"/>
      <c r="U25" s="84"/>
      <c r="Y25" s="85" t="str">
        <f>J25</f>
        <v>Junho</v>
      </c>
      <c r="Z25" s="85"/>
      <c r="AA25" s="85"/>
      <c r="AB25" s="85"/>
      <c r="AC25" s="85"/>
      <c r="AD25" s="85"/>
      <c r="AE25" s="85"/>
      <c r="AH25" s="86" t="str">
        <f>Y25</f>
        <v>Junho</v>
      </c>
      <c r="AI25" s="86"/>
      <c r="AJ25" s="86"/>
      <c r="AK25" s="86"/>
      <c r="AL25" s="86"/>
      <c r="AM25" s="86"/>
      <c r="AN25" s="86"/>
    </row>
    <row r="26" spans="1:40" ht="15.75" thickBot="1" x14ac:dyDescent="0.3">
      <c r="A26" s="87"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87"/>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83" t="s">
        <v>16</v>
      </c>
      <c r="C29" s="83"/>
      <c r="D29" s="83"/>
      <c r="E29" s="83"/>
      <c r="F29" s="83"/>
      <c r="G29" s="83"/>
      <c r="H29" s="83"/>
      <c r="J29" s="84" t="s">
        <v>16</v>
      </c>
      <c r="K29" s="84"/>
      <c r="L29" s="84"/>
      <c r="M29" s="84"/>
      <c r="N29" s="84"/>
      <c r="O29" s="84"/>
      <c r="P29" s="84"/>
      <c r="Q29" s="84"/>
      <c r="R29" s="84"/>
      <c r="S29" s="84"/>
      <c r="T29" s="84"/>
      <c r="U29" s="84"/>
      <c r="Y29" s="85" t="str">
        <f>J29</f>
        <v>Julho</v>
      </c>
      <c r="Z29" s="85"/>
      <c r="AA29" s="85"/>
      <c r="AB29" s="85"/>
      <c r="AC29" s="85"/>
      <c r="AD29" s="85"/>
      <c r="AE29" s="85"/>
      <c r="AH29" s="86" t="str">
        <f>Y29</f>
        <v>Julho</v>
      </c>
      <c r="AI29" s="86"/>
      <c r="AJ29" s="86"/>
      <c r="AK29" s="86"/>
      <c r="AL29" s="86"/>
      <c r="AM29" s="86"/>
      <c r="AN29" s="86"/>
    </row>
    <row r="30" spans="1:40" ht="15.75" thickBot="1" x14ac:dyDescent="0.3">
      <c r="A30" s="87"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87"/>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83" t="s">
        <v>17</v>
      </c>
      <c r="C33" s="83"/>
      <c r="D33" s="83"/>
      <c r="E33" s="83"/>
      <c r="F33" s="83"/>
      <c r="G33" s="83"/>
      <c r="H33" s="83"/>
      <c r="J33" s="84" t="s">
        <v>17</v>
      </c>
      <c r="K33" s="84"/>
      <c r="L33" s="84"/>
      <c r="M33" s="84"/>
      <c r="N33" s="84"/>
      <c r="O33" s="84"/>
      <c r="P33" s="84"/>
      <c r="Q33" s="84"/>
      <c r="R33" s="84"/>
      <c r="S33" s="84"/>
      <c r="T33" s="84"/>
      <c r="U33" s="84"/>
      <c r="Y33" s="85" t="str">
        <f>J33</f>
        <v>Agosto</v>
      </c>
      <c r="Z33" s="85"/>
      <c r="AA33" s="85"/>
      <c r="AB33" s="85"/>
      <c r="AC33" s="85"/>
      <c r="AD33" s="85"/>
      <c r="AE33" s="85"/>
      <c r="AH33" s="86" t="str">
        <f>Y33</f>
        <v>Agosto</v>
      </c>
      <c r="AI33" s="86"/>
      <c r="AJ33" s="86"/>
      <c r="AK33" s="86"/>
      <c r="AL33" s="86"/>
      <c r="AM33" s="86"/>
      <c r="AN33" s="86"/>
    </row>
    <row r="34" spans="1:40" ht="15.75" thickBot="1" x14ac:dyDescent="0.3">
      <c r="A34" s="87"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87"/>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83" t="s">
        <v>18</v>
      </c>
      <c r="C37" s="83"/>
      <c r="D37" s="83"/>
      <c r="E37" s="83"/>
      <c r="F37" s="83"/>
      <c r="G37" s="83"/>
      <c r="H37" s="83"/>
      <c r="J37" s="84" t="s">
        <v>18</v>
      </c>
      <c r="K37" s="84"/>
      <c r="L37" s="84"/>
      <c r="M37" s="84"/>
      <c r="N37" s="84"/>
      <c r="O37" s="84"/>
      <c r="P37" s="84"/>
      <c r="Q37" s="84"/>
      <c r="R37" s="84"/>
      <c r="S37" s="84"/>
      <c r="T37" s="84"/>
      <c r="U37" s="84"/>
      <c r="Y37" s="85" t="str">
        <f>J37</f>
        <v>Setembro</v>
      </c>
      <c r="Z37" s="85"/>
      <c r="AA37" s="85"/>
      <c r="AB37" s="85"/>
      <c r="AC37" s="85"/>
      <c r="AD37" s="85"/>
      <c r="AE37" s="85"/>
      <c r="AH37" s="86" t="str">
        <f>Y37</f>
        <v>Setembro</v>
      </c>
      <c r="AI37" s="86"/>
      <c r="AJ37" s="86"/>
      <c r="AK37" s="86"/>
      <c r="AL37" s="86"/>
      <c r="AM37" s="86"/>
      <c r="AN37" s="86"/>
    </row>
    <row r="38" spans="1:40" ht="15.75" thickBot="1" x14ac:dyDescent="0.3">
      <c r="A38" s="87"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87"/>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83" t="s">
        <v>19</v>
      </c>
      <c r="C41" s="83"/>
      <c r="D41" s="83"/>
      <c r="E41" s="83"/>
      <c r="F41" s="83"/>
      <c r="G41" s="83"/>
      <c r="H41" s="83"/>
      <c r="J41" s="84" t="s">
        <v>19</v>
      </c>
      <c r="K41" s="84"/>
      <c r="L41" s="84"/>
      <c r="M41" s="84"/>
      <c r="N41" s="84"/>
      <c r="O41" s="84"/>
      <c r="P41" s="84"/>
      <c r="Q41" s="84"/>
      <c r="R41" s="84"/>
      <c r="S41" s="84"/>
      <c r="T41" s="84"/>
      <c r="U41" s="84"/>
      <c r="Y41" s="85" t="str">
        <f>J41</f>
        <v>Outubro</v>
      </c>
      <c r="Z41" s="85"/>
      <c r="AA41" s="85"/>
      <c r="AB41" s="85"/>
      <c r="AC41" s="85"/>
      <c r="AD41" s="85"/>
      <c r="AE41" s="85"/>
      <c r="AH41" s="86" t="str">
        <f>Y41</f>
        <v>Outubro</v>
      </c>
      <c r="AI41" s="86"/>
      <c r="AJ41" s="86"/>
      <c r="AK41" s="86"/>
      <c r="AL41" s="86"/>
      <c r="AM41" s="86"/>
      <c r="AN41" s="86"/>
    </row>
    <row r="42" spans="1:40" ht="15.75" thickBot="1" x14ac:dyDescent="0.3">
      <c r="A42" s="87"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87"/>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83" t="s">
        <v>20</v>
      </c>
      <c r="C45" s="83"/>
      <c r="D45" s="83"/>
      <c r="E45" s="83"/>
      <c r="F45" s="83"/>
      <c r="G45" s="83"/>
      <c r="H45" s="83"/>
      <c r="J45" s="84" t="s">
        <v>20</v>
      </c>
      <c r="K45" s="84"/>
      <c r="L45" s="84"/>
      <c r="M45" s="84"/>
      <c r="N45" s="84"/>
      <c r="O45" s="84"/>
      <c r="P45" s="84"/>
      <c r="Q45" s="84"/>
      <c r="R45" s="84"/>
      <c r="S45" s="84"/>
      <c r="T45" s="84"/>
      <c r="U45" s="84"/>
      <c r="Y45" s="85" t="str">
        <f>J45</f>
        <v>Novembro</v>
      </c>
      <c r="Z45" s="85"/>
      <c r="AA45" s="85"/>
      <c r="AB45" s="85"/>
      <c r="AC45" s="85"/>
      <c r="AD45" s="85"/>
      <c r="AE45" s="85"/>
      <c r="AH45" s="86" t="str">
        <f>Y45</f>
        <v>Novembro</v>
      </c>
      <c r="AI45" s="86"/>
      <c r="AJ45" s="86"/>
      <c r="AK45" s="86"/>
      <c r="AL45" s="86"/>
      <c r="AM45" s="86"/>
      <c r="AN45" s="86"/>
    </row>
    <row r="46" spans="1:40" ht="15.75" thickBot="1" x14ac:dyDescent="0.3">
      <c r="A46" s="87"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87"/>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83" t="s">
        <v>21</v>
      </c>
      <c r="C49" s="83"/>
      <c r="D49" s="83"/>
      <c r="E49" s="83"/>
      <c r="F49" s="83"/>
      <c r="G49" s="83"/>
      <c r="H49" s="83"/>
      <c r="J49" s="84" t="s">
        <v>21</v>
      </c>
      <c r="K49" s="84"/>
      <c r="L49" s="84"/>
      <c r="M49" s="84"/>
      <c r="N49" s="84"/>
      <c r="O49" s="84"/>
      <c r="P49" s="84"/>
      <c r="Q49" s="84"/>
      <c r="R49" s="84"/>
      <c r="S49" s="84"/>
      <c r="T49" s="84"/>
      <c r="U49" s="84"/>
      <c r="Y49" s="85" t="str">
        <f>J49</f>
        <v>Dezembro</v>
      </c>
      <c r="Z49" s="85"/>
      <c r="AA49" s="85"/>
      <c r="AB49" s="85"/>
      <c r="AC49" s="85"/>
      <c r="AD49" s="85"/>
      <c r="AE49" s="85"/>
      <c r="AH49" s="86" t="str">
        <f>Y49</f>
        <v>Dezembro</v>
      </c>
      <c r="AI49" s="86"/>
      <c r="AJ49" s="86"/>
      <c r="AK49" s="86"/>
      <c r="AL49" s="86"/>
      <c r="AM49" s="86"/>
      <c r="AN49" s="86"/>
    </row>
    <row r="50" spans="1:40" ht="15.75" thickBot="1" x14ac:dyDescent="0.3">
      <c r="A50" s="87"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87"/>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B2:C2"/>
    <mergeCell ref="E2:F2"/>
    <mergeCell ref="B4:C4"/>
    <mergeCell ref="E4:F4"/>
    <mergeCell ref="A7:H7"/>
    <mergeCell ref="B3:C3"/>
    <mergeCell ref="E3:F3"/>
    <mergeCell ref="A14:A15"/>
    <mergeCell ref="Y7:AE7"/>
    <mergeCell ref="AH7:AN7"/>
    <mergeCell ref="B9:H9"/>
    <mergeCell ref="J9:U9"/>
    <mergeCell ref="Y9:AE9"/>
    <mergeCell ref="AH9:AN9"/>
    <mergeCell ref="J7:U7"/>
    <mergeCell ref="A10:A11"/>
    <mergeCell ref="B13:H13"/>
    <mergeCell ref="J13:U13"/>
    <mergeCell ref="Y13:AE13"/>
    <mergeCell ref="AH13:AN13"/>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Andre Placido</vt:lpstr>
      <vt:lpstr>Ednei</vt:lpstr>
      <vt:lpstr>Claudio-Desmob</vt:lpstr>
      <vt:lpstr>Ualace-Desmob3</vt:lpstr>
      <vt:lpstr>Ualace-Desmob2</vt:lpstr>
      <vt:lpstr>André Plácido-Desmob</vt:lpstr>
      <vt:lpstr>Ednei-Desmob</vt:lpstr>
      <vt:lpstr>Wendel Matias-Desmob</vt:lpstr>
      <vt:lpstr>Ualace-Desmob</vt:lpstr>
      <vt:lpstr>CAR_10</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2026-06-12T11:55:55Z</dcterms:modified>
</cp:coreProperties>
</file>