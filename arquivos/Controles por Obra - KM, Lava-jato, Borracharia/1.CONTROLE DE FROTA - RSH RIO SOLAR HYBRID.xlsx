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comments5.xml" ContentType="application/vnd.openxmlformats-officedocument.spreadsheetml.comments+xml"/>
  <Override PartName="/xl/threadedComments/threadedComment3.xml" ContentType="application/vnd.ms-excel.threadedcomments+xml"/>
  <Override PartName="/xl/comments6.xml" ContentType="application/vnd.openxmlformats-officedocument.spreadsheetml.comments+xml"/>
  <Override PartName="/xl/threadedComments/threadedComment4.xml" ContentType="application/vnd.ms-excel.threadedcomments+xml"/>
  <Override PartName="/xl/comments7.xml" ContentType="application/vnd.openxmlformats-officedocument.spreadsheetml.comments+xml"/>
  <Override PartName="/xl/threadedComments/threadedComment5.xml" ContentType="application/vnd.ms-excel.threadedcomments+xml"/>
  <Override PartName="/xl/comments8.xml" ContentType="application/vnd.openxmlformats-officedocument.spreadsheetml.comments+xml"/>
  <Override PartName="/xl/threadedComments/threadedComment6.xml" ContentType="application/vnd.ms-excel.threadedcomments+xml"/>
  <Override PartName="/xl/comments9.xml" ContentType="application/vnd.openxmlformats-officedocument.spreadsheetml.comments+xml"/>
  <Override PartName="/xl/threadedComments/threadedComment7.xml" ContentType="application/vnd.ms-excel.threadedcomments+xml"/>
  <Override PartName="/xl/comments10.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P:\02 - Documentação Empresa\9.Veiculos\2. Locação Veicular\4. Planilhas de acompanhamento veicular\Controle Frota por obra\"/>
    </mc:Choice>
  </mc:AlternateContent>
  <xr:revisionPtr revIDLastSave="0" documentId="13_ncr:1_{7209B02E-80A0-42DD-9180-FDE2067A17CE}" xr6:coauthVersionLast="47" xr6:coauthVersionMax="47" xr10:uidLastSave="{00000000-0000-0000-0000-000000000000}"/>
  <bookViews>
    <workbookView xWindow="-120" yWindow="-120" windowWidth="29040" windowHeight="15720" firstSheet="1" activeTab="2" xr2:uid="{00000000-000D-0000-FFFF-FFFF00000000}"/>
  </bookViews>
  <sheets>
    <sheet name="RESUMO" sheetId="3" r:id="rId1"/>
    <sheet name="Controle Central" sheetId="2" r:id="rId2"/>
    <sheet name="Geferson" sheetId="1" r:id="rId3"/>
    <sheet name="Izadora" sheetId="13" r:id="rId4"/>
    <sheet name="João Carlos" sheetId="9" r:id="rId5"/>
    <sheet name="Antonio Willian" sheetId="11" r:id="rId6"/>
    <sheet name="Geraldo" sheetId="32" r:id="rId7"/>
    <sheet name="Rogerio Salustiano" sheetId="31" r:id="rId8"/>
    <sheet name="Jurandir" sheetId="30" r:id="rId9"/>
    <sheet name="Railson" sheetId="29" r:id="rId10"/>
    <sheet name="Assibi" sheetId="28" r:id="rId11"/>
    <sheet name="Diego Parisio-Desmob" sheetId="4" r:id="rId12"/>
    <sheet name="CAR_11" sheetId="27" r:id="rId13"/>
    <sheet name="CAR_12" sheetId="26" r:id="rId14"/>
    <sheet name="CAR_13" sheetId="25" r:id="rId15"/>
    <sheet name="CAR_14" sheetId="24" r:id="rId16"/>
    <sheet name="CAR_15" sheetId="23" r:id="rId17"/>
    <sheet name="CAR_16" sheetId="22" r:id="rId18"/>
    <sheet name="CAR_17" sheetId="21" r:id="rId19"/>
    <sheet name="CAR_18" sheetId="20" r:id="rId20"/>
    <sheet name="CAR_19" sheetId="19" r:id="rId21"/>
    <sheet name="CAR_20" sheetId="18" r:id="rId22"/>
    <sheet name="CAR_21" sheetId="17" r:id="rId23"/>
    <sheet name="CAR_22" sheetId="16" r:id="rId24"/>
    <sheet name="CAR_23" sheetId="15" r:id="rId25"/>
    <sheet name="CAR_24" sheetId="14" r:id="rId26"/>
    <sheet name="CAR_25" sheetId="12" r:id="rId27"/>
    <sheet name="CAR_26" sheetId="10" r:id="rId28"/>
    <sheet name="CAR_27" sheetId="8" r:id="rId29"/>
    <sheet name="CAR_28" sheetId="6" r:id="rId30"/>
    <sheet name="CAR_29" sheetId="7" r:id="rId31"/>
    <sheet name="CAR_30" sheetId="5" r:id="rId3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79" i="9" l="1"/>
  <c r="F79" i="9"/>
  <c r="H79" i="9" s="1"/>
  <c r="AH77" i="9"/>
  <c r="Y77" i="9"/>
  <c r="AN12" i="30"/>
  <c r="AE12" i="30"/>
  <c r="U12" i="30"/>
  <c r="H11" i="30"/>
  <c r="G11" i="30"/>
  <c r="F11" i="30"/>
  <c r="AN89" i="31"/>
  <c r="AE89" i="31"/>
  <c r="U89" i="31"/>
  <c r="G88" i="31"/>
  <c r="F88" i="31"/>
  <c r="H88" i="31" s="1"/>
  <c r="Y86" i="31"/>
  <c r="AH86" i="31" s="1"/>
  <c r="AN85" i="31"/>
  <c r="AE85" i="31"/>
  <c r="U85" i="31"/>
  <c r="G84" i="31"/>
  <c r="F84" i="31"/>
  <c r="H84" i="31" s="1"/>
  <c r="Y82" i="31"/>
  <c r="AH82" i="31" s="1"/>
  <c r="AN81" i="31"/>
  <c r="AE81" i="31"/>
  <c r="U81" i="31"/>
  <c r="H80" i="31"/>
  <c r="G80" i="31"/>
  <c r="F80" i="31"/>
  <c r="Y78" i="31"/>
  <c r="AH78" i="31" s="1"/>
  <c r="AN77" i="31"/>
  <c r="AE77" i="31"/>
  <c r="U77" i="31"/>
  <c r="G76" i="31"/>
  <c r="F76" i="31"/>
  <c r="Y74" i="31"/>
  <c r="AH74" i="31" s="1"/>
  <c r="AN73" i="31"/>
  <c r="AE73" i="31"/>
  <c r="U73" i="31"/>
  <c r="G72" i="31"/>
  <c r="F72" i="31"/>
  <c r="Y70" i="31"/>
  <c r="AH70" i="31" s="1"/>
  <c r="AN69" i="31"/>
  <c r="AE69" i="31"/>
  <c r="U69" i="31"/>
  <c r="G68" i="31"/>
  <c r="F68" i="31"/>
  <c r="Y66" i="31"/>
  <c r="AH66" i="31" s="1"/>
  <c r="AN65" i="31"/>
  <c r="AE65" i="31"/>
  <c r="U65" i="31"/>
  <c r="G64" i="31"/>
  <c r="F64" i="31"/>
  <c r="Y62" i="31"/>
  <c r="AH62" i="31" s="1"/>
  <c r="AN61" i="31"/>
  <c r="AE61" i="31"/>
  <c r="U61" i="31"/>
  <c r="G60" i="31"/>
  <c r="F60" i="31"/>
  <c r="AN57" i="31"/>
  <c r="AE57" i="31"/>
  <c r="U57" i="31"/>
  <c r="G56" i="31"/>
  <c r="F56" i="31"/>
  <c r="H56" i="31" s="1"/>
  <c r="AN88" i="32"/>
  <c r="AE88" i="32"/>
  <c r="U88" i="32"/>
  <c r="H87" i="32"/>
  <c r="G87" i="32"/>
  <c r="F87" i="32"/>
  <c r="Y85" i="32"/>
  <c r="AH85" i="32" s="1"/>
  <c r="AN84" i="32"/>
  <c r="AE84" i="32"/>
  <c r="U84" i="32"/>
  <c r="H83" i="32"/>
  <c r="G83" i="32"/>
  <c r="F83" i="32"/>
  <c r="Y81" i="32"/>
  <c r="AH81" i="32" s="1"/>
  <c r="AN80" i="32"/>
  <c r="AE80" i="32"/>
  <c r="U80" i="32"/>
  <c r="H79" i="32"/>
  <c r="G79" i="32"/>
  <c r="F79" i="32"/>
  <c r="Y77" i="32"/>
  <c r="AH77" i="32" s="1"/>
  <c r="AN76" i="32"/>
  <c r="AE76" i="32"/>
  <c r="U76" i="32"/>
  <c r="H75" i="32"/>
  <c r="G75" i="32"/>
  <c r="F75" i="32"/>
  <c r="Y73" i="32"/>
  <c r="AH73" i="32" s="1"/>
  <c r="AN72" i="32"/>
  <c r="AE72" i="32"/>
  <c r="U72" i="32"/>
  <c r="G71" i="32"/>
  <c r="F71" i="32"/>
  <c r="H71" i="32" s="1"/>
  <c r="Y69" i="32"/>
  <c r="AH69" i="32" s="1"/>
  <c r="AN68" i="32"/>
  <c r="AE68" i="32"/>
  <c r="U68" i="32"/>
  <c r="G67" i="32"/>
  <c r="F67" i="32"/>
  <c r="Y65" i="32"/>
  <c r="AH65" i="32" s="1"/>
  <c r="AN64" i="32"/>
  <c r="AE64" i="32"/>
  <c r="U64" i="32"/>
  <c r="G63" i="32"/>
  <c r="F63" i="32"/>
  <c r="Y61" i="32"/>
  <c r="AH61" i="32" s="1"/>
  <c r="AN60" i="32"/>
  <c r="AE60" i="32"/>
  <c r="U60" i="32"/>
  <c r="G59" i="32"/>
  <c r="F59" i="32"/>
  <c r="AN56" i="32"/>
  <c r="AE56" i="32"/>
  <c r="U56" i="32"/>
  <c r="G55" i="32"/>
  <c r="F55" i="32"/>
  <c r="AN88" i="11"/>
  <c r="AE88" i="11"/>
  <c r="U88" i="11"/>
  <c r="H87" i="11"/>
  <c r="G87" i="11"/>
  <c r="F87" i="11"/>
  <c r="Y85" i="11"/>
  <c r="AH85" i="11" s="1"/>
  <c r="AN84" i="11"/>
  <c r="AE84" i="11"/>
  <c r="U84" i="11"/>
  <c r="H83" i="11"/>
  <c r="G83" i="11"/>
  <c r="F83" i="11"/>
  <c r="Y81" i="11"/>
  <c r="AH81" i="11" s="1"/>
  <c r="AN80" i="11"/>
  <c r="AE80" i="11"/>
  <c r="U80" i="11"/>
  <c r="H79" i="11"/>
  <c r="G79" i="11"/>
  <c r="F79" i="11"/>
  <c r="Y77" i="11"/>
  <c r="AH77" i="11" s="1"/>
  <c r="AN76" i="11"/>
  <c r="AE76" i="11"/>
  <c r="U76" i="11"/>
  <c r="H75" i="11"/>
  <c r="G75" i="11"/>
  <c r="F75" i="11"/>
  <c r="Y73" i="11"/>
  <c r="AH73" i="11" s="1"/>
  <c r="AN72" i="11"/>
  <c r="AE72" i="11"/>
  <c r="U72" i="11"/>
  <c r="G71" i="11"/>
  <c r="F71" i="11"/>
  <c r="Y69" i="11"/>
  <c r="AH69" i="11" s="1"/>
  <c r="AN68" i="11"/>
  <c r="AE68" i="11"/>
  <c r="U68" i="11"/>
  <c r="G67" i="11"/>
  <c r="F67" i="11"/>
  <c r="Y65" i="11"/>
  <c r="AH65" i="11" s="1"/>
  <c r="AN64" i="11"/>
  <c r="AE64" i="11"/>
  <c r="U64" i="11"/>
  <c r="G63" i="11"/>
  <c r="H63" i="11" s="1"/>
  <c r="F63" i="11"/>
  <c r="Y61" i="11"/>
  <c r="AH61" i="11" s="1"/>
  <c r="AN60" i="11"/>
  <c r="AE60" i="11"/>
  <c r="U60" i="11"/>
  <c r="H59" i="11"/>
  <c r="G59" i="11"/>
  <c r="F59" i="11"/>
  <c r="AN56" i="11"/>
  <c r="AE56" i="11"/>
  <c r="U56" i="11"/>
  <c r="G55" i="11"/>
  <c r="F55" i="11"/>
  <c r="H55" i="11" s="1"/>
  <c r="AN92" i="9"/>
  <c r="AE92" i="9"/>
  <c r="U92" i="9"/>
  <c r="G91" i="9"/>
  <c r="F91" i="9"/>
  <c r="H91" i="9" s="1"/>
  <c r="Y89" i="9"/>
  <c r="AH89" i="9" s="1"/>
  <c r="AN88" i="9"/>
  <c r="AE88" i="9"/>
  <c r="U88" i="9"/>
  <c r="G87" i="9"/>
  <c r="H87" i="9" s="1"/>
  <c r="F87" i="9"/>
  <c r="Y85" i="9"/>
  <c r="AH85" i="9" s="1"/>
  <c r="AN84" i="9"/>
  <c r="AE84" i="9"/>
  <c r="U84" i="9"/>
  <c r="G83" i="9"/>
  <c r="F83" i="9"/>
  <c r="Y81" i="9"/>
  <c r="AH81" i="9" s="1"/>
  <c r="G75" i="9"/>
  <c r="F75" i="9"/>
  <c r="Y73" i="9"/>
  <c r="AH73" i="9" s="1"/>
  <c r="AN72" i="9"/>
  <c r="AE72" i="9"/>
  <c r="U72" i="9"/>
  <c r="G71" i="9"/>
  <c r="F71" i="9"/>
  <c r="Y69" i="9"/>
  <c r="AH69" i="9" s="1"/>
  <c r="AN68" i="9"/>
  <c r="AE68" i="9"/>
  <c r="U68" i="9"/>
  <c r="G67" i="9"/>
  <c r="F67" i="9"/>
  <c r="Y65" i="9"/>
  <c r="AH65" i="9" s="1"/>
  <c r="AN64" i="9"/>
  <c r="AE64" i="9"/>
  <c r="U64" i="9"/>
  <c r="G63" i="9"/>
  <c r="F63" i="9"/>
  <c r="Y61" i="9"/>
  <c r="AH61" i="9" s="1"/>
  <c r="AN60" i="9"/>
  <c r="AE60" i="9"/>
  <c r="U60" i="9"/>
  <c r="G59" i="9"/>
  <c r="F59" i="9"/>
  <c r="AN56" i="9"/>
  <c r="AE56" i="9"/>
  <c r="U56" i="9"/>
  <c r="G55" i="9"/>
  <c r="F55" i="9"/>
  <c r="AN92" i="13"/>
  <c r="AE92" i="13"/>
  <c r="U92" i="13"/>
  <c r="H91" i="13"/>
  <c r="G91" i="13"/>
  <c r="F91" i="13"/>
  <c r="Y89" i="13"/>
  <c r="AH89" i="13" s="1"/>
  <c r="AN88" i="13"/>
  <c r="AE88" i="13"/>
  <c r="U88" i="13"/>
  <c r="H87" i="13"/>
  <c r="G87" i="13"/>
  <c r="F87" i="13"/>
  <c r="Y85" i="13"/>
  <c r="AH85" i="13" s="1"/>
  <c r="AN84" i="13"/>
  <c r="AE84" i="13"/>
  <c r="U84" i="13"/>
  <c r="H83" i="13"/>
  <c r="G83" i="13"/>
  <c r="F83" i="13"/>
  <c r="Y81" i="13"/>
  <c r="AH81" i="13" s="1"/>
  <c r="AN80" i="13"/>
  <c r="AE80" i="13"/>
  <c r="U80" i="13"/>
  <c r="H79" i="13"/>
  <c r="G79" i="13"/>
  <c r="F79" i="13"/>
  <c r="Y77" i="13"/>
  <c r="AH77" i="13" s="1"/>
  <c r="AN76" i="13"/>
  <c r="AE76" i="13"/>
  <c r="U76" i="13"/>
  <c r="G75" i="13"/>
  <c r="F75" i="13"/>
  <c r="H75" i="13" s="1"/>
  <c r="Y73" i="13"/>
  <c r="AH73" i="13" s="1"/>
  <c r="AN72" i="13"/>
  <c r="AE72" i="13"/>
  <c r="U72" i="13"/>
  <c r="G71" i="13"/>
  <c r="F71" i="13"/>
  <c r="H71" i="13" s="1"/>
  <c r="Y69" i="13"/>
  <c r="AH69" i="13" s="1"/>
  <c r="AN68" i="13"/>
  <c r="AE68" i="13"/>
  <c r="U68" i="13"/>
  <c r="G67" i="13"/>
  <c r="F67" i="13"/>
  <c r="Y65" i="13"/>
  <c r="AH65" i="13" s="1"/>
  <c r="AN64" i="13"/>
  <c r="AE64" i="13"/>
  <c r="U64" i="13"/>
  <c r="G63" i="13"/>
  <c r="F63" i="13"/>
  <c r="AN60" i="13"/>
  <c r="AE60" i="13"/>
  <c r="U60" i="13"/>
  <c r="G59" i="13"/>
  <c r="F59" i="13"/>
  <c r="H59" i="13" s="1"/>
  <c r="AN88" i="4"/>
  <c r="AE88" i="4"/>
  <c r="U88" i="4"/>
  <c r="H87" i="4"/>
  <c r="G87" i="4"/>
  <c r="F87" i="4"/>
  <c r="Y85" i="4"/>
  <c r="AH85" i="4" s="1"/>
  <c r="AN84" i="4"/>
  <c r="AE84" i="4"/>
  <c r="U84" i="4"/>
  <c r="H83" i="4"/>
  <c r="G83" i="4"/>
  <c r="F83" i="4"/>
  <c r="Y81" i="4"/>
  <c r="AH81" i="4" s="1"/>
  <c r="AN80" i="4"/>
  <c r="AE80" i="4"/>
  <c r="U80" i="4"/>
  <c r="H79" i="4"/>
  <c r="G79" i="4"/>
  <c r="F79" i="4"/>
  <c r="Y77" i="4"/>
  <c r="AH77" i="4" s="1"/>
  <c r="AN76" i="4"/>
  <c r="AE76" i="4"/>
  <c r="U76" i="4"/>
  <c r="H75" i="4"/>
  <c r="G75" i="4"/>
  <c r="F75" i="4"/>
  <c r="Y73" i="4"/>
  <c r="AH73" i="4" s="1"/>
  <c r="AN72" i="4"/>
  <c r="AE72" i="4"/>
  <c r="U72" i="4"/>
  <c r="H71" i="4"/>
  <c r="G71" i="4"/>
  <c r="F71" i="4"/>
  <c r="Y69" i="4"/>
  <c r="AH69" i="4" s="1"/>
  <c r="AN68" i="4"/>
  <c r="AE68" i="4"/>
  <c r="U68" i="4"/>
  <c r="G67" i="4"/>
  <c r="F67" i="4"/>
  <c r="H67" i="4" s="1"/>
  <c r="Y65" i="4"/>
  <c r="AH65" i="4" s="1"/>
  <c r="AN64" i="4"/>
  <c r="AE64" i="4"/>
  <c r="U64" i="4"/>
  <c r="G63" i="4"/>
  <c r="F63" i="4"/>
  <c r="Y61" i="4"/>
  <c r="AH61" i="4" s="1"/>
  <c r="AN60" i="4"/>
  <c r="AE60" i="4"/>
  <c r="U60" i="4"/>
  <c r="H59" i="4"/>
  <c r="G59" i="4"/>
  <c r="F59" i="4"/>
  <c r="AN56" i="4"/>
  <c r="AE56" i="4"/>
  <c r="U56" i="4"/>
  <c r="G55" i="4"/>
  <c r="F55" i="4"/>
  <c r="AN88" i="1"/>
  <c r="AE88" i="1"/>
  <c r="U88" i="1"/>
  <c r="H87" i="1"/>
  <c r="G87" i="1"/>
  <c r="F87" i="1"/>
  <c r="Y85" i="1"/>
  <c r="AH85" i="1" s="1"/>
  <c r="AN84" i="1"/>
  <c r="AE84" i="1"/>
  <c r="U84" i="1"/>
  <c r="H83" i="1"/>
  <c r="G83" i="1"/>
  <c r="F83" i="1"/>
  <c r="Y81" i="1"/>
  <c r="AH81" i="1" s="1"/>
  <c r="AN80" i="1"/>
  <c r="AE80" i="1"/>
  <c r="U80" i="1"/>
  <c r="H79" i="1"/>
  <c r="G79" i="1"/>
  <c r="F79" i="1"/>
  <c r="Y77" i="1"/>
  <c r="AH77" i="1" s="1"/>
  <c r="AN76" i="1"/>
  <c r="AE76" i="1"/>
  <c r="U76" i="1"/>
  <c r="H75" i="1"/>
  <c r="G75" i="1"/>
  <c r="F75" i="1"/>
  <c r="Y73" i="1"/>
  <c r="AH73" i="1" s="1"/>
  <c r="AN72" i="1"/>
  <c r="AE72" i="1"/>
  <c r="U72" i="1"/>
  <c r="G71" i="1"/>
  <c r="F71" i="1"/>
  <c r="H71" i="1" s="1"/>
  <c r="Y69" i="1"/>
  <c r="AH69" i="1" s="1"/>
  <c r="AN68" i="1"/>
  <c r="AE68" i="1"/>
  <c r="U68" i="1"/>
  <c r="G67" i="1"/>
  <c r="F67" i="1"/>
  <c r="Y65" i="1"/>
  <c r="AH65" i="1" s="1"/>
  <c r="AN64" i="1"/>
  <c r="AE64" i="1"/>
  <c r="U64" i="1"/>
  <c r="G63" i="1"/>
  <c r="F63" i="1"/>
  <c r="Y61" i="1"/>
  <c r="AH61" i="1" s="1"/>
  <c r="AN60" i="1"/>
  <c r="AE60" i="1"/>
  <c r="U60" i="1"/>
  <c r="G59" i="1"/>
  <c r="F59" i="1"/>
  <c r="AN56" i="1"/>
  <c r="AE56" i="1"/>
  <c r="U56" i="1"/>
  <c r="G55" i="1"/>
  <c r="F55" i="1"/>
  <c r="H55" i="1" s="1"/>
  <c r="AK52" i="13"/>
  <c r="AC52" i="13"/>
  <c r="U52" i="13"/>
  <c r="G51" i="13"/>
  <c r="F51" i="13"/>
  <c r="W49" i="13"/>
  <c r="AE49" i="13" s="1"/>
  <c r="W53" i="13"/>
  <c r="AE53" i="13" s="1"/>
  <c r="F55" i="13"/>
  <c r="G55" i="13"/>
  <c r="U44" i="1"/>
  <c r="F15" i="28"/>
  <c r="H19" i="3"/>
  <c r="I19" i="3"/>
  <c r="J19" i="3"/>
  <c r="K19" i="3"/>
  <c r="L19" i="3"/>
  <c r="M19" i="3"/>
  <c r="G19" i="3"/>
  <c r="D19" i="3"/>
  <c r="E19" i="3"/>
  <c r="F19" i="3"/>
  <c r="C19" i="3"/>
  <c r="B19" i="3"/>
  <c r="B10" i="3"/>
  <c r="B8" i="3"/>
  <c r="B6" i="3"/>
  <c r="L83" i="2"/>
  <c r="F69" i="2"/>
  <c r="E65" i="2"/>
  <c r="F101" i="2"/>
  <c r="E124" i="2"/>
  <c r="E122" i="2"/>
  <c r="Z118" i="2"/>
  <c r="L118" i="2"/>
  <c r="F31" i="2"/>
  <c r="AA26" i="2"/>
  <c r="Y26" i="2"/>
  <c r="AA15" i="2"/>
  <c r="AA14" i="2"/>
  <c r="AA13" i="2"/>
  <c r="AA12" i="2"/>
  <c r="AA11" i="2"/>
  <c r="AA10" i="2"/>
  <c r="AA9" i="2"/>
  <c r="AA8" i="2"/>
  <c r="AA7" i="2"/>
  <c r="AA6" i="2"/>
  <c r="Z15" i="2"/>
  <c r="Z14" i="2"/>
  <c r="Z13" i="2"/>
  <c r="Z12" i="2"/>
  <c r="Z11" i="2"/>
  <c r="Z10" i="2"/>
  <c r="Z9" i="2"/>
  <c r="Z8" i="2"/>
  <c r="Z7" i="2"/>
  <c r="Z6" i="2"/>
  <c r="T15" i="2"/>
  <c r="T14" i="2"/>
  <c r="T13" i="2"/>
  <c r="T12" i="2"/>
  <c r="T11" i="2"/>
  <c r="T10" i="2"/>
  <c r="T9" i="2"/>
  <c r="T8" i="2"/>
  <c r="T7" i="2"/>
  <c r="T6" i="2"/>
  <c r="T5" i="2"/>
  <c r="S15" i="2"/>
  <c r="S14" i="2"/>
  <c r="S13" i="2"/>
  <c r="S12" i="2"/>
  <c r="S11" i="2"/>
  <c r="S10" i="2"/>
  <c r="S9" i="2"/>
  <c r="S8" i="2"/>
  <c r="S7" i="2"/>
  <c r="S6" i="2"/>
  <c r="S5" i="2"/>
  <c r="R15" i="2"/>
  <c r="R14" i="2"/>
  <c r="R13" i="2"/>
  <c r="R12" i="2"/>
  <c r="R11" i="2"/>
  <c r="R10" i="2"/>
  <c r="R9" i="2"/>
  <c r="R8" i="2"/>
  <c r="R7" i="2"/>
  <c r="AA5" i="2"/>
  <c r="Z5" i="2"/>
  <c r="Y15" i="2"/>
  <c r="Y14" i="2"/>
  <c r="Y13" i="2"/>
  <c r="Y12" i="2"/>
  <c r="Y11" i="2"/>
  <c r="Y10" i="2"/>
  <c r="Y9" i="2"/>
  <c r="Y8" i="2"/>
  <c r="Y7" i="2"/>
  <c r="AK52" i="32"/>
  <c r="M34" i="2" s="1"/>
  <c r="AC52" i="32"/>
  <c r="L34" i="2" s="1"/>
  <c r="U52" i="32"/>
  <c r="K34" i="2" s="1"/>
  <c r="G51" i="32"/>
  <c r="F51" i="32"/>
  <c r="W49" i="32"/>
  <c r="AE49" i="32" s="1"/>
  <c r="AK48" i="32"/>
  <c r="M33" i="2" s="1"/>
  <c r="AC48" i="32"/>
  <c r="L33" i="2" s="1"/>
  <c r="U48" i="32"/>
  <c r="K33" i="2" s="1"/>
  <c r="G47" i="32"/>
  <c r="F47" i="32"/>
  <c r="W45" i="32"/>
  <c r="AE45" i="32" s="1"/>
  <c r="AK44" i="32"/>
  <c r="M32" i="2" s="1"/>
  <c r="AC44" i="32"/>
  <c r="L32" i="2" s="1"/>
  <c r="U44" i="32"/>
  <c r="K32" i="2" s="1"/>
  <c r="G43" i="32"/>
  <c r="F43" i="32"/>
  <c r="W41" i="32"/>
  <c r="AE41" i="32" s="1"/>
  <c r="AK40" i="32"/>
  <c r="M31" i="2" s="1"/>
  <c r="AC40" i="32"/>
  <c r="L31" i="2" s="1"/>
  <c r="U40" i="32"/>
  <c r="K31" i="2" s="1"/>
  <c r="G39" i="32"/>
  <c r="F39" i="32"/>
  <c r="W37" i="32"/>
  <c r="AE37" i="32" s="1"/>
  <c r="AK36" i="32"/>
  <c r="M30" i="2" s="1"/>
  <c r="AC36" i="32"/>
  <c r="L30" i="2" s="1"/>
  <c r="U36" i="32"/>
  <c r="K30" i="2" s="1"/>
  <c r="G35" i="32"/>
  <c r="F35" i="32"/>
  <c r="W33" i="32"/>
  <c r="AE33" i="32" s="1"/>
  <c r="AK32" i="32"/>
  <c r="M29" i="2" s="1"/>
  <c r="AC32" i="32"/>
  <c r="L29" i="2" s="1"/>
  <c r="U32" i="32"/>
  <c r="K29" i="2" s="1"/>
  <c r="G31" i="32"/>
  <c r="F31" i="32"/>
  <c r="W29" i="32"/>
  <c r="AE29" i="32" s="1"/>
  <c r="AK28" i="32"/>
  <c r="M28" i="2" s="1"/>
  <c r="AC28" i="32"/>
  <c r="L28" i="2" s="1"/>
  <c r="U28" i="32"/>
  <c r="K28" i="2" s="1"/>
  <c r="G27" i="32"/>
  <c r="F27" i="32"/>
  <c r="W25" i="32"/>
  <c r="AE25" i="32" s="1"/>
  <c r="AK24" i="32"/>
  <c r="M27" i="2" s="1"/>
  <c r="AC24" i="32"/>
  <c r="L27" i="2" s="1"/>
  <c r="U24" i="32"/>
  <c r="K27" i="2" s="1"/>
  <c r="G23" i="32"/>
  <c r="F23" i="32"/>
  <c r="W21" i="32"/>
  <c r="AE21" i="32" s="1"/>
  <c r="AK20" i="32"/>
  <c r="M26" i="2" s="1"/>
  <c r="AC20" i="32"/>
  <c r="L26" i="2" s="1"/>
  <c r="U20" i="32"/>
  <c r="K26" i="2" s="1"/>
  <c r="G19" i="32"/>
  <c r="F19" i="32"/>
  <c r="W17" i="32"/>
  <c r="AE17" i="32" s="1"/>
  <c r="AK16" i="32"/>
  <c r="M25" i="2" s="1"/>
  <c r="AC16" i="32"/>
  <c r="L25" i="2" s="1"/>
  <c r="U16" i="32"/>
  <c r="K25" i="2" s="1"/>
  <c r="G15" i="32"/>
  <c r="F15" i="32"/>
  <c r="W13" i="32"/>
  <c r="AE13" i="32" s="1"/>
  <c r="AK12" i="32"/>
  <c r="M24" i="2" s="1"/>
  <c r="AC12" i="32"/>
  <c r="L24" i="2" s="1"/>
  <c r="U12" i="32"/>
  <c r="K24" i="2" s="1"/>
  <c r="G11" i="32"/>
  <c r="F11" i="32"/>
  <c r="AK53" i="31"/>
  <c r="T34" i="2" s="1"/>
  <c r="AC53" i="31"/>
  <c r="S34" i="2" s="1"/>
  <c r="U53" i="31"/>
  <c r="R34" i="2" s="1"/>
  <c r="G52" i="31"/>
  <c r="F52" i="31"/>
  <c r="W50" i="31"/>
  <c r="AE50" i="31" s="1"/>
  <c r="AK49" i="31"/>
  <c r="T33" i="2" s="1"/>
  <c r="AC49" i="31"/>
  <c r="S33" i="2" s="1"/>
  <c r="U49" i="31"/>
  <c r="R33" i="2" s="1"/>
  <c r="G48" i="31"/>
  <c r="F48" i="31"/>
  <c r="W46" i="31"/>
  <c r="AE46" i="31" s="1"/>
  <c r="AK45" i="31"/>
  <c r="T32" i="2" s="1"/>
  <c r="AC45" i="31"/>
  <c r="S32" i="2" s="1"/>
  <c r="U45" i="31"/>
  <c r="R32" i="2" s="1"/>
  <c r="G44" i="31"/>
  <c r="F44" i="31"/>
  <c r="W42" i="31"/>
  <c r="AE42" i="31" s="1"/>
  <c r="AK41" i="31"/>
  <c r="T31" i="2" s="1"/>
  <c r="AC41" i="31"/>
  <c r="S31" i="2" s="1"/>
  <c r="U41" i="31"/>
  <c r="R31" i="2" s="1"/>
  <c r="G40" i="31"/>
  <c r="F40" i="31"/>
  <c r="W38" i="31"/>
  <c r="AE38" i="31" s="1"/>
  <c r="AK37" i="31"/>
  <c r="T30" i="2" s="1"/>
  <c r="AC37" i="31"/>
  <c r="S30" i="2" s="1"/>
  <c r="U37" i="31"/>
  <c r="R30" i="2" s="1"/>
  <c r="G36" i="31"/>
  <c r="F36" i="31"/>
  <c r="W34" i="31"/>
  <c r="AE34" i="31" s="1"/>
  <c r="AK33" i="31"/>
  <c r="T29" i="2" s="1"/>
  <c r="AC33" i="31"/>
  <c r="S29" i="2" s="1"/>
  <c r="U33" i="31"/>
  <c r="R29" i="2" s="1"/>
  <c r="G32" i="31"/>
  <c r="F32" i="31"/>
  <c r="W30" i="31"/>
  <c r="AE30" i="31" s="1"/>
  <c r="AK29" i="31"/>
  <c r="T28" i="2" s="1"/>
  <c r="AC29" i="31"/>
  <c r="S28" i="2" s="1"/>
  <c r="U29" i="31"/>
  <c r="R28" i="2" s="1"/>
  <c r="G28" i="31"/>
  <c r="F28" i="31"/>
  <c r="W26" i="31"/>
  <c r="AE26" i="31" s="1"/>
  <c r="AK25" i="31"/>
  <c r="T27" i="2" s="1"/>
  <c r="AC25" i="31"/>
  <c r="S27" i="2" s="1"/>
  <c r="U25" i="31"/>
  <c r="R27" i="2" s="1"/>
  <c r="G24" i="31"/>
  <c r="F24" i="31"/>
  <c r="W22" i="31"/>
  <c r="AE22" i="31" s="1"/>
  <c r="AK21" i="31"/>
  <c r="T26" i="2" s="1"/>
  <c r="AC21" i="31"/>
  <c r="S26" i="2" s="1"/>
  <c r="U21" i="31"/>
  <c r="R26" i="2" s="1"/>
  <c r="G20" i="31"/>
  <c r="F20" i="31"/>
  <c r="W18" i="31"/>
  <c r="AE18" i="31" s="1"/>
  <c r="AK17" i="31"/>
  <c r="T25" i="2" s="1"/>
  <c r="AC17" i="31"/>
  <c r="S25" i="2" s="1"/>
  <c r="U17" i="31"/>
  <c r="R25" i="2" s="1"/>
  <c r="G16" i="31"/>
  <c r="F16" i="31"/>
  <c r="W14" i="31"/>
  <c r="AE14" i="31" s="1"/>
  <c r="AK13" i="31"/>
  <c r="T24" i="2" s="1"/>
  <c r="AC13" i="31"/>
  <c r="S24" i="2" s="1"/>
  <c r="U13" i="31"/>
  <c r="R24" i="2" s="1"/>
  <c r="G12" i="31"/>
  <c r="F12" i="31"/>
  <c r="AN56" i="30"/>
  <c r="AA34" i="2" s="1"/>
  <c r="AE56" i="30"/>
  <c r="Z34" i="2" s="1"/>
  <c r="U56" i="30"/>
  <c r="Y34" i="2" s="1"/>
  <c r="G55" i="30"/>
  <c r="F55" i="30"/>
  <c r="Y53" i="30"/>
  <c r="AH53" i="30" s="1"/>
  <c r="AN52" i="30"/>
  <c r="AA33" i="2" s="1"/>
  <c r="AE52" i="30"/>
  <c r="Z33" i="2" s="1"/>
  <c r="U52" i="30"/>
  <c r="Y33" i="2" s="1"/>
  <c r="G51" i="30"/>
  <c r="F51" i="30"/>
  <c r="Y49" i="30"/>
  <c r="AH49" i="30" s="1"/>
  <c r="AN48" i="30"/>
  <c r="AA32" i="2" s="1"/>
  <c r="AE48" i="30"/>
  <c r="Z32" i="2" s="1"/>
  <c r="U48" i="30"/>
  <c r="Y32" i="2" s="1"/>
  <c r="G47" i="30"/>
  <c r="F47" i="30"/>
  <c r="Y45" i="30"/>
  <c r="AH45" i="30" s="1"/>
  <c r="AN44" i="30"/>
  <c r="AA31" i="2" s="1"/>
  <c r="AE44" i="30"/>
  <c r="Z31" i="2" s="1"/>
  <c r="U44" i="30"/>
  <c r="Y31" i="2" s="1"/>
  <c r="G43" i="30"/>
  <c r="F43" i="30"/>
  <c r="Y41" i="30"/>
  <c r="AH41" i="30" s="1"/>
  <c r="AN40" i="30"/>
  <c r="AA30" i="2" s="1"/>
  <c r="AE40" i="30"/>
  <c r="Z30" i="2" s="1"/>
  <c r="U40" i="30"/>
  <c r="Y30" i="2" s="1"/>
  <c r="G39" i="30"/>
  <c r="F39" i="30"/>
  <c r="Y37" i="30"/>
  <c r="AH37" i="30" s="1"/>
  <c r="AN36" i="30"/>
  <c r="AA29" i="2" s="1"/>
  <c r="AE36" i="30"/>
  <c r="Z29" i="2" s="1"/>
  <c r="U36" i="30"/>
  <c r="Y29" i="2" s="1"/>
  <c r="G35" i="30"/>
  <c r="F35" i="30"/>
  <c r="Y33" i="30"/>
  <c r="AH33" i="30" s="1"/>
  <c r="AN32" i="30"/>
  <c r="AA28" i="2" s="1"/>
  <c r="AE32" i="30"/>
  <c r="Z28" i="2" s="1"/>
  <c r="U32" i="30"/>
  <c r="Y28" i="2" s="1"/>
  <c r="G31" i="30"/>
  <c r="F31" i="30"/>
  <c r="Y29" i="30"/>
  <c r="AH29" i="30" s="1"/>
  <c r="AN28" i="30"/>
  <c r="AA27" i="2" s="1"/>
  <c r="AE28" i="30"/>
  <c r="Z27" i="2" s="1"/>
  <c r="U28" i="30"/>
  <c r="Y27" i="2" s="1"/>
  <c r="G27" i="30"/>
  <c r="F27" i="30"/>
  <c r="Y25" i="30"/>
  <c r="AH25" i="30" s="1"/>
  <c r="AN24" i="30"/>
  <c r="AE24" i="30"/>
  <c r="Z26" i="2" s="1"/>
  <c r="U24" i="30"/>
  <c r="G23" i="30"/>
  <c r="F23" i="30"/>
  <c r="Y21" i="30"/>
  <c r="AH21" i="30" s="1"/>
  <c r="AN20" i="30"/>
  <c r="AA25" i="2" s="1"/>
  <c r="AE20" i="30"/>
  <c r="Z25" i="2" s="1"/>
  <c r="U20" i="30"/>
  <c r="Y25" i="2" s="1"/>
  <c r="G19" i="30"/>
  <c r="F19" i="30"/>
  <c r="Y17" i="30"/>
  <c r="AH17" i="30" s="1"/>
  <c r="AN16" i="30"/>
  <c r="AA24" i="2" s="1"/>
  <c r="AE16" i="30"/>
  <c r="Z24" i="2" s="1"/>
  <c r="U16" i="30"/>
  <c r="Y24" i="2" s="1"/>
  <c r="G15" i="30"/>
  <c r="F15" i="30"/>
  <c r="AN52" i="29"/>
  <c r="F53" i="2" s="1"/>
  <c r="AE52" i="29"/>
  <c r="E53" i="2" s="1"/>
  <c r="U52" i="29"/>
  <c r="D53" i="2" s="1"/>
  <c r="G51" i="29"/>
  <c r="F51" i="29"/>
  <c r="Y49" i="29"/>
  <c r="AH49" i="29" s="1"/>
  <c r="AN48" i="29"/>
  <c r="F52" i="2" s="1"/>
  <c r="AE48" i="29"/>
  <c r="E52" i="2" s="1"/>
  <c r="U48" i="29"/>
  <c r="D52" i="2" s="1"/>
  <c r="G47" i="29"/>
  <c r="F47" i="29"/>
  <c r="Y45" i="29"/>
  <c r="AH45" i="29" s="1"/>
  <c r="AN44" i="29"/>
  <c r="F51" i="2" s="1"/>
  <c r="AE44" i="29"/>
  <c r="E51" i="2" s="1"/>
  <c r="U44" i="29"/>
  <c r="D51" i="2" s="1"/>
  <c r="G43" i="29"/>
  <c r="F43" i="29"/>
  <c r="Y41" i="29"/>
  <c r="AH41" i="29" s="1"/>
  <c r="AN40" i="29"/>
  <c r="F50" i="2" s="1"/>
  <c r="AE40" i="29"/>
  <c r="E50" i="2" s="1"/>
  <c r="U40" i="29"/>
  <c r="D50" i="2" s="1"/>
  <c r="G39" i="29"/>
  <c r="F39" i="29"/>
  <c r="Y37" i="29"/>
  <c r="AH37" i="29" s="1"/>
  <c r="AN36" i="29"/>
  <c r="F49" i="2" s="1"/>
  <c r="AE36" i="29"/>
  <c r="E49" i="2" s="1"/>
  <c r="U36" i="29"/>
  <c r="D49" i="2" s="1"/>
  <c r="G35" i="29"/>
  <c r="F35" i="29"/>
  <c r="Y33" i="29"/>
  <c r="AH33" i="29" s="1"/>
  <c r="AN32" i="29"/>
  <c r="F48" i="2" s="1"/>
  <c r="AE32" i="29"/>
  <c r="E48" i="2" s="1"/>
  <c r="U32" i="29"/>
  <c r="D48" i="2" s="1"/>
  <c r="G31" i="29"/>
  <c r="F31" i="29"/>
  <c r="Y29" i="29"/>
  <c r="AH29" i="29" s="1"/>
  <c r="AN28" i="29"/>
  <c r="F47" i="2" s="1"/>
  <c r="AE28" i="29"/>
  <c r="E47" i="2" s="1"/>
  <c r="U28" i="29"/>
  <c r="D47" i="2" s="1"/>
  <c r="G27" i="29"/>
  <c r="F27" i="29"/>
  <c r="Y25" i="29"/>
  <c r="AH25" i="29" s="1"/>
  <c r="AN24" i="29"/>
  <c r="F46" i="2" s="1"/>
  <c r="AE24" i="29"/>
  <c r="E46" i="2" s="1"/>
  <c r="U24" i="29"/>
  <c r="D46" i="2" s="1"/>
  <c r="G23" i="29"/>
  <c r="F23" i="29"/>
  <c r="Y21" i="29"/>
  <c r="AH21" i="29" s="1"/>
  <c r="AN20" i="29"/>
  <c r="F45" i="2" s="1"/>
  <c r="AE20" i="29"/>
  <c r="E45" i="2" s="1"/>
  <c r="U20" i="29"/>
  <c r="D45" i="2" s="1"/>
  <c r="G19" i="29"/>
  <c r="F19" i="29"/>
  <c r="Y17" i="29"/>
  <c r="AH17" i="29" s="1"/>
  <c r="AN16" i="29"/>
  <c r="F44" i="2" s="1"/>
  <c r="AE16" i="29"/>
  <c r="E44" i="2" s="1"/>
  <c r="U16" i="29"/>
  <c r="D44" i="2" s="1"/>
  <c r="G15" i="29"/>
  <c r="F15" i="29"/>
  <c r="Y13" i="29"/>
  <c r="AH13" i="29" s="1"/>
  <c r="AN12" i="29"/>
  <c r="F43" i="2" s="1"/>
  <c r="AE12" i="29"/>
  <c r="E43" i="2" s="1"/>
  <c r="U12" i="29"/>
  <c r="D43" i="2" s="1"/>
  <c r="G11" i="29"/>
  <c r="F11" i="29"/>
  <c r="AN52" i="28"/>
  <c r="M53" i="2" s="1"/>
  <c r="AE52" i="28"/>
  <c r="L53" i="2" s="1"/>
  <c r="U52" i="28"/>
  <c r="K53" i="2" s="1"/>
  <c r="G51" i="28"/>
  <c r="F51" i="28"/>
  <c r="Y49" i="28"/>
  <c r="AH49" i="28" s="1"/>
  <c r="AN48" i="28"/>
  <c r="M52" i="2" s="1"/>
  <c r="AE48" i="28"/>
  <c r="L52" i="2" s="1"/>
  <c r="U48" i="28"/>
  <c r="K52" i="2" s="1"/>
  <c r="G47" i="28"/>
  <c r="F47" i="28"/>
  <c r="Y45" i="28"/>
  <c r="AH45" i="28" s="1"/>
  <c r="AN44" i="28"/>
  <c r="M51" i="2" s="1"/>
  <c r="AE44" i="28"/>
  <c r="L51" i="2" s="1"/>
  <c r="U44" i="28"/>
  <c r="K51" i="2" s="1"/>
  <c r="G43" i="28"/>
  <c r="F43" i="28"/>
  <c r="Y41" i="28"/>
  <c r="AH41" i="28" s="1"/>
  <c r="AN40" i="28"/>
  <c r="M50" i="2" s="1"/>
  <c r="AE40" i="28"/>
  <c r="L50" i="2" s="1"/>
  <c r="U40" i="28"/>
  <c r="K50" i="2" s="1"/>
  <c r="G39" i="28"/>
  <c r="F39" i="28"/>
  <c r="Y37" i="28"/>
  <c r="AH37" i="28" s="1"/>
  <c r="AN36" i="28"/>
  <c r="M49" i="2" s="1"/>
  <c r="AE36" i="28"/>
  <c r="L49" i="2" s="1"/>
  <c r="U36" i="28"/>
  <c r="K49" i="2" s="1"/>
  <c r="G35" i="28"/>
  <c r="F35" i="28"/>
  <c r="Y33" i="28"/>
  <c r="AH33" i="28" s="1"/>
  <c r="AN32" i="28"/>
  <c r="M48" i="2" s="1"/>
  <c r="AE32" i="28"/>
  <c r="L48" i="2" s="1"/>
  <c r="U32" i="28"/>
  <c r="K48" i="2" s="1"/>
  <c r="G31" i="28"/>
  <c r="F31" i="28"/>
  <c r="Y29" i="28"/>
  <c r="AH29" i="28" s="1"/>
  <c r="AN28" i="28"/>
  <c r="M47" i="2" s="1"/>
  <c r="AE28" i="28"/>
  <c r="L47" i="2" s="1"/>
  <c r="U28" i="28"/>
  <c r="K47" i="2" s="1"/>
  <c r="G27" i="28"/>
  <c r="F27" i="28"/>
  <c r="Y25" i="28"/>
  <c r="AH25" i="28" s="1"/>
  <c r="AN24" i="28"/>
  <c r="M46" i="2" s="1"/>
  <c r="AE24" i="28"/>
  <c r="L46" i="2" s="1"/>
  <c r="U24" i="28"/>
  <c r="K46" i="2" s="1"/>
  <c r="G23" i="28"/>
  <c r="F23" i="28"/>
  <c r="Y21" i="28"/>
  <c r="AH21" i="28" s="1"/>
  <c r="AN20" i="28"/>
  <c r="M45" i="2" s="1"/>
  <c r="AE20" i="28"/>
  <c r="L45" i="2" s="1"/>
  <c r="U20" i="28"/>
  <c r="K45" i="2" s="1"/>
  <c r="G19" i="28"/>
  <c r="F19" i="28"/>
  <c r="Y17" i="28"/>
  <c r="AH17" i="28" s="1"/>
  <c r="AN16" i="28"/>
  <c r="M44" i="2" s="1"/>
  <c r="AE16" i="28"/>
  <c r="L44" i="2" s="1"/>
  <c r="U16" i="28"/>
  <c r="K44" i="2" s="1"/>
  <c r="G15" i="28"/>
  <c r="Y13" i="28"/>
  <c r="AH13" i="28" s="1"/>
  <c r="AN12" i="28"/>
  <c r="M43" i="2" s="1"/>
  <c r="AE12" i="28"/>
  <c r="L43" i="2" s="1"/>
  <c r="U12" i="28"/>
  <c r="K43" i="2" s="1"/>
  <c r="G11" i="28"/>
  <c r="F11" i="28"/>
  <c r="AN52" i="27"/>
  <c r="T53" i="2" s="1"/>
  <c r="AE52" i="27"/>
  <c r="S53" i="2" s="1"/>
  <c r="U52" i="27"/>
  <c r="R53" i="2" s="1"/>
  <c r="G51" i="27"/>
  <c r="F51" i="27"/>
  <c r="Y49" i="27"/>
  <c r="AH49" i="27" s="1"/>
  <c r="AN48" i="27"/>
  <c r="T52" i="2" s="1"/>
  <c r="AE48" i="27"/>
  <c r="S52" i="2" s="1"/>
  <c r="U48" i="27"/>
  <c r="R52" i="2" s="1"/>
  <c r="G47" i="27"/>
  <c r="F47" i="27"/>
  <c r="Y45" i="27"/>
  <c r="AH45" i="27" s="1"/>
  <c r="AN44" i="27"/>
  <c r="T51" i="2" s="1"/>
  <c r="AE44" i="27"/>
  <c r="S51" i="2" s="1"/>
  <c r="U44" i="27"/>
  <c r="R51" i="2" s="1"/>
  <c r="G43" i="27"/>
  <c r="F43" i="27"/>
  <c r="Y41" i="27"/>
  <c r="AH41" i="27" s="1"/>
  <c r="AN40" i="27"/>
  <c r="T50" i="2" s="1"/>
  <c r="AE40" i="27"/>
  <c r="S50" i="2" s="1"/>
  <c r="U40" i="27"/>
  <c r="R50" i="2" s="1"/>
  <c r="G39" i="27"/>
  <c r="F39" i="27"/>
  <c r="Y37" i="27"/>
  <c r="AH37" i="27" s="1"/>
  <c r="AN36" i="27"/>
  <c r="T49" i="2" s="1"/>
  <c r="AE36" i="27"/>
  <c r="S49" i="2" s="1"/>
  <c r="U36" i="27"/>
  <c r="R49" i="2" s="1"/>
  <c r="G35" i="27"/>
  <c r="F35" i="27"/>
  <c r="Y33" i="27"/>
  <c r="AH33" i="27" s="1"/>
  <c r="AN32" i="27"/>
  <c r="T48" i="2" s="1"/>
  <c r="AE32" i="27"/>
  <c r="S48" i="2" s="1"/>
  <c r="U32" i="27"/>
  <c r="R48" i="2" s="1"/>
  <c r="G31" i="27"/>
  <c r="F31" i="27"/>
  <c r="Y29" i="27"/>
  <c r="AH29" i="27" s="1"/>
  <c r="AN28" i="27"/>
  <c r="T47" i="2" s="1"/>
  <c r="AE28" i="27"/>
  <c r="S47" i="2" s="1"/>
  <c r="U28" i="27"/>
  <c r="R47" i="2" s="1"/>
  <c r="G27" i="27"/>
  <c r="F27" i="27"/>
  <c r="Y25" i="27"/>
  <c r="AH25" i="27" s="1"/>
  <c r="AN24" i="27"/>
  <c r="T46" i="2" s="1"/>
  <c r="AE24" i="27"/>
  <c r="S46" i="2" s="1"/>
  <c r="U24" i="27"/>
  <c r="R46" i="2" s="1"/>
  <c r="G23" i="27"/>
  <c r="F23" i="27"/>
  <c r="Y21" i="27"/>
  <c r="AH21" i="27" s="1"/>
  <c r="AN20" i="27"/>
  <c r="T45" i="2" s="1"/>
  <c r="AE20" i="27"/>
  <c r="S45" i="2" s="1"/>
  <c r="U20" i="27"/>
  <c r="R45" i="2" s="1"/>
  <c r="G19" i="27"/>
  <c r="F19" i="27"/>
  <c r="Y17" i="27"/>
  <c r="AH17" i="27" s="1"/>
  <c r="AN16" i="27"/>
  <c r="T44" i="2" s="1"/>
  <c r="AE16" i="27"/>
  <c r="S44" i="2" s="1"/>
  <c r="U16" i="27"/>
  <c r="R44" i="2" s="1"/>
  <c r="G15" i="27"/>
  <c r="F15" i="27"/>
  <c r="Y13" i="27"/>
  <c r="AH13" i="27" s="1"/>
  <c r="AN12" i="27"/>
  <c r="T43" i="2" s="1"/>
  <c r="AE12" i="27"/>
  <c r="S43" i="2" s="1"/>
  <c r="U12" i="27"/>
  <c r="R43" i="2" s="1"/>
  <c r="G11" i="27"/>
  <c r="F11" i="27"/>
  <c r="AN52" i="26"/>
  <c r="AA53" i="2" s="1"/>
  <c r="AE52" i="26"/>
  <c r="Z53" i="2" s="1"/>
  <c r="U52" i="26"/>
  <c r="Y53" i="2" s="1"/>
  <c r="G51" i="26"/>
  <c r="F51" i="26"/>
  <c r="Y49" i="26"/>
  <c r="AH49" i="26" s="1"/>
  <c r="AN48" i="26"/>
  <c r="AA52" i="2" s="1"/>
  <c r="AE48" i="26"/>
  <c r="Z52" i="2" s="1"/>
  <c r="U48" i="26"/>
  <c r="Y52" i="2" s="1"/>
  <c r="G47" i="26"/>
  <c r="F47" i="26"/>
  <c r="Y45" i="26"/>
  <c r="AH45" i="26" s="1"/>
  <c r="AN44" i="26"/>
  <c r="AA51" i="2" s="1"/>
  <c r="AE44" i="26"/>
  <c r="Z51" i="2" s="1"/>
  <c r="U44" i="26"/>
  <c r="Y51" i="2" s="1"/>
  <c r="G43" i="26"/>
  <c r="F43" i="26"/>
  <c r="Y41" i="26"/>
  <c r="AH41" i="26" s="1"/>
  <c r="AN40" i="26"/>
  <c r="AA50" i="2" s="1"/>
  <c r="AE40" i="26"/>
  <c r="Z50" i="2" s="1"/>
  <c r="U40" i="26"/>
  <c r="Y50" i="2" s="1"/>
  <c r="G39" i="26"/>
  <c r="F39" i="26"/>
  <c r="Y37" i="26"/>
  <c r="AH37" i="26" s="1"/>
  <c r="AN36" i="26"/>
  <c r="AA49" i="2" s="1"/>
  <c r="AE36" i="26"/>
  <c r="Z49" i="2" s="1"/>
  <c r="U36" i="26"/>
  <c r="Y49" i="2" s="1"/>
  <c r="G35" i="26"/>
  <c r="F35" i="26"/>
  <c r="Y33" i="26"/>
  <c r="AH33" i="26" s="1"/>
  <c r="AN32" i="26"/>
  <c r="AA48" i="2" s="1"/>
  <c r="AE32" i="26"/>
  <c r="Z48" i="2" s="1"/>
  <c r="U32" i="26"/>
  <c r="Y48" i="2" s="1"/>
  <c r="G31" i="26"/>
  <c r="F31" i="26"/>
  <c r="Y29" i="26"/>
  <c r="AH29" i="26" s="1"/>
  <c r="AN28" i="26"/>
  <c r="AA47" i="2" s="1"/>
  <c r="AE28" i="26"/>
  <c r="Z47" i="2" s="1"/>
  <c r="U28" i="26"/>
  <c r="Y47" i="2" s="1"/>
  <c r="G27" i="26"/>
  <c r="F27" i="26"/>
  <c r="Y25" i="26"/>
  <c r="AH25" i="26" s="1"/>
  <c r="AN24" i="26"/>
  <c r="AA46" i="2" s="1"/>
  <c r="AE24" i="26"/>
  <c r="Z46" i="2" s="1"/>
  <c r="U24" i="26"/>
  <c r="Y46" i="2" s="1"/>
  <c r="G23" i="26"/>
  <c r="F23" i="26"/>
  <c r="Y21" i="26"/>
  <c r="AH21" i="26" s="1"/>
  <c r="AN20" i="26"/>
  <c r="AA45" i="2" s="1"/>
  <c r="AE20" i="26"/>
  <c r="Z45" i="2" s="1"/>
  <c r="U20" i="26"/>
  <c r="Y45" i="2" s="1"/>
  <c r="G19" i="26"/>
  <c r="F19" i="26"/>
  <c r="Y17" i="26"/>
  <c r="AH17" i="26" s="1"/>
  <c r="AN16" i="26"/>
  <c r="AA44" i="2" s="1"/>
  <c r="AE16" i="26"/>
  <c r="Z44" i="2" s="1"/>
  <c r="U16" i="26"/>
  <c r="Y44" i="2" s="1"/>
  <c r="G15" i="26"/>
  <c r="F15" i="26"/>
  <c r="Y13" i="26"/>
  <c r="AH13" i="26" s="1"/>
  <c r="AN12" i="26"/>
  <c r="AA43" i="2" s="1"/>
  <c r="AE12" i="26"/>
  <c r="Z43" i="2" s="1"/>
  <c r="U12" i="26"/>
  <c r="Y43" i="2" s="1"/>
  <c r="G11" i="26"/>
  <c r="F11" i="26"/>
  <c r="AN52" i="25"/>
  <c r="F72" i="2" s="1"/>
  <c r="AE52" i="25"/>
  <c r="E72" i="2" s="1"/>
  <c r="U52" i="25"/>
  <c r="D72" i="2" s="1"/>
  <c r="G51" i="25"/>
  <c r="F51" i="25"/>
  <c r="Y49" i="25"/>
  <c r="AH49" i="25" s="1"/>
  <c r="AN48" i="25"/>
  <c r="F71" i="2" s="1"/>
  <c r="AE48" i="25"/>
  <c r="E71" i="2" s="1"/>
  <c r="U48" i="25"/>
  <c r="D71" i="2" s="1"/>
  <c r="G47" i="25"/>
  <c r="F47" i="25"/>
  <c r="Y45" i="25"/>
  <c r="AH45" i="25" s="1"/>
  <c r="AN44" i="25"/>
  <c r="F70" i="2" s="1"/>
  <c r="AE44" i="25"/>
  <c r="E70" i="2" s="1"/>
  <c r="U44" i="25"/>
  <c r="D70" i="2" s="1"/>
  <c r="G43" i="25"/>
  <c r="F43" i="25"/>
  <c r="Y41" i="25"/>
  <c r="AH41" i="25" s="1"/>
  <c r="AN40" i="25"/>
  <c r="AE40" i="25"/>
  <c r="E69" i="2" s="1"/>
  <c r="U40" i="25"/>
  <c r="D69" i="2" s="1"/>
  <c r="G39" i="25"/>
  <c r="F39" i="25"/>
  <c r="Y37" i="25"/>
  <c r="AH37" i="25" s="1"/>
  <c r="AN36" i="25"/>
  <c r="F68" i="2" s="1"/>
  <c r="AE36" i="25"/>
  <c r="E68" i="2" s="1"/>
  <c r="U36" i="25"/>
  <c r="D68" i="2" s="1"/>
  <c r="G35" i="25"/>
  <c r="F35" i="25"/>
  <c r="Y33" i="25"/>
  <c r="AH33" i="25" s="1"/>
  <c r="AN32" i="25"/>
  <c r="F67" i="2" s="1"/>
  <c r="AE32" i="25"/>
  <c r="E67" i="2" s="1"/>
  <c r="U32" i="25"/>
  <c r="D67" i="2" s="1"/>
  <c r="G31" i="25"/>
  <c r="F31" i="25"/>
  <c r="Y29" i="25"/>
  <c r="AH29" i="25" s="1"/>
  <c r="AN28" i="25"/>
  <c r="F66" i="2" s="1"/>
  <c r="AE28" i="25"/>
  <c r="E66" i="2" s="1"/>
  <c r="U28" i="25"/>
  <c r="D66" i="2" s="1"/>
  <c r="G27" i="25"/>
  <c r="F27" i="25"/>
  <c r="Y25" i="25"/>
  <c r="AH25" i="25" s="1"/>
  <c r="AN24" i="25"/>
  <c r="F65" i="2" s="1"/>
  <c r="AE24" i="25"/>
  <c r="U24" i="25"/>
  <c r="D65" i="2" s="1"/>
  <c r="G23" i="25"/>
  <c r="F23" i="25"/>
  <c r="Y21" i="25"/>
  <c r="AH21" i="25" s="1"/>
  <c r="AN20" i="25"/>
  <c r="F64" i="2" s="1"/>
  <c r="AE20" i="25"/>
  <c r="E64" i="2" s="1"/>
  <c r="U20" i="25"/>
  <c r="D64" i="2" s="1"/>
  <c r="G19" i="25"/>
  <c r="F19" i="25"/>
  <c r="Y17" i="25"/>
  <c r="AH17" i="25" s="1"/>
  <c r="AN16" i="25"/>
  <c r="F63" i="2" s="1"/>
  <c r="AE16" i="25"/>
  <c r="E63" i="2" s="1"/>
  <c r="U16" i="25"/>
  <c r="D63" i="2" s="1"/>
  <c r="G15" i="25"/>
  <c r="F15" i="25"/>
  <c r="Y13" i="25"/>
  <c r="AH13" i="25" s="1"/>
  <c r="AN12" i="25"/>
  <c r="F62" i="2" s="1"/>
  <c r="AE12" i="25"/>
  <c r="E62" i="2" s="1"/>
  <c r="U12" i="25"/>
  <c r="D62" i="2" s="1"/>
  <c r="G11" i="25"/>
  <c r="F11" i="25"/>
  <c r="AN52" i="24"/>
  <c r="M72" i="2" s="1"/>
  <c r="AE52" i="24"/>
  <c r="L72" i="2" s="1"/>
  <c r="U52" i="24"/>
  <c r="K72" i="2" s="1"/>
  <c r="G51" i="24"/>
  <c r="F51" i="24"/>
  <c r="Y49" i="24"/>
  <c r="AH49" i="24" s="1"/>
  <c r="AN48" i="24"/>
  <c r="M71" i="2" s="1"/>
  <c r="AE48" i="24"/>
  <c r="L71" i="2" s="1"/>
  <c r="U48" i="24"/>
  <c r="K71" i="2" s="1"/>
  <c r="G47" i="24"/>
  <c r="F47" i="24"/>
  <c r="Y45" i="24"/>
  <c r="AH45" i="24" s="1"/>
  <c r="AN44" i="24"/>
  <c r="M70" i="2" s="1"/>
  <c r="AE44" i="24"/>
  <c r="L70" i="2" s="1"/>
  <c r="U44" i="24"/>
  <c r="K70" i="2" s="1"/>
  <c r="G43" i="24"/>
  <c r="F43" i="24"/>
  <c r="Y41" i="24"/>
  <c r="AH41" i="24" s="1"/>
  <c r="AN40" i="24"/>
  <c r="M69" i="2" s="1"/>
  <c r="AE40" i="24"/>
  <c r="L69" i="2" s="1"/>
  <c r="U40" i="24"/>
  <c r="K69" i="2" s="1"/>
  <c r="G39" i="24"/>
  <c r="F39" i="24"/>
  <c r="Y37" i="24"/>
  <c r="AH37" i="24" s="1"/>
  <c r="AN36" i="24"/>
  <c r="M68" i="2" s="1"/>
  <c r="AE36" i="24"/>
  <c r="L68" i="2" s="1"/>
  <c r="U36" i="24"/>
  <c r="K68" i="2" s="1"/>
  <c r="G35" i="24"/>
  <c r="F35" i="24"/>
  <c r="Y33" i="24"/>
  <c r="AH33" i="24" s="1"/>
  <c r="AN32" i="24"/>
  <c r="M67" i="2" s="1"/>
  <c r="AE32" i="24"/>
  <c r="L67" i="2" s="1"/>
  <c r="U32" i="24"/>
  <c r="K67" i="2" s="1"/>
  <c r="G31" i="24"/>
  <c r="F31" i="24"/>
  <c r="Y29" i="24"/>
  <c r="AH29" i="24" s="1"/>
  <c r="AN28" i="24"/>
  <c r="M66" i="2" s="1"/>
  <c r="AE28" i="24"/>
  <c r="L66" i="2" s="1"/>
  <c r="U28" i="24"/>
  <c r="K66" i="2" s="1"/>
  <c r="G27" i="24"/>
  <c r="F27" i="24"/>
  <c r="Y25" i="24"/>
  <c r="AH25" i="24" s="1"/>
  <c r="AN24" i="24"/>
  <c r="M65" i="2" s="1"/>
  <c r="AE24" i="24"/>
  <c r="L65" i="2" s="1"/>
  <c r="U24" i="24"/>
  <c r="K65" i="2" s="1"/>
  <c r="G23" i="24"/>
  <c r="F23" i="24"/>
  <c r="Y21" i="24"/>
  <c r="AH21" i="24" s="1"/>
  <c r="AN20" i="24"/>
  <c r="M64" i="2" s="1"/>
  <c r="AE20" i="24"/>
  <c r="L64" i="2" s="1"/>
  <c r="U20" i="24"/>
  <c r="K64" i="2" s="1"/>
  <c r="G19" i="24"/>
  <c r="F19" i="24"/>
  <c r="Y17" i="24"/>
  <c r="AH17" i="24" s="1"/>
  <c r="AN16" i="24"/>
  <c r="M63" i="2" s="1"/>
  <c r="AE16" i="24"/>
  <c r="L63" i="2" s="1"/>
  <c r="U16" i="24"/>
  <c r="K63" i="2" s="1"/>
  <c r="G15" i="24"/>
  <c r="F15" i="24"/>
  <c r="Y13" i="24"/>
  <c r="AH13" i="24" s="1"/>
  <c r="AN12" i="24"/>
  <c r="M62" i="2" s="1"/>
  <c r="AE12" i="24"/>
  <c r="L62" i="2" s="1"/>
  <c r="U12" i="24"/>
  <c r="K62" i="2" s="1"/>
  <c r="G11" i="24"/>
  <c r="F11" i="24"/>
  <c r="AN52" i="23"/>
  <c r="T72" i="2" s="1"/>
  <c r="AE52" i="23"/>
  <c r="S72" i="2" s="1"/>
  <c r="U52" i="23"/>
  <c r="R72" i="2" s="1"/>
  <c r="G51" i="23"/>
  <c r="F51" i="23"/>
  <c r="Y49" i="23"/>
  <c r="AH49" i="23" s="1"/>
  <c r="AN48" i="23"/>
  <c r="T71" i="2" s="1"/>
  <c r="AE48" i="23"/>
  <c r="S71" i="2" s="1"/>
  <c r="U48" i="23"/>
  <c r="R71" i="2" s="1"/>
  <c r="G47" i="23"/>
  <c r="F47" i="23"/>
  <c r="Y45" i="23"/>
  <c r="AH45" i="23" s="1"/>
  <c r="AN44" i="23"/>
  <c r="T70" i="2" s="1"/>
  <c r="AE44" i="23"/>
  <c r="S70" i="2" s="1"/>
  <c r="U44" i="23"/>
  <c r="R70" i="2" s="1"/>
  <c r="G43" i="23"/>
  <c r="F43" i="23"/>
  <c r="Y41" i="23"/>
  <c r="AH41" i="23" s="1"/>
  <c r="AN40" i="23"/>
  <c r="T69" i="2" s="1"/>
  <c r="AE40" i="23"/>
  <c r="S69" i="2" s="1"/>
  <c r="U40" i="23"/>
  <c r="R69" i="2" s="1"/>
  <c r="G39" i="23"/>
  <c r="F39" i="23"/>
  <c r="Y37" i="23"/>
  <c r="AH37" i="23" s="1"/>
  <c r="AN36" i="23"/>
  <c r="T68" i="2" s="1"/>
  <c r="AE36" i="23"/>
  <c r="S68" i="2" s="1"/>
  <c r="U36" i="23"/>
  <c r="R68" i="2" s="1"/>
  <c r="G35" i="23"/>
  <c r="F35" i="23"/>
  <c r="Y33" i="23"/>
  <c r="AH33" i="23" s="1"/>
  <c r="AN32" i="23"/>
  <c r="T67" i="2" s="1"/>
  <c r="AE32" i="23"/>
  <c r="S67" i="2" s="1"/>
  <c r="U32" i="23"/>
  <c r="R67" i="2" s="1"/>
  <c r="G31" i="23"/>
  <c r="F31" i="23"/>
  <c r="Y29" i="23"/>
  <c r="AH29" i="23" s="1"/>
  <c r="AN28" i="23"/>
  <c r="T66" i="2" s="1"/>
  <c r="AE28" i="23"/>
  <c r="S66" i="2" s="1"/>
  <c r="U28" i="23"/>
  <c r="R66" i="2" s="1"/>
  <c r="G27" i="23"/>
  <c r="F27" i="23"/>
  <c r="Y25" i="23"/>
  <c r="AH25" i="23" s="1"/>
  <c r="AN24" i="23"/>
  <c r="T65" i="2" s="1"/>
  <c r="AE24" i="23"/>
  <c r="S65" i="2" s="1"/>
  <c r="U24" i="23"/>
  <c r="R65" i="2" s="1"/>
  <c r="G23" i="23"/>
  <c r="F23" i="23"/>
  <c r="Y21" i="23"/>
  <c r="AH21" i="23" s="1"/>
  <c r="AN20" i="23"/>
  <c r="T64" i="2" s="1"/>
  <c r="AE20" i="23"/>
  <c r="S64" i="2" s="1"/>
  <c r="U20" i="23"/>
  <c r="R64" i="2" s="1"/>
  <c r="G19" i="23"/>
  <c r="F19" i="23"/>
  <c r="Y17" i="23"/>
  <c r="AH17" i="23" s="1"/>
  <c r="AN16" i="23"/>
  <c r="T63" i="2" s="1"/>
  <c r="AE16" i="23"/>
  <c r="S63" i="2" s="1"/>
  <c r="U16" i="23"/>
  <c r="R63" i="2" s="1"/>
  <c r="G15" i="23"/>
  <c r="F15" i="23"/>
  <c r="Y13" i="23"/>
  <c r="AH13" i="23" s="1"/>
  <c r="AN12" i="23"/>
  <c r="T62" i="2" s="1"/>
  <c r="AE12" i="23"/>
  <c r="S62" i="2" s="1"/>
  <c r="U12" i="23"/>
  <c r="R62" i="2" s="1"/>
  <c r="G11" i="23"/>
  <c r="F11" i="23"/>
  <c r="AN52" i="22"/>
  <c r="AA72" i="2" s="1"/>
  <c r="AE52" i="22"/>
  <c r="Z72" i="2" s="1"/>
  <c r="U52" i="22"/>
  <c r="Y72" i="2" s="1"/>
  <c r="G51" i="22"/>
  <c r="F51" i="22"/>
  <c r="Y49" i="22"/>
  <c r="AH49" i="22" s="1"/>
  <c r="AN48" i="22"/>
  <c r="AA71" i="2" s="1"/>
  <c r="AE48" i="22"/>
  <c r="Z71" i="2" s="1"/>
  <c r="U48" i="22"/>
  <c r="Y71" i="2" s="1"/>
  <c r="G47" i="22"/>
  <c r="F47" i="22"/>
  <c r="Y45" i="22"/>
  <c r="AH45" i="22" s="1"/>
  <c r="AN44" i="22"/>
  <c r="AA70" i="2" s="1"/>
  <c r="AE44" i="22"/>
  <c r="Z70" i="2" s="1"/>
  <c r="U44" i="22"/>
  <c r="Y70" i="2" s="1"/>
  <c r="G43" i="22"/>
  <c r="F43" i="22"/>
  <c r="Y41" i="22"/>
  <c r="AH41" i="22" s="1"/>
  <c r="AN40" i="22"/>
  <c r="AA69" i="2" s="1"/>
  <c r="AE40" i="22"/>
  <c r="Z69" i="2" s="1"/>
  <c r="U40" i="22"/>
  <c r="Y69" i="2" s="1"/>
  <c r="G39" i="22"/>
  <c r="F39" i="22"/>
  <c r="Y37" i="22"/>
  <c r="AH37" i="22" s="1"/>
  <c r="AN36" i="22"/>
  <c r="AA68" i="2" s="1"/>
  <c r="AE36" i="22"/>
  <c r="Z68" i="2" s="1"/>
  <c r="U36" i="22"/>
  <c r="Y68" i="2" s="1"/>
  <c r="G35" i="22"/>
  <c r="F35" i="22"/>
  <c r="Y33" i="22"/>
  <c r="AH33" i="22" s="1"/>
  <c r="AN32" i="22"/>
  <c r="AA67" i="2" s="1"/>
  <c r="AE32" i="22"/>
  <c r="Z67" i="2" s="1"/>
  <c r="U32" i="22"/>
  <c r="Y67" i="2" s="1"/>
  <c r="G31" i="22"/>
  <c r="F31" i="22"/>
  <c r="Y29" i="22"/>
  <c r="AH29" i="22" s="1"/>
  <c r="AN28" i="22"/>
  <c r="AA66" i="2" s="1"/>
  <c r="AE28" i="22"/>
  <c r="Z66" i="2" s="1"/>
  <c r="U28" i="22"/>
  <c r="Y66" i="2" s="1"/>
  <c r="G27" i="22"/>
  <c r="F27" i="22"/>
  <c r="Y25" i="22"/>
  <c r="AH25" i="22" s="1"/>
  <c r="AN24" i="22"/>
  <c r="AA65" i="2" s="1"/>
  <c r="AE24" i="22"/>
  <c r="Z65" i="2" s="1"/>
  <c r="U24" i="22"/>
  <c r="Y65" i="2" s="1"/>
  <c r="G23" i="22"/>
  <c r="F23" i="22"/>
  <c r="Y21" i="22"/>
  <c r="AH21" i="22" s="1"/>
  <c r="AN20" i="22"/>
  <c r="AA64" i="2" s="1"/>
  <c r="AE20" i="22"/>
  <c r="Z64" i="2" s="1"/>
  <c r="U20" i="22"/>
  <c r="Y64" i="2" s="1"/>
  <c r="G19" i="22"/>
  <c r="F19" i="22"/>
  <c r="Y17" i="22"/>
  <c r="AH17" i="22" s="1"/>
  <c r="AN16" i="22"/>
  <c r="AA63" i="2" s="1"/>
  <c r="AE16" i="22"/>
  <c r="Z63" i="2" s="1"/>
  <c r="U16" i="22"/>
  <c r="Y63" i="2" s="1"/>
  <c r="G15" i="22"/>
  <c r="F15" i="22"/>
  <c r="Y13" i="22"/>
  <c r="AH13" i="22" s="1"/>
  <c r="AN12" i="22"/>
  <c r="AA62" i="2" s="1"/>
  <c r="AE12" i="22"/>
  <c r="Z62" i="2" s="1"/>
  <c r="U12" i="22"/>
  <c r="Y62" i="2" s="1"/>
  <c r="G11" i="22"/>
  <c r="F11" i="22"/>
  <c r="AN52" i="21"/>
  <c r="F91" i="2" s="1"/>
  <c r="AE52" i="21"/>
  <c r="E91" i="2" s="1"/>
  <c r="U52" i="21"/>
  <c r="D91" i="2" s="1"/>
  <c r="G51" i="21"/>
  <c r="F51" i="21"/>
  <c r="Y49" i="21"/>
  <c r="AH49" i="21" s="1"/>
  <c r="AN48" i="21"/>
  <c r="F90" i="2" s="1"/>
  <c r="AE48" i="21"/>
  <c r="E90" i="2" s="1"/>
  <c r="U48" i="21"/>
  <c r="D90" i="2" s="1"/>
  <c r="G47" i="21"/>
  <c r="F47" i="21"/>
  <c r="Y45" i="21"/>
  <c r="AH45" i="21" s="1"/>
  <c r="AN44" i="21"/>
  <c r="F89" i="2" s="1"/>
  <c r="AE44" i="21"/>
  <c r="E89" i="2" s="1"/>
  <c r="U44" i="21"/>
  <c r="D89" i="2" s="1"/>
  <c r="G43" i="21"/>
  <c r="F43" i="21"/>
  <c r="Y41" i="21"/>
  <c r="AH41" i="21" s="1"/>
  <c r="AN40" i="21"/>
  <c r="F88" i="2" s="1"/>
  <c r="AE40" i="21"/>
  <c r="E88" i="2" s="1"/>
  <c r="U40" i="21"/>
  <c r="D88" i="2" s="1"/>
  <c r="G39" i="21"/>
  <c r="F39" i="21"/>
  <c r="Y37" i="21"/>
  <c r="AH37" i="21" s="1"/>
  <c r="AN36" i="21"/>
  <c r="F87" i="2" s="1"/>
  <c r="AE36" i="21"/>
  <c r="E87" i="2" s="1"/>
  <c r="U36" i="21"/>
  <c r="D87" i="2" s="1"/>
  <c r="G35" i="21"/>
  <c r="F35" i="21"/>
  <c r="Y33" i="21"/>
  <c r="AH33" i="21" s="1"/>
  <c r="AN32" i="21"/>
  <c r="F86" i="2" s="1"/>
  <c r="AE32" i="21"/>
  <c r="E86" i="2" s="1"/>
  <c r="U32" i="21"/>
  <c r="D86" i="2" s="1"/>
  <c r="G31" i="21"/>
  <c r="F31" i="21"/>
  <c r="Y29" i="21"/>
  <c r="AH29" i="21" s="1"/>
  <c r="AN28" i="21"/>
  <c r="F85" i="2" s="1"/>
  <c r="AE28" i="21"/>
  <c r="E85" i="2" s="1"/>
  <c r="U28" i="21"/>
  <c r="D85" i="2" s="1"/>
  <c r="G27" i="21"/>
  <c r="F27" i="21"/>
  <c r="Y25" i="21"/>
  <c r="AH25" i="21" s="1"/>
  <c r="AN24" i="21"/>
  <c r="F84" i="2" s="1"/>
  <c r="AE24" i="21"/>
  <c r="E84" i="2" s="1"/>
  <c r="U24" i="21"/>
  <c r="D84" i="2" s="1"/>
  <c r="G23" i="21"/>
  <c r="F23" i="21"/>
  <c r="Y21" i="21"/>
  <c r="AH21" i="21" s="1"/>
  <c r="AN20" i="21"/>
  <c r="F83" i="2" s="1"/>
  <c r="AE20" i="21"/>
  <c r="E83" i="2" s="1"/>
  <c r="U20" i="21"/>
  <c r="D83" i="2" s="1"/>
  <c r="G19" i="21"/>
  <c r="F19" i="21"/>
  <c r="Y17" i="21"/>
  <c r="AH17" i="21" s="1"/>
  <c r="AN16" i="21"/>
  <c r="F82" i="2" s="1"/>
  <c r="AE16" i="21"/>
  <c r="E82" i="2" s="1"/>
  <c r="U16" i="21"/>
  <c r="D82" i="2" s="1"/>
  <c r="G15" i="21"/>
  <c r="F15" i="21"/>
  <c r="Y13" i="21"/>
  <c r="AH13" i="21" s="1"/>
  <c r="AN12" i="21"/>
  <c r="F81" i="2" s="1"/>
  <c r="AE12" i="21"/>
  <c r="E81" i="2" s="1"/>
  <c r="U12" i="21"/>
  <c r="D81" i="2" s="1"/>
  <c r="G11" i="21"/>
  <c r="F11" i="21"/>
  <c r="H11" i="21" s="1"/>
  <c r="B81" i="2" s="1"/>
  <c r="C81" i="2" s="1"/>
  <c r="AN52" i="20"/>
  <c r="AE52" i="20"/>
  <c r="U52" i="20"/>
  <c r="K91" i="2" s="1"/>
  <c r="G51" i="20"/>
  <c r="F51" i="20"/>
  <c r="Y49" i="20"/>
  <c r="AH49" i="20" s="1"/>
  <c r="AN48" i="20"/>
  <c r="AE48" i="20"/>
  <c r="L90" i="2" s="1"/>
  <c r="U48" i="20"/>
  <c r="K90" i="2" s="1"/>
  <c r="G47" i="20"/>
  <c r="F47" i="20"/>
  <c r="Y45" i="20"/>
  <c r="AH45" i="20" s="1"/>
  <c r="AN44" i="20"/>
  <c r="AE44" i="20"/>
  <c r="U44" i="20"/>
  <c r="K89" i="2" s="1"/>
  <c r="G43" i="20"/>
  <c r="F43" i="20"/>
  <c r="Y41" i="20"/>
  <c r="AH41" i="20" s="1"/>
  <c r="AN40" i="20"/>
  <c r="AE40" i="20"/>
  <c r="M88" i="2" s="1"/>
  <c r="U40" i="20"/>
  <c r="K88" i="2" s="1"/>
  <c r="G39" i="20"/>
  <c r="F39" i="20"/>
  <c r="Y37" i="20"/>
  <c r="AH37" i="20" s="1"/>
  <c r="AN36" i="20"/>
  <c r="AE36" i="20"/>
  <c r="U36" i="20"/>
  <c r="K87" i="2" s="1"/>
  <c r="G35" i="20"/>
  <c r="F35" i="20"/>
  <c r="Y33" i="20"/>
  <c r="AH33" i="20" s="1"/>
  <c r="AN32" i="20"/>
  <c r="AE32" i="20"/>
  <c r="L86" i="2" s="1"/>
  <c r="U32" i="20"/>
  <c r="K86" i="2" s="1"/>
  <c r="G31" i="20"/>
  <c r="F31" i="20"/>
  <c r="Y29" i="20"/>
  <c r="AH29" i="20" s="1"/>
  <c r="AN28" i="20"/>
  <c r="AE28" i="20"/>
  <c r="U28" i="20"/>
  <c r="K85" i="2" s="1"/>
  <c r="G27" i="20"/>
  <c r="F27" i="20"/>
  <c r="Y25" i="20"/>
  <c r="AH25" i="20" s="1"/>
  <c r="AN24" i="20"/>
  <c r="AE24" i="20"/>
  <c r="M84" i="2" s="1"/>
  <c r="U24" i="20"/>
  <c r="K84" i="2" s="1"/>
  <c r="G23" i="20"/>
  <c r="F23" i="20"/>
  <c r="Y21" i="20"/>
  <c r="AH21" i="20" s="1"/>
  <c r="AN20" i="20"/>
  <c r="AE20" i="20"/>
  <c r="M83" i="2" s="1"/>
  <c r="U20" i="20"/>
  <c r="K83" i="2" s="1"/>
  <c r="G19" i="20"/>
  <c r="F19" i="20"/>
  <c r="Y17" i="20"/>
  <c r="AH17" i="20" s="1"/>
  <c r="AN16" i="20"/>
  <c r="AE16" i="20"/>
  <c r="L82" i="2" s="1"/>
  <c r="U16" i="20"/>
  <c r="K82" i="2" s="1"/>
  <c r="G15" i="20"/>
  <c r="F15" i="20"/>
  <c r="Y13" i="20"/>
  <c r="AH13" i="20" s="1"/>
  <c r="AN12" i="20"/>
  <c r="AE12" i="20"/>
  <c r="U12" i="20"/>
  <c r="K81" i="2" s="1"/>
  <c r="G11" i="20"/>
  <c r="F11" i="20"/>
  <c r="AN52" i="19"/>
  <c r="AE52" i="19"/>
  <c r="U52" i="19"/>
  <c r="R91" i="2" s="1"/>
  <c r="G51" i="19"/>
  <c r="F51" i="19"/>
  <c r="Y49" i="19"/>
  <c r="AH49" i="19" s="1"/>
  <c r="AN48" i="19"/>
  <c r="AE48" i="19"/>
  <c r="U48" i="19"/>
  <c r="R90" i="2" s="1"/>
  <c r="G47" i="19"/>
  <c r="F47" i="19"/>
  <c r="Y45" i="19"/>
  <c r="AH45" i="19" s="1"/>
  <c r="AN44" i="19"/>
  <c r="AE44" i="19"/>
  <c r="U44" i="19"/>
  <c r="R89" i="2" s="1"/>
  <c r="G43" i="19"/>
  <c r="F43" i="19"/>
  <c r="Y41" i="19"/>
  <c r="AH41" i="19" s="1"/>
  <c r="AN40" i="19"/>
  <c r="AE40" i="19"/>
  <c r="U40" i="19"/>
  <c r="R88" i="2" s="1"/>
  <c r="G39" i="19"/>
  <c r="F39" i="19"/>
  <c r="Y37" i="19"/>
  <c r="AH37" i="19" s="1"/>
  <c r="AN36" i="19"/>
  <c r="AE36" i="19"/>
  <c r="T87" i="2" s="1"/>
  <c r="U36" i="19"/>
  <c r="R87" i="2" s="1"/>
  <c r="G35" i="19"/>
  <c r="F35" i="19"/>
  <c r="Y33" i="19"/>
  <c r="AH33" i="19" s="1"/>
  <c r="AN32" i="19"/>
  <c r="AE32" i="19"/>
  <c r="U32" i="19"/>
  <c r="R86" i="2" s="1"/>
  <c r="G31" i="19"/>
  <c r="F31" i="19"/>
  <c r="Y29" i="19"/>
  <c r="AH29" i="19" s="1"/>
  <c r="AN28" i="19"/>
  <c r="AE28" i="19"/>
  <c r="U28" i="19"/>
  <c r="R85" i="2" s="1"/>
  <c r="G27" i="19"/>
  <c r="F27" i="19"/>
  <c r="Y25" i="19"/>
  <c r="AH25" i="19" s="1"/>
  <c r="AN24" i="19"/>
  <c r="AE24" i="19"/>
  <c r="U24" i="19"/>
  <c r="R84" i="2" s="1"/>
  <c r="G23" i="19"/>
  <c r="F23" i="19"/>
  <c r="Y21" i="19"/>
  <c r="AH21" i="19" s="1"/>
  <c r="AN20" i="19"/>
  <c r="AE20" i="19"/>
  <c r="U20" i="19"/>
  <c r="R83" i="2" s="1"/>
  <c r="G19" i="19"/>
  <c r="F19" i="19"/>
  <c r="Y17" i="19"/>
  <c r="AH17" i="19" s="1"/>
  <c r="AN16" i="19"/>
  <c r="AE16" i="19"/>
  <c r="U16" i="19"/>
  <c r="R82" i="2" s="1"/>
  <c r="G15" i="19"/>
  <c r="F15" i="19"/>
  <c r="Y13" i="19"/>
  <c r="AH13" i="19" s="1"/>
  <c r="AN12" i="19"/>
  <c r="AE12" i="19"/>
  <c r="U12" i="19"/>
  <c r="R81" i="2" s="1"/>
  <c r="G11" i="19"/>
  <c r="F11" i="19"/>
  <c r="AN52" i="18"/>
  <c r="AE52" i="18"/>
  <c r="U52" i="18"/>
  <c r="Y91" i="2" s="1"/>
  <c r="G51" i="18"/>
  <c r="F51" i="18"/>
  <c r="Y49" i="18"/>
  <c r="AH49" i="18" s="1"/>
  <c r="AN48" i="18"/>
  <c r="AE48" i="18"/>
  <c r="U48" i="18"/>
  <c r="Y90" i="2" s="1"/>
  <c r="G47" i="18"/>
  <c r="F47" i="18"/>
  <c r="Y45" i="18"/>
  <c r="AH45" i="18" s="1"/>
  <c r="AN44" i="18"/>
  <c r="AE44" i="18"/>
  <c r="U44" i="18"/>
  <c r="Y89" i="2" s="1"/>
  <c r="G43" i="18"/>
  <c r="F43" i="18"/>
  <c r="Y41" i="18"/>
  <c r="AH41" i="18" s="1"/>
  <c r="AN40" i="18"/>
  <c r="AE40" i="18"/>
  <c r="U40" i="18"/>
  <c r="Y88" i="2" s="1"/>
  <c r="G39" i="18"/>
  <c r="F39" i="18"/>
  <c r="Y37" i="18"/>
  <c r="AH37" i="18" s="1"/>
  <c r="AN36" i="18"/>
  <c r="AE36" i="18"/>
  <c r="U36" i="18"/>
  <c r="Y87" i="2" s="1"/>
  <c r="G35" i="18"/>
  <c r="F35" i="18"/>
  <c r="Y33" i="18"/>
  <c r="AH33" i="18" s="1"/>
  <c r="AN32" i="18"/>
  <c r="AE32" i="18"/>
  <c r="U32" i="18"/>
  <c r="Y86" i="2" s="1"/>
  <c r="G31" i="18"/>
  <c r="F31" i="18"/>
  <c r="Y29" i="18"/>
  <c r="AH29" i="18" s="1"/>
  <c r="AN28" i="18"/>
  <c r="AE28" i="18"/>
  <c r="U28" i="18"/>
  <c r="Y85" i="2" s="1"/>
  <c r="G27" i="18"/>
  <c r="F27" i="18"/>
  <c r="Y25" i="18"/>
  <c r="AH25" i="18" s="1"/>
  <c r="AN24" i="18"/>
  <c r="AE24" i="18"/>
  <c r="U24" i="18"/>
  <c r="Y84" i="2" s="1"/>
  <c r="G23" i="18"/>
  <c r="F23" i="18"/>
  <c r="Y21" i="18"/>
  <c r="AH21" i="18" s="1"/>
  <c r="AN20" i="18"/>
  <c r="AE20" i="18"/>
  <c r="U20" i="18"/>
  <c r="Y83" i="2" s="1"/>
  <c r="G19" i="18"/>
  <c r="F19" i="18"/>
  <c r="Y17" i="18"/>
  <c r="AH17" i="18" s="1"/>
  <c r="AN16" i="18"/>
  <c r="AE16" i="18"/>
  <c r="U16" i="18"/>
  <c r="Y82" i="2" s="1"/>
  <c r="G15" i="18"/>
  <c r="F15" i="18"/>
  <c r="Y13" i="18"/>
  <c r="AH13" i="18" s="1"/>
  <c r="AN12" i="18"/>
  <c r="AE12" i="18"/>
  <c r="AA81" i="2" s="1"/>
  <c r="U12" i="18"/>
  <c r="Y81" i="2" s="1"/>
  <c r="G11" i="18"/>
  <c r="F11" i="18"/>
  <c r="AN52" i="17"/>
  <c r="F109" i="2" s="1"/>
  <c r="AE52" i="17"/>
  <c r="E109" i="2" s="1"/>
  <c r="U52" i="17"/>
  <c r="D109" i="2" s="1"/>
  <c r="G51" i="17"/>
  <c r="F51" i="17"/>
  <c r="Y49" i="17"/>
  <c r="AH49" i="17" s="1"/>
  <c r="AN48" i="17"/>
  <c r="F108" i="2" s="1"/>
  <c r="AE48" i="17"/>
  <c r="E108" i="2" s="1"/>
  <c r="U48" i="17"/>
  <c r="D108" i="2" s="1"/>
  <c r="G47" i="17"/>
  <c r="F47" i="17"/>
  <c r="Y45" i="17"/>
  <c r="AH45" i="17" s="1"/>
  <c r="AN44" i="17"/>
  <c r="F107" i="2" s="1"/>
  <c r="AE44" i="17"/>
  <c r="E107" i="2" s="1"/>
  <c r="U44" i="17"/>
  <c r="D107" i="2" s="1"/>
  <c r="G43" i="17"/>
  <c r="F43" i="17"/>
  <c r="Y41" i="17"/>
  <c r="AH41" i="17" s="1"/>
  <c r="AN40" i="17"/>
  <c r="F106" i="2" s="1"/>
  <c r="AE40" i="17"/>
  <c r="E106" i="2" s="1"/>
  <c r="U40" i="17"/>
  <c r="D106" i="2" s="1"/>
  <c r="G39" i="17"/>
  <c r="F39" i="17"/>
  <c r="Y37" i="17"/>
  <c r="AH37" i="17" s="1"/>
  <c r="AN36" i="17"/>
  <c r="F105" i="2" s="1"/>
  <c r="AE36" i="17"/>
  <c r="E105" i="2" s="1"/>
  <c r="U36" i="17"/>
  <c r="D105" i="2" s="1"/>
  <c r="G35" i="17"/>
  <c r="F35" i="17"/>
  <c r="Y33" i="17"/>
  <c r="AH33" i="17" s="1"/>
  <c r="AN32" i="17"/>
  <c r="F104" i="2" s="1"/>
  <c r="AE32" i="17"/>
  <c r="E104" i="2" s="1"/>
  <c r="U32" i="17"/>
  <c r="D104" i="2" s="1"/>
  <c r="G31" i="17"/>
  <c r="F31" i="17"/>
  <c r="Y29" i="17"/>
  <c r="AH29" i="17" s="1"/>
  <c r="AN28" i="17"/>
  <c r="F103" i="2" s="1"/>
  <c r="AE28" i="17"/>
  <c r="E103" i="2" s="1"/>
  <c r="U28" i="17"/>
  <c r="D103" i="2" s="1"/>
  <c r="G27" i="17"/>
  <c r="F27" i="17"/>
  <c r="Y25" i="17"/>
  <c r="AH25" i="17" s="1"/>
  <c r="AN24" i="17"/>
  <c r="F102" i="2" s="1"/>
  <c r="AE24" i="17"/>
  <c r="E102" i="2" s="1"/>
  <c r="U24" i="17"/>
  <c r="D102" i="2" s="1"/>
  <c r="G23" i="17"/>
  <c r="F23" i="17"/>
  <c r="Y21" i="17"/>
  <c r="AH21" i="17" s="1"/>
  <c r="AN20" i="17"/>
  <c r="AE20" i="17"/>
  <c r="E101" i="2" s="1"/>
  <c r="U20" i="17"/>
  <c r="D101" i="2" s="1"/>
  <c r="G19" i="17"/>
  <c r="F19" i="17"/>
  <c r="Y17" i="17"/>
  <c r="AH17" i="17" s="1"/>
  <c r="AN16" i="17"/>
  <c r="F100" i="2" s="1"/>
  <c r="AE16" i="17"/>
  <c r="E100" i="2" s="1"/>
  <c r="U16" i="17"/>
  <c r="D100" i="2" s="1"/>
  <c r="G15" i="17"/>
  <c r="F15" i="17"/>
  <c r="Y13" i="17"/>
  <c r="AH13" i="17" s="1"/>
  <c r="AN12" i="17"/>
  <c r="F99" i="2" s="1"/>
  <c r="AE12" i="17"/>
  <c r="E99" i="2" s="1"/>
  <c r="U12" i="17"/>
  <c r="D99" i="2" s="1"/>
  <c r="G11" i="17"/>
  <c r="F11" i="17"/>
  <c r="AN52" i="16"/>
  <c r="M109" i="2" s="1"/>
  <c r="AE52" i="16"/>
  <c r="L109" i="2" s="1"/>
  <c r="U52" i="16"/>
  <c r="K109" i="2" s="1"/>
  <c r="G51" i="16"/>
  <c r="F51" i="16"/>
  <c r="Y49" i="16"/>
  <c r="AH49" i="16" s="1"/>
  <c r="AN48" i="16"/>
  <c r="M108" i="2" s="1"/>
  <c r="AE48" i="16"/>
  <c r="L108" i="2" s="1"/>
  <c r="U48" i="16"/>
  <c r="K108" i="2" s="1"/>
  <c r="G47" i="16"/>
  <c r="F47" i="16"/>
  <c r="Y45" i="16"/>
  <c r="AH45" i="16" s="1"/>
  <c r="AN44" i="16"/>
  <c r="M107" i="2" s="1"/>
  <c r="AE44" i="16"/>
  <c r="L107" i="2" s="1"/>
  <c r="U44" i="16"/>
  <c r="K107" i="2" s="1"/>
  <c r="G43" i="16"/>
  <c r="F43" i="16"/>
  <c r="Y41" i="16"/>
  <c r="AH41" i="16" s="1"/>
  <c r="AN40" i="16"/>
  <c r="M106" i="2" s="1"/>
  <c r="AE40" i="16"/>
  <c r="L106" i="2" s="1"/>
  <c r="U40" i="16"/>
  <c r="K106" i="2" s="1"/>
  <c r="G39" i="16"/>
  <c r="F39" i="16"/>
  <c r="Y37" i="16"/>
  <c r="AH37" i="16" s="1"/>
  <c r="AN36" i="16"/>
  <c r="M105" i="2" s="1"/>
  <c r="AE36" i="16"/>
  <c r="L105" i="2" s="1"/>
  <c r="U36" i="16"/>
  <c r="K105" i="2" s="1"/>
  <c r="G35" i="16"/>
  <c r="F35" i="16"/>
  <c r="Y33" i="16"/>
  <c r="AH33" i="16" s="1"/>
  <c r="AN32" i="16"/>
  <c r="M104" i="2" s="1"/>
  <c r="AE32" i="16"/>
  <c r="L104" i="2" s="1"/>
  <c r="U32" i="16"/>
  <c r="K104" i="2" s="1"/>
  <c r="G31" i="16"/>
  <c r="F31" i="16"/>
  <c r="Y29" i="16"/>
  <c r="AH29" i="16" s="1"/>
  <c r="AN28" i="16"/>
  <c r="M103" i="2" s="1"/>
  <c r="AE28" i="16"/>
  <c r="L103" i="2" s="1"/>
  <c r="U28" i="16"/>
  <c r="K103" i="2" s="1"/>
  <c r="G27" i="16"/>
  <c r="F27" i="16"/>
  <c r="Y25" i="16"/>
  <c r="AH25" i="16" s="1"/>
  <c r="AN24" i="16"/>
  <c r="M102" i="2" s="1"/>
  <c r="AE24" i="16"/>
  <c r="L102" i="2" s="1"/>
  <c r="U24" i="16"/>
  <c r="K102" i="2" s="1"/>
  <c r="G23" i="16"/>
  <c r="F23" i="16"/>
  <c r="Y21" i="16"/>
  <c r="AH21" i="16" s="1"/>
  <c r="AN20" i="16"/>
  <c r="M101" i="2" s="1"/>
  <c r="AE20" i="16"/>
  <c r="L101" i="2" s="1"/>
  <c r="U20" i="16"/>
  <c r="K101" i="2" s="1"/>
  <c r="G19" i="16"/>
  <c r="F19" i="16"/>
  <c r="Y17" i="16"/>
  <c r="AH17" i="16" s="1"/>
  <c r="AN16" i="16"/>
  <c r="M100" i="2" s="1"/>
  <c r="AE16" i="16"/>
  <c r="L100" i="2" s="1"/>
  <c r="U16" i="16"/>
  <c r="K100" i="2" s="1"/>
  <c r="G15" i="16"/>
  <c r="F15" i="16"/>
  <c r="Y13" i="16"/>
  <c r="AH13" i="16" s="1"/>
  <c r="AN12" i="16"/>
  <c r="M99" i="2" s="1"/>
  <c r="AE12" i="16"/>
  <c r="L99" i="2" s="1"/>
  <c r="U12" i="16"/>
  <c r="K99" i="2" s="1"/>
  <c r="G11" i="16"/>
  <c r="F11" i="16"/>
  <c r="AN52" i="15"/>
  <c r="T109" i="2" s="1"/>
  <c r="AE52" i="15"/>
  <c r="S109" i="2" s="1"/>
  <c r="U52" i="15"/>
  <c r="R109" i="2" s="1"/>
  <c r="G51" i="15"/>
  <c r="F51" i="15"/>
  <c r="Y49" i="15"/>
  <c r="AH49" i="15" s="1"/>
  <c r="AN48" i="15"/>
  <c r="T108" i="2" s="1"/>
  <c r="AE48" i="15"/>
  <c r="S108" i="2" s="1"/>
  <c r="U48" i="15"/>
  <c r="R108" i="2" s="1"/>
  <c r="G47" i="15"/>
  <c r="F47" i="15"/>
  <c r="Y45" i="15"/>
  <c r="AH45" i="15" s="1"/>
  <c r="AN44" i="15"/>
  <c r="T107" i="2" s="1"/>
  <c r="AE44" i="15"/>
  <c r="S107" i="2" s="1"/>
  <c r="U44" i="15"/>
  <c r="R107" i="2" s="1"/>
  <c r="G43" i="15"/>
  <c r="F43" i="15"/>
  <c r="Y41" i="15"/>
  <c r="AH41" i="15" s="1"/>
  <c r="AN40" i="15"/>
  <c r="T106" i="2" s="1"/>
  <c r="AE40" i="15"/>
  <c r="S106" i="2" s="1"/>
  <c r="U40" i="15"/>
  <c r="R106" i="2" s="1"/>
  <c r="G39" i="15"/>
  <c r="F39" i="15"/>
  <c r="Y37" i="15"/>
  <c r="AH37" i="15" s="1"/>
  <c r="AN36" i="15"/>
  <c r="T105" i="2" s="1"/>
  <c r="AE36" i="15"/>
  <c r="S105" i="2" s="1"/>
  <c r="U36" i="15"/>
  <c r="R105" i="2" s="1"/>
  <c r="G35" i="15"/>
  <c r="F35" i="15"/>
  <c r="Y33" i="15"/>
  <c r="AH33" i="15" s="1"/>
  <c r="AN32" i="15"/>
  <c r="T104" i="2" s="1"/>
  <c r="AE32" i="15"/>
  <c r="S104" i="2" s="1"/>
  <c r="U32" i="15"/>
  <c r="R104" i="2" s="1"/>
  <c r="G31" i="15"/>
  <c r="F31" i="15"/>
  <c r="Y29" i="15"/>
  <c r="AH29" i="15" s="1"/>
  <c r="AN28" i="15"/>
  <c r="T103" i="2" s="1"/>
  <c r="AE28" i="15"/>
  <c r="S103" i="2" s="1"/>
  <c r="U28" i="15"/>
  <c r="R103" i="2" s="1"/>
  <c r="G27" i="15"/>
  <c r="F27" i="15"/>
  <c r="Y25" i="15"/>
  <c r="AH25" i="15" s="1"/>
  <c r="AN24" i="15"/>
  <c r="T102" i="2" s="1"/>
  <c r="AE24" i="15"/>
  <c r="S102" i="2" s="1"/>
  <c r="U24" i="15"/>
  <c r="R102" i="2" s="1"/>
  <c r="G23" i="15"/>
  <c r="F23" i="15"/>
  <c r="Y21" i="15"/>
  <c r="AH21" i="15" s="1"/>
  <c r="AN20" i="15"/>
  <c r="T101" i="2" s="1"/>
  <c r="AE20" i="15"/>
  <c r="S101" i="2" s="1"/>
  <c r="U20" i="15"/>
  <c r="R101" i="2" s="1"/>
  <c r="G19" i="15"/>
  <c r="F19" i="15"/>
  <c r="Y17" i="15"/>
  <c r="AH17" i="15" s="1"/>
  <c r="AN16" i="15"/>
  <c r="T100" i="2" s="1"/>
  <c r="AE16" i="15"/>
  <c r="S100" i="2" s="1"/>
  <c r="U16" i="15"/>
  <c r="R100" i="2" s="1"/>
  <c r="G15" i="15"/>
  <c r="F15" i="15"/>
  <c r="Y13" i="15"/>
  <c r="AH13" i="15" s="1"/>
  <c r="AN12" i="15"/>
  <c r="T99" i="2" s="1"/>
  <c r="AE12" i="15"/>
  <c r="S99" i="2" s="1"/>
  <c r="U12" i="15"/>
  <c r="R99" i="2" s="1"/>
  <c r="G11" i="15"/>
  <c r="F11" i="15"/>
  <c r="AN52" i="14"/>
  <c r="AA109" i="2" s="1"/>
  <c r="AE52" i="14"/>
  <c r="Z109" i="2" s="1"/>
  <c r="U52" i="14"/>
  <c r="Y109" i="2" s="1"/>
  <c r="G51" i="14"/>
  <c r="F51" i="14"/>
  <c r="Y49" i="14"/>
  <c r="AH49" i="14" s="1"/>
  <c r="AN48" i="14"/>
  <c r="AA108" i="2" s="1"/>
  <c r="AE48" i="14"/>
  <c r="Z108" i="2" s="1"/>
  <c r="U48" i="14"/>
  <c r="Y108" i="2" s="1"/>
  <c r="G47" i="14"/>
  <c r="F47" i="14"/>
  <c r="Y45" i="14"/>
  <c r="AH45" i="14" s="1"/>
  <c r="AN44" i="14"/>
  <c r="AA107" i="2" s="1"/>
  <c r="AE44" i="14"/>
  <c r="Z107" i="2" s="1"/>
  <c r="U44" i="14"/>
  <c r="Y107" i="2" s="1"/>
  <c r="G43" i="14"/>
  <c r="F43" i="14"/>
  <c r="Y41" i="14"/>
  <c r="AH41" i="14" s="1"/>
  <c r="AN40" i="14"/>
  <c r="AA106" i="2" s="1"/>
  <c r="AE40" i="14"/>
  <c r="Z106" i="2" s="1"/>
  <c r="U40" i="14"/>
  <c r="Y106" i="2" s="1"/>
  <c r="G39" i="14"/>
  <c r="F39" i="14"/>
  <c r="Y37" i="14"/>
  <c r="AH37" i="14" s="1"/>
  <c r="AN36" i="14"/>
  <c r="AA105" i="2" s="1"/>
  <c r="AE36" i="14"/>
  <c r="Z105" i="2" s="1"/>
  <c r="U36" i="14"/>
  <c r="Y105" i="2" s="1"/>
  <c r="G35" i="14"/>
  <c r="F35" i="14"/>
  <c r="Y33" i="14"/>
  <c r="AH33" i="14" s="1"/>
  <c r="AN32" i="14"/>
  <c r="AA104" i="2" s="1"/>
  <c r="AE32" i="14"/>
  <c r="Z104" i="2" s="1"/>
  <c r="U32" i="14"/>
  <c r="Y104" i="2" s="1"/>
  <c r="G31" i="14"/>
  <c r="F31" i="14"/>
  <c r="Y29" i="14"/>
  <c r="AH29" i="14" s="1"/>
  <c r="AN28" i="14"/>
  <c r="AA103" i="2" s="1"/>
  <c r="AE28" i="14"/>
  <c r="Z103" i="2" s="1"/>
  <c r="U28" i="14"/>
  <c r="Y103" i="2" s="1"/>
  <c r="G27" i="14"/>
  <c r="F27" i="14"/>
  <c r="Y25" i="14"/>
  <c r="AH25" i="14" s="1"/>
  <c r="AN24" i="14"/>
  <c r="AA102" i="2" s="1"/>
  <c r="AE24" i="14"/>
  <c r="Z102" i="2" s="1"/>
  <c r="U24" i="14"/>
  <c r="Y102" i="2" s="1"/>
  <c r="G23" i="14"/>
  <c r="F23" i="14"/>
  <c r="Y21" i="14"/>
  <c r="AH21" i="14" s="1"/>
  <c r="AN20" i="14"/>
  <c r="AA101" i="2" s="1"/>
  <c r="AE20" i="14"/>
  <c r="Z101" i="2" s="1"/>
  <c r="U20" i="14"/>
  <c r="Y101" i="2" s="1"/>
  <c r="G19" i="14"/>
  <c r="F19" i="14"/>
  <c r="Y17" i="14"/>
  <c r="AH17" i="14" s="1"/>
  <c r="AN16" i="14"/>
  <c r="AA100" i="2" s="1"/>
  <c r="AE16" i="14"/>
  <c r="Z100" i="2" s="1"/>
  <c r="U16" i="14"/>
  <c r="Y100" i="2" s="1"/>
  <c r="G15" i="14"/>
  <c r="F15" i="14"/>
  <c r="Y13" i="14"/>
  <c r="AH13" i="14" s="1"/>
  <c r="AN12" i="14"/>
  <c r="AA99" i="2" s="1"/>
  <c r="AE12" i="14"/>
  <c r="Z99" i="2" s="1"/>
  <c r="U12" i="14"/>
  <c r="Y99" i="2" s="1"/>
  <c r="G11" i="14"/>
  <c r="F11" i="14"/>
  <c r="AK56" i="13"/>
  <c r="AC56" i="13"/>
  <c r="U56" i="13"/>
  <c r="AK48" i="13"/>
  <c r="AC48" i="13"/>
  <c r="U48" i="13"/>
  <c r="G47" i="13"/>
  <c r="F47" i="13"/>
  <c r="W45" i="13"/>
  <c r="AE45" i="13" s="1"/>
  <c r="AK44" i="13"/>
  <c r="AC44" i="13"/>
  <c r="U44" i="13"/>
  <c r="G43" i="13"/>
  <c r="F43" i="13"/>
  <c r="W41" i="13"/>
  <c r="AE41" i="13" s="1"/>
  <c r="AK40" i="13"/>
  <c r="AC40" i="13"/>
  <c r="U40" i="13"/>
  <c r="G39" i="13"/>
  <c r="F39" i="13"/>
  <c r="W37" i="13"/>
  <c r="AE37" i="13" s="1"/>
  <c r="AK36" i="13"/>
  <c r="AC36" i="13"/>
  <c r="U36" i="13"/>
  <c r="G35" i="13"/>
  <c r="F35" i="13"/>
  <c r="W33" i="13"/>
  <c r="AE33" i="13" s="1"/>
  <c r="AK32" i="13"/>
  <c r="AC32" i="13"/>
  <c r="U32" i="13"/>
  <c r="G31" i="13"/>
  <c r="F31" i="13"/>
  <c r="W29" i="13"/>
  <c r="AE29" i="13" s="1"/>
  <c r="AK28" i="13"/>
  <c r="AC28" i="13"/>
  <c r="U28" i="13"/>
  <c r="G27" i="13"/>
  <c r="F27" i="13"/>
  <c r="W25" i="13"/>
  <c r="AE25" i="13" s="1"/>
  <c r="AK24" i="13"/>
  <c r="AC24" i="13"/>
  <c r="U24" i="13"/>
  <c r="G23" i="13"/>
  <c r="F23" i="13"/>
  <c r="W21" i="13"/>
  <c r="AE21" i="13" s="1"/>
  <c r="AK20" i="13"/>
  <c r="AC20" i="13"/>
  <c r="U20" i="13"/>
  <c r="G19" i="13"/>
  <c r="F19" i="13"/>
  <c r="W17" i="13"/>
  <c r="AE17" i="13" s="1"/>
  <c r="AK16" i="13"/>
  <c r="AC16" i="13"/>
  <c r="U16" i="13"/>
  <c r="R6" i="2" s="1"/>
  <c r="G15" i="13"/>
  <c r="F15" i="13"/>
  <c r="W13" i="13"/>
  <c r="AE13" i="13" s="1"/>
  <c r="AK12" i="13"/>
  <c r="AC12" i="13"/>
  <c r="U12" i="13"/>
  <c r="R5" i="2" s="1"/>
  <c r="G11" i="13"/>
  <c r="F11" i="13"/>
  <c r="AN52" i="12"/>
  <c r="F127" i="2" s="1"/>
  <c r="AE52" i="12"/>
  <c r="E127" i="2" s="1"/>
  <c r="U52" i="12"/>
  <c r="D127" i="2" s="1"/>
  <c r="G51" i="12"/>
  <c r="F51" i="12"/>
  <c r="Y49" i="12"/>
  <c r="AH49" i="12" s="1"/>
  <c r="AN48" i="12"/>
  <c r="F126" i="2" s="1"/>
  <c r="AE48" i="12"/>
  <c r="E126" i="2" s="1"/>
  <c r="U48" i="12"/>
  <c r="D126" i="2" s="1"/>
  <c r="G47" i="12"/>
  <c r="F47" i="12"/>
  <c r="Y45" i="12"/>
  <c r="AH45" i="12" s="1"/>
  <c r="AN44" i="12"/>
  <c r="F125" i="2" s="1"/>
  <c r="AE44" i="12"/>
  <c r="E125" i="2" s="1"/>
  <c r="U44" i="12"/>
  <c r="D125" i="2" s="1"/>
  <c r="G43" i="12"/>
  <c r="F43" i="12"/>
  <c r="Y41" i="12"/>
  <c r="AH41" i="12" s="1"/>
  <c r="AN40" i="12"/>
  <c r="F124" i="2" s="1"/>
  <c r="AE40" i="12"/>
  <c r="U40" i="12"/>
  <c r="D124" i="2" s="1"/>
  <c r="G39" i="12"/>
  <c r="F39" i="12"/>
  <c r="Y37" i="12"/>
  <c r="AH37" i="12" s="1"/>
  <c r="AN36" i="12"/>
  <c r="F123" i="2" s="1"/>
  <c r="AE36" i="12"/>
  <c r="E123" i="2" s="1"/>
  <c r="U36" i="12"/>
  <c r="D123" i="2" s="1"/>
  <c r="G35" i="12"/>
  <c r="F35" i="12"/>
  <c r="Y33" i="12"/>
  <c r="AH33" i="12" s="1"/>
  <c r="AN32" i="12"/>
  <c r="F122" i="2" s="1"/>
  <c r="AE32" i="12"/>
  <c r="U32" i="12"/>
  <c r="D122" i="2" s="1"/>
  <c r="G31" i="12"/>
  <c r="F31" i="12"/>
  <c r="Y29" i="12"/>
  <c r="AH29" i="12" s="1"/>
  <c r="AN28" i="12"/>
  <c r="F121" i="2" s="1"/>
  <c r="AE28" i="12"/>
  <c r="E121" i="2" s="1"/>
  <c r="U28" i="12"/>
  <c r="D121" i="2" s="1"/>
  <c r="G27" i="12"/>
  <c r="F27" i="12"/>
  <c r="Y25" i="12"/>
  <c r="AH25" i="12" s="1"/>
  <c r="AN24" i="12"/>
  <c r="F120" i="2" s="1"/>
  <c r="AE24" i="12"/>
  <c r="E120" i="2" s="1"/>
  <c r="U24" i="12"/>
  <c r="D120" i="2" s="1"/>
  <c r="G23" i="12"/>
  <c r="F23" i="12"/>
  <c r="Y21" i="12"/>
  <c r="AH21" i="12" s="1"/>
  <c r="AN20" i="12"/>
  <c r="F119" i="2" s="1"/>
  <c r="AE20" i="12"/>
  <c r="E119" i="2" s="1"/>
  <c r="U20" i="12"/>
  <c r="D119" i="2" s="1"/>
  <c r="G19" i="12"/>
  <c r="F19" i="12"/>
  <c r="Y17" i="12"/>
  <c r="AH17" i="12" s="1"/>
  <c r="AN16" i="12"/>
  <c r="F118" i="2" s="1"/>
  <c r="AE16" i="12"/>
  <c r="E118" i="2" s="1"/>
  <c r="U16" i="12"/>
  <c r="D118" i="2" s="1"/>
  <c r="G15" i="12"/>
  <c r="F15" i="12"/>
  <c r="Y13" i="12"/>
  <c r="AH13" i="12" s="1"/>
  <c r="AN12" i="12"/>
  <c r="F117" i="2" s="1"/>
  <c r="AE12" i="12"/>
  <c r="E117" i="2" s="1"/>
  <c r="U12" i="12"/>
  <c r="D117" i="2" s="1"/>
  <c r="G11" i="12"/>
  <c r="F11" i="12"/>
  <c r="AK52" i="11"/>
  <c r="F34" i="2" s="1"/>
  <c r="AC52" i="11"/>
  <c r="E34" i="2" s="1"/>
  <c r="U52" i="11"/>
  <c r="D34" i="2" s="1"/>
  <c r="G51" i="11"/>
  <c r="F51" i="11"/>
  <c r="W49" i="11"/>
  <c r="AE49" i="11" s="1"/>
  <c r="AK48" i="11"/>
  <c r="F33" i="2" s="1"/>
  <c r="AC48" i="11"/>
  <c r="E33" i="2" s="1"/>
  <c r="U48" i="11"/>
  <c r="D33" i="2" s="1"/>
  <c r="G47" i="11"/>
  <c r="F47" i="11"/>
  <c r="W45" i="11"/>
  <c r="AE45" i="11" s="1"/>
  <c r="AK44" i="11"/>
  <c r="F32" i="2" s="1"/>
  <c r="AC44" i="11"/>
  <c r="E32" i="2" s="1"/>
  <c r="U44" i="11"/>
  <c r="D32" i="2" s="1"/>
  <c r="G43" i="11"/>
  <c r="F43" i="11"/>
  <c r="W41" i="11"/>
  <c r="AE41" i="11" s="1"/>
  <c r="AK40" i="11"/>
  <c r="AC40" i="11"/>
  <c r="E31" i="2" s="1"/>
  <c r="U40" i="11"/>
  <c r="D31" i="2" s="1"/>
  <c r="G39" i="11"/>
  <c r="F39" i="11"/>
  <c r="W37" i="11"/>
  <c r="AE37" i="11" s="1"/>
  <c r="AK36" i="11"/>
  <c r="F30" i="2" s="1"/>
  <c r="AC36" i="11"/>
  <c r="E30" i="2" s="1"/>
  <c r="U36" i="11"/>
  <c r="D30" i="2" s="1"/>
  <c r="G35" i="11"/>
  <c r="F35" i="11"/>
  <c r="W33" i="11"/>
  <c r="AE33" i="11" s="1"/>
  <c r="AK32" i="11"/>
  <c r="F29" i="2" s="1"/>
  <c r="AC32" i="11"/>
  <c r="E29" i="2" s="1"/>
  <c r="U32" i="11"/>
  <c r="D29" i="2" s="1"/>
  <c r="G31" i="11"/>
  <c r="F31" i="11"/>
  <c r="W29" i="11"/>
  <c r="AE29" i="11" s="1"/>
  <c r="AK28" i="11"/>
  <c r="F28" i="2" s="1"/>
  <c r="AC28" i="11"/>
  <c r="E28" i="2" s="1"/>
  <c r="U28" i="11"/>
  <c r="D28" i="2" s="1"/>
  <c r="G27" i="11"/>
  <c r="F27" i="11"/>
  <c r="W25" i="11"/>
  <c r="AE25" i="11" s="1"/>
  <c r="AK24" i="11"/>
  <c r="F27" i="2" s="1"/>
  <c r="AC24" i="11"/>
  <c r="E27" i="2" s="1"/>
  <c r="U24" i="11"/>
  <c r="D27" i="2" s="1"/>
  <c r="G23" i="11"/>
  <c r="F23" i="11"/>
  <c r="W21" i="11"/>
  <c r="AE21" i="11" s="1"/>
  <c r="AK20" i="11"/>
  <c r="F26" i="2" s="1"/>
  <c r="AC20" i="11"/>
  <c r="E26" i="2" s="1"/>
  <c r="U20" i="11"/>
  <c r="D26" i="2" s="1"/>
  <c r="G19" i="11"/>
  <c r="F19" i="11"/>
  <c r="W17" i="11"/>
  <c r="AE17" i="11" s="1"/>
  <c r="AK16" i="11"/>
  <c r="F25" i="2" s="1"/>
  <c r="AC16" i="11"/>
  <c r="E25" i="2" s="1"/>
  <c r="U16" i="11"/>
  <c r="D25" i="2" s="1"/>
  <c r="G15" i="11"/>
  <c r="F15" i="11"/>
  <c r="W13" i="11"/>
  <c r="AE13" i="11" s="1"/>
  <c r="AK12" i="11"/>
  <c r="F24" i="2" s="1"/>
  <c r="AC12" i="11"/>
  <c r="E24" i="2" s="1"/>
  <c r="U12" i="11"/>
  <c r="D24" i="2" s="1"/>
  <c r="G11" i="11"/>
  <c r="F11" i="11"/>
  <c r="AN52" i="10"/>
  <c r="M127" i="2" s="1"/>
  <c r="AE52" i="10"/>
  <c r="L127" i="2" s="1"/>
  <c r="U52" i="10"/>
  <c r="K127" i="2" s="1"/>
  <c r="G51" i="10"/>
  <c r="F51" i="10"/>
  <c r="Y49" i="10"/>
  <c r="AH49" i="10" s="1"/>
  <c r="AN48" i="10"/>
  <c r="M126" i="2" s="1"/>
  <c r="AE48" i="10"/>
  <c r="L126" i="2" s="1"/>
  <c r="U48" i="10"/>
  <c r="K126" i="2" s="1"/>
  <c r="G47" i="10"/>
  <c r="F47" i="10"/>
  <c r="Y45" i="10"/>
  <c r="AH45" i="10" s="1"/>
  <c r="AN44" i="10"/>
  <c r="M125" i="2" s="1"/>
  <c r="AE44" i="10"/>
  <c r="L125" i="2" s="1"/>
  <c r="U44" i="10"/>
  <c r="K125" i="2" s="1"/>
  <c r="G43" i="10"/>
  <c r="F43" i="10"/>
  <c r="Y41" i="10"/>
  <c r="AH41" i="10" s="1"/>
  <c r="AN40" i="10"/>
  <c r="M124" i="2" s="1"/>
  <c r="AE40" i="10"/>
  <c r="L124" i="2" s="1"/>
  <c r="U40" i="10"/>
  <c r="K124" i="2" s="1"/>
  <c r="G39" i="10"/>
  <c r="F39" i="10"/>
  <c r="H39" i="10" s="1"/>
  <c r="I124" i="2" s="1"/>
  <c r="J124" i="2" s="1"/>
  <c r="Y37" i="10"/>
  <c r="AH37" i="10" s="1"/>
  <c r="AN36" i="10"/>
  <c r="M123" i="2" s="1"/>
  <c r="AE36" i="10"/>
  <c r="L123" i="2" s="1"/>
  <c r="U36" i="10"/>
  <c r="K123" i="2" s="1"/>
  <c r="G35" i="10"/>
  <c r="F35" i="10"/>
  <c r="Y33" i="10"/>
  <c r="AH33" i="10" s="1"/>
  <c r="AN32" i="10"/>
  <c r="M122" i="2" s="1"/>
  <c r="AE32" i="10"/>
  <c r="L122" i="2" s="1"/>
  <c r="U32" i="10"/>
  <c r="K122" i="2" s="1"/>
  <c r="G31" i="10"/>
  <c r="F31" i="10"/>
  <c r="Y29" i="10"/>
  <c r="AH29" i="10" s="1"/>
  <c r="AN28" i="10"/>
  <c r="M121" i="2" s="1"/>
  <c r="AE28" i="10"/>
  <c r="L121" i="2" s="1"/>
  <c r="U28" i="10"/>
  <c r="K121" i="2" s="1"/>
  <c r="G27" i="10"/>
  <c r="F27" i="10"/>
  <c r="Y25" i="10"/>
  <c r="AH25" i="10" s="1"/>
  <c r="AN24" i="10"/>
  <c r="M120" i="2" s="1"/>
  <c r="AE24" i="10"/>
  <c r="L120" i="2" s="1"/>
  <c r="U24" i="10"/>
  <c r="K120" i="2" s="1"/>
  <c r="G23" i="10"/>
  <c r="F23" i="10"/>
  <c r="H23" i="10" s="1"/>
  <c r="I120" i="2" s="1"/>
  <c r="J120" i="2" s="1"/>
  <c r="Y21" i="10"/>
  <c r="AH21" i="10" s="1"/>
  <c r="AN20" i="10"/>
  <c r="M119" i="2" s="1"/>
  <c r="AE20" i="10"/>
  <c r="L119" i="2" s="1"/>
  <c r="U20" i="10"/>
  <c r="K119" i="2" s="1"/>
  <c r="G19" i="10"/>
  <c r="F19" i="10"/>
  <c r="Y17" i="10"/>
  <c r="AH17" i="10" s="1"/>
  <c r="AN16" i="10"/>
  <c r="M118" i="2" s="1"/>
  <c r="AE16" i="10"/>
  <c r="U16" i="10"/>
  <c r="K118" i="2" s="1"/>
  <c r="G15" i="10"/>
  <c r="F15" i="10"/>
  <c r="Y13" i="10"/>
  <c r="AH13" i="10" s="1"/>
  <c r="AN12" i="10"/>
  <c r="M117" i="2" s="1"/>
  <c r="AE12" i="10"/>
  <c r="L117" i="2" s="1"/>
  <c r="U12" i="10"/>
  <c r="K117" i="2" s="1"/>
  <c r="G11" i="10"/>
  <c r="F11" i="10"/>
  <c r="AK52" i="9"/>
  <c r="AC52" i="9"/>
  <c r="U52" i="9"/>
  <c r="G51" i="9"/>
  <c r="F51" i="9"/>
  <c r="W49" i="9"/>
  <c r="AE49" i="9" s="1"/>
  <c r="AK48" i="9"/>
  <c r="AC48" i="9"/>
  <c r="U48" i="9"/>
  <c r="G47" i="9"/>
  <c r="F47" i="9"/>
  <c r="W45" i="9"/>
  <c r="AE45" i="9" s="1"/>
  <c r="AK44" i="9"/>
  <c r="AC44" i="9"/>
  <c r="U44" i="9"/>
  <c r="G43" i="9"/>
  <c r="F43" i="9"/>
  <c r="W41" i="9"/>
  <c r="AE41" i="9" s="1"/>
  <c r="AK40" i="9"/>
  <c r="AC40" i="9"/>
  <c r="U40" i="9"/>
  <c r="G39" i="9"/>
  <c r="F39" i="9"/>
  <c r="W37" i="9"/>
  <c r="AE37" i="9" s="1"/>
  <c r="AK36" i="9"/>
  <c r="AC36" i="9"/>
  <c r="U36" i="9"/>
  <c r="G35" i="9"/>
  <c r="F35" i="9"/>
  <c r="W33" i="9"/>
  <c r="AE33" i="9" s="1"/>
  <c r="AK32" i="9"/>
  <c r="AC32" i="9"/>
  <c r="U32" i="9"/>
  <c r="G31" i="9"/>
  <c r="F31" i="9"/>
  <c r="W29" i="9"/>
  <c r="AE29" i="9" s="1"/>
  <c r="AK28" i="9"/>
  <c r="AC28" i="9"/>
  <c r="U28" i="9"/>
  <c r="G27" i="9"/>
  <c r="F27" i="9"/>
  <c r="W25" i="9"/>
  <c r="AE25" i="9" s="1"/>
  <c r="AK24" i="9"/>
  <c r="AC24" i="9"/>
  <c r="U24" i="9"/>
  <c r="G23" i="9"/>
  <c r="F23" i="9"/>
  <c r="W21" i="9"/>
  <c r="AE21" i="9" s="1"/>
  <c r="AK20" i="9"/>
  <c r="AC20" i="9"/>
  <c r="U20" i="9"/>
  <c r="G19" i="9"/>
  <c r="F19" i="9"/>
  <c r="W17" i="9"/>
  <c r="AE17" i="9" s="1"/>
  <c r="AK16" i="9"/>
  <c r="AC16" i="9"/>
  <c r="U16" i="9"/>
  <c r="Y6" i="2" s="1"/>
  <c r="G15" i="9"/>
  <c r="F15" i="9"/>
  <c r="W13" i="9"/>
  <c r="AE13" i="9" s="1"/>
  <c r="AK12" i="9"/>
  <c r="AC12" i="9"/>
  <c r="U12" i="9"/>
  <c r="Y5" i="2" s="1"/>
  <c r="G11" i="9"/>
  <c r="F11" i="9"/>
  <c r="AN52" i="8"/>
  <c r="T127" i="2" s="1"/>
  <c r="AE52" i="8"/>
  <c r="S127" i="2" s="1"/>
  <c r="U52" i="8"/>
  <c r="R127" i="2" s="1"/>
  <c r="G51" i="8"/>
  <c r="F51" i="8"/>
  <c r="Y49" i="8"/>
  <c r="AH49" i="8" s="1"/>
  <c r="AN48" i="8"/>
  <c r="T126" i="2" s="1"/>
  <c r="AE48" i="8"/>
  <c r="S126" i="2" s="1"/>
  <c r="U48" i="8"/>
  <c r="R126" i="2" s="1"/>
  <c r="G47" i="8"/>
  <c r="F47" i="8"/>
  <c r="Y45" i="8"/>
  <c r="AH45" i="8" s="1"/>
  <c r="AN44" i="8"/>
  <c r="T125" i="2" s="1"/>
  <c r="AE44" i="8"/>
  <c r="S125" i="2" s="1"/>
  <c r="U44" i="8"/>
  <c r="R125" i="2" s="1"/>
  <c r="G43" i="8"/>
  <c r="F43" i="8"/>
  <c r="Y41" i="8"/>
  <c r="AH41" i="8" s="1"/>
  <c r="AN40" i="8"/>
  <c r="T124" i="2" s="1"/>
  <c r="AE40" i="8"/>
  <c r="S124" i="2" s="1"/>
  <c r="U40" i="8"/>
  <c r="R124" i="2" s="1"/>
  <c r="G39" i="8"/>
  <c r="F39" i="8"/>
  <c r="Y37" i="8"/>
  <c r="AH37" i="8" s="1"/>
  <c r="AN36" i="8"/>
  <c r="T123" i="2" s="1"/>
  <c r="AE36" i="8"/>
  <c r="S123" i="2" s="1"/>
  <c r="U36" i="8"/>
  <c r="R123" i="2" s="1"/>
  <c r="G35" i="8"/>
  <c r="F35" i="8"/>
  <c r="Y33" i="8"/>
  <c r="AH33" i="8" s="1"/>
  <c r="AN32" i="8"/>
  <c r="T122" i="2" s="1"/>
  <c r="AE32" i="8"/>
  <c r="S122" i="2" s="1"/>
  <c r="U32" i="8"/>
  <c r="R122" i="2" s="1"/>
  <c r="G31" i="8"/>
  <c r="F31" i="8"/>
  <c r="Y29" i="8"/>
  <c r="AH29" i="8" s="1"/>
  <c r="AN28" i="8"/>
  <c r="T121" i="2" s="1"/>
  <c r="AE28" i="8"/>
  <c r="S121" i="2" s="1"/>
  <c r="U28" i="8"/>
  <c r="R121" i="2" s="1"/>
  <c r="G27" i="8"/>
  <c r="F27" i="8"/>
  <c r="Y25" i="8"/>
  <c r="AH25" i="8" s="1"/>
  <c r="AN24" i="8"/>
  <c r="T120" i="2" s="1"/>
  <c r="AE24" i="8"/>
  <c r="S120" i="2" s="1"/>
  <c r="U24" i="8"/>
  <c r="R120" i="2" s="1"/>
  <c r="G23" i="8"/>
  <c r="F23" i="8"/>
  <c r="Y21" i="8"/>
  <c r="AH21" i="8" s="1"/>
  <c r="AN20" i="8"/>
  <c r="T119" i="2" s="1"/>
  <c r="AE20" i="8"/>
  <c r="S119" i="2" s="1"/>
  <c r="U20" i="8"/>
  <c r="R119" i="2" s="1"/>
  <c r="G19" i="8"/>
  <c r="F19" i="8"/>
  <c r="Y17" i="8"/>
  <c r="AH17" i="8" s="1"/>
  <c r="AN16" i="8"/>
  <c r="T118" i="2" s="1"/>
  <c r="AE16" i="8"/>
  <c r="S118" i="2" s="1"/>
  <c r="U16" i="8"/>
  <c r="R118" i="2" s="1"/>
  <c r="G15" i="8"/>
  <c r="F15" i="8"/>
  <c r="Y13" i="8"/>
  <c r="AH13" i="8" s="1"/>
  <c r="AN12" i="8"/>
  <c r="T117" i="2" s="1"/>
  <c r="AE12" i="8"/>
  <c r="S117" i="2" s="1"/>
  <c r="U12" i="8"/>
  <c r="R117" i="2" s="1"/>
  <c r="G11" i="8"/>
  <c r="F11" i="8"/>
  <c r="AN52" i="7"/>
  <c r="F145" i="2" s="1"/>
  <c r="AE52" i="7"/>
  <c r="E145" i="2" s="1"/>
  <c r="U52" i="7"/>
  <c r="D145" i="2" s="1"/>
  <c r="G51" i="7"/>
  <c r="F51" i="7"/>
  <c r="Y49" i="7"/>
  <c r="AH49" i="7" s="1"/>
  <c r="AN48" i="7"/>
  <c r="F144" i="2" s="1"/>
  <c r="AE48" i="7"/>
  <c r="E144" i="2" s="1"/>
  <c r="U48" i="7"/>
  <c r="D144" i="2" s="1"/>
  <c r="G47" i="7"/>
  <c r="F47" i="7"/>
  <c r="Y45" i="7"/>
  <c r="AH45" i="7" s="1"/>
  <c r="AN44" i="7"/>
  <c r="F143" i="2" s="1"/>
  <c r="AE44" i="7"/>
  <c r="E143" i="2" s="1"/>
  <c r="U44" i="7"/>
  <c r="D143" i="2" s="1"/>
  <c r="G43" i="7"/>
  <c r="F43" i="7"/>
  <c r="Y41" i="7"/>
  <c r="AH41" i="7" s="1"/>
  <c r="AN40" i="7"/>
  <c r="F142" i="2" s="1"/>
  <c r="AE40" i="7"/>
  <c r="E142" i="2" s="1"/>
  <c r="U40" i="7"/>
  <c r="D142" i="2" s="1"/>
  <c r="G39" i="7"/>
  <c r="F39" i="7"/>
  <c r="Y37" i="7"/>
  <c r="AH37" i="7" s="1"/>
  <c r="AN36" i="7"/>
  <c r="F141" i="2" s="1"/>
  <c r="AE36" i="7"/>
  <c r="E141" i="2" s="1"/>
  <c r="U36" i="7"/>
  <c r="D141" i="2" s="1"/>
  <c r="G35" i="7"/>
  <c r="F35" i="7"/>
  <c r="Y33" i="7"/>
  <c r="AH33" i="7" s="1"/>
  <c r="AN32" i="7"/>
  <c r="F140" i="2" s="1"/>
  <c r="AE32" i="7"/>
  <c r="E140" i="2" s="1"/>
  <c r="U32" i="7"/>
  <c r="D140" i="2" s="1"/>
  <c r="G31" i="7"/>
  <c r="F31" i="7"/>
  <c r="Y29" i="7"/>
  <c r="AH29" i="7" s="1"/>
  <c r="AN28" i="7"/>
  <c r="F139" i="2" s="1"/>
  <c r="AE28" i="7"/>
  <c r="E139" i="2" s="1"/>
  <c r="U28" i="7"/>
  <c r="D139" i="2" s="1"/>
  <c r="G27" i="7"/>
  <c r="F27" i="7"/>
  <c r="Y25" i="7"/>
  <c r="AH25" i="7" s="1"/>
  <c r="AN24" i="7"/>
  <c r="F138" i="2" s="1"/>
  <c r="AE24" i="7"/>
  <c r="E138" i="2" s="1"/>
  <c r="U24" i="7"/>
  <c r="D138" i="2" s="1"/>
  <c r="G23" i="7"/>
  <c r="F23" i="7"/>
  <c r="Y21" i="7"/>
  <c r="AH21" i="7" s="1"/>
  <c r="AN20" i="7"/>
  <c r="F137" i="2" s="1"/>
  <c r="AE20" i="7"/>
  <c r="E137" i="2" s="1"/>
  <c r="U20" i="7"/>
  <c r="D137" i="2" s="1"/>
  <c r="G19" i="7"/>
  <c r="F19" i="7"/>
  <c r="Y17" i="7"/>
  <c r="AH17" i="7" s="1"/>
  <c r="AN16" i="7"/>
  <c r="F136" i="2" s="1"/>
  <c r="AE16" i="7"/>
  <c r="E136" i="2" s="1"/>
  <c r="U16" i="7"/>
  <c r="D136" i="2" s="1"/>
  <c r="G15" i="7"/>
  <c r="F15" i="7"/>
  <c r="Y13" i="7"/>
  <c r="AH13" i="7" s="1"/>
  <c r="AN12" i="7"/>
  <c r="F135" i="2" s="1"/>
  <c r="AE12" i="7"/>
  <c r="E135" i="2" s="1"/>
  <c r="U12" i="7"/>
  <c r="D135" i="2" s="1"/>
  <c r="G11" i="7"/>
  <c r="F11" i="7"/>
  <c r="AN52" i="6"/>
  <c r="AA127" i="2" s="1"/>
  <c r="AE52" i="6"/>
  <c r="Z127" i="2" s="1"/>
  <c r="U52" i="6"/>
  <c r="Y127" i="2" s="1"/>
  <c r="G51" i="6"/>
  <c r="F51" i="6"/>
  <c r="Y49" i="6"/>
  <c r="AH49" i="6" s="1"/>
  <c r="AN48" i="6"/>
  <c r="AA126" i="2" s="1"/>
  <c r="AE48" i="6"/>
  <c r="Z126" i="2" s="1"/>
  <c r="U48" i="6"/>
  <c r="Y126" i="2" s="1"/>
  <c r="G47" i="6"/>
  <c r="F47" i="6"/>
  <c r="Y45" i="6"/>
  <c r="AH45" i="6" s="1"/>
  <c r="AN44" i="6"/>
  <c r="AA125" i="2" s="1"/>
  <c r="AE44" i="6"/>
  <c r="Z125" i="2" s="1"/>
  <c r="U44" i="6"/>
  <c r="Y125" i="2" s="1"/>
  <c r="G43" i="6"/>
  <c r="F43" i="6"/>
  <c r="Y41" i="6"/>
  <c r="AH41" i="6" s="1"/>
  <c r="AN40" i="6"/>
  <c r="AA124" i="2" s="1"/>
  <c r="AE40" i="6"/>
  <c r="Z124" i="2" s="1"/>
  <c r="U40" i="6"/>
  <c r="Y124" i="2" s="1"/>
  <c r="G39" i="6"/>
  <c r="F39" i="6"/>
  <c r="Y37" i="6"/>
  <c r="AH37" i="6" s="1"/>
  <c r="AN36" i="6"/>
  <c r="AA123" i="2" s="1"/>
  <c r="AE36" i="6"/>
  <c r="Z123" i="2" s="1"/>
  <c r="U36" i="6"/>
  <c r="Y123" i="2" s="1"/>
  <c r="G35" i="6"/>
  <c r="F35" i="6"/>
  <c r="Y33" i="6"/>
  <c r="AH33" i="6" s="1"/>
  <c r="AN32" i="6"/>
  <c r="AA122" i="2" s="1"/>
  <c r="AE32" i="6"/>
  <c r="Z122" i="2" s="1"/>
  <c r="U32" i="6"/>
  <c r="Y122" i="2" s="1"/>
  <c r="G31" i="6"/>
  <c r="F31" i="6"/>
  <c r="Y29" i="6"/>
  <c r="AH29" i="6" s="1"/>
  <c r="AN28" i="6"/>
  <c r="AA121" i="2" s="1"/>
  <c r="AE28" i="6"/>
  <c r="Z121" i="2" s="1"/>
  <c r="U28" i="6"/>
  <c r="Y121" i="2" s="1"/>
  <c r="G27" i="6"/>
  <c r="F27" i="6"/>
  <c r="Y25" i="6"/>
  <c r="AH25" i="6" s="1"/>
  <c r="AN24" i="6"/>
  <c r="AA120" i="2" s="1"/>
  <c r="AE24" i="6"/>
  <c r="Z120" i="2" s="1"/>
  <c r="U24" i="6"/>
  <c r="Y120" i="2" s="1"/>
  <c r="G23" i="6"/>
  <c r="F23" i="6"/>
  <c r="Y21" i="6"/>
  <c r="AH21" i="6" s="1"/>
  <c r="AN20" i="6"/>
  <c r="AA119" i="2" s="1"/>
  <c r="AE20" i="6"/>
  <c r="Z119" i="2" s="1"/>
  <c r="U20" i="6"/>
  <c r="Y119" i="2" s="1"/>
  <c r="G19" i="6"/>
  <c r="F19" i="6"/>
  <c r="Y17" i="6"/>
  <c r="AH17" i="6" s="1"/>
  <c r="AN16" i="6"/>
  <c r="AA118" i="2" s="1"/>
  <c r="AE16" i="6"/>
  <c r="U16" i="6"/>
  <c r="Y118" i="2" s="1"/>
  <c r="G15" i="6"/>
  <c r="F15" i="6"/>
  <c r="Y13" i="6"/>
  <c r="AH13" i="6" s="1"/>
  <c r="AN12" i="6"/>
  <c r="AA117" i="2" s="1"/>
  <c r="AE12" i="6"/>
  <c r="Z117" i="2" s="1"/>
  <c r="U12" i="6"/>
  <c r="Y117" i="2" s="1"/>
  <c r="G11" i="6"/>
  <c r="F11" i="6"/>
  <c r="AN52" i="5"/>
  <c r="M145" i="2" s="1"/>
  <c r="AE52" i="5"/>
  <c r="L145" i="2" s="1"/>
  <c r="U52" i="5"/>
  <c r="K145" i="2" s="1"/>
  <c r="G51" i="5"/>
  <c r="F51" i="5"/>
  <c r="H51" i="5" s="1"/>
  <c r="I145" i="2" s="1"/>
  <c r="J145" i="2" s="1"/>
  <c r="Y49" i="5"/>
  <c r="AH49" i="5" s="1"/>
  <c r="AN48" i="5"/>
  <c r="M144" i="2" s="1"/>
  <c r="AE48" i="5"/>
  <c r="L144" i="2" s="1"/>
  <c r="U48" i="5"/>
  <c r="K144" i="2" s="1"/>
  <c r="G47" i="5"/>
  <c r="F47" i="5"/>
  <c r="Y45" i="5"/>
  <c r="AH45" i="5" s="1"/>
  <c r="AN44" i="5"/>
  <c r="M143" i="2" s="1"/>
  <c r="AE44" i="5"/>
  <c r="L143" i="2" s="1"/>
  <c r="U44" i="5"/>
  <c r="K143" i="2" s="1"/>
  <c r="G43" i="5"/>
  <c r="F43" i="5"/>
  <c r="Y41" i="5"/>
  <c r="AH41" i="5" s="1"/>
  <c r="AN40" i="5"/>
  <c r="M142" i="2" s="1"/>
  <c r="AE40" i="5"/>
  <c r="L142" i="2" s="1"/>
  <c r="U40" i="5"/>
  <c r="K142" i="2" s="1"/>
  <c r="G39" i="5"/>
  <c r="F39" i="5"/>
  <c r="Y37" i="5"/>
  <c r="AH37" i="5" s="1"/>
  <c r="AN36" i="5"/>
  <c r="M141" i="2" s="1"/>
  <c r="AE36" i="5"/>
  <c r="L141" i="2" s="1"/>
  <c r="U36" i="5"/>
  <c r="K141" i="2" s="1"/>
  <c r="G35" i="5"/>
  <c r="F35" i="5"/>
  <c r="Y33" i="5"/>
  <c r="AH33" i="5" s="1"/>
  <c r="AN32" i="5"/>
  <c r="M140" i="2" s="1"/>
  <c r="AE32" i="5"/>
  <c r="L140" i="2" s="1"/>
  <c r="U32" i="5"/>
  <c r="K140" i="2" s="1"/>
  <c r="G31" i="5"/>
  <c r="F31" i="5"/>
  <c r="Y29" i="5"/>
  <c r="AH29" i="5" s="1"/>
  <c r="AN28" i="5"/>
  <c r="M139" i="2" s="1"/>
  <c r="AE28" i="5"/>
  <c r="L139" i="2" s="1"/>
  <c r="U28" i="5"/>
  <c r="K139" i="2" s="1"/>
  <c r="G27" i="5"/>
  <c r="F27" i="5"/>
  <c r="Y25" i="5"/>
  <c r="AH25" i="5" s="1"/>
  <c r="AN24" i="5"/>
  <c r="M138" i="2" s="1"/>
  <c r="AE24" i="5"/>
  <c r="L138" i="2" s="1"/>
  <c r="U24" i="5"/>
  <c r="K138" i="2" s="1"/>
  <c r="G23" i="5"/>
  <c r="F23" i="5"/>
  <c r="Y21" i="5"/>
  <c r="AH21" i="5" s="1"/>
  <c r="AN20" i="5"/>
  <c r="M137" i="2" s="1"/>
  <c r="AE20" i="5"/>
  <c r="L137" i="2" s="1"/>
  <c r="U20" i="5"/>
  <c r="K137" i="2" s="1"/>
  <c r="G19" i="5"/>
  <c r="F19" i="5"/>
  <c r="H19" i="5" s="1"/>
  <c r="I137" i="2" s="1"/>
  <c r="J137" i="2" s="1"/>
  <c r="Y17" i="5"/>
  <c r="AH17" i="5" s="1"/>
  <c r="AN16" i="5"/>
  <c r="M136" i="2" s="1"/>
  <c r="AE16" i="5"/>
  <c r="L136" i="2" s="1"/>
  <c r="U16" i="5"/>
  <c r="K136" i="2" s="1"/>
  <c r="G15" i="5"/>
  <c r="F15" i="5"/>
  <c r="Y13" i="5"/>
  <c r="AH13" i="5" s="1"/>
  <c r="AN12" i="5"/>
  <c r="M135" i="2" s="1"/>
  <c r="AE12" i="5"/>
  <c r="L135" i="2" s="1"/>
  <c r="U12" i="5"/>
  <c r="K135" i="2" s="1"/>
  <c r="G11" i="5"/>
  <c r="F11" i="5"/>
  <c r="AK52" i="4"/>
  <c r="AC52" i="4"/>
  <c r="U52" i="4"/>
  <c r="K15" i="2" s="1"/>
  <c r="G51" i="4"/>
  <c r="F51" i="4"/>
  <c r="W49" i="4"/>
  <c r="AE49" i="4" s="1"/>
  <c r="AK48" i="4"/>
  <c r="M14" i="2" s="1"/>
  <c r="AC48" i="4"/>
  <c r="L14" i="2" s="1"/>
  <c r="U48" i="4"/>
  <c r="K14" i="2" s="1"/>
  <c r="G47" i="4"/>
  <c r="F47" i="4"/>
  <c r="W45" i="4"/>
  <c r="AE45" i="4" s="1"/>
  <c r="AK44" i="4"/>
  <c r="M13" i="2" s="1"/>
  <c r="AC44" i="4"/>
  <c r="L13" i="2" s="1"/>
  <c r="U44" i="4"/>
  <c r="K13" i="2" s="1"/>
  <c r="G43" i="4"/>
  <c r="F43" i="4"/>
  <c r="W41" i="4"/>
  <c r="AE41" i="4" s="1"/>
  <c r="AK40" i="4"/>
  <c r="M12" i="2" s="1"/>
  <c r="AC40" i="4"/>
  <c r="L12" i="2" s="1"/>
  <c r="U40" i="4"/>
  <c r="K12" i="2" s="1"/>
  <c r="G39" i="4"/>
  <c r="F39" i="4"/>
  <c r="W37" i="4"/>
  <c r="AE37" i="4" s="1"/>
  <c r="AK36" i="4"/>
  <c r="M11" i="2" s="1"/>
  <c r="AC36" i="4"/>
  <c r="L11" i="2" s="1"/>
  <c r="U36" i="4"/>
  <c r="K11" i="2" s="1"/>
  <c r="G35" i="4"/>
  <c r="F35" i="4"/>
  <c r="W33" i="4"/>
  <c r="AE33" i="4" s="1"/>
  <c r="AK32" i="4"/>
  <c r="M10" i="2" s="1"/>
  <c r="AC32" i="4"/>
  <c r="L10" i="2" s="1"/>
  <c r="U32" i="4"/>
  <c r="K10" i="2" s="1"/>
  <c r="G31" i="4"/>
  <c r="F31" i="4"/>
  <c r="W29" i="4"/>
  <c r="AE29" i="4" s="1"/>
  <c r="AK28" i="4"/>
  <c r="AC28" i="4"/>
  <c r="L9" i="2" s="1"/>
  <c r="U28" i="4"/>
  <c r="K9" i="2" s="1"/>
  <c r="G27" i="4"/>
  <c r="F27" i="4"/>
  <c r="W25" i="4"/>
  <c r="AE25" i="4" s="1"/>
  <c r="AK24" i="4"/>
  <c r="M8" i="2" s="1"/>
  <c r="AC24" i="4"/>
  <c r="L8" i="2" s="1"/>
  <c r="U24" i="4"/>
  <c r="K8" i="2" s="1"/>
  <c r="G23" i="4"/>
  <c r="F23" i="4"/>
  <c r="W21" i="4"/>
  <c r="AE21" i="4" s="1"/>
  <c r="AK20" i="4"/>
  <c r="M7" i="2" s="1"/>
  <c r="AC20" i="4"/>
  <c r="L7" i="2" s="1"/>
  <c r="U20" i="4"/>
  <c r="K7" i="2" s="1"/>
  <c r="G19" i="4"/>
  <c r="F19" i="4"/>
  <c r="W17" i="4"/>
  <c r="AE17" i="4" s="1"/>
  <c r="AK16" i="4"/>
  <c r="M6" i="2" s="1"/>
  <c r="AC16" i="4"/>
  <c r="L6" i="2" s="1"/>
  <c r="U16" i="4"/>
  <c r="K6" i="2" s="1"/>
  <c r="G15" i="4"/>
  <c r="F15" i="4"/>
  <c r="W13" i="4"/>
  <c r="AE13" i="4" s="1"/>
  <c r="AK12" i="4"/>
  <c r="M5" i="2" s="1"/>
  <c r="AC12" i="4"/>
  <c r="L5" i="2" s="1"/>
  <c r="U12" i="4"/>
  <c r="K5" i="2" s="1"/>
  <c r="G11" i="4"/>
  <c r="F11" i="4"/>
  <c r="AK52" i="1"/>
  <c r="F15" i="2" s="1"/>
  <c r="AK48" i="1"/>
  <c r="F14" i="2" s="1"/>
  <c r="AK44" i="1"/>
  <c r="F13" i="2" s="1"/>
  <c r="AK40" i="1"/>
  <c r="F12" i="2" s="1"/>
  <c r="AK36" i="1"/>
  <c r="F11" i="2" s="1"/>
  <c r="AK32" i="1"/>
  <c r="F10" i="2" s="1"/>
  <c r="AK28" i="1"/>
  <c r="M9" i="2" s="1"/>
  <c r="AK24" i="1"/>
  <c r="F8" i="2" s="1"/>
  <c r="AK20" i="1"/>
  <c r="F7" i="2" s="1"/>
  <c r="AK16" i="1"/>
  <c r="F6" i="2" s="1"/>
  <c r="AK12" i="1"/>
  <c r="F5" i="2" s="1"/>
  <c r="W13" i="1"/>
  <c r="AE13" i="1" s="1"/>
  <c r="W17" i="1"/>
  <c r="AE17" i="1" s="1"/>
  <c r="W21" i="1"/>
  <c r="AE21" i="1" s="1"/>
  <c r="W25" i="1"/>
  <c r="AE25" i="1" s="1"/>
  <c r="W29" i="1"/>
  <c r="AE29" i="1" s="1"/>
  <c r="W33" i="1"/>
  <c r="AE33" i="1" s="1"/>
  <c r="W37" i="1"/>
  <c r="AE37" i="1" s="1"/>
  <c r="W41" i="1"/>
  <c r="AE41" i="1" s="1"/>
  <c r="W45" i="1"/>
  <c r="AE45" i="1" s="1"/>
  <c r="W49" i="1"/>
  <c r="AE49" i="1" s="1"/>
  <c r="AC52" i="1"/>
  <c r="E15" i="2" s="1"/>
  <c r="AC48" i="1"/>
  <c r="E14" i="2" s="1"/>
  <c r="AC44" i="1"/>
  <c r="E13" i="2" s="1"/>
  <c r="AC40" i="1"/>
  <c r="E12" i="2" s="1"/>
  <c r="AC36" i="1"/>
  <c r="E11" i="2" s="1"/>
  <c r="AC32" i="1"/>
  <c r="E10" i="2" s="1"/>
  <c r="AC28" i="1"/>
  <c r="E9" i="2" s="1"/>
  <c r="AC24" i="1"/>
  <c r="E8" i="2" s="1"/>
  <c r="AC20" i="1"/>
  <c r="E7" i="2" s="1"/>
  <c r="AC16" i="1"/>
  <c r="E6" i="2" s="1"/>
  <c r="AC12" i="1"/>
  <c r="E5" i="2" s="1"/>
  <c r="U48" i="1"/>
  <c r="D14" i="2" s="1"/>
  <c r="D13" i="2"/>
  <c r="U40" i="1"/>
  <c r="D12" i="2" s="1"/>
  <c r="U36" i="1"/>
  <c r="D11" i="2" s="1"/>
  <c r="U32" i="1"/>
  <c r="D10" i="2" s="1"/>
  <c r="U28" i="1"/>
  <c r="D9" i="2" s="1"/>
  <c r="U24" i="1"/>
  <c r="D8" i="2" s="1"/>
  <c r="U20" i="1"/>
  <c r="D7" i="2" s="1"/>
  <c r="U16" i="1"/>
  <c r="D6" i="2" s="1"/>
  <c r="U12" i="1"/>
  <c r="D5" i="2" s="1"/>
  <c r="U52" i="1"/>
  <c r="D15" i="2" s="1"/>
  <c r="H76" i="31" l="1"/>
  <c r="H64" i="31"/>
  <c r="H72" i="31"/>
  <c r="H71" i="11"/>
  <c r="H63" i="9"/>
  <c r="H83" i="9"/>
  <c r="H55" i="9"/>
  <c r="H75" i="9"/>
  <c r="H71" i="9"/>
  <c r="H68" i="31"/>
  <c r="H67" i="32"/>
  <c r="H67" i="11"/>
  <c r="H67" i="9"/>
  <c r="H67" i="1"/>
  <c r="H63" i="32"/>
  <c r="H67" i="13"/>
  <c r="H63" i="1"/>
  <c r="H63" i="4"/>
  <c r="H59" i="1"/>
  <c r="H60" i="31"/>
  <c r="H59" i="32"/>
  <c r="H59" i="9"/>
  <c r="H63" i="13"/>
  <c r="H55" i="32"/>
  <c r="H55" i="4"/>
  <c r="H47" i="18"/>
  <c r="W90" i="2" s="1"/>
  <c r="X90" i="2" s="1"/>
  <c r="H11" i="25"/>
  <c r="B62" i="2" s="1"/>
  <c r="C62" i="2" s="1"/>
  <c r="H27" i="25"/>
  <c r="B66" i="2" s="1"/>
  <c r="C66" i="2" s="1"/>
  <c r="H43" i="25"/>
  <c r="B70" i="2" s="1"/>
  <c r="C70" i="2" s="1"/>
  <c r="H51" i="13"/>
  <c r="H55" i="13"/>
  <c r="E6" i="3"/>
  <c r="H35" i="7"/>
  <c r="B141" i="2" s="1"/>
  <c r="C141" i="2" s="1"/>
  <c r="H19" i="15"/>
  <c r="P100" i="2" s="1"/>
  <c r="Q100" i="2" s="1"/>
  <c r="H27" i="19"/>
  <c r="P85" i="2" s="1"/>
  <c r="Q85" i="2" s="1"/>
  <c r="H51" i="23"/>
  <c r="P72" i="2" s="1"/>
  <c r="Q72" i="2" s="1"/>
  <c r="H23" i="25"/>
  <c r="B65" i="2" s="1"/>
  <c r="C65" i="2" s="1"/>
  <c r="H39" i="25"/>
  <c r="B69" i="2" s="1"/>
  <c r="C69" i="2" s="1"/>
  <c r="H11" i="28"/>
  <c r="I43" i="2" s="1"/>
  <c r="J43" i="2" s="1"/>
  <c r="H27" i="28"/>
  <c r="I47" i="2" s="1"/>
  <c r="J47" i="2" s="1"/>
  <c r="H35" i="30"/>
  <c r="W29" i="2" s="1"/>
  <c r="X29" i="2" s="1"/>
  <c r="F74" i="2"/>
  <c r="H23" i="4"/>
  <c r="I8" i="2" s="1"/>
  <c r="J8" i="2" s="1"/>
  <c r="H19" i="10"/>
  <c r="I119" i="2" s="1"/>
  <c r="J119" i="2" s="1"/>
  <c r="H35" i="10"/>
  <c r="I123" i="2" s="1"/>
  <c r="J123" i="2" s="1"/>
  <c r="H51" i="10"/>
  <c r="I127" i="2" s="1"/>
  <c r="J127" i="2" s="1"/>
  <c r="H11" i="14"/>
  <c r="W99" i="2" s="1"/>
  <c r="X99" i="2" s="1"/>
  <c r="H27" i="14"/>
  <c r="W103" i="2" s="1"/>
  <c r="X103" i="2" s="1"/>
  <c r="H43" i="14"/>
  <c r="W107" i="2" s="1"/>
  <c r="X107" i="2" s="1"/>
  <c r="H23" i="28"/>
  <c r="I46" i="2" s="1"/>
  <c r="J46" i="2" s="1"/>
  <c r="H39" i="28"/>
  <c r="I50" i="2" s="1"/>
  <c r="J50" i="2" s="1"/>
  <c r="H47" i="30"/>
  <c r="W32" i="2" s="1"/>
  <c r="X32" i="2" s="1"/>
  <c r="H11" i="7"/>
  <c r="B135" i="2" s="1"/>
  <c r="C135" i="2" s="1"/>
  <c r="H43" i="7"/>
  <c r="B143" i="2" s="1"/>
  <c r="C143" i="2" s="1"/>
  <c r="H47" i="32"/>
  <c r="I33" i="2" s="1"/>
  <c r="J33" i="2" s="1"/>
  <c r="H27" i="5"/>
  <c r="I139" i="2" s="1"/>
  <c r="J139" i="2" s="1"/>
  <c r="H35" i="5"/>
  <c r="I141" i="2" s="1"/>
  <c r="J141" i="2" s="1"/>
  <c r="H43" i="5"/>
  <c r="I143" i="2" s="1"/>
  <c r="J143" i="2" s="1"/>
  <c r="H27" i="7"/>
  <c r="B139" i="2" s="1"/>
  <c r="C139" i="2" s="1"/>
  <c r="H51" i="7"/>
  <c r="B145" i="2" s="1"/>
  <c r="C145" i="2" s="1"/>
  <c r="H19" i="9"/>
  <c r="W7" i="2" s="1"/>
  <c r="X7" i="2" s="1"/>
  <c r="H23" i="9"/>
  <c r="W8" i="2" s="1"/>
  <c r="X8" i="2" s="1"/>
  <c r="H27" i="9"/>
  <c r="W9" i="2" s="1"/>
  <c r="X9" i="2" s="1"/>
  <c r="H51" i="9"/>
  <c r="W15" i="2" s="1"/>
  <c r="X15" i="2" s="1"/>
  <c r="H15" i="10"/>
  <c r="I118" i="2" s="1"/>
  <c r="J118" i="2" s="1"/>
  <c r="H31" i="10"/>
  <c r="I122" i="2" s="1"/>
  <c r="J122" i="2" s="1"/>
  <c r="H47" i="10"/>
  <c r="I126" i="2" s="1"/>
  <c r="J126" i="2" s="1"/>
  <c r="H31" i="11"/>
  <c r="B29" i="2" s="1"/>
  <c r="C29" i="2" s="1"/>
  <c r="H43" i="11"/>
  <c r="B32" i="2" s="1"/>
  <c r="C32" i="2" s="1"/>
  <c r="H47" i="11"/>
  <c r="B33" i="2" s="1"/>
  <c r="C33" i="2" s="1"/>
  <c r="H51" i="11"/>
  <c r="B34" i="2" s="1"/>
  <c r="C34" i="2" s="1"/>
  <c r="H15" i="13"/>
  <c r="P6" i="2" s="1"/>
  <c r="Q6" i="2" s="1"/>
  <c r="H19" i="13"/>
  <c r="P7" i="2" s="1"/>
  <c r="Q7" i="2" s="1"/>
  <c r="H23" i="13"/>
  <c r="P8" i="2" s="1"/>
  <c r="Q8" i="2" s="1"/>
  <c r="H31" i="13"/>
  <c r="P10" i="2" s="1"/>
  <c r="Q10" i="2" s="1"/>
  <c r="H35" i="13"/>
  <c r="P12" i="2" s="1"/>
  <c r="Q12" i="2" s="1"/>
  <c r="H39" i="13"/>
  <c r="P13" i="2" s="1"/>
  <c r="Q13" i="2" s="1"/>
  <c r="H47" i="13"/>
  <c r="P15" i="2" s="1"/>
  <c r="Q15" i="2" s="1"/>
  <c r="H51" i="15"/>
  <c r="P109" i="2" s="1"/>
  <c r="Q109" i="2" s="1"/>
  <c r="H35" i="17"/>
  <c r="B105" i="2" s="1"/>
  <c r="C105" i="2" s="1"/>
  <c r="H15" i="18"/>
  <c r="W82" i="2" s="1"/>
  <c r="X82" i="2" s="1"/>
  <c r="H43" i="21"/>
  <c r="B89" i="2" s="1"/>
  <c r="C89" i="2" s="1"/>
  <c r="F93" i="2"/>
  <c r="H11" i="22"/>
  <c r="W62" i="2" s="1"/>
  <c r="X62" i="2" s="1"/>
  <c r="H15" i="22"/>
  <c r="W63" i="2" s="1"/>
  <c r="X63" i="2" s="1"/>
  <c r="H19" i="22"/>
  <c r="W64" i="2" s="1"/>
  <c r="X64" i="2" s="1"/>
  <c r="H23" i="22"/>
  <c r="W65" i="2" s="1"/>
  <c r="X65" i="2" s="1"/>
  <c r="H27" i="22"/>
  <c r="W66" i="2" s="1"/>
  <c r="X66" i="2" s="1"/>
  <c r="H31" i="22"/>
  <c r="W67" i="2" s="1"/>
  <c r="X67" i="2" s="1"/>
  <c r="H35" i="22"/>
  <c r="W68" i="2" s="1"/>
  <c r="X68" i="2" s="1"/>
  <c r="H39" i="22"/>
  <c r="W69" i="2" s="1"/>
  <c r="X69" i="2" s="1"/>
  <c r="H43" i="22"/>
  <c r="W70" i="2" s="1"/>
  <c r="X70" i="2" s="1"/>
  <c r="H51" i="22"/>
  <c r="W72" i="2" s="1"/>
  <c r="X72" i="2" s="1"/>
  <c r="H15" i="23"/>
  <c r="P63" i="2" s="1"/>
  <c r="Q63" i="2" s="1"/>
  <c r="H23" i="23"/>
  <c r="P65" i="2" s="1"/>
  <c r="Q65" i="2" s="1"/>
  <c r="H27" i="23"/>
  <c r="P66" i="2" s="1"/>
  <c r="Q66" i="2" s="1"/>
  <c r="H31" i="23"/>
  <c r="P67" i="2" s="1"/>
  <c r="Q67" i="2" s="1"/>
  <c r="H19" i="27"/>
  <c r="P45" i="2" s="1"/>
  <c r="Q45" i="2" s="1"/>
  <c r="H23" i="27"/>
  <c r="P46" i="2" s="1"/>
  <c r="Q46" i="2" s="1"/>
  <c r="H31" i="27"/>
  <c r="P48" i="2" s="1"/>
  <c r="Q48" i="2" s="1"/>
  <c r="H51" i="27"/>
  <c r="P53" i="2" s="1"/>
  <c r="Q53" i="2" s="1"/>
  <c r="H36" i="31"/>
  <c r="P30" i="2" s="1"/>
  <c r="Q30" i="2" s="1"/>
  <c r="H15" i="32"/>
  <c r="I25" i="2" s="1"/>
  <c r="J25" i="2" s="1"/>
  <c r="S17" i="2"/>
  <c r="H15" i="4"/>
  <c r="I6" i="2" s="1"/>
  <c r="J6" i="2" s="1"/>
  <c r="H35" i="4"/>
  <c r="I11" i="2" s="1"/>
  <c r="J11" i="2" s="1"/>
  <c r="H19" i="4"/>
  <c r="I7" i="2" s="1"/>
  <c r="J7" i="2" s="1"/>
  <c r="H31" i="4"/>
  <c r="I10" i="2" s="1"/>
  <c r="J10" i="2" s="1"/>
  <c r="H51" i="4"/>
  <c r="I15" i="2" s="1"/>
  <c r="J15" i="2" s="1"/>
  <c r="H47" i="4"/>
  <c r="I14" i="2" s="1"/>
  <c r="J14" i="2" s="1"/>
  <c r="H11" i="9"/>
  <c r="W5" i="2" s="1"/>
  <c r="X5" i="2" s="1"/>
  <c r="R17" i="2"/>
  <c r="J6" i="3"/>
  <c r="AA82" i="2"/>
  <c r="Z82" i="2"/>
  <c r="T129" i="2"/>
  <c r="L6" i="3"/>
  <c r="H27" i="13"/>
  <c r="P9" i="2" s="1"/>
  <c r="Q9" i="2" s="1"/>
  <c r="H43" i="13"/>
  <c r="P14" i="2" s="1"/>
  <c r="Q14" i="2" s="1"/>
  <c r="S89" i="2"/>
  <c r="T89" i="2"/>
  <c r="K111" i="2"/>
  <c r="AA86" i="2"/>
  <c r="Z86" i="2"/>
  <c r="H8" i="3" s="1"/>
  <c r="M6" i="3"/>
  <c r="D6" i="3"/>
  <c r="F6" i="3"/>
  <c r="T83" i="2"/>
  <c r="S83" i="2"/>
  <c r="E8" i="3" s="1"/>
  <c r="G6" i="3"/>
  <c r="H11" i="4"/>
  <c r="I5" i="2" s="1"/>
  <c r="J5" i="2" s="1"/>
  <c r="H43" i="4"/>
  <c r="I13" i="2" s="1"/>
  <c r="J13" i="2" s="1"/>
  <c r="H19" i="7"/>
  <c r="B137" i="2" s="1"/>
  <c r="C137" i="2" s="1"/>
  <c r="AA90" i="2"/>
  <c r="Z90" i="2"/>
  <c r="K147" i="2"/>
  <c r="H6" i="3"/>
  <c r="H39" i="4"/>
  <c r="I12" i="2" s="1"/>
  <c r="J12" i="2" s="1"/>
  <c r="H15" i="9"/>
  <c r="W6" i="2" s="1"/>
  <c r="X6" i="2" s="1"/>
  <c r="F55" i="2"/>
  <c r="AA88" i="2"/>
  <c r="Z88" i="2"/>
  <c r="S81" i="2"/>
  <c r="T81" i="2"/>
  <c r="T17" i="2"/>
  <c r="T91" i="2"/>
  <c r="S91" i="2"/>
  <c r="C6" i="3"/>
  <c r="K6" i="3"/>
  <c r="H27" i="4"/>
  <c r="I9" i="2" s="1"/>
  <c r="J9" i="2" s="1"/>
  <c r="S85" i="2"/>
  <c r="T85" i="2"/>
  <c r="E74" i="2"/>
  <c r="Z84" i="2"/>
  <c r="AA84" i="2"/>
  <c r="E93" i="2"/>
  <c r="H47" i="22"/>
  <c r="W71" i="2" s="1"/>
  <c r="X71" i="2" s="1"/>
  <c r="H35" i="23"/>
  <c r="P68" i="2" s="1"/>
  <c r="Q68" i="2" s="1"/>
  <c r="H39" i="27"/>
  <c r="P50" i="2" s="1"/>
  <c r="Q50" i="2" s="1"/>
  <c r="H15" i="28"/>
  <c r="I44" i="2" s="1"/>
  <c r="J44" i="2" s="1"/>
  <c r="H31" i="28"/>
  <c r="I48" i="2" s="1"/>
  <c r="J48" i="2" s="1"/>
  <c r="H39" i="30"/>
  <c r="W30" i="2" s="1"/>
  <c r="X30" i="2" s="1"/>
  <c r="M82" i="2"/>
  <c r="H11" i="10"/>
  <c r="I117" i="2" s="1"/>
  <c r="J117" i="2" s="1"/>
  <c r="H43" i="10"/>
  <c r="I125" i="2" s="1"/>
  <c r="J125" i="2" s="1"/>
  <c r="H23" i="14"/>
  <c r="W102" i="2" s="1"/>
  <c r="X102" i="2" s="1"/>
  <c r="H39" i="14"/>
  <c r="W106" i="2" s="1"/>
  <c r="X106" i="2" s="1"/>
  <c r="H11" i="15"/>
  <c r="P99" i="2" s="1"/>
  <c r="Q99" i="2" s="1"/>
  <c r="H43" i="15"/>
  <c r="P107" i="2" s="1"/>
  <c r="Q107" i="2" s="1"/>
  <c r="H19" i="16"/>
  <c r="I101" i="2" s="1"/>
  <c r="J101" i="2" s="1"/>
  <c r="H35" i="16"/>
  <c r="I105" i="2" s="1"/>
  <c r="J105" i="2" s="1"/>
  <c r="H51" i="16"/>
  <c r="I109" i="2" s="1"/>
  <c r="J109" i="2" s="1"/>
  <c r="H27" i="17"/>
  <c r="B103" i="2" s="1"/>
  <c r="C103" i="2" s="1"/>
  <c r="Z83" i="2"/>
  <c r="AA83" i="2"/>
  <c r="E10" i="3" s="1"/>
  <c r="H39" i="18"/>
  <c r="W88" i="2" s="1"/>
  <c r="X88" i="2" s="1"/>
  <c r="Z91" i="2"/>
  <c r="AA91" i="2"/>
  <c r="H19" i="19"/>
  <c r="P83" i="2" s="1"/>
  <c r="Q83" i="2" s="1"/>
  <c r="T86" i="2"/>
  <c r="S86" i="2"/>
  <c r="H51" i="19"/>
  <c r="P91" i="2" s="1"/>
  <c r="Q91" i="2" s="1"/>
  <c r="L81" i="2"/>
  <c r="M81" i="2"/>
  <c r="C10" i="3" s="1"/>
  <c r="H23" i="20"/>
  <c r="I84" i="2" s="1"/>
  <c r="J84" i="2" s="1"/>
  <c r="L85" i="2"/>
  <c r="M85" i="2"/>
  <c r="H39" i="20"/>
  <c r="I88" i="2" s="1"/>
  <c r="J88" i="2" s="1"/>
  <c r="M89" i="2"/>
  <c r="L89" i="2"/>
  <c r="H35" i="21"/>
  <c r="B87" i="2" s="1"/>
  <c r="C87" i="2" s="1"/>
  <c r="H47" i="23"/>
  <c r="P71" i="2" s="1"/>
  <c r="Q71" i="2" s="1"/>
  <c r="H19" i="25"/>
  <c r="B64" i="2" s="1"/>
  <c r="C64" i="2" s="1"/>
  <c r="H35" i="25"/>
  <c r="B68" i="2" s="1"/>
  <c r="C68" i="2" s="1"/>
  <c r="H51" i="25"/>
  <c r="B72" i="2" s="1"/>
  <c r="C72" i="2" s="1"/>
  <c r="H35" i="27"/>
  <c r="P49" i="2" s="1"/>
  <c r="Q49" i="2" s="1"/>
  <c r="H28" i="31"/>
  <c r="P28" i="2" s="1"/>
  <c r="Q28" i="2" s="1"/>
  <c r="H39" i="32"/>
  <c r="I31" i="2" s="1"/>
  <c r="J31" i="2" s="1"/>
  <c r="M86" i="2"/>
  <c r="M90" i="2"/>
  <c r="H19" i="14"/>
  <c r="W101" i="2" s="1"/>
  <c r="X101" i="2" s="1"/>
  <c r="H35" i="14"/>
  <c r="W105" i="2" s="1"/>
  <c r="X105" i="2" s="1"/>
  <c r="H35" i="15"/>
  <c r="P105" i="2" s="1"/>
  <c r="Q105" i="2" s="1"/>
  <c r="H15" i="16"/>
  <c r="I100" i="2" s="1"/>
  <c r="J100" i="2" s="1"/>
  <c r="H31" i="16"/>
  <c r="I104" i="2" s="1"/>
  <c r="J104" i="2" s="1"/>
  <c r="H47" i="16"/>
  <c r="I108" i="2" s="1"/>
  <c r="J108" i="2" s="1"/>
  <c r="H19" i="17"/>
  <c r="B101" i="2" s="1"/>
  <c r="C101" i="2" s="1"/>
  <c r="H51" i="17"/>
  <c r="B109" i="2" s="1"/>
  <c r="C109" i="2" s="1"/>
  <c r="H31" i="18"/>
  <c r="W86" i="2" s="1"/>
  <c r="X86" i="2" s="1"/>
  <c r="AA89" i="2"/>
  <c r="Z89" i="2"/>
  <c r="H11" i="19"/>
  <c r="P81" i="2" s="1"/>
  <c r="Q81" i="2" s="1"/>
  <c r="S84" i="2"/>
  <c r="T84" i="2"/>
  <c r="H43" i="19"/>
  <c r="P89" i="2" s="1"/>
  <c r="Q89" i="2" s="1"/>
  <c r="H19" i="20"/>
  <c r="I83" i="2" s="1"/>
  <c r="J83" i="2" s="1"/>
  <c r="H35" i="20"/>
  <c r="I87" i="2" s="1"/>
  <c r="J87" i="2" s="1"/>
  <c r="H51" i="20"/>
  <c r="I91" i="2" s="1"/>
  <c r="J91" i="2" s="1"/>
  <c r="H27" i="21"/>
  <c r="B85" i="2" s="1"/>
  <c r="C85" i="2" s="1"/>
  <c r="H43" i="23"/>
  <c r="P70" i="2" s="1"/>
  <c r="Q70" i="2" s="1"/>
  <c r="H15" i="25"/>
  <c r="B63" i="2" s="1"/>
  <c r="C63" i="2" s="1"/>
  <c r="H31" i="25"/>
  <c r="B67" i="2" s="1"/>
  <c r="C67" i="2" s="1"/>
  <c r="H47" i="25"/>
  <c r="B71" i="2" s="1"/>
  <c r="C71" i="2" s="1"/>
  <c r="H27" i="27"/>
  <c r="P47" i="2" s="1"/>
  <c r="Q47" i="2" s="1"/>
  <c r="H20" i="31"/>
  <c r="P26" i="2" s="1"/>
  <c r="Q26" i="2" s="1"/>
  <c r="H52" i="31"/>
  <c r="P34" i="2" s="1"/>
  <c r="Q34" i="2" s="1"/>
  <c r="H31" i="32"/>
  <c r="I29" i="2" s="1"/>
  <c r="J29" i="2" s="1"/>
  <c r="Z81" i="2"/>
  <c r="H27" i="10"/>
  <c r="I121" i="2" s="1"/>
  <c r="J121" i="2" s="1"/>
  <c r="H11" i="12"/>
  <c r="B117" i="2" s="1"/>
  <c r="C117" i="2" s="1"/>
  <c r="H15" i="14"/>
  <c r="W100" i="2" s="1"/>
  <c r="X100" i="2" s="1"/>
  <c r="H31" i="14"/>
  <c r="W104" i="2" s="1"/>
  <c r="X104" i="2" s="1"/>
  <c r="H47" i="14"/>
  <c r="W108" i="2" s="1"/>
  <c r="X108" i="2" s="1"/>
  <c r="H27" i="15"/>
  <c r="P104" i="2" s="1"/>
  <c r="Q104" i="2" s="1"/>
  <c r="H11" i="16"/>
  <c r="I99" i="2" s="1"/>
  <c r="J99" i="2" s="1"/>
  <c r="H27" i="16"/>
  <c r="I103" i="2" s="1"/>
  <c r="J103" i="2" s="1"/>
  <c r="H43" i="16"/>
  <c r="I107" i="2" s="1"/>
  <c r="J107" i="2" s="1"/>
  <c r="H11" i="17"/>
  <c r="B99" i="2" s="1"/>
  <c r="C99" i="2" s="1"/>
  <c r="H43" i="17"/>
  <c r="B107" i="2" s="1"/>
  <c r="C107" i="2" s="1"/>
  <c r="H23" i="18"/>
  <c r="W84" i="2" s="1"/>
  <c r="X84" i="2" s="1"/>
  <c r="AA87" i="2"/>
  <c r="AA93" i="2" s="1"/>
  <c r="Z87" i="2"/>
  <c r="T82" i="2"/>
  <c r="S82" i="2"/>
  <c r="D8" i="3" s="1"/>
  <c r="H35" i="19"/>
  <c r="P87" i="2" s="1"/>
  <c r="Q87" i="2" s="1"/>
  <c r="T90" i="2"/>
  <c r="S90" i="2"/>
  <c r="L8" i="3" s="1"/>
  <c r="H15" i="20"/>
  <c r="I82" i="2" s="1"/>
  <c r="J82" i="2" s="1"/>
  <c r="H31" i="20"/>
  <c r="I86" i="2" s="1"/>
  <c r="J86" i="2" s="1"/>
  <c r="M87" i="2"/>
  <c r="L87" i="2"/>
  <c r="H47" i="20"/>
  <c r="I90" i="2" s="1"/>
  <c r="J90" i="2" s="1"/>
  <c r="M91" i="2"/>
  <c r="L91" i="2"/>
  <c r="H19" i="21"/>
  <c r="B83" i="2" s="1"/>
  <c r="C83" i="2" s="1"/>
  <c r="H51" i="21"/>
  <c r="B91" i="2" s="1"/>
  <c r="C91" i="2" s="1"/>
  <c r="H39" i="23"/>
  <c r="P69" i="2" s="1"/>
  <c r="Q69" i="2" s="1"/>
  <c r="H12" i="31"/>
  <c r="P24" i="2" s="1"/>
  <c r="Q24" i="2" s="1"/>
  <c r="H44" i="31"/>
  <c r="P32" i="2" s="1"/>
  <c r="Q32" i="2" s="1"/>
  <c r="H23" i="32"/>
  <c r="I27" i="2" s="1"/>
  <c r="J27" i="2" s="1"/>
  <c r="H19" i="28"/>
  <c r="I45" i="2" s="1"/>
  <c r="J45" i="2" s="1"/>
  <c r="H35" i="28"/>
  <c r="I49" i="2" s="1"/>
  <c r="J49" i="2" s="1"/>
  <c r="H43" i="30"/>
  <c r="W31" i="2" s="1"/>
  <c r="X31" i="2" s="1"/>
  <c r="L84" i="2"/>
  <c r="H23" i="16"/>
  <c r="I102" i="2" s="1"/>
  <c r="J102" i="2" s="1"/>
  <c r="H39" i="16"/>
  <c r="I106" i="2" s="1"/>
  <c r="J106" i="2" s="1"/>
  <c r="AA85" i="2"/>
  <c r="Z85" i="2"/>
  <c r="T88" i="2"/>
  <c r="S88" i="2"/>
  <c r="H11" i="20"/>
  <c r="I81" i="2" s="1"/>
  <c r="J81" i="2" s="1"/>
  <c r="H27" i="20"/>
  <c r="I85" i="2" s="1"/>
  <c r="J85" i="2" s="1"/>
  <c r="H43" i="20"/>
  <c r="I89" i="2" s="1"/>
  <c r="J89" i="2" s="1"/>
  <c r="L88" i="2"/>
  <c r="S87" i="2"/>
  <c r="H11" i="11"/>
  <c r="B24" i="2" s="1"/>
  <c r="C24" i="2" s="1"/>
  <c r="H47" i="5"/>
  <c r="I144" i="2" s="1"/>
  <c r="J144" i="2" s="1"/>
  <c r="H39" i="5"/>
  <c r="I142" i="2" s="1"/>
  <c r="J142" i="2" s="1"/>
  <c r="H31" i="5"/>
  <c r="I140" i="2" s="1"/>
  <c r="J140" i="2" s="1"/>
  <c r="H23" i="5"/>
  <c r="I138" i="2" s="1"/>
  <c r="J138" i="2" s="1"/>
  <c r="H15" i="5"/>
  <c r="I136" i="2" s="1"/>
  <c r="J136" i="2" s="1"/>
  <c r="H11" i="5"/>
  <c r="I135" i="2" s="1"/>
  <c r="J135" i="2" s="1"/>
  <c r="H47" i="7"/>
  <c r="B144" i="2" s="1"/>
  <c r="C144" i="2" s="1"/>
  <c r="H39" i="7"/>
  <c r="B142" i="2" s="1"/>
  <c r="C142" i="2" s="1"/>
  <c r="H31" i="7"/>
  <c r="B140" i="2" s="1"/>
  <c r="C140" i="2" s="1"/>
  <c r="H23" i="7"/>
  <c r="B138" i="2" s="1"/>
  <c r="C138" i="2" s="1"/>
  <c r="H15" i="7"/>
  <c r="B136" i="2" s="1"/>
  <c r="C136" i="2" s="1"/>
  <c r="H51" i="6"/>
  <c r="W127" i="2" s="1"/>
  <c r="X127" i="2" s="1"/>
  <c r="H47" i="6"/>
  <c r="W126" i="2" s="1"/>
  <c r="X126" i="2" s="1"/>
  <c r="H43" i="6"/>
  <c r="W125" i="2" s="1"/>
  <c r="X125" i="2" s="1"/>
  <c r="H39" i="6"/>
  <c r="W124" i="2" s="1"/>
  <c r="X124" i="2" s="1"/>
  <c r="H35" i="6"/>
  <c r="W123" i="2" s="1"/>
  <c r="X123" i="2" s="1"/>
  <c r="H31" i="6"/>
  <c r="W122" i="2" s="1"/>
  <c r="X122" i="2" s="1"/>
  <c r="H27" i="6"/>
  <c r="W121" i="2" s="1"/>
  <c r="X121" i="2" s="1"/>
  <c r="H23" i="6"/>
  <c r="W120" i="2" s="1"/>
  <c r="X120" i="2" s="1"/>
  <c r="H19" i="6"/>
  <c r="W119" i="2" s="1"/>
  <c r="X119" i="2" s="1"/>
  <c r="H15" i="6"/>
  <c r="W118" i="2" s="1"/>
  <c r="X118" i="2" s="1"/>
  <c r="H11" i="6"/>
  <c r="W117" i="2" s="1"/>
  <c r="X117" i="2" s="1"/>
  <c r="H51" i="8"/>
  <c r="P127" i="2" s="1"/>
  <c r="Q127" i="2" s="1"/>
  <c r="H47" i="8"/>
  <c r="P126" i="2" s="1"/>
  <c r="Q126" i="2" s="1"/>
  <c r="H43" i="8"/>
  <c r="P125" i="2" s="1"/>
  <c r="Q125" i="2" s="1"/>
  <c r="H39" i="8"/>
  <c r="P124" i="2" s="1"/>
  <c r="Q124" i="2" s="1"/>
  <c r="H35" i="8"/>
  <c r="P123" i="2" s="1"/>
  <c r="Q123" i="2" s="1"/>
  <c r="H31" i="8"/>
  <c r="P122" i="2" s="1"/>
  <c r="Q122" i="2" s="1"/>
  <c r="H27" i="8"/>
  <c r="P121" i="2" s="1"/>
  <c r="Q121" i="2" s="1"/>
  <c r="H23" i="8"/>
  <c r="P120" i="2" s="1"/>
  <c r="Q120" i="2" s="1"/>
  <c r="H19" i="8"/>
  <c r="P119" i="2" s="1"/>
  <c r="Q119" i="2" s="1"/>
  <c r="H15" i="8"/>
  <c r="P118" i="2" s="1"/>
  <c r="Q118" i="2" s="1"/>
  <c r="H11" i="8"/>
  <c r="P117" i="2" s="1"/>
  <c r="Q117" i="2" s="1"/>
  <c r="H51" i="12"/>
  <c r="B127" i="2" s="1"/>
  <c r="C127" i="2" s="1"/>
  <c r="H47" i="12"/>
  <c r="B126" i="2" s="1"/>
  <c r="C126" i="2" s="1"/>
  <c r="H43" i="12"/>
  <c r="B125" i="2" s="1"/>
  <c r="C125" i="2" s="1"/>
  <c r="H39" i="12"/>
  <c r="B124" i="2" s="1"/>
  <c r="C124" i="2" s="1"/>
  <c r="H35" i="12"/>
  <c r="B123" i="2" s="1"/>
  <c r="C123" i="2" s="1"/>
  <c r="H31" i="12"/>
  <c r="B122" i="2" s="1"/>
  <c r="C122" i="2" s="1"/>
  <c r="H27" i="12"/>
  <c r="B121" i="2" s="1"/>
  <c r="C121" i="2" s="1"/>
  <c r="H23" i="12"/>
  <c r="B120" i="2" s="1"/>
  <c r="C120" i="2" s="1"/>
  <c r="H19" i="12"/>
  <c r="B119" i="2" s="1"/>
  <c r="C119" i="2" s="1"/>
  <c r="H15" i="12"/>
  <c r="B118" i="2" s="1"/>
  <c r="C118" i="2" s="1"/>
  <c r="H51" i="14"/>
  <c r="W109" i="2" s="1"/>
  <c r="X109" i="2" s="1"/>
  <c r="H15" i="15"/>
  <c r="P101" i="2"/>
  <c r="Q101" i="2" s="1"/>
  <c r="H23" i="15"/>
  <c r="P102" i="2" s="1"/>
  <c r="Q102" i="2" s="1"/>
  <c r="P103" i="2"/>
  <c r="Q103" i="2" s="1"/>
  <c r="H31" i="15"/>
  <c r="H39" i="15"/>
  <c r="P106" i="2" s="1"/>
  <c r="Q106" i="2" s="1"/>
  <c r="H47" i="15"/>
  <c r="P108" i="2" s="1"/>
  <c r="Q108" i="2" s="1"/>
  <c r="H47" i="17"/>
  <c r="B108" i="2" s="1"/>
  <c r="C108" i="2" s="1"/>
  <c r="H39" i="17"/>
  <c r="B106" i="2" s="1"/>
  <c r="C106" i="2" s="1"/>
  <c r="H31" i="17"/>
  <c r="B104" i="2" s="1"/>
  <c r="C104" i="2" s="1"/>
  <c r="H23" i="17"/>
  <c r="B102" i="2" s="1"/>
  <c r="C102" i="2" s="1"/>
  <c r="H15" i="17"/>
  <c r="B100" i="2" s="1"/>
  <c r="C100" i="2" s="1"/>
  <c r="H51" i="18"/>
  <c r="W91" i="2" s="1"/>
  <c r="X91" i="2" s="1"/>
  <c r="H43" i="18"/>
  <c r="W89" i="2" s="1"/>
  <c r="X89" i="2" s="1"/>
  <c r="H35" i="18"/>
  <c r="W87" i="2" s="1"/>
  <c r="X87" i="2" s="1"/>
  <c r="H27" i="18"/>
  <c r="W85" i="2" s="1"/>
  <c r="X85" i="2" s="1"/>
  <c r="H19" i="18"/>
  <c r="W83" i="2" s="1"/>
  <c r="X83" i="2" s="1"/>
  <c r="H11" i="18"/>
  <c r="W81" i="2" s="1"/>
  <c r="X81" i="2" s="1"/>
  <c r="H47" i="19"/>
  <c r="P90" i="2" s="1"/>
  <c r="Q90" i="2" s="1"/>
  <c r="H39" i="19"/>
  <c r="P88" i="2" s="1"/>
  <c r="Q88" i="2" s="1"/>
  <c r="H31" i="19"/>
  <c r="P86" i="2" s="1"/>
  <c r="Q86" i="2" s="1"/>
  <c r="H23" i="19"/>
  <c r="P84" i="2" s="1"/>
  <c r="Q84" i="2" s="1"/>
  <c r="H15" i="19"/>
  <c r="P82" i="2" s="1"/>
  <c r="Q82" i="2" s="1"/>
  <c r="H15" i="21"/>
  <c r="B82" i="2" s="1"/>
  <c r="C82" i="2" s="1"/>
  <c r="H23" i="21"/>
  <c r="B84" i="2" s="1"/>
  <c r="C84" i="2" s="1"/>
  <c r="H31" i="21"/>
  <c r="B86" i="2" s="1"/>
  <c r="C86" i="2" s="1"/>
  <c r="H39" i="21"/>
  <c r="B88" i="2" s="1"/>
  <c r="C88" i="2" s="1"/>
  <c r="H47" i="21"/>
  <c r="B90" i="2" s="1"/>
  <c r="C90" i="2" s="1"/>
  <c r="H19" i="23"/>
  <c r="P64" i="2" s="1"/>
  <c r="Q64" i="2" s="1"/>
  <c r="H11" i="23"/>
  <c r="P62" i="2" s="1"/>
  <c r="Q62" i="2" s="1"/>
  <c r="H51" i="24"/>
  <c r="I72" i="2" s="1"/>
  <c r="J72" i="2" s="1"/>
  <c r="H47" i="24"/>
  <c r="I71" i="2" s="1"/>
  <c r="J71" i="2" s="1"/>
  <c r="H43" i="24"/>
  <c r="I70" i="2" s="1"/>
  <c r="J70" i="2" s="1"/>
  <c r="H39" i="24"/>
  <c r="I69" i="2" s="1"/>
  <c r="J69" i="2" s="1"/>
  <c r="H35" i="24"/>
  <c r="I68" i="2" s="1"/>
  <c r="J68" i="2" s="1"/>
  <c r="H31" i="24"/>
  <c r="I67" i="2" s="1"/>
  <c r="J67" i="2" s="1"/>
  <c r="H27" i="24"/>
  <c r="I66" i="2" s="1"/>
  <c r="J66" i="2" s="1"/>
  <c r="H23" i="24"/>
  <c r="I65" i="2" s="1"/>
  <c r="J65" i="2" s="1"/>
  <c r="H19" i="24"/>
  <c r="I64" i="2" s="1"/>
  <c r="J64" i="2" s="1"/>
  <c r="H15" i="24"/>
  <c r="I63" i="2" s="1"/>
  <c r="J63" i="2" s="1"/>
  <c r="H11" i="24"/>
  <c r="I62" i="2" s="1"/>
  <c r="J62" i="2" s="1"/>
  <c r="H51" i="26"/>
  <c r="W53" i="2" s="1"/>
  <c r="X53" i="2" s="1"/>
  <c r="H47" i="26"/>
  <c r="W52" i="2" s="1"/>
  <c r="X52" i="2" s="1"/>
  <c r="H43" i="26"/>
  <c r="W51" i="2" s="1"/>
  <c r="X51" i="2" s="1"/>
  <c r="H39" i="26"/>
  <c r="W50" i="2" s="1"/>
  <c r="X50" i="2" s="1"/>
  <c r="H35" i="26"/>
  <c r="W49" i="2" s="1"/>
  <c r="X49" i="2" s="1"/>
  <c r="H31" i="26"/>
  <c r="W48" i="2" s="1"/>
  <c r="X48" i="2" s="1"/>
  <c r="H27" i="26"/>
  <c r="W47" i="2" s="1"/>
  <c r="X47" i="2" s="1"/>
  <c r="H23" i="26"/>
  <c r="W46" i="2" s="1"/>
  <c r="X46" i="2" s="1"/>
  <c r="H19" i="26"/>
  <c r="W45" i="2" s="1"/>
  <c r="X45" i="2" s="1"/>
  <c r="H15" i="26"/>
  <c r="W44" i="2" s="1"/>
  <c r="X44" i="2" s="1"/>
  <c r="H11" i="26"/>
  <c r="W43" i="2" s="1"/>
  <c r="X43" i="2" s="1"/>
  <c r="H47" i="27"/>
  <c r="P52" i="2" s="1"/>
  <c r="Q52" i="2" s="1"/>
  <c r="H43" i="27"/>
  <c r="P51" i="2" s="1"/>
  <c r="Q51" i="2" s="1"/>
  <c r="H15" i="27"/>
  <c r="P44" i="2" s="1"/>
  <c r="Q44" i="2" s="1"/>
  <c r="H11" i="27"/>
  <c r="P43" i="2" s="1"/>
  <c r="Q43" i="2" s="1"/>
  <c r="H43" i="28"/>
  <c r="I51" i="2" s="1"/>
  <c r="J51" i="2" s="1"/>
  <c r="H47" i="28"/>
  <c r="I52" i="2" s="1"/>
  <c r="J52" i="2" s="1"/>
  <c r="H51" i="28"/>
  <c r="I53" i="2" s="1"/>
  <c r="J53" i="2" s="1"/>
  <c r="H11" i="29"/>
  <c r="B43" i="2" s="1"/>
  <c r="C43" i="2" s="1"/>
  <c r="H15" i="29"/>
  <c r="B44" i="2" s="1"/>
  <c r="C44" i="2" s="1"/>
  <c r="H19" i="29"/>
  <c r="B45" i="2" s="1"/>
  <c r="C45" i="2" s="1"/>
  <c r="H23" i="29"/>
  <c r="B46" i="2" s="1"/>
  <c r="C46" i="2" s="1"/>
  <c r="H27" i="29"/>
  <c r="B47" i="2" s="1"/>
  <c r="C47" i="2" s="1"/>
  <c r="H31" i="29"/>
  <c r="B48" i="2" s="1"/>
  <c r="C48" i="2" s="1"/>
  <c r="H35" i="29"/>
  <c r="B49" i="2" s="1"/>
  <c r="C49" i="2" s="1"/>
  <c r="H39" i="29"/>
  <c r="B50" i="2" s="1"/>
  <c r="C50" i="2" s="1"/>
  <c r="H43" i="29"/>
  <c r="B51" i="2" s="1"/>
  <c r="C51" i="2" s="1"/>
  <c r="H47" i="29"/>
  <c r="B52" i="2" s="1"/>
  <c r="C52" i="2" s="1"/>
  <c r="H51" i="29"/>
  <c r="B53" i="2" s="1"/>
  <c r="C53" i="2" s="1"/>
  <c r="H15" i="30"/>
  <c r="W24" i="2" s="1"/>
  <c r="X24" i="2" s="1"/>
  <c r="H19" i="30"/>
  <c r="W25" i="2" s="1"/>
  <c r="X25" i="2" s="1"/>
  <c r="H23" i="30"/>
  <c r="W26" i="2" s="1"/>
  <c r="X26" i="2" s="1"/>
  <c r="H27" i="30"/>
  <c r="W27" i="2" s="1"/>
  <c r="X27" i="2" s="1"/>
  <c r="H31" i="30"/>
  <c r="W28" i="2" s="1"/>
  <c r="X28" i="2" s="1"/>
  <c r="H51" i="30"/>
  <c r="W33" i="2" s="1"/>
  <c r="X33" i="2" s="1"/>
  <c r="H55" i="30"/>
  <c r="W34" i="2" s="1"/>
  <c r="X34" i="2" s="1"/>
  <c r="H48" i="31"/>
  <c r="P33" i="2" s="1"/>
  <c r="Q33" i="2" s="1"/>
  <c r="H40" i="31"/>
  <c r="P31" i="2" s="1"/>
  <c r="Q31" i="2" s="1"/>
  <c r="H32" i="31"/>
  <c r="P29" i="2" s="1"/>
  <c r="Q29" i="2" s="1"/>
  <c r="H24" i="31"/>
  <c r="P27" i="2" s="1"/>
  <c r="Q27" i="2" s="1"/>
  <c r="H16" i="31"/>
  <c r="P25" i="2" s="1"/>
  <c r="Q25" i="2" s="1"/>
  <c r="H51" i="32"/>
  <c r="I34" i="2" s="1"/>
  <c r="J34" i="2" s="1"/>
  <c r="H43" i="32"/>
  <c r="I32" i="2" s="1"/>
  <c r="J32" i="2" s="1"/>
  <c r="H35" i="32"/>
  <c r="I30" i="2" s="1"/>
  <c r="J30" i="2" s="1"/>
  <c r="H27" i="32"/>
  <c r="I28" i="2" s="1"/>
  <c r="J28" i="2" s="1"/>
  <c r="H19" i="32"/>
  <c r="I26" i="2" s="1"/>
  <c r="J26" i="2" s="1"/>
  <c r="H11" i="32"/>
  <c r="I24" i="2" s="1"/>
  <c r="J24" i="2" s="1"/>
  <c r="H39" i="11"/>
  <c r="B31" i="2" s="1"/>
  <c r="C31" i="2" s="1"/>
  <c r="H35" i="11"/>
  <c r="B30" i="2" s="1"/>
  <c r="C30" i="2" s="1"/>
  <c r="H27" i="11"/>
  <c r="B28" i="2" s="1"/>
  <c r="C28" i="2" s="1"/>
  <c r="H23" i="11"/>
  <c r="B27" i="2" s="1"/>
  <c r="C27" i="2" s="1"/>
  <c r="H19" i="11"/>
  <c r="B26" i="2" s="1"/>
  <c r="C26" i="2" s="1"/>
  <c r="H15" i="11"/>
  <c r="B25" i="2" s="1"/>
  <c r="C25" i="2" s="1"/>
  <c r="H47" i="9"/>
  <c r="W14" i="2" s="1"/>
  <c r="X14" i="2" s="1"/>
  <c r="H43" i="9"/>
  <c r="W13" i="2" s="1"/>
  <c r="X13" i="2" s="1"/>
  <c r="H39" i="9"/>
  <c r="W12" i="2" s="1"/>
  <c r="X12" i="2" s="1"/>
  <c r="H35" i="9"/>
  <c r="W11" i="2" s="1"/>
  <c r="X11" i="2" s="1"/>
  <c r="H31" i="9"/>
  <c r="W10" i="2" s="1"/>
  <c r="X10" i="2" s="1"/>
  <c r="L15" i="2"/>
  <c r="L17" i="2" s="1"/>
  <c r="I6" i="3"/>
  <c r="J8" i="3"/>
  <c r="F9" i="2"/>
  <c r="I10" i="3"/>
  <c r="H11" i="13"/>
  <c r="M15" i="2"/>
  <c r="Y93" i="2"/>
  <c r="R93" i="2"/>
  <c r="K93" i="2"/>
  <c r="D93" i="2"/>
  <c r="D74" i="2"/>
  <c r="F111" i="2"/>
  <c r="E111" i="2"/>
  <c r="D111" i="2"/>
  <c r="AA111" i="2"/>
  <c r="Z111" i="2"/>
  <c r="Y111" i="2"/>
  <c r="F129" i="2"/>
  <c r="E129" i="2"/>
  <c r="D129" i="2"/>
  <c r="M147" i="2"/>
  <c r="L147" i="2"/>
  <c r="F147" i="2"/>
  <c r="E147" i="2"/>
  <c r="D147" i="2"/>
  <c r="AA129" i="2"/>
  <c r="Z129" i="2"/>
  <c r="Y129" i="2"/>
  <c r="S129" i="2"/>
  <c r="R129" i="2"/>
  <c r="T111" i="2"/>
  <c r="S111" i="2"/>
  <c r="R111" i="2"/>
  <c r="M129" i="2"/>
  <c r="L129" i="2"/>
  <c r="K129" i="2"/>
  <c r="M111" i="2"/>
  <c r="L111" i="2"/>
  <c r="M74" i="2"/>
  <c r="L74" i="2"/>
  <c r="K74" i="2"/>
  <c r="T74" i="2"/>
  <c r="S74" i="2"/>
  <c r="R74" i="2"/>
  <c r="AA74" i="2"/>
  <c r="Z74" i="2"/>
  <c r="Y74" i="2"/>
  <c r="AA55" i="2"/>
  <c r="Z55" i="2"/>
  <c r="Y55" i="2"/>
  <c r="T55" i="2"/>
  <c r="S55" i="2"/>
  <c r="R55" i="2"/>
  <c r="M55" i="2"/>
  <c r="L55" i="2"/>
  <c r="K55" i="2"/>
  <c r="T36" i="2"/>
  <c r="S36" i="2"/>
  <c r="R36" i="2"/>
  <c r="E55" i="2"/>
  <c r="D55" i="2"/>
  <c r="L36" i="2"/>
  <c r="K36" i="2"/>
  <c r="M36" i="2"/>
  <c r="E36" i="2"/>
  <c r="D36" i="2"/>
  <c r="F36" i="2"/>
  <c r="AA36" i="2"/>
  <c r="Z36" i="2"/>
  <c r="Y36" i="2"/>
  <c r="AA17" i="2"/>
  <c r="Z17" i="2"/>
  <c r="Y17" i="2"/>
  <c r="K17" i="2"/>
  <c r="E17" i="2"/>
  <c r="D17" i="2"/>
  <c r="G51" i="1"/>
  <c r="F51" i="1"/>
  <c r="G47" i="1"/>
  <c r="F47" i="1"/>
  <c r="G43" i="1"/>
  <c r="F43" i="1"/>
  <c r="G39" i="1"/>
  <c r="F39" i="1"/>
  <c r="G35" i="1"/>
  <c r="F35" i="1"/>
  <c r="G31" i="1"/>
  <c r="F31" i="1"/>
  <c r="G27" i="1"/>
  <c r="F27" i="1"/>
  <c r="G23" i="1"/>
  <c r="F23" i="1"/>
  <c r="G19" i="1"/>
  <c r="F19" i="1"/>
  <c r="G15" i="1"/>
  <c r="F15" i="1"/>
  <c r="G11" i="1"/>
  <c r="F11" i="1"/>
  <c r="H10" i="3" l="1"/>
  <c r="W111" i="2"/>
  <c r="W112" i="2" s="1"/>
  <c r="H15" i="1"/>
  <c r="B6" i="2" s="1"/>
  <c r="C6" i="2" s="1"/>
  <c r="P11" i="2"/>
  <c r="Q11" i="2" s="1"/>
  <c r="W74" i="2"/>
  <c r="W75" i="2" s="1"/>
  <c r="S93" i="2"/>
  <c r="K8" i="3"/>
  <c r="H11" i="1"/>
  <c r="B5" i="2" s="1"/>
  <c r="C5" i="2" s="1"/>
  <c r="P74" i="2"/>
  <c r="P75" i="2" s="1"/>
  <c r="F8" i="3"/>
  <c r="K10" i="3"/>
  <c r="C8" i="3"/>
  <c r="F10" i="3"/>
  <c r="H27" i="1"/>
  <c r="B9" i="2" s="1"/>
  <c r="C9" i="2" s="1"/>
  <c r="I8" i="3"/>
  <c r="T93" i="2"/>
  <c r="D10" i="3"/>
  <c r="J10" i="3"/>
  <c r="P55" i="2"/>
  <c r="P56" i="2" s="1"/>
  <c r="I129" i="2"/>
  <c r="I130" i="2" s="1"/>
  <c r="B147" i="2"/>
  <c r="B148" i="2" s="1"/>
  <c r="I93" i="2"/>
  <c r="I94" i="2" s="1"/>
  <c r="Z93" i="2"/>
  <c r="M10" i="3"/>
  <c r="G10" i="3"/>
  <c r="G8" i="3"/>
  <c r="L10" i="3"/>
  <c r="M17" i="2"/>
  <c r="M8" i="3"/>
  <c r="I17" i="2"/>
  <c r="I18" i="2" s="1"/>
  <c r="P5" i="2"/>
  <c r="Q5" i="2" s="1"/>
  <c r="I111" i="2"/>
  <c r="I112" i="2" s="1"/>
  <c r="L93" i="2"/>
  <c r="M93" i="2"/>
  <c r="F17" i="2"/>
  <c r="B74" i="2"/>
  <c r="B75" i="2" s="1"/>
  <c r="W36" i="2"/>
  <c r="W37" i="2" s="1"/>
  <c r="I147" i="2"/>
  <c r="I148" i="2" s="1"/>
  <c r="H31" i="1"/>
  <c r="B10" i="2" s="1"/>
  <c r="C10" i="2" s="1"/>
  <c r="B93" i="2"/>
  <c r="B94" i="2" s="1"/>
  <c r="H19" i="1"/>
  <c r="B7" i="2" s="1"/>
  <c r="C7" i="2" s="1"/>
  <c r="B129" i="2"/>
  <c r="B130" i="2" s="1"/>
  <c r="B111" i="2"/>
  <c r="B112" i="2" s="1"/>
  <c r="W129" i="2"/>
  <c r="W130" i="2" s="1"/>
  <c r="P129" i="2"/>
  <c r="P130" i="2" s="1"/>
  <c r="P111" i="2"/>
  <c r="P112" i="2" s="1"/>
  <c r="W93" i="2"/>
  <c r="W94" i="2" s="1"/>
  <c r="P93" i="2"/>
  <c r="P94" i="2" s="1"/>
  <c r="I74" i="2"/>
  <c r="I75" i="2" s="1"/>
  <c r="W55" i="2"/>
  <c r="W56" i="2" s="1"/>
  <c r="I55" i="2"/>
  <c r="I56" i="2" s="1"/>
  <c r="B55" i="2"/>
  <c r="B56" i="2" s="1"/>
  <c r="P36" i="2"/>
  <c r="P37" i="2" s="1"/>
  <c r="I36" i="2"/>
  <c r="I37" i="2" s="1"/>
  <c r="B36" i="2"/>
  <c r="B37" i="2" s="1"/>
  <c r="W17" i="2"/>
  <c r="W18" i="2" s="1"/>
  <c r="H23" i="1"/>
  <c r="B8" i="2" s="1"/>
  <c r="C8" i="2" s="1"/>
  <c r="H39" i="1"/>
  <c r="B12" i="2" s="1"/>
  <c r="C12" i="2" s="1"/>
  <c r="H47" i="1"/>
  <c r="B14" i="2" s="1"/>
  <c r="C14" i="2" s="1"/>
  <c r="H43" i="1"/>
  <c r="B13" i="2" s="1"/>
  <c r="C13" i="2" s="1"/>
  <c r="H35" i="1"/>
  <c r="B11" i="2" s="1"/>
  <c r="C11" i="2" s="1"/>
  <c r="H51" i="1"/>
  <c r="B15" i="2" s="1"/>
  <c r="C15" i="2" s="1"/>
  <c r="P17" i="2" l="1"/>
  <c r="P18" i="2" s="1"/>
  <c r="B17" i="2"/>
  <c r="B18"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Administrativo2</author>
    <author>tc={8EECC2FA-4FE3-4EA6-AFC8-1430DF33B75C}</author>
    <author>tc={8E4B6696-306E-4D11-A6B3-F6B59B33EA09}</author>
  </authors>
  <commentList>
    <comment ref="D39" authorId="0" shapeId="0" xr:uid="{95AEC425-215F-41AB-AD33-8E98250EAF27}">
      <text>
        <r>
          <rPr>
            <b/>
            <sz val="9"/>
            <color indexed="81"/>
            <rFont val="Segoe UI"/>
            <family val="2"/>
          </rPr>
          <t xml:space="preserve">Retirado em 16/09/2025
</t>
        </r>
        <r>
          <rPr>
            <sz val="9"/>
            <color indexed="81"/>
            <rFont val="Segoe UI"/>
            <family val="2"/>
          </rPr>
          <t xml:space="preserve">
</t>
        </r>
      </text>
    </comment>
    <comment ref="B63" authorId="1" shapeId="0" xr:uid="{8EECC2FA-4FE3-4EA6-AFC8-1430DF33B75C}">
      <text>
        <t>[Comentário encadeado]
Sua versão do Excel permite que você leia este comentário encadeado, no entanto, as edições serão removidas se o arquivo for aberto em uma versão mais recente do Excel. Saiba mais: https://go.microsoft.com/fwlink/?linkid=870924
Comentário:
    Telemetria: 23 a 24/03/26 estava em João Camara RN
Responder:
    Telemetria: 28 a 29/03/26 sitio novo RN 101km de lajes_uso particular não solicitado</t>
      </text>
    </comment>
    <comment ref="B75" authorId="2" shapeId="0" xr:uid="{8E4B6696-306E-4D11-A6B3-F6B59B33EA09}">
      <text>
        <t>[Comentário encadeado]
Sua versão do Excel permite que você leia este comentário encadeado, no entanto, as edições serão removidas se o arquivo for aberto em uma versão mais recente do Excel. Saiba mais: https://go.microsoft.com/fwlink/?linkid=870924
Comentário:
    Uso autorizado Lajes x Sitio Novo RN: 12/06 26.512km a 15/06/26  26.693km - Utilizado 181km</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D43" authorId="0" shapeId="0" xr:uid="{8480941F-65F6-44C1-8F86-E5AD68DBF4C8}">
      <text>
        <r>
          <rPr>
            <sz val="9"/>
            <color indexed="81"/>
            <rFont val="Segoe UI"/>
            <family val="2"/>
          </rPr>
          <t xml:space="preserve">Nivus TES3J51 - Locado em 14/10/2025
</t>
        </r>
      </text>
    </comment>
    <comment ref="C47" authorId="0" shapeId="0" xr:uid="{0F599ED0-286E-4051-8194-C1D4485D19FC}">
      <text>
        <r>
          <rPr>
            <sz val="9"/>
            <color indexed="81"/>
            <rFont val="Segoe UI"/>
            <family val="2"/>
          </rPr>
          <t xml:space="preserve">Izadora solicitou substituição do Nivus TES3J51 por ser mais baixo, foi substituido (devolvido) em 08/11/2025
</t>
        </r>
      </text>
    </comment>
    <comment ref="B51" authorId="0" shapeId="0" xr:uid="{322BB796-9F62-49C5-872F-45E60048C36F}">
      <text>
        <r>
          <rPr>
            <b/>
            <sz val="9"/>
            <color indexed="81"/>
            <rFont val="Segoe UI"/>
            <family val="2"/>
          </rPr>
          <t>Substituição_Retirada TXB9I08 08/11/2025</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Administrativo2</author>
    <author>tc={13F5F654-CFC8-4EF9-BB14-A07F52F38848}</author>
    <author>tc={C40D8D98-85C0-42DD-94B8-3DD980681F18}</author>
    <author>tc={CFE06842-3A8A-4A20-A03E-9DA54B76E46E}</author>
    <author>tc={292A3BF5-4FDE-4779-91DF-EB7D5EDD5F8F}</author>
    <author>tc={67FAE774-2358-46BA-878A-D0D5659B965F}</author>
    <author>tc={48857EFB-4A3C-40DA-8FFF-00B54D1886C9}</author>
    <author>tc={F35EE8F1-050B-49F4-AF0E-56CC0FD675AC}</author>
  </authors>
  <commentList>
    <comment ref="B47" authorId="0" shapeId="0" xr:uid="{C546DD41-4AA7-49DC-B8B1-B26F9AB90E83}">
      <text>
        <r>
          <rPr>
            <sz val="9"/>
            <color indexed="81"/>
            <rFont val="Segoe UI"/>
            <family val="2"/>
          </rPr>
          <t xml:space="preserve">a programação correta seria a locação do veículo no dia 03/11, mas João alinhou com o cliente para retirar no domingo 02/11, a reserva do veículo foi agendada para 02/11 às 05:00h porque o João Carlos iria chegar de madrugada e não é autorizado dirigir após às 21h. Mas, por conta própria o João Carlos antecipou a retirada do veículo TDJ9D17 para o sábado 01/11/2025 às 23:00h.
</t>
        </r>
      </text>
    </comment>
    <comment ref="B59" authorId="1" shapeId="0" xr:uid="{13F5F654-CFC8-4EF9-BB14-A07F52F38848}">
      <text>
        <t>[Comentário encadeado]
Sua versão do Excel permite que você leia este comentário encadeado, no entanto, as edições serão removidas se o arquivo for aberto em uma versão mais recente do Excel. Saiba mais: https://go.microsoft.com/fwlink/?linkid=870924
Comentário:
    João Carlos - Uso particular não autorizado: 07/02 46.374km a 08/02/26 46.611km - Utilizado 237km
Enviou o e-mail de solicitação na sexta 06/02 às 17:43h e a viagem seria para o sábado, devido ao horário fora de expediente da sede não foi possível dar e retorno e mesmo assim João seguiu viagem.</t>
      </text>
    </comment>
    <comment ref="E59" authorId="2" shapeId="0" xr:uid="{C40D8D98-85C0-42DD-94B8-3DD980681F18}">
      <text>
        <t>[Comentário encadeado]
Sua versão do Excel permite que você leia este comentário encadeado, no entanto, as edições serão removidas se o arquivo for aberto em uma versão mais recente do Excel. Saiba mais: https://go.microsoft.com/fwlink/?linkid=870924
Comentário:
    Folga de 21/02 a 01/03/26 - veículo na residência de João Carlos</t>
      </text>
    </comment>
    <comment ref="E63" authorId="3" shapeId="0" xr:uid="{CFE06842-3A8A-4A20-A03E-9DA54B76E46E}">
      <text>
        <t>[Comentário encadeado]
Sua versão do Excel permite que você leia este comentário encadeado, no entanto, as edições serão removidas se o arquivo for aberto em uma versão mais recente do Excel. Saiba mais: https://go.microsoft.com/fwlink/?linkid=870924
Comentário:
    Houve Uso Intitulado por "diversos" verificar</t>
      </text>
    </comment>
    <comment ref="C71" authorId="4" shapeId="0" xr:uid="{292A3BF5-4FDE-4779-91DF-EB7D5EDD5F8F}">
      <text>
        <t>[Comentário encadeado]
Sua versão do Excel permite que você leia este comentário encadeado, no entanto, as edições serão removidas se o arquivo for aberto em uma versão mais recente do Excel. Saiba mais: https://go.microsoft.com/fwlink/?linkid=870924
Comentário:
    João solicitou substituição do veículo - na conversa em 15/05/26 expliquei a ele que está com excedente porque pela franquia seria para utilizar até 19.500km e de novembro até final do dia 14/05/26 utilizou 20.187km 
Responder:
    20.187 - 19.500km = 687 x 1,20 (valor por km excedente) = 824,40 + 15% tx adm. Unidas = 948,06
Responder:
    Porém, no contrato de locação deste veículo consta que foi locado com 43.739km (mas na foto do painel na retirada consta 37.234km) - se utilizarmos o km que está no contrato 43.739 - 57.421km = 13.682km, assim não constaria como excedente já que até 15 de maio pela franquia poderíamos utilizar 19.500km.</t>
      </text>
    </comment>
    <comment ref="E71" authorId="5" shapeId="0" xr:uid="{67FAE774-2358-46BA-878A-D0D5659B965F}">
      <text>
        <t>[Comentário encadeado]
Sua versão do Excel permite que você leia este comentário encadeado, no entanto, as edições serão removidas se o arquivo for aberto em uma versão mais recente do Excel. Saiba mais: https://go.microsoft.com/fwlink/?linkid=870924
Comentário:
    Devolução_substituição 21/05/2026</t>
      </text>
    </comment>
    <comment ref="D75" authorId="6" shapeId="0" xr:uid="{48857EFB-4A3C-40DA-8FFF-00B54D1886C9}">
      <text>
        <t>[Comentário encadeado]
Sua versão do Excel permite que você leia este comentário encadeado, no entanto, as edições serão removidas se o arquivo for aberto em uma versão mais recente do Excel. Saiba mais: https://go.microsoft.com/fwlink/?linkid=870924
Comentário:
    Substituição_Retirada 21/05/2026</t>
      </text>
    </comment>
    <comment ref="E75" authorId="7" shapeId="0" xr:uid="{F35EE8F1-050B-49F4-AF0E-56CC0FD675AC}">
      <text>
        <t>[Comentário encadeado]
Sua versão do Excel permite que você leia este comentário encadeado, no entanto, as edições serão removidas se o arquivo for aberto em uma versão mais recente do Excel. Saiba mais: https://go.microsoft.com/fwlink/?linkid=870924
Comentário:
    22/05 a 01/06/26 folga de João - veículo ficou na responsabilidade de Carlos, para ser compartilhado também com Caio e Nilberto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Administrativo2</author>
  </authors>
  <commentList>
    <comment ref="B47" authorId="0" shapeId="0" xr:uid="{6A9F014D-CF16-49D8-90C6-A253E3396BE7}">
      <text>
        <r>
          <rPr>
            <b/>
            <sz val="9"/>
            <color indexed="81"/>
            <rFont val="Segoe UI"/>
            <family val="2"/>
          </rPr>
          <t>Retirada veículo TJM2E88 - 04/11/2025</t>
        </r>
        <r>
          <rPr>
            <sz val="9"/>
            <color indexed="81"/>
            <rFont val="Segoe UI"/>
            <family val="2"/>
          </rPr>
          <t xml:space="preserve">
</t>
        </r>
      </text>
    </comment>
    <comment ref="C51" authorId="0" shapeId="0" xr:uid="{02984734-5AE7-4515-B35B-D7322B1833F5}">
      <text>
        <r>
          <rPr>
            <b/>
            <sz val="9"/>
            <color indexed="81"/>
            <rFont val="Segoe UI"/>
            <family val="2"/>
          </rPr>
          <t>Willian iniciou as folgas no dia 13/12/25 e imendou com o recesso de final de ano (19/12 a 04/01), retornando as atividades só no dia 05/01/26 - Carro ficou parado na casa de Gerferson em Lajes.</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tc={18A51180-7AE3-41ED-8143-64D15E8C6935}</author>
    <author>Administrativo2</author>
    <author>tc={67DF15D3-0001-488A-B424-426DE6C280B9}</author>
    <author>tc={EBDD46EB-891F-4B01-9EFD-BBCA3FF1F65E}</author>
  </authors>
  <commentList>
    <comment ref="I2" authorId="0" shapeId="0" xr:uid="{18A51180-7AE3-41ED-8143-64D15E8C693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Contratado 3000km e em 23/02/26 conferindo a planilha de medição identifiquei que está sendo associada mensalidade de 4500km, devido as necessidades do projeto RSH de alguns carros ultrapassarem 3000km iremos manter os 4500km.
</t>
      </text>
    </comment>
    <comment ref="B47" authorId="1" shapeId="0" xr:uid="{1922B2D1-5C0F-4441-8F6C-3986DD8F0CFE}">
      <text>
        <r>
          <rPr>
            <b/>
            <sz val="9"/>
            <color indexed="81"/>
            <rFont val="Segoe UI"/>
            <family val="2"/>
          </rPr>
          <t xml:space="preserve">Retirada veículo 10/11/2025
</t>
        </r>
        <r>
          <rPr>
            <sz val="9"/>
            <color indexed="81"/>
            <rFont val="Segoe UI"/>
            <family val="2"/>
          </rPr>
          <t xml:space="preserve">
</t>
        </r>
      </text>
    </comment>
    <comment ref="N51" authorId="2" shapeId="0" xr:uid="{67DF15D3-0001-488A-B424-426DE6C280B9}">
      <text>
        <t>[Comentário encadeado]
Sua versão do Excel permite que você leia este comentário encadeado, no entanto, as edições serão removidas se o arquivo for aberto em uma versão mais recente do Excel. Saiba mais: https://go.microsoft.com/fwlink/?linkid=870924
Comentário:
    Abastecimento particular</t>
      </text>
    </comment>
    <comment ref="O51" authorId="3" shapeId="0" xr:uid="{EBDD46EB-891F-4B01-9EFD-BBCA3FF1F65E}">
      <text>
        <t>[Comentário encadeado]
Sua versão do Excel permite que você leia este comentário encadeado, no entanto, as edições serão removidas se o arquivo for aberto em uma versão mais recente do Excel. Saiba mais: https://go.microsoft.com/fwlink/?linkid=870924
Comentário:
    Abastecimento particular</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tc={9F1455B5-4589-4424-9144-FE61A5E3FB20}</author>
    <author>tc={D93BAD8E-584D-49B1-940E-CAACC64D3809}</author>
    <author>Administrativo2</author>
    <author>tc={1A6A5C1F-28F8-40FF-B699-83CA76BB5CFD}</author>
  </authors>
  <commentList>
    <comment ref="I3" authorId="0" shapeId="0" xr:uid="{9F1455B5-4589-4424-9144-FE61A5E3FB2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
      </text>
    </comment>
    <comment ref="K5" authorId="1" shapeId="0" xr:uid="{D93BAD8E-584D-49B1-940E-CAACC64D380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
      </text>
    </comment>
    <comment ref="B52" authorId="2" shapeId="0" xr:uid="{3193FA9F-DF7E-4333-A216-AB3B83BAD6A7}">
      <text>
        <r>
          <rPr>
            <sz val="9"/>
            <color indexed="81"/>
            <rFont val="Segoe UI"/>
            <family val="2"/>
          </rPr>
          <t xml:space="preserve">TDA9D62 - Locado em 04/12/2025
</t>
        </r>
      </text>
    </comment>
    <comment ref="C76" authorId="3" shapeId="0" xr:uid="{1A6A5C1F-28F8-40FF-B699-83CA76BB5CF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tc={F0244721-2068-4740-ADA8-81C7462B9D36}</author>
  </authors>
  <commentList>
    <comment ref="D11" authorId="0" shapeId="0" xr:uid="{F0244721-2068-4740-ADA8-81C7462B9D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Retirada 18/01/2026
</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tc={C809118D-2ADE-4C0D-9E1E-1AE1BF64B3DC}</author>
  </authors>
  <commentList>
    <comment ref="D19" authorId="0" shapeId="0" xr:uid="{C809118D-2ADE-4C0D-9E1E-1AE1BF64B3DC}">
      <text>
        <t>[Comentário encadeado]
Sua versão do Excel permite que você leia este comentário encadeado, no entanto, as edições serão removidas se o arquivo for aberto em uma versão mais recente do Excel. Saiba mais: https://go.microsoft.com/fwlink/?linkid=870924
Comentário:
    Locação 20/04/2026</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tc={32EB8B4E-9987-4CE1-8DB9-F3A3C610B3D6}</author>
  </authors>
  <commentList>
    <comment ref="B27" authorId="0" shapeId="0" xr:uid="{32EB8B4E-9987-4CE1-8DB9-F3A3C610B3D6}">
      <text>
        <t>[Comentário encadeado]
Sua versão do Excel permite que você leia este comentário encadeado, no entanto, as edições serão removidas se o arquivo for aberto em uma versão mais recente do Excel. Saiba mais: https://go.microsoft.com/fwlink/?linkid=870924
Comentário:
    LOCAÇÃO 07/06/2026</t>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tc={19C550D2-B550-4133-93FA-FF5C9F875EF2}</author>
    <author>Administrativo2</author>
    <author>tc={419DC0D1-5119-44E8-8886-A7B4889BE680}</author>
    <author>tc={F1C08983-3A05-4B19-A1D3-4385E17FADA1}</author>
    <author>tc={33504218-8E56-4BA4-BE69-869DAF5719B8}</author>
    <author>tc={8979A5B4-44DA-4AD4-B0CA-ADA97A20CC74}</author>
  </authors>
  <commentList>
    <comment ref="I3" authorId="0" shapeId="0" xr:uid="{19C550D2-B550-4133-93FA-FF5C9F875EF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Troca de condutor de Iranildo para Diego Parisio 13/03/26 55.705km
</t>
      </text>
    </comment>
    <comment ref="D39" authorId="1" shapeId="0" xr:uid="{510CDD45-991B-4E8A-81C5-FE0730258C0E}">
      <text>
        <r>
          <rPr>
            <b/>
            <sz val="9"/>
            <color indexed="81"/>
            <rFont val="Segoe UI"/>
            <family val="2"/>
          </rPr>
          <t xml:space="preserve">Locado em 22/09/2025
</t>
        </r>
        <r>
          <rPr>
            <sz val="9"/>
            <color indexed="81"/>
            <rFont val="Segoe UI"/>
            <family val="2"/>
          </rPr>
          <t xml:space="preserve">
</t>
        </r>
      </text>
    </comment>
    <comment ref="AF43" authorId="1" shapeId="0" xr:uid="{9468DA0F-519D-4A2C-9562-B2533D3CD56A}">
      <text>
        <r>
          <rPr>
            <b/>
            <sz val="9"/>
            <color indexed="81"/>
            <rFont val="Segoe UI"/>
            <family val="2"/>
          </rPr>
          <t xml:space="preserve">vulcanização
</t>
        </r>
        <r>
          <rPr>
            <sz val="9"/>
            <color indexed="81"/>
            <rFont val="Segoe UI"/>
            <family val="2"/>
          </rPr>
          <t xml:space="preserve">
</t>
        </r>
      </text>
    </comment>
    <comment ref="E59" authorId="2" shapeId="0" xr:uid="{419DC0D1-5119-44E8-8886-A7B4889BE680}">
      <text>
        <t>[Comentário encadeado]
Sua versão do Excel permite que você leia este comentário encadeado, no entanto, as edições serão removidas se o arquivo for aberto em uma versão mais recente do Excel. Saiba mais: https://go.microsoft.com/fwlink/?linkid=870924
Comentário:
    21/02 a 02/03 - folga Iranildo</t>
      </text>
    </comment>
    <comment ref="C63" authorId="3" shapeId="0" xr:uid="{F1C08983-3A05-4B19-A1D3-4385E17FADA1}">
      <text>
        <t>[Comentário encadeado]
Sua versão do Excel permite que você leia este comentário encadeado, no entanto, as edições serão removidas se o arquivo for aberto em uma versão mais recente do Excel. Saiba mais: https://go.microsoft.com/fwlink/?linkid=870924
Comentário:
    Troca de condutor de Iranildo para Diego Parisio 13/03/26 55.705km</t>
      </text>
    </comment>
    <comment ref="E63" authorId="4" shapeId="0" xr:uid="{33504218-8E56-4BA4-BE69-869DAF5719B8}">
      <text>
        <t>[Comentário encadeado]
Sua versão do Excel permite que você leia este comentário encadeado, no entanto, as edições serão removidas se o arquivo for aberto em uma versão mais recente do Excel. Saiba mais: https://go.microsoft.com/fwlink/?linkid=870924
Comentário:
    Diego Parisio foi desmobilizado do projeto em 26/03/26 e o veículo permaneceu lá até a chegada do novo profissional</t>
      </text>
    </comment>
    <comment ref="C67" authorId="5" shapeId="0" xr:uid="{8979A5B4-44DA-4AD4-B0CA-ADA97A20CC7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Como não chegou o novo profissional o cliente informou que não estaria em medição e precisou devolver de imediato - Devolvido em 10/04/26 por Iranildo 
Responder:
    Diego Parisio foi desmobilizado do projeto em 26/03/26 e o veículo permaneceu lá até a chegada do novo profissional
</t>
      </text>
    </comment>
  </commentList>
</comments>
</file>

<file path=xl/sharedStrings.xml><?xml version="1.0" encoding="utf-8"?>
<sst xmlns="http://schemas.openxmlformats.org/spreadsheetml/2006/main" count="8648" uniqueCount="113">
  <si>
    <t>Veiculo</t>
  </si>
  <si>
    <t>Placa:</t>
  </si>
  <si>
    <t xml:space="preserve">Contrato de Locação </t>
  </si>
  <si>
    <t>Fevereiro</t>
  </si>
  <si>
    <t>DATA</t>
  </si>
  <si>
    <t>KM (Rodados)</t>
  </si>
  <si>
    <t>1ª Leitura</t>
  </si>
  <si>
    <t>2ª Leitura</t>
  </si>
  <si>
    <t>3ª Leitura</t>
  </si>
  <si>
    <t>4ª Leitura</t>
  </si>
  <si>
    <t>15 dias Rodados</t>
  </si>
  <si>
    <t>30 dias Rodados</t>
  </si>
  <si>
    <t>Total Mensal</t>
  </si>
  <si>
    <t>Março</t>
  </si>
  <si>
    <t>Abril</t>
  </si>
  <si>
    <t>Maio</t>
  </si>
  <si>
    <t>Julho</t>
  </si>
  <si>
    <t>Agosto</t>
  </si>
  <si>
    <t>Setembro</t>
  </si>
  <si>
    <t>Outubro</t>
  </si>
  <si>
    <t>Novembro</t>
  </si>
  <si>
    <t>Dezembro</t>
  </si>
  <si>
    <t>VALOR</t>
  </si>
  <si>
    <t>TOTAL</t>
  </si>
  <si>
    <t>Junho</t>
  </si>
  <si>
    <t>LAVA_RAPIDO</t>
  </si>
  <si>
    <t>ABASTECIMENTO</t>
  </si>
  <si>
    <t>BORRACHARIA</t>
  </si>
  <si>
    <t>REGISTRO DE KM</t>
  </si>
  <si>
    <t>Rastreador</t>
  </si>
  <si>
    <t>KM MENSAL</t>
  </si>
  <si>
    <t>JAN</t>
  </si>
  <si>
    <t>FEV</t>
  </si>
  <si>
    <t>MAR</t>
  </si>
  <si>
    <t>ABR</t>
  </si>
  <si>
    <t>MAI</t>
  </si>
  <si>
    <t>JUN</t>
  </si>
  <si>
    <t>JUL</t>
  </si>
  <si>
    <t>AGO</t>
  </si>
  <si>
    <t>SET</t>
  </si>
  <si>
    <t>OUT</t>
  </si>
  <si>
    <t>NOV</t>
  </si>
  <si>
    <t>DEZ</t>
  </si>
  <si>
    <t xml:space="preserve">KM </t>
  </si>
  <si>
    <t>SALDO KM</t>
  </si>
  <si>
    <t>Medição</t>
  </si>
  <si>
    <t>CAR_30</t>
  </si>
  <si>
    <t>CAR_29</t>
  </si>
  <si>
    <t>CAR_28</t>
  </si>
  <si>
    <t>CAR_27</t>
  </si>
  <si>
    <t>CAR_26</t>
  </si>
  <si>
    <t>CAR_25</t>
  </si>
  <si>
    <t>CAR_08</t>
  </si>
  <si>
    <t>CAR_09</t>
  </si>
  <si>
    <t>CAR_10</t>
  </si>
  <si>
    <t>CAR_11</t>
  </si>
  <si>
    <t>CAR_12</t>
  </si>
  <si>
    <t>CAR_13</t>
  </si>
  <si>
    <t>CAR_14</t>
  </si>
  <si>
    <t>CAR_15</t>
  </si>
  <si>
    <t>CAR_16</t>
  </si>
  <si>
    <t>CAR_17</t>
  </si>
  <si>
    <t>CAR_18</t>
  </si>
  <si>
    <t>CAR_19</t>
  </si>
  <si>
    <t>CAR_20</t>
  </si>
  <si>
    <t>CAR_21</t>
  </si>
  <si>
    <t>CAR_22</t>
  </si>
  <si>
    <t>CAR_23</t>
  </si>
  <si>
    <t>CAR_24</t>
  </si>
  <si>
    <t>Lucro Car's</t>
  </si>
  <si>
    <t>Data mob.</t>
  </si>
  <si>
    <t>KM RODADO</t>
  </si>
  <si>
    <t>ONIX - SJE5A88  - 02/03/2024</t>
  </si>
  <si>
    <t>CAR_07</t>
  </si>
  <si>
    <t>CAR_06</t>
  </si>
  <si>
    <t>CAR_05</t>
  </si>
  <si>
    <t>LUCIANE</t>
  </si>
  <si>
    <t>ALIRE</t>
  </si>
  <si>
    <t>JOSEANE</t>
  </si>
  <si>
    <t>ERIKA</t>
  </si>
  <si>
    <t>Substituição (data)</t>
  </si>
  <si>
    <t>Modelo</t>
  </si>
  <si>
    <t>NOME DA OBRA</t>
  </si>
  <si>
    <t>T-Cross</t>
  </si>
  <si>
    <t>SWH5H35</t>
  </si>
  <si>
    <t>KM</t>
  </si>
  <si>
    <t>TEU0E78</t>
  </si>
  <si>
    <t>Tracker</t>
  </si>
  <si>
    <t>TES3J51</t>
  </si>
  <si>
    <t>Nivus</t>
  </si>
  <si>
    <t>TJD9D17</t>
  </si>
  <si>
    <t>TXB9I08</t>
  </si>
  <si>
    <t>Creta</t>
  </si>
  <si>
    <t>Nivus TES3J51</t>
  </si>
  <si>
    <t>Creta TXB9I08</t>
  </si>
  <si>
    <t>TJM2E88</t>
  </si>
  <si>
    <t>SWM9B65</t>
  </si>
  <si>
    <t>Dalta data</t>
  </si>
  <si>
    <t>S10</t>
  </si>
  <si>
    <t>TDA9D62</t>
  </si>
  <si>
    <t>Janeiro</t>
  </si>
  <si>
    <t>TXW4I66</t>
  </si>
  <si>
    <t>Troca de Condutor</t>
  </si>
  <si>
    <t>Condutores</t>
  </si>
  <si>
    <t>Iranildo para Diego Parisio</t>
  </si>
  <si>
    <t>TDX0E39</t>
  </si>
  <si>
    <t>Data Mob</t>
  </si>
  <si>
    <t>Unidas - 3s</t>
  </si>
  <si>
    <t>Renegade</t>
  </si>
  <si>
    <t>Data Desmob.</t>
  </si>
  <si>
    <t>UBT5H05</t>
  </si>
  <si>
    <t>TEU0E77</t>
  </si>
  <si>
    <t>Rogerio para Tony (Sede)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</si>
</sst>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R$&quot;\ * #,##0.00_-;\-&quot;R$&quot;\ * #,##0.00_-;_-&quot;R$&quot;\ * &quot;-&quot;??_-;_-@_-"/>
    <numFmt numFmtId="164" formatCode="_-[$R$-416]\ * #,##0.00_-;\-[$R$-416]\ * #,##0.00_-;_-[$R$-416]\ * &quot;-&quot;??_-;_-@_-"/>
    <numFmt numFmtId="165" formatCode="&quot;R$&quot;\ #,##0.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6"/>
      <color theme="1"/>
      <name val="Aptos Narrow"/>
      <family val="2"/>
      <scheme val="minor"/>
    </font>
    <font>
      <sz val="11"/>
      <color theme="5"/>
      <name val="Aptos Narrow"/>
      <family val="2"/>
      <scheme val="minor"/>
    </font>
    <font>
      <b/>
      <sz val="18"/>
      <color theme="1"/>
      <name val="Aptos Narrow"/>
      <family val="2"/>
      <scheme val="minor"/>
    </font>
    <font>
      <sz val="9"/>
      <color indexed="81"/>
      <name val="Segoe UI"/>
      <family val="2"/>
    </font>
    <font>
      <b/>
      <sz val="9"/>
      <color indexed="81"/>
      <name val="Segoe UI"/>
      <family val="2"/>
    </font>
    <font>
      <b/>
      <sz val="11"/>
      <color rgb="FFFF0000"/>
      <name val="Aptos Narrow"/>
      <family val="2"/>
      <scheme val="minor"/>
    </font>
    <font>
      <sz val="9"/>
      <color indexed="81"/>
      <name val="Segoe UI"/>
      <charset val="1"/>
    </font>
  </fonts>
  <fills count="11">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theme="3" tint="0.499984740745262"/>
        <bgColor indexed="64"/>
      </patternFill>
    </fill>
    <fill>
      <patternFill patternType="solid">
        <fgColor rgb="FFFFFF00"/>
        <bgColor indexed="64"/>
      </patternFill>
    </fill>
    <fill>
      <patternFill patternType="solid">
        <fgColor rgb="FF0070C0"/>
        <bgColor indexed="64"/>
      </patternFill>
    </fill>
    <fill>
      <patternFill patternType="solid">
        <fgColor theme="6" tint="0.39997558519241921"/>
        <bgColor indexed="64"/>
      </patternFill>
    </fill>
    <fill>
      <patternFill patternType="solid">
        <fgColor theme="8" tint="0.39997558519241921"/>
        <bgColor indexed="64"/>
      </patternFill>
    </fill>
  </fills>
  <borders count="2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s>
  <cellStyleXfs count="2">
    <xf numFmtId="0" fontId="0" fillId="0" borderId="0"/>
    <xf numFmtId="44" fontId="1" fillId="0" borderId="0" applyFont="0" applyFill="0" applyBorder="0" applyAlignment="0" applyProtection="0"/>
  </cellStyleXfs>
  <cellXfs count="92">
    <xf numFmtId="0" fontId="0" fillId="0" borderId="0" xfId="0"/>
    <xf numFmtId="0" fontId="0" fillId="0" borderId="0" xfId="0" applyAlignment="1">
      <alignment horizontal="center"/>
    </xf>
    <xf numFmtId="14" fontId="0" fillId="0" borderId="0" xfId="0" applyNumberFormat="1"/>
    <xf numFmtId="0" fontId="2" fillId="0" borderId="0" xfId="0" applyFont="1"/>
    <xf numFmtId="0" fontId="0" fillId="0" borderId="5" xfId="0" applyBorder="1"/>
    <xf numFmtId="0" fontId="0" fillId="0" borderId="6" xfId="0" applyBorder="1"/>
    <xf numFmtId="0" fontId="2" fillId="0" borderId="12" xfId="0" applyFont="1" applyBorder="1"/>
    <xf numFmtId="14" fontId="2" fillId="0" borderId="13" xfId="0" applyNumberFormat="1" applyFont="1" applyBorder="1"/>
    <xf numFmtId="14" fontId="2" fillId="0" borderId="0" xfId="0" applyNumberFormat="1" applyFont="1"/>
    <xf numFmtId="14" fontId="0" fillId="0" borderId="4" xfId="0" applyNumberFormat="1" applyBorder="1"/>
    <xf numFmtId="164" fontId="0" fillId="0" borderId="9" xfId="0" applyNumberFormat="1" applyBorder="1"/>
    <xf numFmtId="164" fontId="0" fillId="0" borderId="10" xfId="0" applyNumberFormat="1" applyBorder="1"/>
    <xf numFmtId="164" fontId="0" fillId="0" borderId="11" xfId="0" applyNumberFormat="1" applyBorder="1"/>
    <xf numFmtId="164" fontId="0" fillId="0" borderId="0" xfId="0" applyNumberFormat="1"/>
    <xf numFmtId="0" fontId="4" fillId="3" borderId="0" xfId="0" applyFont="1" applyFill="1" applyAlignment="1">
      <alignment horizontal="center"/>
    </xf>
    <xf numFmtId="0" fontId="0" fillId="3" borderId="0" xfId="0" applyFill="1"/>
    <xf numFmtId="0" fontId="2" fillId="3" borderId="0" xfId="0" applyFont="1" applyFill="1" applyAlignment="1">
      <alignment horizontal="center"/>
    </xf>
    <xf numFmtId="14" fontId="0" fillId="3" borderId="0" xfId="0" applyNumberFormat="1" applyFill="1"/>
    <xf numFmtId="14" fontId="2" fillId="3" borderId="0" xfId="0" applyNumberFormat="1" applyFont="1" applyFill="1" applyAlignment="1">
      <alignment horizontal="center"/>
    </xf>
    <xf numFmtId="0" fontId="2" fillId="0" borderId="0" xfId="0" applyFont="1" applyAlignment="1">
      <alignment horizontal="right"/>
    </xf>
    <xf numFmtId="0" fontId="0" fillId="0" borderId="17" xfId="0" applyBorder="1"/>
    <xf numFmtId="0" fontId="0" fillId="0" borderId="18" xfId="0" applyBorder="1"/>
    <xf numFmtId="0" fontId="2" fillId="0" borderId="3" xfId="0" applyFont="1" applyBorder="1" applyAlignment="1">
      <alignment horizontal="center"/>
    </xf>
    <xf numFmtId="0" fontId="2" fillId="0" borderId="3" xfId="0" applyFont="1" applyBorder="1"/>
    <xf numFmtId="0" fontId="2" fillId="0" borderId="23" xfId="0" applyFont="1" applyBorder="1"/>
    <xf numFmtId="0" fontId="2" fillId="0" borderId="24" xfId="0" applyFont="1" applyBorder="1"/>
    <xf numFmtId="0" fontId="0" fillId="0" borderId="16" xfId="0" applyBorder="1" applyAlignment="1">
      <alignment horizontal="center"/>
    </xf>
    <xf numFmtId="0" fontId="0" fillId="0" borderId="17" xfId="0" applyBorder="1" applyAlignment="1">
      <alignment horizontal="center"/>
    </xf>
    <xf numFmtId="0" fontId="2" fillId="0" borderId="12" xfId="0" applyFont="1" applyBorder="1" applyAlignment="1">
      <alignment horizontal="left"/>
    </xf>
    <xf numFmtId="14" fontId="2" fillId="0" borderId="13" xfId="0" applyNumberFormat="1" applyFont="1" applyBorder="1" applyAlignment="1">
      <alignment horizontal="left"/>
    </xf>
    <xf numFmtId="44" fontId="0" fillId="0" borderId="9" xfId="1" applyFont="1" applyBorder="1"/>
    <xf numFmtId="44" fontId="0" fillId="0" borderId="10" xfId="1" applyFont="1" applyBorder="1"/>
    <xf numFmtId="44" fontId="0" fillId="0" borderId="11" xfId="1" applyFont="1" applyBorder="1"/>
    <xf numFmtId="0" fontId="2" fillId="0" borderId="23" xfId="0" applyFont="1" applyBorder="1" applyAlignment="1">
      <alignment horizontal="center"/>
    </xf>
    <xf numFmtId="0" fontId="2" fillId="0" borderId="22" xfId="0" applyFont="1" applyBorder="1" applyAlignment="1">
      <alignment horizontal="center"/>
    </xf>
    <xf numFmtId="164" fontId="0" fillId="0" borderId="2" xfId="0" applyNumberFormat="1" applyBorder="1"/>
    <xf numFmtId="164" fontId="0" fillId="0" borderId="8" xfId="0" applyNumberFormat="1" applyBorder="1"/>
    <xf numFmtId="0" fontId="2" fillId="0" borderId="19" xfId="0" applyFont="1" applyBorder="1"/>
    <xf numFmtId="0" fontId="2" fillId="0" borderId="25" xfId="0" applyFont="1" applyBorder="1"/>
    <xf numFmtId="0" fontId="2" fillId="0" borderId="20" xfId="0" applyFont="1" applyBorder="1"/>
    <xf numFmtId="164" fontId="0" fillId="0" borderId="15" xfId="0" applyNumberFormat="1" applyBorder="1"/>
    <xf numFmtId="164" fontId="0" fillId="0" borderId="27" xfId="0" applyNumberFormat="1" applyBorder="1"/>
    <xf numFmtId="0" fontId="0" fillId="0" borderId="15" xfId="0" applyBorder="1" applyAlignment="1">
      <alignment horizontal="center"/>
    </xf>
    <xf numFmtId="0" fontId="0" fillId="0" borderId="2" xfId="0" applyBorder="1" applyAlignment="1">
      <alignment horizontal="center"/>
    </xf>
    <xf numFmtId="0" fontId="0" fillId="0" borderId="10" xfId="0" applyBorder="1" applyAlignment="1">
      <alignment horizontal="center"/>
    </xf>
    <xf numFmtId="0" fontId="0" fillId="0" borderId="26" xfId="0" applyBorder="1" applyAlignment="1">
      <alignment horizontal="center"/>
    </xf>
    <xf numFmtId="0" fontId="0" fillId="0" borderId="7" xfId="0" applyBorder="1" applyAlignment="1">
      <alignment horizontal="center"/>
    </xf>
    <xf numFmtId="0" fontId="0" fillId="0" borderId="9" xfId="0" applyBorder="1" applyAlignment="1">
      <alignment horizontal="center"/>
    </xf>
    <xf numFmtId="44" fontId="0" fillId="0" borderId="18" xfId="1" applyFont="1" applyBorder="1"/>
    <xf numFmtId="44" fontId="0" fillId="0" borderId="21" xfId="1" applyFont="1" applyBorder="1"/>
    <xf numFmtId="44" fontId="0" fillId="0" borderId="3" xfId="1" applyFont="1" applyBorder="1"/>
    <xf numFmtId="0" fontId="0" fillId="0" borderId="23" xfId="0" applyBorder="1"/>
    <xf numFmtId="0" fontId="0" fillId="0" borderId="3" xfId="0" applyBorder="1"/>
    <xf numFmtId="0" fontId="2" fillId="2" borderId="0" xfId="0" applyFont="1" applyFill="1"/>
    <xf numFmtId="44" fontId="0" fillId="0" borderId="1" xfId="1" applyFont="1" applyBorder="1"/>
    <xf numFmtId="0" fontId="2" fillId="0" borderId="22" xfId="0" applyFont="1" applyBorder="1"/>
    <xf numFmtId="44" fontId="0" fillId="0" borderId="16" xfId="1" applyFont="1" applyBorder="1"/>
    <xf numFmtId="44" fontId="0" fillId="0" borderId="17" xfId="1" applyFont="1" applyBorder="1"/>
    <xf numFmtId="0" fontId="0" fillId="0" borderId="4" xfId="0" applyBorder="1" applyAlignment="1">
      <alignment horizontal="center"/>
    </xf>
    <xf numFmtId="0" fontId="0" fillId="0" borderId="5" xfId="0" applyBorder="1" applyAlignment="1">
      <alignment horizontal="center"/>
    </xf>
    <xf numFmtId="164" fontId="0" fillId="0" borderId="5" xfId="0" applyNumberFormat="1" applyBorder="1"/>
    <xf numFmtId="164" fontId="0" fillId="0" borderId="6" xfId="0" applyNumberFormat="1" applyBorder="1"/>
    <xf numFmtId="44" fontId="0" fillId="0" borderId="16" xfId="0" applyNumberFormat="1" applyBorder="1"/>
    <xf numFmtId="0" fontId="2" fillId="8" borderId="22" xfId="0" applyFont="1" applyFill="1" applyBorder="1"/>
    <xf numFmtId="0" fontId="2" fillId="9" borderId="22" xfId="0" applyFont="1" applyFill="1" applyBorder="1"/>
    <xf numFmtId="0" fontId="2" fillId="10" borderId="23" xfId="0" applyFont="1" applyFill="1" applyBorder="1"/>
    <xf numFmtId="14" fontId="0" fillId="0" borderId="5" xfId="0" applyNumberFormat="1" applyBorder="1"/>
    <xf numFmtId="14" fontId="0" fillId="0" borderId="1" xfId="1" applyNumberFormat="1" applyFont="1" applyBorder="1"/>
    <xf numFmtId="0" fontId="0" fillId="0" borderId="1" xfId="1" applyNumberFormat="1" applyFont="1" applyBorder="1" applyAlignment="1">
      <alignment horizontal="center"/>
    </xf>
    <xf numFmtId="14" fontId="0" fillId="0" borderId="1" xfId="1" applyNumberFormat="1" applyFont="1" applyBorder="1" applyAlignment="1">
      <alignment horizontal="center"/>
    </xf>
    <xf numFmtId="44" fontId="0" fillId="0" borderId="1" xfId="1" applyFont="1" applyBorder="1" applyAlignment="1">
      <alignment horizontal="center"/>
    </xf>
    <xf numFmtId="0" fontId="9" fillId="0" borderId="0" xfId="0" applyFont="1" applyAlignment="1">
      <alignment horizontal="right"/>
    </xf>
    <xf numFmtId="14" fontId="0" fillId="0" borderId="6" xfId="0" applyNumberFormat="1" applyBorder="1"/>
    <xf numFmtId="0" fontId="2" fillId="0" borderId="0" xfId="0" applyFont="1" applyAlignment="1">
      <alignment horizontal="right" vertical="center"/>
    </xf>
    <xf numFmtId="0" fontId="2" fillId="4" borderId="14" xfId="0" applyFont="1" applyFill="1" applyBorder="1" applyAlignment="1">
      <alignment horizontal="center"/>
    </xf>
    <xf numFmtId="0" fontId="2" fillId="5" borderId="0" xfId="0" applyFont="1" applyFill="1" applyAlignment="1">
      <alignment horizontal="center"/>
    </xf>
    <xf numFmtId="0" fontId="2" fillId="6" borderId="14" xfId="0" applyFont="1" applyFill="1" applyBorder="1" applyAlignment="1">
      <alignment horizontal="center"/>
    </xf>
    <xf numFmtId="0" fontId="2" fillId="7" borderId="14" xfId="0" applyFont="1" applyFill="1" applyBorder="1" applyAlignment="1">
      <alignment horizontal="center"/>
    </xf>
    <xf numFmtId="0" fontId="2" fillId="0" borderId="0" xfId="0" applyFont="1" applyAlignment="1">
      <alignment horizontal="right" vertical="center"/>
    </xf>
    <xf numFmtId="0" fontId="0" fillId="0" borderId="1" xfId="0"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4" fillId="2" borderId="0" xfId="0" applyFont="1" applyFill="1" applyAlignment="1">
      <alignment horizontal="center"/>
    </xf>
    <xf numFmtId="14" fontId="2" fillId="2" borderId="0" xfId="0" applyNumberFormat="1" applyFont="1" applyFill="1" applyAlignment="1">
      <alignment horizontal="center"/>
    </xf>
    <xf numFmtId="0" fontId="2" fillId="2" borderId="0" xfId="0" applyFont="1" applyFill="1" applyAlignment="1">
      <alignment horizontal="center"/>
    </xf>
    <xf numFmtId="14" fontId="0" fillId="0" borderId="1" xfId="0" applyNumberFormat="1" applyBorder="1" applyAlignment="1">
      <alignment horizontal="center"/>
    </xf>
    <xf numFmtId="0" fontId="0" fillId="0" borderId="0" xfId="0" applyAlignment="1">
      <alignment horizontal="center"/>
    </xf>
    <xf numFmtId="0" fontId="6" fillId="2" borderId="0" xfId="0" applyFont="1" applyFill="1" applyAlignment="1">
      <alignment horizontal="center"/>
    </xf>
    <xf numFmtId="0" fontId="5" fillId="2" borderId="0" xfId="0" applyFont="1" applyFill="1" applyAlignment="1">
      <alignment horizontal="center"/>
    </xf>
    <xf numFmtId="0" fontId="2" fillId="2" borderId="14" xfId="0" applyFont="1" applyFill="1" applyBorder="1" applyAlignment="1">
      <alignment horizontal="center"/>
    </xf>
    <xf numFmtId="0" fontId="2" fillId="0" borderId="28" xfId="0" applyFont="1" applyBorder="1" applyAlignment="1">
      <alignment horizontal="right" vertical="center"/>
    </xf>
    <xf numFmtId="0" fontId="2" fillId="5" borderId="14" xfId="0" applyFont="1" applyFill="1" applyBorder="1" applyAlignment="1">
      <alignment horizontal="center"/>
    </xf>
  </cellXfs>
  <cellStyles count="2">
    <cellStyle name="Mo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pt-BR"/>
              <a:t>Despesas Carros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pt-BR"/>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RESUMO!$A$6</c:f>
              <c:strCache>
                <c:ptCount val="1"/>
                <c:pt idx="0">
                  <c:v>ABASTECIMENTO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RESUMO!$B$6:$M$6</c:f>
              <c:numCache>
                <c:formatCode>_("R$"* #,##0.00_);_("R$"* \(#,##0.00\);_("R$"* "-"??_);_(@_)</c:formatCode>
                <c:ptCount val="12"/>
                <c:pt idx="0">
                  <c:v>0</c:v>
                </c:pt>
                <c:pt idx="1">
                  <c:v>1473.8899999999999</c:v>
                </c:pt>
                <c:pt idx="2">
                  <c:v>1722.3199999999997</c:v>
                </c:pt>
                <c:pt idx="3">
                  <c:v>0</c:v>
                </c:pt>
                <c:pt idx="4">
                  <c:v>0</c:v>
                </c:pt>
                <c:pt idx="5">
                  <c:v>0</c:v>
                </c:pt>
                <c:pt idx="6">
                  <c:v>0</c:v>
                </c:pt>
                <c:pt idx="7">
                  <c:v>0</c:v>
                </c:pt>
                <c:pt idx="8">
                  <c:v>1191.8599999999999</c:v>
                </c:pt>
                <c:pt idx="9">
                  <c:v>3520.35</c:v>
                </c:pt>
                <c:pt idx="10">
                  <c:v>4647.05</c:v>
                </c:pt>
                <c:pt idx="11">
                  <c:v>4444.43</c:v>
                </c:pt>
              </c:numCache>
            </c:numRef>
          </c:val>
          <c:extLst>
            <c:ext xmlns:c16="http://schemas.microsoft.com/office/drawing/2014/chart" uri="{C3380CC4-5D6E-409C-BE32-E72D297353CC}">
              <c16:uniqueId val="{00000000-323D-4505-9075-AF1DF82A958E}"/>
            </c:ext>
          </c:extLst>
        </c:ser>
        <c:ser>
          <c:idx val="1"/>
          <c:order val="1"/>
          <c:tx>
            <c:strRef>
              <c:f>RESUMO!$A$7</c:f>
              <c:strCache>
                <c:ptCount val="1"/>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RESUMO!$B$7:$M$7</c:f>
              <c:numCache>
                <c:formatCode>General</c:formatCode>
                <c:ptCount val="12"/>
              </c:numCache>
            </c:numRef>
          </c:val>
          <c:extLst>
            <c:ext xmlns:c16="http://schemas.microsoft.com/office/drawing/2014/chart" uri="{C3380CC4-5D6E-409C-BE32-E72D297353CC}">
              <c16:uniqueId val="{00000001-323D-4505-9075-AF1DF82A958E}"/>
            </c:ext>
          </c:extLst>
        </c:ser>
        <c:ser>
          <c:idx val="2"/>
          <c:order val="2"/>
          <c:tx>
            <c:strRef>
              <c:f>RESUMO!$A$8</c:f>
              <c:strCache>
                <c:ptCount val="1"/>
                <c:pt idx="0">
                  <c:v>LAVA_RAPIDO</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RESUMO!$B$8:$M$8</c:f>
              <c:numCache>
                <c:formatCode>_("R$"* #,##0.00_);_("R$"* \(#,##0.00\);_("R$"* "-"??_);_(@_)</c:formatCode>
                <c:ptCount val="12"/>
                <c:pt idx="0">
                  <c:v>0</c:v>
                </c:pt>
                <c:pt idx="1">
                  <c:v>0</c:v>
                </c:pt>
                <c:pt idx="2">
                  <c:v>120</c:v>
                </c:pt>
                <c:pt idx="3">
                  <c:v>0</c:v>
                </c:pt>
                <c:pt idx="4">
                  <c:v>0</c:v>
                </c:pt>
                <c:pt idx="5">
                  <c:v>0</c:v>
                </c:pt>
                <c:pt idx="6">
                  <c:v>0</c:v>
                </c:pt>
                <c:pt idx="7">
                  <c:v>0</c:v>
                </c:pt>
                <c:pt idx="8">
                  <c:v>0</c:v>
                </c:pt>
                <c:pt idx="9">
                  <c:v>0</c:v>
                </c:pt>
                <c:pt idx="10">
                  <c:v>115</c:v>
                </c:pt>
                <c:pt idx="11">
                  <c:v>230</c:v>
                </c:pt>
              </c:numCache>
            </c:numRef>
          </c:val>
          <c:extLst>
            <c:ext xmlns:c16="http://schemas.microsoft.com/office/drawing/2014/chart" uri="{C3380CC4-5D6E-409C-BE32-E72D297353CC}">
              <c16:uniqueId val="{00000002-323D-4505-9075-AF1DF82A958E}"/>
            </c:ext>
          </c:extLst>
        </c:ser>
        <c:ser>
          <c:idx val="3"/>
          <c:order val="3"/>
          <c:tx>
            <c:strRef>
              <c:f>RESUMO!$A$9</c:f>
              <c:strCache>
                <c:ptCount val="1"/>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RESUMO!$B$9:$M$9</c:f>
              <c:numCache>
                <c:formatCode>General</c:formatCode>
                <c:ptCount val="12"/>
              </c:numCache>
            </c:numRef>
          </c:val>
          <c:extLst>
            <c:ext xmlns:c16="http://schemas.microsoft.com/office/drawing/2014/chart" uri="{C3380CC4-5D6E-409C-BE32-E72D297353CC}">
              <c16:uniqueId val="{00000003-323D-4505-9075-AF1DF82A958E}"/>
            </c:ext>
          </c:extLst>
        </c:ser>
        <c:ser>
          <c:idx val="4"/>
          <c:order val="4"/>
          <c:tx>
            <c:strRef>
              <c:f>RESUMO!$A$10</c:f>
              <c:strCache>
                <c:ptCount val="1"/>
                <c:pt idx="0">
                  <c:v>BORRACHARIA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RESUMO!$B$10:$M$10</c:f>
              <c:numCache>
                <c:formatCode>_("R$"* #,##0.00_);_("R$"* \(#,##0.00\);_("R$"* "-"??_);_(@_)</c:formatCode>
                <c:ptCount val="12"/>
                <c:pt idx="0">
                  <c:v>0</c:v>
                </c:pt>
                <c:pt idx="1">
                  <c:v>0</c:v>
                </c:pt>
                <c:pt idx="2">
                  <c:v>0</c:v>
                </c:pt>
                <c:pt idx="3">
                  <c:v>0</c:v>
                </c:pt>
                <c:pt idx="4">
                  <c:v>0</c:v>
                </c:pt>
                <c:pt idx="5">
                  <c:v>0</c:v>
                </c:pt>
                <c:pt idx="6">
                  <c:v>0</c:v>
                </c:pt>
                <c:pt idx="7">
                  <c:v>0</c:v>
                </c:pt>
                <c:pt idx="8">
                  <c:v>0</c:v>
                </c:pt>
                <c:pt idx="9">
                  <c:v>50</c:v>
                </c:pt>
                <c:pt idx="10">
                  <c:v>0</c:v>
                </c:pt>
                <c:pt idx="11">
                  <c:v>70</c:v>
                </c:pt>
              </c:numCache>
            </c:numRef>
          </c:val>
          <c:extLst>
            <c:ext xmlns:c16="http://schemas.microsoft.com/office/drawing/2014/chart" uri="{C3380CC4-5D6E-409C-BE32-E72D297353CC}">
              <c16:uniqueId val="{00000004-323D-4505-9075-AF1DF82A958E}"/>
            </c:ext>
          </c:extLst>
        </c:ser>
        <c:ser>
          <c:idx val="5"/>
          <c:order val="5"/>
          <c:tx>
            <c:strRef>
              <c:f>RESUMO!$B$5</c:f>
              <c:strCache>
                <c:ptCount val="1"/>
                <c:pt idx="0">
                  <c:v>JAN</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val>
            <c:numRef>
              <c:f>RESUMO!$C$5:$M$5</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5-323D-4505-9075-AF1DF82A958E}"/>
            </c:ext>
          </c:extLst>
        </c:ser>
        <c:dLbls>
          <c:showLegendKey val="0"/>
          <c:showVal val="0"/>
          <c:showCatName val="0"/>
          <c:showSerName val="0"/>
          <c:showPercent val="0"/>
          <c:showBubbleSize val="0"/>
        </c:dLbls>
        <c:gapWidth val="150"/>
        <c:shape val="box"/>
        <c:axId val="2114339472"/>
        <c:axId val="2114330768"/>
        <c:axId val="0"/>
      </c:bar3DChart>
      <c:catAx>
        <c:axId val="211433947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0768"/>
        <c:crosses val="autoZero"/>
        <c:auto val="1"/>
        <c:lblAlgn val="ctr"/>
        <c:lblOffset val="100"/>
        <c:noMultiLvlLbl val="0"/>
      </c:catAx>
      <c:valAx>
        <c:axId val="2114330768"/>
        <c:scaling>
          <c:orientation val="minMax"/>
        </c:scaling>
        <c:delete val="0"/>
        <c:axPos val="l"/>
        <c:majorGridlines>
          <c:spPr>
            <a:ln w="9525" cap="flat" cmpd="sng" algn="ctr">
              <a:solidFill>
                <a:schemeClr val="dk1">
                  <a:lumMod val="50000"/>
                  <a:lumOff val="50000"/>
                </a:schemeClr>
              </a:solidFill>
              <a:round/>
            </a:ln>
            <a:effectLst/>
          </c:spPr>
        </c:majorGridlines>
        <c:numFmt formatCode="_(&quot;R$&quot;* #,##0.00_);_(&quot;R$&quot;* \(#,##0.00\);_(&quot;R$&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crossAx val="2114339472"/>
        <c:crosses val="autoZero"/>
        <c:crossBetween val="between"/>
      </c:valAx>
      <c:spPr>
        <a:noFill/>
        <a:ln>
          <a:noFill/>
        </a:ln>
        <a:effectLst/>
      </c:spPr>
    </c:plotArea>
    <c:legend>
      <c:legendPos val="b"/>
      <c:legendEntry>
        <c:idx val="1"/>
        <c:delete val="1"/>
      </c:legendEntry>
      <c:legendEntry>
        <c:idx val="3"/>
        <c:delete val="1"/>
      </c:legendEntry>
      <c:legendEntry>
        <c:idx val="5"/>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pt-B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pt-BR"/>
    </a:p>
  </c:txPr>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209549</xdr:colOff>
      <xdr:row>3</xdr:row>
      <xdr:rowOff>133350</xdr:rowOff>
    </xdr:from>
    <xdr:to>
      <xdr:col>24</xdr:col>
      <xdr:colOff>523874</xdr:colOff>
      <xdr:row>30</xdr:row>
      <xdr:rowOff>171450</xdr:rowOff>
    </xdr:to>
    <xdr:graphicFrame macro="">
      <xdr:nvGraphicFramePr>
        <xdr:cNvPr id="2" name="Gráfico 1">
          <a:extLst>
            <a:ext uri="{FF2B5EF4-FFF2-40B4-BE49-F238E27FC236}">
              <a16:creationId xmlns:a16="http://schemas.microsoft.com/office/drawing/2014/main" id="{154A4A2E-D4CB-C803-45D9-E7D769F79A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yla Rebello" id="{7D96F87F-6A14-4575-B513-9A750C08A9B9}" userId="72fde50ac0362adf" providerId="Windows Live"/>
  <person displayName="Office 6" id="{B0BED506-CBD4-4745-9D8F-86387E23F718}" userId="S::office.6@proyfebrasil.com.br::fdc362f8-eb02-4ca9-bcee-c84e19200558"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63" dT="2026-03-31T11:06:36.11" personId="{B0BED506-CBD4-4745-9D8F-86387E23F718}" id="{8EECC2FA-4FE3-4EA6-AFC8-1430DF33B75C}">
    <text>Telemetria: 23 a 24/03/26 estava em João Camara RN</text>
  </threadedComment>
  <threadedComment ref="B63" dT="2026-03-31T11:08:25.00" personId="{B0BED506-CBD4-4745-9D8F-86387E23F718}" id="{AE1661A0-29A2-42E7-9A6A-41C0933B3602}" parentId="{8EECC2FA-4FE3-4EA6-AFC8-1430DF33B75C}">
    <text>Telemetria: 28 a 29/03/26 sitio novo RN 101km de lajes_uso particular não solicitado</text>
  </threadedComment>
  <threadedComment ref="B75" dT="2026-06-15T18:52:54.53" personId="{B0BED506-CBD4-4745-9D8F-86387E23F718}" id="{8E4B6696-306E-4D11-A6B3-F6B59B33EA09}">
    <text>Uso autorizado Lajes x Sitio Novo RN: 12/06 26.512km a 15/06/26  26.693km - Utilizado 181km</text>
  </threadedComment>
</ThreadedComments>
</file>

<file path=xl/threadedComments/threadedComment2.xml><?xml version="1.0" encoding="utf-8"?>
<ThreadedComments xmlns="http://schemas.microsoft.com/office/spreadsheetml/2018/threadedcomments" xmlns:x="http://schemas.openxmlformats.org/spreadsheetml/2006/main">
  <threadedComment ref="B59" dT="2026-02-20T11:44:23.47" personId="{B0BED506-CBD4-4745-9D8F-86387E23F718}" id="{13F5F654-CFC8-4EF9-BB14-A07F52F38848}">
    <text>João Carlos - Uso particular não autorizado: 07/02 46.374km a 08/02/26 46.611km - Utilizado 237km
Enviou o e-mail de solicitação na sexta 06/02 às 17:43h e a viagem seria para o sábado, devido ao horário fora de expediente da sede não foi possível dar e retorno e mesmo assim João seguiu viagem.</text>
  </threadedComment>
  <threadedComment ref="E59" dT="2026-03-05T18:20:36.23" personId="{B0BED506-CBD4-4745-9D8F-86387E23F718}" id="{C40D8D98-85C0-42DD-94B8-3DD980681F18}">
    <text>Folga de 21/02 a 01/03/26 - veículo na residência de João Carlos</text>
  </threadedComment>
  <threadedComment ref="E63" dT="2026-04-06T19:57:46.78" personId="{B0BED506-CBD4-4745-9D8F-86387E23F718}" id="{CFE06842-3A8A-4A20-A03E-9DA54B76E46E}">
    <text>Houve Uso Intitulado por "diversos" verificar</text>
  </threadedComment>
  <threadedComment ref="C71" dT="2026-05-15T13:15:14.26" personId="{B0BED506-CBD4-4745-9D8F-86387E23F718}" id="{292A3BF5-4FDE-4779-91DF-EB7D5EDD5F8F}">
    <text xml:space="preserve">João solicitou substituição do veículo - na conversa em 15/05/26 expliquei a ele que está com excedente porque pela franquia seria para utilizar até 19.500km e de novembro até final do dia 14/05/26 utilizou 20.187km </text>
  </threadedComment>
  <threadedComment ref="C71" dT="2026-05-20T11:06:35.53" personId="{B0BED506-CBD4-4745-9D8F-86387E23F718}" id="{2A8E377F-FBBA-44B7-881C-5E6136774319}" parentId="{292A3BF5-4FDE-4779-91DF-EB7D5EDD5F8F}">
    <text>20.187 - 19.500km = 687 x 1,20 (valor por km excedente) = 824,40 + 15% tx adm. Unidas = 948,06</text>
  </threadedComment>
  <threadedComment ref="C71" dT="2026-05-20T11:15:58.60" personId="{B0BED506-CBD4-4745-9D8F-86387E23F718}" id="{8E7886DF-5708-4FCA-85FC-E847521779CD}" parentId="{292A3BF5-4FDE-4779-91DF-EB7D5EDD5F8F}">
    <text>Porém, no contrato de locação deste veículo consta que foi locado com 43.739km (mas na foto do painel na retirada consta 37.234km) - se utilizarmos o km que está no contrato 43.739 - 57.421km = 13.682km, assim não constaria como excedente já que até 15 de maio pela franquia poderíamos utilizar 19.500km.</text>
  </threadedComment>
  <threadedComment ref="E71" dT="2026-05-22T12:12:01.45" personId="{B0BED506-CBD4-4745-9D8F-86387E23F718}" id="{67FAE774-2358-46BA-878A-D0D5659B965F}">
    <text>Devolução_substituição 21/05/2026</text>
  </threadedComment>
  <threadedComment ref="D75" dT="2026-05-22T12:13:53.21" personId="{B0BED506-CBD4-4745-9D8F-86387E23F718}" id="{48857EFB-4A3C-40DA-8FFF-00B54D1886C9}">
    <text>Substituição_Retirada 21/05/2026</text>
  </threadedComment>
  <threadedComment ref="E75" dT="2026-06-04T15:01:10.18" personId="{B0BED506-CBD4-4745-9D8F-86387E23F718}" id="{F35EE8F1-050B-49F4-AF0E-56CC0FD675AC}">
    <text>22/05 a 01/06/26 folga de João - veículo ficou na responsabilidade de Carlos, para ser compartilhado também com Caio e Nilberto</text>
  </threadedComment>
</ThreadedComments>
</file>

<file path=xl/threadedComments/threadedComment3.xml><?xml version="1.0" encoding="utf-8"?>
<ThreadedComments xmlns="http://schemas.microsoft.com/office/spreadsheetml/2018/threadedcomments" xmlns:x="http://schemas.openxmlformats.org/spreadsheetml/2006/main">
  <threadedComment ref="I2" dT="2026-02-23T14:23:59.22" personId="{B0BED506-CBD4-4745-9D8F-86387E23F718}" id="{18A51180-7AE3-41ED-8143-64D15E8C6935}">
    <text xml:space="preserve">Contratado 3000km e em 23/02/26 conferindo a planilha de medição identifiquei que está sendo associada mensalidade de 4500km, devido as necessidades do projeto RSH de alguns carros ultrapassarem 3000km iremos manter os 4500km.
</text>
  </threadedComment>
  <threadedComment ref="N51" dT="2026-01-14T11:21:00.59" personId="{7D96F87F-6A14-4575-B513-9A750C08A9B9}" id="{67DF15D3-0001-488A-B424-426DE6C280B9}">
    <text>Abastecimento particular</text>
  </threadedComment>
  <threadedComment ref="O51" dT="2026-01-14T11:21:12.18" personId="{7D96F87F-6A14-4575-B513-9A750C08A9B9}" id="{EBDD46EB-891F-4B01-9EFD-BBCA3FF1F65E}">
    <text>Abastecimento particular</text>
  </threadedComment>
</ThreadedComments>
</file>

<file path=xl/threadedComments/threadedComment4.xml><?xml version="1.0" encoding="utf-8"?>
<ThreadedComments xmlns="http://schemas.microsoft.com/office/spreadsheetml/2018/threadedcomments" xmlns:x="http://schemas.openxmlformats.org/spreadsheetml/2006/main">
  <threadedComment ref="I3" dT="2026-06-15T14:27:31.19" personId="{B0BED506-CBD4-4745-9D8F-86387E23F718}" id="{9F1455B5-4589-4424-9144-FE61A5E3FB20}">
    <text xml:space="preserve">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ext>
  </threadedComment>
  <threadedComment ref="K5" dT="2026-06-15T14:25:28.51" personId="{B0BED506-CBD4-4745-9D8F-86387E23F718}" id="{D93BAD8E-584D-49B1-940E-CAACC64D3809}">
    <text xml:space="preserve">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ext>
  </threadedComment>
  <threadedComment ref="C76" dT="2026-06-15T14:49:17.37" personId="{B0BED506-CBD4-4745-9D8F-86387E23F718}" id="{1A6A5C1F-28F8-40FF-B699-83CA76BB5CFD}">
    <text xml:space="preserve">S10 TDA9D62 41.584km - Rogerio Salustiano (25.018 RSH) devolveu o veículo na sede da Proyfe em 15/06/26 por orientação nossa, pois o veículo será utilizado por Tony Laboratorista para viagem programada 16 a 23/06/26 projeto 25016_Cisalhamento Direto – Cajazeiras-PB - Alya, como na locadora não tinha disponibilidade de veículo 4x4 para o período supracitado aproveitamos o veículo que o Rogerio já iria devolver neste dia 15/06/26.
</text>
  </threadedComment>
</ThreadedComments>
</file>

<file path=xl/threadedComments/threadedComment5.xml><?xml version="1.0" encoding="utf-8"?>
<ThreadedComments xmlns="http://schemas.microsoft.com/office/spreadsheetml/2018/threadedcomments" xmlns:x="http://schemas.openxmlformats.org/spreadsheetml/2006/main">
  <threadedComment ref="D11" dT="2026-02-09T13:35:04.71" personId="{B0BED506-CBD4-4745-9D8F-86387E23F718}" id="{F0244721-2068-4740-ADA8-81C7462B9D36}">
    <text xml:space="preserve">Retirada 18/01/2026
</text>
  </threadedComment>
</ThreadedComments>
</file>

<file path=xl/threadedComments/threadedComment6.xml><?xml version="1.0" encoding="utf-8"?>
<ThreadedComments xmlns="http://schemas.microsoft.com/office/spreadsheetml/2018/threadedcomments" xmlns:x="http://schemas.openxmlformats.org/spreadsheetml/2006/main">
  <threadedComment ref="D19" dT="2026-04-22T11:11:07.97" personId="{B0BED506-CBD4-4745-9D8F-86387E23F718}" id="{C809118D-2ADE-4C0D-9E1E-1AE1BF64B3DC}">
    <text>Locação 20/04/2026</text>
  </threadedComment>
</ThreadedComments>
</file>

<file path=xl/threadedComments/threadedComment7.xml><?xml version="1.0" encoding="utf-8"?>
<ThreadedComments xmlns="http://schemas.microsoft.com/office/spreadsheetml/2018/threadedcomments" xmlns:x="http://schemas.openxmlformats.org/spreadsheetml/2006/main">
  <threadedComment ref="B27" dT="2026-06-10T13:01:38.99" personId="{B0BED506-CBD4-4745-9D8F-86387E23F718}" id="{32EB8B4E-9987-4CE1-8DB9-F3A3C610B3D6}">
    <text>LOCAÇÃO 07/06/2026</text>
  </threadedComment>
</ThreadedComments>
</file>

<file path=xl/threadedComments/threadedComment8.xml><?xml version="1.0" encoding="utf-8"?>
<ThreadedComments xmlns="http://schemas.microsoft.com/office/spreadsheetml/2018/threadedcomments" xmlns:x="http://schemas.openxmlformats.org/spreadsheetml/2006/main">
  <threadedComment ref="I3" dT="2026-03-16T17:56:36.91" personId="{B0BED506-CBD4-4745-9D8F-86387E23F718}" id="{19C550D2-B550-4133-93FA-FF5C9F875EF2}">
    <text xml:space="preserve">Troca de condutor de Iranildo para Diego Parisio 13/03/26 55.705km
</text>
  </threadedComment>
  <threadedComment ref="E59" dT="2026-03-09T18:09:05.37" personId="{B0BED506-CBD4-4745-9D8F-86387E23F718}" id="{419DC0D1-5119-44E8-8886-A7B4889BE680}">
    <text>21/02 a 02/03 - folga Iranildo</text>
  </threadedComment>
  <threadedComment ref="C63" dT="2026-03-16T17:55:21.64" personId="{B0BED506-CBD4-4745-9D8F-86387E23F718}" id="{F1C08983-3A05-4B19-A1D3-4385E17FADA1}">
    <text>Troca de condutor de Iranildo para Diego Parisio 13/03/26 55.705km</text>
  </threadedComment>
  <threadedComment ref="E63" dT="2026-04-02T11:56:40.99" personId="{B0BED506-CBD4-4745-9D8F-86387E23F718}" id="{33504218-8E56-4BA4-BE69-869DAF5719B8}">
    <text>Diego Parisio foi desmobilizado do projeto em 26/03/26 e o veículo permaneceu lá até a chegada do novo profissional</text>
  </threadedComment>
  <threadedComment ref="C67" dT="2026-04-24T13:58:33.53" personId="{B0BED506-CBD4-4745-9D8F-86387E23F718}" id="{8979A5B4-44DA-4AD4-B0CA-ADA97A20CC74}">
    <text xml:space="preserve">Como não chegou o novo profissional o cliente informou que não estaria em medição e precisou devolver de imediato - Devolvido em 10/04/26 por Iranildo </text>
  </threadedComment>
  <threadedComment ref="C67" dT="2026-04-24T14:06:43.23" personId="{B0BED506-CBD4-4745-9D8F-86387E23F718}" id="{DF35D61F-B59A-4D6D-8523-0F6D0D69948C}" parentId="{8979A5B4-44DA-4AD4-B0CA-ADA97A20CC74}">
    <text xml:space="preserve">Diego Parisio foi desmobilizado do projeto em 26/03/26 e o veículo permaneceu lá até a chegada do novo profissional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10.xml"/><Relationship Id="rId1"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9"/>
  <sheetViews>
    <sheetView showGridLines="0" workbookViewId="0">
      <selection activeCell="A3" sqref="A3"/>
    </sheetView>
  </sheetViews>
  <sheetFormatPr defaultRowHeight="15" x14ac:dyDescent="0.25"/>
  <cols>
    <col min="1" max="1" width="20.140625" bestFit="1" customWidth="1"/>
    <col min="2" max="2" width="13.28515625" bestFit="1" customWidth="1"/>
    <col min="3" max="3" width="13.140625" bestFit="1" customWidth="1"/>
    <col min="4" max="7" width="12.140625" bestFit="1" customWidth="1"/>
    <col min="8" max="8" width="13.28515625" bestFit="1" customWidth="1"/>
    <col min="9" max="9" width="10.5703125" bestFit="1" customWidth="1"/>
    <col min="10" max="13" width="13.28515625" bestFit="1" customWidth="1"/>
  </cols>
  <sheetData>
    <row r="1" spans="1:25" x14ac:dyDescent="0.25">
      <c r="A1" s="87" t="s">
        <v>82</v>
      </c>
      <c r="B1" s="88"/>
      <c r="C1" s="88"/>
      <c r="D1" s="88"/>
      <c r="E1" s="88"/>
      <c r="F1" s="88"/>
      <c r="G1" s="88"/>
      <c r="H1" s="88"/>
      <c r="I1" s="88"/>
      <c r="J1" s="88"/>
      <c r="K1" s="88"/>
      <c r="L1" s="88"/>
      <c r="M1" s="88"/>
      <c r="N1" s="88"/>
      <c r="O1" s="88"/>
      <c r="P1" s="88"/>
      <c r="Q1" s="88"/>
      <c r="R1" s="88"/>
      <c r="S1" s="88"/>
      <c r="T1" s="88"/>
      <c r="U1" s="88"/>
      <c r="V1" s="88"/>
      <c r="W1" s="88"/>
      <c r="X1" s="88"/>
      <c r="Y1" s="88"/>
    </row>
    <row r="2" spans="1:25" x14ac:dyDescent="0.25">
      <c r="A2" s="88"/>
      <c r="B2" s="88"/>
      <c r="C2" s="88"/>
      <c r="D2" s="88"/>
      <c r="E2" s="88"/>
      <c r="F2" s="88"/>
      <c r="G2" s="88"/>
      <c r="H2" s="88"/>
      <c r="I2" s="88"/>
      <c r="J2" s="88"/>
      <c r="K2" s="88"/>
      <c r="L2" s="88"/>
      <c r="M2" s="88"/>
      <c r="N2" s="88"/>
      <c r="O2" s="88"/>
      <c r="P2" s="88"/>
      <c r="Q2" s="88"/>
      <c r="R2" s="88"/>
      <c r="S2" s="88"/>
      <c r="T2" s="88"/>
      <c r="U2" s="88"/>
      <c r="V2" s="88"/>
      <c r="W2" s="88"/>
      <c r="X2" s="88"/>
      <c r="Y2" s="88"/>
    </row>
    <row r="5" spans="1:25" ht="15.75" thickBot="1" x14ac:dyDescent="0.3">
      <c r="B5" s="53" t="s">
        <v>31</v>
      </c>
      <c r="C5" s="53" t="s">
        <v>32</v>
      </c>
      <c r="D5" s="53" t="s">
        <v>33</v>
      </c>
      <c r="E5" s="53" t="s">
        <v>34</v>
      </c>
      <c r="F5" s="53" t="s">
        <v>35</v>
      </c>
      <c r="G5" s="53" t="s">
        <v>36</v>
      </c>
      <c r="H5" s="53" t="s">
        <v>37</v>
      </c>
      <c r="I5" s="53" t="s">
        <v>38</v>
      </c>
      <c r="J5" s="53" t="s">
        <v>39</v>
      </c>
      <c r="K5" s="53" t="s">
        <v>40</v>
      </c>
      <c r="L5" s="53" t="s">
        <v>41</v>
      </c>
      <c r="M5" s="53" t="s">
        <v>42</v>
      </c>
    </row>
    <row r="6" spans="1:25" ht="15.75" thickBot="1" x14ac:dyDescent="0.3">
      <c r="A6" s="63" t="s">
        <v>26</v>
      </c>
      <c r="B6" s="62">
        <f>SUM('Controle Central'!D4+'Controle Central'!K4+'Controle Central'!R4+'Controle Central'!Y4+'Controle Central'!D23+'Controle Central'!K23+'Controle Central'!R23+'Controle Central'!Y23+'Controle Central'!D42+'Controle Central'!K42+'Controle Central'!R42+'Controle Central'!Y42+'Controle Central'!D61+'Controle Central'!K61+'Controle Central'!R61+'Controle Central'!Y61+'Controle Central'!D80+'Controle Central'!K80+'Controle Central'!R80+'Controle Central'!Y80+'Controle Central'!D98+'Controle Central'!K98+'Controle Central'!R98+'Controle Central'!Y98+'Controle Central'!D116+'Controle Central'!K116+'Controle Central'!R116+'Controle Central'!Y116+'Controle Central'!D134+'Controle Central'!K134)</f>
        <v>0</v>
      </c>
      <c r="C6" s="62">
        <f>SUM('Controle Central'!D5+'Controle Central'!K5+'Controle Central'!R5+'Controle Central'!Y5+'Controle Central'!D24+'Controle Central'!K24+'Controle Central'!R24+'Controle Central'!Y24+'Controle Central'!D43+'Controle Central'!K43+'Controle Central'!R43+'Controle Central'!Y43+'Controle Central'!D62+'Controle Central'!K62+'Controle Central'!R62+'Controle Central'!Y62+'Controle Central'!D81+'Controle Central'!K81+'Controle Central'!R81+'Controle Central'!D99+'Controle Central'!K99+'Controle Central'!R99+'Controle Central'!Y99+'Controle Central'!D117+'Controle Central'!K117+'Controle Central'!R117+'Controle Central'!Y117+'Controle Central'!D135+'Controle Central'!K135)</f>
        <v>1473.8899999999999</v>
      </c>
      <c r="D6" s="57">
        <f>SUM('Controle Central'!D6+'Controle Central'!K6+'Controle Central'!R6+'Controle Central'!Y6+'Controle Central'!D25+'Controle Central'!K25+'Controle Central'!R25+'Controle Central'!Y25+'Controle Central'!D44+'Controle Central'!K44+'Controle Central'!R44+'Controle Central'!Y44+'Controle Central'!D63+'Controle Central'!K63+'Controle Central'!R63+'Controle Central'!Y63+'Controle Central'!D82+'Controle Central'!K82+'Controle Central'!R82+'Controle Central'!Y82+'Controle Central'!D100+'Controle Central'!K100+'Controle Central'!R100+'Controle Central'!Y100+'Controle Central'!D118+'Controle Central'!K118+'Controle Central'!R118+'Controle Central'!Y118+'Controle Central'!D136+'Controle Central'!K136)</f>
        <v>1722.3199999999997</v>
      </c>
      <c r="E6" s="57">
        <f>'Controle Central'!D7+'Controle Central'!K7+'Controle Central'!R7+'Controle Central'!Y7+'Controle Central'!D26+'Controle Central'!K26+'Controle Central'!R26+'Controle Central'!Y26+'Controle Central'!D45+'Controle Central'!K45+'Controle Central'!R45+'Controle Central'!Y45+'Controle Central'!D64+'Controle Central'!K64+'Controle Central'!R64+'Controle Central'!D83+'Controle Central'!K83+'Controle Central'!R83+'Controle Central'!Y83+'Controle Central'!D101+'Controle Central'!K101+'Controle Central'!R101+'Controle Central'!Y101+'Controle Central'!D119+'Controle Central'!K119+'Controle Central'!R119+'Controle Central'!Y119+'Controle Central'!D137+'Controle Central'!K137</f>
        <v>0</v>
      </c>
      <c r="F6" s="57">
        <f>SUM('Controle Central'!D8+'Controle Central'!K8+'Controle Central'!R8+'Controle Central'!Y8+'Controle Central'!D27+'Controle Central'!K27+'Controle Central'!R27+'Controle Central'!Y27+'Controle Central'!D46+'Controle Central'!K46+'Controle Central'!R46+'Controle Central'!Y46+'Controle Central'!D65+'Controle Central'!K65+'Controle Central'!R65+'Controle Central'!Y65+'Controle Central'!D84+'Controle Central'!K84+'Controle Central'!R84+'Controle Central'!Y84+'Controle Central'!D102+'Controle Central'!K102+'Controle Central'!R102+'Controle Central'!Y102+'Controle Central'!D120+'Controle Central'!K120+'Controle Central'!R120+'Controle Central'!Y120+'Controle Central'!D138+'Controle Central'!K138)</f>
        <v>0</v>
      </c>
      <c r="G6" s="57">
        <f>SUM('Controle Central'!D9+'Controle Central'!K9+'Controle Central'!R9+'Controle Central'!Y9+'Controle Central'!D28+'Controle Central'!K28+'Controle Central'!R28+'Controle Central'!Y28+'Controle Central'!D47+'Controle Central'!K47+'Controle Central'!R47+'Controle Central'!Y47+'Controle Central'!D66+'Controle Central'!K66+'Controle Central'!R66+'Controle Central'!Y66+'Controle Central'!D85+'Controle Central'!K85+'Controle Central'!R85+'Controle Central'!Y85+'Controle Central'!D103+'Controle Central'!K103+'Controle Central'!R103+'Controle Central'!Y103+'Controle Central'!D121+'Controle Central'!K121+'Controle Central'!R121+'Controle Central'!Y121+'Controle Central'!D139+'Controle Central'!K139)</f>
        <v>0</v>
      </c>
      <c r="H6" s="57">
        <f>SUM('Controle Central'!D10+'Controle Central'!K10+'Controle Central'!R10+'Controle Central'!Y10+'Controle Central'!D29+'Controle Central'!K29+'Controle Central'!R29+'Controle Central'!D48+'Controle Central'!K48+'Controle Central'!R48+'Controle Central'!Y48+'Controle Central'!D67+'Controle Central'!K67+'Controle Central'!R67+'Controle Central'!Y67+'Controle Central'!D86+'Controle Central'!K86+'Controle Central'!R86+'Controle Central'!Y86+'Controle Central'!D104+'Controle Central'!K104+'Controle Central'!R104+'Controle Central'!Y104+'Controle Central'!D122+'Controle Central'!K122+'Controle Central'!R122+'Controle Central'!Y122+'Controle Central'!D140+'Controle Central'!K140)</f>
        <v>0</v>
      </c>
      <c r="I6" s="57">
        <f>SUM('Controle Central'!D11+'Controle Central'!K11+'Controle Central'!R11+'Controle Central'!Y11+'Controle Central'!D30+'Controle Central'!K30+'Controle Central'!R30+'Controle Central'!Y30+'Controle Central'!D49+'Controle Central'!K49+'Controle Central'!R49+'Controle Central'!Y49+'Controle Central'!D68+'Controle Central'!K68+'Controle Central'!R68+'Controle Central'!Y68+'Controle Central'!D87+'Controle Central'!K87+'Controle Central'!R87+'Controle Central'!Y87+'Controle Central'!D105+'Controle Central'!K105+'Controle Central'!R105+'Controle Central'!Y105+'Controle Central'!D123+'Controle Central'!K123+'Controle Central'!R123+'Controle Central'!Y123+'Controle Central'!D141+'Controle Central'!K141)</f>
        <v>0</v>
      </c>
      <c r="J6" s="57">
        <f>SUM('Controle Central'!D12+'Controle Central'!K12+'Controle Central'!R12+'Controle Central'!Y12+'Controle Central'!D31+'Controle Central'!K31+'Controle Central'!R31+'Controle Central'!Y31+'Controle Central'!D50+'Controle Central'!K50+'Controle Central'!R50+'Controle Central'!Y50+'Controle Central'!D69+'Controle Central'!K69+'Controle Central'!R69+'Controle Central'!Y69+'Controle Central'!D88+'Controle Central'!K88+'Controle Central'!R88+'Controle Central'!Y88+'Controle Central'!D106+'Controle Central'!K106+'Controle Central'!R106+'Controle Central'!Y106+'Controle Central'!D124+'Controle Central'!K124+'Controle Central'!R124+'Controle Central'!Y124+'Controle Central'!D142+'Controle Central'!K142)</f>
        <v>1191.8599999999999</v>
      </c>
      <c r="K6" s="57">
        <f>SUM('Controle Central'!D13+'Controle Central'!K13+'Controle Central'!R13+'Controle Central'!Y13+'Controle Central'!D32+'Controle Central'!K32+'Controle Central'!R32+'Controle Central'!Y32+'Controle Central'!D51+'Controle Central'!K51+'Controle Central'!R51+'Controle Central'!Y51+'Controle Central'!D70+'Controle Central'!K70+'Controle Central'!R70+'Controle Central'!Y70+'Controle Central'!D89+'Controle Central'!K89+'Controle Central'!R89+'Controle Central'!Y89+'Controle Central'!D107+'Controle Central'!K107+'Controle Central'!R107+'Controle Central'!Y107+'Controle Central'!D125+'Controle Central'!K125+'Controle Central'!R125+'Controle Central'!Y125+'Controle Central'!D143+'Controle Central'!K143)</f>
        <v>3520.35</v>
      </c>
      <c r="L6" s="57">
        <f>SUM('Controle Central'!D14+'Controle Central'!K14+'Controle Central'!R14+'Controle Central'!Y14+'Controle Central'!D33+'Controle Central'!K33+'Controle Central'!R33+'Controle Central'!Y33+'Controle Central'!D52+'Controle Central'!K52+'Controle Central'!R52+'Controle Central'!Y52+'Controle Central'!D71+'Controle Central'!K71+'Controle Central'!R71+'Controle Central'!Y71+'Controle Central'!D90+'Controle Central'!K90+'Controle Central'!R90+'Controle Central'!Y90+'Controle Central'!D108+'Controle Central'!K108+'Controle Central'!R108+'Controle Central'!Y108+'Controle Central'!D126+'Controle Central'!K126+'Controle Central'!R126+'Controle Central'!Y126+'Controle Central'!D144+'Controle Central'!K144)</f>
        <v>4647.05</v>
      </c>
      <c r="M6" s="48">
        <f>SUM('Controle Central'!D15+'Controle Central'!K15+'Controle Central'!R15+'Controle Central'!Y15+'Controle Central'!D34+'Controle Central'!K34+'Controle Central'!R34+'Controle Central'!Y34+'Controle Central'!D53+'Controle Central'!K53+'Controle Central'!R53+'Controle Central'!Y53+'Controle Central'!D72+'Controle Central'!K72+'Controle Central'!R72+'Controle Central'!Y72+'Controle Central'!D91+'Controle Central'!K91+'Controle Central'!R91+'Controle Central'!Y91+'Controle Central'!D109+'Controle Central'!K109+'Controle Central'!R109+'Controle Central'!Y109+'Controle Central'!D127+'Controle Central'!K127+'Controle Central'!R127+'Controle Central'!Y127+'Controle Central'!D145+'Controle Central'!K145)</f>
        <v>4444.43</v>
      </c>
    </row>
    <row r="7" spans="1:25" ht="15.75" thickBot="1" x14ac:dyDescent="0.3"/>
    <row r="8" spans="1:25" ht="15.75" thickBot="1" x14ac:dyDescent="0.3">
      <c r="A8" s="64" t="s">
        <v>25</v>
      </c>
      <c r="B8" s="56">
        <f>SUM('Controle Central'!E4+'Controle Central'!L4+'Controle Central'!S4+'Controle Central'!Z4+'Controle Central'!E23+'Controle Central'!L23+'Controle Central'!S23+'Controle Central'!Z23+'Controle Central'!E42+'Controle Central'!L42+'Controle Central'!S42+'Controle Central'!Z42+'Controle Central'!E61+'Controle Central'!L61+'Controle Central'!S61+'Controle Central'!Z61+'Controle Central'!E80+'Controle Central'!L80+'Controle Central'!S80+'Controle Central'!Z80+'Controle Central'!E98+'Controle Central'!L98+'Controle Central'!S98+'Controle Central'!Z98+'Controle Central'!E116+'Controle Central'!L116+'Controle Central'!S116+'Controle Central'!Z116+'Controle Central'!E134+'Controle Central'!L134)</f>
        <v>0</v>
      </c>
      <c r="C8" s="57">
        <f>SUM('Controle Central'!E5,'Controle Central'!L5,'Controle Central'!S5,'Controle Central'!Z5,'Controle Central'!E24,'Controle Central'!L24,'Controle Central'!S24,'Controle Central'!Z24,'Controle Central'!E43,'Controle Central'!L43,'Controle Central'!S43,'Controle Central'!Z43,'Controle Central'!E62,'Controle Central'!L62,'Controle Central'!S62,'Controle Central'!Z62,'Controle Central'!E81,'Controle Central'!L81,'Controle Central'!S81,'Controle Central'!Z81,'Controle Central'!E99,'Controle Central'!L99,'Controle Central'!S99,'Controle Central'!Z99,'Controle Central'!E117,'Controle Central'!L117,'Controle Central'!S117,'Controle Central'!Z117,'Controle Central'!E135,'Controle Central'!L135)</f>
        <v>0</v>
      </c>
      <c r="D8" s="57">
        <f>SUM('Controle Central'!E6,'Controle Central'!L6,'Controle Central'!S6,'Controle Central'!Z6,'Controle Central'!E25,'Controle Central'!L25,'Controle Central'!S25,'Controle Central'!Z25,'Controle Central'!E44,'Controle Central'!L44,'Controle Central'!S44,'Controle Central'!Z44,'Controle Central'!E63,'Controle Central'!L63,'Controle Central'!S63,'Controle Central'!Z63,'Controle Central'!E82,'Controle Central'!L82,'Controle Central'!S82,'Controle Central'!Z82,'Controle Central'!E100,'Controle Central'!L100,'Controle Central'!S100,'Controle Central'!Z100,'Controle Central'!E118,'Controle Central'!L118,'Controle Central'!S118,'Controle Central'!Z118,'Controle Central'!E136,'Controle Central'!L136)</f>
        <v>120</v>
      </c>
      <c r="E8" s="57">
        <f>SUM('Controle Central'!E7,'Controle Central'!L7,'Controle Central'!S7,'Controle Central'!Z7,'Controle Central'!E26,'Controle Central'!L26,'Controle Central'!S26,'Controle Central'!Z26,'Controle Central'!E45,'Controle Central'!L45,'Controle Central'!S45,'Controle Central'!Z45,'Controle Central'!E64,'Controle Central'!L64,'Controle Central'!S64,'Controle Central'!Z64,'Controle Central'!E83,'Controle Central'!L83,'Controle Central'!S83,'Controle Central'!Z83,'Controle Central'!E101,'Controle Central'!L101,'Controle Central'!S101,'Controle Central'!Z101,'Controle Central'!E119,'Controle Central'!L119,'Controle Central'!S119,'Controle Central'!Z119,'Controle Central'!E137,'Controle Central'!L137)</f>
        <v>0</v>
      </c>
      <c r="F8" s="57">
        <f>SUM('Controle Central'!E8,'Controle Central'!L8,'Controle Central'!S8,'Controle Central'!Z8,'Controle Central'!E27,'Controle Central'!L27,'Controle Central'!S27,'Controle Central'!Z27,'Controle Central'!E46,'Controle Central'!L46,'Controle Central'!S46,'Controle Central'!Z46,'Controle Central'!E65,'Controle Central'!L65,'Controle Central'!S65,'Controle Central'!Z65,'Controle Central'!E84,'Controle Central'!L84,'Controle Central'!S84,'Controle Central'!Z84,'Controle Central'!E102,'Controle Central'!L102,'Controle Central'!S102,'Controle Central'!Z102,'Controle Central'!E120,'Controle Central'!L120,'Controle Central'!S120,'Controle Central'!Z120,'Controle Central'!E138,'Controle Central'!L138)</f>
        <v>0</v>
      </c>
      <c r="G8" s="57">
        <f>SUM('Controle Central'!E9,'Controle Central'!L9,'Controle Central'!S9,'Controle Central'!Z9,'Controle Central'!E28,'Controle Central'!L28,'Controle Central'!S28,'Controle Central'!Z28,'Controle Central'!E47,'Controle Central'!L47,'Controle Central'!S47,'Controle Central'!Z47,'Controle Central'!E66,'Controle Central'!L66,'Controle Central'!S66,'Controle Central'!Z66,'Controle Central'!E85,'Controle Central'!L85,'Controle Central'!S85,'Controle Central'!Z85,'Controle Central'!E103,'Controle Central'!L103,'Controle Central'!S103,'Controle Central'!Z103,'Controle Central'!E121,'Controle Central'!L121,'Controle Central'!S121,'Controle Central'!Z121,'Controle Central'!E139+'Controle Central'!L139)</f>
        <v>0</v>
      </c>
      <c r="H8" s="57">
        <f>SUM('Controle Central'!E10,'Controle Central'!L10,'Controle Central'!S10,'Controle Central'!Z10,'Controle Central'!E29,'Controle Central'!L29,'Controle Central'!S29,'Controle Central'!Z29,'Controle Central'!E48,'Controle Central'!L48,'Controle Central'!S48,'Controle Central'!Z48,'Controle Central'!E67,'Controle Central'!L67,'Controle Central'!S67,'Controle Central'!Z67,'Controle Central'!E86,'Controle Central'!L86,'Controle Central'!S86,'Controle Central'!Z86,'Controle Central'!E104,'Controle Central'!L104,'Controle Central'!S104,'Controle Central'!Z104,'Controle Central'!E122,'Controle Central'!L122,'Controle Central'!S122,'Controle Central'!Z122,'Controle Central'!E140,'Controle Central'!L140)</f>
        <v>0</v>
      </c>
      <c r="I8" s="57">
        <f>SUM('Controle Central'!L11,'Controle Central'!S11,'Controle Central'!E11,'Controle Central'!Z11,'Controle Central'!Z30,'Controle Central'!S30,'Controle Central'!L30,'Controle Central'!E30,'Controle Central'!E49,'Controle Central'!L49,'Controle Central'!S49,'Controle Central'!Z49,'Controle Central'!Z68,'Controle Central'!S68,'Controle Central'!L68,'Controle Central'!E68,'Controle Central'!E87,'Controle Central'!L87,'Controle Central'!S87,'Controle Central'!Z87,'Controle Central'!Z105,'Controle Central'!Z123,'Controle Central'!S105,'Controle Central'!S123,'Controle Central'!L123,'Controle Central'!L105,'Controle Central'!E123,'Controle Central'!E105,'Controle Central'!E141,'Controle Central'!L141)</f>
        <v>0</v>
      </c>
      <c r="J8" s="57">
        <f>SUM('Controle Central'!E12,'Controle Central'!E31,'Controle Central'!L12,'Controle Central'!L31,'Controle Central'!S12,'Controle Central'!S31,'Controle Central'!Z12,'Controle Central'!Z31,'Controle Central'!Z50,'Controle Central'!Z69,'Controle Central'!S50,'Controle Central'!S69,'Controle Central'!L50,'Controle Central'!L69,'Controle Central'!E50,'Controle Central'!E69,'Controle Central'!E88,'Controle Central'!E106,'Controle Central'!L88,'Controle Central'!L106,'Controle Central'!S88,'Controle Central'!S106,'Controle Central'!Z88,'Controle Central'!Z106,'Controle Central'!Z124,'Controle Central'!S124,'Controle Central'!L124,'Controle Central'!E124,'Controle Central'!E142,'Controle Central'!L142)</f>
        <v>0</v>
      </c>
      <c r="K8" s="57">
        <f>SUM('Controle Central'!E13,'Controle Central'!L13,'Controle Central'!E32,'Controle Central'!L32,'Controle Central'!S13,'Controle Central'!S32,'Controle Central'!Z13,'Controle Central'!Z32,'Controle Central'!Z51,'Controle Central'!Z70,'Controle Central'!S51,'Controle Central'!S70,'Controle Central'!L51,'Controle Central'!L70,'Controle Central'!E51,'Controle Central'!E70,'Controle Central'!E89,'Controle Central'!E107,'Controle Central'!L89,'Controle Central'!L107,'Controle Central'!S89,'Controle Central'!S107,'Controle Central'!Z107,'Controle Central'!Z89,'Controle Central'!Z125,'Controle Central'!S125,'Controle Central'!L143,'Controle Central'!L125,'Controle Central'!E125,'Controle Central'!E143)</f>
        <v>0</v>
      </c>
      <c r="L8" s="57">
        <f>SUM('Controle Central'!E14,'Controle Central'!E33,'Controle Central'!L14,'Controle Central'!L33,'Controle Central'!S14,'Controle Central'!S33,'Controle Central'!Z14,'Controle Central'!Z33,'Controle Central'!Z52,'Controle Central'!Z71,'Controle Central'!S52,'Controle Central'!S71,'Controle Central'!L52,'Controle Central'!L71,'Controle Central'!E52,'Controle Central'!E71,'Controle Central'!E90,'Controle Central'!E108,'Controle Central'!L90,'Controle Central'!L108,'Controle Central'!S90,'Controle Central'!S108,'Controle Central'!Z90,'Controle Central'!Z108,'Controle Central'!Z126,'Controle Central'!S126,'Controle Central'!L126,'Controle Central'!L144,'Controle Central'!E126,'Controle Central'!E144)</f>
        <v>115</v>
      </c>
      <c r="M8" s="48">
        <f>SUM('Controle Central'!E15,'Controle Central'!E34,'Controle Central'!L15,'Controle Central'!L34,'Controle Central'!S15,'Controle Central'!S34,'Controle Central'!Z15,'Controle Central'!Z34,'Controle Central'!Z53,'Controle Central'!Z72,'Controle Central'!S53,'Controle Central'!S72,'Controle Central'!L53,'Controle Central'!L72,'Controle Central'!E53,'Controle Central'!E72,'Controle Central'!E91,'Controle Central'!E109,'Controle Central'!L91,'Controle Central'!L109,'Controle Central'!S91,'Controle Central'!S109,'Controle Central'!Z91,'Controle Central'!Z109,'Controle Central'!Z127,'Controle Central'!S127,'Controle Central'!L127,'Controle Central'!E127,'Controle Central'!E145,'Controle Central'!L145)</f>
        <v>230</v>
      </c>
    </row>
    <row r="9" spans="1:25" ht="15.75" thickBot="1" x14ac:dyDescent="0.3"/>
    <row r="10" spans="1:25" ht="15.75" thickBot="1" x14ac:dyDescent="0.3">
      <c r="A10" s="65" t="s">
        <v>27</v>
      </c>
      <c r="B10" s="56">
        <f>SUM('Controle Central'!F4,'Controle Central'!M4,'Controle Central'!M23,'Controle Central'!F23,'Controle Central'!T4,'Controle Central'!T23,'Controle Central'!AA4,'Controle Central'!AA23,'Controle Central'!AA61,'Controle Central'!AA42,'Controle Central'!T42,'Controle Central'!M42,'Controle Central'!M61,'Controle Central'!F61,'Controle Central'!F42,'Controle Central'!F98,'Controle Central'!F80,'Controle Central'!M80,'Controle Central'!M98,'Controle Central'!T80,'Controle Central'!T98,'Controle Central'!AA80,'Controle Central'!AA98,'Controle Central'!AA116,'Controle Central'!T116,'Controle Central'!M116,'Controle Central'!F116,'Controle Central'!F134,'Controle Central'!M134)</f>
        <v>0</v>
      </c>
      <c r="C10" s="57">
        <f>SUM('Controle Central'!F5,'Controle Central'!F24,'Controle Central'!M5,'Controle Central'!M24,'Controle Central'!T24,'Controle Central'!T5,'Controle Central'!AA5,'Controle Central'!AA24,'Controle Central'!AA43,'Controle Central'!AA62,'Controle Central'!T43,'Controle Central'!T62,'Controle Central'!M43,'Controle Central'!M62,'Controle Central'!F43,'Controle Central'!F62,'Controle Central'!F81,'Controle Central'!F99,'Controle Central'!M99,'Controle Central'!M81,'Controle Central'!T99,'Controle Central'!T81,'Controle Central'!AA81,'Controle Central'!AA99,'Controle Central'!AA117,'Controle Central'!T117,'Controle Central'!M117,'Controle Central'!F117,'Controle Central'!F135,'Controle Central'!M135)</f>
        <v>0</v>
      </c>
      <c r="D10" s="57">
        <f>SUM('Controle Central'!F6,'Controle Central'!F25,'Controle Central'!M6,'Controle Central'!M25,'Controle Central'!T6,'Controle Central'!T25,'Controle Central'!AA25,'Controle Central'!AA6,'Controle Central'!AA44,'Controle Central'!AA63,'Controle Central'!T63,'Controle Central'!T44,'Controle Central'!M44,'Controle Central'!M63,'Controle Central'!F63,'Controle Central'!F44,'Controle Central'!F82,'Controle Central'!F100,'Controle Central'!M100,'Controle Central'!M82,'Controle Central'!T82,'Controle Central'!T100,'Controle Central'!AA100,'Controle Central'!AA82,'Controle Central'!AA118,'Controle Central'!T118,'Controle Central'!M118,'Controle Central'!M136,'Controle Central'!F118,'Controle Central'!F136)</f>
        <v>0</v>
      </c>
      <c r="E10" s="57">
        <f>SUM('Controle Central'!F7,'Controle Central'!F26,'Controle Central'!M26,'Controle Central'!M7,'Controle Central'!T7,'Controle Central'!T26,'Controle Central'!AA7,'Controle Central'!AA26,'Controle Central'!AA45,'Controle Central'!T45,'Controle Central'!AA64,'Controle Central'!T64,'Controle Central'!M45,'Controle Central'!M64,'Controle Central'!F45,'Controle Central'!F64,'Controle Central'!F83,'Controle Central'!F101,'Controle Central'!M83,'Controle Central'!M101,'Controle Central'!T83,'Controle Central'!T101,'Controle Central'!AA83,'Controle Central'!AA101,'Controle Central'!AA119,'Controle Central'!T119,'Controle Central'!M119,'Controle Central'!M137,'Controle Central'!F137,'Controle Central'!F119)</f>
        <v>0</v>
      </c>
      <c r="F10" s="57">
        <f>SUM('Controle Central'!F8,'Controle Central'!F27,'Controle Central'!M8,'Controle Central'!M27,'Controle Central'!T8,'Controle Central'!T27,'Controle Central'!AA27,'Controle Central'!AA8,'Controle Central'!AA46,'Controle Central'!AA65,'Controle Central'!T46,'Controle Central'!T65,'Controle Central'!M65,'Controle Central'!M46,'Controle Central'!F46,'Controle Central'!F65,'Controle Central'!F84,'Controle Central'!F102,'Controle Central'!M84,'Controle Central'!M102,'Controle Central'!T84,'Controle Central'!T102,'Controle Central'!AA84,'Controle Central'!AA102,'Controle Central'!AA120,'Controle Central'!T120,'Controle Central'!M120,'Controle Central'!M138,'Controle Central'!F120,'Controle Central'!F138)</f>
        <v>0</v>
      </c>
      <c r="G10" s="57">
        <f>SUM('Controle Central'!F9,'Controle Central'!F28,'Controle Central'!M9,'Controle Central'!M28,'Controle Central'!T9,'Controle Central'!T28,'Controle Central'!AA9,'Controle Central'!AA28,'Controle Central'!AA47,'Controle Central'!AA66,'Controle Central'!T47,'Controle Central'!T66,'Controle Central'!M47,'Controle Central'!M66,'Controle Central'!F47,'Controle Central'!F66,'Controle Central'!F85,'Controle Central'!F103,'Controle Central'!M85,'Controle Central'!M103,'Controle Central'!T85,'Controle Central'!T103,'Controle Central'!AA85,'Controle Central'!AA103,'Controle Central'!AA121,'Controle Central'!T121,'Controle Central'!M121,'Controle Central'!M139,'Controle Central'!F139)</f>
        <v>0</v>
      </c>
      <c r="H10" s="57">
        <f>SUM('Controle Central'!F10,'Controle Central'!F29,'Controle Central'!M10,'Controle Central'!M29,'Controle Central'!T10,'Controle Central'!T29,'Controle Central'!AA10,'Controle Central'!AA29,'Controle Central'!AA48,'Controle Central'!T48,'Controle Central'!AA67,'Controle Central'!T67,'Controle Central'!M48,'Controle Central'!M67,'Controle Central'!F48,'Controle Central'!F67,'Controle Central'!F86,'Controle Central'!F104,'Controle Central'!M104,'Controle Central'!M86,'Controle Central'!T86,'Controle Central'!T104,'Controle Central'!AA86,'Controle Central'!AA104,'Controle Central'!AA122,'Controle Central'!T122,'Controle Central'!M122,'Controle Central'!M140,'Controle Central'!F122,'Controle Central'!F140)</f>
        <v>0</v>
      </c>
      <c r="I10" s="57">
        <f>SUM('Controle Central'!F11,'Controle Central'!F30,'Controle Central'!M11,'Controle Central'!M30,'Controle Central'!T11,'Controle Central'!T30,'Controle Central'!AA11,'Controle Central'!AA30,'Controle Central'!AA49,'Controle Central'!AA68,'Controle Central'!T49,'Controle Central'!T68,'Controle Central'!M49,'Controle Central'!M68,'Controle Central'!F68,'Controle Central'!F49,'Controle Central'!F87,'Controle Central'!F105,'Controle Central'!M87,'Controle Central'!M105,'Controle Central'!T87,'Controle Central'!T105,'Controle Central'!AA87,'Controle Central'!AA105,'Controle Central'!AA123,'Controle Central'!T123,'Controle Central'!M123,'Controle Central'!M141,'Controle Central'!F123,'Controle Central'!F141)</f>
        <v>0</v>
      </c>
      <c r="J10" s="57">
        <f>SUM('Controle Central'!F12,'Controle Central'!F31,'Controle Central'!M12,'Controle Central'!M31,'Controle Central'!T12,'Controle Central'!T31,'Controle Central'!AA12,'Controle Central'!AA31,'Controle Central'!AA50,'Controle Central'!T50,'Controle Central'!T69,'Controle Central'!AA69,'Controle Central'!M50,'Controle Central'!M69,'Controle Central'!F69,'Controle Central'!F50,'Controle Central'!F88,'Controle Central'!F106,'Controle Central'!M88,'Controle Central'!M106,'Controle Central'!T88,'Controle Central'!T106,'Controle Central'!AA88,'Controle Central'!AA106,'Controle Central'!AA124,'Controle Central'!T124,'Controle Central'!M124,'Controle Central'!F124,'Controle Central'!F142,'Controle Central'!M142)</f>
        <v>0</v>
      </c>
      <c r="K10" s="57">
        <f>SUM('Controle Central'!F13,'Controle Central'!F32,'Controle Central'!M13,'Controle Central'!M32,'Controle Central'!T13,'Controle Central'!T32,'Controle Central'!AA13,'Controle Central'!AA32,'Controle Central'!AA51,'Controle Central'!T51,'Controle Central'!T70,'Controle Central'!AA70,'Controle Central'!M51,'Controle Central'!M70,'Controle Central'!F70,'Controle Central'!F51,'Controle Central'!F89,'Controle Central'!F107,'Controle Central'!M89,'Controle Central'!M107,'Controle Central'!T89,'Controle Central'!T107,'Controle Central'!AA107,'Controle Central'!AA89,'Controle Central'!AA125,'Controle Central'!T125,'Controle Central'!M125,'Controle Central'!F125,'Controle Central'!F143,'Controle Central'!M143)</f>
        <v>50</v>
      </c>
      <c r="L10" s="57">
        <f>SUM('Controle Central'!F14,'Controle Central'!M14,'Controle Central'!F33,'Controle Central'!M33,'Controle Central'!T14,'Controle Central'!T33,'Controle Central'!AA33,'Controle Central'!AA14,'Controle Central'!AA52,'Controle Central'!T52,'Controle Central'!M52,'Controle Central'!M71,'Controle Central'!T71,'Controle Central'!AA71,'Controle Central'!AA90,'Controle Central'!T90,'Controle Central'!M90,'Controle Central'!F90,'Controle Central'!F108,'Controle Central'!F126,'Controle Central'!M108,'Controle Central'!M126,'Controle Central'!T108,'Controle Central'!T126,'Controle Central'!AA108,'Controle Central'!AA126,'Controle Central'!M144,'Controle Central'!F144)</f>
        <v>0</v>
      </c>
      <c r="M10" s="48">
        <f>SUM('Controle Central'!F15,'Controle Central'!F34,'Controle Central'!M15,'Controle Central'!M34,'Controle Central'!T15,'Controle Central'!T34,'Controle Central'!AA15,'Controle Central'!AA34,'Controle Central'!AA53,'Controle Central'!T53,'Controle Central'!AA72,'Controle Central'!T72,'Controle Central'!M53,'Controle Central'!F53,'Controle Central'!F72,'Controle Central'!M72,'Controle Central'!F91,'Controle Central'!F109,'Controle Central'!M91,'Controle Central'!M109,'Controle Central'!T91,'Controle Central'!T109,'Controle Central'!AA91,'Controle Central'!AA109,'Controle Central'!AA127,'Controle Central'!T127,'Controle Central'!M127,'Controle Central'!M145,'Controle Central'!F127,'Controle Central'!F145)</f>
        <v>70</v>
      </c>
    </row>
    <row r="13" spans="1:25" x14ac:dyDescent="0.25">
      <c r="B13" s="86"/>
      <c r="C13" s="86"/>
      <c r="D13" s="86"/>
      <c r="E13" s="86"/>
      <c r="F13" s="86"/>
      <c r="G13" s="86"/>
      <c r="H13" s="86"/>
      <c r="I13" s="86"/>
      <c r="J13" s="86"/>
      <c r="K13" s="86"/>
      <c r="L13" s="86"/>
      <c r="M13" s="86"/>
    </row>
    <row r="14" spans="1:25" ht="15.75" thickBot="1" x14ac:dyDescent="0.3">
      <c r="B14" s="53" t="s">
        <v>31</v>
      </c>
      <c r="C14" s="53" t="s">
        <v>32</v>
      </c>
      <c r="D14" s="53" t="s">
        <v>33</v>
      </c>
      <c r="E14" s="53" t="s">
        <v>34</v>
      </c>
      <c r="F14" s="53" t="s">
        <v>35</v>
      </c>
      <c r="G14" s="53" t="s">
        <v>36</v>
      </c>
      <c r="H14" s="53" t="s">
        <v>37</v>
      </c>
      <c r="I14" s="53" t="s">
        <v>38</v>
      </c>
      <c r="J14" s="53" t="s">
        <v>39</v>
      </c>
      <c r="K14" s="53" t="s">
        <v>40</v>
      </c>
      <c r="L14" s="53" t="s">
        <v>41</v>
      </c>
      <c r="M14" s="53" t="s">
        <v>42</v>
      </c>
    </row>
    <row r="15" spans="1:25" ht="15.75" thickBot="1" x14ac:dyDescent="0.3">
      <c r="A15" s="55" t="s">
        <v>45</v>
      </c>
      <c r="B15" s="56"/>
      <c r="C15" s="56"/>
      <c r="D15" s="57"/>
      <c r="E15" s="57"/>
      <c r="F15" s="57"/>
      <c r="G15" s="57"/>
      <c r="H15" s="57"/>
      <c r="I15" s="57"/>
      <c r="J15" s="57"/>
      <c r="K15" s="57"/>
      <c r="L15" s="57"/>
      <c r="M15" s="48"/>
    </row>
    <row r="16" spans="1:25" ht="15.75" thickBot="1" x14ac:dyDescent="0.3"/>
    <row r="17" spans="1:13" ht="15.75" thickBot="1" x14ac:dyDescent="0.3">
      <c r="A17" s="55" t="s">
        <v>2</v>
      </c>
      <c r="B17" s="56"/>
      <c r="C17" s="57"/>
      <c r="D17" s="57"/>
      <c r="E17" s="57"/>
      <c r="F17" s="57"/>
      <c r="G17" s="57"/>
      <c r="H17" s="57"/>
      <c r="I17" s="57"/>
      <c r="J17" s="57"/>
      <c r="K17" s="57"/>
      <c r="L17" s="57"/>
      <c r="M17" s="48"/>
    </row>
    <row r="18" spans="1:13" ht="15.75" thickBot="1" x14ac:dyDescent="0.3"/>
    <row r="19" spans="1:13" ht="15.75" thickBot="1" x14ac:dyDescent="0.3">
      <c r="A19" s="55" t="s">
        <v>69</v>
      </c>
      <c r="B19" s="56">
        <f>B15-B17</f>
        <v>0</v>
      </c>
      <c r="C19" s="56">
        <f>C15-C17</f>
        <v>0</v>
      </c>
      <c r="D19" s="56">
        <f t="shared" ref="D19:F19" si="0">D15-D17</f>
        <v>0</v>
      </c>
      <c r="E19" s="56">
        <f t="shared" si="0"/>
        <v>0</v>
      </c>
      <c r="F19" s="56">
        <f t="shared" si="0"/>
        <v>0</v>
      </c>
      <c r="G19" s="56">
        <f>G15-G17</f>
        <v>0</v>
      </c>
      <c r="H19" s="56">
        <f t="shared" ref="H19:M19" si="1">H15-H17</f>
        <v>0</v>
      </c>
      <c r="I19" s="56">
        <f t="shared" si="1"/>
        <v>0</v>
      </c>
      <c r="J19" s="56">
        <f t="shared" si="1"/>
        <v>0</v>
      </c>
      <c r="K19" s="56">
        <f t="shared" si="1"/>
        <v>0</v>
      </c>
      <c r="L19" s="56">
        <f t="shared" si="1"/>
        <v>0</v>
      </c>
      <c r="M19" s="56">
        <f t="shared" si="1"/>
        <v>0</v>
      </c>
    </row>
  </sheetData>
  <mergeCells count="2">
    <mergeCell ref="B13:M13"/>
    <mergeCell ref="A1:Y2"/>
  </mergeCells>
  <phoneticPr fontId="3" type="noConversion"/>
  <pageMargins left="0.511811024" right="0.511811024" top="0.78740157499999996" bottom="0.78740157499999996" header="0.31496062000000002" footer="0.31496062000000002"/>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AA148"/>
  <sheetViews>
    <sheetView showGridLines="0" topLeftCell="A66" zoomScale="120" zoomScaleNormal="120" workbookViewId="0">
      <selection activeCell="K7" sqref="K7"/>
    </sheetView>
  </sheetViews>
  <sheetFormatPr defaultRowHeight="15" x14ac:dyDescent="0.25"/>
  <cols>
    <col min="1" max="1" width="11.28515625" bestFit="1" customWidth="1"/>
    <col min="2" max="2" width="12.7109375" customWidth="1"/>
    <col min="3" max="3" width="13.85546875" customWidth="1"/>
    <col min="4" max="4" width="18.42578125" customWidth="1"/>
    <col min="5" max="5" width="14.7109375" customWidth="1"/>
    <col min="6" max="6" width="16.42578125" customWidth="1"/>
    <col min="8" max="8" width="10.28515625" bestFit="1" customWidth="1"/>
    <col min="9" max="9" width="12.7109375" bestFit="1" customWidth="1"/>
    <col min="10" max="10" width="11.5703125" bestFit="1" customWidth="1"/>
    <col min="11" max="11" width="16.42578125" bestFit="1" customWidth="1"/>
    <col min="12" max="12" width="13.42578125" bestFit="1" customWidth="1"/>
    <col min="13" max="13" width="14.42578125" bestFit="1" customWidth="1"/>
    <col min="15" max="15" width="10.28515625" bestFit="1" customWidth="1"/>
    <col min="16" max="16" width="12.7109375" bestFit="1" customWidth="1"/>
    <col min="17" max="17" width="11.5703125" bestFit="1" customWidth="1"/>
    <col min="18" max="18" width="16.42578125" bestFit="1" customWidth="1"/>
    <col min="19" max="19" width="13.42578125" bestFit="1" customWidth="1"/>
    <col min="20" max="20" width="14.42578125" bestFit="1" customWidth="1"/>
    <col min="23" max="23" width="12.7109375" bestFit="1" customWidth="1"/>
    <col min="24" max="24" width="11.5703125" bestFit="1" customWidth="1"/>
    <col min="25" max="25" width="16.42578125" bestFit="1" customWidth="1"/>
    <col min="26" max="26" width="13.42578125" bestFit="1" customWidth="1"/>
    <col min="27" max="27" width="14.42578125" bestFit="1" customWidth="1"/>
  </cols>
  <sheetData>
    <row r="2" spans="1:27" ht="15.75" thickBot="1" x14ac:dyDescent="0.3">
      <c r="B2" s="84" t="s">
        <v>79</v>
      </c>
      <c r="C2" s="84"/>
      <c r="D2" s="84"/>
      <c r="E2" s="84"/>
      <c r="F2" s="84"/>
      <c r="I2" s="89" t="s">
        <v>78</v>
      </c>
      <c r="J2" s="89"/>
      <c r="K2" s="89"/>
      <c r="L2" s="89"/>
      <c r="M2" s="89"/>
      <c r="P2" s="89" t="s">
        <v>77</v>
      </c>
      <c r="Q2" s="89"/>
      <c r="R2" s="89"/>
      <c r="S2" s="89"/>
      <c r="T2" s="89"/>
      <c r="W2" s="89" t="s">
        <v>76</v>
      </c>
      <c r="X2" s="89"/>
      <c r="Y2" s="89"/>
      <c r="Z2" s="89"/>
      <c r="AA2" s="89"/>
    </row>
    <row r="3" spans="1:27" ht="15.75" thickBot="1" x14ac:dyDescent="0.3">
      <c r="B3" s="22" t="s">
        <v>71</v>
      </c>
      <c r="C3" s="33" t="s">
        <v>30</v>
      </c>
      <c r="D3" s="23" t="s">
        <v>26</v>
      </c>
      <c r="E3" s="23" t="s">
        <v>25</v>
      </c>
      <c r="F3" s="25" t="s">
        <v>27</v>
      </c>
      <c r="I3" s="22" t="s">
        <v>71</v>
      </c>
      <c r="J3" s="33" t="s">
        <v>30</v>
      </c>
      <c r="K3" s="23" t="s">
        <v>26</v>
      </c>
      <c r="L3" s="23" t="s">
        <v>25</v>
      </c>
      <c r="M3" s="25" t="s">
        <v>27</v>
      </c>
      <c r="P3" s="22" t="s">
        <v>71</v>
      </c>
      <c r="Q3" s="33" t="s">
        <v>30</v>
      </c>
      <c r="R3" s="23" t="s">
        <v>26</v>
      </c>
      <c r="S3" s="23" t="s">
        <v>25</v>
      </c>
      <c r="T3" s="25" t="s">
        <v>27</v>
      </c>
      <c r="W3" s="22" t="s">
        <v>71</v>
      </c>
      <c r="X3" s="33" t="s">
        <v>30</v>
      </c>
      <c r="Y3" s="23" t="s">
        <v>26</v>
      </c>
      <c r="Z3" s="23" t="s">
        <v>25</v>
      </c>
      <c r="AA3" s="25" t="s">
        <v>27</v>
      </c>
    </row>
    <row r="4" spans="1:27" x14ac:dyDescent="0.25">
      <c r="A4" s="37" t="s">
        <v>31</v>
      </c>
      <c r="B4" s="58"/>
      <c r="C4" s="59">
        <v>0</v>
      </c>
      <c r="D4" s="60">
        <v>0</v>
      </c>
      <c r="E4" s="60">
        <v>0</v>
      </c>
      <c r="F4" s="61">
        <v>0</v>
      </c>
      <c r="H4" s="37" t="s">
        <v>31</v>
      </c>
      <c r="I4" s="45"/>
      <c r="J4" s="42">
        <v>0</v>
      </c>
      <c r="K4" s="40">
        <v>0</v>
      </c>
      <c r="L4" s="40">
        <v>0</v>
      </c>
      <c r="M4" s="41">
        <v>0</v>
      </c>
      <c r="O4" s="37" t="s">
        <v>31</v>
      </c>
      <c r="P4" s="58"/>
      <c r="Q4" s="59">
        <v>0</v>
      </c>
      <c r="R4" s="60">
        <v>0</v>
      </c>
      <c r="S4" s="60">
        <v>0</v>
      </c>
      <c r="T4" s="61">
        <v>0</v>
      </c>
      <c r="V4" s="37" t="s">
        <v>31</v>
      </c>
      <c r="W4" s="58"/>
      <c r="X4" s="59">
        <v>0</v>
      </c>
      <c r="Y4" s="60">
        <v>0</v>
      </c>
      <c r="Z4" s="60">
        <v>0</v>
      </c>
      <c r="AA4" s="61">
        <v>0</v>
      </c>
    </row>
    <row r="5" spans="1:27" x14ac:dyDescent="0.25">
      <c r="A5" s="38" t="s">
        <v>32</v>
      </c>
      <c r="B5" s="46">
        <f>Geferson!H11</f>
        <v>0</v>
      </c>
      <c r="C5" s="43">
        <f>SUM(5000-B5)</f>
        <v>5000</v>
      </c>
      <c r="D5" s="35">
        <f>Geferson!U12</f>
        <v>0</v>
      </c>
      <c r="E5" s="35">
        <f>Geferson!AC12</f>
        <v>0</v>
      </c>
      <c r="F5" s="36">
        <f>Geferson!AK12</f>
        <v>0</v>
      </c>
      <c r="H5" s="38" t="s">
        <v>32</v>
      </c>
      <c r="I5" s="46">
        <f>'Diego Parisio-Desmob'!H11</f>
        <v>0</v>
      </c>
      <c r="J5" s="43">
        <f>SUM(5000-I5)</f>
        <v>5000</v>
      </c>
      <c r="K5" s="35">
        <f>'Diego Parisio-Desmob'!U12</f>
        <v>0</v>
      </c>
      <c r="L5" s="35">
        <f>'Diego Parisio-Desmob'!AC12</f>
        <v>0</v>
      </c>
      <c r="M5" s="36">
        <f>'Diego Parisio-Desmob'!AK12</f>
        <v>0</v>
      </c>
      <c r="O5" s="38" t="s">
        <v>32</v>
      </c>
      <c r="P5" s="46">
        <f>Izadora!H11</f>
        <v>0</v>
      </c>
      <c r="Q5" s="43">
        <f>SUM(5000-P5)</f>
        <v>5000</v>
      </c>
      <c r="R5" s="35">
        <f>Izadora!U12</f>
        <v>0</v>
      </c>
      <c r="S5" s="35">
        <f>Izadora!AI12</f>
        <v>0</v>
      </c>
      <c r="T5" s="36">
        <f>Izadora!AR12</f>
        <v>0</v>
      </c>
      <c r="V5" s="38" t="s">
        <v>32</v>
      </c>
      <c r="W5" s="46">
        <f>'João Carlos'!H11</f>
        <v>0</v>
      </c>
      <c r="X5" s="43">
        <f>SUM(5000-W5)</f>
        <v>5000</v>
      </c>
      <c r="Y5" s="35">
        <f>'João Carlos'!U12</f>
        <v>0</v>
      </c>
      <c r="Z5" s="35">
        <f>'João Carlos'!AI12</f>
        <v>0</v>
      </c>
      <c r="AA5" s="36">
        <f>'João Carlos'!AR12</f>
        <v>0</v>
      </c>
    </row>
    <row r="6" spans="1:27" x14ac:dyDescent="0.25">
      <c r="A6" s="38" t="s">
        <v>33</v>
      </c>
      <c r="B6" s="46">
        <f>Geferson!H15</f>
        <v>0</v>
      </c>
      <c r="C6" s="43">
        <f t="shared" ref="C6:C15" si="0">SUM(5000-B6)</f>
        <v>5000</v>
      </c>
      <c r="D6" s="35">
        <f>Geferson!U16</f>
        <v>0</v>
      </c>
      <c r="E6" s="35">
        <f>Geferson!AC16</f>
        <v>0</v>
      </c>
      <c r="F6" s="36">
        <f>Geferson!AK16</f>
        <v>0</v>
      </c>
      <c r="H6" s="38" t="s">
        <v>33</v>
      </c>
      <c r="I6" s="46">
        <f>'Diego Parisio-Desmob'!H15</f>
        <v>0</v>
      </c>
      <c r="J6" s="43">
        <f t="shared" ref="J6:J14" si="1">SUM(5000-I6)</f>
        <v>5000</v>
      </c>
      <c r="K6" s="35">
        <f>'Diego Parisio-Desmob'!U16</f>
        <v>0</v>
      </c>
      <c r="L6" s="35">
        <f>'Diego Parisio-Desmob'!AC16</f>
        <v>0</v>
      </c>
      <c r="M6" s="36">
        <f>'Diego Parisio-Desmob'!AK16</f>
        <v>0</v>
      </c>
      <c r="O6" s="38" t="s">
        <v>33</v>
      </c>
      <c r="P6" s="46">
        <f>Izadora!H15</f>
        <v>0</v>
      </c>
      <c r="Q6" s="43">
        <f t="shared" ref="Q6:Q14" si="2">SUM(5000-P6)</f>
        <v>5000</v>
      </c>
      <c r="R6" s="35">
        <f>Izadora!U16</f>
        <v>0</v>
      </c>
      <c r="S6" s="35">
        <f>Izadora!AI16</f>
        <v>0</v>
      </c>
      <c r="T6" s="36">
        <f>Izadora!AR16</f>
        <v>0</v>
      </c>
      <c r="V6" s="38" t="s">
        <v>33</v>
      </c>
      <c r="W6" s="46">
        <f>'João Carlos'!H15</f>
        <v>0</v>
      </c>
      <c r="X6" s="43">
        <f t="shared" ref="X6:X15" si="3">SUM(5000-W6)</f>
        <v>5000</v>
      </c>
      <c r="Y6" s="35">
        <f>'João Carlos'!U16</f>
        <v>0</v>
      </c>
      <c r="Z6" s="35">
        <f>'João Carlos'!AI16</f>
        <v>0</v>
      </c>
      <c r="AA6" s="36">
        <f>'João Carlos'!AR16</f>
        <v>0</v>
      </c>
    </row>
    <row r="7" spans="1:27" x14ac:dyDescent="0.25">
      <c r="A7" s="38" t="s">
        <v>34</v>
      </c>
      <c r="B7" s="46">
        <f>Geferson!H19</f>
        <v>0</v>
      </c>
      <c r="C7" s="43">
        <f t="shared" si="0"/>
        <v>5000</v>
      </c>
      <c r="D7" s="35">
        <f>Geferson!U20</f>
        <v>0</v>
      </c>
      <c r="E7" s="35">
        <f>Geferson!AC20</f>
        <v>0</v>
      </c>
      <c r="F7" s="36">
        <f>Geferson!AK20</f>
        <v>0</v>
      </c>
      <c r="H7" s="38" t="s">
        <v>34</v>
      </c>
      <c r="I7" s="46">
        <f>'Diego Parisio-Desmob'!H19</f>
        <v>0</v>
      </c>
      <c r="J7" s="43">
        <f t="shared" si="1"/>
        <v>5000</v>
      </c>
      <c r="K7" s="35">
        <f>'Diego Parisio-Desmob'!U20</f>
        <v>0</v>
      </c>
      <c r="L7" s="35">
        <f>'Diego Parisio-Desmob'!AC20</f>
        <v>0</v>
      </c>
      <c r="M7" s="36">
        <f>'Diego Parisio-Desmob'!AK20</f>
        <v>0</v>
      </c>
      <c r="O7" s="38" t="s">
        <v>34</v>
      </c>
      <c r="P7" s="46">
        <f>Izadora!H19</f>
        <v>0</v>
      </c>
      <c r="Q7" s="43">
        <f t="shared" si="2"/>
        <v>5000</v>
      </c>
      <c r="R7" s="35">
        <f>Izadora!Z20</f>
        <v>0</v>
      </c>
      <c r="S7" s="35">
        <f>Izadora!AI20</f>
        <v>0</v>
      </c>
      <c r="T7" s="36">
        <f>Izadora!AR20</f>
        <v>0</v>
      </c>
      <c r="V7" s="38" t="s">
        <v>34</v>
      </c>
      <c r="W7" s="46">
        <f>'João Carlos'!H19</f>
        <v>0</v>
      </c>
      <c r="X7" s="43">
        <f t="shared" si="3"/>
        <v>5000</v>
      </c>
      <c r="Y7" s="35">
        <f>'João Carlos'!Z20</f>
        <v>0</v>
      </c>
      <c r="Z7" s="35">
        <f>'João Carlos'!AI20</f>
        <v>0</v>
      </c>
      <c r="AA7" s="36">
        <f>'João Carlos'!AR20</f>
        <v>0</v>
      </c>
    </row>
    <row r="8" spans="1:27" x14ac:dyDescent="0.25">
      <c r="A8" s="38" t="s">
        <v>35</v>
      </c>
      <c r="B8" s="46">
        <f>Geferson!H23</f>
        <v>0</v>
      </c>
      <c r="C8" s="43">
        <f t="shared" si="0"/>
        <v>5000</v>
      </c>
      <c r="D8" s="35">
        <f>Geferson!U24</f>
        <v>0</v>
      </c>
      <c r="E8" s="35">
        <f>Geferson!AC24</f>
        <v>0</v>
      </c>
      <c r="F8" s="36">
        <f>Geferson!AK24</f>
        <v>0</v>
      </c>
      <c r="H8" s="38" t="s">
        <v>35</v>
      </c>
      <c r="I8" s="46">
        <f>'Diego Parisio-Desmob'!H23</f>
        <v>0</v>
      </c>
      <c r="J8" s="43">
        <f t="shared" si="1"/>
        <v>5000</v>
      </c>
      <c r="K8" s="35">
        <f>'Diego Parisio-Desmob'!U24</f>
        <v>0</v>
      </c>
      <c r="L8" s="35">
        <f>'Diego Parisio-Desmob'!AC24</f>
        <v>0</v>
      </c>
      <c r="M8" s="36">
        <f>'Diego Parisio-Desmob'!AK24</f>
        <v>0</v>
      </c>
      <c r="O8" s="38" t="s">
        <v>35</v>
      </c>
      <c r="P8" s="46">
        <f>Izadora!H23</f>
        <v>0</v>
      </c>
      <c r="Q8" s="43">
        <f t="shared" si="2"/>
        <v>5000</v>
      </c>
      <c r="R8" s="35">
        <f>Izadora!Z24</f>
        <v>0</v>
      </c>
      <c r="S8" s="35">
        <f>Izadora!AI24</f>
        <v>0</v>
      </c>
      <c r="T8" s="36">
        <f>Izadora!AR24</f>
        <v>0</v>
      </c>
      <c r="V8" s="38" t="s">
        <v>35</v>
      </c>
      <c r="W8" s="46">
        <f>'João Carlos'!H23</f>
        <v>0</v>
      </c>
      <c r="X8" s="43">
        <f t="shared" si="3"/>
        <v>5000</v>
      </c>
      <c r="Y8" s="35">
        <f>'João Carlos'!Z24</f>
        <v>0</v>
      </c>
      <c r="Z8" s="35">
        <f>'João Carlos'!AI24</f>
        <v>0</v>
      </c>
      <c r="AA8" s="36">
        <f>'João Carlos'!AR24</f>
        <v>0</v>
      </c>
    </row>
    <row r="9" spans="1:27" x14ac:dyDescent="0.25">
      <c r="A9" s="38" t="s">
        <v>36</v>
      </c>
      <c r="B9" s="46">
        <f>Geferson!H27</f>
        <v>0</v>
      </c>
      <c r="C9" s="43">
        <f t="shared" si="0"/>
        <v>5000</v>
      </c>
      <c r="D9" s="35">
        <f>Geferson!U28</f>
        <v>0</v>
      </c>
      <c r="E9" s="35">
        <f>Geferson!AC28</f>
        <v>0</v>
      </c>
      <c r="F9" s="36">
        <f>Geferson!AK28</f>
        <v>0</v>
      </c>
      <c r="H9" s="38" t="s">
        <v>36</v>
      </c>
      <c r="I9" s="46">
        <f>'Diego Parisio-Desmob'!H27</f>
        <v>0</v>
      </c>
      <c r="J9" s="43">
        <f t="shared" si="1"/>
        <v>5000</v>
      </c>
      <c r="K9" s="35">
        <f>'Diego Parisio-Desmob'!U28</f>
        <v>0</v>
      </c>
      <c r="L9" s="35">
        <f>'Diego Parisio-Desmob'!AC28</f>
        <v>0</v>
      </c>
      <c r="M9" s="36">
        <f>Geferson!AK28</f>
        <v>0</v>
      </c>
      <c r="O9" s="38" t="s">
        <v>36</v>
      </c>
      <c r="P9" s="46">
        <f>Izadora!H27</f>
        <v>0</v>
      </c>
      <c r="Q9" s="43">
        <f t="shared" si="2"/>
        <v>5000</v>
      </c>
      <c r="R9" s="35">
        <f>Izadora!Z28</f>
        <v>0</v>
      </c>
      <c r="S9" s="35">
        <f>Izadora!AI28</f>
        <v>0</v>
      </c>
      <c r="T9" s="36">
        <f>Izadora!AR28</f>
        <v>0</v>
      </c>
      <c r="V9" s="38" t="s">
        <v>36</v>
      </c>
      <c r="W9" s="46">
        <f>'João Carlos'!H27</f>
        <v>0</v>
      </c>
      <c r="X9" s="43">
        <f t="shared" si="3"/>
        <v>5000</v>
      </c>
      <c r="Y9" s="35">
        <f>'João Carlos'!Z28</f>
        <v>0</v>
      </c>
      <c r="Z9" s="35">
        <f>'João Carlos'!AI28</f>
        <v>0</v>
      </c>
      <c r="AA9" s="36">
        <f>'João Carlos'!AR28</f>
        <v>0</v>
      </c>
    </row>
    <row r="10" spans="1:27" x14ac:dyDescent="0.25">
      <c r="A10" s="38" t="s">
        <v>37</v>
      </c>
      <c r="B10" s="46">
        <f>Geferson!H31</f>
        <v>0</v>
      </c>
      <c r="C10" s="43">
        <f t="shared" si="0"/>
        <v>5000</v>
      </c>
      <c r="D10" s="35">
        <f>Geferson!U32</f>
        <v>0</v>
      </c>
      <c r="E10" s="35">
        <f>Geferson!AC32</f>
        <v>0</v>
      </c>
      <c r="F10" s="36">
        <f>Geferson!AK32</f>
        <v>0</v>
      </c>
      <c r="H10" s="38" t="s">
        <v>37</v>
      </c>
      <c r="I10" s="46">
        <f>'Diego Parisio-Desmob'!H31</f>
        <v>0</v>
      </c>
      <c r="J10" s="43">
        <f t="shared" si="1"/>
        <v>5000</v>
      </c>
      <c r="K10" s="35">
        <f>'Diego Parisio-Desmob'!U32</f>
        <v>0</v>
      </c>
      <c r="L10" s="35">
        <f>'Diego Parisio-Desmob'!AC32</f>
        <v>0</v>
      </c>
      <c r="M10" s="36">
        <f>'Diego Parisio-Desmob'!AK32</f>
        <v>0</v>
      </c>
      <c r="O10" s="38" t="s">
        <v>37</v>
      </c>
      <c r="P10" s="46">
        <f>Izadora!H31</f>
        <v>0</v>
      </c>
      <c r="Q10" s="43">
        <f t="shared" si="2"/>
        <v>5000</v>
      </c>
      <c r="R10" s="35">
        <f>Izadora!Z32</f>
        <v>0</v>
      </c>
      <c r="S10" s="35">
        <f>Izadora!AI32</f>
        <v>0</v>
      </c>
      <c r="T10" s="36">
        <f>Izadora!AR32</f>
        <v>0</v>
      </c>
      <c r="V10" s="38" t="s">
        <v>37</v>
      </c>
      <c r="W10" s="46">
        <f>'João Carlos'!H31</f>
        <v>0</v>
      </c>
      <c r="X10" s="43">
        <f t="shared" si="3"/>
        <v>5000</v>
      </c>
      <c r="Y10" s="35">
        <f>'João Carlos'!Z32</f>
        <v>0</v>
      </c>
      <c r="Z10" s="35">
        <f>'João Carlos'!AI32</f>
        <v>0</v>
      </c>
      <c r="AA10" s="36">
        <f>'João Carlos'!AR32</f>
        <v>0</v>
      </c>
    </row>
    <row r="11" spans="1:27" x14ac:dyDescent="0.25">
      <c r="A11" s="38" t="s">
        <v>38</v>
      </c>
      <c r="B11" s="46">
        <f>Geferson!H35</f>
        <v>0</v>
      </c>
      <c r="C11" s="43">
        <f t="shared" si="0"/>
        <v>5000</v>
      </c>
      <c r="D11" s="35">
        <f>Geferson!U36</f>
        <v>0</v>
      </c>
      <c r="E11" s="35">
        <f>Geferson!AC36</f>
        <v>0</v>
      </c>
      <c r="F11" s="36">
        <f>Geferson!AK36</f>
        <v>0</v>
      </c>
      <c r="H11" s="38" t="s">
        <v>38</v>
      </c>
      <c r="I11" s="46">
        <f>'Diego Parisio-Desmob'!H35</f>
        <v>0</v>
      </c>
      <c r="J11" s="43">
        <f t="shared" si="1"/>
        <v>5000</v>
      </c>
      <c r="K11" s="35">
        <f>'Diego Parisio-Desmob'!U36</f>
        <v>0</v>
      </c>
      <c r="L11" s="35">
        <f>'Diego Parisio-Desmob'!AC36</f>
        <v>0</v>
      </c>
      <c r="M11" s="36">
        <f>'Diego Parisio-Desmob'!AK36</f>
        <v>0</v>
      </c>
      <c r="O11" s="38" t="s">
        <v>38</v>
      </c>
      <c r="P11" s="46">
        <f>Izadora!H35</f>
        <v>0</v>
      </c>
      <c r="Q11" s="43">
        <f t="shared" si="2"/>
        <v>5000</v>
      </c>
      <c r="R11" s="35">
        <f>Izadora!Z36</f>
        <v>0</v>
      </c>
      <c r="S11" s="35">
        <f>Izadora!AI36</f>
        <v>0</v>
      </c>
      <c r="T11" s="36">
        <f>Izadora!AR36</f>
        <v>0</v>
      </c>
      <c r="V11" s="38" t="s">
        <v>38</v>
      </c>
      <c r="W11" s="46">
        <f>'João Carlos'!H35</f>
        <v>0</v>
      </c>
      <c r="X11" s="43">
        <f t="shared" si="3"/>
        <v>5000</v>
      </c>
      <c r="Y11" s="35">
        <f>'João Carlos'!Z36</f>
        <v>0</v>
      </c>
      <c r="Z11" s="35">
        <f>'João Carlos'!AI36</f>
        <v>0</v>
      </c>
      <c r="AA11" s="36">
        <f>'João Carlos'!AR36</f>
        <v>0</v>
      </c>
    </row>
    <row r="12" spans="1:27" x14ac:dyDescent="0.25">
      <c r="A12" s="38" t="s">
        <v>39</v>
      </c>
      <c r="B12" s="46">
        <f>Geferson!H39</f>
        <v>1776</v>
      </c>
      <c r="C12" s="43">
        <f t="shared" si="0"/>
        <v>3224</v>
      </c>
      <c r="D12" s="35">
        <f>Geferson!U40</f>
        <v>677.05</v>
      </c>
      <c r="E12" s="35">
        <f>Geferson!AC40</f>
        <v>0</v>
      </c>
      <c r="F12" s="36">
        <f>Geferson!AK40</f>
        <v>0</v>
      </c>
      <c r="H12" s="38" t="s">
        <v>39</v>
      </c>
      <c r="I12" s="46">
        <f>'Diego Parisio-Desmob'!H39</f>
        <v>934</v>
      </c>
      <c r="J12" s="43">
        <f t="shared" si="1"/>
        <v>4066</v>
      </c>
      <c r="K12" s="35">
        <f>'Diego Parisio-Desmob'!U40</f>
        <v>514.80999999999995</v>
      </c>
      <c r="L12" s="35">
        <f>'Diego Parisio-Desmob'!AC40</f>
        <v>0</v>
      </c>
      <c r="M12" s="36">
        <f>'Diego Parisio-Desmob'!AK40</f>
        <v>0</v>
      </c>
      <c r="O12" s="38" t="s">
        <v>39</v>
      </c>
      <c r="P12" s="46">
        <f>Izadora!H35</f>
        <v>0</v>
      </c>
      <c r="Q12" s="43">
        <f t="shared" si="2"/>
        <v>5000</v>
      </c>
      <c r="R12" s="35">
        <f>Izadora!Z40</f>
        <v>0</v>
      </c>
      <c r="S12" s="35">
        <f>Izadora!AI40</f>
        <v>0</v>
      </c>
      <c r="T12" s="36">
        <f>Izadora!AR40</f>
        <v>0</v>
      </c>
      <c r="V12" s="38" t="s">
        <v>39</v>
      </c>
      <c r="W12" s="46">
        <f>'João Carlos'!H39</f>
        <v>0</v>
      </c>
      <c r="X12" s="43">
        <f t="shared" si="3"/>
        <v>5000</v>
      </c>
      <c r="Y12" s="35">
        <f>'João Carlos'!Z40</f>
        <v>0</v>
      </c>
      <c r="Z12" s="35">
        <f>'João Carlos'!AI40</f>
        <v>0</v>
      </c>
      <c r="AA12" s="36">
        <f>'João Carlos'!AR40</f>
        <v>0</v>
      </c>
    </row>
    <row r="13" spans="1:27" x14ac:dyDescent="0.25">
      <c r="A13" s="38" t="s">
        <v>40</v>
      </c>
      <c r="B13" s="46">
        <f>Geferson!H43</f>
        <v>3146</v>
      </c>
      <c r="C13" s="43">
        <f t="shared" si="0"/>
        <v>1854</v>
      </c>
      <c r="D13" s="35">
        <f>Geferson!U44</f>
        <v>1952.3899999999999</v>
      </c>
      <c r="E13" s="35">
        <f>Geferson!AC44</f>
        <v>0</v>
      </c>
      <c r="F13" s="36">
        <f>Geferson!AK44</f>
        <v>0</v>
      </c>
      <c r="H13" s="38" t="s">
        <v>40</v>
      </c>
      <c r="I13" s="46">
        <f>'Diego Parisio-Desmob'!H43</f>
        <v>4586</v>
      </c>
      <c r="J13" s="43">
        <f t="shared" si="1"/>
        <v>414</v>
      </c>
      <c r="K13" s="35">
        <f>'Diego Parisio-Desmob'!U44</f>
        <v>1567.96</v>
      </c>
      <c r="L13" s="35">
        <f>'Diego Parisio-Desmob'!AC44</f>
        <v>0</v>
      </c>
      <c r="M13" s="36">
        <f>'Diego Parisio-Desmob'!AK44</f>
        <v>50</v>
      </c>
      <c r="O13" s="38" t="s">
        <v>40</v>
      </c>
      <c r="P13" s="46">
        <f>Izadora!H39</f>
        <v>0</v>
      </c>
      <c r="Q13" s="43">
        <f t="shared" si="2"/>
        <v>5000</v>
      </c>
      <c r="R13" s="35">
        <f>Izadora!Z44</f>
        <v>0</v>
      </c>
      <c r="S13" s="35">
        <f>Izadora!AI44</f>
        <v>0</v>
      </c>
      <c r="T13" s="36">
        <f>Izadora!AR44</f>
        <v>0</v>
      </c>
      <c r="V13" s="38" t="s">
        <v>40</v>
      </c>
      <c r="W13" s="46">
        <f>'João Carlos'!H43</f>
        <v>0</v>
      </c>
      <c r="X13" s="43">
        <f t="shared" si="3"/>
        <v>5000</v>
      </c>
      <c r="Y13" s="35">
        <f>'João Carlos'!Z44</f>
        <v>0</v>
      </c>
      <c r="Z13" s="35">
        <f>'João Carlos'!AI44</f>
        <v>0</v>
      </c>
      <c r="AA13" s="36">
        <f>'João Carlos'!AR44</f>
        <v>0</v>
      </c>
    </row>
    <row r="14" spans="1:27" x14ac:dyDescent="0.25">
      <c r="A14" s="38" t="s">
        <v>41</v>
      </c>
      <c r="B14" s="46">
        <f>Geferson!H47</f>
        <v>2312</v>
      </c>
      <c r="C14" s="43">
        <f t="shared" si="0"/>
        <v>2688</v>
      </c>
      <c r="D14" s="35">
        <f>Geferson!U48</f>
        <v>1420.8700000000001</v>
      </c>
      <c r="E14" s="35">
        <f>Geferson!AC48</f>
        <v>0</v>
      </c>
      <c r="F14" s="36">
        <f>Geferson!AK48</f>
        <v>0</v>
      </c>
      <c r="H14" s="38" t="s">
        <v>41</v>
      </c>
      <c r="I14" s="46">
        <f>'Diego Parisio-Desmob'!H47</f>
        <v>2355</v>
      </c>
      <c r="J14" s="43">
        <f t="shared" si="1"/>
        <v>2645</v>
      </c>
      <c r="K14" s="35">
        <f>'Diego Parisio-Desmob'!U48</f>
        <v>1236.56</v>
      </c>
      <c r="L14" s="35">
        <f>'Diego Parisio-Desmob'!AC48</f>
        <v>115</v>
      </c>
      <c r="M14" s="36">
        <f>'Diego Parisio-Desmob'!AK48</f>
        <v>0</v>
      </c>
      <c r="O14" s="38" t="s">
        <v>41</v>
      </c>
      <c r="P14" s="46">
        <f>Izadora!H43</f>
        <v>2562</v>
      </c>
      <c r="Q14" s="43">
        <f t="shared" si="2"/>
        <v>2438</v>
      </c>
      <c r="R14" s="35">
        <f>Izadora!Z48</f>
        <v>0</v>
      </c>
      <c r="S14" s="35">
        <f>Izadora!AI48</f>
        <v>0</v>
      </c>
      <c r="T14" s="36">
        <f>Izadora!AR48</f>
        <v>0</v>
      </c>
      <c r="V14" s="38" t="s">
        <v>41</v>
      </c>
      <c r="W14" s="46">
        <f>'João Carlos'!H47</f>
        <v>2729</v>
      </c>
      <c r="X14" s="43">
        <f t="shared" si="3"/>
        <v>2271</v>
      </c>
      <c r="Y14" s="35">
        <f>'João Carlos'!Z48</f>
        <v>0</v>
      </c>
      <c r="Z14" s="35">
        <f>'João Carlos'!AI48</f>
        <v>0</v>
      </c>
      <c r="AA14" s="36">
        <f>'João Carlos'!AR48</f>
        <v>0</v>
      </c>
    </row>
    <row r="15" spans="1:27" ht="15.75" thickBot="1" x14ac:dyDescent="0.3">
      <c r="A15" s="39" t="s">
        <v>42</v>
      </c>
      <c r="B15" s="47">
        <f>Geferson!H51</f>
        <v>2263</v>
      </c>
      <c r="C15" s="44">
        <f t="shared" si="0"/>
        <v>2737</v>
      </c>
      <c r="D15" s="11">
        <f>Geferson!U52</f>
        <v>1184.4299999999998</v>
      </c>
      <c r="E15" s="11">
        <f>Geferson!AC52</f>
        <v>0</v>
      </c>
      <c r="F15" s="12">
        <f>Geferson!AK52</f>
        <v>0</v>
      </c>
      <c r="H15" s="39" t="s">
        <v>42</v>
      </c>
      <c r="I15" s="47">
        <f>'Diego Parisio-Desmob'!H51</f>
        <v>2148</v>
      </c>
      <c r="J15" s="44">
        <f>SUM(5000-I15)</f>
        <v>2852</v>
      </c>
      <c r="K15" s="11">
        <f>'Diego Parisio-Desmob'!U52</f>
        <v>1036.74</v>
      </c>
      <c r="L15" s="11">
        <f>'Diego Parisio-Desmob'!AC48</f>
        <v>115</v>
      </c>
      <c r="M15" s="12">
        <f>'Diego Parisio-Desmob'!AK48</f>
        <v>0</v>
      </c>
      <c r="O15" s="39" t="s">
        <v>42</v>
      </c>
      <c r="P15" s="47">
        <f>Izadora!H47</f>
        <v>894</v>
      </c>
      <c r="Q15" s="44">
        <f>SUM(5000-P15)</f>
        <v>4106</v>
      </c>
      <c r="R15" s="11">
        <f>Izadora!Z56</f>
        <v>0</v>
      </c>
      <c r="S15" s="11">
        <f>Izadora!AI48</f>
        <v>0</v>
      </c>
      <c r="T15" s="12">
        <f>Izadora!AR52</f>
        <v>0</v>
      </c>
      <c r="V15" s="39" t="s">
        <v>42</v>
      </c>
      <c r="W15" s="47">
        <f>'João Carlos'!H51</f>
        <v>2358</v>
      </c>
      <c r="X15" s="44">
        <f t="shared" si="3"/>
        <v>2642</v>
      </c>
      <c r="Y15" s="11">
        <f>'João Carlos'!Z52</f>
        <v>0</v>
      </c>
      <c r="Z15" s="11">
        <f>'João Carlos'!AI52</f>
        <v>0</v>
      </c>
      <c r="AA15" s="12">
        <f>'João Carlos'!AR52</f>
        <v>0</v>
      </c>
    </row>
    <row r="16" spans="1:27" ht="15.75" thickBot="1" x14ac:dyDescent="0.3"/>
    <row r="17" spans="1:27" ht="15.75" thickBot="1" x14ac:dyDescent="0.3">
      <c r="A17" s="3" t="s">
        <v>23</v>
      </c>
      <c r="B17" s="52">
        <f>SUM(B4:B15)</f>
        <v>9497</v>
      </c>
      <c r="C17" s="51"/>
      <c r="D17" s="50">
        <f>SUM(D4:D15)</f>
        <v>5234.74</v>
      </c>
      <c r="E17" s="49">
        <f>SUM(E4:E15)</f>
        <v>0</v>
      </c>
      <c r="F17" s="48">
        <f>SUM(F4:F15)</f>
        <v>0</v>
      </c>
      <c r="H17" s="3" t="s">
        <v>23</v>
      </c>
      <c r="I17" s="52">
        <f>SUM(I4:I15)</f>
        <v>10023</v>
      </c>
      <c r="J17" s="51"/>
      <c r="K17" s="50">
        <f>SUM(K4:K15)</f>
        <v>4356.07</v>
      </c>
      <c r="L17" s="49">
        <f>SUM(L4:L15)</f>
        <v>230</v>
      </c>
      <c r="M17" s="48">
        <f>SUM(M4:M15)</f>
        <v>50</v>
      </c>
      <c r="O17" s="3" t="s">
        <v>23</v>
      </c>
      <c r="P17" s="52">
        <f>SUM(P4:P15)</f>
        <v>3456</v>
      </c>
      <c r="Q17" s="51"/>
      <c r="R17" s="50">
        <f>SUM(R4:R15)</f>
        <v>0</v>
      </c>
      <c r="S17" s="49">
        <f>SUM(S4:S15)</f>
        <v>0</v>
      </c>
      <c r="T17" s="48">
        <f>SUM(T4:T15)</f>
        <v>0</v>
      </c>
      <c r="V17" s="3" t="s">
        <v>23</v>
      </c>
      <c r="W17" s="52">
        <f>SUM(W4:W15)</f>
        <v>5087</v>
      </c>
      <c r="X17" s="51"/>
      <c r="Y17" s="50">
        <f>SUM(Y4:Y15)</f>
        <v>0</v>
      </c>
      <c r="Z17" s="49">
        <f>SUM(Z4:Z15)</f>
        <v>0</v>
      </c>
      <c r="AA17" s="48">
        <f>SUM(AA4:AA15)</f>
        <v>0</v>
      </c>
    </row>
    <row r="18" spans="1:27" ht="15.75" thickBot="1" x14ac:dyDescent="0.3">
      <c r="A18" s="3" t="s">
        <v>44</v>
      </c>
      <c r="B18" s="23">
        <f>SUM(60000-B17)</f>
        <v>50503</v>
      </c>
      <c r="H18" s="3" t="s">
        <v>44</v>
      </c>
      <c r="I18" s="23">
        <f>SUM(60000-I17)</f>
        <v>49977</v>
      </c>
      <c r="O18" s="3" t="s">
        <v>44</v>
      </c>
      <c r="P18" s="23">
        <f>SUM(60000-P17)</f>
        <v>56544</v>
      </c>
      <c r="V18" s="3" t="s">
        <v>44</v>
      </c>
      <c r="W18" s="23">
        <f>SUM(60000-W17)</f>
        <v>54913</v>
      </c>
    </row>
    <row r="21" spans="1:27" ht="15.75" thickBot="1" x14ac:dyDescent="0.3">
      <c r="B21" s="89" t="s">
        <v>75</v>
      </c>
      <c r="C21" s="89"/>
      <c r="D21" s="89"/>
      <c r="E21" s="89"/>
      <c r="F21" s="89"/>
      <c r="I21" s="84" t="s">
        <v>74</v>
      </c>
      <c r="J21" s="84"/>
      <c r="K21" s="84"/>
      <c r="L21" s="84"/>
      <c r="M21" s="84"/>
      <c r="P21" s="84" t="s">
        <v>73</v>
      </c>
      <c r="Q21" s="84"/>
      <c r="R21" s="84"/>
      <c r="S21" s="84"/>
      <c r="T21" s="84"/>
      <c r="W21" s="84" t="s">
        <v>52</v>
      </c>
      <c r="X21" s="84"/>
      <c r="Y21" s="84"/>
      <c r="Z21" s="84"/>
      <c r="AA21" s="84"/>
    </row>
    <row r="22" spans="1:27" ht="15.75" thickBot="1" x14ac:dyDescent="0.3">
      <c r="B22" s="22" t="s">
        <v>71</v>
      </c>
      <c r="C22" s="33" t="s">
        <v>30</v>
      </c>
      <c r="D22" s="23" t="s">
        <v>26</v>
      </c>
      <c r="E22" s="23" t="s">
        <v>25</v>
      </c>
      <c r="F22" s="25" t="s">
        <v>27</v>
      </c>
      <c r="I22" s="22" t="s">
        <v>71</v>
      </c>
      <c r="J22" s="33" t="s">
        <v>30</v>
      </c>
      <c r="K22" s="23" t="s">
        <v>26</v>
      </c>
      <c r="L22" s="23" t="s">
        <v>25</v>
      </c>
      <c r="M22" s="25" t="s">
        <v>27</v>
      </c>
      <c r="P22" s="22" t="s">
        <v>71</v>
      </c>
      <c r="Q22" s="33" t="s">
        <v>30</v>
      </c>
      <c r="R22" s="23" t="s">
        <v>26</v>
      </c>
      <c r="S22" s="23" t="s">
        <v>25</v>
      </c>
      <c r="T22" s="25" t="s">
        <v>27</v>
      </c>
      <c r="W22" s="22" t="s">
        <v>71</v>
      </c>
      <c r="X22" s="33" t="s">
        <v>30</v>
      </c>
      <c r="Y22" s="23" t="s">
        <v>26</v>
      </c>
      <c r="Z22" s="23" t="s">
        <v>25</v>
      </c>
      <c r="AA22" s="25" t="s">
        <v>27</v>
      </c>
    </row>
    <row r="23" spans="1:27" x14ac:dyDescent="0.25">
      <c r="A23" s="37" t="s">
        <v>31</v>
      </c>
      <c r="B23" s="58"/>
      <c r="C23" s="59">
        <v>0</v>
      </c>
      <c r="D23" s="60">
        <v>0</v>
      </c>
      <c r="E23" s="60">
        <v>0</v>
      </c>
      <c r="F23" s="61">
        <v>0</v>
      </c>
      <c r="H23" s="37" t="s">
        <v>31</v>
      </c>
      <c r="I23" s="58"/>
      <c r="J23" s="59">
        <v>0</v>
      </c>
      <c r="K23" s="60">
        <v>0</v>
      </c>
      <c r="L23" s="60">
        <v>0</v>
      </c>
      <c r="M23" s="61">
        <v>0</v>
      </c>
      <c r="O23" s="37" t="s">
        <v>31</v>
      </c>
      <c r="P23" s="58"/>
      <c r="Q23" s="59">
        <v>0</v>
      </c>
      <c r="R23" s="60">
        <v>0</v>
      </c>
      <c r="S23" s="60">
        <v>0</v>
      </c>
      <c r="T23" s="61">
        <v>0</v>
      </c>
      <c r="V23" s="37" t="s">
        <v>31</v>
      </c>
      <c r="W23" s="58"/>
      <c r="X23" s="59">
        <v>0</v>
      </c>
      <c r="Y23" s="60">
        <v>0</v>
      </c>
      <c r="Z23" s="60">
        <v>0</v>
      </c>
      <c r="AA23" s="61">
        <v>0</v>
      </c>
    </row>
    <row r="24" spans="1:27" x14ac:dyDescent="0.25">
      <c r="A24" s="38" t="s">
        <v>32</v>
      </c>
      <c r="B24" s="46">
        <f>'Antonio Willian'!H11</f>
        <v>0</v>
      </c>
      <c r="C24" s="43">
        <f>SUM(5000-B24)</f>
        <v>5000</v>
      </c>
      <c r="D24" s="35">
        <f>'Antonio Willian'!U12</f>
        <v>0</v>
      </c>
      <c r="E24" s="35">
        <f>'Antonio Willian'!AC12</f>
        <v>0</v>
      </c>
      <c r="F24" s="36">
        <f>'Antonio Willian'!AK12</f>
        <v>0</v>
      </c>
      <c r="H24" s="38" t="s">
        <v>32</v>
      </c>
      <c r="I24" s="46">
        <f>Geraldo!H11</f>
        <v>0</v>
      </c>
      <c r="J24" s="43">
        <f>SUM(5000-I24)</f>
        <v>5000</v>
      </c>
      <c r="K24" s="35">
        <f>Geraldo!U12</f>
        <v>0</v>
      </c>
      <c r="L24" s="35">
        <f>Geraldo!AC12</f>
        <v>0</v>
      </c>
      <c r="M24" s="36">
        <f>Geraldo!AK12</f>
        <v>0</v>
      </c>
      <c r="O24" s="38" t="s">
        <v>32</v>
      </c>
      <c r="P24" s="46">
        <f>'Rogerio Salustiano'!H12</f>
        <v>0</v>
      </c>
      <c r="Q24" s="43">
        <f>SUM(5000-P24)</f>
        <v>5000</v>
      </c>
      <c r="R24" s="35">
        <f>'Rogerio Salustiano'!U13</f>
        <v>0</v>
      </c>
      <c r="S24" s="35">
        <f>'Rogerio Salustiano'!AC13</f>
        <v>0</v>
      </c>
      <c r="T24" s="36">
        <f>'Rogerio Salustiano'!AK13</f>
        <v>0</v>
      </c>
      <c r="V24" s="38" t="s">
        <v>32</v>
      </c>
      <c r="W24" s="46">
        <f>Jurandir!H15</f>
        <v>2749</v>
      </c>
      <c r="X24" s="43">
        <f>SUM(5000-W24)</f>
        <v>2251</v>
      </c>
      <c r="Y24" s="35">
        <f>Jurandir!U16</f>
        <v>1473.8899999999999</v>
      </c>
      <c r="Z24" s="35">
        <f>Jurandir!AE16</f>
        <v>0</v>
      </c>
      <c r="AA24" s="36">
        <f>Jurandir!AN16</f>
        <v>0</v>
      </c>
    </row>
    <row r="25" spans="1:27" x14ac:dyDescent="0.25">
      <c r="A25" s="38" t="s">
        <v>33</v>
      </c>
      <c r="B25" s="46">
        <f>'Antonio Willian'!H15</f>
        <v>0</v>
      </c>
      <c r="C25" s="43">
        <f t="shared" ref="C25:C34" si="4">SUM(5000-B25)</f>
        <v>5000</v>
      </c>
      <c r="D25" s="35">
        <f>'Antonio Willian'!U16</f>
        <v>0</v>
      </c>
      <c r="E25" s="35">
        <f>'Antonio Willian'!AC16</f>
        <v>0</v>
      </c>
      <c r="F25" s="36">
        <f>'Antonio Willian'!AK16</f>
        <v>0</v>
      </c>
      <c r="H25" s="38" t="s">
        <v>33</v>
      </c>
      <c r="I25" s="46">
        <f>Geraldo!H15</f>
        <v>0</v>
      </c>
      <c r="J25" s="43">
        <f t="shared" ref="J25:J34" si="5">SUM(5000-I25)</f>
        <v>5000</v>
      </c>
      <c r="K25" s="35">
        <f>Geraldo!U16</f>
        <v>0</v>
      </c>
      <c r="L25" s="35">
        <f>Geraldo!AC16</f>
        <v>0</v>
      </c>
      <c r="M25" s="36">
        <f>Geraldo!AK16</f>
        <v>0</v>
      </c>
      <c r="O25" s="38" t="s">
        <v>33</v>
      </c>
      <c r="P25" s="46">
        <f>'Rogerio Salustiano'!H16</f>
        <v>0</v>
      </c>
      <c r="Q25" s="43">
        <f t="shared" ref="Q25:Q34" si="6">SUM(5000-P25)</f>
        <v>5000</v>
      </c>
      <c r="R25" s="35">
        <f>'Rogerio Salustiano'!U17</f>
        <v>0</v>
      </c>
      <c r="S25" s="35">
        <f>'Rogerio Salustiano'!AC17</f>
        <v>0</v>
      </c>
      <c r="T25" s="36">
        <f>'Rogerio Salustiano'!AK17</f>
        <v>0</v>
      </c>
      <c r="V25" s="38" t="s">
        <v>33</v>
      </c>
      <c r="W25" s="46">
        <f>Jurandir!H19</f>
        <v>2697</v>
      </c>
      <c r="X25" s="43">
        <f t="shared" ref="X25:X34" si="7">SUM(5000-W25)</f>
        <v>2303</v>
      </c>
      <c r="Y25" s="35">
        <f>Jurandir!U20</f>
        <v>1722.3199999999997</v>
      </c>
      <c r="Z25" s="35">
        <f>Jurandir!AE20</f>
        <v>120</v>
      </c>
      <c r="AA25" s="36">
        <f>Jurandir!AN20</f>
        <v>0</v>
      </c>
    </row>
    <row r="26" spans="1:27" x14ac:dyDescent="0.25">
      <c r="A26" s="38" t="s">
        <v>34</v>
      </c>
      <c r="B26" s="46">
        <f>'Antonio Willian'!H19</f>
        <v>0</v>
      </c>
      <c r="C26" s="43">
        <f t="shared" si="4"/>
        <v>5000</v>
      </c>
      <c r="D26" s="35">
        <f>'Antonio Willian'!U20</f>
        <v>0</v>
      </c>
      <c r="E26" s="35">
        <f>'Antonio Willian'!AC20</f>
        <v>0</v>
      </c>
      <c r="F26" s="36">
        <f>'Antonio Willian'!AK20</f>
        <v>0</v>
      </c>
      <c r="H26" s="38" t="s">
        <v>34</v>
      </c>
      <c r="I26" s="46">
        <f>Geraldo!H19</f>
        <v>0</v>
      </c>
      <c r="J26" s="43">
        <f t="shared" si="5"/>
        <v>5000</v>
      </c>
      <c r="K26" s="35">
        <f>Geraldo!U20</f>
        <v>0</v>
      </c>
      <c r="L26" s="35">
        <f>Geraldo!AC20</f>
        <v>0</v>
      </c>
      <c r="M26" s="36">
        <f>Geraldo!AK20</f>
        <v>0</v>
      </c>
      <c r="O26" s="38" t="s">
        <v>34</v>
      </c>
      <c r="P26" s="46">
        <f>'Rogerio Salustiano'!H20</f>
        <v>0</v>
      </c>
      <c r="Q26" s="43">
        <f t="shared" si="6"/>
        <v>5000</v>
      </c>
      <c r="R26" s="35">
        <f>'Rogerio Salustiano'!U21</f>
        <v>0</v>
      </c>
      <c r="S26" s="35">
        <f>'Rogerio Salustiano'!AC21</f>
        <v>0</v>
      </c>
      <c r="T26" s="36">
        <f>'Rogerio Salustiano'!AK21</f>
        <v>0</v>
      </c>
      <c r="V26" s="38" t="s">
        <v>34</v>
      </c>
      <c r="W26" s="46">
        <f>Jurandir!H23</f>
        <v>2357</v>
      </c>
      <c r="X26" s="43">
        <f t="shared" si="7"/>
        <v>2643</v>
      </c>
      <c r="Y26" s="35">
        <f>Jurandir!U204</f>
        <v>0</v>
      </c>
      <c r="Z26" s="35">
        <f>Jurandir!AE24</f>
        <v>0</v>
      </c>
      <c r="AA26" s="36">
        <f>Jurandir!AN204</f>
        <v>0</v>
      </c>
    </row>
    <row r="27" spans="1:27" x14ac:dyDescent="0.25">
      <c r="A27" s="38" t="s">
        <v>35</v>
      </c>
      <c r="B27" s="46">
        <f>'Antonio Willian'!H23</f>
        <v>0</v>
      </c>
      <c r="C27" s="43">
        <f t="shared" si="4"/>
        <v>5000</v>
      </c>
      <c r="D27" s="35">
        <f>'Antonio Willian'!U24</f>
        <v>0</v>
      </c>
      <c r="E27" s="35">
        <f>'Antonio Willian'!AC24</f>
        <v>0</v>
      </c>
      <c r="F27" s="36">
        <f>'Antonio Willian'!AK24</f>
        <v>0</v>
      </c>
      <c r="H27" s="38" t="s">
        <v>35</v>
      </c>
      <c r="I27" s="46">
        <f>Geraldo!H23</f>
        <v>0</v>
      </c>
      <c r="J27" s="43">
        <f t="shared" si="5"/>
        <v>5000</v>
      </c>
      <c r="K27" s="35">
        <f>Geraldo!U24</f>
        <v>0</v>
      </c>
      <c r="L27" s="35">
        <f>Geraldo!AC24</f>
        <v>0</v>
      </c>
      <c r="M27" s="36">
        <f>Geraldo!AK24</f>
        <v>0</v>
      </c>
      <c r="O27" s="38" t="s">
        <v>35</v>
      </c>
      <c r="P27" s="46">
        <f>'Rogerio Salustiano'!H24</f>
        <v>0</v>
      </c>
      <c r="Q27" s="43">
        <f t="shared" si="6"/>
        <v>5000</v>
      </c>
      <c r="R27" s="35">
        <f>'Rogerio Salustiano'!U25</f>
        <v>0</v>
      </c>
      <c r="S27" s="35">
        <f>'Rogerio Salustiano'!AC25</f>
        <v>0</v>
      </c>
      <c r="T27" s="36">
        <f>'Rogerio Salustiano'!AK25</f>
        <v>0</v>
      </c>
      <c r="V27" s="38" t="s">
        <v>35</v>
      </c>
      <c r="W27" s="46">
        <f>Jurandir!H27</f>
        <v>3179</v>
      </c>
      <c r="X27" s="43">
        <f t="shared" si="7"/>
        <v>1821</v>
      </c>
      <c r="Y27" s="35">
        <f>Jurandir!U28</f>
        <v>0</v>
      </c>
      <c r="Z27" s="35">
        <f>Jurandir!AE28</f>
        <v>0</v>
      </c>
      <c r="AA27" s="36">
        <f>Jurandir!AN28</f>
        <v>0</v>
      </c>
    </row>
    <row r="28" spans="1:27" x14ac:dyDescent="0.25">
      <c r="A28" s="38" t="s">
        <v>36</v>
      </c>
      <c r="B28" s="46">
        <f>'Antonio Willian'!H27</f>
        <v>0</v>
      </c>
      <c r="C28" s="43">
        <f t="shared" si="4"/>
        <v>5000</v>
      </c>
      <c r="D28" s="35">
        <f>'Antonio Willian'!U28</f>
        <v>0</v>
      </c>
      <c r="E28" s="35">
        <f>'Antonio Willian'!AC28</f>
        <v>0</v>
      </c>
      <c r="F28" s="36">
        <f>'Antonio Willian'!AK28</f>
        <v>0</v>
      </c>
      <c r="H28" s="38" t="s">
        <v>36</v>
      </c>
      <c r="I28" s="46">
        <f>Geraldo!H27</f>
        <v>0</v>
      </c>
      <c r="J28" s="43">
        <f t="shared" si="5"/>
        <v>5000</v>
      </c>
      <c r="K28" s="35">
        <f>Geraldo!U28</f>
        <v>0</v>
      </c>
      <c r="L28" s="35">
        <f>Geraldo!AC28</f>
        <v>0</v>
      </c>
      <c r="M28" s="36">
        <f>Geraldo!AK28</f>
        <v>0</v>
      </c>
      <c r="O28" s="38" t="s">
        <v>36</v>
      </c>
      <c r="P28" s="46">
        <f>'Rogerio Salustiano'!H28</f>
        <v>0</v>
      </c>
      <c r="Q28" s="43">
        <f t="shared" si="6"/>
        <v>5000</v>
      </c>
      <c r="R28" s="35">
        <f>'Rogerio Salustiano'!U29</f>
        <v>0</v>
      </c>
      <c r="S28" s="35">
        <f>'Rogerio Salustiano'!AC29</f>
        <v>0</v>
      </c>
      <c r="T28" s="36">
        <f>'Rogerio Salustiano'!AK29</f>
        <v>0</v>
      </c>
      <c r="V28" s="38" t="s">
        <v>36</v>
      </c>
      <c r="W28" s="46">
        <f>Jurandir!H31</f>
        <v>0</v>
      </c>
      <c r="X28" s="43">
        <f t="shared" si="7"/>
        <v>5000</v>
      </c>
      <c r="Y28" s="35">
        <f>Jurandir!U32</f>
        <v>0</v>
      </c>
      <c r="Z28" s="35">
        <f>Jurandir!AE32</f>
        <v>0</v>
      </c>
      <c r="AA28" s="36">
        <f>Jurandir!AN32</f>
        <v>0</v>
      </c>
    </row>
    <row r="29" spans="1:27" x14ac:dyDescent="0.25">
      <c r="A29" s="38" t="s">
        <v>37</v>
      </c>
      <c r="B29" s="46">
        <f>'Antonio Willian'!H31</f>
        <v>0</v>
      </c>
      <c r="C29" s="43">
        <f t="shared" si="4"/>
        <v>5000</v>
      </c>
      <c r="D29" s="35">
        <f>'Antonio Willian'!U32</f>
        <v>0</v>
      </c>
      <c r="E29" s="35">
        <f>'Antonio Willian'!AC32</f>
        <v>0</v>
      </c>
      <c r="F29" s="36">
        <f>'Antonio Willian'!AK32</f>
        <v>0</v>
      </c>
      <c r="H29" s="38" t="s">
        <v>37</v>
      </c>
      <c r="I29" s="46">
        <f>Geraldo!H31</f>
        <v>0</v>
      </c>
      <c r="J29" s="43">
        <f t="shared" si="5"/>
        <v>5000</v>
      </c>
      <c r="K29" s="35">
        <f>Geraldo!U32</f>
        <v>0</v>
      </c>
      <c r="L29" s="35">
        <f>Geraldo!AC32</f>
        <v>0</v>
      </c>
      <c r="M29" s="36">
        <f>Geraldo!AK32</f>
        <v>0</v>
      </c>
      <c r="O29" s="38" t="s">
        <v>37</v>
      </c>
      <c r="P29" s="46">
        <f>'Rogerio Salustiano'!H32</f>
        <v>0</v>
      </c>
      <c r="Q29" s="43">
        <f t="shared" si="6"/>
        <v>5000</v>
      </c>
      <c r="R29" s="35">
        <f>'Rogerio Salustiano'!U33</f>
        <v>0</v>
      </c>
      <c r="S29" s="35">
        <f>'Rogerio Salustiano'!AC33</f>
        <v>0</v>
      </c>
      <c r="T29" s="36">
        <f>'Rogerio Salustiano'!AK33</f>
        <v>0</v>
      </c>
      <c r="V29" s="38" t="s">
        <v>37</v>
      </c>
      <c r="W29" s="46">
        <f>Jurandir!H35</f>
        <v>0</v>
      </c>
      <c r="X29" s="43">
        <f t="shared" si="7"/>
        <v>5000</v>
      </c>
      <c r="Y29" s="35">
        <f>Jurandir!U36</f>
        <v>0</v>
      </c>
      <c r="Z29" s="35">
        <f>Jurandir!AE36</f>
        <v>0</v>
      </c>
      <c r="AA29" s="36">
        <f>Jurandir!AN36</f>
        <v>0</v>
      </c>
    </row>
    <row r="30" spans="1:27" x14ac:dyDescent="0.25">
      <c r="A30" s="38" t="s">
        <v>38</v>
      </c>
      <c r="B30" s="46">
        <f>'Antonio Willian'!H35</f>
        <v>0</v>
      </c>
      <c r="C30" s="43">
        <f t="shared" si="4"/>
        <v>5000</v>
      </c>
      <c r="D30" s="35">
        <f>'Antonio Willian'!U36</f>
        <v>0</v>
      </c>
      <c r="E30" s="35">
        <f>'Antonio Willian'!AC36</f>
        <v>0</v>
      </c>
      <c r="F30" s="36">
        <f>'Antonio Willian'!AK36</f>
        <v>0</v>
      </c>
      <c r="H30" s="38" t="s">
        <v>38</v>
      </c>
      <c r="I30" s="46">
        <f>Geraldo!H35</f>
        <v>0</v>
      </c>
      <c r="J30" s="43">
        <f t="shared" si="5"/>
        <v>5000</v>
      </c>
      <c r="K30" s="35">
        <f>Geraldo!U36</f>
        <v>0</v>
      </c>
      <c r="L30" s="35">
        <f>Geraldo!AC36</f>
        <v>0</v>
      </c>
      <c r="M30" s="36">
        <f>Geraldo!AK36</f>
        <v>0</v>
      </c>
      <c r="O30" s="38" t="s">
        <v>38</v>
      </c>
      <c r="P30" s="46">
        <f>'Rogerio Salustiano'!H36</f>
        <v>0</v>
      </c>
      <c r="Q30" s="43">
        <f t="shared" si="6"/>
        <v>5000</v>
      </c>
      <c r="R30" s="35">
        <f>'Rogerio Salustiano'!U37</f>
        <v>0</v>
      </c>
      <c r="S30" s="35">
        <f>'Rogerio Salustiano'!AC37</f>
        <v>0</v>
      </c>
      <c r="T30" s="36">
        <f>'Rogerio Salustiano'!AK37</f>
        <v>0</v>
      </c>
      <c r="V30" s="38" t="s">
        <v>38</v>
      </c>
      <c r="W30" s="46">
        <f>Jurandir!H39</f>
        <v>0</v>
      </c>
      <c r="X30" s="43">
        <f t="shared" si="7"/>
        <v>5000</v>
      </c>
      <c r="Y30" s="35">
        <f>Jurandir!U40</f>
        <v>0</v>
      </c>
      <c r="Z30" s="35">
        <f>Jurandir!AE40</f>
        <v>0</v>
      </c>
      <c r="AA30" s="36">
        <f>Jurandir!AN40</f>
        <v>0</v>
      </c>
    </row>
    <row r="31" spans="1:27" x14ac:dyDescent="0.25">
      <c r="A31" s="38" t="s">
        <v>39</v>
      </c>
      <c r="B31" s="46">
        <f>'Antonio Willian'!H39</f>
        <v>0</v>
      </c>
      <c r="C31" s="43">
        <f t="shared" si="4"/>
        <v>5000</v>
      </c>
      <c r="D31" s="35">
        <f>'Antonio Willian'!U40</f>
        <v>0</v>
      </c>
      <c r="E31" s="35">
        <f>'Antonio Willian'!AC40</f>
        <v>0</v>
      </c>
      <c r="F31" s="36">
        <f>'Antonio Willian'!AK4</f>
        <v>0</v>
      </c>
      <c r="H31" s="38" t="s">
        <v>39</v>
      </c>
      <c r="I31" s="46">
        <f>Geraldo!H39</f>
        <v>0</v>
      </c>
      <c r="J31" s="43">
        <f t="shared" si="5"/>
        <v>5000</v>
      </c>
      <c r="K31" s="35">
        <f>Geraldo!U40</f>
        <v>0</v>
      </c>
      <c r="L31" s="35">
        <f>Geraldo!AC40</f>
        <v>0</v>
      </c>
      <c r="M31" s="36">
        <f>Geraldo!AK40</f>
        <v>0</v>
      </c>
      <c r="O31" s="38" t="s">
        <v>39</v>
      </c>
      <c r="P31" s="46">
        <f>'Rogerio Salustiano'!H40</f>
        <v>0</v>
      </c>
      <c r="Q31" s="43">
        <f t="shared" si="6"/>
        <v>5000</v>
      </c>
      <c r="R31" s="35">
        <f>'Rogerio Salustiano'!U41</f>
        <v>0</v>
      </c>
      <c r="S31" s="35">
        <f>'Rogerio Salustiano'!AC41</f>
        <v>0</v>
      </c>
      <c r="T31" s="36">
        <f>'Rogerio Salustiano'!AK41</f>
        <v>0</v>
      </c>
      <c r="V31" s="38" t="s">
        <v>39</v>
      </c>
      <c r="W31" s="46">
        <f>Jurandir!H43</f>
        <v>0</v>
      </c>
      <c r="X31" s="43">
        <f t="shared" si="7"/>
        <v>5000</v>
      </c>
      <c r="Y31" s="35">
        <f>Jurandir!U44</f>
        <v>0</v>
      </c>
      <c r="Z31" s="35">
        <f>Jurandir!AE44</f>
        <v>0</v>
      </c>
      <c r="AA31" s="36">
        <f>Jurandir!AN44</f>
        <v>0</v>
      </c>
    </row>
    <row r="32" spans="1:27" x14ac:dyDescent="0.25">
      <c r="A32" s="38" t="s">
        <v>40</v>
      </c>
      <c r="B32" s="46">
        <f>'Antonio Willian'!H43</f>
        <v>0</v>
      </c>
      <c r="C32" s="43">
        <f t="shared" si="4"/>
        <v>5000</v>
      </c>
      <c r="D32" s="35">
        <f>'Antonio Willian'!U44</f>
        <v>0</v>
      </c>
      <c r="E32" s="35">
        <f>'Antonio Willian'!AC44</f>
        <v>0</v>
      </c>
      <c r="F32" s="36">
        <f>'Antonio Willian'!AK44</f>
        <v>0</v>
      </c>
      <c r="H32" s="38" t="s">
        <v>40</v>
      </c>
      <c r="I32" s="46">
        <f>Geraldo!H43</f>
        <v>0</v>
      </c>
      <c r="J32" s="43">
        <f t="shared" si="5"/>
        <v>5000</v>
      </c>
      <c r="K32" s="35">
        <f>Geraldo!U44</f>
        <v>0</v>
      </c>
      <c r="L32" s="35">
        <f>Geraldo!AC44</f>
        <v>0</v>
      </c>
      <c r="M32" s="36">
        <f>Geraldo!AK44</f>
        <v>0</v>
      </c>
      <c r="O32" s="38" t="s">
        <v>40</v>
      </c>
      <c r="P32" s="46">
        <f>'Rogerio Salustiano'!H44</f>
        <v>0</v>
      </c>
      <c r="Q32" s="43">
        <f t="shared" si="6"/>
        <v>5000</v>
      </c>
      <c r="R32" s="35">
        <f>'Rogerio Salustiano'!U45</f>
        <v>0</v>
      </c>
      <c r="S32" s="35">
        <f>'Rogerio Salustiano'!AC45</f>
        <v>0</v>
      </c>
      <c r="T32" s="36">
        <f>'Rogerio Salustiano'!AK45</f>
        <v>0</v>
      </c>
      <c r="V32" s="38" t="s">
        <v>40</v>
      </c>
      <c r="W32" s="46">
        <f>Jurandir!H47</f>
        <v>0</v>
      </c>
      <c r="X32" s="43">
        <f t="shared" si="7"/>
        <v>5000</v>
      </c>
      <c r="Y32" s="35">
        <f>Jurandir!U48</f>
        <v>0</v>
      </c>
      <c r="Z32" s="35">
        <f>Jurandir!AE48</f>
        <v>0</v>
      </c>
      <c r="AA32" s="36">
        <f>Jurandir!AN48</f>
        <v>0</v>
      </c>
    </row>
    <row r="33" spans="1:27" x14ac:dyDescent="0.25">
      <c r="A33" s="38" t="s">
        <v>41</v>
      </c>
      <c r="B33" s="46">
        <f>'Antonio Willian'!H47</f>
        <v>1704</v>
      </c>
      <c r="C33" s="43">
        <f t="shared" si="4"/>
        <v>3296</v>
      </c>
      <c r="D33" s="35">
        <f>'Antonio Willian'!U48</f>
        <v>1178.71</v>
      </c>
      <c r="E33" s="35">
        <f>'Antonio Willian'!AC48</f>
        <v>0</v>
      </c>
      <c r="F33" s="36">
        <f>'Antonio Willian'!AK48</f>
        <v>0</v>
      </c>
      <c r="H33" s="38" t="s">
        <v>41</v>
      </c>
      <c r="I33" s="46">
        <f>Geraldo!H47</f>
        <v>1699</v>
      </c>
      <c r="J33" s="43">
        <f t="shared" si="5"/>
        <v>3301</v>
      </c>
      <c r="K33" s="35">
        <f>Geraldo!U48</f>
        <v>810.91000000000008</v>
      </c>
      <c r="L33" s="35">
        <f>Geraldo!AC48</f>
        <v>0</v>
      </c>
      <c r="M33" s="36">
        <f>Geraldo!AK48</f>
        <v>0</v>
      </c>
      <c r="O33" s="38" t="s">
        <v>41</v>
      </c>
      <c r="P33" s="46">
        <f>'Rogerio Salustiano'!H48</f>
        <v>0</v>
      </c>
      <c r="Q33" s="43">
        <f t="shared" si="6"/>
        <v>5000</v>
      </c>
      <c r="R33" s="35">
        <f>'Rogerio Salustiano'!U49</f>
        <v>0</v>
      </c>
      <c r="S33" s="35">
        <f>'Rogerio Salustiano'!AC49</f>
        <v>0</v>
      </c>
      <c r="T33" s="36">
        <f>'Rogerio Salustiano'!AK49</f>
        <v>0</v>
      </c>
      <c r="V33" s="38" t="s">
        <v>41</v>
      </c>
      <c r="W33" s="46">
        <f>Jurandir!H51</f>
        <v>0</v>
      </c>
      <c r="X33" s="43">
        <f t="shared" si="7"/>
        <v>5000</v>
      </c>
      <c r="Y33" s="35">
        <f>Jurandir!U52</f>
        <v>0</v>
      </c>
      <c r="Z33" s="35">
        <f>Jurandir!AE52</f>
        <v>0</v>
      </c>
      <c r="AA33" s="36">
        <f>Jurandir!AN52</f>
        <v>0</v>
      </c>
    </row>
    <row r="34" spans="1:27" ht="15.75" thickBot="1" x14ac:dyDescent="0.3">
      <c r="A34" s="39" t="s">
        <v>42</v>
      </c>
      <c r="B34" s="47">
        <f>'Antonio Willian'!H51</f>
        <v>797</v>
      </c>
      <c r="C34" s="44">
        <f t="shared" si="4"/>
        <v>4203</v>
      </c>
      <c r="D34" s="11">
        <f>'Antonio Willian'!U52</f>
        <v>396.45000000000005</v>
      </c>
      <c r="E34" s="11">
        <f>'Antonio Willian'!AC52</f>
        <v>55</v>
      </c>
      <c r="F34" s="12">
        <f>'Antonio Willian'!AK52</f>
        <v>0</v>
      </c>
      <c r="H34" s="39" t="s">
        <v>42</v>
      </c>
      <c r="I34" s="47">
        <f>Geraldo!H51</f>
        <v>2006</v>
      </c>
      <c r="J34" s="44">
        <f t="shared" si="5"/>
        <v>2994</v>
      </c>
      <c r="K34" s="11">
        <f>Geraldo!U52</f>
        <v>1138.1300000000001</v>
      </c>
      <c r="L34" s="11">
        <f>Geraldo!AC52</f>
        <v>60</v>
      </c>
      <c r="M34" s="12">
        <f>Geraldo!AK52</f>
        <v>70</v>
      </c>
      <c r="O34" s="39" t="s">
        <v>42</v>
      </c>
      <c r="P34" s="47">
        <f>'Rogerio Salustiano'!H52</f>
        <v>1594</v>
      </c>
      <c r="Q34" s="44">
        <f t="shared" si="6"/>
        <v>3406</v>
      </c>
      <c r="R34" s="11">
        <f>'Rogerio Salustiano'!U53</f>
        <v>688.68000000000006</v>
      </c>
      <c r="S34" s="11">
        <f>'Rogerio Salustiano'!AC53</f>
        <v>0</v>
      </c>
      <c r="T34" s="12">
        <f>'Rogerio Salustiano'!AK53</f>
        <v>0</v>
      </c>
      <c r="V34" s="39" t="s">
        <v>42</v>
      </c>
      <c r="W34" s="47">
        <f>Jurandir!H55</f>
        <v>0</v>
      </c>
      <c r="X34" s="44">
        <f t="shared" si="7"/>
        <v>5000</v>
      </c>
      <c r="Y34" s="11">
        <f>Jurandir!U56</f>
        <v>0</v>
      </c>
      <c r="Z34" s="11">
        <f>Jurandir!AE56</f>
        <v>0</v>
      </c>
      <c r="AA34" s="12">
        <f>Jurandir!AN56</f>
        <v>0</v>
      </c>
    </row>
    <row r="35" spans="1:27" ht="15.75" thickBot="1" x14ac:dyDescent="0.3"/>
    <row r="36" spans="1:27" ht="15.75" thickBot="1" x14ac:dyDescent="0.3">
      <c r="A36" s="3" t="s">
        <v>23</v>
      </c>
      <c r="B36" s="52">
        <f>SUM(B23:B34)</f>
        <v>2501</v>
      </c>
      <c r="C36" s="51"/>
      <c r="D36" s="50">
        <f>SUM(D23:D34)</f>
        <v>1575.16</v>
      </c>
      <c r="E36" s="49">
        <f>SUM(E23:E34)</f>
        <v>55</v>
      </c>
      <c r="F36" s="48">
        <f>SUM(F23:F34)</f>
        <v>0</v>
      </c>
      <c r="H36" s="3" t="s">
        <v>23</v>
      </c>
      <c r="I36" s="52">
        <f>SUM(I23:I34)</f>
        <v>3705</v>
      </c>
      <c r="J36" s="51"/>
      <c r="K36" s="50">
        <f>SUM(K23:K34)</f>
        <v>1949.0400000000002</v>
      </c>
      <c r="L36" s="49">
        <f>SUM(L23:L34)</f>
        <v>60</v>
      </c>
      <c r="M36" s="48">
        <f>SUM(M23:M34)</f>
        <v>70</v>
      </c>
      <c r="O36" s="3" t="s">
        <v>23</v>
      </c>
      <c r="P36" s="52">
        <f>SUM(P23:P34)</f>
        <v>1594</v>
      </c>
      <c r="Q36" s="51"/>
      <c r="R36" s="50">
        <f>SUM(R23:R34)</f>
        <v>688.68000000000006</v>
      </c>
      <c r="S36" s="49">
        <f>SUM(S23:S34)</f>
        <v>0</v>
      </c>
      <c r="T36" s="48">
        <f>SUM(T23:T34)</f>
        <v>0</v>
      </c>
      <c r="V36" s="3" t="s">
        <v>23</v>
      </c>
      <c r="W36" s="52">
        <f>SUM(W23:W34)</f>
        <v>10982</v>
      </c>
      <c r="X36" s="51"/>
      <c r="Y36" s="50">
        <f>SUM(Y23:Y34)</f>
        <v>3196.2099999999996</v>
      </c>
      <c r="Z36" s="49">
        <f>SUM(Z23:Z34)</f>
        <v>120</v>
      </c>
      <c r="AA36" s="48">
        <f>SUM(AA23:AA34)</f>
        <v>0</v>
      </c>
    </row>
    <row r="37" spans="1:27" ht="15.75" thickBot="1" x14ac:dyDescent="0.3">
      <c r="A37" s="3" t="s">
        <v>44</v>
      </c>
      <c r="B37" s="23">
        <f>SUM(60000-B36)</f>
        <v>57499</v>
      </c>
      <c r="H37" s="3" t="s">
        <v>44</v>
      </c>
      <c r="I37" s="23">
        <f>SUM(60000-I36)</f>
        <v>56295</v>
      </c>
      <c r="O37" s="3" t="s">
        <v>44</v>
      </c>
      <c r="P37" s="23">
        <f>SUM(60000-P36)</f>
        <v>58406</v>
      </c>
      <c r="V37" s="3" t="s">
        <v>44</v>
      </c>
      <c r="W37" s="23">
        <f>SUM(60000-W36)</f>
        <v>49018</v>
      </c>
    </row>
    <row r="40" spans="1:27" ht="15.75" thickBot="1" x14ac:dyDescent="0.3">
      <c r="B40" s="84" t="s">
        <v>53</v>
      </c>
      <c r="C40" s="84"/>
      <c r="D40" s="84"/>
      <c r="E40" s="84"/>
      <c r="F40" s="84"/>
      <c r="I40" s="84" t="s">
        <v>54</v>
      </c>
      <c r="J40" s="84"/>
      <c r="K40" s="84"/>
      <c r="L40" s="84"/>
      <c r="M40" s="84"/>
      <c r="P40" s="84" t="s">
        <v>55</v>
      </c>
      <c r="Q40" s="84"/>
      <c r="R40" s="84"/>
      <c r="S40" s="84"/>
      <c r="T40" s="84"/>
      <c r="W40" s="84" t="s">
        <v>56</v>
      </c>
      <c r="X40" s="84"/>
      <c r="Y40" s="84"/>
      <c r="Z40" s="84"/>
      <c r="AA40" s="84"/>
    </row>
    <row r="41" spans="1:27" ht="15.75" thickBot="1" x14ac:dyDescent="0.3">
      <c r="B41" s="22" t="s">
        <v>43</v>
      </c>
      <c r="C41" s="33" t="s">
        <v>30</v>
      </c>
      <c r="D41" s="23" t="s">
        <v>26</v>
      </c>
      <c r="E41" s="23" t="s">
        <v>25</v>
      </c>
      <c r="F41" s="25" t="s">
        <v>27</v>
      </c>
      <c r="I41" s="22" t="s">
        <v>43</v>
      </c>
      <c r="J41" s="33" t="s">
        <v>30</v>
      </c>
      <c r="K41" s="23" t="s">
        <v>26</v>
      </c>
      <c r="L41" s="23" t="s">
        <v>25</v>
      </c>
      <c r="M41" s="25" t="s">
        <v>27</v>
      </c>
      <c r="P41" s="22" t="s">
        <v>43</v>
      </c>
      <c r="Q41" s="33" t="s">
        <v>30</v>
      </c>
      <c r="R41" s="23" t="s">
        <v>26</v>
      </c>
      <c r="S41" s="23" t="s">
        <v>25</v>
      </c>
      <c r="T41" s="25" t="s">
        <v>27</v>
      </c>
      <c r="W41" s="22" t="s">
        <v>43</v>
      </c>
      <c r="X41" s="33" t="s">
        <v>30</v>
      </c>
      <c r="Y41" s="23" t="s">
        <v>26</v>
      </c>
      <c r="Z41" s="23" t="s">
        <v>25</v>
      </c>
      <c r="AA41" s="25" t="s">
        <v>27</v>
      </c>
    </row>
    <row r="42" spans="1:27" x14ac:dyDescent="0.25">
      <c r="A42" s="37" t="s">
        <v>31</v>
      </c>
      <c r="B42" s="58"/>
      <c r="C42" s="59"/>
      <c r="D42" s="60"/>
      <c r="E42" s="60"/>
      <c r="F42" s="61"/>
      <c r="H42" s="37" t="s">
        <v>31</v>
      </c>
      <c r="I42" s="58"/>
      <c r="J42" s="59"/>
      <c r="K42" s="60"/>
      <c r="L42" s="60"/>
      <c r="M42" s="61"/>
      <c r="O42" s="37" t="s">
        <v>31</v>
      </c>
      <c r="P42" s="58"/>
      <c r="Q42" s="59"/>
      <c r="R42" s="60"/>
      <c r="S42" s="60"/>
      <c r="T42" s="61"/>
      <c r="V42" s="37" t="s">
        <v>31</v>
      </c>
      <c r="W42" s="58"/>
      <c r="X42" s="59"/>
      <c r="Y42" s="60"/>
      <c r="Z42" s="60"/>
      <c r="AA42" s="61"/>
    </row>
    <row r="43" spans="1:27" x14ac:dyDescent="0.25">
      <c r="A43" s="38" t="s">
        <v>32</v>
      </c>
      <c r="B43" s="46">
        <f>Railson!H11</f>
        <v>0</v>
      </c>
      <c r="C43" s="43">
        <f>SUM(5000-B43)</f>
        <v>5000</v>
      </c>
      <c r="D43" s="35">
        <f>Railson!U12</f>
        <v>0</v>
      </c>
      <c r="E43" s="35">
        <f>Railson!AE12</f>
        <v>0</v>
      </c>
      <c r="F43" s="36">
        <f>Railson!AN12</f>
        <v>0</v>
      </c>
      <c r="H43" s="38" t="s">
        <v>32</v>
      </c>
      <c r="I43" s="46">
        <f>Assibi!H11</f>
        <v>0</v>
      </c>
      <c r="J43" s="43">
        <f>SUM(5000-I43)</f>
        <v>5000</v>
      </c>
      <c r="K43" s="35">
        <f>Assibi!U12</f>
        <v>0</v>
      </c>
      <c r="L43" s="35">
        <f>Assibi!AE12</f>
        <v>0</v>
      </c>
      <c r="M43" s="36">
        <f>Assibi!AN12</f>
        <v>0</v>
      </c>
      <c r="O43" s="38" t="s">
        <v>32</v>
      </c>
      <c r="P43" s="46">
        <f>CAR_11!H11</f>
        <v>0</v>
      </c>
      <c r="Q43" s="43">
        <f>SUM(5000-P43)</f>
        <v>5000</v>
      </c>
      <c r="R43" s="35">
        <f>CAR_11!U12</f>
        <v>0</v>
      </c>
      <c r="S43" s="35">
        <f>CAR_11!AE12</f>
        <v>0</v>
      </c>
      <c r="T43" s="36">
        <f>CAR_11!AN12</f>
        <v>0</v>
      </c>
      <c r="V43" s="38" t="s">
        <v>32</v>
      </c>
      <c r="W43" s="46">
        <f>CAR_12!H11</f>
        <v>0</v>
      </c>
      <c r="X43" s="43">
        <f>SUM(5000-W43)</f>
        <v>5000</v>
      </c>
      <c r="Y43" s="35">
        <f>CAR_12!U12</f>
        <v>0</v>
      </c>
      <c r="Z43" s="35">
        <f>CAR_12!AE12</f>
        <v>0</v>
      </c>
      <c r="AA43" s="36">
        <f>CAR_12!AN12</f>
        <v>0</v>
      </c>
    </row>
    <row r="44" spans="1:27" x14ac:dyDescent="0.25">
      <c r="A44" s="38" t="s">
        <v>33</v>
      </c>
      <c r="B44" s="46">
        <f>Railson!H15</f>
        <v>0</v>
      </c>
      <c r="C44" s="43">
        <f t="shared" ref="C44:C53" si="8">SUM(5000-B44)</f>
        <v>5000</v>
      </c>
      <c r="D44" s="35">
        <f>Railson!U16</f>
        <v>0</v>
      </c>
      <c r="E44" s="35">
        <f>Railson!AE16</f>
        <v>0</v>
      </c>
      <c r="F44" s="36">
        <f>Railson!AN16</f>
        <v>0</v>
      </c>
      <c r="H44" s="38" t="s">
        <v>33</v>
      </c>
      <c r="I44" s="46">
        <f>Assibi!H15</f>
        <v>0</v>
      </c>
      <c r="J44" s="43">
        <f t="shared" ref="J44:J53" si="9">SUM(5000-I44)</f>
        <v>5000</v>
      </c>
      <c r="K44" s="35">
        <f>Assibi!U16</f>
        <v>0</v>
      </c>
      <c r="L44" s="35">
        <f>Assibi!AE16</f>
        <v>0</v>
      </c>
      <c r="M44" s="36">
        <f>Assibi!AN16</f>
        <v>0</v>
      </c>
      <c r="O44" s="38" t="s">
        <v>33</v>
      </c>
      <c r="P44" s="46">
        <f>CAR_11!H15</f>
        <v>0</v>
      </c>
      <c r="Q44" s="43">
        <f t="shared" ref="Q44:Q53" si="10">SUM(5000-P44)</f>
        <v>5000</v>
      </c>
      <c r="R44" s="35">
        <f>CAR_11!U16</f>
        <v>0</v>
      </c>
      <c r="S44" s="35">
        <f>CAR_11!AE16</f>
        <v>0</v>
      </c>
      <c r="T44" s="36">
        <f>CAR_11!AN16</f>
        <v>0</v>
      </c>
      <c r="V44" s="38" t="s">
        <v>33</v>
      </c>
      <c r="W44" s="46">
        <f>CAR_12!H15</f>
        <v>0</v>
      </c>
      <c r="X44" s="43">
        <f t="shared" ref="X44:X53" si="11">SUM(5000-W44)</f>
        <v>5000</v>
      </c>
      <c r="Y44" s="35">
        <f>CAR_12!U16</f>
        <v>0</v>
      </c>
      <c r="Z44" s="35">
        <f>CAR_12!AE16</f>
        <v>0</v>
      </c>
      <c r="AA44" s="36">
        <f>CAR_12!AN16</f>
        <v>0</v>
      </c>
    </row>
    <row r="45" spans="1:27" x14ac:dyDescent="0.25">
      <c r="A45" s="38" t="s">
        <v>34</v>
      </c>
      <c r="B45" s="46">
        <f>Railson!H19</f>
        <v>655</v>
      </c>
      <c r="C45" s="43">
        <f t="shared" si="8"/>
        <v>4345</v>
      </c>
      <c r="D45" s="35">
        <f>Railson!U20</f>
        <v>0</v>
      </c>
      <c r="E45" s="35">
        <f>Railson!AE20</f>
        <v>0</v>
      </c>
      <c r="F45" s="36">
        <f>Railson!AN20</f>
        <v>0</v>
      </c>
      <c r="H45" s="38" t="s">
        <v>34</v>
      </c>
      <c r="I45" s="46">
        <f>Assibi!H19</f>
        <v>0</v>
      </c>
      <c r="J45" s="43">
        <f t="shared" si="9"/>
        <v>5000</v>
      </c>
      <c r="K45" s="35">
        <f>Assibi!U20</f>
        <v>0</v>
      </c>
      <c r="L45" s="35">
        <f>Assibi!AE20</f>
        <v>0</v>
      </c>
      <c r="M45" s="36">
        <f>Assibi!AN20</f>
        <v>0</v>
      </c>
      <c r="O45" s="38" t="s">
        <v>34</v>
      </c>
      <c r="P45" s="46">
        <f>CAR_11!H19</f>
        <v>0</v>
      </c>
      <c r="Q45" s="43">
        <f t="shared" si="10"/>
        <v>5000</v>
      </c>
      <c r="R45" s="35">
        <f>CAR_11!U20</f>
        <v>0</v>
      </c>
      <c r="S45" s="35">
        <f>CAR_11!AE20</f>
        <v>0</v>
      </c>
      <c r="T45" s="36">
        <f>CAR_11!AN20</f>
        <v>0</v>
      </c>
      <c r="V45" s="38" t="s">
        <v>34</v>
      </c>
      <c r="W45" s="46">
        <f>CAR_12!H19</f>
        <v>0</v>
      </c>
      <c r="X45" s="43">
        <f t="shared" si="11"/>
        <v>5000</v>
      </c>
      <c r="Y45" s="35">
        <f>CAR_12!U20</f>
        <v>0</v>
      </c>
      <c r="Z45" s="35">
        <f>CAR_12!AE20</f>
        <v>0</v>
      </c>
      <c r="AA45" s="36">
        <f>CAR_12!AN20</f>
        <v>0</v>
      </c>
    </row>
    <row r="46" spans="1:27" x14ac:dyDescent="0.25">
      <c r="A46" s="38" t="s">
        <v>35</v>
      </c>
      <c r="B46" s="46">
        <f>Railson!H23</f>
        <v>2255</v>
      </c>
      <c r="C46" s="43">
        <f t="shared" si="8"/>
        <v>2745</v>
      </c>
      <c r="D46" s="35">
        <f>Railson!U24</f>
        <v>0</v>
      </c>
      <c r="E46" s="35">
        <f>Railson!AE24</f>
        <v>0</v>
      </c>
      <c r="F46" s="36">
        <f>Railson!AN24</f>
        <v>0</v>
      </c>
      <c r="H46" s="38" t="s">
        <v>35</v>
      </c>
      <c r="I46" s="46">
        <f>Assibi!H23</f>
        <v>0</v>
      </c>
      <c r="J46" s="43">
        <f t="shared" si="9"/>
        <v>5000</v>
      </c>
      <c r="K46" s="35">
        <f>Assibi!U24</f>
        <v>0</v>
      </c>
      <c r="L46" s="35">
        <f>Assibi!AE24</f>
        <v>0</v>
      </c>
      <c r="M46" s="36">
        <f>Assibi!AN24</f>
        <v>0</v>
      </c>
      <c r="O46" s="38" t="s">
        <v>35</v>
      </c>
      <c r="P46" s="46">
        <f>CAR_11!H23</f>
        <v>0</v>
      </c>
      <c r="Q46" s="43">
        <f t="shared" si="10"/>
        <v>5000</v>
      </c>
      <c r="R46" s="35">
        <f>CAR_11!U24</f>
        <v>0</v>
      </c>
      <c r="S46" s="35">
        <f>CAR_11!AE24</f>
        <v>0</v>
      </c>
      <c r="T46" s="36">
        <f>CAR_11!AN24</f>
        <v>0</v>
      </c>
      <c r="V46" s="38" t="s">
        <v>35</v>
      </c>
      <c r="W46" s="46">
        <f>CAR_12!H23</f>
        <v>0</v>
      </c>
      <c r="X46" s="43">
        <f t="shared" si="11"/>
        <v>5000</v>
      </c>
      <c r="Y46" s="35">
        <f>CAR_12!U24</f>
        <v>0</v>
      </c>
      <c r="Z46" s="35">
        <f>CAR_12!AE24</f>
        <v>0</v>
      </c>
      <c r="AA46" s="36">
        <f>CAR_12!AN24</f>
        <v>0</v>
      </c>
    </row>
    <row r="47" spans="1:27" x14ac:dyDescent="0.25">
      <c r="A47" s="38" t="s">
        <v>36</v>
      </c>
      <c r="B47" s="46">
        <f>Railson!H27</f>
        <v>0</v>
      </c>
      <c r="C47" s="43">
        <f t="shared" si="8"/>
        <v>5000</v>
      </c>
      <c r="D47" s="35">
        <f>Railson!U28</f>
        <v>0</v>
      </c>
      <c r="E47" s="35">
        <f>Railson!AE28</f>
        <v>0</v>
      </c>
      <c r="F47" s="36">
        <f>Railson!AN28</f>
        <v>0</v>
      </c>
      <c r="H47" s="38" t="s">
        <v>36</v>
      </c>
      <c r="I47" s="46">
        <f>Assibi!H27</f>
        <v>-22542</v>
      </c>
      <c r="J47" s="43">
        <f t="shared" si="9"/>
        <v>27542</v>
      </c>
      <c r="K47" s="35">
        <f>Assibi!U28</f>
        <v>0</v>
      </c>
      <c r="L47" s="35">
        <f>Assibi!AE28</f>
        <v>0</v>
      </c>
      <c r="M47" s="36">
        <f>Assibi!AN28</f>
        <v>0</v>
      </c>
      <c r="O47" s="38" t="s">
        <v>36</v>
      </c>
      <c r="P47" s="46">
        <f>CAR_11!H27</f>
        <v>0</v>
      </c>
      <c r="Q47" s="43">
        <f t="shared" si="10"/>
        <v>5000</v>
      </c>
      <c r="R47" s="35">
        <f>CAR_11!U28</f>
        <v>0</v>
      </c>
      <c r="S47" s="35">
        <f>CAR_11!AE28</f>
        <v>0</v>
      </c>
      <c r="T47" s="36">
        <f>CAR_11!AN28</f>
        <v>0</v>
      </c>
      <c r="V47" s="38" t="s">
        <v>36</v>
      </c>
      <c r="W47" s="46">
        <f>CAR_12!H27</f>
        <v>0</v>
      </c>
      <c r="X47" s="43">
        <f t="shared" si="11"/>
        <v>5000</v>
      </c>
      <c r="Y47" s="35">
        <f>CAR_12!U28</f>
        <v>0</v>
      </c>
      <c r="Z47" s="35">
        <f>CAR_12!AE28</f>
        <v>0</v>
      </c>
      <c r="AA47" s="36">
        <f>CAR_12!AN28</f>
        <v>0</v>
      </c>
    </row>
    <row r="48" spans="1:27" x14ac:dyDescent="0.25">
      <c r="A48" s="38" t="s">
        <v>37</v>
      </c>
      <c r="B48" s="46">
        <f>Railson!H31</f>
        <v>0</v>
      </c>
      <c r="C48" s="43">
        <f t="shared" si="8"/>
        <v>5000</v>
      </c>
      <c r="D48" s="35">
        <f>Railson!U32</f>
        <v>0</v>
      </c>
      <c r="E48" s="35">
        <f>Railson!AE32</f>
        <v>0</v>
      </c>
      <c r="F48" s="36">
        <f>Railson!AN32</f>
        <v>0</v>
      </c>
      <c r="H48" s="38" t="s">
        <v>37</v>
      </c>
      <c r="I48" s="46">
        <f>Assibi!H31</f>
        <v>0</v>
      </c>
      <c r="J48" s="43">
        <f t="shared" si="9"/>
        <v>5000</v>
      </c>
      <c r="K48" s="35">
        <f>Assibi!U32</f>
        <v>0</v>
      </c>
      <c r="L48" s="35">
        <f>Assibi!AE32</f>
        <v>0</v>
      </c>
      <c r="M48" s="36">
        <f>Assibi!AN32</f>
        <v>0</v>
      </c>
      <c r="O48" s="38" t="s">
        <v>37</v>
      </c>
      <c r="P48" s="46">
        <f>CAR_11!H31</f>
        <v>0</v>
      </c>
      <c r="Q48" s="43">
        <f t="shared" si="10"/>
        <v>5000</v>
      </c>
      <c r="R48" s="35">
        <f>CAR_11!U32</f>
        <v>0</v>
      </c>
      <c r="S48" s="35">
        <f>CAR_11!AE32</f>
        <v>0</v>
      </c>
      <c r="T48" s="36">
        <f>CAR_11!AN32</f>
        <v>0</v>
      </c>
      <c r="V48" s="38" t="s">
        <v>37</v>
      </c>
      <c r="W48" s="46">
        <f>CAR_12!H31</f>
        <v>0</v>
      </c>
      <c r="X48" s="43">
        <f t="shared" si="11"/>
        <v>5000</v>
      </c>
      <c r="Y48" s="35">
        <f>CAR_12!U32</f>
        <v>0</v>
      </c>
      <c r="Z48" s="35">
        <f>CAR_12!AE32</f>
        <v>0</v>
      </c>
      <c r="AA48" s="36">
        <f>CAR_12!AN32</f>
        <v>0</v>
      </c>
    </row>
    <row r="49" spans="1:27" x14ac:dyDescent="0.25">
      <c r="A49" s="38" t="s">
        <v>38</v>
      </c>
      <c r="B49" s="46">
        <f>Railson!H35</f>
        <v>0</v>
      </c>
      <c r="C49" s="43">
        <f t="shared" si="8"/>
        <v>5000</v>
      </c>
      <c r="D49" s="35">
        <f>Railson!U36</f>
        <v>0</v>
      </c>
      <c r="E49" s="35">
        <f>Railson!AE36</f>
        <v>0</v>
      </c>
      <c r="F49" s="36">
        <f>Railson!AN36</f>
        <v>0</v>
      </c>
      <c r="H49" s="38" t="s">
        <v>38</v>
      </c>
      <c r="I49" s="46">
        <f>Assibi!H35</f>
        <v>0</v>
      </c>
      <c r="J49" s="43">
        <f t="shared" si="9"/>
        <v>5000</v>
      </c>
      <c r="K49" s="35">
        <f>Assibi!U36</f>
        <v>0</v>
      </c>
      <c r="L49" s="35">
        <f>Assibi!AE36</f>
        <v>0</v>
      </c>
      <c r="M49" s="36">
        <f>Assibi!AN36</f>
        <v>0</v>
      </c>
      <c r="O49" s="38" t="s">
        <v>38</v>
      </c>
      <c r="P49" s="46">
        <f>CAR_11!H35</f>
        <v>0</v>
      </c>
      <c r="Q49" s="43">
        <f t="shared" si="10"/>
        <v>5000</v>
      </c>
      <c r="R49" s="35">
        <f>CAR_11!U36</f>
        <v>0</v>
      </c>
      <c r="S49" s="35">
        <f>CAR_11!AE36</f>
        <v>0</v>
      </c>
      <c r="T49" s="36">
        <f>CAR_11!AN36</f>
        <v>0</v>
      </c>
      <c r="V49" s="38" t="s">
        <v>38</v>
      </c>
      <c r="W49" s="46">
        <f>CAR_12!H35</f>
        <v>0</v>
      </c>
      <c r="X49" s="43">
        <f t="shared" si="11"/>
        <v>5000</v>
      </c>
      <c r="Y49" s="35">
        <f>CAR_12!U36</f>
        <v>0</v>
      </c>
      <c r="Z49" s="35">
        <f>CAR_12!AE36</f>
        <v>0</v>
      </c>
      <c r="AA49" s="36">
        <f>CAR_12!AN36</f>
        <v>0</v>
      </c>
    </row>
    <row r="50" spans="1:27" x14ac:dyDescent="0.25">
      <c r="A50" s="38" t="s">
        <v>39</v>
      </c>
      <c r="B50" s="46">
        <f>Railson!H39</f>
        <v>0</v>
      </c>
      <c r="C50" s="43">
        <f t="shared" si="8"/>
        <v>5000</v>
      </c>
      <c r="D50" s="35">
        <f>Railson!U40</f>
        <v>0</v>
      </c>
      <c r="E50" s="35">
        <f>Railson!AE40</f>
        <v>0</v>
      </c>
      <c r="F50" s="36">
        <f>Railson!AN40</f>
        <v>0</v>
      </c>
      <c r="H50" s="38" t="s">
        <v>39</v>
      </c>
      <c r="I50" s="46">
        <f>Assibi!H39</f>
        <v>0</v>
      </c>
      <c r="J50" s="43">
        <f t="shared" si="9"/>
        <v>5000</v>
      </c>
      <c r="K50" s="35">
        <f>Assibi!U40</f>
        <v>0</v>
      </c>
      <c r="L50" s="35">
        <f>Assibi!AE40</f>
        <v>0</v>
      </c>
      <c r="M50" s="36">
        <f>Assibi!AN40</f>
        <v>0</v>
      </c>
      <c r="O50" s="38" t="s">
        <v>39</v>
      </c>
      <c r="P50" s="46">
        <f>CAR_11!H39</f>
        <v>0</v>
      </c>
      <c r="Q50" s="43">
        <f t="shared" si="10"/>
        <v>5000</v>
      </c>
      <c r="R50" s="35">
        <f>CAR_11!U40</f>
        <v>0</v>
      </c>
      <c r="S50" s="35">
        <f>CAR_11!AE40</f>
        <v>0</v>
      </c>
      <c r="T50" s="36">
        <f>CAR_11!AN40</f>
        <v>0</v>
      </c>
      <c r="V50" s="38" t="s">
        <v>39</v>
      </c>
      <c r="W50" s="46">
        <f>CAR_12!H39</f>
        <v>0</v>
      </c>
      <c r="X50" s="43">
        <f t="shared" si="11"/>
        <v>5000</v>
      </c>
      <c r="Y50" s="35">
        <f>CAR_12!U40</f>
        <v>0</v>
      </c>
      <c r="Z50" s="35">
        <f>CAR_12!AE40</f>
        <v>0</v>
      </c>
      <c r="AA50" s="36">
        <f>CAR_12!AN40</f>
        <v>0</v>
      </c>
    </row>
    <row r="51" spans="1:27" x14ac:dyDescent="0.25">
      <c r="A51" s="38" t="s">
        <v>40</v>
      </c>
      <c r="B51" s="46">
        <f>Railson!H43</f>
        <v>0</v>
      </c>
      <c r="C51" s="43">
        <f t="shared" si="8"/>
        <v>5000</v>
      </c>
      <c r="D51" s="35">
        <f>Railson!U44</f>
        <v>0</v>
      </c>
      <c r="E51" s="35">
        <f>Railson!AE44</f>
        <v>0</v>
      </c>
      <c r="F51" s="36">
        <f>Railson!AN44</f>
        <v>0</v>
      </c>
      <c r="H51" s="38" t="s">
        <v>40</v>
      </c>
      <c r="I51" s="46">
        <f>Assibi!H43</f>
        <v>0</v>
      </c>
      <c r="J51" s="43">
        <f t="shared" si="9"/>
        <v>5000</v>
      </c>
      <c r="K51" s="35">
        <f>Assibi!U44</f>
        <v>0</v>
      </c>
      <c r="L51" s="35">
        <f>Assibi!AE44</f>
        <v>0</v>
      </c>
      <c r="M51" s="36">
        <f>Assibi!AN44</f>
        <v>0</v>
      </c>
      <c r="O51" s="38" t="s">
        <v>40</v>
      </c>
      <c r="P51" s="46">
        <f>CAR_11!H43</f>
        <v>0</v>
      </c>
      <c r="Q51" s="43">
        <f t="shared" si="10"/>
        <v>5000</v>
      </c>
      <c r="R51" s="35">
        <f>CAR_11!U44</f>
        <v>0</v>
      </c>
      <c r="S51" s="35">
        <f>CAR_11!AE44</f>
        <v>0</v>
      </c>
      <c r="T51" s="36">
        <f>CAR_11!AN44</f>
        <v>0</v>
      </c>
      <c r="V51" s="38" t="s">
        <v>40</v>
      </c>
      <c r="W51" s="46">
        <f>CAR_12!H43</f>
        <v>0</v>
      </c>
      <c r="X51" s="43">
        <f t="shared" si="11"/>
        <v>5000</v>
      </c>
      <c r="Y51" s="35">
        <f>CAR_12!U44</f>
        <v>0</v>
      </c>
      <c r="Z51" s="35">
        <f>CAR_12!AE44</f>
        <v>0</v>
      </c>
      <c r="AA51" s="36">
        <f>CAR_12!AN44</f>
        <v>0</v>
      </c>
    </row>
    <row r="52" spans="1:27" x14ac:dyDescent="0.25">
      <c r="A52" s="38" t="s">
        <v>41</v>
      </c>
      <c r="B52" s="46">
        <f>Railson!H47</f>
        <v>0</v>
      </c>
      <c r="C52" s="43">
        <f t="shared" si="8"/>
        <v>5000</v>
      </c>
      <c r="D52" s="35">
        <f>Railson!U48</f>
        <v>0</v>
      </c>
      <c r="E52" s="35">
        <f>Railson!AE48</f>
        <v>0</v>
      </c>
      <c r="F52" s="36">
        <f>Railson!AN48</f>
        <v>0</v>
      </c>
      <c r="H52" s="38" t="s">
        <v>41</v>
      </c>
      <c r="I52" s="46">
        <f>Assibi!H47</f>
        <v>0</v>
      </c>
      <c r="J52" s="43">
        <f t="shared" si="9"/>
        <v>5000</v>
      </c>
      <c r="K52" s="35">
        <f>Assibi!U48</f>
        <v>0</v>
      </c>
      <c r="L52" s="35">
        <f>Assibi!AE48</f>
        <v>0</v>
      </c>
      <c r="M52" s="36">
        <f>Assibi!AN48</f>
        <v>0</v>
      </c>
      <c r="O52" s="38" t="s">
        <v>41</v>
      </c>
      <c r="P52" s="46">
        <f>CAR_11!H47</f>
        <v>0</v>
      </c>
      <c r="Q52" s="43">
        <f t="shared" si="10"/>
        <v>5000</v>
      </c>
      <c r="R52" s="35">
        <f>CAR_11!U48</f>
        <v>0</v>
      </c>
      <c r="S52" s="35">
        <f>CAR_11!AE48</f>
        <v>0</v>
      </c>
      <c r="T52" s="36">
        <f>CAR_11!AN48</f>
        <v>0</v>
      </c>
      <c r="V52" s="38" t="s">
        <v>41</v>
      </c>
      <c r="W52" s="46">
        <f>CAR_12!H47</f>
        <v>0</v>
      </c>
      <c r="X52" s="43">
        <f t="shared" si="11"/>
        <v>5000</v>
      </c>
      <c r="Y52" s="35">
        <f>CAR_12!U48</f>
        <v>0</v>
      </c>
      <c r="Z52" s="35">
        <f>CAR_12!AE48</f>
        <v>0</v>
      </c>
      <c r="AA52" s="36">
        <f>CAR_12!AN48</f>
        <v>0</v>
      </c>
    </row>
    <row r="53" spans="1:27" ht="15.75" thickBot="1" x14ac:dyDescent="0.3">
      <c r="A53" s="39" t="s">
        <v>42</v>
      </c>
      <c r="B53" s="47">
        <f>Railson!H51</f>
        <v>0</v>
      </c>
      <c r="C53" s="44">
        <f t="shared" si="8"/>
        <v>5000</v>
      </c>
      <c r="D53" s="11">
        <f>Railson!U52</f>
        <v>0</v>
      </c>
      <c r="E53" s="11">
        <f>Railson!AE52</f>
        <v>0</v>
      </c>
      <c r="F53" s="12">
        <f>Railson!AN52</f>
        <v>0</v>
      </c>
      <c r="H53" s="39" t="s">
        <v>42</v>
      </c>
      <c r="I53" s="47">
        <f>Assibi!H51</f>
        <v>0</v>
      </c>
      <c r="J53" s="44">
        <f t="shared" si="9"/>
        <v>5000</v>
      </c>
      <c r="K53" s="11">
        <f>Assibi!U52</f>
        <v>0</v>
      </c>
      <c r="L53" s="11">
        <f>Assibi!AE52</f>
        <v>0</v>
      </c>
      <c r="M53" s="12">
        <f>Assibi!AN52</f>
        <v>0</v>
      </c>
      <c r="O53" s="39" t="s">
        <v>42</v>
      </c>
      <c r="P53" s="47">
        <f>CAR_11!H51</f>
        <v>0</v>
      </c>
      <c r="Q53" s="44">
        <f t="shared" si="10"/>
        <v>5000</v>
      </c>
      <c r="R53" s="11">
        <f>CAR_11!U52</f>
        <v>0</v>
      </c>
      <c r="S53" s="11">
        <f>CAR_11!AE52</f>
        <v>0</v>
      </c>
      <c r="T53" s="12">
        <f>CAR_11!AN52</f>
        <v>0</v>
      </c>
      <c r="V53" s="39" t="s">
        <v>42</v>
      </c>
      <c r="W53" s="47">
        <f>CAR_12!H51</f>
        <v>0</v>
      </c>
      <c r="X53" s="44">
        <f t="shared" si="11"/>
        <v>5000</v>
      </c>
      <c r="Y53" s="11">
        <f>CAR_12!U52</f>
        <v>0</v>
      </c>
      <c r="Z53" s="11">
        <f>CAR_12!AE52</f>
        <v>0</v>
      </c>
      <c r="AA53" s="12">
        <f>CAR_12!AN52</f>
        <v>0</v>
      </c>
    </row>
    <row r="54" spans="1:27" ht="15.75" thickBot="1" x14ac:dyDescent="0.3"/>
    <row r="55" spans="1:27" ht="15.75" thickBot="1" x14ac:dyDescent="0.3">
      <c r="A55" s="3" t="s">
        <v>23</v>
      </c>
      <c r="B55" s="52">
        <f>SUM(B42:B53)</f>
        <v>2910</v>
      </c>
      <c r="C55" s="51"/>
      <c r="D55" s="50">
        <f>SUM(D42:D53)</f>
        <v>0</v>
      </c>
      <c r="E55" s="49">
        <f>SUM(E42:E53)</f>
        <v>0</v>
      </c>
      <c r="F55" s="48">
        <f>SUM(F42:F53)</f>
        <v>0</v>
      </c>
      <c r="H55" s="3" t="s">
        <v>23</v>
      </c>
      <c r="I55" s="52">
        <f>SUM(I42:I53)</f>
        <v>-22542</v>
      </c>
      <c r="J55" s="51"/>
      <c r="K55" s="50">
        <f>SUM(K42:K53)</f>
        <v>0</v>
      </c>
      <c r="L55" s="49">
        <f>SUM(L42:L53)</f>
        <v>0</v>
      </c>
      <c r="M55" s="48">
        <f>SUM(M42:M53)</f>
        <v>0</v>
      </c>
      <c r="O55" s="3" t="s">
        <v>23</v>
      </c>
      <c r="P55" s="52">
        <f>SUM(P42:P53)</f>
        <v>0</v>
      </c>
      <c r="Q55" s="51"/>
      <c r="R55" s="50">
        <f>SUM(R42:R53)</f>
        <v>0</v>
      </c>
      <c r="S55" s="49">
        <f>SUM(S42:S53)</f>
        <v>0</v>
      </c>
      <c r="T55" s="48">
        <f>SUM(T42:T53)</f>
        <v>0</v>
      </c>
      <c r="V55" s="3" t="s">
        <v>23</v>
      </c>
      <c r="W55" s="52">
        <f>SUM(W42:W53)</f>
        <v>0</v>
      </c>
      <c r="X55" s="51"/>
      <c r="Y55" s="50">
        <f>SUM(Y42:Y53)</f>
        <v>0</v>
      </c>
      <c r="Z55" s="49">
        <f>SUM(Z42:Z53)</f>
        <v>0</v>
      </c>
      <c r="AA55" s="48">
        <f>SUM(AA42:AA53)</f>
        <v>0</v>
      </c>
    </row>
    <row r="56" spans="1:27" ht="15.75" thickBot="1" x14ac:dyDescent="0.3">
      <c r="A56" s="3" t="s">
        <v>44</v>
      </c>
      <c r="B56" s="23">
        <f>SUM(60000-B55)</f>
        <v>57090</v>
      </c>
      <c r="H56" s="3" t="s">
        <v>44</v>
      </c>
      <c r="I56" s="23">
        <f>SUM(60000-I55)</f>
        <v>82542</v>
      </c>
      <c r="O56" s="3" t="s">
        <v>44</v>
      </c>
      <c r="P56" s="23">
        <f>SUM(60000-P55)</f>
        <v>60000</v>
      </c>
      <c r="V56" s="3" t="s">
        <v>44</v>
      </c>
      <c r="W56" s="23">
        <f>SUM(60000-W55)</f>
        <v>60000</v>
      </c>
    </row>
    <row r="59" spans="1:27" ht="15.75" thickBot="1" x14ac:dyDescent="0.3">
      <c r="B59" s="84" t="s">
        <v>57</v>
      </c>
      <c r="C59" s="84"/>
      <c r="D59" s="84"/>
      <c r="E59" s="84"/>
      <c r="F59" s="84"/>
      <c r="I59" s="84" t="s">
        <v>58</v>
      </c>
      <c r="J59" s="84"/>
      <c r="K59" s="84"/>
      <c r="L59" s="84"/>
      <c r="M59" s="84"/>
      <c r="P59" s="84" t="s">
        <v>59</v>
      </c>
      <c r="Q59" s="84"/>
      <c r="R59" s="84"/>
      <c r="S59" s="84"/>
      <c r="T59" s="84"/>
      <c r="W59" s="84" t="s">
        <v>60</v>
      </c>
      <c r="X59" s="84"/>
      <c r="Y59" s="84"/>
      <c r="Z59" s="84"/>
      <c r="AA59" s="84"/>
    </row>
    <row r="60" spans="1:27" ht="15.75" thickBot="1" x14ac:dyDescent="0.3">
      <c r="B60" s="22" t="s">
        <v>43</v>
      </c>
      <c r="C60" s="33" t="s">
        <v>30</v>
      </c>
      <c r="D60" s="23" t="s">
        <v>26</v>
      </c>
      <c r="E60" s="23" t="s">
        <v>25</v>
      </c>
      <c r="F60" s="25" t="s">
        <v>27</v>
      </c>
      <c r="I60" s="22" t="s">
        <v>43</v>
      </c>
      <c r="J60" s="33" t="s">
        <v>30</v>
      </c>
      <c r="K60" s="23" t="s">
        <v>26</v>
      </c>
      <c r="L60" s="23" t="s">
        <v>25</v>
      </c>
      <c r="M60" s="25" t="s">
        <v>27</v>
      </c>
      <c r="P60" s="22" t="s">
        <v>43</v>
      </c>
      <c r="Q60" s="33" t="s">
        <v>30</v>
      </c>
      <c r="R60" s="23" t="s">
        <v>26</v>
      </c>
      <c r="S60" s="23" t="s">
        <v>25</v>
      </c>
      <c r="T60" s="25" t="s">
        <v>27</v>
      </c>
      <c r="W60" s="22" t="s">
        <v>43</v>
      </c>
      <c r="X60" s="33" t="s">
        <v>30</v>
      </c>
      <c r="Y60" s="23" t="s">
        <v>26</v>
      </c>
      <c r="Z60" s="23" t="s">
        <v>25</v>
      </c>
      <c r="AA60" s="25" t="s">
        <v>27</v>
      </c>
    </row>
    <row r="61" spans="1:27" x14ac:dyDescent="0.25">
      <c r="A61" s="37" t="s">
        <v>31</v>
      </c>
      <c r="B61" s="58"/>
      <c r="C61" s="59"/>
      <c r="D61" s="60"/>
      <c r="E61" s="60"/>
      <c r="F61" s="61"/>
      <c r="H61" s="37" t="s">
        <v>31</v>
      </c>
      <c r="I61" s="58"/>
      <c r="J61" s="59"/>
      <c r="K61" s="60"/>
      <c r="L61" s="60"/>
      <c r="M61" s="61"/>
      <c r="O61" s="37" t="s">
        <v>31</v>
      </c>
      <c r="P61" s="58"/>
      <c r="Q61" s="59"/>
      <c r="R61" s="60"/>
      <c r="S61" s="60"/>
      <c r="T61" s="61"/>
      <c r="V61" s="37" t="s">
        <v>31</v>
      </c>
      <c r="W61" s="58"/>
      <c r="X61" s="59"/>
      <c r="Y61" s="60"/>
      <c r="Z61" s="60"/>
      <c r="AA61" s="61"/>
    </row>
    <row r="62" spans="1:27" x14ac:dyDescent="0.25">
      <c r="A62" s="38" t="s">
        <v>32</v>
      </c>
      <c r="B62" s="46">
        <f>CAR_13!H11</f>
        <v>0</v>
      </c>
      <c r="C62" s="43">
        <f>SUM(5000-B62)</f>
        <v>5000</v>
      </c>
      <c r="D62" s="35">
        <f>CAR_13!U12</f>
        <v>0</v>
      </c>
      <c r="E62" s="35">
        <f>CAR_13!AE12</f>
        <v>0</v>
      </c>
      <c r="F62" s="36">
        <f>CAR_13!AN12</f>
        <v>0</v>
      </c>
      <c r="H62" s="38" t="s">
        <v>32</v>
      </c>
      <c r="I62" s="46">
        <f>CAR_14!H11</f>
        <v>0</v>
      </c>
      <c r="J62" s="43">
        <f>SUM(5000-I62)</f>
        <v>5000</v>
      </c>
      <c r="K62" s="35">
        <f>CAR_14!U12</f>
        <v>0</v>
      </c>
      <c r="L62" s="35">
        <f>CAR_14!AE12</f>
        <v>0</v>
      </c>
      <c r="M62" s="36">
        <f>CAR_14!AN12</f>
        <v>0</v>
      </c>
      <c r="O62" s="38" t="s">
        <v>32</v>
      </c>
      <c r="P62" s="46">
        <f>CAR_15!H11</f>
        <v>0</v>
      </c>
      <c r="Q62" s="43">
        <f>SUM(5000-P62)</f>
        <v>5000</v>
      </c>
      <c r="R62" s="35">
        <f>CAR_15!U12</f>
        <v>0</v>
      </c>
      <c r="S62" s="35">
        <f>CAR_15!AE12</f>
        <v>0</v>
      </c>
      <c r="T62" s="36">
        <f>CAR_15!AN12</f>
        <v>0</v>
      </c>
      <c r="V62" s="38" t="s">
        <v>32</v>
      </c>
      <c r="W62" s="46">
        <f>CAR_16!H11</f>
        <v>0</v>
      </c>
      <c r="X62" s="43">
        <f>SUM(5000-W62)</f>
        <v>5000</v>
      </c>
      <c r="Y62" s="35">
        <f>CAR_16!U12</f>
        <v>0</v>
      </c>
      <c r="Z62" s="35">
        <f>CAR_16!AE12</f>
        <v>0</v>
      </c>
      <c r="AA62" s="36">
        <f>CAR_16!AN12</f>
        <v>0</v>
      </c>
    </row>
    <row r="63" spans="1:27" x14ac:dyDescent="0.25">
      <c r="A63" s="38" t="s">
        <v>33</v>
      </c>
      <c r="B63" s="46">
        <f>CAR_13!H15</f>
        <v>0</v>
      </c>
      <c r="C63" s="43">
        <f t="shared" ref="C63:C72" si="12">SUM(5000-B63)</f>
        <v>5000</v>
      </c>
      <c r="D63" s="35">
        <f>CAR_13!U16</f>
        <v>0</v>
      </c>
      <c r="E63" s="35">
        <f>CAR_13!AE16</f>
        <v>0</v>
      </c>
      <c r="F63" s="36">
        <f>CAR_13!AN16</f>
        <v>0</v>
      </c>
      <c r="H63" s="38" t="s">
        <v>33</v>
      </c>
      <c r="I63" s="46">
        <f>CAR_14!H15</f>
        <v>0</v>
      </c>
      <c r="J63" s="43">
        <f t="shared" ref="J63:J72" si="13">SUM(5000-I63)</f>
        <v>5000</v>
      </c>
      <c r="K63" s="35">
        <f>CAR_14!U16</f>
        <v>0</v>
      </c>
      <c r="L63" s="35">
        <f>CAR_14!AE16</f>
        <v>0</v>
      </c>
      <c r="M63" s="36">
        <f>CAR_14!AN16</f>
        <v>0</v>
      </c>
      <c r="O63" s="38" t="s">
        <v>33</v>
      </c>
      <c r="P63" s="46">
        <f>CAR_15!H15</f>
        <v>0</v>
      </c>
      <c r="Q63" s="43">
        <f t="shared" ref="Q63:Q72" si="14">SUM(5000-P63)</f>
        <v>5000</v>
      </c>
      <c r="R63" s="35">
        <f>CAR_15!U16</f>
        <v>0</v>
      </c>
      <c r="S63" s="35">
        <f>CAR_15!AE16</f>
        <v>0</v>
      </c>
      <c r="T63" s="36">
        <f>CAR_15!AN16</f>
        <v>0</v>
      </c>
      <c r="V63" s="38" t="s">
        <v>33</v>
      </c>
      <c r="W63" s="46">
        <f>CAR_16!H15</f>
        <v>0</v>
      </c>
      <c r="X63" s="43">
        <f t="shared" ref="X63:X72" si="15">SUM(5000-W63)</f>
        <v>5000</v>
      </c>
      <c r="Y63" s="35">
        <f>CAR_16!U16</f>
        <v>0</v>
      </c>
      <c r="Z63" s="35">
        <f>CAR_16!AE16</f>
        <v>0</v>
      </c>
      <c r="AA63" s="36">
        <f>CAR_16!AN16</f>
        <v>0</v>
      </c>
    </row>
    <row r="64" spans="1:27" x14ac:dyDescent="0.25">
      <c r="A64" s="38" t="s">
        <v>34</v>
      </c>
      <c r="B64" s="46">
        <f>CAR_13!H19</f>
        <v>0</v>
      </c>
      <c r="C64" s="43">
        <f t="shared" si="12"/>
        <v>5000</v>
      </c>
      <c r="D64" s="35">
        <f>CAR_13!U20</f>
        <v>0</v>
      </c>
      <c r="E64" s="35">
        <f>CAR_13!AE20</f>
        <v>0</v>
      </c>
      <c r="F64" s="36">
        <f>CAR_13!AN20</f>
        <v>0</v>
      </c>
      <c r="H64" s="38" t="s">
        <v>34</v>
      </c>
      <c r="I64" s="46">
        <f>CAR_14!H19</f>
        <v>0</v>
      </c>
      <c r="J64" s="43">
        <f t="shared" si="13"/>
        <v>5000</v>
      </c>
      <c r="K64" s="35">
        <f>CAR_14!U20</f>
        <v>0</v>
      </c>
      <c r="L64" s="35">
        <f>CAR_14!AE20</f>
        <v>0</v>
      </c>
      <c r="M64" s="36">
        <f>CAR_14!AN20</f>
        <v>0</v>
      </c>
      <c r="O64" s="38" t="s">
        <v>34</v>
      </c>
      <c r="P64" s="46">
        <f>CAR_15!H19</f>
        <v>0</v>
      </c>
      <c r="Q64" s="43">
        <f t="shared" si="14"/>
        <v>5000</v>
      </c>
      <c r="R64" s="35">
        <f>CAR_15!U20</f>
        <v>0</v>
      </c>
      <c r="S64" s="35">
        <f>CAR_15!AE20</f>
        <v>0</v>
      </c>
      <c r="T64" s="36">
        <f>CAR_15!AN20</f>
        <v>0</v>
      </c>
      <c r="V64" s="38" t="s">
        <v>34</v>
      </c>
      <c r="W64" s="46">
        <f>CAR_16!H19</f>
        <v>0</v>
      </c>
      <c r="X64" s="43">
        <f t="shared" si="15"/>
        <v>5000</v>
      </c>
      <c r="Y64" s="35">
        <f>CAR_16!U20</f>
        <v>0</v>
      </c>
      <c r="Z64" s="35">
        <f>CAR_16!AE20</f>
        <v>0</v>
      </c>
      <c r="AA64" s="36">
        <f>CAR_16!AN20</f>
        <v>0</v>
      </c>
    </row>
    <row r="65" spans="1:27" x14ac:dyDescent="0.25">
      <c r="A65" s="38" t="s">
        <v>35</v>
      </c>
      <c r="B65" s="46">
        <f>CAR_13!H23</f>
        <v>0</v>
      </c>
      <c r="C65" s="43">
        <f t="shared" si="12"/>
        <v>5000</v>
      </c>
      <c r="D65" s="35">
        <f>CAR_13!U24</f>
        <v>0</v>
      </c>
      <c r="E65" s="35">
        <f>CAR_13!AE224</f>
        <v>0</v>
      </c>
      <c r="F65" s="36">
        <f>CAR_13!AN24</f>
        <v>0</v>
      </c>
      <c r="H65" s="38" t="s">
        <v>35</v>
      </c>
      <c r="I65" s="46">
        <f>CAR_14!H23</f>
        <v>0</v>
      </c>
      <c r="J65" s="43">
        <f t="shared" si="13"/>
        <v>5000</v>
      </c>
      <c r="K65" s="35">
        <f>CAR_14!U24</f>
        <v>0</v>
      </c>
      <c r="L65" s="35">
        <f>CAR_14!AE24</f>
        <v>0</v>
      </c>
      <c r="M65" s="36">
        <f>CAR_14!AN24</f>
        <v>0</v>
      </c>
      <c r="O65" s="38" t="s">
        <v>35</v>
      </c>
      <c r="P65" s="46">
        <f>CAR_15!H23</f>
        <v>0</v>
      </c>
      <c r="Q65" s="43">
        <f t="shared" si="14"/>
        <v>5000</v>
      </c>
      <c r="R65" s="35">
        <f>CAR_15!U24</f>
        <v>0</v>
      </c>
      <c r="S65" s="35">
        <f>CAR_15!AE24</f>
        <v>0</v>
      </c>
      <c r="T65" s="36">
        <f>CAR_15!AN24</f>
        <v>0</v>
      </c>
      <c r="V65" s="38" t="s">
        <v>35</v>
      </c>
      <c r="W65" s="46">
        <f>CAR_16!H23</f>
        <v>0</v>
      </c>
      <c r="X65" s="43">
        <f t="shared" si="15"/>
        <v>5000</v>
      </c>
      <c r="Y65" s="35">
        <f>CAR_16!U24</f>
        <v>0</v>
      </c>
      <c r="Z65" s="35">
        <f>CAR_16!AE24</f>
        <v>0</v>
      </c>
      <c r="AA65" s="36">
        <f>CAR_16!AN24</f>
        <v>0</v>
      </c>
    </row>
    <row r="66" spans="1:27" x14ac:dyDescent="0.25">
      <c r="A66" s="38" t="s">
        <v>36</v>
      </c>
      <c r="B66" s="46">
        <f>CAR_13!H27</f>
        <v>0</v>
      </c>
      <c r="C66" s="43">
        <f t="shared" si="12"/>
        <v>5000</v>
      </c>
      <c r="D66" s="35">
        <f>CAR_13!U28</f>
        <v>0</v>
      </c>
      <c r="E66" s="35">
        <f>CAR_13!AE28</f>
        <v>0</v>
      </c>
      <c r="F66" s="36">
        <f>CAR_13!AN28</f>
        <v>0</v>
      </c>
      <c r="H66" s="38" t="s">
        <v>36</v>
      </c>
      <c r="I66" s="46">
        <f>CAR_14!H27</f>
        <v>0</v>
      </c>
      <c r="J66" s="43">
        <f t="shared" si="13"/>
        <v>5000</v>
      </c>
      <c r="K66" s="35">
        <f>CAR_14!U28</f>
        <v>0</v>
      </c>
      <c r="L66" s="35">
        <f>CAR_14!AE28</f>
        <v>0</v>
      </c>
      <c r="M66" s="36">
        <f>CAR_14!AN28</f>
        <v>0</v>
      </c>
      <c r="O66" s="38" t="s">
        <v>36</v>
      </c>
      <c r="P66" s="46">
        <f>CAR_15!H27</f>
        <v>0</v>
      </c>
      <c r="Q66" s="43">
        <f t="shared" si="14"/>
        <v>5000</v>
      </c>
      <c r="R66" s="35">
        <f>CAR_15!U28</f>
        <v>0</v>
      </c>
      <c r="S66" s="35">
        <f>CAR_15!AE28</f>
        <v>0</v>
      </c>
      <c r="T66" s="36">
        <f>CAR_15!AN28</f>
        <v>0</v>
      </c>
      <c r="V66" s="38" t="s">
        <v>36</v>
      </c>
      <c r="W66" s="46">
        <f>CAR_16!H27</f>
        <v>0</v>
      </c>
      <c r="X66" s="43">
        <f t="shared" si="15"/>
        <v>5000</v>
      </c>
      <c r="Y66" s="35">
        <f>CAR_16!U28</f>
        <v>0</v>
      </c>
      <c r="Z66" s="35">
        <f>CAR_16!AE28</f>
        <v>0</v>
      </c>
      <c r="AA66" s="36">
        <f>CAR_16!AN28</f>
        <v>0</v>
      </c>
    </row>
    <row r="67" spans="1:27" x14ac:dyDescent="0.25">
      <c r="A67" s="38" t="s">
        <v>37</v>
      </c>
      <c r="B67" s="46">
        <f>CAR_13!H31</f>
        <v>0</v>
      </c>
      <c r="C67" s="43">
        <f t="shared" si="12"/>
        <v>5000</v>
      </c>
      <c r="D67" s="35">
        <f>CAR_13!U32</f>
        <v>0</v>
      </c>
      <c r="E67" s="35">
        <f>CAR_13!AE32</f>
        <v>0</v>
      </c>
      <c r="F67" s="36">
        <f>CAR_13!AN32</f>
        <v>0</v>
      </c>
      <c r="H67" s="38" t="s">
        <v>37</v>
      </c>
      <c r="I67" s="46">
        <f>CAR_14!H31</f>
        <v>0</v>
      </c>
      <c r="J67" s="43">
        <f t="shared" si="13"/>
        <v>5000</v>
      </c>
      <c r="K67" s="35">
        <f>CAR_14!U32</f>
        <v>0</v>
      </c>
      <c r="L67" s="35">
        <f>CAR_14!AE32</f>
        <v>0</v>
      </c>
      <c r="M67" s="36">
        <f>CAR_14!AN32</f>
        <v>0</v>
      </c>
      <c r="O67" s="38" t="s">
        <v>37</v>
      </c>
      <c r="P67" s="46">
        <f>CAR_15!H31</f>
        <v>0</v>
      </c>
      <c r="Q67" s="43">
        <f t="shared" si="14"/>
        <v>5000</v>
      </c>
      <c r="R67" s="35">
        <f>CAR_15!U32</f>
        <v>0</v>
      </c>
      <c r="S67" s="35">
        <f>CAR_15!AE32</f>
        <v>0</v>
      </c>
      <c r="T67" s="36">
        <f>CAR_15!AN32</f>
        <v>0</v>
      </c>
      <c r="V67" s="38" t="s">
        <v>37</v>
      </c>
      <c r="W67" s="46">
        <f>CAR_16!H31</f>
        <v>0</v>
      </c>
      <c r="X67" s="43">
        <f t="shared" si="15"/>
        <v>5000</v>
      </c>
      <c r="Y67" s="35">
        <f>CAR_16!U32</f>
        <v>0</v>
      </c>
      <c r="Z67" s="35">
        <f>CAR_16!AE32</f>
        <v>0</v>
      </c>
      <c r="AA67" s="36">
        <f>CAR_16!AN32</f>
        <v>0</v>
      </c>
    </row>
    <row r="68" spans="1:27" x14ac:dyDescent="0.25">
      <c r="A68" s="38" t="s">
        <v>38</v>
      </c>
      <c r="B68" s="46">
        <f>CAR_13!H35</f>
        <v>0</v>
      </c>
      <c r="C68" s="43">
        <f t="shared" si="12"/>
        <v>5000</v>
      </c>
      <c r="D68" s="35">
        <f>CAR_13!U36</f>
        <v>0</v>
      </c>
      <c r="E68" s="35">
        <f>CAR_13!AE36</f>
        <v>0</v>
      </c>
      <c r="F68" s="36">
        <f>CAR_13!AN36</f>
        <v>0</v>
      </c>
      <c r="H68" s="38" t="s">
        <v>38</v>
      </c>
      <c r="I68" s="46">
        <f>CAR_14!H35</f>
        <v>0</v>
      </c>
      <c r="J68" s="43">
        <f t="shared" si="13"/>
        <v>5000</v>
      </c>
      <c r="K68" s="35">
        <f>CAR_14!U36</f>
        <v>0</v>
      </c>
      <c r="L68" s="35">
        <f>CAR_14!AE36</f>
        <v>0</v>
      </c>
      <c r="M68" s="36">
        <f>CAR_14!AN36</f>
        <v>0</v>
      </c>
      <c r="O68" s="38" t="s">
        <v>38</v>
      </c>
      <c r="P68" s="46">
        <f>CAR_15!H35</f>
        <v>0</v>
      </c>
      <c r="Q68" s="43">
        <f t="shared" si="14"/>
        <v>5000</v>
      </c>
      <c r="R68" s="35">
        <f>CAR_15!U36</f>
        <v>0</v>
      </c>
      <c r="S68" s="35">
        <f>CAR_15!AE36</f>
        <v>0</v>
      </c>
      <c r="T68" s="36">
        <f>CAR_15!AN36</f>
        <v>0</v>
      </c>
      <c r="V68" s="38" t="s">
        <v>38</v>
      </c>
      <c r="W68" s="46">
        <f>CAR_16!H35</f>
        <v>0</v>
      </c>
      <c r="X68" s="43">
        <f t="shared" si="15"/>
        <v>5000</v>
      </c>
      <c r="Y68" s="35">
        <f>CAR_16!U36</f>
        <v>0</v>
      </c>
      <c r="Z68" s="35">
        <f>CAR_16!AE36</f>
        <v>0</v>
      </c>
      <c r="AA68" s="36">
        <f>CAR_16!AN36</f>
        <v>0</v>
      </c>
    </row>
    <row r="69" spans="1:27" x14ac:dyDescent="0.25">
      <c r="A69" s="38" t="s">
        <v>39</v>
      </c>
      <c r="B69" s="46">
        <f>CAR_13!H39</f>
        <v>0</v>
      </c>
      <c r="C69" s="43">
        <f t="shared" si="12"/>
        <v>5000</v>
      </c>
      <c r="D69" s="35">
        <f>CAR_13!U40</f>
        <v>0</v>
      </c>
      <c r="E69" s="35">
        <f>CAR_13!AE40</f>
        <v>0</v>
      </c>
      <c r="F69" s="36">
        <f>CAR_13!AN400</f>
        <v>0</v>
      </c>
      <c r="H69" s="38" t="s">
        <v>39</v>
      </c>
      <c r="I69" s="46">
        <f>CAR_14!H39</f>
        <v>0</v>
      </c>
      <c r="J69" s="43">
        <f t="shared" si="13"/>
        <v>5000</v>
      </c>
      <c r="K69" s="35">
        <f>CAR_14!U40</f>
        <v>0</v>
      </c>
      <c r="L69" s="35">
        <f>CAR_14!AE40</f>
        <v>0</v>
      </c>
      <c r="M69" s="36">
        <f>CAR_14!AN40</f>
        <v>0</v>
      </c>
      <c r="O69" s="38" t="s">
        <v>39</v>
      </c>
      <c r="P69" s="46">
        <f>CAR_15!H39</f>
        <v>0</v>
      </c>
      <c r="Q69" s="43">
        <f t="shared" si="14"/>
        <v>5000</v>
      </c>
      <c r="R69" s="35">
        <f>CAR_15!U40</f>
        <v>0</v>
      </c>
      <c r="S69" s="35">
        <f>CAR_15!AE40</f>
        <v>0</v>
      </c>
      <c r="T69" s="36">
        <f>CAR_15!AN40</f>
        <v>0</v>
      </c>
      <c r="V69" s="38" t="s">
        <v>39</v>
      </c>
      <c r="W69" s="46">
        <f>CAR_16!H39</f>
        <v>0</v>
      </c>
      <c r="X69" s="43">
        <f t="shared" si="15"/>
        <v>5000</v>
      </c>
      <c r="Y69" s="35">
        <f>CAR_16!U40</f>
        <v>0</v>
      </c>
      <c r="Z69" s="35">
        <f>CAR_16!AE40</f>
        <v>0</v>
      </c>
      <c r="AA69" s="36">
        <f>CAR_16!AN40</f>
        <v>0</v>
      </c>
    </row>
    <row r="70" spans="1:27" x14ac:dyDescent="0.25">
      <c r="A70" s="38" t="s">
        <v>40</v>
      </c>
      <c r="B70" s="46">
        <f>CAR_13!H43</f>
        <v>0</v>
      </c>
      <c r="C70" s="43">
        <f t="shared" si="12"/>
        <v>5000</v>
      </c>
      <c r="D70" s="35">
        <f>CAR_13!U44</f>
        <v>0</v>
      </c>
      <c r="E70" s="35">
        <f>CAR_13!AE44</f>
        <v>0</v>
      </c>
      <c r="F70" s="36">
        <f>CAR_13!AN44</f>
        <v>0</v>
      </c>
      <c r="H70" s="38" t="s">
        <v>40</v>
      </c>
      <c r="I70" s="46">
        <f>CAR_14!H43</f>
        <v>0</v>
      </c>
      <c r="J70" s="43">
        <f t="shared" si="13"/>
        <v>5000</v>
      </c>
      <c r="K70" s="35">
        <f>CAR_14!U44</f>
        <v>0</v>
      </c>
      <c r="L70" s="35">
        <f>CAR_14!AE44</f>
        <v>0</v>
      </c>
      <c r="M70" s="36">
        <f>CAR_14!AN44</f>
        <v>0</v>
      </c>
      <c r="O70" s="38" t="s">
        <v>40</v>
      </c>
      <c r="P70" s="46">
        <f>CAR_15!H43</f>
        <v>0</v>
      </c>
      <c r="Q70" s="43">
        <f t="shared" si="14"/>
        <v>5000</v>
      </c>
      <c r="R70" s="35">
        <f>CAR_15!U44</f>
        <v>0</v>
      </c>
      <c r="S70" s="35">
        <f>CAR_15!AE44</f>
        <v>0</v>
      </c>
      <c r="T70" s="36">
        <f>CAR_15!AN44</f>
        <v>0</v>
      </c>
      <c r="V70" s="38" t="s">
        <v>40</v>
      </c>
      <c r="W70" s="46">
        <f>CAR_16!H43</f>
        <v>0</v>
      </c>
      <c r="X70" s="43">
        <f t="shared" si="15"/>
        <v>5000</v>
      </c>
      <c r="Y70" s="35">
        <f>CAR_16!U44</f>
        <v>0</v>
      </c>
      <c r="Z70" s="35">
        <f>CAR_16!AE44</f>
        <v>0</v>
      </c>
      <c r="AA70" s="36">
        <f>CAR_16!AN44</f>
        <v>0</v>
      </c>
    </row>
    <row r="71" spans="1:27" x14ac:dyDescent="0.25">
      <c r="A71" s="38" t="s">
        <v>41</v>
      </c>
      <c r="B71" s="46">
        <f>CAR_13!H47</f>
        <v>0</v>
      </c>
      <c r="C71" s="43">
        <f t="shared" si="12"/>
        <v>5000</v>
      </c>
      <c r="D71" s="35">
        <f>CAR_13!U48</f>
        <v>0</v>
      </c>
      <c r="E71" s="35">
        <f>CAR_13!AE48</f>
        <v>0</v>
      </c>
      <c r="F71" s="36">
        <f>CAR_13!AN48</f>
        <v>0</v>
      </c>
      <c r="H71" s="38" t="s">
        <v>41</v>
      </c>
      <c r="I71" s="46">
        <f>CAR_14!H47</f>
        <v>0</v>
      </c>
      <c r="J71" s="43">
        <f t="shared" si="13"/>
        <v>5000</v>
      </c>
      <c r="K71" s="35">
        <f>CAR_14!U48</f>
        <v>0</v>
      </c>
      <c r="L71" s="35">
        <f>CAR_14!AE48</f>
        <v>0</v>
      </c>
      <c r="M71" s="36">
        <f>CAR_14!AN48</f>
        <v>0</v>
      </c>
      <c r="O71" s="38" t="s">
        <v>41</v>
      </c>
      <c r="P71" s="46">
        <f>CAR_15!H47</f>
        <v>0</v>
      </c>
      <c r="Q71" s="43">
        <f t="shared" si="14"/>
        <v>5000</v>
      </c>
      <c r="R71" s="35">
        <f>CAR_15!U48</f>
        <v>0</v>
      </c>
      <c r="S71" s="35">
        <f>CAR_15!AE48</f>
        <v>0</v>
      </c>
      <c r="T71" s="36">
        <f>CAR_15!AN48</f>
        <v>0</v>
      </c>
      <c r="V71" s="38" t="s">
        <v>41</v>
      </c>
      <c r="W71" s="46">
        <f>CAR_16!H47</f>
        <v>0</v>
      </c>
      <c r="X71" s="43">
        <f t="shared" si="15"/>
        <v>5000</v>
      </c>
      <c r="Y71" s="35">
        <f>CAR_16!U48</f>
        <v>0</v>
      </c>
      <c r="Z71" s="35">
        <f>CAR_16!AE48</f>
        <v>0</v>
      </c>
      <c r="AA71" s="36">
        <f>CAR_16!AN48</f>
        <v>0</v>
      </c>
    </row>
    <row r="72" spans="1:27" ht="15.75" thickBot="1" x14ac:dyDescent="0.3">
      <c r="A72" s="39" t="s">
        <v>42</v>
      </c>
      <c r="B72" s="47">
        <f>CAR_13!H51</f>
        <v>0</v>
      </c>
      <c r="C72" s="44">
        <f t="shared" si="12"/>
        <v>5000</v>
      </c>
      <c r="D72" s="11">
        <f>CAR_13!U52</f>
        <v>0</v>
      </c>
      <c r="E72" s="11">
        <f>CAR_13!AE52</f>
        <v>0</v>
      </c>
      <c r="F72" s="12">
        <f>CAR_13!AN52</f>
        <v>0</v>
      </c>
      <c r="H72" s="39" t="s">
        <v>42</v>
      </c>
      <c r="I72" s="47">
        <f>CAR_14!H51</f>
        <v>0</v>
      </c>
      <c r="J72" s="44">
        <f t="shared" si="13"/>
        <v>5000</v>
      </c>
      <c r="K72" s="11">
        <f>CAR_14!U52</f>
        <v>0</v>
      </c>
      <c r="L72" s="11">
        <f>CAR_14!AE52</f>
        <v>0</v>
      </c>
      <c r="M72" s="12">
        <f>CAR_14!AN52</f>
        <v>0</v>
      </c>
      <c r="O72" s="39" t="s">
        <v>42</v>
      </c>
      <c r="P72" s="47">
        <f>CAR_15!H51</f>
        <v>0</v>
      </c>
      <c r="Q72" s="44">
        <f t="shared" si="14"/>
        <v>5000</v>
      </c>
      <c r="R72" s="11">
        <f>CAR_15!U52</f>
        <v>0</v>
      </c>
      <c r="S72" s="11">
        <f>CAR_15!AE52</f>
        <v>0</v>
      </c>
      <c r="T72" s="12">
        <f>CAR_15!AN52</f>
        <v>0</v>
      </c>
      <c r="V72" s="39" t="s">
        <v>42</v>
      </c>
      <c r="W72" s="47">
        <f>CAR_16!H51</f>
        <v>0</v>
      </c>
      <c r="X72" s="44">
        <f t="shared" si="15"/>
        <v>5000</v>
      </c>
      <c r="Y72" s="11">
        <f>CAR_16!U52</f>
        <v>0</v>
      </c>
      <c r="Z72" s="11">
        <f>CAR_16!AE52</f>
        <v>0</v>
      </c>
      <c r="AA72" s="12">
        <f>CAR_16!AN52</f>
        <v>0</v>
      </c>
    </row>
    <row r="73" spans="1:27" ht="15.75" thickBot="1" x14ac:dyDescent="0.3"/>
    <row r="74" spans="1:27" ht="15.75" thickBot="1" x14ac:dyDescent="0.3">
      <c r="A74" s="3" t="s">
        <v>23</v>
      </c>
      <c r="B74" s="52">
        <f>SUM(B61:B72)</f>
        <v>0</v>
      </c>
      <c r="C74" s="51"/>
      <c r="D74" s="50">
        <f>SUM(D61:D72)</f>
        <v>0</v>
      </c>
      <c r="E74" s="49">
        <f>SUM(E61:E72)</f>
        <v>0</v>
      </c>
      <c r="F74" s="48">
        <f>SUM(F61:F72)</f>
        <v>0</v>
      </c>
      <c r="H74" s="3" t="s">
        <v>23</v>
      </c>
      <c r="I74" s="52">
        <f>SUM(I61:I72)</f>
        <v>0</v>
      </c>
      <c r="J74" s="51"/>
      <c r="K74" s="50">
        <f>SUM(K61:K72)</f>
        <v>0</v>
      </c>
      <c r="L74" s="49">
        <f>SUM(L61:L72)</f>
        <v>0</v>
      </c>
      <c r="M74" s="48">
        <f>SUM(M61:M72)</f>
        <v>0</v>
      </c>
      <c r="O74" s="3" t="s">
        <v>23</v>
      </c>
      <c r="P74" s="52">
        <f>SUM(P61:P72)</f>
        <v>0</v>
      </c>
      <c r="Q74" s="51"/>
      <c r="R74" s="50">
        <f>SUM(R61:R72)</f>
        <v>0</v>
      </c>
      <c r="S74" s="49">
        <f>SUM(S61:S72)</f>
        <v>0</v>
      </c>
      <c r="T74" s="48">
        <f>SUM(T61:T72)</f>
        <v>0</v>
      </c>
      <c r="V74" s="3" t="s">
        <v>23</v>
      </c>
      <c r="W74" s="52">
        <f>SUM(W61:W72)</f>
        <v>0</v>
      </c>
      <c r="X74" s="51"/>
      <c r="Y74" s="50">
        <f>SUM(Y61:Y72)</f>
        <v>0</v>
      </c>
      <c r="Z74" s="49">
        <f>SUM(Z61:Z72)</f>
        <v>0</v>
      </c>
      <c r="AA74" s="48">
        <f>SUM(AA61:AA72)</f>
        <v>0</v>
      </c>
    </row>
    <row r="75" spans="1:27" ht="15.75" thickBot="1" x14ac:dyDescent="0.3">
      <c r="A75" s="3" t="s">
        <v>44</v>
      </c>
      <c r="B75" s="23">
        <f>SUM(60000-B74)</f>
        <v>60000</v>
      </c>
      <c r="H75" s="3" t="s">
        <v>44</v>
      </c>
      <c r="I75" s="23">
        <f>SUM(60000-I74)</f>
        <v>60000</v>
      </c>
      <c r="O75" s="3" t="s">
        <v>44</v>
      </c>
      <c r="P75" s="23">
        <f>SUM(60000-P74)</f>
        <v>60000</v>
      </c>
      <c r="V75" s="3" t="s">
        <v>44</v>
      </c>
      <c r="W75" s="23">
        <f>SUM(60000-W74)</f>
        <v>60000</v>
      </c>
    </row>
    <row r="78" spans="1:27" ht="15.75" thickBot="1" x14ac:dyDescent="0.3">
      <c r="B78" s="84" t="s">
        <v>61</v>
      </c>
      <c r="C78" s="84"/>
      <c r="D78" s="84"/>
      <c r="E78" s="84"/>
      <c r="F78" s="84"/>
      <c r="I78" s="84" t="s">
        <v>62</v>
      </c>
      <c r="J78" s="84"/>
      <c r="K78" s="84"/>
      <c r="L78" s="84"/>
      <c r="M78" s="84"/>
      <c r="P78" s="84" t="s">
        <v>63</v>
      </c>
      <c r="Q78" s="84"/>
      <c r="R78" s="84"/>
      <c r="S78" s="84"/>
      <c r="T78" s="84"/>
      <c r="W78" s="84" t="s">
        <v>64</v>
      </c>
      <c r="X78" s="84"/>
      <c r="Y78" s="84"/>
      <c r="Z78" s="84"/>
      <c r="AA78" s="84"/>
    </row>
    <row r="79" spans="1:27" ht="15.75" thickBot="1" x14ac:dyDescent="0.3">
      <c r="B79" s="22" t="s">
        <v>43</v>
      </c>
      <c r="C79" s="33" t="s">
        <v>30</v>
      </c>
      <c r="D79" s="23" t="s">
        <v>26</v>
      </c>
      <c r="E79" s="23" t="s">
        <v>25</v>
      </c>
      <c r="F79" s="25" t="s">
        <v>27</v>
      </c>
      <c r="I79" s="22" t="s">
        <v>43</v>
      </c>
      <c r="J79" s="33" t="s">
        <v>30</v>
      </c>
      <c r="K79" s="23" t="s">
        <v>26</v>
      </c>
      <c r="L79" s="23" t="s">
        <v>25</v>
      </c>
      <c r="M79" s="25" t="s">
        <v>27</v>
      </c>
      <c r="P79" s="22" t="s">
        <v>43</v>
      </c>
      <c r="Q79" s="33" t="s">
        <v>30</v>
      </c>
      <c r="R79" s="23" t="s">
        <v>26</v>
      </c>
      <c r="S79" s="23" t="s">
        <v>25</v>
      </c>
      <c r="T79" s="25" t="s">
        <v>27</v>
      </c>
      <c r="W79" s="22" t="s">
        <v>43</v>
      </c>
      <c r="X79" s="33" t="s">
        <v>30</v>
      </c>
      <c r="Y79" s="23" t="s">
        <v>26</v>
      </c>
      <c r="Z79" s="23" t="s">
        <v>25</v>
      </c>
      <c r="AA79" s="25" t="s">
        <v>27</v>
      </c>
    </row>
    <row r="80" spans="1:27" x14ac:dyDescent="0.25">
      <c r="A80" s="37" t="s">
        <v>31</v>
      </c>
      <c r="B80" s="58"/>
      <c r="C80" s="59"/>
      <c r="D80" s="60"/>
      <c r="E80" s="60"/>
      <c r="F80" s="61"/>
      <c r="H80" s="37" t="s">
        <v>31</v>
      </c>
      <c r="I80" s="58"/>
      <c r="J80" s="59"/>
      <c r="K80" s="60"/>
      <c r="L80" s="60"/>
      <c r="M80" s="61"/>
      <c r="O80" s="37" t="s">
        <v>31</v>
      </c>
      <c r="P80" s="58"/>
      <c r="Q80" s="59"/>
      <c r="R80" s="60"/>
      <c r="S80" s="60"/>
      <c r="T80" s="61"/>
      <c r="V80" s="37" t="s">
        <v>31</v>
      </c>
      <c r="W80" s="58"/>
      <c r="X80" s="59"/>
      <c r="Y80" s="60"/>
      <c r="Z80" s="60"/>
      <c r="AA80" s="61"/>
    </row>
    <row r="81" spans="1:27" x14ac:dyDescent="0.25">
      <c r="A81" s="38" t="s">
        <v>32</v>
      </c>
      <c r="B81" s="46">
        <f>CAR_17!H11</f>
        <v>0</v>
      </c>
      <c r="C81" s="43">
        <f>SUM(5000-B81)</f>
        <v>5000</v>
      </c>
      <c r="D81" s="35">
        <f>CAR_17!U12</f>
        <v>0</v>
      </c>
      <c r="E81" s="35">
        <f>CAR_17!AE12</f>
        <v>0</v>
      </c>
      <c r="F81" s="36">
        <f>CAR_17!AN12</f>
        <v>0</v>
      </c>
      <c r="H81" s="38" t="s">
        <v>32</v>
      </c>
      <c r="I81" s="46">
        <f>CAR_18!H11</f>
        <v>0</v>
      </c>
      <c r="J81" s="43">
        <f>SUM(5000-I81)</f>
        <v>5000</v>
      </c>
      <c r="K81" s="35">
        <f>CAR_18!U12</f>
        <v>0</v>
      </c>
      <c r="L81" s="35">
        <f>CAR_18!AE12</f>
        <v>0</v>
      </c>
      <c r="M81" s="36">
        <f>CAR_18!AE12</f>
        <v>0</v>
      </c>
      <c r="O81" s="38" t="s">
        <v>32</v>
      </c>
      <c r="P81" s="46">
        <f>CAR_19!H11</f>
        <v>0</v>
      </c>
      <c r="Q81" s="43">
        <f>SUM(5000-P81)</f>
        <v>5000</v>
      </c>
      <c r="R81" s="35">
        <f>CAR_19!U12</f>
        <v>0</v>
      </c>
      <c r="S81" s="35">
        <f>CAR_19!AE12</f>
        <v>0</v>
      </c>
      <c r="T81" s="36">
        <f>CAR_19!AE12</f>
        <v>0</v>
      </c>
      <c r="V81" s="38" t="s">
        <v>32</v>
      </c>
      <c r="W81" s="46">
        <f>CAR_20!H11</f>
        <v>0</v>
      </c>
      <c r="X81" s="43">
        <f>SUM(5000-W81)</f>
        <v>5000</v>
      </c>
      <c r="Y81" s="35">
        <f>CAR_20!U12</f>
        <v>0</v>
      </c>
      <c r="Z81" s="35">
        <f>CAR_20!AE12</f>
        <v>0</v>
      </c>
      <c r="AA81" s="36">
        <f>CAR_20!AE12</f>
        <v>0</v>
      </c>
    </row>
    <row r="82" spans="1:27" x14ac:dyDescent="0.25">
      <c r="A82" s="38" t="s">
        <v>33</v>
      </c>
      <c r="B82" s="46">
        <f>CAR_17!H15</f>
        <v>0</v>
      </c>
      <c r="C82" s="43">
        <f t="shared" ref="C82:C91" si="16">SUM(5000-B82)</f>
        <v>5000</v>
      </c>
      <c r="D82" s="35">
        <f>CAR_17!U16</f>
        <v>0</v>
      </c>
      <c r="E82" s="35">
        <f>CAR_17!AE16</f>
        <v>0</v>
      </c>
      <c r="F82" s="36">
        <f>CAR_17!AN16</f>
        <v>0</v>
      </c>
      <c r="H82" s="38" t="s">
        <v>33</v>
      </c>
      <c r="I82" s="46">
        <f>CAR_18!H15</f>
        <v>0</v>
      </c>
      <c r="J82" s="43">
        <f t="shared" ref="J82:J91" si="17">SUM(5000-I82)</f>
        <v>5000</v>
      </c>
      <c r="K82" s="35">
        <f>CAR_18!U16</f>
        <v>0</v>
      </c>
      <c r="L82" s="35">
        <f>CAR_18!AE16</f>
        <v>0</v>
      </c>
      <c r="M82" s="36">
        <f>CAR_18!AE16</f>
        <v>0</v>
      </c>
      <c r="O82" s="38" t="s">
        <v>33</v>
      </c>
      <c r="P82" s="46">
        <f>CAR_19!H15</f>
        <v>0</v>
      </c>
      <c r="Q82" s="43">
        <f t="shared" ref="Q82:Q91" si="18">SUM(5000-P82)</f>
        <v>5000</v>
      </c>
      <c r="R82" s="35">
        <f>CAR_19!U16</f>
        <v>0</v>
      </c>
      <c r="S82" s="35">
        <f>CAR_19!AE16</f>
        <v>0</v>
      </c>
      <c r="T82" s="36">
        <f>CAR_19!AE16</f>
        <v>0</v>
      </c>
      <c r="V82" s="38" t="s">
        <v>33</v>
      </c>
      <c r="W82" s="46">
        <f>CAR_20!H15</f>
        <v>0</v>
      </c>
      <c r="X82" s="43">
        <f t="shared" ref="X82:X91" si="19">SUM(5000-W82)</f>
        <v>5000</v>
      </c>
      <c r="Y82" s="35">
        <f>CAR_20!U16</f>
        <v>0</v>
      </c>
      <c r="Z82" s="35">
        <f>CAR_20!AE16</f>
        <v>0</v>
      </c>
      <c r="AA82" s="36">
        <f>CAR_20!AE16</f>
        <v>0</v>
      </c>
    </row>
    <row r="83" spans="1:27" x14ac:dyDescent="0.25">
      <c r="A83" s="38" t="s">
        <v>34</v>
      </c>
      <c r="B83" s="46">
        <f>CAR_17!H19</f>
        <v>0</v>
      </c>
      <c r="C83" s="43">
        <f t="shared" si="16"/>
        <v>5000</v>
      </c>
      <c r="D83" s="35">
        <f>CAR_17!U20</f>
        <v>0</v>
      </c>
      <c r="E83" s="35">
        <f>CAR_17!AE20</f>
        <v>0</v>
      </c>
      <c r="F83" s="36">
        <f>CAR_17!AN20</f>
        <v>0</v>
      </c>
      <c r="H83" s="38" t="s">
        <v>34</v>
      </c>
      <c r="I83" s="46">
        <f>CAR_18!H19</f>
        <v>0</v>
      </c>
      <c r="J83" s="43">
        <f t="shared" si="17"/>
        <v>5000</v>
      </c>
      <c r="K83" s="35">
        <f>CAR_18!U20</f>
        <v>0</v>
      </c>
      <c r="L83" s="35">
        <f>CAR_18!AE120</f>
        <v>0</v>
      </c>
      <c r="M83" s="36">
        <f>CAR_18!AE20</f>
        <v>0</v>
      </c>
      <c r="O83" s="38" t="s">
        <v>34</v>
      </c>
      <c r="P83" s="46">
        <f>CAR_19!H19</f>
        <v>0</v>
      </c>
      <c r="Q83" s="43">
        <f t="shared" si="18"/>
        <v>5000</v>
      </c>
      <c r="R83" s="35">
        <f>CAR_19!U20</f>
        <v>0</v>
      </c>
      <c r="S83" s="35">
        <f>CAR_19!AE20</f>
        <v>0</v>
      </c>
      <c r="T83" s="36">
        <f>CAR_19!AE20</f>
        <v>0</v>
      </c>
      <c r="V83" s="38" t="s">
        <v>34</v>
      </c>
      <c r="W83" s="46">
        <f>CAR_20!H19</f>
        <v>0</v>
      </c>
      <c r="X83" s="43">
        <f t="shared" si="19"/>
        <v>5000</v>
      </c>
      <c r="Y83" s="35">
        <f>CAR_20!U20</f>
        <v>0</v>
      </c>
      <c r="Z83" s="35">
        <f>CAR_20!AE20</f>
        <v>0</v>
      </c>
      <c r="AA83" s="36">
        <f>CAR_20!AE20</f>
        <v>0</v>
      </c>
    </row>
    <row r="84" spans="1:27" x14ac:dyDescent="0.25">
      <c r="A84" s="38" t="s">
        <v>35</v>
      </c>
      <c r="B84" s="46">
        <f>CAR_17!H23</f>
        <v>0</v>
      </c>
      <c r="C84" s="43">
        <f t="shared" si="16"/>
        <v>5000</v>
      </c>
      <c r="D84" s="35">
        <f>CAR_17!U24</f>
        <v>0</v>
      </c>
      <c r="E84" s="35">
        <f>CAR_17!AE24</f>
        <v>0</v>
      </c>
      <c r="F84" s="36">
        <f>CAR_17!AN24</f>
        <v>0</v>
      </c>
      <c r="H84" s="38" t="s">
        <v>35</v>
      </c>
      <c r="I84" s="46">
        <f>CAR_18!H23</f>
        <v>0</v>
      </c>
      <c r="J84" s="43">
        <f t="shared" si="17"/>
        <v>5000</v>
      </c>
      <c r="K84" s="35">
        <f>CAR_18!U24</f>
        <v>0</v>
      </c>
      <c r="L84" s="35">
        <f>CAR_18!AE24</f>
        <v>0</v>
      </c>
      <c r="M84" s="36">
        <f>CAR_18!AE24</f>
        <v>0</v>
      </c>
      <c r="O84" s="38" t="s">
        <v>35</v>
      </c>
      <c r="P84" s="46">
        <f>CAR_19!H23</f>
        <v>0</v>
      </c>
      <c r="Q84" s="43">
        <f t="shared" si="18"/>
        <v>5000</v>
      </c>
      <c r="R84" s="35">
        <f>CAR_19!U24</f>
        <v>0</v>
      </c>
      <c r="S84" s="35">
        <f>CAR_19!AE24</f>
        <v>0</v>
      </c>
      <c r="T84" s="36">
        <f>CAR_19!AE24</f>
        <v>0</v>
      </c>
      <c r="V84" s="38" t="s">
        <v>35</v>
      </c>
      <c r="W84" s="46">
        <f>CAR_20!H23</f>
        <v>0</v>
      </c>
      <c r="X84" s="43">
        <f t="shared" si="19"/>
        <v>5000</v>
      </c>
      <c r="Y84" s="35">
        <f>CAR_20!U24</f>
        <v>0</v>
      </c>
      <c r="Z84" s="35">
        <f>CAR_20!AE24</f>
        <v>0</v>
      </c>
      <c r="AA84" s="36">
        <f>CAR_20!AE24</f>
        <v>0</v>
      </c>
    </row>
    <row r="85" spans="1:27" x14ac:dyDescent="0.25">
      <c r="A85" s="38" t="s">
        <v>36</v>
      </c>
      <c r="B85" s="46">
        <f>CAR_17!H27</f>
        <v>0</v>
      </c>
      <c r="C85" s="43">
        <f t="shared" si="16"/>
        <v>5000</v>
      </c>
      <c r="D85" s="35">
        <f>CAR_17!U28</f>
        <v>0</v>
      </c>
      <c r="E85" s="35">
        <f>CAR_17!AE28</f>
        <v>0</v>
      </c>
      <c r="F85" s="36">
        <f>CAR_17!AN28</f>
        <v>0</v>
      </c>
      <c r="H85" s="38" t="s">
        <v>36</v>
      </c>
      <c r="I85" s="46">
        <f>CAR_18!H27</f>
        <v>0</v>
      </c>
      <c r="J85" s="43">
        <f t="shared" si="17"/>
        <v>5000</v>
      </c>
      <c r="K85" s="35">
        <f>CAR_18!U28</f>
        <v>0</v>
      </c>
      <c r="L85" s="35">
        <f>CAR_18!AE28</f>
        <v>0</v>
      </c>
      <c r="M85" s="36">
        <f>CAR_18!AE28</f>
        <v>0</v>
      </c>
      <c r="O85" s="38" t="s">
        <v>36</v>
      </c>
      <c r="P85" s="46">
        <f>CAR_19!H27</f>
        <v>0</v>
      </c>
      <c r="Q85" s="43">
        <f t="shared" si="18"/>
        <v>5000</v>
      </c>
      <c r="R85" s="35">
        <f>CAR_19!U28</f>
        <v>0</v>
      </c>
      <c r="S85" s="35">
        <f>CAR_19!AE28</f>
        <v>0</v>
      </c>
      <c r="T85" s="36">
        <f>CAR_19!AE28</f>
        <v>0</v>
      </c>
      <c r="V85" s="38" t="s">
        <v>36</v>
      </c>
      <c r="W85" s="46">
        <f>CAR_20!H27</f>
        <v>0</v>
      </c>
      <c r="X85" s="43">
        <f t="shared" si="19"/>
        <v>5000</v>
      </c>
      <c r="Y85" s="35">
        <f>CAR_20!U28</f>
        <v>0</v>
      </c>
      <c r="Z85" s="35">
        <f>CAR_20!AE28</f>
        <v>0</v>
      </c>
      <c r="AA85" s="36">
        <f>CAR_20!AE28</f>
        <v>0</v>
      </c>
    </row>
    <row r="86" spans="1:27" x14ac:dyDescent="0.25">
      <c r="A86" s="38" t="s">
        <v>37</v>
      </c>
      <c r="B86" s="46">
        <f>CAR_17!H31</f>
        <v>0</v>
      </c>
      <c r="C86" s="43">
        <f t="shared" si="16"/>
        <v>5000</v>
      </c>
      <c r="D86" s="35">
        <f>CAR_17!U32</f>
        <v>0</v>
      </c>
      <c r="E86" s="35">
        <f>CAR_17!AE32</f>
        <v>0</v>
      </c>
      <c r="F86" s="36">
        <f>CAR_17!AN32</f>
        <v>0</v>
      </c>
      <c r="H86" s="38" t="s">
        <v>37</v>
      </c>
      <c r="I86" s="46">
        <f>CAR_18!H31</f>
        <v>0</v>
      </c>
      <c r="J86" s="43">
        <f t="shared" si="17"/>
        <v>5000</v>
      </c>
      <c r="K86" s="35">
        <f>CAR_18!U32</f>
        <v>0</v>
      </c>
      <c r="L86" s="35">
        <f>CAR_18!AE32</f>
        <v>0</v>
      </c>
      <c r="M86" s="36">
        <f>CAR_18!AE32</f>
        <v>0</v>
      </c>
      <c r="O86" s="38" t="s">
        <v>37</v>
      </c>
      <c r="P86" s="46">
        <f>CAR_19!H31</f>
        <v>0</v>
      </c>
      <c r="Q86" s="43">
        <f t="shared" si="18"/>
        <v>5000</v>
      </c>
      <c r="R86" s="35">
        <f>CAR_19!U32</f>
        <v>0</v>
      </c>
      <c r="S86" s="35">
        <f>CAR_19!AE32</f>
        <v>0</v>
      </c>
      <c r="T86" s="36">
        <f>CAR_19!AE32</f>
        <v>0</v>
      </c>
      <c r="V86" s="38" t="s">
        <v>37</v>
      </c>
      <c r="W86" s="46">
        <f>CAR_20!H31</f>
        <v>0</v>
      </c>
      <c r="X86" s="43">
        <f t="shared" si="19"/>
        <v>5000</v>
      </c>
      <c r="Y86" s="35">
        <f>CAR_20!U32</f>
        <v>0</v>
      </c>
      <c r="Z86" s="35">
        <f>CAR_20!AE32</f>
        <v>0</v>
      </c>
      <c r="AA86" s="36">
        <f>CAR_20!AE32</f>
        <v>0</v>
      </c>
    </row>
    <row r="87" spans="1:27" x14ac:dyDescent="0.25">
      <c r="A87" s="38" t="s">
        <v>38</v>
      </c>
      <c r="B87" s="46">
        <f>CAR_17!H35</f>
        <v>0</v>
      </c>
      <c r="C87" s="43">
        <f t="shared" si="16"/>
        <v>5000</v>
      </c>
      <c r="D87" s="35">
        <f>CAR_17!U36</f>
        <v>0</v>
      </c>
      <c r="E87" s="35">
        <f>CAR_17!AE36</f>
        <v>0</v>
      </c>
      <c r="F87" s="36">
        <f>CAR_17!AN36</f>
        <v>0</v>
      </c>
      <c r="H87" s="38" t="s">
        <v>38</v>
      </c>
      <c r="I87" s="46">
        <f>CAR_18!H35</f>
        <v>0</v>
      </c>
      <c r="J87" s="43">
        <f t="shared" si="17"/>
        <v>5000</v>
      </c>
      <c r="K87" s="35">
        <f>CAR_18!U36</f>
        <v>0</v>
      </c>
      <c r="L87" s="35">
        <f>CAR_18!AE36</f>
        <v>0</v>
      </c>
      <c r="M87" s="36">
        <f>CAR_18!AE36</f>
        <v>0</v>
      </c>
      <c r="O87" s="38" t="s">
        <v>38</v>
      </c>
      <c r="P87" s="46">
        <f>CAR_19!H35</f>
        <v>0</v>
      </c>
      <c r="Q87" s="43">
        <f t="shared" si="18"/>
        <v>5000</v>
      </c>
      <c r="R87" s="35">
        <f>CAR_19!U36</f>
        <v>0</v>
      </c>
      <c r="S87" s="35">
        <f>CAR_19!AE36</f>
        <v>0</v>
      </c>
      <c r="T87" s="36">
        <f>CAR_19!AE36</f>
        <v>0</v>
      </c>
      <c r="V87" s="38" t="s">
        <v>38</v>
      </c>
      <c r="W87" s="46">
        <f>CAR_20!H35</f>
        <v>0</v>
      </c>
      <c r="X87" s="43">
        <f t="shared" si="19"/>
        <v>5000</v>
      </c>
      <c r="Y87" s="35">
        <f>CAR_20!U36</f>
        <v>0</v>
      </c>
      <c r="Z87" s="35">
        <f>CAR_20!AE36</f>
        <v>0</v>
      </c>
      <c r="AA87" s="36">
        <f>CAR_20!AE36</f>
        <v>0</v>
      </c>
    </row>
    <row r="88" spans="1:27" x14ac:dyDescent="0.25">
      <c r="A88" s="38" t="s">
        <v>39</v>
      </c>
      <c r="B88" s="46">
        <f>CAR_17!H39</f>
        <v>0</v>
      </c>
      <c r="C88" s="43">
        <f t="shared" si="16"/>
        <v>5000</v>
      </c>
      <c r="D88" s="35">
        <f>CAR_17!U40</f>
        <v>0</v>
      </c>
      <c r="E88" s="35">
        <f>CAR_17!AE40</f>
        <v>0</v>
      </c>
      <c r="F88" s="36">
        <f>CAR_17!AN40</f>
        <v>0</v>
      </c>
      <c r="H88" s="38" t="s">
        <v>39</v>
      </c>
      <c r="I88" s="46">
        <f>CAR_18!H39</f>
        <v>0</v>
      </c>
      <c r="J88" s="43">
        <f t="shared" si="17"/>
        <v>5000</v>
      </c>
      <c r="K88" s="35">
        <f>CAR_18!U40</f>
        <v>0</v>
      </c>
      <c r="L88" s="35">
        <f>CAR_18!AE40</f>
        <v>0</v>
      </c>
      <c r="M88" s="36">
        <f>CAR_18!AE40</f>
        <v>0</v>
      </c>
      <c r="O88" s="38" t="s">
        <v>39</v>
      </c>
      <c r="P88" s="46">
        <f>CAR_19!H39</f>
        <v>0</v>
      </c>
      <c r="Q88" s="43">
        <f t="shared" si="18"/>
        <v>5000</v>
      </c>
      <c r="R88" s="35">
        <f>CAR_19!U40</f>
        <v>0</v>
      </c>
      <c r="S88" s="35">
        <f>CAR_19!AE40</f>
        <v>0</v>
      </c>
      <c r="T88" s="36">
        <f>CAR_19!AE40</f>
        <v>0</v>
      </c>
      <c r="V88" s="38" t="s">
        <v>39</v>
      </c>
      <c r="W88" s="46">
        <f>CAR_20!H39</f>
        <v>0</v>
      </c>
      <c r="X88" s="43">
        <f t="shared" si="19"/>
        <v>5000</v>
      </c>
      <c r="Y88" s="35">
        <f>CAR_20!U40</f>
        <v>0</v>
      </c>
      <c r="Z88" s="35">
        <f>CAR_20!AE40</f>
        <v>0</v>
      </c>
      <c r="AA88" s="36">
        <f>CAR_20!AE40</f>
        <v>0</v>
      </c>
    </row>
    <row r="89" spans="1:27" x14ac:dyDescent="0.25">
      <c r="A89" s="38" t="s">
        <v>40</v>
      </c>
      <c r="B89" s="46">
        <f>CAR_17!H43</f>
        <v>0</v>
      </c>
      <c r="C89" s="43">
        <f t="shared" si="16"/>
        <v>5000</v>
      </c>
      <c r="D89" s="35">
        <f>CAR_17!U44</f>
        <v>0</v>
      </c>
      <c r="E89" s="35">
        <f>CAR_17!AE44</f>
        <v>0</v>
      </c>
      <c r="F89" s="36">
        <f>CAR_17!AN44</f>
        <v>0</v>
      </c>
      <c r="H89" s="38" t="s">
        <v>40</v>
      </c>
      <c r="I89" s="46">
        <f>CAR_18!H43</f>
        <v>0</v>
      </c>
      <c r="J89" s="43">
        <f t="shared" si="17"/>
        <v>5000</v>
      </c>
      <c r="K89" s="35">
        <f>CAR_18!U44</f>
        <v>0</v>
      </c>
      <c r="L89" s="35">
        <f>CAR_18!AE44</f>
        <v>0</v>
      </c>
      <c r="M89" s="36">
        <f>CAR_18!AE44</f>
        <v>0</v>
      </c>
      <c r="O89" s="38" t="s">
        <v>40</v>
      </c>
      <c r="P89" s="46">
        <f>CAR_19!H43</f>
        <v>0</v>
      </c>
      <c r="Q89" s="43">
        <f t="shared" si="18"/>
        <v>5000</v>
      </c>
      <c r="R89" s="35">
        <f>CAR_19!U44</f>
        <v>0</v>
      </c>
      <c r="S89" s="35">
        <f>CAR_19!AE44</f>
        <v>0</v>
      </c>
      <c r="T89" s="36">
        <f>CAR_19!AE44</f>
        <v>0</v>
      </c>
      <c r="V89" s="38" t="s">
        <v>40</v>
      </c>
      <c r="W89" s="46">
        <f>CAR_20!H43</f>
        <v>0</v>
      </c>
      <c r="X89" s="43">
        <f t="shared" si="19"/>
        <v>5000</v>
      </c>
      <c r="Y89" s="35">
        <f>CAR_20!U44</f>
        <v>0</v>
      </c>
      <c r="Z89" s="35">
        <f>CAR_20!AE44</f>
        <v>0</v>
      </c>
      <c r="AA89" s="36">
        <f>CAR_20!AE44</f>
        <v>0</v>
      </c>
    </row>
    <row r="90" spans="1:27" x14ac:dyDescent="0.25">
      <c r="A90" s="38" t="s">
        <v>41</v>
      </c>
      <c r="B90" s="46">
        <f>CAR_17!H47</f>
        <v>0</v>
      </c>
      <c r="C90" s="43">
        <f t="shared" si="16"/>
        <v>5000</v>
      </c>
      <c r="D90" s="35">
        <f>CAR_17!U48</f>
        <v>0</v>
      </c>
      <c r="E90" s="35">
        <f>CAR_17!AE48</f>
        <v>0</v>
      </c>
      <c r="F90" s="36">
        <f>CAR_17!AN48</f>
        <v>0</v>
      </c>
      <c r="H90" s="38" t="s">
        <v>41</v>
      </c>
      <c r="I90" s="46">
        <f>CAR_18!H47</f>
        <v>0</v>
      </c>
      <c r="J90" s="43">
        <f t="shared" si="17"/>
        <v>5000</v>
      </c>
      <c r="K90" s="35">
        <f>CAR_18!U48</f>
        <v>0</v>
      </c>
      <c r="L90" s="35">
        <f>CAR_18!AE48</f>
        <v>0</v>
      </c>
      <c r="M90" s="36">
        <f>CAR_18!AE48</f>
        <v>0</v>
      </c>
      <c r="O90" s="38" t="s">
        <v>41</v>
      </c>
      <c r="P90" s="46">
        <f>CAR_19!H47</f>
        <v>0</v>
      </c>
      <c r="Q90" s="43">
        <f t="shared" si="18"/>
        <v>5000</v>
      </c>
      <c r="R90" s="35">
        <f>CAR_19!U48</f>
        <v>0</v>
      </c>
      <c r="S90" s="35">
        <f>CAR_19!AE48</f>
        <v>0</v>
      </c>
      <c r="T90" s="36">
        <f>CAR_19!AE48</f>
        <v>0</v>
      </c>
      <c r="V90" s="38" t="s">
        <v>41</v>
      </c>
      <c r="W90" s="46">
        <f>CAR_20!H47</f>
        <v>0</v>
      </c>
      <c r="X90" s="43">
        <f t="shared" si="19"/>
        <v>5000</v>
      </c>
      <c r="Y90" s="35">
        <f>CAR_20!U48</f>
        <v>0</v>
      </c>
      <c r="Z90" s="35">
        <f>CAR_20!AE48</f>
        <v>0</v>
      </c>
      <c r="AA90" s="36">
        <f>CAR_20!AE48</f>
        <v>0</v>
      </c>
    </row>
    <row r="91" spans="1:27" ht="15.75" thickBot="1" x14ac:dyDescent="0.3">
      <c r="A91" s="39" t="s">
        <v>42</v>
      </c>
      <c r="B91" s="47">
        <f>CAR_17!H51</f>
        <v>0</v>
      </c>
      <c r="C91" s="44">
        <f t="shared" si="16"/>
        <v>5000</v>
      </c>
      <c r="D91" s="11">
        <f>CAR_17!U52</f>
        <v>0</v>
      </c>
      <c r="E91" s="11">
        <f>CAR_17!AE52</f>
        <v>0</v>
      </c>
      <c r="F91" s="12">
        <f>CAR_17!AN52</f>
        <v>0</v>
      </c>
      <c r="H91" s="39" t="s">
        <v>42</v>
      </c>
      <c r="I91" s="47">
        <f>CAR_18!H51</f>
        <v>0</v>
      </c>
      <c r="J91" s="44">
        <f t="shared" si="17"/>
        <v>5000</v>
      </c>
      <c r="K91" s="11">
        <f>CAR_18!U52</f>
        <v>0</v>
      </c>
      <c r="L91" s="11">
        <f>CAR_18!AE52</f>
        <v>0</v>
      </c>
      <c r="M91" s="12">
        <f>CAR_18!AE52</f>
        <v>0</v>
      </c>
      <c r="O91" s="39" t="s">
        <v>42</v>
      </c>
      <c r="P91" s="47">
        <f>CAR_19!H51</f>
        <v>0</v>
      </c>
      <c r="Q91" s="44">
        <f t="shared" si="18"/>
        <v>5000</v>
      </c>
      <c r="R91" s="11">
        <f>CAR_19!U52</f>
        <v>0</v>
      </c>
      <c r="S91" s="11">
        <f>CAR_19!AE52</f>
        <v>0</v>
      </c>
      <c r="T91" s="12">
        <f>CAR_19!AE52</f>
        <v>0</v>
      </c>
      <c r="V91" s="39" t="s">
        <v>42</v>
      </c>
      <c r="W91" s="47">
        <f>CAR_20!H51</f>
        <v>0</v>
      </c>
      <c r="X91" s="44">
        <f t="shared" si="19"/>
        <v>5000</v>
      </c>
      <c r="Y91" s="11">
        <f>CAR_20!U52</f>
        <v>0</v>
      </c>
      <c r="Z91" s="11">
        <f>CAR_20!AE52</f>
        <v>0</v>
      </c>
      <c r="AA91" s="12">
        <f>CAR_20!AE52</f>
        <v>0</v>
      </c>
    </row>
    <row r="92" spans="1:27" ht="15.75" thickBot="1" x14ac:dyDescent="0.3"/>
    <row r="93" spans="1:27" ht="15.75" thickBot="1" x14ac:dyDescent="0.3">
      <c r="A93" s="3" t="s">
        <v>23</v>
      </c>
      <c r="B93" s="52">
        <f>SUM(B80:B91)</f>
        <v>0</v>
      </c>
      <c r="C93" s="51"/>
      <c r="D93" s="50">
        <f>SUM(D80:D91)</f>
        <v>0</v>
      </c>
      <c r="E93" s="49">
        <f>SUM(E80:E91)</f>
        <v>0</v>
      </c>
      <c r="F93" s="48">
        <f>SUM(F80:F91)</f>
        <v>0</v>
      </c>
      <c r="H93" s="3" t="s">
        <v>23</v>
      </c>
      <c r="I93" s="52">
        <f>SUM(I80:I91)</f>
        <v>0</v>
      </c>
      <c r="J93" s="51"/>
      <c r="K93" s="50">
        <f>SUM(K80:K91)</f>
        <v>0</v>
      </c>
      <c r="L93" s="49">
        <f>SUM(L80:L91)</f>
        <v>0</v>
      </c>
      <c r="M93" s="48">
        <f>SUM(M80:M91)</f>
        <v>0</v>
      </c>
      <c r="O93" s="3" t="s">
        <v>23</v>
      </c>
      <c r="P93" s="52">
        <f>SUM(P80:P91)</f>
        <v>0</v>
      </c>
      <c r="Q93" s="51"/>
      <c r="R93" s="50">
        <f>SUM(R80:R91)</f>
        <v>0</v>
      </c>
      <c r="S93" s="49">
        <f>SUM(S80:S91)</f>
        <v>0</v>
      </c>
      <c r="T93" s="48">
        <f>SUM(T80:T91)</f>
        <v>0</v>
      </c>
      <c r="V93" s="3" t="s">
        <v>23</v>
      </c>
      <c r="W93" s="52">
        <f>SUM(W80:W91)</f>
        <v>0</v>
      </c>
      <c r="X93" s="51"/>
      <c r="Y93" s="50">
        <f>SUM(Y80:Y91)</f>
        <v>0</v>
      </c>
      <c r="Z93" s="49">
        <f>SUM(Z80:Z91)</f>
        <v>0</v>
      </c>
      <c r="AA93" s="48">
        <f>SUM(AA80:AA91)</f>
        <v>0</v>
      </c>
    </row>
    <row r="94" spans="1:27" ht="15.75" thickBot="1" x14ac:dyDescent="0.3">
      <c r="A94" s="3" t="s">
        <v>44</v>
      </c>
      <c r="B94" s="23">
        <f>SUM(60000-B93)</f>
        <v>60000</v>
      </c>
      <c r="H94" s="3" t="s">
        <v>44</v>
      </c>
      <c r="I94" s="23">
        <f>SUM(60000-I93)</f>
        <v>60000</v>
      </c>
      <c r="O94" s="3" t="s">
        <v>44</v>
      </c>
      <c r="P94" s="23">
        <f>SUM(60000-P93)</f>
        <v>60000</v>
      </c>
      <c r="V94" s="3" t="s">
        <v>44</v>
      </c>
      <c r="W94" s="23">
        <f>SUM(60000-W93)</f>
        <v>60000</v>
      </c>
    </row>
    <row r="96" spans="1:27" ht="15.75" thickBot="1" x14ac:dyDescent="0.3">
      <c r="B96" s="84" t="s">
        <v>65</v>
      </c>
      <c r="C96" s="84"/>
      <c r="D96" s="84"/>
      <c r="E96" s="84"/>
      <c r="F96" s="84"/>
      <c r="I96" s="84" t="s">
        <v>66</v>
      </c>
      <c r="J96" s="84"/>
      <c r="K96" s="84"/>
      <c r="L96" s="84"/>
      <c r="M96" s="84"/>
      <c r="P96" s="84" t="s">
        <v>67</v>
      </c>
      <c r="Q96" s="84"/>
      <c r="R96" s="84"/>
      <c r="S96" s="84"/>
      <c r="T96" s="84"/>
      <c r="W96" s="84" t="s">
        <v>68</v>
      </c>
      <c r="X96" s="84"/>
      <c r="Y96" s="84"/>
      <c r="Z96" s="84"/>
      <c r="AA96" s="84"/>
    </row>
    <row r="97" spans="1:27" ht="15.75" thickBot="1" x14ac:dyDescent="0.3">
      <c r="B97" s="22" t="s">
        <v>43</v>
      </c>
      <c r="C97" s="33" t="s">
        <v>30</v>
      </c>
      <c r="D97" s="23" t="s">
        <v>26</v>
      </c>
      <c r="E97" s="23" t="s">
        <v>25</v>
      </c>
      <c r="F97" s="25" t="s">
        <v>27</v>
      </c>
      <c r="I97" s="22" t="s">
        <v>43</v>
      </c>
      <c r="J97" s="33" t="s">
        <v>30</v>
      </c>
      <c r="K97" s="23" t="s">
        <v>26</v>
      </c>
      <c r="L97" s="23" t="s">
        <v>25</v>
      </c>
      <c r="M97" s="25" t="s">
        <v>27</v>
      </c>
      <c r="P97" s="22" t="s">
        <v>43</v>
      </c>
      <c r="Q97" s="33" t="s">
        <v>30</v>
      </c>
      <c r="R97" s="23" t="s">
        <v>26</v>
      </c>
      <c r="S97" s="23" t="s">
        <v>25</v>
      </c>
      <c r="T97" s="25" t="s">
        <v>27</v>
      </c>
      <c r="W97" s="22" t="s">
        <v>43</v>
      </c>
      <c r="X97" s="33" t="s">
        <v>30</v>
      </c>
      <c r="Y97" s="23" t="s">
        <v>26</v>
      </c>
      <c r="Z97" s="23" t="s">
        <v>25</v>
      </c>
      <c r="AA97" s="25" t="s">
        <v>27</v>
      </c>
    </row>
    <row r="98" spans="1:27" x14ac:dyDescent="0.25">
      <c r="A98" s="37" t="s">
        <v>31</v>
      </c>
      <c r="B98" s="58"/>
      <c r="C98" s="59"/>
      <c r="D98" s="60"/>
      <c r="E98" s="60"/>
      <c r="F98" s="61"/>
      <c r="H98" s="37" t="s">
        <v>31</v>
      </c>
      <c r="I98" s="58"/>
      <c r="J98" s="59"/>
      <c r="K98" s="60"/>
      <c r="L98" s="60"/>
      <c r="M98" s="61"/>
      <c r="O98" s="37" t="s">
        <v>31</v>
      </c>
      <c r="P98" s="58"/>
      <c r="Q98" s="59"/>
      <c r="R98" s="60"/>
      <c r="S98" s="60"/>
      <c r="T98" s="61"/>
      <c r="V98" s="37" t="s">
        <v>31</v>
      </c>
      <c r="W98" s="58"/>
      <c r="X98" s="59"/>
      <c r="Y98" s="60"/>
      <c r="Z98" s="60"/>
      <c r="AA98" s="61"/>
    </row>
    <row r="99" spans="1:27" x14ac:dyDescent="0.25">
      <c r="A99" s="38" t="s">
        <v>32</v>
      </c>
      <c r="B99" s="46">
        <f>CAR_21!H11</f>
        <v>0</v>
      </c>
      <c r="C99" s="43">
        <f>SUM(5000-B99)</f>
        <v>5000</v>
      </c>
      <c r="D99" s="35">
        <f>CAR_21!U12</f>
        <v>0</v>
      </c>
      <c r="E99" s="35">
        <f>CAR_21!AE12</f>
        <v>0</v>
      </c>
      <c r="F99" s="36">
        <f>CAR_21!AN12</f>
        <v>0</v>
      </c>
      <c r="H99" s="38" t="s">
        <v>32</v>
      </c>
      <c r="I99" s="46">
        <f>CAR_22!H11</f>
        <v>0</v>
      </c>
      <c r="J99" s="43">
        <f>SUM(5000-I99)</f>
        <v>5000</v>
      </c>
      <c r="K99" s="35">
        <f>CAR_22!U12</f>
        <v>0</v>
      </c>
      <c r="L99" s="35">
        <f>CAR_22!AE12</f>
        <v>0</v>
      </c>
      <c r="M99" s="36">
        <f>CAR_22!AN12</f>
        <v>0</v>
      </c>
      <c r="O99" s="38" t="s">
        <v>32</v>
      </c>
      <c r="P99" s="46">
        <f>CAR_23!H11</f>
        <v>0</v>
      </c>
      <c r="Q99" s="43">
        <f>SUM(5000-P99)</f>
        <v>5000</v>
      </c>
      <c r="R99" s="35">
        <f>CAR_23!U12</f>
        <v>0</v>
      </c>
      <c r="S99" s="35">
        <f>CAR_23!AE12</f>
        <v>0</v>
      </c>
      <c r="T99" s="36">
        <f>CAR_23!AN12</f>
        <v>0</v>
      </c>
      <c r="V99" s="38" t="s">
        <v>32</v>
      </c>
      <c r="W99" s="46">
        <f>CAR_24!H11</f>
        <v>0</v>
      </c>
      <c r="X99" s="43">
        <f>SUM(5000-W99)</f>
        <v>5000</v>
      </c>
      <c r="Y99" s="35">
        <f>CAR_24!U12</f>
        <v>0</v>
      </c>
      <c r="Z99" s="35">
        <f>CAR_24!AE12</f>
        <v>0</v>
      </c>
      <c r="AA99" s="36">
        <f>CAR_24!AN12</f>
        <v>0</v>
      </c>
    </row>
    <row r="100" spans="1:27" x14ac:dyDescent="0.25">
      <c r="A100" s="38" t="s">
        <v>33</v>
      </c>
      <c r="B100" s="46">
        <f>CAR_21!H15</f>
        <v>0</v>
      </c>
      <c r="C100" s="43">
        <f t="shared" ref="C100:C109" si="20">SUM(5000-B100)</f>
        <v>5000</v>
      </c>
      <c r="D100" s="35">
        <f>CAR_21!U16</f>
        <v>0</v>
      </c>
      <c r="E100" s="35">
        <f>CAR_21!AE16</f>
        <v>0</v>
      </c>
      <c r="F100" s="36">
        <f>CAR_21!AN16</f>
        <v>0</v>
      </c>
      <c r="H100" s="38" t="s">
        <v>33</v>
      </c>
      <c r="I100" s="46">
        <f>CAR_22!H15</f>
        <v>0</v>
      </c>
      <c r="J100" s="43">
        <f t="shared" ref="J100:J109" si="21">SUM(5000-I100)</f>
        <v>5000</v>
      </c>
      <c r="K100" s="35">
        <f>CAR_22!U16</f>
        <v>0</v>
      </c>
      <c r="L100" s="35">
        <f>CAR_22!AE16</f>
        <v>0</v>
      </c>
      <c r="M100" s="36">
        <f>CAR_22!AN16</f>
        <v>0</v>
      </c>
      <c r="O100" s="38" t="s">
        <v>33</v>
      </c>
      <c r="P100" s="46">
        <f>CAR_23!H19</f>
        <v>0</v>
      </c>
      <c r="Q100" s="43">
        <f t="shared" ref="Q100:Q109" si="22">SUM(5000-P100)</f>
        <v>5000</v>
      </c>
      <c r="R100" s="35">
        <f>CAR_23!U16</f>
        <v>0</v>
      </c>
      <c r="S100" s="35">
        <f>CAR_23!AE16</f>
        <v>0</v>
      </c>
      <c r="T100" s="36">
        <f>CAR_23!AN16</f>
        <v>0</v>
      </c>
      <c r="V100" s="38" t="s">
        <v>33</v>
      </c>
      <c r="W100" s="46">
        <f>CAR_24!H15</f>
        <v>0</v>
      </c>
      <c r="X100" s="43">
        <f t="shared" ref="X100:X109" si="23">SUM(5000-W100)</f>
        <v>5000</v>
      </c>
      <c r="Y100" s="35">
        <f>CAR_24!U16</f>
        <v>0</v>
      </c>
      <c r="Z100" s="35">
        <f>CAR_24!AE16</f>
        <v>0</v>
      </c>
      <c r="AA100" s="36">
        <f>CAR_24!AN16</f>
        <v>0</v>
      </c>
    </row>
    <row r="101" spans="1:27" x14ac:dyDescent="0.25">
      <c r="A101" s="38" t="s">
        <v>34</v>
      </c>
      <c r="B101" s="46">
        <f>CAR_21!H19</f>
        <v>0</v>
      </c>
      <c r="C101" s="43">
        <f t="shared" si="20"/>
        <v>5000</v>
      </c>
      <c r="D101" s="35">
        <f>CAR_21!U20</f>
        <v>0</v>
      </c>
      <c r="E101" s="35">
        <f>CAR_21!AE20</f>
        <v>0</v>
      </c>
      <c r="F101" s="36">
        <f>CAR_21!AN220</f>
        <v>0</v>
      </c>
      <c r="H101" s="38" t="s">
        <v>34</v>
      </c>
      <c r="I101" s="46">
        <f>CAR_22!H19</f>
        <v>0</v>
      </c>
      <c r="J101" s="43">
        <f t="shared" si="21"/>
        <v>5000</v>
      </c>
      <c r="K101" s="35">
        <f>CAR_22!U20</f>
        <v>0</v>
      </c>
      <c r="L101" s="35">
        <f>CAR_22!AE20</f>
        <v>0</v>
      </c>
      <c r="M101" s="36">
        <f>CAR_22!AN20</f>
        <v>0</v>
      </c>
      <c r="O101" s="38" t="s">
        <v>34</v>
      </c>
      <c r="P101" s="46">
        <f>CAR_23!H19</f>
        <v>0</v>
      </c>
      <c r="Q101" s="43">
        <f t="shared" si="22"/>
        <v>5000</v>
      </c>
      <c r="R101" s="35">
        <f>CAR_23!U20</f>
        <v>0</v>
      </c>
      <c r="S101" s="35">
        <f>CAR_23!AE20</f>
        <v>0</v>
      </c>
      <c r="T101" s="36">
        <f>CAR_23!AN20</f>
        <v>0</v>
      </c>
      <c r="V101" s="38" t="s">
        <v>34</v>
      </c>
      <c r="W101" s="46">
        <f>CAR_24!H19</f>
        <v>0</v>
      </c>
      <c r="X101" s="43">
        <f t="shared" si="23"/>
        <v>5000</v>
      </c>
      <c r="Y101" s="35">
        <f>CAR_24!U20</f>
        <v>0</v>
      </c>
      <c r="Z101" s="35">
        <f>CAR_24!AE20</f>
        <v>0</v>
      </c>
      <c r="AA101" s="36">
        <f>CAR_24!AN20</f>
        <v>0</v>
      </c>
    </row>
    <row r="102" spans="1:27" x14ac:dyDescent="0.25">
      <c r="A102" s="38" t="s">
        <v>35</v>
      </c>
      <c r="B102" s="46">
        <f>CAR_21!H23</f>
        <v>0</v>
      </c>
      <c r="C102" s="43">
        <f t="shared" si="20"/>
        <v>5000</v>
      </c>
      <c r="D102" s="35">
        <f>CAR_21!U24</f>
        <v>0</v>
      </c>
      <c r="E102" s="35">
        <f>CAR_21!AE24</f>
        <v>0</v>
      </c>
      <c r="F102" s="36">
        <f>CAR_21!AN24</f>
        <v>0</v>
      </c>
      <c r="H102" s="38" t="s">
        <v>35</v>
      </c>
      <c r="I102" s="46">
        <f>CAR_22!H23</f>
        <v>0</v>
      </c>
      <c r="J102" s="43">
        <f t="shared" si="21"/>
        <v>5000</v>
      </c>
      <c r="K102" s="35">
        <f>CAR_22!U24</f>
        <v>0</v>
      </c>
      <c r="L102" s="35">
        <f>CAR_22!AE24</f>
        <v>0</v>
      </c>
      <c r="M102" s="36">
        <f>CAR_22!AN24</f>
        <v>0</v>
      </c>
      <c r="O102" s="38" t="s">
        <v>35</v>
      </c>
      <c r="P102" s="46">
        <f>CAR_23!H23</f>
        <v>0</v>
      </c>
      <c r="Q102" s="43">
        <f t="shared" si="22"/>
        <v>5000</v>
      </c>
      <c r="R102" s="35">
        <f>CAR_23!U24</f>
        <v>0</v>
      </c>
      <c r="S102" s="35">
        <f>CAR_23!AE24</f>
        <v>0</v>
      </c>
      <c r="T102" s="36">
        <f>CAR_23!AN24</f>
        <v>0</v>
      </c>
      <c r="V102" s="38" t="s">
        <v>35</v>
      </c>
      <c r="W102" s="46">
        <f>CAR_24!H23</f>
        <v>0</v>
      </c>
      <c r="X102" s="43">
        <f t="shared" si="23"/>
        <v>5000</v>
      </c>
      <c r="Y102" s="35">
        <f>CAR_24!U24</f>
        <v>0</v>
      </c>
      <c r="Z102" s="35">
        <f>CAR_24!AE24</f>
        <v>0</v>
      </c>
      <c r="AA102" s="36">
        <f>CAR_24!AN24</f>
        <v>0</v>
      </c>
    </row>
    <row r="103" spans="1:27" x14ac:dyDescent="0.25">
      <c r="A103" s="38" t="s">
        <v>36</v>
      </c>
      <c r="B103" s="46">
        <f>CAR_21!H27</f>
        <v>0</v>
      </c>
      <c r="C103" s="43">
        <f t="shared" si="20"/>
        <v>5000</v>
      </c>
      <c r="D103" s="35">
        <f>CAR_21!U28</f>
        <v>0</v>
      </c>
      <c r="E103" s="35">
        <f>CAR_21!AE28</f>
        <v>0</v>
      </c>
      <c r="F103" s="36">
        <f>CAR_21!AN28</f>
        <v>0</v>
      </c>
      <c r="H103" s="38" t="s">
        <v>36</v>
      </c>
      <c r="I103" s="46">
        <f>CAR_22!H27</f>
        <v>0</v>
      </c>
      <c r="J103" s="43">
        <f t="shared" si="21"/>
        <v>5000</v>
      </c>
      <c r="K103" s="35">
        <f>CAR_22!U28</f>
        <v>0</v>
      </c>
      <c r="L103" s="35">
        <f>CAR_22!AE28</f>
        <v>0</v>
      </c>
      <c r="M103" s="36">
        <f>CAR_22!AN28</f>
        <v>0</v>
      </c>
      <c r="O103" s="38" t="s">
        <v>36</v>
      </c>
      <c r="P103" s="46">
        <f>CAR_23!H27</f>
        <v>0</v>
      </c>
      <c r="Q103" s="43">
        <f t="shared" si="22"/>
        <v>5000</v>
      </c>
      <c r="R103" s="35">
        <f>CAR_23!U28</f>
        <v>0</v>
      </c>
      <c r="S103" s="35">
        <f>CAR_23!AE28</f>
        <v>0</v>
      </c>
      <c r="T103" s="36">
        <f>CAR_23!AN28</f>
        <v>0</v>
      </c>
      <c r="V103" s="38" t="s">
        <v>36</v>
      </c>
      <c r="W103" s="46">
        <f>CAR_24!H27</f>
        <v>0</v>
      </c>
      <c r="X103" s="43">
        <f t="shared" si="23"/>
        <v>5000</v>
      </c>
      <c r="Y103" s="35">
        <f>CAR_24!U28</f>
        <v>0</v>
      </c>
      <c r="Z103" s="35">
        <f>CAR_24!AE28</f>
        <v>0</v>
      </c>
      <c r="AA103" s="36">
        <f>CAR_24!AN28</f>
        <v>0</v>
      </c>
    </row>
    <row r="104" spans="1:27" x14ac:dyDescent="0.25">
      <c r="A104" s="38" t="s">
        <v>37</v>
      </c>
      <c r="B104" s="46">
        <f>CAR_21!H31</f>
        <v>0</v>
      </c>
      <c r="C104" s="43">
        <f t="shared" si="20"/>
        <v>5000</v>
      </c>
      <c r="D104" s="35">
        <f>CAR_21!U32</f>
        <v>0</v>
      </c>
      <c r="E104" s="35">
        <f>CAR_21!AE32</f>
        <v>0</v>
      </c>
      <c r="F104" s="36">
        <f>CAR_21!AN32</f>
        <v>0</v>
      </c>
      <c r="H104" s="38" t="s">
        <v>37</v>
      </c>
      <c r="I104" s="46">
        <f>CAR_22!H31</f>
        <v>0</v>
      </c>
      <c r="J104" s="43">
        <f t="shared" si="21"/>
        <v>5000</v>
      </c>
      <c r="K104" s="35">
        <f>CAR_22!U32</f>
        <v>0</v>
      </c>
      <c r="L104" s="35">
        <f>CAR_22!AE32</f>
        <v>0</v>
      </c>
      <c r="M104" s="36">
        <f>CAR_22!AN32</f>
        <v>0</v>
      </c>
      <c r="O104" s="38" t="s">
        <v>37</v>
      </c>
      <c r="P104" s="46">
        <f>CAR_23!H27</f>
        <v>0</v>
      </c>
      <c r="Q104" s="43">
        <f t="shared" si="22"/>
        <v>5000</v>
      </c>
      <c r="R104" s="35">
        <f>CAR_23!U32</f>
        <v>0</v>
      </c>
      <c r="S104" s="35">
        <f>CAR_23!AE32</f>
        <v>0</v>
      </c>
      <c r="T104" s="36">
        <f>CAR_23!AN32</f>
        <v>0</v>
      </c>
      <c r="V104" s="38" t="s">
        <v>37</v>
      </c>
      <c r="W104" s="46">
        <f>CAR_24!H31</f>
        <v>0</v>
      </c>
      <c r="X104" s="43">
        <f t="shared" si="23"/>
        <v>5000</v>
      </c>
      <c r="Y104" s="35">
        <f>CAR_24!U32</f>
        <v>0</v>
      </c>
      <c r="Z104" s="35">
        <f>CAR_24!AE32</f>
        <v>0</v>
      </c>
      <c r="AA104" s="36">
        <f>CAR_24!AN32</f>
        <v>0</v>
      </c>
    </row>
    <row r="105" spans="1:27" x14ac:dyDescent="0.25">
      <c r="A105" s="38" t="s">
        <v>38</v>
      </c>
      <c r="B105" s="46">
        <f>CAR_21!H35</f>
        <v>0</v>
      </c>
      <c r="C105" s="43">
        <f t="shared" si="20"/>
        <v>5000</v>
      </c>
      <c r="D105" s="35">
        <f>CAR_21!U36</f>
        <v>0</v>
      </c>
      <c r="E105" s="35">
        <f>CAR_21!AE36</f>
        <v>0</v>
      </c>
      <c r="F105" s="36">
        <f>CAR_21!AN36</f>
        <v>0</v>
      </c>
      <c r="H105" s="38" t="s">
        <v>38</v>
      </c>
      <c r="I105" s="46">
        <f>CAR_22!H35</f>
        <v>0</v>
      </c>
      <c r="J105" s="43">
        <f t="shared" si="21"/>
        <v>5000</v>
      </c>
      <c r="K105" s="35">
        <f>CAR_22!U36</f>
        <v>0</v>
      </c>
      <c r="L105" s="35">
        <f>CAR_22!AE36</f>
        <v>0</v>
      </c>
      <c r="M105" s="36">
        <f>CAR_22!AN36</f>
        <v>0</v>
      </c>
      <c r="O105" s="38" t="s">
        <v>38</v>
      </c>
      <c r="P105" s="46">
        <f>CAR_23!H35</f>
        <v>0</v>
      </c>
      <c r="Q105" s="43">
        <f t="shared" si="22"/>
        <v>5000</v>
      </c>
      <c r="R105" s="35">
        <f>CAR_23!U36</f>
        <v>0</v>
      </c>
      <c r="S105" s="35">
        <f>CAR_23!AE36</f>
        <v>0</v>
      </c>
      <c r="T105" s="36">
        <f>CAR_23!AN36</f>
        <v>0</v>
      </c>
      <c r="V105" s="38" t="s">
        <v>38</v>
      </c>
      <c r="W105" s="46">
        <f>CAR_24!H35</f>
        <v>0</v>
      </c>
      <c r="X105" s="43">
        <f t="shared" si="23"/>
        <v>5000</v>
      </c>
      <c r="Y105" s="35">
        <f>CAR_24!U36</f>
        <v>0</v>
      </c>
      <c r="Z105" s="35">
        <f>CAR_24!AE36</f>
        <v>0</v>
      </c>
      <c r="AA105" s="36">
        <f>CAR_24!AN36</f>
        <v>0</v>
      </c>
    </row>
    <row r="106" spans="1:27" x14ac:dyDescent="0.25">
      <c r="A106" s="38" t="s">
        <v>39</v>
      </c>
      <c r="B106" s="46">
        <f>CAR_21!H39</f>
        <v>0</v>
      </c>
      <c r="C106" s="43">
        <f t="shared" si="20"/>
        <v>5000</v>
      </c>
      <c r="D106" s="35">
        <f>CAR_21!U40</f>
        <v>0</v>
      </c>
      <c r="E106" s="35">
        <f>CAR_21!AE40</f>
        <v>0</v>
      </c>
      <c r="F106" s="36">
        <f>CAR_21!AN40</f>
        <v>0</v>
      </c>
      <c r="H106" s="38" t="s">
        <v>39</v>
      </c>
      <c r="I106" s="46">
        <f>CAR_22!H39</f>
        <v>0</v>
      </c>
      <c r="J106" s="43">
        <f t="shared" si="21"/>
        <v>5000</v>
      </c>
      <c r="K106" s="35">
        <f>CAR_22!U40</f>
        <v>0</v>
      </c>
      <c r="L106" s="35">
        <f>CAR_22!AE40</f>
        <v>0</v>
      </c>
      <c r="M106" s="36">
        <f>CAR_22!AN40</f>
        <v>0</v>
      </c>
      <c r="O106" s="38" t="s">
        <v>39</v>
      </c>
      <c r="P106" s="46">
        <f>CAR_23!H39</f>
        <v>0</v>
      </c>
      <c r="Q106" s="43">
        <f t="shared" si="22"/>
        <v>5000</v>
      </c>
      <c r="R106" s="35">
        <f>CAR_23!U40</f>
        <v>0</v>
      </c>
      <c r="S106" s="35">
        <f>CAR_23!AE40</f>
        <v>0</v>
      </c>
      <c r="T106" s="36">
        <f>CAR_23!AN40</f>
        <v>0</v>
      </c>
      <c r="V106" s="38" t="s">
        <v>39</v>
      </c>
      <c r="W106" s="46">
        <f>CAR_24!H39</f>
        <v>0</v>
      </c>
      <c r="X106" s="43">
        <f t="shared" si="23"/>
        <v>5000</v>
      </c>
      <c r="Y106" s="35">
        <f>CAR_24!U40</f>
        <v>0</v>
      </c>
      <c r="Z106" s="35">
        <f>CAR_24!AE40</f>
        <v>0</v>
      </c>
      <c r="AA106" s="36">
        <f>CAR_24!AN40</f>
        <v>0</v>
      </c>
    </row>
    <row r="107" spans="1:27" x14ac:dyDescent="0.25">
      <c r="A107" s="38" t="s">
        <v>40</v>
      </c>
      <c r="B107" s="46">
        <f>CAR_21!H43</f>
        <v>0</v>
      </c>
      <c r="C107" s="43">
        <f t="shared" si="20"/>
        <v>5000</v>
      </c>
      <c r="D107" s="35">
        <f>CAR_21!U44</f>
        <v>0</v>
      </c>
      <c r="E107" s="35">
        <f>CAR_21!AE44</f>
        <v>0</v>
      </c>
      <c r="F107" s="36">
        <f>CAR_21!AN44</f>
        <v>0</v>
      </c>
      <c r="H107" s="38" t="s">
        <v>40</v>
      </c>
      <c r="I107" s="46">
        <f>CAR_22!H43</f>
        <v>0</v>
      </c>
      <c r="J107" s="43">
        <f t="shared" si="21"/>
        <v>5000</v>
      </c>
      <c r="K107" s="35">
        <f>CAR_22!U44</f>
        <v>0</v>
      </c>
      <c r="L107" s="35">
        <f>CAR_22!AE44</f>
        <v>0</v>
      </c>
      <c r="M107" s="36">
        <f>CAR_22!AN44</f>
        <v>0</v>
      </c>
      <c r="O107" s="38" t="s">
        <v>40</v>
      </c>
      <c r="P107" s="46">
        <f>CAR_23!H43</f>
        <v>0</v>
      </c>
      <c r="Q107" s="43">
        <f t="shared" si="22"/>
        <v>5000</v>
      </c>
      <c r="R107" s="35">
        <f>CAR_23!U44</f>
        <v>0</v>
      </c>
      <c r="S107" s="35">
        <f>CAR_23!AE44</f>
        <v>0</v>
      </c>
      <c r="T107" s="36">
        <f>CAR_23!AN44</f>
        <v>0</v>
      </c>
      <c r="V107" s="38" t="s">
        <v>40</v>
      </c>
      <c r="W107" s="46">
        <f>CAR_24!H43</f>
        <v>0</v>
      </c>
      <c r="X107" s="43">
        <f t="shared" si="23"/>
        <v>5000</v>
      </c>
      <c r="Y107" s="35">
        <f>CAR_24!U44</f>
        <v>0</v>
      </c>
      <c r="Z107" s="35">
        <f>CAR_24!AE44</f>
        <v>0</v>
      </c>
      <c r="AA107" s="36">
        <f>CAR_24!AN44</f>
        <v>0</v>
      </c>
    </row>
    <row r="108" spans="1:27" x14ac:dyDescent="0.25">
      <c r="A108" s="38" t="s">
        <v>41</v>
      </c>
      <c r="B108" s="46">
        <f>CAR_21!H47</f>
        <v>0</v>
      </c>
      <c r="C108" s="43">
        <f t="shared" si="20"/>
        <v>5000</v>
      </c>
      <c r="D108" s="35">
        <f>CAR_21!U48</f>
        <v>0</v>
      </c>
      <c r="E108" s="35">
        <f>CAR_21!AE48</f>
        <v>0</v>
      </c>
      <c r="F108" s="36">
        <f>CAR_21!AN48</f>
        <v>0</v>
      </c>
      <c r="H108" s="38" t="s">
        <v>41</v>
      </c>
      <c r="I108" s="46">
        <f>CAR_22!H47</f>
        <v>0</v>
      </c>
      <c r="J108" s="43">
        <f t="shared" si="21"/>
        <v>5000</v>
      </c>
      <c r="K108" s="35">
        <f>CAR_22!U48</f>
        <v>0</v>
      </c>
      <c r="L108" s="35">
        <f>CAR_22!AE48</f>
        <v>0</v>
      </c>
      <c r="M108" s="36">
        <f>CAR_22!AN48</f>
        <v>0</v>
      </c>
      <c r="O108" s="38" t="s">
        <v>41</v>
      </c>
      <c r="P108" s="46">
        <f>CAR_23!H47</f>
        <v>0</v>
      </c>
      <c r="Q108" s="43">
        <f t="shared" si="22"/>
        <v>5000</v>
      </c>
      <c r="R108" s="35">
        <f>CAR_23!U48</f>
        <v>0</v>
      </c>
      <c r="S108" s="35">
        <f>CAR_23!AE48</f>
        <v>0</v>
      </c>
      <c r="T108" s="36">
        <f>CAR_23!AN48</f>
        <v>0</v>
      </c>
      <c r="V108" s="38" t="s">
        <v>41</v>
      </c>
      <c r="W108" s="46">
        <f>CAR_24!H47</f>
        <v>0</v>
      </c>
      <c r="X108" s="43">
        <f t="shared" si="23"/>
        <v>5000</v>
      </c>
      <c r="Y108" s="35">
        <f>CAR_24!U48</f>
        <v>0</v>
      </c>
      <c r="Z108" s="35">
        <f>CAR_24!AE48</f>
        <v>0</v>
      </c>
      <c r="AA108" s="36">
        <f>CAR_24!AN48</f>
        <v>0</v>
      </c>
    </row>
    <row r="109" spans="1:27" ht="15.75" thickBot="1" x14ac:dyDescent="0.3">
      <c r="A109" s="39" t="s">
        <v>42</v>
      </c>
      <c r="B109" s="47">
        <f>CAR_21!H51</f>
        <v>0</v>
      </c>
      <c r="C109" s="44">
        <f t="shared" si="20"/>
        <v>5000</v>
      </c>
      <c r="D109" s="11">
        <f>CAR_21!U52</f>
        <v>0</v>
      </c>
      <c r="E109" s="11">
        <f>CAR_21!AE52</f>
        <v>0</v>
      </c>
      <c r="F109" s="12">
        <f>CAR_21!AN52</f>
        <v>0</v>
      </c>
      <c r="H109" s="39" t="s">
        <v>42</v>
      </c>
      <c r="I109" s="47">
        <f>CAR_22!H51</f>
        <v>0</v>
      </c>
      <c r="J109" s="44">
        <f t="shared" si="21"/>
        <v>5000</v>
      </c>
      <c r="K109" s="11">
        <f>CAR_22!U52</f>
        <v>0</v>
      </c>
      <c r="L109" s="11">
        <f>CAR_22!AE52</f>
        <v>0</v>
      </c>
      <c r="M109" s="12">
        <f>CAR_22!AN52</f>
        <v>0</v>
      </c>
      <c r="O109" s="39" t="s">
        <v>42</v>
      </c>
      <c r="P109" s="47">
        <f>CAR_23!H51</f>
        <v>0</v>
      </c>
      <c r="Q109" s="44">
        <f t="shared" si="22"/>
        <v>5000</v>
      </c>
      <c r="R109" s="11">
        <f>CAR_23!U52</f>
        <v>0</v>
      </c>
      <c r="S109" s="11">
        <f>CAR_23!AE52</f>
        <v>0</v>
      </c>
      <c r="T109" s="12">
        <f>CAR_23!AN52</f>
        <v>0</v>
      </c>
      <c r="V109" s="39" t="s">
        <v>42</v>
      </c>
      <c r="W109" s="47">
        <f>CAR_24!H51</f>
        <v>0</v>
      </c>
      <c r="X109" s="44">
        <f t="shared" si="23"/>
        <v>5000</v>
      </c>
      <c r="Y109" s="11">
        <f>CAR_24!U52</f>
        <v>0</v>
      </c>
      <c r="Z109" s="11">
        <f>CAR_24!AE52</f>
        <v>0</v>
      </c>
      <c r="AA109" s="12">
        <f>CAR_24!AN52</f>
        <v>0</v>
      </c>
    </row>
    <row r="110" spans="1:27" ht="15.75" thickBot="1" x14ac:dyDescent="0.3"/>
    <row r="111" spans="1:27" ht="15.75" thickBot="1" x14ac:dyDescent="0.3">
      <c r="A111" s="3" t="s">
        <v>23</v>
      </c>
      <c r="B111" s="52">
        <f>SUM(B98:B109)</f>
        <v>0</v>
      </c>
      <c r="C111" s="51"/>
      <c r="D111" s="50">
        <f>SUM(D98:D109)</f>
        <v>0</v>
      </c>
      <c r="E111" s="49">
        <f>SUM(E98:E109)</f>
        <v>0</v>
      </c>
      <c r="F111" s="48">
        <f>SUM(F98:F109)</f>
        <v>0</v>
      </c>
      <c r="H111" s="3" t="s">
        <v>23</v>
      </c>
      <c r="I111" s="52">
        <f>SUM(I98:I109)</f>
        <v>0</v>
      </c>
      <c r="J111" s="51"/>
      <c r="K111" s="50">
        <f>SUM(K98:K109)</f>
        <v>0</v>
      </c>
      <c r="L111" s="49">
        <f>SUM(L98:L109)</f>
        <v>0</v>
      </c>
      <c r="M111" s="48">
        <f>SUM(M98:M109)</f>
        <v>0</v>
      </c>
      <c r="O111" s="3" t="s">
        <v>23</v>
      </c>
      <c r="P111" s="52">
        <f>SUM(P98:P109)</f>
        <v>0</v>
      </c>
      <c r="Q111" s="51"/>
      <c r="R111" s="50">
        <f>SUM(R98:R109)</f>
        <v>0</v>
      </c>
      <c r="S111" s="49">
        <f>SUM(S98:S109)</f>
        <v>0</v>
      </c>
      <c r="T111" s="48">
        <f>SUM(T98:T109)</f>
        <v>0</v>
      </c>
      <c r="V111" s="3" t="s">
        <v>23</v>
      </c>
      <c r="W111" s="52">
        <f>SUM(W98:W109)</f>
        <v>0</v>
      </c>
      <c r="X111" s="51"/>
      <c r="Y111" s="50">
        <f>SUM(Y98:Y109)</f>
        <v>0</v>
      </c>
      <c r="Z111" s="49">
        <f>SUM(Z98:Z109)</f>
        <v>0</v>
      </c>
      <c r="AA111" s="48">
        <f>SUM(AA98:AA109)</f>
        <v>0</v>
      </c>
    </row>
    <row r="112" spans="1:27" ht="15.75" thickBot="1" x14ac:dyDescent="0.3">
      <c r="A112" s="3" t="s">
        <v>44</v>
      </c>
      <c r="B112" s="23">
        <f>SUM(60000-B111)</f>
        <v>60000</v>
      </c>
      <c r="H112" s="3" t="s">
        <v>44</v>
      </c>
      <c r="I112" s="23">
        <f>SUM(60000-I111)</f>
        <v>60000</v>
      </c>
      <c r="O112" s="3" t="s">
        <v>44</v>
      </c>
      <c r="P112" s="23">
        <f>SUM(60000-P111)</f>
        <v>60000</v>
      </c>
      <c r="V112" s="3" t="s">
        <v>44</v>
      </c>
      <c r="W112" s="23">
        <f>SUM(60000-W111)</f>
        <v>60000</v>
      </c>
    </row>
    <row r="114" spans="1:27" ht="15.75" thickBot="1" x14ac:dyDescent="0.3">
      <c r="B114" s="84" t="s">
        <v>51</v>
      </c>
      <c r="C114" s="84"/>
      <c r="D114" s="84"/>
      <c r="E114" s="84"/>
      <c r="F114" s="84"/>
      <c r="I114" s="84" t="s">
        <v>50</v>
      </c>
      <c r="J114" s="84"/>
      <c r="K114" s="84"/>
      <c r="L114" s="84"/>
      <c r="M114" s="84"/>
      <c r="P114" s="84" t="s">
        <v>49</v>
      </c>
      <c r="Q114" s="84"/>
      <c r="R114" s="84"/>
      <c r="S114" s="84"/>
      <c r="T114" s="84"/>
      <c r="W114" s="84" t="s">
        <v>48</v>
      </c>
      <c r="X114" s="84"/>
      <c r="Y114" s="84"/>
      <c r="Z114" s="84"/>
      <c r="AA114" s="84"/>
    </row>
    <row r="115" spans="1:27" ht="15.75" thickBot="1" x14ac:dyDescent="0.3">
      <c r="B115" s="22" t="s">
        <v>43</v>
      </c>
      <c r="C115" s="33" t="s">
        <v>30</v>
      </c>
      <c r="D115" s="23" t="s">
        <v>26</v>
      </c>
      <c r="E115" s="23" t="s">
        <v>25</v>
      </c>
      <c r="F115" s="25" t="s">
        <v>27</v>
      </c>
      <c r="I115" s="22" t="s">
        <v>43</v>
      </c>
      <c r="J115" s="33" t="s">
        <v>30</v>
      </c>
      <c r="K115" s="23" t="s">
        <v>26</v>
      </c>
      <c r="L115" s="23" t="s">
        <v>25</v>
      </c>
      <c r="M115" s="25" t="s">
        <v>27</v>
      </c>
      <c r="P115" s="22" t="s">
        <v>43</v>
      </c>
      <c r="Q115" s="33" t="s">
        <v>30</v>
      </c>
      <c r="R115" s="23" t="s">
        <v>26</v>
      </c>
      <c r="S115" s="23" t="s">
        <v>25</v>
      </c>
      <c r="T115" s="25" t="s">
        <v>27</v>
      </c>
      <c r="W115" s="22" t="s">
        <v>43</v>
      </c>
      <c r="X115" s="33" t="s">
        <v>30</v>
      </c>
      <c r="Y115" s="23" t="s">
        <v>26</v>
      </c>
      <c r="Z115" s="23" t="s">
        <v>25</v>
      </c>
      <c r="AA115" s="25" t="s">
        <v>27</v>
      </c>
    </row>
    <row r="116" spans="1:27" x14ac:dyDescent="0.25">
      <c r="A116" s="37" t="s">
        <v>31</v>
      </c>
      <c r="B116" s="58"/>
      <c r="C116" s="59"/>
      <c r="D116" s="60"/>
      <c r="E116" s="60"/>
      <c r="F116" s="61"/>
      <c r="H116" s="37" t="s">
        <v>31</v>
      </c>
      <c r="I116" s="58"/>
      <c r="J116" s="59"/>
      <c r="K116" s="60"/>
      <c r="L116" s="60"/>
      <c r="M116" s="61"/>
      <c r="O116" s="37" t="s">
        <v>31</v>
      </c>
      <c r="P116" s="58"/>
      <c r="Q116" s="59"/>
      <c r="R116" s="60"/>
      <c r="S116" s="60"/>
      <c r="T116" s="61"/>
      <c r="V116" s="37" t="s">
        <v>31</v>
      </c>
      <c r="W116" s="58"/>
      <c r="X116" s="59"/>
      <c r="Y116" s="60"/>
      <c r="Z116" s="60"/>
      <c r="AA116" s="61"/>
    </row>
    <row r="117" spans="1:27" x14ac:dyDescent="0.25">
      <c r="A117" s="38" t="s">
        <v>32</v>
      </c>
      <c r="B117" s="46">
        <f>CAR_25!H11</f>
        <v>0</v>
      </c>
      <c r="C117" s="43">
        <f>SUM(5000-B117)</f>
        <v>5000</v>
      </c>
      <c r="D117" s="35">
        <f>CAR_25!U12</f>
        <v>0</v>
      </c>
      <c r="E117" s="35">
        <f>CAR_25!AE12</f>
        <v>0</v>
      </c>
      <c r="F117" s="36">
        <f>CAR_25!AN12</f>
        <v>0</v>
      </c>
      <c r="H117" s="38" t="s">
        <v>32</v>
      </c>
      <c r="I117" s="46">
        <f>CAR_26!H11</f>
        <v>0</v>
      </c>
      <c r="J117" s="43">
        <f>SUM(5000-I117)</f>
        <v>5000</v>
      </c>
      <c r="K117" s="35">
        <f>CAR_26!U12</f>
        <v>0</v>
      </c>
      <c r="L117" s="35">
        <f>CAR_26!AE12</f>
        <v>0</v>
      </c>
      <c r="M117" s="36">
        <f>CAR_26!AN12</f>
        <v>0</v>
      </c>
      <c r="O117" s="38" t="s">
        <v>32</v>
      </c>
      <c r="P117" s="46">
        <f>CAR_27!H11</f>
        <v>0</v>
      </c>
      <c r="Q117" s="43">
        <f>SUM(5000-P117)</f>
        <v>5000</v>
      </c>
      <c r="R117" s="35">
        <f>CAR_27!U12</f>
        <v>0</v>
      </c>
      <c r="S117" s="35">
        <f>CAR_27!AE12</f>
        <v>0</v>
      </c>
      <c r="T117" s="36">
        <f>CAR_27!AN12</f>
        <v>0</v>
      </c>
      <c r="V117" s="38" t="s">
        <v>32</v>
      </c>
      <c r="W117" s="46">
        <f>CAR_28!H11</f>
        <v>0</v>
      </c>
      <c r="X117" s="43">
        <f>SUM(5000-W117)</f>
        <v>5000</v>
      </c>
      <c r="Y117" s="35">
        <f>CAR_28!U12</f>
        <v>0</v>
      </c>
      <c r="Z117" s="35">
        <f>CAR_28!AE12</f>
        <v>0</v>
      </c>
      <c r="AA117" s="36">
        <f>CAR_28!AN12</f>
        <v>0</v>
      </c>
    </row>
    <row r="118" spans="1:27" x14ac:dyDescent="0.25">
      <c r="A118" s="38" t="s">
        <v>33</v>
      </c>
      <c r="B118" s="46">
        <f>CAR_25!H15</f>
        <v>0</v>
      </c>
      <c r="C118" s="43">
        <f t="shared" ref="C118:C127" si="24">SUM(5000-B118)</f>
        <v>5000</v>
      </c>
      <c r="D118" s="35">
        <f>CAR_25!U16</f>
        <v>0</v>
      </c>
      <c r="E118" s="35">
        <f>CAR_25!AE16</f>
        <v>0</v>
      </c>
      <c r="F118" s="36">
        <f>CAR_25!AN16</f>
        <v>0</v>
      </c>
      <c r="H118" s="38" t="s">
        <v>33</v>
      </c>
      <c r="I118" s="46">
        <f>CAR_26!H15</f>
        <v>0</v>
      </c>
      <c r="J118" s="43">
        <f t="shared" ref="J118:J127" si="25">SUM(5000-I118)</f>
        <v>5000</v>
      </c>
      <c r="K118" s="35">
        <f>CAR_26!U16</f>
        <v>0</v>
      </c>
      <c r="L118" s="35">
        <f>CAR_26!AE116</f>
        <v>0</v>
      </c>
      <c r="M118" s="36">
        <f>CAR_26!AN16</f>
        <v>0</v>
      </c>
      <c r="O118" s="38" t="s">
        <v>33</v>
      </c>
      <c r="P118" s="46">
        <f>CAR_27!H15</f>
        <v>0</v>
      </c>
      <c r="Q118" s="43">
        <f t="shared" ref="Q118:Q127" si="26">SUM(5000-P118)</f>
        <v>5000</v>
      </c>
      <c r="R118" s="35">
        <f>CAR_27!U16</f>
        <v>0</v>
      </c>
      <c r="S118" s="35">
        <f>CAR_27!AE16</f>
        <v>0</v>
      </c>
      <c r="T118" s="36">
        <f>CAR_27!AN16</f>
        <v>0</v>
      </c>
      <c r="V118" s="38" t="s">
        <v>33</v>
      </c>
      <c r="W118" s="46">
        <f>CAR_28!H15</f>
        <v>0</v>
      </c>
      <c r="X118" s="43">
        <f t="shared" ref="X118:X127" si="27">SUM(5000-W118)</f>
        <v>5000</v>
      </c>
      <c r="Y118" s="35">
        <f>CAR_28!U16</f>
        <v>0</v>
      </c>
      <c r="Z118" s="35">
        <f>CAR_28!AE6</f>
        <v>0</v>
      </c>
      <c r="AA118" s="36">
        <f>CAR_28!AN16</f>
        <v>0</v>
      </c>
    </row>
    <row r="119" spans="1:27" x14ac:dyDescent="0.25">
      <c r="A119" s="38" t="s">
        <v>34</v>
      </c>
      <c r="B119" s="46">
        <f>CAR_25!H19</f>
        <v>0</v>
      </c>
      <c r="C119" s="43">
        <f t="shared" si="24"/>
        <v>5000</v>
      </c>
      <c r="D119" s="35">
        <f>CAR_25!U20</f>
        <v>0</v>
      </c>
      <c r="E119" s="35">
        <f>CAR_25!AE20</f>
        <v>0</v>
      </c>
      <c r="F119" s="36">
        <f>CAR_25!AN20</f>
        <v>0</v>
      </c>
      <c r="H119" s="38" t="s">
        <v>34</v>
      </c>
      <c r="I119" s="46">
        <f>CAR_26!H19</f>
        <v>0</v>
      </c>
      <c r="J119" s="43">
        <f t="shared" si="25"/>
        <v>5000</v>
      </c>
      <c r="K119" s="35">
        <f>CAR_26!U20</f>
        <v>0</v>
      </c>
      <c r="L119" s="35">
        <f>CAR_26!AE20</f>
        <v>0</v>
      </c>
      <c r="M119" s="36">
        <f>CAR_26!AN20</f>
        <v>0</v>
      </c>
      <c r="O119" s="38" t="s">
        <v>34</v>
      </c>
      <c r="P119" s="46">
        <f>CAR_27!H19</f>
        <v>0</v>
      </c>
      <c r="Q119" s="43">
        <f t="shared" si="26"/>
        <v>5000</v>
      </c>
      <c r="R119" s="35">
        <f>CAR_27!U20</f>
        <v>0</v>
      </c>
      <c r="S119" s="35">
        <f>CAR_27!AE20</f>
        <v>0</v>
      </c>
      <c r="T119" s="36">
        <f>CAR_27!AN20</f>
        <v>0</v>
      </c>
      <c r="V119" s="38" t="s">
        <v>34</v>
      </c>
      <c r="W119" s="46">
        <f>CAR_28!H19</f>
        <v>0</v>
      </c>
      <c r="X119" s="43">
        <f t="shared" si="27"/>
        <v>5000</v>
      </c>
      <c r="Y119" s="35">
        <f>CAR_28!U20</f>
        <v>0</v>
      </c>
      <c r="Z119" s="35">
        <f>CAR_28!AE20</f>
        <v>0</v>
      </c>
      <c r="AA119" s="36">
        <f>CAR_28!AN20</f>
        <v>0</v>
      </c>
    </row>
    <row r="120" spans="1:27" x14ac:dyDescent="0.25">
      <c r="A120" s="38" t="s">
        <v>35</v>
      </c>
      <c r="B120" s="46">
        <f>CAR_25!H23</f>
        <v>0</v>
      </c>
      <c r="C120" s="43">
        <f t="shared" si="24"/>
        <v>5000</v>
      </c>
      <c r="D120" s="35">
        <f>CAR_25!U24</f>
        <v>0</v>
      </c>
      <c r="E120" s="35">
        <f>CAR_25!AE24</f>
        <v>0</v>
      </c>
      <c r="F120" s="36">
        <f>CAR_25!AN24</f>
        <v>0</v>
      </c>
      <c r="H120" s="38" t="s">
        <v>35</v>
      </c>
      <c r="I120" s="46">
        <f>CAR_26!H23</f>
        <v>0</v>
      </c>
      <c r="J120" s="43">
        <f t="shared" si="25"/>
        <v>5000</v>
      </c>
      <c r="K120" s="35">
        <f>CAR_26!U24</f>
        <v>0</v>
      </c>
      <c r="L120" s="35">
        <f>CAR_26!AE24</f>
        <v>0</v>
      </c>
      <c r="M120" s="36">
        <f>CAR_26!AN24</f>
        <v>0</v>
      </c>
      <c r="O120" s="38" t="s">
        <v>35</v>
      </c>
      <c r="P120" s="46">
        <f>CAR_27!H23</f>
        <v>0</v>
      </c>
      <c r="Q120" s="43">
        <f t="shared" si="26"/>
        <v>5000</v>
      </c>
      <c r="R120" s="35">
        <f>CAR_27!U24</f>
        <v>0</v>
      </c>
      <c r="S120" s="35">
        <f>CAR_27!AE24</f>
        <v>0</v>
      </c>
      <c r="T120" s="36">
        <f>CAR_27!AN24</f>
        <v>0</v>
      </c>
      <c r="V120" s="38" t="s">
        <v>35</v>
      </c>
      <c r="W120" s="46">
        <f>CAR_28!H23</f>
        <v>0</v>
      </c>
      <c r="X120" s="43">
        <f t="shared" si="27"/>
        <v>5000</v>
      </c>
      <c r="Y120" s="35">
        <f>CAR_28!U24</f>
        <v>0</v>
      </c>
      <c r="Z120" s="35">
        <f>CAR_28!AE24</f>
        <v>0</v>
      </c>
      <c r="AA120" s="36">
        <f>CAR_28!AN24</f>
        <v>0</v>
      </c>
    </row>
    <row r="121" spans="1:27" x14ac:dyDescent="0.25">
      <c r="A121" s="38" t="s">
        <v>36</v>
      </c>
      <c r="B121" s="46">
        <f>CAR_25!H27</f>
        <v>0</v>
      </c>
      <c r="C121" s="43">
        <f t="shared" si="24"/>
        <v>5000</v>
      </c>
      <c r="D121" s="35">
        <f>CAR_25!U28</f>
        <v>0</v>
      </c>
      <c r="E121" s="35">
        <f>CAR_25!AE28</f>
        <v>0</v>
      </c>
      <c r="F121" s="36">
        <f>CAR_25!AN28</f>
        <v>0</v>
      </c>
      <c r="H121" s="38" t="s">
        <v>36</v>
      </c>
      <c r="I121" s="46">
        <f>CAR_26!H27</f>
        <v>0</v>
      </c>
      <c r="J121" s="43">
        <f t="shared" si="25"/>
        <v>5000</v>
      </c>
      <c r="K121" s="35">
        <f>CAR_26!U28</f>
        <v>0</v>
      </c>
      <c r="L121" s="35">
        <f>CAR_26!AE28</f>
        <v>0</v>
      </c>
      <c r="M121" s="36">
        <f>CAR_26!AN28</f>
        <v>0</v>
      </c>
      <c r="O121" s="38" t="s">
        <v>36</v>
      </c>
      <c r="P121" s="46">
        <f>CAR_27!H27</f>
        <v>0</v>
      </c>
      <c r="Q121" s="43">
        <f t="shared" si="26"/>
        <v>5000</v>
      </c>
      <c r="R121" s="35">
        <f>CAR_27!U28</f>
        <v>0</v>
      </c>
      <c r="S121" s="35">
        <f>CAR_27!AE28</f>
        <v>0</v>
      </c>
      <c r="T121" s="36">
        <f>CAR_27!AN28</f>
        <v>0</v>
      </c>
      <c r="V121" s="38" t="s">
        <v>36</v>
      </c>
      <c r="W121" s="46">
        <f>CAR_28!H27</f>
        <v>0</v>
      </c>
      <c r="X121" s="43">
        <f t="shared" si="27"/>
        <v>5000</v>
      </c>
      <c r="Y121" s="35">
        <f>CAR_28!U28</f>
        <v>0</v>
      </c>
      <c r="Z121" s="35">
        <f>CAR_28!AE28</f>
        <v>0</v>
      </c>
      <c r="AA121" s="36">
        <f>CAR_28!AN28</f>
        <v>0</v>
      </c>
    </row>
    <row r="122" spans="1:27" x14ac:dyDescent="0.25">
      <c r="A122" s="38" t="s">
        <v>37</v>
      </c>
      <c r="B122" s="46">
        <f>CAR_25!H31</f>
        <v>0</v>
      </c>
      <c r="C122" s="43">
        <f t="shared" si="24"/>
        <v>5000</v>
      </c>
      <c r="D122" s="35">
        <f>CAR_25!U32</f>
        <v>0</v>
      </c>
      <c r="E122" s="35">
        <f>CAR_25!AE322</f>
        <v>0</v>
      </c>
      <c r="F122" s="36">
        <f>CAR_25!AN32</f>
        <v>0</v>
      </c>
      <c r="H122" s="38" t="s">
        <v>37</v>
      </c>
      <c r="I122" s="46">
        <f>CAR_26!H31</f>
        <v>0</v>
      </c>
      <c r="J122" s="43">
        <f t="shared" si="25"/>
        <v>5000</v>
      </c>
      <c r="K122" s="35">
        <f>CAR_26!U32</f>
        <v>0</v>
      </c>
      <c r="L122" s="35">
        <f>CAR_26!AE32</f>
        <v>0</v>
      </c>
      <c r="M122" s="36">
        <f>CAR_26!AN32</f>
        <v>0</v>
      </c>
      <c r="O122" s="38" t="s">
        <v>37</v>
      </c>
      <c r="P122" s="46">
        <f>CAR_27!H31</f>
        <v>0</v>
      </c>
      <c r="Q122" s="43">
        <f t="shared" si="26"/>
        <v>5000</v>
      </c>
      <c r="R122" s="35">
        <f>CAR_27!U32</f>
        <v>0</v>
      </c>
      <c r="S122" s="35">
        <f>CAR_27!AE32</f>
        <v>0</v>
      </c>
      <c r="T122" s="36">
        <f>CAR_27!AN32</f>
        <v>0</v>
      </c>
      <c r="V122" s="38" t="s">
        <v>37</v>
      </c>
      <c r="W122" s="46">
        <f>CAR_28!H31</f>
        <v>0</v>
      </c>
      <c r="X122" s="43">
        <f t="shared" si="27"/>
        <v>5000</v>
      </c>
      <c r="Y122" s="35">
        <f>CAR_28!U32</f>
        <v>0</v>
      </c>
      <c r="Z122" s="35">
        <f>CAR_28!AE32</f>
        <v>0</v>
      </c>
      <c r="AA122" s="36">
        <f>CAR_28!AN32</f>
        <v>0</v>
      </c>
    </row>
    <row r="123" spans="1:27" x14ac:dyDescent="0.25">
      <c r="A123" s="38" t="s">
        <v>38</v>
      </c>
      <c r="B123" s="46">
        <f>CAR_25!H35</f>
        <v>0</v>
      </c>
      <c r="C123" s="43">
        <f t="shared" si="24"/>
        <v>5000</v>
      </c>
      <c r="D123" s="35">
        <f>CAR_25!U36</f>
        <v>0</v>
      </c>
      <c r="E123" s="35">
        <f>CAR_25!AE36</f>
        <v>0</v>
      </c>
      <c r="F123" s="36">
        <f>CAR_25!AN36</f>
        <v>0</v>
      </c>
      <c r="H123" s="38" t="s">
        <v>38</v>
      </c>
      <c r="I123" s="46">
        <f>CAR_26!H35</f>
        <v>0</v>
      </c>
      <c r="J123" s="43">
        <f t="shared" si="25"/>
        <v>5000</v>
      </c>
      <c r="K123" s="35">
        <f>CAR_26!U36</f>
        <v>0</v>
      </c>
      <c r="L123" s="35">
        <f>CAR_26!AE36</f>
        <v>0</v>
      </c>
      <c r="M123" s="36">
        <f>CAR_26!AN36</f>
        <v>0</v>
      </c>
      <c r="O123" s="38" t="s">
        <v>38</v>
      </c>
      <c r="P123" s="46">
        <f>CAR_27!H35</f>
        <v>0</v>
      </c>
      <c r="Q123" s="43">
        <f t="shared" si="26"/>
        <v>5000</v>
      </c>
      <c r="R123" s="35">
        <f>CAR_27!U36</f>
        <v>0</v>
      </c>
      <c r="S123" s="35">
        <f>CAR_27!AE36</f>
        <v>0</v>
      </c>
      <c r="T123" s="36">
        <f>CAR_27!AN36</f>
        <v>0</v>
      </c>
      <c r="V123" s="38" t="s">
        <v>38</v>
      </c>
      <c r="W123" s="46">
        <f>CAR_28!H35</f>
        <v>0</v>
      </c>
      <c r="X123" s="43">
        <f t="shared" si="27"/>
        <v>5000</v>
      </c>
      <c r="Y123" s="35">
        <f>CAR_28!U36</f>
        <v>0</v>
      </c>
      <c r="Z123" s="35">
        <f>CAR_28!AE36</f>
        <v>0</v>
      </c>
      <c r="AA123" s="36">
        <f>CAR_28!AN36</f>
        <v>0</v>
      </c>
    </row>
    <row r="124" spans="1:27" x14ac:dyDescent="0.25">
      <c r="A124" s="38" t="s">
        <v>39</v>
      </c>
      <c r="B124" s="46">
        <f>CAR_25!H39</f>
        <v>0</v>
      </c>
      <c r="C124" s="43">
        <f t="shared" si="24"/>
        <v>5000</v>
      </c>
      <c r="D124" s="35">
        <f>CAR_25!U40</f>
        <v>0</v>
      </c>
      <c r="E124" s="35">
        <f>CAR_25!AE400</f>
        <v>0</v>
      </c>
      <c r="F124" s="36">
        <f>CAR_25!AN40</f>
        <v>0</v>
      </c>
      <c r="H124" s="38" t="s">
        <v>39</v>
      </c>
      <c r="I124" s="46">
        <f>CAR_26!H39</f>
        <v>0</v>
      </c>
      <c r="J124" s="43">
        <f t="shared" si="25"/>
        <v>5000</v>
      </c>
      <c r="K124" s="35">
        <f>CAR_26!U40</f>
        <v>0</v>
      </c>
      <c r="L124" s="35">
        <f>CAR_26!AE40</f>
        <v>0</v>
      </c>
      <c r="M124" s="36">
        <f>CAR_26!AN40</f>
        <v>0</v>
      </c>
      <c r="O124" s="38" t="s">
        <v>39</v>
      </c>
      <c r="P124" s="46">
        <f>CAR_27!H39</f>
        <v>0</v>
      </c>
      <c r="Q124" s="43">
        <f t="shared" si="26"/>
        <v>5000</v>
      </c>
      <c r="R124" s="35">
        <f>CAR_27!U40</f>
        <v>0</v>
      </c>
      <c r="S124" s="35">
        <f>CAR_27!AE40</f>
        <v>0</v>
      </c>
      <c r="T124" s="36">
        <f>CAR_27!AN40</f>
        <v>0</v>
      </c>
      <c r="V124" s="38" t="s">
        <v>39</v>
      </c>
      <c r="W124" s="46">
        <f>CAR_28!H39</f>
        <v>0</v>
      </c>
      <c r="X124" s="43">
        <f t="shared" si="27"/>
        <v>5000</v>
      </c>
      <c r="Y124" s="35">
        <f>CAR_28!U40</f>
        <v>0</v>
      </c>
      <c r="Z124" s="35">
        <f>CAR_28!AE40</f>
        <v>0</v>
      </c>
      <c r="AA124" s="36">
        <f>CAR_28!AN40</f>
        <v>0</v>
      </c>
    </row>
    <row r="125" spans="1:27" x14ac:dyDescent="0.25">
      <c r="A125" s="38" t="s">
        <v>40</v>
      </c>
      <c r="B125" s="46">
        <f>CAR_25!H43</f>
        <v>0</v>
      </c>
      <c r="C125" s="43">
        <f t="shared" si="24"/>
        <v>5000</v>
      </c>
      <c r="D125" s="35">
        <f>CAR_25!U44</f>
        <v>0</v>
      </c>
      <c r="E125" s="35">
        <f>CAR_25!AE44</f>
        <v>0</v>
      </c>
      <c r="F125" s="36">
        <f>CAR_25!AN44</f>
        <v>0</v>
      </c>
      <c r="H125" s="38" t="s">
        <v>40</v>
      </c>
      <c r="I125" s="46">
        <f>CAR_26!H43</f>
        <v>0</v>
      </c>
      <c r="J125" s="43">
        <f t="shared" si="25"/>
        <v>5000</v>
      </c>
      <c r="K125" s="35">
        <f>CAR_26!U44</f>
        <v>0</v>
      </c>
      <c r="L125" s="35">
        <f>CAR_26!AE44</f>
        <v>0</v>
      </c>
      <c r="M125" s="36">
        <f>CAR_26!AN44</f>
        <v>0</v>
      </c>
      <c r="O125" s="38" t="s">
        <v>40</v>
      </c>
      <c r="P125" s="46">
        <f>CAR_27!H43</f>
        <v>0</v>
      </c>
      <c r="Q125" s="43">
        <f t="shared" si="26"/>
        <v>5000</v>
      </c>
      <c r="R125" s="35">
        <f>CAR_27!U44</f>
        <v>0</v>
      </c>
      <c r="S125" s="35">
        <f>CAR_27!AE44</f>
        <v>0</v>
      </c>
      <c r="T125" s="36">
        <f>CAR_27!AN44</f>
        <v>0</v>
      </c>
      <c r="V125" s="38" t="s">
        <v>40</v>
      </c>
      <c r="W125" s="46">
        <f>CAR_28!H43</f>
        <v>0</v>
      </c>
      <c r="X125" s="43">
        <f t="shared" si="27"/>
        <v>5000</v>
      </c>
      <c r="Y125" s="35">
        <f>CAR_28!U44</f>
        <v>0</v>
      </c>
      <c r="Z125" s="35">
        <f>CAR_28!AE44</f>
        <v>0</v>
      </c>
      <c r="AA125" s="36">
        <f>CAR_28!AN44</f>
        <v>0</v>
      </c>
    </row>
    <row r="126" spans="1:27" x14ac:dyDescent="0.25">
      <c r="A126" s="38" t="s">
        <v>41</v>
      </c>
      <c r="B126" s="46">
        <f>CAR_25!H47</f>
        <v>0</v>
      </c>
      <c r="C126" s="43">
        <f t="shared" si="24"/>
        <v>5000</v>
      </c>
      <c r="D126" s="35">
        <f>CAR_25!U48</f>
        <v>0</v>
      </c>
      <c r="E126" s="35">
        <f>CAR_25!AE48</f>
        <v>0</v>
      </c>
      <c r="F126" s="36">
        <f>CAR_25!AN48</f>
        <v>0</v>
      </c>
      <c r="H126" s="38" t="s">
        <v>41</v>
      </c>
      <c r="I126" s="46">
        <f>CAR_26!H47</f>
        <v>0</v>
      </c>
      <c r="J126" s="43">
        <f t="shared" si="25"/>
        <v>5000</v>
      </c>
      <c r="K126" s="35">
        <f>CAR_26!U48</f>
        <v>0</v>
      </c>
      <c r="L126" s="35">
        <f>CAR_26!AE48</f>
        <v>0</v>
      </c>
      <c r="M126" s="36">
        <f>CAR_26!AN48</f>
        <v>0</v>
      </c>
      <c r="O126" s="38" t="s">
        <v>41</v>
      </c>
      <c r="P126" s="46">
        <f>CAR_27!H47</f>
        <v>0</v>
      </c>
      <c r="Q126" s="43">
        <f t="shared" si="26"/>
        <v>5000</v>
      </c>
      <c r="R126" s="35">
        <f>CAR_27!U48</f>
        <v>0</v>
      </c>
      <c r="S126" s="35">
        <f>CAR_27!AE48</f>
        <v>0</v>
      </c>
      <c r="T126" s="36">
        <f>CAR_27!AN48</f>
        <v>0</v>
      </c>
      <c r="V126" s="38" t="s">
        <v>41</v>
      </c>
      <c r="W126" s="46">
        <f>CAR_28!H47</f>
        <v>0</v>
      </c>
      <c r="X126" s="43">
        <f t="shared" si="27"/>
        <v>5000</v>
      </c>
      <c r="Y126" s="35">
        <f>CAR_28!U48</f>
        <v>0</v>
      </c>
      <c r="Z126" s="35">
        <f>CAR_28!AE48</f>
        <v>0</v>
      </c>
      <c r="AA126" s="36">
        <f>CAR_28!AN48</f>
        <v>0</v>
      </c>
    </row>
    <row r="127" spans="1:27" ht="15.75" thickBot="1" x14ac:dyDescent="0.3">
      <c r="A127" s="39" t="s">
        <v>42</v>
      </c>
      <c r="B127" s="47">
        <f>CAR_25!H51</f>
        <v>0</v>
      </c>
      <c r="C127" s="44">
        <f t="shared" si="24"/>
        <v>5000</v>
      </c>
      <c r="D127" s="11">
        <f>CAR_25!U52</f>
        <v>0</v>
      </c>
      <c r="E127" s="11">
        <f>CAR_25!AE52</f>
        <v>0</v>
      </c>
      <c r="F127" s="12">
        <f>CAR_25!AN52</f>
        <v>0</v>
      </c>
      <c r="H127" s="39" t="s">
        <v>42</v>
      </c>
      <c r="I127" s="47">
        <f>CAR_26!H51</f>
        <v>0</v>
      </c>
      <c r="J127" s="44">
        <f t="shared" si="25"/>
        <v>5000</v>
      </c>
      <c r="K127" s="11">
        <f>CAR_26!U52</f>
        <v>0</v>
      </c>
      <c r="L127" s="11">
        <f>CAR_26!AE52</f>
        <v>0</v>
      </c>
      <c r="M127" s="12">
        <f>CAR_26!AN52</f>
        <v>0</v>
      </c>
      <c r="O127" s="39" t="s">
        <v>42</v>
      </c>
      <c r="P127" s="47">
        <f>CAR_27!H51</f>
        <v>0</v>
      </c>
      <c r="Q127" s="44">
        <f t="shared" si="26"/>
        <v>5000</v>
      </c>
      <c r="R127" s="11">
        <f>CAR_27!U52</f>
        <v>0</v>
      </c>
      <c r="S127" s="11">
        <f>CAR_27!AE52</f>
        <v>0</v>
      </c>
      <c r="T127" s="12">
        <f>CAR_27!AN52</f>
        <v>0</v>
      </c>
      <c r="V127" s="39" t="s">
        <v>42</v>
      </c>
      <c r="W127" s="47">
        <f>CAR_28!H51</f>
        <v>0</v>
      </c>
      <c r="X127" s="44">
        <f t="shared" si="27"/>
        <v>5000</v>
      </c>
      <c r="Y127" s="11">
        <f>CAR_28!U52</f>
        <v>0</v>
      </c>
      <c r="Z127" s="11">
        <f>CAR_28!AE52</f>
        <v>0</v>
      </c>
      <c r="AA127" s="12">
        <f>CAR_28!AN52</f>
        <v>0</v>
      </c>
    </row>
    <row r="128" spans="1:27" ht="15.75" thickBot="1" x14ac:dyDescent="0.3"/>
    <row r="129" spans="1:27" ht="15.75" thickBot="1" x14ac:dyDescent="0.3">
      <c r="A129" s="3" t="s">
        <v>23</v>
      </c>
      <c r="B129" s="52">
        <f>SUM(B116:B127)</f>
        <v>0</v>
      </c>
      <c r="C129" s="51"/>
      <c r="D129" s="50">
        <f>SUM(D116:D127)</f>
        <v>0</v>
      </c>
      <c r="E129" s="49">
        <f>SUM(E116:E127)</f>
        <v>0</v>
      </c>
      <c r="F129" s="48">
        <f>SUM(F116:F127)</f>
        <v>0</v>
      </c>
      <c r="H129" s="3" t="s">
        <v>23</v>
      </c>
      <c r="I129" s="52">
        <f>SUM(I116:I127)</f>
        <v>0</v>
      </c>
      <c r="J129" s="51"/>
      <c r="K129" s="50">
        <f>SUM(K116:K127)</f>
        <v>0</v>
      </c>
      <c r="L129" s="49">
        <f>SUM(L116:L127)</f>
        <v>0</v>
      </c>
      <c r="M129" s="48">
        <f>SUM(M116:M127)</f>
        <v>0</v>
      </c>
      <c r="O129" s="3" t="s">
        <v>23</v>
      </c>
      <c r="P129" s="52">
        <f>SUM(P116:P127)</f>
        <v>0</v>
      </c>
      <c r="Q129" s="51"/>
      <c r="R129" s="50">
        <f>SUM(R116:R127)</f>
        <v>0</v>
      </c>
      <c r="S129" s="49">
        <f>SUM(S116:S127)</f>
        <v>0</v>
      </c>
      <c r="T129" s="48">
        <f>SUM(T116:T127)</f>
        <v>0</v>
      </c>
      <c r="V129" s="3" t="s">
        <v>23</v>
      </c>
      <c r="W129" s="52">
        <f>SUM(W116:W127)</f>
        <v>0</v>
      </c>
      <c r="X129" s="51"/>
      <c r="Y129" s="50">
        <f>SUM(Y116:Y127)</f>
        <v>0</v>
      </c>
      <c r="Z129" s="49">
        <f>SUM(Z116:Z127)</f>
        <v>0</v>
      </c>
      <c r="AA129" s="48">
        <f>SUM(AA116:AA127)</f>
        <v>0</v>
      </c>
    </row>
    <row r="130" spans="1:27" ht="15.75" thickBot="1" x14ac:dyDescent="0.3">
      <c r="A130" s="3" t="s">
        <v>44</v>
      </c>
      <c r="B130" s="23">
        <f>SUM(60000-B129)</f>
        <v>60000</v>
      </c>
      <c r="H130" s="3" t="s">
        <v>44</v>
      </c>
      <c r="I130" s="23">
        <f>SUM(60000-I129)</f>
        <v>60000</v>
      </c>
      <c r="O130" s="3" t="s">
        <v>44</v>
      </c>
      <c r="P130" s="23">
        <f>SUM(60000-P129)</f>
        <v>60000</v>
      </c>
      <c r="V130" s="3" t="s">
        <v>44</v>
      </c>
      <c r="W130" s="23">
        <f>SUM(60000-W129)</f>
        <v>60000</v>
      </c>
    </row>
    <row r="132" spans="1:27" ht="15.75" thickBot="1" x14ac:dyDescent="0.3">
      <c r="B132" s="84" t="s">
        <v>47</v>
      </c>
      <c r="C132" s="84"/>
      <c r="D132" s="84"/>
      <c r="E132" s="84"/>
      <c r="F132" s="84"/>
      <c r="I132" s="84" t="s">
        <v>46</v>
      </c>
      <c r="J132" s="84"/>
      <c r="K132" s="84"/>
      <c r="L132" s="84"/>
      <c r="M132" s="84"/>
    </row>
    <row r="133" spans="1:27" ht="15.75" thickBot="1" x14ac:dyDescent="0.3">
      <c r="B133" s="22" t="s">
        <v>43</v>
      </c>
      <c r="C133" s="33" t="s">
        <v>30</v>
      </c>
      <c r="D133" s="23" t="s">
        <v>26</v>
      </c>
      <c r="E133" s="23" t="s">
        <v>25</v>
      </c>
      <c r="F133" s="25" t="s">
        <v>27</v>
      </c>
      <c r="I133" s="22" t="s">
        <v>43</v>
      </c>
      <c r="J133" s="33" t="s">
        <v>30</v>
      </c>
      <c r="K133" s="23" t="s">
        <v>26</v>
      </c>
      <c r="L133" s="23" t="s">
        <v>25</v>
      </c>
      <c r="M133" s="25" t="s">
        <v>27</v>
      </c>
    </row>
    <row r="134" spans="1:27" x14ac:dyDescent="0.25">
      <c r="A134" s="37" t="s">
        <v>31</v>
      </c>
      <c r="B134" s="45"/>
      <c r="C134" s="42"/>
      <c r="D134" s="40"/>
      <c r="E134" s="40"/>
      <c r="F134" s="41"/>
      <c r="H134" s="37" t="s">
        <v>31</v>
      </c>
      <c r="I134" s="58"/>
      <c r="J134" s="59"/>
      <c r="K134" s="60"/>
      <c r="L134" s="60"/>
      <c r="M134" s="61"/>
    </row>
    <row r="135" spans="1:27" x14ac:dyDescent="0.25">
      <c r="A135" s="38" t="s">
        <v>32</v>
      </c>
      <c r="B135" s="46">
        <f>CAR_29!H11</f>
        <v>0</v>
      </c>
      <c r="C135" s="43">
        <f>SUM(5000-B135)</f>
        <v>5000</v>
      </c>
      <c r="D135" s="35">
        <f>CAR_29!U12</f>
        <v>0</v>
      </c>
      <c r="E135" s="35">
        <f>CAR_29!AE12</f>
        <v>0</v>
      </c>
      <c r="F135" s="36">
        <f>CAR_29!AN12</f>
        <v>0</v>
      </c>
      <c r="H135" s="38" t="s">
        <v>32</v>
      </c>
      <c r="I135" s="46">
        <f>CAR_30!H11</f>
        <v>0</v>
      </c>
      <c r="J135" s="43">
        <f>SUM(5000-I135)</f>
        <v>5000</v>
      </c>
      <c r="K135" s="35">
        <f>CAR_30!U12</f>
        <v>0</v>
      </c>
      <c r="L135" s="35">
        <f>CAR_30!AE12</f>
        <v>0</v>
      </c>
      <c r="M135" s="36">
        <f>CAR_30!AN12</f>
        <v>0</v>
      </c>
    </row>
    <row r="136" spans="1:27" x14ac:dyDescent="0.25">
      <c r="A136" s="38" t="s">
        <v>33</v>
      </c>
      <c r="B136" s="46">
        <f>CAR_29!H15</f>
        <v>0</v>
      </c>
      <c r="C136" s="43">
        <f t="shared" ref="C136:C145" si="28">SUM(5000-B136)</f>
        <v>5000</v>
      </c>
      <c r="D136" s="35">
        <f>CAR_29!U16</f>
        <v>0</v>
      </c>
      <c r="E136" s="35">
        <f>CAR_29!AE16</f>
        <v>0</v>
      </c>
      <c r="F136" s="36">
        <f>CAR_29!AN16</f>
        <v>0</v>
      </c>
      <c r="H136" s="38" t="s">
        <v>33</v>
      </c>
      <c r="I136" s="46">
        <f>CAR_30!H15</f>
        <v>0</v>
      </c>
      <c r="J136" s="43">
        <f t="shared" ref="J136:J145" si="29">SUM(5000-I136)</f>
        <v>5000</v>
      </c>
      <c r="K136" s="35">
        <f>CAR_30!U16</f>
        <v>0</v>
      </c>
      <c r="L136" s="35">
        <f>CAR_30!AE16</f>
        <v>0</v>
      </c>
      <c r="M136" s="36">
        <f>CAR_30!AN16</f>
        <v>0</v>
      </c>
    </row>
    <row r="137" spans="1:27" x14ac:dyDescent="0.25">
      <c r="A137" s="38" t="s">
        <v>34</v>
      </c>
      <c r="B137" s="46">
        <f>CAR_29!H19</f>
        <v>0</v>
      </c>
      <c r="C137" s="43">
        <f t="shared" si="28"/>
        <v>5000</v>
      </c>
      <c r="D137" s="35">
        <f>CAR_29!U20</f>
        <v>0</v>
      </c>
      <c r="E137" s="35">
        <f>CAR_29!AE20</f>
        <v>0</v>
      </c>
      <c r="F137" s="36">
        <f>CAR_29!AN20</f>
        <v>0</v>
      </c>
      <c r="H137" s="38" t="s">
        <v>34</v>
      </c>
      <c r="I137" s="46">
        <f>CAR_30!H19</f>
        <v>0</v>
      </c>
      <c r="J137" s="43">
        <f t="shared" si="29"/>
        <v>5000</v>
      </c>
      <c r="K137" s="35">
        <f>CAR_30!U20</f>
        <v>0</v>
      </c>
      <c r="L137" s="35">
        <f>CAR_30!AE20</f>
        <v>0</v>
      </c>
      <c r="M137" s="36">
        <f>CAR_30!AN20</f>
        <v>0</v>
      </c>
    </row>
    <row r="138" spans="1:27" x14ac:dyDescent="0.25">
      <c r="A138" s="38" t="s">
        <v>35</v>
      </c>
      <c r="B138" s="46">
        <f>CAR_29!H23</f>
        <v>0</v>
      </c>
      <c r="C138" s="43">
        <f t="shared" si="28"/>
        <v>5000</v>
      </c>
      <c r="D138" s="35">
        <f>CAR_29!U24</f>
        <v>0</v>
      </c>
      <c r="E138" s="35">
        <f>CAR_29!AE24</f>
        <v>0</v>
      </c>
      <c r="F138" s="36">
        <f>CAR_29!AN24</f>
        <v>0</v>
      </c>
      <c r="H138" s="38" t="s">
        <v>35</v>
      </c>
      <c r="I138" s="46">
        <f>CAR_30!H23</f>
        <v>0</v>
      </c>
      <c r="J138" s="43">
        <f t="shared" si="29"/>
        <v>5000</v>
      </c>
      <c r="K138" s="35">
        <f>CAR_30!U24</f>
        <v>0</v>
      </c>
      <c r="L138" s="35">
        <f>CAR_30!AE24</f>
        <v>0</v>
      </c>
      <c r="M138" s="36">
        <f>CAR_30!AN24</f>
        <v>0</v>
      </c>
    </row>
    <row r="139" spans="1:27" x14ac:dyDescent="0.25">
      <c r="A139" s="38" t="s">
        <v>36</v>
      </c>
      <c r="B139" s="46">
        <f>CAR_29!H27</f>
        <v>0</v>
      </c>
      <c r="C139" s="43">
        <f t="shared" si="28"/>
        <v>5000</v>
      </c>
      <c r="D139" s="35">
        <f>CAR_29!U28</f>
        <v>0</v>
      </c>
      <c r="E139" s="35">
        <f>CAR_29!AE28</f>
        <v>0</v>
      </c>
      <c r="F139" s="36">
        <f>CAR_29!AN28</f>
        <v>0</v>
      </c>
      <c r="H139" s="38" t="s">
        <v>36</v>
      </c>
      <c r="I139" s="46">
        <f>CAR_30!H27</f>
        <v>0</v>
      </c>
      <c r="J139" s="43">
        <f t="shared" si="29"/>
        <v>5000</v>
      </c>
      <c r="K139" s="35">
        <f>CAR_30!U28</f>
        <v>0</v>
      </c>
      <c r="L139" s="35">
        <f>CAR_30!AE28</f>
        <v>0</v>
      </c>
      <c r="M139" s="36">
        <f>CAR_30!AN28</f>
        <v>0</v>
      </c>
    </row>
    <row r="140" spans="1:27" x14ac:dyDescent="0.25">
      <c r="A140" s="38" t="s">
        <v>37</v>
      </c>
      <c r="B140" s="46">
        <f>CAR_29!H31</f>
        <v>0</v>
      </c>
      <c r="C140" s="43">
        <f t="shared" si="28"/>
        <v>5000</v>
      </c>
      <c r="D140" s="35">
        <f>CAR_29!U32</f>
        <v>0</v>
      </c>
      <c r="E140" s="35">
        <f>CAR_29!AE32</f>
        <v>0</v>
      </c>
      <c r="F140" s="36">
        <f>CAR_29!AN32</f>
        <v>0</v>
      </c>
      <c r="H140" s="38" t="s">
        <v>37</v>
      </c>
      <c r="I140" s="46">
        <f>CAR_30!H31</f>
        <v>0</v>
      </c>
      <c r="J140" s="43">
        <f t="shared" si="29"/>
        <v>5000</v>
      </c>
      <c r="K140" s="35">
        <f>CAR_30!U32</f>
        <v>0</v>
      </c>
      <c r="L140" s="35">
        <f>CAR_30!AE32</f>
        <v>0</v>
      </c>
      <c r="M140" s="36">
        <f>CAR_30!AN32</f>
        <v>0</v>
      </c>
    </row>
    <row r="141" spans="1:27" x14ac:dyDescent="0.25">
      <c r="A141" s="38" t="s">
        <v>38</v>
      </c>
      <c r="B141" s="46">
        <f>CAR_29!H35</f>
        <v>0</v>
      </c>
      <c r="C141" s="43">
        <f t="shared" si="28"/>
        <v>5000</v>
      </c>
      <c r="D141" s="35">
        <f>CAR_29!U36</f>
        <v>0</v>
      </c>
      <c r="E141" s="35">
        <f>CAR_29!AE36</f>
        <v>0</v>
      </c>
      <c r="F141" s="36">
        <f>CAR_29!AN36</f>
        <v>0</v>
      </c>
      <c r="H141" s="38" t="s">
        <v>38</v>
      </c>
      <c r="I141" s="46">
        <f>CAR_30!H35</f>
        <v>0</v>
      </c>
      <c r="J141" s="43">
        <f t="shared" si="29"/>
        <v>5000</v>
      </c>
      <c r="K141" s="35">
        <f>CAR_30!U36</f>
        <v>0</v>
      </c>
      <c r="L141" s="35">
        <f>CAR_30!AE36</f>
        <v>0</v>
      </c>
      <c r="M141" s="36">
        <f>CAR_30!AN36</f>
        <v>0</v>
      </c>
    </row>
    <row r="142" spans="1:27" x14ac:dyDescent="0.25">
      <c r="A142" s="38" t="s">
        <v>39</v>
      </c>
      <c r="B142" s="46">
        <f>CAR_29!H39</f>
        <v>0</v>
      </c>
      <c r="C142" s="43">
        <f t="shared" si="28"/>
        <v>5000</v>
      </c>
      <c r="D142" s="35">
        <f>CAR_29!U40</f>
        <v>0</v>
      </c>
      <c r="E142" s="35">
        <f>CAR_29!AE40</f>
        <v>0</v>
      </c>
      <c r="F142" s="36">
        <f>CAR_29!AN40</f>
        <v>0</v>
      </c>
      <c r="H142" s="38" t="s">
        <v>39</v>
      </c>
      <c r="I142" s="46">
        <f>CAR_30!H39</f>
        <v>0</v>
      </c>
      <c r="J142" s="43">
        <f t="shared" si="29"/>
        <v>5000</v>
      </c>
      <c r="K142" s="35">
        <f>CAR_30!U40</f>
        <v>0</v>
      </c>
      <c r="L142" s="35">
        <f>CAR_30!AE40</f>
        <v>0</v>
      </c>
      <c r="M142" s="36">
        <f>CAR_30!AN40</f>
        <v>0</v>
      </c>
    </row>
    <row r="143" spans="1:27" x14ac:dyDescent="0.25">
      <c r="A143" s="38" t="s">
        <v>40</v>
      </c>
      <c r="B143" s="46">
        <f>CAR_29!H43</f>
        <v>0</v>
      </c>
      <c r="C143" s="43">
        <f t="shared" si="28"/>
        <v>5000</v>
      </c>
      <c r="D143" s="35">
        <f>CAR_29!U44</f>
        <v>0</v>
      </c>
      <c r="E143" s="35">
        <f>CAR_29!AE44</f>
        <v>0</v>
      </c>
      <c r="F143" s="36">
        <f>CAR_29!AN44</f>
        <v>0</v>
      </c>
      <c r="H143" s="38" t="s">
        <v>40</v>
      </c>
      <c r="I143" s="46">
        <f>CAR_30!H43</f>
        <v>0</v>
      </c>
      <c r="J143" s="43">
        <f t="shared" si="29"/>
        <v>5000</v>
      </c>
      <c r="K143" s="35">
        <f>CAR_30!U44</f>
        <v>0</v>
      </c>
      <c r="L143" s="35">
        <f>CAR_30!AE44</f>
        <v>0</v>
      </c>
      <c r="M143" s="36">
        <f>CAR_30!AN44</f>
        <v>0</v>
      </c>
    </row>
    <row r="144" spans="1:27" x14ac:dyDescent="0.25">
      <c r="A144" s="38" t="s">
        <v>41</v>
      </c>
      <c r="B144" s="46">
        <f>CAR_29!H47</f>
        <v>0</v>
      </c>
      <c r="C144" s="43">
        <f t="shared" si="28"/>
        <v>5000</v>
      </c>
      <c r="D144" s="35">
        <f>CAR_29!U48</f>
        <v>0</v>
      </c>
      <c r="E144" s="35">
        <f>CAR_29!AE48</f>
        <v>0</v>
      </c>
      <c r="F144" s="36">
        <f>CAR_29!AN48</f>
        <v>0</v>
      </c>
      <c r="H144" s="38" t="s">
        <v>41</v>
      </c>
      <c r="I144" s="46">
        <f>CAR_30!H47</f>
        <v>0</v>
      </c>
      <c r="J144" s="43">
        <f t="shared" si="29"/>
        <v>5000</v>
      </c>
      <c r="K144" s="35">
        <f>CAR_30!U48</f>
        <v>0</v>
      </c>
      <c r="L144" s="35">
        <f>CAR_30!AE48</f>
        <v>0</v>
      </c>
      <c r="M144" s="36">
        <f>CAR_30!AN48</f>
        <v>0</v>
      </c>
    </row>
    <row r="145" spans="1:13" ht="15.75" thickBot="1" x14ac:dyDescent="0.3">
      <c r="A145" s="39" t="s">
        <v>42</v>
      </c>
      <c r="B145" s="47">
        <f>CAR_29!H51</f>
        <v>0</v>
      </c>
      <c r="C145" s="44">
        <f t="shared" si="28"/>
        <v>5000</v>
      </c>
      <c r="D145" s="11">
        <f>CAR_29!U52</f>
        <v>0</v>
      </c>
      <c r="E145" s="11">
        <f>CAR_29!AE52</f>
        <v>0</v>
      </c>
      <c r="F145" s="12">
        <f>CAR_29!AN52</f>
        <v>0</v>
      </c>
      <c r="H145" s="39" t="s">
        <v>42</v>
      </c>
      <c r="I145" s="47">
        <f>CAR_30!H51</f>
        <v>0</v>
      </c>
      <c r="J145" s="44">
        <f t="shared" si="29"/>
        <v>5000</v>
      </c>
      <c r="K145" s="11">
        <f>CAR_30!U52</f>
        <v>0</v>
      </c>
      <c r="L145" s="11">
        <f>CAR_30!AE52</f>
        <v>0</v>
      </c>
      <c r="M145" s="12">
        <f>CAR_30!AN52</f>
        <v>0</v>
      </c>
    </row>
    <row r="146" spans="1:13" ht="15.75" thickBot="1" x14ac:dyDescent="0.3"/>
    <row r="147" spans="1:13" ht="15.75" thickBot="1" x14ac:dyDescent="0.3">
      <c r="A147" s="3" t="s">
        <v>23</v>
      </c>
      <c r="B147" s="52">
        <f>SUM(B134:B145)</f>
        <v>0</v>
      </c>
      <c r="C147" s="51"/>
      <c r="D147" s="50">
        <f>SUM(D134:D145)</f>
        <v>0</v>
      </c>
      <c r="E147" s="49">
        <f>SUM(E134:E145)</f>
        <v>0</v>
      </c>
      <c r="F147" s="48">
        <f>SUM(F134:F145)</f>
        <v>0</v>
      </c>
      <c r="H147" s="3" t="s">
        <v>23</v>
      </c>
      <c r="I147" s="52">
        <f>SUM(I134:I145)</f>
        <v>0</v>
      </c>
      <c r="J147" s="51"/>
      <c r="K147" s="50">
        <f>SUM(K134:K145)</f>
        <v>0</v>
      </c>
      <c r="L147" s="49">
        <f>SUM(L134:L145)</f>
        <v>0</v>
      </c>
      <c r="M147" s="48">
        <f>SUM(M134:M145)</f>
        <v>0</v>
      </c>
    </row>
    <row r="148" spans="1:13" ht="15.75" thickBot="1" x14ac:dyDescent="0.3">
      <c r="A148" s="3" t="s">
        <v>44</v>
      </c>
      <c r="B148" s="23">
        <f>SUM(60000-B147)</f>
        <v>60000</v>
      </c>
      <c r="H148" s="3" t="s">
        <v>44</v>
      </c>
      <c r="I148" s="23">
        <f>SUM(60000-I147)</f>
        <v>60000</v>
      </c>
    </row>
  </sheetData>
  <mergeCells count="30">
    <mergeCell ref="B114:F114"/>
    <mergeCell ref="I114:M114"/>
    <mergeCell ref="P114:T114"/>
    <mergeCell ref="W114:AA114"/>
    <mergeCell ref="B132:F132"/>
    <mergeCell ref="I132:M132"/>
    <mergeCell ref="B78:F78"/>
    <mergeCell ref="I78:M78"/>
    <mergeCell ref="P78:T78"/>
    <mergeCell ref="W78:AA78"/>
    <mergeCell ref="B96:F96"/>
    <mergeCell ref="I96:M96"/>
    <mergeCell ref="P96:T96"/>
    <mergeCell ref="W96:AA96"/>
    <mergeCell ref="B40:F40"/>
    <mergeCell ref="I40:M40"/>
    <mergeCell ref="P40:T40"/>
    <mergeCell ref="W40:AA40"/>
    <mergeCell ref="B59:F59"/>
    <mergeCell ref="I59:M59"/>
    <mergeCell ref="P59:T59"/>
    <mergeCell ref="W59:AA59"/>
    <mergeCell ref="B2:F2"/>
    <mergeCell ref="I2:M2"/>
    <mergeCell ref="P2:T2"/>
    <mergeCell ref="W2:AA2"/>
    <mergeCell ref="B21:F21"/>
    <mergeCell ref="I21:M21"/>
    <mergeCell ref="P21:T21"/>
    <mergeCell ref="W21:AA21"/>
  </mergeCells>
  <phoneticPr fontId="3" type="noConversion"/>
  <conditionalFormatting sqref="B18">
    <cfRule type="iconSet" priority="31">
      <iconSet>
        <cfvo type="percent" val="0"/>
        <cfvo type="num" val="-1"/>
        <cfvo type="num" val="0"/>
      </iconSet>
    </cfRule>
  </conditionalFormatting>
  <conditionalFormatting sqref="B37">
    <cfRule type="iconSet" priority="27">
      <iconSet>
        <cfvo type="percent" val="0"/>
        <cfvo type="num" val="-1"/>
        <cfvo type="num" val="0"/>
      </iconSet>
    </cfRule>
  </conditionalFormatting>
  <conditionalFormatting sqref="B56">
    <cfRule type="iconSet" priority="23">
      <iconSet>
        <cfvo type="percent" val="0"/>
        <cfvo type="num" val="-1"/>
        <cfvo type="num" val="0"/>
      </iconSet>
    </cfRule>
  </conditionalFormatting>
  <conditionalFormatting sqref="B75">
    <cfRule type="iconSet" priority="19">
      <iconSet>
        <cfvo type="percent" val="0"/>
        <cfvo type="num" val="-1"/>
        <cfvo type="num" val="0"/>
      </iconSet>
    </cfRule>
  </conditionalFormatting>
  <conditionalFormatting sqref="B94">
    <cfRule type="iconSet" priority="15">
      <iconSet>
        <cfvo type="percent" val="0"/>
        <cfvo type="num" val="-1"/>
        <cfvo type="num" val="0"/>
      </iconSet>
    </cfRule>
  </conditionalFormatting>
  <conditionalFormatting sqref="B112">
    <cfRule type="iconSet" priority="11">
      <iconSet>
        <cfvo type="percent" val="0"/>
        <cfvo type="num" val="-1"/>
        <cfvo type="num" val="0"/>
      </iconSet>
    </cfRule>
  </conditionalFormatting>
  <conditionalFormatting sqref="B130">
    <cfRule type="iconSet" priority="7">
      <iconSet>
        <cfvo type="percent" val="0"/>
        <cfvo type="num" val="-1"/>
        <cfvo type="num" val="0"/>
      </iconSet>
    </cfRule>
  </conditionalFormatting>
  <conditionalFormatting sqref="B148">
    <cfRule type="iconSet" priority="3">
      <iconSet>
        <cfvo type="percent" val="0"/>
        <cfvo type="num" val="-1"/>
        <cfvo type="num" val="0"/>
      </iconSet>
    </cfRule>
  </conditionalFormatting>
  <conditionalFormatting sqref="I18">
    <cfRule type="iconSet" priority="30">
      <iconSet>
        <cfvo type="percent" val="0"/>
        <cfvo type="num" val="-1"/>
        <cfvo type="num" val="0"/>
      </iconSet>
    </cfRule>
  </conditionalFormatting>
  <conditionalFormatting sqref="I37">
    <cfRule type="iconSet" priority="26">
      <iconSet>
        <cfvo type="percent" val="0"/>
        <cfvo type="num" val="-1"/>
        <cfvo type="num" val="0"/>
      </iconSet>
    </cfRule>
  </conditionalFormatting>
  <conditionalFormatting sqref="I56">
    <cfRule type="iconSet" priority="22">
      <iconSet>
        <cfvo type="percent" val="0"/>
        <cfvo type="num" val="-1"/>
        <cfvo type="num" val="0"/>
      </iconSet>
    </cfRule>
  </conditionalFormatting>
  <conditionalFormatting sqref="I75">
    <cfRule type="iconSet" priority="18">
      <iconSet>
        <cfvo type="percent" val="0"/>
        <cfvo type="num" val="-1"/>
        <cfvo type="num" val="0"/>
      </iconSet>
    </cfRule>
  </conditionalFormatting>
  <conditionalFormatting sqref="I94">
    <cfRule type="iconSet" priority="14">
      <iconSet>
        <cfvo type="percent" val="0"/>
        <cfvo type="num" val="-1"/>
        <cfvo type="num" val="0"/>
      </iconSet>
    </cfRule>
  </conditionalFormatting>
  <conditionalFormatting sqref="I112">
    <cfRule type="iconSet" priority="10">
      <iconSet>
        <cfvo type="percent" val="0"/>
        <cfvo type="num" val="-1"/>
        <cfvo type="num" val="0"/>
      </iconSet>
    </cfRule>
  </conditionalFormatting>
  <conditionalFormatting sqref="I130">
    <cfRule type="iconSet" priority="6">
      <iconSet>
        <cfvo type="percent" val="0"/>
        <cfvo type="num" val="-1"/>
        <cfvo type="num" val="0"/>
      </iconSet>
    </cfRule>
  </conditionalFormatting>
  <conditionalFormatting sqref="I148">
    <cfRule type="iconSet" priority="2">
      <iconSet>
        <cfvo type="percent" val="0"/>
        <cfvo type="num" val="-1"/>
        <cfvo type="num" val="0"/>
      </iconSet>
    </cfRule>
  </conditionalFormatting>
  <conditionalFormatting sqref="P18">
    <cfRule type="iconSet" priority="1">
      <iconSet>
        <cfvo type="percent" val="0"/>
        <cfvo type="num" val="-1"/>
        <cfvo type="num" val="0"/>
      </iconSet>
    </cfRule>
  </conditionalFormatting>
  <conditionalFormatting sqref="P37">
    <cfRule type="iconSet" priority="25">
      <iconSet>
        <cfvo type="percent" val="0"/>
        <cfvo type="num" val="-1"/>
        <cfvo type="num" val="0"/>
      </iconSet>
    </cfRule>
  </conditionalFormatting>
  <conditionalFormatting sqref="P56">
    <cfRule type="iconSet" priority="21">
      <iconSet>
        <cfvo type="percent" val="0"/>
        <cfvo type="num" val="-1"/>
        <cfvo type="num" val="0"/>
      </iconSet>
    </cfRule>
  </conditionalFormatting>
  <conditionalFormatting sqref="P75">
    <cfRule type="iconSet" priority="17">
      <iconSet>
        <cfvo type="percent" val="0"/>
        <cfvo type="num" val="-1"/>
        <cfvo type="num" val="0"/>
      </iconSet>
    </cfRule>
  </conditionalFormatting>
  <conditionalFormatting sqref="P94">
    <cfRule type="iconSet" priority="13">
      <iconSet>
        <cfvo type="percent" val="0"/>
        <cfvo type="num" val="-1"/>
        <cfvo type="num" val="0"/>
      </iconSet>
    </cfRule>
  </conditionalFormatting>
  <conditionalFormatting sqref="P112">
    <cfRule type="iconSet" priority="9">
      <iconSet>
        <cfvo type="percent" val="0"/>
        <cfvo type="num" val="-1"/>
        <cfvo type="num" val="0"/>
      </iconSet>
    </cfRule>
  </conditionalFormatting>
  <conditionalFormatting sqref="P130">
    <cfRule type="iconSet" priority="5">
      <iconSet>
        <cfvo type="percent" val="0"/>
        <cfvo type="num" val="-1"/>
        <cfvo type="num" val="0"/>
      </iconSet>
    </cfRule>
  </conditionalFormatting>
  <conditionalFormatting sqref="W18">
    <cfRule type="iconSet" priority="28">
      <iconSet>
        <cfvo type="percent" val="0"/>
        <cfvo type="num" val="-1"/>
        <cfvo type="num" val="0"/>
      </iconSet>
    </cfRule>
  </conditionalFormatting>
  <conditionalFormatting sqref="W37">
    <cfRule type="iconSet" priority="24">
      <iconSet>
        <cfvo type="percent" val="0"/>
        <cfvo type="num" val="-1"/>
        <cfvo type="num" val="0"/>
      </iconSet>
    </cfRule>
  </conditionalFormatting>
  <conditionalFormatting sqref="W56">
    <cfRule type="iconSet" priority="20">
      <iconSet>
        <cfvo type="percent" val="0"/>
        <cfvo type="num" val="-1"/>
        <cfvo type="num" val="0"/>
      </iconSet>
    </cfRule>
  </conditionalFormatting>
  <conditionalFormatting sqref="W75">
    <cfRule type="iconSet" priority="16">
      <iconSet>
        <cfvo type="percent" val="0"/>
        <cfvo type="num" val="-1"/>
        <cfvo type="num" val="0"/>
      </iconSet>
    </cfRule>
  </conditionalFormatting>
  <conditionalFormatting sqref="W94">
    <cfRule type="iconSet" priority="12">
      <iconSet>
        <cfvo type="percent" val="0"/>
        <cfvo type="num" val="-1"/>
        <cfvo type="num" val="0"/>
      </iconSet>
    </cfRule>
  </conditionalFormatting>
  <conditionalFormatting sqref="W112">
    <cfRule type="iconSet" priority="8">
      <iconSet>
        <cfvo type="percent" val="0"/>
        <cfvo type="num" val="-1"/>
        <cfvo type="num" val="0"/>
      </iconSet>
    </cfRule>
  </conditionalFormatting>
  <conditionalFormatting sqref="W130">
    <cfRule type="iconSet" priority="4">
      <iconSet>
        <cfvo type="percent" val="0"/>
        <cfvo type="num" val="-1"/>
        <cfvo type="num" val="0"/>
      </iconSet>
    </cfRule>
  </conditionalFormatting>
  <pageMargins left="0.511811024" right="0.511811024" top="0.78740157499999996" bottom="0.78740157499999996" header="0.31496062000000002" footer="0.31496062000000002"/>
  <ignoredErrors>
    <ignoredError sqref="D48"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N88"/>
  <sheetViews>
    <sheetView showGridLines="0" tabSelected="1" topLeftCell="A52" workbookViewId="0">
      <selection activeCell="I26" sqref="I26"/>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140625" customWidth="1"/>
    <col min="10" max="10" width="13.42578125" bestFit="1" customWidth="1"/>
    <col min="11" max="11" width="10.42578125" bestFit="1" customWidth="1"/>
    <col min="12" max="12" width="10.5703125" bestFit="1" customWidth="1"/>
    <col min="13" max="13" width="10.42578125" bestFit="1" customWidth="1"/>
    <col min="14" max="14" width="13.28515625" bestFit="1" customWidth="1"/>
    <col min="15" max="20" width="10.42578125" bestFit="1" customWidth="1"/>
    <col min="21" max="21" width="12.140625" bestFit="1" customWidth="1"/>
    <col min="26" max="26" width="10.42578125" bestFit="1" customWidth="1"/>
    <col min="27" max="27" width="10.5703125" bestFit="1" customWidth="1"/>
    <col min="29" max="29" width="12.140625" bestFit="1" customWidth="1"/>
    <col min="34" max="34" width="10.140625" bestFit="1" customWidth="1"/>
    <col min="35" max="35" width="13.28515625" bestFit="1" customWidth="1"/>
    <col min="36" max="36" width="10.42578125" bestFit="1" customWidth="1"/>
    <col min="37" max="37" width="13.28515625" bestFit="1" customWidth="1"/>
  </cols>
  <sheetData>
    <row r="2" spans="1:37" x14ac:dyDescent="0.25">
      <c r="A2" t="s">
        <v>0</v>
      </c>
      <c r="B2" s="79" t="s">
        <v>87</v>
      </c>
      <c r="C2" s="79"/>
      <c r="D2" s="1" t="s">
        <v>1</v>
      </c>
      <c r="E2" s="79" t="s">
        <v>86</v>
      </c>
      <c r="F2" s="79"/>
      <c r="H2" t="s">
        <v>85</v>
      </c>
      <c r="I2" s="68">
        <v>3000</v>
      </c>
    </row>
    <row r="3" spans="1:37" x14ac:dyDescent="0.25">
      <c r="A3" t="s">
        <v>80</v>
      </c>
      <c r="B3" s="79"/>
      <c r="C3" s="79"/>
      <c r="D3" s="1" t="s">
        <v>1</v>
      </c>
      <c r="E3" s="79"/>
      <c r="F3" s="79"/>
      <c r="H3" t="s">
        <v>81</v>
      </c>
      <c r="I3" s="54"/>
    </row>
    <row r="4" spans="1:37" x14ac:dyDescent="0.25">
      <c r="A4" t="s">
        <v>2</v>
      </c>
      <c r="B4" s="80">
        <v>3837</v>
      </c>
      <c r="C4" s="80"/>
      <c r="D4" s="1" t="s">
        <v>29</v>
      </c>
      <c r="E4" s="81">
        <v>45</v>
      </c>
      <c r="F4" s="81"/>
      <c r="H4" t="s">
        <v>70</v>
      </c>
      <c r="I4" s="67">
        <v>45916</v>
      </c>
    </row>
    <row r="7" spans="1:37" ht="21" x14ac:dyDescent="0.35">
      <c r="A7" s="82" t="s">
        <v>28</v>
      </c>
      <c r="B7" s="82"/>
      <c r="C7" s="82"/>
      <c r="D7" s="82"/>
      <c r="E7" s="82"/>
      <c r="F7" s="82"/>
      <c r="G7" s="82"/>
      <c r="H7" s="82"/>
      <c r="J7" s="84" t="s">
        <v>26</v>
      </c>
      <c r="K7" s="84"/>
      <c r="L7" s="84"/>
      <c r="M7" s="84"/>
      <c r="N7" s="84"/>
      <c r="O7" s="84"/>
      <c r="P7" s="84"/>
      <c r="Q7" s="84"/>
      <c r="R7" s="84"/>
      <c r="S7" s="84"/>
      <c r="T7" s="84"/>
      <c r="U7" s="84"/>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4" t="s">
        <v>3</v>
      </c>
      <c r="C9" s="74"/>
      <c r="D9" s="74"/>
      <c r="E9" s="74"/>
      <c r="F9" s="74"/>
      <c r="G9" s="74"/>
      <c r="H9" s="74"/>
      <c r="J9" s="75" t="s">
        <v>3</v>
      </c>
      <c r="K9" s="75"/>
      <c r="L9" s="75"/>
      <c r="M9" s="75"/>
      <c r="N9" s="75"/>
      <c r="O9" s="75"/>
      <c r="P9" s="75"/>
      <c r="Q9" s="75"/>
      <c r="R9" s="75"/>
      <c r="S9" s="75"/>
      <c r="T9" s="75"/>
      <c r="U9" s="75"/>
      <c r="W9" s="76" t="s">
        <v>3</v>
      </c>
      <c r="X9" s="76"/>
      <c r="Y9" s="76"/>
      <c r="Z9" s="76"/>
      <c r="AA9" s="76"/>
      <c r="AB9" s="76"/>
      <c r="AC9" s="76"/>
      <c r="AE9" s="77" t="s">
        <v>3</v>
      </c>
      <c r="AF9" s="77"/>
      <c r="AG9" s="77"/>
      <c r="AH9" s="77"/>
      <c r="AI9" s="77"/>
      <c r="AJ9" s="77"/>
      <c r="AK9" s="77"/>
    </row>
    <row r="10" spans="1:37" ht="15.75" thickBot="1" x14ac:dyDescent="0.3">
      <c r="A10" s="78"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4" t="s">
        <v>13</v>
      </c>
      <c r="C13" s="74"/>
      <c r="D13" s="74"/>
      <c r="E13" s="74"/>
      <c r="F13" s="74"/>
      <c r="G13" s="74"/>
      <c r="H13" s="74"/>
      <c r="J13" s="75" t="s">
        <v>13</v>
      </c>
      <c r="K13" s="75"/>
      <c r="L13" s="75"/>
      <c r="M13" s="75"/>
      <c r="N13" s="75"/>
      <c r="O13" s="75"/>
      <c r="P13" s="75"/>
      <c r="Q13" s="75"/>
      <c r="R13" s="75"/>
      <c r="S13" s="75"/>
      <c r="T13" s="75"/>
      <c r="U13" s="75"/>
      <c r="W13" s="76" t="str">
        <f>J13</f>
        <v>Março</v>
      </c>
      <c r="X13" s="76"/>
      <c r="Y13" s="76"/>
      <c r="Z13" s="76"/>
      <c r="AA13" s="76"/>
      <c r="AB13" s="76"/>
      <c r="AC13" s="76"/>
      <c r="AE13" s="77" t="str">
        <f>W13</f>
        <v>Março</v>
      </c>
      <c r="AF13" s="77"/>
      <c r="AG13" s="77"/>
      <c r="AH13" s="77"/>
      <c r="AI13" s="77"/>
      <c r="AJ13" s="77"/>
      <c r="AK13" s="77"/>
    </row>
    <row r="14" spans="1:37" ht="15.75" thickBot="1" x14ac:dyDescent="0.3">
      <c r="A14" s="78"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4" t="s">
        <v>14</v>
      </c>
      <c r="C17" s="74"/>
      <c r="D17" s="74"/>
      <c r="E17" s="74"/>
      <c r="F17" s="74"/>
      <c r="G17" s="74"/>
      <c r="H17" s="74"/>
      <c r="J17" s="75" t="s">
        <v>14</v>
      </c>
      <c r="K17" s="75"/>
      <c r="L17" s="75"/>
      <c r="M17" s="75"/>
      <c r="N17" s="75"/>
      <c r="O17" s="75"/>
      <c r="P17" s="75"/>
      <c r="Q17" s="75"/>
      <c r="R17" s="75"/>
      <c r="S17" s="75"/>
      <c r="T17" s="75"/>
      <c r="U17" s="75"/>
      <c r="W17" s="76" t="str">
        <f>J17</f>
        <v>Abril</v>
      </c>
      <c r="X17" s="76"/>
      <c r="Y17" s="76"/>
      <c r="Z17" s="76"/>
      <c r="AA17" s="76"/>
      <c r="AB17" s="76"/>
      <c r="AC17" s="76"/>
      <c r="AE17" s="77" t="str">
        <f>W17</f>
        <v>Abril</v>
      </c>
      <c r="AF17" s="77"/>
      <c r="AG17" s="77"/>
      <c r="AH17" s="77"/>
      <c r="AI17" s="77"/>
      <c r="AJ17" s="77"/>
      <c r="AK17" s="77"/>
    </row>
    <row r="18" spans="1:37"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4" t="s">
        <v>15</v>
      </c>
      <c r="C21" s="74"/>
      <c r="D21" s="74"/>
      <c r="E21" s="74"/>
      <c r="F21" s="74"/>
      <c r="G21" s="74"/>
      <c r="H21" s="74"/>
      <c r="J21" s="75" t="s">
        <v>15</v>
      </c>
      <c r="K21" s="75"/>
      <c r="L21" s="75"/>
      <c r="M21" s="75"/>
      <c r="N21" s="75"/>
      <c r="O21" s="75"/>
      <c r="P21" s="75"/>
      <c r="Q21" s="75"/>
      <c r="R21" s="75"/>
      <c r="S21" s="75"/>
      <c r="T21" s="75"/>
      <c r="U21" s="75"/>
      <c r="W21" s="76" t="str">
        <f>J21</f>
        <v>Maio</v>
      </c>
      <c r="X21" s="76"/>
      <c r="Y21" s="76"/>
      <c r="Z21" s="76"/>
      <c r="AA21" s="76"/>
      <c r="AB21" s="76"/>
      <c r="AC21" s="76"/>
      <c r="AE21" s="77" t="str">
        <f>W21</f>
        <v>Maio</v>
      </c>
      <c r="AF21" s="77"/>
      <c r="AG21" s="77"/>
      <c r="AH21" s="77"/>
      <c r="AI21" s="77"/>
      <c r="AJ21" s="77"/>
      <c r="AK21" s="77"/>
    </row>
    <row r="22" spans="1:37"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4" t="s">
        <v>24</v>
      </c>
      <c r="C25" s="74"/>
      <c r="D25" s="74"/>
      <c r="E25" s="74"/>
      <c r="F25" s="74"/>
      <c r="G25" s="74"/>
      <c r="H25" s="74"/>
      <c r="J25" s="75" t="s">
        <v>24</v>
      </c>
      <c r="K25" s="75"/>
      <c r="L25" s="75"/>
      <c r="M25" s="75"/>
      <c r="N25" s="75"/>
      <c r="O25" s="75"/>
      <c r="P25" s="75"/>
      <c r="Q25" s="75"/>
      <c r="R25" s="75"/>
      <c r="S25" s="75"/>
      <c r="T25" s="75"/>
      <c r="U25" s="75"/>
      <c r="W25" s="76" t="str">
        <f>J25</f>
        <v>Junho</v>
      </c>
      <c r="X25" s="76"/>
      <c r="Y25" s="76"/>
      <c r="Z25" s="76"/>
      <c r="AA25" s="76"/>
      <c r="AB25" s="76"/>
      <c r="AC25" s="76"/>
      <c r="AE25" s="77" t="str">
        <f>W25</f>
        <v>Junho</v>
      </c>
      <c r="AF25" s="77"/>
      <c r="AG25" s="77"/>
      <c r="AH25" s="77"/>
      <c r="AI25" s="77"/>
      <c r="AJ25" s="77"/>
      <c r="AK25" s="77"/>
    </row>
    <row r="26" spans="1:37"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4" t="s">
        <v>16</v>
      </c>
      <c r="C29" s="74"/>
      <c r="D29" s="74"/>
      <c r="E29" s="74"/>
      <c r="F29" s="74"/>
      <c r="G29" s="74"/>
      <c r="H29" s="74"/>
      <c r="J29" s="75" t="s">
        <v>16</v>
      </c>
      <c r="K29" s="75"/>
      <c r="L29" s="75"/>
      <c r="M29" s="75"/>
      <c r="N29" s="75"/>
      <c r="O29" s="75"/>
      <c r="P29" s="75"/>
      <c r="Q29" s="75"/>
      <c r="R29" s="75"/>
      <c r="S29" s="75"/>
      <c r="T29" s="75"/>
      <c r="U29" s="75"/>
      <c r="W29" s="76" t="str">
        <f>J29</f>
        <v>Julho</v>
      </c>
      <c r="X29" s="76"/>
      <c r="Y29" s="76"/>
      <c r="Z29" s="76"/>
      <c r="AA29" s="76"/>
      <c r="AB29" s="76"/>
      <c r="AC29" s="76"/>
      <c r="AE29" s="77" t="str">
        <f>W29</f>
        <v>Julho</v>
      </c>
      <c r="AF29" s="77"/>
      <c r="AG29" s="77"/>
      <c r="AH29" s="77"/>
      <c r="AI29" s="77"/>
      <c r="AJ29" s="77"/>
      <c r="AK29" s="77"/>
    </row>
    <row r="30" spans="1:37"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4" t="s">
        <v>17</v>
      </c>
      <c r="C33" s="74"/>
      <c r="D33" s="74"/>
      <c r="E33" s="74"/>
      <c r="F33" s="74"/>
      <c r="G33" s="74"/>
      <c r="H33" s="74"/>
      <c r="J33" s="75" t="s">
        <v>17</v>
      </c>
      <c r="K33" s="75"/>
      <c r="L33" s="75"/>
      <c r="M33" s="75"/>
      <c r="N33" s="75"/>
      <c r="O33" s="75"/>
      <c r="P33" s="75"/>
      <c r="Q33" s="75"/>
      <c r="R33" s="75"/>
      <c r="S33" s="75"/>
      <c r="T33" s="75"/>
      <c r="U33" s="75"/>
      <c r="W33" s="76" t="str">
        <f>J33</f>
        <v>Agosto</v>
      </c>
      <c r="X33" s="76"/>
      <c r="Y33" s="76"/>
      <c r="Z33" s="76"/>
      <c r="AA33" s="76"/>
      <c r="AB33" s="76"/>
      <c r="AC33" s="76"/>
      <c r="AE33" s="77" t="str">
        <f>W33</f>
        <v>Agosto</v>
      </c>
      <c r="AF33" s="77"/>
      <c r="AG33" s="77"/>
      <c r="AH33" s="77"/>
      <c r="AI33" s="77"/>
      <c r="AJ33" s="77"/>
      <c r="AK33" s="77"/>
    </row>
    <row r="34" spans="1:37"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4" t="s">
        <v>18</v>
      </c>
      <c r="C37" s="74"/>
      <c r="D37" s="74"/>
      <c r="E37" s="74"/>
      <c r="F37" s="74"/>
      <c r="G37" s="74"/>
      <c r="H37" s="74"/>
      <c r="J37" s="75" t="s">
        <v>18</v>
      </c>
      <c r="K37" s="75"/>
      <c r="L37" s="75"/>
      <c r="M37" s="75"/>
      <c r="N37" s="75"/>
      <c r="O37" s="75"/>
      <c r="P37" s="75"/>
      <c r="Q37" s="75"/>
      <c r="R37" s="75"/>
      <c r="S37" s="75"/>
      <c r="T37" s="75"/>
      <c r="U37" s="75"/>
      <c r="W37" s="76" t="str">
        <f>J37</f>
        <v>Setembro</v>
      </c>
      <c r="X37" s="76"/>
      <c r="Y37" s="76"/>
      <c r="Z37" s="76"/>
      <c r="AA37" s="76"/>
      <c r="AB37" s="76"/>
      <c r="AC37" s="76"/>
      <c r="AE37" s="77" t="str">
        <f>W37</f>
        <v>Setembro</v>
      </c>
      <c r="AF37" s="77"/>
      <c r="AG37" s="77"/>
      <c r="AH37" s="77"/>
      <c r="AI37" s="77"/>
      <c r="AJ37" s="77"/>
      <c r="AK37" s="77"/>
    </row>
    <row r="38" spans="1:37" ht="15.75" thickBot="1" x14ac:dyDescent="0.3">
      <c r="A38" s="78" t="s">
        <v>5</v>
      </c>
      <c r="B38" s="34" t="s">
        <v>6</v>
      </c>
      <c r="C38" s="22" t="s">
        <v>7</v>
      </c>
      <c r="D38" s="33" t="s">
        <v>8</v>
      </c>
      <c r="E38" s="22" t="s">
        <v>9</v>
      </c>
      <c r="F38" s="24" t="s">
        <v>10</v>
      </c>
      <c r="G38" s="23" t="s">
        <v>11</v>
      </c>
      <c r="H38" s="25" t="s">
        <v>12</v>
      </c>
      <c r="J38" s="6" t="s">
        <v>4</v>
      </c>
      <c r="K38" s="9">
        <v>45917</v>
      </c>
      <c r="L38" s="66">
        <v>45920</v>
      </c>
      <c r="M38" s="66">
        <v>45923</v>
      </c>
      <c r="N38" s="66">
        <v>45925</v>
      </c>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8"/>
      <c r="B39" s="26"/>
      <c r="C39" s="27"/>
      <c r="D39" s="27">
        <v>4262</v>
      </c>
      <c r="E39" s="27">
        <v>6038</v>
      </c>
      <c r="F39" s="27">
        <f>SUM(C39-B39)</f>
        <v>0</v>
      </c>
      <c r="G39" s="20">
        <f>SUM(E39-D39)</f>
        <v>1776</v>
      </c>
      <c r="H39" s="21">
        <f>SUM(F39:G39)</f>
        <v>1776</v>
      </c>
      <c r="J39" s="7" t="s">
        <v>22</v>
      </c>
      <c r="K39" s="10">
        <v>227.42</v>
      </c>
      <c r="L39" s="11">
        <v>121.12</v>
      </c>
      <c r="M39" s="11">
        <v>114.24</v>
      </c>
      <c r="N39" s="11">
        <v>214.27</v>
      </c>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677.05</v>
      </c>
      <c r="AB40" s="8" t="s">
        <v>23</v>
      </c>
      <c r="AC40" s="13">
        <f>SUM(X39:AC39)</f>
        <v>0</v>
      </c>
      <c r="AJ40" s="8" t="s">
        <v>23</v>
      </c>
      <c r="AK40" s="13">
        <f>SUM(AF39:AK39)</f>
        <v>0</v>
      </c>
    </row>
    <row r="41" spans="1:37" ht="15.75" thickBot="1" x14ac:dyDescent="0.3">
      <c r="A41" s="19"/>
      <c r="B41" s="74" t="s">
        <v>19</v>
      </c>
      <c r="C41" s="74"/>
      <c r="D41" s="74"/>
      <c r="E41" s="74"/>
      <c r="F41" s="74"/>
      <c r="G41" s="74"/>
      <c r="H41" s="74"/>
      <c r="J41" s="75" t="s">
        <v>19</v>
      </c>
      <c r="K41" s="75"/>
      <c r="L41" s="75"/>
      <c r="M41" s="75"/>
      <c r="N41" s="75"/>
      <c r="O41" s="75"/>
      <c r="P41" s="75"/>
      <c r="Q41" s="75"/>
      <c r="R41" s="75"/>
      <c r="S41" s="75"/>
      <c r="T41" s="75"/>
      <c r="U41" s="75"/>
      <c r="W41" s="76" t="str">
        <f>J41</f>
        <v>Outubro</v>
      </c>
      <c r="X41" s="76"/>
      <c r="Y41" s="76"/>
      <c r="Z41" s="76"/>
      <c r="AA41" s="76"/>
      <c r="AB41" s="76"/>
      <c r="AC41" s="76"/>
      <c r="AE41" s="77" t="str">
        <f>W41</f>
        <v>Outubro</v>
      </c>
      <c r="AF41" s="77"/>
      <c r="AG41" s="77"/>
      <c r="AH41" s="77"/>
      <c r="AI41" s="77"/>
      <c r="AJ41" s="77"/>
      <c r="AK41" s="77"/>
    </row>
    <row r="42" spans="1:37" ht="15.75" thickBot="1" x14ac:dyDescent="0.3">
      <c r="A42" s="78" t="s">
        <v>5</v>
      </c>
      <c r="B42" s="34" t="s">
        <v>6</v>
      </c>
      <c r="C42" s="22" t="s">
        <v>7</v>
      </c>
      <c r="D42" s="33" t="s">
        <v>8</v>
      </c>
      <c r="E42" s="22" t="s">
        <v>9</v>
      </c>
      <c r="F42" s="24" t="s">
        <v>10</v>
      </c>
      <c r="G42" s="23" t="s">
        <v>11</v>
      </c>
      <c r="H42" s="25" t="s">
        <v>12</v>
      </c>
      <c r="J42" s="6" t="s">
        <v>4</v>
      </c>
      <c r="K42" s="9">
        <v>45931</v>
      </c>
      <c r="L42" s="66">
        <v>45933</v>
      </c>
      <c r="M42" s="66">
        <v>45937</v>
      </c>
      <c r="N42" s="66">
        <v>45939</v>
      </c>
      <c r="O42" s="66">
        <v>45941</v>
      </c>
      <c r="P42" s="66">
        <v>45944</v>
      </c>
      <c r="Q42" s="66">
        <v>45946</v>
      </c>
      <c r="R42" s="66">
        <v>45948</v>
      </c>
      <c r="S42" s="66">
        <v>45951</v>
      </c>
      <c r="T42" s="66">
        <v>45954</v>
      </c>
      <c r="U42" s="5"/>
      <c r="W42" s="6" t="s">
        <v>4</v>
      </c>
      <c r="X42" s="9"/>
      <c r="Y42" s="4"/>
      <c r="Z42" s="4"/>
      <c r="AA42" s="4"/>
      <c r="AB42" s="4"/>
      <c r="AC42" s="5"/>
      <c r="AE42" s="6" t="s">
        <v>4</v>
      </c>
      <c r="AF42" s="9"/>
      <c r="AG42" s="4"/>
      <c r="AH42" s="4"/>
      <c r="AI42" s="4"/>
      <c r="AJ42" s="4"/>
      <c r="AK42" s="5"/>
    </row>
    <row r="43" spans="1:37" ht="15.75" thickBot="1" x14ac:dyDescent="0.3">
      <c r="A43" s="78"/>
      <c r="B43" s="26">
        <v>6038</v>
      </c>
      <c r="C43" s="27">
        <v>8103</v>
      </c>
      <c r="D43" s="27">
        <v>8103</v>
      </c>
      <c r="E43" s="27">
        <v>9184</v>
      </c>
      <c r="F43" s="27">
        <f>SUM(C43-B43)</f>
        <v>2065</v>
      </c>
      <c r="G43" s="20">
        <f>SUM(E43-D43)</f>
        <v>1081</v>
      </c>
      <c r="H43" s="21">
        <f>SUM(F43:G43)</f>
        <v>3146</v>
      </c>
      <c r="J43" s="7" t="s">
        <v>22</v>
      </c>
      <c r="K43" s="10">
        <v>239.31</v>
      </c>
      <c r="L43" s="11">
        <v>242.58</v>
      </c>
      <c r="M43" s="11">
        <v>211.09</v>
      </c>
      <c r="N43" s="11">
        <v>217.1</v>
      </c>
      <c r="O43" s="11">
        <v>99.59</v>
      </c>
      <c r="P43" s="11">
        <v>211.56</v>
      </c>
      <c r="Q43" s="11">
        <v>225.05</v>
      </c>
      <c r="R43" s="11">
        <v>114.85</v>
      </c>
      <c r="S43" s="11">
        <v>200</v>
      </c>
      <c r="T43" s="11">
        <v>191.26</v>
      </c>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1952.3899999999999</v>
      </c>
      <c r="AB44" s="8" t="s">
        <v>23</v>
      </c>
      <c r="AC44" s="13">
        <f>SUM(X43:AC43)</f>
        <v>0</v>
      </c>
      <c r="AJ44" s="8" t="s">
        <v>23</v>
      </c>
      <c r="AK44" s="13">
        <f>SUM(AF43:AK43)</f>
        <v>0</v>
      </c>
    </row>
    <row r="45" spans="1:37" ht="15.75" thickBot="1" x14ac:dyDescent="0.3">
      <c r="A45" s="19"/>
      <c r="B45" s="74" t="s">
        <v>20</v>
      </c>
      <c r="C45" s="74"/>
      <c r="D45" s="74"/>
      <c r="E45" s="74"/>
      <c r="F45" s="74"/>
      <c r="G45" s="74"/>
      <c r="H45" s="74"/>
      <c r="J45" s="75" t="s">
        <v>20</v>
      </c>
      <c r="K45" s="75"/>
      <c r="L45" s="75"/>
      <c r="M45" s="75"/>
      <c r="N45" s="75"/>
      <c r="O45" s="75"/>
      <c r="P45" s="75"/>
      <c r="Q45" s="75"/>
      <c r="R45" s="75"/>
      <c r="S45" s="75"/>
      <c r="T45" s="75"/>
      <c r="U45" s="75"/>
      <c r="W45" s="76" t="str">
        <f>J45</f>
        <v>Novembro</v>
      </c>
      <c r="X45" s="76"/>
      <c r="Y45" s="76"/>
      <c r="Z45" s="76"/>
      <c r="AA45" s="76"/>
      <c r="AB45" s="76"/>
      <c r="AC45" s="76"/>
      <c r="AE45" s="77" t="str">
        <f>W45</f>
        <v>Novembro</v>
      </c>
      <c r="AF45" s="77"/>
      <c r="AG45" s="77"/>
      <c r="AH45" s="77"/>
      <c r="AI45" s="77"/>
      <c r="AJ45" s="77"/>
      <c r="AK45" s="77"/>
    </row>
    <row r="46" spans="1:37" ht="15.75" thickBot="1" x14ac:dyDescent="0.3">
      <c r="A46" s="78" t="s">
        <v>5</v>
      </c>
      <c r="B46" s="34" t="s">
        <v>6</v>
      </c>
      <c r="C46" s="22" t="s">
        <v>7</v>
      </c>
      <c r="D46" s="33" t="s">
        <v>8</v>
      </c>
      <c r="E46" s="22" t="s">
        <v>9</v>
      </c>
      <c r="F46" s="24" t="s">
        <v>10</v>
      </c>
      <c r="G46" s="23" t="s">
        <v>11</v>
      </c>
      <c r="H46" s="25" t="s">
        <v>12</v>
      </c>
      <c r="J46" s="6" t="s">
        <v>4</v>
      </c>
      <c r="K46" s="9">
        <v>45965</v>
      </c>
      <c r="L46" s="66">
        <v>45967</v>
      </c>
      <c r="M46" s="66">
        <v>45972</v>
      </c>
      <c r="N46" s="66">
        <v>45974</v>
      </c>
      <c r="O46" s="66">
        <v>45976</v>
      </c>
      <c r="P46" s="66">
        <v>45979</v>
      </c>
      <c r="Q46" s="66">
        <v>45982</v>
      </c>
      <c r="R46" s="66">
        <v>45986</v>
      </c>
      <c r="S46" s="66">
        <v>45989</v>
      </c>
      <c r="T46" s="4"/>
      <c r="U46" s="5"/>
      <c r="W46" s="6" t="s">
        <v>4</v>
      </c>
      <c r="X46" s="9"/>
      <c r="Y46" s="4"/>
      <c r="Z46" s="4"/>
      <c r="AA46" s="4"/>
      <c r="AB46" s="4"/>
      <c r="AC46" s="5"/>
      <c r="AE46" s="6" t="s">
        <v>4</v>
      </c>
      <c r="AF46" s="9"/>
      <c r="AG46" s="4"/>
      <c r="AH46" s="4"/>
      <c r="AI46" s="4"/>
      <c r="AJ46" s="4"/>
      <c r="AK46" s="5"/>
    </row>
    <row r="47" spans="1:37" ht="15.75" thickBot="1" x14ac:dyDescent="0.3">
      <c r="A47" s="78"/>
      <c r="B47" s="27">
        <v>9184</v>
      </c>
      <c r="C47" s="27">
        <v>10449</v>
      </c>
      <c r="D47" s="27">
        <v>10449</v>
      </c>
      <c r="E47" s="27">
        <v>11496</v>
      </c>
      <c r="F47" s="27">
        <f>SUM(C47-B47)</f>
        <v>1265</v>
      </c>
      <c r="G47" s="20">
        <f>SUM(E47-D47)</f>
        <v>1047</v>
      </c>
      <c r="H47" s="21">
        <f>SUM(F47:G47)</f>
        <v>2312</v>
      </c>
      <c r="J47" s="7" t="s">
        <v>22</v>
      </c>
      <c r="K47" s="10">
        <v>200.06</v>
      </c>
      <c r="L47" s="11">
        <v>120.24</v>
      </c>
      <c r="M47" s="11">
        <v>215.59</v>
      </c>
      <c r="N47" s="11">
        <v>110.61</v>
      </c>
      <c r="O47" s="11">
        <v>63</v>
      </c>
      <c r="P47" s="11">
        <v>177.05</v>
      </c>
      <c r="Q47" s="11">
        <v>228.41</v>
      </c>
      <c r="R47" s="11">
        <v>160</v>
      </c>
      <c r="S47" s="11">
        <v>145.91</v>
      </c>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1420.8700000000001</v>
      </c>
      <c r="AB48" s="8" t="s">
        <v>23</v>
      </c>
      <c r="AC48" s="13">
        <f>SUM(X47:AC47)</f>
        <v>0</v>
      </c>
      <c r="AJ48" s="8" t="s">
        <v>23</v>
      </c>
      <c r="AK48" s="13">
        <f>SUM(AF47:AK47)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W49" s="76" t="str">
        <f>J49</f>
        <v>Dezembro</v>
      </c>
      <c r="X49" s="76"/>
      <c r="Y49" s="76"/>
      <c r="Z49" s="76"/>
      <c r="AA49" s="76"/>
      <c r="AB49" s="76"/>
      <c r="AC49" s="76"/>
      <c r="AE49" s="77" t="str">
        <f>W49</f>
        <v>Dezembro</v>
      </c>
      <c r="AF49" s="77"/>
      <c r="AG49" s="77"/>
      <c r="AH49" s="77"/>
      <c r="AI49" s="77"/>
      <c r="AJ49" s="77"/>
      <c r="AK49" s="77"/>
    </row>
    <row r="50" spans="1:40" ht="15.75" thickBot="1" x14ac:dyDescent="0.3">
      <c r="A50" s="78" t="s">
        <v>5</v>
      </c>
      <c r="B50" s="34" t="s">
        <v>6</v>
      </c>
      <c r="C50" s="22" t="s">
        <v>7</v>
      </c>
      <c r="D50" s="33" t="s">
        <v>8</v>
      </c>
      <c r="E50" s="22" t="s">
        <v>9</v>
      </c>
      <c r="F50" s="24" t="s">
        <v>10</v>
      </c>
      <c r="G50" s="23" t="s">
        <v>11</v>
      </c>
      <c r="H50" s="25" t="s">
        <v>12</v>
      </c>
      <c r="J50" s="6" t="s">
        <v>4</v>
      </c>
      <c r="K50" s="9">
        <v>45994</v>
      </c>
      <c r="L50" s="66">
        <v>45997</v>
      </c>
      <c r="M50" s="66">
        <v>46000</v>
      </c>
      <c r="N50" s="66">
        <v>46002</v>
      </c>
      <c r="O50" s="66">
        <v>46004</v>
      </c>
      <c r="P50" s="66">
        <v>46007</v>
      </c>
      <c r="Q50" s="66">
        <v>46009</v>
      </c>
      <c r="R50" s="66">
        <v>46021</v>
      </c>
      <c r="S50" s="4"/>
      <c r="T50" s="4"/>
      <c r="U50" s="5"/>
      <c r="W50" s="6" t="s">
        <v>4</v>
      </c>
      <c r="X50" s="9"/>
      <c r="Y50" s="4"/>
      <c r="Z50" s="4"/>
      <c r="AA50" s="4"/>
      <c r="AB50" s="4"/>
      <c r="AC50" s="5"/>
      <c r="AE50" s="6" t="s">
        <v>4</v>
      </c>
      <c r="AF50" s="9"/>
      <c r="AG50" s="4"/>
      <c r="AH50" s="4"/>
      <c r="AI50" s="4"/>
      <c r="AJ50" s="4"/>
      <c r="AK50" s="5"/>
    </row>
    <row r="51" spans="1:40" ht="15.75" thickBot="1" x14ac:dyDescent="0.3">
      <c r="A51" s="78"/>
      <c r="B51" s="27">
        <v>11496</v>
      </c>
      <c r="C51" s="27">
        <v>12850</v>
      </c>
      <c r="D51" s="27">
        <v>12850</v>
      </c>
      <c r="E51" s="27">
        <v>13759</v>
      </c>
      <c r="F51" s="27">
        <f>SUM(C51-B51)</f>
        <v>1354</v>
      </c>
      <c r="G51" s="20">
        <f>SUM(E51-D51)</f>
        <v>909</v>
      </c>
      <c r="H51" s="21">
        <f>SUM(F51:G51)</f>
        <v>2263</v>
      </c>
      <c r="J51" s="7" t="s">
        <v>22</v>
      </c>
      <c r="K51" s="10">
        <v>140</v>
      </c>
      <c r="L51" s="11">
        <v>183.74</v>
      </c>
      <c r="M51" s="11">
        <v>151.05000000000001</v>
      </c>
      <c r="N51" s="11">
        <v>197.42</v>
      </c>
      <c r="O51" s="11">
        <v>105.01</v>
      </c>
      <c r="P51" s="11">
        <v>101.05</v>
      </c>
      <c r="Q51" s="11">
        <v>100.04</v>
      </c>
      <c r="R51" s="11">
        <v>206.12</v>
      </c>
      <c r="S51" s="11"/>
      <c r="T51" s="11"/>
      <c r="U51" s="12"/>
      <c r="W51" s="7" t="s">
        <v>22</v>
      </c>
      <c r="X51" s="10"/>
      <c r="Y51" s="11"/>
      <c r="Z51" s="11"/>
      <c r="AA51" s="11"/>
      <c r="AB51" s="11"/>
      <c r="AC51" s="12"/>
      <c r="AE51" s="7" t="s">
        <v>22</v>
      </c>
      <c r="AF51" s="10"/>
      <c r="AG51" s="11"/>
      <c r="AH51" s="11"/>
      <c r="AI51" s="11"/>
      <c r="AJ51" s="11"/>
      <c r="AK51" s="12"/>
    </row>
    <row r="52" spans="1:40" x14ac:dyDescent="0.25">
      <c r="J52" s="8"/>
      <c r="T52" s="8" t="s">
        <v>23</v>
      </c>
      <c r="U52" s="13">
        <f>SUM(K51:U51)</f>
        <v>1184.4299999999998</v>
      </c>
      <c r="AB52" s="8" t="s">
        <v>23</v>
      </c>
      <c r="AC52" s="13">
        <f>SUM(X51:AC51)</f>
        <v>0</v>
      </c>
      <c r="AJ52" s="8" t="s">
        <v>23</v>
      </c>
      <c r="AK52" s="13">
        <f>SUM(AF51:AK51)</f>
        <v>0</v>
      </c>
    </row>
    <row r="53" spans="1:40" ht="15.75" thickBot="1" x14ac:dyDescent="0.3">
      <c r="A53" s="19">
        <v>2026</v>
      </c>
      <c r="B53" s="74" t="s">
        <v>100</v>
      </c>
      <c r="C53" s="74"/>
      <c r="D53" s="74"/>
      <c r="E53" s="74"/>
      <c r="F53" s="74"/>
      <c r="G53" s="74"/>
      <c r="H53" s="74"/>
      <c r="J53" s="75" t="s">
        <v>100</v>
      </c>
      <c r="K53" s="75"/>
      <c r="L53" s="75"/>
      <c r="M53" s="75"/>
      <c r="N53" s="75"/>
      <c r="O53" s="75"/>
      <c r="P53" s="75"/>
      <c r="Q53" s="75"/>
      <c r="R53" s="75"/>
      <c r="S53" s="75"/>
      <c r="T53" s="75"/>
      <c r="U53" s="75"/>
      <c r="Y53" s="76" t="s">
        <v>100</v>
      </c>
      <c r="Z53" s="76"/>
      <c r="AA53" s="76"/>
      <c r="AB53" s="76"/>
      <c r="AC53" s="76"/>
      <c r="AD53" s="76"/>
      <c r="AE53" s="76"/>
      <c r="AH53" s="77" t="s">
        <v>100</v>
      </c>
      <c r="AI53" s="77"/>
      <c r="AJ53" s="77"/>
      <c r="AK53" s="77"/>
      <c r="AL53" s="77"/>
      <c r="AM53" s="77"/>
      <c r="AN53" s="77"/>
    </row>
    <row r="54" spans="1:40" ht="15.75" thickBot="1" x14ac:dyDescent="0.3">
      <c r="A54" s="78" t="s">
        <v>5</v>
      </c>
      <c r="B54" s="34" t="s">
        <v>6</v>
      </c>
      <c r="C54" s="22" t="s">
        <v>7</v>
      </c>
      <c r="D54" s="33" t="s">
        <v>8</v>
      </c>
      <c r="E54" s="22" t="s">
        <v>9</v>
      </c>
      <c r="F54" s="24" t="s">
        <v>10</v>
      </c>
      <c r="G54" s="23" t="s">
        <v>11</v>
      </c>
      <c r="H54" s="25" t="s">
        <v>12</v>
      </c>
      <c r="J54" s="28" t="s">
        <v>4</v>
      </c>
      <c r="K54" s="9">
        <v>46028</v>
      </c>
      <c r="L54" s="66">
        <v>46030</v>
      </c>
      <c r="M54" s="66">
        <v>46036</v>
      </c>
      <c r="N54" s="66">
        <v>46039</v>
      </c>
      <c r="O54" s="66">
        <v>46042</v>
      </c>
      <c r="P54" s="66">
        <v>46044</v>
      </c>
      <c r="Q54" s="66">
        <v>46046</v>
      </c>
      <c r="R54" s="66">
        <v>46050</v>
      </c>
      <c r="S54" s="66">
        <v>46052</v>
      </c>
      <c r="T54" s="4"/>
      <c r="U54" s="5"/>
      <c r="Y54" s="6" t="s">
        <v>4</v>
      </c>
      <c r="Z54" s="9"/>
      <c r="AA54" s="4"/>
      <c r="AB54" s="4"/>
      <c r="AC54" s="4"/>
      <c r="AD54" s="4"/>
      <c r="AE54" s="5"/>
      <c r="AH54" s="6" t="s">
        <v>4</v>
      </c>
      <c r="AI54" s="9"/>
      <c r="AJ54" s="4"/>
      <c r="AK54" s="4"/>
      <c r="AL54" s="4"/>
      <c r="AM54" s="4"/>
      <c r="AN54" s="5"/>
    </row>
    <row r="55" spans="1:40" ht="15.75" thickBot="1" x14ac:dyDescent="0.3">
      <c r="A55" s="78"/>
      <c r="B55" s="27">
        <v>13759</v>
      </c>
      <c r="C55" s="27">
        <v>14370</v>
      </c>
      <c r="D55" s="27">
        <v>14370</v>
      </c>
      <c r="E55" s="27">
        <v>16161</v>
      </c>
      <c r="F55" s="27">
        <f>SUM(C55-B55)</f>
        <v>611</v>
      </c>
      <c r="G55" s="20">
        <f>SUM(E55-D55)</f>
        <v>1791</v>
      </c>
      <c r="H55" s="21">
        <f>SUM(F55:G55)</f>
        <v>2402</v>
      </c>
      <c r="J55" s="29" t="s">
        <v>22</v>
      </c>
      <c r="K55" s="10">
        <v>195.99</v>
      </c>
      <c r="L55" s="11">
        <v>125.84</v>
      </c>
      <c r="M55" s="11">
        <v>165.05</v>
      </c>
      <c r="N55" s="11">
        <v>90.03</v>
      </c>
      <c r="O55" s="11">
        <v>115</v>
      </c>
      <c r="P55" s="11">
        <v>186.98</v>
      </c>
      <c r="Q55" s="11">
        <v>219.56</v>
      </c>
      <c r="R55" s="11">
        <v>190</v>
      </c>
      <c r="S55" s="11">
        <v>156.01</v>
      </c>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1444.46</v>
      </c>
      <c r="AD56" s="8" t="s">
        <v>23</v>
      </c>
      <c r="AE56" s="13">
        <f>SUM(Z55:AE55)</f>
        <v>0</v>
      </c>
      <c r="AM56" s="8" t="s">
        <v>23</v>
      </c>
      <c r="AN56" s="13">
        <f>SUM(AI55:AN55)</f>
        <v>0</v>
      </c>
    </row>
    <row r="57" spans="1:40" ht="15.75" thickBot="1" x14ac:dyDescent="0.3">
      <c r="A57" s="19"/>
      <c r="B57" s="74" t="s">
        <v>3</v>
      </c>
      <c r="C57" s="74"/>
      <c r="D57" s="74"/>
      <c r="E57" s="74"/>
      <c r="F57" s="74"/>
      <c r="G57" s="74"/>
      <c r="H57" s="74"/>
      <c r="J57" s="75" t="s">
        <v>3</v>
      </c>
      <c r="K57" s="75"/>
      <c r="L57" s="75"/>
      <c r="M57" s="75"/>
      <c r="N57" s="75"/>
      <c r="O57" s="75"/>
      <c r="P57" s="75"/>
      <c r="Q57" s="75"/>
      <c r="R57" s="75"/>
      <c r="S57" s="75"/>
      <c r="T57" s="75"/>
      <c r="U57" s="75"/>
      <c r="Y57" s="76" t="s">
        <v>3</v>
      </c>
      <c r="Z57" s="76"/>
      <c r="AA57" s="76"/>
      <c r="AB57" s="76"/>
      <c r="AC57" s="76"/>
      <c r="AD57" s="76"/>
      <c r="AE57" s="76"/>
      <c r="AH57" s="77" t="s">
        <v>3</v>
      </c>
      <c r="AI57" s="77"/>
      <c r="AJ57" s="77"/>
      <c r="AK57" s="77"/>
      <c r="AL57" s="77"/>
      <c r="AM57" s="77"/>
      <c r="AN57" s="77"/>
    </row>
    <row r="58" spans="1:40" ht="15.75" thickBot="1" x14ac:dyDescent="0.3">
      <c r="A58" s="78" t="s">
        <v>5</v>
      </c>
      <c r="B58" s="34" t="s">
        <v>6</v>
      </c>
      <c r="C58" s="22" t="s">
        <v>7</v>
      </c>
      <c r="D58" s="33" t="s">
        <v>8</v>
      </c>
      <c r="E58" s="22" t="s">
        <v>9</v>
      </c>
      <c r="F58" s="24" t="s">
        <v>10</v>
      </c>
      <c r="G58" s="23" t="s">
        <v>11</v>
      </c>
      <c r="H58" s="25" t="s">
        <v>12</v>
      </c>
      <c r="J58" s="28" t="s">
        <v>4</v>
      </c>
      <c r="K58" s="9">
        <v>46056</v>
      </c>
      <c r="L58" s="9">
        <v>46058</v>
      </c>
      <c r="M58" s="9">
        <v>46066</v>
      </c>
      <c r="N58" s="9">
        <v>46070</v>
      </c>
      <c r="O58" s="9">
        <v>46072</v>
      </c>
      <c r="P58" s="9">
        <v>46074</v>
      </c>
      <c r="Q58" s="9">
        <v>46077</v>
      </c>
      <c r="R58" s="9">
        <v>46079</v>
      </c>
      <c r="S58" s="4"/>
      <c r="T58" s="4"/>
      <c r="U58" s="5"/>
      <c r="Y58" s="6" t="s">
        <v>4</v>
      </c>
      <c r="Z58" s="9"/>
      <c r="AA58" s="4"/>
      <c r="AB58" s="4"/>
      <c r="AC58" s="4"/>
      <c r="AD58" s="4"/>
      <c r="AE58" s="5"/>
      <c r="AH58" s="6" t="s">
        <v>4</v>
      </c>
      <c r="AI58" s="9"/>
      <c r="AJ58" s="4"/>
      <c r="AK58" s="4"/>
      <c r="AL58" s="4"/>
      <c r="AM58" s="4"/>
      <c r="AN58" s="5"/>
    </row>
    <row r="59" spans="1:40" ht="15.75" thickBot="1" x14ac:dyDescent="0.3">
      <c r="A59" s="78"/>
      <c r="B59" s="27">
        <v>16161</v>
      </c>
      <c r="C59" s="27"/>
      <c r="D59" s="27"/>
      <c r="E59" s="27">
        <v>18494</v>
      </c>
      <c r="F59" s="27">
        <f>SUM(C59-B59)</f>
        <v>-16161</v>
      </c>
      <c r="G59" s="20">
        <f>SUM(E59-D59)</f>
        <v>18494</v>
      </c>
      <c r="H59" s="21">
        <f>SUM(F59:G59)</f>
        <v>2333</v>
      </c>
      <c r="J59" s="29" t="s">
        <v>22</v>
      </c>
      <c r="K59" s="10">
        <v>140</v>
      </c>
      <c r="L59" s="11">
        <v>208.01</v>
      </c>
      <c r="M59" s="11">
        <v>111.27</v>
      </c>
      <c r="N59" s="11">
        <v>156</v>
      </c>
      <c r="O59" s="11">
        <v>190</v>
      </c>
      <c r="P59" s="11">
        <v>214.26</v>
      </c>
      <c r="Q59" s="11">
        <v>199</v>
      </c>
      <c r="R59" s="11">
        <v>190.54</v>
      </c>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1409.08</v>
      </c>
      <c r="AD60" s="8" t="s">
        <v>23</v>
      </c>
      <c r="AE60" s="13">
        <f>SUM(Z59:AE59)</f>
        <v>0</v>
      </c>
      <c r="AM60" s="8" t="s">
        <v>23</v>
      </c>
      <c r="AN60" s="13">
        <f>SUM(AI59:AN59)</f>
        <v>0</v>
      </c>
    </row>
    <row r="61" spans="1:40" ht="15.75" thickBot="1" x14ac:dyDescent="0.3">
      <c r="A61" s="19"/>
      <c r="B61" s="74" t="s">
        <v>13</v>
      </c>
      <c r="C61" s="74"/>
      <c r="D61" s="74"/>
      <c r="E61" s="74"/>
      <c r="F61" s="74"/>
      <c r="G61" s="74"/>
      <c r="H61" s="74"/>
      <c r="J61" s="75" t="s">
        <v>13</v>
      </c>
      <c r="K61" s="75"/>
      <c r="L61" s="75"/>
      <c r="M61" s="75"/>
      <c r="N61" s="75"/>
      <c r="O61" s="75"/>
      <c r="P61" s="75"/>
      <c r="Q61" s="75"/>
      <c r="R61" s="75"/>
      <c r="S61" s="75"/>
      <c r="T61" s="75"/>
      <c r="U61" s="75"/>
      <c r="Y61" s="76" t="str">
        <f>J61</f>
        <v>Março</v>
      </c>
      <c r="Z61" s="76"/>
      <c r="AA61" s="76"/>
      <c r="AB61" s="76"/>
      <c r="AC61" s="76"/>
      <c r="AD61" s="76"/>
      <c r="AE61" s="76"/>
      <c r="AH61" s="77" t="str">
        <f>Y61</f>
        <v>Março</v>
      </c>
      <c r="AI61" s="77"/>
      <c r="AJ61" s="77"/>
      <c r="AK61" s="77"/>
      <c r="AL61" s="77"/>
      <c r="AM61" s="77"/>
      <c r="AN61" s="77"/>
    </row>
    <row r="62" spans="1:40" ht="15.75" thickBot="1" x14ac:dyDescent="0.3">
      <c r="A62" s="78" t="s">
        <v>5</v>
      </c>
      <c r="B62" s="34" t="s">
        <v>6</v>
      </c>
      <c r="C62" s="22" t="s">
        <v>7</v>
      </c>
      <c r="D62" s="33" t="s">
        <v>8</v>
      </c>
      <c r="E62" s="22" t="s">
        <v>9</v>
      </c>
      <c r="F62" s="24" t="s">
        <v>10</v>
      </c>
      <c r="G62" s="23" t="s">
        <v>11</v>
      </c>
      <c r="H62" s="25" t="s">
        <v>12</v>
      </c>
      <c r="J62" s="6" t="s">
        <v>4</v>
      </c>
      <c r="K62" s="9">
        <v>46085</v>
      </c>
      <c r="L62" s="66">
        <v>46088</v>
      </c>
      <c r="M62" s="66">
        <v>46092</v>
      </c>
      <c r="N62" s="66">
        <v>46095</v>
      </c>
      <c r="O62" s="66">
        <v>46100</v>
      </c>
      <c r="P62" s="66">
        <v>46105</v>
      </c>
      <c r="Q62" s="66">
        <v>46109</v>
      </c>
      <c r="R62" s="66">
        <v>46112</v>
      </c>
      <c r="S62" s="66"/>
      <c r="T62" s="66"/>
      <c r="U62" s="72"/>
      <c r="Y62" s="6" t="s">
        <v>4</v>
      </c>
      <c r="Z62" s="9">
        <v>46088</v>
      </c>
      <c r="AA62" s="66">
        <v>46109</v>
      </c>
      <c r="AB62" s="4"/>
      <c r="AC62" s="4"/>
      <c r="AD62" s="4"/>
      <c r="AE62" s="5"/>
      <c r="AH62" s="6" t="s">
        <v>4</v>
      </c>
      <c r="AI62" s="9">
        <v>46090</v>
      </c>
      <c r="AJ62" s="66">
        <v>46094</v>
      </c>
      <c r="AK62" s="4"/>
      <c r="AL62" s="4"/>
      <c r="AM62" s="4"/>
      <c r="AN62" s="5"/>
    </row>
    <row r="63" spans="1:40" ht="15.75" thickBot="1" x14ac:dyDescent="0.3">
      <c r="A63" s="78"/>
      <c r="B63" s="27">
        <v>18494</v>
      </c>
      <c r="C63" s="27"/>
      <c r="D63" s="27"/>
      <c r="E63" s="27">
        <v>20613</v>
      </c>
      <c r="F63" s="27">
        <f>SUM(C63-B63)</f>
        <v>-18494</v>
      </c>
      <c r="G63" s="20">
        <f>SUM(E63-D63)</f>
        <v>20613</v>
      </c>
      <c r="H63" s="21">
        <f>SUM(F63:G63)</f>
        <v>2119</v>
      </c>
      <c r="J63" s="7" t="s">
        <v>22</v>
      </c>
      <c r="K63" s="10">
        <v>199.34</v>
      </c>
      <c r="L63" s="11">
        <v>170.99</v>
      </c>
      <c r="M63" s="11">
        <v>186.78</v>
      </c>
      <c r="N63" s="11">
        <v>196.15</v>
      </c>
      <c r="O63" s="11">
        <v>235</v>
      </c>
      <c r="P63" s="11">
        <v>217.89</v>
      </c>
      <c r="Q63" s="11">
        <v>165.04</v>
      </c>
      <c r="R63" s="11">
        <v>125</v>
      </c>
      <c r="S63" s="11"/>
      <c r="T63" s="11"/>
      <c r="U63" s="12"/>
      <c r="Y63" s="7" t="s">
        <v>22</v>
      </c>
      <c r="Z63" s="10">
        <v>40</v>
      </c>
      <c r="AA63" s="11">
        <v>40</v>
      </c>
      <c r="AB63" s="11"/>
      <c r="AC63" s="11"/>
      <c r="AD63" s="11"/>
      <c r="AE63" s="12"/>
      <c r="AH63" s="7" t="s">
        <v>22</v>
      </c>
      <c r="AI63" s="10">
        <v>30</v>
      </c>
      <c r="AJ63" s="11">
        <v>50</v>
      </c>
      <c r="AK63" s="11"/>
      <c r="AL63" s="11"/>
      <c r="AM63" s="11"/>
      <c r="AN63" s="12"/>
    </row>
    <row r="64" spans="1:40" x14ac:dyDescent="0.25">
      <c r="J64" s="8"/>
      <c r="T64" s="8" t="s">
        <v>23</v>
      </c>
      <c r="U64" s="13">
        <f>SUM(K63:U63)</f>
        <v>1496.19</v>
      </c>
      <c r="AD64" s="8" t="s">
        <v>23</v>
      </c>
      <c r="AE64" s="13">
        <f>SUM(Z63:AE63)</f>
        <v>80</v>
      </c>
      <c r="AM64" s="8" t="s">
        <v>23</v>
      </c>
      <c r="AN64" s="13">
        <f>SUM(AI63:AN63)</f>
        <v>80</v>
      </c>
    </row>
    <row r="65" spans="1:40" ht="15.75" thickBot="1" x14ac:dyDescent="0.3">
      <c r="A65" s="19"/>
      <c r="B65" s="74" t="s">
        <v>14</v>
      </c>
      <c r="C65" s="74"/>
      <c r="D65" s="74"/>
      <c r="E65" s="74"/>
      <c r="F65" s="74"/>
      <c r="G65" s="74"/>
      <c r="H65" s="74"/>
      <c r="J65" s="75" t="s">
        <v>14</v>
      </c>
      <c r="K65" s="75"/>
      <c r="L65" s="75"/>
      <c r="M65" s="75"/>
      <c r="N65" s="75"/>
      <c r="O65" s="75"/>
      <c r="P65" s="75"/>
      <c r="Q65" s="75"/>
      <c r="R65" s="75"/>
      <c r="S65" s="75"/>
      <c r="T65" s="75"/>
      <c r="U65" s="75"/>
      <c r="Y65" s="76" t="str">
        <f>J65</f>
        <v>Abril</v>
      </c>
      <c r="Z65" s="76"/>
      <c r="AA65" s="76"/>
      <c r="AB65" s="76"/>
      <c r="AC65" s="76"/>
      <c r="AD65" s="76"/>
      <c r="AE65" s="76"/>
      <c r="AH65" s="77" t="str">
        <f>Y65</f>
        <v>Abril</v>
      </c>
      <c r="AI65" s="77"/>
      <c r="AJ65" s="77"/>
      <c r="AK65" s="77"/>
      <c r="AL65" s="77"/>
      <c r="AM65" s="77"/>
      <c r="AN65" s="77"/>
    </row>
    <row r="66" spans="1:40" ht="15.75" thickBot="1" x14ac:dyDescent="0.3">
      <c r="A66" s="78"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78"/>
      <c r="B67" s="27">
        <v>20613</v>
      </c>
      <c r="C67" s="27"/>
      <c r="D67" s="27"/>
      <c r="E67" s="27">
        <v>22465</v>
      </c>
      <c r="F67" s="27">
        <f>SUM(C67-B67)</f>
        <v>-20613</v>
      </c>
      <c r="G67" s="20">
        <f>SUM(E67-D67)</f>
        <v>22465</v>
      </c>
      <c r="H67" s="21">
        <f>SUM(F67:G67)</f>
        <v>1852</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74" t="s">
        <v>15</v>
      </c>
      <c r="C69" s="74"/>
      <c r="D69" s="74"/>
      <c r="E69" s="74"/>
      <c r="F69" s="74"/>
      <c r="G69" s="74"/>
      <c r="H69" s="74"/>
      <c r="J69" s="75" t="s">
        <v>15</v>
      </c>
      <c r="K69" s="75"/>
      <c r="L69" s="75"/>
      <c r="M69" s="75"/>
      <c r="N69" s="75"/>
      <c r="O69" s="75"/>
      <c r="P69" s="75"/>
      <c r="Q69" s="75"/>
      <c r="R69" s="75"/>
      <c r="S69" s="75"/>
      <c r="T69" s="75"/>
      <c r="U69" s="75"/>
      <c r="Y69" s="76" t="str">
        <f>J69</f>
        <v>Maio</v>
      </c>
      <c r="Z69" s="76"/>
      <c r="AA69" s="76"/>
      <c r="AB69" s="76"/>
      <c r="AC69" s="76"/>
      <c r="AD69" s="76"/>
      <c r="AE69" s="76"/>
      <c r="AH69" s="77" t="str">
        <f>Y69</f>
        <v>Maio</v>
      </c>
      <c r="AI69" s="77"/>
      <c r="AJ69" s="77"/>
      <c r="AK69" s="77"/>
      <c r="AL69" s="77"/>
      <c r="AM69" s="77"/>
      <c r="AN69" s="77"/>
    </row>
    <row r="70" spans="1:40" ht="15.75" thickBot="1" x14ac:dyDescent="0.3">
      <c r="A70" s="78"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78"/>
      <c r="B71" s="27">
        <v>22465</v>
      </c>
      <c r="C71" s="27"/>
      <c r="D71" s="27"/>
      <c r="E71" s="27">
        <v>25138</v>
      </c>
      <c r="F71" s="27">
        <f>SUM(C71-B71)</f>
        <v>-22465</v>
      </c>
      <c r="G71" s="20">
        <f>SUM(E71-D71)</f>
        <v>25138</v>
      </c>
      <c r="H71" s="21">
        <f>SUM(F71:G71)</f>
        <v>2673</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74" t="s">
        <v>24</v>
      </c>
      <c r="C73" s="74"/>
      <c r="D73" s="74"/>
      <c r="E73" s="74"/>
      <c r="F73" s="74"/>
      <c r="G73" s="74"/>
      <c r="H73" s="74"/>
      <c r="J73" s="75" t="s">
        <v>24</v>
      </c>
      <c r="K73" s="75"/>
      <c r="L73" s="75"/>
      <c r="M73" s="75"/>
      <c r="N73" s="75"/>
      <c r="O73" s="75"/>
      <c r="P73" s="75"/>
      <c r="Q73" s="75"/>
      <c r="R73" s="75"/>
      <c r="S73" s="75"/>
      <c r="T73" s="75"/>
      <c r="U73" s="75"/>
      <c r="Y73" s="76" t="str">
        <f>J73</f>
        <v>Junho</v>
      </c>
      <c r="Z73" s="76"/>
      <c r="AA73" s="76"/>
      <c r="AB73" s="76"/>
      <c r="AC73" s="76"/>
      <c r="AD73" s="76"/>
      <c r="AE73" s="76"/>
      <c r="AH73" s="77" t="str">
        <f>Y73</f>
        <v>Junho</v>
      </c>
      <c r="AI73" s="77"/>
      <c r="AJ73" s="77"/>
      <c r="AK73" s="77"/>
      <c r="AL73" s="77"/>
      <c r="AM73" s="77"/>
      <c r="AN73" s="77"/>
    </row>
    <row r="74" spans="1:40" ht="15.75" thickBot="1" x14ac:dyDescent="0.3">
      <c r="A74" s="78"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78"/>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74" t="s">
        <v>16</v>
      </c>
      <c r="C77" s="74"/>
      <c r="D77" s="74"/>
      <c r="E77" s="74"/>
      <c r="F77" s="74"/>
      <c r="G77" s="74"/>
      <c r="H77" s="74"/>
      <c r="J77" s="75" t="s">
        <v>16</v>
      </c>
      <c r="K77" s="75"/>
      <c r="L77" s="75"/>
      <c r="M77" s="75"/>
      <c r="N77" s="75"/>
      <c r="O77" s="75"/>
      <c r="P77" s="75"/>
      <c r="Q77" s="75"/>
      <c r="R77" s="75"/>
      <c r="S77" s="75"/>
      <c r="T77" s="75"/>
      <c r="U77" s="75"/>
      <c r="Y77" s="76" t="str">
        <f>J77</f>
        <v>Julho</v>
      </c>
      <c r="Z77" s="76"/>
      <c r="AA77" s="76"/>
      <c r="AB77" s="76"/>
      <c r="AC77" s="76"/>
      <c r="AD77" s="76"/>
      <c r="AE77" s="76"/>
      <c r="AH77" s="77" t="str">
        <f>Y77</f>
        <v>Julho</v>
      </c>
      <c r="AI77" s="77"/>
      <c r="AJ77" s="77"/>
      <c r="AK77" s="77"/>
      <c r="AL77" s="77"/>
      <c r="AM77" s="77"/>
      <c r="AN77" s="77"/>
    </row>
    <row r="78" spans="1:40" ht="15.75" thickBot="1" x14ac:dyDescent="0.3">
      <c r="A78" s="78"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78"/>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74" t="s">
        <v>17</v>
      </c>
      <c r="C81" s="74"/>
      <c r="D81" s="74"/>
      <c r="E81" s="74"/>
      <c r="F81" s="74"/>
      <c r="G81" s="74"/>
      <c r="H81" s="74"/>
      <c r="J81" s="75" t="s">
        <v>17</v>
      </c>
      <c r="K81" s="75"/>
      <c r="L81" s="75"/>
      <c r="M81" s="75"/>
      <c r="N81" s="75"/>
      <c r="O81" s="75"/>
      <c r="P81" s="75"/>
      <c r="Q81" s="75"/>
      <c r="R81" s="75"/>
      <c r="S81" s="75"/>
      <c r="T81" s="75"/>
      <c r="U81" s="75"/>
      <c r="Y81" s="76" t="str">
        <f>J81</f>
        <v>Agosto</v>
      </c>
      <c r="Z81" s="76"/>
      <c r="AA81" s="76"/>
      <c r="AB81" s="76"/>
      <c r="AC81" s="76"/>
      <c r="AD81" s="76"/>
      <c r="AE81" s="76"/>
      <c r="AH81" s="77" t="str">
        <f>Y81</f>
        <v>Agosto</v>
      </c>
      <c r="AI81" s="77"/>
      <c r="AJ81" s="77"/>
      <c r="AK81" s="77"/>
      <c r="AL81" s="77"/>
      <c r="AM81" s="77"/>
      <c r="AN81" s="77"/>
    </row>
    <row r="82" spans="1:40" ht="15.75" thickBot="1" x14ac:dyDescent="0.3">
      <c r="A82" s="78"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78"/>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74" t="s">
        <v>18</v>
      </c>
      <c r="C85" s="74"/>
      <c r="D85" s="74"/>
      <c r="E85" s="74"/>
      <c r="F85" s="74"/>
      <c r="G85" s="74"/>
      <c r="H85" s="74"/>
      <c r="J85" s="75" t="s">
        <v>18</v>
      </c>
      <c r="K85" s="75"/>
      <c r="L85" s="75"/>
      <c r="M85" s="75"/>
      <c r="N85" s="75"/>
      <c r="O85" s="75"/>
      <c r="P85" s="75"/>
      <c r="Q85" s="75"/>
      <c r="R85" s="75"/>
      <c r="S85" s="75"/>
      <c r="T85" s="75"/>
      <c r="U85" s="75"/>
      <c r="Y85" s="76" t="str">
        <f>J85</f>
        <v>Setembro</v>
      </c>
      <c r="Z85" s="76"/>
      <c r="AA85" s="76"/>
      <c r="AB85" s="76"/>
      <c r="AC85" s="76"/>
      <c r="AD85" s="76"/>
      <c r="AE85" s="76"/>
      <c r="AH85" s="77" t="str">
        <f>Y85</f>
        <v>Setembro</v>
      </c>
      <c r="AI85" s="77"/>
      <c r="AJ85" s="77"/>
      <c r="AK85" s="77"/>
      <c r="AL85" s="77"/>
      <c r="AM85" s="77"/>
      <c r="AN85" s="77"/>
    </row>
    <row r="86" spans="1:40" ht="15.75" thickBot="1" x14ac:dyDescent="0.3">
      <c r="A86" s="78"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78"/>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26:A27"/>
    <mergeCell ref="B29:H29"/>
    <mergeCell ref="A30:A31"/>
    <mergeCell ref="B33:H33"/>
    <mergeCell ref="A34:A35"/>
    <mergeCell ref="B37:H37"/>
    <mergeCell ref="B25:H25"/>
    <mergeCell ref="AE21:AK21"/>
    <mergeCell ref="E3:F3"/>
    <mergeCell ref="W7:AC7"/>
    <mergeCell ref="W13:AC13"/>
    <mergeCell ref="W17:AC17"/>
    <mergeCell ref="W21:AC21"/>
    <mergeCell ref="W25:AC25"/>
    <mergeCell ref="AE7:AK7"/>
    <mergeCell ref="AE9:AK9"/>
    <mergeCell ref="AE13:AK13"/>
    <mergeCell ref="AE17:AK17"/>
    <mergeCell ref="J13:U13"/>
    <mergeCell ref="J17:U17"/>
    <mergeCell ref="J21:U21"/>
    <mergeCell ref="J25:U25"/>
    <mergeCell ref="W9:AC9"/>
    <mergeCell ref="E4:F4"/>
    <mergeCell ref="W33:AC33"/>
    <mergeCell ref="W37:AC37"/>
    <mergeCell ref="W41:AC41"/>
    <mergeCell ref="W45:AC45"/>
    <mergeCell ref="B53:H53"/>
    <mergeCell ref="J53:U53"/>
    <mergeCell ref="Y53:AE53"/>
    <mergeCell ref="AE49:AK49"/>
    <mergeCell ref="AE25:AK25"/>
    <mergeCell ref="AE29:AK29"/>
    <mergeCell ref="AE33:AK33"/>
    <mergeCell ref="AE37:AK37"/>
    <mergeCell ref="AE41:AK41"/>
    <mergeCell ref="AE45:AK45"/>
    <mergeCell ref="J29:U29"/>
    <mergeCell ref="J33:U33"/>
    <mergeCell ref="AH53:AN53"/>
    <mergeCell ref="W49:AC49"/>
    <mergeCell ref="W29:AC29"/>
    <mergeCell ref="B41:H41"/>
    <mergeCell ref="B45:H45"/>
    <mergeCell ref="B49:H49"/>
    <mergeCell ref="A54:A55"/>
    <mergeCell ref="B2:C2"/>
    <mergeCell ref="E2:F2"/>
    <mergeCell ref="B4:C4"/>
    <mergeCell ref="J37:U37"/>
    <mergeCell ref="J41:U41"/>
    <mergeCell ref="J7:U7"/>
    <mergeCell ref="A7:H7"/>
    <mergeCell ref="A10:A11"/>
    <mergeCell ref="A14:A15"/>
    <mergeCell ref="A18:A19"/>
    <mergeCell ref="B9:H9"/>
    <mergeCell ref="B13:H13"/>
    <mergeCell ref="B17:H17"/>
    <mergeCell ref="B21:H21"/>
    <mergeCell ref="A22:A23"/>
    <mergeCell ref="B3:C3"/>
    <mergeCell ref="J45:U45"/>
    <mergeCell ref="J49:U49"/>
    <mergeCell ref="J9:U9"/>
    <mergeCell ref="A50:A51"/>
    <mergeCell ref="A38:A39"/>
    <mergeCell ref="A42:A43"/>
    <mergeCell ref="A46:A47"/>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honeticPr fontId="3" type="noConversion"/>
  <pageMargins left="0.511811024" right="0.511811024" top="0.78740157499999996" bottom="0.78740157499999996" header="0.31496062000000002" footer="0.31496062000000002"/>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AN92"/>
  <sheetViews>
    <sheetView showGridLines="0" topLeftCell="A53" zoomScaleNormal="100" workbookViewId="0">
      <selection activeCell="I75" sqref="I75"/>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5.7109375" customWidth="1"/>
    <col min="10" max="10" width="13.42578125" bestFit="1" customWidth="1"/>
    <col min="11" max="20" width="10.42578125" bestFit="1" customWidth="1"/>
    <col min="21" max="21" width="12.140625" bestFit="1" customWidth="1"/>
    <col min="24" max="24" width="10.42578125" bestFit="1" customWidth="1"/>
    <col min="25" max="25" width="9.5703125" bestFit="1" customWidth="1"/>
    <col min="26" max="28" width="10.42578125" bestFit="1" customWidth="1"/>
    <col min="29" max="29" width="15.85546875" bestFit="1" customWidth="1"/>
    <col min="34" max="36" width="10.140625" bestFit="1" customWidth="1"/>
    <col min="37" max="37" width="10.5703125" bestFit="1" customWidth="1"/>
  </cols>
  <sheetData>
    <row r="2" spans="1:37" x14ac:dyDescent="0.25">
      <c r="A2" t="s">
        <v>0</v>
      </c>
      <c r="B2" s="79" t="s">
        <v>89</v>
      </c>
      <c r="C2" s="79"/>
      <c r="D2" s="1" t="s">
        <v>1</v>
      </c>
      <c r="E2" s="79" t="s">
        <v>88</v>
      </c>
      <c r="F2" s="79"/>
      <c r="H2" t="s">
        <v>85</v>
      </c>
      <c r="I2" s="68">
        <v>3000</v>
      </c>
    </row>
    <row r="3" spans="1:37" x14ac:dyDescent="0.25">
      <c r="A3" t="s">
        <v>80</v>
      </c>
      <c r="B3" s="85">
        <v>45969</v>
      </c>
      <c r="C3" s="79"/>
      <c r="D3" s="1" t="s">
        <v>1</v>
      </c>
      <c r="E3" s="79" t="s">
        <v>91</v>
      </c>
      <c r="F3" s="79"/>
      <c r="H3" t="s">
        <v>81</v>
      </c>
      <c r="I3" s="70" t="s">
        <v>92</v>
      </c>
    </row>
    <row r="4" spans="1:37" x14ac:dyDescent="0.25">
      <c r="A4" t="s">
        <v>2</v>
      </c>
      <c r="B4" s="80">
        <v>3837</v>
      </c>
      <c r="C4" s="80"/>
      <c r="D4" s="1" t="s">
        <v>29</v>
      </c>
      <c r="E4" s="81">
        <v>45</v>
      </c>
      <c r="F4" s="81"/>
      <c r="H4" t="s">
        <v>70</v>
      </c>
      <c r="I4" s="69">
        <v>45944</v>
      </c>
    </row>
    <row r="7" spans="1:37" ht="21" x14ac:dyDescent="0.35">
      <c r="A7" s="82" t="s">
        <v>28</v>
      </c>
      <c r="B7" s="82"/>
      <c r="C7" s="82"/>
      <c r="D7" s="82"/>
      <c r="E7" s="82"/>
      <c r="F7" s="82"/>
      <c r="G7" s="82"/>
      <c r="H7" s="82"/>
      <c r="J7" s="84" t="s">
        <v>26</v>
      </c>
      <c r="K7" s="84"/>
      <c r="L7" s="84"/>
      <c r="M7" s="84"/>
      <c r="N7" s="84"/>
      <c r="O7" s="84"/>
      <c r="P7" s="84"/>
      <c r="Q7" s="84"/>
      <c r="R7" s="84"/>
      <c r="S7" s="84"/>
      <c r="T7" s="84"/>
      <c r="U7" s="84"/>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4" t="s">
        <v>3</v>
      </c>
      <c r="C9" s="74"/>
      <c r="D9" s="74"/>
      <c r="E9" s="74"/>
      <c r="F9" s="74"/>
      <c r="G9" s="74"/>
      <c r="H9" s="74"/>
      <c r="J9" s="75" t="s">
        <v>3</v>
      </c>
      <c r="K9" s="75"/>
      <c r="L9" s="75"/>
      <c r="M9" s="75"/>
      <c r="N9" s="75"/>
      <c r="O9" s="75"/>
      <c r="P9" s="75"/>
      <c r="Q9" s="75"/>
      <c r="R9" s="75"/>
      <c r="S9" s="75"/>
      <c r="T9" s="75"/>
      <c r="U9" s="75"/>
      <c r="W9" s="76" t="s">
        <v>3</v>
      </c>
      <c r="X9" s="76"/>
      <c r="Y9" s="76"/>
      <c r="Z9" s="76"/>
      <c r="AA9" s="76"/>
      <c r="AB9" s="76"/>
      <c r="AC9" s="76"/>
      <c r="AE9" s="77" t="s">
        <v>3</v>
      </c>
      <c r="AF9" s="77"/>
      <c r="AG9" s="77"/>
      <c r="AH9" s="77"/>
      <c r="AI9" s="77"/>
      <c r="AJ9" s="77"/>
      <c r="AK9" s="77"/>
    </row>
    <row r="10" spans="1:37" ht="15.75" thickBot="1" x14ac:dyDescent="0.3">
      <c r="A10" s="78"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4" t="s">
        <v>13</v>
      </c>
      <c r="C13" s="74"/>
      <c r="D13" s="74"/>
      <c r="E13" s="74"/>
      <c r="F13" s="74"/>
      <c r="G13" s="74"/>
      <c r="H13" s="74"/>
      <c r="J13" s="75" t="s">
        <v>13</v>
      </c>
      <c r="K13" s="75"/>
      <c r="L13" s="75"/>
      <c r="M13" s="75"/>
      <c r="N13" s="75"/>
      <c r="O13" s="75"/>
      <c r="P13" s="75"/>
      <c r="Q13" s="75"/>
      <c r="R13" s="75"/>
      <c r="S13" s="75"/>
      <c r="T13" s="75"/>
      <c r="U13" s="75"/>
      <c r="W13" s="76" t="str">
        <f>J13</f>
        <v>Março</v>
      </c>
      <c r="X13" s="76"/>
      <c r="Y13" s="76"/>
      <c r="Z13" s="76"/>
      <c r="AA13" s="76"/>
      <c r="AB13" s="76"/>
      <c r="AC13" s="76"/>
      <c r="AE13" s="77" t="str">
        <f>W13</f>
        <v>Março</v>
      </c>
      <c r="AF13" s="77"/>
      <c r="AG13" s="77"/>
      <c r="AH13" s="77"/>
      <c r="AI13" s="77"/>
      <c r="AJ13" s="77"/>
      <c r="AK13" s="77"/>
    </row>
    <row r="14" spans="1:37" ht="15.75" thickBot="1" x14ac:dyDescent="0.3">
      <c r="A14" s="78" t="s">
        <v>5</v>
      </c>
      <c r="B14" s="34" t="s">
        <v>6</v>
      </c>
      <c r="C14" s="22" t="s">
        <v>7</v>
      </c>
      <c r="D14" s="33" t="s">
        <v>8</v>
      </c>
      <c r="E14" s="22" t="s">
        <v>9</v>
      </c>
      <c r="F14" s="24" t="s">
        <v>10</v>
      </c>
      <c r="G14" s="23" t="s">
        <v>11</v>
      </c>
      <c r="H14" s="25" t="s">
        <v>12</v>
      </c>
      <c r="J14" s="6" t="s">
        <v>4</v>
      </c>
      <c r="K14" s="9"/>
      <c r="L14" s="66"/>
      <c r="M14" s="4"/>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4" t="s">
        <v>14</v>
      </c>
      <c r="C17" s="74"/>
      <c r="D17" s="74"/>
      <c r="E17" s="74"/>
      <c r="F17" s="74"/>
      <c r="G17" s="74"/>
      <c r="H17" s="74"/>
      <c r="J17" s="75" t="s">
        <v>14</v>
      </c>
      <c r="K17" s="75"/>
      <c r="L17" s="75"/>
      <c r="M17" s="75"/>
      <c r="N17" s="75"/>
      <c r="O17" s="75"/>
      <c r="P17" s="75"/>
      <c r="Q17" s="75"/>
      <c r="R17" s="75"/>
      <c r="S17" s="75"/>
      <c r="T17" s="75"/>
      <c r="U17" s="75"/>
      <c r="W17" s="76" t="str">
        <f>J17</f>
        <v>Abril</v>
      </c>
      <c r="X17" s="76"/>
      <c r="Y17" s="76"/>
      <c r="Z17" s="76"/>
      <c r="AA17" s="76"/>
      <c r="AB17" s="76"/>
      <c r="AC17" s="76"/>
      <c r="AE17" s="77" t="str">
        <f>W17</f>
        <v>Abril</v>
      </c>
      <c r="AF17" s="77"/>
      <c r="AG17" s="77"/>
      <c r="AH17" s="77"/>
      <c r="AI17" s="77"/>
      <c r="AJ17" s="77"/>
      <c r="AK17" s="77"/>
    </row>
    <row r="18" spans="1:37"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4" t="s">
        <v>15</v>
      </c>
      <c r="C21" s="74"/>
      <c r="D21" s="74"/>
      <c r="E21" s="74"/>
      <c r="F21" s="74"/>
      <c r="G21" s="74"/>
      <c r="H21" s="74"/>
      <c r="J21" s="75" t="s">
        <v>15</v>
      </c>
      <c r="K21" s="75"/>
      <c r="L21" s="75"/>
      <c r="M21" s="75"/>
      <c r="N21" s="75"/>
      <c r="O21" s="75"/>
      <c r="P21" s="75"/>
      <c r="Q21" s="75"/>
      <c r="R21" s="75"/>
      <c r="S21" s="75"/>
      <c r="T21" s="75"/>
      <c r="U21" s="75"/>
      <c r="W21" s="76" t="str">
        <f>J21</f>
        <v>Maio</v>
      </c>
      <c r="X21" s="76"/>
      <c r="Y21" s="76"/>
      <c r="Z21" s="76"/>
      <c r="AA21" s="76"/>
      <c r="AB21" s="76"/>
      <c r="AC21" s="76"/>
      <c r="AE21" s="77" t="str">
        <f>W21</f>
        <v>Maio</v>
      </c>
      <c r="AF21" s="77"/>
      <c r="AG21" s="77"/>
      <c r="AH21" s="77"/>
      <c r="AI21" s="77"/>
      <c r="AJ21" s="77"/>
      <c r="AK21" s="77"/>
    </row>
    <row r="22" spans="1:37"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4" t="s">
        <v>24</v>
      </c>
      <c r="C25" s="74"/>
      <c r="D25" s="74"/>
      <c r="E25" s="74"/>
      <c r="F25" s="74"/>
      <c r="G25" s="74"/>
      <c r="H25" s="74"/>
      <c r="J25" s="75" t="s">
        <v>24</v>
      </c>
      <c r="K25" s="75"/>
      <c r="L25" s="75"/>
      <c r="M25" s="75"/>
      <c r="N25" s="75"/>
      <c r="O25" s="75"/>
      <c r="P25" s="75"/>
      <c r="Q25" s="75"/>
      <c r="R25" s="75"/>
      <c r="S25" s="75"/>
      <c r="T25" s="75"/>
      <c r="U25" s="75"/>
      <c r="W25" s="76" t="str">
        <f>J25</f>
        <v>Junho</v>
      </c>
      <c r="X25" s="76"/>
      <c r="Y25" s="76"/>
      <c r="Z25" s="76"/>
      <c r="AA25" s="76"/>
      <c r="AB25" s="76"/>
      <c r="AC25" s="76"/>
      <c r="AE25" s="77" t="str">
        <f>W25</f>
        <v>Junho</v>
      </c>
      <c r="AF25" s="77"/>
      <c r="AG25" s="77"/>
      <c r="AH25" s="77"/>
      <c r="AI25" s="77"/>
      <c r="AJ25" s="77"/>
      <c r="AK25" s="77"/>
    </row>
    <row r="26" spans="1:37"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4" t="s">
        <v>16</v>
      </c>
      <c r="C29" s="74"/>
      <c r="D29" s="74"/>
      <c r="E29" s="74"/>
      <c r="F29" s="74"/>
      <c r="G29" s="74"/>
      <c r="H29" s="74"/>
      <c r="J29" s="75" t="s">
        <v>16</v>
      </c>
      <c r="K29" s="75"/>
      <c r="L29" s="75"/>
      <c r="M29" s="75"/>
      <c r="N29" s="75"/>
      <c r="O29" s="75"/>
      <c r="P29" s="75"/>
      <c r="Q29" s="75"/>
      <c r="R29" s="75"/>
      <c r="S29" s="75"/>
      <c r="T29" s="75"/>
      <c r="U29" s="75"/>
      <c r="W29" s="76" t="str">
        <f>J29</f>
        <v>Julho</v>
      </c>
      <c r="X29" s="76"/>
      <c r="Y29" s="76"/>
      <c r="Z29" s="76"/>
      <c r="AA29" s="76"/>
      <c r="AB29" s="76"/>
      <c r="AC29" s="76"/>
      <c r="AE29" s="77" t="str">
        <f>W29</f>
        <v>Julho</v>
      </c>
      <c r="AF29" s="77"/>
      <c r="AG29" s="77"/>
      <c r="AH29" s="77"/>
      <c r="AI29" s="77"/>
      <c r="AJ29" s="77"/>
      <c r="AK29" s="77"/>
    </row>
    <row r="30" spans="1:37"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4" t="s">
        <v>17</v>
      </c>
      <c r="C33" s="74"/>
      <c r="D33" s="74"/>
      <c r="E33" s="74"/>
      <c r="F33" s="74"/>
      <c r="G33" s="74"/>
      <c r="H33" s="74"/>
      <c r="J33" s="75" t="s">
        <v>17</v>
      </c>
      <c r="K33" s="75"/>
      <c r="L33" s="75"/>
      <c r="M33" s="75"/>
      <c r="N33" s="75"/>
      <c r="O33" s="75"/>
      <c r="P33" s="75"/>
      <c r="Q33" s="75"/>
      <c r="R33" s="75"/>
      <c r="S33" s="75"/>
      <c r="T33" s="75"/>
      <c r="U33" s="75"/>
      <c r="W33" s="76" t="str">
        <f>J33</f>
        <v>Agosto</v>
      </c>
      <c r="X33" s="76"/>
      <c r="Y33" s="76"/>
      <c r="Z33" s="76"/>
      <c r="AA33" s="76"/>
      <c r="AB33" s="76"/>
      <c r="AC33" s="76"/>
      <c r="AE33" s="77" t="str">
        <f>W33</f>
        <v>Agosto</v>
      </c>
      <c r="AF33" s="77"/>
      <c r="AG33" s="77"/>
      <c r="AH33" s="77"/>
      <c r="AI33" s="77"/>
      <c r="AJ33" s="77"/>
      <c r="AK33" s="77"/>
    </row>
    <row r="34" spans="1:37"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4" t="s">
        <v>18</v>
      </c>
      <c r="C37" s="74"/>
      <c r="D37" s="74"/>
      <c r="E37" s="74"/>
      <c r="F37" s="74"/>
      <c r="G37" s="74"/>
      <c r="H37" s="74"/>
      <c r="J37" s="75" t="s">
        <v>18</v>
      </c>
      <c r="K37" s="75"/>
      <c r="L37" s="75"/>
      <c r="M37" s="75"/>
      <c r="N37" s="75"/>
      <c r="O37" s="75"/>
      <c r="P37" s="75"/>
      <c r="Q37" s="75"/>
      <c r="R37" s="75"/>
      <c r="S37" s="75"/>
      <c r="T37" s="75"/>
      <c r="U37" s="75"/>
      <c r="W37" s="76" t="str">
        <f>J37</f>
        <v>Setembro</v>
      </c>
      <c r="X37" s="76"/>
      <c r="Y37" s="76"/>
      <c r="Z37" s="76"/>
      <c r="AA37" s="76"/>
      <c r="AB37" s="76"/>
      <c r="AC37" s="76"/>
      <c r="AE37" s="77" t="str">
        <f>W37</f>
        <v>Setembro</v>
      </c>
      <c r="AF37" s="77"/>
      <c r="AG37" s="77"/>
      <c r="AH37" s="77"/>
      <c r="AI37" s="77"/>
      <c r="AJ37" s="77"/>
      <c r="AK37" s="77"/>
    </row>
    <row r="38" spans="1:37"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4" t="s">
        <v>19</v>
      </c>
      <c r="C41" s="74"/>
      <c r="D41" s="74"/>
      <c r="E41" s="74"/>
      <c r="F41" s="74"/>
      <c r="G41" s="74"/>
      <c r="H41" s="74"/>
      <c r="J41" s="75" t="s">
        <v>19</v>
      </c>
      <c r="K41" s="75"/>
      <c r="L41" s="75"/>
      <c r="M41" s="75"/>
      <c r="N41" s="75"/>
      <c r="O41" s="75"/>
      <c r="P41" s="75"/>
      <c r="Q41" s="75"/>
      <c r="R41" s="75"/>
      <c r="S41" s="75"/>
      <c r="T41" s="75"/>
      <c r="U41" s="75"/>
      <c r="W41" s="76" t="str">
        <f>J41</f>
        <v>Outubro</v>
      </c>
      <c r="X41" s="76"/>
      <c r="Y41" s="76"/>
      <c r="Z41" s="76"/>
      <c r="AA41" s="76"/>
      <c r="AB41" s="76"/>
      <c r="AC41" s="76"/>
      <c r="AE41" s="77" t="str">
        <f>W41</f>
        <v>Outubro</v>
      </c>
      <c r="AF41" s="77"/>
      <c r="AG41" s="77"/>
      <c r="AH41" s="77"/>
      <c r="AI41" s="77"/>
      <c r="AJ41" s="77"/>
      <c r="AK41" s="77"/>
    </row>
    <row r="42" spans="1:37" ht="15.75" thickBot="1" x14ac:dyDescent="0.3">
      <c r="A42" s="78" t="s">
        <v>5</v>
      </c>
      <c r="B42" s="34" t="s">
        <v>6</v>
      </c>
      <c r="C42" s="22" t="s">
        <v>7</v>
      </c>
      <c r="D42" s="33" t="s">
        <v>8</v>
      </c>
      <c r="E42" s="22" t="s">
        <v>9</v>
      </c>
      <c r="F42" s="24" t="s">
        <v>10</v>
      </c>
      <c r="G42" s="23" t="s">
        <v>11</v>
      </c>
      <c r="H42" s="25" t="s">
        <v>12</v>
      </c>
      <c r="J42" s="6" t="s">
        <v>4</v>
      </c>
      <c r="K42" s="9">
        <v>45947</v>
      </c>
      <c r="L42" s="66">
        <v>45952</v>
      </c>
      <c r="M42" s="66">
        <v>45954</v>
      </c>
      <c r="N42" s="66">
        <v>45958</v>
      </c>
      <c r="O42" s="66">
        <v>45961</v>
      </c>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8"/>
      <c r="B43" s="26"/>
      <c r="C43" s="27"/>
      <c r="D43" s="27">
        <v>6392</v>
      </c>
      <c r="E43" s="27">
        <v>8954</v>
      </c>
      <c r="F43" s="27">
        <f>SUM(C43-B43)</f>
        <v>0</v>
      </c>
      <c r="G43" s="20">
        <f>SUM(E43-D43)</f>
        <v>2562</v>
      </c>
      <c r="H43" s="21">
        <f>SUM(F43:G43)</f>
        <v>2562</v>
      </c>
      <c r="J43" s="7" t="s">
        <v>22</v>
      </c>
      <c r="K43" s="10">
        <v>216.19</v>
      </c>
      <c r="L43" s="11">
        <v>285.58999999999997</v>
      </c>
      <c r="M43" s="11">
        <v>245.02</v>
      </c>
      <c r="N43" s="11">
        <v>259.91000000000003</v>
      </c>
      <c r="O43" s="11">
        <v>258.72000000000003</v>
      </c>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1265.43</v>
      </c>
      <c r="AB44" s="8" t="s">
        <v>23</v>
      </c>
      <c r="AC44" s="13">
        <f>SUM(X43:AC43)</f>
        <v>0</v>
      </c>
      <c r="AJ44" s="8" t="s">
        <v>23</v>
      </c>
      <c r="AK44" s="13">
        <f>SUM(AF43:AK43)</f>
        <v>0</v>
      </c>
    </row>
    <row r="45" spans="1:37" ht="15.75" thickBot="1" x14ac:dyDescent="0.3">
      <c r="A45" s="71" t="s">
        <v>93</v>
      </c>
      <c r="B45" s="74" t="s">
        <v>20</v>
      </c>
      <c r="C45" s="74"/>
      <c r="D45" s="74"/>
      <c r="E45" s="74"/>
      <c r="F45" s="74"/>
      <c r="G45" s="74"/>
      <c r="H45" s="74"/>
      <c r="J45" s="75" t="s">
        <v>20</v>
      </c>
      <c r="K45" s="75"/>
      <c r="L45" s="75"/>
      <c r="M45" s="75"/>
      <c r="N45" s="75"/>
      <c r="O45" s="75"/>
      <c r="P45" s="75"/>
      <c r="Q45" s="75"/>
      <c r="R45" s="75"/>
      <c r="S45" s="75"/>
      <c r="T45" s="75"/>
      <c r="U45" s="75"/>
      <c r="W45" s="76" t="str">
        <f>J45</f>
        <v>Novembro</v>
      </c>
      <c r="X45" s="76"/>
      <c r="Y45" s="76"/>
      <c r="Z45" s="76"/>
      <c r="AA45" s="76"/>
      <c r="AB45" s="76"/>
      <c r="AC45" s="76"/>
      <c r="AE45" s="77" t="str">
        <f>W45</f>
        <v>Novembro</v>
      </c>
      <c r="AF45" s="77"/>
      <c r="AG45" s="77"/>
      <c r="AH45" s="77"/>
      <c r="AI45" s="77"/>
      <c r="AJ45" s="77"/>
      <c r="AK45" s="77"/>
    </row>
    <row r="46" spans="1:37" ht="15.75" thickBot="1" x14ac:dyDescent="0.3">
      <c r="A46" s="78" t="s">
        <v>5</v>
      </c>
      <c r="B46" s="34" t="s">
        <v>6</v>
      </c>
      <c r="C46" s="22" t="s">
        <v>7</v>
      </c>
      <c r="D46" s="33" t="s">
        <v>8</v>
      </c>
      <c r="E46" s="22" t="s">
        <v>9</v>
      </c>
      <c r="F46" s="24" t="s">
        <v>10</v>
      </c>
      <c r="G46" s="23" t="s">
        <v>11</v>
      </c>
      <c r="H46" s="25" t="s">
        <v>12</v>
      </c>
      <c r="J46" s="6" t="s">
        <v>4</v>
      </c>
      <c r="K46" s="9">
        <v>45965</v>
      </c>
      <c r="L46" s="66">
        <v>45969</v>
      </c>
      <c r="M46" s="4"/>
      <c r="N46" s="4"/>
      <c r="O46" s="4"/>
      <c r="P46" s="4"/>
      <c r="Q46" s="4"/>
      <c r="R46" s="4"/>
      <c r="S46" s="4"/>
      <c r="T46" s="4"/>
      <c r="U46" s="5"/>
      <c r="W46" s="6" t="s">
        <v>4</v>
      </c>
      <c r="X46" s="9">
        <v>45968</v>
      </c>
      <c r="Y46" s="4"/>
      <c r="Z46" s="4"/>
      <c r="AA46" s="4"/>
      <c r="AB46" s="4"/>
      <c r="AC46" s="5"/>
      <c r="AE46" s="6" t="s">
        <v>4</v>
      </c>
      <c r="AF46" s="9"/>
      <c r="AG46" s="4"/>
      <c r="AH46" s="4"/>
      <c r="AI46" s="4"/>
      <c r="AJ46" s="4"/>
      <c r="AK46" s="5"/>
    </row>
    <row r="47" spans="1:37" ht="15.75" thickBot="1" x14ac:dyDescent="0.3">
      <c r="A47" s="78"/>
      <c r="B47" s="27">
        <v>8954</v>
      </c>
      <c r="C47" s="27">
        <v>9848</v>
      </c>
      <c r="D47" s="27"/>
      <c r="E47" s="27"/>
      <c r="F47" s="27">
        <f>SUM(C47-B47)</f>
        <v>894</v>
      </c>
      <c r="G47" s="20">
        <f>SUM(E47-D47)</f>
        <v>0</v>
      </c>
      <c r="H47" s="21">
        <f>SUM(F47:G47)</f>
        <v>894</v>
      </c>
      <c r="J47" s="7" t="s">
        <v>22</v>
      </c>
      <c r="K47" s="10">
        <v>247.19</v>
      </c>
      <c r="L47" s="11">
        <v>140.01</v>
      </c>
      <c r="M47" s="11"/>
      <c r="N47" s="11"/>
      <c r="O47" s="11"/>
      <c r="P47" s="11"/>
      <c r="Q47" s="11"/>
      <c r="R47" s="11"/>
      <c r="S47" s="11"/>
      <c r="T47" s="11"/>
      <c r="U47" s="12"/>
      <c r="W47" s="7" t="s">
        <v>22</v>
      </c>
      <c r="X47" s="10">
        <v>40</v>
      </c>
      <c r="Y47" s="11"/>
      <c r="Z47" s="11"/>
      <c r="AA47" s="11"/>
      <c r="AB47" s="11"/>
      <c r="AC47" s="12"/>
      <c r="AE47" s="7" t="s">
        <v>22</v>
      </c>
      <c r="AF47" s="10"/>
      <c r="AG47" s="11"/>
      <c r="AH47" s="11"/>
      <c r="AI47" s="11"/>
      <c r="AJ47" s="11"/>
      <c r="AK47" s="12"/>
    </row>
    <row r="48" spans="1:37" x14ac:dyDescent="0.25">
      <c r="J48" s="8"/>
      <c r="T48" s="8" t="s">
        <v>23</v>
      </c>
      <c r="U48" s="13">
        <f>SUM(K47:U47)</f>
        <v>387.2</v>
      </c>
      <c r="AB48" s="8" t="s">
        <v>23</v>
      </c>
      <c r="AC48" s="13">
        <f>SUM(X47:AC47)</f>
        <v>40</v>
      </c>
      <c r="AJ48" s="8" t="s">
        <v>23</v>
      </c>
      <c r="AK48" s="13">
        <f>SUM(AF47:AK47)</f>
        <v>0</v>
      </c>
    </row>
    <row r="49" spans="1:40" ht="15.75" thickBot="1" x14ac:dyDescent="0.3">
      <c r="A49" s="71" t="s">
        <v>94</v>
      </c>
      <c r="B49" s="74" t="s">
        <v>20</v>
      </c>
      <c r="C49" s="74"/>
      <c r="D49" s="74"/>
      <c r="E49" s="74"/>
      <c r="F49" s="74"/>
      <c r="G49" s="74"/>
      <c r="H49" s="74"/>
      <c r="J49" s="75" t="s">
        <v>20</v>
      </c>
      <c r="K49" s="75"/>
      <c r="L49" s="75"/>
      <c r="M49" s="75"/>
      <c r="N49" s="75"/>
      <c r="O49" s="75"/>
      <c r="P49" s="75"/>
      <c r="Q49" s="75"/>
      <c r="R49" s="75"/>
      <c r="S49" s="75"/>
      <c r="T49" s="75"/>
      <c r="U49" s="75"/>
      <c r="W49" s="76" t="str">
        <f>J49</f>
        <v>Novembro</v>
      </c>
      <c r="X49" s="76"/>
      <c r="Y49" s="76"/>
      <c r="Z49" s="76"/>
      <c r="AA49" s="76"/>
      <c r="AB49" s="76"/>
      <c r="AC49" s="76"/>
      <c r="AE49" s="77" t="str">
        <f>W49</f>
        <v>Novembro</v>
      </c>
      <c r="AF49" s="77"/>
      <c r="AG49" s="77"/>
      <c r="AH49" s="77"/>
      <c r="AI49" s="77"/>
      <c r="AJ49" s="77"/>
      <c r="AK49" s="77"/>
    </row>
    <row r="50" spans="1:40" ht="15.75" thickBot="1" x14ac:dyDescent="0.3">
      <c r="A50" s="78" t="s">
        <v>5</v>
      </c>
      <c r="B50" s="34" t="s">
        <v>6</v>
      </c>
      <c r="C50" s="22" t="s">
        <v>7</v>
      </c>
      <c r="D50" s="33" t="s">
        <v>8</v>
      </c>
      <c r="E50" s="22" t="s">
        <v>9</v>
      </c>
      <c r="F50" s="24" t="s">
        <v>10</v>
      </c>
      <c r="G50" s="23" t="s">
        <v>11</v>
      </c>
      <c r="H50" s="25" t="s">
        <v>12</v>
      </c>
      <c r="J50" s="6" t="s">
        <v>4</v>
      </c>
      <c r="K50" s="9">
        <v>45972</v>
      </c>
      <c r="L50" s="66">
        <v>45974</v>
      </c>
      <c r="M50" s="66">
        <v>45976</v>
      </c>
      <c r="N50" s="66">
        <v>45982</v>
      </c>
      <c r="O50" s="66">
        <v>45986</v>
      </c>
      <c r="P50" s="66">
        <v>45988</v>
      </c>
      <c r="Q50" s="4"/>
      <c r="R50" s="4"/>
      <c r="S50" s="4"/>
      <c r="T50" s="4"/>
      <c r="U50" s="5"/>
      <c r="W50" s="6" t="s">
        <v>4</v>
      </c>
      <c r="X50" s="9">
        <v>45968</v>
      </c>
      <c r="Y50" s="4" t="s">
        <v>97</v>
      </c>
      <c r="Z50" s="66">
        <v>45983</v>
      </c>
      <c r="AA50" s="4"/>
      <c r="AB50" s="4"/>
      <c r="AC50" s="5"/>
      <c r="AE50" s="6" t="s">
        <v>4</v>
      </c>
      <c r="AF50" s="9"/>
      <c r="AG50" s="4"/>
      <c r="AH50" s="4"/>
      <c r="AI50" s="4"/>
      <c r="AJ50" s="4"/>
      <c r="AK50" s="5"/>
    </row>
    <row r="51" spans="1:40" ht="15.75" thickBot="1" x14ac:dyDescent="0.3">
      <c r="A51" s="78"/>
      <c r="B51" s="27">
        <v>3632</v>
      </c>
      <c r="C51" s="27">
        <v>4598</v>
      </c>
      <c r="D51" s="27">
        <v>4598</v>
      </c>
      <c r="E51" s="27">
        <v>5741</v>
      </c>
      <c r="F51" s="27">
        <f>SUM(C51-B51)</f>
        <v>966</v>
      </c>
      <c r="G51" s="20">
        <f>SUM(E51-D51)</f>
        <v>1143</v>
      </c>
      <c r="H51" s="21">
        <f>SUM(F51:G51)</f>
        <v>2109</v>
      </c>
      <c r="J51" s="7" t="s">
        <v>22</v>
      </c>
      <c r="K51" s="10">
        <v>209.61</v>
      </c>
      <c r="L51" s="11">
        <v>248.59</v>
      </c>
      <c r="M51" s="11">
        <v>189.78</v>
      </c>
      <c r="N51" s="11">
        <v>215.41</v>
      </c>
      <c r="O51" s="11">
        <v>206.18</v>
      </c>
      <c r="P51" s="11">
        <v>201.08</v>
      </c>
      <c r="Q51" s="11"/>
      <c r="R51" s="11"/>
      <c r="S51" s="11"/>
      <c r="T51" s="11"/>
      <c r="U51" s="12"/>
      <c r="W51" s="7" t="s">
        <v>22</v>
      </c>
      <c r="X51" s="10">
        <v>40</v>
      </c>
      <c r="Y51" s="11">
        <v>60</v>
      </c>
      <c r="Z51" s="11">
        <v>60</v>
      </c>
      <c r="AA51" s="11"/>
      <c r="AB51" s="11"/>
      <c r="AC51" s="12"/>
      <c r="AE51" s="7" t="s">
        <v>22</v>
      </c>
      <c r="AF51" s="10"/>
      <c r="AG51" s="11"/>
      <c r="AH51" s="11"/>
      <c r="AI51" s="11"/>
      <c r="AJ51" s="11"/>
      <c r="AK51" s="12"/>
    </row>
    <row r="52" spans="1:40" x14ac:dyDescent="0.25">
      <c r="J52" s="8"/>
      <c r="T52" s="8" t="s">
        <v>23</v>
      </c>
      <c r="U52" s="13">
        <f>SUM(K51:U51)</f>
        <v>1270.6499999999999</v>
      </c>
      <c r="AB52" s="8" t="s">
        <v>23</v>
      </c>
      <c r="AC52" s="13">
        <f>SUM(X51:AC51)</f>
        <v>160</v>
      </c>
      <c r="AJ52" s="8" t="s">
        <v>23</v>
      </c>
      <c r="AK52" s="13">
        <f>SUM(AF51:AK51)</f>
        <v>0</v>
      </c>
    </row>
    <row r="53" spans="1:40" ht="15.75" thickBot="1" x14ac:dyDescent="0.3">
      <c r="A53" s="19"/>
      <c r="B53" s="74" t="s">
        <v>21</v>
      </c>
      <c r="C53" s="74"/>
      <c r="D53" s="74"/>
      <c r="E53" s="74"/>
      <c r="F53" s="74"/>
      <c r="G53" s="74"/>
      <c r="H53" s="74"/>
      <c r="J53" s="91" t="s">
        <v>21</v>
      </c>
      <c r="K53" s="91"/>
      <c r="L53" s="91"/>
      <c r="M53" s="91"/>
      <c r="N53" s="91"/>
      <c r="O53" s="91"/>
      <c r="P53" s="91"/>
      <c r="Q53" s="91"/>
      <c r="R53" s="91"/>
      <c r="S53" s="91"/>
      <c r="T53" s="91"/>
      <c r="U53" s="91"/>
      <c r="W53" s="76" t="str">
        <f>J53</f>
        <v>Dezembro</v>
      </c>
      <c r="X53" s="76"/>
      <c r="Y53" s="76"/>
      <c r="Z53" s="76"/>
      <c r="AA53" s="76"/>
      <c r="AB53" s="76"/>
      <c r="AC53" s="76"/>
      <c r="AE53" s="77" t="str">
        <f>W53</f>
        <v>Dezembro</v>
      </c>
      <c r="AF53" s="77"/>
      <c r="AG53" s="77"/>
      <c r="AH53" s="77"/>
      <c r="AI53" s="77"/>
      <c r="AJ53" s="77"/>
      <c r="AK53" s="77"/>
    </row>
    <row r="54" spans="1:40" ht="15.75" thickBot="1" x14ac:dyDescent="0.3">
      <c r="A54" s="90" t="s">
        <v>5</v>
      </c>
      <c r="B54" s="34" t="s">
        <v>6</v>
      </c>
      <c r="C54" s="22" t="s">
        <v>7</v>
      </c>
      <c r="D54" s="33" t="s">
        <v>8</v>
      </c>
      <c r="E54" s="22" t="s">
        <v>9</v>
      </c>
      <c r="F54" s="24" t="s">
        <v>10</v>
      </c>
      <c r="G54" s="23" t="s">
        <v>11</v>
      </c>
      <c r="H54" s="25" t="s">
        <v>12</v>
      </c>
      <c r="J54" s="6" t="s">
        <v>4</v>
      </c>
      <c r="K54" s="9">
        <v>46000</v>
      </c>
      <c r="L54" s="66">
        <v>46003</v>
      </c>
      <c r="M54" s="66">
        <v>46007</v>
      </c>
      <c r="N54" s="66">
        <v>46009</v>
      </c>
      <c r="O54" s="4"/>
      <c r="P54" s="4"/>
      <c r="Q54" s="4"/>
      <c r="R54" s="4"/>
      <c r="S54" s="4"/>
      <c r="T54" s="4"/>
      <c r="U54" s="5"/>
      <c r="W54" s="6" t="s">
        <v>4</v>
      </c>
      <c r="X54" s="9">
        <v>46004</v>
      </c>
      <c r="Y54" s="4"/>
      <c r="Z54" s="4"/>
      <c r="AA54" s="4"/>
      <c r="AB54" s="4"/>
      <c r="AC54" s="5"/>
      <c r="AE54" s="6" t="s">
        <v>4</v>
      </c>
      <c r="AF54" s="9"/>
      <c r="AG54" s="4"/>
      <c r="AH54" s="4"/>
      <c r="AI54" s="4"/>
      <c r="AJ54" s="4"/>
      <c r="AK54" s="5"/>
    </row>
    <row r="55" spans="1:40" ht="15.75" thickBot="1" x14ac:dyDescent="0.3">
      <c r="A55" s="90"/>
      <c r="B55" s="27">
        <v>5741</v>
      </c>
      <c r="C55" s="27">
        <v>7445</v>
      </c>
      <c r="D55" s="27">
        <v>7445</v>
      </c>
      <c r="E55" s="27">
        <v>7688</v>
      </c>
      <c r="F55" s="27">
        <f>SUM(C55-B55)</f>
        <v>1704</v>
      </c>
      <c r="G55" s="20">
        <f>SUM(E55-D55)</f>
        <v>243</v>
      </c>
      <c r="H55" s="21">
        <f>SUM(F55:G55)</f>
        <v>1947</v>
      </c>
      <c r="J55" s="7" t="s">
        <v>22</v>
      </c>
      <c r="K55" s="10">
        <v>231.6</v>
      </c>
      <c r="L55" s="11">
        <v>244.5</v>
      </c>
      <c r="M55" s="11">
        <v>239.72</v>
      </c>
      <c r="N55" s="11">
        <v>180.09</v>
      </c>
      <c r="O55" s="11"/>
      <c r="P55" s="11"/>
      <c r="Q55" s="11"/>
      <c r="R55" s="11"/>
      <c r="S55" s="11"/>
      <c r="T55" s="11"/>
      <c r="U55" s="12"/>
      <c r="W55" s="7" t="s">
        <v>22</v>
      </c>
      <c r="X55" s="10">
        <v>60</v>
      </c>
      <c r="Y55" s="11"/>
      <c r="Z55" s="11"/>
      <c r="AA55" s="11"/>
      <c r="AB55" s="11"/>
      <c r="AC55" s="12"/>
      <c r="AE55" s="7" t="s">
        <v>22</v>
      </c>
      <c r="AF55" s="10"/>
      <c r="AG55" s="11"/>
      <c r="AH55" s="11"/>
      <c r="AI55" s="11"/>
      <c r="AJ55" s="11"/>
      <c r="AK55" s="12"/>
    </row>
    <row r="56" spans="1:40" x14ac:dyDescent="0.25">
      <c r="J56" s="8"/>
      <c r="T56" s="8" t="s">
        <v>23</v>
      </c>
      <c r="U56" s="13">
        <f>SUM(K55:U55)</f>
        <v>895.91000000000008</v>
      </c>
      <c r="AB56" s="8" t="s">
        <v>23</v>
      </c>
      <c r="AC56" s="13">
        <f>SUM(X55:AC55)</f>
        <v>60</v>
      </c>
      <c r="AJ56" s="8" t="s">
        <v>23</v>
      </c>
      <c r="AK56" s="13">
        <f>SUM(AF55:AK55)</f>
        <v>0</v>
      </c>
    </row>
    <row r="57" spans="1:40" ht="15.75" thickBot="1" x14ac:dyDescent="0.3">
      <c r="A57" s="19">
        <v>2026</v>
      </c>
      <c r="B57" s="74" t="s">
        <v>100</v>
      </c>
      <c r="C57" s="74"/>
      <c r="D57" s="74"/>
      <c r="E57" s="74"/>
      <c r="F57" s="74"/>
      <c r="G57" s="74"/>
      <c r="H57" s="74"/>
      <c r="J57" s="75" t="s">
        <v>100</v>
      </c>
      <c r="K57" s="75"/>
      <c r="L57" s="75"/>
      <c r="M57" s="75"/>
      <c r="N57" s="75"/>
      <c r="O57" s="75"/>
      <c r="P57" s="75"/>
      <c r="Q57" s="75"/>
      <c r="R57" s="75"/>
      <c r="S57" s="75"/>
      <c r="T57" s="75"/>
      <c r="U57" s="75"/>
      <c r="Y57" s="76" t="s">
        <v>100</v>
      </c>
      <c r="Z57" s="76"/>
      <c r="AA57" s="76"/>
      <c r="AB57" s="76"/>
      <c r="AC57" s="76"/>
      <c r="AD57" s="76"/>
      <c r="AE57" s="76"/>
      <c r="AH57" s="77" t="s">
        <v>100</v>
      </c>
      <c r="AI57" s="77"/>
      <c r="AJ57" s="77"/>
      <c r="AK57" s="77"/>
      <c r="AL57" s="77"/>
      <c r="AM57" s="77"/>
      <c r="AN57" s="77"/>
    </row>
    <row r="58" spans="1:40" ht="15.75" thickBot="1" x14ac:dyDescent="0.3">
      <c r="A58" s="78" t="s">
        <v>5</v>
      </c>
      <c r="B58" s="34" t="s">
        <v>6</v>
      </c>
      <c r="C58" s="22" t="s">
        <v>7</v>
      </c>
      <c r="D58" s="33" t="s">
        <v>8</v>
      </c>
      <c r="E58" s="22" t="s">
        <v>9</v>
      </c>
      <c r="F58" s="24" t="s">
        <v>10</v>
      </c>
      <c r="G58" s="23" t="s">
        <v>11</v>
      </c>
      <c r="H58" s="25" t="s">
        <v>12</v>
      </c>
      <c r="J58" s="28" t="s">
        <v>4</v>
      </c>
      <c r="K58" s="9">
        <v>46029</v>
      </c>
      <c r="L58" s="9">
        <v>46032</v>
      </c>
      <c r="M58" s="9">
        <v>46035</v>
      </c>
      <c r="N58" s="9">
        <v>46037</v>
      </c>
      <c r="O58" s="9">
        <v>46039</v>
      </c>
      <c r="P58" s="9">
        <v>46042</v>
      </c>
      <c r="Q58" s="4"/>
      <c r="R58" s="4"/>
      <c r="S58" s="4"/>
      <c r="T58" s="4"/>
      <c r="U58" s="5"/>
      <c r="Y58" s="6" t="s">
        <v>4</v>
      </c>
      <c r="Z58" s="9"/>
      <c r="AA58" s="4"/>
      <c r="AB58" s="4"/>
      <c r="AC58" s="4"/>
      <c r="AD58" s="4"/>
      <c r="AE58" s="5"/>
      <c r="AH58" s="6" t="s">
        <v>4</v>
      </c>
      <c r="AI58" s="9"/>
      <c r="AJ58" s="4"/>
      <c r="AK58" s="4"/>
      <c r="AL58" s="4"/>
      <c r="AM58" s="4"/>
      <c r="AN58" s="5"/>
    </row>
    <row r="59" spans="1:40" ht="15.75" thickBot="1" x14ac:dyDescent="0.3">
      <c r="A59" s="78"/>
      <c r="B59" s="26">
        <v>7688</v>
      </c>
      <c r="C59" s="27">
        <v>9079</v>
      </c>
      <c r="D59" s="27">
        <v>9079</v>
      </c>
      <c r="E59" s="27">
        <v>9921</v>
      </c>
      <c r="F59" s="27">
        <f>SUM(C59-B59)</f>
        <v>1391</v>
      </c>
      <c r="G59" s="20">
        <f>SUM(E59-D59)</f>
        <v>842</v>
      </c>
      <c r="H59" s="21">
        <f>SUM(F59:G59)</f>
        <v>2233</v>
      </c>
      <c r="J59" s="29" t="s">
        <v>22</v>
      </c>
      <c r="K59" s="10">
        <v>244.24</v>
      </c>
      <c r="L59" s="11">
        <v>252</v>
      </c>
      <c r="M59" s="11">
        <v>233.67</v>
      </c>
      <c r="N59" s="11">
        <v>239.27</v>
      </c>
      <c r="O59" s="11">
        <v>126.46</v>
      </c>
      <c r="P59" s="11">
        <v>214.11</v>
      </c>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1309.75</v>
      </c>
      <c r="AD60" s="8" t="s">
        <v>23</v>
      </c>
      <c r="AE60" s="13">
        <f>SUM(Z59:AE59)</f>
        <v>0</v>
      </c>
      <c r="AM60" s="8" t="s">
        <v>23</v>
      </c>
      <c r="AN60" s="13">
        <f>SUM(AI59:AN59)</f>
        <v>0</v>
      </c>
    </row>
    <row r="61" spans="1:40" ht="15.75" thickBot="1" x14ac:dyDescent="0.3">
      <c r="A61" s="19"/>
      <c r="B61" s="74" t="s">
        <v>3</v>
      </c>
      <c r="C61" s="74"/>
      <c r="D61" s="74"/>
      <c r="E61" s="74"/>
      <c r="F61" s="74"/>
      <c r="G61" s="74"/>
      <c r="H61" s="74"/>
      <c r="J61" s="75" t="s">
        <v>3</v>
      </c>
      <c r="K61" s="75"/>
      <c r="L61" s="75"/>
      <c r="M61" s="75"/>
      <c r="N61" s="75"/>
      <c r="O61" s="75"/>
      <c r="P61" s="75"/>
      <c r="Q61" s="75"/>
      <c r="R61" s="75"/>
      <c r="S61" s="75"/>
      <c r="T61" s="75"/>
      <c r="U61" s="75"/>
      <c r="Y61" s="76" t="s">
        <v>3</v>
      </c>
      <c r="Z61" s="76"/>
      <c r="AA61" s="76"/>
      <c r="AB61" s="76"/>
      <c r="AC61" s="76"/>
      <c r="AD61" s="76"/>
      <c r="AE61" s="76"/>
      <c r="AH61" s="77" t="s">
        <v>3</v>
      </c>
      <c r="AI61" s="77"/>
      <c r="AJ61" s="77"/>
      <c r="AK61" s="77"/>
      <c r="AL61" s="77"/>
      <c r="AM61" s="77"/>
      <c r="AN61" s="77"/>
    </row>
    <row r="62" spans="1:40" ht="15.75" thickBot="1" x14ac:dyDescent="0.3">
      <c r="A62" s="78" t="s">
        <v>5</v>
      </c>
      <c r="B62" s="34" t="s">
        <v>6</v>
      </c>
      <c r="C62" s="22" t="s">
        <v>7</v>
      </c>
      <c r="D62" s="33" t="s">
        <v>8</v>
      </c>
      <c r="E62" s="22" t="s">
        <v>9</v>
      </c>
      <c r="F62" s="24" t="s">
        <v>10</v>
      </c>
      <c r="G62" s="23" t="s">
        <v>11</v>
      </c>
      <c r="H62" s="25" t="s">
        <v>12</v>
      </c>
      <c r="J62" s="28" t="s">
        <v>4</v>
      </c>
      <c r="K62" s="9">
        <v>46058</v>
      </c>
      <c r="L62" s="9">
        <v>46063</v>
      </c>
      <c r="M62" s="9">
        <v>46065</v>
      </c>
      <c r="N62" s="9">
        <v>46070</v>
      </c>
      <c r="O62" s="9">
        <v>46072</v>
      </c>
      <c r="P62" s="9">
        <v>46074</v>
      </c>
      <c r="Q62" s="9">
        <v>46078</v>
      </c>
      <c r="R62" s="9">
        <v>46080</v>
      </c>
      <c r="S62" s="9"/>
      <c r="T62" s="9"/>
      <c r="U62" s="5"/>
      <c r="Y62" s="6" t="s">
        <v>4</v>
      </c>
      <c r="Z62" s="9"/>
      <c r="AA62" s="4"/>
      <c r="AB62" s="4"/>
      <c r="AC62" s="4"/>
      <c r="AD62" s="4"/>
      <c r="AE62" s="5"/>
      <c r="AH62" s="6" t="s">
        <v>4</v>
      </c>
      <c r="AI62" s="9"/>
      <c r="AJ62" s="4"/>
      <c r="AK62" s="4"/>
      <c r="AL62" s="4"/>
      <c r="AM62" s="4"/>
      <c r="AN62" s="5"/>
    </row>
    <row r="63" spans="1:40" ht="15.75" thickBot="1" x14ac:dyDescent="0.3">
      <c r="A63" s="78"/>
      <c r="B63" s="27">
        <v>9921</v>
      </c>
      <c r="C63" s="27"/>
      <c r="D63" s="27"/>
      <c r="E63" s="27">
        <v>12981</v>
      </c>
      <c r="F63" s="27">
        <f>SUM(C63-B63)</f>
        <v>-9921</v>
      </c>
      <c r="G63" s="20">
        <f>SUM(E63-D63)</f>
        <v>12981</v>
      </c>
      <c r="H63" s="21">
        <f>SUM(F63:G63)</f>
        <v>3060</v>
      </c>
      <c r="J63" s="29" t="s">
        <v>22</v>
      </c>
      <c r="K63" s="10">
        <v>236.23</v>
      </c>
      <c r="L63" s="11">
        <v>266.10000000000002</v>
      </c>
      <c r="M63" s="11">
        <v>235.82</v>
      </c>
      <c r="N63" s="11">
        <v>265</v>
      </c>
      <c r="O63" s="11">
        <v>250.02</v>
      </c>
      <c r="P63" s="11">
        <v>192.03</v>
      </c>
      <c r="Q63" s="11">
        <v>251.78</v>
      </c>
      <c r="R63" s="11">
        <v>211.12</v>
      </c>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1908.1</v>
      </c>
      <c r="AD64" s="8" t="s">
        <v>23</v>
      </c>
      <c r="AE64" s="13">
        <f>SUM(Z63:AE63)</f>
        <v>0</v>
      </c>
      <c r="AM64" s="8" t="s">
        <v>23</v>
      </c>
      <c r="AN64" s="13">
        <f>SUM(AI63:AN63)</f>
        <v>0</v>
      </c>
    </row>
    <row r="65" spans="1:40" ht="15.75" thickBot="1" x14ac:dyDescent="0.3">
      <c r="A65" s="19"/>
      <c r="B65" s="74" t="s">
        <v>13</v>
      </c>
      <c r="C65" s="74"/>
      <c r="D65" s="74"/>
      <c r="E65" s="74"/>
      <c r="F65" s="74"/>
      <c r="G65" s="74"/>
      <c r="H65" s="74"/>
      <c r="J65" s="75" t="s">
        <v>13</v>
      </c>
      <c r="K65" s="75"/>
      <c r="L65" s="75"/>
      <c r="M65" s="75"/>
      <c r="N65" s="75"/>
      <c r="O65" s="75"/>
      <c r="P65" s="75"/>
      <c r="Q65" s="75"/>
      <c r="R65" s="75"/>
      <c r="S65" s="75"/>
      <c r="T65" s="75"/>
      <c r="U65" s="75"/>
      <c r="Y65" s="76" t="str">
        <f>J65</f>
        <v>Março</v>
      </c>
      <c r="Z65" s="76"/>
      <c r="AA65" s="76"/>
      <c r="AB65" s="76"/>
      <c r="AC65" s="76"/>
      <c r="AD65" s="76"/>
      <c r="AE65" s="76"/>
      <c r="AH65" s="77" t="str">
        <f>Y65</f>
        <v>Março</v>
      </c>
      <c r="AI65" s="77"/>
      <c r="AJ65" s="77"/>
      <c r="AK65" s="77"/>
      <c r="AL65" s="77"/>
      <c r="AM65" s="77"/>
      <c r="AN65" s="77"/>
    </row>
    <row r="66" spans="1:40" ht="15.75" thickBot="1" x14ac:dyDescent="0.3">
      <c r="A66" s="78" t="s">
        <v>5</v>
      </c>
      <c r="B66" s="34" t="s">
        <v>6</v>
      </c>
      <c r="C66" s="22" t="s">
        <v>7</v>
      </c>
      <c r="D66" s="33" t="s">
        <v>8</v>
      </c>
      <c r="E66" s="22" t="s">
        <v>9</v>
      </c>
      <c r="F66" s="24" t="s">
        <v>10</v>
      </c>
      <c r="G66" s="23" t="s">
        <v>11</v>
      </c>
      <c r="H66" s="25" t="s">
        <v>12</v>
      </c>
      <c r="J66" s="6" t="s">
        <v>4</v>
      </c>
      <c r="K66" s="9">
        <v>46084</v>
      </c>
      <c r="L66" s="66">
        <v>46088</v>
      </c>
      <c r="M66" s="66">
        <v>46094</v>
      </c>
      <c r="N66" s="66">
        <v>46098</v>
      </c>
      <c r="O66" s="66">
        <v>46100</v>
      </c>
      <c r="P66" s="66">
        <v>46102</v>
      </c>
      <c r="Q66" s="66">
        <v>46105</v>
      </c>
      <c r="R66" s="66">
        <v>46107</v>
      </c>
      <c r="S66" s="66">
        <v>46109</v>
      </c>
      <c r="T66" s="66">
        <v>46112</v>
      </c>
      <c r="U66" s="72"/>
      <c r="Y66" s="6" t="s">
        <v>4</v>
      </c>
      <c r="Z66" s="9">
        <v>46089</v>
      </c>
      <c r="AA66" s="66">
        <v>46103</v>
      </c>
      <c r="AB66" s="66">
        <v>46110</v>
      </c>
      <c r="AC66" s="4"/>
      <c r="AD66" s="4"/>
      <c r="AE66" s="5"/>
      <c r="AH66" s="6" t="s">
        <v>4</v>
      </c>
      <c r="AI66" s="9"/>
      <c r="AJ66" s="4"/>
      <c r="AK66" s="4"/>
      <c r="AL66" s="4"/>
      <c r="AM66" s="4"/>
      <c r="AN66" s="5"/>
    </row>
    <row r="67" spans="1:40" ht="15.75" thickBot="1" x14ac:dyDescent="0.3">
      <c r="A67" s="78"/>
      <c r="B67" s="27">
        <v>12981</v>
      </c>
      <c r="C67" s="27"/>
      <c r="D67" s="27"/>
      <c r="E67" s="27">
        <v>16290</v>
      </c>
      <c r="F67" s="27">
        <f>SUM(C67-B67)</f>
        <v>-12981</v>
      </c>
      <c r="G67" s="20">
        <f>SUM(E67-D67)</f>
        <v>16290</v>
      </c>
      <c r="H67" s="21">
        <f>SUM(F67:G67)</f>
        <v>3309</v>
      </c>
      <c r="J67" s="7" t="s">
        <v>22</v>
      </c>
      <c r="K67" s="10">
        <v>235.02</v>
      </c>
      <c r="L67" s="11">
        <v>194.81</v>
      </c>
      <c r="M67" s="11">
        <v>232.71</v>
      </c>
      <c r="N67" s="11">
        <v>268.06</v>
      </c>
      <c r="O67" s="11">
        <v>255.99</v>
      </c>
      <c r="P67" s="11">
        <v>265</v>
      </c>
      <c r="Q67" s="11">
        <v>247.15</v>
      </c>
      <c r="R67" s="11">
        <v>270.02999999999997</v>
      </c>
      <c r="S67" s="11">
        <v>267.02999999999997</v>
      </c>
      <c r="T67" s="11">
        <v>260.04000000000002</v>
      </c>
      <c r="U67" s="12"/>
      <c r="Y67" s="7" t="s">
        <v>22</v>
      </c>
      <c r="Z67" s="10">
        <v>60</v>
      </c>
      <c r="AA67" s="11">
        <v>60</v>
      </c>
      <c r="AB67" s="11">
        <v>60</v>
      </c>
      <c r="AC67" s="11"/>
      <c r="AD67" s="11"/>
      <c r="AE67" s="12"/>
      <c r="AH67" s="7" t="s">
        <v>22</v>
      </c>
      <c r="AI67" s="10"/>
      <c r="AJ67" s="11"/>
      <c r="AK67" s="11"/>
      <c r="AL67" s="11"/>
      <c r="AM67" s="11"/>
      <c r="AN67" s="12"/>
    </row>
    <row r="68" spans="1:40" x14ac:dyDescent="0.25">
      <c r="J68" s="8"/>
      <c r="T68" s="8" t="s">
        <v>23</v>
      </c>
      <c r="U68" s="13">
        <f>SUM(K67:U67)</f>
        <v>2495.84</v>
      </c>
      <c r="AD68" s="8" t="s">
        <v>23</v>
      </c>
      <c r="AE68" s="13">
        <f>SUM(Z67:AE67)</f>
        <v>180</v>
      </c>
      <c r="AM68" s="8" t="s">
        <v>23</v>
      </c>
      <c r="AN68" s="13">
        <f>SUM(AI67:AN67)</f>
        <v>0</v>
      </c>
    </row>
    <row r="69" spans="1:40" ht="15.75" thickBot="1" x14ac:dyDescent="0.3">
      <c r="A69" s="19"/>
      <c r="B69" s="74" t="s">
        <v>14</v>
      </c>
      <c r="C69" s="74"/>
      <c r="D69" s="74"/>
      <c r="E69" s="74"/>
      <c r="F69" s="74"/>
      <c r="G69" s="74"/>
      <c r="H69" s="74"/>
      <c r="J69" s="75" t="s">
        <v>14</v>
      </c>
      <c r="K69" s="75"/>
      <c r="L69" s="75"/>
      <c r="M69" s="75"/>
      <c r="N69" s="75"/>
      <c r="O69" s="75"/>
      <c r="P69" s="75"/>
      <c r="Q69" s="75"/>
      <c r="R69" s="75"/>
      <c r="S69" s="75"/>
      <c r="T69" s="75"/>
      <c r="U69" s="75"/>
      <c r="Y69" s="76" t="str">
        <f>J69</f>
        <v>Abril</v>
      </c>
      <c r="Z69" s="76"/>
      <c r="AA69" s="76"/>
      <c r="AB69" s="76"/>
      <c r="AC69" s="76"/>
      <c r="AD69" s="76"/>
      <c r="AE69" s="76"/>
      <c r="AH69" s="77" t="str">
        <f>Y69</f>
        <v>Abril</v>
      </c>
      <c r="AI69" s="77"/>
      <c r="AJ69" s="77"/>
      <c r="AK69" s="77"/>
      <c r="AL69" s="77"/>
      <c r="AM69" s="77"/>
      <c r="AN69" s="77"/>
    </row>
    <row r="70" spans="1:40" ht="15.75" thickBot="1" x14ac:dyDescent="0.3">
      <c r="A70" s="78"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78"/>
      <c r="B71" s="27">
        <v>16290</v>
      </c>
      <c r="C71" s="27"/>
      <c r="D71" s="27"/>
      <c r="E71" s="27">
        <v>19925</v>
      </c>
      <c r="F71" s="27">
        <f>SUM(C71-B71)</f>
        <v>-16290</v>
      </c>
      <c r="G71" s="20">
        <f>SUM(E71-D71)</f>
        <v>19925</v>
      </c>
      <c r="H71" s="21">
        <f>SUM(F71:G71)</f>
        <v>3635</v>
      </c>
      <c r="J71" s="7" t="s">
        <v>22</v>
      </c>
      <c r="K71" s="30"/>
      <c r="L71" s="31"/>
      <c r="M71" s="31"/>
      <c r="N71" s="31"/>
      <c r="O71" s="31"/>
      <c r="P71" s="31"/>
      <c r="Q71" s="31"/>
      <c r="R71" s="31"/>
      <c r="S71" s="31"/>
      <c r="T71" s="31"/>
      <c r="U71" s="3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74" t="s">
        <v>15</v>
      </c>
      <c r="C73" s="74"/>
      <c r="D73" s="74"/>
      <c r="E73" s="74"/>
      <c r="F73" s="74"/>
      <c r="G73" s="74"/>
      <c r="H73" s="74"/>
      <c r="J73" s="75" t="s">
        <v>15</v>
      </c>
      <c r="K73" s="75"/>
      <c r="L73" s="75"/>
      <c r="M73" s="75"/>
      <c r="N73" s="75"/>
      <c r="O73" s="75"/>
      <c r="P73" s="75"/>
      <c r="Q73" s="75"/>
      <c r="R73" s="75"/>
      <c r="S73" s="75"/>
      <c r="T73" s="75"/>
      <c r="U73" s="75"/>
      <c r="Y73" s="76" t="str">
        <f>J73</f>
        <v>Maio</v>
      </c>
      <c r="Z73" s="76"/>
      <c r="AA73" s="76"/>
      <c r="AB73" s="76"/>
      <c r="AC73" s="76"/>
      <c r="AD73" s="76"/>
      <c r="AE73" s="76"/>
      <c r="AH73" s="77" t="str">
        <f>Y73</f>
        <v>Maio</v>
      </c>
      <c r="AI73" s="77"/>
      <c r="AJ73" s="77"/>
      <c r="AK73" s="77"/>
      <c r="AL73" s="77"/>
      <c r="AM73" s="77"/>
      <c r="AN73" s="77"/>
    </row>
    <row r="74" spans="1:40" ht="15.75" thickBot="1" x14ac:dyDescent="0.3">
      <c r="A74" s="78"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78"/>
      <c r="B75" s="27">
        <v>19925</v>
      </c>
      <c r="C75" s="27"/>
      <c r="D75" s="27"/>
      <c r="E75" s="27">
        <v>22591</v>
      </c>
      <c r="F75" s="27">
        <f>SUM(C75-B75)</f>
        <v>-19925</v>
      </c>
      <c r="G75" s="20">
        <f>SUM(E75-D75)</f>
        <v>22591</v>
      </c>
      <c r="H75" s="21">
        <f>SUM(F75:G75)</f>
        <v>2666</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74" t="s">
        <v>24</v>
      </c>
      <c r="C77" s="74"/>
      <c r="D77" s="74"/>
      <c r="E77" s="74"/>
      <c r="F77" s="74"/>
      <c r="G77" s="74"/>
      <c r="H77" s="74"/>
      <c r="J77" s="75" t="s">
        <v>24</v>
      </c>
      <c r="K77" s="75"/>
      <c r="L77" s="75"/>
      <c r="M77" s="75"/>
      <c r="N77" s="75"/>
      <c r="O77" s="75"/>
      <c r="P77" s="75"/>
      <c r="Q77" s="75"/>
      <c r="R77" s="75"/>
      <c r="S77" s="75"/>
      <c r="T77" s="75"/>
      <c r="U77" s="75"/>
      <c r="Y77" s="76" t="str">
        <f>J77</f>
        <v>Junho</v>
      </c>
      <c r="Z77" s="76"/>
      <c r="AA77" s="76"/>
      <c r="AB77" s="76"/>
      <c r="AC77" s="76"/>
      <c r="AD77" s="76"/>
      <c r="AE77" s="76"/>
      <c r="AH77" s="77" t="str">
        <f>Y77</f>
        <v>Junho</v>
      </c>
      <c r="AI77" s="77"/>
      <c r="AJ77" s="77"/>
      <c r="AK77" s="77"/>
      <c r="AL77" s="77"/>
      <c r="AM77" s="77"/>
      <c r="AN77" s="77"/>
    </row>
    <row r="78" spans="1:40" ht="15.75" thickBot="1" x14ac:dyDescent="0.3">
      <c r="A78" s="78"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78"/>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74" t="s">
        <v>16</v>
      </c>
      <c r="C81" s="74"/>
      <c r="D81" s="74"/>
      <c r="E81" s="74"/>
      <c r="F81" s="74"/>
      <c r="G81" s="74"/>
      <c r="H81" s="74"/>
      <c r="J81" s="75" t="s">
        <v>16</v>
      </c>
      <c r="K81" s="75"/>
      <c r="L81" s="75"/>
      <c r="M81" s="75"/>
      <c r="N81" s="75"/>
      <c r="O81" s="75"/>
      <c r="P81" s="75"/>
      <c r="Q81" s="75"/>
      <c r="R81" s="75"/>
      <c r="S81" s="75"/>
      <c r="T81" s="75"/>
      <c r="U81" s="75"/>
      <c r="Y81" s="76" t="str">
        <f>J81</f>
        <v>Julho</v>
      </c>
      <c r="Z81" s="76"/>
      <c r="AA81" s="76"/>
      <c r="AB81" s="76"/>
      <c r="AC81" s="76"/>
      <c r="AD81" s="76"/>
      <c r="AE81" s="76"/>
      <c r="AH81" s="77" t="str">
        <f>Y81</f>
        <v>Julho</v>
      </c>
      <c r="AI81" s="77"/>
      <c r="AJ81" s="77"/>
      <c r="AK81" s="77"/>
      <c r="AL81" s="77"/>
      <c r="AM81" s="77"/>
      <c r="AN81" s="77"/>
    </row>
    <row r="82" spans="1:40" ht="15.75" thickBot="1" x14ac:dyDescent="0.3">
      <c r="A82" s="78"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78"/>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74" t="s">
        <v>17</v>
      </c>
      <c r="C85" s="74"/>
      <c r="D85" s="74"/>
      <c r="E85" s="74"/>
      <c r="F85" s="74"/>
      <c r="G85" s="74"/>
      <c r="H85" s="74"/>
      <c r="J85" s="75" t="s">
        <v>17</v>
      </c>
      <c r="K85" s="75"/>
      <c r="L85" s="75"/>
      <c r="M85" s="75"/>
      <c r="N85" s="75"/>
      <c r="O85" s="75"/>
      <c r="P85" s="75"/>
      <c r="Q85" s="75"/>
      <c r="R85" s="75"/>
      <c r="S85" s="75"/>
      <c r="T85" s="75"/>
      <c r="U85" s="75"/>
      <c r="Y85" s="76" t="str">
        <f>J85</f>
        <v>Agosto</v>
      </c>
      <c r="Z85" s="76"/>
      <c r="AA85" s="76"/>
      <c r="AB85" s="76"/>
      <c r="AC85" s="76"/>
      <c r="AD85" s="76"/>
      <c r="AE85" s="76"/>
      <c r="AH85" s="77" t="str">
        <f>Y85</f>
        <v>Agosto</v>
      </c>
      <c r="AI85" s="77"/>
      <c r="AJ85" s="77"/>
      <c r="AK85" s="77"/>
      <c r="AL85" s="77"/>
      <c r="AM85" s="77"/>
      <c r="AN85" s="77"/>
    </row>
    <row r="86" spans="1:40" ht="15.75" thickBot="1" x14ac:dyDescent="0.3">
      <c r="A86" s="78"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78"/>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row r="89" spans="1:40" ht="15.75" thickBot="1" x14ac:dyDescent="0.3">
      <c r="A89" s="19"/>
      <c r="B89" s="74" t="s">
        <v>18</v>
      </c>
      <c r="C89" s="74"/>
      <c r="D89" s="74"/>
      <c r="E89" s="74"/>
      <c r="F89" s="74"/>
      <c r="G89" s="74"/>
      <c r="H89" s="74"/>
      <c r="J89" s="75" t="s">
        <v>18</v>
      </c>
      <c r="K89" s="75"/>
      <c r="L89" s="75"/>
      <c r="M89" s="75"/>
      <c r="N89" s="75"/>
      <c r="O89" s="75"/>
      <c r="P89" s="75"/>
      <c r="Q89" s="75"/>
      <c r="R89" s="75"/>
      <c r="S89" s="75"/>
      <c r="T89" s="75"/>
      <c r="U89" s="75"/>
      <c r="Y89" s="76" t="str">
        <f>J89</f>
        <v>Setembro</v>
      </c>
      <c r="Z89" s="76"/>
      <c r="AA89" s="76"/>
      <c r="AB89" s="76"/>
      <c r="AC89" s="76"/>
      <c r="AD89" s="76"/>
      <c r="AE89" s="76"/>
      <c r="AH89" s="77" t="str">
        <f>Y89</f>
        <v>Setembro</v>
      </c>
      <c r="AI89" s="77"/>
      <c r="AJ89" s="77"/>
      <c r="AK89" s="77"/>
      <c r="AL89" s="77"/>
      <c r="AM89" s="77"/>
      <c r="AN89" s="77"/>
    </row>
    <row r="90" spans="1:40" ht="15.75" thickBot="1" x14ac:dyDescent="0.3">
      <c r="A90" s="78"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Y90" s="6" t="s">
        <v>4</v>
      </c>
      <c r="Z90" s="9"/>
      <c r="AA90" s="4"/>
      <c r="AB90" s="4"/>
      <c r="AC90" s="4"/>
      <c r="AD90" s="4"/>
      <c r="AE90" s="5"/>
      <c r="AH90" s="6" t="s">
        <v>4</v>
      </c>
      <c r="AI90" s="9"/>
      <c r="AJ90" s="4"/>
      <c r="AK90" s="4"/>
      <c r="AL90" s="4"/>
      <c r="AM90" s="4"/>
      <c r="AN90" s="5"/>
    </row>
    <row r="91" spans="1:40" ht="15.75" thickBot="1" x14ac:dyDescent="0.3">
      <c r="A91" s="78"/>
      <c r="B91" s="26"/>
      <c r="C91" s="27"/>
      <c r="D91" s="27"/>
      <c r="E91" s="27"/>
      <c r="F91" s="27">
        <f>SUM(C91-B91)</f>
        <v>0</v>
      </c>
      <c r="G91" s="20">
        <f>SUM(E91-D91)</f>
        <v>0</v>
      </c>
      <c r="H91" s="21">
        <f>SUM(F91:G91)</f>
        <v>0</v>
      </c>
      <c r="J91" s="7" t="s">
        <v>22</v>
      </c>
      <c r="K91" s="10"/>
      <c r="L91" s="11"/>
      <c r="M91" s="11"/>
      <c r="N91" s="11"/>
      <c r="O91" s="11"/>
      <c r="P91" s="11"/>
      <c r="Q91" s="11"/>
      <c r="R91" s="11"/>
      <c r="S91" s="11"/>
      <c r="T91" s="11"/>
      <c r="U91" s="12"/>
      <c r="Y91" s="7" t="s">
        <v>22</v>
      </c>
      <c r="Z91" s="10"/>
      <c r="AA91" s="11"/>
      <c r="AB91" s="11"/>
      <c r="AC91" s="11"/>
      <c r="AD91" s="11"/>
      <c r="AE91" s="12"/>
      <c r="AH91" s="7" t="s">
        <v>22</v>
      </c>
      <c r="AI91" s="10"/>
      <c r="AJ91" s="11"/>
      <c r="AK91" s="11"/>
      <c r="AL91" s="11"/>
      <c r="AM91" s="11"/>
      <c r="AN91" s="12"/>
    </row>
    <row r="92" spans="1:40" x14ac:dyDescent="0.25">
      <c r="J92" s="8"/>
      <c r="T92" s="8" t="s">
        <v>23</v>
      </c>
      <c r="U92" s="13">
        <f>SUM(K91:U91)</f>
        <v>0</v>
      </c>
      <c r="AD92" s="8" t="s">
        <v>23</v>
      </c>
      <c r="AE92" s="13">
        <f>SUM(Z91:AE91)</f>
        <v>0</v>
      </c>
      <c r="AM92" s="8" t="s">
        <v>23</v>
      </c>
      <c r="AN92" s="13">
        <f>SUM(AI91:AN91)</f>
        <v>0</v>
      </c>
    </row>
  </sheetData>
  <mergeCells count="115">
    <mergeCell ref="J49:U49"/>
    <mergeCell ref="W49:AC49"/>
    <mergeCell ref="AE49:AK49"/>
    <mergeCell ref="A50:A51"/>
    <mergeCell ref="A54:A55"/>
    <mergeCell ref="B53:H53"/>
    <mergeCell ref="J53:U53"/>
    <mergeCell ref="W53:AC53"/>
    <mergeCell ref="AE53:AK53"/>
    <mergeCell ref="B49:H49"/>
    <mergeCell ref="B45:H45"/>
    <mergeCell ref="J45:U45"/>
    <mergeCell ref="W45:AC45"/>
    <mergeCell ref="AE45:AK45"/>
    <mergeCell ref="A46:A47"/>
    <mergeCell ref="B41:H41"/>
    <mergeCell ref="J41:U41"/>
    <mergeCell ref="W41:AC41"/>
    <mergeCell ref="AE41:AK41"/>
    <mergeCell ref="A42:A43"/>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57:H57"/>
    <mergeCell ref="J57:U57"/>
    <mergeCell ref="Y57:AE57"/>
    <mergeCell ref="AH57:AN57"/>
    <mergeCell ref="A58:A59"/>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B65:H65"/>
    <mergeCell ref="J65:U65"/>
    <mergeCell ref="Y65:AE65"/>
    <mergeCell ref="AH65:AN65"/>
    <mergeCell ref="A66:A67"/>
    <mergeCell ref="B61:H61"/>
    <mergeCell ref="J61:U61"/>
    <mergeCell ref="Y61:AE61"/>
    <mergeCell ref="AH61:AN61"/>
    <mergeCell ref="A62:A63"/>
    <mergeCell ref="B73:H73"/>
    <mergeCell ref="J73:U73"/>
    <mergeCell ref="Y73:AE73"/>
    <mergeCell ref="AH73:AN73"/>
    <mergeCell ref="A74:A75"/>
    <mergeCell ref="B69:H69"/>
    <mergeCell ref="J69:U69"/>
    <mergeCell ref="Y69:AE69"/>
    <mergeCell ref="AH69:AN69"/>
    <mergeCell ref="A70:A71"/>
    <mergeCell ref="B81:H81"/>
    <mergeCell ref="J81:U81"/>
    <mergeCell ref="Y81:AE81"/>
    <mergeCell ref="AH81:AN81"/>
    <mergeCell ref="A82:A83"/>
    <mergeCell ref="B77:H77"/>
    <mergeCell ref="J77:U77"/>
    <mergeCell ref="Y77:AE77"/>
    <mergeCell ref="AH77:AN77"/>
    <mergeCell ref="A78:A79"/>
    <mergeCell ref="B89:H89"/>
    <mergeCell ref="J89:U89"/>
    <mergeCell ref="Y89:AE89"/>
    <mergeCell ref="AH89:AN89"/>
    <mergeCell ref="A90:A91"/>
    <mergeCell ref="B85:H85"/>
    <mergeCell ref="J85:U85"/>
    <mergeCell ref="Y85:AE85"/>
    <mergeCell ref="AH85:AN85"/>
    <mergeCell ref="A86:A87"/>
  </mergeCells>
  <pageMargins left="0.511811024" right="0.511811024" top="0.78740157499999996" bottom="0.78740157499999996" header="0.31496062000000002" footer="0.31496062000000002"/>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AN92"/>
  <sheetViews>
    <sheetView showGridLines="0" topLeftCell="A60" workbookViewId="0">
      <selection activeCell="I81" sqref="I8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20" width="10.42578125" bestFit="1" customWidth="1"/>
    <col min="21" max="21" width="13.28515625" bestFit="1" customWidth="1"/>
    <col min="24" max="28" width="10.42578125" bestFit="1" customWidth="1"/>
    <col min="29" max="29" width="10.5703125" bestFit="1" customWidth="1"/>
    <col min="31" max="31" width="10.5703125" bestFit="1" customWidth="1"/>
    <col min="32" max="32" width="10.42578125" bestFit="1" customWidth="1"/>
    <col min="34" max="36" width="10.140625" bestFit="1" customWidth="1"/>
  </cols>
  <sheetData>
    <row r="2" spans="1:37" x14ac:dyDescent="0.25">
      <c r="A2" t="s">
        <v>0</v>
      </c>
      <c r="B2" s="79" t="s">
        <v>83</v>
      </c>
      <c r="C2" s="79"/>
      <c r="D2" s="1" t="s">
        <v>1</v>
      </c>
      <c r="E2" s="79" t="s">
        <v>90</v>
      </c>
      <c r="F2" s="79"/>
      <c r="H2" t="s">
        <v>85</v>
      </c>
      <c r="I2" s="68">
        <v>3000</v>
      </c>
    </row>
    <row r="3" spans="1:37" x14ac:dyDescent="0.25">
      <c r="A3" t="s">
        <v>80</v>
      </c>
      <c r="B3" s="85">
        <v>46163</v>
      </c>
      <c r="C3" s="79"/>
      <c r="D3" s="1" t="s">
        <v>1</v>
      </c>
      <c r="E3" s="79" t="s">
        <v>110</v>
      </c>
      <c r="F3" s="79"/>
      <c r="H3" t="s">
        <v>81</v>
      </c>
      <c r="I3" s="70" t="s">
        <v>87</v>
      </c>
    </row>
    <row r="4" spans="1:37" x14ac:dyDescent="0.25">
      <c r="A4" t="s">
        <v>2</v>
      </c>
      <c r="B4" s="80">
        <v>3837</v>
      </c>
      <c r="C4" s="80"/>
      <c r="D4" s="1" t="s">
        <v>29</v>
      </c>
      <c r="E4" s="81">
        <v>45</v>
      </c>
      <c r="F4" s="81"/>
      <c r="H4" t="s">
        <v>70</v>
      </c>
      <c r="I4" s="69">
        <v>45963</v>
      </c>
    </row>
    <row r="7" spans="1:37" ht="21" x14ac:dyDescent="0.35">
      <c r="A7" s="82" t="s">
        <v>28</v>
      </c>
      <c r="B7" s="82"/>
      <c r="C7" s="82"/>
      <c r="D7" s="82"/>
      <c r="E7" s="82"/>
      <c r="F7" s="82"/>
      <c r="G7" s="82"/>
      <c r="H7" s="82"/>
      <c r="J7" s="84" t="s">
        <v>26</v>
      </c>
      <c r="K7" s="84"/>
      <c r="L7" s="84"/>
      <c r="M7" s="84"/>
      <c r="N7" s="84"/>
      <c r="O7" s="84"/>
      <c r="P7" s="84"/>
      <c r="Q7" s="84"/>
      <c r="R7" s="84"/>
      <c r="S7" s="84"/>
      <c r="T7" s="84"/>
      <c r="U7" s="84"/>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79" t="s">
        <v>72</v>
      </c>
      <c r="E8" s="79"/>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4" t="s">
        <v>3</v>
      </c>
      <c r="C9" s="74"/>
      <c r="D9" s="74"/>
      <c r="E9" s="74"/>
      <c r="F9" s="74"/>
      <c r="G9" s="74"/>
      <c r="H9" s="74"/>
      <c r="J9" s="75" t="s">
        <v>3</v>
      </c>
      <c r="K9" s="75"/>
      <c r="L9" s="75"/>
      <c r="M9" s="75"/>
      <c r="N9" s="75"/>
      <c r="O9" s="75"/>
      <c r="P9" s="75"/>
      <c r="Q9" s="75"/>
      <c r="R9" s="75"/>
      <c r="S9" s="75"/>
      <c r="T9" s="75"/>
      <c r="U9" s="75"/>
      <c r="W9" s="76" t="s">
        <v>3</v>
      </c>
      <c r="X9" s="76"/>
      <c r="Y9" s="76"/>
      <c r="Z9" s="76"/>
      <c r="AA9" s="76"/>
      <c r="AB9" s="76"/>
      <c r="AC9" s="76"/>
      <c r="AE9" s="77" t="s">
        <v>3</v>
      </c>
      <c r="AF9" s="77"/>
      <c r="AG9" s="77"/>
      <c r="AH9" s="77"/>
      <c r="AI9" s="77"/>
      <c r="AJ9" s="77"/>
      <c r="AK9" s="77"/>
    </row>
    <row r="10" spans="1:37" ht="15.75" thickBot="1" x14ac:dyDescent="0.3">
      <c r="A10" s="78" t="s">
        <v>5</v>
      </c>
      <c r="B10" s="34" t="s">
        <v>6</v>
      </c>
      <c r="C10" s="22" t="s">
        <v>7</v>
      </c>
      <c r="D10" s="33" t="s">
        <v>8</v>
      </c>
      <c r="E10" s="22" t="s">
        <v>9</v>
      </c>
      <c r="F10" s="24" t="s">
        <v>10</v>
      </c>
      <c r="G10" s="23" t="s">
        <v>11</v>
      </c>
      <c r="H10" s="25" t="s">
        <v>12</v>
      </c>
      <c r="J10" s="28" t="s">
        <v>4</v>
      </c>
      <c r="K10" s="9"/>
      <c r="L10" s="66"/>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4" t="s">
        <v>13</v>
      </c>
      <c r="C13" s="74"/>
      <c r="D13" s="74"/>
      <c r="E13" s="74"/>
      <c r="F13" s="74"/>
      <c r="G13" s="74"/>
      <c r="H13" s="74"/>
      <c r="J13" s="75" t="s">
        <v>13</v>
      </c>
      <c r="K13" s="75"/>
      <c r="L13" s="75"/>
      <c r="M13" s="75"/>
      <c r="N13" s="75"/>
      <c r="O13" s="75"/>
      <c r="P13" s="75"/>
      <c r="Q13" s="75"/>
      <c r="R13" s="75"/>
      <c r="S13" s="75"/>
      <c r="T13" s="75"/>
      <c r="U13" s="75"/>
      <c r="W13" s="76" t="str">
        <f>J13</f>
        <v>Março</v>
      </c>
      <c r="X13" s="76"/>
      <c r="Y13" s="76"/>
      <c r="Z13" s="76"/>
      <c r="AA13" s="76"/>
      <c r="AB13" s="76"/>
      <c r="AC13" s="76"/>
      <c r="AE13" s="77" t="str">
        <f>W13</f>
        <v>Março</v>
      </c>
      <c r="AF13" s="77"/>
      <c r="AG13" s="77"/>
      <c r="AH13" s="77"/>
      <c r="AI13" s="77"/>
      <c r="AJ13" s="77"/>
      <c r="AK13" s="77"/>
    </row>
    <row r="14" spans="1:37" ht="15.75" thickBot="1" x14ac:dyDescent="0.3">
      <c r="A14" s="78" t="s">
        <v>5</v>
      </c>
      <c r="B14" s="34" t="s">
        <v>6</v>
      </c>
      <c r="C14" s="22" t="s">
        <v>7</v>
      </c>
      <c r="D14" s="33" t="s">
        <v>8</v>
      </c>
      <c r="E14" s="22" t="s">
        <v>9</v>
      </c>
      <c r="F14" s="24" t="s">
        <v>10</v>
      </c>
      <c r="G14" s="23" t="s">
        <v>11</v>
      </c>
      <c r="H14" s="25" t="s">
        <v>12</v>
      </c>
      <c r="J14" s="6" t="s">
        <v>4</v>
      </c>
      <c r="K14" s="66"/>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8"/>
      <c r="B15" s="26"/>
      <c r="C15" s="27"/>
      <c r="D15" s="27"/>
      <c r="E15" s="27"/>
      <c r="F15" s="27">
        <f>SUM(C15-B15)</f>
        <v>0</v>
      </c>
      <c r="G15" s="20">
        <f>SUM(E15-D15)</f>
        <v>0</v>
      </c>
      <c r="H15" s="21">
        <f>SUM(F15:G15)</f>
        <v>0</v>
      </c>
      <c r="J15" s="7" t="s">
        <v>22</v>
      </c>
      <c r="K15" s="11"/>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4" t="s">
        <v>14</v>
      </c>
      <c r="C17" s="74"/>
      <c r="D17" s="74"/>
      <c r="E17" s="74"/>
      <c r="F17" s="74"/>
      <c r="G17" s="74"/>
      <c r="H17" s="74"/>
      <c r="J17" s="75" t="s">
        <v>14</v>
      </c>
      <c r="K17" s="75"/>
      <c r="L17" s="75"/>
      <c r="M17" s="75"/>
      <c r="N17" s="75"/>
      <c r="O17" s="75"/>
      <c r="P17" s="75"/>
      <c r="Q17" s="75"/>
      <c r="R17" s="75"/>
      <c r="S17" s="75"/>
      <c r="T17" s="75"/>
      <c r="U17" s="75"/>
      <c r="W17" s="76" t="str">
        <f>J17</f>
        <v>Abril</v>
      </c>
      <c r="X17" s="76"/>
      <c r="Y17" s="76"/>
      <c r="Z17" s="76"/>
      <c r="AA17" s="76"/>
      <c r="AB17" s="76"/>
      <c r="AC17" s="76"/>
      <c r="AE17" s="77" t="str">
        <f>W17</f>
        <v>Abril</v>
      </c>
      <c r="AF17" s="77"/>
      <c r="AG17" s="77"/>
      <c r="AH17" s="77"/>
      <c r="AI17" s="77"/>
      <c r="AJ17" s="77"/>
      <c r="AK17" s="77"/>
    </row>
    <row r="18" spans="1:37"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4" t="s">
        <v>15</v>
      </c>
      <c r="C21" s="74"/>
      <c r="D21" s="74"/>
      <c r="E21" s="74"/>
      <c r="F21" s="74"/>
      <c r="G21" s="74"/>
      <c r="H21" s="74"/>
      <c r="J21" s="75" t="s">
        <v>15</v>
      </c>
      <c r="K21" s="75"/>
      <c r="L21" s="75"/>
      <c r="M21" s="75"/>
      <c r="N21" s="75"/>
      <c r="O21" s="75"/>
      <c r="P21" s="75"/>
      <c r="Q21" s="75"/>
      <c r="R21" s="75"/>
      <c r="S21" s="75"/>
      <c r="T21" s="75"/>
      <c r="U21" s="75"/>
      <c r="W21" s="76" t="str">
        <f>J21</f>
        <v>Maio</v>
      </c>
      <c r="X21" s="76"/>
      <c r="Y21" s="76"/>
      <c r="Z21" s="76"/>
      <c r="AA21" s="76"/>
      <c r="AB21" s="76"/>
      <c r="AC21" s="76"/>
      <c r="AE21" s="77" t="str">
        <f>W21</f>
        <v>Maio</v>
      </c>
      <c r="AF21" s="77"/>
      <c r="AG21" s="77"/>
      <c r="AH21" s="77"/>
      <c r="AI21" s="77"/>
      <c r="AJ21" s="77"/>
      <c r="AK21" s="77"/>
    </row>
    <row r="22" spans="1:37"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4" t="s">
        <v>24</v>
      </c>
      <c r="C25" s="74"/>
      <c r="D25" s="74"/>
      <c r="E25" s="74"/>
      <c r="F25" s="74"/>
      <c r="G25" s="74"/>
      <c r="H25" s="74"/>
      <c r="J25" s="75" t="s">
        <v>24</v>
      </c>
      <c r="K25" s="75"/>
      <c r="L25" s="75"/>
      <c r="M25" s="75"/>
      <c r="N25" s="75"/>
      <c r="O25" s="75"/>
      <c r="P25" s="75"/>
      <c r="Q25" s="75"/>
      <c r="R25" s="75"/>
      <c r="S25" s="75"/>
      <c r="T25" s="75"/>
      <c r="U25" s="75"/>
      <c r="W25" s="76" t="str">
        <f>J25</f>
        <v>Junho</v>
      </c>
      <c r="X25" s="76"/>
      <c r="Y25" s="76"/>
      <c r="Z25" s="76"/>
      <c r="AA25" s="76"/>
      <c r="AB25" s="76"/>
      <c r="AC25" s="76"/>
      <c r="AE25" s="77" t="str">
        <f>W25</f>
        <v>Junho</v>
      </c>
      <c r="AF25" s="77"/>
      <c r="AG25" s="77"/>
      <c r="AH25" s="77"/>
      <c r="AI25" s="77"/>
      <c r="AJ25" s="77"/>
      <c r="AK25" s="77"/>
    </row>
    <row r="26" spans="1:37"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4" t="s">
        <v>16</v>
      </c>
      <c r="C29" s="74"/>
      <c r="D29" s="74"/>
      <c r="E29" s="74"/>
      <c r="F29" s="74"/>
      <c r="G29" s="74"/>
      <c r="H29" s="74"/>
      <c r="J29" s="75" t="s">
        <v>16</v>
      </c>
      <c r="K29" s="75"/>
      <c r="L29" s="75"/>
      <c r="M29" s="75"/>
      <c r="N29" s="75"/>
      <c r="O29" s="75"/>
      <c r="P29" s="75"/>
      <c r="Q29" s="75"/>
      <c r="R29" s="75"/>
      <c r="S29" s="75"/>
      <c r="T29" s="75"/>
      <c r="U29" s="75"/>
      <c r="W29" s="76" t="str">
        <f>J29</f>
        <v>Julho</v>
      </c>
      <c r="X29" s="76"/>
      <c r="Y29" s="76"/>
      <c r="Z29" s="76"/>
      <c r="AA29" s="76"/>
      <c r="AB29" s="76"/>
      <c r="AC29" s="76"/>
      <c r="AE29" s="77" t="str">
        <f>W29</f>
        <v>Julho</v>
      </c>
      <c r="AF29" s="77"/>
      <c r="AG29" s="77"/>
      <c r="AH29" s="77"/>
      <c r="AI29" s="77"/>
      <c r="AJ29" s="77"/>
      <c r="AK29" s="77"/>
    </row>
    <row r="30" spans="1:37"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4" t="s">
        <v>17</v>
      </c>
      <c r="C33" s="74"/>
      <c r="D33" s="74"/>
      <c r="E33" s="74"/>
      <c r="F33" s="74"/>
      <c r="G33" s="74"/>
      <c r="H33" s="74"/>
      <c r="J33" s="75" t="s">
        <v>17</v>
      </c>
      <c r="K33" s="75"/>
      <c r="L33" s="75"/>
      <c r="M33" s="75"/>
      <c r="N33" s="75"/>
      <c r="O33" s="75"/>
      <c r="P33" s="75"/>
      <c r="Q33" s="75"/>
      <c r="R33" s="75"/>
      <c r="S33" s="75"/>
      <c r="T33" s="75"/>
      <c r="U33" s="75"/>
      <c r="W33" s="76" t="str">
        <f>J33</f>
        <v>Agosto</v>
      </c>
      <c r="X33" s="76"/>
      <c r="Y33" s="76"/>
      <c r="Z33" s="76"/>
      <c r="AA33" s="76"/>
      <c r="AB33" s="76"/>
      <c r="AC33" s="76"/>
      <c r="AE33" s="77" t="str">
        <f>W33</f>
        <v>Agosto</v>
      </c>
      <c r="AF33" s="77"/>
      <c r="AG33" s="77"/>
      <c r="AH33" s="77"/>
      <c r="AI33" s="77"/>
      <c r="AJ33" s="77"/>
      <c r="AK33" s="77"/>
    </row>
    <row r="34" spans="1:37"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4" t="s">
        <v>18</v>
      </c>
      <c r="C37" s="74"/>
      <c r="D37" s="74"/>
      <c r="E37" s="74"/>
      <c r="F37" s="74"/>
      <c r="G37" s="74"/>
      <c r="H37" s="74"/>
      <c r="J37" s="75" t="s">
        <v>18</v>
      </c>
      <c r="K37" s="75"/>
      <c r="L37" s="75"/>
      <c r="M37" s="75"/>
      <c r="N37" s="75"/>
      <c r="O37" s="75"/>
      <c r="P37" s="75"/>
      <c r="Q37" s="75"/>
      <c r="R37" s="75"/>
      <c r="S37" s="75"/>
      <c r="T37" s="75"/>
      <c r="U37" s="75"/>
      <c r="W37" s="76" t="str">
        <f>J37</f>
        <v>Setembro</v>
      </c>
      <c r="X37" s="76"/>
      <c r="Y37" s="76"/>
      <c r="Z37" s="76"/>
      <c r="AA37" s="76"/>
      <c r="AB37" s="76"/>
      <c r="AC37" s="76"/>
      <c r="AE37" s="77" t="str">
        <f>W37</f>
        <v>Setembro</v>
      </c>
      <c r="AF37" s="77"/>
      <c r="AG37" s="77"/>
      <c r="AH37" s="77"/>
      <c r="AI37" s="77"/>
      <c r="AJ37" s="77"/>
      <c r="AK37" s="77"/>
    </row>
    <row r="38" spans="1:37"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4" t="s">
        <v>19</v>
      </c>
      <c r="C41" s="74"/>
      <c r="D41" s="74"/>
      <c r="E41" s="74"/>
      <c r="F41" s="74"/>
      <c r="G41" s="74"/>
      <c r="H41" s="74"/>
      <c r="J41" s="75" t="s">
        <v>19</v>
      </c>
      <c r="K41" s="75"/>
      <c r="L41" s="75"/>
      <c r="M41" s="75"/>
      <c r="N41" s="75"/>
      <c r="O41" s="75"/>
      <c r="P41" s="75"/>
      <c r="Q41" s="75"/>
      <c r="R41" s="75"/>
      <c r="S41" s="75"/>
      <c r="T41" s="75"/>
      <c r="U41" s="75"/>
      <c r="W41" s="76" t="str">
        <f>J41</f>
        <v>Outubro</v>
      </c>
      <c r="X41" s="76"/>
      <c r="Y41" s="76"/>
      <c r="Z41" s="76"/>
      <c r="AA41" s="76"/>
      <c r="AB41" s="76"/>
      <c r="AC41" s="76"/>
      <c r="AE41" s="77" t="str">
        <f>W41</f>
        <v>Outubro</v>
      </c>
      <c r="AF41" s="77"/>
      <c r="AG41" s="77"/>
      <c r="AH41" s="77"/>
      <c r="AI41" s="77"/>
      <c r="AJ41" s="77"/>
      <c r="AK41" s="77"/>
    </row>
    <row r="42" spans="1:37"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4" t="s">
        <v>20</v>
      </c>
      <c r="C45" s="74"/>
      <c r="D45" s="74"/>
      <c r="E45" s="74"/>
      <c r="F45" s="74"/>
      <c r="G45" s="74"/>
      <c r="H45" s="74"/>
      <c r="J45" s="75" t="s">
        <v>20</v>
      </c>
      <c r="K45" s="75"/>
      <c r="L45" s="75"/>
      <c r="M45" s="75"/>
      <c r="N45" s="75"/>
      <c r="O45" s="75"/>
      <c r="P45" s="75"/>
      <c r="Q45" s="75"/>
      <c r="R45" s="75"/>
      <c r="S45" s="75"/>
      <c r="T45" s="75"/>
      <c r="U45" s="75"/>
      <c r="W45" s="76" t="str">
        <f>J45</f>
        <v>Novembro</v>
      </c>
      <c r="X45" s="76"/>
      <c r="Y45" s="76"/>
      <c r="Z45" s="76"/>
      <c r="AA45" s="76"/>
      <c r="AB45" s="76"/>
      <c r="AC45" s="76"/>
      <c r="AE45" s="77" t="str">
        <f>W45</f>
        <v>Novembro</v>
      </c>
      <c r="AF45" s="77"/>
      <c r="AG45" s="77"/>
      <c r="AH45" s="77"/>
      <c r="AI45" s="77"/>
      <c r="AJ45" s="77"/>
      <c r="AK45" s="77"/>
    </row>
    <row r="46" spans="1:37" ht="15.75" thickBot="1" x14ac:dyDescent="0.3">
      <c r="A46" s="78" t="s">
        <v>5</v>
      </c>
      <c r="B46" s="34" t="s">
        <v>6</v>
      </c>
      <c r="C46" s="22" t="s">
        <v>7</v>
      </c>
      <c r="D46" s="33" t="s">
        <v>8</v>
      </c>
      <c r="E46" s="22" t="s">
        <v>9</v>
      </c>
      <c r="F46" s="24" t="s">
        <v>10</v>
      </c>
      <c r="G46" s="23" t="s">
        <v>11</v>
      </c>
      <c r="H46" s="25" t="s">
        <v>12</v>
      </c>
      <c r="J46" s="6" t="s">
        <v>4</v>
      </c>
      <c r="K46" s="9">
        <v>45968</v>
      </c>
      <c r="L46" s="66">
        <v>45972</v>
      </c>
      <c r="M46" s="66">
        <v>45975</v>
      </c>
      <c r="N46" s="66">
        <v>45979</v>
      </c>
      <c r="O46" s="66">
        <v>45981</v>
      </c>
      <c r="P46" s="66">
        <v>45983</v>
      </c>
      <c r="Q46" s="66">
        <v>45986</v>
      </c>
      <c r="R46" s="4"/>
      <c r="S46" s="4"/>
      <c r="T46" s="4"/>
      <c r="U46" s="5"/>
      <c r="W46" s="6" t="s">
        <v>4</v>
      </c>
      <c r="X46" s="9">
        <v>45976</v>
      </c>
      <c r="Y46" s="4"/>
      <c r="Z46" s="4"/>
      <c r="AA46" s="4"/>
      <c r="AB46" s="4"/>
      <c r="AC46" s="5"/>
      <c r="AE46" s="6" t="s">
        <v>4</v>
      </c>
      <c r="AF46" s="9"/>
      <c r="AG46" s="4"/>
      <c r="AH46" s="4"/>
      <c r="AI46" s="4"/>
      <c r="AJ46" s="4"/>
      <c r="AK46" s="5"/>
    </row>
    <row r="47" spans="1:37" ht="15.75" thickBot="1" x14ac:dyDescent="0.3">
      <c r="A47" s="78"/>
      <c r="B47" s="26">
        <v>37234</v>
      </c>
      <c r="C47" s="27">
        <v>38459</v>
      </c>
      <c r="D47" s="27">
        <v>38459</v>
      </c>
      <c r="E47" s="27">
        <v>39963</v>
      </c>
      <c r="F47" s="27">
        <f>SUM(C47-B47)</f>
        <v>1225</v>
      </c>
      <c r="G47" s="20">
        <f>SUM(E47-D47)</f>
        <v>1504</v>
      </c>
      <c r="H47" s="21">
        <f>SUM(F47:G47)</f>
        <v>2729</v>
      </c>
      <c r="J47" s="7" t="s">
        <v>22</v>
      </c>
      <c r="K47" s="10">
        <v>242.82</v>
      </c>
      <c r="L47" s="11">
        <v>285.01</v>
      </c>
      <c r="M47" s="11">
        <v>243.27</v>
      </c>
      <c r="N47" s="11">
        <v>208.06</v>
      </c>
      <c r="O47" s="11">
        <v>209.81</v>
      </c>
      <c r="P47" s="11">
        <v>226.77</v>
      </c>
      <c r="Q47" s="11">
        <v>179.05</v>
      </c>
      <c r="R47" s="11"/>
      <c r="S47" s="11"/>
      <c r="T47" s="11"/>
      <c r="U47" s="12"/>
      <c r="W47" s="7" t="s">
        <v>22</v>
      </c>
      <c r="X47" s="10">
        <v>50</v>
      </c>
      <c r="Y47" s="11"/>
      <c r="Z47" s="11"/>
      <c r="AA47" s="11"/>
      <c r="AB47" s="11"/>
      <c r="AC47" s="12"/>
      <c r="AE47" s="7" t="s">
        <v>22</v>
      </c>
      <c r="AF47" s="10"/>
      <c r="AG47" s="11"/>
      <c r="AH47" s="11"/>
      <c r="AI47" s="11"/>
      <c r="AJ47" s="11"/>
      <c r="AK47" s="12"/>
    </row>
    <row r="48" spans="1:37" x14ac:dyDescent="0.25">
      <c r="J48" s="8"/>
      <c r="T48" s="8" t="s">
        <v>23</v>
      </c>
      <c r="U48" s="13">
        <f>SUM(K47:U47)</f>
        <v>1594.7899999999997</v>
      </c>
      <c r="AB48" s="8" t="s">
        <v>23</v>
      </c>
      <c r="AC48" s="13">
        <f>SUM(X47:AC47)</f>
        <v>50</v>
      </c>
      <c r="AJ48" s="8" t="s">
        <v>23</v>
      </c>
      <c r="AK48" s="13">
        <f>SUM(AF47:AK47)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W49" s="76" t="str">
        <f>J49</f>
        <v>Dezembro</v>
      </c>
      <c r="X49" s="76"/>
      <c r="Y49" s="76"/>
      <c r="Z49" s="76"/>
      <c r="AA49" s="76"/>
      <c r="AB49" s="76"/>
      <c r="AC49" s="76"/>
      <c r="AE49" s="77" t="str">
        <f>W49</f>
        <v>Dezembro</v>
      </c>
      <c r="AF49" s="77"/>
      <c r="AG49" s="77"/>
      <c r="AH49" s="77"/>
      <c r="AI49" s="77"/>
      <c r="AJ49" s="77"/>
      <c r="AK49" s="77"/>
    </row>
    <row r="50" spans="1:40" ht="15.75" thickBot="1" x14ac:dyDescent="0.3">
      <c r="A50" s="78" t="s">
        <v>5</v>
      </c>
      <c r="B50" s="34" t="s">
        <v>6</v>
      </c>
      <c r="C50" s="22" t="s">
        <v>7</v>
      </c>
      <c r="D50" s="33" t="s">
        <v>8</v>
      </c>
      <c r="E50" s="22" t="s">
        <v>9</v>
      </c>
      <c r="F50" s="24" t="s">
        <v>10</v>
      </c>
      <c r="G50" s="23" t="s">
        <v>11</v>
      </c>
      <c r="H50" s="25" t="s">
        <v>12</v>
      </c>
      <c r="J50" s="6" t="s">
        <v>4</v>
      </c>
      <c r="K50" s="9">
        <v>45993</v>
      </c>
      <c r="L50" s="66">
        <v>45995</v>
      </c>
      <c r="M50" s="66">
        <v>45997</v>
      </c>
      <c r="N50" s="66">
        <v>46000</v>
      </c>
      <c r="O50" s="66">
        <v>46003</v>
      </c>
      <c r="P50" s="66">
        <v>46007</v>
      </c>
      <c r="Q50" s="66">
        <v>46010</v>
      </c>
      <c r="R50" s="4"/>
      <c r="S50" s="4"/>
      <c r="T50" s="4"/>
      <c r="U50" s="5"/>
      <c r="W50" s="6" t="s">
        <v>4</v>
      </c>
      <c r="X50" s="9">
        <v>45996</v>
      </c>
      <c r="Y50" s="66">
        <v>46004</v>
      </c>
      <c r="Z50" s="4"/>
      <c r="AA50" s="4"/>
      <c r="AB50" s="4"/>
      <c r="AC50" s="5"/>
      <c r="AE50" s="6" t="s">
        <v>4</v>
      </c>
      <c r="AF50" s="9">
        <v>45997</v>
      </c>
      <c r="AG50" s="4"/>
      <c r="AH50" s="4"/>
      <c r="AI50" s="4"/>
      <c r="AJ50" s="4"/>
      <c r="AK50" s="5"/>
    </row>
    <row r="51" spans="1:40" ht="15.75" thickBot="1" x14ac:dyDescent="0.3">
      <c r="A51" s="78"/>
      <c r="B51" s="27">
        <v>39963</v>
      </c>
      <c r="C51" s="27">
        <v>41704</v>
      </c>
      <c r="D51" s="27">
        <v>41704</v>
      </c>
      <c r="E51" s="27">
        <v>42321</v>
      </c>
      <c r="F51" s="27">
        <f>SUM(C51-B51)</f>
        <v>1741</v>
      </c>
      <c r="G51" s="20">
        <f>SUM(E51-D51)</f>
        <v>617</v>
      </c>
      <c r="H51" s="21">
        <f>SUM(F51:G51)</f>
        <v>2358</v>
      </c>
      <c r="J51" s="7" t="s">
        <v>22</v>
      </c>
      <c r="K51" s="10">
        <v>282.76</v>
      </c>
      <c r="L51" s="11">
        <v>254.89</v>
      </c>
      <c r="M51" s="11">
        <v>236.49</v>
      </c>
      <c r="N51" s="11">
        <v>206.67</v>
      </c>
      <c r="O51" s="11">
        <v>272</v>
      </c>
      <c r="P51" s="11">
        <v>222.25</v>
      </c>
      <c r="Q51" s="11">
        <v>281.86</v>
      </c>
      <c r="R51" s="11"/>
      <c r="S51" s="11"/>
      <c r="T51" s="11"/>
      <c r="U51" s="12"/>
      <c r="W51" s="7" t="s">
        <v>22</v>
      </c>
      <c r="X51" s="10">
        <v>60</v>
      </c>
      <c r="Y51" s="11">
        <v>60</v>
      </c>
      <c r="Z51" s="11"/>
      <c r="AA51" s="11"/>
      <c r="AB51" s="11"/>
      <c r="AC51" s="12"/>
      <c r="AE51" s="7" t="s">
        <v>22</v>
      </c>
      <c r="AF51" s="10">
        <v>70</v>
      </c>
      <c r="AG51" s="11"/>
      <c r="AH51" s="11"/>
      <c r="AI51" s="11"/>
      <c r="AJ51" s="11"/>
      <c r="AK51" s="12"/>
    </row>
    <row r="52" spans="1:40" x14ac:dyDescent="0.25">
      <c r="J52" s="8"/>
      <c r="T52" s="8" t="s">
        <v>23</v>
      </c>
      <c r="U52" s="13">
        <f>SUM(K51:U51)</f>
        <v>1756.92</v>
      </c>
      <c r="AB52" s="8" t="s">
        <v>23</v>
      </c>
      <c r="AC52" s="13">
        <f>SUM(X51:AC51)</f>
        <v>120</v>
      </c>
      <c r="AJ52" s="8" t="s">
        <v>23</v>
      </c>
      <c r="AK52" s="13">
        <f>SUM(AF51:AK51)</f>
        <v>70</v>
      </c>
    </row>
    <row r="53" spans="1:40" ht="15.75" thickBot="1" x14ac:dyDescent="0.3">
      <c r="A53" s="19">
        <v>2026</v>
      </c>
      <c r="B53" s="74" t="s">
        <v>100</v>
      </c>
      <c r="C53" s="74"/>
      <c r="D53" s="74"/>
      <c r="E53" s="74"/>
      <c r="F53" s="74"/>
      <c r="G53" s="74"/>
      <c r="H53" s="74"/>
      <c r="J53" s="75" t="s">
        <v>100</v>
      </c>
      <c r="K53" s="75"/>
      <c r="L53" s="75"/>
      <c r="M53" s="75"/>
      <c r="N53" s="75"/>
      <c r="O53" s="75"/>
      <c r="P53" s="75"/>
      <c r="Q53" s="75"/>
      <c r="R53" s="75"/>
      <c r="S53" s="75"/>
      <c r="T53" s="75"/>
      <c r="U53" s="75"/>
      <c r="Y53" s="76" t="s">
        <v>100</v>
      </c>
      <c r="Z53" s="76"/>
      <c r="AA53" s="76"/>
      <c r="AB53" s="76"/>
      <c r="AC53" s="76"/>
      <c r="AD53" s="76"/>
      <c r="AE53" s="76"/>
      <c r="AH53" s="77" t="s">
        <v>100</v>
      </c>
      <c r="AI53" s="77"/>
      <c r="AJ53" s="77"/>
      <c r="AK53" s="77"/>
      <c r="AL53" s="77"/>
      <c r="AM53" s="77"/>
      <c r="AN53" s="77"/>
    </row>
    <row r="54" spans="1:40" ht="15.75" thickBot="1" x14ac:dyDescent="0.3">
      <c r="A54" s="78" t="s">
        <v>5</v>
      </c>
      <c r="B54" s="34" t="s">
        <v>6</v>
      </c>
      <c r="C54" s="22" t="s">
        <v>7</v>
      </c>
      <c r="D54" s="33" t="s">
        <v>8</v>
      </c>
      <c r="E54" s="22" t="s">
        <v>9</v>
      </c>
      <c r="F54" s="24" t="s">
        <v>10</v>
      </c>
      <c r="G54" s="23" t="s">
        <v>11</v>
      </c>
      <c r="H54" s="25" t="s">
        <v>12</v>
      </c>
      <c r="J54" s="28" t="s">
        <v>4</v>
      </c>
      <c r="K54" s="9">
        <v>46028</v>
      </c>
      <c r="L54" s="9">
        <v>46031</v>
      </c>
      <c r="M54" s="9">
        <v>46035</v>
      </c>
      <c r="N54" s="9">
        <v>46037</v>
      </c>
      <c r="O54" s="9">
        <v>46039</v>
      </c>
      <c r="P54" s="66">
        <v>46042</v>
      </c>
      <c r="Q54" s="66">
        <v>46044</v>
      </c>
      <c r="R54" s="66">
        <v>46049</v>
      </c>
      <c r="S54" s="66">
        <v>46051</v>
      </c>
      <c r="T54" s="66"/>
      <c r="U54" s="72"/>
      <c r="Y54" s="6" t="s">
        <v>4</v>
      </c>
      <c r="Z54" s="9"/>
      <c r="AA54" s="4"/>
      <c r="AB54" s="4"/>
      <c r="AC54" s="4"/>
      <c r="AD54" s="4"/>
      <c r="AE54" s="5"/>
      <c r="AH54" s="6" t="s">
        <v>4</v>
      </c>
      <c r="AI54" s="9"/>
      <c r="AJ54" s="4"/>
      <c r="AK54" s="4"/>
      <c r="AL54" s="4"/>
      <c r="AM54" s="4"/>
      <c r="AN54" s="5"/>
    </row>
    <row r="55" spans="1:40" ht="15.75" thickBot="1" x14ac:dyDescent="0.3">
      <c r="A55" s="78"/>
      <c r="B55" s="27">
        <v>42321</v>
      </c>
      <c r="C55" s="27"/>
      <c r="D55" s="27"/>
      <c r="E55" s="27">
        <v>45628</v>
      </c>
      <c r="F55" s="27">
        <f>SUM(C55-B55)</f>
        <v>-42321</v>
      </c>
      <c r="G55" s="20">
        <f>SUM(E55-D55)</f>
        <v>45628</v>
      </c>
      <c r="H55" s="21">
        <f>SUM(F55:G55)</f>
        <v>3307</v>
      </c>
      <c r="J55" s="29" t="s">
        <v>22</v>
      </c>
      <c r="K55" s="10">
        <v>247.4</v>
      </c>
      <c r="L55" s="11">
        <v>259.64</v>
      </c>
      <c r="M55" s="11">
        <v>198.94</v>
      </c>
      <c r="N55" s="11">
        <v>191.39</v>
      </c>
      <c r="O55" s="11">
        <v>216.04</v>
      </c>
      <c r="P55" s="11">
        <v>216.2</v>
      </c>
      <c r="Q55" s="11">
        <v>179.66</v>
      </c>
      <c r="R55" s="11">
        <v>280.8</v>
      </c>
      <c r="S55" s="11">
        <v>265</v>
      </c>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2055.0700000000002</v>
      </c>
      <c r="AD56" s="8" t="s">
        <v>23</v>
      </c>
      <c r="AE56" s="13">
        <f>SUM(Z55:AE55)</f>
        <v>0</v>
      </c>
      <c r="AM56" s="8" t="s">
        <v>23</v>
      </c>
      <c r="AN56" s="13">
        <f>SUM(AI55:AN55)</f>
        <v>0</v>
      </c>
    </row>
    <row r="57" spans="1:40" ht="15.75" thickBot="1" x14ac:dyDescent="0.3">
      <c r="A57" s="19"/>
      <c r="B57" s="74" t="s">
        <v>3</v>
      </c>
      <c r="C57" s="74"/>
      <c r="D57" s="74"/>
      <c r="E57" s="74"/>
      <c r="F57" s="74"/>
      <c r="G57" s="74"/>
      <c r="H57" s="74"/>
      <c r="J57" s="75" t="s">
        <v>3</v>
      </c>
      <c r="K57" s="75"/>
      <c r="L57" s="75"/>
      <c r="M57" s="75"/>
      <c r="N57" s="75"/>
      <c r="O57" s="75"/>
      <c r="P57" s="75"/>
      <c r="Q57" s="75"/>
      <c r="R57" s="75"/>
      <c r="S57" s="75"/>
      <c r="T57" s="75"/>
      <c r="U57" s="75"/>
      <c r="Y57" s="76" t="s">
        <v>3</v>
      </c>
      <c r="Z57" s="76"/>
      <c r="AA57" s="76"/>
      <c r="AB57" s="76"/>
      <c r="AC57" s="76"/>
      <c r="AD57" s="76"/>
      <c r="AE57" s="76"/>
      <c r="AH57" s="77" t="s">
        <v>3</v>
      </c>
      <c r="AI57" s="77"/>
      <c r="AJ57" s="77"/>
      <c r="AK57" s="77"/>
      <c r="AL57" s="77"/>
      <c r="AM57" s="77"/>
      <c r="AN57" s="77"/>
    </row>
    <row r="58" spans="1:40" ht="15.75" thickBot="1" x14ac:dyDescent="0.3">
      <c r="A58" s="78" t="s">
        <v>5</v>
      </c>
      <c r="B58" s="34" t="s">
        <v>6</v>
      </c>
      <c r="C58" s="22" t="s">
        <v>7</v>
      </c>
      <c r="D58" s="33" t="s">
        <v>8</v>
      </c>
      <c r="E58" s="22" t="s">
        <v>9</v>
      </c>
      <c r="F58" s="24" t="s">
        <v>10</v>
      </c>
      <c r="G58" s="23" t="s">
        <v>11</v>
      </c>
      <c r="H58" s="25" t="s">
        <v>12</v>
      </c>
      <c r="J58" s="28" t="s">
        <v>4</v>
      </c>
      <c r="K58" s="9">
        <v>46056</v>
      </c>
      <c r="L58" s="9">
        <v>46058</v>
      </c>
      <c r="M58" s="9">
        <v>46067</v>
      </c>
      <c r="N58" s="9">
        <v>46070</v>
      </c>
      <c r="O58" s="9">
        <v>46072</v>
      </c>
      <c r="P58" s="66"/>
      <c r="Q58" s="66"/>
      <c r="R58" s="66"/>
      <c r="S58" s="66"/>
      <c r="T58" s="66"/>
      <c r="U58" s="72"/>
      <c r="Y58" s="6" t="s">
        <v>4</v>
      </c>
      <c r="Z58" s="9"/>
      <c r="AA58" s="4"/>
      <c r="AB58" s="4"/>
      <c r="AC58" s="4"/>
      <c r="AD58" s="4"/>
      <c r="AE58" s="5"/>
      <c r="AH58" s="6" t="s">
        <v>4</v>
      </c>
      <c r="AI58" s="9"/>
      <c r="AJ58" s="4"/>
      <c r="AK58" s="4"/>
      <c r="AL58" s="4"/>
      <c r="AM58" s="4"/>
      <c r="AN58" s="5"/>
    </row>
    <row r="59" spans="1:40" ht="15.75" thickBot="1" x14ac:dyDescent="0.3">
      <c r="A59" s="78"/>
      <c r="B59" s="26">
        <v>45628</v>
      </c>
      <c r="C59" s="27"/>
      <c r="D59" s="27"/>
      <c r="E59" s="27">
        <v>47413</v>
      </c>
      <c r="F59" s="27">
        <f>SUM(C59-B59)</f>
        <v>-45628</v>
      </c>
      <c r="G59" s="20">
        <f>SUM(E59-D59)</f>
        <v>47413</v>
      </c>
      <c r="H59" s="21">
        <f>SUM(F59:G59)</f>
        <v>1785</v>
      </c>
      <c r="J59" s="29" t="s">
        <v>22</v>
      </c>
      <c r="K59" s="10">
        <v>265.97000000000003</v>
      </c>
      <c r="L59" s="11">
        <v>203.47</v>
      </c>
      <c r="M59" s="11">
        <v>255.27</v>
      </c>
      <c r="N59" s="11">
        <v>185.15</v>
      </c>
      <c r="O59" s="11">
        <v>181.5</v>
      </c>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1091.3600000000001</v>
      </c>
      <c r="AD60" s="8" t="s">
        <v>23</v>
      </c>
      <c r="AE60" s="13">
        <f>SUM(Z59:AE59)</f>
        <v>0</v>
      </c>
      <c r="AM60" s="8" t="s">
        <v>23</v>
      </c>
      <c r="AN60" s="13">
        <f>SUM(AI59:AN59)</f>
        <v>0</v>
      </c>
    </row>
    <row r="61" spans="1:40" ht="15.75" thickBot="1" x14ac:dyDescent="0.3">
      <c r="A61" s="19"/>
      <c r="B61" s="74" t="s">
        <v>13</v>
      </c>
      <c r="C61" s="74"/>
      <c r="D61" s="74"/>
      <c r="E61" s="74"/>
      <c r="F61" s="74"/>
      <c r="G61" s="74"/>
      <c r="H61" s="74"/>
      <c r="J61" s="75" t="s">
        <v>13</v>
      </c>
      <c r="K61" s="75"/>
      <c r="L61" s="75"/>
      <c r="M61" s="75"/>
      <c r="N61" s="75"/>
      <c r="O61" s="75"/>
      <c r="P61" s="75"/>
      <c r="Q61" s="75"/>
      <c r="R61" s="75"/>
      <c r="S61" s="75"/>
      <c r="T61" s="75"/>
      <c r="U61" s="75"/>
      <c r="Y61" s="76" t="str">
        <f>J61</f>
        <v>Março</v>
      </c>
      <c r="Z61" s="76"/>
      <c r="AA61" s="76"/>
      <c r="AB61" s="76"/>
      <c r="AC61" s="76"/>
      <c r="AD61" s="76"/>
      <c r="AE61" s="76"/>
      <c r="AH61" s="77" t="str">
        <f>Y61</f>
        <v>Março</v>
      </c>
      <c r="AI61" s="77"/>
      <c r="AJ61" s="77"/>
      <c r="AK61" s="77"/>
      <c r="AL61" s="77"/>
      <c r="AM61" s="77"/>
      <c r="AN61" s="77"/>
    </row>
    <row r="62" spans="1:40" ht="15.75" thickBot="1" x14ac:dyDescent="0.3">
      <c r="A62" s="78" t="s">
        <v>5</v>
      </c>
      <c r="B62" s="34" t="s">
        <v>6</v>
      </c>
      <c r="C62" s="22" t="s">
        <v>7</v>
      </c>
      <c r="D62" s="33" t="s">
        <v>8</v>
      </c>
      <c r="E62" s="22" t="s">
        <v>9</v>
      </c>
      <c r="F62" s="24" t="s">
        <v>10</v>
      </c>
      <c r="G62" s="23" t="s">
        <v>11</v>
      </c>
      <c r="H62" s="25" t="s">
        <v>12</v>
      </c>
      <c r="J62" s="6" t="s">
        <v>4</v>
      </c>
      <c r="K62" s="9">
        <v>46087</v>
      </c>
      <c r="L62" s="66">
        <v>46091</v>
      </c>
      <c r="M62" s="66">
        <v>46093</v>
      </c>
      <c r="N62" s="66">
        <v>46095</v>
      </c>
      <c r="O62" s="66">
        <v>46100</v>
      </c>
      <c r="P62" s="66">
        <v>46102</v>
      </c>
      <c r="Q62" s="66">
        <v>46105</v>
      </c>
      <c r="R62" s="66">
        <v>46107</v>
      </c>
      <c r="S62" s="66">
        <v>46109</v>
      </c>
      <c r="T62" s="66">
        <v>46112</v>
      </c>
      <c r="U62" s="72"/>
      <c r="Y62" s="6" t="s">
        <v>4</v>
      </c>
      <c r="Z62" s="9">
        <v>46088</v>
      </c>
      <c r="AA62" s="66">
        <v>46097</v>
      </c>
      <c r="AB62" s="66">
        <v>46103</v>
      </c>
      <c r="AC62" s="66">
        <v>46109</v>
      </c>
      <c r="AD62" s="66"/>
      <c r="AE62" s="72"/>
      <c r="AH62" s="6" t="s">
        <v>4</v>
      </c>
      <c r="AI62" s="9"/>
      <c r="AJ62" s="4"/>
      <c r="AK62" s="4"/>
      <c r="AL62" s="4"/>
      <c r="AM62" s="4"/>
      <c r="AN62" s="5"/>
    </row>
    <row r="63" spans="1:40" ht="15.75" thickBot="1" x14ac:dyDescent="0.3">
      <c r="A63" s="78"/>
      <c r="B63" s="26">
        <v>47413</v>
      </c>
      <c r="C63" s="27"/>
      <c r="D63" s="27"/>
      <c r="E63" s="27">
        <v>51043</v>
      </c>
      <c r="F63" s="27">
        <f>SUM(C63-B63)</f>
        <v>-47413</v>
      </c>
      <c r="G63" s="20">
        <f>SUM(E63-D63)</f>
        <v>51043</v>
      </c>
      <c r="H63" s="21">
        <f>SUM(F63:G63)</f>
        <v>3630</v>
      </c>
      <c r="J63" s="7" t="s">
        <v>22</v>
      </c>
      <c r="K63" s="10">
        <v>319.95</v>
      </c>
      <c r="L63" s="11">
        <v>266.02999999999997</v>
      </c>
      <c r="M63" s="11">
        <v>270.63</v>
      </c>
      <c r="N63" s="11">
        <v>286.07</v>
      </c>
      <c r="O63" s="11">
        <v>315.02999999999997</v>
      </c>
      <c r="P63" s="11">
        <v>272.27</v>
      </c>
      <c r="Q63" s="11">
        <v>212.06</v>
      </c>
      <c r="R63" s="11">
        <v>204.22</v>
      </c>
      <c r="S63" s="11">
        <v>280.05</v>
      </c>
      <c r="T63" s="11">
        <v>227.63</v>
      </c>
      <c r="U63" s="12"/>
      <c r="Y63" s="7" t="s">
        <v>22</v>
      </c>
      <c r="Z63" s="10">
        <v>60</v>
      </c>
      <c r="AA63" s="11">
        <v>60</v>
      </c>
      <c r="AB63" s="11">
        <v>60</v>
      </c>
      <c r="AC63" s="11">
        <v>60</v>
      </c>
      <c r="AD63" s="11"/>
      <c r="AE63" s="12"/>
      <c r="AH63" s="7" t="s">
        <v>22</v>
      </c>
      <c r="AI63" s="10"/>
      <c r="AJ63" s="11"/>
      <c r="AK63" s="11"/>
      <c r="AL63" s="11"/>
      <c r="AM63" s="11"/>
      <c r="AN63" s="12"/>
    </row>
    <row r="64" spans="1:40" x14ac:dyDescent="0.25">
      <c r="J64" s="8"/>
      <c r="T64" s="8" t="s">
        <v>23</v>
      </c>
      <c r="U64" s="13">
        <f>SUM(K63:U63)</f>
        <v>2653.94</v>
      </c>
      <c r="AD64" s="8" t="s">
        <v>23</v>
      </c>
      <c r="AE64" s="13">
        <f>SUM(Z63:AE63)</f>
        <v>240</v>
      </c>
      <c r="AM64" s="8" t="s">
        <v>23</v>
      </c>
      <c r="AN64" s="13">
        <f>SUM(AI63:AN63)</f>
        <v>0</v>
      </c>
    </row>
    <row r="65" spans="1:40" ht="15.75" thickBot="1" x14ac:dyDescent="0.3">
      <c r="A65" s="19"/>
      <c r="B65" s="74" t="s">
        <v>14</v>
      </c>
      <c r="C65" s="74"/>
      <c r="D65" s="74"/>
      <c r="E65" s="74"/>
      <c r="F65" s="74"/>
      <c r="G65" s="74"/>
      <c r="H65" s="74"/>
      <c r="J65" s="75" t="s">
        <v>14</v>
      </c>
      <c r="K65" s="75"/>
      <c r="L65" s="75"/>
      <c r="M65" s="75"/>
      <c r="N65" s="75"/>
      <c r="O65" s="75"/>
      <c r="P65" s="75"/>
      <c r="Q65" s="75"/>
      <c r="R65" s="75"/>
      <c r="S65" s="75"/>
      <c r="T65" s="75"/>
      <c r="U65" s="75"/>
      <c r="Y65" s="76" t="str">
        <f>J65</f>
        <v>Abril</v>
      </c>
      <c r="Z65" s="76"/>
      <c r="AA65" s="76"/>
      <c r="AB65" s="76"/>
      <c r="AC65" s="76"/>
      <c r="AD65" s="76"/>
      <c r="AE65" s="76"/>
      <c r="AH65" s="77" t="str">
        <f>Y65</f>
        <v>Abril</v>
      </c>
      <c r="AI65" s="77"/>
      <c r="AJ65" s="77"/>
      <c r="AK65" s="77"/>
      <c r="AL65" s="77"/>
      <c r="AM65" s="77"/>
      <c r="AN65" s="77"/>
    </row>
    <row r="66" spans="1:40" ht="15.75" thickBot="1" x14ac:dyDescent="0.3">
      <c r="A66" s="78"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78"/>
      <c r="B67" s="26">
        <v>51043</v>
      </c>
      <c r="C67" s="27"/>
      <c r="D67" s="27"/>
      <c r="E67" s="27">
        <v>55501</v>
      </c>
      <c r="F67" s="27">
        <f>SUM(C67-B67)</f>
        <v>-51043</v>
      </c>
      <c r="G67" s="20">
        <f>SUM(E67-D67)</f>
        <v>55501</v>
      </c>
      <c r="H67" s="21">
        <f>SUM(F67:G67)</f>
        <v>4458</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71" t="s">
        <v>90</v>
      </c>
      <c r="B69" s="74" t="s">
        <v>15</v>
      </c>
      <c r="C69" s="74"/>
      <c r="D69" s="74"/>
      <c r="E69" s="74"/>
      <c r="F69" s="74"/>
      <c r="G69" s="74"/>
      <c r="H69" s="74"/>
      <c r="J69" s="75" t="s">
        <v>15</v>
      </c>
      <c r="K69" s="75"/>
      <c r="L69" s="75"/>
      <c r="M69" s="75"/>
      <c r="N69" s="75"/>
      <c r="O69" s="75"/>
      <c r="P69" s="75"/>
      <c r="Q69" s="75"/>
      <c r="R69" s="75"/>
      <c r="S69" s="75"/>
      <c r="T69" s="75"/>
      <c r="U69" s="75"/>
      <c r="Y69" s="76" t="str">
        <f>J69</f>
        <v>Maio</v>
      </c>
      <c r="Z69" s="76"/>
      <c r="AA69" s="76"/>
      <c r="AB69" s="76"/>
      <c r="AC69" s="76"/>
      <c r="AD69" s="76"/>
      <c r="AE69" s="76"/>
      <c r="AH69" s="77" t="str">
        <f>Y69</f>
        <v>Maio</v>
      </c>
      <c r="AI69" s="77"/>
      <c r="AJ69" s="77"/>
      <c r="AK69" s="77"/>
      <c r="AL69" s="77"/>
      <c r="AM69" s="77"/>
      <c r="AN69" s="77"/>
    </row>
    <row r="70" spans="1:40" ht="15.75" thickBot="1" x14ac:dyDescent="0.3">
      <c r="A70" s="78"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78"/>
      <c r="B71" s="27">
        <v>55501</v>
      </c>
      <c r="C71" s="27">
        <v>57421</v>
      </c>
      <c r="D71" s="27">
        <v>57421</v>
      </c>
      <c r="E71" s="27">
        <v>57557</v>
      </c>
      <c r="F71" s="27">
        <f>SUM(C71-B71)</f>
        <v>1920</v>
      </c>
      <c r="G71" s="20">
        <f>SUM(E71-D71)</f>
        <v>136</v>
      </c>
      <c r="H71" s="21">
        <f>SUM(F71:G71)</f>
        <v>2056</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71" t="s">
        <v>110</v>
      </c>
      <c r="B73" s="74" t="s">
        <v>15</v>
      </c>
      <c r="C73" s="74"/>
      <c r="D73" s="74"/>
      <c r="E73" s="74"/>
      <c r="F73" s="74"/>
      <c r="G73" s="74"/>
      <c r="H73" s="74"/>
      <c r="J73" s="75" t="s">
        <v>24</v>
      </c>
      <c r="K73" s="75"/>
      <c r="L73" s="75"/>
      <c r="M73" s="75"/>
      <c r="N73" s="75"/>
      <c r="O73" s="75"/>
      <c r="P73" s="75"/>
      <c r="Q73" s="75"/>
      <c r="R73" s="75"/>
      <c r="S73" s="75"/>
      <c r="T73" s="75"/>
      <c r="U73" s="75"/>
      <c r="Y73" s="76" t="str">
        <f>J73</f>
        <v>Junho</v>
      </c>
      <c r="Z73" s="76"/>
      <c r="AA73" s="76"/>
      <c r="AB73" s="76"/>
      <c r="AC73" s="76"/>
      <c r="AD73" s="76"/>
      <c r="AE73" s="76"/>
      <c r="AH73" s="77" t="str">
        <f>Y73</f>
        <v>Junho</v>
      </c>
      <c r="AI73" s="77"/>
      <c r="AJ73" s="77"/>
      <c r="AK73" s="77"/>
      <c r="AL73" s="77"/>
      <c r="AM73" s="77"/>
      <c r="AN73" s="77"/>
    </row>
    <row r="74" spans="1:40" ht="15.75" thickBot="1" x14ac:dyDescent="0.3">
      <c r="A74" s="78"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78"/>
      <c r="B75" s="26"/>
      <c r="C75" s="27"/>
      <c r="D75" s="27">
        <v>912</v>
      </c>
      <c r="E75" s="27">
        <v>2462</v>
      </c>
      <c r="F75" s="27">
        <f>SUM(C75-B75)</f>
        <v>0</v>
      </c>
      <c r="G75" s="20">
        <f>SUM(E75-D75)</f>
        <v>1550</v>
      </c>
      <c r="H75" s="21">
        <f>SUM(F75:G75)</f>
        <v>1550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A76" s="73"/>
      <c r="F76" s="1"/>
      <c r="J76" s="8"/>
      <c r="K76" s="13"/>
      <c r="L76" s="13"/>
      <c r="M76" s="13"/>
      <c r="N76" s="13"/>
      <c r="O76" s="13"/>
      <c r="P76" s="13"/>
      <c r="Q76" s="13"/>
      <c r="R76" s="13"/>
      <c r="S76" s="13"/>
      <c r="T76" s="13"/>
      <c r="U76" s="13"/>
      <c r="Y76" s="8"/>
      <c r="Z76" s="13"/>
      <c r="AA76" s="13"/>
      <c r="AB76" s="13"/>
      <c r="AC76" s="13"/>
      <c r="AD76" s="13"/>
      <c r="AE76" s="13"/>
      <c r="AH76" s="8"/>
      <c r="AI76" s="13"/>
      <c r="AJ76" s="13"/>
      <c r="AK76" s="13"/>
      <c r="AL76" s="13"/>
      <c r="AM76" s="13"/>
      <c r="AN76" s="13"/>
    </row>
    <row r="77" spans="1:40" ht="15.75" thickBot="1" x14ac:dyDescent="0.3">
      <c r="A77" s="19"/>
      <c r="B77" s="74" t="s">
        <v>24</v>
      </c>
      <c r="C77" s="74"/>
      <c r="D77" s="74"/>
      <c r="E77" s="74"/>
      <c r="F77" s="74"/>
      <c r="G77" s="74"/>
      <c r="H77" s="74"/>
      <c r="J77" s="75" t="s">
        <v>24</v>
      </c>
      <c r="K77" s="75"/>
      <c r="L77" s="75"/>
      <c r="M77" s="75"/>
      <c r="N77" s="75"/>
      <c r="O77" s="75"/>
      <c r="P77" s="75"/>
      <c r="Q77" s="75"/>
      <c r="R77" s="75"/>
      <c r="S77" s="75"/>
      <c r="T77" s="75"/>
      <c r="U77" s="75"/>
      <c r="Y77" s="76" t="str">
        <f>J77</f>
        <v>Junho</v>
      </c>
      <c r="Z77" s="76"/>
      <c r="AA77" s="76"/>
      <c r="AB77" s="76"/>
      <c r="AC77" s="76"/>
      <c r="AD77" s="76"/>
      <c r="AE77" s="76"/>
      <c r="AH77" s="77" t="str">
        <f>Y77</f>
        <v>Junho</v>
      </c>
      <c r="AI77" s="77"/>
      <c r="AJ77" s="77"/>
      <c r="AK77" s="77"/>
      <c r="AL77" s="77"/>
      <c r="AM77" s="77"/>
      <c r="AN77" s="77"/>
    </row>
    <row r="78" spans="1:40" ht="15.75" thickBot="1" x14ac:dyDescent="0.3">
      <c r="A78" s="78"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78"/>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A80" s="73"/>
      <c r="F80" s="1"/>
      <c r="J80" s="8"/>
      <c r="K80" s="13"/>
      <c r="L80" s="13"/>
      <c r="M80" s="13"/>
      <c r="N80" s="13"/>
      <c r="O80" s="13"/>
      <c r="P80" s="13"/>
      <c r="Q80" s="13"/>
      <c r="R80" s="13"/>
      <c r="S80" s="13"/>
      <c r="T80" s="13"/>
      <c r="U80" s="13"/>
      <c r="Y80" s="8"/>
      <c r="Z80" s="13"/>
      <c r="AA80" s="13"/>
      <c r="AB80" s="13"/>
      <c r="AC80" s="13"/>
      <c r="AD80" s="13"/>
      <c r="AE80" s="13"/>
      <c r="AH80" s="8"/>
      <c r="AI80" s="13"/>
      <c r="AJ80" s="13"/>
      <c r="AK80" s="13"/>
      <c r="AL80" s="13"/>
      <c r="AM80" s="13"/>
      <c r="AN80" s="13"/>
    </row>
    <row r="81" spans="1:40" ht="15.75" thickBot="1" x14ac:dyDescent="0.3">
      <c r="A81" s="19"/>
      <c r="B81" s="74" t="s">
        <v>16</v>
      </c>
      <c r="C81" s="74"/>
      <c r="D81" s="74"/>
      <c r="E81" s="74"/>
      <c r="F81" s="74"/>
      <c r="G81" s="74"/>
      <c r="H81" s="74"/>
      <c r="J81" s="75" t="s">
        <v>16</v>
      </c>
      <c r="K81" s="75"/>
      <c r="L81" s="75"/>
      <c r="M81" s="75"/>
      <c r="N81" s="75"/>
      <c r="O81" s="75"/>
      <c r="P81" s="75"/>
      <c r="Q81" s="75"/>
      <c r="R81" s="75"/>
      <c r="S81" s="75"/>
      <c r="T81" s="75"/>
      <c r="U81" s="75"/>
      <c r="Y81" s="76" t="str">
        <f>J81</f>
        <v>Julho</v>
      </c>
      <c r="Z81" s="76"/>
      <c r="AA81" s="76"/>
      <c r="AB81" s="76"/>
      <c r="AC81" s="76"/>
      <c r="AD81" s="76"/>
      <c r="AE81" s="76"/>
      <c r="AH81" s="77" t="str">
        <f>Y81</f>
        <v>Julho</v>
      </c>
      <c r="AI81" s="77"/>
      <c r="AJ81" s="77"/>
      <c r="AK81" s="77"/>
      <c r="AL81" s="77"/>
      <c r="AM81" s="77"/>
      <c r="AN81" s="77"/>
    </row>
    <row r="82" spans="1:40" ht="15.75" thickBot="1" x14ac:dyDescent="0.3">
      <c r="A82" s="78"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78"/>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74" t="s">
        <v>17</v>
      </c>
      <c r="C85" s="74"/>
      <c r="D85" s="74"/>
      <c r="E85" s="74"/>
      <c r="F85" s="74"/>
      <c r="G85" s="74"/>
      <c r="H85" s="74"/>
      <c r="J85" s="75" t="s">
        <v>17</v>
      </c>
      <c r="K85" s="75"/>
      <c r="L85" s="75"/>
      <c r="M85" s="75"/>
      <c r="N85" s="75"/>
      <c r="O85" s="75"/>
      <c r="P85" s="75"/>
      <c r="Q85" s="75"/>
      <c r="R85" s="75"/>
      <c r="S85" s="75"/>
      <c r="T85" s="75"/>
      <c r="U85" s="75"/>
      <c r="Y85" s="76" t="str">
        <f>J85</f>
        <v>Agosto</v>
      </c>
      <c r="Z85" s="76"/>
      <c r="AA85" s="76"/>
      <c r="AB85" s="76"/>
      <c r="AC85" s="76"/>
      <c r="AD85" s="76"/>
      <c r="AE85" s="76"/>
      <c r="AH85" s="77" t="str">
        <f>Y85</f>
        <v>Agosto</v>
      </c>
      <c r="AI85" s="77"/>
      <c r="AJ85" s="77"/>
      <c r="AK85" s="77"/>
      <c r="AL85" s="77"/>
      <c r="AM85" s="77"/>
      <c r="AN85" s="77"/>
    </row>
    <row r="86" spans="1:40" ht="15.75" thickBot="1" x14ac:dyDescent="0.3">
      <c r="A86" s="78"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78"/>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row r="89" spans="1:40" ht="15.75" thickBot="1" x14ac:dyDescent="0.3">
      <c r="A89" s="19"/>
      <c r="B89" s="74" t="s">
        <v>18</v>
      </c>
      <c r="C89" s="74"/>
      <c r="D89" s="74"/>
      <c r="E89" s="74"/>
      <c r="F89" s="74"/>
      <c r="G89" s="74"/>
      <c r="H89" s="74"/>
      <c r="J89" s="75" t="s">
        <v>18</v>
      </c>
      <c r="K89" s="75"/>
      <c r="L89" s="75"/>
      <c r="M89" s="75"/>
      <c r="N89" s="75"/>
      <c r="O89" s="75"/>
      <c r="P89" s="75"/>
      <c r="Q89" s="75"/>
      <c r="R89" s="75"/>
      <c r="S89" s="75"/>
      <c r="T89" s="75"/>
      <c r="U89" s="75"/>
      <c r="Y89" s="76" t="str">
        <f>J89</f>
        <v>Setembro</v>
      </c>
      <c r="Z89" s="76"/>
      <c r="AA89" s="76"/>
      <c r="AB89" s="76"/>
      <c r="AC89" s="76"/>
      <c r="AD89" s="76"/>
      <c r="AE89" s="76"/>
      <c r="AH89" s="77" t="str">
        <f>Y89</f>
        <v>Setembro</v>
      </c>
      <c r="AI89" s="77"/>
      <c r="AJ89" s="77"/>
      <c r="AK89" s="77"/>
      <c r="AL89" s="77"/>
      <c r="AM89" s="77"/>
      <c r="AN89" s="77"/>
    </row>
    <row r="90" spans="1:40" ht="15.75" thickBot="1" x14ac:dyDescent="0.3">
      <c r="A90" s="78" t="s">
        <v>5</v>
      </c>
      <c r="B90" s="34" t="s">
        <v>6</v>
      </c>
      <c r="C90" s="22" t="s">
        <v>7</v>
      </c>
      <c r="D90" s="33" t="s">
        <v>8</v>
      </c>
      <c r="E90" s="22" t="s">
        <v>9</v>
      </c>
      <c r="F90" s="24" t="s">
        <v>10</v>
      </c>
      <c r="G90" s="23" t="s">
        <v>11</v>
      </c>
      <c r="H90" s="25" t="s">
        <v>12</v>
      </c>
      <c r="J90" s="6" t="s">
        <v>4</v>
      </c>
      <c r="K90" s="9"/>
      <c r="L90" s="4"/>
      <c r="M90" s="4"/>
      <c r="N90" s="4"/>
      <c r="O90" s="4"/>
      <c r="P90" s="4"/>
      <c r="Q90" s="4"/>
      <c r="R90" s="4"/>
      <c r="S90" s="4"/>
      <c r="T90" s="4"/>
      <c r="U90" s="5"/>
      <c r="Y90" s="6" t="s">
        <v>4</v>
      </c>
      <c r="Z90" s="9"/>
      <c r="AA90" s="4"/>
      <c r="AB90" s="4"/>
      <c r="AC90" s="4"/>
      <c r="AD90" s="4"/>
      <c r="AE90" s="5"/>
      <c r="AH90" s="6" t="s">
        <v>4</v>
      </c>
      <c r="AI90" s="9"/>
      <c r="AJ90" s="4"/>
      <c r="AK90" s="4"/>
      <c r="AL90" s="4"/>
      <c r="AM90" s="4"/>
      <c r="AN90" s="5"/>
    </row>
    <row r="91" spans="1:40" ht="15.75" thickBot="1" x14ac:dyDescent="0.3">
      <c r="A91" s="78"/>
      <c r="B91" s="26"/>
      <c r="C91" s="27"/>
      <c r="D91" s="27"/>
      <c r="E91" s="27"/>
      <c r="F91" s="27">
        <f>SUM(C91-B91)</f>
        <v>0</v>
      </c>
      <c r="G91" s="20">
        <f>SUM(E91-D91)</f>
        <v>0</v>
      </c>
      <c r="H91" s="21">
        <f>SUM(F91:G91)</f>
        <v>0</v>
      </c>
      <c r="J91" s="7" t="s">
        <v>22</v>
      </c>
      <c r="K91" s="10"/>
      <c r="L91" s="11"/>
      <c r="M91" s="11"/>
      <c r="N91" s="11"/>
      <c r="O91" s="11"/>
      <c r="P91" s="11"/>
      <c r="Q91" s="11"/>
      <c r="R91" s="11"/>
      <c r="S91" s="11"/>
      <c r="T91" s="11"/>
      <c r="U91" s="12"/>
      <c r="Y91" s="7" t="s">
        <v>22</v>
      </c>
      <c r="Z91" s="10"/>
      <c r="AA91" s="11"/>
      <c r="AB91" s="11"/>
      <c r="AC91" s="11"/>
      <c r="AD91" s="11"/>
      <c r="AE91" s="12"/>
      <c r="AH91" s="7" t="s">
        <v>22</v>
      </c>
      <c r="AI91" s="10"/>
      <c r="AJ91" s="11"/>
      <c r="AK91" s="11"/>
      <c r="AL91" s="11"/>
      <c r="AM91" s="11"/>
      <c r="AN91" s="12"/>
    </row>
    <row r="92" spans="1:40" x14ac:dyDescent="0.25">
      <c r="J92" s="8"/>
      <c r="T92" s="8" t="s">
        <v>23</v>
      </c>
      <c r="U92" s="13">
        <f>SUM(K91:U91)</f>
        <v>0</v>
      </c>
      <c r="AD92" s="8" t="s">
        <v>23</v>
      </c>
      <c r="AE92" s="13">
        <f>SUM(Z91:AE91)</f>
        <v>0</v>
      </c>
      <c r="AM92" s="8" t="s">
        <v>23</v>
      </c>
      <c r="AN92" s="13">
        <f>SUM(AI91:AN91)</f>
        <v>0</v>
      </c>
    </row>
  </sheetData>
  <mergeCells count="116">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E13:AK13"/>
    <mergeCell ref="D8:E8"/>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53:H53"/>
    <mergeCell ref="J53:U53"/>
    <mergeCell ref="Y53:AE53"/>
    <mergeCell ref="AH53:AN53"/>
    <mergeCell ref="A54:A5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81:H81"/>
    <mergeCell ref="J81:U81"/>
    <mergeCell ref="Y81:AE81"/>
    <mergeCell ref="AH81:AN81"/>
    <mergeCell ref="A82:A83"/>
    <mergeCell ref="B73:H73"/>
    <mergeCell ref="J73:U73"/>
    <mergeCell ref="Y73:AE73"/>
    <mergeCell ref="AH73:AN73"/>
    <mergeCell ref="A74:A75"/>
    <mergeCell ref="B77:H77"/>
    <mergeCell ref="J77:U77"/>
    <mergeCell ref="Y77:AE77"/>
    <mergeCell ref="AH77:AN77"/>
    <mergeCell ref="A78:A79"/>
    <mergeCell ref="B89:H89"/>
    <mergeCell ref="J89:U89"/>
    <mergeCell ref="Y89:AE89"/>
    <mergeCell ref="AH89:AN89"/>
    <mergeCell ref="A90:A91"/>
    <mergeCell ref="B85:H85"/>
    <mergeCell ref="J85:U85"/>
    <mergeCell ref="Y85:AE85"/>
    <mergeCell ref="AH85:AN85"/>
    <mergeCell ref="A86:A87"/>
  </mergeCells>
  <pageMargins left="0.511811024" right="0.511811024" top="0.78740157499999996" bottom="0.78740157499999996" header="0.31496062000000002" footer="0.31496062000000002"/>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AN88"/>
  <sheetViews>
    <sheetView showGridLines="0" topLeftCell="A48" workbookViewId="0">
      <selection activeCell="B72" sqref="B72"/>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6.42578125" customWidth="1"/>
    <col min="10" max="10" width="13.42578125" bestFit="1" customWidth="1"/>
    <col min="11" max="15" width="10.42578125" bestFit="1" customWidth="1"/>
    <col min="21" max="21" width="12.140625" bestFit="1" customWidth="1"/>
    <col min="24" max="24" width="10.42578125" bestFit="1" customWidth="1"/>
    <col min="26" max="28" width="10.42578125" bestFit="1" customWidth="1"/>
    <col min="34" max="34" width="10.140625" bestFit="1" customWidth="1"/>
    <col min="35" max="35" width="10.42578125" bestFit="1" customWidth="1"/>
    <col min="36" max="36" width="10.140625" bestFit="1" customWidth="1"/>
  </cols>
  <sheetData>
    <row r="2" spans="1:37" x14ac:dyDescent="0.25">
      <c r="A2" t="s">
        <v>0</v>
      </c>
      <c r="B2" s="79" t="s">
        <v>83</v>
      </c>
      <c r="C2" s="79"/>
      <c r="D2" s="1" t="s">
        <v>1</v>
      </c>
      <c r="E2" s="79" t="s">
        <v>95</v>
      </c>
      <c r="F2" s="79"/>
      <c r="H2" t="s">
        <v>85</v>
      </c>
      <c r="I2" s="68">
        <v>3000</v>
      </c>
    </row>
    <row r="3" spans="1:37" x14ac:dyDescent="0.25">
      <c r="A3" t="s">
        <v>80</v>
      </c>
      <c r="B3" s="79"/>
      <c r="C3" s="79"/>
      <c r="D3" s="1" t="s">
        <v>1</v>
      </c>
      <c r="E3" s="79"/>
      <c r="F3" s="79"/>
      <c r="H3" t="s">
        <v>81</v>
      </c>
      <c r="I3" s="54"/>
    </row>
    <row r="4" spans="1:37" x14ac:dyDescent="0.25">
      <c r="A4" t="s">
        <v>2</v>
      </c>
      <c r="B4" s="80">
        <v>3837</v>
      </c>
      <c r="C4" s="80"/>
      <c r="D4" s="1" t="s">
        <v>29</v>
      </c>
      <c r="E4" s="81">
        <v>45</v>
      </c>
      <c r="F4" s="81"/>
      <c r="H4" t="s">
        <v>70</v>
      </c>
      <c r="I4" s="67">
        <v>45965</v>
      </c>
    </row>
    <row r="7" spans="1:37" ht="21" x14ac:dyDescent="0.35">
      <c r="A7" s="82" t="s">
        <v>28</v>
      </c>
      <c r="B7" s="82"/>
      <c r="C7" s="82"/>
      <c r="D7" s="82"/>
      <c r="E7" s="82"/>
      <c r="F7" s="82"/>
      <c r="G7" s="82"/>
      <c r="H7" s="82"/>
      <c r="J7" s="84" t="s">
        <v>26</v>
      </c>
      <c r="K7" s="84"/>
      <c r="L7" s="84"/>
      <c r="M7" s="84"/>
      <c r="N7" s="84"/>
      <c r="O7" s="84"/>
      <c r="P7" s="84"/>
      <c r="Q7" s="84"/>
      <c r="R7" s="84"/>
      <c r="S7" s="84"/>
      <c r="T7" s="84"/>
      <c r="U7" s="84"/>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4" t="s">
        <v>3</v>
      </c>
      <c r="C9" s="74"/>
      <c r="D9" s="74"/>
      <c r="E9" s="74"/>
      <c r="F9" s="74"/>
      <c r="G9" s="74"/>
      <c r="H9" s="74"/>
      <c r="J9" s="75" t="s">
        <v>3</v>
      </c>
      <c r="K9" s="75"/>
      <c r="L9" s="75"/>
      <c r="M9" s="75"/>
      <c r="N9" s="75"/>
      <c r="O9" s="75"/>
      <c r="P9" s="75"/>
      <c r="Q9" s="75"/>
      <c r="R9" s="75"/>
      <c r="S9" s="75"/>
      <c r="T9" s="75"/>
      <c r="U9" s="75"/>
      <c r="W9" s="76" t="s">
        <v>3</v>
      </c>
      <c r="X9" s="76"/>
      <c r="Y9" s="76"/>
      <c r="Z9" s="76"/>
      <c r="AA9" s="76"/>
      <c r="AB9" s="76"/>
      <c r="AC9" s="76"/>
      <c r="AE9" s="77" t="s">
        <v>3</v>
      </c>
      <c r="AF9" s="77"/>
      <c r="AG9" s="77"/>
      <c r="AH9" s="77"/>
      <c r="AI9" s="77"/>
      <c r="AJ9" s="77"/>
      <c r="AK9" s="77"/>
    </row>
    <row r="10" spans="1:37"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4" t="s">
        <v>13</v>
      </c>
      <c r="C13" s="74"/>
      <c r="D13" s="74"/>
      <c r="E13" s="74"/>
      <c r="F13" s="74"/>
      <c r="G13" s="74"/>
      <c r="H13" s="74"/>
      <c r="J13" s="75" t="s">
        <v>13</v>
      </c>
      <c r="K13" s="75"/>
      <c r="L13" s="75"/>
      <c r="M13" s="75"/>
      <c r="N13" s="75"/>
      <c r="O13" s="75"/>
      <c r="P13" s="75"/>
      <c r="Q13" s="75"/>
      <c r="R13" s="75"/>
      <c r="S13" s="75"/>
      <c r="T13" s="75"/>
      <c r="U13" s="75"/>
      <c r="W13" s="76" t="str">
        <f>J13</f>
        <v>Março</v>
      </c>
      <c r="X13" s="76"/>
      <c r="Y13" s="76"/>
      <c r="Z13" s="76"/>
      <c r="AA13" s="76"/>
      <c r="AB13" s="76"/>
      <c r="AC13" s="76"/>
      <c r="AE13" s="77" t="str">
        <f>W13</f>
        <v>Março</v>
      </c>
      <c r="AF13" s="77"/>
      <c r="AG13" s="77"/>
      <c r="AH13" s="77"/>
      <c r="AI13" s="77"/>
      <c r="AJ13" s="77"/>
      <c r="AK13" s="77"/>
    </row>
    <row r="14" spans="1:37" ht="15.75" thickBot="1" x14ac:dyDescent="0.3">
      <c r="A14" s="78" t="s">
        <v>5</v>
      </c>
      <c r="B14" s="34" t="s">
        <v>6</v>
      </c>
      <c r="C14" s="22" t="s">
        <v>7</v>
      </c>
      <c r="D14" s="33" t="s">
        <v>8</v>
      </c>
      <c r="E14" s="22" t="s">
        <v>9</v>
      </c>
      <c r="F14" s="24" t="s">
        <v>10</v>
      </c>
      <c r="G14" s="23" t="s">
        <v>11</v>
      </c>
      <c r="H14" s="25" t="s">
        <v>12</v>
      </c>
      <c r="J14" s="6" t="s">
        <v>4</v>
      </c>
      <c r="K14" s="9"/>
      <c r="L14" s="66"/>
      <c r="M14" s="66"/>
      <c r="N14" s="66"/>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4" t="s">
        <v>14</v>
      </c>
      <c r="C17" s="74"/>
      <c r="D17" s="74"/>
      <c r="E17" s="74"/>
      <c r="F17" s="74"/>
      <c r="G17" s="74"/>
      <c r="H17" s="74"/>
      <c r="J17" s="75" t="s">
        <v>14</v>
      </c>
      <c r="K17" s="75"/>
      <c r="L17" s="75"/>
      <c r="M17" s="75"/>
      <c r="N17" s="75"/>
      <c r="O17" s="75"/>
      <c r="P17" s="75"/>
      <c r="Q17" s="75"/>
      <c r="R17" s="75"/>
      <c r="S17" s="75"/>
      <c r="T17" s="75"/>
      <c r="U17" s="75"/>
      <c r="W17" s="76" t="str">
        <f>J17</f>
        <v>Abril</v>
      </c>
      <c r="X17" s="76"/>
      <c r="Y17" s="76"/>
      <c r="Z17" s="76"/>
      <c r="AA17" s="76"/>
      <c r="AB17" s="76"/>
      <c r="AC17" s="76"/>
      <c r="AE17" s="77" t="str">
        <f>W17</f>
        <v>Abril</v>
      </c>
      <c r="AF17" s="77"/>
      <c r="AG17" s="77"/>
      <c r="AH17" s="77"/>
      <c r="AI17" s="77"/>
      <c r="AJ17" s="77"/>
      <c r="AK17" s="77"/>
    </row>
    <row r="18" spans="1:37"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4" t="s">
        <v>15</v>
      </c>
      <c r="C21" s="74"/>
      <c r="D21" s="74"/>
      <c r="E21" s="74"/>
      <c r="F21" s="74"/>
      <c r="G21" s="74"/>
      <c r="H21" s="74"/>
      <c r="J21" s="75" t="s">
        <v>15</v>
      </c>
      <c r="K21" s="75"/>
      <c r="L21" s="75"/>
      <c r="M21" s="75"/>
      <c r="N21" s="75"/>
      <c r="O21" s="75"/>
      <c r="P21" s="75"/>
      <c r="Q21" s="75"/>
      <c r="R21" s="75"/>
      <c r="S21" s="75"/>
      <c r="T21" s="75"/>
      <c r="U21" s="75"/>
      <c r="W21" s="76" t="str">
        <f>J21</f>
        <v>Maio</v>
      </c>
      <c r="X21" s="76"/>
      <c r="Y21" s="76"/>
      <c r="Z21" s="76"/>
      <c r="AA21" s="76"/>
      <c r="AB21" s="76"/>
      <c r="AC21" s="76"/>
      <c r="AE21" s="77" t="str">
        <f>W21</f>
        <v>Maio</v>
      </c>
      <c r="AF21" s="77"/>
      <c r="AG21" s="77"/>
      <c r="AH21" s="77"/>
      <c r="AI21" s="77"/>
      <c r="AJ21" s="77"/>
      <c r="AK21" s="77"/>
    </row>
    <row r="22" spans="1:37"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4" t="s">
        <v>24</v>
      </c>
      <c r="C25" s="74"/>
      <c r="D25" s="74"/>
      <c r="E25" s="74"/>
      <c r="F25" s="74"/>
      <c r="G25" s="74"/>
      <c r="H25" s="74"/>
      <c r="J25" s="75" t="s">
        <v>24</v>
      </c>
      <c r="K25" s="75"/>
      <c r="L25" s="75"/>
      <c r="M25" s="75"/>
      <c r="N25" s="75"/>
      <c r="O25" s="75"/>
      <c r="P25" s="75"/>
      <c r="Q25" s="75"/>
      <c r="R25" s="75"/>
      <c r="S25" s="75"/>
      <c r="T25" s="75"/>
      <c r="U25" s="75"/>
      <c r="W25" s="76" t="str">
        <f>J25</f>
        <v>Junho</v>
      </c>
      <c r="X25" s="76"/>
      <c r="Y25" s="76"/>
      <c r="Z25" s="76"/>
      <c r="AA25" s="76"/>
      <c r="AB25" s="76"/>
      <c r="AC25" s="76"/>
      <c r="AE25" s="77" t="str">
        <f>W25</f>
        <v>Junho</v>
      </c>
      <c r="AF25" s="77"/>
      <c r="AG25" s="77"/>
      <c r="AH25" s="77"/>
      <c r="AI25" s="77"/>
      <c r="AJ25" s="77"/>
      <c r="AK25" s="77"/>
    </row>
    <row r="26" spans="1:37"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4" t="s">
        <v>16</v>
      </c>
      <c r="C29" s="74"/>
      <c r="D29" s="74"/>
      <c r="E29" s="74"/>
      <c r="F29" s="74"/>
      <c r="G29" s="74"/>
      <c r="H29" s="74"/>
      <c r="J29" s="75" t="s">
        <v>16</v>
      </c>
      <c r="K29" s="75"/>
      <c r="L29" s="75"/>
      <c r="M29" s="75"/>
      <c r="N29" s="75"/>
      <c r="O29" s="75"/>
      <c r="P29" s="75"/>
      <c r="Q29" s="75"/>
      <c r="R29" s="75"/>
      <c r="S29" s="75"/>
      <c r="T29" s="75"/>
      <c r="U29" s="75"/>
      <c r="W29" s="76" t="str">
        <f>J29</f>
        <v>Julho</v>
      </c>
      <c r="X29" s="76"/>
      <c r="Y29" s="76"/>
      <c r="Z29" s="76"/>
      <c r="AA29" s="76"/>
      <c r="AB29" s="76"/>
      <c r="AC29" s="76"/>
      <c r="AE29" s="77" t="str">
        <f>W29</f>
        <v>Julho</v>
      </c>
      <c r="AF29" s="77"/>
      <c r="AG29" s="77"/>
      <c r="AH29" s="77"/>
      <c r="AI29" s="77"/>
      <c r="AJ29" s="77"/>
      <c r="AK29" s="77"/>
    </row>
    <row r="30" spans="1:37"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4" t="s">
        <v>17</v>
      </c>
      <c r="C33" s="74"/>
      <c r="D33" s="74"/>
      <c r="E33" s="74"/>
      <c r="F33" s="74"/>
      <c r="G33" s="74"/>
      <c r="H33" s="74"/>
      <c r="J33" s="75" t="s">
        <v>17</v>
      </c>
      <c r="K33" s="75"/>
      <c r="L33" s="75"/>
      <c r="M33" s="75"/>
      <c r="N33" s="75"/>
      <c r="O33" s="75"/>
      <c r="P33" s="75"/>
      <c r="Q33" s="75"/>
      <c r="R33" s="75"/>
      <c r="S33" s="75"/>
      <c r="T33" s="75"/>
      <c r="U33" s="75"/>
      <c r="W33" s="76" t="str">
        <f>J33</f>
        <v>Agosto</v>
      </c>
      <c r="X33" s="76"/>
      <c r="Y33" s="76"/>
      <c r="Z33" s="76"/>
      <c r="AA33" s="76"/>
      <c r="AB33" s="76"/>
      <c r="AC33" s="76"/>
      <c r="AE33" s="77" t="str">
        <f>W33</f>
        <v>Agosto</v>
      </c>
      <c r="AF33" s="77"/>
      <c r="AG33" s="77"/>
      <c r="AH33" s="77"/>
      <c r="AI33" s="77"/>
      <c r="AJ33" s="77"/>
      <c r="AK33" s="77"/>
    </row>
    <row r="34" spans="1:37"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4" t="s">
        <v>18</v>
      </c>
      <c r="C37" s="74"/>
      <c r="D37" s="74"/>
      <c r="E37" s="74"/>
      <c r="F37" s="74"/>
      <c r="G37" s="74"/>
      <c r="H37" s="74"/>
      <c r="J37" s="75" t="s">
        <v>18</v>
      </c>
      <c r="K37" s="75"/>
      <c r="L37" s="75"/>
      <c r="M37" s="75"/>
      <c r="N37" s="75"/>
      <c r="O37" s="75"/>
      <c r="P37" s="75"/>
      <c r="Q37" s="75"/>
      <c r="R37" s="75"/>
      <c r="S37" s="75"/>
      <c r="T37" s="75"/>
      <c r="U37" s="75"/>
      <c r="W37" s="76" t="str">
        <f>J37</f>
        <v>Setembro</v>
      </c>
      <c r="X37" s="76"/>
      <c r="Y37" s="76"/>
      <c r="Z37" s="76"/>
      <c r="AA37" s="76"/>
      <c r="AB37" s="76"/>
      <c r="AC37" s="76"/>
      <c r="AE37" s="77" t="str">
        <f>W37</f>
        <v>Setembro</v>
      </c>
      <c r="AF37" s="77"/>
      <c r="AG37" s="77"/>
      <c r="AH37" s="77"/>
      <c r="AI37" s="77"/>
      <c r="AJ37" s="77"/>
      <c r="AK37" s="77"/>
    </row>
    <row r="38" spans="1:37"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4" t="s">
        <v>19</v>
      </c>
      <c r="C41" s="74"/>
      <c r="D41" s="74"/>
      <c r="E41" s="74"/>
      <c r="F41" s="74"/>
      <c r="G41" s="74"/>
      <c r="H41" s="74"/>
      <c r="J41" s="75" t="s">
        <v>19</v>
      </c>
      <c r="K41" s="75"/>
      <c r="L41" s="75"/>
      <c r="M41" s="75"/>
      <c r="N41" s="75"/>
      <c r="O41" s="75"/>
      <c r="P41" s="75"/>
      <c r="Q41" s="75"/>
      <c r="R41" s="75"/>
      <c r="S41" s="75"/>
      <c r="T41" s="75"/>
      <c r="U41" s="75"/>
      <c r="W41" s="76" t="str">
        <f>J41</f>
        <v>Outubro</v>
      </c>
      <c r="X41" s="76"/>
      <c r="Y41" s="76"/>
      <c r="Z41" s="76"/>
      <c r="AA41" s="76"/>
      <c r="AB41" s="76"/>
      <c r="AC41" s="76"/>
      <c r="AE41" s="77" t="str">
        <f>W41</f>
        <v>Outubro</v>
      </c>
      <c r="AF41" s="77"/>
      <c r="AG41" s="77"/>
      <c r="AH41" s="77"/>
      <c r="AI41" s="77"/>
      <c r="AJ41" s="77"/>
      <c r="AK41" s="77"/>
    </row>
    <row r="42" spans="1:37"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4" t="s">
        <v>20</v>
      </c>
      <c r="C45" s="74"/>
      <c r="D45" s="74"/>
      <c r="E45" s="74"/>
      <c r="F45" s="74"/>
      <c r="G45" s="74"/>
      <c r="H45" s="74"/>
      <c r="J45" s="75" t="s">
        <v>20</v>
      </c>
      <c r="K45" s="75"/>
      <c r="L45" s="75"/>
      <c r="M45" s="75"/>
      <c r="N45" s="75"/>
      <c r="O45" s="75"/>
      <c r="P45" s="75"/>
      <c r="Q45" s="75"/>
      <c r="R45" s="75"/>
      <c r="S45" s="75"/>
      <c r="T45" s="75"/>
      <c r="U45" s="75"/>
      <c r="W45" s="76" t="str">
        <f>J45</f>
        <v>Novembro</v>
      </c>
      <c r="X45" s="76"/>
      <c r="Y45" s="76"/>
      <c r="Z45" s="76"/>
      <c r="AA45" s="76"/>
      <c r="AB45" s="76"/>
      <c r="AC45" s="76"/>
      <c r="AE45" s="77" t="str">
        <f>W45</f>
        <v>Novembro</v>
      </c>
      <c r="AF45" s="77"/>
      <c r="AG45" s="77"/>
      <c r="AH45" s="77"/>
      <c r="AI45" s="77"/>
      <c r="AJ45" s="77"/>
      <c r="AK45" s="77"/>
    </row>
    <row r="46" spans="1:37" ht="15.75" thickBot="1" x14ac:dyDescent="0.3">
      <c r="A46" s="78" t="s">
        <v>5</v>
      </c>
      <c r="B46" s="34" t="s">
        <v>6</v>
      </c>
      <c r="C46" s="22" t="s">
        <v>7</v>
      </c>
      <c r="D46" s="33" t="s">
        <v>8</v>
      </c>
      <c r="E46" s="22" t="s">
        <v>9</v>
      </c>
      <c r="F46" s="24" t="s">
        <v>10</v>
      </c>
      <c r="G46" s="23" t="s">
        <v>11</v>
      </c>
      <c r="H46" s="25" t="s">
        <v>12</v>
      </c>
      <c r="J46" s="6" t="s">
        <v>4</v>
      </c>
      <c r="K46" s="9">
        <v>45967</v>
      </c>
      <c r="L46" s="66">
        <v>45972</v>
      </c>
      <c r="M46" s="66">
        <v>45979</v>
      </c>
      <c r="N46" s="66">
        <v>45983</v>
      </c>
      <c r="O46" s="66">
        <v>45990</v>
      </c>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8"/>
      <c r="B47" s="26">
        <v>30046</v>
      </c>
      <c r="C47" s="27">
        <v>30903</v>
      </c>
      <c r="D47" s="27">
        <v>30903</v>
      </c>
      <c r="E47" s="27">
        <v>31750</v>
      </c>
      <c r="F47" s="27">
        <f>SUM(C47-B47)</f>
        <v>857</v>
      </c>
      <c r="G47" s="20">
        <f>SUM(E47-D47)</f>
        <v>847</v>
      </c>
      <c r="H47" s="21">
        <f>SUM(F47:G47)</f>
        <v>1704</v>
      </c>
      <c r="J47" s="7" t="s">
        <v>22</v>
      </c>
      <c r="K47" s="10">
        <v>225.16</v>
      </c>
      <c r="L47" s="11">
        <v>262</v>
      </c>
      <c r="M47" s="11">
        <v>223.49</v>
      </c>
      <c r="N47" s="11">
        <v>228.01</v>
      </c>
      <c r="O47" s="11">
        <v>240.05</v>
      </c>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1178.71</v>
      </c>
      <c r="AB48" s="8" t="s">
        <v>23</v>
      </c>
      <c r="AC48" s="13">
        <f>SUM(X47:AC47)</f>
        <v>0</v>
      </c>
      <c r="AJ48" s="8" t="s">
        <v>23</v>
      </c>
      <c r="AK48" s="13">
        <f>SUM(AF47:AK47)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W49" s="76" t="str">
        <f>J49</f>
        <v>Dezembro</v>
      </c>
      <c r="X49" s="76"/>
      <c r="Y49" s="76"/>
      <c r="Z49" s="76"/>
      <c r="AA49" s="76"/>
      <c r="AB49" s="76"/>
      <c r="AC49" s="76"/>
      <c r="AE49" s="77" t="str">
        <f>W49</f>
        <v>Dezembro</v>
      </c>
      <c r="AF49" s="77"/>
      <c r="AG49" s="77"/>
      <c r="AH49" s="77"/>
      <c r="AI49" s="77"/>
      <c r="AJ49" s="77"/>
      <c r="AK49" s="77"/>
    </row>
    <row r="50" spans="1:40" ht="15.75" thickBot="1" x14ac:dyDescent="0.3">
      <c r="A50" s="78" t="s">
        <v>5</v>
      </c>
      <c r="B50" s="34" t="s">
        <v>6</v>
      </c>
      <c r="C50" s="22" t="s">
        <v>7</v>
      </c>
      <c r="D50" s="33" t="s">
        <v>8</v>
      </c>
      <c r="E50" s="22" t="s">
        <v>9</v>
      </c>
      <c r="F50" s="24" t="s">
        <v>10</v>
      </c>
      <c r="G50" s="23" t="s">
        <v>11</v>
      </c>
      <c r="H50" s="25" t="s">
        <v>12</v>
      </c>
      <c r="J50" s="6" t="s">
        <v>4</v>
      </c>
      <c r="K50" s="9">
        <v>45996</v>
      </c>
      <c r="L50" s="66">
        <v>46001</v>
      </c>
      <c r="M50" s="4"/>
      <c r="N50" s="4"/>
      <c r="O50" s="4"/>
      <c r="P50" s="4"/>
      <c r="Q50" s="4"/>
      <c r="R50" s="4"/>
      <c r="S50" s="4"/>
      <c r="T50" s="4"/>
      <c r="U50" s="5"/>
      <c r="W50" s="6" t="s">
        <v>4</v>
      </c>
      <c r="X50" s="9">
        <v>46001</v>
      </c>
      <c r="Y50" s="4"/>
      <c r="Z50" s="4"/>
      <c r="AA50" s="4"/>
      <c r="AB50" s="4"/>
      <c r="AC50" s="5"/>
      <c r="AE50" s="6" t="s">
        <v>4</v>
      </c>
      <c r="AF50" s="9"/>
      <c r="AG50" s="4"/>
      <c r="AH50" s="4"/>
      <c r="AI50" s="4"/>
      <c r="AJ50" s="4"/>
      <c r="AK50" s="5"/>
    </row>
    <row r="51" spans="1:40" ht="15.75" thickBot="1" x14ac:dyDescent="0.3">
      <c r="A51" s="78"/>
      <c r="B51" s="27">
        <v>31750</v>
      </c>
      <c r="C51" s="27">
        <v>32392</v>
      </c>
      <c r="D51" s="27">
        <v>32392</v>
      </c>
      <c r="E51" s="27">
        <v>32547</v>
      </c>
      <c r="F51" s="27">
        <f>SUM(C51-B51)</f>
        <v>642</v>
      </c>
      <c r="G51" s="20">
        <f>SUM(E51-D51)</f>
        <v>155</v>
      </c>
      <c r="H51" s="21">
        <f>SUM(F51:G51)</f>
        <v>797</v>
      </c>
      <c r="J51" s="7" t="s">
        <v>22</v>
      </c>
      <c r="K51" s="10">
        <v>215.05</v>
      </c>
      <c r="L51" s="11">
        <v>181.4</v>
      </c>
      <c r="M51" s="11"/>
      <c r="N51" s="11"/>
      <c r="O51" s="11"/>
      <c r="P51" s="11"/>
      <c r="Q51" s="11"/>
      <c r="R51" s="11"/>
      <c r="S51" s="11"/>
      <c r="T51" s="11"/>
      <c r="U51" s="12"/>
      <c r="W51" s="7" t="s">
        <v>22</v>
      </c>
      <c r="X51" s="10">
        <v>55</v>
      </c>
      <c r="Y51" s="11"/>
      <c r="Z51" s="11"/>
      <c r="AA51" s="11"/>
      <c r="AB51" s="11"/>
      <c r="AC51" s="12"/>
      <c r="AE51" s="7" t="s">
        <v>22</v>
      </c>
      <c r="AF51" s="10"/>
      <c r="AG51" s="11"/>
      <c r="AH51" s="11"/>
      <c r="AI51" s="11"/>
      <c r="AJ51" s="11"/>
      <c r="AK51" s="12"/>
    </row>
    <row r="52" spans="1:40" x14ac:dyDescent="0.25">
      <c r="J52" s="8"/>
      <c r="T52" s="8" t="s">
        <v>23</v>
      </c>
      <c r="U52" s="13">
        <f>SUM(K51:U51)</f>
        <v>396.45000000000005</v>
      </c>
      <c r="AB52" s="8" t="s">
        <v>23</v>
      </c>
      <c r="AC52" s="13">
        <f>SUM(X51:AC51)</f>
        <v>55</v>
      </c>
      <c r="AJ52" s="8" t="s">
        <v>23</v>
      </c>
      <c r="AK52" s="13">
        <f>SUM(AF51:AK51)</f>
        <v>0</v>
      </c>
    </row>
    <row r="53" spans="1:40" ht="15.75" thickBot="1" x14ac:dyDescent="0.3">
      <c r="A53" s="19">
        <v>2026</v>
      </c>
      <c r="B53" s="74" t="s">
        <v>100</v>
      </c>
      <c r="C53" s="74"/>
      <c r="D53" s="74"/>
      <c r="E53" s="74"/>
      <c r="F53" s="74"/>
      <c r="G53" s="74"/>
      <c r="H53" s="74"/>
      <c r="J53" s="75" t="s">
        <v>100</v>
      </c>
      <c r="K53" s="75"/>
      <c r="L53" s="75"/>
      <c r="M53" s="75"/>
      <c r="N53" s="75"/>
      <c r="O53" s="75"/>
      <c r="P53" s="75"/>
      <c r="Q53" s="75"/>
      <c r="R53" s="75"/>
      <c r="S53" s="75"/>
      <c r="T53" s="75"/>
      <c r="U53" s="75"/>
      <c r="Y53" s="76" t="s">
        <v>100</v>
      </c>
      <c r="Z53" s="76"/>
      <c r="AA53" s="76"/>
      <c r="AB53" s="76"/>
      <c r="AC53" s="76"/>
      <c r="AD53" s="76"/>
      <c r="AE53" s="76"/>
      <c r="AH53" s="77" t="s">
        <v>100</v>
      </c>
      <c r="AI53" s="77"/>
      <c r="AJ53" s="77"/>
      <c r="AK53" s="77"/>
      <c r="AL53" s="77"/>
      <c r="AM53" s="77"/>
      <c r="AN53" s="77"/>
    </row>
    <row r="54" spans="1:40" ht="15.75" thickBot="1" x14ac:dyDescent="0.3">
      <c r="A54" s="78" t="s">
        <v>5</v>
      </c>
      <c r="B54" s="34" t="s">
        <v>6</v>
      </c>
      <c r="C54" s="22" t="s">
        <v>7</v>
      </c>
      <c r="D54" s="33" t="s">
        <v>8</v>
      </c>
      <c r="E54" s="22" t="s">
        <v>9</v>
      </c>
      <c r="F54" s="24" t="s">
        <v>10</v>
      </c>
      <c r="G54" s="23" t="s">
        <v>11</v>
      </c>
      <c r="H54" s="25" t="s">
        <v>12</v>
      </c>
      <c r="J54" s="28" t="s">
        <v>4</v>
      </c>
      <c r="K54" s="9">
        <v>46028</v>
      </c>
      <c r="L54" s="66">
        <v>46032</v>
      </c>
      <c r="M54" s="66">
        <v>46037</v>
      </c>
      <c r="N54" s="66">
        <v>46044</v>
      </c>
      <c r="O54" s="66">
        <v>46050</v>
      </c>
      <c r="P54" s="66"/>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78"/>
      <c r="B55" s="26">
        <v>32547</v>
      </c>
      <c r="C55" s="27"/>
      <c r="D55" s="27"/>
      <c r="E55" s="27">
        <v>34176</v>
      </c>
      <c r="F55" s="27">
        <f>SUM(C55-B55)</f>
        <v>-32547</v>
      </c>
      <c r="G55" s="20">
        <f>SUM(E55-D55)</f>
        <v>34176</v>
      </c>
      <c r="H55" s="21">
        <f>SUM(F55:G55)</f>
        <v>1629</v>
      </c>
      <c r="J55" s="29" t="s">
        <v>22</v>
      </c>
      <c r="K55" s="10">
        <v>221.15</v>
      </c>
      <c r="L55" s="11">
        <v>246</v>
      </c>
      <c r="M55" s="11">
        <v>240</v>
      </c>
      <c r="N55" s="11">
        <v>265.05</v>
      </c>
      <c r="O55" s="11">
        <v>240.03</v>
      </c>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1212.23</v>
      </c>
      <c r="AD56" s="8" t="s">
        <v>23</v>
      </c>
      <c r="AE56" s="13">
        <f>SUM(Z55:AE55)</f>
        <v>0</v>
      </c>
      <c r="AM56" s="8" t="s">
        <v>23</v>
      </c>
      <c r="AN56" s="13">
        <f>SUM(AI55:AN55)</f>
        <v>0</v>
      </c>
    </row>
    <row r="57" spans="1:40" ht="15.75" thickBot="1" x14ac:dyDescent="0.3">
      <c r="A57" s="19"/>
      <c r="B57" s="74" t="s">
        <v>3</v>
      </c>
      <c r="C57" s="74"/>
      <c r="D57" s="74"/>
      <c r="E57" s="74"/>
      <c r="F57" s="74"/>
      <c r="G57" s="74"/>
      <c r="H57" s="74"/>
      <c r="J57" s="75" t="s">
        <v>3</v>
      </c>
      <c r="K57" s="75"/>
      <c r="L57" s="75"/>
      <c r="M57" s="75"/>
      <c r="N57" s="75"/>
      <c r="O57" s="75"/>
      <c r="P57" s="75"/>
      <c r="Q57" s="75"/>
      <c r="R57" s="75"/>
      <c r="S57" s="75"/>
      <c r="T57" s="75"/>
      <c r="U57" s="75"/>
      <c r="Y57" s="76" t="s">
        <v>3</v>
      </c>
      <c r="Z57" s="76"/>
      <c r="AA57" s="76"/>
      <c r="AB57" s="76"/>
      <c r="AC57" s="76"/>
      <c r="AD57" s="76"/>
      <c r="AE57" s="76"/>
      <c r="AH57" s="77" t="s">
        <v>3</v>
      </c>
      <c r="AI57" s="77"/>
      <c r="AJ57" s="77"/>
      <c r="AK57" s="77"/>
      <c r="AL57" s="77"/>
      <c r="AM57" s="77"/>
      <c r="AN57" s="77"/>
    </row>
    <row r="58" spans="1:40" ht="15.75" thickBot="1" x14ac:dyDescent="0.3">
      <c r="A58" s="78" t="s">
        <v>5</v>
      </c>
      <c r="B58" s="34" t="s">
        <v>6</v>
      </c>
      <c r="C58" s="22" t="s">
        <v>7</v>
      </c>
      <c r="D58" s="33" t="s">
        <v>8</v>
      </c>
      <c r="E58" s="22" t="s">
        <v>9</v>
      </c>
      <c r="F58" s="24" t="s">
        <v>10</v>
      </c>
      <c r="G58" s="23" t="s">
        <v>11</v>
      </c>
      <c r="H58" s="25" t="s">
        <v>12</v>
      </c>
      <c r="J58" s="28" t="s">
        <v>4</v>
      </c>
      <c r="K58" s="9">
        <v>46056</v>
      </c>
      <c r="L58" s="66">
        <v>46063</v>
      </c>
      <c r="M58" s="66">
        <v>46077</v>
      </c>
      <c r="N58" s="66">
        <v>46080</v>
      </c>
      <c r="O58" s="66"/>
      <c r="P58" s="66"/>
      <c r="Q58" s="66"/>
      <c r="R58" s="4"/>
      <c r="S58" s="4"/>
      <c r="T58" s="4"/>
      <c r="U58" s="5"/>
      <c r="Y58" s="6" t="s">
        <v>4</v>
      </c>
      <c r="Z58" s="9"/>
      <c r="AA58" s="4"/>
      <c r="AB58" s="4"/>
      <c r="AC58" s="4"/>
      <c r="AD58" s="4"/>
      <c r="AE58" s="5"/>
      <c r="AH58" s="6" t="s">
        <v>4</v>
      </c>
      <c r="AI58" s="9"/>
      <c r="AJ58" s="4"/>
      <c r="AK58" s="4"/>
      <c r="AL58" s="4"/>
      <c r="AM58" s="4"/>
      <c r="AN58" s="5"/>
    </row>
    <row r="59" spans="1:40" ht="15.75" thickBot="1" x14ac:dyDescent="0.3">
      <c r="A59" s="78"/>
      <c r="B59" s="27">
        <v>34176</v>
      </c>
      <c r="C59" s="27"/>
      <c r="D59" s="27"/>
      <c r="E59" s="27">
        <v>35236</v>
      </c>
      <c r="F59" s="27">
        <f>SUM(C59-B59)</f>
        <v>-34176</v>
      </c>
      <c r="G59" s="20">
        <f>SUM(E59-D59)</f>
        <v>35236</v>
      </c>
      <c r="H59" s="21">
        <f>SUM(F59:G59)</f>
        <v>1060</v>
      </c>
      <c r="J59" s="29" t="s">
        <v>22</v>
      </c>
      <c r="K59" s="10">
        <v>208.76</v>
      </c>
      <c r="L59" s="11">
        <v>241</v>
      </c>
      <c r="M59" s="11">
        <v>220.01</v>
      </c>
      <c r="N59" s="11">
        <v>217.73</v>
      </c>
      <c r="O59" s="11"/>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887.5</v>
      </c>
      <c r="AD60" s="8" t="s">
        <v>23</v>
      </c>
      <c r="AE60" s="13">
        <f>SUM(Z59:AE59)</f>
        <v>0</v>
      </c>
      <c r="AM60" s="8" t="s">
        <v>23</v>
      </c>
      <c r="AN60" s="13">
        <f>SUM(AI59:AN59)</f>
        <v>0</v>
      </c>
    </row>
    <row r="61" spans="1:40" ht="15.75" thickBot="1" x14ac:dyDescent="0.3">
      <c r="A61" s="19"/>
      <c r="B61" s="74" t="s">
        <v>13</v>
      </c>
      <c r="C61" s="74"/>
      <c r="D61" s="74"/>
      <c r="E61" s="74"/>
      <c r="F61" s="74"/>
      <c r="G61" s="74"/>
      <c r="H61" s="74"/>
      <c r="J61" s="75" t="s">
        <v>13</v>
      </c>
      <c r="K61" s="75"/>
      <c r="L61" s="75"/>
      <c r="M61" s="75"/>
      <c r="N61" s="75"/>
      <c r="O61" s="75"/>
      <c r="P61" s="75"/>
      <c r="Q61" s="75"/>
      <c r="R61" s="75"/>
      <c r="S61" s="75"/>
      <c r="T61" s="75"/>
      <c r="U61" s="75"/>
      <c r="Y61" s="76" t="str">
        <f>J61</f>
        <v>Março</v>
      </c>
      <c r="Z61" s="76"/>
      <c r="AA61" s="76"/>
      <c r="AB61" s="76"/>
      <c r="AC61" s="76"/>
      <c r="AD61" s="76"/>
      <c r="AE61" s="76"/>
      <c r="AH61" s="77" t="str">
        <f>Y61</f>
        <v>Março</v>
      </c>
      <c r="AI61" s="77"/>
      <c r="AJ61" s="77"/>
      <c r="AK61" s="77"/>
      <c r="AL61" s="77"/>
      <c r="AM61" s="77"/>
      <c r="AN61" s="77"/>
    </row>
    <row r="62" spans="1:40" ht="15.75" thickBot="1" x14ac:dyDescent="0.3">
      <c r="A62" s="78" t="s">
        <v>5</v>
      </c>
      <c r="B62" s="34" t="s">
        <v>6</v>
      </c>
      <c r="C62" s="22" t="s">
        <v>7</v>
      </c>
      <c r="D62" s="33" t="s">
        <v>8</v>
      </c>
      <c r="E62" s="22" t="s">
        <v>9</v>
      </c>
      <c r="F62" s="24" t="s">
        <v>10</v>
      </c>
      <c r="G62" s="23" t="s">
        <v>11</v>
      </c>
      <c r="H62" s="25" t="s">
        <v>12</v>
      </c>
      <c r="J62" s="6" t="s">
        <v>4</v>
      </c>
      <c r="K62" s="9">
        <v>46086</v>
      </c>
      <c r="L62" s="66">
        <v>46094</v>
      </c>
      <c r="M62" s="66">
        <v>46101</v>
      </c>
      <c r="N62" s="66">
        <v>46107</v>
      </c>
      <c r="O62" s="66">
        <v>46112</v>
      </c>
      <c r="P62" s="66"/>
      <c r="Q62" s="66"/>
      <c r="R62" s="66"/>
      <c r="S62" s="66"/>
      <c r="T62" s="66"/>
      <c r="U62" s="72"/>
      <c r="Y62" s="6" t="s">
        <v>4</v>
      </c>
      <c r="Z62" s="9">
        <v>46082</v>
      </c>
      <c r="AA62" s="66">
        <v>46102</v>
      </c>
      <c r="AB62" s="66">
        <v>46109</v>
      </c>
      <c r="AC62" s="66"/>
      <c r="AD62" s="66"/>
      <c r="AE62" s="72"/>
      <c r="AH62" s="6" t="s">
        <v>4</v>
      </c>
      <c r="AI62" s="9">
        <v>46085</v>
      </c>
      <c r="AJ62" s="4"/>
      <c r="AK62" s="4"/>
      <c r="AL62" s="4"/>
      <c r="AM62" s="4"/>
      <c r="AN62" s="5"/>
    </row>
    <row r="63" spans="1:40" ht="15.75" thickBot="1" x14ac:dyDescent="0.3">
      <c r="A63" s="78"/>
      <c r="B63" s="27">
        <v>35236</v>
      </c>
      <c r="C63" s="27"/>
      <c r="D63" s="27"/>
      <c r="E63" s="27">
        <v>37115</v>
      </c>
      <c r="F63" s="27">
        <f>SUM(C63-B63)</f>
        <v>-35236</v>
      </c>
      <c r="G63" s="20">
        <f>SUM(E63-D63)</f>
        <v>37115</v>
      </c>
      <c r="H63" s="21">
        <f>SUM(F63:G63)</f>
        <v>1879</v>
      </c>
      <c r="J63" s="7" t="s">
        <v>22</v>
      </c>
      <c r="K63" s="10">
        <v>201.5</v>
      </c>
      <c r="L63" s="11">
        <v>285.51</v>
      </c>
      <c r="M63" s="11">
        <v>242.13</v>
      </c>
      <c r="N63" s="11">
        <v>247.26</v>
      </c>
      <c r="O63" s="11">
        <v>240</v>
      </c>
      <c r="P63" s="11"/>
      <c r="Q63" s="11"/>
      <c r="R63" s="11"/>
      <c r="S63" s="11"/>
      <c r="T63" s="11"/>
      <c r="U63" s="12"/>
      <c r="Y63" s="7" t="s">
        <v>22</v>
      </c>
      <c r="Z63" s="10">
        <v>55</v>
      </c>
      <c r="AA63" s="11">
        <v>55</v>
      </c>
      <c r="AB63" s="11">
        <v>40</v>
      </c>
      <c r="AC63" s="11"/>
      <c r="AD63" s="11"/>
      <c r="AE63" s="12"/>
      <c r="AH63" s="7" t="s">
        <v>22</v>
      </c>
      <c r="AI63" s="10">
        <v>140</v>
      </c>
      <c r="AJ63" s="11"/>
      <c r="AK63" s="11"/>
      <c r="AL63" s="11"/>
      <c r="AM63" s="11"/>
      <c r="AN63" s="12"/>
    </row>
    <row r="64" spans="1:40" x14ac:dyDescent="0.25">
      <c r="J64" s="8"/>
      <c r="T64" s="8" t="s">
        <v>23</v>
      </c>
      <c r="U64" s="13">
        <f>SUM(K63:U63)</f>
        <v>1216.4000000000001</v>
      </c>
      <c r="AD64" s="8" t="s">
        <v>23</v>
      </c>
      <c r="AE64" s="13">
        <f>SUM(Z63:AE63)</f>
        <v>150</v>
      </c>
      <c r="AM64" s="8" t="s">
        <v>23</v>
      </c>
      <c r="AN64" s="13">
        <f>SUM(AI63:AN63)</f>
        <v>140</v>
      </c>
    </row>
    <row r="65" spans="1:40" ht="15.75" thickBot="1" x14ac:dyDescent="0.3">
      <c r="A65" s="19"/>
      <c r="B65" s="74" t="s">
        <v>14</v>
      </c>
      <c r="C65" s="74"/>
      <c r="D65" s="74"/>
      <c r="E65" s="74"/>
      <c r="F65" s="74"/>
      <c r="G65" s="74"/>
      <c r="H65" s="74"/>
      <c r="J65" s="75" t="s">
        <v>14</v>
      </c>
      <c r="K65" s="75"/>
      <c r="L65" s="75"/>
      <c r="M65" s="75"/>
      <c r="N65" s="75"/>
      <c r="O65" s="75"/>
      <c r="P65" s="75"/>
      <c r="Q65" s="75"/>
      <c r="R65" s="75"/>
      <c r="S65" s="75"/>
      <c r="T65" s="75"/>
      <c r="U65" s="75"/>
      <c r="Y65" s="76" t="str">
        <f>J65</f>
        <v>Abril</v>
      </c>
      <c r="Z65" s="76"/>
      <c r="AA65" s="76"/>
      <c r="AB65" s="76"/>
      <c r="AC65" s="76"/>
      <c r="AD65" s="76"/>
      <c r="AE65" s="76"/>
      <c r="AH65" s="77" t="str">
        <f>Y65</f>
        <v>Abril</v>
      </c>
      <c r="AI65" s="77"/>
      <c r="AJ65" s="77"/>
      <c r="AK65" s="77"/>
      <c r="AL65" s="77"/>
      <c r="AM65" s="77"/>
      <c r="AN65" s="77"/>
    </row>
    <row r="66" spans="1:40" ht="15.75" thickBot="1" x14ac:dyDescent="0.3">
      <c r="A66" s="78"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78"/>
      <c r="B67" s="27">
        <v>37115</v>
      </c>
      <c r="C67" s="27"/>
      <c r="D67" s="27"/>
      <c r="E67" s="27">
        <v>39149</v>
      </c>
      <c r="F67" s="27">
        <f>SUM(C67-B67)</f>
        <v>-37115</v>
      </c>
      <c r="G67" s="20">
        <f>SUM(E67-D67)</f>
        <v>39149</v>
      </c>
      <c r="H67" s="21">
        <f>SUM(F67:G67)</f>
        <v>2034</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74" t="s">
        <v>15</v>
      </c>
      <c r="C69" s="74"/>
      <c r="D69" s="74"/>
      <c r="E69" s="74"/>
      <c r="F69" s="74"/>
      <c r="G69" s="74"/>
      <c r="H69" s="74"/>
      <c r="J69" s="75" t="s">
        <v>15</v>
      </c>
      <c r="K69" s="75"/>
      <c r="L69" s="75"/>
      <c r="M69" s="75"/>
      <c r="N69" s="75"/>
      <c r="O69" s="75"/>
      <c r="P69" s="75"/>
      <c r="Q69" s="75"/>
      <c r="R69" s="75"/>
      <c r="S69" s="75"/>
      <c r="T69" s="75"/>
      <c r="U69" s="75"/>
      <c r="Y69" s="76" t="str">
        <f>J69</f>
        <v>Maio</v>
      </c>
      <c r="Z69" s="76"/>
      <c r="AA69" s="76"/>
      <c r="AB69" s="76"/>
      <c r="AC69" s="76"/>
      <c r="AD69" s="76"/>
      <c r="AE69" s="76"/>
      <c r="AH69" s="77" t="str">
        <f>Y69</f>
        <v>Maio</v>
      </c>
      <c r="AI69" s="77"/>
      <c r="AJ69" s="77"/>
      <c r="AK69" s="77"/>
      <c r="AL69" s="77"/>
      <c r="AM69" s="77"/>
      <c r="AN69" s="77"/>
    </row>
    <row r="70" spans="1:40" ht="15.75" thickBot="1" x14ac:dyDescent="0.3">
      <c r="A70" s="78"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78"/>
      <c r="B71" s="26">
        <v>39149</v>
      </c>
      <c r="C71" s="27"/>
      <c r="D71" s="27"/>
      <c r="E71" s="27">
        <v>41043</v>
      </c>
      <c r="F71" s="27">
        <f>SUM(C71-B71)</f>
        <v>-39149</v>
      </c>
      <c r="G71" s="20">
        <f>SUM(E71-D71)</f>
        <v>41043</v>
      </c>
      <c r="H71" s="21">
        <f>SUM(F71:G71)</f>
        <v>1894</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74" t="s">
        <v>24</v>
      </c>
      <c r="C73" s="74"/>
      <c r="D73" s="74"/>
      <c r="E73" s="74"/>
      <c r="F73" s="74"/>
      <c r="G73" s="74"/>
      <c r="H73" s="74"/>
      <c r="J73" s="75" t="s">
        <v>24</v>
      </c>
      <c r="K73" s="75"/>
      <c r="L73" s="75"/>
      <c r="M73" s="75"/>
      <c r="N73" s="75"/>
      <c r="O73" s="75"/>
      <c r="P73" s="75"/>
      <c r="Q73" s="75"/>
      <c r="R73" s="75"/>
      <c r="S73" s="75"/>
      <c r="T73" s="75"/>
      <c r="U73" s="75"/>
      <c r="Y73" s="76" t="str">
        <f>J73</f>
        <v>Junho</v>
      </c>
      <c r="Z73" s="76"/>
      <c r="AA73" s="76"/>
      <c r="AB73" s="76"/>
      <c r="AC73" s="76"/>
      <c r="AD73" s="76"/>
      <c r="AE73" s="76"/>
      <c r="AH73" s="77" t="str">
        <f>Y73</f>
        <v>Junho</v>
      </c>
      <c r="AI73" s="77"/>
      <c r="AJ73" s="77"/>
      <c r="AK73" s="77"/>
      <c r="AL73" s="77"/>
      <c r="AM73" s="77"/>
      <c r="AN73" s="77"/>
    </row>
    <row r="74" spans="1:40" ht="15.75" thickBot="1" x14ac:dyDescent="0.3">
      <c r="A74" s="78"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78"/>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74" t="s">
        <v>16</v>
      </c>
      <c r="C77" s="74"/>
      <c r="D77" s="74"/>
      <c r="E77" s="74"/>
      <c r="F77" s="74"/>
      <c r="G77" s="74"/>
      <c r="H77" s="74"/>
      <c r="J77" s="75" t="s">
        <v>16</v>
      </c>
      <c r="K77" s="75"/>
      <c r="L77" s="75"/>
      <c r="M77" s="75"/>
      <c r="N77" s="75"/>
      <c r="O77" s="75"/>
      <c r="P77" s="75"/>
      <c r="Q77" s="75"/>
      <c r="R77" s="75"/>
      <c r="S77" s="75"/>
      <c r="T77" s="75"/>
      <c r="U77" s="75"/>
      <c r="Y77" s="76" t="str">
        <f>J77</f>
        <v>Julho</v>
      </c>
      <c r="Z77" s="76"/>
      <c r="AA77" s="76"/>
      <c r="AB77" s="76"/>
      <c r="AC77" s="76"/>
      <c r="AD77" s="76"/>
      <c r="AE77" s="76"/>
      <c r="AH77" s="77" t="str">
        <f>Y77</f>
        <v>Julho</v>
      </c>
      <c r="AI77" s="77"/>
      <c r="AJ77" s="77"/>
      <c r="AK77" s="77"/>
      <c r="AL77" s="77"/>
      <c r="AM77" s="77"/>
      <c r="AN77" s="77"/>
    </row>
    <row r="78" spans="1:40" ht="15.75" thickBot="1" x14ac:dyDescent="0.3">
      <c r="A78" s="78"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78"/>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74" t="s">
        <v>17</v>
      </c>
      <c r="C81" s="74"/>
      <c r="D81" s="74"/>
      <c r="E81" s="74"/>
      <c r="F81" s="74"/>
      <c r="G81" s="74"/>
      <c r="H81" s="74"/>
      <c r="J81" s="75" t="s">
        <v>17</v>
      </c>
      <c r="K81" s="75"/>
      <c r="L81" s="75"/>
      <c r="M81" s="75"/>
      <c r="N81" s="75"/>
      <c r="O81" s="75"/>
      <c r="P81" s="75"/>
      <c r="Q81" s="75"/>
      <c r="R81" s="75"/>
      <c r="S81" s="75"/>
      <c r="T81" s="75"/>
      <c r="U81" s="75"/>
      <c r="Y81" s="76" t="str">
        <f>J81</f>
        <v>Agosto</v>
      </c>
      <c r="Z81" s="76"/>
      <c r="AA81" s="76"/>
      <c r="AB81" s="76"/>
      <c r="AC81" s="76"/>
      <c r="AD81" s="76"/>
      <c r="AE81" s="76"/>
      <c r="AH81" s="77" t="str">
        <f>Y81</f>
        <v>Agosto</v>
      </c>
      <c r="AI81" s="77"/>
      <c r="AJ81" s="77"/>
      <c r="AK81" s="77"/>
      <c r="AL81" s="77"/>
      <c r="AM81" s="77"/>
      <c r="AN81" s="77"/>
    </row>
    <row r="82" spans="1:40" ht="15.75" thickBot="1" x14ac:dyDescent="0.3">
      <c r="A82" s="78"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78"/>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74" t="s">
        <v>18</v>
      </c>
      <c r="C85" s="74"/>
      <c r="D85" s="74"/>
      <c r="E85" s="74"/>
      <c r="F85" s="74"/>
      <c r="G85" s="74"/>
      <c r="H85" s="74"/>
      <c r="J85" s="75" t="s">
        <v>18</v>
      </c>
      <c r="K85" s="75"/>
      <c r="L85" s="75"/>
      <c r="M85" s="75"/>
      <c r="N85" s="75"/>
      <c r="O85" s="75"/>
      <c r="P85" s="75"/>
      <c r="Q85" s="75"/>
      <c r="R85" s="75"/>
      <c r="S85" s="75"/>
      <c r="T85" s="75"/>
      <c r="U85" s="75"/>
      <c r="Y85" s="76" t="str">
        <f>J85</f>
        <v>Setembro</v>
      </c>
      <c r="Z85" s="76"/>
      <c r="AA85" s="76"/>
      <c r="AB85" s="76"/>
      <c r="AC85" s="76"/>
      <c r="AD85" s="76"/>
      <c r="AE85" s="76"/>
      <c r="AH85" s="77" t="str">
        <f>Y85</f>
        <v>Setembro</v>
      </c>
      <c r="AI85" s="77"/>
      <c r="AJ85" s="77"/>
      <c r="AK85" s="77"/>
      <c r="AL85" s="77"/>
      <c r="AM85" s="77"/>
      <c r="AN85" s="77"/>
    </row>
    <row r="86" spans="1:40" ht="15.75" thickBot="1" x14ac:dyDescent="0.3">
      <c r="A86" s="78"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78"/>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53:H53"/>
    <mergeCell ref="J53:U53"/>
    <mergeCell ref="Y53:AE53"/>
    <mergeCell ref="AH53:AN53"/>
    <mergeCell ref="A54:A5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ageMargins left="0.511811024" right="0.511811024" top="0.78740157499999996" bottom="0.78740157499999996" header="0.31496062000000002" footer="0.31496062000000002"/>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AN88"/>
  <sheetViews>
    <sheetView showGridLines="0" topLeftCell="A46" workbookViewId="0">
      <selection activeCell="B71" sqref="B7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19.140625" customWidth="1"/>
    <col min="10" max="10" width="13.42578125" bestFit="1" customWidth="1"/>
    <col min="11" max="16" width="10.42578125" bestFit="1" customWidth="1"/>
    <col min="21" max="21" width="12.140625" bestFit="1" customWidth="1"/>
    <col min="24" max="24" width="10.42578125" bestFit="1" customWidth="1"/>
    <col min="26" max="26" width="10.42578125" bestFit="1" customWidth="1"/>
    <col min="29" max="29" width="9.5703125" bestFit="1" customWidth="1"/>
    <col min="32" max="32" width="10.42578125" bestFit="1" customWidth="1"/>
    <col min="34" max="36" width="10.140625" bestFit="1" customWidth="1"/>
  </cols>
  <sheetData>
    <row r="2" spans="1:37" x14ac:dyDescent="0.25">
      <c r="A2" t="s">
        <v>0</v>
      </c>
      <c r="B2" s="79" t="s">
        <v>83</v>
      </c>
      <c r="C2" s="79"/>
      <c r="D2" s="1" t="s">
        <v>1</v>
      </c>
      <c r="E2" s="79" t="s">
        <v>96</v>
      </c>
      <c r="F2" s="79"/>
      <c r="H2" t="s">
        <v>85</v>
      </c>
      <c r="I2" s="68">
        <v>4500</v>
      </c>
    </row>
    <row r="3" spans="1:37" x14ac:dyDescent="0.25">
      <c r="A3" t="s">
        <v>80</v>
      </c>
      <c r="B3" s="79"/>
      <c r="C3" s="79"/>
      <c r="D3" s="1" t="s">
        <v>1</v>
      </c>
      <c r="E3" s="79"/>
      <c r="F3" s="79"/>
      <c r="H3" t="s">
        <v>81</v>
      </c>
      <c r="I3" s="54"/>
    </row>
    <row r="4" spans="1:37" x14ac:dyDescent="0.25">
      <c r="A4" t="s">
        <v>2</v>
      </c>
      <c r="B4" s="80">
        <v>3837</v>
      </c>
      <c r="C4" s="80"/>
      <c r="D4" s="1" t="s">
        <v>29</v>
      </c>
      <c r="E4" s="81">
        <v>45</v>
      </c>
      <c r="F4" s="81"/>
      <c r="H4" t="s">
        <v>70</v>
      </c>
      <c r="I4" s="67">
        <v>45971</v>
      </c>
    </row>
    <row r="7" spans="1:37" ht="21" x14ac:dyDescent="0.35">
      <c r="A7" s="82" t="s">
        <v>28</v>
      </c>
      <c r="B7" s="82"/>
      <c r="C7" s="82"/>
      <c r="D7" s="82"/>
      <c r="E7" s="82"/>
      <c r="F7" s="82"/>
      <c r="G7" s="82"/>
      <c r="H7" s="82"/>
      <c r="J7" s="84" t="s">
        <v>26</v>
      </c>
      <c r="K7" s="84"/>
      <c r="L7" s="84"/>
      <c r="M7" s="84"/>
      <c r="N7" s="84"/>
      <c r="O7" s="84"/>
      <c r="P7" s="84"/>
      <c r="Q7" s="84"/>
      <c r="R7" s="84"/>
      <c r="S7" s="84"/>
      <c r="T7" s="84"/>
      <c r="U7" s="84"/>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4" t="s">
        <v>3</v>
      </c>
      <c r="C9" s="74"/>
      <c r="D9" s="74"/>
      <c r="E9" s="74"/>
      <c r="F9" s="74"/>
      <c r="G9" s="74"/>
      <c r="H9" s="74"/>
      <c r="J9" s="75" t="s">
        <v>3</v>
      </c>
      <c r="K9" s="75"/>
      <c r="L9" s="75"/>
      <c r="M9" s="75"/>
      <c r="N9" s="75"/>
      <c r="O9" s="75"/>
      <c r="P9" s="75"/>
      <c r="Q9" s="75"/>
      <c r="R9" s="75"/>
      <c r="S9" s="75"/>
      <c r="T9" s="75"/>
      <c r="U9" s="75"/>
      <c r="W9" s="76" t="s">
        <v>3</v>
      </c>
      <c r="X9" s="76"/>
      <c r="Y9" s="76"/>
      <c r="Z9" s="76"/>
      <c r="AA9" s="76"/>
      <c r="AB9" s="76"/>
      <c r="AC9" s="76"/>
      <c r="AE9" s="77" t="s">
        <v>3</v>
      </c>
      <c r="AF9" s="77"/>
      <c r="AG9" s="77"/>
      <c r="AH9" s="77"/>
      <c r="AI9" s="77"/>
      <c r="AJ9" s="77"/>
      <c r="AK9" s="77"/>
    </row>
    <row r="10" spans="1:37"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4" t="s">
        <v>13</v>
      </c>
      <c r="C13" s="74"/>
      <c r="D13" s="74"/>
      <c r="E13" s="74"/>
      <c r="F13" s="74"/>
      <c r="G13" s="74"/>
      <c r="H13" s="74"/>
      <c r="J13" s="75" t="s">
        <v>13</v>
      </c>
      <c r="K13" s="75"/>
      <c r="L13" s="75"/>
      <c r="M13" s="75"/>
      <c r="N13" s="75"/>
      <c r="O13" s="75"/>
      <c r="P13" s="75"/>
      <c r="Q13" s="75"/>
      <c r="R13" s="75"/>
      <c r="S13" s="75"/>
      <c r="T13" s="75"/>
      <c r="U13" s="75"/>
      <c r="W13" s="76" t="str">
        <f>J13</f>
        <v>Março</v>
      </c>
      <c r="X13" s="76"/>
      <c r="Y13" s="76"/>
      <c r="Z13" s="76"/>
      <c r="AA13" s="76"/>
      <c r="AB13" s="76"/>
      <c r="AC13" s="76"/>
      <c r="AE13" s="77" t="str">
        <f>W13</f>
        <v>Março</v>
      </c>
      <c r="AF13" s="77"/>
      <c r="AG13" s="77"/>
      <c r="AH13" s="77"/>
      <c r="AI13" s="77"/>
      <c r="AJ13" s="77"/>
      <c r="AK13" s="77"/>
    </row>
    <row r="14" spans="1:37" ht="15.75" thickBot="1" x14ac:dyDescent="0.3">
      <c r="A14" s="78"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4" t="s">
        <v>14</v>
      </c>
      <c r="C17" s="74"/>
      <c r="D17" s="74"/>
      <c r="E17" s="74"/>
      <c r="F17" s="74"/>
      <c r="G17" s="74"/>
      <c r="H17" s="74"/>
      <c r="J17" s="75" t="s">
        <v>14</v>
      </c>
      <c r="K17" s="75"/>
      <c r="L17" s="75"/>
      <c r="M17" s="75"/>
      <c r="N17" s="75"/>
      <c r="O17" s="75"/>
      <c r="P17" s="75"/>
      <c r="Q17" s="75"/>
      <c r="R17" s="75"/>
      <c r="S17" s="75"/>
      <c r="T17" s="75"/>
      <c r="U17" s="75"/>
      <c r="W17" s="76" t="str">
        <f>J17</f>
        <v>Abril</v>
      </c>
      <c r="X17" s="76"/>
      <c r="Y17" s="76"/>
      <c r="Z17" s="76"/>
      <c r="AA17" s="76"/>
      <c r="AB17" s="76"/>
      <c r="AC17" s="76"/>
      <c r="AE17" s="77" t="str">
        <f>W17</f>
        <v>Abril</v>
      </c>
      <c r="AF17" s="77"/>
      <c r="AG17" s="77"/>
      <c r="AH17" s="77"/>
      <c r="AI17" s="77"/>
      <c r="AJ17" s="77"/>
      <c r="AK17" s="77"/>
    </row>
    <row r="18" spans="1:37"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4" t="s">
        <v>15</v>
      </c>
      <c r="C21" s="74"/>
      <c r="D21" s="74"/>
      <c r="E21" s="74"/>
      <c r="F21" s="74"/>
      <c r="G21" s="74"/>
      <c r="H21" s="74"/>
      <c r="J21" s="75" t="s">
        <v>15</v>
      </c>
      <c r="K21" s="75"/>
      <c r="L21" s="75"/>
      <c r="M21" s="75"/>
      <c r="N21" s="75"/>
      <c r="O21" s="75"/>
      <c r="P21" s="75"/>
      <c r="Q21" s="75"/>
      <c r="R21" s="75"/>
      <c r="S21" s="75"/>
      <c r="T21" s="75"/>
      <c r="U21" s="75"/>
      <c r="W21" s="76" t="str">
        <f>J21</f>
        <v>Maio</v>
      </c>
      <c r="X21" s="76"/>
      <c r="Y21" s="76"/>
      <c r="Z21" s="76"/>
      <c r="AA21" s="76"/>
      <c r="AB21" s="76"/>
      <c r="AC21" s="76"/>
      <c r="AE21" s="77" t="str">
        <f>W21</f>
        <v>Maio</v>
      </c>
      <c r="AF21" s="77"/>
      <c r="AG21" s="77"/>
      <c r="AH21" s="77"/>
      <c r="AI21" s="77"/>
      <c r="AJ21" s="77"/>
      <c r="AK21" s="77"/>
    </row>
    <row r="22" spans="1:37"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4" t="s">
        <v>24</v>
      </c>
      <c r="C25" s="74"/>
      <c r="D25" s="74"/>
      <c r="E25" s="74"/>
      <c r="F25" s="74"/>
      <c r="G25" s="74"/>
      <c r="H25" s="74"/>
      <c r="J25" s="75" t="s">
        <v>24</v>
      </c>
      <c r="K25" s="75"/>
      <c r="L25" s="75"/>
      <c r="M25" s="75"/>
      <c r="N25" s="75"/>
      <c r="O25" s="75"/>
      <c r="P25" s="75"/>
      <c r="Q25" s="75"/>
      <c r="R25" s="75"/>
      <c r="S25" s="75"/>
      <c r="T25" s="75"/>
      <c r="U25" s="75"/>
      <c r="W25" s="76" t="str">
        <f>J25</f>
        <v>Junho</v>
      </c>
      <c r="X25" s="76"/>
      <c r="Y25" s="76"/>
      <c r="Z25" s="76"/>
      <c r="AA25" s="76"/>
      <c r="AB25" s="76"/>
      <c r="AC25" s="76"/>
      <c r="AE25" s="77" t="str">
        <f>W25</f>
        <v>Junho</v>
      </c>
      <c r="AF25" s="77"/>
      <c r="AG25" s="77"/>
      <c r="AH25" s="77"/>
      <c r="AI25" s="77"/>
      <c r="AJ25" s="77"/>
      <c r="AK25" s="77"/>
    </row>
    <row r="26" spans="1:37"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4" t="s">
        <v>16</v>
      </c>
      <c r="C29" s="74"/>
      <c r="D29" s="74"/>
      <c r="E29" s="74"/>
      <c r="F29" s="74"/>
      <c r="G29" s="74"/>
      <c r="H29" s="74"/>
      <c r="J29" s="75" t="s">
        <v>16</v>
      </c>
      <c r="K29" s="75"/>
      <c r="L29" s="75"/>
      <c r="M29" s="75"/>
      <c r="N29" s="75"/>
      <c r="O29" s="75"/>
      <c r="P29" s="75"/>
      <c r="Q29" s="75"/>
      <c r="R29" s="75"/>
      <c r="S29" s="75"/>
      <c r="T29" s="75"/>
      <c r="U29" s="75"/>
      <c r="W29" s="76" t="str">
        <f>J29</f>
        <v>Julho</v>
      </c>
      <c r="X29" s="76"/>
      <c r="Y29" s="76"/>
      <c r="Z29" s="76"/>
      <c r="AA29" s="76"/>
      <c r="AB29" s="76"/>
      <c r="AC29" s="76"/>
      <c r="AE29" s="77" t="str">
        <f>W29</f>
        <v>Julho</v>
      </c>
      <c r="AF29" s="77"/>
      <c r="AG29" s="77"/>
      <c r="AH29" s="77"/>
      <c r="AI29" s="77"/>
      <c r="AJ29" s="77"/>
      <c r="AK29" s="77"/>
    </row>
    <row r="30" spans="1:37"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4" t="s">
        <v>17</v>
      </c>
      <c r="C33" s="74"/>
      <c r="D33" s="74"/>
      <c r="E33" s="74"/>
      <c r="F33" s="74"/>
      <c r="G33" s="74"/>
      <c r="H33" s="74"/>
      <c r="J33" s="75" t="s">
        <v>17</v>
      </c>
      <c r="K33" s="75"/>
      <c r="L33" s="75"/>
      <c r="M33" s="75"/>
      <c r="N33" s="75"/>
      <c r="O33" s="75"/>
      <c r="P33" s="75"/>
      <c r="Q33" s="75"/>
      <c r="R33" s="75"/>
      <c r="S33" s="75"/>
      <c r="T33" s="75"/>
      <c r="U33" s="75"/>
      <c r="W33" s="76" t="str">
        <f>J33</f>
        <v>Agosto</v>
      </c>
      <c r="X33" s="76"/>
      <c r="Y33" s="76"/>
      <c r="Z33" s="76"/>
      <c r="AA33" s="76"/>
      <c r="AB33" s="76"/>
      <c r="AC33" s="76"/>
      <c r="AE33" s="77" t="str">
        <f>W33</f>
        <v>Agosto</v>
      </c>
      <c r="AF33" s="77"/>
      <c r="AG33" s="77"/>
      <c r="AH33" s="77"/>
      <c r="AI33" s="77"/>
      <c r="AJ33" s="77"/>
      <c r="AK33" s="77"/>
    </row>
    <row r="34" spans="1:37"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4" t="s">
        <v>18</v>
      </c>
      <c r="C37" s="74"/>
      <c r="D37" s="74"/>
      <c r="E37" s="74"/>
      <c r="F37" s="74"/>
      <c r="G37" s="74"/>
      <c r="H37" s="74"/>
      <c r="J37" s="75" t="s">
        <v>18</v>
      </c>
      <c r="K37" s="75"/>
      <c r="L37" s="75"/>
      <c r="M37" s="75"/>
      <c r="N37" s="75"/>
      <c r="O37" s="75"/>
      <c r="P37" s="75"/>
      <c r="Q37" s="75"/>
      <c r="R37" s="75"/>
      <c r="S37" s="75"/>
      <c r="T37" s="75"/>
      <c r="U37" s="75"/>
      <c r="W37" s="76" t="str">
        <f>J37</f>
        <v>Setembro</v>
      </c>
      <c r="X37" s="76"/>
      <c r="Y37" s="76"/>
      <c r="Z37" s="76"/>
      <c r="AA37" s="76"/>
      <c r="AB37" s="76"/>
      <c r="AC37" s="76"/>
      <c r="AE37" s="77" t="str">
        <f>W37</f>
        <v>Setembro</v>
      </c>
      <c r="AF37" s="77"/>
      <c r="AG37" s="77"/>
      <c r="AH37" s="77"/>
      <c r="AI37" s="77"/>
      <c r="AJ37" s="77"/>
      <c r="AK37" s="77"/>
    </row>
    <row r="38" spans="1:37"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0</v>
      </c>
      <c r="AB40" s="8" t="s">
        <v>23</v>
      </c>
      <c r="AC40" s="13">
        <f>SUM(X39:AC39)</f>
        <v>0</v>
      </c>
      <c r="AJ40" s="8" t="s">
        <v>23</v>
      </c>
      <c r="AK40" s="13">
        <f>SUM(AF39:AK39)</f>
        <v>0</v>
      </c>
    </row>
    <row r="41" spans="1:37" ht="15.75" thickBot="1" x14ac:dyDescent="0.3">
      <c r="A41" s="19"/>
      <c r="B41" s="74" t="s">
        <v>19</v>
      </c>
      <c r="C41" s="74"/>
      <c r="D41" s="74"/>
      <c r="E41" s="74"/>
      <c r="F41" s="74"/>
      <c r="G41" s="74"/>
      <c r="H41" s="74"/>
      <c r="J41" s="75" t="s">
        <v>19</v>
      </c>
      <c r="K41" s="75"/>
      <c r="L41" s="75"/>
      <c r="M41" s="75"/>
      <c r="N41" s="75"/>
      <c r="O41" s="75"/>
      <c r="P41" s="75"/>
      <c r="Q41" s="75"/>
      <c r="R41" s="75"/>
      <c r="S41" s="75"/>
      <c r="T41" s="75"/>
      <c r="U41" s="75"/>
      <c r="W41" s="76" t="str">
        <f>J41</f>
        <v>Outubro</v>
      </c>
      <c r="X41" s="76"/>
      <c r="Y41" s="76"/>
      <c r="Z41" s="76"/>
      <c r="AA41" s="76"/>
      <c r="AB41" s="76"/>
      <c r="AC41" s="76"/>
      <c r="AE41" s="77" t="str">
        <f>W41</f>
        <v>Outubro</v>
      </c>
      <c r="AF41" s="77"/>
      <c r="AG41" s="77"/>
      <c r="AH41" s="77"/>
      <c r="AI41" s="77"/>
      <c r="AJ41" s="77"/>
      <c r="AK41" s="77"/>
    </row>
    <row r="42" spans="1:37"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W42" s="6" t="s">
        <v>4</v>
      </c>
      <c r="X42" s="9"/>
      <c r="Y42" s="4"/>
      <c r="Z42" s="4"/>
      <c r="AA42" s="4"/>
      <c r="AB42" s="4"/>
      <c r="AC42" s="5"/>
      <c r="AE42" s="6" t="s">
        <v>4</v>
      </c>
      <c r="AF42" s="9"/>
      <c r="AG42" s="4"/>
      <c r="AH42" s="4"/>
      <c r="AI42" s="4"/>
      <c r="AJ42" s="4"/>
      <c r="AK42" s="5"/>
    </row>
    <row r="43" spans="1:37"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W43" s="7" t="s">
        <v>22</v>
      </c>
      <c r="X43" s="10"/>
      <c r="Y43" s="11"/>
      <c r="Z43" s="11"/>
      <c r="AA43" s="11"/>
      <c r="AB43" s="11"/>
      <c r="AC43" s="12"/>
      <c r="AE43" s="7" t="s">
        <v>22</v>
      </c>
      <c r="AF43" s="10"/>
      <c r="AG43" s="11"/>
      <c r="AH43" s="11"/>
      <c r="AI43" s="11"/>
      <c r="AJ43" s="11"/>
      <c r="AK43" s="12"/>
    </row>
    <row r="44" spans="1:37" x14ac:dyDescent="0.25">
      <c r="J44" s="8"/>
      <c r="T44" s="8" t="s">
        <v>23</v>
      </c>
      <c r="U44" s="13">
        <f>SUM(K43:U43)</f>
        <v>0</v>
      </c>
      <c r="AB44" s="8" t="s">
        <v>23</v>
      </c>
      <c r="AC44" s="13">
        <f>SUM(X43:AC43)</f>
        <v>0</v>
      </c>
      <c r="AJ44" s="8" t="s">
        <v>23</v>
      </c>
      <c r="AK44" s="13">
        <f>SUM(AF43:AK43)</f>
        <v>0</v>
      </c>
    </row>
    <row r="45" spans="1:37" ht="15.75" thickBot="1" x14ac:dyDescent="0.3">
      <c r="A45" s="19"/>
      <c r="B45" s="74" t="s">
        <v>20</v>
      </c>
      <c r="C45" s="74"/>
      <c r="D45" s="74"/>
      <c r="E45" s="74"/>
      <c r="F45" s="74"/>
      <c r="G45" s="74"/>
      <c r="H45" s="74"/>
      <c r="J45" s="75" t="s">
        <v>20</v>
      </c>
      <c r="K45" s="75"/>
      <c r="L45" s="75"/>
      <c r="M45" s="75"/>
      <c r="N45" s="75"/>
      <c r="O45" s="75"/>
      <c r="P45" s="75"/>
      <c r="Q45" s="75"/>
      <c r="R45" s="75"/>
      <c r="S45" s="75"/>
      <c r="T45" s="75"/>
      <c r="U45" s="75"/>
      <c r="W45" s="76" t="str">
        <f>J45</f>
        <v>Novembro</v>
      </c>
      <c r="X45" s="76"/>
      <c r="Y45" s="76"/>
      <c r="Z45" s="76"/>
      <c r="AA45" s="76"/>
      <c r="AB45" s="76"/>
      <c r="AC45" s="76"/>
      <c r="AE45" s="77" t="str">
        <f>W45</f>
        <v>Novembro</v>
      </c>
      <c r="AF45" s="77"/>
      <c r="AG45" s="77"/>
      <c r="AH45" s="77"/>
      <c r="AI45" s="77"/>
      <c r="AJ45" s="77"/>
      <c r="AK45" s="77"/>
    </row>
    <row r="46" spans="1:37" ht="15.75" thickBot="1" x14ac:dyDescent="0.3">
      <c r="A46" s="78" t="s">
        <v>5</v>
      </c>
      <c r="B46" s="34" t="s">
        <v>6</v>
      </c>
      <c r="C46" s="22" t="s">
        <v>7</v>
      </c>
      <c r="D46" s="33" t="s">
        <v>8</v>
      </c>
      <c r="E46" s="22" t="s">
        <v>9</v>
      </c>
      <c r="F46" s="24" t="s">
        <v>10</v>
      </c>
      <c r="G46" s="23" t="s">
        <v>11</v>
      </c>
      <c r="H46" s="25" t="s">
        <v>12</v>
      </c>
      <c r="J46" s="6" t="s">
        <v>4</v>
      </c>
      <c r="K46" s="9">
        <v>45975</v>
      </c>
      <c r="L46" s="66">
        <v>45979</v>
      </c>
      <c r="M46" s="66">
        <v>45982</v>
      </c>
      <c r="N46" s="66">
        <v>45989</v>
      </c>
      <c r="O46" s="4"/>
      <c r="P46" s="4"/>
      <c r="Q46" s="4"/>
      <c r="R46" s="4"/>
      <c r="S46" s="4"/>
      <c r="T46" s="4"/>
      <c r="U46" s="5"/>
      <c r="W46" s="6" t="s">
        <v>4</v>
      </c>
      <c r="X46" s="9"/>
      <c r="Y46" s="4"/>
      <c r="Z46" s="4"/>
      <c r="AA46" s="4"/>
      <c r="AB46" s="4"/>
      <c r="AC46" s="5"/>
      <c r="AE46" s="6" t="s">
        <v>4</v>
      </c>
      <c r="AF46" s="9"/>
      <c r="AG46" s="4"/>
      <c r="AH46" s="4"/>
      <c r="AI46" s="4"/>
      <c r="AJ46" s="4"/>
      <c r="AK46" s="5"/>
    </row>
    <row r="47" spans="1:37" ht="15.75" thickBot="1" x14ac:dyDescent="0.3">
      <c r="A47" s="78"/>
      <c r="B47" s="26">
        <v>38977</v>
      </c>
      <c r="C47" s="27">
        <v>39319</v>
      </c>
      <c r="D47" s="27">
        <v>39319</v>
      </c>
      <c r="E47" s="27">
        <v>40676</v>
      </c>
      <c r="F47" s="27">
        <f>SUM(C47-B47)</f>
        <v>342</v>
      </c>
      <c r="G47" s="20">
        <f>SUM(E47-D47)</f>
        <v>1357</v>
      </c>
      <c r="H47" s="21">
        <f>SUM(F47:G47)</f>
        <v>1699</v>
      </c>
      <c r="J47" s="7" t="s">
        <v>22</v>
      </c>
      <c r="K47" s="10">
        <v>234.99</v>
      </c>
      <c r="L47" s="11">
        <v>185.05</v>
      </c>
      <c r="M47" s="11">
        <v>192.28</v>
      </c>
      <c r="N47" s="11">
        <v>198.59</v>
      </c>
      <c r="O47" s="11"/>
      <c r="P47" s="11"/>
      <c r="Q47" s="11"/>
      <c r="R47" s="11"/>
      <c r="S47" s="11"/>
      <c r="T47" s="11"/>
      <c r="U47" s="12"/>
      <c r="W47" s="7" t="s">
        <v>22</v>
      </c>
      <c r="X47" s="10"/>
      <c r="Y47" s="11"/>
      <c r="Z47" s="11"/>
      <c r="AA47" s="11"/>
      <c r="AB47" s="11"/>
      <c r="AC47" s="12"/>
      <c r="AE47" s="7" t="s">
        <v>22</v>
      </c>
      <c r="AF47" s="10"/>
      <c r="AG47" s="11"/>
      <c r="AH47" s="11"/>
      <c r="AI47" s="11"/>
      <c r="AJ47" s="11"/>
      <c r="AK47" s="12"/>
    </row>
    <row r="48" spans="1:37" x14ac:dyDescent="0.25">
      <c r="J48" s="8"/>
      <c r="T48" s="8" t="s">
        <v>23</v>
      </c>
      <c r="U48" s="13">
        <f>SUM(K47:U47)</f>
        <v>810.91000000000008</v>
      </c>
      <c r="AB48" s="8" t="s">
        <v>23</v>
      </c>
      <c r="AC48" s="13">
        <f>SUM(X47:AC47)</f>
        <v>0</v>
      </c>
      <c r="AJ48" s="8" t="s">
        <v>23</v>
      </c>
      <c r="AK48" s="13">
        <f>SUM(AF47:AK47)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W49" s="76" t="str">
        <f>J49</f>
        <v>Dezembro</v>
      </c>
      <c r="X49" s="76"/>
      <c r="Y49" s="76"/>
      <c r="Z49" s="76"/>
      <c r="AA49" s="76"/>
      <c r="AB49" s="76"/>
      <c r="AC49" s="76"/>
      <c r="AE49" s="77" t="str">
        <f>W49</f>
        <v>Dezembro</v>
      </c>
      <c r="AF49" s="77"/>
      <c r="AG49" s="77"/>
      <c r="AH49" s="77"/>
      <c r="AI49" s="77"/>
      <c r="AJ49" s="77"/>
      <c r="AK49" s="77"/>
    </row>
    <row r="50" spans="1:40" ht="15.75" thickBot="1" x14ac:dyDescent="0.3">
      <c r="A50" s="78" t="s">
        <v>5</v>
      </c>
      <c r="B50" s="34" t="s">
        <v>6</v>
      </c>
      <c r="C50" s="22" t="s">
        <v>7</v>
      </c>
      <c r="D50" s="33" t="s">
        <v>8</v>
      </c>
      <c r="E50" s="22" t="s">
        <v>9</v>
      </c>
      <c r="F50" s="24" t="s">
        <v>10</v>
      </c>
      <c r="G50" s="23" t="s">
        <v>11</v>
      </c>
      <c r="H50" s="25" t="s">
        <v>12</v>
      </c>
      <c r="J50" s="6" t="s">
        <v>4</v>
      </c>
      <c r="K50" s="9">
        <v>45993</v>
      </c>
      <c r="L50" s="66">
        <v>46000</v>
      </c>
      <c r="M50" s="66">
        <v>46003</v>
      </c>
      <c r="N50" s="66">
        <v>46014</v>
      </c>
      <c r="O50" s="66">
        <v>46021</v>
      </c>
      <c r="P50" s="4"/>
      <c r="Q50" s="4"/>
      <c r="R50" s="4"/>
      <c r="S50" s="4"/>
      <c r="T50" s="4"/>
      <c r="U50" s="5"/>
      <c r="W50" s="6" t="s">
        <v>4</v>
      </c>
      <c r="X50" s="9">
        <v>45999</v>
      </c>
      <c r="Y50" s="4"/>
      <c r="Z50" s="4"/>
      <c r="AA50" s="4"/>
      <c r="AB50" s="4"/>
      <c r="AC50" s="5"/>
      <c r="AE50" s="6" t="s">
        <v>4</v>
      </c>
      <c r="AF50" s="9">
        <v>45993</v>
      </c>
      <c r="AG50" s="4"/>
      <c r="AH50" s="4"/>
      <c r="AI50" s="4"/>
      <c r="AJ50" s="4"/>
      <c r="AK50" s="5"/>
    </row>
    <row r="51" spans="1:40" ht="15.75" thickBot="1" x14ac:dyDescent="0.3">
      <c r="A51" s="78"/>
      <c r="B51" s="27">
        <v>40676</v>
      </c>
      <c r="C51" s="27">
        <v>41767</v>
      </c>
      <c r="D51" s="27">
        <v>41767</v>
      </c>
      <c r="E51" s="27">
        <v>42682</v>
      </c>
      <c r="F51" s="27">
        <f>SUM(C51-B51)</f>
        <v>1091</v>
      </c>
      <c r="G51" s="20">
        <f>SUM(E51-D51)</f>
        <v>915</v>
      </c>
      <c r="H51" s="21">
        <f>SUM(F51:G51)</f>
        <v>2006</v>
      </c>
      <c r="J51" s="7" t="s">
        <v>22</v>
      </c>
      <c r="K51" s="10">
        <v>239.99</v>
      </c>
      <c r="L51" s="11">
        <v>206.46</v>
      </c>
      <c r="M51" s="11">
        <v>234.36</v>
      </c>
      <c r="N51" s="11">
        <v>238.37</v>
      </c>
      <c r="O51" s="11">
        <v>218.95</v>
      </c>
      <c r="P51" s="11"/>
      <c r="Q51" s="11"/>
      <c r="R51" s="11"/>
      <c r="S51" s="11"/>
      <c r="T51" s="11"/>
      <c r="U51" s="12"/>
      <c r="W51" s="7" t="s">
        <v>22</v>
      </c>
      <c r="X51" s="10">
        <v>60</v>
      </c>
      <c r="Y51" s="11"/>
      <c r="Z51" s="11"/>
      <c r="AA51" s="11"/>
      <c r="AB51" s="11"/>
      <c r="AC51" s="12"/>
      <c r="AE51" s="7" t="s">
        <v>22</v>
      </c>
      <c r="AF51" s="10">
        <v>70</v>
      </c>
      <c r="AG51" s="11"/>
      <c r="AH51" s="11"/>
      <c r="AI51" s="11"/>
      <c r="AJ51" s="11"/>
      <c r="AK51" s="12"/>
    </row>
    <row r="52" spans="1:40" x14ac:dyDescent="0.25">
      <c r="J52" s="8"/>
      <c r="T52" s="8" t="s">
        <v>23</v>
      </c>
      <c r="U52" s="13">
        <f>SUM(K51:U51)</f>
        <v>1138.1300000000001</v>
      </c>
      <c r="AB52" s="8" t="s">
        <v>23</v>
      </c>
      <c r="AC52" s="13">
        <f>SUM(X51:AC51)</f>
        <v>60</v>
      </c>
      <c r="AJ52" s="8" t="s">
        <v>23</v>
      </c>
      <c r="AK52" s="13">
        <f>SUM(AF51:AK51)</f>
        <v>70</v>
      </c>
    </row>
    <row r="53" spans="1:40" ht="15.75" thickBot="1" x14ac:dyDescent="0.3">
      <c r="A53" s="19">
        <v>2026</v>
      </c>
      <c r="B53" s="74" t="s">
        <v>100</v>
      </c>
      <c r="C53" s="74"/>
      <c r="D53" s="74"/>
      <c r="E53" s="74"/>
      <c r="F53" s="74"/>
      <c r="G53" s="74"/>
      <c r="H53" s="74"/>
      <c r="J53" s="75" t="s">
        <v>100</v>
      </c>
      <c r="K53" s="75"/>
      <c r="L53" s="75"/>
      <c r="M53" s="75"/>
      <c r="N53" s="75"/>
      <c r="O53" s="75"/>
      <c r="P53" s="75"/>
      <c r="Q53" s="75"/>
      <c r="R53" s="75"/>
      <c r="S53" s="75"/>
      <c r="T53" s="75"/>
      <c r="U53" s="75"/>
      <c r="Y53" s="76" t="s">
        <v>100</v>
      </c>
      <c r="Z53" s="76"/>
      <c r="AA53" s="76"/>
      <c r="AB53" s="76"/>
      <c r="AC53" s="76"/>
      <c r="AD53" s="76"/>
      <c r="AE53" s="76"/>
      <c r="AH53" s="77" t="s">
        <v>100</v>
      </c>
      <c r="AI53" s="77"/>
      <c r="AJ53" s="77"/>
      <c r="AK53" s="77"/>
      <c r="AL53" s="77"/>
      <c r="AM53" s="77"/>
      <c r="AN53" s="77"/>
    </row>
    <row r="54" spans="1:40" ht="15.75" thickBot="1" x14ac:dyDescent="0.3">
      <c r="A54" s="78" t="s">
        <v>5</v>
      </c>
      <c r="B54" s="34" t="s">
        <v>6</v>
      </c>
      <c r="C54" s="22" t="s">
        <v>7</v>
      </c>
      <c r="D54" s="33" t="s">
        <v>8</v>
      </c>
      <c r="E54" s="22" t="s">
        <v>9</v>
      </c>
      <c r="F54" s="24" t="s">
        <v>10</v>
      </c>
      <c r="G54" s="23" t="s">
        <v>11</v>
      </c>
      <c r="H54" s="25" t="s">
        <v>12</v>
      </c>
      <c r="J54" s="28" t="s">
        <v>4</v>
      </c>
      <c r="K54" s="9">
        <v>46030</v>
      </c>
      <c r="L54" s="66">
        <v>46035</v>
      </c>
      <c r="M54" s="66">
        <v>46043</v>
      </c>
      <c r="N54" s="66">
        <v>46045</v>
      </c>
      <c r="O54" s="66">
        <v>46049</v>
      </c>
      <c r="P54" s="66"/>
      <c r="Q54" s="66"/>
      <c r="R54" s="66"/>
      <c r="S54" s="66"/>
      <c r="T54" s="4"/>
      <c r="U54" s="5"/>
      <c r="Y54" s="6" t="s">
        <v>4</v>
      </c>
      <c r="Z54" s="9"/>
      <c r="AA54" s="4"/>
      <c r="AB54" s="4"/>
      <c r="AC54" s="4"/>
      <c r="AD54" s="4"/>
      <c r="AE54" s="5"/>
      <c r="AH54" s="6" t="s">
        <v>4</v>
      </c>
      <c r="AI54" s="9"/>
      <c r="AJ54" s="4"/>
      <c r="AK54" s="4"/>
      <c r="AL54" s="4"/>
      <c r="AM54" s="4"/>
      <c r="AN54" s="5"/>
    </row>
    <row r="55" spans="1:40" ht="15.75" thickBot="1" x14ac:dyDescent="0.3">
      <c r="A55" s="78"/>
      <c r="B55" s="27">
        <v>42682</v>
      </c>
      <c r="C55" s="27"/>
      <c r="D55" s="27"/>
      <c r="E55" s="27">
        <v>44737</v>
      </c>
      <c r="F55" s="27">
        <f>SUM(C55-B55)</f>
        <v>-42682</v>
      </c>
      <c r="G55" s="20">
        <f>SUM(E55-D55)</f>
        <v>44737</v>
      </c>
      <c r="H55" s="21">
        <f>SUM(F55:G55)</f>
        <v>2055</v>
      </c>
      <c r="J55" s="29" t="s">
        <v>22</v>
      </c>
      <c r="K55" s="10">
        <v>265</v>
      </c>
      <c r="L55" s="11">
        <v>278.27999999999997</v>
      </c>
      <c r="M55" s="11">
        <v>274</v>
      </c>
      <c r="N55" s="11">
        <v>231.18</v>
      </c>
      <c r="O55" s="11">
        <v>245.05</v>
      </c>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1293.51</v>
      </c>
      <c r="AD56" s="8" t="s">
        <v>23</v>
      </c>
      <c r="AE56" s="13">
        <f>SUM(Z55:AE55)</f>
        <v>0</v>
      </c>
      <c r="AM56" s="8" t="s">
        <v>23</v>
      </c>
      <c r="AN56" s="13">
        <f>SUM(AI55:AN55)</f>
        <v>0</v>
      </c>
    </row>
    <row r="57" spans="1:40" ht="15.75" thickBot="1" x14ac:dyDescent="0.3">
      <c r="A57" s="19"/>
      <c r="B57" s="74" t="s">
        <v>3</v>
      </c>
      <c r="C57" s="74"/>
      <c r="D57" s="74"/>
      <c r="E57" s="74"/>
      <c r="F57" s="74"/>
      <c r="G57" s="74"/>
      <c r="H57" s="74"/>
      <c r="J57" s="75" t="s">
        <v>3</v>
      </c>
      <c r="K57" s="75"/>
      <c r="L57" s="75"/>
      <c r="M57" s="75"/>
      <c r="N57" s="75"/>
      <c r="O57" s="75"/>
      <c r="P57" s="75"/>
      <c r="Q57" s="75"/>
      <c r="R57" s="75"/>
      <c r="S57" s="75"/>
      <c r="T57" s="75"/>
      <c r="U57" s="75"/>
      <c r="Y57" s="76" t="s">
        <v>3</v>
      </c>
      <c r="Z57" s="76"/>
      <c r="AA57" s="76"/>
      <c r="AB57" s="76"/>
      <c r="AC57" s="76"/>
      <c r="AD57" s="76"/>
      <c r="AE57" s="76"/>
      <c r="AH57" s="77" t="s">
        <v>3</v>
      </c>
      <c r="AI57" s="77"/>
      <c r="AJ57" s="77"/>
      <c r="AK57" s="77"/>
      <c r="AL57" s="77"/>
      <c r="AM57" s="77"/>
      <c r="AN57" s="77"/>
    </row>
    <row r="58" spans="1:40" ht="15.75" thickBot="1" x14ac:dyDescent="0.3">
      <c r="A58" s="78" t="s">
        <v>5</v>
      </c>
      <c r="B58" s="34" t="s">
        <v>6</v>
      </c>
      <c r="C58" s="22" t="s">
        <v>7</v>
      </c>
      <c r="D58" s="33" t="s">
        <v>8</v>
      </c>
      <c r="E58" s="22" t="s">
        <v>9</v>
      </c>
      <c r="F58" s="24" t="s">
        <v>10</v>
      </c>
      <c r="G58" s="23" t="s">
        <v>11</v>
      </c>
      <c r="H58" s="25" t="s">
        <v>12</v>
      </c>
      <c r="J58" s="28" t="s">
        <v>4</v>
      </c>
      <c r="K58" s="9">
        <v>46056</v>
      </c>
      <c r="L58" s="66">
        <v>46063</v>
      </c>
      <c r="M58" s="66">
        <v>46071</v>
      </c>
      <c r="N58" s="66">
        <v>46073</v>
      </c>
      <c r="O58" s="66">
        <v>46077</v>
      </c>
      <c r="P58" s="66"/>
      <c r="Q58" s="66"/>
      <c r="R58" s="66"/>
      <c r="S58" s="66"/>
      <c r="T58" s="4"/>
      <c r="U58" s="5"/>
      <c r="Y58" s="6" t="s">
        <v>4</v>
      </c>
      <c r="Z58" s="9"/>
      <c r="AA58" s="4"/>
      <c r="AB58" s="4"/>
      <c r="AC58" s="4"/>
      <c r="AD58" s="4"/>
      <c r="AE58" s="5"/>
      <c r="AH58" s="6" t="s">
        <v>4</v>
      </c>
      <c r="AI58" s="9"/>
      <c r="AJ58" s="4"/>
      <c r="AK58" s="4"/>
      <c r="AL58" s="4"/>
      <c r="AM58" s="4"/>
      <c r="AN58" s="5"/>
    </row>
    <row r="59" spans="1:40" ht="15.75" thickBot="1" x14ac:dyDescent="0.3">
      <c r="A59" s="78"/>
      <c r="B59" s="27">
        <v>44737</v>
      </c>
      <c r="C59" s="27"/>
      <c r="D59" s="27"/>
      <c r="E59" s="27">
        <v>46893</v>
      </c>
      <c r="F59" s="27">
        <f>SUM(C59-B59)</f>
        <v>-44737</v>
      </c>
      <c r="G59" s="20">
        <f>SUM(E59-D59)</f>
        <v>46893</v>
      </c>
      <c r="H59" s="21">
        <f>SUM(F59:G59)</f>
        <v>2156</v>
      </c>
      <c r="J59" s="29" t="s">
        <v>22</v>
      </c>
      <c r="K59" s="10">
        <v>262.05</v>
      </c>
      <c r="L59" s="11">
        <v>271.91000000000003</v>
      </c>
      <c r="M59" s="11">
        <v>255.92</v>
      </c>
      <c r="N59" s="11">
        <v>255.64</v>
      </c>
      <c r="O59" s="11">
        <v>250.02</v>
      </c>
      <c r="P59" s="11"/>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1295.54</v>
      </c>
      <c r="AD60" s="8" t="s">
        <v>23</v>
      </c>
      <c r="AE60" s="13">
        <f>SUM(Z59:AE59)</f>
        <v>0</v>
      </c>
      <c r="AM60" s="8" t="s">
        <v>23</v>
      </c>
      <c r="AN60" s="13">
        <f>SUM(AI59:AN59)</f>
        <v>0</v>
      </c>
    </row>
    <row r="61" spans="1:40" ht="15.75" thickBot="1" x14ac:dyDescent="0.3">
      <c r="A61" s="19"/>
      <c r="B61" s="74" t="s">
        <v>13</v>
      </c>
      <c r="C61" s="74"/>
      <c r="D61" s="74"/>
      <c r="E61" s="74"/>
      <c r="F61" s="74"/>
      <c r="G61" s="74"/>
      <c r="H61" s="74"/>
      <c r="J61" s="75" t="s">
        <v>13</v>
      </c>
      <c r="K61" s="75"/>
      <c r="L61" s="75"/>
      <c r="M61" s="75"/>
      <c r="N61" s="75"/>
      <c r="O61" s="75"/>
      <c r="P61" s="75"/>
      <c r="Q61" s="75"/>
      <c r="R61" s="75"/>
      <c r="S61" s="75"/>
      <c r="T61" s="75"/>
      <c r="U61" s="75"/>
      <c r="Y61" s="76" t="str">
        <f>J61</f>
        <v>Março</v>
      </c>
      <c r="Z61" s="76"/>
      <c r="AA61" s="76"/>
      <c r="AB61" s="76"/>
      <c r="AC61" s="76"/>
      <c r="AD61" s="76"/>
      <c r="AE61" s="76"/>
      <c r="AH61" s="77" t="str">
        <f>Y61</f>
        <v>Março</v>
      </c>
      <c r="AI61" s="77"/>
      <c r="AJ61" s="77"/>
      <c r="AK61" s="77"/>
      <c r="AL61" s="77"/>
      <c r="AM61" s="77"/>
      <c r="AN61" s="77"/>
    </row>
    <row r="62" spans="1:40" ht="15.75" thickBot="1" x14ac:dyDescent="0.3">
      <c r="A62" s="78" t="s">
        <v>5</v>
      </c>
      <c r="B62" s="34" t="s">
        <v>6</v>
      </c>
      <c r="C62" s="22" t="s">
        <v>7</v>
      </c>
      <c r="D62" s="33" t="s">
        <v>8</v>
      </c>
      <c r="E62" s="22" t="s">
        <v>9</v>
      </c>
      <c r="F62" s="24" t="s">
        <v>10</v>
      </c>
      <c r="G62" s="23" t="s">
        <v>11</v>
      </c>
      <c r="H62" s="25" t="s">
        <v>12</v>
      </c>
      <c r="J62" s="6" t="s">
        <v>4</v>
      </c>
      <c r="K62" s="9">
        <v>46085</v>
      </c>
      <c r="L62" s="66">
        <v>46088</v>
      </c>
      <c r="M62" s="66">
        <v>46091</v>
      </c>
      <c r="N62" s="66">
        <v>46094</v>
      </c>
      <c r="O62" s="66">
        <v>46101</v>
      </c>
      <c r="P62" s="66">
        <v>46108</v>
      </c>
      <c r="Q62" s="66"/>
      <c r="R62" s="66"/>
      <c r="S62" s="66"/>
      <c r="T62" s="66"/>
      <c r="U62" s="72"/>
      <c r="Y62" s="6" t="s">
        <v>4</v>
      </c>
      <c r="Z62" s="9">
        <v>46088</v>
      </c>
      <c r="AA62" s="66"/>
      <c r="AB62" s="66"/>
      <c r="AC62" s="66"/>
      <c r="AD62" s="66"/>
      <c r="AE62" s="72"/>
      <c r="AH62" s="6" t="s">
        <v>4</v>
      </c>
      <c r="AI62" s="9"/>
      <c r="AJ62" s="4"/>
      <c r="AK62" s="4"/>
      <c r="AL62" s="4"/>
      <c r="AM62" s="4"/>
      <c r="AN62" s="5"/>
    </row>
    <row r="63" spans="1:40" ht="15.75" thickBot="1" x14ac:dyDescent="0.3">
      <c r="A63" s="78"/>
      <c r="B63" s="27">
        <v>46893</v>
      </c>
      <c r="C63" s="27"/>
      <c r="D63" s="27"/>
      <c r="E63" s="27">
        <v>49198</v>
      </c>
      <c r="F63" s="27">
        <f>SUM(C63-B63)</f>
        <v>-46893</v>
      </c>
      <c r="G63" s="20">
        <f>SUM(E63-D63)</f>
        <v>49198</v>
      </c>
      <c r="H63" s="21">
        <f>SUM(F63:G63)</f>
        <v>2305</v>
      </c>
      <c r="J63" s="7" t="s">
        <v>22</v>
      </c>
      <c r="K63" s="10">
        <v>256.49</v>
      </c>
      <c r="L63" s="11">
        <v>262.12</v>
      </c>
      <c r="M63" s="11">
        <v>233.76</v>
      </c>
      <c r="N63" s="11">
        <v>276.55</v>
      </c>
      <c r="O63" s="11">
        <v>235.2</v>
      </c>
      <c r="P63" s="11">
        <v>261.35000000000002</v>
      </c>
      <c r="Q63" s="11"/>
      <c r="R63" s="11"/>
      <c r="S63" s="11"/>
      <c r="T63" s="11"/>
      <c r="U63" s="12"/>
      <c r="Y63" s="7" t="s">
        <v>22</v>
      </c>
      <c r="Z63" s="10">
        <v>60</v>
      </c>
      <c r="AA63" s="11"/>
      <c r="AB63" s="11"/>
      <c r="AC63" s="11"/>
      <c r="AD63" s="11"/>
      <c r="AE63" s="12"/>
      <c r="AH63" s="7" t="s">
        <v>22</v>
      </c>
      <c r="AI63" s="10"/>
      <c r="AJ63" s="11"/>
      <c r="AK63" s="11"/>
      <c r="AL63" s="11"/>
      <c r="AM63" s="11"/>
      <c r="AN63" s="12"/>
    </row>
    <row r="64" spans="1:40" x14ac:dyDescent="0.25">
      <c r="J64" s="8"/>
      <c r="T64" s="8" t="s">
        <v>23</v>
      </c>
      <c r="U64" s="13">
        <f>SUM(K63:U63)</f>
        <v>1525.4700000000003</v>
      </c>
      <c r="AD64" s="8" t="s">
        <v>23</v>
      </c>
      <c r="AE64" s="13">
        <f>SUM(Z63:AE63)</f>
        <v>60</v>
      </c>
      <c r="AM64" s="8" t="s">
        <v>23</v>
      </c>
      <c r="AN64" s="13">
        <f>SUM(AI63:AN63)</f>
        <v>0</v>
      </c>
    </row>
    <row r="65" spans="1:40" ht="15.75" thickBot="1" x14ac:dyDescent="0.3">
      <c r="A65" s="19"/>
      <c r="B65" s="74" t="s">
        <v>14</v>
      </c>
      <c r="C65" s="74"/>
      <c r="D65" s="74"/>
      <c r="E65" s="74"/>
      <c r="F65" s="74"/>
      <c r="G65" s="74"/>
      <c r="H65" s="74"/>
      <c r="J65" s="75" t="s">
        <v>14</v>
      </c>
      <c r="K65" s="75"/>
      <c r="L65" s="75"/>
      <c r="M65" s="75"/>
      <c r="N65" s="75"/>
      <c r="O65" s="75"/>
      <c r="P65" s="75"/>
      <c r="Q65" s="75"/>
      <c r="R65" s="75"/>
      <c r="S65" s="75"/>
      <c r="T65" s="75"/>
      <c r="U65" s="75"/>
      <c r="Y65" s="76" t="str">
        <f>J65</f>
        <v>Abril</v>
      </c>
      <c r="Z65" s="76"/>
      <c r="AA65" s="76"/>
      <c r="AB65" s="76"/>
      <c r="AC65" s="76"/>
      <c r="AD65" s="76"/>
      <c r="AE65" s="76"/>
      <c r="AH65" s="77" t="str">
        <f>Y65</f>
        <v>Abril</v>
      </c>
      <c r="AI65" s="77"/>
      <c r="AJ65" s="77"/>
      <c r="AK65" s="77"/>
      <c r="AL65" s="77"/>
      <c r="AM65" s="77"/>
      <c r="AN65" s="77"/>
    </row>
    <row r="66" spans="1:40" ht="15.75" thickBot="1" x14ac:dyDescent="0.3">
      <c r="A66" s="78" t="s">
        <v>5</v>
      </c>
      <c r="B66" s="34" t="s">
        <v>6</v>
      </c>
      <c r="C66" s="22" t="s">
        <v>7</v>
      </c>
      <c r="D66" s="33" t="s">
        <v>8</v>
      </c>
      <c r="E66" s="22" t="s">
        <v>9</v>
      </c>
      <c r="F66" s="24" t="s">
        <v>10</v>
      </c>
      <c r="G66" s="23" t="s">
        <v>11</v>
      </c>
      <c r="H66" s="25" t="s">
        <v>12</v>
      </c>
      <c r="J66" s="6" t="s">
        <v>4</v>
      </c>
      <c r="K66" s="9"/>
      <c r="L66" s="4"/>
      <c r="M66" s="4"/>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78"/>
      <c r="B67" s="27">
        <v>49198</v>
      </c>
      <c r="C67" s="27"/>
      <c r="D67" s="27"/>
      <c r="E67" s="27">
        <v>51292</v>
      </c>
      <c r="F67" s="27">
        <f>SUM(C67-B67)</f>
        <v>-49198</v>
      </c>
      <c r="G67" s="20">
        <f>SUM(E67-D67)</f>
        <v>51292</v>
      </c>
      <c r="H67" s="21">
        <f>SUM(F67:G67)</f>
        <v>2094</v>
      </c>
      <c r="J67" s="7" t="s">
        <v>22</v>
      </c>
      <c r="K67" s="30"/>
      <c r="L67" s="31"/>
      <c r="M67" s="31"/>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0</v>
      </c>
      <c r="AD68" s="8" t="s">
        <v>23</v>
      </c>
      <c r="AE68" s="13">
        <f>SUM(Z67:AE67)</f>
        <v>0</v>
      </c>
      <c r="AM68" s="8" t="s">
        <v>23</v>
      </c>
      <c r="AN68" s="13">
        <f>SUM(AI67:AN67)</f>
        <v>0</v>
      </c>
    </row>
    <row r="69" spans="1:40" ht="15.75" thickBot="1" x14ac:dyDescent="0.3">
      <c r="A69" s="19"/>
      <c r="B69" s="74" t="s">
        <v>15</v>
      </c>
      <c r="C69" s="74"/>
      <c r="D69" s="74"/>
      <c r="E69" s="74"/>
      <c r="F69" s="74"/>
      <c r="G69" s="74"/>
      <c r="H69" s="74"/>
      <c r="J69" s="75" t="s">
        <v>15</v>
      </c>
      <c r="K69" s="75"/>
      <c r="L69" s="75"/>
      <c r="M69" s="75"/>
      <c r="N69" s="75"/>
      <c r="O69" s="75"/>
      <c r="P69" s="75"/>
      <c r="Q69" s="75"/>
      <c r="R69" s="75"/>
      <c r="S69" s="75"/>
      <c r="T69" s="75"/>
      <c r="U69" s="75"/>
      <c r="Y69" s="76" t="str">
        <f>J69</f>
        <v>Maio</v>
      </c>
      <c r="Z69" s="76"/>
      <c r="AA69" s="76"/>
      <c r="AB69" s="76"/>
      <c r="AC69" s="76"/>
      <c r="AD69" s="76"/>
      <c r="AE69" s="76"/>
      <c r="AH69" s="77" t="str">
        <f>Y69</f>
        <v>Maio</v>
      </c>
      <c r="AI69" s="77"/>
      <c r="AJ69" s="77"/>
      <c r="AK69" s="77"/>
      <c r="AL69" s="77"/>
      <c r="AM69" s="77"/>
      <c r="AN69" s="77"/>
    </row>
    <row r="70" spans="1:40" ht="15.75" thickBot="1" x14ac:dyDescent="0.3">
      <c r="A70" s="78"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78"/>
      <c r="B71" s="27">
        <v>51292</v>
      </c>
      <c r="C71" s="27"/>
      <c r="D71" s="27"/>
      <c r="E71" s="27">
        <v>52804</v>
      </c>
      <c r="F71" s="27">
        <f>SUM(C71-B71)</f>
        <v>-51292</v>
      </c>
      <c r="G71" s="20">
        <f>SUM(E71-D71)</f>
        <v>52804</v>
      </c>
      <c r="H71" s="21">
        <f>SUM(F71:G71)</f>
        <v>1512</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74" t="s">
        <v>24</v>
      </c>
      <c r="C73" s="74"/>
      <c r="D73" s="74"/>
      <c r="E73" s="74"/>
      <c r="F73" s="74"/>
      <c r="G73" s="74"/>
      <c r="H73" s="74"/>
      <c r="J73" s="75" t="s">
        <v>24</v>
      </c>
      <c r="K73" s="75"/>
      <c r="L73" s="75"/>
      <c r="M73" s="75"/>
      <c r="N73" s="75"/>
      <c r="O73" s="75"/>
      <c r="P73" s="75"/>
      <c r="Q73" s="75"/>
      <c r="R73" s="75"/>
      <c r="S73" s="75"/>
      <c r="T73" s="75"/>
      <c r="U73" s="75"/>
      <c r="Y73" s="76" t="str">
        <f>J73</f>
        <v>Junho</v>
      </c>
      <c r="Z73" s="76"/>
      <c r="AA73" s="76"/>
      <c r="AB73" s="76"/>
      <c r="AC73" s="76"/>
      <c r="AD73" s="76"/>
      <c r="AE73" s="76"/>
      <c r="AH73" s="77" t="str">
        <f>Y73</f>
        <v>Junho</v>
      </c>
      <c r="AI73" s="77"/>
      <c r="AJ73" s="77"/>
      <c r="AK73" s="77"/>
      <c r="AL73" s="77"/>
      <c r="AM73" s="77"/>
      <c r="AN73" s="77"/>
    </row>
    <row r="74" spans="1:40" ht="15.75" thickBot="1" x14ac:dyDescent="0.3">
      <c r="A74" s="78"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78"/>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74" t="s">
        <v>16</v>
      </c>
      <c r="C77" s="74"/>
      <c r="D77" s="74"/>
      <c r="E77" s="74"/>
      <c r="F77" s="74"/>
      <c r="G77" s="74"/>
      <c r="H77" s="74"/>
      <c r="J77" s="75" t="s">
        <v>16</v>
      </c>
      <c r="K77" s="75"/>
      <c r="L77" s="75"/>
      <c r="M77" s="75"/>
      <c r="N77" s="75"/>
      <c r="O77" s="75"/>
      <c r="P77" s="75"/>
      <c r="Q77" s="75"/>
      <c r="R77" s="75"/>
      <c r="S77" s="75"/>
      <c r="T77" s="75"/>
      <c r="U77" s="75"/>
      <c r="Y77" s="76" t="str">
        <f>J77</f>
        <v>Julho</v>
      </c>
      <c r="Z77" s="76"/>
      <c r="AA77" s="76"/>
      <c r="AB77" s="76"/>
      <c r="AC77" s="76"/>
      <c r="AD77" s="76"/>
      <c r="AE77" s="76"/>
      <c r="AH77" s="77" t="str">
        <f>Y77</f>
        <v>Julho</v>
      </c>
      <c r="AI77" s="77"/>
      <c r="AJ77" s="77"/>
      <c r="AK77" s="77"/>
      <c r="AL77" s="77"/>
      <c r="AM77" s="77"/>
      <c r="AN77" s="77"/>
    </row>
    <row r="78" spans="1:40" ht="15.75" thickBot="1" x14ac:dyDescent="0.3">
      <c r="A78" s="78"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78"/>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74" t="s">
        <v>17</v>
      </c>
      <c r="C81" s="74"/>
      <c r="D81" s="74"/>
      <c r="E81" s="74"/>
      <c r="F81" s="74"/>
      <c r="G81" s="74"/>
      <c r="H81" s="74"/>
      <c r="J81" s="75" t="s">
        <v>17</v>
      </c>
      <c r="K81" s="75"/>
      <c r="L81" s="75"/>
      <c r="M81" s="75"/>
      <c r="N81" s="75"/>
      <c r="O81" s="75"/>
      <c r="P81" s="75"/>
      <c r="Q81" s="75"/>
      <c r="R81" s="75"/>
      <c r="S81" s="75"/>
      <c r="T81" s="75"/>
      <c r="U81" s="75"/>
      <c r="Y81" s="76" t="str">
        <f>J81</f>
        <v>Agosto</v>
      </c>
      <c r="Z81" s="76"/>
      <c r="AA81" s="76"/>
      <c r="AB81" s="76"/>
      <c r="AC81" s="76"/>
      <c r="AD81" s="76"/>
      <c r="AE81" s="76"/>
      <c r="AH81" s="77" t="str">
        <f>Y81</f>
        <v>Agosto</v>
      </c>
      <c r="AI81" s="77"/>
      <c r="AJ81" s="77"/>
      <c r="AK81" s="77"/>
      <c r="AL81" s="77"/>
      <c r="AM81" s="77"/>
      <c r="AN81" s="77"/>
    </row>
    <row r="82" spans="1:40" ht="15.75" thickBot="1" x14ac:dyDescent="0.3">
      <c r="A82" s="78"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78"/>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74" t="s">
        <v>18</v>
      </c>
      <c r="C85" s="74"/>
      <c r="D85" s="74"/>
      <c r="E85" s="74"/>
      <c r="F85" s="74"/>
      <c r="G85" s="74"/>
      <c r="H85" s="74"/>
      <c r="J85" s="75" t="s">
        <v>18</v>
      </c>
      <c r="K85" s="75"/>
      <c r="L85" s="75"/>
      <c r="M85" s="75"/>
      <c r="N85" s="75"/>
      <c r="O85" s="75"/>
      <c r="P85" s="75"/>
      <c r="Q85" s="75"/>
      <c r="R85" s="75"/>
      <c r="S85" s="75"/>
      <c r="T85" s="75"/>
      <c r="U85" s="75"/>
      <c r="Y85" s="76" t="str">
        <f>J85</f>
        <v>Setembro</v>
      </c>
      <c r="Z85" s="76"/>
      <c r="AA85" s="76"/>
      <c r="AB85" s="76"/>
      <c r="AC85" s="76"/>
      <c r="AD85" s="76"/>
      <c r="AE85" s="76"/>
      <c r="AH85" s="77" t="str">
        <f>Y85</f>
        <v>Setembro</v>
      </c>
      <c r="AI85" s="77"/>
      <c r="AJ85" s="77"/>
      <c r="AK85" s="77"/>
      <c r="AL85" s="77"/>
      <c r="AM85" s="77"/>
      <c r="AN85" s="77"/>
    </row>
    <row r="86" spans="1:40" ht="15.75" thickBot="1" x14ac:dyDescent="0.3">
      <c r="A86" s="78"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78"/>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53:H53"/>
    <mergeCell ref="J53:U53"/>
    <mergeCell ref="Y53:AE53"/>
    <mergeCell ref="AH53:AN53"/>
    <mergeCell ref="A54:A5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N89"/>
  <sheetViews>
    <sheetView showGridLines="0" topLeftCell="A58" workbookViewId="0">
      <selection activeCell="W71" sqref="W7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3.28515625" bestFit="1" customWidth="1"/>
    <col min="10" max="10" width="13.42578125" bestFit="1" customWidth="1"/>
    <col min="11" max="15" width="10.42578125" bestFit="1" customWidth="1"/>
    <col min="21" max="21" width="10.42578125" bestFit="1" customWidth="1"/>
    <col min="26" max="28" width="10.42578125" bestFit="1" customWidth="1"/>
    <col min="34" max="36" width="10.140625" bestFit="1" customWidth="1"/>
  </cols>
  <sheetData>
    <row r="2" spans="1:37" x14ac:dyDescent="0.25">
      <c r="A2" t="s">
        <v>0</v>
      </c>
      <c r="B2" s="79" t="s">
        <v>98</v>
      </c>
      <c r="C2" s="79"/>
      <c r="D2" s="1" t="s">
        <v>1</v>
      </c>
      <c r="E2" s="79" t="s">
        <v>99</v>
      </c>
      <c r="F2" s="79"/>
      <c r="H2" t="s">
        <v>85</v>
      </c>
      <c r="I2" s="68">
        <v>4500</v>
      </c>
    </row>
    <row r="3" spans="1:37" x14ac:dyDescent="0.25">
      <c r="A3" t="s">
        <v>102</v>
      </c>
      <c r="B3" s="85">
        <v>46188</v>
      </c>
      <c r="C3" s="79"/>
      <c r="E3" s="79" t="s">
        <v>99</v>
      </c>
      <c r="F3" s="79"/>
      <c r="H3" t="s">
        <v>103</v>
      </c>
      <c r="I3" s="68" t="s">
        <v>112</v>
      </c>
    </row>
    <row r="4" spans="1:37" x14ac:dyDescent="0.25">
      <c r="A4" t="s">
        <v>80</v>
      </c>
      <c r="B4" s="79"/>
      <c r="C4" s="79"/>
      <c r="D4" s="1" t="s">
        <v>1</v>
      </c>
      <c r="E4" s="79"/>
      <c r="F4" s="79"/>
      <c r="H4" t="s">
        <v>81</v>
      </c>
      <c r="I4" s="54"/>
    </row>
    <row r="5" spans="1:37" x14ac:dyDescent="0.25">
      <c r="A5" t="s">
        <v>2</v>
      </c>
      <c r="B5" s="80">
        <v>8158</v>
      </c>
      <c r="C5" s="80"/>
      <c r="D5" s="1" t="s">
        <v>29</v>
      </c>
      <c r="E5" s="81">
        <v>45</v>
      </c>
      <c r="F5" s="81"/>
      <c r="H5" t="s">
        <v>70</v>
      </c>
      <c r="I5" s="69">
        <v>45995</v>
      </c>
      <c r="J5" t="s">
        <v>70</v>
      </c>
      <c r="K5" s="69"/>
    </row>
    <row r="8" spans="1:37" ht="21" x14ac:dyDescent="0.35">
      <c r="A8" s="82" t="s">
        <v>28</v>
      </c>
      <c r="B8" s="82"/>
      <c r="C8" s="82"/>
      <c r="D8" s="82"/>
      <c r="E8" s="82"/>
      <c r="F8" s="82"/>
      <c r="G8" s="82"/>
      <c r="H8" s="82"/>
      <c r="J8" s="84" t="s">
        <v>26</v>
      </c>
      <c r="K8" s="84"/>
      <c r="L8" s="84"/>
      <c r="M8" s="84"/>
      <c r="N8" s="84"/>
      <c r="O8" s="84"/>
      <c r="P8" s="84"/>
      <c r="Q8" s="84"/>
      <c r="R8" s="84"/>
      <c r="S8" s="84"/>
      <c r="T8" s="84"/>
      <c r="U8" s="84"/>
      <c r="V8" s="2"/>
      <c r="W8" s="83" t="s">
        <v>25</v>
      </c>
      <c r="X8" s="83"/>
      <c r="Y8" s="83"/>
      <c r="Z8" s="83"/>
      <c r="AA8" s="83"/>
      <c r="AB8" s="83"/>
      <c r="AC8" s="83"/>
      <c r="AD8" s="2"/>
      <c r="AE8" s="83" t="s">
        <v>27</v>
      </c>
      <c r="AF8" s="83"/>
      <c r="AG8" s="83"/>
      <c r="AH8" s="83"/>
      <c r="AI8" s="83"/>
      <c r="AJ8" s="83"/>
      <c r="AK8" s="83"/>
    </row>
    <row r="9" spans="1:37" s="15" customFormat="1" ht="21" x14ac:dyDescent="0.35">
      <c r="A9" s="14"/>
      <c r="B9" s="14"/>
      <c r="C9" s="14"/>
      <c r="D9" s="14"/>
      <c r="E9" s="14"/>
      <c r="F9" s="14"/>
      <c r="G9" s="14"/>
      <c r="H9" s="14"/>
      <c r="J9" s="16"/>
      <c r="K9" s="16"/>
      <c r="L9" s="16"/>
      <c r="M9" s="16"/>
      <c r="N9" s="16"/>
      <c r="O9" s="16"/>
      <c r="P9" s="16"/>
      <c r="Q9" s="16"/>
      <c r="R9" s="16"/>
      <c r="S9" s="16"/>
      <c r="T9" s="16"/>
      <c r="U9" s="16"/>
      <c r="V9" s="17"/>
      <c r="W9" s="18"/>
      <c r="X9" s="18"/>
      <c r="Y9" s="18"/>
      <c r="Z9" s="18"/>
      <c r="AA9" s="18"/>
      <c r="AB9" s="18"/>
      <c r="AC9" s="18"/>
      <c r="AD9" s="17"/>
      <c r="AE9" s="18"/>
      <c r="AF9" s="18"/>
      <c r="AG9" s="18"/>
      <c r="AH9" s="18"/>
      <c r="AI9" s="18"/>
      <c r="AJ9" s="18"/>
      <c r="AK9" s="18"/>
    </row>
    <row r="10" spans="1:37" ht="15.75" thickBot="1" x14ac:dyDescent="0.3">
      <c r="A10" s="19"/>
      <c r="B10" s="74" t="s">
        <v>3</v>
      </c>
      <c r="C10" s="74"/>
      <c r="D10" s="74"/>
      <c r="E10" s="74"/>
      <c r="F10" s="74"/>
      <c r="G10" s="74"/>
      <c r="H10" s="74"/>
      <c r="J10" s="75" t="s">
        <v>3</v>
      </c>
      <c r="K10" s="75"/>
      <c r="L10" s="75"/>
      <c r="M10" s="75"/>
      <c r="N10" s="75"/>
      <c r="O10" s="75"/>
      <c r="P10" s="75"/>
      <c r="Q10" s="75"/>
      <c r="R10" s="75"/>
      <c r="S10" s="75"/>
      <c r="T10" s="75"/>
      <c r="U10" s="75"/>
      <c r="W10" s="76" t="s">
        <v>3</v>
      </c>
      <c r="X10" s="76"/>
      <c r="Y10" s="76"/>
      <c r="Z10" s="76"/>
      <c r="AA10" s="76"/>
      <c r="AB10" s="76"/>
      <c r="AC10" s="76"/>
      <c r="AE10" s="77" t="s">
        <v>3</v>
      </c>
      <c r="AF10" s="77"/>
      <c r="AG10" s="77"/>
      <c r="AH10" s="77"/>
      <c r="AI10" s="77"/>
      <c r="AJ10" s="77"/>
      <c r="AK10" s="77"/>
    </row>
    <row r="11" spans="1:37" ht="15.75" thickBot="1" x14ac:dyDescent="0.3">
      <c r="A11" s="78" t="s">
        <v>5</v>
      </c>
      <c r="B11" s="34" t="s">
        <v>6</v>
      </c>
      <c r="C11" s="22" t="s">
        <v>7</v>
      </c>
      <c r="D11" s="33" t="s">
        <v>8</v>
      </c>
      <c r="E11" s="22" t="s">
        <v>9</v>
      </c>
      <c r="F11" s="24" t="s">
        <v>10</v>
      </c>
      <c r="G11" s="23" t="s">
        <v>11</v>
      </c>
      <c r="H11" s="25" t="s">
        <v>12</v>
      </c>
      <c r="J11" s="28" t="s">
        <v>4</v>
      </c>
      <c r="K11" s="9"/>
      <c r="L11" s="4"/>
      <c r="M11" s="4"/>
      <c r="N11" s="4"/>
      <c r="O11" s="4"/>
      <c r="P11" s="4"/>
      <c r="Q11" s="4"/>
      <c r="R11" s="4"/>
      <c r="S11" s="4"/>
      <c r="T11" s="4"/>
      <c r="U11" s="5"/>
      <c r="W11" s="6" t="s">
        <v>4</v>
      </c>
      <c r="X11" s="9"/>
      <c r="Y11" s="4"/>
      <c r="Z11" s="4"/>
      <c r="AA11" s="4"/>
      <c r="AB11" s="4"/>
      <c r="AC11" s="5"/>
      <c r="AE11" s="6" t="s">
        <v>4</v>
      </c>
      <c r="AF11" s="9"/>
      <c r="AG11" s="4"/>
      <c r="AH11" s="4"/>
      <c r="AI11" s="4"/>
      <c r="AJ11" s="4"/>
      <c r="AK11" s="5"/>
    </row>
    <row r="12" spans="1:37" ht="15.75" thickBot="1" x14ac:dyDescent="0.3">
      <c r="A12" s="78"/>
      <c r="B12" s="26"/>
      <c r="C12" s="27"/>
      <c r="D12" s="27"/>
      <c r="E12" s="27"/>
      <c r="F12" s="27">
        <f>SUM(C12-B12)</f>
        <v>0</v>
      </c>
      <c r="G12" s="20">
        <f>SUM(E12-D12)</f>
        <v>0</v>
      </c>
      <c r="H12" s="21">
        <f>SUM(F12:G12)</f>
        <v>0</v>
      </c>
      <c r="J12" s="29" t="s">
        <v>22</v>
      </c>
      <c r="K12" s="10"/>
      <c r="L12" s="11"/>
      <c r="M12" s="11"/>
      <c r="N12" s="11"/>
      <c r="O12" s="11"/>
      <c r="P12" s="11"/>
      <c r="Q12" s="11"/>
      <c r="R12" s="11"/>
      <c r="S12" s="11"/>
      <c r="T12" s="11"/>
      <c r="U12" s="12"/>
      <c r="W12" s="7" t="s">
        <v>22</v>
      </c>
      <c r="X12" s="10"/>
      <c r="Y12" s="11"/>
      <c r="Z12" s="11"/>
      <c r="AA12" s="11"/>
      <c r="AB12" s="11"/>
      <c r="AC12" s="12"/>
      <c r="AE12" s="7" t="s">
        <v>22</v>
      </c>
      <c r="AF12" s="10"/>
      <c r="AG12" s="11"/>
      <c r="AH12" s="11"/>
      <c r="AI12" s="11"/>
      <c r="AJ12" s="11"/>
      <c r="AK12" s="12"/>
    </row>
    <row r="13" spans="1:37" x14ac:dyDescent="0.25">
      <c r="J13" s="8"/>
      <c r="T13" s="8" t="s">
        <v>23</v>
      </c>
      <c r="U13" s="13">
        <f>SUM(K12:U12)</f>
        <v>0</v>
      </c>
      <c r="AB13" s="8" t="s">
        <v>23</v>
      </c>
      <c r="AC13" s="13">
        <f>SUM(X12:AC12)</f>
        <v>0</v>
      </c>
      <c r="AJ13" s="8" t="s">
        <v>23</v>
      </c>
      <c r="AK13" s="13">
        <f>SUM(AF12:AK12)</f>
        <v>0</v>
      </c>
    </row>
    <row r="14" spans="1:37" ht="15.75" thickBot="1" x14ac:dyDescent="0.3">
      <c r="A14" s="19"/>
      <c r="B14" s="74" t="s">
        <v>13</v>
      </c>
      <c r="C14" s="74"/>
      <c r="D14" s="74"/>
      <c r="E14" s="74"/>
      <c r="F14" s="74"/>
      <c r="G14" s="74"/>
      <c r="H14" s="74"/>
      <c r="J14" s="75" t="s">
        <v>13</v>
      </c>
      <c r="K14" s="75"/>
      <c r="L14" s="75"/>
      <c r="M14" s="75"/>
      <c r="N14" s="75"/>
      <c r="O14" s="75"/>
      <c r="P14" s="75"/>
      <c r="Q14" s="75"/>
      <c r="R14" s="75"/>
      <c r="S14" s="75"/>
      <c r="T14" s="75"/>
      <c r="U14" s="75"/>
      <c r="W14" s="76" t="str">
        <f>J14</f>
        <v>Março</v>
      </c>
      <c r="X14" s="76"/>
      <c r="Y14" s="76"/>
      <c r="Z14" s="76"/>
      <c r="AA14" s="76"/>
      <c r="AB14" s="76"/>
      <c r="AC14" s="76"/>
      <c r="AE14" s="77" t="str">
        <f>W14</f>
        <v>Março</v>
      </c>
      <c r="AF14" s="77"/>
      <c r="AG14" s="77"/>
      <c r="AH14" s="77"/>
      <c r="AI14" s="77"/>
      <c r="AJ14" s="77"/>
      <c r="AK14" s="77"/>
    </row>
    <row r="15" spans="1:37" ht="15.75" thickBot="1" x14ac:dyDescent="0.3">
      <c r="A15" s="78" t="s">
        <v>5</v>
      </c>
      <c r="B15" s="34" t="s">
        <v>6</v>
      </c>
      <c r="C15" s="22" t="s">
        <v>7</v>
      </c>
      <c r="D15" s="33" t="s">
        <v>8</v>
      </c>
      <c r="E15" s="22" t="s">
        <v>9</v>
      </c>
      <c r="F15" s="24" t="s">
        <v>10</v>
      </c>
      <c r="G15" s="23" t="s">
        <v>11</v>
      </c>
      <c r="H15" s="25" t="s">
        <v>12</v>
      </c>
      <c r="J15" s="6" t="s">
        <v>4</v>
      </c>
      <c r="K15" s="9"/>
      <c r="L15" s="66"/>
      <c r="M15" s="66"/>
      <c r="N15" s="4"/>
      <c r="O15" s="4"/>
      <c r="P15" s="4"/>
      <c r="Q15" s="4"/>
      <c r="R15" s="4"/>
      <c r="S15" s="4"/>
      <c r="T15" s="4"/>
      <c r="U15" s="5"/>
      <c r="W15" s="6" t="s">
        <v>4</v>
      </c>
      <c r="X15" s="9"/>
      <c r="Y15" s="4"/>
      <c r="Z15" s="4"/>
      <c r="AA15" s="4"/>
      <c r="AB15" s="4"/>
      <c r="AC15" s="5"/>
      <c r="AE15" s="6" t="s">
        <v>4</v>
      </c>
      <c r="AF15" s="9"/>
      <c r="AG15" s="4"/>
      <c r="AH15" s="4"/>
      <c r="AI15" s="4"/>
      <c r="AJ15" s="4"/>
      <c r="AK15" s="5"/>
    </row>
    <row r="16" spans="1:37" ht="15.75" thickBot="1" x14ac:dyDescent="0.3">
      <c r="A16" s="78"/>
      <c r="B16" s="26"/>
      <c r="C16" s="27"/>
      <c r="D16" s="27"/>
      <c r="E16" s="27"/>
      <c r="F16" s="27">
        <f>SUM(C16-B16)</f>
        <v>0</v>
      </c>
      <c r="G16" s="20">
        <f>SUM(E16-D16)</f>
        <v>0</v>
      </c>
      <c r="H16" s="21">
        <f>SUM(F16:G16)</f>
        <v>0</v>
      </c>
      <c r="J16" s="7" t="s">
        <v>22</v>
      </c>
      <c r="K16" s="10"/>
      <c r="L16" s="11"/>
      <c r="M16" s="11"/>
      <c r="N16" s="11"/>
      <c r="O16" s="11"/>
      <c r="P16" s="11"/>
      <c r="Q16" s="11"/>
      <c r="R16" s="11"/>
      <c r="S16" s="11"/>
      <c r="T16" s="11"/>
      <c r="U16" s="12"/>
      <c r="W16" s="7" t="s">
        <v>22</v>
      </c>
      <c r="X16" s="10"/>
      <c r="Y16" s="11"/>
      <c r="Z16" s="11"/>
      <c r="AA16" s="11"/>
      <c r="AB16" s="11"/>
      <c r="AC16" s="12"/>
      <c r="AE16" s="7" t="s">
        <v>22</v>
      </c>
      <c r="AF16" s="10"/>
      <c r="AG16" s="11"/>
      <c r="AH16" s="11"/>
      <c r="AI16" s="11"/>
      <c r="AJ16" s="11"/>
      <c r="AK16" s="12"/>
    </row>
    <row r="17" spans="1:37" x14ac:dyDescent="0.25">
      <c r="J17" s="8"/>
      <c r="T17" s="8" t="s">
        <v>23</v>
      </c>
      <c r="U17" s="13">
        <f>SUM(K16:U16)</f>
        <v>0</v>
      </c>
      <c r="AB17" s="8" t="s">
        <v>23</v>
      </c>
      <c r="AC17" s="13">
        <f>SUM(X16:AC16)</f>
        <v>0</v>
      </c>
      <c r="AJ17" s="8" t="s">
        <v>23</v>
      </c>
      <c r="AK17" s="13">
        <f>SUM(AF16:AK16)</f>
        <v>0</v>
      </c>
    </row>
    <row r="18" spans="1:37" ht="15.75" thickBot="1" x14ac:dyDescent="0.3">
      <c r="A18" s="19"/>
      <c r="B18" s="74" t="s">
        <v>14</v>
      </c>
      <c r="C18" s="74"/>
      <c r="D18" s="74"/>
      <c r="E18" s="74"/>
      <c r="F18" s="74"/>
      <c r="G18" s="74"/>
      <c r="H18" s="74"/>
      <c r="J18" s="75" t="s">
        <v>14</v>
      </c>
      <c r="K18" s="75"/>
      <c r="L18" s="75"/>
      <c r="M18" s="75"/>
      <c r="N18" s="75"/>
      <c r="O18" s="75"/>
      <c r="P18" s="75"/>
      <c r="Q18" s="75"/>
      <c r="R18" s="75"/>
      <c r="S18" s="75"/>
      <c r="T18" s="75"/>
      <c r="U18" s="75"/>
      <c r="W18" s="76" t="str">
        <f>J18</f>
        <v>Abril</v>
      </c>
      <c r="X18" s="76"/>
      <c r="Y18" s="76"/>
      <c r="Z18" s="76"/>
      <c r="AA18" s="76"/>
      <c r="AB18" s="76"/>
      <c r="AC18" s="76"/>
      <c r="AE18" s="77" t="str">
        <f>W18</f>
        <v>Abril</v>
      </c>
      <c r="AF18" s="77"/>
      <c r="AG18" s="77"/>
      <c r="AH18" s="77"/>
      <c r="AI18" s="77"/>
      <c r="AJ18" s="77"/>
      <c r="AK18" s="77"/>
    </row>
    <row r="19" spans="1:37" ht="15.75" thickBot="1" x14ac:dyDescent="0.3">
      <c r="A19" s="78" t="s">
        <v>5</v>
      </c>
      <c r="B19" s="34" t="s">
        <v>6</v>
      </c>
      <c r="C19" s="22" t="s">
        <v>7</v>
      </c>
      <c r="D19" s="33" t="s">
        <v>8</v>
      </c>
      <c r="E19" s="22" t="s">
        <v>9</v>
      </c>
      <c r="F19" s="24" t="s">
        <v>10</v>
      </c>
      <c r="G19" s="23" t="s">
        <v>11</v>
      </c>
      <c r="H19" s="25" t="s">
        <v>12</v>
      </c>
      <c r="J19" s="6" t="s">
        <v>4</v>
      </c>
      <c r="K19" s="9"/>
      <c r="L19" s="4"/>
      <c r="M19" s="4"/>
      <c r="N19" s="4"/>
      <c r="O19" s="4"/>
      <c r="P19" s="4"/>
      <c r="Q19" s="4"/>
      <c r="R19" s="4"/>
      <c r="S19" s="4"/>
      <c r="T19" s="4"/>
      <c r="U19" s="5"/>
      <c r="W19" s="6" t="s">
        <v>4</v>
      </c>
      <c r="X19" s="9"/>
      <c r="Y19" s="4"/>
      <c r="Z19" s="4"/>
      <c r="AA19" s="4"/>
      <c r="AB19" s="4"/>
      <c r="AC19" s="5"/>
      <c r="AE19" s="6" t="s">
        <v>4</v>
      </c>
      <c r="AF19" s="9"/>
      <c r="AG19" s="4"/>
      <c r="AH19" s="4"/>
      <c r="AI19" s="4"/>
      <c r="AJ19" s="4"/>
      <c r="AK19" s="5"/>
    </row>
    <row r="20" spans="1:37" ht="15.75" thickBot="1" x14ac:dyDescent="0.3">
      <c r="A20" s="78"/>
      <c r="B20" s="26"/>
      <c r="C20" s="27"/>
      <c r="D20" s="27"/>
      <c r="E20" s="27"/>
      <c r="F20" s="27">
        <f>SUM(C20-B20)</f>
        <v>0</v>
      </c>
      <c r="G20" s="20">
        <f>SUM(E20-D20)</f>
        <v>0</v>
      </c>
      <c r="H20" s="21">
        <f>SUM(F20:G20)</f>
        <v>0</v>
      </c>
      <c r="J20" s="7" t="s">
        <v>22</v>
      </c>
      <c r="K20" s="30"/>
      <c r="L20" s="31"/>
      <c r="M20" s="31"/>
      <c r="N20" s="31"/>
      <c r="O20" s="31"/>
      <c r="P20" s="31"/>
      <c r="Q20" s="31"/>
      <c r="R20" s="31"/>
      <c r="S20" s="31"/>
      <c r="T20" s="31"/>
      <c r="U20" s="32"/>
      <c r="W20" s="7" t="s">
        <v>22</v>
      </c>
      <c r="X20" s="10"/>
      <c r="Y20" s="11"/>
      <c r="Z20" s="11"/>
      <c r="AA20" s="11"/>
      <c r="AB20" s="11"/>
      <c r="AC20" s="12"/>
      <c r="AE20" s="7" t="s">
        <v>22</v>
      </c>
      <c r="AF20" s="10"/>
      <c r="AG20" s="11"/>
      <c r="AH20" s="11"/>
      <c r="AI20" s="11"/>
      <c r="AJ20" s="11"/>
      <c r="AK20" s="12"/>
    </row>
    <row r="21" spans="1:37" x14ac:dyDescent="0.25">
      <c r="J21" s="8"/>
      <c r="T21" s="8" t="s">
        <v>23</v>
      </c>
      <c r="U21" s="13">
        <f>SUM(K20:U20)</f>
        <v>0</v>
      </c>
      <c r="AB21" s="8" t="s">
        <v>23</v>
      </c>
      <c r="AC21" s="13">
        <f>SUM(X20:AC20)</f>
        <v>0</v>
      </c>
      <c r="AJ21" s="8" t="s">
        <v>23</v>
      </c>
      <c r="AK21" s="13">
        <f>SUM(AF20:AK20)</f>
        <v>0</v>
      </c>
    </row>
    <row r="22" spans="1:37" ht="15.75" thickBot="1" x14ac:dyDescent="0.3">
      <c r="A22" s="19"/>
      <c r="B22" s="74" t="s">
        <v>15</v>
      </c>
      <c r="C22" s="74"/>
      <c r="D22" s="74"/>
      <c r="E22" s="74"/>
      <c r="F22" s="74"/>
      <c r="G22" s="74"/>
      <c r="H22" s="74"/>
      <c r="J22" s="75" t="s">
        <v>15</v>
      </c>
      <c r="K22" s="75"/>
      <c r="L22" s="75"/>
      <c r="M22" s="75"/>
      <c r="N22" s="75"/>
      <c r="O22" s="75"/>
      <c r="P22" s="75"/>
      <c r="Q22" s="75"/>
      <c r="R22" s="75"/>
      <c r="S22" s="75"/>
      <c r="T22" s="75"/>
      <c r="U22" s="75"/>
      <c r="W22" s="76" t="str">
        <f>J22</f>
        <v>Maio</v>
      </c>
      <c r="X22" s="76"/>
      <c r="Y22" s="76"/>
      <c r="Z22" s="76"/>
      <c r="AA22" s="76"/>
      <c r="AB22" s="76"/>
      <c r="AC22" s="76"/>
      <c r="AE22" s="77" t="str">
        <f>W22</f>
        <v>Maio</v>
      </c>
      <c r="AF22" s="77"/>
      <c r="AG22" s="77"/>
      <c r="AH22" s="77"/>
      <c r="AI22" s="77"/>
      <c r="AJ22" s="77"/>
      <c r="AK22" s="77"/>
    </row>
    <row r="23" spans="1:37" ht="15.75" thickBot="1" x14ac:dyDescent="0.3">
      <c r="A23" s="78" t="s">
        <v>5</v>
      </c>
      <c r="B23" s="34" t="s">
        <v>6</v>
      </c>
      <c r="C23" s="22" t="s">
        <v>7</v>
      </c>
      <c r="D23" s="33" t="s">
        <v>8</v>
      </c>
      <c r="E23" s="22" t="s">
        <v>9</v>
      </c>
      <c r="F23" s="24" t="s">
        <v>10</v>
      </c>
      <c r="G23" s="23" t="s">
        <v>11</v>
      </c>
      <c r="H23" s="25" t="s">
        <v>12</v>
      </c>
      <c r="J23" s="6" t="s">
        <v>4</v>
      </c>
      <c r="K23" s="9"/>
      <c r="L23" s="4"/>
      <c r="M23" s="4"/>
      <c r="N23" s="4"/>
      <c r="O23" s="4"/>
      <c r="P23" s="4"/>
      <c r="Q23" s="4"/>
      <c r="R23" s="4"/>
      <c r="S23" s="4"/>
      <c r="T23" s="4"/>
      <c r="U23" s="5"/>
      <c r="W23" s="6" t="s">
        <v>4</v>
      </c>
      <c r="X23" s="9"/>
      <c r="Y23" s="4"/>
      <c r="Z23" s="4"/>
      <c r="AA23" s="4"/>
      <c r="AB23" s="4"/>
      <c r="AC23" s="5"/>
      <c r="AE23" s="6" t="s">
        <v>4</v>
      </c>
      <c r="AF23" s="9"/>
      <c r="AG23" s="4"/>
      <c r="AH23" s="4"/>
      <c r="AI23" s="4"/>
      <c r="AJ23" s="4"/>
      <c r="AK23" s="5"/>
    </row>
    <row r="24" spans="1:37" ht="15.75" thickBot="1" x14ac:dyDescent="0.3">
      <c r="A24" s="78"/>
      <c r="B24" s="26"/>
      <c r="C24" s="27"/>
      <c r="D24" s="27"/>
      <c r="E24" s="27"/>
      <c r="F24" s="27">
        <f>SUM(C24-B24)</f>
        <v>0</v>
      </c>
      <c r="G24" s="20">
        <f>SUM(E24-D24)</f>
        <v>0</v>
      </c>
      <c r="H24" s="21">
        <f>SUM(F24:G24)</f>
        <v>0</v>
      </c>
      <c r="J24" s="7" t="s">
        <v>22</v>
      </c>
      <c r="K24" s="10"/>
      <c r="L24" s="11"/>
      <c r="M24" s="11"/>
      <c r="N24" s="11"/>
      <c r="O24" s="11"/>
      <c r="P24" s="11"/>
      <c r="Q24" s="11"/>
      <c r="R24" s="11"/>
      <c r="S24" s="11"/>
      <c r="T24" s="11"/>
      <c r="U24" s="12"/>
      <c r="W24" s="7" t="s">
        <v>22</v>
      </c>
      <c r="X24" s="10"/>
      <c r="Y24" s="11"/>
      <c r="Z24" s="11"/>
      <c r="AA24" s="11"/>
      <c r="AB24" s="11"/>
      <c r="AC24" s="12"/>
      <c r="AE24" s="7" t="s">
        <v>22</v>
      </c>
      <c r="AF24" s="10"/>
      <c r="AG24" s="11"/>
      <c r="AH24" s="11"/>
      <c r="AI24" s="11"/>
      <c r="AJ24" s="11"/>
      <c r="AK24" s="12"/>
    </row>
    <row r="25" spans="1:37" x14ac:dyDescent="0.25">
      <c r="J25" s="8"/>
      <c r="T25" s="8" t="s">
        <v>23</v>
      </c>
      <c r="U25" s="13">
        <f>SUM(K24:U24)</f>
        <v>0</v>
      </c>
      <c r="AB25" s="8" t="s">
        <v>23</v>
      </c>
      <c r="AC25" s="13">
        <f>SUM(X24:AC24)</f>
        <v>0</v>
      </c>
      <c r="AJ25" s="8" t="s">
        <v>23</v>
      </c>
      <c r="AK25" s="13">
        <f>SUM(AF24:AK24)</f>
        <v>0</v>
      </c>
    </row>
    <row r="26" spans="1:37" ht="15.75" thickBot="1" x14ac:dyDescent="0.3">
      <c r="A26" s="19"/>
      <c r="B26" s="74" t="s">
        <v>24</v>
      </c>
      <c r="C26" s="74"/>
      <c r="D26" s="74"/>
      <c r="E26" s="74"/>
      <c r="F26" s="74"/>
      <c r="G26" s="74"/>
      <c r="H26" s="74"/>
      <c r="J26" s="75" t="s">
        <v>24</v>
      </c>
      <c r="K26" s="75"/>
      <c r="L26" s="75"/>
      <c r="M26" s="75"/>
      <c r="N26" s="75"/>
      <c r="O26" s="75"/>
      <c r="P26" s="75"/>
      <c r="Q26" s="75"/>
      <c r="R26" s="75"/>
      <c r="S26" s="75"/>
      <c r="T26" s="75"/>
      <c r="U26" s="75"/>
      <c r="W26" s="76" t="str">
        <f>J26</f>
        <v>Junho</v>
      </c>
      <c r="X26" s="76"/>
      <c r="Y26" s="76"/>
      <c r="Z26" s="76"/>
      <c r="AA26" s="76"/>
      <c r="AB26" s="76"/>
      <c r="AC26" s="76"/>
      <c r="AE26" s="77" t="str">
        <f>W26</f>
        <v>Junho</v>
      </c>
      <c r="AF26" s="77"/>
      <c r="AG26" s="77"/>
      <c r="AH26" s="77"/>
      <c r="AI26" s="77"/>
      <c r="AJ26" s="77"/>
      <c r="AK26" s="77"/>
    </row>
    <row r="27" spans="1:37" ht="15.75" thickBot="1" x14ac:dyDescent="0.3">
      <c r="A27" s="78" t="s">
        <v>5</v>
      </c>
      <c r="B27" s="34" t="s">
        <v>6</v>
      </c>
      <c r="C27" s="22" t="s">
        <v>7</v>
      </c>
      <c r="D27" s="33" t="s">
        <v>8</v>
      </c>
      <c r="E27" s="22" t="s">
        <v>9</v>
      </c>
      <c r="F27" s="24" t="s">
        <v>10</v>
      </c>
      <c r="G27" s="23" t="s">
        <v>11</v>
      </c>
      <c r="H27" s="25" t="s">
        <v>12</v>
      </c>
      <c r="J27" s="6" t="s">
        <v>4</v>
      </c>
      <c r="K27" s="9"/>
      <c r="L27" s="4"/>
      <c r="M27" s="4"/>
      <c r="N27" s="4"/>
      <c r="O27" s="4"/>
      <c r="P27" s="4"/>
      <c r="Q27" s="4"/>
      <c r="R27" s="4"/>
      <c r="S27" s="4"/>
      <c r="T27" s="4"/>
      <c r="U27" s="5"/>
      <c r="W27" s="6" t="s">
        <v>4</v>
      </c>
      <c r="X27" s="9"/>
      <c r="Y27" s="4"/>
      <c r="Z27" s="4"/>
      <c r="AA27" s="4"/>
      <c r="AB27" s="4"/>
      <c r="AC27" s="5"/>
      <c r="AE27" s="6" t="s">
        <v>4</v>
      </c>
      <c r="AF27" s="9"/>
      <c r="AG27" s="4"/>
      <c r="AH27" s="4"/>
      <c r="AI27" s="4"/>
      <c r="AJ27" s="4"/>
      <c r="AK27" s="5"/>
    </row>
    <row r="28" spans="1:37" ht="15.75" thickBot="1" x14ac:dyDescent="0.3">
      <c r="A28" s="78"/>
      <c r="B28" s="26"/>
      <c r="C28" s="27"/>
      <c r="D28" s="27"/>
      <c r="E28" s="27"/>
      <c r="F28" s="27">
        <f>SUM(C28-B28)</f>
        <v>0</v>
      </c>
      <c r="G28" s="20">
        <f>SUM(E28-D28)</f>
        <v>0</v>
      </c>
      <c r="H28" s="21">
        <f>SUM(F28:G28)</f>
        <v>0</v>
      </c>
      <c r="J28" s="7" t="s">
        <v>22</v>
      </c>
      <c r="K28" s="10"/>
      <c r="L28" s="11"/>
      <c r="M28" s="11"/>
      <c r="N28" s="11"/>
      <c r="O28" s="11"/>
      <c r="P28" s="11"/>
      <c r="Q28" s="11"/>
      <c r="R28" s="11"/>
      <c r="S28" s="11"/>
      <c r="T28" s="11"/>
      <c r="U28" s="12"/>
      <c r="W28" s="7" t="s">
        <v>22</v>
      </c>
      <c r="X28" s="10"/>
      <c r="Y28" s="11"/>
      <c r="Z28" s="11"/>
      <c r="AA28" s="11"/>
      <c r="AB28" s="11"/>
      <c r="AC28" s="12"/>
      <c r="AE28" s="7" t="s">
        <v>22</v>
      </c>
      <c r="AF28" s="10"/>
      <c r="AG28" s="11"/>
      <c r="AH28" s="11"/>
      <c r="AI28" s="11"/>
      <c r="AJ28" s="11"/>
      <c r="AK28" s="12"/>
    </row>
    <row r="29" spans="1:37" x14ac:dyDescent="0.25">
      <c r="J29" s="8"/>
      <c r="T29" s="8" t="s">
        <v>23</v>
      </c>
      <c r="U29" s="13">
        <f>SUM(K28:U28)</f>
        <v>0</v>
      </c>
      <c r="AB29" s="8" t="s">
        <v>23</v>
      </c>
      <c r="AC29" s="13">
        <f>SUM(X28:AC28)</f>
        <v>0</v>
      </c>
      <c r="AJ29" s="8" t="s">
        <v>23</v>
      </c>
      <c r="AK29" s="13">
        <f>SUM(AF28:AK28)</f>
        <v>0</v>
      </c>
    </row>
    <row r="30" spans="1:37" ht="15.75" thickBot="1" x14ac:dyDescent="0.3">
      <c r="A30" s="19"/>
      <c r="B30" s="74" t="s">
        <v>16</v>
      </c>
      <c r="C30" s="74"/>
      <c r="D30" s="74"/>
      <c r="E30" s="74"/>
      <c r="F30" s="74"/>
      <c r="G30" s="74"/>
      <c r="H30" s="74"/>
      <c r="J30" s="75" t="s">
        <v>16</v>
      </c>
      <c r="K30" s="75"/>
      <c r="L30" s="75"/>
      <c r="M30" s="75"/>
      <c r="N30" s="75"/>
      <c r="O30" s="75"/>
      <c r="P30" s="75"/>
      <c r="Q30" s="75"/>
      <c r="R30" s="75"/>
      <c r="S30" s="75"/>
      <c r="T30" s="75"/>
      <c r="U30" s="75"/>
      <c r="W30" s="76" t="str">
        <f>J30</f>
        <v>Julho</v>
      </c>
      <c r="X30" s="76"/>
      <c r="Y30" s="76"/>
      <c r="Z30" s="76"/>
      <c r="AA30" s="76"/>
      <c r="AB30" s="76"/>
      <c r="AC30" s="76"/>
      <c r="AE30" s="77" t="str">
        <f>W30</f>
        <v>Julho</v>
      </c>
      <c r="AF30" s="77"/>
      <c r="AG30" s="77"/>
      <c r="AH30" s="77"/>
      <c r="AI30" s="77"/>
      <c r="AJ30" s="77"/>
      <c r="AK30" s="77"/>
    </row>
    <row r="31" spans="1:37" ht="15.75" thickBot="1" x14ac:dyDescent="0.3">
      <c r="A31" s="78" t="s">
        <v>5</v>
      </c>
      <c r="B31" s="34" t="s">
        <v>6</v>
      </c>
      <c r="C31" s="22" t="s">
        <v>7</v>
      </c>
      <c r="D31" s="33" t="s">
        <v>8</v>
      </c>
      <c r="E31" s="22" t="s">
        <v>9</v>
      </c>
      <c r="F31" s="24" t="s">
        <v>10</v>
      </c>
      <c r="G31" s="23" t="s">
        <v>11</v>
      </c>
      <c r="H31" s="25" t="s">
        <v>12</v>
      </c>
      <c r="J31" s="6" t="s">
        <v>4</v>
      </c>
      <c r="K31" s="9"/>
      <c r="L31" s="4"/>
      <c r="M31" s="4"/>
      <c r="N31" s="4"/>
      <c r="O31" s="4"/>
      <c r="P31" s="4"/>
      <c r="Q31" s="4"/>
      <c r="R31" s="4"/>
      <c r="S31" s="4"/>
      <c r="T31" s="4"/>
      <c r="U31" s="5"/>
      <c r="W31" s="6" t="s">
        <v>4</v>
      </c>
      <c r="X31" s="9"/>
      <c r="Y31" s="4"/>
      <c r="Z31" s="4"/>
      <c r="AA31" s="4"/>
      <c r="AB31" s="4"/>
      <c r="AC31" s="5"/>
      <c r="AE31" s="6" t="s">
        <v>4</v>
      </c>
      <c r="AF31" s="9"/>
      <c r="AG31" s="4"/>
      <c r="AH31" s="4"/>
      <c r="AI31" s="4"/>
      <c r="AJ31" s="4"/>
      <c r="AK31" s="5"/>
    </row>
    <row r="32" spans="1:37" ht="15.75" thickBot="1" x14ac:dyDescent="0.3">
      <c r="A32" s="78"/>
      <c r="B32" s="26"/>
      <c r="C32" s="27"/>
      <c r="D32" s="27"/>
      <c r="E32" s="27"/>
      <c r="F32" s="27">
        <f>SUM(C32-B32)</f>
        <v>0</v>
      </c>
      <c r="G32" s="20">
        <f>SUM(E32-D32)</f>
        <v>0</v>
      </c>
      <c r="H32" s="21">
        <f>SUM(F32:G32)</f>
        <v>0</v>
      </c>
      <c r="J32" s="7" t="s">
        <v>22</v>
      </c>
      <c r="K32" s="10"/>
      <c r="L32" s="11"/>
      <c r="M32" s="11"/>
      <c r="N32" s="11"/>
      <c r="O32" s="11"/>
      <c r="P32" s="11"/>
      <c r="Q32" s="11"/>
      <c r="R32" s="11"/>
      <c r="S32" s="11"/>
      <c r="T32" s="11"/>
      <c r="U32" s="12"/>
      <c r="W32" s="7" t="s">
        <v>22</v>
      </c>
      <c r="X32" s="10"/>
      <c r="Y32" s="11"/>
      <c r="Z32" s="11"/>
      <c r="AA32" s="11"/>
      <c r="AB32" s="11"/>
      <c r="AC32" s="12"/>
      <c r="AE32" s="7" t="s">
        <v>22</v>
      </c>
      <c r="AF32" s="10"/>
      <c r="AG32" s="11"/>
      <c r="AH32" s="11"/>
      <c r="AI32" s="11"/>
      <c r="AJ32" s="11"/>
      <c r="AK32" s="12"/>
    </row>
    <row r="33" spans="1:37" x14ac:dyDescent="0.25">
      <c r="J33" s="8"/>
      <c r="T33" s="8" t="s">
        <v>23</v>
      </c>
      <c r="U33" s="13">
        <f>SUM(K32:U32)</f>
        <v>0</v>
      </c>
      <c r="AB33" s="8" t="s">
        <v>23</v>
      </c>
      <c r="AC33" s="13">
        <f>SUM(X32:AC32)</f>
        <v>0</v>
      </c>
      <c r="AJ33" s="8" t="s">
        <v>23</v>
      </c>
      <c r="AK33" s="13">
        <f>SUM(AF32:AK32)</f>
        <v>0</v>
      </c>
    </row>
    <row r="34" spans="1:37" ht="15.75" thickBot="1" x14ac:dyDescent="0.3">
      <c r="A34" s="19"/>
      <c r="B34" s="74" t="s">
        <v>17</v>
      </c>
      <c r="C34" s="74"/>
      <c r="D34" s="74"/>
      <c r="E34" s="74"/>
      <c r="F34" s="74"/>
      <c r="G34" s="74"/>
      <c r="H34" s="74"/>
      <c r="J34" s="75" t="s">
        <v>17</v>
      </c>
      <c r="K34" s="75"/>
      <c r="L34" s="75"/>
      <c r="M34" s="75"/>
      <c r="N34" s="75"/>
      <c r="O34" s="75"/>
      <c r="P34" s="75"/>
      <c r="Q34" s="75"/>
      <c r="R34" s="75"/>
      <c r="S34" s="75"/>
      <c r="T34" s="75"/>
      <c r="U34" s="75"/>
      <c r="W34" s="76" t="str">
        <f>J34</f>
        <v>Agosto</v>
      </c>
      <c r="X34" s="76"/>
      <c r="Y34" s="76"/>
      <c r="Z34" s="76"/>
      <c r="AA34" s="76"/>
      <c r="AB34" s="76"/>
      <c r="AC34" s="76"/>
      <c r="AE34" s="77" t="str">
        <f>W34</f>
        <v>Agosto</v>
      </c>
      <c r="AF34" s="77"/>
      <c r="AG34" s="77"/>
      <c r="AH34" s="77"/>
      <c r="AI34" s="77"/>
      <c r="AJ34" s="77"/>
      <c r="AK34" s="77"/>
    </row>
    <row r="35" spans="1:37" ht="15.75" thickBot="1" x14ac:dyDescent="0.3">
      <c r="A35" s="78" t="s">
        <v>5</v>
      </c>
      <c r="B35" s="34" t="s">
        <v>6</v>
      </c>
      <c r="C35" s="22" t="s">
        <v>7</v>
      </c>
      <c r="D35" s="33" t="s">
        <v>8</v>
      </c>
      <c r="E35" s="22" t="s">
        <v>9</v>
      </c>
      <c r="F35" s="24" t="s">
        <v>10</v>
      </c>
      <c r="G35" s="23" t="s">
        <v>11</v>
      </c>
      <c r="H35" s="25" t="s">
        <v>12</v>
      </c>
      <c r="J35" s="6" t="s">
        <v>4</v>
      </c>
      <c r="K35" s="9"/>
      <c r="L35" s="4"/>
      <c r="M35" s="4"/>
      <c r="N35" s="4"/>
      <c r="O35" s="4"/>
      <c r="P35" s="4"/>
      <c r="Q35" s="4"/>
      <c r="R35" s="4"/>
      <c r="S35" s="4"/>
      <c r="T35" s="4"/>
      <c r="U35" s="5"/>
      <c r="W35" s="6" t="s">
        <v>4</v>
      </c>
      <c r="X35" s="9"/>
      <c r="Y35" s="4"/>
      <c r="Z35" s="4"/>
      <c r="AA35" s="4"/>
      <c r="AB35" s="4"/>
      <c r="AC35" s="5"/>
      <c r="AE35" s="6" t="s">
        <v>4</v>
      </c>
      <c r="AF35" s="9"/>
      <c r="AG35" s="4"/>
      <c r="AH35" s="4"/>
      <c r="AI35" s="4"/>
      <c r="AJ35" s="4"/>
      <c r="AK35" s="5"/>
    </row>
    <row r="36" spans="1:37" ht="15.75" thickBot="1" x14ac:dyDescent="0.3">
      <c r="A36" s="78"/>
      <c r="B36" s="26"/>
      <c r="C36" s="27"/>
      <c r="D36" s="27"/>
      <c r="E36" s="27"/>
      <c r="F36" s="27">
        <f>SUM(C36-B36)</f>
        <v>0</v>
      </c>
      <c r="G36" s="20">
        <f>SUM(E36-D36)</f>
        <v>0</v>
      </c>
      <c r="H36" s="21">
        <f>SUM(F36:G36)</f>
        <v>0</v>
      </c>
      <c r="J36" s="7" t="s">
        <v>22</v>
      </c>
      <c r="K36" s="10"/>
      <c r="L36" s="11"/>
      <c r="M36" s="11"/>
      <c r="N36" s="11"/>
      <c r="O36" s="11"/>
      <c r="P36" s="11"/>
      <c r="Q36" s="11"/>
      <c r="R36" s="11"/>
      <c r="S36" s="11"/>
      <c r="T36" s="11"/>
      <c r="U36" s="12"/>
      <c r="W36" s="7" t="s">
        <v>22</v>
      </c>
      <c r="X36" s="10"/>
      <c r="Y36" s="11"/>
      <c r="Z36" s="11"/>
      <c r="AA36" s="11"/>
      <c r="AB36" s="11"/>
      <c r="AC36" s="12"/>
      <c r="AE36" s="7" t="s">
        <v>22</v>
      </c>
      <c r="AF36" s="10"/>
      <c r="AG36" s="11"/>
      <c r="AH36" s="11"/>
      <c r="AI36" s="11"/>
      <c r="AJ36" s="11"/>
      <c r="AK36" s="12"/>
    </row>
    <row r="37" spans="1:37" x14ac:dyDescent="0.25">
      <c r="J37" s="8"/>
      <c r="T37" s="8" t="s">
        <v>23</v>
      </c>
      <c r="U37" s="13">
        <f>SUM(K36:U36)</f>
        <v>0</v>
      </c>
      <c r="AB37" s="8" t="s">
        <v>23</v>
      </c>
      <c r="AC37" s="13">
        <f>SUM(X36:AC36)</f>
        <v>0</v>
      </c>
      <c r="AJ37" s="8" t="s">
        <v>23</v>
      </c>
      <c r="AK37" s="13">
        <f>SUM(AF36:AK36)</f>
        <v>0</v>
      </c>
    </row>
    <row r="38" spans="1:37" ht="15.75" thickBot="1" x14ac:dyDescent="0.3">
      <c r="A38" s="19"/>
      <c r="B38" s="74" t="s">
        <v>18</v>
      </c>
      <c r="C38" s="74"/>
      <c r="D38" s="74"/>
      <c r="E38" s="74"/>
      <c r="F38" s="74"/>
      <c r="G38" s="74"/>
      <c r="H38" s="74"/>
      <c r="J38" s="75" t="s">
        <v>18</v>
      </c>
      <c r="K38" s="75"/>
      <c r="L38" s="75"/>
      <c r="M38" s="75"/>
      <c r="N38" s="75"/>
      <c r="O38" s="75"/>
      <c r="P38" s="75"/>
      <c r="Q38" s="75"/>
      <c r="R38" s="75"/>
      <c r="S38" s="75"/>
      <c r="T38" s="75"/>
      <c r="U38" s="75"/>
      <c r="W38" s="76" t="str">
        <f>J38</f>
        <v>Setembro</v>
      </c>
      <c r="X38" s="76"/>
      <c r="Y38" s="76"/>
      <c r="Z38" s="76"/>
      <c r="AA38" s="76"/>
      <c r="AB38" s="76"/>
      <c r="AC38" s="76"/>
      <c r="AE38" s="77" t="str">
        <f>W38</f>
        <v>Setembro</v>
      </c>
      <c r="AF38" s="77"/>
      <c r="AG38" s="77"/>
      <c r="AH38" s="77"/>
      <c r="AI38" s="77"/>
      <c r="AJ38" s="77"/>
      <c r="AK38" s="77"/>
    </row>
    <row r="39" spans="1:37" ht="15.75" thickBot="1" x14ac:dyDescent="0.3">
      <c r="A39" s="78" t="s">
        <v>5</v>
      </c>
      <c r="B39" s="34" t="s">
        <v>6</v>
      </c>
      <c r="C39" s="22" t="s">
        <v>7</v>
      </c>
      <c r="D39" s="33" t="s">
        <v>8</v>
      </c>
      <c r="E39" s="22" t="s">
        <v>9</v>
      </c>
      <c r="F39" s="24" t="s">
        <v>10</v>
      </c>
      <c r="G39" s="23" t="s">
        <v>11</v>
      </c>
      <c r="H39" s="25" t="s">
        <v>12</v>
      </c>
      <c r="J39" s="6" t="s">
        <v>4</v>
      </c>
      <c r="K39" s="9"/>
      <c r="L39" s="4"/>
      <c r="M39" s="4"/>
      <c r="N39" s="4"/>
      <c r="O39" s="4"/>
      <c r="P39" s="4"/>
      <c r="Q39" s="4"/>
      <c r="R39" s="4"/>
      <c r="S39" s="4"/>
      <c r="T39" s="4"/>
      <c r="U39" s="5"/>
      <c r="W39" s="6" t="s">
        <v>4</v>
      </c>
      <c r="X39" s="9"/>
      <c r="Y39" s="4"/>
      <c r="Z39" s="4"/>
      <c r="AA39" s="4"/>
      <c r="AB39" s="4"/>
      <c r="AC39" s="5"/>
      <c r="AE39" s="6" t="s">
        <v>4</v>
      </c>
      <c r="AF39" s="9"/>
      <c r="AG39" s="4"/>
      <c r="AH39" s="4"/>
      <c r="AI39" s="4"/>
      <c r="AJ39" s="4"/>
      <c r="AK39" s="5"/>
    </row>
    <row r="40" spans="1:37" ht="15.75" thickBot="1" x14ac:dyDescent="0.3">
      <c r="A40" s="78"/>
      <c r="B40" s="26"/>
      <c r="C40" s="27"/>
      <c r="D40" s="27"/>
      <c r="E40" s="27"/>
      <c r="F40" s="27">
        <f>SUM(C40-B40)</f>
        <v>0</v>
      </c>
      <c r="G40" s="20">
        <f>SUM(E40-D40)</f>
        <v>0</v>
      </c>
      <c r="H40" s="21">
        <f>SUM(F40:G40)</f>
        <v>0</v>
      </c>
      <c r="J40" s="7" t="s">
        <v>22</v>
      </c>
      <c r="K40" s="10"/>
      <c r="L40" s="11"/>
      <c r="M40" s="11"/>
      <c r="N40" s="11"/>
      <c r="O40" s="11"/>
      <c r="P40" s="11"/>
      <c r="Q40" s="11"/>
      <c r="R40" s="11"/>
      <c r="S40" s="11"/>
      <c r="T40" s="11"/>
      <c r="U40" s="12"/>
      <c r="W40" s="7" t="s">
        <v>22</v>
      </c>
      <c r="X40" s="10"/>
      <c r="Y40" s="11"/>
      <c r="Z40" s="11"/>
      <c r="AA40" s="11"/>
      <c r="AB40" s="11"/>
      <c r="AC40" s="12"/>
      <c r="AE40" s="7" t="s">
        <v>22</v>
      </c>
      <c r="AF40" s="10"/>
      <c r="AG40" s="11"/>
      <c r="AH40" s="11"/>
      <c r="AI40" s="11"/>
      <c r="AJ40" s="11"/>
      <c r="AK40" s="12"/>
    </row>
    <row r="41" spans="1:37" x14ac:dyDescent="0.25">
      <c r="J41" s="8"/>
      <c r="T41" s="8" t="s">
        <v>23</v>
      </c>
      <c r="U41" s="13">
        <f>SUM(K40:U40)</f>
        <v>0</v>
      </c>
      <c r="AB41" s="8" t="s">
        <v>23</v>
      </c>
      <c r="AC41" s="13">
        <f>SUM(X40:AC40)</f>
        <v>0</v>
      </c>
      <c r="AJ41" s="8" t="s">
        <v>23</v>
      </c>
      <c r="AK41" s="13">
        <f>SUM(AF40:AK40)</f>
        <v>0</v>
      </c>
    </row>
    <row r="42" spans="1:37" ht="15.75" thickBot="1" x14ac:dyDescent="0.3">
      <c r="A42" s="19"/>
      <c r="B42" s="74" t="s">
        <v>19</v>
      </c>
      <c r="C42" s="74"/>
      <c r="D42" s="74"/>
      <c r="E42" s="74"/>
      <c r="F42" s="74"/>
      <c r="G42" s="74"/>
      <c r="H42" s="74"/>
      <c r="J42" s="75" t="s">
        <v>19</v>
      </c>
      <c r="K42" s="75"/>
      <c r="L42" s="75"/>
      <c r="M42" s="75"/>
      <c r="N42" s="75"/>
      <c r="O42" s="75"/>
      <c r="P42" s="75"/>
      <c r="Q42" s="75"/>
      <c r="R42" s="75"/>
      <c r="S42" s="75"/>
      <c r="T42" s="75"/>
      <c r="U42" s="75"/>
      <c r="W42" s="76" t="str">
        <f>J42</f>
        <v>Outubro</v>
      </c>
      <c r="X42" s="76"/>
      <c r="Y42" s="76"/>
      <c r="Z42" s="76"/>
      <c r="AA42" s="76"/>
      <c r="AB42" s="76"/>
      <c r="AC42" s="76"/>
      <c r="AE42" s="77" t="str">
        <f>W42</f>
        <v>Outubro</v>
      </c>
      <c r="AF42" s="77"/>
      <c r="AG42" s="77"/>
      <c r="AH42" s="77"/>
      <c r="AI42" s="77"/>
      <c r="AJ42" s="77"/>
      <c r="AK42" s="77"/>
    </row>
    <row r="43" spans="1:37" ht="15.75" thickBot="1" x14ac:dyDescent="0.3">
      <c r="A43" s="78" t="s">
        <v>5</v>
      </c>
      <c r="B43" s="34" t="s">
        <v>6</v>
      </c>
      <c r="C43" s="22" t="s">
        <v>7</v>
      </c>
      <c r="D43" s="33" t="s">
        <v>8</v>
      </c>
      <c r="E43" s="22" t="s">
        <v>9</v>
      </c>
      <c r="F43" s="24" t="s">
        <v>10</v>
      </c>
      <c r="G43" s="23" t="s">
        <v>11</v>
      </c>
      <c r="H43" s="25" t="s">
        <v>12</v>
      </c>
      <c r="J43" s="6" t="s">
        <v>4</v>
      </c>
      <c r="K43" s="9"/>
      <c r="L43" s="4"/>
      <c r="M43" s="4"/>
      <c r="N43" s="4"/>
      <c r="O43" s="4"/>
      <c r="P43" s="4"/>
      <c r="Q43" s="4"/>
      <c r="R43" s="4"/>
      <c r="S43" s="4"/>
      <c r="T43" s="4"/>
      <c r="U43" s="5"/>
      <c r="W43" s="6" t="s">
        <v>4</v>
      </c>
      <c r="X43" s="9"/>
      <c r="Y43" s="4"/>
      <c r="Z43" s="4"/>
      <c r="AA43" s="4"/>
      <c r="AB43" s="4"/>
      <c r="AC43" s="5"/>
      <c r="AE43" s="6" t="s">
        <v>4</v>
      </c>
      <c r="AF43" s="9"/>
      <c r="AG43" s="4"/>
      <c r="AH43" s="4"/>
      <c r="AI43" s="4"/>
      <c r="AJ43" s="4"/>
      <c r="AK43" s="5"/>
    </row>
    <row r="44" spans="1:37" ht="15.75" thickBot="1" x14ac:dyDescent="0.3">
      <c r="A44" s="78"/>
      <c r="B44" s="26"/>
      <c r="C44" s="27"/>
      <c r="D44" s="27"/>
      <c r="E44" s="27"/>
      <c r="F44" s="27">
        <f>SUM(C44-B44)</f>
        <v>0</v>
      </c>
      <c r="G44" s="20">
        <f>SUM(E44-D44)</f>
        <v>0</v>
      </c>
      <c r="H44" s="21">
        <f>SUM(F44:G44)</f>
        <v>0</v>
      </c>
      <c r="J44" s="7" t="s">
        <v>22</v>
      </c>
      <c r="K44" s="10"/>
      <c r="L44" s="11"/>
      <c r="M44" s="11"/>
      <c r="N44" s="11"/>
      <c r="O44" s="11"/>
      <c r="P44" s="11"/>
      <c r="Q44" s="11"/>
      <c r="R44" s="11"/>
      <c r="S44" s="11"/>
      <c r="T44" s="11"/>
      <c r="U44" s="12"/>
      <c r="W44" s="7" t="s">
        <v>22</v>
      </c>
      <c r="X44" s="10"/>
      <c r="Y44" s="11"/>
      <c r="Z44" s="11"/>
      <c r="AA44" s="11"/>
      <c r="AB44" s="11"/>
      <c r="AC44" s="12"/>
      <c r="AE44" s="7" t="s">
        <v>22</v>
      </c>
      <c r="AF44" s="10"/>
      <c r="AG44" s="11"/>
      <c r="AH44" s="11"/>
      <c r="AI44" s="11"/>
      <c r="AJ44" s="11"/>
      <c r="AK44" s="12"/>
    </row>
    <row r="45" spans="1:37" x14ac:dyDescent="0.25">
      <c r="J45" s="8"/>
      <c r="T45" s="8" t="s">
        <v>23</v>
      </c>
      <c r="U45" s="13">
        <f>SUM(K44:U44)</f>
        <v>0</v>
      </c>
      <c r="AB45" s="8" t="s">
        <v>23</v>
      </c>
      <c r="AC45" s="13">
        <f>SUM(X44:AC44)</f>
        <v>0</v>
      </c>
      <c r="AJ45" s="8" t="s">
        <v>23</v>
      </c>
      <c r="AK45" s="13">
        <f>SUM(AF44:AK44)</f>
        <v>0</v>
      </c>
    </row>
    <row r="46" spans="1:37" ht="15.75" thickBot="1" x14ac:dyDescent="0.3">
      <c r="A46" s="19"/>
      <c r="B46" s="74" t="s">
        <v>20</v>
      </c>
      <c r="C46" s="74"/>
      <c r="D46" s="74"/>
      <c r="E46" s="74"/>
      <c r="F46" s="74"/>
      <c r="G46" s="74"/>
      <c r="H46" s="74"/>
      <c r="J46" s="75" t="s">
        <v>20</v>
      </c>
      <c r="K46" s="75"/>
      <c r="L46" s="75"/>
      <c r="M46" s="75"/>
      <c r="N46" s="75"/>
      <c r="O46" s="75"/>
      <c r="P46" s="75"/>
      <c r="Q46" s="75"/>
      <c r="R46" s="75"/>
      <c r="S46" s="75"/>
      <c r="T46" s="75"/>
      <c r="U46" s="75"/>
      <c r="W46" s="76" t="str">
        <f>J46</f>
        <v>Novembro</v>
      </c>
      <c r="X46" s="76"/>
      <c r="Y46" s="76"/>
      <c r="Z46" s="76"/>
      <c r="AA46" s="76"/>
      <c r="AB46" s="76"/>
      <c r="AC46" s="76"/>
      <c r="AE46" s="77" t="str">
        <f>W46</f>
        <v>Novembro</v>
      </c>
      <c r="AF46" s="77"/>
      <c r="AG46" s="77"/>
      <c r="AH46" s="77"/>
      <c r="AI46" s="77"/>
      <c r="AJ46" s="77"/>
      <c r="AK46" s="77"/>
    </row>
    <row r="47" spans="1:37" ht="15.75" thickBot="1" x14ac:dyDescent="0.3">
      <c r="A47" s="78" t="s">
        <v>5</v>
      </c>
      <c r="B47" s="34" t="s">
        <v>6</v>
      </c>
      <c r="C47" s="22" t="s">
        <v>7</v>
      </c>
      <c r="D47" s="33" t="s">
        <v>8</v>
      </c>
      <c r="E47" s="22" t="s">
        <v>9</v>
      </c>
      <c r="F47" s="24" t="s">
        <v>10</v>
      </c>
      <c r="G47" s="23" t="s">
        <v>11</v>
      </c>
      <c r="H47" s="25" t="s">
        <v>12</v>
      </c>
      <c r="J47" s="6" t="s">
        <v>4</v>
      </c>
      <c r="K47" s="9"/>
      <c r="L47" s="4"/>
      <c r="M47" s="4"/>
      <c r="N47" s="4"/>
      <c r="O47" s="4"/>
      <c r="P47" s="4"/>
      <c r="Q47" s="4"/>
      <c r="R47" s="4"/>
      <c r="S47" s="4"/>
      <c r="T47" s="4"/>
      <c r="U47" s="5"/>
      <c r="W47" s="6" t="s">
        <v>4</v>
      </c>
      <c r="X47" s="9"/>
      <c r="Y47" s="4"/>
      <c r="Z47" s="4"/>
      <c r="AA47" s="4"/>
      <c r="AB47" s="4"/>
      <c r="AC47" s="5"/>
      <c r="AE47" s="6" t="s">
        <v>4</v>
      </c>
      <c r="AF47" s="9"/>
      <c r="AG47" s="4"/>
      <c r="AH47" s="4"/>
      <c r="AI47" s="4"/>
      <c r="AJ47" s="4"/>
      <c r="AK47" s="5"/>
    </row>
    <row r="48" spans="1:37" ht="15.75" thickBot="1" x14ac:dyDescent="0.3">
      <c r="A48" s="78"/>
      <c r="B48" s="26"/>
      <c r="C48" s="27"/>
      <c r="D48" s="27"/>
      <c r="E48" s="27"/>
      <c r="F48" s="27">
        <f>SUM(C48-B48)</f>
        <v>0</v>
      </c>
      <c r="G48" s="20">
        <f>SUM(E48-D48)</f>
        <v>0</v>
      </c>
      <c r="H48" s="21">
        <f>SUM(F48:G48)</f>
        <v>0</v>
      </c>
      <c r="J48" s="7" t="s">
        <v>22</v>
      </c>
      <c r="K48" s="10"/>
      <c r="L48" s="11"/>
      <c r="M48" s="11"/>
      <c r="N48" s="11"/>
      <c r="O48" s="11"/>
      <c r="P48" s="11"/>
      <c r="Q48" s="11"/>
      <c r="R48" s="11"/>
      <c r="S48" s="11"/>
      <c r="T48" s="11"/>
      <c r="U48" s="12"/>
      <c r="W48" s="7" t="s">
        <v>22</v>
      </c>
      <c r="X48" s="10"/>
      <c r="Y48" s="11"/>
      <c r="Z48" s="11"/>
      <c r="AA48" s="11"/>
      <c r="AB48" s="11"/>
      <c r="AC48" s="12"/>
      <c r="AE48" s="7" t="s">
        <v>22</v>
      </c>
      <c r="AF48" s="10"/>
      <c r="AG48" s="11"/>
      <c r="AH48" s="11"/>
      <c r="AI48" s="11"/>
      <c r="AJ48" s="11"/>
      <c r="AK48" s="12"/>
    </row>
    <row r="49" spans="1:40" x14ac:dyDescent="0.25">
      <c r="J49" s="8"/>
      <c r="T49" s="8" t="s">
        <v>23</v>
      </c>
      <c r="U49" s="13">
        <f>SUM(K48:U48)</f>
        <v>0</v>
      </c>
      <c r="AB49" s="8" t="s">
        <v>23</v>
      </c>
      <c r="AC49" s="13">
        <f>SUM(X48:AC48)</f>
        <v>0</v>
      </c>
      <c r="AJ49" s="8" t="s">
        <v>23</v>
      </c>
      <c r="AK49" s="13">
        <f>SUM(AF48:AK48)</f>
        <v>0</v>
      </c>
    </row>
    <row r="50" spans="1:40" ht="15.75" thickBot="1" x14ac:dyDescent="0.3">
      <c r="A50" s="19"/>
      <c r="B50" s="74" t="s">
        <v>21</v>
      </c>
      <c r="C50" s="74"/>
      <c r="D50" s="74"/>
      <c r="E50" s="74"/>
      <c r="F50" s="74"/>
      <c r="G50" s="74"/>
      <c r="H50" s="74"/>
      <c r="J50" s="75" t="s">
        <v>21</v>
      </c>
      <c r="K50" s="75"/>
      <c r="L50" s="75"/>
      <c r="M50" s="75"/>
      <c r="N50" s="75"/>
      <c r="O50" s="75"/>
      <c r="P50" s="75"/>
      <c r="Q50" s="75"/>
      <c r="R50" s="75"/>
      <c r="S50" s="75"/>
      <c r="T50" s="75"/>
      <c r="U50" s="75"/>
      <c r="W50" s="76" t="str">
        <f>J50</f>
        <v>Dezembro</v>
      </c>
      <c r="X50" s="76"/>
      <c r="Y50" s="76"/>
      <c r="Z50" s="76"/>
      <c r="AA50" s="76"/>
      <c r="AB50" s="76"/>
      <c r="AC50" s="76"/>
      <c r="AE50" s="77" t="str">
        <f>W50</f>
        <v>Dezembro</v>
      </c>
      <c r="AF50" s="77"/>
      <c r="AG50" s="77"/>
      <c r="AH50" s="77"/>
      <c r="AI50" s="77"/>
      <c r="AJ50" s="77"/>
      <c r="AK50" s="77"/>
    </row>
    <row r="51" spans="1:40" ht="15.75" thickBot="1" x14ac:dyDescent="0.3">
      <c r="A51" s="78" t="s">
        <v>5</v>
      </c>
      <c r="B51" s="34" t="s">
        <v>6</v>
      </c>
      <c r="C51" s="22" t="s">
        <v>7</v>
      </c>
      <c r="D51" s="33" t="s">
        <v>8</v>
      </c>
      <c r="E51" s="22" t="s">
        <v>9</v>
      </c>
      <c r="F51" s="24" t="s">
        <v>10</v>
      </c>
      <c r="G51" s="23" t="s">
        <v>11</v>
      </c>
      <c r="H51" s="25" t="s">
        <v>12</v>
      </c>
      <c r="J51" s="6" t="s">
        <v>4</v>
      </c>
      <c r="K51" s="9">
        <v>46003</v>
      </c>
      <c r="L51" s="66">
        <v>46008</v>
      </c>
      <c r="M51" s="4"/>
      <c r="N51" s="4"/>
      <c r="O51" s="4"/>
      <c r="P51" s="4"/>
      <c r="Q51" s="4"/>
      <c r="R51" s="4"/>
      <c r="S51" s="4"/>
      <c r="T51" s="4"/>
      <c r="U51" s="5"/>
      <c r="W51" s="6" t="s">
        <v>4</v>
      </c>
      <c r="X51" s="9"/>
      <c r="Y51" s="4"/>
      <c r="Z51" s="4"/>
      <c r="AA51" s="4"/>
      <c r="AB51" s="4"/>
      <c r="AC51" s="5"/>
      <c r="AE51" s="6" t="s">
        <v>4</v>
      </c>
      <c r="AF51" s="9"/>
      <c r="AG51" s="4"/>
      <c r="AH51" s="4"/>
      <c r="AI51" s="4"/>
      <c r="AJ51" s="4"/>
      <c r="AK51" s="5"/>
    </row>
    <row r="52" spans="1:40" ht="15.75" thickBot="1" x14ac:dyDescent="0.3">
      <c r="A52" s="78"/>
      <c r="B52" s="26">
        <v>26173</v>
      </c>
      <c r="C52" s="27">
        <v>27203</v>
      </c>
      <c r="D52" s="27">
        <v>27203</v>
      </c>
      <c r="E52" s="27">
        <v>27767</v>
      </c>
      <c r="F52" s="27">
        <f>SUM(C52-B52)</f>
        <v>1030</v>
      </c>
      <c r="G52" s="20">
        <f>SUM(E52-D52)</f>
        <v>564</v>
      </c>
      <c r="H52" s="21">
        <f>SUM(F52:G52)</f>
        <v>1594</v>
      </c>
      <c r="J52" s="7" t="s">
        <v>22</v>
      </c>
      <c r="K52" s="10">
        <v>350.02</v>
      </c>
      <c r="L52" s="11">
        <v>338.66</v>
      </c>
      <c r="M52" s="11"/>
      <c r="N52" s="11"/>
      <c r="O52" s="11"/>
      <c r="P52" s="11"/>
      <c r="Q52" s="11"/>
      <c r="R52" s="11"/>
      <c r="S52" s="11"/>
      <c r="T52" s="11"/>
      <c r="U52" s="12"/>
      <c r="W52" s="7" t="s">
        <v>22</v>
      </c>
      <c r="X52" s="10"/>
      <c r="Y52" s="11"/>
      <c r="Z52" s="11"/>
      <c r="AA52" s="11"/>
      <c r="AB52" s="11"/>
      <c r="AC52" s="12"/>
      <c r="AE52" s="7" t="s">
        <v>22</v>
      </c>
      <c r="AF52" s="10"/>
      <c r="AG52" s="11"/>
      <c r="AH52" s="11"/>
      <c r="AI52" s="11"/>
      <c r="AJ52" s="11"/>
      <c r="AK52" s="12"/>
    </row>
    <row r="53" spans="1:40" x14ac:dyDescent="0.25">
      <c r="J53" s="8"/>
      <c r="T53" s="8" t="s">
        <v>23</v>
      </c>
      <c r="U53" s="13">
        <f>SUM(K52:U52)</f>
        <v>688.68000000000006</v>
      </c>
      <c r="AB53" s="8" t="s">
        <v>23</v>
      </c>
      <c r="AC53" s="13">
        <f>SUM(X52:AC52)</f>
        <v>0</v>
      </c>
      <c r="AJ53" s="8" t="s">
        <v>23</v>
      </c>
      <c r="AK53" s="13">
        <f>SUM(AF52:AK52)</f>
        <v>0</v>
      </c>
    </row>
    <row r="54" spans="1:40" ht="15.75" thickBot="1" x14ac:dyDescent="0.3">
      <c r="A54" s="19">
        <v>2026</v>
      </c>
      <c r="B54" s="74" t="s">
        <v>100</v>
      </c>
      <c r="C54" s="74"/>
      <c r="D54" s="74"/>
      <c r="E54" s="74"/>
      <c r="F54" s="74"/>
      <c r="G54" s="74"/>
      <c r="H54" s="74"/>
      <c r="J54" s="75" t="s">
        <v>100</v>
      </c>
      <c r="K54" s="75"/>
      <c r="L54" s="75"/>
      <c r="M54" s="75"/>
      <c r="N54" s="75"/>
      <c r="O54" s="75"/>
      <c r="P54" s="75"/>
      <c r="Q54" s="75"/>
      <c r="R54" s="75"/>
      <c r="S54" s="75"/>
      <c r="T54" s="75"/>
      <c r="U54" s="75"/>
      <c r="Y54" s="76" t="s">
        <v>100</v>
      </c>
      <c r="Z54" s="76"/>
      <c r="AA54" s="76"/>
      <c r="AB54" s="76"/>
      <c r="AC54" s="76"/>
      <c r="AD54" s="76"/>
      <c r="AE54" s="76"/>
      <c r="AH54" s="77" t="s">
        <v>100</v>
      </c>
      <c r="AI54" s="77"/>
      <c r="AJ54" s="77"/>
      <c r="AK54" s="77"/>
      <c r="AL54" s="77"/>
      <c r="AM54" s="77"/>
      <c r="AN54" s="77"/>
    </row>
    <row r="55" spans="1:40" ht="15.75" thickBot="1" x14ac:dyDescent="0.3">
      <c r="A55" s="78" t="s">
        <v>5</v>
      </c>
      <c r="B55" s="34" t="s">
        <v>6</v>
      </c>
      <c r="C55" s="22" t="s">
        <v>7</v>
      </c>
      <c r="D55" s="33" t="s">
        <v>8</v>
      </c>
      <c r="E55" s="22" t="s">
        <v>9</v>
      </c>
      <c r="F55" s="24" t="s">
        <v>10</v>
      </c>
      <c r="G55" s="23" t="s">
        <v>11</v>
      </c>
      <c r="H55" s="25" t="s">
        <v>12</v>
      </c>
      <c r="J55" s="28" t="s">
        <v>4</v>
      </c>
      <c r="K55" s="9">
        <v>46030</v>
      </c>
      <c r="L55" s="66">
        <v>46032</v>
      </c>
      <c r="M55" s="66">
        <v>46036</v>
      </c>
      <c r="N55" s="66">
        <v>46044</v>
      </c>
      <c r="O55" s="66">
        <v>46052</v>
      </c>
      <c r="P55" s="66"/>
      <c r="Q55" s="66"/>
      <c r="R55" s="66"/>
      <c r="S55" s="66"/>
      <c r="T55" s="4"/>
      <c r="U55" s="5"/>
      <c r="Y55" s="6" t="s">
        <v>4</v>
      </c>
      <c r="Z55" s="9"/>
      <c r="AA55" s="4"/>
      <c r="AB55" s="4"/>
      <c r="AC55" s="4"/>
      <c r="AD55" s="4"/>
      <c r="AE55" s="5"/>
      <c r="AH55" s="6" t="s">
        <v>4</v>
      </c>
      <c r="AI55" s="9"/>
      <c r="AJ55" s="4"/>
      <c r="AK55" s="4"/>
      <c r="AL55" s="4"/>
      <c r="AM55" s="4"/>
      <c r="AN55" s="5"/>
    </row>
    <row r="56" spans="1:40" ht="15.75" thickBot="1" x14ac:dyDescent="0.3">
      <c r="A56" s="78"/>
      <c r="B56" s="27">
        <v>27767</v>
      </c>
      <c r="C56" s="27"/>
      <c r="D56" s="27"/>
      <c r="E56" s="27">
        <v>30450</v>
      </c>
      <c r="F56" s="27">
        <f>SUM(C56-B56)</f>
        <v>-27767</v>
      </c>
      <c r="G56" s="20">
        <f>SUM(E56-D56)</f>
        <v>30450</v>
      </c>
      <c r="H56" s="21">
        <f>SUM(F56:G56)</f>
        <v>2683</v>
      </c>
      <c r="J56" s="29" t="s">
        <v>22</v>
      </c>
      <c r="K56" s="10">
        <v>300.02999999999997</v>
      </c>
      <c r="L56" s="11">
        <v>440.87</v>
      </c>
      <c r="M56" s="11">
        <v>363.71</v>
      </c>
      <c r="N56" s="11">
        <v>338.08</v>
      </c>
      <c r="O56" s="11">
        <v>250.03</v>
      </c>
      <c r="P56" s="11"/>
      <c r="Q56" s="11"/>
      <c r="R56" s="11"/>
      <c r="S56" s="11"/>
      <c r="T56" s="11"/>
      <c r="U56" s="12"/>
      <c r="Y56" s="7" t="s">
        <v>22</v>
      </c>
      <c r="Z56" s="10"/>
      <c r="AA56" s="11"/>
      <c r="AB56" s="11"/>
      <c r="AC56" s="11"/>
      <c r="AD56" s="11"/>
      <c r="AE56" s="12"/>
      <c r="AH56" s="7" t="s">
        <v>22</v>
      </c>
      <c r="AI56" s="10"/>
      <c r="AJ56" s="11"/>
      <c r="AK56" s="11"/>
      <c r="AL56" s="11"/>
      <c r="AM56" s="11"/>
      <c r="AN56" s="12"/>
    </row>
    <row r="57" spans="1:40" x14ac:dyDescent="0.25">
      <c r="J57" s="8"/>
      <c r="T57" s="8" t="s">
        <v>23</v>
      </c>
      <c r="U57" s="13">
        <f>SUM(K56:U56)</f>
        <v>1692.7199999999998</v>
      </c>
      <c r="AD57" s="8" t="s">
        <v>23</v>
      </c>
      <c r="AE57" s="13">
        <f>SUM(Z56:AE56)</f>
        <v>0</v>
      </c>
      <c r="AM57" s="8" t="s">
        <v>23</v>
      </c>
      <c r="AN57" s="13">
        <f>SUM(AI56:AN56)</f>
        <v>0</v>
      </c>
    </row>
    <row r="58" spans="1:40" ht="15.75" thickBot="1" x14ac:dyDescent="0.3">
      <c r="A58" s="19"/>
      <c r="B58" s="74" t="s">
        <v>3</v>
      </c>
      <c r="C58" s="74"/>
      <c r="D58" s="74"/>
      <c r="E58" s="74"/>
      <c r="F58" s="74"/>
      <c r="G58" s="74"/>
      <c r="H58" s="74"/>
      <c r="J58" s="75" t="s">
        <v>3</v>
      </c>
      <c r="K58" s="75"/>
      <c r="L58" s="75"/>
      <c r="M58" s="75"/>
      <c r="N58" s="75"/>
      <c r="O58" s="75"/>
      <c r="P58" s="75"/>
      <c r="Q58" s="75"/>
      <c r="R58" s="75"/>
      <c r="S58" s="75"/>
      <c r="T58" s="75"/>
      <c r="U58" s="75"/>
      <c r="Y58" s="76" t="s">
        <v>3</v>
      </c>
      <c r="Z58" s="76"/>
      <c r="AA58" s="76"/>
      <c r="AB58" s="76"/>
      <c r="AC58" s="76"/>
      <c r="AD58" s="76"/>
      <c r="AE58" s="76"/>
      <c r="AH58" s="77" t="s">
        <v>3</v>
      </c>
      <c r="AI58" s="77"/>
      <c r="AJ58" s="77"/>
      <c r="AK58" s="77"/>
      <c r="AL58" s="77"/>
      <c r="AM58" s="77"/>
      <c r="AN58" s="77"/>
    </row>
    <row r="59" spans="1:40" ht="15.75" thickBot="1" x14ac:dyDescent="0.3">
      <c r="A59" s="78" t="s">
        <v>5</v>
      </c>
      <c r="B59" s="34" t="s">
        <v>6</v>
      </c>
      <c r="C59" s="22" t="s">
        <v>7</v>
      </c>
      <c r="D59" s="33" t="s">
        <v>8</v>
      </c>
      <c r="E59" s="22" t="s">
        <v>9</v>
      </c>
      <c r="F59" s="24" t="s">
        <v>10</v>
      </c>
      <c r="G59" s="23" t="s">
        <v>11</v>
      </c>
      <c r="H59" s="25" t="s">
        <v>12</v>
      </c>
      <c r="J59" s="28" t="s">
        <v>4</v>
      </c>
      <c r="K59" s="9">
        <v>46065</v>
      </c>
      <c r="L59" s="66">
        <v>46071</v>
      </c>
      <c r="M59" s="4"/>
      <c r="N59" s="4"/>
      <c r="O59" s="4"/>
      <c r="P59" s="4"/>
      <c r="Q59" s="4"/>
      <c r="R59" s="4"/>
      <c r="S59" s="4"/>
      <c r="T59" s="4"/>
      <c r="U59" s="5"/>
      <c r="Y59" s="6" t="s">
        <v>4</v>
      </c>
      <c r="Z59" s="9"/>
      <c r="AA59" s="4"/>
      <c r="AB59" s="4"/>
      <c r="AC59" s="4"/>
      <c r="AD59" s="4"/>
      <c r="AE59" s="5"/>
      <c r="AH59" s="6" t="s">
        <v>4</v>
      </c>
      <c r="AI59" s="9"/>
      <c r="AJ59" s="4"/>
      <c r="AK59" s="4"/>
      <c r="AL59" s="4"/>
      <c r="AM59" s="4"/>
      <c r="AN59" s="5"/>
    </row>
    <row r="60" spans="1:40" ht="15.75" thickBot="1" x14ac:dyDescent="0.3">
      <c r="A60" s="78"/>
      <c r="B60" s="27">
        <v>30450</v>
      </c>
      <c r="C60" s="27"/>
      <c r="D60" s="27"/>
      <c r="E60" s="27">
        <v>31846</v>
      </c>
      <c r="F60" s="27">
        <f>SUM(C60-B60)</f>
        <v>-30450</v>
      </c>
      <c r="G60" s="20">
        <f>SUM(E60-D60)</f>
        <v>31846</v>
      </c>
      <c r="H60" s="21">
        <f>SUM(F60:G60)</f>
        <v>1396</v>
      </c>
      <c r="J60" s="29" t="s">
        <v>22</v>
      </c>
      <c r="K60" s="10">
        <v>322</v>
      </c>
      <c r="L60" s="11">
        <v>416.06</v>
      </c>
      <c r="M60" s="11"/>
      <c r="N60" s="11"/>
      <c r="O60" s="11"/>
      <c r="P60" s="11"/>
      <c r="Q60" s="11"/>
      <c r="R60" s="11"/>
      <c r="S60" s="11"/>
      <c r="T60" s="11"/>
      <c r="U60" s="12"/>
      <c r="Y60" s="7" t="s">
        <v>22</v>
      </c>
      <c r="Z60" s="10"/>
      <c r="AA60" s="11"/>
      <c r="AB60" s="11"/>
      <c r="AC60" s="11"/>
      <c r="AD60" s="11"/>
      <c r="AE60" s="12"/>
      <c r="AH60" s="7" t="s">
        <v>22</v>
      </c>
      <c r="AI60" s="10"/>
      <c r="AJ60" s="11"/>
      <c r="AK60" s="11"/>
      <c r="AL60" s="11"/>
      <c r="AM60" s="11"/>
      <c r="AN60" s="12"/>
    </row>
    <row r="61" spans="1:40" x14ac:dyDescent="0.25">
      <c r="J61" s="8"/>
      <c r="T61" s="8" t="s">
        <v>23</v>
      </c>
      <c r="U61" s="13">
        <f>SUM(K60:U60)</f>
        <v>738.06</v>
      </c>
      <c r="AD61" s="8" t="s">
        <v>23</v>
      </c>
      <c r="AE61" s="13">
        <f>SUM(Z60:AE60)</f>
        <v>0</v>
      </c>
      <c r="AM61" s="8" t="s">
        <v>23</v>
      </c>
      <c r="AN61" s="13">
        <f>SUM(AI60:AN60)</f>
        <v>0</v>
      </c>
    </row>
    <row r="62" spans="1:40" ht="15.75" thickBot="1" x14ac:dyDescent="0.3">
      <c r="A62" s="19"/>
      <c r="B62" s="74" t="s">
        <v>13</v>
      </c>
      <c r="C62" s="74"/>
      <c r="D62" s="74"/>
      <c r="E62" s="74"/>
      <c r="F62" s="74"/>
      <c r="G62" s="74"/>
      <c r="H62" s="74"/>
      <c r="J62" s="75" t="s">
        <v>13</v>
      </c>
      <c r="K62" s="75"/>
      <c r="L62" s="75"/>
      <c r="M62" s="75"/>
      <c r="N62" s="75"/>
      <c r="O62" s="75"/>
      <c r="P62" s="75"/>
      <c r="Q62" s="75"/>
      <c r="R62" s="75"/>
      <c r="S62" s="75"/>
      <c r="T62" s="75"/>
      <c r="U62" s="75"/>
      <c r="Y62" s="76" t="str">
        <f>J62</f>
        <v>Março</v>
      </c>
      <c r="Z62" s="76"/>
      <c r="AA62" s="76"/>
      <c r="AB62" s="76"/>
      <c r="AC62" s="76"/>
      <c r="AD62" s="76"/>
      <c r="AE62" s="76"/>
      <c r="AH62" s="77" t="str">
        <f>Y62</f>
        <v>Março</v>
      </c>
      <c r="AI62" s="77"/>
      <c r="AJ62" s="77"/>
      <c r="AK62" s="77"/>
      <c r="AL62" s="77"/>
      <c r="AM62" s="77"/>
      <c r="AN62" s="77"/>
    </row>
    <row r="63" spans="1:40" ht="15.75" thickBot="1" x14ac:dyDescent="0.3">
      <c r="A63" s="78" t="s">
        <v>5</v>
      </c>
      <c r="B63" s="34" t="s">
        <v>6</v>
      </c>
      <c r="C63" s="22" t="s">
        <v>7</v>
      </c>
      <c r="D63" s="33" t="s">
        <v>8</v>
      </c>
      <c r="E63" s="22" t="s">
        <v>9</v>
      </c>
      <c r="F63" s="24" t="s">
        <v>10</v>
      </c>
      <c r="G63" s="23" t="s">
        <v>11</v>
      </c>
      <c r="H63" s="25" t="s">
        <v>12</v>
      </c>
      <c r="J63" s="6" t="s">
        <v>4</v>
      </c>
      <c r="K63" s="9">
        <v>46086</v>
      </c>
      <c r="L63" s="66">
        <v>46092</v>
      </c>
      <c r="M63" s="66">
        <v>46098</v>
      </c>
      <c r="N63" s="66">
        <v>46101</v>
      </c>
      <c r="O63" s="66">
        <v>46109</v>
      </c>
      <c r="P63" s="66"/>
      <c r="Q63" s="66"/>
      <c r="R63" s="66"/>
      <c r="S63" s="66"/>
      <c r="T63" s="66"/>
      <c r="U63" s="72"/>
      <c r="Y63" s="6" t="s">
        <v>4</v>
      </c>
      <c r="Z63" s="9">
        <v>46096</v>
      </c>
      <c r="AA63" s="66">
        <v>46102</v>
      </c>
      <c r="AB63" s="66">
        <v>46110</v>
      </c>
      <c r="AC63" s="66"/>
      <c r="AD63" s="66"/>
      <c r="AE63" s="72"/>
      <c r="AH63" s="6" t="s">
        <v>4</v>
      </c>
      <c r="AI63" s="9"/>
      <c r="AJ63" s="4"/>
      <c r="AK63" s="4"/>
      <c r="AL63" s="4"/>
      <c r="AM63" s="4"/>
      <c r="AN63" s="5"/>
    </row>
    <row r="64" spans="1:40" ht="15.75" thickBot="1" x14ac:dyDescent="0.3">
      <c r="A64" s="78"/>
      <c r="B64" s="27">
        <v>31846</v>
      </c>
      <c r="C64" s="27"/>
      <c r="D64" s="27"/>
      <c r="E64" s="27">
        <v>34642</v>
      </c>
      <c r="F64" s="27">
        <f>SUM(C64-B64)</f>
        <v>-31846</v>
      </c>
      <c r="G64" s="20">
        <f>SUM(E64-D64)</f>
        <v>34642</v>
      </c>
      <c r="H64" s="21">
        <f>SUM(F64:G64)</f>
        <v>2796</v>
      </c>
      <c r="J64" s="7" t="s">
        <v>22</v>
      </c>
      <c r="K64" s="10">
        <v>370.51</v>
      </c>
      <c r="L64" s="11">
        <v>356.95</v>
      </c>
      <c r="M64" s="11">
        <v>497.05</v>
      </c>
      <c r="N64" s="11">
        <v>277.01</v>
      </c>
      <c r="O64" s="11">
        <v>330.42</v>
      </c>
      <c r="P64" s="11"/>
      <c r="Q64" s="11"/>
      <c r="R64" s="11"/>
      <c r="S64" s="11"/>
      <c r="T64" s="11"/>
      <c r="U64" s="12"/>
      <c r="Y64" s="7" t="s">
        <v>22</v>
      </c>
      <c r="Z64" s="10">
        <v>70</v>
      </c>
      <c r="AA64" s="11">
        <v>70</v>
      </c>
      <c r="AB64" s="11">
        <v>70</v>
      </c>
      <c r="AC64" s="11"/>
      <c r="AD64" s="11"/>
      <c r="AE64" s="12"/>
      <c r="AH64" s="7" t="s">
        <v>22</v>
      </c>
      <c r="AI64" s="10"/>
      <c r="AJ64" s="11"/>
      <c r="AK64" s="11"/>
      <c r="AL64" s="11"/>
      <c r="AM64" s="11"/>
      <c r="AN64" s="12"/>
    </row>
    <row r="65" spans="1:40" x14ac:dyDescent="0.25">
      <c r="J65" s="8"/>
      <c r="T65" s="8" t="s">
        <v>23</v>
      </c>
      <c r="U65" s="13">
        <f>SUM(K64:U64)</f>
        <v>1831.94</v>
      </c>
      <c r="AD65" s="8" t="s">
        <v>23</v>
      </c>
      <c r="AE65" s="13">
        <f>SUM(Z64:AE64)</f>
        <v>210</v>
      </c>
      <c r="AM65" s="8" t="s">
        <v>23</v>
      </c>
      <c r="AN65" s="13">
        <f>SUM(AI64:AN64)</f>
        <v>0</v>
      </c>
    </row>
    <row r="66" spans="1:40" ht="15.75" thickBot="1" x14ac:dyDescent="0.3">
      <c r="A66" s="19"/>
      <c r="B66" s="74" t="s">
        <v>14</v>
      </c>
      <c r="C66" s="74"/>
      <c r="D66" s="74"/>
      <c r="E66" s="74"/>
      <c r="F66" s="74"/>
      <c r="G66" s="74"/>
      <c r="H66" s="74"/>
      <c r="J66" s="75" t="s">
        <v>14</v>
      </c>
      <c r="K66" s="75"/>
      <c r="L66" s="75"/>
      <c r="M66" s="75"/>
      <c r="N66" s="75"/>
      <c r="O66" s="75"/>
      <c r="P66" s="75"/>
      <c r="Q66" s="75"/>
      <c r="R66" s="75"/>
      <c r="S66" s="75"/>
      <c r="T66" s="75"/>
      <c r="U66" s="75"/>
      <c r="Y66" s="76" t="str">
        <f>J66</f>
        <v>Abril</v>
      </c>
      <c r="Z66" s="76"/>
      <c r="AA66" s="76"/>
      <c r="AB66" s="76"/>
      <c r="AC66" s="76"/>
      <c r="AD66" s="76"/>
      <c r="AE66" s="76"/>
      <c r="AH66" s="77" t="str">
        <f>Y66</f>
        <v>Abril</v>
      </c>
      <c r="AI66" s="77"/>
      <c r="AJ66" s="77"/>
      <c r="AK66" s="77"/>
      <c r="AL66" s="77"/>
      <c r="AM66" s="77"/>
      <c r="AN66" s="77"/>
    </row>
    <row r="67" spans="1:40" ht="15.75" thickBot="1" x14ac:dyDescent="0.3">
      <c r="A67" s="78" t="s">
        <v>5</v>
      </c>
      <c r="B67" s="34" t="s">
        <v>6</v>
      </c>
      <c r="C67" s="22" t="s">
        <v>7</v>
      </c>
      <c r="D67" s="33" t="s">
        <v>8</v>
      </c>
      <c r="E67" s="22" t="s">
        <v>9</v>
      </c>
      <c r="F67" s="24" t="s">
        <v>10</v>
      </c>
      <c r="G67" s="23" t="s">
        <v>11</v>
      </c>
      <c r="H67" s="25" t="s">
        <v>12</v>
      </c>
      <c r="J67" s="6" t="s">
        <v>4</v>
      </c>
      <c r="K67" s="9"/>
      <c r="L67" s="4"/>
      <c r="M67" s="4"/>
      <c r="N67" s="4"/>
      <c r="O67" s="4"/>
      <c r="P67" s="4"/>
      <c r="Q67" s="4"/>
      <c r="R67" s="4"/>
      <c r="S67" s="4"/>
      <c r="T67" s="4"/>
      <c r="U67" s="5"/>
      <c r="Y67" s="6" t="s">
        <v>4</v>
      </c>
      <c r="Z67" s="9"/>
      <c r="AA67" s="4"/>
      <c r="AB67" s="4"/>
      <c r="AC67" s="4"/>
      <c r="AD67" s="4"/>
      <c r="AE67" s="5"/>
      <c r="AH67" s="6" t="s">
        <v>4</v>
      </c>
      <c r="AI67" s="9"/>
      <c r="AJ67" s="4"/>
      <c r="AK67" s="4"/>
      <c r="AL67" s="4"/>
      <c r="AM67" s="4"/>
      <c r="AN67" s="5"/>
    </row>
    <row r="68" spans="1:40" ht="15.75" thickBot="1" x14ac:dyDescent="0.3">
      <c r="A68" s="78"/>
      <c r="B68" s="27">
        <v>34642</v>
      </c>
      <c r="C68" s="27"/>
      <c r="D68" s="27"/>
      <c r="E68" s="27">
        <v>36191</v>
      </c>
      <c r="F68" s="27">
        <f>SUM(C68-B68)</f>
        <v>-34642</v>
      </c>
      <c r="G68" s="20">
        <f>SUM(E68-D68)</f>
        <v>36191</v>
      </c>
      <c r="H68" s="21">
        <f>SUM(F68:G68)</f>
        <v>1549</v>
      </c>
      <c r="J68" s="7" t="s">
        <v>22</v>
      </c>
      <c r="K68" s="30"/>
      <c r="L68" s="31"/>
      <c r="M68" s="31"/>
      <c r="N68" s="31"/>
      <c r="O68" s="31"/>
      <c r="P68" s="31"/>
      <c r="Q68" s="31"/>
      <c r="R68" s="31"/>
      <c r="S68" s="31"/>
      <c r="T68" s="31"/>
      <c r="U68" s="32"/>
      <c r="Y68" s="7" t="s">
        <v>22</v>
      </c>
      <c r="Z68" s="10"/>
      <c r="AA68" s="11"/>
      <c r="AB68" s="11"/>
      <c r="AC68" s="11"/>
      <c r="AD68" s="11"/>
      <c r="AE68" s="12"/>
      <c r="AH68" s="7" t="s">
        <v>22</v>
      </c>
      <c r="AI68" s="10"/>
      <c r="AJ68" s="11"/>
      <c r="AK68" s="11"/>
      <c r="AL68" s="11"/>
      <c r="AM68" s="11"/>
      <c r="AN68" s="12"/>
    </row>
    <row r="69" spans="1:40" x14ac:dyDescent="0.25">
      <c r="J69" s="8"/>
      <c r="T69" s="8" t="s">
        <v>23</v>
      </c>
      <c r="U69" s="13">
        <f>SUM(K68:U68)</f>
        <v>0</v>
      </c>
      <c r="AD69" s="8" t="s">
        <v>23</v>
      </c>
      <c r="AE69" s="13">
        <f>SUM(Z68:AE68)</f>
        <v>0</v>
      </c>
      <c r="AM69" s="8" t="s">
        <v>23</v>
      </c>
      <c r="AN69" s="13">
        <f>SUM(AI68:AN68)</f>
        <v>0</v>
      </c>
    </row>
    <row r="70" spans="1:40" ht="15.75" thickBot="1" x14ac:dyDescent="0.3">
      <c r="A70" s="19"/>
      <c r="B70" s="74" t="s">
        <v>15</v>
      </c>
      <c r="C70" s="74"/>
      <c r="D70" s="74"/>
      <c r="E70" s="74"/>
      <c r="F70" s="74"/>
      <c r="G70" s="74"/>
      <c r="H70" s="74"/>
      <c r="J70" s="75" t="s">
        <v>15</v>
      </c>
      <c r="K70" s="75"/>
      <c r="L70" s="75"/>
      <c r="M70" s="75"/>
      <c r="N70" s="75"/>
      <c r="O70" s="75"/>
      <c r="P70" s="75"/>
      <c r="Q70" s="75"/>
      <c r="R70" s="75"/>
      <c r="S70" s="75"/>
      <c r="T70" s="75"/>
      <c r="U70" s="75"/>
      <c r="Y70" s="76" t="str">
        <f>J70</f>
        <v>Maio</v>
      </c>
      <c r="Z70" s="76"/>
      <c r="AA70" s="76"/>
      <c r="AB70" s="76"/>
      <c r="AC70" s="76"/>
      <c r="AD70" s="76"/>
      <c r="AE70" s="76"/>
      <c r="AH70" s="77" t="str">
        <f>Y70</f>
        <v>Maio</v>
      </c>
      <c r="AI70" s="77"/>
      <c r="AJ70" s="77"/>
      <c r="AK70" s="77"/>
      <c r="AL70" s="77"/>
      <c r="AM70" s="77"/>
      <c r="AN70" s="77"/>
    </row>
    <row r="71" spans="1:40" ht="15.75" thickBot="1" x14ac:dyDescent="0.3">
      <c r="A71" s="78" t="s">
        <v>5</v>
      </c>
      <c r="B71" s="34" t="s">
        <v>6</v>
      </c>
      <c r="C71" s="22" t="s">
        <v>7</v>
      </c>
      <c r="D71" s="33" t="s">
        <v>8</v>
      </c>
      <c r="E71" s="22" t="s">
        <v>9</v>
      </c>
      <c r="F71" s="24" t="s">
        <v>10</v>
      </c>
      <c r="G71" s="23" t="s">
        <v>11</v>
      </c>
      <c r="H71" s="25" t="s">
        <v>12</v>
      </c>
      <c r="J71" s="6" t="s">
        <v>4</v>
      </c>
      <c r="K71" s="9"/>
      <c r="L71" s="4"/>
      <c r="M71" s="4"/>
      <c r="N71" s="4"/>
      <c r="O71" s="4"/>
      <c r="P71" s="4"/>
      <c r="Q71" s="4"/>
      <c r="R71" s="4"/>
      <c r="S71" s="4"/>
      <c r="T71" s="4"/>
      <c r="U71" s="5"/>
      <c r="Y71" s="6" t="s">
        <v>4</v>
      </c>
      <c r="Z71" s="9"/>
      <c r="AA71" s="4"/>
      <c r="AB71" s="4"/>
      <c r="AC71" s="4"/>
      <c r="AD71" s="4"/>
      <c r="AE71" s="5"/>
      <c r="AH71" s="6" t="s">
        <v>4</v>
      </c>
      <c r="AI71" s="9"/>
      <c r="AJ71" s="4"/>
      <c r="AK71" s="4"/>
      <c r="AL71" s="4"/>
      <c r="AM71" s="4"/>
      <c r="AN71" s="5"/>
    </row>
    <row r="72" spans="1:40" ht="15.75" thickBot="1" x14ac:dyDescent="0.3">
      <c r="A72" s="78"/>
      <c r="B72" s="27">
        <v>36191</v>
      </c>
      <c r="C72" s="27"/>
      <c r="D72" s="27"/>
      <c r="E72" s="27">
        <v>39531</v>
      </c>
      <c r="F72" s="27">
        <f>SUM(C72-B72)</f>
        <v>-36191</v>
      </c>
      <c r="G72" s="20">
        <f>SUM(E72-D72)</f>
        <v>39531</v>
      </c>
      <c r="H72" s="21">
        <f>SUM(F72:G72)</f>
        <v>3340</v>
      </c>
      <c r="J72" s="7" t="s">
        <v>22</v>
      </c>
      <c r="K72" s="10"/>
      <c r="L72" s="11"/>
      <c r="M72" s="11"/>
      <c r="N72" s="11"/>
      <c r="O72" s="11"/>
      <c r="P72" s="11"/>
      <c r="Q72" s="11"/>
      <c r="R72" s="11"/>
      <c r="S72" s="11"/>
      <c r="T72" s="11"/>
      <c r="U72" s="12"/>
      <c r="Y72" s="7" t="s">
        <v>22</v>
      </c>
      <c r="Z72" s="10"/>
      <c r="AA72" s="11"/>
      <c r="AB72" s="11"/>
      <c r="AC72" s="11"/>
      <c r="AD72" s="11"/>
      <c r="AE72" s="12"/>
      <c r="AH72" s="7" t="s">
        <v>22</v>
      </c>
      <c r="AI72" s="10"/>
      <c r="AJ72" s="11"/>
      <c r="AK72" s="11"/>
      <c r="AL72" s="11"/>
      <c r="AM72" s="11"/>
      <c r="AN72" s="12"/>
    </row>
    <row r="73" spans="1:40" x14ac:dyDescent="0.25">
      <c r="J73" s="8"/>
      <c r="T73" s="8" t="s">
        <v>23</v>
      </c>
      <c r="U73" s="13">
        <f>SUM(K72:U72)</f>
        <v>0</v>
      </c>
      <c r="AD73" s="8" t="s">
        <v>23</v>
      </c>
      <c r="AE73" s="13">
        <f>SUM(Z72:AE72)</f>
        <v>0</v>
      </c>
      <c r="AM73" s="8" t="s">
        <v>23</v>
      </c>
      <c r="AN73" s="13">
        <f>SUM(AI72:AN72)</f>
        <v>0</v>
      </c>
    </row>
    <row r="74" spans="1:40" ht="15.75" thickBot="1" x14ac:dyDescent="0.3">
      <c r="A74" s="19"/>
      <c r="B74" s="74" t="s">
        <v>24</v>
      </c>
      <c r="C74" s="74"/>
      <c r="D74" s="74"/>
      <c r="E74" s="74"/>
      <c r="F74" s="74"/>
      <c r="G74" s="74"/>
      <c r="H74" s="74"/>
      <c r="J74" s="75" t="s">
        <v>24</v>
      </c>
      <c r="K74" s="75"/>
      <c r="L74" s="75"/>
      <c r="M74" s="75"/>
      <c r="N74" s="75"/>
      <c r="O74" s="75"/>
      <c r="P74" s="75"/>
      <c r="Q74" s="75"/>
      <c r="R74" s="75"/>
      <c r="S74" s="75"/>
      <c r="T74" s="75"/>
      <c r="U74" s="75"/>
      <c r="Y74" s="76" t="str">
        <f>J74</f>
        <v>Junho</v>
      </c>
      <c r="Z74" s="76"/>
      <c r="AA74" s="76"/>
      <c r="AB74" s="76"/>
      <c r="AC74" s="76"/>
      <c r="AD74" s="76"/>
      <c r="AE74" s="76"/>
      <c r="AH74" s="77" t="str">
        <f>Y74</f>
        <v>Junho</v>
      </c>
      <c r="AI74" s="77"/>
      <c r="AJ74" s="77"/>
      <c r="AK74" s="77"/>
      <c r="AL74" s="77"/>
      <c r="AM74" s="77"/>
      <c r="AN74" s="77"/>
    </row>
    <row r="75" spans="1:40" ht="15.75" thickBot="1" x14ac:dyDescent="0.3">
      <c r="A75" s="78" t="s">
        <v>5</v>
      </c>
      <c r="B75" s="34" t="s">
        <v>6</v>
      </c>
      <c r="C75" s="22" t="s">
        <v>7</v>
      </c>
      <c r="D75" s="33" t="s">
        <v>8</v>
      </c>
      <c r="E75" s="22" t="s">
        <v>9</v>
      </c>
      <c r="F75" s="24" t="s">
        <v>10</v>
      </c>
      <c r="G75" s="23" t="s">
        <v>11</v>
      </c>
      <c r="H75" s="25" t="s">
        <v>12</v>
      </c>
      <c r="J75" s="6" t="s">
        <v>4</v>
      </c>
      <c r="K75" s="9"/>
      <c r="L75" s="4"/>
      <c r="M75" s="4"/>
      <c r="N75" s="4"/>
      <c r="O75" s="4"/>
      <c r="P75" s="4"/>
      <c r="Q75" s="4"/>
      <c r="R75" s="4"/>
      <c r="S75" s="4"/>
      <c r="T75" s="4"/>
      <c r="U75" s="5"/>
      <c r="Y75" s="6" t="s">
        <v>4</v>
      </c>
      <c r="Z75" s="9"/>
      <c r="AA75" s="4"/>
      <c r="AB75" s="4"/>
      <c r="AC75" s="4"/>
      <c r="AD75" s="4"/>
      <c r="AE75" s="5"/>
      <c r="AH75" s="6" t="s">
        <v>4</v>
      </c>
      <c r="AI75" s="9"/>
      <c r="AJ75" s="4"/>
      <c r="AK75" s="4"/>
      <c r="AL75" s="4"/>
      <c r="AM75" s="4"/>
      <c r="AN75" s="5"/>
    </row>
    <row r="76" spans="1:40" ht="15.75" thickBot="1" x14ac:dyDescent="0.3">
      <c r="A76" s="78"/>
      <c r="B76" s="27">
        <v>39531</v>
      </c>
      <c r="C76" s="27">
        <v>41584</v>
      </c>
      <c r="D76" s="27"/>
      <c r="E76" s="27"/>
      <c r="F76" s="27">
        <f>SUM(C76-B76)</f>
        <v>2053</v>
      </c>
      <c r="G76" s="20">
        <f>SUM(E76-D76)</f>
        <v>0</v>
      </c>
      <c r="H76" s="21">
        <f>SUM(F76:G76)</f>
        <v>2053</v>
      </c>
      <c r="J76" s="7" t="s">
        <v>22</v>
      </c>
      <c r="K76" s="10"/>
      <c r="L76" s="11"/>
      <c r="M76" s="11"/>
      <c r="N76" s="11"/>
      <c r="O76" s="11"/>
      <c r="P76" s="11"/>
      <c r="Q76" s="11"/>
      <c r="R76" s="11"/>
      <c r="S76" s="11"/>
      <c r="T76" s="11"/>
      <c r="U76" s="12"/>
      <c r="Y76" s="7" t="s">
        <v>22</v>
      </c>
      <c r="Z76" s="10"/>
      <c r="AA76" s="11"/>
      <c r="AB76" s="11"/>
      <c r="AC76" s="11"/>
      <c r="AD76" s="11"/>
      <c r="AE76" s="12"/>
      <c r="AH76" s="7" t="s">
        <v>22</v>
      </c>
      <c r="AI76" s="10"/>
      <c r="AJ76" s="11"/>
      <c r="AK76" s="11"/>
      <c r="AL76" s="11"/>
      <c r="AM76" s="11"/>
      <c r="AN76" s="12"/>
    </row>
    <row r="77" spans="1:40" x14ac:dyDescent="0.25">
      <c r="J77" s="8"/>
      <c r="T77" s="8" t="s">
        <v>23</v>
      </c>
      <c r="U77" s="13">
        <f>SUM(K76:U76)</f>
        <v>0</v>
      </c>
      <c r="AD77" s="8" t="s">
        <v>23</v>
      </c>
      <c r="AE77" s="13">
        <f>SUM(Z76:AE76)</f>
        <v>0</v>
      </c>
      <c r="AM77" s="8" t="s">
        <v>23</v>
      </c>
      <c r="AN77" s="13">
        <f>SUM(AI76:AN76)</f>
        <v>0</v>
      </c>
    </row>
    <row r="78" spans="1:40" ht="15.75" thickBot="1" x14ac:dyDescent="0.3">
      <c r="A78" s="19"/>
      <c r="B78" s="74" t="s">
        <v>16</v>
      </c>
      <c r="C78" s="74"/>
      <c r="D78" s="74"/>
      <c r="E78" s="74"/>
      <c r="F78" s="74"/>
      <c r="G78" s="74"/>
      <c r="H78" s="74"/>
      <c r="J78" s="75" t="s">
        <v>16</v>
      </c>
      <c r="K78" s="75"/>
      <c r="L78" s="75"/>
      <c r="M78" s="75"/>
      <c r="N78" s="75"/>
      <c r="O78" s="75"/>
      <c r="P78" s="75"/>
      <c r="Q78" s="75"/>
      <c r="R78" s="75"/>
      <c r="S78" s="75"/>
      <c r="T78" s="75"/>
      <c r="U78" s="75"/>
      <c r="Y78" s="76" t="str">
        <f>J78</f>
        <v>Julho</v>
      </c>
      <c r="Z78" s="76"/>
      <c r="AA78" s="76"/>
      <c r="AB78" s="76"/>
      <c r="AC78" s="76"/>
      <c r="AD78" s="76"/>
      <c r="AE78" s="76"/>
      <c r="AH78" s="77" t="str">
        <f>Y78</f>
        <v>Julho</v>
      </c>
      <c r="AI78" s="77"/>
      <c r="AJ78" s="77"/>
      <c r="AK78" s="77"/>
      <c r="AL78" s="77"/>
      <c r="AM78" s="77"/>
      <c r="AN78" s="77"/>
    </row>
    <row r="79" spans="1:40" ht="15.75" thickBot="1" x14ac:dyDescent="0.3">
      <c r="A79" s="78" t="s">
        <v>5</v>
      </c>
      <c r="B79" s="34" t="s">
        <v>6</v>
      </c>
      <c r="C79" s="22" t="s">
        <v>7</v>
      </c>
      <c r="D79" s="33" t="s">
        <v>8</v>
      </c>
      <c r="E79" s="22" t="s">
        <v>9</v>
      </c>
      <c r="F79" s="24" t="s">
        <v>10</v>
      </c>
      <c r="G79" s="23" t="s">
        <v>11</v>
      </c>
      <c r="H79" s="25" t="s">
        <v>12</v>
      </c>
      <c r="J79" s="6" t="s">
        <v>4</v>
      </c>
      <c r="K79" s="9"/>
      <c r="L79" s="4"/>
      <c r="M79" s="4"/>
      <c r="N79" s="4"/>
      <c r="O79" s="4"/>
      <c r="P79" s="4"/>
      <c r="Q79" s="4"/>
      <c r="R79" s="4"/>
      <c r="S79" s="4"/>
      <c r="T79" s="4"/>
      <c r="U79" s="5"/>
      <c r="Y79" s="6" t="s">
        <v>4</v>
      </c>
      <c r="Z79" s="9"/>
      <c r="AA79" s="4"/>
      <c r="AB79" s="4"/>
      <c r="AC79" s="4"/>
      <c r="AD79" s="4"/>
      <c r="AE79" s="5"/>
      <c r="AH79" s="6" t="s">
        <v>4</v>
      </c>
      <c r="AI79" s="9"/>
      <c r="AJ79" s="4"/>
      <c r="AK79" s="4"/>
      <c r="AL79" s="4"/>
      <c r="AM79" s="4"/>
      <c r="AN79" s="5"/>
    </row>
    <row r="80" spans="1:40" ht="15.75" thickBot="1" x14ac:dyDescent="0.3">
      <c r="A80" s="78"/>
      <c r="B80" s="26"/>
      <c r="C80" s="27"/>
      <c r="D80" s="27"/>
      <c r="E80" s="27"/>
      <c r="F80" s="27">
        <f>SUM(C80-B80)</f>
        <v>0</v>
      </c>
      <c r="G80" s="20">
        <f>SUM(E80-D80)</f>
        <v>0</v>
      </c>
      <c r="H80" s="21">
        <f>SUM(F80:G80)</f>
        <v>0</v>
      </c>
      <c r="J80" s="7" t="s">
        <v>22</v>
      </c>
      <c r="K80" s="10"/>
      <c r="L80" s="11"/>
      <c r="M80" s="11"/>
      <c r="N80" s="11"/>
      <c r="O80" s="11"/>
      <c r="P80" s="11"/>
      <c r="Q80" s="11"/>
      <c r="R80" s="11"/>
      <c r="S80" s="11"/>
      <c r="T80" s="11"/>
      <c r="U80" s="12"/>
      <c r="Y80" s="7" t="s">
        <v>22</v>
      </c>
      <c r="Z80" s="10"/>
      <c r="AA80" s="11"/>
      <c r="AB80" s="11"/>
      <c r="AC80" s="11"/>
      <c r="AD80" s="11"/>
      <c r="AE80" s="12"/>
      <c r="AH80" s="7" t="s">
        <v>22</v>
      </c>
      <c r="AI80" s="10"/>
      <c r="AJ80" s="11"/>
      <c r="AK80" s="11"/>
      <c r="AL80" s="11"/>
      <c r="AM80" s="11"/>
      <c r="AN80" s="12"/>
    </row>
    <row r="81" spans="1:40" x14ac:dyDescent="0.25">
      <c r="J81" s="8"/>
      <c r="T81" s="8" t="s">
        <v>23</v>
      </c>
      <c r="U81" s="13">
        <f>SUM(K80:U80)</f>
        <v>0</v>
      </c>
      <c r="AD81" s="8" t="s">
        <v>23</v>
      </c>
      <c r="AE81" s="13">
        <f>SUM(Z80:AE80)</f>
        <v>0</v>
      </c>
      <c r="AM81" s="8" t="s">
        <v>23</v>
      </c>
      <c r="AN81" s="13">
        <f>SUM(AI80:AN80)</f>
        <v>0</v>
      </c>
    </row>
    <row r="82" spans="1:40" ht="15.75" thickBot="1" x14ac:dyDescent="0.3">
      <c r="A82" s="19"/>
      <c r="B82" s="74" t="s">
        <v>17</v>
      </c>
      <c r="C82" s="74"/>
      <c r="D82" s="74"/>
      <c r="E82" s="74"/>
      <c r="F82" s="74"/>
      <c r="G82" s="74"/>
      <c r="H82" s="74"/>
      <c r="J82" s="75" t="s">
        <v>17</v>
      </c>
      <c r="K82" s="75"/>
      <c r="L82" s="75"/>
      <c r="M82" s="75"/>
      <c r="N82" s="75"/>
      <c r="O82" s="75"/>
      <c r="P82" s="75"/>
      <c r="Q82" s="75"/>
      <c r="R82" s="75"/>
      <c r="S82" s="75"/>
      <c r="T82" s="75"/>
      <c r="U82" s="75"/>
      <c r="Y82" s="76" t="str">
        <f>J82</f>
        <v>Agosto</v>
      </c>
      <c r="Z82" s="76"/>
      <c r="AA82" s="76"/>
      <c r="AB82" s="76"/>
      <c r="AC82" s="76"/>
      <c r="AD82" s="76"/>
      <c r="AE82" s="76"/>
      <c r="AH82" s="77" t="str">
        <f>Y82</f>
        <v>Agosto</v>
      </c>
      <c r="AI82" s="77"/>
      <c r="AJ82" s="77"/>
      <c r="AK82" s="77"/>
      <c r="AL82" s="77"/>
      <c r="AM82" s="77"/>
      <c r="AN82" s="77"/>
    </row>
    <row r="83" spans="1:40" ht="15.75" thickBot="1" x14ac:dyDescent="0.3">
      <c r="A83" s="78" t="s">
        <v>5</v>
      </c>
      <c r="B83" s="34" t="s">
        <v>6</v>
      </c>
      <c r="C83" s="22" t="s">
        <v>7</v>
      </c>
      <c r="D83" s="33" t="s">
        <v>8</v>
      </c>
      <c r="E83" s="22" t="s">
        <v>9</v>
      </c>
      <c r="F83" s="24" t="s">
        <v>10</v>
      </c>
      <c r="G83" s="23" t="s">
        <v>11</v>
      </c>
      <c r="H83" s="25" t="s">
        <v>12</v>
      </c>
      <c r="J83" s="6" t="s">
        <v>4</v>
      </c>
      <c r="K83" s="9"/>
      <c r="L83" s="4"/>
      <c r="M83" s="4"/>
      <c r="N83" s="4"/>
      <c r="O83" s="4"/>
      <c r="P83" s="4"/>
      <c r="Q83" s="4"/>
      <c r="R83" s="4"/>
      <c r="S83" s="4"/>
      <c r="T83" s="4"/>
      <c r="U83" s="5"/>
      <c r="Y83" s="6" t="s">
        <v>4</v>
      </c>
      <c r="Z83" s="9"/>
      <c r="AA83" s="4"/>
      <c r="AB83" s="4"/>
      <c r="AC83" s="4"/>
      <c r="AD83" s="4"/>
      <c r="AE83" s="5"/>
      <c r="AH83" s="6" t="s">
        <v>4</v>
      </c>
      <c r="AI83" s="9"/>
      <c r="AJ83" s="4"/>
      <c r="AK83" s="4"/>
      <c r="AL83" s="4"/>
      <c r="AM83" s="4"/>
      <c r="AN83" s="5"/>
    </row>
    <row r="84" spans="1:40" ht="15.75" thickBot="1" x14ac:dyDescent="0.3">
      <c r="A84" s="78"/>
      <c r="B84" s="26"/>
      <c r="C84" s="27"/>
      <c r="D84" s="27"/>
      <c r="E84" s="27"/>
      <c r="F84" s="27">
        <f>SUM(C84-B84)</f>
        <v>0</v>
      </c>
      <c r="G84" s="20">
        <f>SUM(E84-D84)</f>
        <v>0</v>
      </c>
      <c r="H84" s="21">
        <f>SUM(F84:G84)</f>
        <v>0</v>
      </c>
      <c r="J84" s="7" t="s">
        <v>22</v>
      </c>
      <c r="K84" s="10"/>
      <c r="L84" s="11"/>
      <c r="M84" s="11"/>
      <c r="N84" s="11"/>
      <c r="O84" s="11"/>
      <c r="P84" s="11"/>
      <c r="Q84" s="11"/>
      <c r="R84" s="11"/>
      <c r="S84" s="11"/>
      <c r="T84" s="11"/>
      <c r="U84" s="12"/>
      <c r="Y84" s="7" t="s">
        <v>22</v>
      </c>
      <c r="Z84" s="10"/>
      <c r="AA84" s="11"/>
      <c r="AB84" s="11"/>
      <c r="AC84" s="11"/>
      <c r="AD84" s="11"/>
      <c r="AE84" s="12"/>
      <c r="AH84" s="7" t="s">
        <v>22</v>
      </c>
      <c r="AI84" s="10"/>
      <c r="AJ84" s="11"/>
      <c r="AK84" s="11"/>
      <c r="AL84" s="11"/>
      <c r="AM84" s="11"/>
      <c r="AN84" s="12"/>
    </row>
    <row r="85" spans="1:40" x14ac:dyDescent="0.25">
      <c r="J85" s="8"/>
      <c r="T85" s="8" t="s">
        <v>23</v>
      </c>
      <c r="U85" s="13">
        <f>SUM(K84:U84)</f>
        <v>0</v>
      </c>
      <c r="AD85" s="8" t="s">
        <v>23</v>
      </c>
      <c r="AE85" s="13">
        <f>SUM(Z84:AE84)</f>
        <v>0</v>
      </c>
      <c r="AM85" s="8" t="s">
        <v>23</v>
      </c>
      <c r="AN85" s="13">
        <f>SUM(AI84:AN84)</f>
        <v>0</v>
      </c>
    </row>
    <row r="86" spans="1:40" ht="15.75" thickBot="1" x14ac:dyDescent="0.3">
      <c r="A86" s="19"/>
      <c r="B86" s="74" t="s">
        <v>18</v>
      </c>
      <c r="C86" s="74"/>
      <c r="D86" s="74"/>
      <c r="E86" s="74"/>
      <c r="F86" s="74"/>
      <c r="G86" s="74"/>
      <c r="H86" s="74"/>
      <c r="J86" s="75" t="s">
        <v>18</v>
      </c>
      <c r="K86" s="75"/>
      <c r="L86" s="75"/>
      <c r="M86" s="75"/>
      <c r="N86" s="75"/>
      <c r="O86" s="75"/>
      <c r="P86" s="75"/>
      <c r="Q86" s="75"/>
      <c r="R86" s="75"/>
      <c r="S86" s="75"/>
      <c r="T86" s="75"/>
      <c r="U86" s="75"/>
      <c r="Y86" s="76" t="str">
        <f>J86</f>
        <v>Setembro</v>
      </c>
      <c r="Z86" s="76"/>
      <c r="AA86" s="76"/>
      <c r="AB86" s="76"/>
      <c r="AC86" s="76"/>
      <c r="AD86" s="76"/>
      <c r="AE86" s="76"/>
      <c r="AH86" s="77" t="str">
        <f>Y86</f>
        <v>Setembro</v>
      </c>
      <c r="AI86" s="77"/>
      <c r="AJ86" s="77"/>
      <c r="AK86" s="77"/>
      <c r="AL86" s="77"/>
      <c r="AM86" s="77"/>
      <c r="AN86" s="77"/>
    </row>
    <row r="87" spans="1:40" ht="15.75" thickBot="1" x14ac:dyDescent="0.3">
      <c r="A87" s="78" t="s">
        <v>5</v>
      </c>
      <c r="B87" s="34" t="s">
        <v>6</v>
      </c>
      <c r="C87" s="22" t="s">
        <v>7</v>
      </c>
      <c r="D87" s="33" t="s">
        <v>8</v>
      </c>
      <c r="E87" s="22" t="s">
        <v>9</v>
      </c>
      <c r="F87" s="24" t="s">
        <v>10</v>
      </c>
      <c r="G87" s="23" t="s">
        <v>11</v>
      </c>
      <c r="H87" s="25" t="s">
        <v>12</v>
      </c>
      <c r="J87" s="6" t="s">
        <v>4</v>
      </c>
      <c r="K87" s="9"/>
      <c r="L87" s="4"/>
      <c r="M87" s="4"/>
      <c r="N87" s="4"/>
      <c r="O87" s="4"/>
      <c r="P87" s="4"/>
      <c r="Q87" s="4"/>
      <c r="R87" s="4"/>
      <c r="S87" s="4"/>
      <c r="T87" s="4"/>
      <c r="U87" s="5"/>
      <c r="Y87" s="6" t="s">
        <v>4</v>
      </c>
      <c r="Z87" s="9"/>
      <c r="AA87" s="4"/>
      <c r="AB87" s="4"/>
      <c r="AC87" s="4"/>
      <c r="AD87" s="4"/>
      <c r="AE87" s="5"/>
      <c r="AH87" s="6" t="s">
        <v>4</v>
      </c>
      <c r="AI87" s="9"/>
      <c r="AJ87" s="4"/>
      <c r="AK87" s="4"/>
      <c r="AL87" s="4"/>
      <c r="AM87" s="4"/>
      <c r="AN87" s="5"/>
    </row>
    <row r="88" spans="1:40" ht="15.75" thickBot="1" x14ac:dyDescent="0.3">
      <c r="A88" s="78"/>
      <c r="B88" s="26"/>
      <c r="C88" s="27"/>
      <c r="D88" s="27"/>
      <c r="E88" s="27"/>
      <c r="F88" s="27">
        <f>SUM(C88-B88)</f>
        <v>0</v>
      </c>
      <c r="G88" s="20">
        <f>SUM(E88-D88)</f>
        <v>0</v>
      </c>
      <c r="H88" s="21">
        <f>SUM(F88:G88)</f>
        <v>0</v>
      </c>
      <c r="J88" s="7" t="s">
        <v>22</v>
      </c>
      <c r="K88" s="10"/>
      <c r="L88" s="11"/>
      <c r="M88" s="11"/>
      <c r="N88" s="11"/>
      <c r="O88" s="11"/>
      <c r="P88" s="11"/>
      <c r="Q88" s="11"/>
      <c r="R88" s="11"/>
      <c r="S88" s="11"/>
      <c r="T88" s="11"/>
      <c r="U88" s="12"/>
      <c r="Y88" s="7" t="s">
        <v>22</v>
      </c>
      <c r="Z88" s="10"/>
      <c r="AA88" s="11"/>
      <c r="AB88" s="11"/>
      <c r="AC88" s="11"/>
      <c r="AD88" s="11"/>
      <c r="AE88" s="12"/>
      <c r="AH88" s="7" t="s">
        <v>22</v>
      </c>
      <c r="AI88" s="10"/>
      <c r="AJ88" s="11"/>
      <c r="AK88" s="11"/>
      <c r="AL88" s="11"/>
      <c r="AM88" s="11"/>
      <c r="AN88" s="12"/>
    </row>
    <row r="89" spans="1:40" x14ac:dyDescent="0.25">
      <c r="J89" s="8"/>
      <c r="T89" s="8" t="s">
        <v>23</v>
      </c>
      <c r="U89" s="13">
        <f>SUM(K88:U88)</f>
        <v>0</v>
      </c>
      <c r="AD89" s="8" t="s">
        <v>23</v>
      </c>
      <c r="AE89" s="13">
        <f>SUM(Z88:AE88)</f>
        <v>0</v>
      </c>
      <c r="AM89" s="8" t="s">
        <v>23</v>
      </c>
      <c r="AN89" s="13">
        <f>SUM(AI88:AN88)</f>
        <v>0</v>
      </c>
    </row>
  </sheetData>
  <mergeCells count="112">
    <mergeCell ref="B3:C3"/>
    <mergeCell ref="E3:F3"/>
    <mergeCell ref="A51:A52"/>
    <mergeCell ref="B42:H42"/>
    <mergeCell ref="J42:U42"/>
    <mergeCell ref="W42:AC42"/>
    <mergeCell ref="AE42:AK42"/>
    <mergeCell ref="A43:A44"/>
    <mergeCell ref="B46:H46"/>
    <mergeCell ref="J46:U46"/>
    <mergeCell ref="W46:AC46"/>
    <mergeCell ref="AE46:AK46"/>
    <mergeCell ref="A47:A48"/>
    <mergeCell ref="B50:H50"/>
    <mergeCell ref="J50:U50"/>
    <mergeCell ref="W50:AC50"/>
    <mergeCell ref="AE50:AK50"/>
    <mergeCell ref="A39:A40"/>
    <mergeCell ref="B30:H30"/>
    <mergeCell ref="J30:U30"/>
    <mergeCell ref="W30:AC30"/>
    <mergeCell ref="AE30:AK30"/>
    <mergeCell ref="A31:A32"/>
    <mergeCell ref="B34:H34"/>
    <mergeCell ref="J34:U34"/>
    <mergeCell ref="W34:AC34"/>
    <mergeCell ref="AE34:AK34"/>
    <mergeCell ref="A35:A36"/>
    <mergeCell ref="B38:H38"/>
    <mergeCell ref="J38:U38"/>
    <mergeCell ref="W38:AC38"/>
    <mergeCell ref="AE38:AK38"/>
    <mergeCell ref="AE14:AK14"/>
    <mergeCell ref="A27:A28"/>
    <mergeCell ref="B18:H18"/>
    <mergeCell ref="J18:U18"/>
    <mergeCell ref="W18:AC18"/>
    <mergeCell ref="AE18:AK18"/>
    <mergeCell ref="A19:A20"/>
    <mergeCell ref="B22:H22"/>
    <mergeCell ref="J22:U22"/>
    <mergeCell ref="W22:AC22"/>
    <mergeCell ref="AE22:AK22"/>
    <mergeCell ref="A23:A24"/>
    <mergeCell ref="B26:H26"/>
    <mergeCell ref="J26:U26"/>
    <mergeCell ref="W26:AC26"/>
    <mergeCell ref="AE26:AK26"/>
    <mergeCell ref="B54:H54"/>
    <mergeCell ref="J54:U54"/>
    <mergeCell ref="Y54:AE54"/>
    <mergeCell ref="AH54:AN54"/>
    <mergeCell ref="A55:A56"/>
    <mergeCell ref="B2:C2"/>
    <mergeCell ref="E2:F2"/>
    <mergeCell ref="B5:C5"/>
    <mergeCell ref="E5:F5"/>
    <mergeCell ref="A8:H8"/>
    <mergeCell ref="B4:C4"/>
    <mergeCell ref="E4:F4"/>
    <mergeCell ref="A15:A16"/>
    <mergeCell ref="W8:AC8"/>
    <mergeCell ref="AE8:AK8"/>
    <mergeCell ref="B10:H10"/>
    <mergeCell ref="J10:U10"/>
    <mergeCell ref="W10:AC10"/>
    <mergeCell ref="AE10:AK10"/>
    <mergeCell ref="J8:U8"/>
    <mergeCell ref="A11:A12"/>
    <mergeCell ref="B14:H14"/>
    <mergeCell ref="J14:U14"/>
    <mergeCell ref="W14:AC14"/>
    <mergeCell ref="B62:H62"/>
    <mergeCell ref="J62:U62"/>
    <mergeCell ref="Y62:AE62"/>
    <mergeCell ref="AH62:AN62"/>
    <mergeCell ref="A63:A64"/>
    <mergeCell ref="B58:H58"/>
    <mergeCell ref="J58:U58"/>
    <mergeCell ref="Y58:AE58"/>
    <mergeCell ref="AH58:AN58"/>
    <mergeCell ref="A59:A60"/>
    <mergeCell ref="B70:H70"/>
    <mergeCell ref="J70:U70"/>
    <mergeCell ref="Y70:AE70"/>
    <mergeCell ref="AH70:AN70"/>
    <mergeCell ref="A71:A72"/>
    <mergeCell ref="B66:H66"/>
    <mergeCell ref="J66:U66"/>
    <mergeCell ref="Y66:AE66"/>
    <mergeCell ref="AH66:AN66"/>
    <mergeCell ref="A67:A68"/>
    <mergeCell ref="B78:H78"/>
    <mergeCell ref="J78:U78"/>
    <mergeCell ref="Y78:AE78"/>
    <mergeCell ref="AH78:AN78"/>
    <mergeCell ref="A79:A80"/>
    <mergeCell ref="B74:H74"/>
    <mergeCell ref="J74:U74"/>
    <mergeCell ref="Y74:AE74"/>
    <mergeCell ref="AH74:AN74"/>
    <mergeCell ref="A75:A76"/>
    <mergeCell ref="B86:H86"/>
    <mergeCell ref="J86:U86"/>
    <mergeCell ref="Y86:AE86"/>
    <mergeCell ref="AH86:AN86"/>
    <mergeCell ref="A87:A88"/>
    <mergeCell ref="B82:H82"/>
    <mergeCell ref="J82:U82"/>
    <mergeCell ref="Y82:AE82"/>
    <mergeCell ref="AH82:AN82"/>
    <mergeCell ref="A83:A84"/>
  </mergeCells>
  <phoneticPr fontId="3" type="noConversion"/>
  <pageMargins left="0.511811024" right="0.511811024" top="0.78740157499999996" bottom="0.78740157499999996" header="0.31496062000000002" footer="0.31496062000000002"/>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AN56"/>
  <sheetViews>
    <sheetView showGridLines="0" workbookViewId="0">
      <selection activeCell="B27" sqref="B27"/>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42578125" bestFit="1" customWidth="1"/>
    <col min="12" max="12" width="10.5703125" bestFit="1" customWidth="1"/>
    <col min="13" max="17" width="10.42578125" bestFit="1" customWidth="1"/>
    <col min="26" max="28" width="10.42578125" bestFit="1" customWidth="1"/>
    <col min="37" max="39" width="10.140625" bestFit="1" customWidth="1"/>
  </cols>
  <sheetData>
    <row r="2" spans="1:40" x14ac:dyDescent="0.25">
      <c r="A2" t="s">
        <v>0</v>
      </c>
      <c r="B2" s="79" t="s">
        <v>92</v>
      </c>
      <c r="C2" s="79"/>
      <c r="D2" s="1" t="s">
        <v>1</v>
      </c>
      <c r="E2" s="79" t="s">
        <v>101</v>
      </c>
      <c r="F2" s="79"/>
      <c r="H2" t="s">
        <v>85</v>
      </c>
      <c r="I2" s="68">
        <v>4500</v>
      </c>
    </row>
    <row r="3" spans="1:40" x14ac:dyDescent="0.25">
      <c r="A3" t="s">
        <v>80</v>
      </c>
      <c r="B3" s="79"/>
      <c r="C3" s="79"/>
      <c r="D3" s="1" t="s">
        <v>1</v>
      </c>
      <c r="E3" s="79"/>
      <c r="F3" s="79"/>
      <c r="H3" t="s">
        <v>81</v>
      </c>
      <c r="I3" s="54"/>
    </row>
    <row r="4" spans="1:40" x14ac:dyDescent="0.25">
      <c r="A4" t="s">
        <v>2</v>
      </c>
      <c r="B4" s="80">
        <v>4144</v>
      </c>
      <c r="C4" s="80"/>
      <c r="D4" s="1" t="s">
        <v>29</v>
      </c>
      <c r="E4" s="81">
        <v>45</v>
      </c>
      <c r="F4" s="81"/>
      <c r="H4" t="s">
        <v>70</v>
      </c>
      <c r="I4" s="69">
        <v>46040</v>
      </c>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s="15" customFormat="1" ht="15.75" thickBot="1" x14ac:dyDescent="0.3">
      <c r="A9" s="19">
        <v>2026</v>
      </c>
      <c r="B9" s="74" t="s">
        <v>100</v>
      </c>
      <c r="C9" s="74"/>
      <c r="D9" s="74"/>
      <c r="E9" s="74"/>
      <c r="F9" s="74"/>
      <c r="G9" s="74"/>
      <c r="H9" s="74"/>
      <c r="I9"/>
      <c r="J9" s="75" t="s">
        <v>100</v>
      </c>
      <c r="K9" s="75"/>
      <c r="L9" s="75"/>
      <c r="M9" s="75"/>
      <c r="N9" s="75"/>
      <c r="O9" s="75"/>
      <c r="P9" s="75"/>
      <c r="Q9" s="75"/>
      <c r="R9" s="75"/>
      <c r="S9" s="75"/>
      <c r="T9" s="75"/>
      <c r="U9" s="75"/>
      <c r="V9"/>
      <c r="W9"/>
      <c r="X9"/>
      <c r="Y9" s="76" t="s">
        <v>100</v>
      </c>
      <c r="Z9" s="76"/>
      <c r="AA9" s="76"/>
      <c r="AB9" s="76"/>
      <c r="AC9" s="76"/>
      <c r="AD9" s="76"/>
      <c r="AE9" s="76"/>
      <c r="AF9"/>
      <c r="AG9"/>
      <c r="AH9" s="77" t="s">
        <v>100</v>
      </c>
      <c r="AI9" s="77"/>
      <c r="AJ9" s="77"/>
      <c r="AK9" s="77"/>
      <c r="AL9" s="77"/>
      <c r="AM9" s="77"/>
      <c r="AN9" s="77"/>
    </row>
    <row r="10" spans="1:40" s="15" customFormat="1" ht="15.75" thickBot="1" x14ac:dyDescent="0.3">
      <c r="A10" s="78" t="s">
        <v>5</v>
      </c>
      <c r="B10" s="34" t="s">
        <v>6</v>
      </c>
      <c r="C10" s="22" t="s">
        <v>7</v>
      </c>
      <c r="D10" s="33" t="s">
        <v>8</v>
      </c>
      <c r="E10" s="22" t="s">
        <v>9</v>
      </c>
      <c r="F10" s="24" t="s">
        <v>10</v>
      </c>
      <c r="G10" s="23" t="s">
        <v>11</v>
      </c>
      <c r="H10" s="25" t="s">
        <v>12</v>
      </c>
      <c r="I10"/>
      <c r="J10" s="28" t="s">
        <v>4</v>
      </c>
      <c r="K10" s="9">
        <v>46049</v>
      </c>
      <c r="L10" s="66">
        <v>46052</v>
      </c>
      <c r="M10" s="4"/>
      <c r="N10" s="4"/>
      <c r="O10" s="4"/>
      <c r="P10" s="4"/>
      <c r="Q10" s="4"/>
      <c r="R10" s="4"/>
      <c r="S10" s="4"/>
      <c r="T10" s="4"/>
      <c r="U10" s="5"/>
      <c r="V10"/>
      <c r="W10"/>
      <c r="X10"/>
      <c r="Y10" s="6" t="s">
        <v>4</v>
      </c>
      <c r="Z10" s="9"/>
      <c r="AA10" s="4"/>
      <c r="AB10" s="4"/>
      <c r="AC10" s="4"/>
      <c r="AD10" s="4"/>
      <c r="AE10" s="5"/>
      <c r="AF10"/>
      <c r="AG10"/>
      <c r="AH10" s="6" t="s">
        <v>4</v>
      </c>
      <c r="AI10" s="9"/>
      <c r="AJ10" s="4"/>
      <c r="AK10" s="4"/>
      <c r="AL10" s="4"/>
      <c r="AM10" s="4"/>
      <c r="AN10" s="5"/>
    </row>
    <row r="11" spans="1:40" s="15" customFormat="1" ht="15.75" thickBot="1" x14ac:dyDescent="0.3">
      <c r="A11" s="78"/>
      <c r="B11" s="26"/>
      <c r="C11" s="27"/>
      <c r="D11" s="27">
        <v>1542</v>
      </c>
      <c r="E11" s="27">
        <v>2557</v>
      </c>
      <c r="F11" s="27">
        <f>SUM(C11-B11)</f>
        <v>0</v>
      </c>
      <c r="G11" s="20">
        <f>SUM(E11-D11)</f>
        <v>1015</v>
      </c>
      <c r="H11" s="21">
        <f>SUM(F11:G11)</f>
        <v>1015</v>
      </c>
      <c r="I11"/>
      <c r="J11" s="29" t="s">
        <v>22</v>
      </c>
      <c r="K11" s="10">
        <v>218.87</v>
      </c>
      <c r="L11" s="11">
        <v>268.52999999999997</v>
      </c>
      <c r="M11" s="11"/>
      <c r="N11" s="11"/>
      <c r="O11" s="11"/>
      <c r="P11" s="11"/>
      <c r="Q11" s="11"/>
      <c r="R11" s="11"/>
      <c r="S11" s="11"/>
      <c r="T11" s="11"/>
      <c r="U11" s="12"/>
      <c r="V11"/>
      <c r="W11"/>
      <c r="X11"/>
      <c r="Y11" s="7" t="s">
        <v>22</v>
      </c>
      <c r="Z11" s="10"/>
      <c r="AA11" s="11"/>
      <c r="AB11" s="11"/>
      <c r="AC11" s="11"/>
      <c r="AD11" s="11"/>
      <c r="AE11" s="12"/>
      <c r="AF11"/>
      <c r="AG11"/>
      <c r="AH11" s="7" t="s">
        <v>22</v>
      </c>
      <c r="AI11" s="10"/>
      <c r="AJ11" s="11"/>
      <c r="AK11" s="11"/>
      <c r="AL11" s="11"/>
      <c r="AM11" s="11"/>
      <c r="AN11" s="12"/>
    </row>
    <row r="12" spans="1:40" s="15" customFormat="1" x14ac:dyDescent="0.25">
      <c r="A12"/>
      <c r="B12" s="1"/>
      <c r="C12" s="1"/>
      <c r="D12" s="1"/>
      <c r="E12" s="1"/>
      <c r="F12"/>
      <c r="G12"/>
      <c r="H12"/>
      <c r="I12"/>
      <c r="J12" s="8"/>
      <c r="K12"/>
      <c r="L12"/>
      <c r="M12"/>
      <c r="N12"/>
      <c r="O12"/>
      <c r="P12"/>
      <c r="Q12"/>
      <c r="R12"/>
      <c r="S12"/>
      <c r="T12" s="8" t="s">
        <v>23</v>
      </c>
      <c r="U12" s="13">
        <f>SUM(K11:U11)</f>
        <v>487.4</v>
      </c>
      <c r="V12"/>
      <c r="W12"/>
      <c r="X12"/>
      <c r="Y12"/>
      <c r="Z12"/>
      <c r="AA12"/>
      <c r="AB12"/>
      <c r="AC12"/>
      <c r="AD12" s="8" t="s">
        <v>23</v>
      </c>
      <c r="AE12" s="13">
        <f>SUM(Z11:AE11)</f>
        <v>0</v>
      </c>
      <c r="AF12"/>
      <c r="AG12"/>
      <c r="AH12"/>
      <c r="AI12"/>
      <c r="AJ12"/>
      <c r="AK12"/>
      <c r="AL12"/>
      <c r="AM12" s="8" t="s">
        <v>23</v>
      </c>
      <c r="AN12" s="13">
        <f>SUM(AI11:AN11)</f>
        <v>0</v>
      </c>
    </row>
    <row r="13" spans="1:40" ht="15.75" thickBot="1" x14ac:dyDescent="0.3">
      <c r="A13" s="19"/>
      <c r="B13" s="74" t="s">
        <v>3</v>
      </c>
      <c r="C13" s="74"/>
      <c r="D13" s="74"/>
      <c r="E13" s="74"/>
      <c r="F13" s="74"/>
      <c r="G13" s="74"/>
      <c r="H13" s="74"/>
      <c r="J13" s="75" t="s">
        <v>3</v>
      </c>
      <c r="K13" s="75"/>
      <c r="L13" s="75"/>
      <c r="M13" s="75"/>
      <c r="N13" s="75"/>
      <c r="O13" s="75"/>
      <c r="P13" s="75"/>
      <c r="Q13" s="75"/>
      <c r="R13" s="75"/>
      <c r="S13" s="75"/>
      <c r="T13" s="75"/>
      <c r="U13" s="75"/>
      <c r="Y13" s="76" t="s">
        <v>3</v>
      </c>
      <c r="Z13" s="76"/>
      <c r="AA13" s="76"/>
      <c r="AB13" s="76"/>
      <c r="AC13" s="76"/>
      <c r="AD13" s="76"/>
      <c r="AE13" s="76"/>
      <c r="AH13" s="77" t="s">
        <v>3</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28" t="s">
        <v>4</v>
      </c>
      <c r="K14" s="9">
        <v>46056</v>
      </c>
      <c r="L14" s="66">
        <v>46059</v>
      </c>
      <c r="M14" s="66">
        <v>46064</v>
      </c>
      <c r="N14" s="66">
        <v>46066</v>
      </c>
      <c r="O14" s="66">
        <v>46071</v>
      </c>
      <c r="P14" s="66">
        <v>46073</v>
      </c>
      <c r="Q14" s="66">
        <v>46078</v>
      </c>
      <c r="R14" s="66"/>
      <c r="S14" s="66"/>
      <c r="T14" s="66"/>
      <c r="U14" s="72"/>
      <c r="Y14" s="6" t="s">
        <v>4</v>
      </c>
      <c r="Z14" s="9"/>
      <c r="AA14" s="4"/>
      <c r="AB14" s="4"/>
      <c r="AC14" s="4"/>
      <c r="AD14" s="4"/>
      <c r="AE14" s="5"/>
      <c r="AH14" s="6" t="s">
        <v>4</v>
      </c>
      <c r="AI14" s="9"/>
      <c r="AJ14" s="4"/>
      <c r="AK14" s="4"/>
      <c r="AL14" s="4"/>
      <c r="AM14" s="4"/>
      <c r="AN14" s="5"/>
    </row>
    <row r="15" spans="1:40" ht="15.75" thickBot="1" x14ac:dyDescent="0.3">
      <c r="A15" s="78"/>
      <c r="B15" s="27">
        <v>2557</v>
      </c>
      <c r="C15" s="27"/>
      <c r="D15" s="27"/>
      <c r="E15" s="27">
        <v>5306</v>
      </c>
      <c r="F15" s="27">
        <f>SUM(C15-B15)</f>
        <v>-2557</v>
      </c>
      <c r="G15" s="20">
        <f>SUM(E15-D15)</f>
        <v>5306</v>
      </c>
      <c r="H15" s="21">
        <f>SUM(F15:G15)</f>
        <v>2749</v>
      </c>
      <c r="J15" s="29" t="s">
        <v>22</v>
      </c>
      <c r="K15" s="10">
        <v>257.06</v>
      </c>
      <c r="L15" s="11">
        <v>226.47</v>
      </c>
      <c r="M15" s="11">
        <v>220.02</v>
      </c>
      <c r="N15" s="11">
        <v>166.38</v>
      </c>
      <c r="O15" s="11">
        <v>230.93</v>
      </c>
      <c r="P15" s="11">
        <v>148.03</v>
      </c>
      <c r="Q15" s="11">
        <v>225</v>
      </c>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1473.8899999999999</v>
      </c>
      <c r="AD16" s="8" t="s">
        <v>23</v>
      </c>
      <c r="AE16" s="13">
        <f>SUM(Z15:AE15)</f>
        <v>0</v>
      </c>
      <c r="AM16" s="8" t="s">
        <v>23</v>
      </c>
      <c r="AN16" s="13">
        <f>SUM(AI15:AN15)</f>
        <v>0</v>
      </c>
    </row>
    <row r="17" spans="1:40" ht="15.75" thickBot="1" x14ac:dyDescent="0.3">
      <c r="A17" s="19"/>
      <c r="B17" s="74" t="s">
        <v>13</v>
      </c>
      <c r="C17" s="74"/>
      <c r="D17" s="74"/>
      <c r="E17" s="74"/>
      <c r="F17" s="74"/>
      <c r="G17" s="74"/>
      <c r="H17" s="74"/>
      <c r="J17" s="75" t="s">
        <v>13</v>
      </c>
      <c r="K17" s="75"/>
      <c r="L17" s="75"/>
      <c r="M17" s="75"/>
      <c r="N17" s="75"/>
      <c r="O17" s="75"/>
      <c r="P17" s="75"/>
      <c r="Q17" s="75"/>
      <c r="R17" s="75"/>
      <c r="S17" s="75"/>
      <c r="T17" s="75"/>
      <c r="U17" s="75"/>
      <c r="Y17" s="76" t="str">
        <f>J17</f>
        <v>Março</v>
      </c>
      <c r="Z17" s="76"/>
      <c r="AA17" s="76"/>
      <c r="AB17" s="76"/>
      <c r="AC17" s="76"/>
      <c r="AD17" s="76"/>
      <c r="AE17" s="76"/>
      <c r="AH17" s="77" t="str">
        <f>Y17</f>
        <v>Março</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v>46092</v>
      </c>
      <c r="L18" s="66">
        <v>46094</v>
      </c>
      <c r="M18" s="66">
        <v>46098</v>
      </c>
      <c r="N18" s="66">
        <v>46101</v>
      </c>
      <c r="O18" s="66">
        <v>46106</v>
      </c>
      <c r="P18" s="66">
        <v>46108</v>
      </c>
      <c r="Q18" s="66">
        <v>46112</v>
      </c>
      <c r="R18" s="66"/>
      <c r="S18" s="66"/>
      <c r="T18" s="66"/>
      <c r="U18" s="72"/>
      <c r="Y18" s="6" t="s">
        <v>4</v>
      </c>
      <c r="Z18" s="9">
        <v>46102</v>
      </c>
      <c r="AA18" s="66">
        <v>46109</v>
      </c>
      <c r="AB18" s="66"/>
      <c r="AC18" s="66"/>
      <c r="AD18" s="66"/>
      <c r="AE18" s="72"/>
      <c r="AH18" s="6" t="s">
        <v>4</v>
      </c>
      <c r="AI18" s="9"/>
      <c r="AJ18" s="4"/>
      <c r="AK18" s="4"/>
      <c r="AL18" s="4"/>
      <c r="AM18" s="4"/>
      <c r="AN18" s="5"/>
    </row>
    <row r="19" spans="1:40" ht="15.75" thickBot="1" x14ac:dyDescent="0.3">
      <c r="A19" s="78"/>
      <c r="B19" s="27">
        <v>5306</v>
      </c>
      <c r="C19" s="27"/>
      <c r="D19" s="27"/>
      <c r="E19" s="27">
        <v>8003</v>
      </c>
      <c r="F19" s="27">
        <f>SUM(C19-B19)</f>
        <v>-5306</v>
      </c>
      <c r="G19" s="20">
        <f>SUM(E19-D19)</f>
        <v>8003</v>
      </c>
      <c r="H19" s="21">
        <f>SUM(F19:G19)</f>
        <v>2697</v>
      </c>
      <c r="J19" s="7" t="s">
        <v>22</v>
      </c>
      <c r="K19" s="10">
        <v>283.01</v>
      </c>
      <c r="L19" s="11">
        <v>172.26</v>
      </c>
      <c r="M19" s="11">
        <v>277.02</v>
      </c>
      <c r="N19" s="11">
        <v>260.06</v>
      </c>
      <c r="O19" s="11">
        <v>286.64</v>
      </c>
      <c r="P19" s="11">
        <v>176.29</v>
      </c>
      <c r="Q19" s="11">
        <v>267.04000000000002</v>
      </c>
      <c r="R19" s="11"/>
      <c r="S19" s="11"/>
      <c r="T19" s="11"/>
      <c r="U19" s="12"/>
      <c r="Y19" s="7" t="s">
        <v>22</v>
      </c>
      <c r="Z19" s="10">
        <v>60</v>
      </c>
      <c r="AA19" s="11">
        <v>60</v>
      </c>
      <c r="AB19" s="11"/>
      <c r="AC19" s="11"/>
      <c r="AD19" s="11"/>
      <c r="AE19" s="12"/>
      <c r="AH19" s="7" t="s">
        <v>22</v>
      </c>
      <c r="AI19" s="10"/>
      <c r="AJ19" s="11"/>
      <c r="AK19" s="11"/>
      <c r="AL19" s="11"/>
      <c r="AM19" s="11"/>
      <c r="AN19" s="12"/>
    </row>
    <row r="20" spans="1:40" x14ac:dyDescent="0.25">
      <c r="J20" s="8"/>
      <c r="T20" s="8" t="s">
        <v>23</v>
      </c>
      <c r="U20" s="13">
        <f>SUM(K19:U19)</f>
        <v>1722.3199999999997</v>
      </c>
      <c r="AD20" s="8" t="s">
        <v>23</v>
      </c>
      <c r="AE20" s="13">
        <f>SUM(Z19:AE19)</f>
        <v>120</v>
      </c>
      <c r="AM20" s="8" t="s">
        <v>23</v>
      </c>
      <c r="AN20" s="13">
        <f>SUM(AI19:AN19)</f>
        <v>0</v>
      </c>
    </row>
    <row r="21" spans="1:40" ht="15.75" thickBot="1" x14ac:dyDescent="0.3">
      <c r="A21" s="19"/>
      <c r="B21" s="74" t="s">
        <v>14</v>
      </c>
      <c r="C21" s="74"/>
      <c r="D21" s="74"/>
      <c r="E21" s="74"/>
      <c r="F21" s="74"/>
      <c r="G21" s="74"/>
      <c r="H21" s="74"/>
      <c r="J21" s="75" t="s">
        <v>14</v>
      </c>
      <c r="K21" s="75"/>
      <c r="L21" s="75"/>
      <c r="M21" s="75"/>
      <c r="N21" s="75"/>
      <c r="O21" s="75"/>
      <c r="P21" s="75"/>
      <c r="Q21" s="75"/>
      <c r="R21" s="75"/>
      <c r="S21" s="75"/>
      <c r="T21" s="75"/>
      <c r="U21" s="75"/>
      <c r="Y21" s="76" t="str">
        <f>J21</f>
        <v>Abril</v>
      </c>
      <c r="Z21" s="76"/>
      <c r="AA21" s="76"/>
      <c r="AB21" s="76"/>
      <c r="AC21" s="76"/>
      <c r="AD21" s="76"/>
      <c r="AE21" s="76"/>
      <c r="AH21" s="77" t="str">
        <f>Y21</f>
        <v>Abril</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7">
        <v>8003</v>
      </c>
      <c r="C23" s="27"/>
      <c r="D23" s="27"/>
      <c r="E23" s="27">
        <v>10360</v>
      </c>
      <c r="F23" s="27">
        <f>SUM(C23-B23)</f>
        <v>-8003</v>
      </c>
      <c r="G23" s="20">
        <f>SUM(E23-D23)</f>
        <v>10360</v>
      </c>
      <c r="H23" s="21">
        <f>SUM(F23:G23)</f>
        <v>2357</v>
      </c>
      <c r="J23" s="7" t="s">
        <v>22</v>
      </c>
      <c r="K23" s="30"/>
      <c r="L23" s="31"/>
      <c r="M23" s="31"/>
      <c r="N23" s="31"/>
      <c r="O23" s="31"/>
      <c r="P23" s="31"/>
      <c r="Q23" s="31"/>
      <c r="R23" s="31"/>
      <c r="S23" s="31"/>
      <c r="T23" s="31"/>
      <c r="U23" s="3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15</v>
      </c>
      <c r="C25" s="74"/>
      <c r="D25" s="74"/>
      <c r="E25" s="74"/>
      <c r="F25" s="74"/>
      <c r="G25" s="74"/>
      <c r="H25" s="74"/>
      <c r="J25" s="75" t="s">
        <v>15</v>
      </c>
      <c r="K25" s="75"/>
      <c r="L25" s="75"/>
      <c r="M25" s="75"/>
      <c r="N25" s="75"/>
      <c r="O25" s="75"/>
      <c r="P25" s="75"/>
      <c r="Q25" s="75"/>
      <c r="R25" s="75"/>
      <c r="S25" s="75"/>
      <c r="T25" s="75"/>
      <c r="U25" s="75"/>
      <c r="Y25" s="76" t="str">
        <f>J25</f>
        <v>Maio</v>
      </c>
      <c r="Z25" s="76"/>
      <c r="AA25" s="76"/>
      <c r="AB25" s="76"/>
      <c r="AC25" s="76"/>
      <c r="AD25" s="76"/>
      <c r="AE25" s="76"/>
      <c r="AH25" s="77" t="str">
        <f>Y25</f>
        <v>Maio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7">
        <v>10360</v>
      </c>
      <c r="C27" s="27"/>
      <c r="D27" s="27"/>
      <c r="E27" s="27">
        <v>13539</v>
      </c>
      <c r="F27" s="27">
        <f>SUM(C27-B27)</f>
        <v>-10360</v>
      </c>
      <c r="G27" s="20">
        <f>SUM(E27-D27)</f>
        <v>13539</v>
      </c>
      <c r="H27" s="21">
        <f>SUM(F27:G27)</f>
        <v>3179</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24</v>
      </c>
      <c r="C29" s="74"/>
      <c r="D29" s="74"/>
      <c r="E29" s="74"/>
      <c r="F29" s="74"/>
      <c r="G29" s="74"/>
      <c r="H29" s="74"/>
      <c r="J29" s="75" t="s">
        <v>24</v>
      </c>
      <c r="K29" s="75"/>
      <c r="L29" s="75"/>
      <c r="M29" s="75"/>
      <c r="N29" s="75"/>
      <c r="O29" s="75"/>
      <c r="P29" s="75"/>
      <c r="Q29" s="75"/>
      <c r="R29" s="75"/>
      <c r="S29" s="75"/>
      <c r="T29" s="75"/>
      <c r="U29" s="75"/>
      <c r="Y29" s="76" t="str">
        <f>J29</f>
        <v>Junho</v>
      </c>
      <c r="Z29" s="76"/>
      <c r="AA29" s="76"/>
      <c r="AB29" s="76"/>
      <c r="AC29" s="76"/>
      <c r="AD29" s="76"/>
      <c r="AE29" s="76"/>
      <c r="AH29" s="77" t="str">
        <f>Y29</f>
        <v>Junho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16</v>
      </c>
      <c r="C33" s="74"/>
      <c r="D33" s="74"/>
      <c r="E33" s="74"/>
      <c r="F33" s="74"/>
      <c r="G33" s="74"/>
      <c r="H33" s="74"/>
      <c r="J33" s="75" t="s">
        <v>16</v>
      </c>
      <c r="K33" s="75"/>
      <c r="L33" s="75"/>
      <c r="M33" s="75"/>
      <c r="N33" s="75"/>
      <c r="O33" s="75"/>
      <c r="P33" s="75"/>
      <c r="Q33" s="75"/>
      <c r="R33" s="75"/>
      <c r="S33" s="75"/>
      <c r="T33" s="75"/>
      <c r="U33" s="75"/>
      <c r="Y33" s="76" t="str">
        <f>J33</f>
        <v>Julho</v>
      </c>
      <c r="Z33" s="76"/>
      <c r="AA33" s="76"/>
      <c r="AB33" s="76"/>
      <c r="AC33" s="76"/>
      <c r="AD33" s="76"/>
      <c r="AE33" s="76"/>
      <c r="AH33" s="77" t="str">
        <f>Y33</f>
        <v>Julho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17</v>
      </c>
      <c r="C37" s="74"/>
      <c r="D37" s="74"/>
      <c r="E37" s="74"/>
      <c r="F37" s="74"/>
      <c r="G37" s="74"/>
      <c r="H37" s="74"/>
      <c r="J37" s="75" t="s">
        <v>17</v>
      </c>
      <c r="K37" s="75"/>
      <c r="L37" s="75"/>
      <c r="M37" s="75"/>
      <c r="N37" s="75"/>
      <c r="O37" s="75"/>
      <c r="P37" s="75"/>
      <c r="Q37" s="75"/>
      <c r="R37" s="75"/>
      <c r="S37" s="75"/>
      <c r="T37" s="75"/>
      <c r="U37" s="75"/>
      <c r="Y37" s="76" t="str">
        <f>J37</f>
        <v>Agosto</v>
      </c>
      <c r="Z37" s="76"/>
      <c r="AA37" s="76"/>
      <c r="AB37" s="76"/>
      <c r="AC37" s="76"/>
      <c r="AD37" s="76"/>
      <c r="AE37" s="76"/>
      <c r="AH37" s="77" t="str">
        <f>Y37</f>
        <v>Agosto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18</v>
      </c>
      <c r="C41" s="74"/>
      <c r="D41" s="74"/>
      <c r="E41" s="74"/>
      <c r="F41" s="74"/>
      <c r="G41" s="74"/>
      <c r="H41" s="74"/>
      <c r="J41" s="75" t="s">
        <v>18</v>
      </c>
      <c r="K41" s="75"/>
      <c r="L41" s="75"/>
      <c r="M41" s="75"/>
      <c r="N41" s="75"/>
      <c r="O41" s="75"/>
      <c r="P41" s="75"/>
      <c r="Q41" s="75"/>
      <c r="R41" s="75"/>
      <c r="S41" s="75"/>
      <c r="T41" s="75"/>
      <c r="U41" s="75"/>
      <c r="Y41" s="76" t="str">
        <f>J41</f>
        <v>Setembro</v>
      </c>
      <c r="Z41" s="76"/>
      <c r="AA41" s="76"/>
      <c r="AB41" s="76"/>
      <c r="AC41" s="76"/>
      <c r="AD41" s="76"/>
      <c r="AE41" s="76"/>
      <c r="AH41" s="77" t="str">
        <f>Y41</f>
        <v>Setembro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19</v>
      </c>
      <c r="C45" s="74"/>
      <c r="D45" s="74"/>
      <c r="E45" s="74"/>
      <c r="F45" s="74"/>
      <c r="G45" s="74"/>
      <c r="H45" s="74"/>
      <c r="J45" s="75" t="s">
        <v>19</v>
      </c>
      <c r="K45" s="75"/>
      <c r="L45" s="75"/>
      <c r="M45" s="75"/>
      <c r="N45" s="75"/>
      <c r="O45" s="75"/>
      <c r="P45" s="75"/>
      <c r="Q45" s="75"/>
      <c r="R45" s="75"/>
      <c r="S45" s="75"/>
      <c r="T45" s="75"/>
      <c r="U45" s="75"/>
      <c r="Y45" s="76" t="str">
        <f>J45</f>
        <v>Outubro</v>
      </c>
      <c r="Z45" s="76"/>
      <c r="AA45" s="76"/>
      <c r="AB45" s="76"/>
      <c r="AC45" s="76"/>
      <c r="AD45" s="76"/>
      <c r="AE45" s="76"/>
      <c r="AH45" s="77" t="str">
        <f>Y45</f>
        <v>Outubro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20</v>
      </c>
      <c r="C49" s="74"/>
      <c r="D49" s="74"/>
      <c r="E49" s="74"/>
      <c r="F49" s="74"/>
      <c r="G49" s="74"/>
      <c r="H49" s="74"/>
      <c r="J49" s="75" t="s">
        <v>20</v>
      </c>
      <c r="K49" s="75"/>
      <c r="L49" s="75"/>
      <c r="M49" s="75"/>
      <c r="N49" s="75"/>
      <c r="O49" s="75"/>
      <c r="P49" s="75"/>
      <c r="Q49" s="75"/>
      <c r="R49" s="75"/>
      <c r="S49" s="75"/>
      <c r="T49" s="75"/>
      <c r="U49" s="75"/>
      <c r="Y49" s="76" t="str">
        <f>J49</f>
        <v>Novembro</v>
      </c>
      <c r="Z49" s="76"/>
      <c r="AA49" s="76"/>
      <c r="AB49" s="76"/>
      <c r="AC49" s="76"/>
      <c r="AD49" s="76"/>
      <c r="AE49" s="76"/>
      <c r="AH49" s="77" t="str">
        <f>Y49</f>
        <v>Novembro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row r="53" spans="1:40" ht="15.75" thickBot="1" x14ac:dyDescent="0.3">
      <c r="A53" s="19"/>
      <c r="B53" s="74" t="s">
        <v>21</v>
      </c>
      <c r="C53" s="74"/>
      <c r="D53" s="74"/>
      <c r="E53" s="74"/>
      <c r="F53" s="74"/>
      <c r="G53" s="74"/>
      <c r="H53" s="74"/>
      <c r="J53" s="75" t="s">
        <v>21</v>
      </c>
      <c r="K53" s="75"/>
      <c r="L53" s="75"/>
      <c r="M53" s="75"/>
      <c r="N53" s="75"/>
      <c r="O53" s="75"/>
      <c r="P53" s="75"/>
      <c r="Q53" s="75"/>
      <c r="R53" s="75"/>
      <c r="S53" s="75"/>
      <c r="T53" s="75"/>
      <c r="U53" s="75"/>
      <c r="Y53" s="76" t="str">
        <f>J53</f>
        <v>Dezembro</v>
      </c>
      <c r="Z53" s="76"/>
      <c r="AA53" s="76"/>
      <c r="AB53" s="76"/>
      <c r="AC53" s="76"/>
      <c r="AD53" s="76"/>
      <c r="AE53" s="76"/>
      <c r="AH53" s="77" t="str">
        <f>Y53</f>
        <v>Dezembro</v>
      </c>
      <c r="AI53" s="77"/>
      <c r="AJ53" s="77"/>
      <c r="AK53" s="77"/>
      <c r="AL53" s="77"/>
      <c r="AM53" s="77"/>
      <c r="AN53" s="77"/>
    </row>
    <row r="54" spans="1:40" ht="15.75" thickBot="1" x14ac:dyDescent="0.3">
      <c r="A54" s="78" t="s">
        <v>5</v>
      </c>
      <c r="B54" s="34" t="s">
        <v>6</v>
      </c>
      <c r="C54" s="22" t="s">
        <v>7</v>
      </c>
      <c r="D54" s="33" t="s">
        <v>8</v>
      </c>
      <c r="E54" s="22" t="s">
        <v>9</v>
      </c>
      <c r="F54" s="24" t="s">
        <v>10</v>
      </c>
      <c r="G54" s="23" t="s">
        <v>11</v>
      </c>
      <c r="H54" s="25" t="s">
        <v>12</v>
      </c>
      <c r="J54" s="6" t="s">
        <v>4</v>
      </c>
      <c r="K54" s="9"/>
      <c r="L54" s="4"/>
      <c r="M54" s="4"/>
      <c r="N54" s="4"/>
      <c r="O54" s="4"/>
      <c r="P54" s="4"/>
      <c r="Q54" s="4"/>
      <c r="R54" s="4"/>
      <c r="S54" s="4"/>
      <c r="T54" s="4"/>
      <c r="U54" s="5"/>
      <c r="Y54" s="6" t="s">
        <v>4</v>
      </c>
      <c r="Z54" s="9"/>
      <c r="AA54" s="4"/>
      <c r="AB54" s="4"/>
      <c r="AC54" s="4"/>
      <c r="AD54" s="4"/>
      <c r="AE54" s="5"/>
      <c r="AH54" s="6" t="s">
        <v>4</v>
      </c>
      <c r="AI54" s="9"/>
      <c r="AJ54" s="4"/>
      <c r="AK54" s="4"/>
      <c r="AL54" s="4"/>
      <c r="AM54" s="4"/>
      <c r="AN54" s="5"/>
    </row>
    <row r="55" spans="1:40" ht="15.75" thickBot="1" x14ac:dyDescent="0.3">
      <c r="A55" s="78"/>
      <c r="B55" s="26"/>
      <c r="C55" s="27"/>
      <c r="D55" s="27"/>
      <c r="E55" s="27"/>
      <c r="F55" s="27">
        <f>SUM(C55-B55)</f>
        <v>0</v>
      </c>
      <c r="G55" s="20">
        <f>SUM(E55-D55)</f>
        <v>0</v>
      </c>
      <c r="H55" s="21">
        <f>SUM(F55:G55)</f>
        <v>0</v>
      </c>
      <c r="J55" s="7" t="s">
        <v>22</v>
      </c>
      <c r="K55" s="10"/>
      <c r="L55" s="11"/>
      <c r="M55" s="11"/>
      <c r="N55" s="11"/>
      <c r="O55" s="11"/>
      <c r="P55" s="11"/>
      <c r="Q55" s="11"/>
      <c r="R55" s="11"/>
      <c r="S55" s="11"/>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0</v>
      </c>
      <c r="AD56" s="8" t="s">
        <v>23</v>
      </c>
      <c r="AE56" s="13">
        <f>SUM(Z55:AE55)</f>
        <v>0</v>
      </c>
      <c r="AM56" s="8" t="s">
        <v>23</v>
      </c>
      <c r="AN56" s="13">
        <f>SUM(AI55:AN55)</f>
        <v>0</v>
      </c>
    </row>
  </sheetData>
  <mergeCells count="70">
    <mergeCell ref="AH9:AN9"/>
    <mergeCell ref="A10:A11"/>
    <mergeCell ref="A54:A55"/>
    <mergeCell ref="B45:H45"/>
    <mergeCell ref="J45:U45"/>
    <mergeCell ref="Y45:AE45"/>
    <mergeCell ref="AH45:AN45"/>
    <mergeCell ref="A46:A47"/>
    <mergeCell ref="B49:H49"/>
    <mergeCell ref="J49:U49"/>
    <mergeCell ref="Y49:AE49"/>
    <mergeCell ref="AH49:AN49"/>
    <mergeCell ref="A50:A51"/>
    <mergeCell ref="B53:H53"/>
    <mergeCell ref="J53:U53"/>
    <mergeCell ref="Y53:AE53"/>
    <mergeCell ref="AH53:AN53"/>
    <mergeCell ref="A42:A43"/>
    <mergeCell ref="B33:H33"/>
    <mergeCell ref="J33:U33"/>
    <mergeCell ref="Y33:AE33"/>
    <mergeCell ref="AH33:AN33"/>
    <mergeCell ref="A34:A35"/>
    <mergeCell ref="B37:H37"/>
    <mergeCell ref="J37:U37"/>
    <mergeCell ref="Y37:AE37"/>
    <mergeCell ref="AH37:AN37"/>
    <mergeCell ref="A38:A39"/>
    <mergeCell ref="B41:H41"/>
    <mergeCell ref="J41:U41"/>
    <mergeCell ref="Y41:AE41"/>
    <mergeCell ref="AH41:AN41"/>
    <mergeCell ref="A30:A31"/>
    <mergeCell ref="B21:H21"/>
    <mergeCell ref="J21:U21"/>
    <mergeCell ref="Y21:AE21"/>
    <mergeCell ref="AH21:AN21"/>
    <mergeCell ref="A22:A23"/>
    <mergeCell ref="B25:H25"/>
    <mergeCell ref="J25:U25"/>
    <mergeCell ref="Y25:AE25"/>
    <mergeCell ref="AH25:AN25"/>
    <mergeCell ref="A26:A27"/>
    <mergeCell ref="B29:H29"/>
    <mergeCell ref="J29:U29"/>
    <mergeCell ref="Y29:AE29"/>
    <mergeCell ref="AH29:AN29"/>
    <mergeCell ref="A18:A19"/>
    <mergeCell ref="Y7:AE7"/>
    <mergeCell ref="AH7:AN7"/>
    <mergeCell ref="B13:H13"/>
    <mergeCell ref="J13:U13"/>
    <mergeCell ref="Y13:AE13"/>
    <mergeCell ref="AH13:AN13"/>
    <mergeCell ref="J7:U7"/>
    <mergeCell ref="A14:A15"/>
    <mergeCell ref="B17:H17"/>
    <mergeCell ref="J17:U17"/>
    <mergeCell ref="Y17:AE17"/>
    <mergeCell ref="AH17:AN17"/>
    <mergeCell ref="B9:H9"/>
    <mergeCell ref="J9:U9"/>
    <mergeCell ref="Y9:AE9"/>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AN52"/>
  <sheetViews>
    <sheetView showGridLines="0" workbookViewId="0">
      <selection activeCell="I24" sqref="I2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t="s">
        <v>108</v>
      </c>
      <c r="C2" s="79"/>
      <c r="D2" s="1" t="s">
        <v>1</v>
      </c>
      <c r="E2" s="79" t="s">
        <v>105</v>
      </c>
      <c r="F2" s="79"/>
      <c r="H2" t="s">
        <v>85</v>
      </c>
      <c r="I2" s="68">
        <v>4500</v>
      </c>
    </row>
    <row r="3" spans="1:40" x14ac:dyDescent="0.25">
      <c r="A3" t="s">
        <v>80</v>
      </c>
      <c r="B3" s="79"/>
      <c r="C3" s="79"/>
      <c r="D3" s="1" t="s">
        <v>1</v>
      </c>
      <c r="E3" s="79"/>
      <c r="F3" s="79"/>
      <c r="H3" t="s">
        <v>81</v>
      </c>
      <c r="I3" s="70"/>
    </row>
    <row r="4" spans="1:40" x14ac:dyDescent="0.25">
      <c r="A4" t="s">
        <v>2</v>
      </c>
      <c r="B4" s="80">
        <v>4144</v>
      </c>
      <c r="C4" s="80"/>
      <c r="D4" s="1" t="s">
        <v>29</v>
      </c>
      <c r="E4" s="79" t="s">
        <v>107</v>
      </c>
      <c r="F4" s="79"/>
      <c r="H4" t="s">
        <v>106</v>
      </c>
      <c r="I4" s="69">
        <v>46132</v>
      </c>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v>29400</v>
      </c>
      <c r="E19" s="27">
        <v>30055</v>
      </c>
      <c r="F19" s="27">
        <f>SUM(C19-B19)</f>
        <v>0</v>
      </c>
      <c r="G19" s="20">
        <f>SUM(E19-D19)</f>
        <v>655</v>
      </c>
      <c r="H19" s="21">
        <f>SUM(F19:G19)</f>
        <v>655</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7">
        <v>30055</v>
      </c>
      <c r="C23" s="27"/>
      <c r="D23" s="27"/>
      <c r="E23" s="27">
        <v>32310</v>
      </c>
      <c r="F23" s="27">
        <f>SUM(C23-B23)</f>
        <v>-30055</v>
      </c>
      <c r="G23" s="20">
        <f>SUM(E23-D23)</f>
        <v>32310</v>
      </c>
      <c r="H23" s="21">
        <f>SUM(F23:G23)</f>
        <v>2255</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AN52"/>
  <sheetViews>
    <sheetView showGridLines="0" workbookViewId="0">
      <selection activeCell="B4" sqref="B4:C4"/>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t="s">
        <v>87</v>
      </c>
      <c r="C2" s="79"/>
      <c r="D2" s="1" t="s">
        <v>1</v>
      </c>
      <c r="E2" s="79" t="s">
        <v>111</v>
      </c>
      <c r="F2" s="79"/>
      <c r="H2" t="s">
        <v>85</v>
      </c>
      <c r="I2" s="68">
        <v>3000</v>
      </c>
    </row>
    <row r="3" spans="1:40" x14ac:dyDescent="0.25">
      <c r="A3" t="s">
        <v>80</v>
      </c>
      <c r="B3" s="79"/>
      <c r="C3" s="79"/>
      <c r="D3" s="1" t="s">
        <v>1</v>
      </c>
      <c r="E3" s="79"/>
      <c r="F3" s="79"/>
      <c r="H3" t="s">
        <v>81</v>
      </c>
      <c r="I3" s="54"/>
    </row>
    <row r="4" spans="1:40" x14ac:dyDescent="0.25">
      <c r="A4" t="s">
        <v>2</v>
      </c>
      <c r="B4" s="80">
        <v>4040.5</v>
      </c>
      <c r="C4" s="80"/>
      <c r="D4" s="1" t="s">
        <v>29</v>
      </c>
      <c r="E4" s="79">
        <v>45</v>
      </c>
      <c r="F4" s="79"/>
      <c r="H4" t="s">
        <v>106</v>
      </c>
      <c r="I4" s="69">
        <v>46180</v>
      </c>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v>22542</v>
      </c>
      <c r="C27" s="27"/>
      <c r="D27" s="27"/>
      <c r="E27" s="27"/>
      <c r="F27" s="27">
        <f>SUM(C27-B27)</f>
        <v>-22542</v>
      </c>
      <c r="G27" s="20">
        <f>SUM(E27-D27)</f>
        <v>0</v>
      </c>
      <c r="H27" s="21">
        <f>SUM(F27:G27)</f>
        <v>-22542</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AN88"/>
  <sheetViews>
    <sheetView showGridLines="0" workbookViewId="0">
      <selection activeCell="C67" sqref="C67"/>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8.7109375" customWidth="1"/>
    <col min="10" max="10" width="13.5703125" bestFit="1" customWidth="1"/>
    <col min="11" max="11" width="12.140625" bestFit="1" customWidth="1"/>
    <col min="12" max="13" width="10.42578125" bestFit="1" customWidth="1"/>
    <col min="14" max="14" width="13.28515625" bestFit="1" customWidth="1"/>
    <col min="15" max="19" width="10.42578125" bestFit="1" customWidth="1"/>
    <col min="21" max="21" width="13.28515625" bestFit="1" customWidth="1"/>
    <col min="24" max="25" width="10.42578125" bestFit="1" customWidth="1"/>
    <col min="26" max="26" width="10.5703125" bestFit="1" customWidth="1"/>
    <col min="27" max="27" width="12.140625" bestFit="1" customWidth="1"/>
    <col min="29" max="29" width="12.140625" bestFit="1" customWidth="1"/>
    <col min="32" max="32" width="10.42578125" bestFit="1" customWidth="1"/>
    <col min="34" max="36" width="10.140625" bestFit="1" customWidth="1"/>
    <col min="37" max="37" width="12.140625" bestFit="1" customWidth="1"/>
  </cols>
  <sheetData>
    <row r="2" spans="1:37" x14ac:dyDescent="0.25">
      <c r="A2" t="s">
        <v>0</v>
      </c>
      <c r="B2" s="79" t="s">
        <v>83</v>
      </c>
      <c r="C2" s="79"/>
      <c r="D2" s="1" t="s">
        <v>1</v>
      </c>
      <c r="E2" s="79" t="s">
        <v>84</v>
      </c>
      <c r="F2" s="79"/>
      <c r="H2" t="s">
        <v>85</v>
      </c>
      <c r="I2" s="68">
        <v>3000</v>
      </c>
    </row>
    <row r="3" spans="1:37" x14ac:dyDescent="0.25">
      <c r="A3" t="s">
        <v>102</v>
      </c>
      <c r="B3" s="85">
        <v>46094</v>
      </c>
      <c r="C3" s="79"/>
      <c r="D3" s="1" t="s">
        <v>1</v>
      </c>
      <c r="E3" s="79" t="s">
        <v>84</v>
      </c>
      <c r="F3" s="79"/>
      <c r="H3" t="s">
        <v>103</v>
      </c>
      <c r="I3" s="54" t="s">
        <v>104</v>
      </c>
    </row>
    <row r="4" spans="1:37" x14ac:dyDescent="0.25">
      <c r="A4" t="s">
        <v>2</v>
      </c>
      <c r="B4" s="80">
        <v>3837</v>
      </c>
      <c r="C4" s="80"/>
      <c r="D4" s="1" t="s">
        <v>29</v>
      </c>
      <c r="E4" s="81">
        <v>45</v>
      </c>
      <c r="F4" s="81"/>
      <c r="H4" t="s">
        <v>70</v>
      </c>
      <c r="I4" s="69">
        <v>45922</v>
      </c>
      <c r="J4" t="s">
        <v>109</v>
      </c>
      <c r="K4" s="69">
        <v>46122</v>
      </c>
    </row>
    <row r="7" spans="1:37" ht="21" x14ac:dyDescent="0.35">
      <c r="A7" s="82" t="s">
        <v>28</v>
      </c>
      <c r="B7" s="82"/>
      <c r="C7" s="82"/>
      <c r="D7" s="82"/>
      <c r="E7" s="82"/>
      <c r="F7" s="82"/>
      <c r="G7" s="82"/>
      <c r="H7" s="82"/>
      <c r="J7" s="84" t="s">
        <v>26</v>
      </c>
      <c r="K7" s="84"/>
      <c r="L7" s="84"/>
      <c r="M7" s="84"/>
      <c r="N7" s="84"/>
      <c r="O7" s="84"/>
      <c r="P7" s="84"/>
      <c r="Q7" s="84"/>
      <c r="R7" s="84"/>
      <c r="S7" s="84"/>
      <c r="T7" s="84"/>
      <c r="U7" s="84"/>
      <c r="V7" s="2"/>
      <c r="W7" s="83" t="s">
        <v>25</v>
      </c>
      <c r="X7" s="83"/>
      <c r="Y7" s="83"/>
      <c r="Z7" s="83"/>
      <c r="AA7" s="83"/>
      <c r="AB7" s="83"/>
      <c r="AC7" s="83"/>
      <c r="AD7" s="2"/>
      <c r="AE7" s="83" t="s">
        <v>27</v>
      </c>
      <c r="AF7" s="83"/>
      <c r="AG7" s="83"/>
      <c r="AH7" s="83"/>
      <c r="AI7" s="83"/>
      <c r="AJ7" s="83"/>
      <c r="AK7" s="83"/>
    </row>
    <row r="8" spans="1:37" s="15" customFormat="1" ht="21" x14ac:dyDescent="0.35">
      <c r="A8" s="14"/>
      <c r="B8" s="14"/>
      <c r="C8" s="14"/>
      <c r="D8" s="14"/>
      <c r="E8" s="14"/>
      <c r="F8" s="14"/>
      <c r="G8" s="14"/>
      <c r="H8" s="14"/>
      <c r="J8" s="16"/>
      <c r="K8" s="16"/>
      <c r="L8" s="16"/>
      <c r="M8" s="16"/>
      <c r="N8" s="16"/>
      <c r="O8" s="16"/>
      <c r="P8" s="16"/>
      <c r="Q8" s="16"/>
      <c r="R8" s="16"/>
      <c r="S8" s="16"/>
      <c r="T8" s="16"/>
      <c r="U8" s="16"/>
      <c r="V8" s="17"/>
      <c r="W8" s="18"/>
      <c r="X8" s="18"/>
      <c r="Y8" s="18"/>
      <c r="Z8" s="18"/>
      <c r="AA8" s="18"/>
      <c r="AB8" s="18"/>
      <c r="AC8" s="18"/>
      <c r="AD8" s="17"/>
      <c r="AE8" s="18"/>
      <c r="AF8" s="18"/>
      <c r="AG8" s="18"/>
      <c r="AH8" s="18"/>
      <c r="AI8" s="18"/>
      <c r="AJ8" s="18"/>
      <c r="AK8" s="18"/>
    </row>
    <row r="9" spans="1:37" ht="15.75" thickBot="1" x14ac:dyDescent="0.3">
      <c r="A9" s="19"/>
      <c r="B9" s="74" t="s">
        <v>3</v>
      </c>
      <c r="C9" s="74"/>
      <c r="D9" s="74"/>
      <c r="E9" s="74"/>
      <c r="F9" s="74"/>
      <c r="G9" s="74"/>
      <c r="H9" s="74"/>
      <c r="J9" s="75" t="s">
        <v>3</v>
      </c>
      <c r="K9" s="75"/>
      <c r="L9" s="75"/>
      <c r="M9" s="75"/>
      <c r="N9" s="75"/>
      <c r="O9" s="75"/>
      <c r="P9" s="75"/>
      <c r="Q9" s="75"/>
      <c r="R9" s="75"/>
      <c r="S9" s="75"/>
      <c r="T9" s="75"/>
      <c r="U9" s="75"/>
      <c r="W9" s="76" t="s">
        <v>3</v>
      </c>
      <c r="X9" s="76"/>
      <c r="Y9" s="76"/>
      <c r="Z9" s="76"/>
      <c r="AA9" s="76"/>
      <c r="AB9" s="76"/>
      <c r="AC9" s="76"/>
      <c r="AE9" s="77" t="s">
        <v>3</v>
      </c>
      <c r="AF9" s="77"/>
      <c r="AG9" s="77"/>
      <c r="AH9" s="77"/>
      <c r="AI9" s="77"/>
      <c r="AJ9" s="77"/>
      <c r="AK9" s="77"/>
    </row>
    <row r="10" spans="1:37" ht="15.75" thickBot="1" x14ac:dyDescent="0.3">
      <c r="A10" s="78" t="s">
        <v>5</v>
      </c>
      <c r="B10" s="34" t="s">
        <v>6</v>
      </c>
      <c r="C10" s="22" t="s">
        <v>7</v>
      </c>
      <c r="D10" s="33" t="s">
        <v>8</v>
      </c>
      <c r="E10" s="22" t="s">
        <v>9</v>
      </c>
      <c r="F10" s="24" t="s">
        <v>10</v>
      </c>
      <c r="G10" s="23" t="s">
        <v>11</v>
      </c>
      <c r="H10" s="25" t="s">
        <v>12</v>
      </c>
      <c r="J10" s="28" t="s">
        <v>4</v>
      </c>
      <c r="K10" s="9"/>
      <c r="L10" s="66"/>
      <c r="M10" s="66"/>
      <c r="N10" s="4"/>
      <c r="O10" s="4"/>
      <c r="P10" s="4"/>
      <c r="Q10" s="4"/>
      <c r="R10" s="4"/>
      <c r="S10" s="4"/>
      <c r="T10" s="4"/>
      <c r="U10" s="5"/>
      <c r="W10" s="6" t="s">
        <v>4</v>
      </c>
      <c r="X10" s="9"/>
      <c r="Y10" s="4"/>
      <c r="Z10" s="4"/>
      <c r="AA10" s="4"/>
      <c r="AB10" s="4"/>
      <c r="AC10" s="5"/>
      <c r="AE10" s="6" t="s">
        <v>4</v>
      </c>
      <c r="AF10" s="9"/>
      <c r="AG10" s="4"/>
      <c r="AH10" s="4"/>
      <c r="AI10" s="4"/>
      <c r="AJ10" s="4"/>
      <c r="AK10" s="5"/>
    </row>
    <row r="11" spans="1:37"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W11" s="7" t="s">
        <v>22</v>
      </c>
      <c r="X11" s="10"/>
      <c r="Y11" s="11"/>
      <c r="Z11" s="11"/>
      <c r="AA11" s="11"/>
      <c r="AB11" s="11"/>
      <c r="AC11" s="12"/>
      <c r="AE11" s="7" t="s">
        <v>22</v>
      </c>
      <c r="AF11" s="10"/>
      <c r="AG11" s="11"/>
      <c r="AH11" s="11"/>
      <c r="AI11" s="11"/>
      <c r="AJ11" s="11"/>
      <c r="AK11" s="12"/>
    </row>
    <row r="12" spans="1:37" x14ac:dyDescent="0.25">
      <c r="J12" s="8"/>
      <c r="T12" s="8" t="s">
        <v>23</v>
      </c>
      <c r="U12" s="13">
        <f>SUM(K11:U11)</f>
        <v>0</v>
      </c>
      <c r="AB12" s="8" t="s">
        <v>23</v>
      </c>
      <c r="AC12" s="13">
        <f>SUM(X11:AC11)</f>
        <v>0</v>
      </c>
      <c r="AJ12" s="8" t="s">
        <v>23</v>
      </c>
      <c r="AK12" s="13">
        <f>SUM(AF11:AK11)</f>
        <v>0</v>
      </c>
    </row>
    <row r="13" spans="1:37" ht="15.75" thickBot="1" x14ac:dyDescent="0.3">
      <c r="A13" s="19"/>
      <c r="B13" s="74" t="s">
        <v>13</v>
      </c>
      <c r="C13" s="74"/>
      <c r="D13" s="74"/>
      <c r="E13" s="74"/>
      <c r="F13" s="74"/>
      <c r="G13" s="74"/>
      <c r="H13" s="74"/>
      <c r="J13" s="75" t="s">
        <v>13</v>
      </c>
      <c r="K13" s="75"/>
      <c r="L13" s="75"/>
      <c r="M13" s="75"/>
      <c r="N13" s="75"/>
      <c r="O13" s="75"/>
      <c r="P13" s="75"/>
      <c r="Q13" s="75"/>
      <c r="R13" s="75"/>
      <c r="S13" s="75"/>
      <c r="T13" s="75"/>
      <c r="U13" s="75"/>
      <c r="W13" s="76" t="str">
        <f>J13</f>
        <v>Março</v>
      </c>
      <c r="X13" s="76"/>
      <c r="Y13" s="76"/>
      <c r="Z13" s="76"/>
      <c r="AA13" s="76"/>
      <c r="AB13" s="76"/>
      <c r="AC13" s="76"/>
      <c r="AE13" s="77" t="str">
        <f>W13</f>
        <v>Março</v>
      </c>
      <c r="AF13" s="77"/>
      <c r="AG13" s="77"/>
      <c r="AH13" s="77"/>
      <c r="AI13" s="77"/>
      <c r="AJ13" s="77"/>
      <c r="AK13" s="77"/>
    </row>
    <row r="14" spans="1:37" ht="15.75" thickBot="1" x14ac:dyDescent="0.3">
      <c r="A14" s="78" t="s">
        <v>5</v>
      </c>
      <c r="B14" s="34" t="s">
        <v>6</v>
      </c>
      <c r="C14" s="22" t="s">
        <v>7</v>
      </c>
      <c r="D14" s="33" t="s">
        <v>8</v>
      </c>
      <c r="E14" s="22" t="s">
        <v>9</v>
      </c>
      <c r="F14" s="24" t="s">
        <v>10</v>
      </c>
      <c r="G14" s="23" t="s">
        <v>11</v>
      </c>
      <c r="H14" s="25" t="s">
        <v>12</v>
      </c>
      <c r="J14" s="6" t="s">
        <v>4</v>
      </c>
      <c r="K14" s="9"/>
      <c r="L14" s="66"/>
      <c r="M14" s="66"/>
      <c r="N14" s="4"/>
      <c r="O14" s="4"/>
      <c r="P14" s="4"/>
      <c r="Q14" s="4"/>
      <c r="R14" s="4"/>
      <c r="S14" s="4"/>
      <c r="T14" s="4"/>
      <c r="U14" s="5"/>
      <c r="W14" s="6" t="s">
        <v>4</v>
      </c>
      <c r="X14" s="9"/>
      <c r="Y14" s="4"/>
      <c r="Z14" s="4"/>
      <c r="AA14" s="4"/>
      <c r="AB14" s="4"/>
      <c r="AC14" s="5"/>
      <c r="AE14" s="6" t="s">
        <v>4</v>
      </c>
      <c r="AF14" s="9"/>
      <c r="AG14" s="4"/>
      <c r="AH14" s="4"/>
      <c r="AI14" s="4"/>
      <c r="AJ14" s="4"/>
      <c r="AK14" s="5"/>
    </row>
    <row r="15" spans="1:37"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W15" s="7" t="s">
        <v>22</v>
      </c>
      <c r="X15" s="10"/>
      <c r="Y15" s="11"/>
      <c r="Z15" s="11"/>
      <c r="AA15" s="11"/>
      <c r="AB15" s="11"/>
      <c r="AC15" s="12"/>
      <c r="AE15" s="7" t="s">
        <v>22</v>
      </c>
      <c r="AF15" s="10"/>
      <c r="AG15" s="11"/>
      <c r="AH15" s="11"/>
      <c r="AI15" s="11"/>
      <c r="AJ15" s="11"/>
      <c r="AK15" s="12"/>
    </row>
    <row r="16" spans="1:37" x14ac:dyDescent="0.25">
      <c r="J16" s="8"/>
      <c r="T16" s="8" t="s">
        <v>23</v>
      </c>
      <c r="U16" s="13">
        <f>SUM(K15:U15)</f>
        <v>0</v>
      </c>
      <c r="AB16" s="8" t="s">
        <v>23</v>
      </c>
      <c r="AC16" s="13">
        <f>SUM(X15:AC15)</f>
        <v>0</v>
      </c>
      <c r="AJ16" s="8" t="s">
        <v>23</v>
      </c>
      <c r="AK16" s="13">
        <f>SUM(AF15:AK15)</f>
        <v>0</v>
      </c>
    </row>
    <row r="17" spans="1:37" ht="15.75" thickBot="1" x14ac:dyDescent="0.3">
      <c r="A17" s="19"/>
      <c r="B17" s="74" t="s">
        <v>14</v>
      </c>
      <c r="C17" s="74"/>
      <c r="D17" s="74"/>
      <c r="E17" s="74"/>
      <c r="F17" s="74"/>
      <c r="G17" s="74"/>
      <c r="H17" s="74"/>
      <c r="J17" s="75" t="s">
        <v>14</v>
      </c>
      <c r="K17" s="75"/>
      <c r="L17" s="75"/>
      <c r="M17" s="75"/>
      <c r="N17" s="75"/>
      <c r="O17" s="75"/>
      <c r="P17" s="75"/>
      <c r="Q17" s="75"/>
      <c r="R17" s="75"/>
      <c r="S17" s="75"/>
      <c r="T17" s="75"/>
      <c r="U17" s="75"/>
      <c r="W17" s="76" t="str">
        <f>J17</f>
        <v>Abril</v>
      </c>
      <c r="X17" s="76"/>
      <c r="Y17" s="76"/>
      <c r="Z17" s="76"/>
      <c r="AA17" s="76"/>
      <c r="AB17" s="76"/>
      <c r="AC17" s="76"/>
      <c r="AE17" s="77" t="str">
        <f>W17</f>
        <v>Abril</v>
      </c>
      <c r="AF17" s="77"/>
      <c r="AG17" s="77"/>
      <c r="AH17" s="77"/>
      <c r="AI17" s="77"/>
      <c r="AJ17" s="77"/>
      <c r="AK17" s="77"/>
    </row>
    <row r="18" spans="1:37" ht="15.75" thickBot="1" x14ac:dyDescent="0.3">
      <c r="A18" s="78" t="s">
        <v>5</v>
      </c>
      <c r="B18" s="34" t="s">
        <v>6</v>
      </c>
      <c r="C18" s="22" t="s">
        <v>7</v>
      </c>
      <c r="D18" s="33" t="s">
        <v>8</v>
      </c>
      <c r="E18" s="22" t="s">
        <v>9</v>
      </c>
      <c r="F18" s="24" t="s">
        <v>10</v>
      </c>
      <c r="G18" s="23" t="s">
        <v>11</v>
      </c>
      <c r="H18" s="25" t="s">
        <v>12</v>
      </c>
      <c r="J18" s="6" t="s">
        <v>4</v>
      </c>
      <c r="K18" s="9"/>
      <c r="L18" s="66"/>
      <c r="M18" s="66"/>
      <c r="N18" s="66"/>
      <c r="O18" s="4"/>
      <c r="P18" s="4"/>
      <c r="Q18" s="4"/>
      <c r="R18" s="4"/>
      <c r="S18" s="4"/>
      <c r="T18" s="4"/>
      <c r="U18" s="5"/>
      <c r="W18" s="6" t="s">
        <v>4</v>
      </c>
      <c r="X18" s="9"/>
      <c r="Y18" s="4"/>
      <c r="Z18" s="4"/>
      <c r="AA18" s="4"/>
      <c r="AB18" s="4"/>
      <c r="AC18" s="5"/>
      <c r="AE18" s="6" t="s">
        <v>4</v>
      </c>
      <c r="AF18" s="9"/>
      <c r="AG18" s="4"/>
      <c r="AH18" s="4"/>
      <c r="AI18" s="4"/>
      <c r="AJ18" s="4"/>
      <c r="AK18" s="5"/>
    </row>
    <row r="19" spans="1:37"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W19" s="7" t="s">
        <v>22</v>
      </c>
      <c r="X19" s="10"/>
      <c r="Y19" s="11"/>
      <c r="Z19" s="11"/>
      <c r="AA19" s="11"/>
      <c r="AB19" s="11"/>
      <c r="AC19" s="12"/>
      <c r="AE19" s="7" t="s">
        <v>22</v>
      </c>
      <c r="AF19" s="10"/>
      <c r="AG19" s="11"/>
      <c r="AH19" s="11"/>
      <c r="AI19" s="11"/>
      <c r="AJ19" s="11"/>
      <c r="AK19" s="12"/>
    </row>
    <row r="20" spans="1:37" x14ac:dyDescent="0.25">
      <c r="J20" s="8"/>
      <c r="T20" s="8" t="s">
        <v>23</v>
      </c>
      <c r="U20" s="13">
        <f>SUM(K19:U19)</f>
        <v>0</v>
      </c>
      <c r="AB20" s="8" t="s">
        <v>23</v>
      </c>
      <c r="AC20" s="13">
        <f>SUM(X19:AC19)</f>
        <v>0</v>
      </c>
      <c r="AJ20" s="8" t="s">
        <v>23</v>
      </c>
      <c r="AK20" s="13">
        <f>SUM(AF19:AK19)</f>
        <v>0</v>
      </c>
    </row>
    <row r="21" spans="1:37" ht="15.75" thickBot="1" x14ac:dyDescent="0.3">
      <c r="A21" s="19"/>
      <c r="B21" s="74" t="s">
        <v>15</v>
      </c>
      <c r="C21" s="74"/>
      <c r="D21" s="74"/>
      <c r="E21" s="74"/>
      <c r="F21" s="74"/>
      <c r="G21" s="74"/>
      <c r="H21" s="74"/>
      <c r="J21" s="75" t="s">
        <v>15</v>
      </c>
      <c r="K21" s="75"/>
      <c r="L21" s="75"/>
      <c r="M21" s="75"/>
      <c r="N21" s="75"/>
      <c r="O21" s="75"/>
      <c r="P21" s="75"/>
      <c r="Q21" s="75"/>
      <c r="R21" s="75"/>
      <c r="S21" s="75"/>
      <c r="T21" s="75"/>
      <c r="U21" s="75"/>
      <c r="W21" s="76" t="str">
        <f>J21</f>
        <v>Maio</v>
      </c>
      <c r="X21" s="76"/>
      <c r="Y21" s="76"/>
      <c r="Z21" s="76"/>
      <c r="AA21" s="76"/>
      <c r="AB21" s="76"/>
      <c r="AC21" s="76"/>
      <c r="AE21" s="77" t="str">
        <f>W21</f>
        <v>Maio</v>
      </c>
      <c r="AF21" s="77"/>
      <c r="AG21" s="77"/>
      <c r="AH21" s="77"/>
      <c r="AI21" s="77"/>
      <c r="AJ21" s="77"/>
      <c r="AK21" s="77"/>
    </row>
    <row r="22" spans="1:37"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W22" s="6" t="s">
        <v>4</v>
      </c>
      <c r="X22" s="9"/>
      <c r="Y22" s="4"/>
      <c r="Z22" s="4"/>
      <c r="AA22" s="4"/>
      <c r="AB22" s="4"/>
      <c r="AC22" s="5"/>
      <c r="AE22" s="6" t="s">
        <v>4</v>
      </c>
      <c r="AF22" s="9"/>
      <c r="AG22" s="4"/>
      <c r="AH22" s="4"/>
      <c r="AI22" s="4"/>
      <c r="AJ22" s="4"/>
      <c r="AK22" s="5"/>
    </row>
    <row r="23" spans="1:37" ht="15.75" thickBot="1" x14ac:dyDescent="0.3">
      <c r="A23" s="78"/>
      <c r="B23" s="27"/>
      <c r="C23" s="27"/>
      <c r="D23" s="27"/>
      <c r="E23" s="27"/>
      <c r="F23" s="27">
        <f>SUM(C23-B23)</f>
        <v>0</v>
      </c>
      <c r="G23" s="20">
        <f>SUM(E23-D23)</f>
        <v>0</v>
      </c>
      <c r="H23" s="21">
        <f>SUM(F23:G23)</f>
        <v>0</v>
      </c>
      <c r="J23" s="7" t="s">
        <v>22</v>
      </c>
      <c r="K23" s="10"/>
      <c r="L23" s="11"/>
      <c r="M23" s="11"/>
      <c r="N23" s="11"/>
      <c r="O23" s="11"/>
      <c r="P23" s="11"/>
      <c r="Q23" s="11"/>
      <c r="R23" s="11"/>
      <c r="S23" s="11"/>
      <c r="T23" s="11"/>
      <c r="U23" s="12"/>
      <c r="W23" s="7" t="s">
        <v>22</v>
      </c>
      <c r="X23" s="10"/>
      <c r="Y23" s="11"/>
      <c r="Z23" s="11"/>
      <c r="AA23" s="11"/>
      <c r="AB23" s="11"/>
      <c r="AC23" s="12"/>
      <c r="AE23" s="7" t="s">
        <v>22</v>
      </c>
      <c r="AF23" s="10"/>
      <c r="AG23" s="11"/>
      <c r="AH23" s="11"/>
      <c r="AI23" s="11"/>
      <c r="AJ23" s="11"/>
      <c r="AK23" s="12"/>
    </row>
    <row r="24" spans="1:37" x14ac:dyDescent="0.25">
      <c r="J24" s="8"/>
      <c r="T24" s="8" t="s">
        <v>23</v>
      </c>
      <c r="U24" s="13">
        <f>SUM(K23:U23)</f>
        <v>0</v>
      </c>
      <c r="AB24" s="8" t="s">
        <v>23</v>
      </c>
      <c r="AC24" s="13">
        <f>SUM(X23:AC23)</f>
        <v>0</v>
      </c>
      <c r="AJ24" s="8" t="s">
        <v>23</v>
      </c>
      <c r="AK24" s="13">
        <f>SUM(AF23:AK23)</f>
        <v>0</v>
      </c>
    </row>
    <row r="25" spans="1:37" ht="15.75" thickBot="1" x14ac:dyDescent="0.3">
      <c r="A25" s="19"/>
      <c r="B25" s="74" t="s">
        <v>24</v>
      </c>
      <c r="C25" s="74"/>
      <c r="D25" s="74"/>
      <c r="E25" s="74"/>
      <c r="F25" s="74"/>
      <c r="G25" s="74"/>
      <c r="H25" s="74"/>
      <c r="J25" s="75" t="s">
        <v>24</v>
      </c>
      <c r="K25" s="75"/>
      <c r="L25" s="75"/>
      <c r="M25" s="75"/>
      <c r="N25" s="75"/>
      <c r="O25" s="75"/>
      <c r="P25" s="75"/>
      <c r="Q25" s="75"/>
      <c r="R25" s="75"/>
      <c r="S25" s="75"/>
      <c r="T25" s="75"/>
      <c r="U25" s="75"/>
      <c r="W25" s="76" t="str">
        <f>J25</f>
        <v>Junho</v>
      </c>
      <c r="X25" s="76"/>
      <c r="Y25" s="76"/>
      <c r="Z25" s="76"/>
      <c r="AA25" s="76"/>
      <c r="AB25" s="76"/>
      <c r="AC25" s="76"/>
      <c r="AE25" s="77" t="str">
        <f>W25</f>
        <v>Junho</v>
      </c>
      <c r="AF25" s="77"/>
      <c r="AG25" s="77"/>
      <c r="AH25" s="77"/>
      <c r="AI25" s="77"/>
      <c r="AJ25" s="77"/>
      <c r="AK25" s="77"/>
    </row>
    <row r="26" spans="1:37"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W26" s="6" t="s">
        <v>4</v>
      </c>
      <c r="X26" s="9"/>
      <c r="Y26" s="4"/>
      <c r="Z26" s="4"/>
      <c r="AA26" s="4"/>
      <c r="AB26" s="4"/>
      <c r="AC26" s="5"/>
      <c r="AE26" s="6" t="s">
        <v>4</v>
      </c>
      <c r="AF26" s="9"/>
      <c r="AG26" s="4"/>
      <c r="AH26" s="4"/>
      <c r="AI26" s="4"/>
      <c r="AJ26" s="4"/>
      <c r="AK26" s="5"/>
    </row>
    <row r="27" spans="1:37"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W27" s="7" t="s">
        <v>22</v>
      </c>
      <c r="X27" s="10"/>
      <c r="Y27" s="11"/>
      <c r="Z27" s="11"/>
      <c r="AA27" s="11"/>
      <c r="AB27" s="11"/>
      <c r="AC27" s="12"/>
      <c r="AE27" s="7" t="s">
        <v>22</v>
      </c>
      <c r="AF27" s="10"/>
      <c r="AG27" s="11"/>
      <c r="AH27" s="11"/>
      <c r="AI27" s="11"/>
      <c r="AJ27" s="11"/>
      <c r="AK27" s="12"/>
    </row>
    <row r="28" spans="1:37" x14ac:dyDescent="0.25">
      <c r="J28" s="8"/>
      <c r="T28" s="8" t="s">
        <v>23</v>
      </c>
      <c r="U28" s="13">
        <f>SUM(K27:U27)</f>
        <v>0</v>
      </c>
      <c r="AB28" s="8" t="s">
        <v>23</v>
      </c>
      <c r="AC28" s="13">
        <f>SUM(X27:AC27)</f>
        <v>0</v>
      </c>
      <c r="AJ28" s="8" t="s">
        <v>23</v>
      </c>
      <c r="AK28" s="13">
        <f>SUM(AF27:AK27)</f>
        <v>0</v>
      </c>
    </row>
    <row r="29" spans="1:37" ht="15.75" thickBot="1" x14ac:dyDescent="0.3">
      <c r="A29" s="19"/>
      <c r="B29" s="74" t="s">
        <v>16</v>
      </c>
      <c r="C29" s="74"/>
      <c r="D29" s="74"/>
      <c r="E29" s="74"/>
      <c r="F29" s="74"/>
      <c r="G29" s="74"/>
      <c r="H29" s="74"/>
      <c r="J29" s="75" t="s">
        <v>16</v>
      </c>
      <c r="K29" s="75"/>
      <c r="L29" s="75"/>
      <c r="M29" s="75"/>
      <c r="N29" s="75"/>
      <c r="O29" s="75"/>
      <c r="P29" s="75"/>
      <c r="Q29" s="75"/>
      <c r="R29" s="75"/>
      <c r="S29" s="75"/>
      <c r="T29" s="75"/>
      <c r="U29" s="75"/>
      <c r="W29" s="76" t="str">
        <f>J29</f>
        <v>Julho</v>
      </c>
      <c r="X29" s="76"/>
      <c r="Y29" s="76"/>
      <c r="Z29" s="76"/>
      <c r="AA29" s="76"/>
      <c r="AB29" s="76"/>
      <c r="AC29" s="76"/>
      <c r="AE29" s="77" t="str">
        <f>W29</f>
        <v>Julho</v>
      </c>
      <c r="AF29" s="77"/>
      <c r="AG29" s="77"/>
      <c r="AH29" s="77"/>
      <c r="AI29" s="77"/>
      <c r="AJ29" s="77"/>
      <c r="AK29" s="77"/>
    </row>
    <row r="30" spans="1:37"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W30" s="6" t="s">
        <v>4</v>
      </c>
      <c r="X30" s="9"/>
      <c r="Y30" s="4"/>
      <c r="Z30" s="4"/>
      <c r="AA30" s="4"/>
      <c r="AB30" s="4"/>
      <c r="AC30" s="5"/>
      <c r="AE30" s="6" t="s">
        <v>4</v>
      </c>
      <c r="AF30" s="9"/>
      <c r="AG30" s="4"/>
      <c r="AH30" s="4"/>
      <c r="AI30" s="4"/>
      <c r="AJ30" s="4"/>
      <c r="AK30" s="5"/>
    </row>
    <row r="31" spans="1:37"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W31" s="7" t="s">
        <v>22</v>
      </c>
      <c r="X31" s="10"/>
      <c r="Y31" s="11"/>
      <c r="Z31" s="11"/>
      <c r="AA31" s="11"/>
      <c r="AB31" s="11"/>
      <c r="AC31" s="12"/>
      <c r="AE31" s="7" t="s">
        <v>22</v>
      </c>
      <c r="AF31" s="10"/>
      <c r="AG31" s="11"/>
      <c r="AH31" s="11"/>
      <c r="AI31" s="11"/>
      <c r="AJ31" s="11"/>
      <c r="AK31" s="12"/>
    </row>
    <row r="32" spans="1:37" x14ac:dyDescent="0.25">
      <c r="J32" s="8"/>
      <c r="T32" s="8" t="s">
        <v>23</v>
      </c>
      <c r="U32" s="13">
        <f>SUM(K31:U31)</f>
        <v>0</v>
      </c>
      <c r="AB32" s="8" t="s">
        <v>23</v>
      </c>
      <c r="AC32" s="13">
        <f>SUM(X31:AC31)</f>
        <v>0</v>
      </c>
      <c r="AJ32" s="8" t="s">
        <v>23</v>
      </c>
      <c r="AK32" s="13">
        <f>SUM(AF31:AK31)</f>
        <v>0</v>
      </c>
    </row>
    <row r="33" spans="1:37" ht="15.75" thickBot="1" x14ac:dyDescent="0.3">
      <c r="A33" s="19"/>
      <c r="B33" s="74" t="s">
        <v>17</v>
      </c>
      <c r="C33" s="74"/>
      <c r="D33" s="74"/>
      <c r="E33" s="74"/>
      <c r="F33" s="74"/>
      <c r="G33" s="74"/>
      <c r="H33" s="74"/>
      <c r="J33" s="75" t="s">
        <v>17</v>
      </c>
      <c r="K33" s="75"/>
      <c r="L33" s="75"/>
      <c r="M33" s="75"/>
      <c r="N33" s="75"/>
      <c r="O33" s="75"/>
      <c r="P33" s="75"/>
      <c r="Q33" s="75"/>
      <c r="R33" s="75"/>
      <c r="S33" s="75"/>
      <c r="T33" s="75"/>
      <c r="U33" s="75"/>
      <c r="W33" s="76" t="str">
        <f>J33</f>
        <v>Agosto</v>
      </c>
      <c r="X33" s="76"/>
      <c r="Y33" s="76"/>
      <c r="Z33" s="76"/>
      <c r="AA33" s="76"/>
      <c r="AB33" s="76"/>
      <c r="AC33" s="76"/>
      <c r="AE33" s="77" t="str">
        <f>W33</f>
        <v>Agosto</v>
      </c>
      <c r="AF33" s="77"/>
      <c r="AG33" s="77"/>
      <c r="AH33" s="77"/>
      <c r="AI33" s="77"/>
      <c r="AJ33" s="77"/>
      <c r="AK33" s="77"/>
    </row>
    <row r="34" spans="1:37"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W34" s="6" t="s">
        <v>4</v>
      </c>
      <c r="X34" s="9"/>
      <c r="Y34" s="4"/>
      <c r="Z34" s="4"/>
      <c r="AA34" s="4"/>
      <c r="AB34" s="4"/>
      <c r="AC34" s="5"/>
      <c r="AE34" s="6" t="s">
        <v>4</v>
      </c>
      <c r="AF34" s="9"/>
      <c r="AG34" s="4"/>
      <c r="AH34" s="4"/>
      <c r="AI34" s="4"/>
      <c r="AJ34" s="4"/>
      <c r="AK34" s="5"/>
    </row>
    <row r="35" spans="1:37"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W35" s="7" t="s">
        <v>22</v>
      </c>
      <c r="X35" s="10"/>
      <c r="Y35" s="11"/>
      <c r="Z35" s="11"/>
      <c r="AA35" s="11"/>
      <c r="AB35" s="11"/>
      <c r="AC35" s="12"/>
      <c r="AE35" s="7" t="s">
        <v>22</v>
      </c>
      <c r="AF35" s="10"/>
      <c r="AG35" s="11"/>
      <c r="AH35" s="11"/>
      <c r="AI35" s="11"/>
      <c r="AJ35" s="11"/>
      <c r="AK35" s="12"/>
    </row>
    <row r="36" spans="1:37" x14ac:dyDescent="0.25">
      <c r="J36" s="8"/>
      <c r="T36" s="8" t="s">
        <v>23</v>
      </c>
      <c r="U36" s="13">
        <f>SUM(K35:U35)</f>
        <v>0</v>
      </c>
      <c r="AB36" s="8" t="s">
        <v>23</v>
      </c>
      <c r="AC36" s="13">
        <f>SUM(X35:AC35)</f>
        <v>0</v>
      </c>
      <c r="AJ36" s="8" t="s">
        <v>23</v>
      </c>
      <c r="AK36" s="13">
        <f>SUM(AF35:AK35)</f>
        <v>0</v>
      </c>
    </row>
    <row r="37" spans="1:37" ht="15.75" thickBot="1" x14ac:dyDescent="0.3">
      <c r="A37" s="19"/>
      <c r="B37" s="74" t="s">
        <v>18</v>
      </c>
      <c r="C37" s="74"/>
      <c r="D37" s="74"/>
      <c r="E37" s="74"/>
      <c r="F37" s="74"/>
      <c r="G37" s="74"/>
      <c r="H37" s="74"/>
      <c r="J37" s="75" t="s">
        <v>18</v>
      </c>
      <c r="K37" s="75"/>
      <c r="L37" s="75"/>
      <c r="M37" s="75"/>
      <c r="N37" s="75"/>
      <c r="O37" s="75"/>
      <c r="P37" s="75"/>
      <c r="Q37" s="75"/>
      <c r="R37" s="75"/>
      <c r="S37" s="75"/>
      <c r="T37" s="75"/>
      <c r="U37" s="75"/>
      <c r="W37" s="76" t="str">
        <f>J37</f>
        <v>Setembro</v>
      </c>
      <c r="X37" s="76"/>
      <c r="Y37" s="76"/>
      <c r="Z37" s="76"/>
      <c r="AA37" s="76"/>
      <c r="AB37" s="76"/>
      <c r="AC37" s="76"/>
      <c r="AE37" s="77" t="str">
        <f>W37</f>
        <v>Setembro</v>
      </c>
      <c r="AF37" s="77"/>
      <c r="AG37" s="77"/>
      <c r="AH37" s="77"/>
      <c r="AI37" s="77"/>
      <c r="AJ37" s="77"/>
      <c r="AK37" s="77"/>
    </row>
    <row r="38" spans="1:37" ht="15.75" thickBot="1" x14ac:dyDescent="0.3">
      <c r="A38" s="78" t="s">
        <v>5</v>
      </c>
      <c r="B38" s="34" t="s">
        <v>6</v>
      </c>
      <c r="C38" s="22" t="s">
        <v>7</v>
      </c>
      <c r="D38" s="33" t="s">
        <v>8</v>
      </c>
      <c r="E38" s="22" t="s">
        <v>9</v>
      </c>
      <c r="F38" s="24" t="s">
        <v>10</v>
      </c>
      <c r="G38" s="23" t="s">
        <v>11</v>
      </c>
      <c r="H38" s="25" t="s">
        <v>12</v>
      </c>
      <c r="J38" s="6" t="s">
        <v>4</v>
      </c>
      <c r="K38" s="9">
        <v>45926</v>
      </c>
      <c r="L38" s="66">
        <v>45930</v>
      </c>
      <c r="M38" s="4"/>
      <c r="N38" s="4"/>
      <c r="O38" s="4"/>
      <c r="P38" s="4"/>
      <c r="Q38" s="4"/>
      <c r="R38" s="4"/>
      <c r="S38" s="4"/>
      <c r="T38" s="4"/>
      <c r="U38" s="5"/>
      <c r="W38" s="6" t="s">
        <v>4</v>
      </c>
      <c r="X38" s="9"/>
      <c r="Y38" s="4"/>
      <c r="Z38" s="4"/>
      <c r="AA38" s="4"/>
      <c r="AB38" s="4"/>
      <c r="AC38" s="5"/>
      <c r="AE38" s="6" t="s">
        <v>4</v>
      </c>
      <c r="AF38" s="9"/>
      <c r="AG38" s="4"/>
      <c r="AH38" s="4"/>
      <c r="AI38" s="4"/>
      <c r="AJ38" s="4"/>
      <c r="AK38" s="5"/>
    </row>
    <row r="39" spans="1:37" ht="15.75" thickBot="1" x14ac:dyDescent="0.3">
      <c r="A39" s="78"/>
      <c r="B39" s="26"/>
      <c r="C39" s="27"/>
      <c r="D39" s="27">
        <v>38228</v>
      </c>
      <c r="E39" s="27">
        <v>39162</v>
      </c>
      <c r="F39" s="27">
        <f>SUM(C39-B39)</f>
        <v>0</v>
      </c>
      <c r="G39" s="20">
        <f>SUM(E39-D39)</f>
        <v>934</v>
      </c>
      <c r="H39" s="21">
        <f>SUM(F39:G39)</f>
        <v>934</v>
      </c>
      <c r="J39" s="7" t="s">
        <v>22</v>
      </c>
      <c r="K39" s="10">
        <v>252.53</v>
      </c>
      <c r="L39" s="11">
        <v>262.27999999999997</v>
      </c>
      <c r="M39" s="11"/>
      <c r="N39" s="11"/>
      <c r="O39" s="11"/>
      <c r="P39" s="11"/>
      <c r="Q39" s="11"/>
      <c r="R39" s="11"/>
      <c r="S39" s="11"/>
      <c r="T39" s="11"/>
      <c r="U39" s="12"/>
      <c r="W39" s="7" t="s">
        <v>22</v>
      </c>
      <c r="X39" s="10"/>
      <c r="Y39" s="11"/>
      <c r="Z39" s="11"/>
      <c r="AA39" s="11"/>
      <c r="AB39" s="11"/>
      <c r="AC39" s="12"/>
      <c r="AE39" s="7" t="s">
        <v>22</v>
      </c>
      <c r="AF39" s="10"/>
      <c r="AG39" s="11"/>
      <c r="AH39" s="11"/>
      <c r="AI39" s="11"/>
      <c r="AJ39" s="11"/>
      <c r="AK39" s="12"/>
    </row>
    <row r="40" spans="1:37" x14ac:dyDescent="0.25">
      <c r="J40" s="8"/>
      <c r="T40" s="8" t="s">
        <v>23</v>
      </c>
      <c r="U40" s="13">
        <f>SUM(K39:U39)</f>
        <v>514.80999999999995</v>
      </c>
      <c r="AB40" s="8" t="s">
        <v>23</v>
      </c>
      <c r="AC40" s="13">
        <f>SUM(X39:AC39)</f>
        <v>0</v>
      </c>
      <c r="AJ40" s="8" t="s">
        <v>23</v>
      </c>
      <c r="AK40" s="13">
        <f>SUM(AF39:AK39)</f>
        <v>0</v>
      </c>
    </row>
    <row r="41" spans="1:37" ht="15.75" thickBot="1" x14ac:dyDescent="0.3">
      <c r="A41" s="19"/>
      <c r="B41" s="74" t="s">
        <v>19</v>
      </c>
      <c r="C41" s="74"/>
      <c r="D41" s="74"/>
      <c r="E41" s="74"/>
      <c r="F41" s="74"/>
      <c r="G41" s="74"/>
      <c r="H41" s="74"/>
      <c r="J41" s="75" t="s">
        <v>19</v>
      </c>
      <c r="K41" s="75"/>
      <c r="L41" s="75"/>
      <c r="M41" s="75"/>
      <c r="N41" s="75"/>
      <c r="O41" s="75"/>
      <c r="P41" s="75"/>
      <c r="Q41" s="75"/>
      <c r="R41" s="75"/>
      <c r="S41" s="75"/>
      <c r="T41" s="75"/>
      <c r="U41" s="75"/>
      <c r="W41" s="76" t="str">
        <f>J41</f>
        <v>Outubro</v>
      </c>
      <c r="X41" s="76"/>
      <c r="Y41" s="76"/>
      <c r="Z41" s="76"/>
      <c r="AA41" s="76"/>
      <c r="AB41" s="76"/>
      <c r="AC41" s="76"/>
      <c r="AE41" s="77" t="str">
        <f>W41</f>
        <v>Outubro</v>
      </c>
      <c r="AF41" s="77"/>
      <c r="AG41" s="77"/>
      <c r="AH41" s="77"/>
      <c r="AI41" s="77"/>
      <c r="AJ41" s="77"/>
      <c r="AK41" s="77"/>
    </row>
    <row r="42" spans="1:37" ht="15.75" thickBot="1" x14ac:dyDescent="0.3">
      <c r="A42" s="78" t="s">
        <v>5</v>
      </c>
      <c r="B42" s="34" t="s">
        <v>6</v>
      </c>
      <c r="C42" s="22" t="s">
        <v>7</v>
      </c>
      <c r="D42" s="33" t="s">
        <v>8</v>
      </c>
      <c r="E42" s="22" t="s">
        <v>9</v>
      </c>
      <c r="F42" s="24" t="s">
        <v>10</v>
      </c>
      <c r="G42" s="23" t="s">
        <v>11</v>
      </c>
      <c r="H42" s="25" t="s">
        <v>12</v>
      </c>
      <c r="J42" s="6" t="s">
        <v>4</v>
      </c>
      <c r="K42" s="9">
        <v>45937</v>
      </c>
      <c r="L42" s="66">
        <v>45939</v>
      </c>
      <c r="M42" s="66">
        <v>45947</v>
      </c>
      <c r="N42" s="66">
        <v>45953</v>
      </c>
      <c r="O42" s="66">
        <v>45957</v>
      </c>
      <c r="P42" s="66">
        <v>45960</v>
      </c>
      <c r="Q42" s="4"/>
      <c r="R42" s="4"/>
      <c r="S42" s="4"/>
      <c r="T42" s="4"/>
      <c r="U42" s="5"/>
      <c r="W42" s="6" t="s">
        <v>4</v>
      </c>
      <c r="X42" s="9"/>
      <c r="Y42" s="4"/>
      <c r="Z42" s="4"/>
      <c r="AA42" s="4"/>
      <c r="AB42" s="4"/>
      <c r="AC42" s="5"/>
      <c r="AE42" s="6" t="s">
        <v>4</v>
      </c>
      <c r="AF42" s="9">
        <v>45938</v>
      </c>
      <c r="AG42" s="4"/>
      <c r="AH42" s="4"/>
      <c r="AI42" s="4"/>
      <c r="AJ42" s="4"/>
      <c r="AK42" s="5"/>
    </row>
    <row r="43" spans="1:37" ht="15.75" thickBot="1" x14ac:dyDescent="0.3">
      <c r="A43" s="78"/>
      <c r="B43" s="27">
        <v>39162</v>
      </c>
      <c r="C43" s="27">
        <v>41328</v>
      </c>
      <c r="D43" s="27">
        <v>41328</v>
      </c>
      <c r="E43" s="27">
        <v>43748</v>
      </c>
      <c r="F43" s="27">
        <f>SUM(C43-B43)</f>
        <v>2166</v>
      </c>
      <c r="G43" s="20">
        <f>SUM(E43-D43)</f>
        <v>2420</v>
      </c>
      <c r="H43" s="21">
        <f>SUM(F43:G43)</f>
        <v>4586</v>
      </c>
      <c r="J43" s="7" t="s">
        <v>22</v>
      </c>
      <c r="K43" s="10">
        <v>255.21</v>
      </c>
      <c r="L43" s="11">
        <v>195.01</v>
      </c>
      <c r="M43" s="11">
        <v>253.81</v>
      </c>
      <c r="N43" s="11">
        <v>292.68</v>
      </c>
      <c r="O43" s="11">
        <v>263.38</v>
      </c>
      <c r="P43" s="11">
        <v>307.87</v>
      </c>
      <c r="Q43" s="11"/>
      <c r="R43" s="11"/>
      <c r="S43" s="11"/>
      <c r="T43" s="11"/>
      <c r="U43" s="12"/>
      <c r="W43" s="7" t="s">
        <v>22</v>
      </c>
      <c r="X43" s="10"/>
      <c r="Y43" s="11"/>
      <c r="Z43" s="11"/>
      <c r="AA43" s="11"/>
      <c r="AB43" s="11"/>
      <c r="AC43" s="12"/>
      <c r="AE43" s="7" t="s">
        <v>22</v>
      </c>
      <c r="AF43" s="10">
        <v>50</v>
      </c>
      <c r="AG43" s="11"/>
      <c r="AH43" s="11"/>
      <c r="AI43" s="11"/>
      <c r="AJ43" s="11"/>
      <c r="AK43" s="12"/>
    </row>
    <row r="44" spans="1:37" x14ac:dyDescent="0.25">
      <c r="J44" s="8"/>
      <c r="T44" s="8" t="s">
        <v>23</v>
      </c>
      <c r="U44" s="13">
        <f>SUM(K43:U43)</f>
        <v>1567.96</v>
      </c>
      <c r="AB44" s="8" t="s">
        <v>23</v>
      </c>
      <c r="AC44" s="13">
        <f>SUM(X43:AC43)</f>
        <v>0</v>
      </c>
      <c r="AJ44" s="8" t="s">
        <v>23</v>
      </c>
      <c r="AK44" s="13">
        <f>SUM(AF43:AK43)</f>
        <v>50</v>
      </c>
    </row>
    <row r="45" spans="1:37" ht="15.75" thickBot="1" x14ac:dyDescent="0.3">
      <c r="A45" s="19"/>
      <c r="B45" s="74" t="s">
        <v>20</v>
      </c>
      <c r="C45" s="74"/>
      <c r="D45" s="74"/>
      <c r="E45" s="74"/>
      <c r="F45" s="74"/>
      <c r="G45" s="74"/>
      <c r="H45" s="74"/>
      <c r="J45" s="75" t="s">
        <v>20</v>
      </c>
      <c r="K45" s="75"/>
      <c r="L45" s="75"/>
      <c r="M45" s="75"/>
      <c r="N45" s="75"/>
      <c r="O45" s="75"/>
      <c r="P45" s="75"/>
      <c r="Q45" s="75"/>
      <c r="R45" s="75"/>
      <c r="S45" s="75"/>
      <c r="T45" s="75"/>
      <c r="U45" s="75"/>
      <c r="W45" s="76" t="str">
        <f>J45</f>
        <v>Novembro</v>
      </c>
      <c r="X45" s="76"/>
      <c r="Y45" s="76"/>
      <c r="Z45" s="76"/>
      <c r="AA45" s="76"/>
      <c r="AB45" s="76"/>
      <c r="AC45" s="76"/>
      <c r="AE45" s="77" t="str">
        <f>W45</f>
        <v>Novembro</v>
      </c>
      <c r="AF45" s="77"/>
      <c r="AG45" s="77"/>
      <c r="AH45" s="77"/>
      <c r="AI45" s="77"/>
      <c r="AJ45" s="77"/>
      <c r="AK45" s="77"/>
    </row>
    <row r="46" spans="1:37" ht="15.75" thickBot="1" x14ac:dyDescent="0.3">
      <c r="A46" s="78" t="s">
        <v>5</v>
      </c>
      <c r="B46" s="34" t="s">
        <v>6</v>
      </c>
      <c r="C46" s="22" t="s">
        <v>7</v>
      </c>
      <c r="D46" s="33" t="s">
        <v>8</v>
      </c>
      <c r="E46" s="22" t="s">
        <v>9</v>
      </c>
      <c r="F46" s="24" t="s">
        <v>10</v>
      </c>
      <c r="G46" s="23" t="s">
        <v>11</v>
      </c>
      <c r="H46" s="25" t="s">
        <v>12</v>
      </c>
      <c r="J46" s="6" t="s">
        <v>4</v>
      </c>
      <c r="K46" s="9">
        <v>45972</v>
      </c>
      <c r="L46" s="66">
        <v>45975</v>
      </c>
      <c r="M46" s="66">
        <v>45979</v>
      </c>
      <c r="N46" s="66">
        <v>45985</v>
      </c>
      <c r="O46" s="66">
        <v>45987</v>
      </c>
      <c r="P46" s="4"/>
      <c r="Q46" s="4"/>
      <c r="R46" s="4"/>
      <c r="S46" s="4"/>
      <c r="T46" s="4"/>
      <c r="U46" s="5"/>
      <c r="W46" s="6" t="s">
        <v>4</v>
      </c>
      <c r="X46" s="9">
        <v>45972</v>
      </c>
      <c r="Y46" s="66">
        <v>45983</v>
      </c>
      <c r="Z46" s="4"/>
      <c r="AA46" s="4"/>
      <c r="AB46" s="4"/>
      <c r="AC46" s="5"/>
      <c r="AE46" s="6" t="s">
        <v>4</v>
      </c>
      <c r="AF46" s="9"/>
      <c r="AG46" s="4"/>
      <c r="AH46" s="4"/>
      <c r="AI46" s="4"/>
      <c r="AJ46" s="4"/>
      <c r="AK46" s="5"/>
    </row>
    <row r="47" spans="1:37" ht="15.75" thickBot="1" x14ac:dyDescent="0.3">
      <c r="A47" s="78"/>
      <c r="B47" s="27">
        <v>43748</v>
      </c>
      <c r="C47" s="27">
        <v>44541</v>
      </c>
      <c r="D47" s="27">
        <v>44541</v>
      </c>
      <c r="E47" s="27">
        <v>46103</v>
      </c>
      <c r="F47" s="27">
        <f>SUM(C47-B47)</f>
        <v>793</v>
      </c>
      <c r="G47" s="20">
        <f>SUM(E47-D47)</f>
        <v>1562</v>
      </c>
      <c r="H47" s="21">
        <f>SUM(F47:G47)</f>
        <v>2355</v>
      </c>
      <c r="J47" s="7" t="s">
        <v>22</v>
      </c>
      <c r="K47" s="10">
        <v>240.67</v>
      </c>
      <c r="L47" s="11">
        <v>287.10000000000002</v>
      </c>
      <c r="M47" s="11">
        <v>225.92</v>
      </c>
      <c r="N47" s="11">
        <v>261.52</v>
      </c>
      <c r="O47" s="11">
        <v>221.35</v>
      </c>
      <c r="P47" s="11"/>
      <c r="Q47" s="11"/>
      <c r="R47" s="11"/>
      <c r="S47" s="11"/>
      <c r="T47" s="11"/>
      <c r="U47" s="12"/>
      <c r="W47" s="7" t="s">
        <v>22</v>
      </c>
      <c r="X47" s="10">
        <v>55</v>
      </c>
      <c r="Y47" s="11">
        <v>60</v>
      </c>
      <c r="Z47" s="11"/>
      <c r="AA47" s="11"/>
      <c r="AB47" s="11"/>
      <c r="AC47" s="12"/>
      <c r="AE47" s="7" t="s">
        <v>22</v>
      </c>
      <c r="AF47" s="10"/>
      <c r="AG47" s="11"/>
      <c r="AH47" s="11"/>
      <c r="AI47" s="11"/>
      <c r="AJ47" s="11"/>
      <c r="AK47" s="12"/>
    </row>
    <row r="48" spans="1:37" x14ac:dyDescent="0.25">
      <c r="J48" s="8"/>
      <c r="T48" s="8" t="s">
        <v>23</v>
      </c>
      <c r="U48" s="13">
        <f>SUM(K47:U47)</f>
        <v>1236.56</v>
      </c>
      <c r="AB48" s="8" t="s">
        <v>23</v>
      </c>
      <c r="AC48" s="13">
        <f>SUM(X47:AC47)</f>
        <v>115</v>
      </c>
      <c r="AJ48" s="8" t="s">
        <v>23</v>
      </c>
      <c r="AK48" s="13">
        <f>SUM(AF47:AK47)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W49" s="76" t="str">
        <f>J49</f>
        <v>Dezembro</v>
      </c>
      <c r="X49" s="76"/>
      <c r="Y49" s="76"/>
      <c r="Z49" s="76"/>
      <c r="AA49" s="76"/>
      <c r="AB49" s="76"/>
      <c r="AC49" s="76"/>
      <c r="AE49" s="77" t="str">
        <f>W49</f>
        <v>Dezembro</v>
      </c>
      <c r="AF49" s="77"/>
      <c r="AG49" s="77"/>
      <c r="AH49" s="77"/>
      <c r="AI49" s="77"/>
      <c r="AJ49" s="77"/>
      <c r="AK49" s="77"/>
    </row>
    <row r="50" spans="1:40" ht="15.75" thickBot="1" x14ac:dyDescent="0.3">
      <c r="A50" s="78" t="s">
        <v>5</v>
      </c>
      <c r="B50" s="34" t="s">
        <v>6</v>
      </c>
      <c r="C50" s="22" t="s">
        <v>7</v>
      </c>
      <c r="D50" s="33" t="s">
        <v>8</v>
      </c>
      <c r="E50" s="22" t="s">
        <v>9</v>
      </c>
      <c r="F50" s="24" t="s">
        <v>10</v>
      </c>
      <c r="G50" s="23" t="s">
        <v>11</v>
      </c>
      <c r="H50" s="25" t="s">
        <v>12</v>
      </c>
      <c r="J50" s="6" t="s">
        <v>4</v>
      </c>
      <c r="K50" s="9">
        <v>45994</v>
      </c>
      <c r="L50" s="66">
        <v>46002</v>
      </c>
      <c r="M50" s="66">
        <v>46007</v>
      </c>
      <c r="N50" s="66">
        <v>46014</v>
      </c>
      <c r="O50" s="4"/>
      <c r="P50" s="4"/>
      <c r="Q50" s="4"/>
      <c r="R50" s="4"/>
      <c r="S50" s="4"/>
      <c r="T50" s="4"/>
      <c r="U50" s="5"/>
      <c r="W50" s="6" t="s">
        <v>4</v>
      </c>
      <c r="X50" s="9">
        <v>46003</v>
      </c>
      <c r="Y50" s="4"/>
      <c r="Z50" s="4"/>
      <c r="AA50" s="4"/>
      <c r="AB50" s="4"/>
      <c r="AC50" s="5"/>
      <c r="AE50" s="6" t="s">
        <v>4</v>
      </c>
      <c r="AF50" s="9"/>
      <c r="AG50" s="4"/>
      <c r="AH50" s="4"/>
      <c r="AI50" s="4"/>
      <c r="AJ50" s="4"/>
      <c r="AK50" s="5"/>
    </row>
    <row r="51" spans="1:40" ht="15.75" thickBot="1" x14ac:dyDescent="0.3">
      <c r="A51" s="78"/>
      <c r="B51" s="27">
        <v>46103</v>
      </c>
      <c r="C51" s="27">
        <v>47425</v>
      </c>
      <c r="D51" s="27">
        <v>47425</v>
      </c>
      <c r="E51" s="27">
        <v>48251</v>
      </c>
      <c r="F51" s="27">
        <f>SUM(C51-B51)</f>
        <v>1322</v>
      </c>
      <c r="G51" s="20">
        <f>SUM(E51-D51)</f>
        <v>826</v>
      </c>
      <c r="H51" s="21">
        <f>SUM(F51:G51)</f>
        <v>2148</v>
      </c>
      <c r="J51" s="7" t="s">
        <v>22</v>
      </c>
      <c r="K51" s="10">
        <v>257.07</v>
      </c>
      <c r="L51" s="11">
        <v>254.58</v>
      </c>
      <c r="M51" s="11">
        <v>250.09</v>
      </c>
      <c r="N51" s="11">
        <v>275</v>
      </c>
      <c r="O51" s="11"/>
      <c r="P51" s="11"/>
      <c r="Q51" s="11"/>
      <c r="R51" s="11"/>
      <c r="S51" s="11"/>
      <c r="T51" s="11"/>
      <c r="U51" s="12"/>
      <c r="W51" s="7" t="s">
        <v>22</v>
      </c>
      <c r="X51" s="10">
        <v>60</v>
      </c>
      <c r="Y51" s="11"/>
      <c r="Z51" s="11"/>
      <c r="AA51" s="11"/>
      <c r="AB51" s="11"/>
      <c r="AC51" s="12"/>
      <c r="AE51" s="7" t="s">
        <v>22</v>
      </c>
      <c r="AF51" s="10"/>
      <c r="AG51" s="11"/>
      <c r="AH51" s="11"/>
      <c r="AI51" s="11"/>
      <c r="AJ51" s="11"/>
      <c r="AK51" s="12"/>
    </row>
    <row r="52" spans="1:40" x14ac:dyDescent="0.25">
      <c r="J52" s="8"/>
      <c r="T52" s="8" t="s">
        <v>23</v>
      </c>
      <c r="U52" s="13">
        <f>SUM(K51:U51)</f>
        <v>1036.74</v>
      </c>
      <c r="AB52" s="8" t="s">
        <v>23</v>
      </c>
      <c r="AC52" s="13">
        <f>SUM(X51:AC51)</f>
        <v>60</v>
      </c>
      <c r="AJ52" s="8" t="s">
        <v>23</v>
      </c>
      <c r="AK52" s="13">
        <f>SUM(AF51:AK51)</f>
        <v>0</v>
      </c>
    </row>
    <row r="53" spans="1:40" ht="15.75" thickBot="1" x14ac:dyDescent="0.3">
      <c r="A53" s="19">
        <v>2026</v>
      </c>
      <c r="B53" s="74" t="s">
        <v>100</v>
      </c>
      <c r="C53" s="74"/>
      <c r="D53" s="74"/>
      <c r="E53" s="74"/>
      <c r="F53" s="74"/>
      <c r="G53" s="74"/>
      <c r="H53" s="74"/>
      <c r="J53" s="75" t="s">
        <v>100</v>
      </c>
      <c r="K53" s="75"/>
      <c r="L53" s="75"/>
      <c r="M53" s="75"/>
      <c r="N53" s="75"/>
      <c r="O53" s="75"/>
      <c r="P53" s="75"/>
      <c r="Q53" s="75"/>
      <c r="R53" s="75"/>
      <c r="S53" s="75"/>
      <c r="T53" s="75"/>
      <c r="U53" s="75"/>
      <c r="Y53" s="76" t="s">
        <v>100</v>
      </c>
      <c r="Z53" s="76"/>
      <c r="AA53" s="76"/>
      <c r="AB53" s="76"/>
      <c r="AC53" s="76"/>
      <c r="AD53" s="76"/>
      <c r="AE53" s="76"/>
      <c r="AH53" s="77" t="s">
        <v>100</v>
      </c>
      <c r="AI53" s="77"/>
      <c r="AJ53" s="77"/>
      <c r="AK53" s="77"/>
      <c r="AL53" s="77"/>
      <c r="AM53" s="77"/>
      <c r="AN53" s="77"/>
    </row>
    <row r="54" spans="1:40" ht="15.75" thickBot="1" x14ac:dyDescent="0.3">
      <c r="A54" s="78" t="s">
        <v>5</v>
      </c>
      <c r="B54" s="34" t="s">
        <v>6</v>
      </c>
      <c r="C54" s="22" t="s">
        <v>7</v>
      </c>
      <c r="D54" s="33" t="s">
        <v>8</v>
      </c>
      <c r="E54" s="22" t="s">
        <v>9</v>
      </c>
      <c r="F54" s="24" t="s">
        <v>10</v>
      </c>
      <c r="G54" s="23" t="s">
        <v>11</v>
      </c>
      <c r="H54" s="25" t="s">
        <v>12</v>
      </c>
      <c r="J54" s="28" t="s">
        <v>4</v>
      </c>
      <c r="K54" s="9">
        <v>46028</v>
      </c>
      <c r="L54" s="66">
        <v>46030</v>
      </c>
      <c r="M54" s="66">
        <v>46035</v>
      </c>
      <c r="N54" s="66">
        <v>46038</v>
      </c>
      <c r="O54" s="66">
        <v>46042</v>
      </c>
      <c r="P54" s="66">
        <v>46044</v>
      </c>
      <c r="Q54" s="66">
        <v>46046</v>
      </c>
      <c r="R54" s="66">
        <v>46049</v>
      </c>
      <c r="S54" s="66">
        <v>46051</v>
      </c>
      <c r="T54" s="4"/>
      <c r="U54" s="5"/>
      <c r="Y54" s="6" t="s">
        <v>4</v>
      </c>
      <c r="Z54" s="9"/>
      <c r="AA54" s="4"/>
      <c r="AB54" s="4"/>
      <c r="AC54" s="4"/>
      <c r="AD54" s="4"/>
      <c r="AE54" s="5"/>
      <c r="AH54" s="6" t="s">
        <v>4</v>
      </c>
      <c r="AI54" s="9"/>
      <c r="AJ54" s="4"/>
      <c r="AK54" s="4"/>
      <c r="AL54" s="4"/>
      <c r="AM54" s="4"/>
      <c r="AN54" s="5"/>
    </row>
    <row r="55" spans="1:40" ht="15.75" thickBot="1" x14ac:dyDescent="0.3">
      <c r="A55" s="78"/>
      <c r="B55" s="27">
        <v>48251</v>
      </c>
      <c r="C55" s="27">
        <v>49994</v>
      </c>
      <c r="D55" s="27">
        <v>49994</v>
      </c>
      <c r="E55" s="27">
        <v>52201</v>
      </c>
      <c r="F55" s="27">
        <f>SUM(C55-B55)</f>
        <v>1743</v>
      </c>
      <c r="G55" s="20">
        <f>SUM(E55-D55)</f>
        <v>2207</v>
      </c>
      <c r="H55" s="21">
        <f>SUM(F55:G55)</f>
        <v>3950</v>
      </c>
      <c r="J55" s="29" t="s">
        <v>22</v>
      </c>
      <c r="K55" s="10">
        <v>294.27</v>
      </c>
      <c r="L55" s="11">
        <v>220.01</v>
      </c>
      <c r="M55" s="11">
        <v>280</v>
      </c>
      <c r="N55" s="11">
        <v>259.02999999999997</v>
      </c>
      <c r="O55" s="11">
        <v>236.95</v>
      </c>
      <c r="P55" s="11">
        <v>200.03</v>
      </c>
      <c r="Q55" s="11">
        <v>186.58</v>
      </c>
      <c r="R55" s="11">
        <v>258</v>
      </c>
      <c r="S55" s="11">
        <v>206.9</v>
      </c>
      <c r="T55" s="11"/>
      <c r="U55" s="12"/>
      <c r="Y55" s="7" t="s">
        <v>22</v>
      </c>
      <c r="Z55" s="10"/>
      <c r="AA55" s="11"/>
      <c r="AB55" s="11"/>
      <c r="AC55" s="11"/>
      <c r="AD55" s="11"/>
      <c r="AE55" s="12"/>
      <c r="AH55" s="7" t="s">
        <v>22</v>
      </c>
      <c r="AI55" s="10"/>
      <c r="AJ55" s="11"/>
      <c r="AK55" s="11"/>
      <c r="AL55" s="11"/>
      <c r="AM55" s="11"/>
      <c r="AN55" s="12"/>
    </row>
    <row r="56" spans="1:40" x14ac:dyDescent="0.25">
      <c r="J56" s="8"/>
      <c r="T56" s="8" t="s">
        <v>23</v>
      </c>
      <c r="U56" s="13">
        <f>SUM(K55:U55)</f>
        <v>2141.77</v>
      </c>
      <c r="AD56" s="8" t="s">
        <v>23</v>
      </c>
      <c r="AE56" s="13">
        <f>SUM(Z55:AE55)</f>
        <v>0</v>
      </c>
      <c r="AM56" s="8" t="s">
        <v>23</v>
      </c>
      <c r="AN56" s="13">
        <f>SUM(AI55:AN55)</f>
        <v>0</v>
      </c>
    </row>
    <row r="57" spans="1:40" ht="15.75" thickBot="1" x14ac:dyDescent="0.3">
      <c r="A57" s="19"/>
      <c r="B57" s="74" t="s">
        <v>3</v>
      </c>
      <c r="C57" s="74"/>
      <c r="D57" s="74"/>
      <c r="E57" s="74"/>
      <c r="F57" s="74"/>
      <c r="G57" s="74"/>
      <c r="H57" s="74"/>
      <c r="J57" s="75" t="s">
        <v>3</v>
      </c>
      <c r="K57" s="75"/>
      <c r="L57" s="75"/>
      <c r="M57" s="75"/>
      <c r="N57" s="75"/>
      <c r="O57" s="75"/>
      <c r="P57" s="75"/>
      <c r="Q57" s="75"/>
      <c r="R57" s="75"/>
      <c r="S57" s="75"/>
      <c r="T57" s="75"/>
      <c r="U57" s="75"/>
      <c r="Y57" s="76" t="s">
        <v>3</v>
      </c>
      <c r="Z57" s="76"/>
      <c r="AA57" s="76"/>
      <c r="AB57" s="76"/>
      <c r="AC57" s="76"/>
      <c r="AD57" s="76"/>
      <c r="AE57" s="76"/>
      <c r="AH57" s="77" t="s">
        <v>3</v>
      </c>
      <c r="AI57" s="77"/>
      <c r="AJ57" s="77"/>
      <c r="AK57" s="77"/>
      <c r="AL57" s="77"/>
      <c r="AM57" s="77"/>
      <c r="AN57" s="77"/>
    </row>
    <row r="58" spans="1:40" ht="15.75" thickBot="1" x14ac:dyDescent="0.3">
      <c r="A58" s="78" t="s">
        <v>5</v>
      </c>
      <c r="B58" s="34" t="s">
        <v>6</v>
      </c>
      <c r="C58" s="22" t="s">
        <v>7</v>
      </c>
      <c r="D58" s="33" t="s">
        <v>8</v>
      </c>
      <c r="E58" s="22" t="s">
        <v>9</v>
      </c>
      <c r="F58" s="24" t="s">
        <v>10</v>
      </c>
      <c r="G58" s="23" t="s">
        <v>11</v>
      </c>
      <c r="H58" s="25" t="s">
        <v>12</v>
      </c>
      <c r="J58" s="28" t="s">
        <v>4</v>
      </c>
      <c r="K58" s="9">
        <v>46056</v>
      </c>
      <c r="L58" s="9">
        <v>46058</v>
      </c>
      <c r="M58" s="9">
        <v>46063</v>
      </c>
      <c r="N58" s="9">
        <v>46065</v>
      </c>
      <c r="O58" s="9">
        <v>46067</v>
      </c>
      <c r="P58" s="9">
        <v>46070</v>
      </c>
      <c r="Q58" s="9"/>
      <c r="R58" s="4"/>
      <c r="S58" s="4"/>
      <c r="T58" s="4"/>
      <c r="U58" s="5"/>
      <c r="Y58" s="6" t="s">
        <v>4</v>
      </c>
      <c r="Z58" s="9"/>
      <c r="AA58" s="4"/>
      <c r="AB58" s="4"/>
      <c r="AC58" s="4"/>
      <c r="AD58" s="4"/>
      <c r="AE58" s="5"/>
      <c r="AH58" s="6" t="s">
        <v>4</v>
      </c>
      <c r="AI58" s="9"/>
      <c r="AJ58" s="4"/>
      <c r="AK58" s="4"/>
      <c r="AL58" s="4"/>
      <c r="AM58" s="4"/>
      <c r="AN58" s="5"/>
    </row>
    <row r="59" spans="1:40" ht="15.75" thickBot="1" x14ac:dyDescent="0.3">
      <c r="A59" s="78"/>
      <c r="B59" s="27">
        <v>52201</v>
      </c>
      <c r="C59" s="27"/>
      <c r="D59" s="27"/>
      <c r="E59" s="27">
        <v>54579</v>
      </c>
      <c r="F59" s="27">
        <f>SUM(C59-B59)</f>
        <v>-52201</v>
      </c>
      <c r="G59" s="20">
        <f>SUM(E59-D59)</f>
        <v>54579</v>
      </c>
      <c r="H59" s="21">
        <f>SUM(F59:G59)</f>
        <v>2378</v>
      </c>
      <c r="J59" s="29" t="s">
        <v>22</v>
      </c>
      <c r="K59" s="10">
        <v>274.5</v>
      </c>
      <c r="L59" s="11">
        <v>240.03</v>
      </c>
      <c r="M59" s="11">
        <v>160</v>
      </c>
      <c r="N59" s="11">
        <v>193.02</v>
      </c>
      <c r="O59" s="11">
        <v>182.03</v>
      </c>
      <c r="P59" s="11">
        <v>210.31</v>
      </c>
      <c r="Q59" s="11"/>
      <c r="R59" s="11"/>
      <c r="S59" s="11"/>
      <c r="T59" s="11"/>
      <c r="U59" s="12"/>
      <c r="Y59" s="7" t="s">
        <v>22</v>
      </c>
      <c r="Z59" s="10"/>
      <c r="AA59" s="11"/>
      <c r="AB59" s="11"/>
      <c r="AC59" s="11"/>
      <c r="AD59" s="11"/>
      <c r="AE59" s="12"/>
      <c r="AH59" s="7" t="s">
        <v>22</v>
      </c>
      <c r="AI59" s="10"/>
      <c r="AJ59" s="11"/>
      <c r="AK59" s="11"/>
      <c r="AL59" s="11"/>
      <c r="AM59" s="11"/>
      <c r="AN59" s="12"/>
    </row>
    <row r="60" spans="1:40" x14ac:dyDescent="0.25">
      <c r="J60" s="8"/>
      <c r="T60" s="8" t="s">
        <v>23</v>
      </c>
      <c r="U60" s="13">
        <f>SUM(K59:U59)</f>
        <v>1259.8899999999999</v>
      </c>
      <c r="AD60" s="8" t="s">
        <v>23</v>
      </c>
      <c r="AE60" s="13">
        <f>SUM(Z59:AE59)</f>
        <v>0</v>
      </c>
      <c r="AM60" s="8" t="s">
        <v>23</v>
      </c>
      <c r="AN60" s="13">
        <f>SUM(AI59:AN59)</f>
        <v>0</v>
      </c>
    </row>
    <row r="61" spans="1:40" ht="15.75" thickBot="1" x14ac:dyDescent="0.3">
      <c r="A61" s="19"/>
      <c r="B61" s="74" t="s">
        <v>13</v>
      </c>
      <c r="C61" s="74"/>
      <c r="D61" s="74"/>
      <c r="E61" s="74"/>
      <c r="F61" s="74"/>
      <c r="G61" s="74"/>
      <c r="H61" s="74"/>
      <c r="J61" s="75" t="s">
        <v>13</v>
      </c>
      <c r="K61" s="75"/>
      <c r="L61" s="75"/>
      <c r="M61" s="75"/>
      <c r="N61" s="75"/>
      <c r="O61" s="75"/>
      <c r="P61" s="75"/>
      <c r="Q61" s="75"/>
      <c r="R61" s="75"/>
      <c r="S61" s="75"/>
      <c r="T61" s="75"/>
      <c r="U61" s="75"/>
      <c r="Y61" s="76" t="str">
        <f>J61</f>
        <v>Março</v>
      </c>
      <c r="Z61" s="76"/>
      <c r="AA61" s="76"/>
      <c r="AB61" s="76"/>
      <c r="AC61" s="76"/>
      <c r="AD61" s="76"/>
      <c r="AE61" s="76"/>
      <c r="AH61" s="77" t="str">
        <f>Y61</f>
        <v>Março</v>
      </c>
      <c r="AI61" s="77"/>
      <c r="AJ61" s="77"/>
      <c r="AK61" s="77"/>
      <c r="AL61" s="77"/>
      <c r="AM61" s="77"/>
      <c r="AN61" s="77"/>
    </row>
    <row r="62" spans="1:40" ht="15.75" thickBot="1" x14ac:dyDescent="0.3">
      <c r="A62" s="78" t="s">
        <v>5</v>
      </c>
      <c r="B62" s="34" t="s">
        <v>6</v>
      </c>
      <c r="C62" s="22" t="s">
        <v>7</v>
      </c>
      <c r="D62" s="33" t="s">
        <v>8</v>
      </c>
      <c r="E62" s="22" t="s">
        <v>9</v>
      </c>
      <c r="F62" s="24" t="s">
        <v>10</v>
      </c>
      <c r="G62" s="23" t="s">
        <v>11</v>
      </c>
      <c r="H62" s="25" t="s">
        <v>12</v>
      </c>
      <c r="J62" s="6" t="s">
        <v>4</v>
      </c>
      <c r="K62" s="9">
        <v>46086</v>
      </c>
      <c r="L62" s="66">
        <v>46088</v>
      </c>
      <c r="M62" s="66">
        <v>46093</v>
      </c>
      <c r="N62" s="4"/>
      <c r="O62" s="4"/>
      <c r="P62" s="4"/>
      <c r="Q62" s="4"/>
      <c r="R62" s="4"/>
      <c r="S62" s="4"/>
      <c r="T62" s="4"/>
      <c r="U62" s="5"/>
      <c r="Y62" s="6" t="s">
        <v>4</v>
      </c>
      <c r="Z62" s="9"/>
      <c r="AA62" s="4"/>
      <c r="AB62" s="4"/>
      <c r="AC62" s="4"/>
      <c r="AD62" s="4"/>
      <c r="AE62" s="5"/>
      <c r="AH62" s="6" t="s">
        <v>4</v>
      </c>
      <c r="AI62" s="9"/>
      <c r="AJ62" s="4"/>
      <c r="AK62" s="4"/>
      <c r="AL62" s="4"/>
      <c r="AM62" s="4"/>
      <c r="AN62" s="5"/>
    </row>
    <row r="63" spans="1:40" ht="15.75" thickBot="1" x14ac:dyDescent="0.3">
      <c r="A63" s="78"/>
      <c r="B63" s="26">
        <v>54579</v>
      </c>
      <c r="C63" s="27">
        <v>55705</v>
      </c>
      <c r="D63" s="27">
        <v>55705</v>
      </c>
      <c r="E63" s="27">
        <v>56948</v>
      </c>
      <c r="F63" s="27">
        <f>SUM(C63-B63)</f>
        <v>1126</v>
      </c>
      <c r="G63" s="20">
        <f>SUM(E63-D63)</f>
        <v>1243</v>
      </c>
      <c r="H63" s="21">
        <f>SUM(F63:G63)</f>
        <v>2369</v>
      </c>
      <c r="J63" s="7" t="s">
        <v>22</v>
      </c>
      <c r="K63" s="10">
        <v>247.08</v>
      </c>
      <c r="L63" s="11">
        <v>213.14</v>
      </c>
      <c r="M63" s="11">
        <v>316.02</v>
      </c>
      <c r="N63" s="11"/>
      <c r="O63" s="11"/>
      <c r="P63" s="11"/>
      <c r="Q63" s="11"/>
      <c r="R63" s="11"/>
      <c r="S63" s="11"/>
      <c r="T63" s="11"/>
      <c r="U63" s="12"/>
      <c r="Y63" s="7" t="s">
        <v>22</v>
      </c>
      <c r="Z63" s="10"/>
      <c r="AA63" s="11"/>
      <c r="AB63" s="11"/>
      <c r="AC63" s="11"/>
      <c r="AD63" s="11"/>
      <c r="AE63" s="12"/>
      <c r="AH63" s="7" t="s">
        <v>22</v>
      </c>
      <c r="AI63" s="10"/>
      <c r="AJ63" s="11"/>
      <c r="AK63" s="11"/>
      <c r="AL63" s="11"/>
      <c r="AM63" s="11"/>
      <c r="AN63" s="12"/>
    </row>
    <row r="64" spans="1:40" x14ac:dyDescent="0.25">
      <c r="J64" s="8"/>
      <c r="T64" s="8" t="s">
        <v>23</v>
      </c>
      <c r="U64" s="13">
        <f>SUM(K63:U63)</f>
        <v>776.24</v>
      </c>
      <c r="AD64" s="8" t="s">
        <v>23</v>
      </c>
      <c r="AE64" s="13">
        <f>SUM(Z63:AE63)</f>
        <v>0</v>
      </c>
      <c r="AM64" s="8" t="s">
        <v>23</v>
      </c>
      <c r="AN64" s="13">
        <f>SUM(AI63:AN63)</f>
        <v>0</v>
      </c>
    </row>
    <row r="65" spans="1:40" ht="15.75" thickBot="1" x14ac:dyDescent="0.3">
      <c r="A65" s="19"/>
      <c r="B65" s="74" t="s">
        <v>14</v>
      </c>
      <c r="C65" s="74"/>
      <c r="D65" s="74"/>
      <c r="E65" s="74"/>
      <c r="F65" s="74"/>
      <c r="G65" s="74"/>
      <c r="H65" s="74"/>
      <c r="J65" s="75" t="s">
        <v>14</v>
      </c>
      <c r="K65" s="75"/>
      <c r="L65" s="75"/>
      <c r="M65" s="75"/>
      <c r="N65" s="75"/>
      <c r="O65" s="75"/>
      <c r="P65" s="75"/>
      <c r="Q65" s="75"/>
      <c r="R65" s="75"/>
      <c r="S65" s="75"/>
      <c r="T65" s="75"/>
      <c r="U65" s="75"/>
      <c r="Y65" s="76" t="str">
        <f>J65</f>
        <v>Abril</v>
      </c>
      <c r="Z65" s="76"/>
      <c r="AA65" s="76"/>
      <c r="AB65" s="76"/>
      <c r="AC65" s="76"/>
      <c r="AD65" s="76"/>
      <c r="AE65" s="76"/>
      <c r="AH65" s="77" t="str">
        <f>Y65</f>
        <v>Abril</v>
      </c>
      <c r="AI65" s="77"/>
      <c r="AJ65" s="77"/>
      <c r="AK65" s="77"/>
      <c r="AL65" s="77"/>
      <c r="AM65" s="77"/>
      <c r="AN65" s="77"/>
    </row>
    <row r="66" spans="1:40" ht="15.75" thickBot="1" x14ac:dyDescent="0.3">
      <c r="A66" s="78" t="s">
        <v>5</v>
      </c>
      <c r="B66" s="34" t="s">
        <v>6</v>
      </c>
      <c r="C66" s="22" t="s">
        <v>7</v>
      </c>
      <c r="D66" s="33" t="s">
        <v>8</v>
      </c>
      <c r="E66" s="22" t="s">
        <v>9</v>
      </c>
      <c r="F66" s="24" t="s">
        <v>10</v>
      </c>
      <c r="G66" s="23" t="s">
        <v>11</v>
      </c>
      <c r="H66" s="25" t="s">
        <v>12</v>
      </c>
      <c r="J66" s="6" t="s">
        <v>4</v>
      </c>
      <c r="K66" s="9">
        <v>46119</v>
      </c>
      <c r="L66" s="66">
        <v>46121</v>
      </c>
      <c r="M66" s="66">
        <v>46122</v>
      </c>
      <c r="N66" s="4"/>
      <c r="O66" s="4"/>
      <c r="P66" s="4"/>
      <c r="Q66" s="4"/>
      <c r="R66" s="4"/>
      <c r="S66" s="4"/>
      <c r="T66" s="4"/>
      <c r="U66" s="5"/>
      <c r="Y66" s="6" t="s">
        <v>4</v>
      </c>
      <c r="Z66" s="9"/>
      <c r="AA66" s="4"/>
      <c r="AB66" s="4"/>
      <c r="AC66" s="4"/>
      <c r="AD66" s="4"/>
      <c r="AE66" s="5"/>
      <c r="AH66" s="6" t="s">
        <v>4</v>
      </c>
      <c r="AI66" s="9"/>
      <c r="AJ66" s="4"/>
      <c r="AK66" s="4"/>
      <c r="AL66" s="4"/>
      <c r="AM66" s="4"/>
      <c r="AN66" s="5"/>
    </row>
    <row r="67" spans="1:40" ht="15.75" thickBot="1" x14ac:dyDescent="0.3">
      <c r="A67" s="78"/>
      <c r="B67" s="26">
        <v>56948</v>
      </c>
      <c r="C67" s="27">
        <v>57468</v>
      </c>
      <c r="D67" s="27"/>
      <c r="E67" s="27"/>
      <c r="F67" s="27">
        <f>SUM(C67-B67)</f>
        <v>520</v>
      </c>
      <c r="G67" s="20">
        <f>SUM(E67-D67)</f>
        <v>0</v>
      </c>
      <c r="H67" s="21">
        <f>SUM(F67:G67)</f>
        <v>520</v>
      </c>
      <c r="J67" s="7" t="s">
        <v>22</v>
      </c>
      <c r="K67" s="30">
        <v>300</v>
      </c>
      <c r="L67" s="31">
        <v>265.72000000000003</v>
      </c>
      <c r="M67" s="31">
        <v>57.29</v>
      </c>
      <c r="N67" s="31"/>
      <c r="O67" s="31"/>
      <c r="P67" s="31"/>
      <c r="Q67" s="31"/>
      <c r="R67" s="31"/>
      <c r="S67" s="31"/>
      <c r="T67" s="31"/>
      <c r="U67" s="32"/>
      <c r="Y67" s="7" t="s">
        <v>22</v>
      </c>
      <c r="Z67" s="10"/>
      <c r="AA67" s="11"/>
      <c r="AB67" s="11"/>
      <c r="AC67" s="11"/>
      <c r="AD67" s="11"/>
      <c r="AE67" s="12"/>
      <c r="AH67" s="7" t="s">
        <v>22</v>
      </c>
      <c r="AI67" s="10"/>
      <c r="AJ67" s="11"/>
      <c r="AK67" s="11"/>
      <c r="AL67" s="11"/>
      <c r="AM67" s="11"/>
      <c r="AN67" s="12"/>
    </row>
    <row r="68" spans="1:40" x14ac:dyDescent="0.25">
      <c r="J68" s="8"/>
      <c r="T68" s="8" t="s">
        <v>23</v>
      </c>
      <c r="U68" s="13">
        <f>SUM(K67:U67)</f>
        <v>623.01</v>
      </c>
      <c r="AD68" s="8" t="s">
        <v>23</v>
      </c>
      <c r="AE68" s="13">
        <f>SUM(Z67:AE67)</f>
        <v>0</v>
      </c>
      <c r="AM68" s="8" t="s">
        <v>23</v>
      </c>
      <c r="AN68" s="13">
        <f>SUM(AI67:AN67)</f>
        <v>0</v>
      </c>
    </row>
    <row r="69" spans="1:40" ht="15.75" thickBot="1" x14ac:dyDescent="0.3">
      <c r="A69" s="19"/>
      <c r="B69" s="74" t="s">
        <v>15</v>
      </c>
      <c r="C69" s="74"/>
      <c r="D69" s="74"/>
      <c r="E69" s="74"/>
      <c r="F69" s="74"/>
      <c r="G69" s="74"/>
      <c r="H69" s="74"/>
      <c r="J69" s="75" t="s">
        <v>15</v>
      </c>
      <c r="K69" s="75"/>
      <c r="L69" s="75"/>
      <c r="M69" s="75"/>
      <c r="N69" s="75"/>
      <c r="O69" s="75"/>
      <c r="P69" s="75"/>
      <c r="Q69" s="75"/>
      <c r="R69" s="75"/>
      <c r="S69" s="75"/>
      <c r="T69" s="75"/>
      <c r="U69" s="75"/>
      <c r="Y69" s="76" t="str">
        <f>J69</f>
        <v>Maio</v>
      </c>
      <c r="Z69" s="76"/>
      <c r="AA69" s="76"/>
      <c r="AB69" s="76"/>
      <c r="AC69" s="76"/>
      <c r="AD69" s="76"/>
      <c r="AE69" s="76"/>
      <c r="AH69" s="77" t="str">
        <f>Y69</f>
        <v>Maio</v>
      </c>
      <c r="AI69" s="77"/>
      <c r="AJ69" s="77"/>
      <c r="AK69" s="77"/>
      <c r="AL69" s="77"/>
      <c r="AM69" s="77"/>
      <c r="AN69" s="77"/>
    </row>
    <row r="70" spans="1:40" ht="15.75" thickBot="1" x14ac:dyDescent="0.3">
      <c r="A70" s="78" t="s">
        <v>5</v>
      </c>
      <c r="B70" s="34" t="s">
        <v>6</v>
      </c>
      <c r="C70" s="22" t="s">
        <v>7</v>
      </c>
      <c r="D70" s="33" t="s">
        <v>8</v>
      </c>
      <c r="E70" s="22" t="s">
        <v>9</v>
      </c>
      <c r="F70" s="24" t="s">
        <v>10</v>
      </c>
      <c r="G70" s="23" t="s">
        <v>11</v>
      </c>
      <c r="H70" s="25" t="s">
        <v>12</v>
      </c>
      <c r="J70" s="6" t="s">
        <v>4</v>
      </c>
      <c r="K70" s="9"/>
      <c r="L70" s="4"/>
      <c r="M70" s="4"/>
      <c r="N70" s="4"/>
      <c r="O70" s="4"/>
      <c r="P70" s="4"/>
      <c r="Q70" s="4"/>
      <c r="R70" s="4"/>
      <c r="S70" s="4"/>
      <c r="T70" s="4"/>
      <c r="U70" s="5"/>
      <c r="Y70" s="6" t="s">
        <v>4</v>
      </c>
      <c r="Z70" s="9"/>
      <c r="AA70" s="4"/>
      <c r="AB70" s="4"/>
      <c r="AC70" s="4"/>
      <c r="AD70" s="4"/>
      <c r="AE70" s="5"/>
      <c r="AH70" s="6" t="s">
        <v>4</v>
      </c>
      <c r="AI70" s="9"/>
      <c r="AJ70" s="4"/>
      <c r="AK70" s="4"/>
      <c r="AL70" s="4"/>
      <c r="AM70" s="4"/>
      <c r="AN70" s="5"/>
    </row>
    <row r="71" spans="1:40" ht="15.75" thickBot="1" x14ac:dyDescent="0.3">
      <c r="A71" s="78"/>
      <c r="B71" s="26"/>
      <c r="C71" s="27"/>
      <c r="D71" s="27"/>
      <c r="E71" s="27"/>
      <c r="F71" s="27">
        <f>SUM(C71-B71)</f>
        <v>0</v>
      </c>
      <c r="G71" s="20">
        <f>SUM(E71-D71)</f>
        <v>0</v>
      </c>
      <c r="H71" s="21">
        <f>SUM(F71:G71)</f>
        <v>0</v>
      </c>
      <c r="J71" s="7" t="s">
        <v>22</v>
      </c>
      <c r="K71" s="10"/>
      <c r="L71" s="11"/>
      <c r="M71" s="11"/>
      <c r="N71" s="11"/>
      <c r="O71" s="11"/>
      <c r="P71" s="11"/>
      <c r="Q71" s="11"/>
      <c r="R71" s="11"/>
      <c r="S71" s="11"/>
      <c r="T71" s="11"/>
      <c r="U71" s="12"/>
      <c r="Y71" s="7" t="s">
        <v>22</v>
      </c>
      <c r="Z71" s="10"/>
      <c r="AA71" s="11"/>
      <c r="AB71" s="11"/>
      <c r="AC71" s="11"/>
      <c r="AD71" s="11"/>
      <c r="AE71" s="12"/>
      <c r="AH71" s="7" t="s">
        <v>22</v>
      </c>
      <c r="AI71" s="10"/>
      <c r="AJ71" s="11"/>
      <c r="AK71" s="11"/>
      <c r="AL71" s="11"/>
      <c r="AM71" s="11"/>
      <c r="AN71" s="12"/>
    </row>
    <row r="72" spans="1:40" x14ac:dyDescent="0.25">
      <c r="J72" s="8"/>
      <c r="T72" s="8" t="s">
        <v>23</v>
      </c>
      <c r="U72" s="13">
        <f>SUM(K71:U71)</f>
        <v>0</v>
      </c>
      <c r="AD72" s="8" t="s">
        <v>23</v>
      </c>
      <c r="AE72" s="13">
        <f>SUM(Z71:AE71)</f>
        <v>0</v>
      </c>
      <c r="AM72" s="8" t="s">
        <v>23</v>
      </c>
      <c r="AN72" s="13">
        <f>SUM(AI71:AN71)</f>
        <v>0</v>
      </c>
    </row>
    <row r="73" spans="1:40" ht="15.75" thickBot="1" x14ac:dyDescent="0.3">
      <c r="A73" s="19"/>
      <c r="B73" s="74" t="s">
        <v>24</v>
      </c>
      <c r="C73" s="74"/>
      <c r="D73" s="74"/>
      <c r="E73" s="74"/>
      <c r="F73" s="74"/>
      <c r="G73" s="74"/>
      <c r="H73" s="74"/>
      <c r="J73" s="75" t="s">
        <v>24</v>
      </c>
      <c r="K73" s="75"/>
      <c r="L73" s="75"/>
      <c r="M73" s="75"/>
      <c r="N73" s="75"/>
      <c r="O73" s="75"/>
      <c r="P73" s="75"/>
      <c r="Q73" s="75"/>
      <c r="R73" s="75"/>
      <c r="S73" s="75"/>
      <c r="T73" s="75"/>
      <c r="U73" s="75"/>
      <c r="Y73" s="76" t="str">
        <f>J73</f>
        <v>Junho</v>
      </c>
      <c r="Z73" s="76"/>
      <c r="AA73" s="76"/>
      <c r="AB73" s="76"/>
      <c r="AC73" s="76"/>
      <c r="AD73" s="76"/>
      <c r="AE73" s="76"/>
      <c r="AH73" s="77" t="str">
        <f>Y73</f>
        <v>Junho</v>
      </c>
      <c r="AI73" s="77"/>
      <c r="AJ73" s="77"/>
      <c r="AK73" s="77"/>
      <c r="AL73" s="77"/>
      <c r="AM73" s="77"/>
      <c r="AN73" s="77"/>
    </row>
    <row r="74" spans="1:40" ht="15.75" thickBot="1" x14ac:dyDescent="0.3">
      <c r="A74" s="78" t="s">
        <v>5</v>
      </c>
      <c r="B74" s="34" t="s">
        <v>6</v>
      </c>
      <c r="C74" s="22" t="s">
        <v>7</v>
      </c>
      <c r="D74" s="33" t="s">
        <v>8</v>
      </c>
      <c r="E74" s="22" t="s">
        <v>9</v>
      </c>
      <c r="F74" s="24" t="s">
        <v>10</v>
      </c>
      <c r="G74" s="23" t="s">
        <v>11</v>
      </c>
      <c r="H74" s="25" t="s">
        <v>12</v>
      </c>
      <c r="J74" s="6" t="s">
        <v>4</v>
      </c>
      <c r="K74" s="9"/>
      <c r="L74" s="4"/>
      <c r="M74" s="4"/>
      <c r="N74" s="4"/>
      <c r="O74" s="4"/>
      <c r="P74" s="4"/>
      <c r="Q74" s="4"/>
      <c r="R74" s="4"/>
      <c r="S74" s="4"/>
      <c r="T74" s="4"/>
      <c r="U74" s="5"/>
      <c r="Y74" s="6" t="s">
        <v>4</v>
      </c>
      <c r="Z74" s="9"/>
      <c r="AA74" s="4"/>
      <c r="AB74" s="4"/>
      <c r="AC74" s="4"/>
      <c r="AD74" s="4"/>
      <c r="AE74" s="5"/>
      <c r="AH74" s="6" t="s">
        <v>4</v>
      </c>
      <c r="AI74" s="9"/>
      <c r="AJ74" s="4"/>
      <c r="AK74" s="4"/>
      <c r="AL74" s="4"/>
      <c r="AM74" s="4"/>
      <c r="AN74" s="5"/>
    </row>
    <row r="75" spans="1:40" ht="15.75" thickBot="1" x14ac:dyDescent="0.3">
      <c r="A75" s="78"/>
      <c r="B75" s="26"/>
      <c r="C75" s="27"/>
      <c r="D75" s="27"/>
      <c r="E75" s="27"/>
      <c r="F75" s="27">
        <f>SUM(C75-B75)</f>
        <v>0</v>
      </c>
      <c r="G75" s="20">
        <f>SUM(E75-D75)</f>
        <v>0</v>
      </c>
      <c r="H75" s="21">
        <f>SUM(F75:G75)</f>
        <v>0</v>
      </c>
      <c r="J75" s="7" t="s">
        <v>22</v>
      </c>
      <c r="K75" s="10"/>
      <c r="L75" s="11"/>
      <c r="M75" s="11"/>
      <c r="N75" s="11"/>
      <c r="O75" s="11"/>
      <c r="P75" s="11"/>
      <c r="Q75" s="11"/>
      <c r="R75" s="11"/>
      <c r="S75" s="11"/>
      <c r="T75" s="11"/>
      <c r="U75" s="12"/>
      <c r="Y75" s="7" t="s">
        <v>22</v>
      </c>
      <c r="Z75" s="10"/>
      <c r="AA75" s="11"/>
      <c r="AB75" s="11"/>
      <c r="AC75" s="11"/>
      <c r="AD75" s="11"/>
      <c r="AE75" s="12"/>
      <c r="AH75" s="7" t="s">
        <v>22</v>
      </c>
      <c r="AI75" s="10"/>
      <c r="AJ75" s="11"/>
      <c r="AK75" s="11"/>
      <c r="AL75" s="11"/>
      <c r="AM75" s="11"/>
      <c r="AN75" s="12"/>
    </row>
    <row r="76" spans="1:40" x14ac:dyDescent="0.25">
      <c r="J76" s="8"/>
      <c r="T76" s="8" t="s">
        <v>23</v>
      </c>
      <c r="U76" s="13">
        <f>SUM(K75:U75)</f>
        <v>0</v>
      </c>
      <c r="AD76" s="8" t="s">
        <v>23</v>
      </c>
      <c r="AE76" s="13">
        <f>SUM(Z75:AE75)</f>
        <v>0</v>
      </c>
      <c r="AM76" s="8" t="s">
        <v>23</v>
      </c>
      <c r="AN76" s="13">
        <f>SUM(AI75:AN75)</f>
        <v>0</v>
      </c>
    </row>
    <row r="77" spans="1:40" ht="15.75" thickBot="1" x14ac:dyDescent="0.3">
      <c r="A77" s="19"/>
      <c r="B77" s="74" t="s">
        <v>16</v>
      </c>
      <c r="C77" s="74"/>
      <c r="D77" s="74"/>
      <c r="E77" s="74"/>
      <c r="F77" s="74"/>
      <c r="G77" s="74"/>
      <c r="H77" s="74"/>
      <c r="J77" s="75" t="s">
        <v>16</v>
      </c>
      <c r="K77" s="75"/>
      <c r="L77" s="75"/>
      <c r="M77" s="75"/>
      <c r="N77" s="75"/>
      <c r="O77" s="75"/>
      <c r="P77" s="75"/>
      <c r="Q77" s="75"/>
      <c r="R77" s="75"/>
      <c r="S77" s="75"/>
      <c r="T77" s="75"/>
      <c r="U77" s="75"/>
      <c r="Y77" s="76" t="str">
        <f>J77</f>
        <v>Julho</v>
      </c>
      <c r="Z77" s="76"/>
      <c r="AA77" s="76"/>
      <c r="AB77" s="76"/>
      <c r="AC77" s="76"/>
      <c r="AD77" s="76"/>
      <c r="AE77" s="76"/>
      <c r="AH77" s="77" t="str">
        <f>Y77</f>
        <v>Julho</v>
      </c>
      <c r="AI77" s="77"/>
      <c r="AJ77" s="77"/>
      <c r="AK77" s="77"/>
      <c r="AL77" s="77"/>
      <c r="AM77" s="77"/>
      <c r="AN77" s="77"/>
    </row>
    <row r="78" spans="1:40" ht="15.75" thickBot="1" x14ac:dyDescent="0.3">
      <c r="A78" s="78" t="s">
        <v>5</v>
      </c>
      <c r="B78" s="34" t="s">
        <v>6</v>
      </c>
      <c r="C78" s="22" t="s">
        <v>7</v>
      </c>
      <c r="D78" s="33" t="s">
        <v>8</v>
      </c>
      <c r="E78" s="22" t="s">
        <v>9</v>
      </c>
      <c r="F78" s="24" t="s">
        <v>10</v>
      </c>
      <c r="G78" s="23" t="s">
        <v>11</v>
      </c>
      <c r="H78" s="25" t="s">
        <v>12</v>
      </c>
      <c r="J78" s="6" t="s">
        <v>4</v>
      </c>
      <c r="K78" s="9"/>
      <c r="L78" s="4"/>
      <c r="M78" s="4"/>
      <c r="N78" s="4"/>
      <c r="O78" s="4"/>
      <c r="P78" s="4"/>
      <c r="Q78" s="4"/>
      <c r="R78" s="4"/>
      <c r="S78" s="4"/>
      <c r="T78" s="4"/>
      <c r="U78" s="5"/>
      <c r="Y78" s="6" t="s">
        <v>4</v>
      </c>
      <c r="Z78" s="9"/>
      <c r="AA78" s="4"/>
      <c r="AB78" s="4"/>
      <c r="AC78" s="4"/>
      <c r="AD78" s="4"/>
      <c r="AE78" s="5"/>
      <c r="AH78" s="6" t="s">
        <v>4</v>
      </c>
      <c r="AI78" s="9"/>
      <c r="AJ78" s="4"/>
      <c r="AK78" s="4"/>
      <c r="AL78" s="4"/>
      <c r="AM78" s="4"/>
      <c r="AN78" s="5"/>
    </row>
    <row r="79" spans="1:40" ht="15.75" thickBot="1" x14ac:dyDescent="0.3">
      <c r="A79" s="78"/>
      <c r="B79" s="26"/>
      <c r="C79" s="27"/>
      <c r="D79" s="27"/>
      <c r="E79" s="27"/>
      <c r="F79" s="27">
        <f>SUM(C79-B79)</f>
        <v>0</v>
      </c>
      <c r="G79" s="20">
        <f>SUM(E79-D79)</f>
        <v>0</v>
      </c>
      <c r="H79" s="21">
        <f>SUM(F79:G79)</f>
        <v>0</v>
      </c>
      <c r="J79" s="7" t="s">
        <v>22</v>
      </c>
      <c r="K79" s="10"/>
      <c r="L79" s="11"/>
      <c r="M79" s="11"/>
      <c r="N79" s="11"/>
      <c r="O79" s="11"/>
      <c r="P79" s="11"/>
      <c r="Q79" s="11"/>
      <c r="R79" s="11"/>
      <c r="S79" s="11"/>
      <c r="T79" s="11"/>
      <c r="U79" s="12"/>
      <c r="Y79" s="7" t="s">
        <v>22</v>
      </c>
      <c r="Z79" s="10"/>
      <c r="AA79" s="11"/>
      <c r="AB79" s="11"/>
      <c r="AC79" s="11"/>
      <c r="AD79" s="11"/>
      <c r="AE79" s="12"/>
      <c r="AH79" s="7" t="s">
        <v>22</v>
      </c>
      <c r="AI79" s="10"/>
      <c r="AJ79" s="11"/>
      <c r="AK79" s="11"/>
      <c r="AL79" s="11"/>
      <c r="AM79" s="11"/>
      <c r="AN79" s="12"/>
    </row>
    <row r="80" spans="1:40" x14ac:dyDescent="0.25">
      <c r="J80" s="8"/>
      <c r="T80" s="8" t="s">
        <v>23</v>
      </c>
      <c r="U80" s="13">
        <f>SUM(K79:U79)</f>
        <v>0</v>
      </c>
      <c r="AD80" s="8" t="s">
        <v>23</v>
      </c>
      <c r="AE80" s="13">
        <f>SUM(Z79:AE79)</f>
        <v>0</v>
      </c>
      <c r="AM80" s="8" t="s">
        <v>23</v>
      </c>
      <c r="AN80" s="13">
        <f>SUM(AI79:AN79)</f>
        <v>0</v>
      </c>
    </row>
    <row r="81" spans="1:40" ht="15.75" thickBot="1" x14ac:dyDescent="0.3">
      <c r="A81" s="19"/>
      <c r="B81" s="74" t="s">
        <v>17</v>
      </c>
      <c r="C81" s="74"/>
      <c r="D81" s="74"/>
      <c r="E81" s="74"/>
      <c r="F81" s="74"/>
      <c r="G81" s="74"/>
      <c r="H81" s="74"/>
      <c r="J81" s="75" t="s">
        <v>17</v>
      </c>
      <c r="K81" s="75"/>
      <c r="L81" s="75"/>
      <c r="M81" s="75"/>
      <c r="N81" s="75"/>
      <c r="O81" s="75"/>
      <c r="P81" s="75"/>
      <c r="Q81" s="75"/>
      <c r="R81" s="75"/>
      <c r="S81" s="75"/>
      <c r="T81" s="75"/>
      <c r="U81" s="75"/>
      <c r="Y81" s="76" t="str">
        <f>J81</f>
        <v>Agosto</v>
      </c>
      <c r="Z81" s="76"/>
      <c r="AA81" s="76"/>
      <c r="AB81" s="76"/>
      <c r="AC81" s="76"/>
      <c r="AD81" s="76"/>
      <c r="AE81" s="76"/>
      <c r="AH81" s="77" t="str">
        <f>Y81</f>
        <v>Agosto</v>
      </c>
      <c r="AI81" s="77"/>
      <c r="AJ81" s="77"/>
      <c r="AK81" s="77"/>
      <c r="AL81" s="77"/>
      <c r="AM81" s="77"/>
      <c r="AN81" s="77"/>
    </row>
    <row r="82" spans="1:40" ht="15.75" thickBot="1" x14ac:dyDescent="0.3">
      <c r="A82" s="78" t="s">
        <v>5</v>
      </c>
      <c r="B82" s="34" t="s">
        <v>6</v>
      </c>
      <c r="C82" s="22" t="s">
        <v>7</v>
      </c>
      <c r="D82" s="33" t="s">
        <v>8</v>
      </c>
      <c r="E82" s="22" t="s">
        <v>9</v>
      </c>
      <c r="F82" s="24" t="s">
        <v>10</v>
      </c>
      <c r="G82" s="23" t="s">
        <v>11</v>
      </c>
      <c r="H82" s="25" t="s">
        <v>12</v>
      </c>
      <c r="J82" s="6" t="s">
        <v>4</v>
      </c>
      <c r="K82" s="9"/>
      <c r="L82" s="4"/>
      <c r="M82" s="4"/>
      <c r="N82" s="4"/>
      <c r="O82" s="4"/>
      <c r="P82" s="4"/>
      <c r="Q82" s="4"/>
      <c r="R82" s="4"/>
      <c r="S82" s="4"/>
      <c r="T82" s="4"/>
      <c r="U82" s="5"/>
      <c r="Y82" s="6" t="s">
        <v>4</v>
      </c>
      <c r="Z82" s="9"/>
      <c r="AA82" s="4"/>
      <c r="AB82" s="4"/>
      <c r="AC82" s="4"/>
      <c r="AD82" s="4"/>
      <c r="AE82" s="5"/>
      <c r="AH82" s="6" t="s">
        <v>4</v>
      </c>
      <c r="AI82" s="9"/>
      <c r="AJ82" s="4"/>
      <c r="AK82" s="4"/>
      <c r="AL82" s="4"/>
      <c r="AM82" s="4"/>
      <c r="AN82" s="5"/>
    </row>
    <row r="83" spans="1:40" ht="15.75" thickBot="1" x14ac:dyDescent="0.3">
      <c r="A83" s="78"/>
      <c r="B83" s="26"/>
      <c r="C83" s="27"/>
      <c r="D83" s="27"/>
      <c r="E83" s="27"/>
      <c r="F83" s="27">
        <f>SUM(C83-B83)</f>
        <v>0</v>
      </c>
      <c r="G83" s="20">
        <f>SUM(E83-D83)</f>
        <v>0</v>
      </c>
      <c r="H83" s="21">
        <f>SUM(F83:G83)</f>
        <v>0</v>
      </c>
      <c r="J83" s="7" t="s">
        <v>22</v>
      </c>
      <c r="K83" s="10"/>
      <c r="L83" s="11"/>
      <c r="M83" s="11"/>
      <c r="N83" s="11"/>
      <c r="O83" s="11"/>
      <c r="P83" s="11"/>
      <c r="Q83" s="11"/>
      <c r="R83" s="11"/>
      <c r="S83" s="11"/>
      <c r="T83" s="11"/>
      <c r="U83" s="12"/>
      <c r="Y83" s="7" t="s">
        <v>22</v>
      </c>
      <c r="Z83" s="10"/>
      <c r="AA83" s="11"/>
      <c r="AB83" s="11"/>
      <c r="AC83" s="11"/>
      <c r="AD83" s="11"/>
      <c r="AE83" s="12"/>
      <c r="AH83" s="7" t="s">
        <v>22</v>
      </c>
      <c r="AI83" s="10"/>
      <c r="AJ83" s="11"/>
      <c r="AK83" s="11"/>
      <c r="AL83" s="11"/>
      <c r="AM83" s="11"/>
      <c r="AN83" s="12"/>
    </row>
    <row r="84" spans="1:40" x14ac:dyDescent="0.25">
      <c r="J84" s="8"/>
      <c r="T84" s="8" t="s">
        <v>23</v>
      </c>
      <c r="U84" s="13">
        <f>SUM(K83:U83)</f>
        <v>0</v>
      </c>
      <c r="AD84" s="8" t="s">
        <v>23</v>
      </c>
      <c r="AE84" s="13">
        <f>SUM(Z83:AE83)</f>
        <v>0</v>
      </c>
      <c r="AM84" s="8" t="s">
        <v>23</v>
      </c>
      <c r="AN84" s="13">
        <f>SUM(AI83:AN83)</f>
        <v>0</v>
      </c>
    </row>
    <row r="85" spans="1:40" ht="15.75" thickBot="1" x14ac:dyDescent="0.3">
      <c r="A85" s="19"/>
      <c r="B85" s="74" t="s">
        <v>18</v>
      </c>
      <c r="C85" s="74"/>
      <c r="D85" s="74"/>
      <c r="E85" s="74"/>
      <c r="F85" s="74"/>
      <c r="G85" s="74"/>
      <c r="H85" s="74"/>
      <c r="J85" s="75" t="s">
        <v>18</v>
      </c>
      <c r="K85" s="75"/>
      <c r="L85" s="75"/>
      <c r="M85" s="75"/>
      <c r="N85" s="75"/>
      <c r="O85" s="75"/>
      <c r="P85" s="75"/>
      <c r="Q85" s="75"/>
      <c r="R85" s="75"/>
      <c r="S85" s="75"/>
      <c r="T85" s="75"/>
      <c r="U85" s="75"/>
      <c r="Y85" s="76" t="str">
        <f>J85</f>
        <v>Setembro</v>
      </c>
      <c r="Z85" s="76"/>
      <c r="AA85" s="76"/>
      <c r="AB85" s="76"/>
      <c r="AC85" s="76"/>
      <c r="AD85" s="76"/>
      <c r="AE85" s="76"/>
      <c r="AH85" s="77" t="str">
        <f>Y85</f>
        <v>Setembro</v>
      </c>
      <c r="AI85" s="77"/>
      <c r="AJ85" s="77"/>
      <c r="AK85" s="77"/>
      <c r="AL85" s="77"/>
      <c r="AM85" s="77"/>
      <c r="AN85" s="77"/>
    </row>
    <row r="86" spans="1:40" ht="15.75" thickBot="1" x14ac:dyDescent="0.3">
      <c r="A86" s="78" t="s">
        <v>5</v>
      </c>
      <c r="B86" s="34" t="s">
        <v>6</v>
      </c>
      <c r="C86" s="22" t="s">
        <v>7</v>
      </c>
      <c r="D86" s="33" t="s">
        <v>8</v>
      </c>
      <c r="E86" s="22" t="s">
        <v>9</v>
      </c>
      <c r="F86" s="24" t="s">
        <v>10</v>
      </c>
      <c r="G86" s="23" t="s">
        <v>11</v>
      </c>
      <c r="H86" s="25" t="s">
        <v>12</v>
      </c>
      <c r="J86" s="6" t="s">
        <v>4</v>
      </c>
      <c r="K86" s="9"/>
      <c r="L86" s="4"/>
      <c r="M86" s="4"/>
      <c r="N86" s="4"/>
      <c r="O86" s="4"/>
      <c r="P86" s="4"/>
      <c r="Q86" s="4"/>
      <c r="R86" s="4"/>
      <c r="S86" s="4"/>
      <c r="T86" s="4"/>
      <c r="U86" s="5"/>
      <c r="Y86" s="6" t="s">
        <v>4</v>
      </c>
      <c r="Z86" s="9"/>
      <c r="AA86" s="4"/>
      <c r="AB86" s="4"/>
      <c r="AC86" s="4"/>
      <c r="AD86" s="4"/>
      <c r="AE86" s="5"/>
      <c r="AH86" s="6" t="s">
        <v>4</v>
      </c>
      <c r="AI86" s="9"/>
      <c r="AJ86" s="4"/>
      <c r="AK86" s="4"/>
      <c r="AL86" s="4"/>
      <c r="AM86" s="4"/>
      <c r="AN86" s="5"/>
    </row>
    <row r="87" spans="1:40" ht="15.75" thickBot="1" x14ac:dyDescent="0.3">
      <c r="A87" s="78"/>
      <c r="B87" s="26"/>
      <c r="C87" s="27"/>
      <c r="D87" s="27"/>
      <c r="E87" s="27"/>
      <c r="F87" s="27">
        <f>SUM(C87-B87)</f>
        <v>0</v>
      </c>
      <c r="G87" s="20">
        <f>SUM(E87-D87)</f>
        <v>0</v>
      </c>
      <c r="H87" s="21">
        <f>SUM(F87:G87)</f>
        <v>0</v>
      </c>
      <c r="J87" s="7" t="s">
        <v>22</v>
      </c>
      <c r="K87" s="10"/>
      <c r="L87" s="11"/>
      <c r="M87" s="11"/>
      <c r="N87" s="11"/>
      <c r="O87" s="11"/>
      <c r="P87" s="11"/>
      <c r="Q87" s="11"/>
      <c r="R87" s="11"/>
      <c r="S87" s="11"/>
      <c r="T87" s="11"/>
      <c r="U87" s="12"/>
      <c r="Y87" s="7" t="s">
        <v>22</v>
      </c>
      <c r="Z87" s="10"/>
      <c r="AA87" s="11"/>
      <c r="AB87" s="11"/>
      <c r="AC87" s="11"/>
      <c r="AD87" s="11"/>
      <c r="AE87" s="12"/>
      <c r="AH87" s="7" t="s">
        <v>22</v>
      </c>
      <c r="AI87" s="10"/>
      <c r="AJ87" s="11"/>
      <c r="AK87" s="11"/>
      <c r="AL87" s="11"/>
      <c r="AM87" s="11"/>
      <c r="AN87" s="12"/>
    </row>
    <row r="88" spans="1:40" x14ac:dyDescent="0.25">
      <c r="J88" s="8"/>
      <c r="T88" s="8" t="s">
        <v>23</v>
      </c>
      <c r="U88" s="13">
        <f>SUM(K87:U87)</f>
        <v>0</v>
      </c>
      <c r="AD88" s="8" t="s">
        <v>23</v>
      </c>
      <c r="AE88" s="13">
        <f>SUM(Z87:AE87)</f>
        <v>0</v>
      </c>
      <c r="AM88" s="8" t="s">
        <v>23</v>
      </c>
      <c r="AN88" s="13">
        <f>SUM(AI87:AN87)</f>
        <v>0</v>
      </c>
    </row>
  </sheetData>
  <mergeCells count="110">
    <mergeCell ref="A50:A51"/>
    <mergeCell ref="B41:H41"/>
    <mergeCell ref="J41:U41"/>
    <mergeCell ref="W41:AC41"/>
    <mergeCell ref="AE41:AK41"/>
    <mergeCell ref="A42:A43"/>
    <mergeCell ref="B45:H45"/>
    <mergeCell ref="J45:U45"/>
    <mergeCell ref="W45:AC45"/>
    <mergeCell ref="AE45:AK45"/>
    <mergeCell ref="A46:A47"/>
    <mergeCell ref="B49:H49"/>
    <mergeCell ref="J49:U49"/>
    <mergeCell ref="W49:AC49"/>
    <mergeCell ref="AE49:AK49"/>
    <mergeCell ref="A38:A39"/>
    <mergeCell ref="B29:H29"/>
    <mergeCell ref="J29:U29"/>
    <mergeCell ref="W29:AC29"/>
    <mergeCell ref="AE29:AK29"/>
    <mergeCell ref="A30:A31"/>
    <mergeCell ref="B33:H33"/>
    <mergeCell ref="J33:U33"/>
    <mergeCell ref="W33:AC33"/>
    <mergeCell ref="AE33:AK33"/>
    <mergeCell ref="A34:A35"/>
    <mergeCell ref="B37:H37"/>
    <mergeCell ref="J37:U37"/>
    <mergeCell ref="W37:AC37"/>
    <mergeCell ref="AE37:AK37"/>
    <mergeCell ref="AE13:AK13"/>
    <mergeCell ref="A26:A27"/>
    <mergeCell ref="B17:H17"/>
    <mergeCell ref="J17:U17"/>
    <mergeCell ref="W17:AC17"/>
    <mergeCell ref="AE17:AK17"/>
    <mergeCell ref="A18:A19"/>
    <mergeCell ref="B21:H21"/>
    <mergeCell ref="J21:U21"/>
    <mergeCell ref="W21:AC21"/>
    <mergeCell ref="AE21:AK21"/>
    <mergeCell ref="A22:A23"/>
    <mergeCell ref="B25:H25"/>
    <mergeCell ref="J25:U25"/>
    <mergeCell ref="W25:AC25"/>
    <mergeCell ref="AE25:AK25"/>
    <mergeCell ref="B53:H53"/>
    <mergeCell ref="J53:U53"/>
    <mergeCell ref="Y53:AE53"/>
    <mergeCell ref="AH53:AN53"/>
    <mergeCell ref="A54:A55"/>
    <mergeCell ref="B2:C2"/>
    <mergeCell ref="E2:F2"/>
    <mergeCell ref="B4:C4"/>
    <mergeCell ref="E4:F4"/>
    <mergeCell ref="A7:H7"/>
    <mergeCell ref="B3:C3"/>
    <mergeCell ref="E3:F3"/>
    <mergeCell ref="A14:A15"/>
    <mergeCell ref="W7:AC7"/>
    <mergeCell ref="AE7:AK7"/>
    <mergeCell ref="B9:H9"/>
    <mergeCell ref="J9:U9"/>
    <mergeCell ref="W9:AC9"/>
    <mergeCell ref="AE9:AK9"/>
    <mergeCell ref="J7:U7"/>
    <mergeCell ref="A10:A11"/>
    <mergeCell ref="B13:H13"/>
    <mergeCell ref="J13:U13"/>
    <mergeCell ref="W13:AC13"/>
    <mergeCell ref="B61:H61"/>
    <mergeCell ref="J61:U61"/>
    <mergeCell ref="Y61:AE61"/>
    <mergeCell ref="AH61:AN61"/>
    <mergeCell ref="A62:A63"/>
    <mergeCell ref="B57:H57"/>
    <mergeCell ref="J57:U57"/>
    <mergeCell ref="Y57:AE57"/>
    <mergeCell ref="AH57:AN57"/>
    <mergeCell ref="A58:A59"/>
    <mergeCell ref="B69:H69"/>
    <mergeCell ref="J69:U69"/>
    <mergeCell ref="Y69:AE69"/>
    <mergeCell ref="AH69:AN69"/>
    <mergeCell ref="A70:A71"/>
    <mergeCell ref="B65:H65"/>
    <mergeCell ref="J65:U65"/>
    <mergeCell ref="Y65:AE65"/>
    <mergeCell ref="AH65:AN65"/>
    <mergeCell ref="A66:A67"/>
    <mergeCell ref="B77:H77"/>
    <mergeCell ref="J77:U77"/>
    <mergeCell ref="Y77:AE77"/>
    <mergeCell ref="AH77:AN77"/>
    <mergeCell ref="A78:A79"/>
    <mergeCell ref="B73:H73"/>
    <mergeCell ref="J73:U73"/>
    <mergeCell ref="Y73:AE73"/>
    <mergeCell ref="AH73:AN73"/>
    <mergeCell ref="A74:A75"/>
    <mergeCell ref="B85:H85"/>
    <mergeCell ref="J85:U85"/>
    <mergeCell ref="Y85:AE85"/>
    <mergeCell ref="AH85:AN85"/>
    <mergeCell ref="A86:A87"/>
    <mergeCell ref="B81:H81"/>
    <mergeCell ref="J81:U81"/>
    <mergeCell ref="Y81:AE81"/>
    <mergeCell ref="AH81:AN81"/>
    <mergeCell ref="A82:A83"/>
  </mergeCells>
  <phoneticPr fontId="3" type="noConversion"/>
  <pageMargins left="0.511811024" right="0.511811024" top="0.78740157499999996" bottom="0.78740157499999996" header="0.31496062000000002" footer="0.31496062000000002"/>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AN52"/>
  <sheetViews>
    <sheetView showGridLines="0" workbookViewId="0">
      <selection activeCell="B21" sqref="B21:H21"/>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2:AN52"/>
  <sheetViews>
    <sheetView showGridLines="0" workbookViewId="0">
      <selection activeCell="A3" sqref="A3:I3"/>
    </sheetView>
  </sheetViews>
  <sheetFormatPr defaultRowHeight="15" x14ac:dyDescent="0.25"/>
  <cols>
    <col min="1" max="1" width="19.5703125" bestFit="1" customWidth="1"/>
    <col min="2" max="2" width="11.7109375" style="1" bestFit="1" customWidth="1"/>
    <col min="3" max="3" width="9.28515625" style="1" bestFit="1" customWidth="1"/>
    <col min="4" max="4" width="10.7109375" style="1" customWidth="1"/>
    <col min="5" max="5" width="9.28515625" style="1" bestFit="1" customWidth="1"/>
    <col min="6" max="7" width="15.28515625" bestFit="1" customWidth="1"/>
    <col min="8" max="8" width="11.85546875" bestFit="1" customWidth="1"/>
    <col min="9" max="9" width="27.7109375" customWidth="1"/>
    <col min="10" max="10" width="13.42578125" bestFit="1" customWidth="1"/>
    <col min="11" max="11" width="10.140625" bestFit="1" customWidth="1"/>
    <col min="37" max="39" width="10.140625" bestFit="1" customWidth="1"/>
  </cols>
  <sheetData>
    <row r="2" spans="1:40" x14ac:dyDescent="0.25">
      <c r="A2" t="s">
        <v>0</v>
      </c>
      <c r="B2" s="79"/>
      <c r="C2" s="79"/>
      <c r="D2" s="1" t="s">
        <v>1</v>
      </c>
      <c r="E2" s="79"/>
      <c r="F2" s="79"/>
      <c r="H2" t="s">
        <v>45</v>
      </c>
      <c r="I2" s="54"/>
    </row>
    <row r="3" spans="1:40" x14ac:dyDescent="0.25">
      <c r="A3" t="s">
        <v>80</v>
      </c>
      <c r="B3" s="79"/>
      <c r="C3" s="79"/>
      <c r="D3" s="1" t="s">
        <v>1</v>
      </c>
      <c r="E3" s="79"/>
      <c r="F3" s="79"/>
      <c r="H3" t="s">
        <v>81</v>
      </c>
      <c r="I3" s="54"/>
    </row>
    <row r="4" spans="1:40" x14ac:dyDescent="0.25">
      <c r="A4" t="s">
        <v>2</v>
      </c>
      <c r="B4" s="80"/>
      <c r="C4" s="80"/>
      <c r="D4" s="1" t="s">
        <v>29</v>
      </c>
      <c r="E4" s="79"/>
      <c r="F4" s="79"/>
    </row>
    <row r="7" spans="1:40" ht="21" x14ac:dyDescent="0.35">
      <c r="A7" s="82" t="s">
        <v>28</v>
      </c>
      <c r="B7" s="82"/>
      <c r="C7" s="82"/>
      <c r="D7" s="82"/>
      <c r="E7" s="82"/>
      <c r="F7" s="82"/>
      <c r="G7" s="82"/>
      <c r="H7" s="82"/>
      <c r="J7" s="84" t="s">
        <v>26</v>
      </c>
      <c r="K7" s="84"/>
      <c r="L7" s="84"/>
      <c r="M7" s="84"/>
      <c r="N7" s="84"/>
      <c r="O7" s="84"/>
      <c r="P7" s="84"/>
      <c r="Q7" s="84"/>
      <c r="R7" s="84"/>
      <c r="S7" s="84"/>
      <c r="T7" s="84"/>
      <c r="U7" s="84"/>
      <c r="V7" s="2"/>
      <c r="W7" s="2"/>
      <c r="X7" s="2"/>
      <c r="Y7" s="83" t="s">
        <v>25</v>
      </c>
      <c r="Z7" s="83"/>
      <c r="AA7" s="83"/>
      <c r="AB7" s="83"/>
      <c r="AC7" s="83"/>
      <c r="AD7" s="83"/>
      <c r="AE7" s="83"/>
      <c r="AF7" s="2"/>
      <c r="AG7" s="2"/>
      <c r="AH7" s="83" t="s">
        <v>27</v>
      </c>
      <c r="AI7" s="83"/>
      <c r="AJ7" s="83"/>
      <c r="AK7" s="83"/>
      <c r="AL7" s="83"/>
      <c r="AM7" s="83"/>
      <c r="AN7" s="83"/>
    </row>
    <row r="8" spans="1:40" s="15" customFormat="1" ht="21" x14ac:dyDescent="0.35">
      <c r="A8" s="14"/>
      <c r="B8" s="14"/>
      <c r="C8" s="14"/>
      <c r="D8" s="14"/>
      <c r="E8" s="14"/>
      <c r="F8" s="14"/>
      <c r="G8" s="14"/>
      <c r="H8" s="14"/>
      <c r="J8" s="16"/>
      <c r="K8" s="16"/>
      <c r="L8" s="16"/>
      <c r="M8" s="16"/>
      <c r="N8" s="16"/>
      <c r="O8" s="16"/>
      <c r="P8" s="16"/>
      <c r="Q8" s="16"/>
      <c r="R8" s="16"/>
      <c r="S8" s="16"/>
      <c r="T8" s="16"/>
      <c r="U8" s="16"/>
      <c r="V8" s="17"/>
      <c r="W8" s="17"/>
      <c r="X8" s="17"/>
      <c r="Y8" s="18"/>
      <c r="Z8" s="18"/>
      <c r="AA8" s="18"/>
      <c r="AB8" s="18"/>
      <c r="AC8" s="18"/>
      <c r="AD8" s="18"/>
      <c r="AE8" s="18"/>
      <c r="AF8" s="17"/>
      <c r="AG8" s="17"/>
      <c r="AH8" s="18"/>
      <c r="AI8" s="18"/>
      <c r="AJ8" s="18"/>
      <c r="AK8" s="18"/>
      <c r="AL8" s="18"/>
      <c r="AM8" s="18"/>
      <c r="AN8" s="18"/>
    </row>
    <row r="9" spans="1:40" ht="15.75" thickBot="1" x14ac:dyDescent="0.3">
      <c r="A9" s="19"/>
      <c r="B9" s="74" t="s">
        <v>3</v>
      </c>
      <c r="C9" s="74"/>
      <c r="D9" s="74"/>
      <c r="E9" s="74"/>
      <c r="F9" s="74"/>
      <c r="G9" s="74"/>
      <c r="H9" s="74"/>
      <c r="J9" s="75" t="s">
        <v>3</v>
      </c>
      <c r="K9" s="75"/>
      <c r="L9" s="75"/>
      <c r="M9" s="75"/>
      <c r="N9" s="75"/>
      <c r="O9" s="75"/>
      <c r="P9" s="75"/>
      <c r="Q9" s="75"/>
      <c r="R9" s="75"/>
      <c r="S9" s="75"/>
      <c r="T9" s="75"/>
      <c r="U9" s="75"/>
      <c r="Y9" s="76" t="s">
        <v>3</v>
      </c>
      <c r="Z9" s="76"/>
      <c r="AA9" s="76"/>
      <c r="AB9" s="76"/>
      <c r="AC9" s="76"/>
      <c r="AD9" s="76"/>
      <c r="AE9" s="76"/>
      <c r="AH9" s="77" t="s">
        <v>3</v>
      </c>
      <c r="AI9" s="77"/>
      <c r="AJ9" s="77"/>
      <c r="AK9" s="77"/>
      <c r="AL9" s="77"/>
      <c r="AM9" s="77"/>
      <c r="AN9" s="77"/>
    </row>
    <row r="10" spans="1:40" ht="15.75" thickBot="1" x14ac:dyDescent="0.3">
      <c r="A10" s="78" t="s">
        <v>5</v>
      </c>
      <c r="B10" s="34" t="s">
        <v>6</v>
      </c>
      <c r="C10" s="22" t="s">
        <v>7</v>
      </c>
      <c r="D10" s="33" t="s">
        <v>8</v>
      </c>
      <c r="E10" s="22" t="s">
        <v>9</v>
      </c>
      <c r="F10" s="24" t="s">
        <v>10</v>
      </c>
      <c r="G10" s="23" t="s">
        <v>11</v>
      </c>
      <c r="H10" s="25" t="s">
        <v>12</v>
      </c>
      <c r="J10" s="28" t="s">
        <v>4</v>
      </c>
      <c r="K10" s="9"/>
      <c r="L10" s="4"/>
      <c r="M10" s="4"/>
      <c r="N10" s="4"/>
      <c r="O10" s="4"/>
      <c r="P10" s="4"/>
      <c r="Q10" s="4"/>
      <c r="R10" s="4"/>
      <c r="S10" s="4"/>
      <c r="T10" s="4"/>
      <c r="U10" s="5"/>
      <c r="Y10" s="6" t="s">
        <v>4</v>
      </c>
      <c r="Z10" s="9"/>
      <c r="AA10" s="4"/>
      <c r="AB10" s="4"/>
      <c r="AC10" s="4"/>
      <c r="AD10" s="4"/>
      <c r="AE10" s="5"/>
      <c r="AH10" s="6" t="s">
        <v>4</v>
      </c>
      <c r="AI10" s="9"/>
      <c r="AJ10" s="4"/>
      <c r="AK10" s="4"/>
      <c r="AL10" s="4"/>
      <c r="AM10" s="4"/>
      <c r="AN10" s="5"/>
    </row>
    <row r="11" spans="1:40" ht="15.75" thickBot="1" x14ac:dyDescent="0.3">
      <c r="A11" s="78"/>
      <c r="B11" s="26"/>
      <c r="C11" s="27"/>
      <c r="D11" s="27"/>
      <c r="E11" s="27"/>
      <c r="F11" s="27">
        <f>SUM(C11-B11)</f>
        <v>0</v>
      </c>
      <c r="G11" s="20">
        <f>SUM(E11-D11)</f>
        <v>0</v>
      </c>
      <c r="H11" s="21">
        <f>SUM(F11:G11)</f>
        <v>0</v>
      </c>
      <c r="J11" s="29" t="s">
        <v>22</v>
      </c>
      <c r="K11" s="10"/>
      <c r="L11" s="11"/>
      <c r="M11" s="11"/>
      <c r="N11" s="11"/>
      <c r="O11" s="11"/>
      <c r="P11" s="11"/>
      <c r="Q11" s="11"/>
      <c r="R11" s="11"/>
      <c r="S11" s="11"/>
      <c r="T11" s="11"/>
      <c r="U11" s="12"/>
      <c r="Y11" s="7" t="s">
        <v>22</v>
      </c>
      <c r="Z11" s="10"/>
      <c r="AA11" s="11"/>
      <c r="AB11" s="11"/>
      <c r="AC11" s="11"/>
      <c r="AD11" s="11"/>
      <c r="AE11" s="12"/>
      <c r="AH11" s="7" t="s">
        <v>22</v>
      </c>
      <c r="AI11" s="10"/>
      <c r="AJ11" s="11"/>
      <c r="AK11" s="11"/>
      <c r="AL11" s="11"/>
      <c r="AM11" s="11"/>
      <c r="AN11" s="12"/>
    </row>
    <row r="12" spans="1:40" x14ac:dyDescent="0.25">
      <c r="J12" s="8"/>
      <c r="T12" s="8" t="s">
        <v>23</v>
      </c>
      <c r="U12" s="13">
        <f>SUM(K11:U11)</f>
        <v>0</v>
      </c>
      <c r="AD12" s="8" t="s">
        <v>23</v>
      </c>
      <c r="AE12" s="13">
        <f>SUM(Z11:AE11)</f>
        <v>0</v>
      </c>
      <c r="AM12" s="8" t="s">
        <v>23</v>
      </c>
      <c r="AN12" s="13">
        <f>SUM(AI11:AN11)</f>
        <v>0</v>
      </c>
    </row>
    <row r="13" spans="1:40" ht="15.75" thickBot="1" x14ac:dyDescent="0.3">
      <c r="A13" s="19"/>
      <c r="B13" s="74" t="s">
        <v>13</v>
      </c>
      <c r="C13" s="74"/>
      <c r="D13" s="74"/>
      <c r="E13" s="74"/>
      <c r="F13" s="74"/>
      <c r="G13" s="74"/>
      <c r="H13" s="74"/>
      <c r="J13" s="75" t="s">
        <v>13</v>
      </c>
      <c r="K13" s="75"/>
      <c r="L13" s="75"/>
      <c r="M13" s="75"/>
      <c r="N13" s="75"/>
      <c r="O13" s="75"/>
      <c r="P13" s="75"/>
      <c r="Q13" s="75"/>
      <c r="R13" s="75"/>
      <c r="S13" s="75"/>
      <c r="T13" s="75"/>
      <c r="U13" s="75"/>
      <c r="Y13" s="76" t="str">
        <f>J13</f>
        <v>Março</v>
      </c>
      <c r="Z13" s="76"/>
      <c r="AA13" s="76"/>
      <c r="AB13" s="76"/>
      <c r="AC13" s="76"/>
      <c r="AD13" s="76"/>
      <c r="AE13" s="76"/>
      <c r="AH13" s="77" t="str">
        <f>Y13</f>
        <v>Março</v>
      </c>
      <c r="AI13" s="77"/>
      <c r="AJ13" s="77"/>
      <c r="AK13" s="77"/>
      <c r="AL13" s="77"/>
      <c r="AM13" s="77"/>
      <c r="AN13" s="77"/>
    </row>
    <row r="14" spans="1:40" ht="15.75" thickBot="1" x14ac:dyDescent="0.3">
      <c r="A14" s="78" t="s">
        <v>5</v>
      </c>
      <c r="B14" s="34" t="s">
        <v>6</v>
      </c>
      <c r="C14" s="22" t="s">
        <v>7</v>
      </c>
      <c r="D14" s="33" t="s">
        <v>8</v>
      </c>
      <c r="E14" s="22" t="s">
        <v>9</v>
      </c>
      <c r="F14" s="24" t="s">
        <v>10</v>
      </c>
      <c r="G14" s="23" t="s">
        <v>11</v>
      </c>
      <c r="H14" s="25" t="s">
        <v>12</v>
      </c>
      <c r="J14" s="6" t="s">
        <v>4</v>
      </c>
      <c r="K14" s="9"/>
      <c r="L14" s="4"/>
      <c r="M14" s="4"/>
      <c r="N14" s="4"/>
      <c r="O14" s="4"/>
      <c r="P14" s="4"/>
      <c r="Q14" s="4"/>
      <c r="R14" s="4"/>
      <c r="S14" s="4"/>
      <c r="T14" s="4"/>
      <c r="U14" s="5"/>
      <c r="Y14" s="6" t="s">
        <v>4</v>
      </c>
      <c r="Z14" s="9"/>
      <c r="AA14" s="4"/>
      <c r="AB14" s="4"/>
      <c r="AC14" s="4"/>
      <c r="AD14" s="4"/>
      <c r="AE14" s="5"/>
      <c r="AH14" s="6" t="s">
        <v>4</v>
      </c>
      <c r="AI14" s="9"/>
      <c r="AJ14" s="4"/>
      <c r="AK14" s="4"/>
      <c r="AL14" s="4"/>
      <c r="AM14" s="4"/>
      <c r="AN14" s="5"/>
    </row>
    <row r="15" spans="1:40" ht="15.75" thickBot="1" x14ac:dyDescent="0.3">
      <c r="A15" s="78"/>
      <c r="B15" s="26"/>
      <c r="C15" s="27"/>
      <c r="D15" s="27"/>
      <c r="E15" s="27"/>
      <c r="F15" s="27">
        <f>SUM(C15-B15)</f>
        <v>0</v>
      </c>
      <c r="G15" s="20">
        <f>SUM(E15-D15)</f>
        <v>0</v>
      </c>
      <c r="H15" s="21">
        <f>SUM(F15:G15)</f>
        <v>0</v>
      </c>
      <c r="J15" s="7" t="s">
        <v>22</v>
      </c>
      <c r="K15" s="10"/>
      <c r="L15" s="11"/>
      <c r="M15" s="11"/>
      <c r="N15" s="11"/>
      <c r="O15" s="11"/>
      <c r="P15" s="11"/>
      <c r="Q15" s="11"/>
      <c r="R15" s="11"/>
      <c r="S15" s="11"/>
      <c r="T15" s="11"/>
      <c r="U15" s="12"/>
      <c r="Y15" s="7" t="s">
        <v>22</v>
      </c>
      <c r="Z15" s="10"/>
      <c r="AA15" s="11"/>
      <c r="AB15" s="11"/>
      <c r="AC15" s="11"/>
      <c r="AD15" s="11"/>
      <c r="AE15" s="12"/>
      <c r="AH15" s="7" t="s">
        <v>22</v>
      </c>
      <c r="AI15" s="10"/>
      <c r="AJ15" s="11"/>
      <c r="AK15" s="11"/>
      <c r="AL15" s="11"/>
      <c r="AM15" s="11"/>
      <c r="AN15" s="12"/>
    </row>
    <row r="16" spans="1:40" x14ac:dyDescent="0.25">
      <c r="J16" s="8"/>
      <c r="T16" s="8" t="s">
        <v>23</v>
      </c>
      <c r="U16" s="13">
        <f>SUM(K15:U15)</f>
        <v>0</v>
      </c>
      <c r="AD16" s="8" t="s">
        <v>23</v>
      </c>
      <c r="AE16" s="13">
        <f>SUM(Z15:AE15)</f>
        <v>0</v>
      </c>
      <c r="AM16" s="8" t="s">
        <v>23</v>
      </c>
      <c r="AN16" s="13">
        <f>SUM(AI15:AN15)</f>
        <v>0</v>
      </c>
    </row>
    <row r="17" spans="1:40" ht="15.75" thickBot="1" x14ac:dyDescent="0.3">
      <c r="A17" s="19"/>
      <c r="B17" s="74" t="s">
        <v>14</v>
      </c>
      <c r="C17" s="74"/>
      <c r="D17" s="74"/>
      <c r="E17" s="74"/>
      <c r="F17" s="74"/>
      <c r="G17" s="74"/>
      <c r="H17" s="74"/>
      <c r="J17" s="75" t="s">
        <v>14</v>
      </c>
      <c r="K17" s="75"/>
      <c r="L17" s="75"/>
      <c r="M17" s="75"/>
      <c r="N17" s="75"/>
      <c r="O17" s="75"/>
      <c r="P17" s="75"/>
      <c r="Q17" s="75"/>
      <c r="R17" s="75"/>
      <c r="S17" s="75"/>
      <c r="T17" s="75"/>
      <c r="U17" s="75"/>
      <c r="Y17" s="76" t="str">
        <f>J17</f>
        <v>Abril</v>
      </c>
      <c r="Z17" s="76"/>
      <c r="AA17" s="76"/>
      <c r="AB17" s="76"/>
      <c r="AC17" s="76"/>
      <c r="AD17" s="76"/>
      <c r="AE17" s="76"/>
      <c r="AH17" s="77" t="str">
        <f>Y17</f>
        <v>Abril</v>
      </c>
      <c r="AI17" s="77"/>
      <c r="AJ17" s="77"/>
      <c r="AK17" s="77"/>
      <c r="AL17" s="77"/>
      <c r="AM17" s="77"/>
      <c r="AN17" s="77"/>
    </row>
    <row r="18" spans="1:40" ht="15.75" thickBot="1" x14ac:dyDescent="0.3">
      <c r="A18" s="78" t="s">
        <v>5</v>
      </c>
      <c r="B18" s="34" t="s">
        <v>6</v>
      </c>
      <c r="C18" s="22" t="s">
        <v>7</v>
      </c>
      <c r="D18" s="33" t="s">
        <v>8</v>
      </c>
      <c r="E18" s="22" t="s">
        <v>9</v>
      </c>
      <c r="F18" s="24" t="s">
        <v>10</v>
      </c>
      <c r="G18" s="23" t="s">
        <v>11</v>
      </c>
      <c r="H18" s="25" t="s">
        <v>12</v>
      </c>
      <c r="J18" s="6" t="s">
        <v>4</v>
      </c>
      <c r="K18" s="9"/>
      <c r="L18" s="4"/>
      <c r="M18" s="4"/>
      <c r="N18" s="4"/>
      <c r="O18" s="4"/>
      <c r="P18" s="4"/>
      <c r="Q18" s="4"/>
      <c r="R18" s="4"/>
      <c r="S18" s="4"/>
      <c r="T18" s="4"/>
      <c r="U18" s="5"/>
      <c r="Y18" s="6" t="s">
        <v>4</v>
      </c>
      <c r="Z18" s="9"/>
      <c r="AA18" s="4"/>
      <c r="AB18" s="4"/>
      <c r="AC18" s="4"/>
      <c r="AD18" s="4"/>
      <c r="AE18" s="5"/>
      <c r="AH18" s="6" t="s">
        <v>4</v>
      </c>
      <c r="AI18" s="9"/>
      <c r="AJ18" s="4"/>
      <c r="AK18" s="4"/>
      <c r="AL18" s="4"/>
      <c r="AM18" s="4"/>
      <c r="AN18" s="5"/>
    </row>
    <row r="19" spans="1:40" ht="15.75" thickBot="1" x14ac:dyDescent="0.3">
      <c r="A19" s="78"/>
      <c r="B19" s="26"/>
      <c r="C19" s="27"/>
      <c r="D19" s="27"/>
      <c r="E19" s="27"/>
      <c r="F19" s="27">
        <f>SUM(C19-B19)</f>
        <v>0</v>
      </c>
      <c r="G19" s="20">
        <f>SUM(E19-D19)</f>
        <v>0</v>
      </c>
      <c r="H19" s="21">
        <f>SUM(F19:G19)</f>
        <v>0</v>
      </c>
      <c r="J19" s="7" t="s">
        <v>22</v>
      </c>
      <c r="K19" s="30"/>
      <c r="L19" s="31"/>
      <c r="M19" s="31"/>
      <c r="N19" s="31"/>
      <c r="O19" s="31"/>
      <c r="P19" s="31"/>
      <c r="Q19" s="31"/>
      <c r="R19" s="31"/>
      <c r="S19" s="31"/>
      <c r="T19" s="31"/>
      <c r="U19" s="32"/>
      <c r="Y19" s="7" t="s">
        <v>22</v>
      </c>
      <c r="Z19" s="10"/>
      <c r="AA19" s="11"/>
      <c r="AB19" s="11"/>
      <c r="AC19" s="11"/>
      <c r="AD19" s="11"/>
      <c r="AE19" s="12"/>
      <c r="AH19" s="7" t="s">
        <v>22</v>
      </c>
      <c r="AI19" s="10"/>
      <c r="AJ19" s="11"/>
      <c r="AK19" s="11"/>
      <c r="AL19" s="11"/>
      <c r="AM19" s="11"/>
      <c r="AN19" s="12"/>
    </row>
    <row r="20" spans="1:40" x14ac:dyDescent="0.25">
      <c r="J20" s="8"/>
      <c r="T20" s="8" t="s">
        <v>23</v>
      </c>
      <c r="U20" s="13">
        <f>SUM(K19:U19)</f>
        <v>0</v>
      </c>
      <c r="AD20" s="8" t="s">
        <v>23</v>
      </c>
      <c r="AE20" s="13">
        <f>SUM(Z19:AE19)</f>
        <v>0</v>
      </c>
      <c r="AM20" s="8" t="s">
        <v>23</v>
      </c>
      <c r="AN20" s="13">
        <f>SUM(AI19:AN19)</f>
        <v>0</v>
      </c>
    </row>
    <row r="21" spans="1:40" ht="15.75" thickBot="1" x14ac:dyDescent="0.3">
      <c r="A21" s="19"/>
      <c r="B21" s="74" t="s">
        <v>15</v>
      </c>
      <c r="C21" s="74"/>
      <c r="D21" s="74"/>
      <c r="E21" s="74"/>
      <c r="F21" s="74"/>
      <c r="G21" s="74"/>
      <c r="H21" s="74"/>
      <c r="J21" s="75" t="s">
        <v>15</v>
      </c>
      <c r="K21" s="75"/>
      <c r="L21" s="75"/>
      <c r="M21" s="75"/>
      <c r="N21" s="75"/>
      <c r="O21" s="75"/>
      <c r="P21" s="75"/>
      <c r="Q21" s="75"/>
      <c r="R21" s="75"/>
      <c r="S21" s="75"/>
      <c r="T21" s="75"/>
      <c r="U21" s="75"/>
      <c r="Y21" s="76" t="str">
        <f>J21</f>
        <v>Maio</v>
      </c>
      <c r="Z21" s="76"/>
      <c r="AA21" s="76"/>
      <c r="AB21" s="76"/>
      <c r="AC21" s="76"/>
      <c r="AD21" s="76"/>
      <c r="AE21" s="76"/>
      <c r="AH21" s="77" t="str">
        <f>Y21</f>
        <v>Maio</v>
      </c>
      <c r="AI21" s="77"/>
      <c r="AJ21" s="77"/>
      <c r="AK21" s="77"/>
      <c r="AL21" s="77"/>
      <c r="AM21" s="77"/>
      <c r="AN21" s="77"/>
    </row>
    <row r="22" spans="1:40" ht="15.75" thickBot="1" x14ac:dyDescent="0.3">
      <c r="A22" s="78" t="s">
        <v>5</v>
      </c>
      <c r="B22" s="34" t="s">
        <v>6</v>
      </c>
      <c r="C22" s="22" t="s">
        <v>7</v>
      </c>
      <c r="D22" s="33" t="s">
        <v>8</v>
      </c>
      <c r="E22" s="22" t="s">
        <v>9</v>
      </c>
      <c r="F22" s="24" t="s">
        <v>10</v>
      </c>
      <c r="G22" s="23" t="s">
        <v>11</v>
      </c>
      <c r="H22" s="25" t="s">
        <v>12</v>
      </c>
      <c r="J22" s="6" t="s">
        <v>4</v>
      </c>
      <c r="K22" s="9"/>
      <c r="L22" s="4"/>
      <c r="M22" s="4"/>
      <c r="N22" s="4"/>
      <c r="O22" s="4"/>
      <c r="P22" s="4"/>
      <c r="Q22" s="4"/>
      <c r="R22" s="4"/>
      <c r="S22" s="4"/>
      <c r="T22" s="4"/>
      <c r="U22" s="5"/>
      <c r="Y22" s="6" t="s">
        <v>4</v>
      </c>
      <c r="Z22" s="9"/>
      <c r="AA22" s="4"/>
      <c r="AB22" s="4"/>
      <c r="AC22" s="4"/>
      <c r="AD22" s="4"/>
      <c r="AE22" s="5"/>
      <c r="AH22" s="6" t="s">
        <v>4</v>
      </c>
      <c r="AI22" s="9"/>
      <c r="AJ22" s="4"/>
      <c r="AK22" s="4"/>
      <c r="AL22" s="4"/>
      <c r="AM22" s="4"/>
      <c r="AN22" s="5"/>
    </row>
    <row r="23" spans="1:40" ht="15.75" thickBot="1" x14ac:dyDescent="0.3">
      <c r="A23" s="78"/>
      <c r="B23" s="26"/>
      <c r="C23" s="27"/>
      <c r="D23" s="27"/>
      <c r="E23" s="27"/>
      <c r="F23" s="27">
        <f>SUM(C23-B23)</f>
        <v>0</v>
      </c>
      <c r="G23" s="20">
        <f>SUM(E23-D23)</f>
        <v>0</v>
      </c>
      <c r="H23" s="21">
        <f>SUM(F23:G23)</f>
        <v>0</v>
      </c>
      <c r="J23" s="7" t="s">
        <v>22</v>
      </c>
      <c r="K23" s="10"/>
      <c r="L23" s="11"/>
      <c r="M23" s="11"/>
      <c r="N23" s="11"/>
      <c r="O23" s="11"/>
      <c r="P23" s="11"/>
      <c r="Q23" s="11"/>
      <c r="R23" s="11"/>
      <c r="S23" s="11"/>
      <c r="T23" s="11"/>
      <c r="U23" s="12"/>
      <c r="Y23" s="7" t="s">
        <v>22</v>
      </c>
      <c r="Z23" s="10"/>
      <c r="AA23" s="11"/>
      <c r="AB23" s="11"/>
      <c r="AC23" s="11"/>
      <c r="AD23" s="11"/>
      <c r="AE23" s="12"/>
      <c r="AH23" s="7" t="s">
        <v>22</v>
      </c>
      <c r="AI23" s="10"/>
      <c r="AJ23" s="11"/>
      <c r="AK23" s="11"/>
      <c r="AL23" s="11"/>
      <c r="AM23" s="11"/>
      <c r="AN23" s="12"/>
    </row>
    <row r="24" spans="1:40" x14ac:dyDescent="0.25">
      <c r="J24" s="8"/>
      <c r="T24" s="8" t="s">
        <v>23</v>
      </c>
      <c r="U24" s="13">
        <f>SUM(K23:U23)</f>
        <v>0</v>
      </c>
      <c r="AD24" s="8" t="s">
        <v>23</v>
      </c>
      <c r="AE24" s="13">
        <f>SUM(Z23:AE23)</f>
        <v>0</v>
      </c>
      <c r="AM24" s="8" t="s">
        <v>23</v>
      </c>
      <c r="AN24" s="13">
        <f>SUM(AI23:AN23)</f>
        <v>0</v>
      </c>
    </row>
    <row r="25" spans="1:40" ht="15.75" thickBot="1" x14ac:dyDescent="0.3">
      <c r="A25" s="19"/>
      <c r="B25" s="74" t="s">
        <v>24</v>
      </c>
      <c r="C25" s="74"/>
      <c r="D25" s="74"/>
      <c r="E25" s="74"/>
      <c r="F25" s="74"/>
      <c r="G25" s="74"/>
      <c r="H25" s="74"/>
      <c r="J25" s="75" t="s">
        <v>24</v>
      </c>
      <c r="K25" s="75"/>
      <c r="L25" s="75"/>
      <c r="M25" s="75"/>
      <c r="N25" s="75"/>
      <c r="O25" s="75"/>
      <c r="P25" s="75"/>
      <c r="Q25" s="75"/>
      <c r="R25" s="75"/>
      <c r="S25" s="75"/>
      <c r="T25" s="75"/>
      <c r="U25" s="75"/>
      <c r="Y25" s="76" t="str">
        <f>J25</f>
        <v>Junho</v>
      </c>
      <c r="Z25" s="76"/>
      <c r="AA25" s="76"/>
      <c r="AB25" s="76"/>
      <c r="AC25" s="76"/>
      <c r="AD25" s="76"/>
      <c r="AE25" s="76"/>
      <c r="AH25" s="77" t="str">
        <f>Y25</f>
        <v>Junho</v>
      </c>
      <c r="AI25" s="77"/>
      <c r="AJ25" s="77"/>
      <c r="AK25" s="77"/>
      <c r="AL25" s="77"/>
      <c r="AM25" s="77"/>
      <c r="AN25" s="77"/>
    </row>
    <row r="26" spans="1:40" ht="15.75" thickBot="1" x14ac:dyDescent="0.3">
      <c r="A26" s="78" t="s">
        <v>5</v>
      </c>
      <c r="B26" s="34" t="s">
        <v>6</v>
      </c>
      <c r="C26" s="22" t="s">
        <v>7</v>
      </c>
      <c r="D26" s="33" t="s">
        <v>8</v>
      </c>
      <c r="E26" s="22" t="s">
        <v>9</v>
      </c>
      <c r="F26" s="24" t="s">
        <v>10</v>
      </c>
      <c r="G26" s="23" t="s">
        <v>11</v>
      </c>
      <c r="H26" s="25" t="s">
        <v>12</v>
      </c>
      <c r="J26" s="6" t="s">
        <v>4</v>
      </c>
      <c r="K26" s="9"/>
      <c r="L26" s="4"/>
      <c r="M26" s="4"/>
      <c r="N26" s="4"/>
      <c r="O26" s="4"/>
      <c r="P26" s="4"/>
      <c r="Q26" s="4"/>
      <c r="R26" s="4"/>
      <c r="S26" s="4"/>
      <c r="T26" s="4"/>
      <c r="U26" s="5"/>
      <c r="Y26" s="6" t="s">
        <v>4</v>
      </c>
      <c r="Z26" s="9"/>
      <c r="AA26" s="4"/>
      <c r="AB26" s="4"/>
      <c r="AC26" s="4"/>
      <c r="AD26" s="4"/>
      <c r="AE26" s="5"/>
      <c r="AH26" s="6" t="s">
        <v>4</v>
      </c>
      <c r="AI26" s="9"/>
      <c r="AJ26" s="4"/>
      <c r="AK26" s="4"/>
      <c r="AL26" s="4"/>
      <c r="AM26" s="4"/>
      <c r="AN26" s="5"/>
    </row>
    <row r="27" spans="1:40" ht="15.75" thickBot="1" x14ac:dyDescent="0.3">
      <c r="A27" s="78"/>
      <c r="B27" s="26"/>
      <c r="C27" s="27"/>
      <c r="D27" s="27"/>
      <c r="E27" s="27"/>
      <c r="F27" s="27">
        <f>SUM(C27-B27)</f>
        <v>0</v>
      </c>
      <c r="G27" s="20">
        <f>SUM(E27-D27)</f>
        <v>0</v>
      </c>
      <c r="H27" s="21">
        <f>SUM(F27:G27)</f>
        <v>0</v>
      </c>
      <c r="J27" s="7" t="s">
        <v>22</v>
      </c>
      <c r="K27" s="10"/>
      <c r="L27" s="11"/>
      <c r="M27" s="11"/>
      <c r="N27" s="11"/>
      <c r="O27" s="11"/>
      <c r="P27" s="11"/>
      <c r="Q27" s="11"/>
      <c r="R27" s="11"/>
      <c r="S27" s="11"/>
      <c r="T27" s="11"/>
      <c r="U27" s="12"/>
      <c r="Y27" s="7" t="s">
        <v>22</v>
      </c>
      <c r="Z27" s="10"/>
      <c r="AA27" s="11"/>
      <c r="AB27" s="11"/>
      <c r="AC27" s="11"/>
      <c r="AD27" s="11"/>
      <c r="AE27" s="12"/>
      <c r="AH27" s="7" t="s">
        <v>22</v>
      </c>
      <c r="AI27" s="10"/>
      <c r="AJ27" s="11"/>
      <c r="AK27" s="11"/>
      <c r="AL27" s="11"/>
      <c r="AM27" s="11"/>
      <c r="AN27" s="12"/>
    </row>
    <row r="28" spans="1:40" x14ac:dyDescent="0.25">
      <c r="J28" s="8"/>
      <c r="T28" s="8" t="s">
        <v>23</v>
      </c>
      <c r="U28" s="13">
        <f>SUM(K27:U27)</f>
        <v>0</v>
      </c>
      <c r="AD28" s="8" t="s">
        <v>23</v>
      </c>
      <c r="AE28" s="13">
        <f>SUM(Z27:AE27)</f>
        <v>0</v>
      </c>
      <c r="AM28" s="8" t="s">
        <v>23</v>
      </c>
      <c r="AN28" s="13">
        <f>SUM(AI27:AN27)</f>
        <v>0</v>
      </c>
    </row>
    <row r="29" spans="1:40" ht="15.75" thickBot="1" x14ac:dyDescent="0.3">
      <c r="A29" s="19"/>
      <c r="B29" s="74" t="s">
        <v>16</v>
      </c>
      <c r="C29" s="74"/>
      <c r="D29" s="74"/>
      <c r="E29" s="74"/>
      <c r="F29" s="74"/>
      <c r="G29" s="74"/>
      <c r="H29" s="74"/>
      <c r="J29" s="75" t="s">
        <v>16</v>
      </c>
      <c r="K29" s="75"/>
      <c r="L29" s="75"/>
      <c r="M29" s="75"/>
      <c r="N29" s="75"/>
      <c r="O29" s="75"/>
      <c r="P29" s="75"/>
      <c r="Q29" s="75"/>
      <c r="R29" s="75"/>
      <c r="S29" s="75"/>
      <c r="T29" s="75"/>
      <c r="U29" s="75"/>
      <c r="Y29" s="76" t="str">
        <f>J29</f>
        <v>Julho</v>
      </c>
      <c r="Z29" s="76"/>
      <c r="AA29" s="76"/>
      <c r="AB29" s="76"/>
      <c r="AC29" s="76"/>
      <c r="AD29" s="76"/>
      <c r="AE29" s="76"/>
      <c r="AH29" s="77" t="str">
        <f>Y29</f>
        <v>Julho</v>
      </c>
      <c r="AI29" s="77"/>
      <c r="AJ29" s="77"/>
      <c r="AK29" s="77"/>
      <c r="AL29" s="77"/>
      <c r="AM29" s="77"/>
      <c r="AN29" s="77"/>
    </row>
    <row r="30" spans="1:40" ht="15.75" thickBot="1" x14ac:dyDescent="0.3">
      <c r="A30" s="78" t="s">
        <v>5</v>
      </c>
      <c r="B30" s="34" t="s">
        <v>6</v>
      </c>
      <c r="C30" s="22" t="s">
        <v>7</v>
      </c>
      <c r="D30" s="33" t="s">
        <v>8</v>
      </c>
      <c r="E30" s="22" t="s">
        <v>9</v>
      </c>
      <c r="F30" s="24" t="s">
        <v>10</v>
      </c>
      <c r="G30" s="23" t="s">
        <v>11</v>
      </c>
      <c r="H30" s="25" t="s">
        <v>12</v>
      </c>
      <c r="J30" s="6" t="s">
        <v>4</v>
      </c>
      <c r="K30" s="9"/>
      <c r="L30" s="4"/>
      <c r="M30" s="4"/>
      <c r="N30" s="4"/>
      <c r="O30" s="4"/>
      <c r="P30" s="4"/>
      <c r="Q30" s="4"/>
      <c r="R30" s="4"/>
      <c r="S30" s="4"/>
      <c r="T30" s="4"/>
      <c r="U30" s="5"/>
      <c r="Y30" s="6" t="s">
        <v>4</v>
      </c>
      <c r="Z30" s="9"/>
      <c r="AA30" s="4"/>
      <c r="AB30" s="4"/>
      <c r="AC30" s="4"/>
      <c r="AD30" s="4"/>
      <c r="AE30" s="5"/>
      <c r="AH30" s="6" t="s">
        <v>4</v>
      </c>
      <c r="AI30" s="9"/>
      <c r="AJ30" s="4"/>
      <c r="AK30" s="4"/>
      <c r="AL30" s="4"/>
      <c r="AM30" s="4"/>
      <c r="AN30" s="5"/>
    </row>
    <row r="31" spans="1:40" ht="15.75" thickBot="1" x14ac:dyDescent="0.3">
      <c r="A31" s="78"/>
      <c r="B31" s="26"/>
      <c r="C31" s="27"/>
      <c r="D31" s="27"/>
      <c r="E31" s="27"/>
      <c r="F31" s="27">
        <f>SUM(C31-B31)</f>
        <v>0</v>
      </c>
      <c r="G31" s="20">
        <f>SUM(E31-D31)</f>
        <v>0</v>
      </c>
      <c r="H31" s="21">
        <f>SUM(F31:G31)</f>
        <v>0</v>
      </c>
      <c r="J31" s="7" t="s">
        <v>22</v>
      </c>
      <c r="K31" s="10"/>
      <c r="L31" s="11"/>
      <c r="M31" s="11"/>
      <c r="N31" s="11"/>
      <c r="O31" s="11"/>
      <c r="P31" s="11"/>
      <c r="Q31" s="11"/>
      <c r="R31" s="11"/>
      <c r="S31" s="11"/>
      <c r="T31" s="11"/>
      <c r="U31" s="12"/>
      <c r="Y31" s="7" t="s">
        <v>22</v>
      </c>
      <c r="Z31" s="10"/>
      <c r="AA31" s="11"/>
      <c r="AB31" s="11"/>
      <c r="AC31" s="11"/>
      <c r="AD31" s="11"/>
      <c r="AE31" s="12"/>
      <c r="AH31" s="7" t="s">
        <v>22</v>
      </c>
      <c r="AI31" s="10"/>
      <c r="AJ31" s="11"/>
      <c r="AK31" s="11"/>
      <c r="AL31" s="11"/>
      <c r="AM31" s="11"/>
      <c r="AN31" s="12"/>
    </row>
    <row r="32" spans="1:40" x14ac:dyDescent="0.25">
      <c r="J32" s="8"/>
      <c r="T32" s="8" t="s">
        <v>23</v>
      </c>
      <c r="U32" s="13">
        <f>SUM(K31:U31)</f>
        <v>0</v>
      </c>
      <c r="AD32" s="8" t="s">
        <v>23</v>
      </c>
      <c r="AE32" s="13">
        <f>SUM(Z31:AE31)</f>
        <v>0</v>
      </c>
      <c r="AM32" s="8" t="s">
        <v>23</v>
      </c>
      <c r="AN32" s="13">
        <f>SUM(AI31:AN31)</f>
        <v>0</v>
      </c>
    </row>
    <row r="33" spans="1:40" ht="15.75" thickBot="1" x14ac:dyDescent="0.3">
      <c r="A33" s="19"/>
      <c r="B33" s="74" t="s">
        <v>17</v>
      </c>
      <c r="C33" s="74"/>
      <c r="D33" s="74"/>
      <c r="E33" s="74"/>
      <c r="F33" s="74"/>
      <c r="G33" s="74"/>
      <c r="H33" s="74"/>
      <c r="J33" s="75" t="s">
        <v>17</v>
      </c>
      <c r="K33" s="75"/>
      <c r="L33" s="75"/>
      <c r="M33" s="75"/>
      <c r="N33" s="75"/>
      <c r="O33" s="75"/>
      <c r="P33" s="75"/>
      <c r="Q33" s="75"/>
      <c r="R33" s="75"/>
      <c r="S33" s="75"/>
      <c r="T33" s="75"/>
      <c r="U33" s="75"/>
      <c r="Y33" s="76" t="str">
        <f>J33</f>
        <v>Agosto</v>
      </c>
      <c r="Z33" s="76"/>
      <c r="AA33" s="76"/>
      <c r="AB33" s="76"/>
      <c r="AC33" s="76"/>
      <c r="AD33" s="76"/>
      <c r="AE33" s="76"/>
      <c r="AH33" s="77" t="str">
        <f>Y33</f>
        <v>Agosto</v>
      </c>
      <c r="AI33" s="77"/>
      <c r="AJ33" s="77"/>
      <c r="AK33" s="77"/>
      <c r="AL33" s="77"/>
      <c r="AM33" s="77"/>
      <c r="AN33" s="77"/>
    </row>
    <row r="34" spans="1:40" ht="15.75" thickBot="1" x14ac:dyDescent="0.3">
      <c r="A34" s="78" t="s">
        <v>5</v>
      </c>
      <c r="B34" s="34" t="s">
        <v>6</v>
      </c>
      <c r="C34" s="22" t="s">
        <v>7</v>
      </c>
      <c r="D34" s="33" t="s">
        <v>8</v>
      </c>
      <c r="E34" s="22" t="s">
        <v>9</v>
      </c>
      <c r="F34" s="24" t="s">
        <v>10</v>
      </c>
      <c r="G34" s="23" t="s">
        <v>11</v>
      </c>
      <c r="H34" s="25" t="s">
        <v>12</v>
      </c>
      <c r="J34" s="6" t="s">
        <v>4</v>
      </c>
      <c r="K34" s="9"/>
      <c r="L34" s="4"/>
      <c r="M34" s="4"/>
      <c r="N34" s="4"/>
      <c r="O34" s="4"/>
      <c r="P34" s="4"/>
      <c r="Q34" s="4"/>
      <c r="R34" s="4"/>
      <c r="S34" s="4"/>
      <c r="T34" s="4"/>
      <c r="U34" s="5"/>
      <c r="Y34" s="6" t="s">
        <v>4</v>
      </c>
      <c r="Z34" s="9"/>
      <c r="AA34" s="4"/>
      <c r="AB34" s="4"/>
      <c r="AC34" s="4"/>
      <c r="AD34" s="4"/>
      <c r="AE34" s="5"/>
      <c r="AH34" s="6" t="s">
        <v>4</v>
      </c>
      <c r="AI34" s="9"/>
      <c r="AJ34" s="4"/>
      <c r="AK34" s="4"/>
      <c r="AL34" s="4"/>
      <c r="AM34" s="4"/>
      <c r="AN34" s="5"/>
    </row>
    <row r="35" spans="1:40" ht="15.75" thickBot="1" x14ac:dyDescent="0.3">
      <c r="A35" s="78"/>
      <c r="B35" s="26"/>
      <c r="C35" s="27"/>
      <c r="D35" s="27"/>
      <c r="E35" s="27"/>
      <c r="F35" s="27">
        <f>SUM(C35-B35)</f>
        <v>0</v>
      </c>
      <c r="G35" s="20">
        <f>SUM(E35-D35)</f>
        <v>0</v>
      </c>
      <c r="H35" s="21">
        <f>SUM(F35:G35)</f>
        <v>0</v>
      </c>
      <c r="J35" s="7" t="s">
        <v>22</v>
      </c>
      <c r="K35" s="10"/>
      <c r="L35" s="11"/>
      <c r="M35" s="11"/>
      <c r="N35" s="11"/>
      <c r="O35" s="11"/>
      <c r="P35" s="11"/>
      <c r="Q35" s="11"/>
      <c r="R35" s="11"/>
      <c r="S35" s="11"/>
      <c r="T35" s="11"/>
      <c r="U35" s="12"/>
      <c r="Y35" s="7" t="s">
        <v>22</v>
      </c>
      <c r="Z35" s="10"/>
      <c r="AA35" s="11"/>
      <c r="AB35" s="11"/>
      <c r="AC35" s="11"/>
      <c r="AD35" s="11"/>
      <c r="AE35" s="12"/>
      <c r="AH35" s="7" t="s">
        <v>22</v>
      </c>
      <c r="AI35" s="10"/>
      <c r="AJ35" s="11"/>
      <c r="AK35" s="11"/>
      <c r="AL35" s="11"/>
      <c r="AM35" s="11"/>
      <c r="AN35" s="12"/>
    </row>
    <row r="36" spans="1:40" x14ac:dyDescent="0.25">
      <c r="J36" s="8"/>
      <c r="T36" s="8" t="s">
        <v>23</v>
      </c>
      <c r="U36" s="13">
        <f>SUM(K35:U35)</f>
        <v>0</v>
      </c>
      <c r="AD36" s="8" t="s">
        <v>23</v>
      </c>
      <c r="AE36" s="13">
        <f>SUM(Z35:AE35)</f>
        <v>0</v>
      </c>
      <c r="AM36" s="8" t="s">
        <v>23</v>
      </c>
      <c r="AN36" s="13">
        <f>SUM(AI35:AN35)</f>
        <v>0</v>
      </c>
    </row>
    <row r="37" spans="1:40" ht="15.75" thickBot="1" x14ac:dyDescent="0.3">
      <c r="A37" s="19"/>
      <c r="B37" s="74" t="s">
        <v>18</v>
      </c>
      <c r="C37" s="74"/>
      <c r="D37" s="74"/>
      <c r="E37" s="74"/>
      <c r="F37" s="74"/>
      <c r="G37" s="74"/>
      <c r="H37" s="74"/>
      <c r="J37" s="75" t="s">
        <v>18</v>
      </c>
      <c r="K37" s="75"/>
      <c r="L37" s="75"/>
      <c r="M37" s="75"/>
      <c r="N37" s="75"/>
      <c r="O37" s="75"/>
      <c r="P37" s="75"/>
      <c r="Q37" s="75"/>
      <c r="R37" s="75"/>
      <c r="S37" s="75"/>
      <c r="T37" s="75"/>
      <c r="U37" s="75"/>
      <c r="Y37" s="76" t="str">
        <f>J37</f>
        <v>Setembro</v>
      </c>
      <c r="Z37" s="76"/>
      <c r="AA37" s="76"/>
      <c r="AB37" s="76"/>
      <c r="AC37" s="76"/>
      <c r="AD37" s="76"/>
      <c r="AE37" s="76"/>
      <c r="AH37" s="77" t="str">
        <f>Y37</f>
        <v>Setembro</v>
      </c>
      <c r="AI37" s="77"/>
      <c r="AJ37" s="77"/>
      <c r="AK37" s="77"/>
      <c r="AL37" s="77"/>
      <c r="AM37" s="77"/>
      <c r="AN37" s="77"/>
    </row>
    <row r="38" spans="1:40" ht="15.75" thickBot="1" x14ac:dyDescent="0.3">
      <c r="A38" s="78" t="s">
        <v>5</v>
      </c>
      <c r="B38" s="34" t="s">
        <v>6</v>
      </c>
      <c r="C38" s="22" t="s">
        <v>7</v>
      </c>
      <c r="D38" s="33" t="s">
        <v>8</v>
      </c>
      <c r="E38" s="22" t="s">
        <v>9</v>
      </c>
      <c r="F38" s="24" t="s">
        <v>10</v>
      </c>
      <c r="G38" s="23" t="s">
        <v>11</v>
      </c>
      <c r="H38" s="25" t="s">
        <v>12</v>
      </c>
      <c r="J38" s="6" t="s">
        <v>4</v>
      </c>
      <c r="K38" s="9"/>
      <c r="L38" s="4"/>
      <c r="M38" s="4"/>
      <c r="N38" s="4"/>
      <c r="O38" s="4"/>
      <c r="P38" s="4"/>
      <c r="Q38" s="4"/>
      <c r="R38" s="4"/>
      <c r="S38" s="4"/>
      <c r="T38" s="4"/>
      <c r="U38" s="5"/>
      <c r="Y38" s="6" t="s">
        <v>4</v>
      </c>
      <c r="Z38" s="9"/>
      <c r="AA38" s="4"/>
      <c r="AB38" s="4"/>
      <c r="AC38" s="4"/>
      <c r="AD38" s="4"/>
      <c r="AE38" s="5"/>
      <c r="AH38" s="6" t="s">
        <v>4</v>
      </c>
      <c r="AI38" s="9"/>
      <c r="AJ38" s="4"/>
      <c r="AK38" s="4"/>
      <c r="AL38" s="4"/>
      <c r="AM38" s="4"/>
      <c r="AN38" s="5"/>
    </row>
    <row r="39" spans="1:40" ht="15.75" thickBot="1" x14ac:dyDescent="0.3">
      <c r="A39" s="78"/>
      <c r="B39" s="26"/>
      <c r="C39" s="27"/>
      <c r="D39" s="27"/>
      <c r="E39" s="27"/>
      <c r="F39" s="27">
        <f>SUM(C39-B39)</f>
        <v>0</v>
      </c>
      <c r="G39" s="20">
        <f>SUM(E39-D39)</f>
        <v>0</v>
      </c>
      <c r="H39" s="21">
        <f>SUM(F39:G39)</f>
        <v>0</v>
      </c>
      <c r="J39" s="7" t="s">
        <v>22</v>
      </c>
      <c r="K39" s="10"/>
      <c r="L39" s="11"/>
      <c r="M39" s="11"/>
      <c r="N39" s="11"/>
      <c r="O39" s="11"/>
      <c r="P39" s="11"/>
      <c r="Q39" s="11"/>
      <c r="R39" s="11"/>
      <c r="S39" s="11"/>
      <c r="T39" s="11"/>
      <c r="U39" s="12"/>
      <c r="Y39" s="7" t="s">
        <v>22</v>
      </c>
      <c r="Z39" s="10"/>
      <c r="AA39" s="11"/>
      <c r="AB39" s="11"/>
      <c r="AC39" s="11"/>
      <c r="AD39" s="11"/>
      <c r="AE39" s="12"/>
      <c r="AH39" s="7" t="s">
        <v>22</v>
      </c>
      <c r="AI39" s="10"/>
      <c r="AJ39" s="11"/>
      <c r="AK39" s="11"/>
      <c r="AL39" s="11"/>
      <c r="AM39" s="11"/>
      <c r="AN39" s="12"/>
    </row>
    <row r="40" spans="1:40" x14ac:dyDescent="0.25">
      <c r="J40" s="8"/>
      <c r="T40" s="8" t="s">
        <v>23</v>
      </c>
      <c r="U40" s="13">
        <f>SUM(K39:U39)</f>
        <v>0</v>
      </c>
      <c r="AD40" s="8" t="s">
        <v>23</v>
      </c>
      <c r="AE40" s="13">
        <f>SUM(Z39:AE39)</f>
        <v>0</v>
      </c>
      <c r="AM40" s="8" t="s">
        <v>23</v>
      </c>
      <c r="AN40" s="13">
        <f>SUM(AI39:AN39)</f>
        <v>0</v>
      </c>
    </row>
    <row r="41" spans="1:40" ht="15.75" thickBot="1" x14ac:dyDescent="0.3">
      <c r="A41" s="19"/>
      <c r="B41" s="74" t="s">
        <v>19</v>
      </c>
      <c r="C41" s="74"/>
      <c r="D41" s="74"/>
      <c r="E41" s="74"/>
      <c r="F41" s="74"/>
      <c r="G41" s="74"/>
      <c r="H41" s="74"/>
      <c r="J41" s="75" t="s">
        <v>19</v>
      </c>
      <c r="K41" s="75"/>
      <c r="L41" s="75"/>
      <c r="M41" s="75"/>
      <c r="N41" s="75"/>
      <c r="O41" s="75"/>
      <c r="P41" s="75"/>
      <c r="Q41" s="75"/>
      <c r="R41" s="75"/>
      <c r="S41" s="75"/>
      <c r="T41" s="75"/>
      <c r="U41" s="75"/>
      <c r="Y41" s="76" t="str">
        <f>J41</f>
        <v>Outubro</v>
      </c>
      <c r="Z41" s="76"/>
      <c r="AA41" s="76"/>
      <c r="AB41" s="76"/>
      <c r="AC41" s="76"/>
      <c r="AD41" s="76"/>
      <c r="AE41" s="76"/>
      <c r="AH41" s="77" t="str">
        <f>Y41</f>
        <v>Outubro</v>
      </c>
      <c r="AI41" s="77"/>
      <c r="AJ41" s="77"/>
      <c r="AK41" s="77"/>
      <c r="AL41" s="77"/>
      <c r="AM41" s="77"/>
      <c r="AN41" s="77"/>
    </row>
    <row r="42" spans="1:40" ht="15.75" thickBot="1" x14ac:dyDescent="0.3">
      <c r="A42" s="78" t="s">
        <v>5</v>
      </c>
      <c r="B42" s="34" t="s">
        <v>6</v>
      </c>
      <c r="C42" s="22" t="s">
        <v>7</v>
      </c>
      <c r="D42" s="33" t="s">
        <v>8</v>
      </c>
      <c r="E42" s="22" t="s">
        <v>9</v>
      </c>
      <c r="F42" s="24" t="s">
        <v>10</v>
      </c>
      <c r="G42" s="23" t="s">
        <v>11</v>
      </c>
      <c r="H42" s="25" t="s">
        <v>12</v>
      </c>
      <c r="J42" s="6" t="s">
        <v>4</v>
      </c>
      <c r="K42" s="9"/>
      <c r="L42" s="4"/>
      <c r="M42" s="4"/>
      <c r="N42" s="4"/>
      <c r="O42" s="4"/>
      <c r="P42" s="4"/>
      <c r="Q42" s="4"/>
      <c r="R42" s="4"/>
      <c r="S42" s="4"/>
      <c r="T42" s="4"/>
      <c r="U42" s="5"/>
      <c r="Y42" s="6" t="s">
        <v>4</v>
      </c>
      <c r="Z42" s="9"/>
      <c r="AA42" s="4"/>
      <c r="AB42" s="4"/>
      <c r="AC42" s="4"/>
      <c r="AD42" s="4"/>
      <c r="AE42" s="5"/>
      <c r="AH42" s="6" t="s">
        <v>4</v>
      </c>
      <c r="AI42" s="9"/>
      <c r="AJ42" s="4"/>
      <c r="AK42" s="4"/>
      <c r="AL42" s="4"/>
      <c r="AM42" s="4"/>
      <c r="AN42" s="5"/>
    </row>
    <row r="43" spans="1:40" ht="15.75" thickBot="1" x14ac:dyDescent="0.3">
      <c r="A43" s="78"/>
      <c r="B43" s="26"/>
      <c r="C43" s="27"/>
      <c r="D43" s="27"/>
      <c r="E43" s="27"/>
      <c r="F43" s="27">
        <f>SUM(C43-B43)</f>
        <v>0</v>
      </c>
      <c r="G43" s="20">
        <f>SUM(E43-D43)</f>
        <v>0</v>
      </c>
      <c r="H43" s="21">
        <f>SUM(F43:G43)</f>
        <v>0</v>
      </c>
      <c r="J43" s="7" t="s">
        <v>22</v>
      </c>
      <c r="K43" s="10"/>
      <c r="L43" s="11"/>
      <c r="M43" s="11"/>
      <c r="N43" s="11"/>
      <c r="O43" s="11"/>
      <c r="P43" s="11"/>
      <c r="Q43" s="11"/>
      <c r="R43" s="11"/>
      <c r="S43" s="11"/>
      <c r="T43" s="11"/>
      <c r="U43" s="12"/>
      <c r="Y43" s="7" t="s">
        <v>22</v>
      </c>
      <c r="Z43" s="10"/>
      <c r="AA43" s="11"/>
      <c r="AB43" s="11"/>
      <c r="AC43" s="11"/>
      <c r="AD43" s="11"/>
      <c r="AE43" s="12"/>
      <c r="AH43" s="7" t="s">
        <v>22</v>
      </c>
      <c r="AI43" s="10"/>
      <c r="AJ43" s="11"/>
      <c r="AK43" s="11"/>
      <c r="AL43" s="11"/>
      <c r="AM43" s="11"/>
      <c r="AN43" s="12"/>
    </row>
    <row r="44" spans="1:40" x14ac:dyDescent="0.25">
      <c r="J44" s="8"/>
      <c r="T44" s="8" t="s">
        <v>23</v>
      </c>
      <c r="U44" s="13">
        <f>SUM(K43:U43)</f>
        <v>0</v>
      </c>
      <c r="AD44" s="8" t="s">
        <v>23</v>
      </c>
      <c r="AE44" s="13">
        <f>SUM(Z43:AE43)</f>
        <v>0</v>
      </c>
      <c r="AM44" s="8" t="s">
        <v>23</v>
      </c>
      <c r="AN44" s="13">
        <f>SUM(AI43:AN43)</f>
        <v>0</v>
      </c>
    </row>
    <row r="45" spans="1:40" ht="15.75" thickBot="1" x14ac:dyDescent="0.3">
      <c r="A45" s="19"/>
      <c r="B45" s="74" t="s">
        <v>20</v>
      </c>
      <c r="C45" s="74"/>
      <c r="D45" s="74"/>
      <c r="E45" s="74"/>
      <c r="F45" s="74"/>
      <c r="G45" s="74"/>
      <c r="H45" s="74"/>
      <c r="J45" s="75" t="s">
        <v>20</v>
      </c>
      <c r="K45" s="75"/>
      <c r="L45" s="75"/>
      <c r="M45" s="75"/>
      <c r="N45" s="75"/>
      <c r="O45" s="75"/>
      <c r="P45" s="75"/>
      <c r="Q45" s="75"/>
      <c r="R45" s="75"/>
      <c r="S45" s="75"/>
      <c r="T45" s="75"/>
      <c r="U45" s="75"/>
      <c r="Y45" s="76" t="str">
        <f>J45</f>
        <v>Novembro</v>
      </c>
      <c r="Z45" s="76"/>
      <c r="AA45" s="76"/>
      <c r="AB45" s="76"/>
      <c r="AC45" s="76"/>
      <c r="AD45" s="76"/>
      <c r="AE45" s="76"/>
      <c r="AH45" s="77" t="str">
        <f>Y45</f>
        <v>Novembro</v>
      </c>
      <c r="AI45" s="77"/>
      <c r="AJ45" s="77"/>
      <c r="AK45" s="77"/>
      <c r="AL45" s="77"/>
      <c r="AM45" s="77"/>
      <c r="AN45" s="77"/>
    </row>
    <row r="46" spans="1:40" ht="15.75" thickBot="1" x14ac:dyDescent="0.3">
      <c r="A46" s="78" t="s">
        <v>5</v>
      </c>
      <c r="B46" s="34" t="s">
        <v>6</v>
      </c>
      <c r="C46" s="22" t="s">
        <v>7</v>
      </c>
      <c r="D46" s="33" t="s">
        <v>8</v>
      </c>
      <c r="E46" s="22" t="s">
        <v>9</v>
      </c>
      <c r="F46" s="24" t="s">
        <v>10</v>
      </c>
      <c r="G46" s="23" t="s">
        <v>11</v>
      </c>
      <c r="H46" s="25" t="s">
        <v>12</v>
      </c>
      <c r="J46" s="6" t="s">
        <v>4</v>
      </c>
      <c r="K46" s="9"/>
      <c r="L46" s="4"/>
      <c r="M46" s="4"/>
      <c r="N46" s="4"/>
      <c r="O46" s="4"/>
      <c r="P46" s="4"/>
      <c r="Q46" s="4"/>
      <c r="R46" s="4"/>
      <c r="S46" s="4"/>
      <c r="T46" s="4"/>
      <c r="U46" s="5"/>
      <c r="Y46" s="6" t="s">
        <v>4</v>
      </c>
      <c r="Z46" s="9"/>
      <c r="AA46" s="4"/>
      <c r="AB46" s="4"/>
      <c r="AC46" s="4"/>
      <c r="AD46" s="4"/>
      <c r="AE46" s="5"/>
      <c r="AH46" s="6" t="s">
        <v>4</v>
      </c>
      <c r="AI46" s="9"/>
      <c r="AJ46" s="4"/>
      <c r="AK46" s="4"/>
      <c r="AL46" s="4"/>
      <c r="AM46" s="4"/>
      <c r="AN46" s="5"/>
    </row>
    <row r="47" spans="1:40" ht="15.75" thickBot="1" x14ac:dyDescent="0.3">
      <c r="A47" s="78"/>
      <c r="B47" s="26"/>
      <c r="C47" s="27"/>
      <c r="D47" s="27"/>
      <c r="E47" s="27"/>
      <c r="F47" s="27">
        <f>SUM(C47-B47)</f>
        <v>0</v>
      </c>
      <c r="G47" s="20">
        <f>SUM(E47-D47)</f>
        <v>0</v>
      </c>
      <c r="H47" s="21">
        <f>SUM(F47:G47)</f>
        <v>0</v>
      </c>
      <c r="J47" s="7" t="s">
        <v>22</v>
      </c>
      <c r="K47" s="10"/>
      <c r="L47" s="11"/>
      <c r="M47" s="11"/>
      <c r="N47" s="11"/>
      <c r="O47" s="11"/>
      <c r="P47" s="11"/>
      <c r="Q47" s="11"/>
      <c r="R47" s="11"/>
      <c r="S47" s="11"/>
      <c r="T47" s="11"/>
      <c r="U47" s="12"/>
      <c r="Y47" s="7" t="s">
        <v>22</v>
      </c>
      <c r="Z47" s="10"/>
      <c r="AA47" s="11"/>
      <c r="AB47" s="11"/>
      <c r="AC47" s="11"/>
      <c r="AD47" s="11"/>
      <c r="AE47" s="12"/>
      <c r="AH47" s="7" t="s">
        <v>22</v>
      </c>
      <c r="AI47" s="10"/>
      <c r="AJ47" s="11"/>
      <c r="AK47" s="11"/>
      <c r="AL47" s="11"/>
      <c r="AM47" s="11"/>
      <c r="AN47" s="12"/>
    </row>
    <row r="48" spans="1:40" x14ac:dyDescent="0.25">
      <c r="J48" s="8"/>
      <c r="T48" s="8" t="s">
        <v>23</v>
      </c>
      <c r="U48" s="13">
        <f>SUM(K47:U47)</f>
        <v>0</v>
      </c>
      <c r="AD48" s="8" t="s">
        <v>23</v>
      </c>
      <c r="AE48" s="13">
        <f>SUM(Z47:AE47)</f>
        <v>0</v>
      </c>
      <c r="AM48" s="8" t="s">
        <v>23</v>
      </c>
      <c r="AN48" s="13">
        <f>SUM(AI47:AN47)</f>
        <v>0</v>
      </c>
    </row>
    <row r="49" spans="1:40" ht="15.75" thickBot="1" x14ac:dyDescent="0.3">
      <c r="A49" s="19"/>
      <c r="B49" s="74" t="s">
        <v>21</v>
      </c>
      <c r="C49" s="74"/>
      <c r="D49" s="74"/>
      <c r="E49" s="74"/>
      <c r="F49" s="74"/>
      <c r="G49" s="74"/>
      <c r="H49" s="74"/>
      <c r="J49" s="75" t="s">
        <v>21</v>
      </c>
      <c r="K49" s="75"/>
      <c r="L49" s="75"/>
      <c r="M49" s="75"/>
      <c r="N49" s="75"/>
      <c r="O49" s="75"/>
      <c r="P49" s="75"/>
      <c r="Q49" s="75"/>
      <c r="R49" s="75"/>
      <c r="S49" s="75"/>
      <c r="T49" s="75"/>
      <c r="U49" s="75"/>
      <c r="Y49" s="76" t="str">
        <f>J49</f>
        <v>Dezembro</v>
      </c>
      <c r="Z49" s="76"/>
      <c r="AA49" s="76"/>
      <c r="AB49" s="76"/>
      <c r="AC49" s="76"/>
      <c r="AD49" s="76"/>
      <c r="AE49" s="76"/>
      <c r="AH49" s="77" t="str">
        <f>Y49</f>
        <v>Dezembro</v>
      </c>
      <c r="AI49" s="77"/>
      <c r="AJ49" s="77"/>
      <c r="AK49" s="77"/>
      <c r="AL49" s="77"/>
      <c r="AM49" s="77"/>
      <c r="AN49" s="77"/>
    </row>
    <row r="50" spans="1:40" ht="15.75" thickBot="1" x14ac:dyDescent="0.3">
      <c r="A50" s="78" t="s">
        <v>5</v>
      </c>
      <c r="B50" s="34" t="s">
        <v>6</v>
      </c>
      <c r="C50" s="22" t="s">
        <v>7</v>
      </c>
      <c r="D50" s="33" t="s">
        <v>8</v>
      </c>
      <c r="E50" s="22" t="s">
        <v>9</v>
      </c>
      <c r="F50" s="24" t="s">
        <v>10</v>
      </c>
      <c r="G50" s="23" t="s">
        <v>11</v>
      </c>
      <c r="H50" s="25" t="s">
        <v>12</v>
      </c>
      <c r="J50" s="6" t="s">
        <v>4</v>
      </c>
      <c r="K50" s="9"/>
      <c r="L50" s="4"/>
      <c r="M50" s="4"/>
      <c r="N50" s="4"/>
      <c r="O50" s="4"/>
      <c r="P50" s="4"/>
      <c r="Q50" s="4"/>
      <c r="R50" s="4"/>
      <c r="S50" s="4"/>
      <c r="T50" s="4"/>
      <c r="U50" s="5"/>
      <c r="Y50" s="6" t="s">
        <v>4</v>
      </c>
      <c r="Z50" s="9"/>
      <c r="AA50" s="4"/>
      <c r="AB50" s="4"/>
      <c r="AC50" s="4"/>
      <c r="AD50" s="4"/>
      <c r="AE50" s="5"/>
      <c r="AH50" s="6" t="s">
        <v>4</v>
      </c>
      <c r="AI50" s="9"/>
      <c r="AJ50" s="4"/>
      <c r="AK50" s="4"/>
      <c r="AL50" s="4"/>
      <c r="AM50" s="4"/>
      <c r="AN50" s="5"/>
    </row>
    <row r="51" spans="1:40" ht="15.75" thickBot="1" x14ac:dyDescent="0.3">
      <c r="A51" s="78"/>
      <c r="B51" s="26"/>
      <c r="C51" s="27"/>
      <c r="D51" s="27"/>
      <c r="E51" s="27"/>
      <c r="F51" s="27">
        <f>SUM(C51-B51)</f>
        <v>0</v>
      </c>
      <c r="G51" s="20">
        <f>SUM(E51-D51)</f>
        <v>0</v>
      </c>
      <c r="H51" s="21">
        <f>SUM(F51:G51)</f>
        <v>0</v>
      </c>
      <c r="J51" s="7" t="s">
        <v>22</v>
      </c>
      <c r="K51" s="10"/>
      <c r="L51" s="11"/>
      <c r="M51" s="11"/>
      <c r="N51" s="11"/>
      <c r="O51" s="11"/>
      <c r="P51" s="11"/>
      <c r="Q51" s="11"/>
      <c r="R51" s="11"/>
      <c r="S51" s="11"/>
      <c r="T51" s="11"/>
      <c r="U51" s="12"/>
      <c r="Y51" s="7" t="s">
        <v>22</v>
      </c>
      <c r="Z51" s="10"/>
      <c r="AA51" s="11"/>
      <c r="AB51" s="11"/>
      <c r="AC51" s="11"/>
      <c r="AD51" s="11"/>
      <c r="AE51" s="12"/>
      <c r="AH51" s="7" t="s">
        <v>22</v>
      </c>
      <c r="AI51" s="10"/>
      <c r="AJ51" s="11"/>
      <c r="AK51" s="11"/>
      <c r="AL51" s="11"/>
      <c r="AM51" s="11"/>
      <c r="AN51" s="12"/>
    </row>
    <row r="52" spans="1:40" x14ac:dyDescent="0.25">
      <c r="J52" s="8"/>
      <c r="T52" s="8" t="s">
        <v>23</v>
      </c>
      <c r="U52" s="13">
        <f>SUM(K51:U51)</f>
        <v>0</v>
      </c>
      <c r="AD52" s="8" t="s">
        <v>23</v>
      </c>
      <c r="AE52" s="13">
        <f>SUM(Z51:AE51)</f>
        <v>0</v>
      </c>
      <c r="AM52" s="8" t="s">
        <v>23</v>
      </c>
      <c r="AN52" s="13">
        <f>SUM(AI51:AN51)</f>
        <v>0</v>
      </c>
    </row>
  </sheetData>
  <mergeCells count="65">
    <mergeCell ref="A50:A51"/>
    <mergeCell ref="B41:H41"/>
    <mergeCell ref="J41:U41"/>
    <mergeCell ref="Y41:AE41"/>
    <mergeCell ref="AH41:AN41"/>
    <mergeCell ref="A42:A43"/>
    <mergeCell ref="B45:H45"/>
    <mergeCell ref="J45:U45"/>
    <mergeCell ref="Y45:AE45"/>
    <mergeCell ref="AH45:AN45"/>
    <mergeCell ref="A46:A47"/>
    <mergeCell ref="B49:H49"/>
    <mergeCell ref="J49:U49"/>
    <mergeCell ref="Y49:AE49"/>
    <mergeCell ref="AH49:AN49"/>
    <mergeCell ref="A38:A39"/>
    <mergeCell ref="B29:H29"/>
    <mergeCell ref="J29:U29"/>
    <mergeCell ref="Y29:AE29"/>
    <mergeCell ref="AH29:AN29"/>
    <mergeCell ref="A30:A31"/>
    <mergeCell ref="B33:H33"/>
    <mergeCell ref="J33:U33"/>
    <mergeCell ref="Y33:AE33"/>
    <mergeCell ref="AH33:AN33"/>
    <mergeCell ref="A34:A35"/>
    <mergeCell ref="B37:H37"/>
    <mergeCell ref="J37:U37"/>
    <mergeCell ref="Y37:AE37"/>
    <mergeCell ref="AH37:AN37"/>
    <mergeCell ref="A26:A27"/>
    <mergeCell ref="B17:H17"/>
    <mergeCell ref="J17:U17"/>
    <mergeCell ref="Y17:AE17"/>
    <mergeCell ref="AH17:AN17"/>
    <mergeCell ref="A18:A19"/>
    <mergeCell ref="B21:H21"/>
    <mergeCell ref="J21:U21"/>
    <mergeCell ref="Y21:AE21"/>
    <mergeCell ref="AH21:AN21"/>
    <mergeCell ref="A22:A23"/>
    <mergeCell ref="B25:H25"/>
    <mergeCell ref="J25:U25"/>
    <mergeCell ref="Y25:AE25"/>
    <mergeCell ref="AH25:AN25"/>
    <mergeCell ref="A14:A15"/>
    <mergeCell ref="Y7:AE7"/>
    <mergeCell ref="AH7:AN7"/>
    <mergeCell ref="B9:H9"/>
    <mergeCell ref="J9:U9"/>
    <mergeCell ref="Y9:AE9"/>
    <mergeCell ref="AH9:AN9"/>
    <mergeCell ref="J7:U7"/>
    <mergeCell ref="A10:A11"/>
    <mergeCell ref="B13:H13"/>
    <mergeCell ref="J13:U13"/>
    <mergeCell ref="Y13:AE13"/>
    <mergeCell ref="AH13:AN13"/>
    <mergeCell ref="B2:C2"/>
    <mergeCell ref="E2:F2"/>
    <mergeCell ref="B4:C4"/>
    <mergeCell ref="E4:F4"/>
    <mergeCell ref="A7:H7"/>
    <mergeCell ref="B3:C3"/>
    <mergeCell ref="E3:F3"/>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32</vt:i4>
      </vt:variant>
    </vt:vector>
  </HeadingPairs>
  <TitlesOfParts>
    <vt:vector size="32" baseType="lpstr">
      <vt:lpstr>RESUMO</vt:lpstr>
      <vt:lpstr>Controle Central</vt:lpstr>
      <vt:lpstr>Geferson</vt:lpstr>
      <vt:lpstr>Izadora</vt:lpstr>
      <vt:lpstr>João Carlos</vt:lpstr>
      <vt:lpstr>Antonio Willian</vt:lpstr>
      <vt:lpstr>Geraldo</vt:lpstr>
      <vt:lpstr>Rogerio Salustiano</vt:lpstr>
      <vt:lpstr>Jurandir</vt:lpstr>
      <vt:lpstr>Railson</vt:lpstr>
      <vt:lpstr>Assibi</vt:lpstr>
      <vt:lpstr>Diego Parisio-Desmob</vt:lpstr>
      <vt:lpstr>CAR_11</vt:lpstr>
      <vt:lpstr>CAR_12</vt:lpstr>
      <vt:lpstr>CAR_13</vt:lpstr>
      <vt:lpstr>CAR_14</vt:lpstr>
      <vt:lpstr>CAR_15</vt:lpstr>
      <vt:lpstr>CAR_16</vt:lpstr>
      <vt:lpstr>CAR_17</vt:lpstr>
      <vt:lpstr>CAR_18</vt:lpstr>
      <vt:lpstr>CAR_19</vt:lpstr>
      <vt:lpstr>CAR_20</vt:lpstr>
      <vt:lpstr>CAR_21</vt:lpstr>
      <vt:lpstr>CAR_22</vt:lpstr>
      <vt:lpstr>CAR_23</vt:lpstr>
      <vt:lpstr>CAR_24</vt:lpstr>
      <vt:lpstr>CAR_25</vt:lpstr>
      <vt:lpstr>CAR_26</vt:lpstr>
      <vt:lpstr>CAR_27</vt:lpstr>
      <vt:lpstr>CAR_28</vt:lpstr>
      <vt:lpstr>CAR_29</vt:lpstr>
      <vt:lpstr>CAR_30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PEREIRA MASCARENHAS</dc:creator>
  <cp:lastModifiedBy>Office 6</cp:lastModifiedBy>
  <dcterms:created xsi:type="dcterms:W3CDTF">2024-01-31T23:17:24Z</dcterms:created>
  <dcterms:modified xsi:type="dcterms:W3CDTF">2026-06-15T19:46:10Z</dcterms:modified>
</cp:coreProperties>
</file>