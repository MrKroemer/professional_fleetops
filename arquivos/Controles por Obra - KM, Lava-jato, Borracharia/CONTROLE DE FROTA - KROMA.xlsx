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60AB815F-686E-4482-92FD-92F37DC4D525}" xr6:coauthVersionLast="47" xr6:coauthVersionMax="47" xr10:uidLastSave="{00000000-0000-0000-0000-000000000000}"/>
  <bookViews>
    <workbookView xWindow="-120" yWindow="-120" windowWidth="29040" windowHeight="15720" activeTab="2" xr2:uid="{00000000-000D-0000-FFFF-FFFF00000000}"/>
  </bookViews>
  <sheets>
    <sheet name="RESUMO" sheetId="3" r:id="rId1"/>
    <sheet name="Controle Central" sheetId="2" r:id="rId2"/>
    <sheet name="ELIKESTH" sheetId="1" r:id="rId3"/>
    <sheet name="CAR_02" sheetId="4" r:id="rId4"/>
    <sheet name="CAR_03" sheetId="13" r:id="rId5"/>
    <sheet name="CAR_04" sheetId="9" r:id="rId6"/>
    <sheet name="CAR_05" sheetId="11" r:id="rId7"/>
    <sheet name="CAR_06" sheetId="32" r:id="rId8"/>
    <sheet name="CAR_07" sheetId="31" r:id="rId9"/>
    <sheet name="CAR_08" sheetId="30" r:id="rId10"/>
    <sheet name="CAR_09" sheetId="29"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76" i="1" l="1"/>
  <c r="AJ76" i="1"/>
  <c r="Z76" i="1"/>
  <c r="H75" i="1"/>
  <c r="G75" i="1"/>
  <c r="F75" i="1"/>
  <c r="AD73" i="1"/>
  <c r="AL73" i="1" s="1"/>
  <c r="AR72" i="1"/>
  <c r="AJ72" i="1"/>
  <c r="Z72" i="1"/>
  <c r="H71" i="1"/>
  <c r="G71" i="1"/>
  <c r="F71" i="1"/>
  <c r="AD69" i="1"/>
  <c r="AL69" i="1" s="1"/>
  <c r="AR68" i="1"/>
  <c r="AJ68" i="1"/>
  <c r="Z68" i="1"/>
  <c r="G67" i="1"/>
  <c r="F67" i="1"/>
  <c r="H67" i="1" s="1"/>
  <c r="AD65" i="1"/>
  <c r="AL65" i="1" s="1"/>
  <c r="AR64" i="1"/>
  <c r="AJ64" i="1"/>
  <c r="Z64" i="1"/>
  <c r="G63" i="1"/>
  <c r="H63" i="1" s="1"/>
  <c r="F63" i="1"/>
  <c r="AD61" i="1"/>
  <c r="AL61" i="1" s="1"/>
  <c r="AR60" i="1"/>
  <c r="AJ60" i="1"/>
  <c r="Z60" i="1"/>
  <c r="H59" i="1"/>
  <c r="G59" i="1"/>
  <c r="F59" i="1"/>
  <c r="AR56" i="1"/>
  <c r="AJ56" i="1"/>
  <c r="Z56" i="1"/>
  <c r="G55" i="1"/>
  <c r="F55" i="1"/>
  <c r="Z44" i="1"/>
  <c r="D13" i="2" s="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H43" i="25" s="1"/>
  <c r="B70" i="2" s="1"/>
  <c r="C70" i="2" s="1"/>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H23" i="10" s="1"/>
  <c r="I120" i="2" s="1"/>
  <c r="J120" i="2" s="1"/>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R52" i="1"/>
  <c r="F15" i="2" s="1"/>
  <c r="AR48" i="1"/>
  <c r="F14" i="2" s="1"/>
  <c r="AR44" i="1"/>
  <c r="F13" i="2" s="1"/>
  <c r="AR40" i="1"/>
  <c r="F12" i="2" s="1"/>
  <c r="AR36" i="1"/>
  <c r="F11" i="2" s="1"/>
  <c r="AR32" i="1"/>
  <c r="F10" i="2" s="1"/>
  <c r="AR28" i="1"/>
  <c r="M9" i="2" s="1"/>
  <c r="AR24" i="1"/>
  <c r="F8" i="2" s="1"/>
  <c r="AR20" i="1"/>
  <c r="F7" i="2" s="1"/>
  <c r="AR16" i="1"/>
  <c r="F6" i="2" s="1"/>
  <c r="AR12" i="1"/>
  <c r="F5" i="2" s="1"/>
  <c r="AD13" i="1"/>
  <c r="AL13" i="1" s="1"/>
  <c r="AD17" i="1"/>
  <c r="AL17" i="1" s="1"/>
  <c r="AD21" i="1"/>
  <c r="AL21" i="1" s="1"/>
  <c r="AD25" i="1"/>
  <c r="AL25" i="1" s="1"/>
  <c r="AD29" i="1"/>
  <c r="AL29" i="1" s="1"/>
  <c r="AD33" i="1"/>
  <c r="AL33" i="1" s="1"/>
  <c r="AD37" i="1"/>
  <c r="AL37" i="1" s="1"/>
  <c r="AD41" i="1"/>
  <c r="AL41" i="1" s="1"/>
  <c r="AD45" i="1"/>
  <c r="AL45" i="1" s="1"/>
  <c r="AD49" i="1"/>
  <c r="AL49" i="1" s="1"/>
  <c r="AJ52" i="1"/>
  <c r="E15" i="2" s="1"/>
  <c r="AJ48" i="1"/>
  <c r="E14" i="2" s="1"/>
  <c r="AJ44" i="1"/>
  <c r="E13" i="2" s="1"/>
  <c r="AJ40" i="1"/>
  <c r="E12" i="2" s="1"/>
  <c r="AJ36" i="1"/>
  <c r="E11" i="2" s="1"/>
  <c r="AJ32" i="1"/>
  <c r="E10" i="2" s="1"/>
  <c r="AJ28" i="1"/>
  <c r="E9" i="2" s="1"/>
  <c r="AJ24" i="1"/>
  <c r="E8" i="2" s="1"/>
  <c r="AJ20" i="1"/>
  <c r="E7" i="2" s="1"/>
  <c r="AJ16" i="1"/>
  <c r="E6" i="2" s="1"/>
  <c r="AJ12" i="1"/>
  <c r="E5" i="2" s="1"/>
  <c r="Z48" i="1"/>
  <c r="D14" i="2" s="1"/>
  <c r="Z40" i="1"/>
  <c r="D12" i="2" s="1"/>
  <c r="Z36" i="1"/>
  <c r="D11" i="2" s="1"/>
  <c r="Z32" i="1"/>
  <c r="D10" i="2" s="1"/>
  <c r="Z28" i="1"/>
  <c r="D9" i="2" s="1"/>
  <c r="Z24" i="1"/>
  <c r="D8" i="2" s="1"/>
  <c r="Z20" i="1"/>
  <c r="D7" i="2" s="1"/>
  <c r="Z16" i="1"/>
  <c r="D6" i="2" s="1"/>
  <c r="Z12" i="1"/>
  <c r="D5" i="2" s="1"/>
  <c r="Z52" i="1"/>
  <c r="D15" i="2" s="1"/>
  <c r="H55" i="1" l="1"/>
  <c r="H39" i="10"/>
  <c r="I124" i="2" s="1"/>
  <c r="J124" i="2" s="1"/>
  <c r="H47" i="18"/>
  <c r="W90" i="2" s="1"/>
  <c r="X90" i="2" s="1"/>
  <c r="E6" i="3"/>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1"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Z82" i="2"/>
  <c r="T129" i="2"/>
  <c r="L6" i="3"/>
  <c r="H27" i="13"/>
  <c r="P9" i="2" s="1"/>
  <c r="Q9" i="2" s="1"/>
  <c r="H43" i="13"/>
  <c r="P14" i="2" s="1"/>
  <c r="Q14" i="2" s="1"/>
  <c r="S89" i="2"/>
  <c r="T89" i="2"/>
  <c r="K111" i="2"/>
  <c r="AA86" i="2"/>
  <c r="Z86" i="2"/>
  <c r="H8" i="3" s="1"/>
  <c r="M6" i="3"/>
  <c r="D6" i="3"/>
  <c r="F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E10" i="3" s="1"/>
  <c r="H39" i="18"/>
  <c r="W88" i="2" s="1"/>
  <c r="X88" i="2" s="1"/>
  <c r="Z91" i="2"/>
  <c r="AA91" i="2"/>
  <c r="H19" i="19"/>
  <c r="P83" i="2" s="1"/>
  <c r="Q83" i="2" s="1"/>
  <c r="T86" i="2"/>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I10" i="3" s="1"/>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J8" i="3" s="1"/>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E8" i="3"/>
  <c r="I6" i="3"/>
  <c r="F9" i="2"/>
  <c r="H11" i="13"/>
  <c r="M15" i="2"/>
  <c r="AA93"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C31" i="2"/>
  <c r="T36" i="2"/>
  <c r="S36" i="2"/>
  <c r="R36" i="2"/>
  <c r="E55" i="2"/>
  <c r="D55" i="2"/>
  <c r="L36" i="2"/>
  <c r="K36" i="2"/>
  <c r="M36" i="2"/>
  <c r="E36" i="2"/>
  <c r="D36" i="2"/>
  <c r="F36" i="2"/>
  <c r="AA36" i="2"/>
  <c r="Z36" i="2"/>
  <c r="Y36" i="2"/>
  <c r="AA17" i="2"/>
  <c r="Z17" i="2"/>
  <c r="Y17" i="2"/>
  <c r="K17" i="2"/>
  <c r="E17" i="2"/>
  <c r="D17" i="2"/>
  <c r="G51" i="1"/>
  <c r="F51" i="1"/>
  <c r="G47" i="1"/>
  <c r="F47" i="1"/>
  <c r="F43" i="1"/>
  <c r="G39" i="1"/>
  <c r="F39" i="1"/>
  <c r="G35" i="1"/>
  <c r="F35" i="1"/>
  <c r="G31" i="1"/>
  <c r="F31" i="1"/>
  <c r="G27" i="1"/>
  <c r="F27" i="1"/>
  <c r="G23" i="1"/>
  <c r="F23" i="1"/>
  <c r="G19" i="1"/>
  <c r="F19" i="1"/>
  <c r="G15" i="1"/>
  <c r="F15" i="1"/>
  <c r="G11" i="1"/>
  <c r="F11" i="1"/>
  <c r="H10" i="3" l="1"/>
  <c r="W111" i="2"/>
  <c r="W112" i="2" s="1"/>
  <c r="H15" i="1"/>
  <c r="B6" i="2" s="1"/>
  <c r="C6" i="2" s="1"/>
  <c r="P11" i="2"/>
  <c r="Q11" i="2" s="1"/>
  <c r="W74" i="2"/>
  <c r="W75" i="2" s="1"/>
  <c r="S93" i="2"/>
  <c r="K8" i="3"/>
  <c r="H11" i="1"/>
  <c r="B5" i="2" s="1"/>
  <c r="C5" i="2" s="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tc={46194439-8C55-4ED7-BDE2-1803FC924BFE}</author>
    <author>Administrativo2</author>
  </authors>
  <commentList>
    <comment ref="I2" authorId="0" shapeId="0" xr:uid="{46194439-8C55-4ED7-BDE2-1803FC924BFE}">
      <text>
        <t>[Comentário encadeado]
Sua versão do Excel permite que você leia este comentário encadeado, no entanto, as edições serão removidas se o arquivo for aberto em uma versão mais recente do Excel. Saiba mais: https://go.microsoft.com/fwlink/?linkid=870924
Comentário:
    6000km a partir de 27/02/26 - antes era 3000km</t>
      </text>
    </comment>
    <comment ref="D31" authorId="1" shapeId="0" xr:uid="{630D4200-897B-4BD5-B5E3-1F2BFE67AF54}">
      <text>
        <r>
          <rPr>
            <b/>
            <sz val="9"/>
            <color indexed="81"/>
            <rFont val="Segoe UI"/>
            <family val="2"/>
          </rPr>
          <t>Veículo TDT7A83 retirado 14/07/2025</t>
        </r>
        <r>
          <rPr>
            <sz val="9"/>
            <color indexed="81"/>
            <rFont val="Segoe UI"/>
            <family val="2"/>
          </rPr>
          <t xml:space="preserve">
</t>
        </r>
      </text>
    </comment>
    <comment ref="AM39" authorId="1" shapeId="0" xr:uid="{FEF6D772-C527-4393-AD93-9BECDBF79C74}">
      <text>
        <r>
          <rPr>
            <b/>
            <sz val="9"/>
            <color indexed="81"/>
            <rFont val="Segoe UI"/>
            <family val="2"/>
          </rPr>
          <t xml:space="preserve">Vulcanização
</t>
        </r>
        <r>
          <rPr>
            <sz val="9"/>
            <color indexed="81"/>
            <rFont val="Segoe UI"/>
            <family val="2"/>
          </rPr>
          <t xml:space="preserve">
</t>
        </r>
      </text>
    </comment>
    <comment ref="AM42" authorId="1" shapeId="0" xr:uid="{110B2994-6927-49EA-8963-6AACFD99FF8A}">
      <text>
        <r>
          <rPr>
            <b/>
            <sz val="9"/>
            <color indexed="81"/>
            <rFont val="Segoe UI"/>
            <family val="2"/>
          </rPr>
          <t>Vulcanização pneu traseiro direito (furo/prego)</t>
        </r>
        <r>
          <rPr>
            <sz val="9"/>
            <color indexed="81"/>
            <rFont val="Segoe UI"/>
            <family val="2"/>
          </rPr>
          <t xml:space="preserve">
</t>
        </r>
      </text>
    </comment>
  </commentList>
</comments>
</file>

<file path=xl/sharedStrings.xml><?xml version="1.0" encoding="utf-8"?>
<sst xmlns="http://schemas.openxmlformats.org/spreadsheetml/2006/main" count="7449" uniqueCount="87">
  <si>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</si>
  <si>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</si>
  <si>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</si>
  <si>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</si>
  <si>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</si>
  <si>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</si>
  <si>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</si>
  <si>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</si>
  <si>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</si>
  <si>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</si>
  <si>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</si>
  <si>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</si>
  <si>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</si>
  <si>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</si>
  <si>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</si>
  <si>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</si>
  <si>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</si>
  <si>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</si>
  <si>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</si>
  <si>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</si>
  <si>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</si>
  <si>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</si>
  <si>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</si>
  <si>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</si>
  <si>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</si>
  <si>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</si>
  <si>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</si>
  <si>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</si>
  <si>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</si>
  <si>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</si>
  <si>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</si>
  <si>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</si>
  <si>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</si>
  <si>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</si>
  <si>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</si>
  <si>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</si>
  <si>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</si>
  <si>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</si>
  <si>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</si>
  <si>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</si>
  <si>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</si>
  <si>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</si>
  <si>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</si>
  <si>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</si>
  <si>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</si>
  <si>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</si>
  <si>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</si>
  <si>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</si>
  <si>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</si>
  <si>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</si>
  <si>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</si>
  <si>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</si>
  <si>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</si>
  <si>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</si>
  <si>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</si>
  <si>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</si>
  <si>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</si>
  <si>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</si>
  <si>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</si>
  <si>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</si>
  <si>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</si>
  <si>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</si>
  <si>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</si>
  <si>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</si>
  <si>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</si>
  <si>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</si>
  <si>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</si>
  <si>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</si>
  <si>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</si>
  <si>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</si>
  <si>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</si>
  <si>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</si>
  <si>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ONIX - SJE5A88  - 02/03/2024</t>
  </si>
  <si>
    <t>CAR_07</t>
  </si>
  <si>
    <t>CAR_06</t>
  </si>
  <si>
    <t>CAR_05</t>
  </si>
  <si>
    <t>LUCIANE</t>
  </si>
  <si>
    <t>ALIRE</t>
  </si>
  <si>
    <t>JOSEANE</t>
  </si>
  <si>
    <t>ERIKA</t>
  </si>
  <si>
    <t>Substituição (data)</t>
  </si>
  <si>
    <t>Modelo</t>
  </si>
  <si>
    <t>NOME DA OBRA</t>
  </si>
  <si>
    <t>HB20</t>
  </si>
  <si>
    <t>TDT7A83</t>
  </si>
  <si>
    <t>KM</t>
  </si>
  <si>
    <t>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</si>
</sst>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R$-416]\ * #,##0.00_-;\-[$R$-416]\ * #,##0.00_-;_-[$R$-416]\ * &quot;-&quot;??_-;_-@_-"/>
    <numFmt numFmtId="165" formatCode="&quot;R$&quot;\ #,##0.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11"/>
      <color rgb="FF000000"/>
      <name val="Calibri"/>
      <family val="2"/>
    </font>
    <font>
      <sz val="9"/>
      <color indexed="81"/>
      <name val="Segoe UI"/>
      <family val="2"/>
    </font>
    <font>
      <b/>
      <sz val="9"/>
      <color indexed="81"/>
      <name val="Segoe UI"/>
      <family val="2"/>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90">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7" fillId="0" borderId="0" xfId="0" applyFont="1"/>
    <xf numFmtId="0" fontId="0" fillId="0" borderId="1" xfId="1" applyNumberFormat="1" applyFont="1" applyBorder="1"/>
    <xf numFmtId="0" fontId="0" fillId="0" borderId="28" xfId="0" applyBorder="1"/>
    <xf numFmtId="164" fontId="0" fillId="0" borderId="29" xfId="0" applyNumberFormat="1" applyBorder="1"/>
    <xf numFmtId="44" fontId="0" fillId="0" borderId="29" xfId="1" applyFont="1" applyBorder="1"/>
    <xf numFmtId="14" fontId="0" fillId="0" borderId="28" xfId="0" applyNumberFormat="1" applyBorder="1"/>
    <xf numFmtId="14" fontId="0" fillId="0" borderId="6" xfId="0" applyNumberFormat="1" applyBorder="1"/>
    <xf numFmtId="0" fontId="0" fillId="0" borderId="1" xfId="0" applyBorder="1" applyAlignment="1">
      <alignment horizontal="center"/>
    </xf>
    <xf numFmtId="164" fontId="0" fillId="0" borderId="1" xfId="0" applyNumberFormat="1" applyBorder="1" applyAlignment="1">
      <alignment horizontal="center"/>
    </xf>
    <xf numFmtId="0" fontId="2" fillId="5" borderId="0" xfId="0" applyFont="1" applyFill="1" applyAlignment="1">
      <alignment horizontal="center"/>
    </xf>
    <xf numFmtId="0" fontId="2" fillId="2" borderId="0" xfId="0" applyFont="1" applyFill="1" applyAlignment="1">
      <alignment horizontal="center"/>
    </xf>
    <xf numFmtId="0" fontId="4" fillId="2" borderId="0" xfId="0" applyFont="1" applyFill="1" applyAlignment="1">
      <alignment horizontal="center"/>
    </xf>
    <xf numFmtId="0" fontId="2" fillId="0" borderId="0" xfId="0" applyFont="1" applyAlignment="1">
      <alignment horizontal="right" vertical="center"/>
    </xf>
    <xf numFmtId="0" fontId="2" fillId="4" borderId="14" xfId="0" applyFont="1" applyFill="1" applyBorder="1" applyAlignment="1">
      <alignment horizontal="center"/>
    </xf>
    <xf numFmtId="0" fontId="2" fillId="6" borderId="14" xfId="0" applyFont="1" applyFill="1" applyBorder="1" applyAlignment="1">
      <alignment horizontal="center"/>
    </xf>
    <xf numFmtId="14" fontId="2" fillId="2" borderId="0" xfId="0" applyNumberFormat="1" applyFont="1" applyFill="1" applyAlignment="1">
      <alignment horizontal="center"/>
    </xf>
    <xf numFmtId="0" fontId="2" fillId="7" borderId="14" xfId="0" applyFont="1" applyFill="1" applyBorder="1" applyAlignment="1">
      <alignment horizontal="center"/>
    </xf>
    <xf numFmtId="165" fontId="0" fillId="0" borderId="1" xfId="0" applyNumberFormat="1" applyBorder="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0</c:v>
                </c:pt>
                <c:pt idx="3">
                  <c:v>0</c:v>
                </c:pt>
                <c:pt idx="4">
                  <c:v>0</c:v>
                </c:pt>
                <c:pt idx="5">
                  <c:v>0</c:v>
                </c:pt>
                <c:pt idx="6">
                  <c:v>2201.9499999999998</c:v>
                </c:pt>
                <c:pt idx="7">
                  <c:v>3396.8300000000004</c:v>
                </c:pt>
                <c:pt idx="8">
                  <c:v>3567.3500000000008</c:v>
                </c:pt>
                <c:pt idx="9">
                  <c:v>3736.1499999999996</c:v>
                </c:pt>
                <c:pt idx="10">
                  <c:v>2952.15</c:v>
                </c:pt>
                <c:pt idx="11">
                  <c:v>2149.4299999999998</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0</c:v>
                </c:pt>
                <c:pt idx="6">
                  <c:v>0</c:v>
                </c:pt>
                <c:pt idx="7">
                  <c:v>110</c:v>
                </c:pt>
                <c:pt idx="8">
                  <c:v>55</c:v>
                </c:pt>
                <c:pt idx="9">
                  <c:v>55</c:v>
                </c:pt>
                <c:pt idx="10">
                  <c:v>55</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25</c:v>
                </c:pt>
                <c:pt idx="8">
                  <c:v>40</c:v>
                </c:pt>
                <c:pt idx="9">
                  <c:v>30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1C17D4CE-C203-45AB-B180-144D11D0EC67}"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2" dT="2026-05-05T19:57:00.41" personId="{1C17D4CE-C203-45AB-B180-144D11D0EC67}" id="{46194439-8C55-4ED7-BDE2-1803FC924BFE}">
    <text>6000km a partir de 27/02/26 - antes era 3000km</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87" t="s">
        <v>82</v>
      </c>
      <c r="B1" s="88"/>
      <c r="C1" s="88"/>
      <c r="D1" s="88"/>
      <c r="E1" s="88"/>
      <c r="F1" s="88"/>
      <c r="G1" s="88"/>
      <c r="H1" s="88"/>
      <c r="I1" s="88"/>
      <c r="J1" s="88"/>
      <c r="K1" s="88"/>
      <c r="L1" s="88"/>
      <c r="M1" s="88"/>
      <c r="N1" s="88"/>
      <c r="O1" s="88"/>
      <c r="P1" s="88"/>
      <c r="Q1" s="88"/>
      <c r="R1" s="88"/>
      <c r="S1" s="88"/>
      <c r="T1" s="88"/>
      <c r="U1" s="88"/>
      <c r="V1" s="88"/>
      <c r="W1" s="88"/>
      <c r="X1" s="88"/>
      <c r="Y1" s="88"/>
    </row>
    <row r="2" spans="1:25" x14ac:dyDescent="0.25">
      <c r="A2" s="88"/>
      <c r="B2" s="88"/>
      <c r="C2" s="88"/>
      <c r="D2" s="88"/>
      <c r="E2" s="88"/>
      <c r="F2" s="88"/>
      <c r="G2" s="88"/>
      <c r="H2" s="88"/>
      <c r="I2" s="88"/>
      <c r="J2" s="88"/>
      <c r="K2" s="88"/>
      <c r="L2" s="88"/>
      <c r="M2" s="88"/>
      <c r="N2" s="88"/>
      <c r="O2" s="88"/>
      <c r="P2" s="88"/>
      <c r="Q2" s="88"/>
      <c r="R2" s="88"/>
      <c r="S2" s="88"/>
      <c r="T2" s="88"/>
      <c r="U2" s="88"/>
      <c r="V2" s="88"/>
      <c r="W2" s="88"/>
      <c r="X2" s="88"/>
      <c r="Y2" s="88"/>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0</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2201.9499999999998</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3396.8300000000004</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3567.3500000000008</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3736.1499999999996</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2952.15</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2149.4299999999998</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110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55</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55</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55</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25</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40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30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86"/>
      <c r="C13" s="86"/>
      <c r="D13" s="86"/>
      <c r="E13" s="86"/>
      <c r="F13" s="86"/>
      <c r="G13" s="86"/>
      <c r="H13" s="86"/>
      <c r="I13" s="86"/>
      <c r="J13" s="86"/>
      <c r="K13" s="86"/>
      <c r="L13" s="86"/>
      <c r="M13" s="86"/>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78" t="s">
        <v>79</v>
      </c>
      <c r="C2" s="78"/>
      <c r="D2" s="78"/>
      <c r="E2" s="78"/>
      <c r="F2" s="78"/>
      <c r="I2" s="89" t="s">
        <v>78</v>
      </c>
      <c r="J2" s="89"/>
      <c r="K2" s="89"/>
      <c r="L2" s="89"/>
      <c r="M2" s="89"/>
      <c r="P2" s="89" t="s">
        <v>77</v>
      </c>
      <c r="Q2" s="89"/>
      <c r="R2" s="89"/>
      <c r="S2" s="89"/>
      <c r="T2" s="89"/>
      <c r="W2" s="89" t="s">
        <v>76</v>
      </c>
      <c r="X2" s="89"/>
      <c r="Y2" s="89"/>
      <c r="Z2" s="89"/>
      <c r="AA2" s="89"/>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ELIKESTH!H11</f>
        <v>0</v>
      </c>
      <c r="C5" s="43">
        <f>SUM(5000-B5)</f>
        <v>5000</v>
      </c>
      <c r="D5" s="35">
        <f>ELIKESTH!Z12</f>
        <v>0</v>
      </c>
      <c r="E5" s="35">
        <f>ELIKESTH!AJ12</f>
        <v>0</v>
      </c>
      <c r="F5" s="36">
        <f>ELIKESTH!AR12</f>
        <v>0</v>
      </c>
      <c r="H5" s="38" t="s">
        <v>32</v>
      </c>
      <c r="I5" s="46">
        <f>CAR_02!H11</f>
        <v>0</v>
      </c>
      <c r="J5" s="43">
        <f>SUM(5000-I5)</f>
        <v>5000</v>
      </c>
      <c r="K5" s="35">
        <f>CAR_02!U12</f>
        <v>0</v>
      </c>
      <c r="L5" s="35">
        <f>CAR_02!AC12</f>
        <v>0</v>
      </c>
      <c r="M5" s="36">
        <f>CAR_02!AK12</f>
        <v>0</v>
      </c>
      <c r="O5" s="38" t="s">
        <v>32</v>
      </c>
      <c r="P5" s="46">
        <f>CAR_03!H11</f>
        <v>0</v>
      </c>
      <c r="Q5" s="43">
        <f>SUM(5000-P5)</f>
        <v>5000</v>
      </c>
      <c r="R5" s="35">
        <f>CAR_03!U12</f>
        <v>0</v>
      </c>
      <c r="S5" s="35">
        <f>CAR_03!AI12</f>
        <v>0</v>
      </c>
      <c r="T5" s="36">
        <f>CAR_03!AR12</f>
        <v>0</v>
      </c>
      <c r="V5" s="38" t="s">
        <v>32</v>
      </c>
      <c r="W5" s="46">
        <f>CAR_04!H11</f>
        <v>0</v>
      </c>
      <c r="X5" s="43">
        <f>SUM(5000-W5)</f>
        <v>5000</v>
      </c>
      <c r="Y5" s="35">
        <f>CAR_04!U12</f>
        <v>0</v>
      </c>
      <c r="Z5" s="35">
        <f>CAR_04!AI12</f>
        <v>0</v>
      </c>
      <c r="AA5" s="36">
        <f>CAR_04!AR12</f>
        <v>0</v>
      </c>
    </row>
    <row r="6" spans="1:27" x14ac:dyDescent="0.25">
      <c r="A6" s="38" t="s">
        <v>33</v>
      </c>
      <c r="B6" s="46">
        <f>ELIKESTH!H15</f>
        <v>0</v>
      </c>
      <c r="C6" s="43">
        <f t="shared" ref="C6:C15" si="0">SUM(5000-B6)</f>
        <v>5000</v>
      </c>
      <c r="D6" s="35">
        <f>ELIKESTH!Z16</f>
        <v>0</v>
      </c>
      <c r="E6" s="35">
        <f>ELIKESTH!AJ16</f>
        <v>0</v>
      </c>
      <c r="F6" s="36">
        <f>ELIKESTH!AR16</f>
        <v>0</v>
      </c>
      <c r="H6" s="38" t="s">
        <v>33</v>
      </c>
      <c r="I6" s="46">
        <f>CAR_02!H15</f>
        <v>0</v>
      </c>
      <c r="J6" s="43">
        <f t="shared" ref="J6:J14" si="1">SUM(5000-I6)</f>
        <v>5000</v>
      </c>
      <c r="K6" s="35">
        <f>CAR_02!U16</f>
        <v>0</v>
      </c>
      <c r="L6" s="35">
        <f>CAR_02!AC16</f>
        <v>0</v>
      </c>
      <c r="M6" s="36">
        <f>CAR_02!AK16</f>
        <v>0</v>
      </c>
      <c r="O6" s="38" t="s">
        <v>33</v>
      </c>
      <c r="P6" s="46">
        <f>CAR_03!H15</f>
        <v>0</v>
      </c>
      <c r="Q6" s="43">
        <f t="shared" ref="Q6:Q14" si="2">SUM(5000-P6)</f>
        <v>5000</v>
      </c>
      <c r="R6" s="35">
        <f>CAR_03!U16</f>
        <v>0</v>
      </c>
      <c r="S6" s="35">
        <f>CAR_03!AI16</f>
        <v>0</v>
      </c>
      <c r="T6" s="36">
        <f>CAR_03!AR16</f>
        <v>0</v>
      </c>
      <c r="V6" s="38" t="s">
        <v>33</v>
      </c>
      <c r="W6" s="46">
        <f>CAR_04!H15</f>
        <v>0</v>
      </c>
      <c r="X6" s="43">
        <f t="shared" ref="X6:X15" si="3">SUM(5000-W6)</f>
        <v>5000</v>
      </c>
      <c r="Y6" s="35">
        <f>CAR_04!U16</f>
        <v>0</v>
      </c>
      <c r="Z6" s="35">
        <f>CAR_04!AI16</f>
        <v>0</v>
      </c>
      <c r="AA6" s="36">
        <f>CAR_04!AR16</f>
        <v>0</v>
      </c>
    </row>
    <row r="7" spans="1:27" x14ac:dyDescent="0.25">
      <c r="A7" s="38" t="s">
        <v>34</v>
      </c>
      <c r="B7" s="46">
        <f>ELIKESTH!H19</f>
        <v>0</v>
      </c>
      <c r="C7" s="43">
        <f t="shared" si="0"/>
        <v>5000</v>
      </c>
      <c r="D7" s="35">
        <f>ELIKESTH!Z20</f>
        <v>0</v>
      </c>
      <c r="E7" s="35">
        <f>ELIKESTH!AJ20</f>
        <v>0</v>
      </c>
      <c r="F7" s="36">
        <f>ELIKESTH!AR20</f>
        <v>0</v>
      </c>
      <c r="H7" s="38" t="s">
        <v>34</v>
      </c>
      <c r="I7" s="46">
        <f>CAR_02!H19</f>
        <v>0</v>
      </c>
      <c r="J7" s="43">
        <f t="shared" si="1"/>
        <v>5000</v>
      </c>
      <c r="K7" s="35">
        <f>CAR_02!U20</f>
        <v>0</v>
      </c>
      <c r="L7" s="35">
        <f>CAR_02!AC20</f>
        <v>0</v>
      </c>
      <c r="M7" s="36">
        <f>CAR_02!AK20</f>
        <v>0</v>
      </c>
      <c r="O7" s="38" t="s">
        <v>34</v>
      </c>
      <c r="P7" s="46">
        <f>CAR_03!H19</f>
        <v>0</v>
      </c>
      <c r="Q7" s="43">
        <f t="shared" si="2"/>
        <v>5000</v>
      </c>
      <c r="R7" s="35">
        <f>CAR_03!Z20</f>
        <v>0</v>
      </c>
      <c r="S7" s="35">
        <f>CAR_03!AI20</f>
        <v>0</v>
      </c>
      <c r="T7" s="36">
        <f>CAR_03!AR20</f>
        <v>0</v>
      </c>
      <c r="V7" s="38" t="s">
        <v>34</v>
      </c>
      <c r="W7" s="46">
        <f>CAR_04!H19</f>
        <v>0</v>
      </c>
      <c r="X7" s="43">
        <f t="shared" si="3"/>
        <v>5000</v>
      </c>
      <c r="Y7" s="35">
        <f>CAR_04!Z20</f>
        <v>0</v>
      </c>
      <c r="Z7" s="35">
        <f>CAR_04!AI20</f>
        <v>0</v>
      </c>
      <c r="AA7" s="36">
        <f>CAR_04!AR20</f>
        <v>0</v>
      </c>
    </row>
    <row r="8" spans="1:27" x14ac:dyDescent="0.25">
      <c r="A8" s="38" t="s">
        <v>35</v>
      </c>
      <c r="B8" s="46">
        <f>ELIKESTH!H23</f>
        <v>0</v>
      </c>
      <c r="C8" s="43">
        <f t="shared" si="0"/>
        <v>5000</v>
      </c>
      <c r="D8" s="35">
        <f>ELIKESTH!Z24</f>
        <v>0</v>
      </c>
      <c r="E8" s="35">
        <f>ELIKESTH!AJ24</f>
        <v>0</v>
      </c>
      <c r="F8" s="36">
        <f>ELIKESTH!AR24</f>
        <v>0</v>
      </c>
      <c r="H8" s="38" t="s">
        <v>35</v>
      </c>
      <c r="I8" s="46">
        <f>CAR_02!H23</f>
        <v>0</v>
      </c>
      <c r="J8" s="43">
        <f t="shared" si="1"/>
        <v>5000</v>
      </c>
      <c r="K8" s="35">
        <f>CAR_02!U24</f>
        <v>0</v>
      </c>
      <c r="L8" s="35">
        <f>CAR_02!AC24</f>
        <v>0</v>
      </c>
      <c r="M8" s="36">
        <f>CAR_02!AK24</f>
        <v>0</v>
      </c>
      <c r="O8" s="38" t="s">
        <v>35</v>
      </c>
      <c r="P8" s="46">
        <f>CAR_03!H23</f>
        <v>0</v>
      </c>
      <c r="Q8" s="43">
        <f t="shared" si="2"/>
        <v>5000</v>
      </c>
      <c r="R8" s="35">
        <f>CAR_03!Z24</f>
        <v>0</v>
      </c>
      <c r="S8" s="35">
        <f>CAR_03!AI24</f>
        <v>0</v>
      </c>
      <c r="T8" s="36">
        <f>CAR_03!AR24</f>
        <v>0</v>
      </c>
      <c r="V8" s="38" t="s">
        <v>35</v>
      </c>
      <c r="W8" s="46">
        <f>CAR_04!H23</f>
        <v>0</v>
      </c>
      <c r="X8" s="43">
        <f t="shared" si="3"/>
        <v>5000</v>
      </c>
      <c r="Y8" s="35">
        <f>CAR_04!Z24</f>
        <v>0</v>
      </c>
      <c r="Z8" s="35">
        <f>CAR_04!AI24</f>
        <v>0</v>
      </c>
      <c r="AA8" s="36">
        <f>CAR_04!AR24</f>
        <v>0</v>
      </c>
    </row>
    <row r="9" spans="1:27" x14ac:dyDescent="0.25">
      <c r="A9" s="38" t="s">
        <v>36</v>
      </c>
      <c r="B9" s="46">
        <f>ELIKESTH!H27</f>
        <v>0</v>
      </c>
      <c r="C9" s="43">
        <f t="shared" si="0"/>
        <v>5000</v>
      </c>
      <c r="D9" s="35">
        <f>ELIKESTH!Z28</f>
        <v>0</v>
      </c>
      <c r="E9" s="35">
        <f>ELIKESTH!AJ28</f>
        <v>0</v>
      </c>
      <c r="F9" s="36">
        <f>ELIKESTH!AR28</f>
        <v>0</v>
      </c>
      <c r="H9" s="38" t="s">
        <v>36</v>
      </c>
      <c r="I9" s="46">
        <f>CAR_02!H27</f>
        <v>0</v>
      </c>
      <c r="J9" s="43">
        <f t="shared" si="1"/>
        <v>5000</v>
      </c>
      <c r="K9" s="35">
        <f>CAR_02!U28</f>
        <v>0</v>
      </c>
      <c r="L9" s="35">
        <f>CAR_02!AC28</f>
        <v>0</v>
      </c>
      <c r="M9" s="36">
        <f>ELIKESTH!AR28</f>
        <v>0</v>
      </c>
      <c r="O9" s="38" t="s">
        <v>36</v>
      </c>
      <c r="P9" s="46">
        <f>CAR_03!H27</f>
        <v>0</v>
      </c>
      <c r="Q9" s="43">
        <f t="shared" si="2"/>
        <v>5000</v>
      </c>
      <c r="R9" s="35">
        <f>CAR_03!Z28</f>
        <v>0</v>
      </c>
      <c r="S9" s="35">
        <f>CAR_03!AI28</f>
        <v>0</v>
      </c>
      <c r="T9" s="36">
        <f>CAR_03!AR28</f>
        <v>0</v>
      </c>
      <c r="V9" s="38" t="s">
        <v>36</v>
      </c>
      <c r="W9" s="46">
        <f>CAR_04!H27</f>
        <v>0</v>
      </c>
      <c r="X9" s="43">
        <f t="shared" si="3"/>
        <v>5000</v>
      </c>
      <c r="Y9" s="35">
        <f>CAR_04!Z28</f>
        <v>0</v>
      </c>
      <c r="Z9" s="35">
        <f>CAR_04!AI28</f>
        <v>0</v>
      </c>
      <c r="AA9" s="36">
        <f>CAR_04!AR28</f>
        <v>0</v>
      </c>
    </row>
    <row r="10" spans="1:27" x14ac:dyDescent="0.25">
      <c r="A10" s="38" t="s">
        <v>37</v>
      </c>
      <c r="B10" s="46">
        <f>ELIKESTH!H31</f>
        <v>4401</v>
      </c>
      <c r="C10" s="43">
        <f t="shared" si="0"/>
        <v>599</v>
      </c>
      <c r="D10" s="35">
        <f>ELIKESTH!Z32</f>
        <v>2201.9499999999998</v>
      </c>
      <c r="E10" s="35">
        <f>ELIKESTH!AJ32</f>
        <v>0</v>
      </c>
      <c r="F10" s="36">
        <f>ELIKESTH!AR32</f>
        <v>0</v>
      </c>
      <c r="H10" s="38" t="s">
        <v>37</v>
      </c>
      <c r="I10" s="46">
        <f>CAR_02!H31</f>
        <v>0</v>
      </c>
      <c r="J10" s="43">
        <f t="shared" si="1"/>
        <v>5000</v>
      </c>
      <c r="K10" s="35">
        <f>CAR_02!U32</f>
        <v>0</v>
      </c>
      <c r="L10" s="35">
        <f>CAR_02!AC32</f>
        <v>0</v>
      </c>
      <c r="M10" s="36">
        <f>CAR_02!AK32</f>
        <v>0</v>
      </c>
      <c r="O10" s="38" t="s">
        <v>37</v>
      </c>
      <c r="P10" s="46">
        <f>CAR_03!H31</f>
        <v>0</v>
      </c>
      <c r="Q10" s="43">
        <f t="shared" si="2"/>
        <v>5000</v>
      </c>
      <c r="R10" s="35">
        <f>CAR_03!Z32</f>
        <v>0</v>
      </c>
      <c r="S10" s="35">
        <f>CAR_03!AI32</f>
        <v>0</v>
      </c>
      <c r="T10" s="36">
        <f>CAR_03!AR32</f>
        <v>0</v>
      </c>
      <c r="V10" s="38" t="s">
        <v>37</v>
      </c>
      <c r="W10" s="46">
        <f>CAR_04!H31</f>
        <v>0</v>
      </c>
      <c r="X10" s="43">
        <f t="shared" si="3"/>
        <v>5000</v>
      </c>
      <c r="Y10" s="35">
        <f>CAR_04!Z32</f>
        <v>0</v>
      </c>
      <c r="Z10" s="35">
        <f>CAR_04!AI32</f>
        <v>0</v>
      </c>
      <c r="AA10" s="36">
        <f>CAR_04!AR32</f>
        <v>0</v>
      </c>
    </row>
    <row r="11" spans="1:27" x14ac:dyDescent="0.25">
      <c r="A11" s="38" t="s">
        <v>38</v>
      </c>
      <c r="B11" s="46">
        <f>ELIKESTH!H35</f>
        <v>7454</v>
      </c>
      <c r="C11" s="43">
        <f t="shared" si="0"/>
        <v>-2454</v>
      </c>
      <c r="D11" s="35">
        <f>ELIKESTH!Z36</f>
        <v>3396.8300000000004</v>
      </c>
      <c r="E11" s="35">
        <f>ELIKESTH!AJ36</f>
        <v>110</v>
      </c>
      <c r="F11" s="36">
        <f>ELIKESTH!AR36</f>
        <v>25</v>
      </c>
      <c r="H11" s="38" t="s">
        <v>38</v>
      </c>
      <c r="I11" s="46">
        <f>CAR_02!H35</f>
        <v>0</v>
      </c>
      <c r="J11" s="43">
        <f t="shared" si="1"/>
        <v>5000</v>
      </c>
      <c r="K11" s="35">
        <f>CAR_02!U36</f>
        <v>0</v>
      </c>
      <c r="L11" s="35">
        <f>CAR_02!AC36</f>
        <v>0</v>
      </c>
      <c r="M11" s="36">
        <f>CAR_02!AK36</f>
        <v>0</v>
      </c>
      <c r="O11" s="38" t="s">
        <v>38</v>
      </c>
      <c r="P11" s="46">
        <f>CAR_03!H35</f>
        <v>0</v>
      </c>
      <c r="Q11" s="43">
        <f t="shared" si="2"/>
        <v>5000</v>
      </c>
      <c r="R11" s="35">
        <f>CAR_03!Z36</f>
        <v>0</v>
      </c>
      <c r="S11" s="35">
        <f>CAR_03!AI36</f>
        <v>0</v>
      </c>
      <c r="T11" s="36">
        <f>CAR_03!AR36</f>
        <v>0</v>
      </c>
      <c r="V11" s="38" t="s">
        <v>38</v>
      </c>
      <c r="W11" s="46">
        <f>CAR_04!H35</f>
        <v>0</v>
      </c>
      <c r="X11" s="43">
        <f t="shared" si="3"/>
        <v>5000</v>
      </c>
      <c r="Y11" s="35">
        <f>CAR_04!Z36</f>
        <v>0</v>
      </c>
      <c r="Z11" s="35">
        <f>CAR_04!AI36</f>
        <v>0</v>
      </c>
      <c r="AA11" s="36">
        <f>CAR_04!AR36</f>
        <v>0</v>
      </c>
    </row>
    <row r="12" spans="1:27" x14ac:dyDescent="0.25">
      <c r="A12" s="38" t="s">
        <v>39</v>
      </c>
      <c r="B12" s="46">
        <f>ELIKESTH!H39</f>
        <v>7239</v>
      </c>
      <c r="C12" s="43">
        <f t="shared" si="0"/>
        <v>-2239</v>
      </c>
      <c r="D12" s="35">
        <f>ELIKESTH!Z40</f>
        <v>3567.3500000000008</v>
      </c>
      <c r="E12" s="35">
        <f>ELIKESTH!AJ40</f>
        <v>55</v>
      </c>
      <c r="F12" s="36">
        <f>ELIKESTH!AR40</f>
        <v>40</v>
      </c>
      <c r="H12" s="38" t="s">
        <v>39</v>
      </c>
      <c r="I12" s="46">
        <f>CAR_02!H39</f>
        <v>0</v>
      </c>
      <c r="J12" s="43">
        <f t="shared" si="1"/>
        <v>5000</v>
      </c>
      <c r="K12" s="35">
        <f>CAR_02!U40</f>
        <v>0</v>
      </c>
      <c r="L12" s="35">
        <f>CAR_02!AC40</f>
        <v>0</v>
      </c>
      <c r="M12" s="36">
        <f>CAR_02!AK40</f>
        <v>0</v>
      </c>
      <c r="O12" s="38" t="s">
        <v>39</v>
      </c>
      <c r="P12" s="46">
        <f>CAR_03!H35</f>
        <v>0</v>
      </c>
      <c r="Q12" s="43">
        <f t="shared" si="2"/>
        <v>5000</v>
      </c>
      <c r="R12" s="35">
        <f>CAR_03!Z40</f>
        <v>0</v>
      </c>
      <c r="S12" s="35">
        <f>CAR_03!AI40</f>
        <v>0</v>
      </c>
      <c r="T12" s="36">
        <f>CAR_03!AR40</f>
        <v>0</v>
      </c>
      <c r="V12" s="38" t="s">
        <v>39</v>
      </c>
      <c r="W12" s="46">
        <f>CAR_04!H39</f>
        <v>0</v>
      </c>
      <c r="X12" s="43">
        <f t="shared" si="3"/>
        <v>5000</v>
      </c>
      <c r="Y12" s="35">
        <f>CAR_04!Z40</f>
        <v>0</v>
      </c>
      <c r="Z12" s="35">
        <f>CAR_04!AI40</f>
        <v>0</v>
      </c>
      <c r="AA12" s="36">
        <f>CAR_04!AR40</f>
        <v>0</v>
      </c>
    </row>
    <row r="13" spans="1:27" x14ac:dyDescent="0.25">
      <c r="A13" s="38" t="s">
        <v>40</v>
      </c>
      <c r="B13" s="46">
        <f>ELIKESTH!H43</f>
        <v>3775</v>
      </c>
      <c r="C13" s="43">
        <f t="shared" si="0"/>
        <v>1225</v>
      </c>
      <c r="D13" s="35">
        <f>ELIKESTH!Z44</f>
        <v>3736.1499999999996</v>
      </c>
      <c r="E13" s="35">
        <f>ELIKESTH!AJ44</f>
        <v>55</v>
      </c>
      <c r="F13" s="36">
        <f>ELIKESTH!AR44</f>
        <v>30</v>
      </c>
      <c r="H13" s="38" t="s">
        <v>40</v>
      </c>
      <c r="I13" s="46">
        <f>CAR_02!H43</f>
        <v>0</v>
      </c>
      <c r="J13" s="43">
        <f t="shared" si="1"/>
        <v>5000</v>
      </c>
      <c r="K13" s="35">
        <f>CAR_02!U44</f>
        <v>0</v>
      </c>
      <c r="L13" s="35">
        <f>CAR_02!AC44</f>
        <v>0</v>
      </c>
      <c r="M13" s="36">
        <f>CAR_02!AK44</f>
        <v>0</v>
      </c>
      <c r="O13" s="38" t="s">
        <v>40</v>
      </c>
      <c r="P13" s="46">
        <f>CAR_03!H39</f>
        <v>0</v>
      </c>
      <c r="Q13" s="43">
        <f t="shared" si="2"/>
        <v>5000</v>
      </c>
      <c r="R13" s="35">
        <f>CAR_03!Z44</f>
        <v>0</v>
      </c>
      <c r="S13" s="35">
        <f>CAR_03!AI44</f>
        <v>0</v>
      </c>
      <c r="T13" s="36">
        <f>CAR_03!AR44</f>
        <v>0</v>
      </c>
      <c r="V13" s="38" t="s">
        <v>40</v>
      </c>
      <c r="W13" s="46">
        <f>CAR_04!H43</f>
        <v>0</v>
      </c>
      <c r="X13" s="43">
        <f t="shared" si="3"/>
        <v>5000</v>
      </c>
      <c r="Y13" s="35">
        <f>CAR_04!Z44</f>
        <v>0</v>
      </c>
      <c r="Z13" s="35">
        <f>CAR_04!AI44</f>
        <v>0</v>
      </c>
      <c r="AA13" s="36">
        <f>CAR_04!AR44</f>
        <v>0</v>
      </c>
    </row>
    <row r="14" spans="1:27" x14ac:dyDescent="0.25">
      <c r="A14" s="38" t="s">
        <v>41</v>
      </c>
      <c r="B14" s="46">
        <f>ELIKESTH!H47</f>
        <v>6833</v>
      </c>
      <c r="C14" s="43">
        <f t="shared" si="0"/>
        <v>-1833</v>
      </c>
      <c r="D14" s="35">
        <f>ELIKESTH!Z48</f>
        <v>2952.15</v>
      </c>
      <c r="E14" s="35">
        <f>ELIKESTH!AJ48</f>
        <v>55</v>
      </c>
      <c r="F14" s="36">
        <f>ELIKESTH!AR48</f>
        <v>0</v>
      </c>
      <c r="H14" s="38" t="s">
        <v>41</v>
      </c>
      <c r="I14" s="46">
        <f>CAR_02!H47</f>
        <v>0</v>
      </c>
      <c r="J14" s="43">
        <f t="shared" si="1"/>
        <v>5000</v>
      </c>
      <c r="K14" s="35">
        <f>CAR_02!U48</f>
        <v>0</v>
      </c>
      <c r="L14" s="35">
        <f>CAR_02!AC48</f>
        <v>0</v>
      </c>
      <c r="M14" s="36">
        <f>CAR_02!AK48</f>
        <v>0</v>
      </c>
      <c r="O14" s="38" t="s">
        <v>41</v>
      </c>
      <c r="P14" s="46">
        <f>CAR_03!H43</f>
        <v>0</v>
      </c>
      <c r="Q14" s="43">
        <f t="shared" si="2"/>
        <v>5000</v>
      </c>
      <c r="R14" s="35">
        <f>CAR_03!Z48</f>
        <v>0</v>
      </c>
      <c r="S14" s="35">
        <f>CAR_03!AI48</f>
        <v>0</v>
      </c>
      <c r="T14" s="36">
        <f>CAR_03!AR48</f>
        <v>0</v>
      </c>
      <c r="V14" s="38" t="s">
        <v>41</v>
      </c>
      <c r="W14" s="46">
        <f>CAR_04!H47</f>
        <v>0</v>
      </c>
      <c r="X14" s="43">
        <f t="shared" si="3"/>
        <v>5000</v>
      </c>
      <c r="Y14" s="35">
        <f>CAR_04!Z48</f>
        <v>0</v>
      </c>
      <c r="Z14" s="35">
        <f>CAR_04!AI48</f>
        <v>0</v>
      </c>
      <c r="AA14" s="36">
        <f>CAR_04!AR48</f>
        <v>0</v>
      </c>
    </row>
    <row r="15" spans="1:27" ht="15.75" thickBot="1" x14ac:dyDescent="0.3">
      <c r="A15" s="39" t="s">
        <v>42</v>
      </c>
      <c r="B15" s="47">
        <f>ELIKESTH!H51</f>
        <v>5144</v>
      </c>
      <c r="C15" s="44">
        <f t="shared" si="0"/>
        <v>-144</v>
      </c>
      <c r="D15" s="11">
        <f>ELIKESTH!Z52</f>
        <v>2149.4299999999998</v>
      </c>
      <c r="E15" s="11">
        <f>ELIKESTH!AJ52</f>
        <v>0</v>
      </c>
      <c r="F15" s="12">
        <f>ELIKESTH!AR52</f>
        <v>0</v>
      </c>
      <c r="H15" s="39" t="s">
        <v>42</v>
      </c>
      <c r="I15" s="47">
        <f>CAR_02!H51</f>
        <v>0</v>
      </c>
      <c r="J15" s="44">
        <f>SUM(5000-I15)</f>
        <v>5000</v>
      </c>
      <c r="K15" s="11">
        <f>CAR_02!U52</f>
        <v>0</v>
      </c>
      <c r="L15" s="11">
        <f>CAR_02!AC48</f>
        <v>0</v>
      </c>
      <c r="M15" s="12">
        <f>CAR_02!AK48</f>
        <v>0</v>
      </c>
      <c r="O15" s="39" t="s">
        <v>42</v>
      </c>
      <c r="P15" s="47">
        <f>CAR_03!H47</f>
        <v>0</v>
      </c>
      <c r="Q15" s="44">
        <f>SUM(5000-P15)</f>
        <v>5000</v>
      </c>
      <c r="R15" s="11">
        <f>CAR_03!Z52</f>
        <v>0</v>
      </c>
      <c r="S15" s="11">
        <f>CAR_03!AI48</f>
        <v>0</v>
      </c>
      <c r="T15" s="12">
        <f>CAR_03!AR52</f>
        <v>0</v>
      </c>
      <c r="V15" s="39" t="s">
        <v>42</v>
      </c>
      <c r="W15" s="47">
        <f>CAR_04!H51</f>
        <v>0</v>
      </c>
      <c r="X15" s="44">
        <f t="shared" si="3"/>
        <v>5000</v>
      </c>
      <c r="Y15" s="11">
        <f>CAR_04!Z52</f>
        <v>0</v>
      </c>
      <c r="Z15" s="11">
        <f>CAR_04!AI52</f>
        <v>0</v>
      </c>
      <c r="AA15" s="12">
        <f>CAR_04!AR52</f>
        <v>0</v>
      </c>
    </row>
    <row r="16" spans="1:27" ht="15.75" thickBot="1" x14ac:dyDescent="0.3"/>
    <row r="17" spans="1:27" ht="15.75" thickBot="1" x14ac:dyDescent="0.3">
      <c r="A17" s="3" t="s">
        <v>23</v>
      </c>
      <c r="B17" s="52">
        <f>SUM(B4:B15)</f>
        <v>34846</v>
      </c>
      <c r="C17" s="51"/>
      <c r="D17" s="50">
        <f>SUM(D4:D15)</f>
        <v>18003.86</v>
      </c>
      <c r="E17" s="49">
        <f>SUM(E4:E15)</f>
        <v>275</v>
      </c>
      <c r="F17" s="48">
        <f>SUM(F4:F15)</f>
        <v>95</v>
      </c>
      <c r="H17" s="3" t="s">
        <v>23</v>
      </c>
      <c r="I17" s="52">
        <f>SUM(I4:I15)</f>
        <v>0</v>
      </c>
      <c r="J17" s="51"/>
      <c r="K17" s="50">
        <f>SUM(K4:K15)</f>
        <v>0</v>
      </c>
      <c r="L17" s="49">
        <f>SUM(L4:L15)</f>
        <v>0</v>
      </c>
      <c r="M17" s="48">
        <f>SUM(M4:M15)</f>
        <v>0</v>
      </c>
      <c r="O17" s="3" t="s">
        <v>23</v>
      </c>
      <c r="P17" s="52">
        <f>SUM(P4:P15)</f>
        <v>0</v>
      </c>
      <c r="Q17" s="51"/>
      <c r="R17" s="50">
        <f>SUM(R4:R15)</f>
        <v>0</v>
      </c>
      <c r="S17" s="49">
        <f>SUM(S4:S15)</f>
        <v>0</v>
      </c>
      <c r="T17" s="48">
        <f>SUM(T4:T15)</f>
        <v>0</v>
      </c>
      <c r="V17" s="3" t="s">
        <v>23</v>
      </c>
      <c r="W17" s="52">
        <f>SUM(W4:W15)</f>
        <v>0</v>
      </c>
      <c r="X17" s="51"/>
      <c r="Y17" s="50">
        <f>SUM(Y4:Y15)</f>
        <v>0</v>
      </c>
      <c r="Z17" s="49">
        <f>SUM(Z4:Z15)</f>
        <v>0</v>
      </c>
      <c r="AA17" s="48">
        <f>SUM(AA4:AA15)</f>
        <v>0</v>
      </c>
    </row>
    <row r="18" spans="1:27" ht="15.75" thickBot="1" x14ac:dyDescent="0.3">
      <c r="A18" s="3" t="s">
        <v>44</v>
      </c>
      <c r="B18" s="23">
        <f>SUM(60000-B17)</f>
        <v>25154</v>
      </c>
      <c r="H18" s="3" t="s">
        <v>44</v>
      </c>
      <c r="I18" s="23">
        <f>SUM(60000-I17)</f>
        <v>60000</v>
      </c>
      <c r="O18" s="3" t="s">
        <v>44</v>
      </c>
      <c r="P18" s="23">
        <f>SUM(60000-P17)</f>
        <v>60000</v>
      </c>
      <c r="V18" s="3" t="s">
        <v>44</v>
      </c>
      <c r="W18" s="23">
        <f>SUM(60000-W17)</f>
        <v>60000</v>
      </c>
    </row>
    <row r="21" spans="1:27" ht="15.75" thickBot="1" x14ac:dyDescent="0.3">
      <c r="B21" s="89" t="s">
        <v>75</v>
      </c>
      <c r="C21" s="89"/>
      <c r="D21" s="89"/>
      <c r="E21" s="89"/>
      <c r="F21" s="89"/>
      <c r="I21" s="78" t="s">
        <v>74</v>
      </c>
      <c r="J21" s="78"/>
      <c r="K21" s="78"/>
      <c r="L21" s="78"/>
      <c r="M21" s="78"/>
      <c r="P21" s="78" t="s">
        <v>73</v>
      </c>
      <c r="Q21" s="78"/>
      <c r="R21" s="78"/>
      <c r="S21" s="78"/>
      <c r="T21" s="78"/>
      <c r="W21" s="78" t="s">
        <v>52</v>
      </c>
      <c r="X21" s="78"/>
      <c r="Y21" s="78"/>
      <c r="Z21" s="78"/>
      <c r="AA21" s="78"/>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CAR_05!H11</f>
        <v>0</v>
      </c>
      <c r="C24" s="43">
        <f>SUM(5000-B24)</f>
        <v>5000</v>
      </c>
      <c r="D24" s="35">
        <f>CAR_05!U12</f>
        <v>0</v>
      </c>
      <c r="E24" s="35">
        <f>CAR_05!AC12</f>
        <v>0</v>
      </c>
      <c r="F24" s="36">
        <f>CAR_05!AK12</f>
        <v>0</v>
      </c>
      <c r="H24" s="38" t="s">
        <v>32</v>
      </c>
      <c r="I24" s="46">
        <f>CAR_06!H11</f>
        <v>0</v>
      </c>
      <c r="J24" s="43">
        <f>SUM(5000-I24)</f>
        <v>5000</v>
      </c>
      <c r="K24" s="35">
        <f>CAR_06!U12</f>
        <v>0</v>
      </c>
      <c r="L24" s="35">
        <f>CAR_06!AC12</f>
        <v>0</v>
      </c>
      <c r="M24" s="36">
        <f>CAR_06!AK12</f>
        <v>0</v>
      </c>
      <c r="O24" s="38" t="s">
        <v>32</v>
      </c>
      <c r="P24" s="46">
        <f>CAR_07!H11</f>
        <v>0</v>
      </c>
      <c r="Q24" s="43">
        <f>SUM(5000-P24)</f>
        <v>5000</v>
      </c>
      <c r="R24" s="35">
        <f>CAR_07!U12</f>
        <v>0</v>
      </c>
      <c r="S24" s="35">
        <f>CAR_07!AC12</f>
        <v>0</v>
      </c>
      <c r="T24" s="36">
        <f>CAR_07!AK12</f>
        <v>0</v>
      </c>
      <c r="V24" s="38" t="s">
        <v>32</v>
      </c>
      <c r="W24" s="46">
        <f>CAR_08!H11</f>
        <v>0</v>
      </c>
      <c r="X24" s="43">
        <f>SUM(5000-W24)</f>
        <v>5000</v>
      </c>
      <c r="Y24" s="35">
        <f>CAR_08!U12</f>
        <v>0</v>
      </c>
      <c r="Z24" s="35">
        <f>CAR_08!AE12</f>
        <v>0</v>
      </c>
      <c r="AA24" s="36">
        <f>CAR_08!AN12</f>
        <v>0</v>
      </c>
    </row>
    <row r="25" spans="1:27" x14ac:dyDescent="0.25">
      <c r="A25" s="38" t="s">
        <v>33</v>
      </c>
      <c r="B25" s="46">
        <f>CAR_05!H15</f>
        <v>0</v>
      </c>
      <c r="C25" s="43">
        <f t="shared" ref="C25:C34" si="4">SUM(5000-B25)</f>
        <v>5000</v>
      </c>
      <c r="D25" s="35">
        <f>CAR_05!U16</f>
        <v>0</v>
      </c>
      <c r="E25" s="35">
        <f>CAR_05!AC16</f>
        <v>0</v>
      </c>
      <c r="F25" s="36">
        <f>CAR_05!AK16</f>
        <v>0</v>
      </c>
      <c r="H25" s="38" t="s">
        <v>33</v>
      </c>
      <c r="I25" s="46">
        <f>CAR_06!H15</f>
        <v>0</v>
      </c>
      <c r="J25" s="43">
        <f t="shared" ref="J25:J34" si="5">SUM(5000-I25)</f>
        <v>5000</v>
      </c>
      <c r="K25" s="35">
        <f>CAR_06!U16</f>
        <v>0</v>
      </c>
      <c r="L25" s="35">
        <f>CAR_06!AC16</f>
        <v>0</v>
      </c>
      <c r="M25" s="36">
        <f>CAR_06!AK16</f>
        <v>0</v>
      </c>
      <c r="O25" s="38" t="s">
        <v>33</v>
      </c>
      <c r="P25" s="46">
        <f>CAR_07!H15</f>
        <v>0</v>
      </c>
      <c r="Q25" s="43">
        <f t="shared" ref="Q25:Q34" si="6">SUM(5000-P25)</f>
        <v>5000</v>
      </c>
      <c r="R25" s="35">
        <f>CAR_07!U16</f>
        <v>0</v>
      </c>
      <c r="S25" s="35">
        <f>CAR_07!AC16</f>
        <v>0</v>
      </c>
      <c r="T25" s="36">
        <f>CAR_07!AK16</f>
        <v>0</v>
      </c>
      <c r="V25" s="38" t="s">
        <v>33</v>
      </c>
      <c r="W25" s="46">
        <f>CAR_08!H15</f>
        <v>0</v>
      </c>
      <c r="X25" s="43">
        <f t="shared" ref="X25:X34" si="7">SUM(5000-W25)</f>
        <v>5000</v>
      </c>
      <c r="Y25" s="35">
        <f>CAR_08!U16</f>
        <v>0</v>
      </c>
      <c r="Z25" s="35">
        <f>CAR_08!AE16</f>
        <v>0</v>
      </c>
      <c r="AA25" s="36">
        <f>CAR_08!AN16</f>
        <v>0</v>
      </c>
    </row>
    <row r="26" spans="1:27" x14ac:dyDescent="0.25">
      <c r="A26" s="38" t="s">
        <v>34</v>
      </c>
      <c r="B26" s="46">
        <f>CAR_05!H19</f>
        <v>0</v>
      </c>
      <c r="C26" s="43">
        <f t="shared" si="4"/>
        <v>5000</v>
      </c>
      <c r="D26" s="35">
        <f>CAR_05!U20</f>
        <v>0</v>
      </c>
      <c r="E26" s="35">
        <f>CAR_05!AC20</f>
        <v>0</v>
      </c>
      <c r="F26" s="36">
        <f>CAR_05!AK20</f>
        <v>0</v>
      </c>
      <c r="H26" s="38" t="s">
        <v>34</v>
      </c>
      <c r="I26" s="46">
        <f>CAR_06!H19</f>
        <v>0</v>
      </c>
      <c r="J26" s="43">
        <f t="shared" si="5"/>
        <v>5000</v>
      </c>
      <c r="K26" s="35">
        <f>CAR_06!U20</f>
        <v>0</v>
      </c>
      <c r="L26" s="35">
        <f>CAR_06!AC20</f>
        <v>0</v>
      </c>
      <c r="M26" s="36">
        <f>CAR_06!AK20</f>
        <v>0</v>
      </c>
      <c r="O26" s="38" t="s">
        <v>34</v>
      </c>
      <c r="P26" s="46">
        <f>CAR_07!H19</f>
        <v>0</v>
      </c>
      <c r="Q26" s="43">
        <f t="shared" si="6"/>
        <v>5000</v>
      </c>
      <c r="R26" s="35">
        <f>CAR_07!U20</f>
        <v>0</v>
      </c>
      <c r="S26" s="35">
        <f>CAR_07!AC20</f>
        <v>0</v>
      </c>
      <c r="T26" s="36">
        <f>CAR_07!AK20</f>
        <v>0</v>
      </c>
      <c r="V26" s="38" t="s">
        <v>34</v>
      </c>
      <c r="W26" s="46">
        <f>CAR_08!H19</f>
        <v>0</v>
      </c>
      <c r="X26" s="43">
        <f t="shared" si="7"/>
        <v>5000</v>
      </c>
      <c r="Y26" s="35">
        <f>CAR_08!U200</f>
        <v>0</v>
      </c>
      <c r="Z26" s="35">
        <f>CAR_08!AE20</f>
        <v>0</v>
      </c>
      <c r="AA26" s="36">
        <f>CAR_08!AN200</f>
        <v>0</v>
      </c>
    </row>
    <row r="27" spans="1:27" x14ac:dyDescent="0.25">
      <c r="A27" s="38" t="s">
        <v>35</v>
      </c>
      <c r="B27" s="46">
        <f>CAR_05!H23</f>
        <v>0</v>
      </c>
      <c r="C27" s="43">
        <f t="shared" si="4"/>
        <v>5000</v>
      </c>
      <c r="D27" s="35">
        <f>CAR_05!U24</f>
        <v>0</v>
      </c>
      <c r="E27" s="35">
        <f>CAR_05!AC24</f>
        <v>0</v>
      </c>
      <c r="F27" s="36">
        <f>CAR_05!AK24</f>
        <v>0</v>
      </c>
      <c r="H27" s="38" t="s">
        <v>35</v>
      </c>
      <c r="I27" s="46">
        <f>CAR_06!H23</f>
        <v>0</v>
      </c>
      <c r="J27" s="43">
        <f t="shared" si="5"/>
        <v>5000</v>
      </c>
      <c r="K27" s="35">
        <f>CAR_06!U24</f>
        <v>0</v>
      </c>
      <c r="L27" s="35">
        <f>CAR_06!AC24</f>
        <v>0</v>
      </c>
      <c r="M27" s="36">
        <f>CAR_06!AK24</f>
        <v>0</v>
      </c>
      <c r="O27" s="38" t="s">
        <v>35</v>
      </c>
      <c r="P27" s="46">
        <f>CAR_07!H23</f>
        <v>0</v>
      </c>
      <c r="Q27" s="43">
        <f t="shared" si="6"/>
        <v>5000</v>
      </c>
      <c r="R27" s="35">
        <f>CAR_07!U24</f>
        <v>0</v>
      </c>
      <c r="S27" s="35">
        <f>CAR_07!AC24</f>
        <v>0</v>
      </c>
      <c r="T27" s="36">
        <f>CAR_07!AK24</f>
        <v>0</v>
      </c>
      <c r="V27" s="38" t="s">
        <v>35</v>
      </c>
      <c r="W27" s="46">
        <f>CAR_08!H23</f>
        <v>0</v>
      </c>
      <c r="X27" s="43">
        <f t="shared" si="7"/>
        <v>5000</v>
      </c>
      <c r="Y27" s="35">
        <f>CAR_08!U24</f>
        <v>0</v>
      </c>
      <c r="Z27" s="35">
        <f>CAR_08!AE24</f>
        <v>0</v>
      </c>
      <c r="AA27" s="36">
        <f>CAR_08!AN24</f>
        <v>0</v>
      </c>
    </row>
    <row r="28" spans="1:27" x14ac:dyDescent="0.25">
      <c r="A28" s="38" t="s">
        <v>36</v>
      </c>
      <c r="B28" s="46">
        <f>CAR_05!H27</f>
        <v>0</v>
      </c>
      <c r="C28" s="43">
        <f t="shared" si="4"/>
        <v>5000</v>
      </c>
      <c r="D28" s="35">
        <f>CAR_05!U28</f>
        <v>0</v>
      </c>
      <c r="E28" s="35">
        <f>CAR_05!AC28</f>
        <v>0</v>
      </c>
      <c r="F28" s="36">
        <f>CAR_05!AK28</f>
        <v>0</v>
      </c>
      <c r="H28" s="38" t="s">
        <v>36</v>
      </c>
      <c r="I28" s="46">
        <f>CAR_06!H27</f>
        <v>0</v>
      </c>
      <c r="J28" s="43">
        <f t="shared" si="5"/>
        <v>5000</v>
      </c>
      <c r="K28" s="35">
        <f>CAR_06!U28</f>
        <v>0</v>
      </c>
      <c r="L28" s="35">
        <f>CAR_06!AC28</f>
        <v>0</v>
      </c>
      <c r="M28" s="36">
        <f>CAR_06!AK28</f>
        <v>0</v>
      </c>
      <c r="O28" s="38" t="s">
        <v>36</v>
      </c>
      <c r="P28" s="46">
        <f>CAR_07!H27</f>
        <v>0</v>
      </c>
      <c r="Q28" s="43">
        <f t="shared" si="6"/>
        <v>5000</v>
      </c>
      <c r="R28" s="35">
        <f>CAR_07!U28</f>
        <v>0</v>
      </c>
      <c r="S28" s="35">
        <f>CAR_07!AC28</f>
        <v>0</v>
      </c>
      <c r="T28" s="36">
        <f>CAR_07!AK28</f>
        <v>0</v>
      </c>
      <c r="V28" s="38" t="s">
        <v>36</v>
      </c>
      <c r="W28" s="46">
        <f>CAR_08!H27</f>
        <v>0</v>
      </c>
      <c r="X28" s="43">
        <f t="shared" si="7"/>
        <v>5000</v>
      </c>
      <c r="Y28" s="35">
        <f>CAR_08!U28</f>
        <v>0</v>
      </c>
      <c r="Z28" s="35">
        <f>CAR_08!AE28</f>
        <v>0</v>
      </c>
      <c r="AA28" s="36">
        <f>CAR_08!AN28</f>
        <v>0</v>
      </c>
    </row>
    <row r="29" spans="1:27" x14ac:dyDescent="0.25">
      <c r="A29" s="38" t="s">
        <v>37</v>
      </c>
      <c r="B29" s="46">
        <f>CAR_05!H31</f>
        <v>0</v>
      </c>
      <c r="C29" s="43">
        <f t="shared" si="4"/>
        <v>5000</v>
      </c>
      <c r="D29" s="35">
        <f>CAR_05!U32</f>
        <v>0</v>
      </c>
      <c r="E29" s="35">
        <f>CAR_05!AC32</f>
        <v>0</v>
      </c>
      <c r="F29" s="36">
        <f>CAR_05!AK32</f>
        <v>0</v>
      </c>
      <c r="H29" s="38" t="s">
        <v>37</v>
      </c>
      <c r="I29" s="46">
        <f>CAR_06!H31</f>
        <v>0</v>
      </c>
      <c r="J29" s="43">
        <f t="shared" si="5"/>
        <v>5000</v>
      </c>
      <c r="K29" s="35">
        <f>CAR_06!U32</f>
        <v>0</v>
      </c>
      <c r="L29" s="35">
        <f>CAR_06!AC32</f>
        <v>0</v>
      </c>
      <c r="M29" s="36">
        <f>CAR_06!AK32</f>
        <v>0</v>
      </c>
      <c r="O29" s="38" t="s">
        <v>37</v>
      </c>
      <c r="P29" s="46">
        <f>CAR_07!H31</f>
        <v>0</v>
      </c>
      <c r="Q29" s="43">
        <f t="shared" si="6"/>
        <v>5000</v>
      </c>
      <c r="R29" s="35">
        <f>CAR_07!U32</f>
        <v>0</v>
      </c>
      <c r="S29" s="35">
        <f>CAR_07!AC32</f>
        <v>0</v>
      </c>
      <c r="T29" s="36">
        <f>CAR_07!AK32</f>
        <v>0</v>
      </c>
      <c r="V29" s="38" t="s">
        <v>37</v>
      </c>
      <c r="W29" s="46">
        <f>CAR_08!H31</f>
        <v>0</v>
      </c>
      <c r="X29" s="43">
        <f t="shared" si="7"/>
        <v>5000</v>
      </c>
      <c r="Y29" s="35">
        <f>CAR_08!U32</f>
        <v>0</v>
      </c>
      <c r="Z29" s="35">
        <f>CAR_08!AE32</f>
        <v>0</v>
      </c>
      <c r="AA29" s="36">
        <f>CAR_08!AN32</f>
        <v>0</v>
      </c>
    </row>
    <row r="30" spans="1:27" x14ac:dyDescent="0.25">
      <c r="A30" s="38" t="s">
        <v>38</v>
      </c>
      <c r="B30" s="46">
        <f>CAR_05!H35</f>
        <v>0</v>
      </c>
      <c r="C30" s="43">
        <f t="shared" si="4"/>
        <v>5000</v>
      </c>
      <c r="D30" s="35">
        <f>CAR_05!U36</f>
        <v>0</v>
      </c>
      <c r="E30" s="35">
        <f>CAR_05!AC36</f>
        <v>0</v>
      </c>
      <c r="F30" s="36">
        <f>CAR_05!AK36</f>
        <v>0</v>
      </c>
      <c r="H30" s="38" t="s">
        <v>38</v>
      </c>
      <c r="I30" s="46">
        <f>CAR_06!H35</f>
        <v>0</v>
      </c>
      <c r="J30" s="43">
        <f t="shared" si="5"/>
        <v>5000</v>
      </c>
      <c r="K30" s="35">
        <f>CAR_06!U36</f>
        <v>0</v>
      </c>
      <c r="L30" s="35">
        <f>CAR_06!AC36</f>
        <v>0</v>
      </c>
      <c r="M30" s="36">
        <f>CAR_06!AK36</f>
        <v>0</v>
      </c>
      <c r="O30" s="38" t="s">
        <v>38</v>
      </c>
      <c r="P30" s="46">
        <f>CAR_07!H35</f>
        <v>0</v>
      </c>
      <c r="Q30" s="43">
        <f t="shared" si="6"/>
        <v>5000</v>
      </c>
      <c r="R30" s="35">
        <f>CAR_07!U36</f>
        <v>0</v>
      </c>
      <c r="S30" s="35">
        <f>CAR_07!AC36</f>
        <v>0</v>
      </c>
      <c r="T30" s="36">
        <f>CAR_07!AK36</f>
        <v>0</v>
      </c>
      <c r="V30" s="38" t="s">
        <v>38</v>
      </c>
      <c r="W30" s="46">
        <f>CAR_08!H35</f>
        <v>0</v>
      </c>
      <c r="X30" s="43">
        <f t="shared" si="7"/>
        <v>5000</v>
      </c>
      <c r="Y30" s="35">
        <f>CAR_08!U36</f>
        <v>0</v>
      </c>
      <c r="Z30" s="35">
        <f>CAR_08!AE36</f>
        <v>0</v>
      </c>
      <c r="AA30" s="36">
        <f>CAR_08!AN36</f>
        <v>0</v>
      </c>
    </row>
    <row r="31" spans="1:27" x14ac:dyDescent="0.25">
      <c r="A31" s="38" t="s">
        <v>39</v>
      </c>
      <c r="B31" s="46">
        <f>CAR_05!H39</f>
        <v>0</v>
      </c>
      <c r="C31" s="43">
        <f t="shared" si="4"/>
        <v>5000</v>
      </c>
      <c r="D31" s="35">
        <f>CAR_05!U40</f>
        <v>0</v>
      </c>
      <c r="E31" s="35">
        <f>CAR_05!AC40</f>
        <v>0</v>
      </c>
      <c r="F31" s="36">
        <f>CAR_05!AK4</f>
        <v>0</v>
      </c>
      <c r="H31" s="38" t="s">
        <v>39</v>
      </c>
      <c r="I31" s="46">
        <f>CAR_06!H39</f>
        <v>0</v>
      </c>
      <c r="J31" s="43">
        <f t="shared" si="5"/>
        <v>5000</v>
      </c>
      <c r="K31" s="35">
        <f>CAR_06!U40</f>
        <v>0</v>
      </c>
      <c r="L31" s="35">
        <f>CAR_06!AC40</f>
        <v>0</v>
      </c>
      <c r="M31" s="36">
        <f>CAR_06!AK40</f>
        <v>0</v>
      </c>
      <c r="O31" s="38" t="s">
        <v>39</v>
      </c>
      <c r="P31" s="46">
        <f>CAR_07!H39</f>
        <v>0</v>
      </c>
      <c r="Q31" s="43">
        <f t="shared" si="6"/>
        <v>5000</v>
      </c>
      <c r="R31" s="35">
        <f>CAR_07!U40</f>
        <v>0</v>
      </c>
      <c r="S31" s="35">
        <f>CAR_07!AC40</f>
        <v>0</v>
      </c>
      <c r="T31" s="36">
        <f>CAR_07!AK40</f>
        <v>0</v>
      </c>
      <c r="V31" s="38" t="s">
        <v>39</v>
      </c>
      <c r="W31" s="46">
        <f>CAR_08!H39</f>
        <v>0</v>
      </c>
      <c r="X31" s="43">
        <f t="shared" si="7"/>
        <v>5000</v>
      </c>
      <c r="Y31" s="35">
        <f>CAR_08!U40</f>
        <v>0</v>
      </c>
      <c r="Z31" s="35">
        <f>CAR_08!AE40</f>
        <v>0</v>
      </c>
      <c r="AA31" s="36">
        <f>CAR_08!AN40</f>
        <v>0</v>
      </c>
    </row>
    <row r="32" spans="1:27" x14ac:dyDescent="0.25">
      <c r="A32" s="38" t="s">
        <v>40</v>
      </c>
      <c r="B32" s="46">
        <f>CAR_05!H43</f>
        <v>0</v>
      </c>
      <c r="C32" s="43">
        <f t="shared" si="4"/>
        <v>5000</v>
      </c>
      <c r="D32" s="35">
        <f>CAR_05!U44</f>
        <v>0</v>
      </c>
      <c r="E32" s="35">
        <f>CAR_05!AC44</f>
        <v>0</v>
      </c>
      <c r="F32" s="36">
        <f>CAR_05!AK44</f>
        <v>0</v>
      </c>
      <c r="H32" s="38" t="s">
        <v>40</v>
      </c>
      <c r="I32" s="46">
        <f>CAR_06!H43</f>
        <v>0</v>
      </c>
      <c r="J32" s="43">
        <f t="shared" si="5"/>
        <v>5000</v>
      </c>
      <c r="K32" s="35">
        <f>CAR_06!U44</f>
        <v>0</v>
      </c>
      <c r="L32" s="35">
        <f>CAR_06!AC44</f>
        <v>0</v>
      </c>
      <c r="M32" s="36">
        <f>CAR_06!AK44</f>
        <v>0</v>
      </c>
      <c r="O32" s="38" t="s">
        <v>40</v>
      </c>
      <c r="P32" s="46">
        <f>CAR_07!H43</f>
        <v>0</v>
      </c>
      <c r="Q32" s="43">
        <f t="shared" si="6"/>
        <v>5000</v>
      </c>
      <c r="R32" s="35">
        <f>CAR_07!U44</f>
        <v>0</v>
      </c>
      <c r="S32" s="35">
        <f>CAR_07!AC44</f>
        <v>0</v>
      </c>
      <c r="T32" s="36">
        <f>CAR_07!AK44</f>
        <v>0</v>
      </c>
      <c r="V32" s="38" t="s">
        <v>40</v>
      </c>
      <c r="W32" s="46">
        <f>CAR_08!H43</f>
        <v>0</v>
      </c>
      <c r="X32" s="43">
        <f t="shared" si="7"/>
        <v>5000</v>
      </c>
      <c r="Y32" s="35">
        <f>CAR_08!U44</f>
        <v>0</v>
      </c>
      <c r="Z32" s="35">
        <f>CAR_08!AE44</f>
        <v>0</v>
      </c>
      <c r="AA32" s="36">
        <f>CAR_08!AN44</f>
        <v>0</v>
      </c>
    </row>
    <row r="33" spans="1:27" x14ac:dyDescent="0.25">
      <c r="A33" s="38" t="s">
        <v>41</v>
      </c>
      <c r="B33" s="46">
        <f>CAR_05!H47</f>
        <v>0</v>
      </c>
      <c r="C33" s="43">
        <f t="shared" si="4"/>
        <v>5000</v>
      </c>
      <c r="D33" s="35">
        <f>CAR_05!U48</f>
        <v>0</v>
      </c>
      <c r="E33" s="35">
        <f>CAR_05!AC48</f>
        <v>0</v>
      </c>
      <c r="F33" s="36">
        <f>CAR_05!AK48</f>
        <v>0</v>
      </c>
      <c r="H33" s="38" t="s">
        <v>41</v>
      </c>
      <c r="I33" s="46">
        <f>CAR_06!H47</f>
        <v>0</v>
      </c>
      <c r="J33" s="43">
        <f t="shared" si="5"/>
        <v>5000</v>
      </c>
      <c r="K33" s="35">
        <f>CAR_06!U48</f>
        <v>0</v>
      </c>
      <c r="L33" s="35">
        <f>CAR_06!AC48</f>
        <v>0</v>
      </c>
      <c r="M33" s="36">
        <f>CAR_06!AK48</f>
        <v>0</v>
      </c>
      <c r="O33" s="38" t="s">
        <v>41</v>
      </c>
      <c r="P33" s="46">
        <f>CAR_07!H47</f>
        <v>0</v>
      </c>
      <c r="Q33" s="43">
        <f t="shared" si="6"/>
        <v>5000</v>
      </c>
      <c r="R33" s="35">
        <f>CAR_07!U48</f>
        <v>0</v>
      </c>
      <c r="S33" s="35">
        <f>CAR_07!AC48</f>
        <v>0</v>
      </c>
      <c r="T33" s="36">
        <f>CAR_07!AK48</f>
        <v>0</v>
      </c>
      <c r="V33" s="38" t="s">
        <v>41</v>
      </c>
      <c r="W33" s="46">
        <f>CAR_08!H47</f>
        <v>0</v>
      </c>
      <c r="X33" s="43">
        <f t="shared" si="7"/>
        <v>5000</v>
      </c>
      <c r="Y33" s="35">
        <f>CAR_08!U48</f>
        <v>0</v>
      </c>
      <c r="Z33" s="35">
        <f>CAR_08!AE48</f>
        <v>0</v>
      </c>
      <c r="AA33" s="36">
        <f>CAR_08!AN48</f>
        <v>0</v>
      </c>
    </row>
    <row r="34" spans="1:27" ht="15.75" thickBot="1" x14ac:dyDescent="0.3">
      <c r="A34" s="39" t="s">
        <v>42</v>
      </c>
      <c r="B34" s="47">
        <f>CAR_05!H51</f>
        <v>0</v>
      </c>
      <c r="C34" s="44">
        <f t="shared" si="4"/>
        <v>5000</v>
      </c>
      <c r="D34" s="11">
        <f>CAR_05!U52</f>
        <v>0</v>
      </c>
      <c r="E34" s="11">
        <f>CAR_05!AC52</f>
        <v>0</v>
      </c>
      <c r="F34" s="12">
        <f>CAR_05!AK52</f>
        <v>0</v>
      </c>
      <c r="H34" s="39" t="s">
        <v>42</v>
      </c>
      <c r="I34" s="47">
        <f>CAR_06!H51</f>
        <v>0</v>
      </c>
      <c r="J34" s="44">
        <f t="shared" si="5"/>
        <v>5000</v>
      </c>
      <c r="K34" s="11">
        <f>CAR_06!U52</f>
        <v>0</v>
      </c>
      <c r="L34" s="11">
        <f>CAR_06!AC52</f>
        <v>0</v>
      </c>
      <c r="M34" s="12">
        <f>CAR_06!AK52</f>
        <v>0</v>
      </c>
      <c r="O34" s="39" t="s">
        <v>42</v>
      </c>
      <c r="P34" s="47">
        <f>CAR_07!H51</f>
        <v>0</v>
      </c>
      <c r="Q34" s="44">
        <f t="shared" si="6"/>
        <v>5000</v>
      </c>
      <c r="R34" s="11">
        <f>CAR_07!U52</f>
        <v>0</v>
      </c>
      <c r="S34" s="11">
        <f>CAR_07!AC52</f>
        <v>0</v>
      </c>
      <c r="T34" s="12">
        <f>CAR_07!AK52</f>
        <v>0</v>
      </c>
      <c r="V34" s="39" t="s">
        <v>42</v>
      </c>
      <c r="W34" s="47">
        <f>CAR_08!H51</f>
        <v>0</v>
      </c>
      <c r="X34" s="44">
        <f t="shared" si="7"/>
        <v>5000</v>
      </c>
      <c r="Y34" s="11">
        <f>CAR_08!U52</f>
        <v>0</v>
      </c>
      <c r="Z34" s="11">
        <f>CAR_08!AE52</f>
        <v>0</v>
      </c>
      <c r="AA34" s="12">
        <f>CAR_08!AN52</f>
        <v>0</v>
      </c>
    </row>
    <row r="35" spans="1:27" ht="15.75" thickBot="1" x14ac:dyDescent="0.3"/>
    <row r="36" spans="1:27" ht="15.75" thickBot="1" x14ac:dyDescent="0.3">
      <c r="A36" s="3" t="s">
        <v>23</v>
      </c>
      <c r="B36" s="52">
        <f>SUM(B23:B34)</f>
        <v>0</v>
      </c>
      <c r="C36" s="51"/>
      <c r="D36" s="50">
        <f>SUM(D23:D34)</f>
        <v>0</v>
      </c>
      <c r="E36" s="49">
        <f>SUM(E23:E34)</f>
        <v>0</v>
      </c>
      <c r="F36" s="48">
        <f>SUM(F23:F34)</f>
        <v>0</v>
      </c>
      <c r="H36" s="3" t="s">
        <v>23</v>
      </c>
      <c r="I36" s="52">
        <f>SUM(I23:I34)</f>
        <v>0</v>
      </c>
      <c r="J36" s="51"/>
      <c r="K36" s="50">
        <f>SUM(K23:K34)</f>
        <v>0</v>
      </c>
      <c r="L36" s="49">
        <f>SUM(L23:L34)</f>
        <v>0</v>
      </c>
      <c r="M36" s="48">
        <f>SUM(M23:M34)</f>
        <v>0</v>
      </c>
      <c r="O36" s="3" t="s">
        <v>23</v>
      </c>
      <c r="P36" s="52">
        <f>SUM(P23:P34)</f>
        <v>0</v>
      </c>
      <c r="Q36" s="51"/>
      <c r="R36" s="50">
        <f>SUM(R23:R34)</f>
        <v>0</v>
      </c>
      <c r="S36" s="49">
        <f>SUM(S23:S34)</f>
        <v>0</v>
      </c>
      <c r="T36" s="48">
        <f>SUM(T23:T34)</f>
        <v>0</v>
      </c>
      <c r="V36" s="3" t="s">
        <v>23</v>
      </c>
      <c r="W36" s="52">
        <f>SUM(W23:W34)</f>
        <v>0</v>
      </c>
      <c r="X36" s="51"/>
      <c r="Y36" s="50">
        <f>SUM(Y23:Y34)</f>
        <v>0</v>
      </c>
      <c r="Z36" s="49">
        <f>SUM(Z23:Z34)</f>
        <v>0</v>
      </c>
      <c r="AA36" s="48">
        <f>SUM(AA23:AA34)</f>
        <v>0</v>
      </c>
    </row>
    <row r="37" spans="1:27" ht="15.75" thickBot="1" x14ac:dyDescent="0.3">
      <c r="A37" s="3" t="s">
        <v>44</v>
      </c>
      <c r="B37" s="23">
        <f>SUM(60000-B36)</f>
        <v>60000</v>
      </c>
      <c r="H37" s="3" t="s">
        <v>44</v>
      </c>
      <c r="I37" s="23">
        <f>SUM(60000-I36)</f>
        <v>60000</v>
      </c>
      <c r="O37" s="3" t="s">
        <v>44</v>
      </c>
      <c r="P37" s="23">
        <f>SUM(60000-P36)</f>
        <v>60000</v>
      </c>
      <c r="V37" s="3" t="s">
        <v>44</v>
      </c>
      <c r="W37" s="23">
        <f>SUM(60000-W36)</f>
        <v>60000</v>
      </c>
    </row>
    <row r="40" spans="1:27" ht="15.75" thickBot="1" x14ac:dyDescent="0.3">
      <c r="B40" s="78" t="s">
        <v>53</v>
      </c>
      <c r="C40" s="78"/>
      <c r="D40" s="78"/>
      <c r="E40" s="78"/>
      <c r="F40" s="78"/>
      <c r="I40" s="78" t="s">
        <v>54</v>
      </c>
      <c r="J40" s="78"/>
      <c r="K40" s="78"/>
      <c r="L40" s="78"/>
      <c r="M40" s="78"/>
      <c r="P40" s="78" t="s">
        <v>55</v>
      </c>
      <c r="Q40" s="78"/>
      <c r="R40" s="78"/>
      <c r="S40" s="78"/>
      <c r="T40" s="78"/>
      <c r="W40" s="78" t="s">
        <v>56</v>
      </c>
      <c r="X40" s="78"/>
      <c r="Y40" s="78"/>
      <c r="Z40" s="78"/>
      <c r="AA40" s="78"/>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CAR_09!H11</f>
        <v>0</v>
      </c>
      <c r="C43" s="43">
        <f>SUM(5000-B43)</f>
        <v>5000</v>
      </c>
      <c r="D43" s="35">
        <f>CAR_09!U12</f>
        <v>0</v>
      </c>
      <c r="E43" s="35">
        <f>CAR_09!AE12</f>
        <v>0</v>
      </c>
      <c r="F43" s="36">
        <f>CAR_09!AN12</f>
        <v>0</v>
      </c>
      <c r="H43" s="38" t="s">
        <v>32</v>
      </c>
      <c r="I43" s="46">
        <f>CAR_10!H11</f>
        <v>0</v>
      </c>
      <c r="J43" s="43">
        <f>SUM(5000-I43)</f>
        <v>5000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CAR_09!H15</f>
        <v>0</v>
      </c>
      <c r="C44" s="43">
        <f t="shared" ref="C44:C53" si="8">SUM(5000-B44)</f>
        <v>5000</v>
      </c>
      <c r="D44" s="35">
        <f>CAR_09!U16</f>
        <v>0</v>
      </c>
      <c r="E44" s="35">
        <f>CAR_09!AE16</f>
        <v>0</v>
      </c>
      <c r="F44" s="36">
        <f>CAR_09!AN16</f>
        <v>0</v>
      </c>
      <c r="H44" s="38" t="s">
        <v>33</v>
      </c>
      <c r="I44" s="46">
        <f>CAR_10!H15</f>
        <v>0</v>
      </c>
      <c r="J44" s="43">
        <f t="shared" ref="J44:J53" si="9">SUM(5000-I44)</f>
        <v>5000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CAR_09!H19</f>
        <v>0</v>
      </c>
      <c r="C45" s="43">
        <f t="shared" si="8"/>
        <v>5000</v>
      </c>
      <c r="D45" s="35">
        <f>CAR_09!U20</f>
        <v>0</v>
      </c>
      <c r="E45" s="35">
        <f>CAR_09!AE20</f>
        <v>0</v>
      </c>
      <c r="F45" s="36">
        <f>CAR_09!AN20</f>
        <v>0</v>
      </c>
      <c r="H45" s="38" t="s">
        <v>34</v>
      </c>
      <c r="I45" s="46">
        <f>CAR_10!H19</f>
        <v>0</v>
      </c>
      <c r="J45" s="43">
        <f t="shared" si="9"/>
        <v>5000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CAR_09!H23</f>
        <v>0</v>
      </c>
      <c r="C46" s="43">
        <f t="shared" si="8"/>
        <v>5000</v>
      </c>
      <c r="D46" s="35">
        <f>CAR_09!U24</f>
        <v>0</v>
      </c>
      <c r="E46" s="35">
        <f>CAR_09!AE24</f>
        <v>0</v>
      </c>
      <c r="F46" s="36">
        <f>CAR_09!AN24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CAR_09!H27</f>
        <v>0</v>
      </c>
      <c r="C47" s="43">
        <f t="shared" si="8"/>
        <v>5000</v>
      </c>
      <c r="D47" s="35">
        <f>CAR_09!U28</f>
        <v>0</v>
      </c>
      <c r="E47" s="35">
        <f>CAR_09!AE28</f>
        <v>0</v>
      </c>
      <c r="F47" s="36">
        <f>CAR_09!AN28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CAR_09!H31</f>
        <v>0</v>
      </c>
      <c r="C48" s="43">
        <f t="shared" si="8"/>
        <v>5000</v>
      </c>
      <c r="D48" s="35">
        <f>CAR_09!U32</f>
        <v>0</v>
      </c>
      <c r="E48" s="35">
        <f>CAR_09!AE32</f>
        <v>0</v>
      </c>
      <c r="F48" s="36">
        <f>CAR_09!AN32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CAR_09!H35</f>
        <v>0</v>
      </c>
      <c r="C49" s="43">
        <f t="shared" si="8"/>
        <v>5000</v>
      </c>
      <c r="D49" s="35">
        <f>CAR_09!U36</f>
        <v>0</v>
      </c>
      <c r="E49" s="35">
        <f>CAR_09!AE36</f>
        <v>0</v>
      </c>
      <c r="F49" s="36">
        <f>CAR_09!AN36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CAR_09!H39</f>
        <v>0</v>
      </c>
      <c r="C50" s="43">
        <f t="shared" si="8"/>
        <v>5000</v>
      </c>
      <c r="D50" s="35">
        <f>CAR_09!U40</f>
        <v>0</v>
      </c>
      <c r="E50" s="35">
        <f>CAR_09!AE40</f>
        <v>0</v>
      </c>
      <c r="F50" s="36">
        <f>CAR_09!AN40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CAR_09!H43</f>
        <v>0</v>
      </c>
      <c r="C51" s="43">
        <f t="shared" si="8"/>
        <v>5000</v>
      </c>
      <c r="D51" s="35">
        <f>CAR_09!U44</f>
        <v>0</v>
      </c>
      <c r="E51" s="35">
        <f>CAR_09!AE44</f>
        <v>0</v>
      </c>
      <c r="F51" s="36">
        <f>CAR_09!AN44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CAR_09!H47</f>
        <v>0</v>
      </c>
      <c r="C52" s="43">
        <f t="shared" si="8"/>
        <v>5000</v>
      </c>
      <c r="D52" s="35">
        <f>CAR_09!U48</f>
        <v>0</v>
      </c>
      <c r="E52" s="35">
        <f>CAR_09!AE48</f>
        <v>0</v>
      </c>
      <c r="F52" s="36">
        <f>CAR_09!AN48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CAR_09!H51</f>
        <v>0</v>
      </c>
      <c r="C53" s="44">
        <f t="shared" si="8"/>
        <v>5000</v>
      </c>
      <c r="D53" s="11">
        <f>CAR_09!U52</f>
        <v>0</v>
      </c>
      <c r="E53" s="11">
        <f>CAR_09!AE52</f>
        <v>0</v>
      </c>
      <c r="F53" s="12">
        <f>CAR_09!AN52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0</v>
      </c>
      <c r="C55" s="51"/>
      <c r="D55" s="50">
        <f>SUM(D42:D53)</f>
        <v>0</v>
      </c>
      <c r="E55" s="49">
        <f>SUM(E42:E53)</f>
        <v>0</v>
      </c>
      <c r="F55" s="48">
        <f>SUM(F42:F53)</f>
        <v>0</v>
      </c>
      <c r="H55" s="3" t="s">
        <v>23</v>
      </c>
      <c r="I55" s="52">
        <f>SUM(I42:I53)</f>
        <v>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60000</v>
      </c>
      <c r="H56" s="3" t="s">
        <v>44</v>
      </c>
      <c r="I56" s="23">
        <f>SUM(60000-I55)</f>
        <v>60000</v>
      </c>
      <c r="O56" s="3" t="s">
        <v>44</v>
      </c>
      <c r="P56" s="23">
        <f>SUM(60000-P55)</f>
        <v>60000</v>
      </c>
      <c r="V56" s="3" t="s">
        <v>44</v>
      </c>
      <c r="W56" s="23">
        <f>SUM(60000-W55)</f>
        <v>60000</v>
      </c>
    </row>
    <row r="59" spans="1:27" ht="15.75" thickBot="1" x14ac:dyDescent="0.3">
      <c r="B59" s="78" t="s">
        <v>57</v>
      </c>
      <c r="C59" s="78"/>
      <c r="D59" s="78"/>
      <c r="E59" s="78"/>
      <c r="F59" s="78"/>
      <c r="I59" s="78" t="s">
        <v>58</v>
      </c>
      <c r="J59" s="78"/>
      <c r="K59" s="78"/>
      <c r="L59" s="78"/>
      <c r="M59" s="78"/>
      <c r="P59" s="78" t="s">
        <v>59</v>
      </c>
      <c r="Q59" s="78"/>
      <c r="R59" s="78"/>
      <c r="S59" s="78"/>
      <c r="T59" s="78"/>
      <c r="W59" s="78" t="s">
        <v>60</v>
      </c>
      <c r="X59" s="78"/>
      <c r="Y59" s="78"/>
      <c r="Z59" s="78"/>
      <c r="AA59" s="78"/>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78" t="s">
        <v>61</v>
      </c>
      <c r="C78" s="78"/>
      <c r="D78" s="78"/>
      <c r="E78" s="78"/>
      <c r="F78" s="78"/>
      <c r="I78" s="78" t="s">
        <v>62</v>
      </c>
      <c r="J78" s="78"/>
      <c r="K78" s="78"/>
      <c r="L78" s="78"/>
      <c r="M78" s="78"/>
      <c r="P78" s="78" t="s">
        <v>63</v>
      </c>
      <c r="Q78" s="78"/>
      <c r="R78" s="78"/>
      <c r="S78" s="78"/>
      <c r="T78" s="78"/>
      <c r="W78" s="78" t="s">
        <v>64</v>
      </c>
      <c r="X78" s="78"/>
      <c r="Y78" s="78"/>
      <c r="Z78" s="78"/>
      <c r="AA78" s="78"/>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78" t="s">
        <v>65</v>
      </c>
      <c r="C96" s="78"/>
      <c r="D96" s="78"/>
      <c r="E96" s="78"/>
      <c r="F96" s="78"/>
      <c r="I96" s="78" t="s">
        <v>66</v>
      </c>
      <c r="J96" s="78"/>
      <c r="K96" s="78"/>
      <c r="L96" s="78"/>
      <c r="M96" s="78"/>
      <c r="P96" s="78" t="s">
        <v>67</v>
      </c>
      <c r="Q96" s="78"/>
      <c r="R96" s="78"/>
      <c r="S96" s="78"/>
      <c r="T96" s="78"/>
      <c r="W96" s="78" t="s">
        <v>68</v>
      </c>
      <c r="X96" s="78"/>
      <c r="Y96" s="78"/>
      <c r="Z96" s="78"/>
      <c r="AA96" s="78"/>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78" t="s">
        <v>51</v>
      </c>
      <c r="C114" s="78"/>
      <c r="D114" s="78"/>
      <c r="E114" s="78"/>
      <c r="F114" s="78"/>
      <c r="I114" s="78" t="s">
        <v>50</v>
      </c>
      <c r="J114" s="78"/>
      <c r="K114" s="78"/>
      <c r="L114" s="78"/>
      <c r="M114" s="78"/>
      <c r="P114" s="78" t="s">
        <v>49</v>
      </c>
      <c r="Q114" s="78"/>
      <c r="R114" s="78"/>
      <c r="S114" s="78"/>
      <c r="T114" s="78"/>
      <c r="W114" s="78" t="s">
        <v>48</v>
      </c>
      <c r="X114" s="78"/>
      <c r="Y114" s="78"/>
      <c r="Z114" s="78"/>
      <c r="AA114" s="78"/>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78" t="s">
        <v>47</v>
      </c>
      <c r="C132" s="78"/>
      <c r="D132" s="78"/>
      <c r="E132" s="78"/>
      <c r="F132" s="78"/>
      <c r="I132" s="78" t="s">
        <v>46</v>
      </c>
      <c r="J132" s="78"/>
      <c r="K132" s="78"/>
      <c r="L132" s="78"/>
      <c r="M132" s="78"/>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R76"/>
  <sheetViews>
    <sheetView showGridLines="0" tabSelected="1" topLeftCell="A55" workbookViewId="0">
      <selection activeCell="I87" sqref="I87"/>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15" max="19" width="10.5703125" bestFit="1" customWidth="1"/>
    <col min="20" max="22" width="10.5703125" customWidth="1"/>
    <col min="23" max="23" width="10.5703125" bestFit="1" customWidth="1"/>
    <col min="24" max="25" width="10.5703125" customWidth="1"/>
    <col min="26" max="26" width="12.140625" bestFit="1" customWidth="1"/>
    <col min="27" max="28" width="10.5703125" bestFit="1" customWidth="1"/>
    <col min="31" max="32" width="10.42578125" bestFit="1" customWidth="1"/>
    <col min="34" max="34" width="10.5703125" bestFit="1" customWidth="1"/>
    <col min="36" max="36" width="12.140625" bestFit="1" customWidth="1"/>
    <col min="39" max="39" width="10.42578125" bestFit="1" customWidth="1"/>
    <col min="41" max="41" width="10.140625" bestFit="1" customWidth="1"/>
    <col min="42" max="42" width="13.28515625" bestFit="1" customWidth="1"/>
    <col min="43" max="43" width="10.140625" bestFit="1" customWidth="1"/>
    <col min="44" max="44" width="13.28515625" bestFit="1" customWidth="1"/>
  </cols>
  <sheetData>
    <row r="2" spans="1:44" x14ac:dyDescent="0.25">
      <c r="A2" t="s">
        <v>0</v>
      </c>
      <c r="B2" s="75" t="s">
        <v>83</v>
      </c>
      <c r="C2" s="75"/>
      <c r="D2" s="1" t="s">
        <v>1</v>
      </c>
      <c r="E2" s="75" t="s">
        <v>84</v>
      </c>
      <c r="F2" s="75"/>
      <c r="H2" t="s">
        <v>85</v>
      </c>
      <c r="I2" s="69">
        <v>6000</v>
      </c>
    </row>
    <row r="3" spans="1:44" x14ac:dyDescent="0.25">
      <c r="A3" t="s">
        <v>80</v>
      </c>
      <c r="B3" s="75"/>
      <c r="C3" s="75"/>
      <c r="D3" s="1" t="s">
        <v>1</v>
      </c>
      <c r="E3" s="75"/>
      <c r="F3" s="75"/>
      <c r="H3" t="s">
        <v>81</v>
      </c>
      <c r="I3" s="54"/>
    </row>
    <row r="4" spans="1:44" x14ac:dyDescent="0.25">
      <c r="A4" t="s">
        <v>2</v>
      </c>
      <c r="B4" s="76">
        <v>3314.42</v>
      </c>
      <c r="C4" s="76"/>
      <c r="D4" s="1" t="s">
        <v>29</v>
      </c>
      <c r="E4" s="85">
        <v>45</v>
      </c>
      <c r="F4" s="85"/>
      <c r="H4" t="s">
        <v>70</v>
      </c>
      <c r="I4" s="67">
        <v>45852</v>
      </c>
    </row>
    <row r="7" spans="1:44" ht="21" x14ac:dyDescent="0.35">
      <c r="A7" s="79" t="s">
        <v>28</v>
      </c>
      <c r="B7" s="79"/>
      <c r="C7" s="79"/>
      <c r="D7" s="79"/>
      <c r="E7" s="79"/>
      <c r="F7" s="79"/>
      <c r="G7" s="79"/>
      <c r="H7" s="79"/>
      <c r="J7" s="78" t="s">
        <v>26</v>
      </c>
      <c r="K7" s="78"/>
      <c r="L7" s="78"/>
      <c r="M7" s="78"/>
      <c r="N7" s="78"/>
      <c r="O7" s="78"/>
      <c r="P7" s="78"/>
      <c r="Q7" s="78"/>
      <c r="R7" s="78"/>
      <c r="S7" s="78"/>
      <c r="T7" s="78"/>
      <c r="U7" s="78"/>
      <c r="V7" s="78"/>
      <c r="W7" s="78"/>
      <c r="X7" s="78"/>
      <c r="Y7" s="78"/>
      <c r="Z7" s="78"/>
      <c r="AA7" s="2"/>
      <c r="AB7" s="2"/>
      <c r="AC7" s="2"/>
      <c r="AD7" s="83" t="s">
        <v>25</v>
      </c>
      <c r="AE7" s="83"/>
      <c r="AF7" s="83"/>
      <c r="AG7" s="83"/>
      <c r="AH7" s="83"/>
      <c r="AI7" s="83"/>
      <c r="AJ7" s="83"/>
      <c r="AK7" s="2"/>
      <c r="AL7" s="83" t="s">
        <v>27</v>
      </c>
      <c r="AM7" s="83"/>
      <c r="AN7" s="83"/>
      <c r="AO7" s="83"/>
      <c r="AP7" s="83"/>
      <c r="AQ7" s="83"/>
      <c r="AR7" s="83"/>
    </row>
    <row r="8" spans="1:44" s="15" customFormat="1" ht="22.5" customHeight="1" x14ac:dyDescent="0.35">
      <c r="A8" s="14"/>
      <c r="B8" s="14"/>
      <c r="C8" s="14"/>
      <c r="D8" s="14"/>
      <c r="E8" s="14"/>
      <c r="F8" s="14"/>
      <c r="G8" s="14"/>
      <c r="H8" s="14"/>
      <c r="J8" s="16"/>
      <c r="K8" s="16"/>
      <c r="L8" s="16"/>
      <c r="M8" s="16"/>
      <c r="N8" s="16"/>
      <c r="O8" s="16"/>
      <c r="P8" s="16"/>
      <c r="Q8" s="16"/>
      <c r="R8" s="16"/>
      <c r="S8" s="16"/>
      <c r="T8" s="16"/>
      <c r="U8" s="16"/>
      <c r="V8" s="16"/>
      <c r="W8" s="16"/>
      <c r="X8" s="16"/>
      <c r="Y8" s="16"/>
      <c r="Z8" s="16"/>
      <c r="AA8" s="17"/>
      <c r="AB8" s="17"/>
      <c r="AC8" s="17"/>
      <c r="AD8" s="18"/>
      <c r="AE8" s="18"/>
      <c r="AF8" s="18"/>
      <c r="AG8" s="18"/>
      <c r="AH8" s="18"/>
      <c r="AI8" s="18"/>
      <c r="AJ8" s="18"/>
      <c r="AK8" s="17"/>
      <c r="AL8" s="18"/>
      <c r="AM8" s="18"/>
      <c r="AN8" s="18"/>
      <c r="AO8" s="18"/>
      <c r="AP8" s="18"/>
      <c r="AQ8" s="18"/>
      <c r="AR8" s="18"/>
    </row>
    <row r="9" spans="1:44" ht="15.75" thickBot="1" x14ac:dyDescent="0.3">
      <c r="A9" s="19"/>
      <c r="B9" s="81" t="s">
        <v>3</v>
      </c>
      <c r="C9" s="81"/>
      <c r="D9" s="81"/>
      <c r="E9" s="81"/>
      <c r="F9" s="81"/>
      <c r="G9" s="81"/>
      <c r="H9" s="81"/>
      <c r="J9" s="77" t="s">
        <v>3</v>
      </c>
      <c r="K9" s="77"/>
      <c r="L9" s="77"/>
      <c r="M9" s="77"/>
      <c r="N9" s="77"/>
      <c r="O9" s="77"/>
      <c r="P9" s="77"/>
      <c r="Q9" s="77"/>
      <c r="R9" s="77"/>
      <c r="S9" s="77"/>
      <c r="T9" s="77"/>
      <c r="U9" s="77"/>
      <c r="V9" s="77"/>
      <c r="W9" s="77"/>
      <c r="X9" s="77"/>
      <c r="Y9" s="77"/>
      <c r="Z9" s="77"/>
      <c r="AD9" s="82" t="s">
        <v>3</v>
      </c>
      <c r="AE9" s="82"/>
      <c r="AF9" s="82"/>
      <c r="AG9" s="82"/>
      <c r="AH9" s="82"/>
      <c r="AI9" s="82"/>
      <c r="AJ9" s="82"/>
      <c r="AL9" s="84" t="s">
        <v>3</v>
      </c>
      <c r="AM9" s="84"/>
      <c r="AN9" s="84"/>
      <c r="AO9" s="84"/>
      <c r="AP9" s="84"/>
      <c r="AQ9" s="84"/>
      <c r="AR9" s="84"/>
    </row>
    <row r="10" spans="1:44" ht="15.75" thickBot="1" x14ac:dyDescent="0.3">
      <c r="A10" s="80"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4"/>
      <c r="V10" s="4"/>
      <c r="W10" s="4"/>
      <c r="X10" s="70"/>
      <c r="Y10" s="70"/>
      <c r="Z10" s="5"/>
      <c r="AD10" s="6" t="s">
        <v>4</v>
      </c>
      <c r="AE10" s="9"/>
      <c r="AF10" s="4"/>
      <c r="AG10" s="4"/>
      <c r="AH10" s="4"/>
      <c r="AI10" s="4"/>
      <c r="AJ10" s="5"/>
      <c r="AL10" s="6" t="s">
        <v>4</v>
      </c>
      <c r="AM10" s="9"/>
      <c r="AN10" s="4"/>
      <c r="AO10" s="4"/>
      <c r="AP10" s="4"/>
      <c r="AQ10" s="4"/>
      <c r="AR10" s="5"/>
    </row>
    <row r="11" spans="1:44"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1"/>
      <c r="V11" s="11"/>
      <c r="W11" s="11"/>
      <c r="X11" s="71"/>
      <c r="Y11" s="71"/>
      <c r="Z11" s="12"/>
      <c r="AD11" s="7" t="s">
        <v>22</v>
      </c>
      <c r="AE11" s="10"/>
      <c r="AF11" s="11"/>
      <c r="AG11" s="11"/>
      <c r="AH11" s="11"/>
      <c r="AI11" s="11"/>
      <c r="AJ11" s="12"/>
      <c r="AL11" s="7" t="s">
        <v>22</v>
      </c>
      <c r="AM11" s="10"/>
      <c r="AN11" s="11"/>
      <c r="AO11" s="11"/>
      <c r="AP11" s="11"/>
      <c r="AQ11" s="11"/>
      <c r="AR11" s="12"/>
    </row>
    <row r="12" spans="1:44" x14ac:dyDescent="0.25">
      <c r="J12" s="8"/>
      <c r="W12" s="8" t="s">
        <v>23</v>
      </c>
      <c r="X12" s="8"/>
      <c r="Y12" s="8"/>
      <c r="Z12" s="13">
        <f>SUM(K11:Z11)</f>
        <v>0</v>
      </c>
      <c r="AI12" s="8" t="s">
        <v>23</v>
      </c>
      <c r="AJ12" s="13">
        <f>SUM(AE11:AJ11)</f>
        <v>0</v>
      </c>
      <c r="AQ12" s="8" t="s">
        <v>23</v>
      </c>
      <c r="AR12" s="13">
        <f>SUM(AM11:AR11)</f>
        <v>0</v>
      </c>
    </row>
    <row r="13" spans="1:44" ht="15.75" thickBot="1" x14ac:dyDescent="0.3">
      <c r="A13" s="19"/>
      <c r="B13" s="81" t="s">
        <v>13</v>
      </c>
      <c r="C13" s="81"/>
      <c r="D13" s="81"/>
      <c r="E13" s="81"/>
      <c r="F13" s="81"/>
      <c r="G13" s="81"/>
      <c r="H13" s="81"/>
      <c r="J13" s="77" t="s">
        <v>13</v>
      </c>
      <c r="K13" s="77"/>
      <c r="L13" s="77"/>
      <c r="M13" s="77"/>
      <c r="N13" s="77"/>
      <c r="O13" s="77"/>
      <c r="P13" s="77"/>
      <c r="Q13" s="77"/>
      <c r="R13" s="77"/>
      <c r="S13" s="77"/>
      <c r="T13" s="77"/>
      <c r="U13" s="77"/>
      <c r="V13" s="77"/>
      <c r="W13" s="77"/>
      <c r="X13" s="77"/>
      <c r="Y13" s="77"/>
      <c r="Z13" s="77"/>
      <c r="AD13" s="82" t="str">
        <f>J13</f>
        <v>Março</v>
      </c>
      <c r="AE13" s="82"/>
      <c r="AF13" s="82"/>
      <c r="AG13" s="82"/>
      <c r="AH13" s="82"/>
      <c r="AI13" s="82"/>
      <c r="AJ13" s="82"/>
      <c r="AL13" s="84" t="str">
        <f>AD13</f>
        <v>Março</v>
      </c>
      <c r="AM13" s="84"/>
      <c r="AN13" s="84"/>
      <c r="AO13" s="84"/>
      <c r="AP13" s="84"/>
      <c r="AQ13" s="84"/>
      <c r="AR13" s="84"/>
    </row>
    <row r="14" spans="1:44" ht="15.75" thickBot="1" x14ac:dyDescent="0.3">
      <c r="A14" s="80"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4"/>
      <c r="V14" s="4"/>
      <c r="W14" s="4"/>
      <c r="X14" s="70"/>
      <c r="Y14" s="70"/>
      <c r="Z14" s="5"/>
      <c r="AD14" s="6" t="s">
        <v>4</v>
      </c>
      <c r="AE14" s="9"/>
      <c r="AF14" s="4"/>
      <c r="AG14" s="4"/>
      <c r="AH14" s="4"/>
      <c r="AI14" s="4"/>
      <c r="AJ14" s="5"/>
      <c r="AL14" s="6" t="s">
        <v>4</v>
      </c>
      <c r="AM14" s="9"/>
      <c r="AN14" s="4"/>
      <c r="AO14" s="4"/>
      <c r="AP14" s="4"/>
      <c r="AQ14" s="4"/>
      <c r="AR14" s="5"/>
    </row>
    <row r="15" spans="1:44"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1"/>
      <c r="V15" s="11"/>
      <c r="W15" s="11"/>
      <c r="X15" s="71"/>
      <c r="Y15" s="71"/>
      <c r="Z15" s="12"/>
      <c r="AD15" s="7" t="s">
        <v>22</v>
      </c>
      <c r="AE15" s="10"/>
      <c r="AF15" s="11"/>
      <c r="AG15" s="11"/>
      <c r="AH15" s="11"/>
      <c r="AI15" s="11"/>
      <c r="AJ15" s="12"/>
      <c r="AL15" s="7" t="s">
        <v>22</v>
      </c>
      <c r="AM15" s="10"/>
      <c r="AN15" s="11"/>
      <c r="AO15" s="11"/>
      <c r="AP15" s="11"/>
      <c r="AQ15" s="11"/>
      <c r="AR15" s="12"/>
    </row>
    <row r="16" spans="1:44" x14ac:dyDescent="0.25">
      <c r="J16" s="8"/>
      <c r="W16" s="8" t="s">
        <v>23</v>
      </c>
      <c r="X16" s="8"/>
      <c r="Y16" s="8"/>
      <c r="Z16" s="13">
        <f>SUM(K15:Z15)</f>
        <v>0</v>
      </c>
      <c r="AI16" s="8" t="s">
        <v>23</v>
      </c>
      <c r="AJ16" s="13">
        <f>SUM(AE15:AJ15)</f>
        <v>0</v>
      </c>
      <c r="AQ16" s="8" t="s">
        <v>23</v>
      </c>
      <c r="AR16" s="13">
        <f>SUM(AM15:AR15)</f>
        <v>0</v>
      </c>
    </row>
    <row r="17" spans="1:44" ht="15.75" thickBot="1" x14ac:dyDescent="0.3">
      <c r="A17" s="19"/>
      <c r="B17" s="81" t="s">
        <v>14</v>
      </c>
      <c r="C17" s="81"/>
      <c r="D17" s="81"/>
      <c r="E17" s="81"/>
      <c r="F17" s="81"/>
      <c r="G17" s="81"/>
      <c r="H17" s="81"/>
      <c r="J17" s="77" t="s">
        <v>14</v>
      </c>
      <c r="K17" s="77"/>
      <c r="L17" s="77"/>
      <c r="M17" s="77"/>
      <c r="N17" s="77"/>
      <c r="O17" s="77"/>
      <c r="P17" s="77"/>
      <c r="Q17" s="77"/>
      <c r="R17" s="77"/>
      <c r="S17" s="77"/>
      <c r="T17" s="77"/>
      <c r="U17" s="77"/>
      <c r="V17" s="77"/>
      <c r="W17" s="77"/>
      <c r="X17" s="77"/>
      <c r="Y17" s="77"/>
      <c r="Z17" s="77"/>
      <c r="AD17" s="82" t="str">
        <f>J17</f>
        <v>Abril</v>
      </c>
      <c r="AE17" s="82"/>
      <c r="AF17" s="82"/>
      <c r="AG17" s="82"/>
      <c r="AH17" s="82"/>
      <c r="AI17" s="82"/>
      <c r="AJ17" s="82"/>
      <c r="AL17" s="84" t="str">
        <f>AD17</f>
        <v>Abril</v>
      </c>
      <c r="AM17" s="84"/>
      <c r="AN17" s="84"/>
      <c r="AO17" s="84"/>
      <c r="AP17" s="84"/>
      <c r="AQ17" s="84"/>
      <c r="AR17" s="84"/>
    </row>
    <row r="18" spans="1:44"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4"/>
      <c r="V18" s="4"/>
      <c r="W18" s="4"/>
      <c r="X18" s="70"/>
      <c r="Y18" s="70"/>
      <c r="Z18" s="5"/>
      <c r="AD18" s="6" t="s">
        <v>4</v>
      </c>
      <c r="AE18" s="9"/>
      <c r="AF18" s="4"/>
      <c r="AG18" s="4"/>
      <c r="AH18" s="4"/>
      <c r="AI18" s="4"/>
      <c r="AJ18" s="5"/>
      <c r="AL18" s="6" t="s">
        <v>4</v>
      </c>
      <c r="AM18" s="9"/>
      <c r="AN18" s="4"/>
      <c r="AO18" s="4"/>
      <c r="AP18" s="4"/>
      <c r="AQ18" s="4"/>
      <c r="AR18" s="5"/>
    </row>
    <row r="19" spans="1:44"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1"/>
      <c r="V19" s="31"/>
      <c r="W19" s="31"/>
      <c r="X19" s="72"/>
      <c r="Y19" s="72"/>
      <c r="Z19" s="32"/>
      <c r="AD19" s="7" t="s">
        <v>22</v>
      </c>
      <c r="AE19" s="10"/>
      <c r="AF19" s="11"/>
      <c r="AG19" s="11"/>
      <c r="AH19" s="11"/>
      <c r="AI19" s="11"/>
      <c r="AJ19" s="12"/>
      <c r="AL19" s="7" t="s">
        <v>22</v>
      </c>
      <c r="AM19" s="10"/>
      <c r="AN19" s="11"/>
      <c r="AO19" s="11"/>
      <c r="AP19" s="11"/>
      <c r="AQ19" s="11"/>
      <c r="AR19" s="12"/>
    </row>
    <row r="20" spans="1:44" x14ac:dyDescent="0.25">
      <c r="J20" s="8"/>
      <c r="W20" s="8" t="s">
        <v>23</v>
      </c>
      <c r="X20" s="8"/>
      <c r="Y20" s="8"/>
      <c r="Z20" s="13">
        <f>SUM(K19:Z19)</f>
        <v>0</v>
      </c>
      <c r="AI20" s="8" t="s">
        <v>23</v>
      </c>
      <c r="AJ20" s="13">
        <f>SUM(AE19:AJ19)</f>
        <v>0</v>
      </c>
      <c r="AQ20" s="8" t="s">
        <v>23</v>
      </c>
      <c r="AR20" s="13">
        <f>SUM(AM19:AR19)</f>
        <v>0</v>
      </c>
    </row>
    <row r="21" spans="1:44" ht="15.75" thickBot="1" x14ac:dyDescent="0.3">
      <c r="A21" s="19"/>
      <c r="B21" s="81" t="s">
        <v>15</v>
      </c>
      <c r="C21" s="81"/>
      <c r="D21" s="81"/>
      <c r="E21" s="81"/>
      <c r="F21" s="81"/>
      <c r="G21" s="81"/>
      <c r="H21" s="81"/>
      <c r="J21" s="77" t="s">
        <v>15</v>
      </c>
      <c r="K21" s="77"/>
      <c r="L21" s="77"/>
      <c r="M21" s="77"/>
      <c r="N21" s="77"/>
      <c r="O21" s="77"/>
      <c r="P21" s="77"/>
      <c r="Q21" s="77"/>
      <c r="R21" s="77"/>
      <c r="S21" s="77"/>
      <c r="T21" s="77"/>
      <c r="U21" s="77"/>
      <c r="V21" s="77"/>
      <c r="W21" s="77"/>
      <c r="X21" s="77"/>
      <c r="Y21" s="77"/>
      <c r="Z21" s="77"/>
      <c r="AD21" s="82" t="str">
        <f>J21</f>
        <v>Maio</v>
      </c>
      <c r="AE21" s="82"/>
      <c r="AF21" s="82"/>
      <c r="AG21" s="82"/>
      <c r="AH21" s="82"/>
      <c r="AI21" s="82"/>
      <c r="AJ21" s="82"/>
      <c r="AL21" s="84" t="str">
        <f>AD21</f>
        <v>Maio</v>
      </c>
      <c r="AM21" s="84"/>
      <c r="AN21" s="84"/>
      <c r="AO21" s="84"/>
      <c r="AP21" s="84"/>
      <c r="AQ21" s="84"/>
      <c r="AR21" s="84"/>
    </row>
    <row r="22" spans="1:44"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4"/>
      <c r="V22" s="4"/>
      <c r="W22" s="4"/>
      <c r="X22" s="70"/>
      <c r="Y22" s="70"/>
      <c r="Z22" s="5"/>
      <c r="AD22" s="6" t="s">
        <v>4</v>
      </c>
      <c r="AE22" s="9"/>
      <c r="AF22" s="4"/>
      <c r="AG22" s="4"/>
      <c r="AH22" s="4"/>
      <c r="AI22" s="4"/>
      <c r="AJ22" s="5"/>
      <c r="AL22" s="6" t="s">
        <v>4</v>
      </c>
      <c r="AM22" s="9"/>
      <c r="AN22" s="4"/>
      <c r="AO22" s="4"/>
      <c r="AP22" s="4"/>
      <c r="AQ22" s="4"/>
      <c r="AR22" s="5"/>
    </row>
    <row r="23" spans="1:44"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1"/>
      <c r="V23" s="11"/>
      <c r="W23" s="11"/>
      <c r="X23" s="71"/>
      <c r="Y23" s="71"/>
      <c r="Z23" s="12"/>
      <c r="AD23" s="7" t="s">
        <v>22</v>
      </c>
      <c r="AE23" s="10"/>
      <c r="AF23" s="11"/>
      <c r="AG23" s="11"/>
      <c r="AH23" s="11"/>
      <c r="AI23" s="11"/>
      <c r="AJ23" s="12"/>
      <c r="AL23" s="7" t="s">
        <v>22</v>
      </c>
      <c r="AM23" s="10"/>
      <c r="AN23" s="11"/>
      <c r="AO23" s="11"/>
      <c r="AP23" s="11"/>
      <c r="AQ23" s="11"/>
      <c r="AR23" s="12"/>
    </row>
    <row r="24" spans="1:44" x14ac:dyDescent="0.25">
      <c r="J24" s="8"/>
      <c r="W24" s="8" t="s">
        <v>23</v>
      </c>
      <c r="X24" s="8"/>
      <c r="Y24" s="8"/>
      <c r="Z24" s="13">
        <f>SUM(K23:Z23)</f>
        <v>0</v>
      </c>
      <c r="AI24" s="8" t="s">
        <v>23</v>
      </c>
      <c r="AJ24" s="13">
        <f>SUM(AE23:AJ23)</f>
        <v>0</v>
      </c>
      <c r="AQ24" s="8" t="s">
        <v>23</v>
      </c>
      <c r="AR24" s="13">
        <f>SUM(AM23:AR23)</f>
        <v>0</v>
      </c>
    </row>
    <row r="25" spans="1:44" ht="15.75" thickBot="1" x14ac:dyDescent="0.3">
      <c r="A25" s="19"/>
      <c r="B25" s="81" t="s">
        <v>24</v>
      </c>
      <c r="C25" s="81"/>
      <c r="D25" s="81"/>
      <c r="E25" s="81"/>
      <c r="F25" s="81"/>
      <c r="G25" s="81"/>
      <c r="H25" s="81"/>
      <c r="J25" s="77" t="s">
        <v>24</v>
      </c>
      <c r="K25" s="77"/>
      <c r="L25" s="77"/>
      <c r="M25" s="77"/>
      <c r="N25" s="77"/>
      <c r="O25" s="77"/>
      <c r="P25" s="77"/>
      <c r="Q25" s="77"/>
      <c r="R25" s="77"/>
      <c r="S25" s="77"/>
      <c r="T25" s="77"/>
      <c r="U25" s="77"/>
      <c r="V25" s="77"/>
      <c r="W25" s="77"/>
      <c r="X25" s="77"/>
      <c r="Y25" s="77"/>
      <c r="Z25" s="77"/>
      <c r="AD25" s="82" t="str">
        <f>J25</f>
        <v>Junho</v>
      </c>
      <c r="AE25" s="82"/>
      <c r="AF25" s="82"/>
      <c r="AG25" s="82"/>
      <c r="AH25" s="82"/>
      <c r="AI25" s="82"/>
      <c r="AJ25" s="82"/>
      <c r="AL25" s="84" t="str">
        <f>AD25</f>
        <v>Junho</v>
      </c>
      <c r="AM25" s="84"/>
      <c r="AN25" s="84"/>
      <c r="AO25" s="84"/>
      <c r="AP25" s="84"/>
      <c r="AQ25" s="84"/>
      <c r="AR25" s="84"/>
    </row>
    <row r="26" spans="1:44"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4"/>
      <c r="V26" s="4"/>
      <c r="W26" s="4"/>
      <c r="X26" s="70"/>
      <c r="Y26" s="70"/>
      <c r="Z26" s="5"/>
      <c r="AD26" s="6" t="s">
        <v>4</v>
      </c>
      <c r="AE26" s="9"/>
      <c r="AF26" s="4"/>
      <c r="AG26" s="4"/>
      <c r="AH26" s="4"/>
      <c r="AI26" s="4"/>
      <c r="AJ26" s="5"/>
      <c r="AL26" s="6" t="s">
        <v>4</v>
      </c>
      <c r="AM26" s="9"/>
      <c r="AN26" s="4"/>
      <c r="AO26" s="4"/>
      <c r="AP26" s="4"/>
      <c r="AQ26" s="4"/>
      <c r="AR26" s="5"/>
    </row>
    <row r="27" spans="1:44"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1"/>
      <c r="V27" s="11"/>
      <c r="W27" s="11"/>
      <c r="X27" s="71"/>
      <c r="Y27" s="71"/>
      <c r="Z27" s="12"/>
      <c r="AD27" s="7" t="s">
        <v>22</v>
      </c>
      <c r="AE27" s="10"/>
      <c r="AF27" s="11"/>
      <c r="AG27" s="11"/>
      <c r="AH27" s="11"/>
      <c r="AI27" s="11"/>
      <c r="AJ27" s="12"/>
      <c r="AL27" s="7" t="s">
        <v>22</v>
      </c>
      <c r="AM27" s="10"/>
      <c r="AN27" s="11"/>
      <c r="AO27" s="11"/>
      <c r="AP27" s="11"/>
      <c r="AQ27" s="11"/>
      <c r="AR27" s="12"/>
    </row>
    <row r="28" spans="1:44" x14ac:dyDescent="0.25">
      <c r="J28" s="8"/>
      <c r="W28" s="8" t="s">
        <v>23</v>
      </c>
      <c r="X28" s="8"/>
      <c r="Y28" s="8"/>
      <c r="Z28" s="13">
        <f>SUM(K27:Z27)</f>
        <v>0</v>
      </c>
      <c r="AI28" s="8" t="s">
        <v>23</v>
      </c>
      <c r="AJ28" s="13">
        <f>SUM(AE27:AJ27)</f>
        <v>0</v>
      </c>
      <c r="AQ28" s="8" t="s">
        <v>23</v>
      </c>
      <c r="AR28" s="13">
        <f>SUM(AM27:AR27)</f>
        <v>0</v>
      </c>
    </row>
    <row r="29" spans="1:44" ht="15.75" thickBot="1" x14ac:dyDescent="0.3">
      <c r="A29" s="19"/>
      <c r="B29" s="81" t="s">
        <v>16</v>
      </c>
      <c r="C29" s="81"/>
      <c r="D29" s="81"/>
      <c r="E29" s="81"/>
      <c r="F29" s="81"/>
      <c r="G29" s="81"/>
      <c r="H29" s="81"/>
      <c r="J29" s="77" t="s">
        <v>16</v>
      </c>
      <c r="K29" s="77"/>
      <c r="L29" s="77"/>
      <c r="M29" s="77"/>
      <c r="N29" s="77"/>
      <c r="O29" s="77"/>
      <c r="P29" s="77"/>
      <c r="Q29" s="77"/>
      <c r="R29" s="77"/>
      <c r="S29" s="77"/>
      <c r="T29" s="77"/>
      <c r="U29" s="77"/>
      <c r="V29" s="77"/>
      <c r="W29" s="77"/>
      <c r="X29" s="77"/>
      <c r="Y29" s="77"/>
      <c r="Z29" s="77"/>
      <c r="AD29" s="82" t="str">
        <f>J29</f>
        <v>Julho</v>
      </c>
      <c r="AE29" s="82"/>
      <c r="AF29" s="82"/>
      <c r="AG29" s="82"/>
      <c r="AH29" s="82"/>
      <c r="AI29" s="82"/>
      <c r="AJ29" s="82"/>
      <c r="AL29" s="84" t="str">
        <f>AD29</f>
        <v>Julho</v>
      </c>
      <c r="AM29" s="84"/>
      <c r="AN29" s="84"/>
      <c r="AO29" s="84"/>
      <c r="AP29" s="84"/>
      <c r="AQ29" s="84"/>
      <c r="AR29" s="84"/>
    </row>
    <row r="30" spans="1:44" ht="15.75" thickBot="1" x14ac:dyDescent="0.3">
      <c r="A30" s="80" t="s">
        <v>5</v>
      </c>
      <c r="B30" s="34" t="s">
        <v>6</v>
      </c>
      <c r="C30" s="22" t="s">
        <v>7</v>
      </c>
      <c r="D30" s="33" t="s">
        <v>8</v>
      </c>
      <c r="E30" s="22" t="s">
        <v>9</v>
      </c>
      <c r="F30" s="24" t="s">
        <v>10</v>
      </c>
      <c r="G30" s="23" t="s">
        <v>11</v>
      </c>
      <c r="H30" s="25" t="s">
        <v>12</v>
      </c>
      <c r="J30" s="6" t="s">
        <v>4</v>
      </c>
      <c r="K30" s="9">
        <v>45855</v>
      </c>
      <c r="L30" s="66">
        <v>45856</v>
      </c>
      <c r="M30" s="66">
        <v>45857</v>
      </c>
      <c r="N30" s="66">
        <v>45860</v>
      </c>
      <c r="O30" s="66">
        <v>45861</v>
      </c>
      <c r="P30" s="66">
        <v>45862</v>
      </c>
      <c r="Q30" s="66">
        <v>45866</v>
      </c>
      <c r="R30" s="66">
        <v>45868</v>
      </c>
      <c r="S30" s="66">
        <v>45869</v>
      </c>
      <c r="T30" s="66"/>
      <c r="U30" s="66"/>
      <c r="V30" s="66"/>
      <c r="W30" s="4"/>
      <c r="X30" s="70"/>
      <c r="Y30" s="70"/>
      <c r="Z30" s="5"/>
      <c r="AD30" s="6" t="s">
        <v>4</v>
      </c>
      <c r="AE30" s="9"/>
      <c r="AF30" s="4"/>
      <c r="AG30" s="4"/>
      <c r="AH30" s="4"/>
      <c r="AI30" s="4"/>
      <c r="AJ30" s="5"/>
      <c r="AL30" s="6" t="s">
        <v>4</v>
      </c>
      <c r="AM30" s="9"/>
      <c r="AN30" s="4"/>
      <c r="AO30" s="4"/>
      <c r="AP30" s="4"/>
      <c r="AQ30" s="4"/>
      <c r="AR30" s="5"/>
    </row>
    <row r="31" spans="1:44" ht="15.75" thickBot="1" x14ac:dyDescent="0.3">
      <c r="A31" s="80"/>
      <c r="B31" s="27"/>
      <c r="C31" s="27"/>
      <c r="D31" s="27">
        <v>3700</v>
      </c>
      <c r="E31" s="27">
        <v>8101</v>
      </c>
      <c r="F31" s="27">
        <f>SUM(C31-B31)</f>
        <v>0</v>
      </c>
      <c r="G31" s="20">
        <f>SUM(E31-D31)</f>
        <v>4401</v>
      </c>
      <c r="H31" s="21">
        <f>SUM(F31:G31)</f>
        <v>4401</v>
      </c>
      <c r="J31" s="7" t="s">
        <v>22</v>
      </c>
      <c r="K31" s="10">
        <v>224.55</v>
      </c>
      <c r="L31" s="11">
        <v>272.39999999999998</v>
      </c>
      <c r="M31" s="11">
        <v>299.95999999999998</v>
      </c>
      <c r="N31" s="11">
        <v>200.54</v>
      </c>
      <c r="O31" s="11">
        <v>302.08999999999997</v>
      </c>
      <c r="P31" s="11">
        <v>249.03</v>
      </c>
      <c r="Q31" s="11">
        <v>223.38</v>
      </c>
      <c r="R31" s="11">
        <v>200</v>
      </c>
      <c r="S31" s="11">
        <v>230</v>
      </c>
      <c r="T31" s="11"/>
      <c r="U31" s="11"/>
      <c r="V31" s="11"/>
      <c r="W31" s="11"/>
      <c r="X31" s="71"/>
      <c r="Y31" s="71"/>
      <c r="Z31" s="12"/>
      <c r="AD31" s="7" t="s">
        <v>22</v>
      </c>
      <c r="AE31" s="10"/>
      <c r="AF31" s="11"/>
      <c r="AG31" s="11"/>
      <c r="AH31" s="11"/>
      <c r="AI31" s="11"/>
      <c r="AJ31" s="12"/>
      <c r="AL31" s="7" t="s">
        <v>22</v>
      </c>
      <c r="AM31" s="10"/>
      <c r="AN31" s="11"/>
      <c r="AO31" s="11"/>
      <c r="AP31" s="11"/>
      <c r="AQ31" s="11"/>
      <c r="AR31" s="12"/>
    </row>
    <row r="32" spans="1:44" x14ac:dyDescent="0.25">
      <c r="J32" s="8"/>
      <c r="W32" s="8" t="s">
        <v>23</v>
      </c>
      <c r="X32" s="8"/>
      <c r="Y32" s="8"/>
      <c r="Z32" s="13">
        <f>SUM(K31:Z31)</f>
        <v>2201.9499999999998</v>
      </c>
      <c r="AI32" s="8" t="s">
        <v>23</v>
      </c>
      <c r="AJ32" s="13">
        <f>SUM(AE31:AJ31)</f>
        <v>0</v>
      </c>
      <c r="AQ32" s="8" t="s">
        <v>23</v>
      </c>
      <c r="AR32" s="13">
        <f>SUM(AM31:AR31)</f>
        <v>0</v>
      </c>
    </row>
    <row r="33" spans="1:44" ht="15.75" thickBot="1" x14ac:dyDescent="0.3">
      <c r="A33" s="19"/>
      <c r="B33" s="81" t="s">
        <v>17</v>
      </c>
      <c r="C33" s="81"/>
      <c r="D33" s="81"/>
      <c r="E33" s="81"/>
      <c r="F33" s="81"/>
      <c r="G33" s="81"/>
      <c r="H33" s="81"/>
      <c r="J33" s="77" t="s">
        <v>17</v>
      </c>
      <c r="K33" s="77"/>
      <c r="L33" s="77"/>
      <c r="M33" s="77"/>
      <c r="N33" s="77"/>
      <c r="O33" s="77"/>
      <c r="P33" s="77"/>
      <c r="Q33" s="77"/>
      <c r="R33" s="77"/>
      <c r="S33" s="77"/>
      <c r="T33" s="77"/>
      <c r="U33" s="77"/>
      <c r="V33" s="77"/>
      <c r="W33" s="77"/>
      <c r="X33" s="77"/>
      <c r="Y33" s="77"/>
      <c r="Z33" s="77"/>
      <c r="AD33" s="82" t="str">
        <f>J33</f>
        <v>Agosto</v>
      </c>
      <c r="AE33" s="82"/>
      <c r="AF33" s="82"/>
      <c r="AG33" s="82"/>
      <c r="AH33" s="82"/>
      <c r="AI33" s="82"/>
      <c r="AJ33" s="82"/>
      <c r="AL33" s="84" t="str">
        <f>AD33</f>
        <v>Agosto</v>
      </c>
      <c r="AM33" s="84"/>
      <c r="AN33" s="84"/>
      <c r="AO33" s="84"/>
      <c r="AP33" s="84"/>
      <c r="AQ33" s="84"/>
      <c r="AR33" s="84"/>
    </row>
    <row r="34" spans="1:44" ht="15.75" thickBot="1" x14ac:dyDescent="0.3">
      <c r="A34" s="80" t="s">
        <v>5</v>
      </c>
      <c r="B34" s="34" t="s">
        <v>6</v>
      </c>
      <c r="C34" s="22" t="s">
        <v>7</v>
      </c>
      <c r="D34" s="33" t="s">
        <v>8</v>
      </c>
      <c r="E34" s="22" t="s">
        <v>9</v>
      </c>
      <c r="F34" s="24" t="s">
        <v>10</v>
      </c>
      <c r="G34" s="23" t="s">
        <v>11</v>
      </c>
      <c r="H34" s="25" t="s">
        <v>12</v>
      </c>
      <c r="J34" s="6" t="s">
        <v>4</v>
      </c>
      <c r="K34" s="9">
        <v>45870</v>
      </c>
      <c r="L34" s="66">
        <v>45874</v>
      </c>
      <c r="M34" s="66">
        <v>45875</v>
      </c>
      <c r="N34" s="66">
        <v>45877</v>
      </c>
      <c r="O34" s="66">
        <v>45878</v>
      </c>
      <c r="P34" s="66">
        <v>45881</v>
      </c>
      <c r="Q34" s="66">
        <v>45882</v>
      </c>
      <c r="R34" s="66">
        <v>45884</v>
      </c>
      <c r="S34" s="66">
        <v>45888</v>
      </c>
      <c r="T34" s="66">
        <v>45889</v>
      </c>
      <c r="U34" s="66">
        <v>45891</v>
      </c>
      <c r="V34" s="66">
        <v>45892</v>
      </c>
      <c r="W34" s="66">
        <v>45895</v>
      </c>
      <c r="X34" s="73">
        <v>45897</v>
      </c>
      <c r="Y34" s="73">
        <v>45898</v>
      </c>
      <c r="Z34" s="5"/>
      <c r="AD34" s="6" t="s">
        <v>4</v>
      </c>
      <c r="AE34" s="9">
        <v>45871</v>
      </c>
      <c r="AF34" s="66">
        <v>45894</v>
      </c>
      <c r="AG34" s="4"/>
      <c r="AH34" s="4"/>
      <c r="AI34" s="4"/>
      <c r="AJ34" s="5"/>
      <c r="AL34" s="6" t="s">
        <v>4</v>
      </c>
      <c r="AM34" s="9">
        <v>45875</v>
      </c>
      <c r="AN34" s="4"/>
      <c r="AO34" s="4"/>
      <c r="AP34" s="4"/>
      <c r="AQ34" s="4"/>
      <c r="AR34" s="5"/>
    </row>
    <row r="35" spans="1:44" ht="15.75" thickBot="1" x14ac:dyDescent="0.3">
      <c r="A35" s="80"/>
      <c r="B35" s="27">
        <v>8101</v>
      </c>
      <c r="C35" s="27">
        <v>12199</v>
      </c>
      <c r="D35" s="27">
        <v>12199</v>
      </c>
      <c r="E35" s="27">
        <v>15555</v>
      </c>
      <c r="F35" s="27">
        <f>SUM(C35-B35)</f>
        <v>4098</v>
      </c>
      <c r="G35" s="20">
        <f>SUM(E35-D35)</f>
        <v>3356</v>
      </c>
      <c r="H35" s="21">
        <f>SUM(F35:G35)</f>
        <v>7454</v>
      </c>
      <c r="J35" s="7" t="s">
        <v>22</v>
      </c>
      <c r="K35" s="10">
        <v>234.02</v>
      </c>
      <c r="L35" s="11">
        <v>238.88</v>
      </c>
      <c r="M35" s="11">
        <v>247.01</v>
      </c>
      <c r="N35" s="11">
        <v>210</v>
      </c>
      <c r="O35" s="11">
        <v>200</v>
      </c>
      <c r="P35" s="11">
        <v>210</v>
      </c>
      <c r="Q35" s="11">
        <v>274.8</v>
      </c>
      <c r="R35" s="11">
        <v>200</v>
      </c>
      <c r="S35" s="11">
        <v>261</v>
      </c>
      <c r="T35" s="11">
        <v>210</v>
      </c>
      <c r="U35" s="11">
        <v>195.03</v>
      </c>
      <c r="V35" s="11">
        <v>218</v>
      </c>
      <c r="W35" s="11">
        <v>220.02</v>
      </c>
      <c r="X35" s="71">
        <v>222.05</v>
      </c>
      <c r="Y35" s="71">
        <v>256.02</v>
      </c>
      <c r="Z35" s="12"/>
      <c r="AD35" s="7" t="s">
        <v>22</v>
      </c>
      <c r="AE35" s="10">
        <v>55</v>
      </c>
      <c r="AF35" s="11">
        <v>55</v>
      </c>
      <c r="AG35" s="11"/>
      <c r="AH35" s="11"/>
      <c r="AI35" s="11"/>
      <c r="AJ35" s="12"/>
      <c r="AL35" s="7" t="s">
        <v>22</v>
      </c>
      <c r="AM35" s="10">
        <v>25</v>
      </c>
      <c r="AN35" s="11"/>
      <c r="AO35" s="11"/>
      <c r="AP35" s="11"/>
      <c r="AQ35" s="11"/>
      <c r="AR35" s="12"/>
    </row>
    <row r="36" spans="1:44" x14ac:dyDescent="0.25">
      <c r="J36" s="8"/>
      <c r="W36" s="8" t="s">
        <v>23</v>
      </c>
      <c r="X36" s="8"/>
      <c r="Y36" s="8"/>
      <c r="Z36" s="13">
        <f>SUM(K35:Z35)</f>
        <v>3396.8300000000004</v>
      </c>
      <c r="AI36" s="8" t="s">
        <v>23</v>
      </c>
      <c r="AJ36" s="13">
        <f>SUM(AE35:AJ35)</f>
        <v>110</v>
      </c>
      <c r="AQ36" s="8" t="s">
        <v>23</v>
      </c>
      <c r="AR36" s="13">
        <f>SUM(AM35:AR35)</f>
        <v>25</v>
      </c>
    </row>
    <row r="37" spans="1:44" ht="15.75" thickBot="1" x14ac:dyDescent="0.3">
      <c r="A37" s="19"/>
      <c r="B37" s="81" t="s">
        <v>18</v>
      </c>
      <c r="C37" s="81"/>
      <c r="D37" s="81"/>
      <c r="E37" s="81"/>
      <c r="F37" s="81"/>
      <c r="G37" s="81"/>
      <c r="H37" s="81"/>
      <c r="J37" s="77" t="s">
        <v>18</v>
      </c>
      <c r="K37" s="77"/>
      <c r="L37" s="77"/>
      <c r="M37" s="77"/>
      <c r="N37" s="77"/>
      <c r="O37" s="77"/>
      <c r="P37" s="77"/>
      <c r="Q37" s="77"/>
      <c r="R37" s="77"/>
      <c r="S37" s="77"/>
      <c r="T37" s="77"/>
      <c r="U37" s="77"/>
      <c r="V37" s="77"/>
      <c r="W37" s="77"/>
      <c r="X37" s="77"/>
      <c r="Y37" s="77"/>
      <c r="Z37" s="77"/>
      <c r="AD37" s="82" t="str">
        <f>J37</f>
        <v>Setembro</v>
      </c>
      <c r="AE37" s="82"/>
      <c r="AF37" s="82"/>
      <c r="AG37" s="82"/>
      <c r="AH37" s="82"/>
      <c r="AI37" s="82"/>
      <c r="AJ37" s="82"/>
      <c r="AL37" s="84" t="str">
        <f>AD37</f>
        <v>Setembro</v>
      </c>
      <c r="AM37" s="84"/>
      <c r="AN37" s="84"/>
      <c r="AO37" s="84"/>
      <c r="AP37" s="84"/>
      <c r="AQ37" s="84"/>
      <c r="AR37" s="84"/>
    </row>
    <row r="38" spans="1:44" ht="15.75" thickBot="1" x14ac:dyDescent="0.3">
      <c r="A38" s="80" t="s">
        <v>5</v>
      </c>
      <c r="B38" s="34" t="s">
        <v>6</v>
      </c>
      <c r="C38" s="22" t="s">
        <v>7</v>
      </c>
      <c r="D38" s="33" t="s">
        <v>8</v>
      </c>
      <c r="E38" s="22" t="s">
        <v>9</v>
      </c>
      <c r="F38" s="24" t="s">
        <v>10</v>
      </c>
      <c r="G38" s="23" t="s">
        <v>11</v>
      </c>
      <c r="H38" s="25" t="s">
        <v>12</v>
      </c>
      <c r="J38" s="6" t="s">
        <v>4</v>
      </c>
      <c r="K38" s="9">
        <v>45901</v>
      </c>
      <c r="L38" s="66">
        <v>45903</v>
      </c>
      <c r="M38" s="66">
        <v>45904</v>
      </c>
      <c r="N38" s="66">
        <v>45906</v>
      </c>
      <c r="O38" s="66">
        <v>45909</v>
      </c>
      <c r="P38" s="66">
        <v>45910</v>
      </c>
      <c r="Q38" s="66">
        <v>45911</v>
      </c>
      <c r="R38" s="66">
        <v>45912</v>
      </c>
      <c r="S38" s="66">
        <v>45916</v>
      </c>
      <c r="T38" s="66">
        <v>45917</v>
      </c>
      <c r="U38" s="66">
        <v>45918</v>
      </c>
      <c r="V38" s="66">
        <v>45923</v>
      </c>
      <c r="W38" s="66">
        <v>45925</v>
      </c>
      <c r="X38" s="73">
        <v>45926</v>
      </c>
      <c r="Y38" s="73">
        <v>45927</v>
      </c>
      <c r="Z38" s="74">
        <v>45930</v>
      </c>
      <c r="AD38" s="6" t="s">
        <v>4</v>
      </c>
      <c r="AE38" s="9">
        <v>45919</v>
      </c>
      <c r="AF38" s="4"/>
      <c r="AG38" s="4"/>
      <c r="AH38" s="4"/>
      <c r="AI38" s="4"/>
      <c r="AJ38" s="5"/>
      <c r="AL38" s="6" t="s">
        <v>4</v>
      </c>
      <c r="AM38" s="9">
        <v>45911</v>
      </c>
      <c r="AN38" s="4"/>
      <c r="AO38" s="4"/>
      <c r="AP38" s="4"/>
      <c r="AQ38" s="4"/>
      <c r="AR38" s="5"/>
    </row>
    <row r="39" spans="1:44" ht="15.75" thickBot="1" x14ac:dyDescent="0.3">
      <c r="A39" s="80"/>
      <c r="B39" s="27">
        <v>15555</v>
      </c>
      <c r="C39" s="27">
        <v>19016</v>
      </c>
      <c r="D39" s="27">
        <v>19016</v>
      </c>
      <c r="E39" s="27">
        <v>22794</v>
      </c>
      <c r="F39" s="27">
        <f>SUM(C39-B39)</f>
        <v>3461</v>
      </c>
      <c r="G39" s="20">
        <f>SUM(E39-D39)</f>
        <v>3778</v>
      </c>
      <c r="H39" s="21">
        <f>SUM(F39:G39)</f>
        <v>7239</v>
      </c>
      <c r="J39" s="7" t="s">
        <v>22</v>
      </c>
      <c r="K39" s="10">
        <v>213</v>
      </c>
      <c r="L39" s="11">
        <v>273.43</v>
      </c>
      <c r="M39" s="11">
        <v>230</v>
      </c>
      <c r="N39" s="11">
        <v>182.01</v>
      </c>
      <c r="O39" s="11">
        <v>205.01</v>
      </c>
      <c r="P39" s="11">
        <v>270</v>
      </c>
      <c r="Q39" s="11">
        <v>234.54</v>
      </c>
      <c r="R39" s="11">
        <v>219.46</v>
      </c>
      <c r="S39" s="11">
        <v>222.02</v>
      </c>
      <c r="T39" s="11">
        <v>219.02</v>
      </c>
      <c r="U39" s="11">
        <v>238.87</v>
      </c>
      <c r="V39" s="11">
        <v>235.86</v>
      </c>
      <c r="W39" s="11">
        <v>185.05</v>
      </c>
      <c r="X39" s="71">
        <v>214.01</v>
      </c>
      <c r="Y39" s="71">
        <v>215.01</v>
      </c>
      <c r="Z39" s="12">
        <v>210.06</v>
      </c>
      <c r="AD39" s="7" t="s">
        <v>22</v>
      </c>
      <c r="AE39" s="10">
        <v>55</v>
      </c>
      <c r="AF39" s="11"/>
      <c r="AG39" s="11"/>
      <c r="AH39" s="11"/>
      <c r="AI39" s="11"/>
      <c r="AJ39" s="12"/>
      <c r="AL39" s="7" t="s">
        <v>22</v>
      </c>
      <c r="AM39" s="10">
        <v>40</v>
      </c>
      <c r="AN39" s="11"/>
      <c r="AO39" s="11"/>
      <c r="AP39" s="11"/>
      <c r="AQ39" s="11"/>
      <c r="AR39" s="12"/>
    </row>
    <row r="40" spans="1:44" x14ac:dyDescent="0.25">
      <c r="J40" s="8"/>
      <c r="W40" s="8" t="s">
        <v>23</v>
      </c>
      <c r="X40" s="8"/>
      <c r="Y40" s="8"/>
      <c r="Z40" s="13">
        <f>SUM(K39:Z39)</f>
        <v>3567.3500000000008</v>
      </c>
      <c r="AI40" s="8" t="s">
        <v>23</v>
      </c>
      <c r="AJ40" s="13">
        <f>SUM(AE39:AJ39)</f>
        <v>55</v>
      </c>
      <c r="AQ40" s="8" t="s">
        <v>23</v>
      </c>
      <c r="AR40" s="13">
        <f>SUM(AM39:AR39)</f>
        <v>40</v>
      </c>
    </row>
    <row r="41" spans="1:44" ht="15.75" thickBot="1" x14ac:dyDescent="0.3">
      <c r="A41" s="19"/>
      <c r="B41" s="81" t="s">
        <v>19</v>
      </c>
      <c r="C41" s="81"/>
      <c r="D41" s="81"/>
      <c r="E41" s="81"/>
      <c r="F41" s="81"/>
      <c r="G41" s="81"/>
      <c r="H41" s="81"/>
      <c r="J41" s="77" t="s">
        <v>19</v>
      </c>
      <c r="K41" s="77"/>
      <c r="L41" s="77"/>
      <c r="M41" s="77"/>
      <c r="N41" s="77"/>
      <c r="O41" s="77"/>
      <c r="P41" s="77"/>
      <c r="Q41" s="77"/>
      <c r="R41" s="77"/>
      <c r="S41" s="77"/>
      <c r="T41" s="77"/>
      <c r="U41" s="77"/>
      <c r="V41" s="77"/>
      <c r="W41" s="77"/>
      <c r="X41" s="77"/>
      <c r="Y41" s="77"/>
      <c r="Z41" s="77"/>
      <c r="AD41" s="82" t="str">
        <f>J41</f>
        <v>Outubro</v>
      </c>
      <c r="AE41" s="82"/>
      <c r="AF41" s="82"/>
      <c r="AG41" s="82"/>
      <c r="AH41" s="82"/>
      <c r="AI41" s="82"/>
      <c r="AJ41" s="82"/>
      <c r="AL41" s="84" t="str">
        <f>AD41</f>
        <v>Outubro</v>
      </c>
      <c r="AM41" s="84"/>
      <c r="AN41" s="84"/>
      <c r="AO41" s="84"/>
      <c r="AP41" s="84"/>
      <c r="AQ41" s="84"/>
      <c r="AR41" s="84"/>
    </row>
    <row r="42" spans="1:44" ht="15.75" thickBot="1" x14ac:dyDescent="0.3">
      <c r="A42" s="80" t="s">
        <v>5</v>
      </c>
      <c r="B42" s="34" t="s">
        <v>6</v>
      </c>
      <c r="C42" s="22" t="s">
        <v>7</v>
      </c>
      <c r="D42" s="33" t="s">
        <v>8</v>
      </c>
      <c r="E42" s="22" t="s">
        <v>9</v>
      </c>
      <c r="F42" s="24" t="s">
        <v>10</v>
      </c>
      <c r="G42" s="23" t="s">
        <v>11</v>
      </c>
      <c r="H42" s="25" t="s">
        <v>12</v>
      </c>
      <c r="J42" s="6" t="s">
        <v>4</v>
      </c>
      <c r="K42" s="9">
        <v>45931</v>
      </c>
      <c r="L42" s="66">
        <v>45932</v>
      </c>
      <c r="M42" s="66">
        <v>45937</v>
      </c>
      <c r="N42" s="66">
        <v>45938</v>
      </c>
      <c r="O42" s="66">
        <v>45939</v>
      </c>
      <c r="P42" s="66">
        <v>45940</v>
      </c>
      <c r="Q42" s="66">
        <v>45944</v>
      </c>
      <c r="R42" s="66">
        <v>45945</v>
      </c>
      <c r="S42" s="66">
        <v>45946</v>
      </c>
      <c r="T42" s="66">
        <v>45947</v>
      </c>
      <c r="U42" s="66">
        <v>45951</v>
      </c>
      <c r="V42" s="66">
        <v>45952</v>
      </c>
      <c r="W42" s="66">
        <v>45953</v>
      </c>
      <c r="X42" s="73">
        <v>45957</v>
      </c>
      <c r="Y42" s="73">
        <v>45958</v>
      </c>
      <c r="Z42" s="74">
        <v>45959</v>
      </c>
      <c r="AA42" s="74">
        <v>45960</v>
      </c>
      <c r="AB42" s="74">
        <v>45961</v>
      </c>
      <c r="AD42" s="6" t="s">
        <v>4</v>
      </c>
      <c r="AE42" s="9">
        <v>45941</v>
      </c>
      <c r="AF42" s="4"/>
      <c r="AG42" s="4"/>
      <c r="AH42" s="4"/>
      <c r="AI42" s="4"/>
      <c r="AJ42" s="5"/>
      <c r="AL42" s="6" t="s">
        <v>4</v>
      </c>
      <c r="AM42" s="9">
        <v>45941</v>
      </c>
      <c r="AN42" s="4"/>
      <c r="AO42" s="4"/>
      <c r="AP42" s="4"/>
      <c r="AQ42" s="4"/>
      <c r="AR42" s="5"/>
    </row>
    <row r="43" spans="1:44" ht="15.75" thickBot="1" x14ac:dyDescent="0.3">
      <c r="A43" s="80"/>
      <c r="B43" s="27">
        <v>22794</v>
      </c>
      <c r="C43" s="27">
        <v>26569</v>
      </c>
      <c r="D43" s="27">
        <v>26569</v>
      </c>
      <c r="E43" s="27">
        <v>30715</v>
      </c>
      <c r="F43" s="27">
        <f>SUM(C43-B43)</f>
        <v>3775</v>
      </c>
      <c r="G43" s="27"/>
      <c r="H43" s="21">
        <f>SUM(F43:G43)</f>
        <v>3775</v>
      </c>
      <c r="J43" s="7" t="s">
        <v>22</v>
      </c>
      <c r="K43" s="10">
        <v>273.83</v>
      </c>
      <c r="L43" s="11">
        <v>228.08</v>
      </c>
      <c r="M43" s="11">
        <v>224.99</v>
      </c>
      <c r="N43" s="11">
        <v>261.08</v>
      </c>
      <c r="O43" s="11">
        <v>119.85</v>
      </c>
      <c r="P43" s="11">
        <v>197.37</v>
      </c>
      <c r="Q43" s="11">
        <v>195.6</v>
      </c>
      <c r="R43" s="11">
        <v>232.04</v>
      </c>
      <c r="S43" s="11">
        <v>143.13999999999999</v>
      </c>
      <c r="T43" s="11">
        <v>230.04</v>
      </c>
      <c r="U43" s="11">
        <v>203</v>
      </c>
      <c r="V43" s="11">
        <v>225</v>
      </c>
      <c r="W43" s="11">
        <v>230.05</v>
      </c>
      <c r="X43" s="71">
        <v>214.04</v>
      </c>
      <c r="Y43" s="71">
        <v>186</v>
      </c>
      <c r="Z43" s="12">
        <v>223</v>
      </c>
      <c r="AA43" s="12">
        <v>150.02000000000001</v>
      </c>
      <c r="AB43" s="12">
        <v>199.02</v>
      </c>
      <c r="AD43" s="7" t="s">
        <v>22</v>
      </c>
      <c r="AE43" s="10">
        <v>55</v>
      </c>
      <c r="AF43" s="11"/>
      <c r="AG43" s="11"/>
      <c r="AH43" s="11"/>
      <c r="AI43" s="11"/>
      <c r="AJ43" s="12"/>
      <c r="AL43" s="7" t="s">
        <v>22</v>
      </c>
      <c r="AM43" s="10">
        <v>30</v>
      </c>
      <c r="AN43" s="11"/>
      <c r="AO43" s="11"/>
      <c r="AP43" s="11"/>
      <c r="AQ43" s="11"/>
      <c r="AR43" s="12"/>
    </row>
    <row r="44" spans="1:44" x14ac:dyDescent="0.25">
      <c r="J44" s="8"/>
      <c r="W44" s="8" t="s">
        <v>23</v>
      </c>
      <c r="X44" s="8"/>
      <c r="Y44" s="8"/>
      <c r="Z44" s="13">
        <f>SUM(K43:AB43)</f>
        <v>3736.1499999999996</v>
      </c>
      <c r="AI44" s="8" t="s">
        <v>23</v>
      </c>
      <c r="AJ44" s="13">
        <f>SUM(AE43:AJ43)</f>
        <v>55</v>
      </c>
      <c r="AQ44" s="8" t="s">
        <v>23</v>
      </c>
      <c r="AR44" s="13">
        <f>SUM(AM43:AR43)</f>
        <v>30</v>
      </c>
    </row>
    <row r="45" spans="1:44" ht="15.75" thickBot="1" x14ac:dyDescent="0.3">
      <c r="A45" s="19"/>
      <c r="B45" s="81" t="s">
        <v>20</v>
      </c>
      <c r="C45" s="81"/>
      <c r="D45" s="81"/>
      <c r="E45" s="81"/>
      <c r="F45" s="81"/>
      <c r="G45" s="81"/>
      <c r="H45" s="81"/>
      <c r="J45" s="77" t="s">
        <v>20</v>
      </c>
      <c r="K45" s="77"/>
      <c r="L45" s="77"/>
      <c r="M45" s="77"/>
      <c r="N45" s="77"/>
      <c r="O45" s="77"/>
      <c r="P45" s="77"/>
      <c r="Q45" s="77"/>
      <c r="R45" s="77"/>
      <c r="S45" s="77"/>
      <c r="T45" s="77"/>
      <c r="U45" s="77"/>
      <c r="V45" s="77"/>
      <c r="W45" s="77"/>
      <c r="X45" s="77"/>
      <c r="Y45" s="77"/>
      <c r="Z45" s="77"/>
      <c r="AD45" s="82" t="str">
        <f>J45</f>
        <v>Novembro</v>
      </c>
      <c r="AE45" s="82"/>
      <c r="AF45" s="82"/>
      <c r="AG45" s="82"/>
      <c r="AH45" s="82"/>
      <c r="AI45" s="82"/>
      <c r="AJ45" s="82"/>
      <c r="AL45" s="84" t="str">
        <f>AD45</f>
        <v>Novembro</v>
      </c>
      <c r="AM45" s="84"/>
      <c r="AN45" s="84"/>
      <c r="AO45" s="84"/>
      <c r="AP45" s="84"/>
      <c r="AQ45" s="84"/>
      <c r="AR45" s="84"/>
    </row>
    <row r="46" spans="1:44" ht="15.75" thickBot="1" x14ac:dyDescent="0.3">
      <c r="A46" s="80" t="s">
        <v>5</v>
      </c>
      <c r="B46" s="34" t="s">
        <v>6</v>
      </c>
      <c r="C46" s="22" t="s">
        <v>7</v>
      </c>
      <c r="D46" s="33" t="s">
        <v>8</v>
      </c>
      <c r="E46" s="22" t="s">
        <v>9</v>
      </c>
      <c r="F46" s="24" t="s">
        <v>10</v>
      </c>
      <c r="G46" s="23" t="s">
        <v>11</v>
      </c>
      <c r="H46" s="25" t="s">
        <v>12</v>
      </c>
      <c r="J46" s="6" t="s">
        <v>4</v>
      </c>
      <c r="K46" s="9">
        <v>45965</v>
      </c>
      <c r="L46" s="66">
        <v>45966</v>
      </c>
      <c r="M46" s="66">
        <v>45967</v>
      </c>
      <c r="N46" s="66">
        <v>45968</v>
      </c>
      <c r="O46" s="66">
        <v>45972</v>
      </c>
      <c r="P46" s="66">
        <v>45973</v>
      </c>
      <c r="Q46" s="66">
        <v>45974</v>
      </c>
      <c r="R46" s="66">
        <v>45975</v>
      </c>
      <c r="S46" s="66">
        <v>45979</v>
      </c>
      <c r="T46" s="66">
        <v>45980</v>
      </c>
      <c r="U46" s="66">
        <v>45981</v>
      </c>
      <c r="V46" s="66">
        <v>45982</v>
      </c>
      <c r="W46" s="66">
        <v>45986</v>
      </c>
      <c r="X46" s="73">
        <v>45987</v>
      </c>
      <c r="Y46" s="73">
        <v>45988</v>
      </c>
      <c r="Z46" s="73">
        <v>45989</v>
      </c>
      <c r="AD46" s="6" t="s">
        <v>4</v>
      </c>
      <c r="AE46" s="9">
        <v>45990</v>
      </c>
      <c r="AF46" s="4"/>
      <c r="AG46" s="4"/>
      <c r="AH46" s="4"/>
      <c r="AI46" s="4"/>
      <c r="AJ46" s="5"/>
      <c r="AL46" s="6" t="s">
        <v>4</v>
      </c>
      <c r="AM46" s="9"/>
      <c r="AN46" s="4"/>
      <c r="AO46" s="4"/>
      <c r="AP46" s="4"/>
      <c r="AQ46" s="4"/>
      <c r="AR46" s="5"/>
    </row>
    <row r="47" spans="1:44" ht="15.75" thickBot="1" x14ac:dyDescent="0.3">
      <c r="A47" s="80"/>
      <c r="B47" s="27">
        <v>30715</v>
      </c>
      <c r="C47" s="27">
        <v>34065</v>
      </c>
      <c r="D47" s="27">
        <v>34065</v>
      </c>
      <c r="E47" s="27">
        <v>37548</v>
      </c>
      <c r="F47" s="27">
        <f>SUM(C47-B47)</f>
        <v>3350</v>
      </c>
      <c r="G47" s="20">
        <f>SUM(E47-D47)</f>
        <v>3483</v>
      </c>
      <c r="H47" s="21">
        <f>SUM(F47:G47)</f>
        <v>6833</v>
      </c>
      <c r="J47" s="7" t="s">
        <v>22</v>
      </c>
      <c r="K47" s="10">
        <v>187.01</v>
      </c>
      <c r="L47" s="11">
        <v>255.31</v>
      </c>
      <c r="M47" s="11">
        <v>135.41999999999999</v>
      </c>
      <c r="N47" s="11">
        <v>195.02</v>
      </c>
      <c r="O47" s="11">
        <v>187.32</v>
      </c>
      <c r="P47" s="11">
        <v>228.26</v>
      </c>
      <c r="Q47" s="11">
        <v>101.09</v>
      </c>
      <c r="R47" s="11">
        <v>206</v>
      </c>
      <c r="S47" s="11">
        <v>194.04</v>
      </c>
      <c r="T47" s="11">
        <v>210.09</v>
      </c>
      <c r="U47" s="11">
        <v>155.02000000000001</v>
      </c>
      <c r="V47" s="11">
        <v>194.02</v>
      </c>
      <c r="W47" s="11">
        <v>204.1</v>
      </c>
      <c r="X47" s="71">
        <v>208.03</v>
      </c>
      <c r="Y47" s="71">
        <v>107.82</v>
      </c>
      <c r="Z47" s="12">
        <v>183.6</v>
      </c>
      <c r="AD47" s="7" t="s">
        <v>22</v>
      </c>
      <c r="AE47" s="10">
        <v>55</v>
      </c>
      <c r="AF47" s="11"/>
      <c r="AG47" s="11"/>
      <c r="AH47" s="11"/>
      <c r="AI47" s="11"/>
      <c r="AJ47" s="12"/>
      <c r="AL47" s="7" t="s">
        <v>22</v>
      </c>
      <c r="AM47" s="10"/>
      <c r="AN47" s="11"/>
      <c r="AO47" s="11"/>
      <c r="AP47" s="11"/>
      <c r="AQ47" s="11"/>
      <c r="AR47" s="12"/>
    </row>
    <row r="48" spans="1:44" x14ac:dyDescent="0.25">
      <c r="J48" s="8"/>
      <c r="W48" s="8" t="s">
        <v>23</v>
      </c>
      <c r="X48" s="8"/>
      <c r="Y48" s="8"/>
      <c r="Z48" s="13">
        <f>SUM(K47:Z47)</f>
        <v>2952.15</v>
      </c>
      <c r="AI48" s="8" t="s">
        <v>23</v>
      </c>
      <c r="AJ48" s="13">
        <f>SUM(AE47:AJ47)</f>
        <v>55</v>
      </c>
      <c r="AQ48" s="8" t="s">
        <v>23</v>
      </c>
      <c r="AR48" s="13">
        <f>SUM(AM47:AR47)</f>
        <v>0</v>
      </c>
    </row>
    <row r="49" spans="1:44" ht="15.75" thickBot="1" x14ac:dyDescent="0.3">
      <c r="A49" s="19"/>
      <c r="B49" s="81" t="s">
        <v>21</v>
      </c>
      <c r="C49" s="81"/>
      <c r="D49" s="81"/>
      <c r="E49" s="81"/>
      <c r="F49" s="81"/>
      <c r="G49" s="81"/>
      <c r="H49" s="81"/>
      <c r="J49" s="77" t="s">
        <v>21</v>
      </c>
      <c r="K49" s="77"/>
      <c r="L49" s="77"/>
      <c r="M49" s="77"/>
      <c r="N49" s="77"/>
      <c r="O49" s="77"/>
      <c r="P49" s="77"/>
      <c r="Q49" s="77"/>
      <c r="R49" s="77"/>
      <c r="S49" s="77"/>
      <c r="T49" s="77"/>
      <c r="U49" s="77"/>
      <c r="V49" s="77"/>
      <c r="W49" s="77"/>
      <c r="X49" s="77"/>
      <c r="Y49" s="77"/>
      <c r="Z49" s="77"/>
      <c r="AD49" s="82" t="str">
        <f>J49</f>
        <v>Dezembro</v>
      </c>
      <c r="AE49" s="82"/>
      <c r="AF49" s="82"/>
      <c r="AG49" s="82"/>
      <c r="AH49" s="82"/>
      <c r="AI49" s="82"/>
      <c r="AJ49" s="82"/>
      <c r="AL49" s="84" t="str">
        <f>AD49</f>
        <v>Dezembro</v>
      </c>
      <c r="AM49" s="84"/>
      <c r="AN49" s="84"/>
      <c r="AO49" s="84"/>
      <c r="AP49" s="84"/>
      <c r="AQ49" s="84"/>
      <c r="AR49" s="84"/>
    </row>
    <row r="50" spans="1:44" ht="15.75" thickBot="1" x14ac:dyDescent="0.3">
      <c r="A50" s="80" t="s">
        <v>5</v>
      </c>
      <c r="B50" s="34" t="s">
        <v>6</v>
      </c>
      <c r="C50" s="22" t="s">
        <v>7</v>
      </c>
      <c r="D50" s="33" t="s">
        <v>8</v>
      </c>
      <c r="E50" s="22" t="s">
        <v>9</v>
      </c>
      <c r="F50" s="24" t="s">
        <v>10</v>
      </c>
      <c r="G50" s="23" t="s">
        <v>11</v>
      </c>
      <c r="H50" s="25" t="s">
        <v>12</v>
      </c>
      <c r="J50" s="6" t="s">
        <v>4</v>
      </c>
      <c r="K50" s="9">
        <v>45993</v>
      </c>
      <c r="L50" s="9">
        <v>45994</v>
      </c>
      <c r="M50" s="9">
        <v>45995</v>
      </c>
      <c r="N50" s="9">
        <v>45996</v>
      </c>
      <c r="O50" s="66">
        <v>45999</v>
      </c>
      <c r="P50" s="66">
        <v>46000</v>
      </c>
      <c r="Q50" s="66">
        <v>46002</v>
      </c>
      <c r="R50" s="66">
        <v>46003</v>
      </c>
      <c r="S50" s="66">
        <v>46007</v>
      </c>
      <c r="T50" s="66">
        <v>46008</v>
      </c>
      <c r="U50" s="66">
        <v>46009</v>
      </c>
      <c r="V50" s="66">
        <v>46010</v>
      </c>
      <c r="W50" s="4"/>
      <c r="X50" s="70"/>
      <c r="Y50" s="70"/>
      <c r="Z50" s="5"/>
      <c r="AD50" s="6" t="s">
        <v>4</v>
      </c>
      <c r="AE50" s="9"/>
      <c r="AF50" s="4"/>
      <c r="AG50" s="4"/>
      <c r="AH50" s="4"/>
      <c r="AI50" s="4"/>
      <c r="AJ50" s="5"/>
      <c r="AL50" s="6" t="s">
        <v>4</v>
      </c>
      <c r="AM50" s="9"/>
      <c r="AN50" s="4"/>
      <c r="AO50" s="4"/>
      <c r="AP50" s="4"/>
      <c r="AQ50" s="4"/>
      <c r="AR50" s="5"/>
    </row>
    <row r="51" spans="1:44" ht="15.75" thickBot="1" x14ac:dyDescent="0.3">
      <c r="A51" s="80"/>
      <c r="B51" s="27">
        <v>37548</v>
      </c>
      <c r="C51" s="27">
        <v>40913</v>
      </c>
      <c r="D51" s="27">
        <v>40913</v>
      </c>
      <c r="E51" s="27">
        <v>42692</v>
      </c>
      <c r="F51" s="27">
        <f>SUM(C51-B51)</f>
        <v>3365</v>
      </c>
      <c r="G51" s="20">
        <f>SUM(E51-D51)</f>
        <v>1779</v>
      </c>
      <c r="H51" s="21">
        <f>SUM(F51:G51)</f>
        <v>5144</v>
      </c>
      <c r="J51" s="7" t="s">
        <v>22</v>
      </c>
      <c r="K51" s="10">
        <v>203.83</v>
      </c>
      <c r="L51" s="11">
        <v>205.94</v>
      </c>
      <c r="M51" s="11">
        <v>112.99</v>
      </c>
      <c r="N51" s="11">
        <v>188.33</v>
      </c>
      <c r="O51" s="11">
        <v>143.11000000000001</v>
      </c>
      <c r="P51" s="11">
        <v>219.02</v>
      </c>
      <c r="Q51" s="11">
        <v>190.02</v>
      </c>
      <c r="R51" s="11">
        <v>187.39</v>
      </c>
      <c r="S51" s="11">
        <v>190.14</v>
      </c>
      <c r="T51" s="11">
        <v>209.58</v>
      </c>
      <c r="U51" s="11">
        <v>92.07</v>
      </c>
      <c r="V51" s="11">
        <v>207.01</v>
      </c>
      <c r="W51" s="11"/>
      <c r="X51" s="71"/>
      <c r="Y51" s="71"/>
      <c r="Z51" s="12"/>
      <c r="AD51" s="7" t="s">
        <v>22</v>
      </c>
      <c r="AE51" s="10"/>
      <c r="AF51" s="11"/>
      <c r="AG51" s="11"/>
      <c r="AH51" s="11"/>
      <c r="AI51" s="11"/>
      <c r="AJ51" s="12"/>
      <c r="AL51" s="7" t="s">
        <v>22</v>
      </c>
      <c r="AM51" s="10"/>
      <c r="AN51" s="11"/>
      <c r="AO51" s="11"/>
      <c r="AP51" s="11"/>
      <c r="AQ51" s="11"/>
      <c r="AR51" s="12"/>
    </row>
    <row r="52" spans="1:44" x14ac:dyDescent="0.25">
      <c r="J52" s="8"/>
      <c r="W52" s="8" t="s">
        <v>23</v>
      </c>
      <c r="X52" s="8"/>
      <c r="Y52" s="8"/>
      <c r="Z52" s="13">
        <f>SUM(K51:Z51)</f>
        <v>2149.4299999999998</v>
      </c>
      <c r="AI52" s="8" t="s">
        <v>23</v>
      </c>
      <c r="AJ52" s="13">
        <f>SUM(AE51:AJ51)</f>
        <v>0</v>
      </c>
      <c r="AQ52" s="8" t="s">
        <v>23</v>
      </c>
      <c r="AR52" s="13">
        <f>SUM(AM51:AR51)</f>
        <v>0</v>
      </c>
    </row>
    <row r="53" spans="1:44" ht="15.75" thickBot="1" x14ac:dyDescent="0.3">
      <c r="A53" s="19">
        <v>2026</v>
      </c>
      <c r="B53" s="81" t="s">
        <v>86</v>
      </c>
      <c r="C53" s="81"/>
      <c r="D53" s="81"/>
      <c r="E53" s="81"/>
      <c r="F53" s="81"/>
      <c r="G53" s="81"/>
      <c r="H53" s="81"/>
      <c r="J53" s="77" t="s">
        <v>86</v>
      </c>
      <c r="K53" s="77"/>
      <c r="L53" s="77"/>
      <c r="M53" s="77"/>
      <c r="N53" s="77"/>
      <c r="O53" s="77"/>
      <c r="P53" s="77"/>
      <c r="Q53" s="77"/>
      <c r="R53" s="77"/>
      <c r="S53" s="77"/>
      <c r="T53" s="77"/>
      <c r="U53" s="77"/>
      <c r="V53" s="77"/>
      <c r="W53" s="77"/>
      <c r="X53" s="77"/>
      <c r="Y53" s="77"/>
      <c r="Z53" s="77"/>
      <c r="AD53" s="82" t="s">
        <v>86</v>
      </c>
      <c r="AE53" s="82"/>
      <c r="AF53" s="82"/>
      <c r="AG53" s="82"/>
      <c r="AH53" s="82"/>
      <c r="AI53" s="82"/>
      <c r="AJ53" s="82"/>
      <c r="AL53" s="84" t="s">
        <v>86</v>
      </c>
      <c r="AM53" s="84"/>
      <c r="AN53" s="84"/>
      <c r="AO53" s="84"/>
      <c r="AP53" s="84"/>
      <c r="AQ53" s="84"/>
      <c r="AR53" s="84"/>
    </row>
    <row r="54" spans="1:44" ht="15.75" thickBot="1" x14ac:dyDescent="0.3">
      <c r="A54" s="80" t="s">
        <v>5</v>
      </c>
      <c r="B54" s="34" t="s">
        <v>6</v>
      </c>
      <c r="C54" s="22" t="s">
        <v>7</v>
      </c>
      <c r="D54" s="33" t="s">
        <v>8</v>
      </c>
      <c r="E54" s="22" t="s">
        <v>9</v>
      </c>
      <c r="F54" s="24" t="s">
        <v>10</v>
      </c>
      <c r="G54" s="23" t="s">
        <v>11</v>
      </c>
      <c r="H54" s="25" t="s">
        <v>12</v>
      </c>
      <c r="J54" s="28" t="s">
        <v>4</v>
      </c>
      <c r="K54" s="9"/>
      <c r="L54" s="66"/>
      <c r="M54" s="66"/>
      <c r="N54" s="4"/>
      <c r="O54" s="4"/>
      <c r="P54" s="4"/>
      <c r="Q54" s="4"/>
      <c r="R54" s="4"/>
      <c r="S54" s="4"/>
      <c r="T54" s="4"/>
      <c r="U54" s="4"/>
      <c r="V54" s="4"/>
      <c r="W54" s="4"/>
      <c r="X54" s="70"/>
      <c r="Y54" s="70"/>
      <c r="Z54" s="5"/>
      <c r="AD54" s="6" t="s">
        <v>4</v>
      </c>
      <c r="AE54" s="9"/>
      <c r="AF54" s="4"/>
      <c r="AG54" s="4"/>
      <c r="AH54" s="4"/>
      <c r="AI54" s="4"/>
      <c r="AJ54" s="5"/>
      <c r="AL54" s="6" t="s">
        <v>4</v>
      </c>
      <c r="AM54" s="9"/>
      <c r="AN54" s="4"/>
      <c r="AO54" s="4"/>
      <c r="AP54" s="4"/>
      <c r="AQ54" s="4"/>
      <c r="AR54" s="5"/>
    </row>
    <row r="55" spans="1:44" ht="15.75" thickBot="1" x14ac:dyDescent="0.3">
      <c r="A55" s="80"/>
      <c r="B55" s="27">
        <v>42692</v>
      </c>
      <c r="C55" s="27"/>
      <c r="D55" s="27"/>
      <c r="E55" s="27">
        <v>48144</v>
      </c>
      <c r="F55" s="27">
        <f>SUM(C55-B55)</f>
        <v>-42692</v>
      </c>
      <c r="G55" s="20">
        <f>SUM(E55-D55)</f>
        <v>48144</v>
      </c>
      <c r="H55" s="21">
        <f>SUM(F55:G55)</f>
        <v>5452</v>
      </c>
      <c r="J55" s="29" t="s">
        <v>22</v>
      </c>
      <c r="K55" s="10"/>
      <c r="L55" s="11"/>
      <c r="M55" s="11"/>
      <c r="N55" s="11"/>
      <c r="O55" s="11"/>
      <c r="P55" s="11"/>
      <c r="Q55" s="11"/>
      <c r="R55" s="11"/>
      <c r="S55" s="11"/>
      <c r="T55" s="11"/>
      <c r="U55" s="11"/>
      <c r="V55" s="11"/>
      <c r="W55" s="11"/>
      <c r="X55" s="71"/>
      <c r="Y55" s="71"/>
      <c r="Z55" s="12"/>
      <c r="AD55" s="7" t="s">
        <v>22</v>
      </c>
      <c r="AE55" s="10"/>
      <c r="AF55" s="11"/>
      <c r="AG55" s="11"/>
      <c r="AH55" s="11"/>
      <c r="AI55" s="11"/>
      <c r="AJ55" s="12"/>
      <c r="AL55" s="7" t="s">
        <v>22</v>
      </c>
      <c r="AM55" s="10"/>
      <c r="AN55" s="11"/>
      <c r="AO55" s="11"/>
      <c r="AP55" s="11"/>
      <c r="AQ55" s="11"/>
      <c r="AR55" s="12"/>
    </row>
    <row r="56" spans="1:44" x14ac:dyDescent="0.25">
      <c r="J56" s="8"/>
      <c r="W56" s="8" t="s">
        <v>23</v>
      </c>
      <c r="X56" s="8"/>
      <c r="Y56" s="8"/>
      <c r="Z56" s="13">
        <f>SUM(K55:Z55)</f>
        <v>0</v>
      </c>
      <c r="AI56" s="8" t="s">
        <v>23</v>
      </c>
      <c r="AJ56" s="13">
        <f>SUM(AE55:AJ55)</f>
        <v>0</v>
      </c>
      <c r="AQ56" s="8" t="s">
        <v>23</v>
      </c>
      <c r="AR56" s="13">
        <f>SUM(AM55:AR55)</f>
        <v>0</v>
      </c>
    </row>
    <row r="57" spans="1:44" ht="15.75" thickBot="1" x14ac:dyDescent="0.3">
      <c r="A57" s="19"/>
      <c r="B57" s="81" t="s">
        <v>3</v>
      </c>
      <c r="C57" s="81"/>
      <c r="D57" s="81"/>
      <c r="E57" s="81"/>
      <c r="F57" s="81"/>
      <c r="G57" s="81"/>
      <c r="H57" s="81"/>
      <c r="J57" s="77" t="s">
        <v>3</v>
      </c>
      <c r="K57" s="77"/>
      <c r="L57" s="77"/>
      <c r="M57" s="77"/>
      <c r="N57" s="77"/>
      <c r="O57" s="77"/>
      <c r="P57" s="77"/>
      <c r="Q57" s="77"/>
      <c r="R57" s="77"/>
      <c r="S57" s="77"/>
      <c r="T57" s="77"/>
      <c r="U57" s="77"/>
      <c r="V57" s="77"/>
      <c r="W57" s="77"/>
      <c r="X57" s="77"/>
      <c r="Y57" s="77"/>
      <c r="Z57" s="77"/>
      <c r="AD57" s="82" t="s">
        <v>3</v>
      </c>
      <c r="AE57" s="82"/>
      <c r="AF57" s="82"/>
      <c r="AG57" s="82"/>
      <c r="AH57" s="82"/>
      <c r="AI57" s="82"/>
      <c r="AJ57" s="82"/>
      <c r="AL57" s="84" t="s">
        <v>3</v>
      </c>
      <c r="AM57" s="84"/>
      <c r="AN57" s="84"/>
      <c r="AO57" s="84"/>
      <c r="AP57" s="84"/>
      <c r="AQ57" s="84"/>
      <c r="AR57" s="84"/>
    </row>
    <row r="58" spans="1:44" ht="15.75" thickBot="1" x14ac:dyDescent="0.3">
      <c r="A58" s="80" t="s">
        <v>5</v>
      </c>
      <c r="B58" s="34" t="s">
        <v>6</v>
      </c>
      <c r="C58" s="22" t="s">
        <v>7</v>
      </c>
      <c r="D58" s="33" t="s">
        <v>8</v>
      </c>
      <c r="E58" s="22" t="s">
        <v>9</v>
      </c>
      <c r="F58" s="24" t="s">
        <v>10</v>
      </c>
      <c r="G58" s="23" t="s">
        <v>11</v>
      </c>
      <c r="H58" s="25" t="s">
        <v>12</v>
      </c>
      <c r="J58" s="28" t="s">
        <v>4</v>
      </c>
      <c r="K58" s="9"/>
      <c r="L58" s="66"/>
      <c r="M58" s="66"/>
      <c r="N58" s="4"/>
      <c r="O58" s="4"/>
      <c r="P58" s="4"/>
      <c r="Q58" s="4"/>
      <c r="R58" s="4"/>
      <c r="S58" s="4"/>
      <c r="T58" s="4"/>
      <c r="U58" s="4"/>
      <c r="V58" s="4"/>
      <c r="W58" s="4"/>
      <c r="X58" s="70"/>
      <c r="Y58" s="70"/>
      <c r="Z58" s="5"/>
      <c r="AD58" s="6" t="s">
        <v>4</v>
      </c>
      <c r="AE58" s="9"/>
      <c r="AF58" s="4"/>
      <c r="AG58" s="4"/>
      <c r="AH58" s="4"/>
      <c r="AI58" s="4"/>
      <c r="AJ58" s="5"/>
      <c r="AL58" s="6" t="s">
        <v>4</v>
      </c>
      <c r="AM58" s="9"/>
      <c r="AN58" s="4"/>
      <c r="AO58" s="4"/>
      <c r="AP58" s="4"/>
      <c r="AQ58" s="4"/>
      <c r="AR58" s="5"/>
    </row>
    <row r="59" spans="1:44" ht="15.75" thickBot="1" x14ac:dyDescent="0.3">
      <c r="A59" s="80"/>
      <c r="B59" s="27">
        <v>48144</v>
      </c>
      <c r="C59" s="27"/>
      <c r="D59" s="27"/>
      <c r="E59" s="27">
        <v>53272</v>
      </c>
      <c r="F59" s="27">
        <f>SUM(C59-B59)</f>
        <v>-48144</v>
      </c>
      <c r="G59" s="20">
        <f>SUM(E59-D59)</f>
        <v>53272</v>
      </c>
      <c r="H59" s="21">
        <f>SUM(F59:G59)</f>
        <v>5128</v>
      </c>
      <c r="J59" s="29" t="s">
        <v>22</v>
      </c>
      <c r="K59" s="10"/>
      <c r="L59" s="11"/>
      <c r="M59" s="11"/>
      <c r="N59" s="11"/>
      <c r="O59" s="11"/>
      <c r="P59" s="11"/>
      <c r="Q59" s="11"/>
      <c r="R59" s="11"/>
      <c r="S59" s="11"/>
      <c r="T59" s="11"/>
      <c r="U59" s="11"/>
      <c r="V59" s="11"/>
      <c r="W59" s="11"/>
      <c r="X59" s="71"/>
      <c r="Y59" s="71"/>
      <c r="Z59" s="12"/>
      <c r="AD59" s="7" t="s">
        <v>22</v>
      </c>
      <c r="AE59" s="10"/>
      <c r="AF59" s="11"/>
      <c r="AG59" s="11"/>
      <c r="AH59" s="11"/>
      <c r="AI59" s="11"/>
      <c r="AJ59" s="12"/>
      <c r="AL59" s="7" t="s">
        <v>22</v>
      </c>
      <c r="AM59" s="10"/>
      <c r="AN59" s="11"/>
      <c r="AO59" s="11"/>
      <c r="AP59" s="11"/>
      <c r="AQ59" s="11"/>
      <c r="AR59" s="12"/>
    </row>
    <row r="60" spans="1:44" x14ac:dyDescent="0.25">
      <c r="J60" s="8"/>
      <c r="W60" s="8" t="s">
        <v>23</v>
      </c>
      <c r="X60" s="8"/>
      <c r="Y60" s="8"/>
      <c r="Z60" s="13">
        <f>SUM(K59:Z59)</f>
        <v>0</v>
      </c>
      <c r="AI60" s="8" t="s">
        <v>23</v>
      </c>
      <c r="AJ60" s="13">
        <f>SUM(AE59:AJ59)</f>
        <v>0</v>
      </c>
      <c r="AQ60" s="8" t="s">
        <v>23</v>
      </c>
      <c r="AR60" s="13">
        <f>SUM(AM59:AR59)</f>
        <v>0</v>
      </c>
    </row>
    <row r="61" spans="1:44" ht="15.75" thickBot="1" x14ac:dyDescent="0.3">
      <c r="A61" s="19"/>
      <c r="B61" s="81" t="s">
        <v>13</v>
      </c>
      <c r="C61" s="81"/>
      <c r="D61" s="81"/>
      <c r="E61" s="81"/>
      <c r="F61" s="81"/>
      <c r="G61" s="81"/>
      <c r="H61" s="81"/>
      <c r="J61" s="77" t="s">
        <v>13</v>
      </c>
      <c r="K61" s="77"/>
      <c r="L61" s="77"/>
      <c r="M61" s="77"/>
      <c r="N61" s="77"/>
      <c r="O61" s="77"/>
      <c r="P61" s="77"/>
      <c r="Q61" s="77"/>
      <c r="R61" s="77"/>
      <c r="S61" s="77"/>
      <c r="T61" s="77"/>
      <c r="U61" s="77"/>
      <c r="V61" s="77"/>
      <c r="W61" s="77"/>
      <c r="X61" s="77"/>
      <c r="Y61" s="77"/>
      <c r="Z61" s="77"/>
      <c r="AD61" s="82" t="str">
        <f>J61</f>
        <v>Março</v>
      </c>
      <c r="AE61" s="82"/>
      <c r="AF61" s="82"/>
      <c r="AG61" s="82"/>
      <c r="AH61" s="82"/>
      <c r="AI61" s="82"/>
      <c r="AJ61" s="82"/>
      <c r="AL61" s="84" t="str">
        <f>AD61</f>
        <v>Março</v>
      </c>
      <c r="AM61" s="84"/>
      <c r="AN61" s="84"/>
      <c r="AO61" s="84"/>
      <c r="AP61" s="84"/>
      <c r="AQ61" s="84"/>
      <c r="AR61" s="84"/>
    </row>
    <row r="62" spans="1:44" ht="15.75" thickBot="1" x14ac:dyDescent="0.3">
      <c r="A62" s="80" t="s">
        <v>5</v>
      </c>
      <c r="B62" s="34" t="s">
        <v>6</v>
      </c>
      <c r="C62" s="22" t="s">
        <v>7</v>
      </c>
      <c r="D62" s="33" t="s">
        <v>8</v>
      </c>
      <c r="E62" s="22" t="s">
        <v>9</v>
      </c>
      <c r="F62" s="24" t="s">
        <v>10</v>
      </c>
      <c r="G62" s="23" t="s">
        <v>11</v>
      </c>
      <c r="H62" s="25" t="s">
        <v>12</v>
      </c>
      <c r="J62" s="6" t="s">
        <v>4</v>
      </c>
      <c r="K62" s="9"/>
      <c r="L62" s="66"/>
      <c r="M62" s="66"/>
      <c r="N62" s="4"/>
      <c r="O62" s="4"/>
      <c r="P62" s="4"/>
      <c r="Q62" s="4"/>
      <c r="R62" s="4"/>
      <c r="S62" s="4"/>
      <c r="T62" s="4"/>
      <c r="U62" s="4"/>
      <c r="V62" s="4"/>
      <c r="W62" s="4"/>
      <c r="X62" s="70"/>
      <c r="Y62" s="70"/>
      <c r="Z62" s="5"/>
      <c r="AD62" s="6" t="s">
        <v>4</v>
      </c>
      <c r="AE62" s="9">
        <v>46088</v>
      </c>
      <c r="AF62" s="4"/>
      <c r="AG62" s="4"/>
      <c r="AH62" s="4"/>
      <c r="AI62" s="4"/>
      <c r="AJ62" s="5"/>
      <c r="AL62" s="6" t="s">
        <v>4</v>
      </c>
      <c r="AM62" s="9"/>
      <c r="AN62" s="4"/>
      <c r="AO62" s="4"/>
      <c r="AP62" s="4"/>
      <c r="AQ62" s="4"/>
      <c r="AR62" s="5"/>
    </row>
    <row r="63" spans="1:44" ht="15.75" thickBot="1" x14ac:dyDescent="0.3">
      <c r="A63" s="80"/>
      <c r="B63" s="27">
        <v>53272</v>
      </c>
      <c r="C63" s="27"/>
      <c r="D63" s="27"/>
      <c r="E63" s="27">
        <v>60689</v>
      </c>
      <c r="F63" s="27">
        <f>SUM(C63-B63)</f>
        <v>-53272</v>
      </c>
      <c r="G63" s="20">
        <f>SUM(E63-D63)</f>
        <v>60689</v>
      </c>
      <c r="H63" s="21">
        <f>SUM(F63:G63)</f>
        <v>7417</v>
      </c>
      <c r="J63" s="7" t="s">
        <v>22</v>
      </c>
      <c r="K63" s="10"/>
      <c r="L63" s="11"/>
      <c r="M63" s="11"/>
      <c r="N63" s="11"/>
      <c r="O63" s="11"/>
      <c r="P63" s="11"/>
      <c r="Q63" s="11"/>
      <c r="R63" s="11"/>
      <c r="S63" s="11"/>
      <c r="T63" s="11"/>
      <c r="U63" s="11"/>
      <c r="V63" s="11"/>
      <c r="W63" s="11"/>
      <c r="X63" s="71"/>
      <c r="Y63" s="71"/>
      <c r="Z63" s="12"/>
      <c r="AD63" s="7" t="s">
        <v>22</v>
      </c>
      <c r="AE63" s="10">
        <v>60</v>
      </c>
      <c r="AF63" s="11"/>
      <c r="AG63" s="11"/>
      <c r="AH63" s="11"/>
      <c r="AI63" s="11"/>
      <c r="AJ63" s="12"/>
      <c r="AL63" s="7" t="s">
        <v>22</v>
      </c>
      <c r="AM63" s="10"/>
      <c r="AN63" s="11"/>
      <c r="AO63" s="11"/>
      <c r="AP63" s="11"/>
      <c r="AQ63" s="11"/>
      <c r="AR63" s="12"/>
    </row>
    <row r="64" spans="1:44" x14ac:dyDescent="0.25">
      <c r="J64" s="8"/>
      <c r="W64" s="8" t="s">
        <v>23</v>
      </c>
      <c r="X64" s="8"/>
      <c r="Y64" s="8"/>
      <c r="Z64" s="13">
        <f>SUM(K63:Z63)</f>
        <v>0</v>
      </c>
      <c r="AI64" s="8" t="s">
        <v>23</v>
      </c>
      <c r="AJ64" s="13">
        <f>SUM(AE63:AJ63)</f>
        <v>60</v>
      </c>
      <c r="AQ64" s="8" t="s">
        <v>23</v>
      </c>
      <c r="AR64" s="13">
        <f>SUM(AM63:AR63)</f>
        <v>0</v>
      </c>
    </row>
    <row r="65" spans="1:44" ht="15.75" thickBot="1" x14ac:dyDescent="0.3">
      <c r="A65" s="19"/>
      <c r="B65" s="81" t="s">
        <v>14</v>
      </c>
      <c r="C65" s="81"/>
      <c r="D65" s="81"/>
      <c r="E65" s="81"/>
      <c r="F65" s="81"/>
      <c r="G65" s="81"/>
      <c r="H65" s="81"/>
      <c r="J65" s="77" t="s">
        <v>14</v>
      </c>
      <c r="K65" s="77"/>
      <c r="L65" s="77"/>
      <c r="M65" s="77"/>
      <c r="N65" s="77"/>
      <c r="O65" s="77"/>
      <c r="P65" s="77"/>
      <c r="Q65" s="77"/>
      <c r="R65" s="77"/>
      <c r="S65" s="77"/>
      <c r="T65" s="77"/>
      <c r="U65" s="77"/>
      <c r="V65" s="77"/>
      <c r="W65" s="77"/>
      <c r="X65" s="77"/>
      <c r="Y65" s="77"/>
      <c r="Z65" s="77"/>
      <c r="AD65" s="82" t="str">
        <f>J65</f>
        <v>Abril</v>
      </c>
      <c r="AE65" s="82"/>
      <c r="AF65" s="82"/>
      <c r="AG65" s="82"/>
      <c r="AH65" s="82"/>
      <c r="AI65" s="82"/>
      <c r="AJ65" s="82"/>
      <c r="AL65" s="84" t="str">
        <f>AD65</f>
        <v>Abril</v>
      </c>
      <c r="AM65" s="84"/>
      <c r="AN65" s="84"/>
      <c r="AO65" s="84"/>
      <c r="AP65" s="84"/>
      <c r="AQ65" s="84"/>
      <c r="AR65" s="84"/>
    </row>
    <row r="66" spans="1:44" ht="15.75" thickBot="1" x14ac:dyDescent="0.3">
      <c r="A66" s="80"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4"/>
      <c r="V66" s="4"/>
      <c r="W66" s="4"/>
      <c r="X66" s="70"/>
      <c r="Y66" s="70"/>
      <c r="Z66" s="5"/>
      <c r="AD66" s="6" t="s">
        <v>4</v>
      </c>
      <c r="AE66" s="9"/>
      <c r="AF66" s="4"/>
      <c r="AG66" s="4"/>
      <c r="AH66" s="4"/>
      <c r="AI66" s="4"/>
      <c r="AJ66" s="5"/>
      <c r="AL66" s="6" t="s">
        <v>4</v>
      </c>
      <c r="AM66" s="9"/>
      <c r="AN66" s="4"/>
      <c r="AO66" s="4"/>
      <c r="AP66" s="4"/>
      <c r="AQ66" s="4"/>
      <c r="AR66" s="5"/>
    </row>
    <row r="67" spans="1:44" ht="15.75" thickBot="1" x14ac:dyDescent="0.3">
      <c r="A67" s="80"/>
      <c r="B67" s="27">
        <v>60689</v>
      </c>
      <c r="C67" s="27"/>
      <c r="D67" s="27"/>
      <c r="E67" s="27">
        <v>68008</v>
      </c>
      <c r="F67" s="27">
        <f>SUM(C67-B67)</f>
        <v>-60689</v>
      </c>
      <c r="G67" s="20">
        <f>SUM(E67-D67)</f>
        <v>68008</v>
      </c>
      <c r="H67" s="21">
        <f>SUM(F67:G67)</f>
        <v>7319</v>
      </c>
      <c r="J67" s="7" t="s">
        <v>22</v>
      </c>
      <c r="K67" s="30"/>
      <c r="L67" s="31"/>
      <c r="M67" s="31"/>
      <c r="N67" s="31"/>
      <c r="O67" s="31"/>
      <c r="P67" s="31"/>
      <c r="Q67" s="31"/>
      <c r="R67" s="31"/>
      <c r="S67" s="31"/>
      <c r="T67" s="31"/>
      <c r="U67" s="31"/>
      <c r="V67" s="31"/>
      <c r="W67" s="31"/>
      <c r="X67" s="72"/>
      <c r="Y67" s="72"/>
      <c r="Z67" s="32"/>
      <c r="AD67" s="7" t="s">
        <v>22</v>
      </c>
      <c r="AE67" s="10"/>
      <c r="AF67" s="11"/>
      <c r="AG67" s="11"/>
      <c r="AH67" s="11"/>
      <c r="AI67" s="11"/>
      <c r="AJ67" s="12"/>
      <c r="AL67" s="7" t="s">
        <v>22</v>
      </c>
      <c r="AM67" s="10"/>
      <c r="AN67" s="11"/>
      <c r="AO67" s="11"/>
      <c r="AP67" s="11"/>
      <c r="AQ67" s="11"/>
      <c r="AR67" s="12"/>
    </row>
    <row r="68" spans="1:44" x14ac:dyDescent="0.25">
      <c r="J68" s="8"/>
      <c r="W68" s="8" t="s">
        <v>23</v>
      </c>
      <c r="X68" s="8"/>
      <c r="Y68" s="8"/>
      <c r="Z68" s="13">
        <f>SUM(K67:Z67)</f>
        <v>0</v>
      </c>
      <c r="AI68" s="8" t="s">
        <v>23</v>
      </c>
      <c r="AJ68" s="13">
        <f>SUM(AE67:AJ67)</f>
        <v>0</v>
      </c>
      <c r="AQ68" s="8" t="s">
        <v>23</v>
      </c>
      <c r="AR68" s="13">
        <f>SUM(AM67:AR67)</f>
        <v>0</v>
      </c>
    </row>
    <row r="69" spans="1:44" ht="15.75" thickBot="1" x14ac:dyDescent="0.3">
      <c r="A69" s="19"/>
      <c r="B69" s="81" t="s">
        <v>15</v>
      </c>
      <c r="C69" s="81"/>
      <c r="D69" s="81"/>
      <c r="E69" s="81"/>
      <c r="F69" s="81"/>
      <c r="G69" s="81"/>
      <c r="H69" s="81"/>
      <c r="J69" s="77" t="s">
        <v>15</v>
      </c>
      <c r="K69" s="77"/>
      <c r="L69" s="77"/>
      <c r="M69" s="77"/>
      <c r="N69" s="77"/>
      <c r="O69" s="77"/>
      <c r="P69" s="77"/>
      <c r="Q69" s="77"/>
      <c r="R69" s="77"/>
      <c r="S69" s="77"/>
      <c r="T69" s="77"/>
      <c r="U69" s="77"/>
      <c r="V69" s="77"/>
      <c r="W69" s="77"/>
      <c r="X69" s="77"/>
      <c r="Y69" s="77"/>
      <c r="Z69" s="77"/>
      <c r="AD69" s="82" t="str">
        <f>J69</f>
        <v>Maio</v>
      </c>
      <c r="AE69" s="82"/>
      <c r="AF69" s="82"/>
      <c r="AG69" s="82"/>
      <c r="AH69" s="82"/>
      <c r="AI69" s="82"/>
      <c r="AJ69" s="82"/>
      <c r="AL69" s="84" t="str">
        <f>AD69</f>
        <v>Maio</v>
      </c>
      <c r="AM69" s="84"/>
      <c r="AN69" s="84"/>
      <c r="AO69" s="84"/>
      <c r="AP69" s="84"/>
      <c r="AQ69" s="84"/>
      <c r="AR69" s="84"/>
    </row>
    <row r="70" spans="1:44" ht="15.75" thickBot="1" x14ac:dyDescent="0.3">
      <c r="A70" s="80"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4"/>
      <c r="V70" s="4"/>
      <c r="W70" s="4"/>
      <c r="X70" s="70"/>
      <c r="Y70" s="70"/>
      <c r="Z70" s="5"/>
      <c r="AD70" s="6" t="s">
        <v>4</v>
      </c>
      <c r="AE70" s="9"/>
      <c r="AF70" s="4"/>
      <c r="AG70" s="4"/>
      <c r="AH70" s="4"/>
      <c r="AI70" s="4"/>
      <c r="AJ70" s="5"/>
      <c r="AL70" s="6" t="s">
        <v>4</v>
      </c>
      <c r="AM70" s="9"/>
      <c r="AN70" s="4"/>
      <c r="AO70" s="4"/>
      <c r="AP70" s="4"/>
      <c r="AQ70" s="4"/>
      <c r="AR70" s="5"/>
    </row>
    <row r="71" spans="1:44" ht="15.75" thickBot="1" x14ac:dyDescent="0.3">
      <c r="A71" s="80"/>
      <c r="B71" s="27">
        <v>68008</v>
      </c>
      <c r="C71" s="27"/>
      <c r="D71" s="27"/>
      <c r="E71" s="27">
        <v>73470</v>
      </c>
      <c r="F71" s="27">
        <f>SUM(C71-B71)</f>
        <v>-68008</v>
      </c>
      <c r="G71" s="20">
        <f>SUM(E71-D71)</f>
        <v>73470</v>
      </c>
      <c r="H71" s="21">
        <f>SUM(F71:G71)</f>
        <v>5462</v>
      </c>
      <c r="J71" s="7" t="s">
        <v>22</v>
      </c>
      <c r="K71" s="10"/>
      <c r="L71" s="11"/>
      <c r="M71" s="11"/>
      <c r="N71" s="11"/>
      <c r="O71" s="11"/>
      <c r="P71" s="11"/>
      <c r="Q71" s="11"/>
      <c r="R71" s="11"/>
      <c r="S71" s="11"/>
      <c r="T71" s="11"/>
      <c r="U71" s="11"/>
      <c r="V71" s="11"/>
      <c r="W71" s="11"/>
      <c r="X71" s="71"/>
      <c r="Y71" s="71"/>
      <c r="Z71" s="12"/>
      <c r="AD71" s="7" t="s">
        <v>22</v>
      </c>
      <c r="AE71" s="10"/>
      <c r="AF71" s="11"/>
      <c r="AG71" s="11"/>
      <c r="AH71" s="11"/>
      <c r="AI71" s="11"/>
      <c r="AJ71" s="12"/>
      <c r="AL71" s="7" t="s">
        <v>22</v>
      </c>
      <c r="AM71" s="10"/>
      <c r="AN71" s="11"/>
      <c r="AO71" s="11"/>
      <c r="AP71" s="11"/>
      <c r="AQ71" s="11"/>
      <c r="AR71" s="12"/>
    </row>
    <row r="72" spans="1:44" x14ac:dyDescent="0.25">
      <c r="J72" s="8"/>
      <c r="W72" s="8" t="s">
        <v>23</v>
      </c>
      <c r="X72" s="8"/>
      <c r="Y72" s="8"/>
      <c r="Z72" s="13">
        <f>SUM(K71:Z71)</f>
        <v>0</v>
      </c>
      <c r="AI72" s="8" t="s">
        <v>23</v>
      </c>
      <c r="AJ72" s="13">
        <f>SUM(AE71:AJ71)</f>
        <v>0</v>
      </c>
      <c r="AQ72" s="8" t="s">
        <v>23</v>
      </c>
      <c r="AR72" s="13">
        <f>SUM(AM71:AR71)</f>
        <v>0</v>
      </c>
    </row>
    <row r="73" spans="1:44" ht="15.75" thickBot="1" x14ac:dyDescent="0.3">
      <c r="A73" s="19"/>
      <c r="B73" s="81" t="s">
        <v>24</v>
      </c>
      <c r="C73" s="81"/>
      <c r="D73" s="81"/>
      <c r="E73" s="81"/>
      <c r="F73" s="81"/>
      <c r="G73" s="81"/>
      <c r="H73" s="81"/>
      <c r="J73" s="77" t="s">
        <v>24</v>
      </c>
      <c r="K73" s="77"/>
      <c r="L73" s="77"/>
      <c r="M73" s="77"/>
      <c r="N73" s="77"/>
      <c r="O73" s="77"/>
      <c r="P73" s="77"/>
      <c r="Q73" s="77"/>
      <c r="R73" s="77"/>
      <c r="S73" s="77"/>
      <c r="T73" s="77"/>
      <c r="U73" s="77"/>
      <c r="V73" s="77"/>
      <c r="W73" s="77"/>
      <c r="X73" s="77"/>
      <c r="Y73" s="77"/>
      <c r="Z73" s="77"/>
      <c r="AD73" s="82" t="str">
        <f>J73</f>
        <v>Junho</v>
      </c>
      <c r="AE73" s="82"/>
      <c r="AF73" s="82"/>
      <c r="AG73" s="82"/>
      <c r="AH73" s="82"/>
      <c r="AI73" s="82"/>
      <c r="AJ73" s="82"/>
      <c r="AL73" s="84" t="str">
        <f>AD73</f>
        <v>Junho</v>
      </c>
      <c r="AM73" s="84"/>
      <c r="AN73" s="84"/>
      <c r="AO73" s="84"/>
      <c r="AP73" s="84"/>
      <c r="AQ73" s="84"/>
      <c r="AR73" s="84"/>
    </row>
    <row r="74" spans="1:44" ht="15.75" thickBot="1" x14ac:dyDescent="0.3">
      <c r="A74" s="80"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4"/>
      <c r="V74" s="4"/>
      <c r="W74" s="4"/>
      <c r="X74" s="70"/>
      <c r="Y74" s="70"/>
      <c r="Z74" s="5"/>
      <c r="AD74" s="6" t="s">
        <v>4</v>
      </c>
      <c r="AE74" s="9"/>
      <c r="AF74" s="4"/>
      <c r="AG74" s="4"/>
      <c r="AH74" s="4"/>
      <c r="AI74" s="4"/>
      <c r="AJ74" s="5"/>
      <c r="AL74" s="6" t="s">
        <v>4</v>
      </c>
      <c r="AM74" s="9"/>
      <c r="AN74" s="4"/>
      <c r="AO74" s="4"/>
      <c r="AP74" s="4"/>
      <c r="AQ74" s="4"/>
      <c r="AR74" s="5"/>
    </row>
    <row r="75" spans="1:44" ht="15.75" thickBot="1" x14ac:dyDescent="0.3">
      <c r="A75" s="80"/>
      <c r="B75" s="26"/>
      <c r="C75" s="27"/>
      <c r="D75" s="27"/>
      <c r="E75" s="27"/>
      <c r="F75" s="27">
        <f>SUM(C75-B75)</f>
        <v>0</v>
      </c>
      <c r="G75" s="20">
        <f>SUM(E75-D75)</f>
        <v>0</v>
      </c>
      <c r="H75" s="21">
        <f>SUM(F75:G75)</f>
        <v>0</v>
      </c>
      <c r="J75" s="7" t="s">
        <v>22</v>
      </c>
      <c r="K75" s="10"/>
      <c r="L75" s="11"/>
      <c r="M75" s="11"/>
      <c r="N75" s="11"/>
      <c r="O75" s="11"/>
      <c r="P75" s="11"/>
      <c r="Q75" s="11"/>
      <c r="R75" s="11"/>
      <c r="S75" s="11"/>
      <c r="T75" s="11"/>
      <c r="U75" s="11"/>
      <c r="V75" s="11"/>
      <c r="W75" s="11"/>
      <c r="X75" s="71"/>
      <c r="Y75" s="71"/>
      <c r="Z75" s="12"/>
      <c r="AD75" s="7" t="s">
        <v>22</v>
      </c>
      <c r="AE75" s="10"/>
      <c r="AF75" s="11"/>
      <c r="AG75" s="11"/>
      <c r="AH75" s="11"/>
      <c r="AI75" s="11"/>
      <c r="AJ75" s="12"/>
      <c r="AL75" s="7" t="s">
        <v>22</v>
      </c>
      <c r="AM75" s="10"/>
      <c r="AN75" s="11"/>
      <c r="AO75" s="11"/>
      <c r="AP75" s="11"/>
      <c r="AQ75" s="11"/>
      <c r="AR75" s="12"/>
    </row>
    <row r="76" spans="1:44" x14ac:dyDescent="0.25">
      <c r="J76" s="8"/>
      <c r="W76" s="8" t="s">
        <v>23</v>
      </c>
      <c r="X76" s="8"/>
      <c r="Y76" s="8"/>
      <c r="Z76" s="13">
        <f>SUM(K75:Z75)</f>
        <v>0</v>
      </c>
      <c r="AI76" s="8" t="s">
        <v>23</v>
      </c>
      <c r="AJ76" s="13">
        <f>SUM(AE75:AJ75)</f>
        <v>0</v>
      </c>
      <c r="AQ76" s="8" t="s">
        <v>23</v>
      </c>
      <c r="AR76" s="13">
        <f>SUM(AM75:AR75)</f>
        <v>0</v>
      </c>
    </row>
  </sheetData>
  <mergeCells count="95">
    <mergeCell ref="B73:H73"/>
    <mergeCell ref="J73:Z73"/>
    <mergeCell ref="AD73:AJ73"/>
    <mergeCell ref="AL73:AR73"/>
    <mergeCell ref="A74:A75"/>
    <mergeCell ref="B69:H69"/>
    <mergeCell ref="J69:Z69"/>
    <mergeCell ref="AD69:AJ69"/>
    <mergeCell ref="AL69:AR69"/>
    <mergeCell ref="A70:A71"/>
    <mergeCell ref="B65:H65"/>
    <mergeCell ref="J65:Z65"/>
    <mergeCell ref="AD65:AJ65"/>
    <mergeCell ref="AL65:AR65"/>
    <mergeCell ref="A66:A67"/>
    <mergeCell ref="B61:H61"/>
    <mergeCell ref="J61:Z61"/>
    <mergeCell ref="AD61:AJ61"/>
    <mergeCell ref="AL61:AR61"/>
    <mergeCell ref="A62:A63"/>
    <mergeCell ref="B57:H57"/>
    <mergeCell ref="J57:Z57"/>
    <mergeCell ref="AD57:AJ57"/>
    <mergeCell ref="AL57:AR57"/>
    <mergeCell ref="A58:A59"/>
    <mergeCell ref="B53:H53"/>
    <mergeCell ref="J53:Z53"/>
    <mergeCell ref="AD53:AJ53"/>
    <mergeCell ref="AL53:AR53"/>
    <mergeCell ref="A54:A55"/>
    <mergeCell ref="E3:F3"/>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AL7:AR7"/>
    <mergeCell ref="AL9:AR9"/>
    <mergeCell ref="AL13:AR13"/>
    <mergeCell ref="AL17:AR17"/>
    <mergeCell ref="AL49:AR49"/>
    <mergeCell ref="AL25:AR25"/>
    <mergeCell ref="AL29:AR29"/>
    <mergeCell ref="AL33:AR33"/>
    <mergeCell ref="AL37:AR37"/>
    <mergeCell ref="AL41:AR41"/>
    <mergeCell ref="AL45:AR45"/>
    <mergeCell ref="AL21:AR21"/>
    <mergeCell ref="AD7:AJ7"/>
    <mergeCell ref="AD13:AJ13"/>
    <mergeCell ref="AD17:AJ17"/>
    <mergeCell ref="AD21:AJ21"/>
    <mergeCell ref="AD25:AJ25"/>
    <mergeCell ref="J45:Z45"/>
    <mergeCell ref="J49:Z49"/>
    <mergeCell ref="AD9:AJ9"/>
    <mergeCell ref="J13:Z13"/>
    <mergeCell ref="J17:Z17"/>
    <mergeCell ref="J21:Z21"/>
    <mergeCell ref="J25:Z25"/>
    <mergeCell ref="J29:Z29"/>
    <mergeCell ref="J33:Z33"/>
    <mergeCell ref="J9:Z9"/>
    <mergeCell ref="AD49:AJ49"/>
    <mergeCell ref="AD29:AJ29"/>
    <mergeCell ref="AD33:AJ33"/>
    <mergeCell ref="AD37:AJ37"/>
    <mergeCell ref="AD41:AJ41"/>
    <mergeCell ref="AD45:AJ45"/>
    <mergeCell ref="B2:C2"/>
    <mergeCell ref="E2:F2"/>
    <mergeCell ref="B4:C4"/>
    <mergeCell ref="J37:Z37"/>
    <mergeCell ref="J41:Z41"/>
    <mergeCell ref="J7:Z7"/>
    <mergeCell ref="A7:H7"/>
    <mergeCell ref="A10:A11"/>
    <mergeCell ref="A14:A15"/>
    <mergeCell ref="A18:A19"/>
    <mergeCell ref="B9:H9"/>
    <mergeCell ref="B13:H13"/>
    <mergeCell ref="B17:H17"/>
    <mergeCell ref="B21:H21"/>
    <mergeCell ref="A22:A23"/>
    <mergeCell ref="B3:C3"/>
  </mergeCells>
  <phoneticPr fontId="3" type="noConversion"/>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8.85546875" customWidth="1"/>
    <col min="11" max="11" width="12.140625" bestFit="1" customWidth="1"/>
    <col min="12" max="13" width="10.42578125" bestFit="1" customWidth="1"/>
    <col min="14" max="14" width="13.28515625" bestFit="1" customWidth="1"/>
    <col min="21" max="21" width="13.285156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75"/>
      <c r="C2" s="75"/>
      <c r="D2" s="1" t="s">
        <v>1</v>
      </c>
      <c r="E2" s="75"/>
      <c r="F2" s="75"/>
      <c r="H2" t="s">
        <v>45</v>
      </c>
      <c r="I2" s="54"/>
    </row>
    <row r="3" spans="1:37" x14ac:dyDescent="0.25">
      <c r="A3" t="s">
        <v>80</v>
      </c>
      <c r="B3" s="75"/>
      <c r="C3" s="75"/>
      <c r="D3" s="1" t="s">
        <v>1</v>
      </c>
      <c r="E3" s="75"/>
      <c r="F3" s="75"/>
      <c r="H3" t="s">
        <v>81</v>
      </c>
      <c r="I3" s="54"/>
    </row>
    <row r="4" spans="1:37" x14ac:dyDescent="0.25">
      <c r="A4" t="s">
        <v>2</v>
      </c>
      <c r="B4" s="76"/>
      <c r="C4" s="76"/>
      <c r="D4" s="1" t="s">
        <v>29</v>
      </c>
      <c r="E4" s="75"/>
      <c r="F4" s="75"/>
      <c r="H4" t="s">
        <v>70</v>
      </c>
      <c r="I4" s="67"/>
    </row>
    <row r="7" spans="1:37" ht="21" x14ac:dyDescent="0.35">
      <c r="A7" s="79" t="s">
        <v>28</v>
      </c>
      <c r="B7" s="79"/>
      <c r="C7" s="79"/>
      <c r="D7" s="79"/>
      <c r="E7" s="79"/>
      <c r="F7" s="79"/>
      <c r="G7" s="79"/>
      <c r="H7" s="79"/>
      <c r="J7" s="78" t="s">
        <v>26</v>
      </c>
      <c r="K7" s="78"/>
      <c r="L7" s="78"/>
      <c r="M7" s="78"/>
      <c r="N7" s="78"/>
      <c r="O7" s="78"/>
      <c r="P7" s="78"/>
      <c r="Q7" s="78"/>
      <c r="R7" s="78"/>
      <c r="S7" s="78"/>
      <c r="T7" s="78"/>
      <c r="U7" s="78"/>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1" t="s">
        <v>3</v>
      </c>
      <c r="C9" s="81"/>
      <c r="D9" s="81"/>
      <c r="E9" s="81"/>
      <c r="F9" s="81"/>
      <c r="G9" s="81"/>
      <c r="H9" s="81"/>
      <c r="J9" s="77" t="s">
        <v>3</v>
      </c>
      <c r="K9" s="77"/>
      <c r="L9" s="77"/>
      <c r="M9" s="77"/>
      <c r="N9" s="77"/>
      <c r="O9" s="77"/>
      <c r="P9" s="77"/>
      <c r="Q9" s="77"/>
      <c r="R9" s="77"/>
      <c r="S9" s="77"/>
      <c r="T9" s="77"/>
      <c r="U9" s="77"/>
      <c r="W9" s="82" t="s">
        <v>3</v>
      </c>
      <c r="X9" s="82"/>
      <c r="Y9" s="82"/>
      <c r="Z9" s="82"/>
      <c r="AA9" s="82"/>
      <c r="AB9" s="82"/>
      <c r="AC9" s="82"/>
      <c r="AE9" s="84" t="s">
        <v>3</v>
      </c>
      <c r="AF9" s="84"/>
      <c r="AG9" s="84"/>
      <c r="AH9" s="84"/>
      <c r="AI9" s="84"/>
      <c r="AJ9" s="84"/>
      <c r="AK9" s="84"/>
    </row>
    <row r="10" spans="1:37" ht="15.75" thickBot="1" x14ac:dyDescent="0.3">
      <c r="A10" s="80"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1" t="s">
        <v>13</v>
      </c>
      <c r="C13" s="81"/>
      <c r="D13" s="81"/>
      <c r="E13" s="81"/>
      <c r="F13" s="81"/>
      <c r="G13" s="81"/>
      <c r="H13" s="81"/>
      <c r="J13" s="77" t="s">
        <v>13</v>
      </c>
      <c r="K13" s="77"/>
      <c r="L13" s="77"/>
      <c r="M13" s="77"/>
      <c r="N13" s="77"/>
      <c r="O13" s="77"/>
      <c r="P13" s="77"/>
      <c r="Q13" s="77"/>
      <c r="R13" s="77"/>
      <c r="S13" s="77"/>
      <c r="T13" s="77"/>
      <c r="U13" s="77"/>
      <c r="W13" s="82" t="str">
        <f>J13</f>
        <v>Março</v>
      </c>
      <c r="X13" s="82"/>
      <c r="Y13" s="82"/>
      <c r="Z13" s="82"/>
      <c r="AA13" s="82"/>
      <c r="AB13" s="82"/>
      <c r="AC13" s="82"/>
      <c r="AE13" s="84" t="str">
        <f>W13</f>
        <v>Março</v>
      </c>
      <c r="AF13" s="84"/>
      <c r="AG13" s="84"/>
      <c r="AH13" s="84"/>
      <c r="AI13" s="84"/>
      <c r="AJ13" s="84"/>
      <c r="AK13" s="84"/>
    </row>
    <row r="14" spans="1:37" ht="15.75" thickBot="1" x14ac:dyDescent="0.3">
      <c r="A14" s="80"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81" t="s">
        <v>14</v>
      </c>
      <c r="C17" s="81"/>
      <c r="D17" s="81"/>
      <c r="E17" s="81"/>
      <c r="F17" s="81"/>
      <c r="G17" s="81"/>
      <c r="H17" s="81"/>
      <c r="J17" s="77" t="s">
        <v>14</v>
      </c>
      <c r="K17" s="77"/>
      <c r="L17" s="77"/>
      <c r="M17" s="77"/>
      <c r="N17" s="77"/>
      <c r="O17" s="77"/>
      <c r="P17" s="77"/>
      <c r="Q17" s="77"/>
      <c r="R17" s="77"/>
      <c r="S17" s="77"/>
      <c r="T17" s="77"/>
      <c r="U17" s="77"/>
      <c r="W17" s="82" t="str">
        <f>J17</f>
        <v>Abril</v>
      </c>
      <c r="X17" s="82"/>
      <c r="Y17" s="82"/>
      <c r="Z17" s="82"/>
      <c r="AA17" s="82"/>
      <c r="AB17" s="82"/>
      <c r="AC17" s="82"/>
      <c r="AE17" s="84" t="str">
        <f>W17</f>
        <v>Abril</v>
      </c>
      <c r="AF17" s="84"/>
      <c r="AG17" s="84"/>
      <c r="AH17" s="84"/>
      <c r="AI17" s="84"/>
      <c r="AJ17" s="84"/>
      <c r="AK17" s="84"/>
    </row>
    <row r="18" spans="1:37" ht="15.75" thickBot="1" x14ac:dyDescent="0.3">
      <c r="A18" s="80"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81" t="s">
        <v>15</v>
      </c>
      <c r="C21" s="81"/>
      <c r="D21" s="81"/>
      <c r="E21" s="81"/>
      <c r="F21" s="81"/>
      <c r="G21" s="81"/>
      <c r="H21" s="81"/>
      <c r="J21" s="77" t="s">
        <v>15</v>
      </c>
      <c r="K21" s="77"/>
      <c r="L21" s="77"/>
      <c r="M21" s="77"/>
      <c r="N21" s="77"/>
      <c r="O21" s="77"/>
      <c r="P21" s="77"/>
      <c r="Q21" s="77"/>
      <c r="R21" s="77"/>
      <c r="S21" s="77"/>
      <c r="T21" s="77"/>
      <c r="U21" s="77"/>
      <c r="W21" s="82" t="str">
        <f>J21</f>
        <v>Maio</v>
      </c>
      <c r="X21" s="82"/>
      <c r="Y21" s="82"/>
      <c r="Z21" s="82"/>
      <c r="AA21" s="82"/>
      <c r="AB21" s="82"/>
      <c r="AC21" s="82"/>
      <c r="AE21" s="84" t="str">
        <f>W21</f>
        <v>Maio</v>
      </c>
      <c r="AF21" s="84"/>
      <c r="AG21" s="84"/>
      <c r="AH21" s="84"/>
      <c r="AI21" s="84"/>
      <c r="AJ21" s="84"/>
      <c r="AK21" s="84"/>
    </row>
    <row r="22" spans="1:37"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0"/>
      <c r="B23" s="27"/>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1" t="s">
        <v>24</v>
      </c>
      <c r="C25" s="81"/>
      <c r="D25" s="81"/>
      <c r="E25" s="81"/>
      <c r="F25" s="81"/>
      <c r="G25" s="81"/>
      <c r="H25" s="81"/>
      <c r="J25" s="77" t="s">
        <v>24</v>
      </c>
      <c r="K25" s="77"/>
      <c r="L25" s="77"/>
      <c r="M25" s="77"/>
      <c r="N25" s="77"/>
      <c r="O25" s="77"/>
      <c r="P25" s="77"/>
      <c r="Q25" s="77"/>
      <c r="R25" s="77"/>
      <c r="S25" s="77"/>
      <c r="T25" s="77"/>
      <c r="U25" s="77"/>
      <c r="W25" s="82" t="str">
        <f>J25</f>
        <v>Junho</v>
      </c>
      <c r="X25" s="82"/>
      <c r="Y25" s="82"/>
      <c r="Z25" s="82"/>
      <c r="AA25" s="82"/>
      <c r="AB25" s="82"/>
      <c r="AC25" s="82"/>
      <c r="AE25" s="84" t="str">
        <f>W25</f>
        <v>Junho</v>
      </c>
      <c r="AF25" s="84"/>
      <c r="AG25" s="84"/>
      <c r="AH25" s="84"/>
      <c r="AI25" s="84"/>
      <c r="AJ25" s="84"/>
      <c r="AK25" s="84"/>
    </row>
    <row r="26" spans="1:37"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1" t="s">
        <v>16</v>
      </c>
      <c r="C29" s="81"/>
      <c r="D29" s="81"/>
      <c r="E29" s="81"/>
      <c r="F29" s="81"/>
      <c r="G29" s="81"/>
      <c r="H29" s="81"/>
      <c r="J29" s="77" t="s">
        <v>16</v>
      </c>
      <c r="K29" s="77"/>
      <c r="L29" s="77"/>
      <c r="M29" s="77"/>
      <c r="N29" s="77"/>
      <c r="O29" s="77"/>
      <c r="P29" s="77"/>
      <c r="Q29" s="77"/>
      <c r="R29" s="77"/>
      <c r="S29" s="77"/>
      <c r="T29" s="77"/>
      <c r="U29" s="77"/>
      <c r="W29" s="82" t="str">
        <f>J29</f>
        <v>Julho</v>
      </c>
      <c r="X29" s="82"/>
      <c r="Y29" s="82"/>
      <c r="Z29" s="82"/>
      <c r="AA29" s="82"/>
      <c r="AB29" s="82"/>
      <c r="AC29" s="82"/>
      <c r="AE29" s="84" t="str">
        <f>W29</f>
        <v>Julho</v>
      </c>
      <c r="AF29" s="84"/>
      <c r="AG29" s="84"/>
      <c r="AH29" s="84"/>
      <c r="AI29" s="84"/>
      <c r="AJ29" s="84"/>
      <c r="AK29" s="84"/>
    </row>
    <row r="30" spans="1:37"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1" t="s">
        <v>17</v>
      </c>
      <c r="C33" s="81"/>
      <c r="D33" s="81"/>
      <c r="E33" s="81"/>
      <c r="F33" s="81"/>
      <c r="G33" s="81"/>
      <c r="H33" s="81"/>
      <c r="J33" s="77" t="s">
        <v>17</v>
      </c>
      <c r="K33" s="77"/>
      <c r="L33" s="77"/>
      <c r="M33" s="77"/>
      <c r="N33" s="77"/>
      <c r="O33" s="77"/>
      <c r="P33" s="77"/>
      <c r="Q33" s="77"/>
      <c r="R33" s="77"/>
      <c r="S33" s="77"/>
      <c r="T33" s="77"/>
      <c r="U33" s="77"/>
      <c r="W33" s="82" t="str">
        <f>J33</f>
        <v>Agosto</v>
      </c>
      <c r="X33" s="82"/>
      <c r="Y33" s="82"/>
      <c r="Z33" s="82"/>
      <c r="AA33" s="82"/>
      <c r="AB33" s="82"/>
      <c r="AC33" s="82"/>
      <c r="AE33" s="84" t="str">
        <f>W33</f>
        <v>Agosto</v>
      </c>
      <c r="AF33" s="84"/>
      <c r="AG33" s="84"/>
      <c r="AH33" s="84"/>
      <c r="AI33" s="84"/>
      <c r="AJ33" s="84"/>
      <c r="AK33" s="84"/>
    </row>
    <row r="34" spans="1:37"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1" t="s">
        <v>18</v>
      </c>
      <c r="C37" s="81"/>
      <c r="D37" s="81"/>
      <c r="E37" s="81"/>
      <c r="F37" s="81"/>
      <c r="G37" s="81"/>
      <c r="H37" s="81"/>
      <c r="J37" s="77" t="s">
        <v>18</v>
      </c>
      <c r="K37" s="77"/>
      <c r="L37" s="77"/>
      <c r="M37" s="77"/>
      <c r="N37" s="77"/>
      <c r="O37" s="77"/>
      <c r="P37" s="77"/>
      <c r="Q37" s="77"/>
      <c r="R37" s="77"/>
      <c r="S37" s="77"/>
      <c r="T37" s="77"/>
      <c r="U37" s="77"/>
      <c r="W37" s="82" t="str">
        <f>J37</f>
        <v>Setembro</v>
      </c>
      <c r="X37" s="82"/>
      <c r="Y37" s="82"/>
      <c r="Z37" s="82"/>
      <c r="AA37" s="82"/>
      <c r="AB37" s="82"/>
      <c r="AC37" s="82"/>
      <c r="AE37" s="84" t="str">
        <f>W37</f>
        <v>Setembro</v>
      </c>
      <c r="AF37" s="84"/>
      <c r="AG37" s="84"/>
      <c r="AH37" s="84"/>
      <c r="AI37" s="84"/>
      <c r="AJ37" s="84"/>
      <c r="AK37" s="84"/>
    </row>
    <row r="38" spans="1:37"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1" t="s">
        <v>19</v>
      </c>
      <c r="C41" s="81"/>
      <c r="D41" s="81"/>
      <c r="E41" s="81"/>
      <c r="F41" s="81"/>
      <c r="G41" s="81"/>
      <c r="H41" s="81"/>
      <c r="J41" s="77" t="s">
        <v>19</v>
      </c>
      <c r="K41" s="77"/>
      <c r="L41" s="77"/>
      <c r="M41" s="77"/>
      <c r="N41" s="77"/>
      <c r="O41" s="77"/>
      <c r="P41" s="77"/>
      <c r="Q41" s="77"/>
      <c r="R41" s="77"/>
      <c r="S41" s="77"/>
      <c r="T41" s="77"/>
      <c r="U41" s="77"/>
      <c r="W41" s="82" t="str">
        <f>J41</f>
        <v>Outubro</v>
      </c>
      <c r="X41" s="82"/>
      <c r="Y41" s="82"/>
      <c r="Z41" s="82"/>
      <c r="AA41" s="82"/>
      <c r="AB41" s="82"/>
      <c r="AC41" s="82"/>
      <c r="AE41" s="84" t="str">
        <f>W41</f>
        <v>Outubro</v>
      </c>
      <c r="AF41" s="84"/>
      <c r="AG41" s="84"/>
      <c r="AH41" s="84"/>
      <c r="AI41" s="84"/>
      <c r="AJ41" s="84"/>
      <c r="AK41" s="84"/>
    </row>
    <row r="42" spans="1:37"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1" t="s">
        <v>20</v>
      </c>
      <c r="C45" s="81"/>
      <c r="D45" s="81"/>
      <c r="E45" s="81"/>
      <c r="F45" s="81"/>
      <c r="G45" s="81"/>
      <c r="H45" s="81"/>
      <c r="J45" s="77" t="s">
        <v>20</v>
      </c>
      <c r="K45" s="77"/>
      <c r="L45" s="77"/>
      <c r="M45" s="77"/>
      <c r="N45" s="77"/>
      <c r="O45" s="77"/>
      <c r="P45" s="77"/>
      <c r="Q45" s="77"/>
      <c r="R45" s="77"/>
      <c r="S45" s="77"/>
      <c r="T45" s="77"/>
      <c r="U45" s="77"/>
      <c r="W45" s="82" t="str">
        <f>J45</f>
        <v>Novembro</v>
      </c>
      <c r="X45" s="82"/>
      <c r="Y45" s="82"/>
      <c r="Z45" s="82"/>
      <c r="AA45" s="82"/>
      <c r="AB45" s="82"/>
      <c r="AC45" s="82"/>
      <c r="AE45" s="84" t="str">
        <f>W45</f>
        <v>Novembro</v>
      </c>
      <c r="AF45" s="84"/>
      <c r="AG45" s="84"/>
      <c r="AH45" s="84"/>
      <c r="AI45" s="84"/>
      <c r="AJ45" s="84"/>
      <c r="AK45" s="84"/>
    </row>
    <row r="46" spans="1:37"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1" t="s">
        <v>21</v>
      </c>
      <c r="C49" s="81"/>
      <c r="D49" s="81"/>
      <c r="E49" s="81"/>
      <c r="F49" s="81"/>
      <c r="G49" s="81"/>
      <c r="H49" s="81"/>
      <c r="J49" s="77" t="s">
        <v>21</v>
      </c>
      <c r="K49" s="77"/>
      <c r="L49" s="77"/>
      <c r="M49" s="77"/>
      <c r="N49" s="77"/>
      <c r="O49" s="77"/>
      <c r="P49" s="77"/>
      <c r="Q49" s="77"/>
      <c r="R49" s="77"/>
      <c r="S49" s="77"/>
      <c r="T49" s="77"/>
      <c r="U49" s="77"/>
      <c r="W49" s="82" t="str">
        <f>J49</f>
        <v>Dezembro</v>
      </c>
      <c r="X49" s="82"/>
      <c r="Y49" s="82"/>
      <c r="Z49" s="82"/>
      <c r="AA49" s="82"/>
      <c r="AB49" s="82"/>
      <c r="AC49" s="82"/>
      <c r="AE49" s="84" t="str">
        <f>W49</f>
        <v>Dezembro</v>
      </c>
      <c r="AF49" s="84"/>
      <c r="AG49" s="84"/>
      <c r="AH49" s="84"/>
      <c r="AI49" s="84"/>
      <c r="AJ49" s="84"/>
      <c r="AK49" s="84"/>
    </row>
    <row r="50" spans="1:37"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2"/>
  <sheetViews>
    <sheetView showGridLines="0" zoomScale="80" zoomScaleNormal="8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3" width="10.42578125" bestFit="1" customWidth="1"/>
    <col min="21" max="21" width="12.140625" bestFit="1" customWidth="1"/>
    <col min="29" max="29" width="15.85546875" bestFit="1" customWidth="1"/>
    <col min="34" max="36" width="10.140625" bestFit="1" customWidth="1"/>
    <col min="37" max="37" width="10.5703125" bestFit="1" customWidth="1"/>
  </cols>
  <sheetData>
    <row r="2" spans="1:37" x14ac:dyDescent="0.25">
      <c r="A2" t="s">
        <v>0</v>
      </c>
      <c r="B2" s="75"/>
      <c r="C2" s="75"/>
      <c r="D2" s="1" t="s">
        <v>1</v>
      </c>
      <c r="E2" s="75"/>
      <c r="F2" s="75"/>
      <c r="H2" t="s">
        <v>45</v>
      </c>
      <c r="I2" s="54"/>
    </row>
    <row r="3" spans="1:37" x14ac:dyDescent="0.25">
      <c r="A3" t="s">
        <v>80</v>
      </c>
      <c r="B3" s="75"/>
      <c r="C3" s="75"/>
      <c r="D3" s="1" t="s">
        <v>1</v>
      </c>
      <c r="E3" s="75"/>
      <c r="F3" s="75"/>
      <c r="H3" t="s">
        <v>81</v>
      </c>
      <c r="I3" s="54"/>
    </row>
    <row r="4" spans="1:37" x14ac:dyDescent="0.25">
      <c r="A4" t="s">
        <v>2</v>
      </c>
      <c r="B4" s="76"/>
      <c r="C4" s="76"/>
      <c r="D4" s="1" t="s">
        <v>29</v>
      </c>
      <c r="E4" s="75"/>
      <c r="F4" s="75"/>
      <c r="H4" t="s">
        <v>70</v>
      </c>
      <c r="I4" s="67"/>
    </row>
    <row r="7" spans="1:37" ht="21" x14ac:dyDescent="0.35">
      <c r="A7" s="79" t="s">
        <v>28</v>
      </c>
      <c r="B7" s="79"/>
      <c r="C7" s="79"/>
      <c r="D7" s="79"/>
      <c r="E7" s="79"/>
      <c r="F7" s="79"/>
      <c r="G7" s="79"/>
      <c r="H7" s="79"/>
      <c r="J7" s="78" t="s">
        <v>26</v>
      </c>
      <c r="K7" s="78"/>
      <c r="L7" s="78"/>
      <c r="M7" s="78"/>
      <c r="N7" s="78"/>
      <c r="O7" s="78"/>
      <c r="P7" s="78"/>
      <c r="Q7" s="78"/>
      <c r="R7" s="78"/>
      <c r="S7" s="78"/>
      <c r="T7" s="78"/>
      <c r="U7" s="78"/>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1" t="s">
        <v>3</v>
      </c>
      <c r="C9" s="81"/>
      <c r="D9" s="81"/>
      <c r="E9" s="81"/>
      <c r="F9" s="81"/>
      <c r="G9" s="81"/>
      <c r="H9" s="81"/>
      <c r="J9" s="77" t="s">
        <v>3</v>
      </c>
      <c r="K9" s="77"/>
      <c r="L9" s="77"/>
      <c r="M9" s="77"/>
      <c r="N9" s="77"/>
      <c r="O9" s="77"/>
      <c r="P9" s="77"/>
      <c r="Q9" s="77"/>
      <c r="R9" s="77"/>
      <c r="S9" s="77"/>
      <c r="T9" s="77"/>
      <c r="U9" s="77"/>
      <c r="W9" s="82" t="s">
        <v>3</v>
      </c>
      <c r="X9" s="82"/>
      <c r="Y9" s="82"/>
      <c r="Z9" s="82"/>
      <c r="AA9" s="82"/>
      <c r="AB9" s="82"/>
      <c r="AC9" s="82"/>
      <c r="AE9" s="84" t="s">
        <v>3</v>
      </c>
      <c r="AF9" s="84"/>
      <c r="AG9" s="84"/>
      <c r="AH9" s="84"/>
      <c r="AI9" s="84"/>
      <c r="AJ9" s="84"/>
      <c r="AK9" s="84"/>
    </row>
    <row r="10" spans="1:37" ht="15.75" thickBot="1" x14ac:dyDescent="0.3">
      <c r="A10" s="80"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1" t="s">
        <v>13</v>
      </c>
      <c r="C13" s="81"/>
      <c r="D13" s="81"/>
      <c r="E13" s="81"/>
      <c r="F13" s="81"/>
      <c r="G13" s="81"/>
      <c r="H13" s="81"/>
      <c r="J13" s="77" t="s">
        <v>13</v>
      </c>
      <c r="K13" s="77"/>
      <c r="L13" s="77"/>
      <c r="M13" s="77"/>
      <c r="N13" s="77"/>
      <c r="O13" s="77"/>
      <c r="P13" s="77"/>
      <c r="Q13" s="77"/>
      <c r="R13" s="77"/>
      <c r="S13" s="77"/>
      <c r="T13" s="77"/>
      <c r="U13" s="77"/>
      <c r="W13" s="82" t="str">
        <f>J13</f>
        <v>Março</v>
      </c>
      <c r="X13" s="82"/>
      <c r="Y13" s="82"/>
      <c r="Z13" s="82"/>
      <c r="AA13" s="82"/>
      <c r="AB13" s="82"/>
      <c r="AC13" s="82"/>
      <c r="AE13" s="84" t="str">
        <f>W13</f>
        <v>Março</v>
      </c>
      <c r="AF13" s="84"/>
      <c r="AG13" s="84"/>
      <c r="AH13" s="84"/>
      <c r="AI13" s="84"/>
      <c r="AJ13" s="84"/>
      <c r="AK13" s="84"/>
    </row>
    <row r="14" spans="1:37" ht="15.75" thickBot="1" x14ac:dyDescent="0.3">
      <c r="A14" s="80"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81" t="s">
        <v>14</v>
      </c>
      <c r="C17" s="81"/>
      <c r="D17" s="81"/>
      <c r="E17" s="81"/>
      <c r="F17" s="81"/>
      <c r="G17" s="81"/>
      <c r="H17" s="81"/>
      <c r="J17" s="77" t="s">
        <v>14</v>
      </c>
      <c r="K17" s="77"/>
      <c r="L17" s="77"/>
      <c r="M17" s="77"/>
      <c r="N17" s="77"/>
      <c r="O17" s="77"/>
      <c r="P17" s="77"/>
      <c r="Q17" s="77"/>
      <c r="R17" s="77"/>
      <c r="S17" s="77"/>
      <c r="T17" s="77"/>
      <c r="U17" s="77"/>
      <c r="W17" s="82" t="str">
        <f>J17</f>
        <v>Abril</v>
      </c>
      <c r="X17" s="82"/>
      <c r="Y17" s="82"/>
      <c r="Z17" s="82"/>
      <c r="AA17" s="82"/>
      <c r="AB17" s="82"/>
      <c r="AC17" s="82"/>
      <c r="AE17" s="84" t="str">
        <f>W17</f>
        <v>Abril</v>
      </c>
      <c r="AF17" s="84"/>
      <c r="AG17" s="84"/>
      <c r="AH17" s="84"/>
      <c r="AI17" s="84"/>
      <c r="AJ17" s="84"/>
      <c r="AK17" s="84"/>
    </row>
    <row r="18" spans="1:37"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81" t="s">
        <v>15</v>
      </c>
      <c r="C21" s="81"/>
      <c r="D21" s="81"/>
      <c r="E21" s="81"/>
      <c r="F21" s="81"/>
      <c r="G21" s="81"/>
      <c r="H21" s="81"/>
      <c r="J21" s="77" t="s">
        <v>15</v>
      </c>
      <c r="K21" s="77"/>
      <c r="L21" s="77"/>
      <c r="M21" s="77"/>
      <c r="N21" s="77"/>
      <c r="O21" s="77"/>
      <c r="P21" s="77"/>
      <c r="Q21" s="77"/>
      <c r="R21" s="77"/>
      <c r="S21" s="77"/>
      <c r="T21" s="77"/>
      <c r="U21" s="77"/>
      <c r="W21" s="82" t="str">
        <f>J21</f>
        <v>Maio</v>
      </c>
      <c r="X21" s="82"/>
      <c r="Y21" s="82"/>
      <c r="Z21" s="82"/>
      <c r="AA21" s="82"/>
      <c r="AB21" s="82"/>
      <c r="AC21" s="82"/>
      <c r="AE21" s="84" t="str">
        <f>W21</f>
        <v>Maio</v>
      </c>
      <c r="AF21" s="84"/>
      <c r="AG21" s="84"/>
      <c r="AH21" s="84"/>
      <c r="AI21" s="84"/>
      <c r="AJ21" s="84"/>
      <c r="AK21" s="84"/>
    </row>
    <row r="22" spans="1:37"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1" t="s">
        <v>24</v>
      </c>
      <c r="C25" s="81"/>
      <c r="D25" s="81"/>
      <c r="E25" s="81"/>
      <c r="F25" s="81"/>
      <c r="G25" s="81"/>
      <c r="H25" s="81"/>
      <c r="J25" s="77" t="s">
        <v>24</v>
      </c>
      <c r="K25" s="77"/>
      <c r="L25" s="77"/>
      <c r="M25" s="77"/>
      <c r="N25" s="77"/>
      <c r="O25" s="77"/>
      <c r="P25" s="77"/>
      <c r="Q25" s="77"/>
      <c r="R25" s="77"/>
      <c r="S25" s="77"/>
      <c r="T25" s="77"/>
      <c r="U25" s="77"/>
      <c r="W25" s="82" t="str">
        <f>J25</f>
        <v>Junho</v>
      </c>
      <c r="X25" s="82"/>
      <c r="Y25" s="82"/>
      <c r="Z25" s="82"/>
      <c r="AA25" s="82"/>
      <c r="AB25" s="82"/>
      <c r="AC25" s="82"/>
      <c r="AE25" s="84" t="str">
        <f>W25</f>
        <v>Junho</v>
      </c>
      <c r="AF25" s="84"/>
      <c r="AG25" s="84"/>
      <c r="AH25" s="84"/>
      <c r="AI25" s="84"/>
      <c r="AJ25" s="84"/>
      <c r="AK25" s="84"/>
    </row>
    <row r="26" spans="1:37"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1" t="s">
        <v>16</v>
      </c>
      <c r="C29" s="81"/>
      <c r="D29" s="81"/>
      <c r="E29" s="81"/>
      <c r="F29" s="81"/>
      <c r="G29" s="81"/>
      <c r="H29" s="81"/>
      <c r="J29" s="77" t="s">
        <v>16</v>
      </c>
      <c r="K29" s="77"/>
      <c r="L29" s="77"/>
      <c r="M29" s="77"/>
      <c r="N29" s="77"/>
      <c r="O29" s="77"/>
      <c r="P29" s="77"/>
      <c r="Q29" s="77"/>
      <c r="R29" s="77"/>
      <c r="S29" s="77"/>
      <c r="T29" s="77"/>
      <c r="U29" s="77"/>
      <c r="W29" s="82" t="str">
        <f>J29</f>
        <v>Julho</v>
      </c>
      <c r="X29" s="82"/>
      <c r="Y29" s="82"/>
      <c r="Z29" s="82"/>
      <c r="AA29" s="82"/>
      <c r="AB29" s="82"/>
      <c r="AC29" s="82"/>
      <c r="AE29" s="84" t="str">
        <f>W29</f>
        <v>Julho</v>
      </c>
      <c r="AF29" s="84"/>
      <c r="AG29" s="84"/>
      <c r="AH29" s="84"/>
      <c r="AI29" s="84"/>
      <c r="AJ29" s="84"/>
      <c r="AK29" s="84"/>
    </row>
    <row r="30" spans="1:37"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1" t="s">
        <v>17</v>
      </c>
      <c r="C33" s="81"/>
      <c r="D33" s="81"/>
      <c r="E33" s="81"/>
      <c r="F33" s="81"/>
      <c r="G33" s="81"/>
      <c r="H33" s="81"/>
      <c r="J33" s="77" t="s">
        <v>17</v>
      </c>
      <c r="K33" s="77"/>
      <c r="L33" s="77"/>
      <c r="M33" s="77"/>
      <c r="N33" s="77"/>
      <c r="O33" s="77"/>
      <c r="P33" s="77"/>
      <c r="Q33" s="77"/>
      <c r="R33" s="77"/>
      <c r="S33" s="77"/>
      <c r="T33" s="77"/>
      <c r="U33" s="77"/>
      <c r="W33" s="82" t="str">
        <f>J33</f>
        <v>Agosto</v>
      </c>
      <c r="X33" s="82"/>
      <c r="Y33" s="82"/>
      <c r="Z33" s="82"/>
      <c r="AA33" s="82"/>
      <c r="AB33" s="82"/>
      <c r="AC33" s="82"/>
      <c r="AE33" s="84" t="str">
        <f>W33</f>
        <v>Agosto</v>
      </c>
      <c r="AF33" s="84"/>
      <c r="AG33" s="84"/>
      <c r="AH33" s="84"/>
      <c r="AI33" s="84"/>
      <c r="AJ33" s="84"/>
      <c r="AK33" s="84"/>
    </row>
    <row r="34" spans="1:37"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1" t="s">
        <v>18</v>
      </c>
      <c r="C37" s="81"/>
      <c r="D37" s="81"/>
      <c r="E37" s="81"/>
      <c r="F37" s="81"/>
      <c r="G37" s="81"/>
      <c r="H37" s="81"/>
      <c r="J37" s="77" t="s">
        <v>18</v>
      </c>
      <c r="K37" s="77"/>
      <c r="L37" s="77"/>
      <c r="M37" s="77"/>
      <c r="N37" s="77"/>
      <c r="O37" s="77"/>
      <c r="P37" s="77"/>
      <c r="Q37" s="77"/>
      <c r="R37" s="77"/>
      <c r="S37" s="77"/>
      <c r="T37" s="77"/>
      <c r="U37" s="77"/>
      <c r="W37" s="82" t="str">
        <f>J37</f>
        <v>Setembro</v>
      </c>
      <c r="X37" s="82"/>
      <c r="Y37" s="82"/>
      <c r="Z37" s="82"/>
      <c r="AA37" s="82"/>
      <c r="AB37" s="82"/>
      <c r="AC37" s="82"/>
      <c r="AE37" s="84" t="str">
        <f>W37</f>
        <v>Setembro</v>
      </c>
      <c r="AF37" s="84"/>
      <c r="AG37" s="84"/>
      <c r="AH37" s="84"/>
      <c r="AI37" s="84"/>
      <c r="AJ37" s="84"/>
      <c r="AK37" s="84"/>
    </row>
    <row r="38" spans="1:37"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1" t="s">
        <v>19</v>
      </c>
      <c r="C41" s="81"/>
      <c r="D41" s="81"/>
      <c r="E41" s="81"/>
      <c r="F41" s="81"/>
      <c r="G41" s="81"/>
      <c r="H41" s="81"/>
      <c r="J41" s="77" t="s">
        <v>19</v>
      </c>
      <c r="K41" s="77"/>
      <c r="L41" s="77"/>
      <c r="M41" s="77"/>
      <c r="N41" s="77"/>
      <c r="O41" s="77"/>
      <c r="P41" s="77"/>
      <c r="Q41" s="77"/>
      <c r="R41" s="77"/>
      <c r="S41" s="77"/>
      <c r="T41" s="77"/>
      <c r="U41" s="77"/>
      <c r="W41" s="82" t="str">
        <f>J41</f>
        <v>Outubro</v>
      </c>
      <c r="X41" s="82"/>
      <c r="Y41" s="82"/>
      <c r="Z41" s="82"/>
      <c r="AA41" s="82"/>
      <c r="AB41" s="82"/>
      <c r="AC41" s="82"/>
      <c r="AE41" s="84" t="str">
        <f>W41</f>
        <v>Outubro</v>
      </c>
      <c r="AF41" s="84"/>
      <c r="AG41" s="84"/>
      <c r="AH41" s="84"/>
      <c r="AI41" s="84"/>
      <c r="AJ41" s="84"/>
      <c r="AK41" s="84"/>
    </row>
    <row r="42" spans="1:37"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1" t="s">
        <v>20</v>
      </c>
      <c r="C45" s="81"/>
      <c r="D45" s="81"/>
      <c r="E45" s="81"/>
      <c r="F45" s="81"/>
      <c r="G45" s="81"/>
      <c r="H45" s="81"/>
      <c r="J45" s="77" t="s">
        <v>20</v>
      </c>
      <c r="K45" s="77"/>
      <c r="L45" s="77"/>
      <c r="M45" s="77"/>
      <c r="N45" s="77"/>
      <c r="O45" s="77"/>
      <c r="P45" s="77"/>
      <c r="Q45" s="77"/>
      <c r="R45" s="77"/>
      <c r="S45" s="77"/>
      <c r="T45" s="77"/>
      <c r="U45" s="77"/>
      <c r="W45" s="82" t="str">
        <f>J45</f>
        <v>Novembro</v>
      </c>
      <c r="X45" s="82"/>
      <c r="Y45" s="82"/>
      <c r="Z45" s="82"/>
      <c r="AA45" s="82"/>
      <c r="AB45" s="82"/>
      <c r="AC45" s="82"/>
      <c r="AE45" s="84" t="str">
        <f>W45</f>
        <v>Novembro</v>
      </c>
      <c r="AF45" s="84"/>
      <c r="AG45" s="84"/>
      <c r="AH45" s="84"/>
      <c r="AI45" s="84"/>
      <c r="AJ45" s="84"/>
      <c r="AK45" s="84"/>
    </row>
    <row r="46" spans="1:37"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0"/>
      <c r="B47" s="68"/>
      <c r="C47" s="68"/>
      <c r="D47" s="68"/>
      <c r="E47" s="68"/>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1" t="s">
        <v>21</v>
      </c>
      <c r="C49" s="81"/>
      <c r="D49" s="81"/>
      <c r="E49" s="81"/>
      <c r="F49" s="81"/>
      <c r="G49" s="81"/>
      <c r="H49" s="81"/>
      <c r="J49" s="77" t="s">
        <v>21</v>
      </c>
      <c r="K49" s="77"/>
      <c r="L49" s="77"/>
      <c r="M49" s="77"/>
      <c r="N49" s="77"/>
      <c r="O49" s="77"/>
      <c r="P49" s="77"/>
      <c r="Q49" s="77"/>
      <c r="R49" s="77"/>
      <c r="S49" s="77"/>
      <c r="T49" s="77"/>
      <c r="U49" s="77"/>
      <c r="W49" s="82" t="str">
        <f>J49</f>
        <v>Dezembro</v>
      </c>
      <c r="X49" s="82"/>
      <c r="Y49" s="82"/>
      <c r="Z49" s="82"/>
      <c r="AA49" s="82"/>
      <c r="AB49" s="82"/>
      <c r="AC49" s="82"/>
      <c r="AE49" s="84" t="str">
        <f>W49</f>
        <v>Dezembro</v>
      </c>
      <c r="AF49" s="84"/>
      <c r="AG49" s="84"/>
      <c r="AH49" s="84"/>
      <c r="AI49" s="84"/>
      <c r="AJ49" s="84"/>
      <c r="AK49" s="84"/>
    </row>
    <row r="50" spans="1:37"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21" max="21" width="13.28515625" bestFit="1" customWidth="1"/>
    <col min="34" max="36" width="10.140625" bestFit="1" customWidth="1"/>
  </cols>
  <sheetData>
    <row r="2" spans="1:37" x14ac:dyDescent="0.25">
      <c r="A2" t="s">
        <v>0</v>
      </c>
      <c r="B2" s="75"/>
      <c r="C2" s="75"/>
      <c r="D2" s="1" t="s">
        <v>1</v>
      </c>
      <c r="E2" s="75"/>
      <c r="F2" s="75"/>
      <c r="H2" t="s">
        <v>45</v>
      </c>
      <c r="I2" s="54"/>
    </row>
    <row r="3" spans="1:37" x14ac:dyDescent="0.25">
      <c r="A3" t="s">
        <v>80</v>
      </c>
      <c r="B3" s="75"/>
      <c r="C3" s="75"/>
      <c r="D3" s="1" t="s">
        <v>1</v>
      </c>
      <c r="E3" s="75"/>
      <c r="F3" s="75"/>
      <c r="H3" t="s">
        <v>81</v>
      </c>
      <c r="I3" s="54"/>
    </row>
    <row r="4" spans="1:37" x14ac:dyDescent="0.25">
      <c r="A4" t="s">
        <v>2</v>
      </c>
      <c r="B4" s="76"/>
      <c r="C4" s="76"/>
      <c r="D4" s="1" t="s">
        <v>29</v>
      </c>
      <c r="E4" s="75"/>
      <c r="F4" s="75"/>
      <c r="H4" t="s">
        <v>70</v>
      </c>
      <c r="I4" s="67"/>
    </row>
    <row r="7" spans="1:37" ht="21" x14ac:dyDescent="0.35">
      <c r="A7" s="79" t="s">
        <v>28</v>
      </c>
      <c r="B7" s="79"/>
      <c r="C7" s="79"/>
      <c r="D7" s="79"/>
      <c r="E7" s="79"/>
      <c r="F7" s="79"/>
      <c r="G7" s="79"/>
      <c r="H7" s="79"/>
      <c r="J7" s="78" t="s">
        <v>26</v>
      </c>
      <c r="K7" s="78"/>
      <c r="L7" s="78"/>
      <c r="M7" s="78"/>
      <c r="N7" s="78"/>
      <c r="O7" s="78"/>
      <c r="P7" s="78"/>
      <c r="Q7" s="78"/>
      <c r="R7" s="78"/>
      <c r="S7" s="78"/>
      <c r="T7" s="78"/>
      <c r="U7" s="78"/>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75" t="s">
        <v>72</v>
      </c>
      <c r="E8" s="75"/>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1" t="s">
        <v>3</v>
      </c>
      <c r="C9" s="81"/>
      <c r="D9" s="81"/>
      <c r="E9" s="81"/>
      <c r="F9" s="81"/>
      <c r="G9" s="81"/>
      <c r="H9" s="81"/>
      <c r="J9" s="77" t="s">
        <v>3</v>
      </c>
      <c r="K9" s="77"/>
      <c r="L9" s="77"/>
      <c r="M9" s="77"/>
      <c r="N9" s="77"/>
      <c r="O9" s="77"/>
      <c r="P9" s="77"/>
      <c r="Q9" s="77"/>
      <c r="R9" s="77"/>
      <c r="S9" s="77"/>
      <c r="T9" s="77"/>
      <c r="U9" s="77"/>
      <c r="W9" s="82" t="s">
        <v>3</v>
      </c>
      <c r="X9" s="82"/>
      <c r="Y9" s="82"/>
      <c r="Z9" s="82"/>
      <c r="AA9" s="82"/>
      <c r="AB9" s="82"/>
      <c r="AC9" s="82"/>
      <c r="AE9" s="84" t="s">
        <v>3</v>
      </c>
      <c r="AF9" s="84"/>
      <c r="AG9" s="84"/>
      <c r="AH9" s="84"/>
      <c r="AI9" s="84"/>
      <c r="AJ9" s="84"/>
      <c r="AK9" s="84"/>
    </row>
    <row r="10" spans="1:37" ht="15.75" thickBot="1" x14ac:dyDescent="0.3">
      <c r="A10" s="80"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1" t="s">
        <v>13</v>
      </c>
      <c r="C13" s="81"/>
      <c r="D13" s="81"/>
      <c r="E13" s="81"/>
      <c r="F13" s="81"/>
      <c r="G13" s="81"/>
      <c r="H13" s="81"/>
      <c r="J13" s="77" t="s">
        <v>13</v>
      </c>
      <c r="K13" s="77"/>
      <c r="L13" s="77"/>
      <c r="M13" s="77"/>
      <c r="N13" s="77"/>
      <c r="O13" s="77"/>
      <c r="P13" s="77"/>
      <c r="Q13" s="77"/>
      <c r="R13" s="77"/>
      <c r="S13" s="77"/>
      <c r="T13" s="77"/>
      <c r="U13" s="77"/>
      <c r="W13" s="82" t="str">
        <f>J13</f>
        <v>Março</v>
      </c>
      <c r="X13" s="82"/>
      <c r="Y13" s="82"/>
      <c r="Z13" s="82"/>
      <c r="AA13" s="82"/>
      <c r="AB13" s="82"/>
      <c r="AC13" s="82"/>
      <c r="AE13" s="84" t="str">
        <f>W13</f>
        <v>Março</v>
      </c>
      <c r="AF13" s="84"/>
      <c r="AG13" s="84"/>
      <c r="AH13" s="84"/>
      <c r="AI13" s="84"/>
      <c r="AJ13" s="84"/>
      <c r="AK13" s="84"/>
    </row>
    <row r="14" spans="1:37" ht="15.75" thickBot="1" x14ac:dyDescent="0.3">
      <c r="A14" s="80"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0"/>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81" t="s">
        <v>14</v>
      </c>
      <c r="C17" s="81"/>
      <c r="D17" s="81"/>
      <c r="E17" s="81"/>
      <c r="F17" s="81"/>
      <c r="G17" s="81"/>
      <c r="H17" s="81"/>
      <c r="J17" s="77" t="s">
        <v>14</v>
      </c>
      <c r="K17" s="77"/>
      <c r="L17" s="77"/>
      <c r="M17" s="77"/>
      <c r="N17" s="77"/>
      <c r="O17" s="77"/>
      <c r="P17" s="77"/>
      <c r="Q17" s="77"/>
      <c r="R17" s="77"/>
      <c r="S17" s="77"/>
      <c r="T17" s="77"/>
      <c r="U17" s="77"/>
      <c r="W17" s="82" t="str">
        <f>J17</f>
        <v>Abril</v>
      </c>
      <c r="X17" s="82"/>
      <c r="Y17" s="82"/>
      <c r="Z17" s="82"/>
      <c r="AA17" s="82"/>
      <c r="AB17" s="82"/>
      <c r="AC17" s="82"/>
      <c r="AE17" s="84" t="str">
        <f>W17</f>
        <v>Abril</v>
      </c>
      <c r="AF17" s="84"/>
      <c r="AG17" s="84"/>
      <c r="AH17" s="84"/>
      <c r="AI17" s="84"/>
      <c r="AJ17" s="84"/>
      <c r="AK17" s="84"/>
    </row>
    <row r="18" spans="1:37"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81" t="s">
        <v>15</v>
      </c>
      <c r="C21" s="81"/>
      <c r="D21" s="81"/>
      <c r="E21" s="81"/>
      <c r="F21" s="81"/>
      <c r="G21" s="81"/>
      <c r="H21" s="81"/>
      <c r="J21" s="77" t="s">
        <v>15</v>
      </c>
      <c r="K21" s="77"/>
      <c r="L21" s="77"/>
      <c r="M21" s="77"/>
      <c r="N21" s="77"/>
      <c r="O21" s="77"/>
      <c r="P21" s="77"/>
      <c r="Q21" s="77"/>
      <c r="R21" s="77"/>
      <c r="S21" s="77"/>
      <c r="T21" s="77"/>
      <c r="U21" s="77"/>
      <c r="W21" s="82" t="str">
        <f>J21</f>
        <v>Maio</v>
      </c>
      <c r="X21" s="82"/>
      <c r="Y21" s="82"/>
      <c r="Z21" s="82"/>
      <c r="AA21" s="82"/>
      <c r="AB21" s="82"/>
      <c r="AC21" s="82"/>
      <c r="AE21" s="84" t="str">
        <f>W21</f>
        <v>Maio</v>
      </c>
      <c r="AF21" s="84"/>
      <c r="AG21" s="84"/>
      <c r="AH21" s="84"/>
      <c r="AI21" s="84"/>
      <c r="AJ21" s="84"/>
      <c r="AK21" s="84"/>
    </row>
    <row r="22" spans="1:37"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1" t="s">
        <v>24</v>
      </c>
      <c r="C25" s="81"/>
      <c r="D25" s="81"/>
      <c r="E25" s="81"/>
      <c r="F25" s="81"/>
      <c r="G25" s="81"/>
      <c r="H25" s="81"/>
      <c r="J25" s="77" t="s">
        <v>24</v>
      </c>
      <c r="K25" s="77"/>
      <c r="L25" s="77"/>
      <c r="M25" s="77"/>
      <c r="N25" s="77"/>
      <c r="O25" s="77"/>
      <c r="P25" s="77"/>
      <c r="Q25" s="77"/>
      <c r="R25" s="77"/>
      <c r="S25" s="77"/>
      <c r="T25" s="77"/>
      <c r="U25" s="77"/>
      <c r="W25" s="82" t="str">
        <f>J25</f>
        <v>Junho</v>
      </c>
      <c r="X25" s="82"/>
      <c r="Y25" s="82"/>
      <c r="Z25" s="82"/>
      <c r="AA25" s="82"/>
      <c r="AB25" s="82"/>
      <c r="AC25" s="82"/>
      <c r="AE25" s="84" t="str">
        <f>W25</f>
        <v>Junho</v>
      </c>
      <c r="AF25" s="84"/>
      <c r="AG25" s="84"/>
      <c r="AH25" s="84"/>
      <c r="AI25" s="84"/>
      <c r="AJ25" s="84"/>
      <c r="AK25" s="84"/>
    </row>
    <row r="26" spans="1:37"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1" t="s">
        <v>16</v>
      </c>
      <c r="C29" s="81"/>
      <c r="D29" s="81"/>
      <c r="E29" s="81"/>
      <c r="F29" s="81"/>
      <c r="G29" s="81"/>
      <c r="H29" s="81"/>
      <c r="J29" s="77" t="s">
        <v>16</v>
      </c>
      <c r="K29" s="77"/>
      <c r="L29" s="77"/>
      <c r="M29" s="77"/>
      <c r="N29" s="77"/>
      <c r="O29" s="77"/>
      <c r="P29" s="77"/>
      <c r="Q29" s="77"/>
      <c r="R29" s="77"/>
      <c r="S29" s="77"/>
      <c r="T29" s="77"/>
      <c r="U29" s="77"/>
      <c r="W29" s="82" t="str">
        <f>J29</f>
        <v>Julho</v>
      </c>
      <c r="X29" s="82"/>
      <c r="Y29" s="82"/>
      <c r="Z29" s="82"/>
      <c r="AA29" s="82"/>
      <c r="AB29" s="82"/>
      <c r="AC29" s="82"/>
      <c r="AE29" s="84" t="str">
        <f>W29</f>
        <v>Julho</v>
      </c>
      <c r="AF29" s="84"/>
      <c r="AG29" s="84"/>
      <c r="AH29" s="84"/>
      <c r="AI29" s="84"/>
      <c r="AJ29" s="84"/>
      <c r="AK29" s="84"/>
    </row>
    <row r="30" spans="1:37"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1" t="s">
        <v>17</v>
      </c>
      <c r="C33" s="81"/>
      <c r="D33" s="81"/>
      <c r="E33" s="81"/>
      <c r="F33" s="81"/>
      <c r="G33" s="81"/>
      <c r="H33" s="81"/>
      <c r="J33" s="77" t="s">
        <v>17</v>
      </c>
      <c r="K33" s="77"/>
      <c r="L33" s="77"/>
      <c r="M33" s="77"/>
      <c r="N33" s="77"/>
      <c r="O33" s="77"/>
      <c r="P33" s="77"/>
      <c r="Q33" s="77"/>
      <c r="R33" s="77"/>
      <c r="S33" s="77"/>
      <c r="T33" s="77"/>
      <c r="U33" s="77"/>
      <c r="W33" s="82" t="str">
        <f>J33</f>
        <v>Agosto</v>
      </c>
      <c r="X33" s="82"/>
      <c r="Y33" s="82"/>
      <c r="Z33" s="82"/>
      <c r="AA33" s="82"/>
      <c r="AB33" s="82"/>
      <c r="AC33" s="82"/>
      <c r="AE33" s="84" t="str">
        <f>W33</f>
        <v>Agosto</v>
      </c>
      <c r="AF33" s="84"/>
      <c r="AG33" s="84"/>
      <c r="AH33" s="84"/>
      <c r="AI33" s="84"/>
      <c r="AJ33" s="84"/>
      <c r="AK33" s="84"/>
    </row>
    <row r="34" spans="1:37"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1" t="s">
        <v>18</v>
      </c>
      <c r="C37" s="81"/>
      <c r="D37" s="81"/>
      <c r="E37" s="81"/>
      <c r="F37" s="81"/>
      <c r="G37" s="81"/>
      <c r="H37" s="81"/>
      <c r="J37" s="77" t="s">
        <v>18</v>
      </c>
      <c r="K37" s="77"/>
      <c r="L37" s="77"/>
      <c r="M37" s="77"/>
      <c r="N37" s="77"/>
      <c r="O37" s="77"/>
      <c r="P37" s="77"/>
      <c r="Q37" s="77"/>
      <c r="R37" s="77"/>
      <c r="S37" s="77"/>
      <c r="T37" s="77"/>
      <c r="U37" s="77"/>
      <c r="W37" s="82" t="str">
        <f>J37</f>
        <v>Setembro</v>
      </c>
      <c r="X37" s="82"/>
      <c r="Y37" s="82"/>
      <c r="Z37" s="82"/>
      <c r="AA37" s="82"/>
      <c r="AB37" s="82"/>
      <c r="AC37" s="82"/>
      <c r="AE37" s="84" t="str">
        <f>W37</f>
        <v>Setembro</v>
      </c>
      <c r="AF37" s="84"/>
      <c r="AG37" s="84"/>
      <c r="AH37" s="84"/>
      <c r="AI37" s="84"/>
      <c r="AJ37" s="84"/>
      <c r="AK37" s="84"/>
    </row>
    <row r="38" spans="1:37"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1" t="s">
        <v>19</v>
      </c>
      <c r="C41" s="81"/>
      <c r="D41" s="81"/>
      <c r="E41" s="81"/>
      <c r="F41" s="81"/>
      <c r="G41" s="81"/>
      <c r="H41" s="81"/>
      <c r="J41" s="77" t="s">
        <v>19</v>
      </c>
      <c r="K41" s="77"/>
      <c r="L41" s="77"/>
      <c r="M41" s="77"/>
      <c r="N41" s="77"/>
      <c r="O41" s="77"/>
      <c r="P41" s="77"/>
      <c r="Q41" s="77"/>
      <c r="R41" s="77"/>
      <c r="S41" s="77"/>
      <c r="T41" s="77"/>
      <c r="U41" s="77"/>
      <c r="W41" s="82" t="str">
        <f>J41</f>
        <v>Outubro</v>
      </c>
      <c r="X41" s="82"/>
      <c r="Y41" s="82"/>
      <c r="Z41" s="82"/>
      <c r="AA41" s="82"/>
      <c r="AB41" s="82"/>
      <c r="AC41" s="82"/>
      <c r="AE41" s="84" t="str">
        <f>W41</f>
        <v>Outubro</v>
      </c>
      <c r="AF41" s="84"/>
      <c r="AG41" s="84"/>
      <c r="AH41" s="84"/>
      <c r="AI41" s="84"/>
      <c r="AJ41" s="84"/>
      <c r="AK41" s="84"/>
    </row>
    <row r="42" spans="1:37"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1" t="s">
        <v>20</v>
      </c>
      <c r="C45" s="81"/>
      <c r="D45" s="81"/>
      <c r="E45" s="81"/>
      <c r="F45" s="81"/>
      <c r="G45" s="81"/>
      <c r="H45" s="81"/>
      <c r="J45" s="77" t="s">
        <v>20</v>
      </c>
      <c r="K45" s="77"/>
      <c r="L45" s="77"/>
      <c r="M45" s="77"/>
      <c r="N45" s="77"/>
      <c r="O45" s="77"/>
      <c r="P45" s="77"/>
      <c r="Q45" s="77"/>
      <c r="R45" s="77"/>
      <c r="S45" s="77"/>
      <c r="T45" s="77"/>
      <c r="U45" s="77"/>
      <c r="W45" s="82" t="str">
        <f>J45</f>
        <v>Novembro</v>
      </c>
      <c r="X45" s="82"/>
      <c r="Y45" s="82"/>
      <c r="Z45" s="82"/>
      <c r="AA45" s="82"/>
      <c r="AB45" s="82"/>
      <c r="AC45" s="82"/>
      <c r="AE45" s="84" t="str">
        <f>W45</f>
        <v>Novembro</v>
      </c>
      <c r="AF45" s="84"/>
      <c r="AG45" s="84"/>
      <c r="AH45" s="84"/>
      <c r="AI45" s="84"/>
      <c r="AJ45" s="84"/>
      <c r="AK45" s="84"/>
    </row>
    <row r="46" spans="1:37"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1" t="s">
        <v>21</v>
      </c>
      <c r="C49" s="81"/>
      <c r="D49" s="81"/>
      <c r="E49" s="81"/>
      <c r="F49" s="81"/>
      <c r="G49" s="81"/>
      <c r="H49" s="81"/>
      <c r="J49" s="77" t="s">
        <v>21</v>
      </c>
      <c r="K49" s="77"/>
      <c r="L49" s="77"/>
      <c r="M49" s="77"/>
      <c r="N49" s="77"/>
      <c r="O49" s="77"/>
      <c r="P49" s="77"/>
      <c r="Q49" s="77"/>
      <c r="R49" s="77"/>
      <c r="S49" s="77"/>
      <c r="T49" s="77"/>
      <c r="U49" s="77"/>
      <c r="W49" s="82" t="str">
        <f>J49</f>
        <v>Dezembro</v>
      </c>
      <c r="X49" s="82"/>
      <c r="Y49" s="82"/>
      <c r="Z49" s="82"/>
      <c r="AA49" s="82"/>
      <c r="AB49" s="82"/>
      <c r="AC49" s="82"/>
      <c r="AE49" s="84" t="str">
        <f>W49</f>
        <v>Dezembro</v>
      </c>
      <c r="AF49" s="84"/>
      <c r="AG49" s="84"/>
      <c r="AH49" s="84"/>
      <c r="AI49" s="84"/>
      <c r="AJ49" s="84"/>
      <c r="AK49" s="84"/>
    </row>
    <row r="50" spans="1:37"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6">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21" max="21" width="10.42578125" bestFit="1" customWidth="1"/>
    <col min="34" max="36" width="10.140625" bestFit="1" customWidth="1"/>
  </cols>
  <sheetData>
    <row r="2" spans="1:37" x14ac:dyDescent="0.25">
      <c r="A2" t="s">
        <v>0</v>
      </c>
      <c r="B2" s="75"/>
      <c r="C2" s="75"/>
      <c r="D2" s="1" t="s">
        <v>1</v>
      </c>
      <c r="E2" s="75"/>
      <c r="F2" s="75"/>
      <c r="H2" t="s">
        <v>45</v>
      </c>
      <c r="I2" s="54"/>
    </row>
    <row r="3" spans="1:37" x14ac:dyDescent="0.25">
      <c r="A3" t="s">
        <v>80</v>
      </c>
      <c r="B3" s="75"/>
      <c r="C3" s="75"/>
      <c r="D3" s="1" t="s">
        <v>1</v>
      </c>
      <c r="E3" s="75"/>
      <c r="F3" s="75"/>
      <c r="H3" t="s">
        <v>81</v>
      </c>
      <c r="I3" s="54"/>
    </row>
    <row r="4" spans="1:37" x14ac:dyDescent="0.25">
      <c r="A4" t="s">
        <v>2</v>
      </c>
      <c r="B4" s="76"/>
      <c r="C4" s="76"/>
      <c r="D4" s="1" t="s">
        <v>29</v>
      </c>
      <c r="E4" s="75"/>
      <c r="F4" s="75"/>
      <c r="H4" t="s">
        <v>70</v>
      </c>
      <c r="I4" s="67"/>
    </row>
    <row r="7" spans="1:37" ht="21" x14ac:dyDescent="0.35">
      <c r="A7" s="79" t="s">
        <v>28</v>
      </c>
      <c r="B7" s="79"/>
      <c r="C7" s="79"/>
      <c r="D7" s="79"/>
      <c r="E7" s="79"/>
      <c r="F7" s="79"/>
      <c r="G7" s="79"/>
      <c r="H7" s="79"/>
      <c r="J7" s="78" t="s">
        <v>26</v>
      </c>
      <c r="K7" s="78"/>
      <c r="L7" s="78"/>
      <c r="M7" s="78"/>
      <c r="N7" s="78"/>
      <c r="O7" s="78"/>
      <c r="P7" s="78"/>
      <c r="Q7" s="78"/>
      <c r="R7" s="78"/>
      <c r="S7" s="78"/>
      <c r="T7" s="78"/>
      <c r="U7" s="78"/>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1" t="s">
        <v>3</v>
      </c>
      <c r="C9" s="81"/>
      <c r="D9" s="81"/>
      <c r="E9" s="81"/>
      <c r="F9" s="81"/>
      <c r="G9" s="81"/>
      <c r="H9" s="81"/>
      <c r="J9" s="77" t="s">
        <v>3</v>
      </c>
      <c r="K9" s="77"/>
      <c r="L9" s="77"/>
      <c r="M9" s="77"/>
      <c r="N9" s="77"/>
      <c r="O9" s="77"/>
      <c r="P9" s="77"/>
      <c r="Q9" s="77"/>
      <c r="R9" s="77"/>
      <c r="S9" s="77"/>
      <c r="T9" s="77"/>
      <c r="U9" s="77"/>
      <c r="W9" s="82" t="s">
        <v>3</v>
      </c>
      <c r="X9" s="82"/>
      <c r="Y9" s="82"/>
      <c r="Z9" s="82"/>
      <c r="AA9" s="82"/>
      <c r="AB9" s="82"/>
      <c r="AC9" s="82"/>
      <c r="AE9" s="84" t="s">
        <v>3</v>
      </c>
      <c r="AF9" s="84"/>
      <c r="AG9" s="84"/>
      <c r="AH9" s="84"/>
      <c r="AI9" s="84"/>
      <c r="AJ9" s="84"/>
      <c r="AK9" s="84"/>
    </row>
    <row r="10" spans="1:37"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1" t="s">
        <v>13</v>
      </c>
      <c r="C13" s="81"/>
      <c r="D13" s="81"/>
      <c r="E13" s="81"/>
      <c r="F13" s="81"/>
      <c r="G13" s="81"/>
      <c r="H13" s="81"/>
      <c r="J13" s="77" t="s">
        <v>13</v>
      </c>
      <c r="K13" s="77"/>
      <c r="L13" s="77"/>
      <c r="M13" s="77"/>
      <c r="N13" s="77"/>
      <c r="O13" s="77"/>
      <c r="P13" s="77"/>
      <c r="Q13" s="77"/>
      <c r="R13" s="77"/>
      <c r="S13" s="77"/>
      <c r="T13" s="77"/>
      <c r="U13" s="77"/>
      <c r="W13" s="82" t="str">
        <f>J13</f>
        <v>Março</v>
      </c>
      <c r="X13" s="82"/>
      <c r="Y13" s="82"/>
      <c r="Z13" s="82"/>
      <c r="AA13" s="82"/>
      <c r="AB13" s="82"/>
      <c r="AC13" s="82"/>
      <c r="AE13" s="84" t="str">
        <f>W13</f>
        <v>Março</v>
      </c>
      <c r="AF13" s="84"/>
      <c r="AG13" s="84"/>
      <c r="AH13" s="84"/>
      <c r="AI13" s="84"/>
      <c r="AJ13" s="84"/>
      <c r="AK13" s="84"/>
    </row>
    <row r="14" spans="1:37" ht="15.75" thickBot="1" x14ac:dyDescent="0.3">
      <c r="A14" s="80"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81" t="s">
        <v>14</v>
      </c>
      <c r="C17" s="81"/>
      <c r="D17" s="81"/>
      <c r="E17" s="81"/>
      <c r="F17" s="81"/>
      <c r="G17" s="81"/>
      <c r="H17" s="81"/>
      <c r="J17" s="77" t="s">
        <v>14</v>
      </c>
      <c r="K17" s="77"/>
      <c r="L17" s="77"/>
      <c r="M17" s="77"/>
      <c r="N17" s="77"/>
      <c r="O17" s="77"/>
      <c r="P17" s="77"/>
      <c r="Q17" s="77"/>
      <c r="R17" s="77"/>
      <c r="S17" s="77"/>
      <c r="T17" s="77"/>
      <c r="U17" s="77"/>
      <c r="W17" s="82" t="str">
        <f>J17</f>
        <v>Abril</v>
      </c>
      <c r="X17" s="82"/>
      <c r="Y17" s="82"/>
      <c r="Z17" s="82"/>
      <c r="AA17" s="82"/>
      <c r="AB17" s="82"/>
      <c r="AC17" s="82"/>
      <c r="AE17" s="84" t="str">
        <f>W17</f>
        <v>Abril</v>
      </c>
      <c r="AF17" s="84"/>
      <c r="AG17" s="84"/>
      <c r="AH17" s="84"/>
      <c r="AI17" s="84"/>
      <c r="AJ17" s="84"/>
      <c r="AK17" s="84"/>
    </row>
    <row r="18" spans="1:37"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81" t="s">
        <v>15</v>
      </c>
      <c r="C21" s="81"/>
      <c r="D21" s="81"/>
      <c r="E21" s="81"/>
      <c r="F21" s="81"/>
      <c r="G21" s="81"/>
      <c r="H21" s="81"/>
      <c r="J21" s="77" t="s">
        <v>15</v>
      </c>
      <c r="K21" s="77"/>
      <c r="L21" s="77"/>
      <c r="M21" s="77"/>
      <c r="N21" s="77"/>
      <c r="O21" s="77"/>
      <c r="P21" s="77"/>
      <c r="Q21" s="77"/>
      <c r="R21" s="77"/>
      <c r="S21" s="77"/>
      <c r="T21" s="77"/>
      <c r="U21" s="77"/>
      <c r="W21" s="82" t="str">
        <f>J21</f>
        <v>Maio</v>
      </c>
      <c r="X21" s="82"/>
      <c r="Y21" s="82"/>
      <c r="Z21" s="82"/>
      <c r="AA21" s="82"/>
      <c r="AB21" s="82"/>
      <c r="AC21" s="82"/>
      <c r="AE21" s="84" t="str">
        <f>W21</f>
        <v>Maio</v>
      </c>
      <c r="AF21" s="84"/>
      <c r="AG21" s="84"/>
      <c r="AH21" s="84"/>
      <c r="AI21" s="84"/>
      <c r="AJ21" s="84"/>
      <c r="AK21" s="84"/>
    </row>
    <row r="22" spans="1:37"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1" t="s">
        <v>24</v>
      </c>
      <c r="C25" s="81"/>
      <c r="D25" s="81"/>
      <c r="E25" s="81"/>
      <c r="F25" s="81"/>
      <c r="G25" s="81"/>
      <c r="H25" s="81"/>
      <c r="J25" s="77" t="s">
        <v>24</v>
      </c>
      <c r="K25" s="77"/>
      <c r="L25" s="77"/>
      <c r="M25" s="77"/>
      <c r="N25" s="77"/>
      <c r="O25" s="77"/>
      <c r="P25" s="77"/>
      <c r="Q25" s="77"/>
      <c r="R25" s="77"/>
      <c r="S25" s="77"/>
      <c r="T25" s="77"/>
      <c r="U25" s="77"/>
      <c r="W25" s="82" t="str">
        <f>J25</f>
        <v>Junho</v>
      </c>
      <c r="X25" s="82"/>
      <c r="Y25" s="82"/>
      <c r="Z25" s="82"/>
      <c r="AA25" s="82"/>
      <c r="AB25" s="82"/>
      <c r="AC25" s="82"/>
      <c r="AE25" s="84" t="str">
        <f>W25</f>
        <v>Junho</v>
      </c>
      <c r="AF25" s="84"/>
      <c r="AG25" s="84"/>
      <c r="AH25" s="84"/>
      <c r="AI25" s="84"/>
      <c r="AJ25" s="84"/>
      <c r="AK25" s="84"/>
    </row>
    <row r="26" spans="1:37"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1" t="s">
        <v>16</v>
      </c>
      <c r="C29" s="81"/>
      <c r="D29" s="81"/>
      <c r="E29" s="81"/>
      <c r="F29" s="81"/>
      <c r="G29" s="81"/>
      <c r="H29" s="81"/>
      <c r="J29" s="77" t="s">
        <v>16</v>
      </c>
      <c r="K29" s="77"/>
      <c r="L29" s="77"/>
      <c r="M29" s="77"/>
      <c r="N29" s="77"/>
      <c r="O29" s="77"/>
      <c r="P29" s="77"/>
      <c r="Q29" s="77"/>
      <c r="R29" s="77"/>
      <c r="S29" s="77"/>
      <c r="T29" s="77"/>
      <c r="U29" s="77"/>
      <c r="W29" s="82" t="str">
        <f>J29</f>
        <v>Julho</v>
      </c>
      <c r="X29" s="82"/>
      <c r="Y29" s="82"/>
      <c r="Z29" s="82"/>
      <c r="AA29" s="82"/>
      <c r="AB29" s="82"/>
      <c r="AC29" s="82"/>
      <c r="AE29" s="84" t="str">
        <f>W29</f>
        <v>Julho</v>
      </c>
      <c r="AF29" s="84"/>
      <c r="AG29" s="84"/>
      <c r="AH29" s="84"/>
      <c r="AI29" s="84"/>
      <c r="AJ29" s="84"/>
      <c r="AK29" s="84"/>
    </row>
    <row r="30" spans="1:37"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1" t="s">
        <v>17</v>
      </c>
      <c r="C33" s="81"/>
      <c r="D33" s="81"/>
      <c r="E33" s="81"/>
      <c r="F33" s="81"/>
      <c r="G33" s="81"/>
      <c r="H33" s="81"/>
      <c r="J33" s="77" t="s">
        <v>17</v>
      </c>
      <c r="K33" s="77"/>
      <c r="L33" s="77"/>
      <c r="M33" s="77"/>
      <c r="N33" s="77"/>
      <c r="O33" s="77"/>
      <c r="P33" s="77"/>
      <c r="Q33" s="77"/>
      <c r="R33" s="77"/>
      <c r="S33" s="77"/>
      <c r="T33" s="77"/>
      <c r="U33" s="77"/>
      <c r="W33" s="82" t="str">
        <f>J33</f>
        <v>Agosto</v>
      </c>
      <c r="X33" s="82"/>
      <c r="Y33" s="82"/>
      <c r="Z33" s="82"/>
      <c r="AA33" s="82"/>
      <c r="AB33" s="82"/>
      <c r="AC33" s="82"/>
      <c r="AE33" s="84" t="str">
        <f>W33</f>
        <v>Agosto</v>
      </c>
      <c r="AF33" s="84"/>
      <c r="AG33" s="84"/>
      <c r="AH33" s="84"/>
      <c r="AI33" s="84"/>
      <c r="AJ33" s="84"/>
      <c r="AK33" s="84"/>
    </row>
    <row r="34" spans="1:37"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1" t="s">
        <v>18</v>
      </c>
      <c r="C37" s="81"/>
      <c r="D37" s="81"/>
      <c r="E37" s="81"/>
      <c r="F37" s="81"/>
      <c r="G37" s="81"/>
      <c r="H37" s="81"/>
      <c r="J37" s="77" t="s">
        <v>18</v>
      </c>
      <c r="K37" s="77"/>
      <c r="L37" s="77"/>
      <c r="M37" s="77"/>
      <c r="N37" s="77"/>
      <c r="O37" s="77"/>
      <c r="P37" s="77"/>
      <c r="Q37" s="77"/>
      <c r="R37" s="77"/>
      <c r="S37" s="77"/>
      <c r="T37" s="77"/>
      <c r="U37" s="77"/>
      <c r="W37" s="82" t="str">
        <f>J37</f>
        <v>Setembro</v>
      </c>
      <c r="X37" s="82"/>
      <c r="Y37" s="82"/>
      <c r="Z37" s="82"/>
      <c r="AA37" s="82"/>
      <c r="AB37" s="82"/>
      <c r="AC37" s="82"/>
      <c r="AE37" s="84" t="str">
        <f>W37</f>
        <v>Setembro</v>
      </c>
      <c r="AF37" s="84"/>
      <c r="AG37" s="84"/>
      <c r="AH37" s="84"/>
      <c r="AI37" s="84"/>
      <c r="AJ37" s="84"/>
      <c r="AK37" s="84"/>
    </row>
    <row r="38" spans="1:37"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1" t="s">
        <v>19</v>
      </c>
      <c r="C41" s="81"/>
      <c r="D41" s="81"/>
      <c r="E41" s="81"/>
      <c r="F41" s="81"/>
      <c r="G41" s="81"/>
      <c r="H41" s="81"/>
      <c r="J41" s="77" t="s">
        <v>19</v>
      </c>
      <c r="K41" s="77"/>
      <c r="L41" s="77"/>
      <c r="M41" s="77"/>
      <c r="N41" s="77"/>
      <c r="O41" s="77"/>
      <c r="P41" s="77"/>
      <c r="Q41" s="77"/>
      <c r="R41" s="77"/>
      <c r="S41" s="77"/>
      <c r="T41" s="77"/>
      <c r="U41" s="77"/>
      <c r="W41" s="82" t="str">
        <f>J41</f>
        <v>Outubro</v>
      </c>
      <c r="X41" s="82"/>
      <c r="Y41" s="82"/>
      <c r="Z41" s="82"/>
      <c r="AA41" s="82"/>
      <c r="AB41" s="82"/>
      <c r="AC41" s="82"/>
      <c r="AE41" s="84" t="str">
        <f>W41</f>
        <v>Outubro</v>
      </c>
      <c r="AF41" s="84"/>
      <c r="AG41" s="84"/>
      <c r="AH41" s="84"/>
      <c r="AI41" s="84"/>
      <c r="AJ41" s="84"/>
      <c r="AK41" s="84"/>
    </row>
    <row r="42" spans="1:37"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1" t="s">
        <v>20</v>
      </c>
      <c r="C45" s="81"/>
      <c r="D45" s="81"/>
      <c r="E45" s="81"/>
      <c r="F45" s="81"/>
      <c r="G45" s="81"/>
      <c r="H45" s="81"/>
      <c r="J45" s="77" t="s">
        <v>20</v>
      </c>
      <c r="K45" s="77"/>
      <c r="L45" s="77"/>
      <c r="M45" s="77"/>
      <c r="N45" s="77"/>
      <c r="O45" s="77"/>
      <c r="P45" s="77"/>
      <c r="Q45" s="77"/>
      <c r="R45" s="77"/>
      <c r="S45" s="77"/>
      <c r="T45" s="77"/>
      <c r="U45" s="77"/>
      <c r="W45" s="82" t="str">
        <f>J45</f>
        <v>Novembro</v>
      </c>
      <c r="X45" s="82"/>
      <c r="Y45" s="82"/>
      <c r="Z45" s="82"/>
      <c r="AA45" s="82"/>
      <c r="AB45" s="82"/>
      <c r="AC45" s="82"/>
      <c r="AE45" s="84" t="str">
        <f>W45</f>
        <v>Novembro</v>
      </c>
      <c r="AF45" s="84"/>
      <c r="AG45" s="84"/>
      <c r="AH45" s="84"/>
      <c r="AI45" s="84"/>
      <c r="AJ45" s="84"/>
      <c r="AK45" s="84"/>
    </row>
    <row r="46" spans="1:37"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1" t="s">
        <v>21</v>
      </c>
      <c r="C49" s="81"/>
      <c r="D49" s="81"/>
      <c r="E49" s="81"/>
      <c r="F49" s="81"/>
      <c r="G49" s="81"/>
      <c r="H49" s="81"/>
      <c r="J49" s="77" t="s">
        <v>21</v>
      </c>
      <c r="K49" s="77"/>
      <c r="L49" s="77"/>
      <c r="M49" s="77"/>
      <c r="N49" s="77"/>
      <c r="O49" s="77"/>
      <c r="P49" s="77"/>
      <c r="Q49" s="77"/>
      <c r="R49" s="77"/>
      <c r="S49" s="77"/>
      <c r="T49" s="77"/>
      <c r="U49" s="77"/>
      <c r="W49" s="82" t="str">
        <f>J49</f>
        <v>Dezembro</v>
      </c>
      <c r="X49" s="82"/>
      <c r="Y49" s="82"/>
      <c r="Z49" s="82"/>
      <c r="AA49" s="82"/>
      <c r="AB49" s="82"/>
      <c r="AC49" s="82"/>
      <c r="AE49" s="84" t="str">
        <f>W49</f>
        <v>Dezembro</v>
      </c>
      <c r="AF49" s="84"/>
      <c r="AG49" s="84"/>
      <c r="AH49" s="84"/>
      <c r="AI49" s="84"/>
      <c r="AJ49" s="84"/>
      <c r="AK49" s="84"/>
    </row>
    <row r="50" spans="1:37"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3" width="9.85546875" bestFit="1" customWidth="1"/>
    <col min="21" max="21" width="10.42578125" bestFit="1" customWidth="1"/>
    <col min="34" max="36" width="10.140625" bestFit="1" customWidth="1"/>
  </cols>
  <sheetData>
    <row r="2" spans="1:37" x14ac:dyDescent="0.25">
      <c r="A2" t="s">
        <v>0</v>
      </c>
      <c r="B2" s="75"/>
      <c r="C2" s="75"/>
      <c r="D2" s="1" t="s">
        <v>1</v>
      </c>
      <c r="E2" s="75"/>
      <c r="F2" s="75"/>
      <c r="H2" t="s">
        <v>45</v>
      </c>
      <c r="I2" s="54"/>
    </row>
    <row r="3" spans="1:37" x14ac:dyDescent="0.25">
      <c r="A3" t="s">
        <v>80</v>
      </c>
      <c r="B3" s="75"/>
      <c r="C3" s="75"/>
      <c r="D3" s="1" t="s">
        <v>1</v>
      </c>
      <c r="E3" s="75"/>
      <c r="F3" s="75"/>
      <c r="H3" t="s">
        <v>81</v>
      </c>
      <c r="I3" s="54"/>
    </row>
    <row r="4" spans="1:37" x14ac:dyDescent="0.25">
      <c r="A4" t="s">
        <v>2</v>
      </c>
      <c r="B4" s="76"/>
      <c r="C4" s="76"/>
      <c r="D4" s="1" t="s">
        <v>29</v>
      </c>
      <c r="E4" s="75"/>
      <c r="F4" s="75"/>
      <c r="H4" t="s">
        <v>70</v>
      </c>
      <c r="I4" s="67"/>
    </row>
    <row r="7" spans="1:37" ht="21" x14ac:dyDescent="0.35">
      <c r="A7" s="79" t="s">
        <v>28</v>
      </c>
      <c r="B7" s="79"/>
      <c r="C7" s="79"/>
      <c r="D7" s="79"/>
      <c r="E7" s="79"/>
      <c r="F7" s="79"/>
      <c r="G7" s="79"/>
      <c r="H7" s="79"/>
      <c r="J7" s="78" t="s">
        <v>26</v>
      </c>
      <c r="K7" s="78"/>
      <c r="L7" s="78"/>
      <c r="M7" s="78"/>
      <c r="N7" s="78"/>
      <c r="O7" s="78"/>
      <c r="P7" s="78"/>
      <c r="Q7" s="78"/>
      <c r="R7" s="78"/>
      <c r="S7" s="78"/>
      <c r="T7" s="78"/>
      <c r="U7" s="78"/>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1" t="s">
        <v>3</v>
      </c>
      <c r="C9" s="81"/>
      <c r="D9" s="81"/>
      <c r="E9" s="81"/>
      <c r="F9" s="81"/>
      <c r="G9" s="81"/>
      <c r="H9" s="81"/>
      <c r="J9" s="77" t="s">
        <v>3</v>
      </c>
      <c r="K9" s="77"/>
      <c r="L9" s="77"/>
      <c r="M9" s="77"/>
      <c r="N9" s="77"/>
      <c r="O9" s="77"/>
      <c r="P9" s="77"/>
      <c r="Q9" s="77"/>
      <c r="R9" s="77"/>
      <c r="S9" s="77"/>
      <c r="T9" s="77"/>
      <c r="U9" s="77"/>
      <c r="W9" s="82" t="s">
        <v>3</v>
      </c>
      <c r="X9" s="82"/>
      <c r="Y9" s="82"/>
      <c r="Z9" s="82"/>
      <c r="AA9" s="82"/>
      <c r="AB9" s="82"/>
      <c r="AC9" s="82"/>
      <c r="AE9" s="84" t="s">
        <v>3</v>
      </c>
      <c r="AF9" s="84"/>
      <c r="AG9" s="84"/>
      <c r="AH9" s="84"/>
      <c r="AI9" s="84"/>
      <c r="AJ9" s="84"/>
      <c r="AK9" s="84"/>
    </row>
    <row r="10" spans="1:37"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1" t="s">
        <v>13</v>
      </c>
      <c r="C13" s="81"/>
      <c r="D13" s="81"/>
      <c r="E13" s="81"/>
      <c r="F13" s="81"/>
      <c r="G13" s="81"/>
      <c r="H13" s="81"/>
      <c r="J13" s="77" t="s">
        <v>13</v>
      </c>
      <c r="K13" s="77"/>
      <c r="L13" s="77"/>
      <c r="M13" s="77"/>
      <c r="N13" s="77"/>
      <c r="O13" s="77"/>
      <c r="P13" s="77"/>
      <c r="Q13" s="77"/>
      <c r="R13" s="77"/>
      <c r="S13" s="77"/>
      <c r="T13" s="77"/>
      <c r="U13" s="77"/>
      <c r="W13" s="82" t="str">
        <f>J13</f>
        <v>Março</v>
      </c>
      <c r="X13" s="82"/>
      <c r="Y13" s="82"/>
      <c r="Z13" s="82"/>
      <c r="AA13" s="82"/>
      <c r="AB13" s="82"/>
      <c r="AC13" s="82"/>
      <c r="AE13" s="84" t="str">
        <f>W13</f>
        <v>Março</v>
      </c>
      <c r="AF13" s="84"/>
      <c r="AG13" s="84"/>
      <c r="AH13" s="84"/>
      <c r="AI13" s="84"/>
      <c r="AJ13" s="84"/>
      <c r="AK13" s="84"/>
    </row>
    <row r="14" spans="1:37" ht="15.75" thickBot="1" x14ac:dyDescent="0.3">
      <c r="A14" s="80"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81" t="s">
        <v>14</v>
      </c>
      <c r="C17" s="81"/>
      <c r="D17" s="81"/>
      <c r="E17" s="81"/>
      <c r="F17" s="81"/>
      <c r="G17" s="81"/>
      <c r="H17" s="81"/>
      <c r="J17" s="77" t="s">
        <v>14</v>
      </c>
      <c r="K17" s="77"/>
      <c r="L17" s="77"/>
      <c r="M17" s="77"/>
      <c r="N17" s="77"/>
      <c r="O17" s="77"/>
      <c r="P17" s="77"/>
      <c r="Q17" s="77"/>
      <c r="R17" s="77"/>
      <c r="S17" s="77"/>
      <c r="T17" s="77"/>
      <c r="U17" s="77"/>
      <c r="W17" s="82" t="str">
        <f>J17</f>
        <v>Abril</v>
      </c>
      <c r="X17" s="82"/>
      <c r="Y17" s="82"/>
      <c r="Z17" s="82"/>
      <c r="AA17" s="82"/>
      <c r="AB17" s="82"/>
      <c r="AC17" s="82"/>
      <c r="AE17" s="84" t="str">
        <f>W17</f>
        <v>Abril</v>
      </c>
      <c r="AF17" s="84"/>
      <c r="AG17" s="84"/>
      <c r="AH17" s="84"/>
      <c r="AI17" s="84"/>
      <c r="AJ17" s="84"/>
      <c r="AK17" s="84"/>
    </row>
    <row r="18" spans="1:37"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81" t="s">
        <v>15</v>
      </c>
      <c r="C21" s="81"/>
      <c r="D21" s="81"/>
      <c r="E21" s="81"/>
      <c r="F21" s="81"/>
      <c r="G21" s="81"/>
      <c r="H21" s="81"/>
      <c r="J21" s="77" t="s">
        <v>15</v>
      </c>
      <c r="K21" s="77"/>
      <c r="L21" s="77"/>
      <c r="M21" s="77"/>
      <c r="N21" s="77"/>
      <c r="O21" s="77"/>
      <c r="P21" s="77"/>
      <c r="Q21" s="77"/>
      <c r="R21" s="77"/>
      <c r="S21" s="77"/>
      <c r="T21" s="77"/>
      <c r="U21" s="77"/>
      <c r="W21" s="82" t="str">
        <f>J21</f>
        <v>Maio</v>
      </c>
      <c r="X21" s="82"/>
      <c r="Y21" s="82"/>
      <c r="Z21" s="82"/>
      <c r="AA21" s="82"/>
      <c r="AB21" s="82"/>
      <c r="AC21" s="82"/>
      <c r="AE21" s="84" t="str">
        <f>W21</f>
        <v>Maio</v>
      </c>
      <c r="AF21" s="84"/>
      <c r="AG21" s="84"/>
      <c r="AH21" s="84"/>
      <c r="AI21" s="84"/>
      <c r="AJ21" s="84"/>
      <c r="AK21" s="84"/>
    </row>
    <row r="22" spans="1:37"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1" t="s">
        <v>24</v>
      </c>
      <c r="C25" s="81"/>
      <c r="D25" s="81"/>
      <c r="E25" s="81"/>
      <c r="F25" s="81"/>
      <c r="G25" s="81"/>
      <c r="H25" s="81"/>
      <c r="J25" s="77" t="s">
        <v>24</v>
      </c>
      <c r="K25" s="77"/>
      <c r="L25" s="77"/>
      <c r="M25" s="77"/>
      <c r="N25" s="77"/>
      <c r="O25" s="77"/>
      <c r="P25" s="77"/>
      <c r="Q25" s="77"/>
      <c r="R25" s="77"/>
      <c r="S25" s="77"/>
      <c r="T25" s="77"/>
      <c r="U25" s="77"/>
      <c r="W25" s="82" t="str">
        <f>J25</f>
        <v>Junho</v>
      </c>
      <c r="X25" s="82"/>
      <c r="Y25" s="82"/>
      <c r="Z25" s="82"/>
      <c r="AA25" s="82"/>
      <c r="AB25" s="82"/>
      <c r="AC25" s="82"/>
      <c r="AE25" s="84" t="str">
        <f>W25</f>
        <v>Junho</v>
      </c>
      <c r="AF25" s="84"/>
      <c r="AG25" s="84"/>
      <c r="AH25" s="84"/>
      <c r="AI25" s="84"/>
      <c r="AJ25" s="84"/>
      <c r="AK25" s="84"/>
    </row>
    <row r="26" spans="1:37"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1" t="s">
        <v>16</v>
      </c>
      <c r="C29" s="81"/>
      <c r="D29" s="81"/>
      <c r="E29" s="81"/>
      <c r="F29" s="81"/>
      <c r="G29" s="81"/>
      <c r="H29" s="81"/>
      <c r="J29" s="77" t="s">
        <v>16</v>
      </c>
      <c r="K29" s="77"/>
      <c r="L29" s="77"/>
      <c r="M29" s="77"/>
      <c r="N29" s="77"/>
      <c r="O29" s="77"/>
      <c r="P29" s="77"/>
      <c r="Q29" s="77"/>
      <c r="R29" s="77"/>
      <c r="S29" s="77"/>
      <c r="T29" s="77"/>
      <c r="U29" s="77"/>
      <c r="W29" s="82" t="str">
        <f>J29</f>
        <v>Julho</v>
      </c>
      <c r="X29" s="82"/>
      <c r="Y29" s="82"/>
      <c r="Z29" s="82"/>
      <c r="AA29" s="82"/>
      <c r="AB29" s="82"/>
      <c r="AC29" s="82"/>
      <c r="AE29" s="84" t="str">
        <f>W29</f>
        <v>Julho</v>
      </c>
      <c r="AF29" s="84"/>
      <c r="AG29" s="84"/>
      <c r="AH29" s="84"/>
      <c r="AI29" s="84"/>
      <c r="AJ29" s="84"/>
      <c r="AK29" s="84"/>
    </row>
    <row r="30" spans="1:37"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1" t="s">
        <v>17</v>
      </c>
      <c r="C33" s="81"/>
      <c r="D33" s="81"/>
      <c r="E33" s="81"/>
      <c r="F33" s="81"/>
      <c r="G33" s="81"/>
      <c r="H33" s="81"/>
      <c r="J33" s="77" t="s">
        <v>17</v>
      </c>
      <c r="K33" s="77"/>
      <c r="L33" s="77"/>
      <c r="M33" s="77"/>
      <c r="N33" s="77"/>
      <c r="O33" s="77"/>
      <c r="P33" s="77"/>
      <c r="Q33" s="77"/>
      <c r="R33" s="77"/>
      <c r="S33" s="77"/>
      <c r="T33" s="77"/>
      <c r="U33" s="77"/>
      <c r="W33" s="82" t="str">
        <f>J33</f>
        <v>Agosto</v>
      </c>
      <c r="X33" s="82"/>
      <c r="Y33" s="82"/>
      <c r="Z33" s="82"/>
      <c r="AA33" s="82"/>
      <c r="AB33" s="82"/>
      <c r="AC33" s="82"/>
      <c r="AE33" s="84" t="str">
        <f>W33</f>
        <v>Agosto</v>
      </c>
      <c r="AF33" s="84"/>
      <c r="AG33" s="84"/>
      <c r="AH33" s="84"/>
      <c r="AI33" s="84"/>
      <c r="AJ33" s="84"/>
      <c r="AK33" s="84"/>
    </row>
    <row r="34" spans="1:37"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1" t="s">
        <v>18</v>
      </c>
      <c r="C37" s="81"/>
      <c r="D37" s="81"/>
      <c r="E37" s="81"/>
      <c r="F37" s="81"/>
      <c r="G37" s="81"/>
      <c r="H37" s="81"/>
      <c r="J37" s="77" t="s">
        <v>18</v>
      </c>
      <c r="K37" s="77"/>
      <c r="L37" s="77"/>
      <c r="M37" s="77"/>
      <c r="N37" s="77"/>
      <c r="O37" s="77"/>
      <c r="P37" s="77"/>
      <c r="Q37" s="77"/>
      <c r="R37" s="77"/>
      <c r="S37" s="77"/>
      <c r="T37" s="77"/>
      <c r="U37" s="77"/>
      <c r="W37" s="82" t="str">
        <f>J37</f>
        <v>Setembro</v>
      </c>
      <c r="X37" s="82"/>
      <c r="Y37" s="82"/>
      <c r="Z37" s="82"/>
      <c r="AA37" s="82"/>
      <c r="AB37" s="82"/>
      <c r="AC37" s="82"/>
      <c r="AE37" s="84" t="str">
        <f>W37</f>
        <v>Setembro</v>
      </c>
      <c r="AF37" s="84"/>
      <c r="AG37" s="84"/>
      <c r="AH37" s="84"/>
      <c r="AI37" s="84"/>
      <c r="AJ37" s="84"/>
      <c r="AK37" s="84"/>
    </row>
    <row r="38" spans="1:37"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1" t="s">
        <v>19</v>
      </c>
      <c r="C41" s="81"/>
      <c r="D41" s="81"/>
      <c r="E41" s="81"/>
      <c r="F41" s="81"/>
      <c r="G41" s="81"/>
      <c r="H41" s="81"/>
      <c r="J41" s="77" t="s">
        <v>19</v>
      </c>
      <c r="K41" s="77"/>
      <c r="L41" s="77"/>
      <c r="M41" s="77"/>
      <c r="N41" s="77"/>
      <c r="O41" s="77"/>
      <c r="P41" s="77"/>
      <c r="Q41" s="77"/>
      <c r="R41" s="77"/>
      <c r="S41" s="77"/>
      <c r="T41" s="77"/>
      <c r="U41" s="77"/>
      <c r="W41" s="82" t="str">
        <f>J41</f>
        <v>Outubro</v>
      </c>
      <c r="X41" s="82"/>
      <c r="Y41" s="82"/>
      <c r="Z41" s="82"/>
      <c r="AA41" s="82"/>
      <c r="AB41" s="82"/>
      <c r="AC41" s="82"/>
      <c r="AE41" s="84" t="str">
        <f>W41</f>
        <v>Outubro</v>
      </c>
      <c r="AF41" s="84"/>
      <c r="AG41" s="84"/>
      <c r="AH41" s="84"/>
      <c r="AI41" s="84"/>
      <c r="AJ41" s="84"/>
      <c r="AK41" s="84"/>
    </row>
    <row r="42" spans="1:37"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1" t="s">
        <v>20</v>
      </c>
      <c r="C45" s="81"/>
      <c r="D45" s="81"/>
      <c r="E45" s="81"/>
      <c r="F45" s="81"/>
      <c r="G45" s="81"/>
      <c r="H45" s="81"/>
      <c r="J45" s="77" t="s">
        <v>20</v>
      </c>
      <c r="K45" s="77"/>
      <c r="L45" s="77"/>
      <c r="M45" s="77"/>
      <c r="N45" s="77"/>
      <c r="O45" s="77"/>
      <c r="P45" s="77"/>
      <c r="Q45" s="77"/>
      <c r="R45" s="77"/>
      <c r="S45" s="77"/>
      <c r="T45" s="77"/>
      <c r="U45" s="77"/>
      <c r="W45" s="82" t="str">
        <f>J45</f>
        <v>Novembro</v>
      </c>
      <c r="X45" s="82"/>
      <c r="Y45" s="82"/>
      <c r="Z45" s="82"/>
      <c r="AA45" s="82"/>
      <c r="AB45" s="82"/>
      <c r="AC45" s="82"/>
      <c r="AE45" s="84" t="str">
        <f>W45</f>
        <v>Novembro</v>
      </c>
      <c r="AF45" s="84"/>
      <c r="AG45" s="84"/>
      <c r="AH45" s="84"/>
      <c r="AI45" s="84"/>
      <c r="AJ45" s="84"/>
      <c r="AK45" s="84"/>
    </row>
    <row r="46" spans="1:37"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1" t="s">
        <v>21</v>
      </c>
      <c r="C49" s="81"/>
      <c r="D49" s="81"/>
      <c r="E49" s="81"/>
      <c r="F49" s="81"/>
      <c r="G49" s="81"/>
      <c r="H49" s="81"/>
      <c r="J49" s="77" t="s">
        <v>21</v>
      </c>
      <c r="K49" s="77"/>
      <c r="L49" s="77"/>
      <c r="M49" s="77"/>
      <c r="N49" s="77"/>
      <c r="O49" s="77"/>
      <c r="P49" s="77"/>
      <c r="Q49" s="77"/>
      <c r="R49" s="77"/>
      <c r="S49" s="77"/>
      <c r="T49" s="77"/>
      <c r="U49" s="77"/>
      <c r="W49" s="82" t="str">
        <f>J49</f>
        <v>Dezembro</v>
      </c>
      <c r="X49" s="82"/>
      <c r="Y49" s="82"/>
      <c r="Z49" s="82"/>
      <c r="AA49" s="82"/>
      <c r="AB49" s="82"/>
      <c r="AC49" s="82"/>
      <c r="AE49" s="84" t="str">
        <f>W49</f>
        <v>Dezembro</v>
      </c>
      <c r="AF49" s="84"/>
      <c r="AG49" s="84"/>
      <c r="AH49" s="84"/>
      <c r="AI49" s="84"/>
      <c r="AJ49" s="84"/>
      <c r="AK49" s="84"/>
    </row>
    <row r="50" spans="1:37"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75"/>
      <c r="C2" s="75"/>
      <c r="D2" s="1" t="s">
        <v>1</v>
      </c>
      <c r="E2" s="75"/>
      <c r="F2" s="75"/>
      <c r="H2" t="s">
        <v>45</v>
      </c>
      <c r="I2" s="54"/>
    </row>
    <row r="3" spans="1:37" x14ac:dyDescent="0.25">
      <c r="A3" t="s">
        <v>80</v>
      </c>
      <c r="B3" s="75"/>
      <c r="C3" s="75"/>
      <c r="D3" s="1" t="s">
        <v>1</v>
      </c>
      <c r="E3" s="75"/>
      <c r="F3" s="75"/>
      <c r="H3" t="s">
        <v>81</v>
      </c>
      <c r="I3" s="54"/>
    </row>
    <row r="4" spans="1:37" x14ac:dyDescent="0.25">
      <c r="A4" t="s">
        <v>2</v>
      </c>
      <c r="B4" s="76"/>
      <c r="C4" s="76"/>
      <c r="D4" s="1" t="s">
        <v>29</v>
      </c>
      <c r="E4" s="75"/>
      <c r="F4" s="75"/>
      <c r="H4" t="s">
        <v>70</v>
      </c>
      <c r="I4" s="67"/>
    </row>
    <row r="7" spans="1:37" ht="21" x14ac:dyDescent="0.35">
      <c r="A7" s="79" t="s">
        <v>28</v>
      </c>
      <c r="B7" s="79"/>
      <c r="C7" s="79"/>
      <c r="D7" s="79"/>
      <c r="E7" s="79"/>
      <c r="F7" s="79"/>
      <c r="G7" s="79"/>
      <c r="H7" s="79"/>
      <c r="J7" s="78" t="s">
        <v>26</v>
      </c>
      <c r="K7" s="78"/>
      <c r="L7" s="78"/>
      <c r="M7" s="78"/>
      <c r="N7" s="78"/>
      <c r="O7" s="78"/>
      <c r="P7" s="78"/>
      <c r="Q7" s="78"/>
      <c r="R7" s="78"/>
      <c r="S7" s="78"/>
      <c r="T7" s="78"/>
      <c r="U7" s="78"/>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1" t="s">
        <v>3</v>
      </c>
      <c r="C9" s="81"/>
      <c r="D9" s="81"/>
      <c r="E9" s="81"/>
      <c r="F9" s="81"/>
      <c r="G9" s="81"/>
      <c r="H9" s="81"/>
      <c r="J9" s="77" t="s">
        <v>3</v>
      </c>
      <c r="K9" s="77"/>
      <c r="L9" s="77"/>
      <c r="M9" s="77"/>
      <c r="N9" s="77"/>
      <c r="O9" s="77"/>
      <c r="P9" s="77"/>
      <c r="Q9" s="77"/>
      <c r="R9" s="77"/>
      <c r="S9" s="77"/>
      <c r="T9" s="77"/>
      <c r="U9" s="77"/>
      <c r="W9" s="82" t="s">
        <v>3</v>
      </c>
      <c r="X9" s="82"/>
      <c r="Y9" s="82"/>
      <c r="Z9" s="82"/>
      <c r="AA9" s="82"/>
      <c r="AB9" s="82"/>
      <c r="AC9" s="82"/>
      <c r="AE9" s="84" t="s">
        <v>3</v>
      </c>
      <c r="AF9" s="84"/>
      <c r="AG9" s="84"/>
      <c r="AH9" s="84"/>
      <c r="AI9" s="84"/>
      <c r="AJ9" s="84"/>
      <c r="AK9" s="84"/>
    </row>
    <row r="10" spans="1:37"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1" t="s">
        <v>13</v>
      </c>
      <c r="C13" s="81"/>
      <c r="D13" s="81"/>
      <c r="E13" s="81"/>
      <c r="F13" s="81"/>
      <c r="G13" s="81"/>
      <c r="H13" s="81"/>
      <c r="J13" s="77" t="s">
        <v>13</v>
      </c>
      <c r="K13" s="77"/>
      <c r="L13" s="77"/>
      <c r="M13" s="77"/>
      <c r="N13" s="77"/>
      <c r="O13" s="77"/>
      <c r="P13" s="77"/>
      <c r="Q13" s="77"/>
      <c r="R13" s="77"/>
      <c r="S13" s="77"/>
      <c r="T13" s="77"/>
      <c r="U13" s="77"/>
      <c r="W13" s="82" t="str">
        <f>J13</f>
        <v>Março</v>
      </c>
      <c r="X13" s="82"/>
      <c r="Y13" s="82"/>
      <c r="Z13" s="82"/>
      <c r="AA13" s="82"/>
      <c r="AB13" s="82"/>
      <c r="AC13" s="82"/>
      <c r="AE13" s="84" t="str">
        <f>W13</f>
        <v>Março</v>
      </c>
      <c r="AF13" s="84"/>
      <c r="AG13" s="84"/>
      <c r="AH13" s="84"/>
      <c r="AI13" s="84"/>
      <c r="AJ13" s="84"/>
      <c r="AK13" s="84"/>
    </row>
    <row r="14" spans="1:37" ht="15.75" thickBot="1" x14ac:dyDescent="0.3">
      <c r="A14" s="80"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81" t="s">
        <v>14</v>
      </c>
      <c r="C17" s="81"/>
      <c r="D17" s="81"/>
      <c r="E17" s="81"/>
      <c r="F17" s="81"/>
      <c r="G17" s="81"/>
      <c r="H17" s="81"/>
      <c r="J17" s="77" t="s">
        <v>14</v>
      </c>
      <c r="K17" s="77"/>
      <c r="L17" s="77"/>
      <c r="M17" s="77"/>
      <c r="N17" s="77"/>
      <c r="O17" s="77"/>
      <c r="P17" s="77"/>
      <c r="Q17" s="77"/>
      <c r="R17" s="77"/>
      <c r="S17" s="77"/>
      <c r="T17" s="77"/>
      <c r="U17" s="77"/>
      <c r="W17" s="82" t="str">
        <f>J17</f>
        <v>Abril</v>
      </c>
      <c r="X17" s="82"/>
      <c r="Y17" s="82"/>
      <c r="Z17" s="82"/>
      <c r="AA17" s="82"/>
      <c r="AB17" s="82"/>
      <c r="AC17" s="82"/>
      <c r="AE17" s="84" t="str">
        <f>W17</f>
        <v>Abril</v>
      </c>
      <c r="AF17" s="84"/>
      <c r="AG17" s="84"/>
      <c r="AH17" s="84"/>
      <c r="AI17" s="84"/>
      <c r="AJ17" s="84"/>
      <c r="AK17" s="84"/>
    </row>
    <row r="18" spans="1:37"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81" t="s">
        <v>15</v>
      </c>
      <c r="C21" s="81"/>
      <c r="D21" s="81"/>
      <c r="E21" s="81"/>
      <c r="F21" s="81"/>
      <c r="G21" s="81"/>
      <c r="H21" s="81"/>
      <c r="J21" s="77" t="s">
        <v>15</v>
      </c>
      <c r="K21" s="77"/>
      <c r="L21" s="77"/>
      <c r="M21" s="77"/>
      <c r="N21" s="77"/>
      <c r="O21" s="77"/>
      <c r="P21" s="77"/>
      <c r="Q21" s="77"/>
      <c r="R21" s="77"/>
      <c r="S21" s="77"/>
      <c r="T21" s="77"/>
      <c r="U21" s="77"/>
      <c r="W21" s="82" t="str">
        <f>J21</f>
        <v>Maio</v>
      </c>
      <c r="X21" s="82"/>
      <c r="Y21" s="82"/>
      <c r="Z21" s="82"/>
      <c r="AA21" s="82"/>
      <c r="AB21" s="82"/>
      <c r="AC21" s="82"/>
      <c r="AE21" s="84" t="str">
        <f>W21</f>
        <v>Maio</v>
      </c>
      <c r="AF21" s="84"/>
      <c r="AG21" s="84"/>
      <c r="AH21" s="84"/>
      <c r="AI21" s="84"/>
      <c r="AJ21" s="84"/>
      <c r="AK21" s="84"/>
    </row>
    <row r="22" spans="1:37"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1" t="s">
        <v>24</v>
      </c>
      <c r="C25" s="81"/>
      <c r="D25" s="81"/>
      <c r="E25" s="81"/>
      <c r="F25" s="81"/>
      <c r="G25" s="81"/>
      <c r="H25" s="81"/>
      <c r="J25" s="77" t="s">
        <v>24</v>
      </c>
      <c r="K25" s="77"/>
      <c r="L25" s="77"/>
      <c r="M25" s="77"/>
      <c r="N25" s="77"/>
      <c r="O25" s="77"/>
      <c r="P25" s="77"/>
      <c r="Q25" s="77"/>
      <c r="R25" s="77"/>
      <c r="S25" s="77"/>
      <c r="T25" s="77"/>
      <c r="U25" s="77"/>
      <c r="W25" s="82" t="str">
        <f>J25</f>
        <v>Junho</v>
      </c>
      <c r="X25" s="82"/>
      <c r="Y25" s="82"/>
      <c r="Z25" s="82"/>
      <c r="AA25" s="82"/>
      <c r="AB25" s="82"/>
      <c r="AC25" s="82"/>
      <c r="AE25" s="84" t="str">
        <f>W25</f>
        <v>Junho</v>
      </c>
      <c r="AF25" s="84"/>
      <c r="AG25" s="84"/>
      <c r="AH25" s="84"/>
      <c r="AI25" s="84"/>
      <c r="AJ25" s="84"/>
      <c r="AK25" s="84"/>
    </row>
    <row r="26" spans="1:37"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1" t="s">
        <v>16</v>
      </c>
      <c r="C29" s="81"/>
      <c r="D29" s="81"/>
      <c r="E29" s="81"/>
      <c r="F29" s="81"/>
      <c r="G29" s="81"/>
      <c r="H29" s="81"/>
      <c r="J29" s="77" t="s">
        <v>16</v>
      </c>
      <c r="K29" s="77"/>
      <c r="L29" s="77"/>
      <c r="M29" s="77"/>
      <c r="N29" s="77"/>
      <c r="O29" s="77"/>
      <c r="P29" s="77"/>
      <c r="Q29" s="77"/>
      <c r="R29" s="77"/>
      <c r="S29" s="77"/>
      <c r="T29" s="77"/>
      <c r="U29" s="77"/>
      <c r="W29" s="82" t="str">
        <f>J29</f>
        <v>Julho</v>
      </c>
      <c r="X29" s="82"/>
      <c r="Y29" s="82"/>
      <c r="Z29" s="82"/>
      <c r="AA29" s="82"/>
      <c r="AB29" s="82"/>
      <c r="AC29" s="82"/>
      <c r="AE29" s="84" t="str">
        <f>W29</f>
        <v>Julho</v>
      </c>
      <c r="AF29" s="84"/>
      <c r="AG29" s="84"/>
      <c r="AH29" s="84"/>
      <c r="AI29" s="84"/>
      <c r="AJ29" s="84"/>
      <c r="AK29" s="84"/>
    </row>
    <row r="30" spans="1:37"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1" t="s">
        <v>17</v>
      </c>
      <c r="C33" s="81"/>
      <c r="D33" s="81"/>
      <c r="E33" s="81"/>
      <c r="F33" s="81"/>
      <c r="G33" s="81"/>
      <c r="H33" s="81"/>
      <c r="J33" s="77" t="s">
        <v>17</v>
      </c>
      <c r="K33" s="77"/>
      <c r="L33" s="77"/>
      <c r="M33" s="77"/>
      <c r="N33" s="77"/>
      <c r="O33" s="77"/>
      <c r="P33" s="77"/>
      <c r="Q33" s="77"/>
      <c r="R33" s="77"/>
      <c r="S33" s="77"/>
      <c r="T33" s="77"/>
      <c r="U33" s="77"/>
      <c r="W33" s="82" t="str">
        <f>J33</f>
        <v>Agosto</v>
      </c>
      <c r="X33" s="82"/>
      <c r="Y33" s="82"/>
      <c r="Z33" s="82"/>
      <c r="AA33" s="82"/>
      <c r="AB33" s="82"/>
      <c r="AC33" s="82"/>
      <c r="AE33" s="84" t="str">
        <f>W33</f>
        <v>Agosto</v>
      </c>
      <c r="AF33" s="84"/>
      <c r="AG33" s="84"/>
      <c r="AH33" s="84"/>
      <c r="AI33" s="84"/>
      <c r="AJ33" s="84"/>
      <c r="AK33" s="84"/>
    </row>
    <row r="34" spans="1:37"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1" t="s">
        <v>18</v>
      </c>
      <c r="C37" s="81"/>
      <c r="D37" s="81"/>
      <c r="E37" s="81"/>
      <c r="F37" s="81"/>
      <c r="G37" s="81"/>
      <c r="H37" s="81"/>
      <c r="J37" s="77" t="s">
        <v>18</v>
      </c>
      <c r="K37" s="77"/>
      <c r="L37" s="77"/>
      <c r="M37" s="77"/>
      <c r="N37" s="77"/>
      <c r="O37" s="77"/>
      <c r="P37" s="77"/>
      <c r="Q37" s="77"/>
      <c r="R37" s="77"/>
      <c r="S37" s="77"/>
      <c r="T37" s="77"/>
      <c r="U37" s="77"/>
      <c r="W37" s="82" t="str">
        <f>J37</f>
        <v>Setembro</v>
      </c>
      <c r="X37" s="82"/>
      <c r="Y37" s="82"/>
      <c r="Z37" s="82"/>
      <c r="AA37" s="82"/>
      <c r="AB37" s="82"/>
      <c r="AC37" s="82"/>
      <c r="AE37" s="84" t="str">
        <f>W37</f>
        <v>Setembro</v>
      </c>
      <c r="AF37" s="84"/>
      <c r="AG37" s="84"/>
      <c r="AH37" s="84"/>
      <c r="AI37" s="84"/>
      <c r="AJ37" s="84"/>
      <c r="AK37" s="84"/>
    </row>
    <row r="38" spans="1:37"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1" t="s">
        <v>19</v>
      </c>
      <c r="C41" s="81"/>
      <c r="D41" s="81"/>
      <c r="E41" s="81"/>
      <c r="F41" s="81"/>
      <c r="G41" s="81"/>
      <c r="H41" s="81"/>
      <c r="J41" s="77" t="s">
        <v>19</v>
      </c>
      <c r="K41" s="77"/>
      <c r="L41" s="77"/>
      <c r="M41" s="77"/>
      <c r="N41" s="77"/>
      <c r="O41" s="77"/>
      <c r="P41" s="77"/>
      <c r="Q41" s="77"/>
      <c r="R41" s="77"/>
      <c r="S41" s="77"/>
      <c r="T41" s="77"/>
      <c r="U41" s="77"/>
      <c r="W41" s="82" t="str">
        <f>J41</f>
        <v>Outubro</v>
      </c>
      <c r="X41" s="82"/>
      <c r="Y41" s="82"/>
      <c r="Z41" s="82"/>
      <c r="AA41" s="82"/>
      <c r="AB41" s="82"/>
      <c r="AC41" s="82"/>
      <c r="AE41" s="84" t="str">
        <f>W41</f>
        <v>Outubro</v>
      </c>
      <c r="AF41" s="84"/>
      <c r="AG41" s="84"/>
      <c r="AH41" s="84"/>
      <c r="AI41" s="84"/>
      <c r="AJ41" s="84"/>
      <c r="AK41" s="84"/>
    </row>
    <row r="42" spans="1:37"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1" t="s">
        <v>20</v>
      </c>
      <c r="C45" s="81"/>
      <c r="D45" s="81"/>
      <c r="E45" s="81"/>
      <c r="F45" s="81"/>
      <c r="G45" s="81"/>
      <c r="H45" s="81"/>
      <c r="J45" s="77" t="s">
        <v>20</v>
      </c>
      <c r="K45" s="77"/>
      <c r="L45" s="77"/>
      <c r="M45" s="77"/>
      <c r="N45" s="77"/>
      <c r="O45" s="77"/>
      <c r="P45" s="77"/>
      <c r="Q45" s="77"/>
      <c r="R45" s="77"/>
      <c r="S45" s="77"/>
      <c r="T45" s="77"/>
      <c r="U45" s="77"/>
      <c r="W45" s="82" t="str">
        <f>J45</f>
        <v>Novembro</v>
      </c>
      <c r="X45" s="82"/>
      <c r="Y45" s="82"/>
      <c r="Z45" s="82"/>
      <c r="AA45" s="82"/>
      <c r="AB45" s="82"/>
      <c r="AC45" s="82"/>
      <c r="AE45" s="84" t="str">
        <f>W45</f>
        <v>Novembro</v>
      </c>
      <c r="AF45" s="84"/>
      <c r="AG45" s="84"/>
      <c r="AH45" s="84"/>
      <c r="AI45" s="84"/>
      <c r="AJ45" s="84"/>
      <c r="AK45" s="84"/>
    </row>
    <row r="46" spans="1:37"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1" t="s">
        <v>21</v>
      </c>
      <c r="C49" s="81"/>
      <c r="D49" s="81"/>
      <c r="E49" s="81"/>
      <c r="F49" s="81"/>
      <c r="G49" s="81"/>
      <c r="H49" s="81"/>
      <c r="J49" s="77" t="s">
        <v>21</v>
      </c>
      <c r="K49" s="77"/>
      <c r="L49" s="77"/>
      <c r="M49" s="77"/>
      <c r="N49" s="77"/>
      <c r="O49" s="77"/>
      <c r="P49" s="77"/>
      <c r="Q49" s="77"/>
      <c r="R49" s="77"/>
      <c r="S49" s="77"/>
      <c r="T49" s="77"/>
      <c r="U49" s="77"/>
      <c r="W49" s="82" t="str">
        <f>J49</f>
        <v>Dezembro</v>
      </c>
      <c r="X49" s="82"/>
      <c r="Y49" s="82"/>
      <c r="Z49" s="82"/>
      <c r="AA49" s="82"/>
      <c r="AB49" s="82"/>
      <c r="AC49" s="82"/>
      <c r="AE49" s="84" t="str">
        <f>W49</f>
        <v>Dezembro</v>
      </c>
      <c r="AF49" s="84"/>
      <c r="AG49" s="84"/>
      <c r="AH49" s="84"/>
      <c r="AI49" s="84"/>
      <c r="AJ49" s="84"/>
      <c r="AK49" s="84"/>
    </row>
    <row r="50" spans="1:37"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v>5325</v>
      </c>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5"/>
      <c r="C2" s="75"/>
      <c r="D2" s="1" t="s">
        <v>1</v>
      </c>
      <c r="E2" s="75"/>
      <c r="F2" s="75"/>
      <c r="H2" t="s">
        <v>45</v>
      </c>
      <c r="I2" s="54"/>
    </row>
    <row r="3" spans="1:40" x14ac:dyDescent="0.25">
      <c r="A3" t="s">
        <v>80</v>
      </c>
      <c r="B3" s="75"/>
      <c r="C3" s="75"/>
      <c r="D3" s="1" t="s">
        <v>1</v>
      </c>
      <c r="E3" s="75"/>
      <c r="F3" s="75"/>
      <c r="H3" t="s">
        <v>81</v>
      </c>
      <c r="I3" s="54"/>
    </row>
    <row r="4" spans="1:40" x14ac:dyDescent="0.25">
      <c r="A4" t="s">
        <v>2</v>
      </c>
      <c r="B4" s="76"/>
      <c r="C4" s="76"/>
      <c r="D4" s="1" t="s">
        <v>29</v>
      </c>
      <c r="E4" s="75"/>
      <c r="F4" s="75"/>
    </row>
    <row r="7" spans="1:40" ht="21" x14ac:dyDescent="0.35">
      <c r="A7" s="79" t="s">
        <v>28</v>
      </c>
      <c r="B7" s="79"/>
      <c r="C7" s="79"/>
      <c r="D7" s="79"/>
      <c r="E7" s="79"/>
      <c r="F7" s="79"/>
      <c r="G7" s="79"/>
      <c r="H7" s="79"/>
      <c r="J7" s="78" t="s">
        <v>26</v>
      </c>
      <c r="K7" s="78"/>
      <c r="L7" s="78"/>
      <c r="M7" s="78"/>
      <c r="N7" s="78"/>
      <c r="O7" s="78"/>
      <c r="P7" s="78"/>
      <c r="Q7" s="78"/>
      <c r="R7" s="78"/>
      <c r="S7" s="78"/>
      <c r="T7" s="78"/>
      <c r="U7" s="78"/>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1" t="s">
        <v>3</v>
      </c>
      <c r="C9" s="81"/>
      <c r="D9" s="81"/>
      <c r="E9" s="81"/>
      <c r="F9" s="81"/>
      <c r="G9" s="81"/>
      <c r="H9" s="81"/>
      <c r="J9" s="77" t="s">
        <v>3</v>
      </c>
      <c r="K9" s="77"/>
      <c r="L9" s="77"/>
      <c r="M9" s="77"/>
      <c r="N9" s="77"/>
      <c r="O9" s="77"/>
      <c r="P9" s="77"/>
      <c r="Q9" s="77"/>
      <c r="R9" s="77"/>
      <c r="S9" s="77"/>
      <c r="T9" s="77"/>
      <c r="U9" s="77"/>
      <c r="Y9" s="82" t="s">
        <v>3</v>
      </c>
      <c r="Z9" s="82"/>
      <c r="AA9" s="82"/>
      <c r="AB9" s="82"/>
      <c r="AC9" s="82"/>
      <c r="AD9" s="82"/>
      <c r="AE9" s="82"/>
      <c r="AH9" s="84" t="s">
        <v>3</v>
      </c>
      <c r="AI9" s="84"/>
      <c r="AJ9" s="84"/>
      <c r="AK9" s="84"/>
      <c r="AL9" s="84"/>
      <c r="AM9" s="84"/>
      <c r="AN9" s="84"/>
    </row>
    <row r="10" spans="1:40" ht="15.75" thickBot="1" x14ac:dyDescent="0.3">
      <c r="A10" s="8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1" t="s">
        <v>13</v>
      </c>
      <c r="C13" s="81"/>
      <c r="D13" s="81"/>
      <c r="E13" s="81"/>
      <c r="F13" s="81"/>
      <c r="G13" s="81"/>
      <c r="H13" s="81"/>
      <c r="J13" s="77" t="s">
        <v>13</v>
      </c>
      <c r="K13" s="77"/>
      <c r="L13" s="77"/>
      <c r="M13" s="77"/>
      <c r="N13" s="77"/>
      <c r="O13" s="77"/>
      <c r="P13" s="77"/>
      <c r="Q13" s="77"/>
      <c r="R13" s="77"/>
      <c r="S13" s="77"/>
      <c r="T13" s="77"/>
      <c r="U13" s="77"/>
      <c r="Y13" s="82" t="str">
        <f>J13</f>
        <v>Março</v>
      </c>
      <c r="Z13" s="82"/>
      <c r="AA13" s="82"/>
      <c r="AB13" s="82"/>
      <c r="AC13" s="82"/>
      <c r="AD13" s="82"/>
      <c r="AE13" s="82"/>
      <c r="AH13" s="84" t="str">
        <f>Y13</f>
        <v>Março</v>
      </c>
      <c r="AI13" s="84"/>
      <c r="AJ13" s="84"/>
      <c r="AK13" s="84"/>
      <c r="AL13" s="84"/>
      <c r="AM13" s="84"/>
      <c r="AN13" s="84"/>
    </row>
    <row r="14" spans="1:40" ht="15.75" thickBot="1" x14ac:dyDescent="0.3">
      <c r="A14" s="8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1" t="s">
        <v>14</v>
      </c>
      <c r="C17" s="81"/>
      <c r="D17" s="81"/>
      <c r="E17" s="81"/>
      <c r="F17" s="81"/>
      <c r="G17" s="81"/>
      <c r="H17" s="81"/>
      <c r="J17" s="77" t="s">
        <v>14</v>
      </c>
      <c r="K17" s="77"/>
      <c r="L17" s="77"/>
      <c r="M17" s="77"/>
      <c r="N17" s="77"/>
      <c r="O17" s="77"/>
      <c r="P17" s="77"/>
      <c r="Q17" s="77"/>
      <c r="R17" s="77"/>
      <c r="S17" s="77"/>
      <c r="T17" s="77"/>
      <c r="U17" s="77"/>
      <c r="Y17" s="82" t="str">
        <f>J17</f>
        <v>Abril</v>
      </c>
      <c r="Z17" s="82"/>
      <c r="AA17" s="82"/>
      <c r="AB17" s="82"/>
      <c r="AC17" s="82"/>
      <c r="AD17" s="82"/>
      <c r="AE17" s="82"/>
      <c r="AH17" s="84" t="str">
        <f>Y17</f>
        <v>Abril</v>
      </c>
      <c r="AI17" s="84"/>
      <c r="AJ17" s="84"/>
      <c r="AK17" s="84"/>
      <c r="AL17" s="84"/>
      <c r="AM17" s="84"/>
      <c r="AN17" s="84"/>
    </row>
    <row r="18" spans="1:40" ht="15.75" thickBot="1" x14ac:dyDescent="0.3">
      <c r="A18" s="8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1" t="s">
        <v>15</v>
      </c>
      <c r="C21" s="81"/>
      <c r="D21" s="81"/>
      <c r="E21" s="81"/>
      <c r="F21" s="81"/>
      <c r="G21" s="81"/>
      <c r="H21" s="81"/>
      <c r="J21" s="77" t="s">
        <v>15</v>
      </c>
      <c r="K21" s="77"/>
      <c r="L21" s="77"/>
      <c r="M21" s="77"/>
      <c r="N21" s="77"/>
      <c r="O21" s="77"/>
      <c r="P21" s="77"/>
      <c r="Q21" s="77"/>
      <c r="R21" s="77"/>
      <c r="S21" s="77"/>
      <c r="T21" s="77"/>
      <c r="U21" s="77"/>
      <c r="Y21" s="82" t="str">
        <f>J21</f>
        <v>Maio</v>
      </c>
      <c r="Z21" s="82"/>
      <c r="AA21" s="82"/>
      <c r="AB21" s="82"/>
      <c r="AC21" s="82"/>
      <c r="AD21" s="82"/>
      <c r="AE21" s="82"/>
      <c r="AH21" s="84" t="str">
        <f>Y21</f>
        <v>Maio</v>
      </c>
      <c r="AI21" s="84"/>
      <c r="AJ21" s="84"/>
      <c r="AK21" s="84"/>
      <c r="AL21" s="84"/>
      <c r="AM21" s="84"/>
      <c r="AN21" s="84"/>
    </row>
    <row r="22" spans="1:40" ht="15.75" thickBot="1" x14ac:dyDescent="0.3">
      <c r="A22" s="8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1" t="s">
        <v>24</v>
      </c>
      <c r="C25" s="81"/>
      <c r="D25" s="81"/>
      <c r="E25" s="81"/>
      <c r="F25" s="81"/>
      <c r="G25" s="81"/>
      <c r="H25" s="81"/>
      <c r="J25" s="77" t="s">
        <v>24</v>
      </c>
      <c r="K25" s="77"/>
      <c r="L25" s="77"/>
      <c r="M25" s="77"/>
      <c r="N25" s="77"/>
      <c r="O25" s="77"/>
      <c r="P25" s="77"/>
      <c r="Q25" s="77"/>
      <c r="R25" s="77"/>
      <c r="S25" s="77"/>
      <c r="T25" s="77"/>
      <c r="U25" s="77"/>
      <c r="Y25" s="82" t="str">
        <f>J25</f>
        <v>Junho</v>
      </c>
      <c r="Z25" s="82"/>
      <c r="AA25" s="82"/>
      <c r="AB25" s="82"/>
      <c r="AC25" s="82"/>
      <c r="AD25" s="82"/>
      <c r="AE25" s="82"/>
      <c r="AH25" s="84" t="str">
        <f>Y25</f>
        <v>Junho</v>
      </c>
      <c r="AI25" s="84"/>
      <c r="AJ25" s="84"/>
      <c r="AK25" s="84"/>
      <c r="AL25" s="84"/>
      <c r="AM25" s="84"/>
      <c r="AN25" s="84"/>
    </row>
    <row r="26" spans="1:40" ht="15.75" thickBot="1" x14ac:dyDescent="0.3">
      <c r="A26" s="8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1" t="s">
        <v>16</v>
      </c>
      <c r="C29" s="81"/>
      <c r="D29" s="81"/>
      <c r="E29" s="81"/>
      <c r="F29" s="81"/>
      <c r="G29" s="81"/>
      <c r="H29" s="81"/>
      <c r="J29" s="77" t="s">
        <v>16</v>
      </c>
      <c r="K29" s="77"/>
      <c r="L29" s="77"/>
      <c r="M29" s="77"/>
      <c r="N29" s="77"/>
      <c r="O29" s="77"/>
      <c r="P29" s="77"/>
      <c r="Q29" s="77"/>
      <c r="R29" s="77"/>
      <c r="S29" s="77"/>
      <c r="T29" s="77"/>
      <c r="U29" s="77"/>
      <c r="Y29" s="82" t="str">
        <f>J29</f>
        <v>Julho</v>
      </c>
      <c r="Z29" s="82"/>
      <c r="AA29" s="82"/>
      <c r="AB29" s="82"/>
      <c r="AC29" s="82"/>
      <c r="AD29" s="82"/>
      <c r="AE29" s="82"/>
      <c r="AH29" s="84" t="str">
        <f>Y29</f>
        <v>Julho</v>
      </c>
      <c r="AI29" s="84"/>
      <c r="AJ29" s="84"/>
      <c r="AK29" s="84"/>
      <c r="AL29" s="84"/>
      <c r="AM29" s="84"/>
      <c r="AN29" s="84"/>
    </row>
    <row r="30" spans="1:40" ht="15.75" thickBot="1" x14ac:dyDescent="0.3">
      <c r="A30" s="8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1" t="s">
        <v>17</v>
      </c>
      <c r="C33" s="81"/>
      <c r="D33" s="81"/>
      <c r="E33" s="81"/>
      <c r="F33" s="81"/>
      <c r="G33" s="81"/>
      <c r="H33" s="81"/>
      <c r="J33" s="77" t="s">
        <v>17</v>
      </c>
      <c r="K33" s="77"/>
      <c r="L33" s="77"/>
      <c r="M33" s="77"/>
      <c r="N33" s="77"/>
      <c r="O33" s="77"/>
      <c r="P33" s="77"/>
      <c r="Q33" s="77"/>
      <c r="R33" s="77"/>
      <c r="S33" s="77"/>
      <c r="T33" s="77"/>
      <c r="U33" s="77"/>
      <c r="Y33" s="82" t="str">
        <f>J33</f>
        <v>Agosto</v>
      </c>
      <c r="Z33" s="82"/>
      <c r="AA33" s="82"/>
      <c r="AB33" s="82"/>
      <c r="AC33" s="82"/>
      <c r="AD33" s="82"/>
      <c r="AE33" s="82"/>
      <c r="AH33" s="84" t="str">
        <f>Y33</f>
        <v>Agosto</v>
      </c>
      <c r="AI33" s="84"/>
      <c r="AJ33" s="84"/>
      <c r="AK33" s="84"/>
      <c r="AL33" s="84"/>
      <c r="AM33" s="84"/>
      <c r="AN33" s="84"/>
    </row>
    <row r="34" spans="1:40" ht="15.75" thickBot="1" x14ac:dyDescent="0.3">
      <c r="A34" s="8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1" t="s">
        <v>18</v>
      </c>
      <c r="C37" s="81"/>
      <c r="D37" s="81"/>
      <c r="E37" s="81"/>
      <c r="F37" s="81"/>
      <c r="G37" s="81"/>
      <c r="H37" s="81"/>
      <c r="J37" s="77" t="s">
        <v>18</v>
      </c>
      <c r="K37" s="77"/>
      <c r="L37" s="77"/>
      <c r="M37" s="77"/>
      <c r="N37" s="77"/>
      <c r="O37" s="77"/>
      <c r="P37" s="77"/>
      <c r="Q37" s="77"/>
      <c r="R37" s="77"/>
      <c r="S37" s="77"/>
      <c r="T37" s="77"/>
      <c r="U37" s="77"/>
      <c r="Y37" s="82" t="str">
        <f>J37</f>
        <v>Setembro</v>
      </c>
      <c r="Z37" s="82"/>
      <c r="AA37" s="82"/>
      <c r="AB37" s="82"/>
      <c r="AC37" s="82"/>
      <c r="AD37" s="82"/>
      <c r="AE37" s="82"/>
      <c r="AH37" s="84" t="str">
        <f>Y37</f>
        <v>Setembro</v>
      </c>
      <c r="AI37" s="84"/>
      <c r="AJ37" s="84"/>
      <c r="AK37" s="84"/>
      <c r="AL37" s="84"/>
      <c r="AM37" s="84"/>
      <c r="AN37" s="84"/>
    </row>
    <row r="38" spans="1:40" ht="15.75" thickBot="1" x14ac:dyDescent="0.3">
      <c r="A38" s="8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1" t="s">
        <v>19</v>
      </c>
      <c r="C41" s="81"/>
      <c r="D41" s="81"/>
      <c r="E41" s="81"/>
      <c r="F41" s="81"/>
      <c r="G41" s="81"/>
      <c r="H41" s="81"/>
      <c r="J41" s="77" t="s">
        <v>19</v>
      </c>
      <c r="K41" s="77"/>
      <c r="L41" s="77"/>
      <c r="M41" s="77"/>
      <c r="N41" s="77"/>
      <c r="O41" s="77"/>
      <c r="P41" s="77"/>
      <c r="Q41" s="77"/>
      <c r="R41" s="77"/>
      <c r="S41" s="77"/>
      <c r="T41" s="77"/>
      <c r="U41" s="77"/>
      <c r="Y41" s="82" t="str">
        <f>J41</f>
        <v>Outubro</v>
      </c>
      <c r="Z41" s="82"/>
      <c r="AA41" s="82"/>
      <c r="AB41" s="82"/>
      <c r="AC41" s="82"/>
      <c r="AD41" s="82"/>
      <c r="AE41" s="82"/>
      <c r="AH41" s="84" t="str">
        <f>Y41</f>
        <v>Outubro</v>
      </c>
      <c r="AI41" s="84"/>
      <c r="AJ41" s="84"/>
      <c r="AK41" s="84"/>
      <c r="AL41" s="84"/>
      <c r="AM41" s="84"/>
      <c r="AN41" s="84"/>
    </row>
    <row r="42" spans="1:40" ht="15.75" thickBot="1" x14ac:dyDescent="0.3">
      <c r="A42" s="8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1" t="s">
        <v>20</v>
      </c>
      <c r="C45" s="81"/>
      <c r="D45" s="81"/>
      <c r="E45" s="81"/>
      <c r="F45" s="81"/>
      <c r="G45" s="81"/>
      <c r="H45" s="81"/>
      <c r="J45" s="77" t="s">
        <v>20</v>
      </c>
      <c r="K45" s="77"/>
      <c r="L45" s="77"/>
      <c r="M45" s="77"/>
      <c r="N45" s="77"/>
      <c r="O45" s="77"/>
      <c r="P45" s="77"/>
      <c r="Q45" s="77"/>
      <c r="R45" s="77"/>
      <c r="S45" s="77"/>
      <c r="T45" s="77"/>
      <c r="U45" s="77"/>
      <c r="Y45" s="82" t="str">
        <f>J45</f>
        <v>Novembro</v>
      </c>
      <c r="Z45" s="82"/>
      <c r="AA45" s="82"/>
      <c r="AB45" s="82"/>
      <c r="AC45" s="82"/>
      <c r="AD45" s="82"/>
      <c r="AE45" s="82"/>
      <c r="AH45" s="84" t="str">
        <f>Y45</f>
        <v>Novembro</v>
      </c>
      <c r="AI45" s="84"/>
      <c r="AJ45" s="84"/>
      <c r="AK45" s="84"/>
      <c r="AL45" s="84"/>
      <c r="AM45" s="84"/>
      <c r="AN45" s="84"/>
    </row>
    <row r="46" spans="1:40" ht="15.75" thickBot="1" x14ac:dyDescent="0.3">
      <c r="A46" s="8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1" t="s">
        <v>21</v>
      </c>
      <c r="C49" s="81"/>
      <c r="D49" s="81"/>
      <c r="E49" s="81"/>
      <c r="F49" s="81"/>
      <c r="G49" s="81"/>
      <c r="H49" s="81"/>
      <c r="J49" s="77" t="s">
        <v>21</v>
      </c>
      <c r="K49" s="77"/>
      <c r="L49" s="77"/>
      <c r="M49" s="77"/>
      <c r="N49" s="77"/>
      <c r="O49" s="77"/>
      <c r="P49" s="77"/>
      <c r="Q49" s="77"/>
      <c r="R49" s="77"/>
      <c r="S49" s="77"/>
      <c r="T49" s="77"/>
      <c r="U49" s="77"/>
      <c r="Y49" s="82" t="str">
        <f>J49</f>
        <v>Dezembro</v>
      </c>
      <c r="Z49" s="82"/>
      <c r="AA49" s="82"/>
      <c r="AB49" s="82"/>
      <c r="AC49" s="82"/>
      <c r="AD49" s="82"/>
      <c r="AE49" s="82"/>
      <c r="AH49" s="84" t="str">
        <f>Y49</f>
        <v>Dezembro</v>
      </c>
      <c r="AI49" s="84"/>
      <c r="AJ49" s="84"/>
      <c r="AK49" s="84"/>
      <c r="AL49" s="84"/>
      <c r="AM49" s="84"/>
      <c r="AN49" s="84"/>
    </row>
    <row r="50" spans="1:40" ht="15.75" thickBot="1" x14ac:dyDescent="0.3">
      <c r="A50" s="8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ELIKESTH</vt:lpstr>
      <vt:lpstr>CAR_02</vt:lpstr>
      <vt:lpstr>CAR_03</vt:lpstr>
      <vt:lpstr>CAR_04</vt:lpstr>
      <vt:lpstr>CAR_05</vt:lpstr>
      <vt:lpstr>CAR_06</vt:lpstr>
      <vt:lpstr>CAR_07</vt:lpstr>
      <vt:lpstr>CAR_08</vt:lpstr>
      <vt:lpstr>CAR_09</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2026-06-04T13:48:30Z</dcterms:modified>
</cp:coreProperties>
</file>