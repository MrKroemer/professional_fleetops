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threadedComments/threadedComment16.xml" ContentType="application/vnd.ms-excel.threadedcomments+xml"/>
  <Override PartName="/xl/comments19.xml" ContentType="application/vnd.openxmlformats-officedocument.spreadsheetml.comments+xml"/>
  <Override PartName="/xl/comments20.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P:\02 - Documentação Empresa\9.Veiculos\2. Locação Veicular\4. Planilhas de acompanhamento veicular\Controle Frota por obra\"/>
    </mc:Choice>
  </mc:AlternateContent>
  <xr:revisionPtr revIDLastSave="0" documentId="13_ncr:1_{4F37A094-494C-45F0-97A4-A4844E1FCB8E}" xr6:coauthVersionLast="47" xr6:coauthVersionMax="47" xr10:uidLastSave="{00000000-0000-0000-0000-000000000000}"/>
  <bookViews>
    <workbookView xWindow="-120" yWindow="-120" windowWidth="29040" windowHeight="15720" firstSheet="1" activeTab="4" xr2:uid="{00000000-000D-0000-FFFF-FFFF00000000}"/>
  </bookViews>
  <sheets>
    <sheet name="RESUMO" sheetId="3" r:id="rId1"/>
    <sheet name="Controle Central" sheetId="2" r:id="rId2"/>
    <sheet name="Ademir" sheetId="18" r:id="rId3"/>
    <sheet name="Chris" sheetId="25" r:id="rId4"/>
    <sheet name="Eduardo" sheetId="19" r:id="rId5"/>
    <sheet name="Yanca" sheetId="11" r:id="rId6"/>
    <sheet name="Elisson" sheetId="32" r:id="rId7"/>
    <sheet name="Ilo Hilton" sheetId="28" r:id="rId8"/>
    <sheet name="Wildson" sheetId="23" r:id="rId9"/>
    <sheet name="Mizael" sheetId="22" r:id="rId10"/>
    <sheet name="Rigoberto" sheetId="21" r:id="rId11"/>
    <sheet name="Sávio-Desmob" sheetId="20" r:id="rId12"/>
    <sheet name="Ilo Hilton-Desmob" sheetId="26" r:id="rId13"/>
    <sheet name="Alain-Desmob" sheetId="13" r:id="rId14"/>
    <sheet name="Roberto-Desmob" sheetId="24" r:id="rId15"/>
    <sheet name="Eider Breno-Desmob" sheetId="30" r:id="rId16"/>
    <sheet name="Tiago Gonçalves - Desmob." sheetId="29" r:id="rId17"/>
    <sheet name="Roberto- Devolv" sheetId="1" r:id="rId18"/>
    <sheet name="Marcilio-Desmob" sheetId="9" r:id="rId19"/>
    <sheet name="Ubiratan-Desmob" sheetId="27" r:id="rId20"/>
    <sheet name="Chris-Desmob" sheetId="4" r:id="rId21"/>
    <sheet name="Geovani-Desmob" sheetId="31" r:id="rId22"/>
    <sheet name="CAR_21" sheetId="17" r:id="rId23"/>
    <sheet name="CAR_22" sheetId="16" r:id="rId24"/>
    <sheet name="CAR_23" sheetId="15" r:id="rId25"/>
    <sheet name="CAR_24" sheetId="14" r:id="rId26"/>
    <sheet name="CAR_25" sheetId="12" r:id="rId27"/>
    <sheet name="CAR_26" sheetId="10" r:id="rId28"/>
    <sheet name="CAR_27" sheetId="8" r:id="rId29"/>
    <sheet name="CAR_28" sheetId="6" r:id="rId30"/>
    <sheet name="CAR_29" sheetId="7" r:id="rId31"/>
    <sheet name="CAR_30" sheetId="5" r:id="rId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75" i="11" l="1"/>
  <c r="AE75" i="11"/>
  <c r="U75" i="11"/>
  <c r="G74" i="11"/>
  <c r="H74" i="11" s="1"/>
  <c r="F74" i="11"/>
  <c r="Y72" i="11"/>
  <c r="AH72" i="11" s="1"/>
  <c r="AN24" i="18" l="1"/>
  <c r="AE24" i="18"/>
  <c r="U24" i="18"/>
  <c r="G23" i="18"/>
  <c r="F23" i="18"/>
  <c r="H23" i="18" s="1"/>
  <c r="Y21" i="18"/>
  <c r="AH21" i="18" s="1"/>
  <c r="AN12" i="21"/>
  <c r="AE12" i="21"/>
  <c r="U12" i="21"/>
  <c r="G11" i="21"/>
  <c r="F11" i="21"/>
  <c r="H11" i="21" s="1"/>
  <c r="AN13" i="23"/>
  <c r="AE13" i="23"/>
  <c r="U13" i="23"/>
  <c r="G12" i="23"/>
  <c r="F12" i="23"/>
  <c r="AN92" i="29"/>
  <c r="AE92" i="29"/>
  <c r="U92" i="29"/>
  <c r="G91" i="29"/>
  <c r="F91" i="29"/>
  <c r="H91" i="29" s="1"/>
  <c r="AH89" i="29"/>
  <c r="Y89" i="29"/>
  <c r="AN88" i="29"/>
  <c r="AE88" i="29"/>
  <c r="U88" i="29"/>
  <c r="G87" i="29"/>
  <c r="H87" i="29" s="1"/>
  <c r="F87" i="29"/>
  <c r="AH85" i="29"/>
  <c r="Y85" i="29"/>
  <c r="AN84" i="29"/>
  <c r="AE84" i="29"/>
  <c r="U84" i="29"/>
  <c r="G83" i="29"/>
  <c r="H83" i="29" s="1"/>
  <c r="F83" i="29"/>
  <c r="AH81" i="29"/>
  <c r="Y81" i="29"/>
  <c r="AN80" i="29"/>
  <c r="AE80" i="29"/>
  <c r="U80" i="29"/>
  <c r="G79" i="29"/>
  <c r="H79" i="29" s="1"/>
  <c r="F79" i="29"/>
  <c r="AH77" i="29"/>
  <c r="Y77" i="29"/>
  <c r="AN76" i="29"/>
  <c r="AE76" i="29"/>
  <c r="U76" i="29"/>
  <c r="G75" i="29"/>
  <c r="H75" i="29" s="1"/>
  <c r="F75" i="29"/>
  <c r="AH73" i="29"/>
  <c r="Y73" i="29"/>
  <c r="AN72" i="29"/>
  <c r="AE72" i="29"/>
  <c r="U72" i="29"/>
  <c r="G71" i="29"/>
  <c r="H71" i="29" s="1"/>
  <c r="F71" i="29"/>
  <c r="AH69" i="29"/>
  <c r="Y69" i="29"/>
  <c r="AN68" i="29"/>
  <c r="AE68" i="29"/>
  <c r="U68" i="29"/>
  <c r="G67" i="29"/>
  <c r="H67" i="29" s="1"/>
  <c r="F67" i="29"/>
  <c r="AH65" i="29"/>
  <c r="Y65" i="29"/>
  <c r="AN64" i="29"/>
  <c r="AE64" i="29"/>
  <c r="U64" i="29"/>
  <c r="G63" i="29"/>
  <c r="H63" i="29" s="1"/>
  <c r="F63" i="29"/>
  <c r="AN60" i="29"/>
  <c r="AE60" i="29"/>
  <c r="U60" i="29"/>
  <c r="G59" i="29"/>
  <c r="F59" i="29"/>
  <c r="H59" i="29" s="1"/>
  <c r="H12" i="23" l="1"/>
  <c r="AN88" i="27"/>
  <c r="AE88" i="27"/>
  <c r="U88" i="27"/>
  <c r="H87" i="27"/>
  <c r="G87" i="27"/>
  <c r="F87" i="27"/>
  <c r="Y85" i="27"/>
  <c r="AH85" i="27" s="1"/>
  <c r="AN84" i="27"/>
  <c r="AE84" i="27"/>
  <c r="U84" i="27"/>
  <c r="H83" i="27"/>
  <c r="G83" i="27"/>
  <c r="F83" i="27"/>
  <c r="Y81" i="27"/>
  <c r="AH81" i="27" s="1"/>
  <c r="AN80" i="27"/>
  <c r="AE80" i="27"/>
  <c r="U80" i="27"/>
  <c r="H79" i="27"/>
  <c r="G79" i="27"/>
  <c r="F79" i="27"/>
  <c r="Y77" i="27"/>
  <c r="AH77" i="27" s="1"/>
  <c r="AN76" i="27"/>
  <c r="AE76" i="27"/>
  <c r="U76" i="27"/>
  <c r="H75" i="27"/>
  <c r="G75" i="27"/>
  <c r="F75" i="27"/>
  <c r="Y73" i="27"/>
  <c r="AH73" i="27" s="1"/>
  <c r="AN72" i="27"/>
  <c r="AE72" i="27"/>
  <c r="U72" i="27"/>
  <c r="H71" i="27"/>
  <c r="G71" i="27"/>
  <c r="F71" i="27"/>
  <c r="Y69" i="27"/>
  <c r="AH69" i="27" s="1"/>
  <c r="AN68" i="27"/>
  <c r="AE68" i="27"/>
  <c r="U68" i="27"/>
  <c r="H67" i="27"/>
  <c r="G67" i="27"/>
  <c r="F67" i="27"/>
  <c r="Y65" i="27"/>
  <c r="AH65" i="27" s="1"/>
  <c r="AN64" i="27"/>
  <c r="AE64" i="27"/>
  <c r="U64" i="27"/>
  <c r="H63" i="27"/>
  <c r="G63" i="27"/>
  <c r="F63" i="27"/>
  <c r="Y61" i="27"/>
  <c r="AH61" i="27" s="1"/>
  <c r="AN60" i="27"/>
  <c r="AE60" i="27"/>
  <c r="U60" i="27"/>
  <c r="H59" i="27"/>
  <c r="G59" i="27"/>
  <c r="F59" i="27"/>
  <c r="AN56" i="27"/>
  <c r="AE56" i="27"/>
  <c r="U56" i="27"/>
  <c r="G55" i="27"/>
  <c r="F55" i="27"/>
  <c r="H55" i="27" s="1"/>
  <c r="AN90" i="28"/>
  <c r="AE90" i="28"/>
  <c r="U90" i="28"/>
  <c r="G89" i="28"/>
  <c r="F89" i="28"/>
  <c r="Y87" i="28"/>
  <c r="AH87" i="28" s="1"/>
  <c r="AN86" i="28"/>
  <c r="AE86" i="28"/>
  <c r="U86" i="28"/>
  <c r="G85" i="28"/>
  <c r="F85" i="28"/>
  <c r="Y83" i="28"/>
  <c r="AH83" i="28" s="1"/>
  <c r="AN82" i="28"/>
  <c r="AE82" i="28"/>
  <c r="U82" i="28"/>
  <c r="G81" i="28"/>
  <c r="H81" i="28" s="1"/>
  <c r="F81" i="28"/>
  <c r="Y79" i="28"/>
  <c r="AH79" i="28" s="1"/>
  <c r="AN78" i="28"/>
  <c r="AE78" i="28"/>
  <c r="U78" i="28"/>
  <c r="G77" i="28"/>
  <c r="F77" i="28"/>
  <c r="Y75" i="28"/>
  <c r="AH75" i="28" s="1"/>
  <c r="AN74" i="28"/>
  <c r="AE74" i="28"/>
  <c r="U74" i="28"/>
  <c r="G73" i="28"/>
  <c r="F73" i="28"/>
  <c r="Y71" i="28"/>
  <c r="AH71" i="28" s="1"/>
  <c r="AN70" i="28"/>
  <c r="AE70" i="28"/>
  <c r="U70" i="28"/>
  <c r="G69" i="28"/>
  <c r="F69" i="28"/>
  <c r="Y67" i="28"/>
  <c r="AH67" i="28" s="1"/>
  <c r="AN66" i="28"/>
  <c r="AE66" i="28"/>
  <c r="U66" i="28"/>
  <c r="G65" i="28"/>
  <c r="F65" i="28"/>
  <c r="Y63" i="28"/>
  <c r="AH63" i="28" s="1"/>
  <c r="AN62" i="28"/>
  <c r="AE62" i="28"/>
  <c r="U62" i="28"/>
  <c r="G61" i="28"/>
  <c r="F61" i="28"/>
  <c r="AN58" i="28"/>
  <c r="AE58" i="28"/>
  <c r="U58" i="28"/>
  <c r="G57" i="28"/>
  <c r="F57" i="28"/>
  <c r="H57" i="28" s="1"/>
  <c r="AN94" i="32"/>
  <c r="AE94" i="32"/>
  <c r="U94" i="32"/>
  <c r="G93" i="32"/>
  <c r="F93" i="32"/>
  <c r="H93" i="32" s="1"/>
  <c r="Y91" i="32"/>
  <c r="AH91" i="32" s="1"/>
  <c r="AN90" i="32"/>
  <c r="AE90" i="32"/>
  <c r="U90" i="32"/>
  <c r="G89" i="32"/>
  <c r="H89" i="32" s="1"/>
  <c r="F89" i="32"/>
  <c r="Y87" i="32"/>
  <c r="AH87" i="32" s="1"/>
  <c r="AN86" i="32"/>
  <c r="AE86" i="32"/>
  <c r="U86" i="32"/>
  <c r="G85" i="32"/>
  <c r="F85" i="32"/>
  <c r="H85" i="32" s="1"/>
  <c r="Y83" i="32"/>
  <c r="AH83" i="32" s="1"/>
  <c r="AN82" i="32"/>
  <c r="AE82" i="32"/>
  <c r="U82" i="32"/>
  <c r="G81" i="32"/>
  <c r="F81" i="32"/>
  <c r="H81" i="32" s="1"/>
  <c r="Y79" i="32"/>
  <c r="AH79" i="32" s="1"/>
  <c r="AN78" i="32"/>
  <c r="AE78" i="32"/>
  <c r="U78" i="32"/>
  <c r="G77" i="32"/>
  <c r="F77" i="32"/>
  <c r="H77" i="32" s="1"/>
  <c r="Y75" i="32"/>
  <c r="AH75" i="32" s="1"/>
  <c r="AN74" i="32"/>
  <c r="AE74" i="32"/>
  <c r="U74" i="32"/>
  <c r="G73" i="32"/>
  <c r="F73" i="32"/>
  <c r="H73" i="32" s="1"/>
  <c r="Y71" i="32"/>
  <c r="AH71" i="32" s="1"/>
  <c r="AN70" i="32"/>
  <c r="AE70" i="32"/>
  <c r="U70" i="32"/>
  <c r="G69" i="32"/>
  <c r="H69" i="32" s="1"/>
  <c r="F69" i="32"/>
  <c r="Y67" i="32"/>
  <c r="AH67" i="32" s="1"/>
  <c r="AN66" i="32"/>
  <c r="AE66" i="32"/>
  <c r="U66" i="32"/>
  <c r="G65" i="32"/>
  <c r="F65" i="32"/>
  <c r="H65" i="32" s="1"/>
  <c r="AN62" i="32"/>
  <c r="AE62" i="32"/>
  <c r="U62" i="32"/>
  <c r="G61" i="32"/>
  <c r="F61" i="32"/>
  <c r="AN95" i="11"/>
  <c r="AE95" i="11"/>
  <c r="U95" i="11"/>
  <c r="G94" i="11"/>
  <c r="F94" i="11"/>
  <c r="H94" i="11" s="1"/>
  <c r="Y92" i="11"/>
  <c r="AH92" i="11" s="1"/>
  <c r="AN91" i="11"/>
  <c r="AE91" i="11"/>
  <c r="U91" i="11"/>
  <c r="H90" i="11"/>
  <c r="G90" i="11"/>
  <c r="F90" i="11"/>
  <c r="Y88" i="11"/>
  <c r="AH88" i="11" s="1"/>
  <c r="AN87" i="11"/>
  <c r="AE87" i="11"/>
  <c r="U87" i="11"/>
  <c r="G86" i="11"/>
  <c r="F86" i="11"/>
  <c r="Y84" i="11"/>
  <c r="AH84" i="11" s="1"/>
  <c r="AN83" i="11"/>
  <c r="AE83" i="11"/>
  <c r="U83" i="11"/>
  <c r="G82" i="11"/>
  <c r="F82" i="11"/>
  <c r="Y80" i="11"/>
  <c r="AH80" i="11" s="1"/>
  <c r="AN79" i="11"/>
  <c r="AE79" i="11"/>
  <c r="U79" i="11"/>
  <c r="G78" i="11"/>
  <c r="F78" i="11"/>
  <c r="Y76" i="11"/>
  <c r="AH76" i="11" s="1"/>
  <c r="AN71" i="11"/>
  <c r="AE71" i="11"/>
  <c r="U71" i="11"/>
  <c r="G70" i="11"/>
  <c r="F70" i="11"/>
  <c r="Y68" i="11"/>
  <c r="AH68" i="11" s="1"/>
  <c r="AN67" i="11"/>
  <c r="AE67" i="11"/>
  <c r="U67" i="11"/>
  <c r="G66" i="11"/>
  <c r="F66" i="11"/>
  <c r="Y64" i="11"/>
  <c r="AH64" i="11" s="1"/>
  <c r="AN63" i="11"/>
  <c r="AE63" i="11"/>
  <c r="U63" i="11"/>
  <c r="G62" i="11"/>
  <c r="F62" i="11"/>
  <c r="AN59" i="11"/>
  <c r="AE59" i="11"/>
  <c r="U59" i="11"/>
  <c r="G58" i="11"/>
  <c r="F58" i="11"/>
  <c r="AN89" i="13"/>
  <c r="AE89" i="13"/>
  <c r="U89" i="13"/>
  <c r="H88" i="13"/>
  <c r="G88" i="13"/>
  <c r="F88" i="13"/>
  <c r="Y86" i="13"/>
  <c r="AH86" i="13" s="1"/>
  <c r="AN85" i="13"/>
  <c r="AE85" i="13"/>
  <c r="U85" i="13"/>
  <c r="H84" i="13"/>
  <c r="G84" i="13"/>
  <c r="F84" i="13"/>
  <c r="Y82" i="13"/>
  <c r="AH82" i="13" s="1"/>
  <c r="AN81" i="13"/>
  <c r="AE81" i="13"/>
  <c r="U81" i="13"/>
  <c r="H80" i="13"/>
  <c r="G80" i="13"/>
  <c r="F80" i="13"/>
  <c r="Y78" i="13"/>
  <c r="AH78" i="13" s="1"/>
  <c r="AN77" i="13"/>
  <c r="AE77" i="13"/>
  <c r="U77" i="13"/>
  <c r="H76" i="13"/>
  <c r="G76" i="13"/>
  <c r="F76" i="13"/>
  <c r="Y74" i="13"/>
  <c r="AH74" i="13" s="1"/>
  <c r="AN73" i="13"/>
  <c r="AE73" i="13"/>
  <c r="U73" i="13"/>
  <c r="H72" i="13"/>
  <c r="G72" i="13"/>
  <c r="F72" i="13"/>
  <c r="Y70" i="13"/>
  <c r="AH70" i="13" s="1"/>
  <c r="AN69" i="13"/>
  <c r="AE69" i="13"/>
  <c r="U69" i="13"/>
  <c r="H68" i="13"/>
  <c r="G68" i="13"/>
  <c r="F68" i="13"/>
  <c r="Y66" i="13"/>
  <c r="AH66" i="13" s="1"/>
  <c r="AN65" i="13"/>
  <c r="AE65" i="13"/>
  <c r="U65" i="13"/>
  <c r="G64" i="13"/>
  <c r="F64" i="13"/>
  <c r="Y62" i="13"/>
  <c r="AH62" i="13" s="1"/>
  <c r="AN61" i="13"/>
  <c r="AE61" i="13"/>
  <c r="U61" i="13"/>
  <c r="G60" i="13"/>
  <c r="H60" i="13" s="1"/>
  <c r="F60" i="13"/>
  <c r="AN57" i="13"/>
  <c r="AE57" i="13"/>
  <c r="U57" i="13"/>
  <c r="G56" i="13"/>
  <c r="F56" i="13"/>
  <c r="AN88" i="25"/>
  <c r="AE88" i="25"/>
  <c r="U88" i="25"/>
  <c r="H87" i="25"/>
  <c r="G87" i="25"/>
  <c r="F87" i="25"/>
  <c r="Y85" i="25"/>
  <c r="AH85" i="25" s="1"/>
  <c r="AN84" i="25"/>
  <c r="AE84" i="25"/>
  <c r="U84" i="25"/>
  <c r="H83" i="25"/>
  <c r="G83" i="25"/>
  <c r="F83" i="25"/>
  <c r="Y81" i="25"/>
  <c r="AH81" i="25" s="1"/>
  <c r="AN80" i="25"/>
  <c r="AE80" i="25"/>
  <c r="U80" i="25"/>
  <c r="H79" i="25"/>
  <c r="G79" i="25"/>
  <c r="F79" i="25"/>
  <c r="Y77" i="25"/>
  <c r="AH77" i="25" s="1"/>
  <c r="AN76" i="25"/>
  <c r="AE76" i="25"/>
  <c r="U76" i="25"/>
  <c r="H75" i="25"/>
  <c r="G75" i="25"/>
  <c r="F75" i="25"/>
  <c r="Y73" i="25"/>
  <c r="AH73" i="25" s="1"/>
  <c r="AN72" i="25"/>
  <c r="AE72" i="25"/>
  <c r="U72" i="25"/>
  <c r="G71" i="25"/>
  <c r="F71" i="25"/>
  <c r="Y69" i="25"/>
  <c r="AH69" i="25" s="1"/>
  <c r="AN68" i="25"/>
  <c r="AE68" i="25"/>
  <c r="U68" i="25"/>
  <c r="G67" i="25"/>
  <c r="F67" i="25"/>
  <c r="Y65" i="25"/>
  <c r="AH65" i="25" s="1"/>
  <c r="AN64" i="25"/>
  <c r="AE64" i="25"/>
  <c r="U64" i="25"/>
  <c r="G63" i="25"/>
  <c r="F63" i="25"/>
  <c r="Y61" i="25"/>
  <c r="AH61" i="25" s="1"/>
  <c r="AN60" i="25"/>
  <c r="AE60" i="25"/>
  <c r="U60" i="25"/>
  <c r="G59" i="25"/>
  <c r="H59" i="25" s="1"/>
  <c r="F59" i="25"/>
  <c r="AN56" i="25"/>
  <c r="AE56" i="25"/>
  <c r="U56" i="25"/>
  <c r="G55" i="25"/>
  <c r="F55" i="25"/>
  <c r="H55" i="25" s="1"/>
  <c r="AN88" i="24"/>
  <c r="AE88" i="24"/>
  <c r="U88" i="24"/>
  <c r="G87" i="24"/>
  <c r="F87" i="24"/>
  <c r="H87" i="24" s="1"/>
  <c r="Y85" i="24"/>
  <c r="AH85" i="24" s="1"/>
  <c r="AN84" i="24"/>
  <c r="AE84" i="24"/>
  <c r="U84" i="24"/>
  <c r="H83" i="24"/>
  <c r="G83" i="24"/>
  <c r="F83" i="24"/>
  <c r="Y81" i="24"/>
  <c r="AH81" i="24" s="1"/>
  <c r="AN80" i="24"/>
  <c r="AE80" i="24"/>
  <c r="U80" i="24"/>
  <c r="H79" i="24"/>
  <c r="G79" i="24"/>
  <c r="F79" i="24"/>
  <c r="Y77" i="24"/>
  <c r="AH77" i="24" s="1"/>
  <c r="AN76" i="24"/>
  <c r="AE76" i="24"/>
  <c r="U76" i="24"/>
  <c r="H75" i="24"/>
  <c r="G75" i="24"/>
  <c r="F75" i="24"/>
  <c r="Y73" i="24"/>
  <c r="AH73" i="24" s="1"/>
  <c r="AN72" i="24"/>
  <c r="AE72" i="24"/>
  <c r="U72" i="24"/>
  <c r="H71" i="24"/>
  <c r="G71" i="24"/>
  <c r="F71" i="24"/>
  <c r="Y69" i="24"/>
  <c r="AH69" i="24" s="1"/>
  <c r="AN68" i="24"/>
  <c r="AE68" i="24"/>
  <c r="U68" i="24"/>
  <c r="H67" i="24"/>
  <c r="G67" i="24"/>
  <c r="F67" i="24"/>
  <c r="Y65" i="24"/>
  <c r="AH65" i="24" s="1"/>
  <c r="AN64" i="24"/>
  <c r="AE64" i="24"/>
  <c r="U64" i="24"/>
  <c r="H63" i="24"/>
  <c r="G63" i="24"/>
  <c r="F63" i="24"/>
  <c r="Y61" i="24"/>
  <c r="AH61" i="24" s="1"/>
  <c r="AN60" i="24"/>
  <c r="AE60" i="24"/>
  <c r="U60" i="24"/>
  <c r="G59" i="24"/>
  <c r="F59" i="24"/>
  <c r="H59" i="24" s="1"/>
  <c r="AN56" i="24"/>
  <c r="AE56" i="24"/>
  <c r="U56" i="24"/>
  <c r="G55" i="24"/>
  <c r="F55" i="24"/>
  <c r="AN88" i="26"/>
  <c r="AE88" i="26"/>
  <c r="U88" i="26"/>
  <c r="H87" i="26"/>
  <c r="G87" i="26"/>
  <c r="F87" i="26"/>
  <c r="Y85" i="26"/>
  <c r="AH85" i="26" s="1"/>
  <c r="AN84" i="26"/>
  <c r="AE84" i="26"/>
  <c r="U84" i="26"/>
  <c r="H83" i="26"/>
  <c r="G83" i="26"/>
  <c r="F83" i="26"/>
  <c r="Y81" i="26"/>
  <c r="AH81" i="26" s="1"/>
  <c r="AN80" i="26"/>
  <c r="AE80" i="26"/>
  <c r="U80" i="26"/>
  <c r="H79" i="26"/>
  <c r="G79" i="26"/>
  <c r="F79" i="26"/>
  <c r="Y77" i="26"/>
  <c r="AH77" i="26" s="1"/>
  <c r="AN76" i="26"/>
  <c r="AE76" i="26"/>
  <c r="U76" i="26"/>
  <c r="H75" i="26"/>
  <c r="G75" i="26"/>
  <c r="F75" i="26"/>
  <c r="Y73" i="26"/>
  <c r="AH73" i="26" s="1"/>
  <c r="AN72" i="26"/>
  <c r="AE72" i="26"/>
  <c r="U72" i="26"/>
  <c r="G71" i="26"/>
  <c r="F71" i="26"/>
  <c r="H71" i="26" s="1"/>
  <c r="Y69" i="26"/>
  <c r="AH69" i="26" s="1"/>
  <c r="AN68" i="26"/>
  <c r="AE68" i="26"/>
  <c r="U68" i="26"/>
  <c r="G67" i="26"/>
  <c r="F67" i="26"/>
  <c r="Y65" i="26"/>
  <c r="AH65" i="26" s="1"/>
  <c r="AN64" i="26"/>
  <c r="AE64" i="26"/>
  <c r="U64" i="26"/>
  <c r="G63" i="26"/>
  <c r="F63" i="26"/>
  <c r="Y61" i="26"/>
  <c r="AH61" i="26" s="1"/>
  <c r="AN60" i="26"/>
  <c r="AE60" i="26"/>
  <c r="U60" i="26"/>
  <c r="G59" i="26"/>
  <c r="F59" i="26"/>
  <c r="AN56" i="26"/>
  <c r="AE56" i="26"/>
  <c r="U56" i="26"/>
  <c r="G55" i="26"/>
  <c r="F55" i="26"/>
  <c r="H71" i="25" l="1"/>
  <c r="H78" i="11"/>
  <c r="H73" i="28"/>
  <c r="H89" i="28"/>
  <c r="H67" i="26"/>
  <c r="H67" i="25"/>
  <c r="H86" i="11"/>
  <c r="H82" i="11"/>
  <c r="H70" i="11"/>
  <c r="H64" i="13"/>
  <c r="H65" i="28"/>
  <c r="H63" i="25"/>
  <c r="H63" i="26"/>
  <c r="H66" i="11"/>
  <c r="H59" i="26"/>
  <c r="H62" i="11"/>
  <c r="H61" i="32"/>
  <c r="H58" i="11"/>
  <c r="H61" i="28"/>
  <c r="H69" i="28"/>
  <c r="H77" i="28"/>
  <c r="H85" i="28"/>
  <c r="H55" i="24"/>
  <c r="H56" i="13"/>
  <c r="H55" i="26"/>
  <c r="AN57" i="30"/>
  <c r="AE57" i="30"/>
  <c r="U57" i="30"/>
  <c r="G56" i="30"/>
  <c r="F56" i="30"/>
  <c r="Y8" i="2"/>
  <c r="G57" i="9"/>
  <c r="F57" i="9"/>
  <c r="U58" i="9"/>
  <c r="AK56" i="29"/>
  <c r="AC56" i="29"/>
  <c r="U56" i="29"/>
  <c r="G55" i="29"/>
  <c r="F55" i="29"/>
  <c r="W53" i="29"/>
  <c r="AE53" i="29" s="1"/>
  <c r="AK42" i="32"/>
  <c r="AC42" i="32"/>
  <c r="U42" i="32"/>
  <c r="G41" i="32"/>
  <c r="F41" i="32"/>
  <c r="W39" i="32"/>
  <c r="AE39" i="32" s="1"/>
  <c r="H41" i="32" l="1"/>
  <c r="H56" i="30"/>
  <c r="H57" i="9"/>
  <c r="H55" i="29"/>
  <c r="U34" i="9"/>
  <c r="F17" i="28" l="1"/>
  <c r="H21" i="3"/>
  <c r="I21" i="3"/>
  <c r="J21" i="3"/>
  <c r="K21" i="3"/>
  <c r="L21" i="3"/>
  <c r="M21" i="3"/>
  <c r="G21" i="3"/>
  <c r="D21" i="3"/>
  <c r="E21" i="3"/>
  <c r="F21" i="3"/>
  <c r="C21" i="3"/>
  <c r="B21" i="3"/>
  <c r="B12" i="3"/>
  <c r="B10" i="3"/>
  <c r="B6" i="3"/>
  <c r="L83" i="2"/>
  <c r="F69" i="2"/>
  <c r="E65" i="2"/>
  <c r="F101" i="2"/>
  <c r="E124" i="2"/>
  <c r="E122" i="2"/>
  <c r="Z118" i="2"/>
  <c r="L118" i="2"/>
  <c r="F31" i="2"/>
  <c r="AA26" i="2"/>
  <c r="Y26" i="2"/>
  <c r="AA15" i="2"/>
  <c r="AA14" i="2"/>
  <c r="AA13" i="2"/>
  <c r="AA12" i="2"/>
  <c r="AA11" i="2"/>
  <c r="AA10" i="2"/>
  <c r="AA9" i="2"/>
  <c r="AA8" i="2"/>
  <c r="AA7" i="2"/>
  <c r="AA6" i="2"/>
  <c r="Z15" i="2"/>
  <c r="Z14" i="2"/>
  <c r="Z13" i="2"/>
  <c r="Z12" i="2"/>
  <c r="Z11" i="2"/>
  <c r="Z10" i="2"/>
  <c r="Z9" i="2"/>
  <c r="Z8" i="2"/>
  <c r="Z7" i="2"/>
  <c r="Z6" i="2"/>
  <c r="T15" i="2"/>
  <c r="T14" i="2"/>
  <c r="T13" i="2"/>
  <c r="T12" i="2"/>
  <c r="T11" i="2"/>
  <c r="T10" i="2"/>
  <c r="T9" i="2"/>
  <c r="T8" i="2"/>
  <c r="T7" i="2"/>
  <c r="T6" i="2"/>
  <c r="T5" i="2"/>
  <c r="S15" i="2"/>
  <c r="S14" i="2"/>
  <c r="S13" i="2"/>
  <c r="S12" i="2"/>
  <c r="S11" i="2"/>
  <c r="S10" i="2"/>
  <c r="S9" i="2"/>
  <c r="S8" i="2"/>
  <c r="S7" i="2"/>
  <c r="S6" i="2"/>
  <c r="S5" i="2"/>
  <c r="R15" i="2"/>
  <c r="R14" i="2"/>
  <c r="R13" i="2"/>
  <c r="R12" i="2"/>
  <c r="R11" i="2"/>
  <c r="R10" i="2"/>
  <c r="R9" i="2"/>
  <c r="R8" i="2"/>
  <c r="R7" i="2"/>
  <c r="AA5" i="2"/>
  <c r="Z5" i="2"/>
  <c r="Y15" i="2"/>
  <c r="Y14" i="2"/>
  <c r="Y13" i="2"/>
  <c r="Y12" i="2"/>
  <c r="Y11" i="2"/>
  <c r="Y10" i="2"/>
  <c r="Y9" i="2"/>
  <c r="Y7" i="2"/>
  <c r="AK58" i="32"/>
  <c r="M34" i="2" s="1"/>
  <c r="AC58" i="32"/>
  <c r="L34" i="2" s="1"/>
  <c r="U58" i="32"/>
  <c r="K34" i="2" s="1"/>
  <c r="G57" i="32"/>
  <c r="F57" i="32"/>
  <c r="W55" i="32"/>
  <c r="AE55" i="32" s="1"/>
  <c r="AK54" i="32"/>
  <c r="M33" i="2" s="1"/>
  <c r="AC54" i="32"/>
  <c r="L33" i="2" s="1"/>
  <c r="U54" i="32"/>
  <c r="K33" i="2" s="1"/>
  <c r="G53" i="32"/>
  <c r="F53" i="32"/>
  <c r="W51" i="32"/>
  <c r="AE51" i="32" s="1"/>
  <c r="AK50" i="32"/>
  <c r="M32" i="2" s="1"/>
  <c r="AC50" i="32"/>
  <c r="L32" i="2" s="1"/>
  <c r="U50" i="32"/>
  <c r="K32" i="2" s="1"/>
  <c r="G49" i="32"/>
  <c r="F49" i="32"/>
  <c r="W47" i="32"/>
  <c r="AE47" i="32" s="1"/>
  <c r="AK46" i="32"/>
  <c r="M31" i="2" s="1"/>
  <c r="AC46" i="32"/>
  <c r="L31" i="2" s="1"/>
  <c r="U46" i="32"/>
  <c r="K31" i="2" s="1"/>
  <c r="G45" i="32"/>
  <c r="F45" i="32"/>
  <c r="W43" i="32"/>
  <c r="AE43" i="32" s="1"/>
  <c r="AK38" i="32"/>
  <c r="M30" i="2" s="1"/>
  <c r="AC38" i="32"/>
  <c r="L30" i="2" s="1"/>
  <c r="U38" i="32"/>
  <c r="K30" i="2" s="1"/>
  <c r="G37" i="32"/>
  <c r="F37" i="32"/>
  <c r="W35" i="32"/>
  <c r="AE35" i="32" s="1"/>
  <c r="AK34" i="32"/>
  <c r="M29" i="2" s="1"/>
  <c r="AC34" i="32"/>
  <c r="L29" i="2" s="1"/>
  <c r="U34" i="32"/>
  <c r="K29" i="2" s="1"/>
  <c r="G33" i="32"/>
  <c r="F33" i="32"/>
  <c r="W31" i="32"/>
  <c r="AE31" i="32" s="1"/>
  <c r="AK30" i="32"/>
  <c r="M28" i="2" s="1"/>
  <c r="AC30" i="32"/>
  <c r="L28" i="2" s="1"/>
  <c r="U30" i="32"/>
  <c r="K28" i="2" s="1"/>
  <c r="G29" i="32"/>
  <c r="F29" i="32"/>
  <c r="W27" i="32"/>
  <c r="AE27" i="32" s="1"/>
  <c r="AK26" i="32"/>
  <c r="M27" i="2" s="1"/>
  <c r="AC26" i="32"/>
  <c r="L27" i="2" s="1"/>
  <c r="U26" i="32"/>
  <c r="K27" i="2" s="1"/>
  <c r="G25" i="32"/>
  <c r="F25" i="32"/>
  <c r="W23" i="32"/>
  <c r="AE23" i="32" s="1"/>
  <c r="AK22" i="32"/>
  <c r="M26" i="2" s="1"/>
  <c r="AC22" i="32"/>
  <c r="L26" i="2" s="1"/>
  <c r="U22" i="32"/>
  <c r="K26" i="2" s="1"/>
  <c r="G21" i="32"/>
  <c r="F21" i="32"/>
  <c r="W19" i="32"/>
  <c r="AE19" i="32" s="1"/>
  <c r="AK18" i="32"/>
  <c r="M25" i="2" s="1"/>
  <c r="AC18" i="32"/>
  <c r="L25" i="2" s="1"/>
  <c r="U18" i="32"/>
  <c r="K25" i="2" s="1"/>
  <c r="G17" i="32"/>
  <c r="F17" i="32"/>
  <c r="W15" i="32"/>
  <c r="AE15" i="32" s="1"/>
  <c r="AK14" i="32"/>
  <c r="M24" i="2" s="1"/>
  <c r="AC14" i="32"/>
  <c r="L24" i="2" s="1"/>
  <c r="U14" i="32"/>
  <c r="K24" i="2" s="1"/>
  <c r="G13" i="32"/>
  <c r="F13" i="32"/>
  <c r="AK52" i="31"/>
  <c r="T34" i="2" s="1"/>
  <c r="AC52" i="31"/>
  <c r="S34" i="2" s="1"/>
  <c r="U52" i="31"/>
  <c r="R34" i="2" s="1"/>
  <c r="G51" i="31"/>
  <c r="F51" i="31"/>
  <c r="W49" i="31"/>
  <c r="AE49" i="31" s="1"/>
  <c r="AK48" i="31"/>
  <c r="T33" i="2" s="1"/>
  <c r="AC48" i="31"/>
  <c r="S33" i="2" s="1"/>
  <c r="U48" i="31"/>
  <c r="R33" i="2" s="1"/>
  <c r="G47" i="31"/>
  <c r="F47" i="31"/>
  <c r="W45" i="31"/>
  <c r="AE45" i="31" s="1"/>
  <c r="AK44" i="31"/>
  <c r="T32" i="2" s="1"/>
  <c r="AC44" i="31"/>
  <c r="S32" i="2" s="1"/>
  <c r="U44" i="31"/>
  <c r="R32" i="2" s="1"/>
  <c r="G43" i="31"/>
  <c r="F43" i="31"/>
  <c r="W41" i="31"/>
  <c r="AE41" i="31" s="1"/>
  <c r="AK40" i="31"/>
  <c r="T31" i="2" s="1"/>
  <c r="AC40" i="31"/>
  <c r="S31" i="2" s="1"/>
  <c r="U40" i="31"/>
  <c r="R31" i="2" s="1"/>
  <c r="G39" i="31"/>
  <c r="F39" i="31"/>
  <c r="W37" i="31"/>
  <c r="AE37" i="31" s="1"/>
  <c r="AK36" i="31"/>
  <c r="T30" i="2" s="1"/>
  <c r="AC36" i="31"/>
  <c r="S30" i="2" s="1"/>
  <c r="U36" i="31"/>
  <c r="R30" i="2" s="1"/>
  <c r="G35" i="31"/>
  <c r="F35" i="31"/>
  <c r="W33" i="31"/>
  <c r="AE33" i="31" s="1"/>
  <c r="AK32" i="31"/>
  <c r="T29" i="2" s="1"/>
  <c r="AC32" i="31"/>
  <c r="S29" i="2" s="1"/>
  <c r="U32" i="31"/>
  <c r="R29" i="2" s="1"/>
  <c r="G31" i="31"/>
  <c r="F31" i="31"/>
  <c r="W29" i="31"/>
  <c r="AE29" i="31" s="1"/>
  <c r="AK28" i="31"/>
  <c r="T28" i="2" s="1"/>
  <c r="AC28" i="31"/>
  <c r="S28" i="2" s="1"/>
  <c r="U28" i="31"/>
  <c r="R28" i="2" s="1"/>
  <c r="G27" i="31"/>
  <c r="F27" i="31"/>
  <c r="W25" i="31"/>
  <c r="AE25" i="31" s="1"/>
  <c r="AK24" i="31"/>
  <c r="T27" i="2" s="1"/>
  <c r="AC24" i="31"/>
  <c r="S27" i="2" s="1"/>
  <c r="U24" i="31"/>
  <c r="R27" i="2" s="1"/>
  <c r="G23" i="31"/>
  <c r="F23" i="31"/>
  <c r="W21" i="31"/>
  <c r="AE21" i="31" s="1"/>
  <c r="AK20" i="31"/>
  <c r="T26" i="2" s="1"/>
  <c r="AC20" i="31"/>
  <c r="S26" i="2" s="1"/>
  <c r="U20" i="31"/>
  <c r="R26" i="2" s="1"/>
  <c r="G19" i="31"/>
  <c r="F19" i="31"/>
  <c r="W17" i="31"/>
  <c r="AE17" i="31" s="1"/>
  <c r="AK16" i="31"/>
  <c r="T25" i="2" s="1"/>
  <c r="AC16" i="31"/>
  <c r="S25" i="2" s="1"/>
  <c r="U16" i="31"/>
  <c r="R25" i="2" s="1"/>
  <c r="G15" i="31"/>
  <c r="F15" i="31"/>
  <c r="W13" i="31"/>
  <c r="AE13" i="31" s="1"/>
  <c r="AK12" i="31"/>
  <c r="T24" i="2" s="1"/>
  <c r="AC12" i="31"/>
  <c r="S24" i="2" s="1"/>
  <c r="U12" i="31"/>
  <c r="R24" i="2" s="1"/>
  <c r="G11" i="31"/>
  <c r="F11" i="31"/>
  <c r="AN53" i="30"/>
  <c r="AA34" i="2" s="1"/>
  <c r="AE53" i="30"/>
  <c r="Z34" i="2" s="1"/>
  <c r="U53" i="30"/>
  <c r="Y34" i="2" s="1"/>
  <c r="G52" i="30"/>
  <c r="F52" i="30"/>
  <c r="Y50" i="30"/>
  <c r="AH50" i="30" s="1"/>
  <c r="AN49" i="30"/>
  <c r="AA33" i="2" s="1"/>
  <c r="AE49" i="30"/>
  <c r="Z33" i="2" s="1"/>
  <c r="U49" i="30"/>
  <c r="Y33" i="2" s="1"/>
  <c r="G48" i="30"/>
  <c r="F48" i="30"/>
  <c r="Y46" i="30"/>
  <c r="AH46" i="30" s="1"/>
  <c r="AN45" i="30"/>
  <c r="AA32" i="2" s="1"/>
  <c r="AE45" i="30"/>
  <c r="Z32" i="2" s="1"/>
  <c r="U45" i="30"/>
  <c r="Y32" i="2" s="1"/>
  <c r="G44" i="30"/>
  <c r="F44" i="30"/>
  <c r="Y42" i="30"/>
  <c r="AH42" i="30" s="1"/>
  <c r="AN41" i="30"/>
  <c r="AA31" i="2" s="1"/>
  <c r="AE41" i="30"/>
  <c r="Z31" i="2" s="1"/>
  <c r="U41" i="30"/>
  <c r="Y31" i="2" s="1"/>
  <c r="G40" i="30"/>
  <c r="F40" i="30"/>
  <c r="Y38" i="30"/>
  <c r="AH38" i="30" s="1"/>
  <c r="AN37" i="30"/>
  <c r="AA30" i="2" s="1"/>
  <c r="AE37" i="30"/>
  <c r="Z30" i="2" s="1"/>
  <c r="U37" i="30"/>
  <c r="Y30" i="2" s="1"/>
  <c r="G36" i="30"/>
  <c r="F36" i="30"/>
  <c r="Y34" i="30"/>
  <c r="AH34" i="30" s="1"/>
  <c r="AN33" i="30"/>
  <c r="AA29" i="2" s="1"/>
  <c r="AE33" i="30"/>
  <c r="Z29" i="2" s="1"/>
  <c r="U33" i="30"/>
  <c r="Y29" i="2" s="1"/>
  <c r="G32" i="30"/>
  <c r="F32" i="30"/>
  <c r="Y30" i="30"/>
  <c r="AH30" i="30" s="1"/>
  <c r="AN29" i="30"/>
  <c r="AA28" i="2" s="1"/>
  <c r="AE29" i="30"/>
  <c r="Z28" i="2" s="1"/>
  <c r="U29" i="30"/>
  <c r="Y28" i="2" s="1"/>
  <c r="G28" i="30"/>
  <c r="F28" i="30"/>
  <c r="Y26" i="30"/>
  <c r="AH26" i="30" s="1"/>
  <c r="AN25" i="30"/>
  <c r="AA27" i="2" s="1"/>
  <c r="AE25" i="30"/>
  <c r="Z27" i="2" s="1"/>
  <c r="U25" i="30"/>
  <c r="Y27" i="2" s="1"/>
  <c r="G24" i="30"/>
  <c r="F24" i="30"/>
  <c r="Y22" i="30"/>
  <c r="AH22" i="30" s="1"/>
  <c r="AN21" i="30"/>
  <c r="AE21" i="30"/>
  <c r="Z26" i="2" s="1"/>
  <c r="U21" i="30"/>
  <c r="G20" i="30"/>
  <c r="F20" i="30"/>
  <c r="Y18" i="30"/>
  <c r="AH18" i="30" s="1"/>
  <c r="AN17" i="30"/>
  <c r="AA25" i="2" s="1"/>
  <c r="AE17" i="30"/>
  <c r="Z25" i="2" s="1"/>
  <c r="U17" i="30"/>
  <c r="Y25" i="2" s="1"/>
  <c r="G16" i="30"/>
  <c r="F16" i="30"/>
  <c r="Y14" i="30"/>
  <c r="AH14" i="30" s="1"/>
  <c r="AN13" i="30"/>
  <c r="AA24" i="2" s="1"/>
  <c r="AE13" i="30"/>
  <c r="Z24" i="2" s="1"/>
  <c r="U13" i="30"/>
  <c r="Y24" i="2" s="1"/>
  <c r="G12" i="30"/>
  <c r="F12" i="30"/>
  <c r="AN52" i="29"/>
  <c r="F53" i="2" s="1"/>
  <c r="AE52" i="29"/>
  <c r="E53" i="2" s="1"/>
  <c r="U52" i="29"/>
  <c r="D53" i="2" s="1"/>
  <c r="G51" i="29"/>
  <c r="F51" i="29"/>
  <c r="Y49" i="29"/>
  <c r="AH49" i="29" s="1"/>
  <c r="AN48" i="29"/>
  <c r="F52" i="2" s="1"/>
  <c r="AE48" i="29"/>
  <c r="E52" i="2" s="1"/>
  <c r="U48" i="29"/>
  <c r="D52" i="2" s="1"/>
  <c r="G47" i="29"/>
  <c r="F47" i="29"/>
  <c r="Y45" i="29"/>
  <c r="AH45" i="29" s="1"/>
  <c r="AN44" i="29"/>
  <c r="F51" i="2" s="1"/>
  <c r="AE44" i="29"/>
  <c r="E51" i="2" s="1"/>
  <c r="U44" i="29"/>
  <c r="D51" i="2" s="1"/>
  <c r="G43" i="29"/>
  <c r="F43" i="29"/>
  <c r="Y41" i="29"/>
  <c r="AH41" i="29" s="1"/>
  <c r="AN40" i="29"/>
  <c r="F50" i="2" s="1"/>
  <c r="AE40" i="29"/>
  <c r="E50" i="2" s="1"/>
  <c r="U40" i="29"/>
  <c r="D50" i="2" s="1"/>
  <c r="G39" i="29"/>
  <c r="F39" i="29"/>
  <c r="Y37" i="29"/>
  <c r="AH37" i="29" s="1"/>
  <c r="AN36" i="29"/>
  <c r="F49" i="2" s="1"/>
  <c r="AE36" i="29"/>
  <c r="E49" i="2" s="1"/>
  <c r="U36" i="29"/>
  <c r="D49" i="2" s="1"/>
  <c r="G35" i="29"/>
  <c r="F35" i="29"/>
  <c r="Y33" i="29"/>
  <c r="AH33" i="29" s="1"/>
  <c r="AN32" i="29"/>
  <c r="F48" i="2" s="1"/>
  <c r="AE32" i="29"/>
  <c r="E48" i="2" s="1"/>
  <c r="U32" i="29"/>
  <c r="D48" i="2" s="1"/>
  <c r="G31" i="29"/>
  <c r="F31" i="29"/>
  <c r="Y29" i="29"/>
  <c r="AH29" i="29" s="1"/>
  <c r="AN28" i="29"/>
  <c r="F47" i="2" s="1"/>
  <c r="AE28" i="29"/>
  <c r="E47" i="2" s="1"/>
  <c r="U28" i="29"/>
  <c r="D47" i="2" s="1"/>
  <c r="G27" i="29"/>
  <c r="F27" i="29"/>
  <c r="Y25" i="29"/>
  <c r="AH25" i="29" s="1"/>
  <c r="AN24" i="29"/>
  <c r="F46" i="2" s="1"/>
  <c r="AE24" i="29"/>
  <c r="E46" i="2" s="1"/>
  <c r="U24" i="29"/>
  <c r="D46" i="2" s="1"/>
  <c r="G23" i="29"/>
  <c r="F23" i="29"/>
  <c r="Y21" i="29"/>
  <c r="AH21" i="29" s="1"/>
  <c r="AN20" i="29"/>
  <c r="F45" i="2" s="1"/>
  <c r="AE20" i="29"/>
  <c r="E45" i="2" s="1"/>
  <c r="U20" i="29"/>
  <c r="D45" i="2" s="1"/>
  <c r="G19" i="29"/>
  <c r="F19" i="29"/>
  <c r="Y17" i="29"/>
  <c r="AH17" i="29" s="1"/>
  <c r="AN16" i="29"/>
  <c r="F44" i="2" s="1"/>
  <c r="AE16" i="29"/>
  <c r="E44" i="2" s="1"/>
  <c r="U16" i="29"/>
  <c r="D44" i="2" s="1"/>
  <c r="G15" i="29"/>
  <c r="F15" i="29"/>
  <c r="Y13" i="29"/>
  <c r="AH13" i="29" s="1"/>
  <c r="AN12" i="29"/>
  <c r="F43" i="2" s="1"/>
  <c r="AE12" i="29"/>
  <c r="E43" i="2" s="1"/>
  <c r="U12" i="29"/>
  <c r="D43" i="2" s="1"/>
  <c r="G11" i="29"/>
  <c r="F11" i="29"/>
  <c r="AN54" i="28"/>
  <c r="M53" i="2" s="1"/>
  <c r="AE54" i="28"/>
  <c r="L53" i="2" s="1"/>
  <c r="U54" i="28"/>
  <c r="K53" i="2" s="1"/>
  <c r="G53" i="28"/>
  <c r="F53" i="28"/>
  <c r="Y51" i="28"/>
  <c r="AH51" i="28" s="1"/>
  <c r="AN50" i="28"/>
  <c r="M52" i="2" s="1"/>
  <c r="AE50" i="28"/>
  <c r="L52" i="2" s="1"/>
  <c r="U50" i="28"/>
  <c r="K52" i="2" s="1"/>
  <c r="G49" i="28"/>
  <c r="F49" i="28"/>
  <c r="Y47" i="28"/>
  <c r="AH47" i="28" s="1"/>
  <c r="AN46" i="28"/>
  <c r="M51" i="2" s="1"/>
  <c r="AE46" i="28"/>
  <c r="L51" i="2" s="1"/>
  <c r="U46" i="28"/>
  <c r="K51" i="2" s="1"/>
  <c r="G45" i="28"/>
  <c r="F45" i="28"/>
  <c r="Y43" i="28"/>
  <c r="AH43" i="28" s="1"/>
  <c r="AN42" i="28"/>
  <c r="M50" i="2" s="1"/>
  <c r="AE42" i="28"/>
  <c r="L50" i="2" s="1"/>
  <c r="U42" i="28"/>
  <c r="K50" i="2" s="1"/>
  <c r="G41" i="28"/>
  <c r="F41" i="28"/>
  <c r="Y39" i="28"/>
  <c r="AH39" i="28" s="1"/>
  <c r="AN38" i="28"/>
  <c r="M49" i="2" s="1"/>
  <c r="AE38" i="28"/>
  <c r="L49" i="2" s="1"/>
  <c r="U38" i="28"/>
  <c r="K49" i="2" s="1"/>
  <c r="G37" i="28"/>
  <c r="F37" i="28"/>
  <c r="Y35" i="28"/>
  <c r="AH35" i="28" s="1"/>
  <c r="AN34" i="28"/>
  <c r="M48" i="2" s="1"/>
  <c r="AE34" i="28"/>
  <c r="L48" i="2" s="1"/>
  <c r="U34" i="28"/>
  <c r="K48" i="2" s="1"/>
  <c r="G33" i="28"/>
  <c r="F33" i="28"/>
  <c r="Y31" i="28"/>
  <c r="AH31" i="28" s="1"/>
  <c r="AN30" i="28"/>
  <c r="M47" i="2" s="1"/>
  <c r="AE30" i="28"/>
  <c r="L47" i="2" s="1"/>
  <c r="U30" i="28"/>
  <c r="K47" i="2" s="1"/>
  <c r="G29" i="28"/>
  <c r="F29" i="28"/>
  <c r="Y27" i="28"/>
  <c r="AH27" i="28" s="1"/>
  <c r="AN26" i="28"/>
  <c r="M46" i="2" s="1"/>
  <c r="AE26" i="28"/>
  <c r="L46" i="2" s="1"/>
  <c r="U26" i="28"/>
  <c r="K46" i="2" s="1"/>
  <c r="G25" i="28"/>
  <c r="F25" i="28"/>
  <c r="Y23" i="28"/>
  <c r="AH23" i="28" s="1"/>
  <c r="AN22" i="28"/>
  <c r="M45" i="2" s="1"/>
  <c r="AE22" i="28"/>
  <c r="L45" i="2" s="1"/>
  <c r="U22" i="28"/>
  <c r="K45" i="2" s="1"/>
  <c r="G21" i="28"/>
  <c r="F21" i="28"/>
  <c r="Y19" i="28"/>
  <c r="AH19" i="28" s="1"/>
  <c r="AN18" i="28"/>
  <c r="M44" i="2" s="1"/>
  <c r="AE18" i="28"/>
  <c r="L44" i="2" s="1"/>
  <c r="U18" i="28"/>
  <c r="K44" i="2" s="1"/>
  <c r="G17" i="28"/>
  <c r="Y15" i="28"/>
  <c r="AH15" i="28" s="1"/>
  <c r="AN14" i="28"/>
  <c r="M43" i="2" s="1"/>
  <c r="AE14" i="28"/>
  <c r="L43" i="2" s="1"/>
  <c r="U14" i="28"/>
  <c r="K43" i="2" s="1"/>
  <c r="G13" i="28"/>
  <c r="F13" i="28"/>
  <c r="AN52" i="27"/>
  <c r="T53" i="2" s="1"/>
  <c r="AE52" i="27"/>
  <c r="S53" i="2" s="1"/>
  <c r="U52" i="27"/>
  <c r="R53" i="2" s="1"/>
  <c r="G51" i="27"/>
  <c r="F51" i="27"/>
  <c r="Y49" i="27"/>
  <c r="AH49" i="27" s="1"/>
  <c r="AN48" i="27"/>
  <c r="T52" i="2" s="1"/>
  <c r="AE48" i="27"/>
  <c r="S52" i="2" s="1"/>
  <c r="U48" i="27"/>
  <c r="R52" i="2" s="1"/>
  <c r="G47" i="27"/>
  <c r="F47" i="27"/>
  <c r="Y45" i="27"/>
  <c r="AH45" i="27" s="1"/>
  <c r="AN44" i="27"/>
  <c r="T51" i="2" s="1"/>
  <c r="AE44" i="27"/>
  <c r="S51" i="2" s="1"/>
  <c r="U44" i="27"/>
  <c r="R51" i="2" s="1"/>
  <c r="G43" i="27"/>
  <c r="F43" i="27"/>
  <c r="Y41" i="27"/>
  <c r="AH41" i="27" s="1"/>
  <c r="AN40" i="27"/>
  <c r="T50" i="2" s="1"/>
  <c r="AE40" i="27"/>
  <c r="S50" i="2" s="1"/>
  <c r="U40" i="27"/>
  <c r="R50" i="2" s="1"/>
  <c r="G39" i="27"/>
  <c r="F39" i="27"/>
  <c r="Y37" i="27"/>
  <c r="AH37" i="27" s="1"/>
  <c r="AN36" i="27"/>
  <c r="T49" i="2" s="1"/>
  <c r="AE36" i="27"/>
  <c r="S49" i="2" s="1"/>
  <c r="U36" i="27"/>
  <c r="R49" i="2" s="1"/>
  <c r="G35" i="27"/>
  <c r="F35" i="27"/>
  <c r="Y33" i="27"/>
  <c r="AH33" i="27" s="1"/>
  <c r="AN32" i="27"/>
  <c r="T48" i="2" s="1"/>
  <c r="AE32" i="27"/>
  <c r="S48" i="2" s="1"/>
  <c r="U32" i="27"/>
  <c r="R48" i="2" s="1"/>
  <c r="G31" i="27"/>
  <c r="F31" i="27"/>
  <c r="Y29" i="27"/>
  <c r="AH29" i="27" s="1"/>
  <c r="AN28" i="27"/>
  <c r="T47" i="2" s="1"/>
  <c r="AE28" i="27"/>
  <c r="S47" i="2" s="1"/>
  <c r="U28" i="27"/>
  <c r="R47" i="2" s="1"/>
  <c r="G27" i="27"/>
  <c r="F27" i="27"/>
  <c r="Y25" i="27"/>
  <c r="AH25" i="27" s="1"/>
  <c r="AN24" i="27"/>
  <c r="T46" i="2" s="1"/>
  <c r="AE24" i="27"/>
  <c r="S46" i="2" s="1"/>
  <c r="U24" i="27"/>
  <c r="R46" i="2" s="1"/>
  <c r="G23" i="27"/>
  <c r="F23" i="27"/>
  <c r="Y21" i="27"/>
  <c r="AH21" i="27" s="1"/>
  <c r="AN20" i="27"/>
  <c r="T45" i="2" s="1"/>
  <c r="AE20" i="27"/>
  <c r="S45" i="2" s="1"/>
  <c r="U20" i="27"/>
  <c r="R45" i="2" s="1"/>
  <c r="G19" i="27"/>
  <c r="F19" i="27"/>
  <c r="Y17" i="27"/>
  <c r="AH17" i="27" s="1"/>
  <c r="AN16" i="27"/>
  <c r="T44" i="2" s="1"/>
  <c r="AE16" i="27"/>
  <c r="S44" i="2" s="1"/>
  <c r="U16" i="27"/>
  <c r="R44" i="2" s="1"/>
  <c r="G15" i="27"/>
  <c r="F15" i="27"/>
  <c r="Y13" i="27"/>
  <c r="AH13" i="27" s="1"/>
  <c r="AN12" i="27"/>
  <c r="T43" i="2" s="1"/>
  <c r="AE12" i="27"/>
  <c r="S43" i="2" s="1"/>
  <c r="U12" i="27"/>
  <c r="R43" i="2" s="1"/>
  <c r="G11" i="27"/>
  <c r="F11" i="27"/>
  <c r="AN52" i="26"/>
  <c r="AA53" i="2" s="1"/>
  <c r="AE52" i="26"/>
  <c r="Z53" i="2" s="1"/>
  <c r="U52" i="26"/>
  <c r="Y53" i="2" s="1"/>
  <c r="G51" i="26"/>
  <c r="F51" i="26"/>
  <c r="Y49" i="26"/>
  <c r="AH49" i="26" s="1"/>
  <c r="AN48" i="26"/>
  <c r="AA52" i="2" s="1"/>
  <c r="AE48" i="26"/>
  <c r="Z52" i="2" s="1"/>
  <c r="U48" i="26"/>
  <c r="Y52" i="2" s="1"/>
  <c r="G47" i="26"/>
  <c r="F47" i="26"/>
  <c r="Y45" i="26"/>
  <c r="AH45" i="26" s="1"/>
  <c r="AN44" i="26"/>
  <c r="AA51" i="2" s="1"/>
  <c r="AE44" i="26"/>
  <c r="Z51" i="2" s="1"/>
  <c r="U44" i="26"/>
  <c r="Y51" i="2" s="1"/>
  <c r="G43" i="26"/>
  <c r="F43" i="26"/>
  <c r="Y41" i="26"/>
  <c r="AH41" i="26" s="1"/>
  <c r="AN40" i="26"/>
  <c r="AA50" i="2" s="1"/>
  <c r="AE40" i="26"/>
  <c r="Z50" i="2" s="1"/>
  <c r="U40" i="26"/>
  <c r="Y50" i="2" s="1"/>
  <c r="G39" i="26"/>
  <c r="F39" i="26"/>
  <c r="Y37" i="26"/>
  <c r="AH37" i="26" s="1"/>
  <c r="AN36" i="26"/>
  <c r="AA49" i="2" s="1"/>
  <c r="AE36" i="26"/>
  <c r="Z49" i="2" s="1"/>
  <c r="U36" i="26"/>
  <c r="Y49" i="2" s="1"/>
  <c r="G35" i="26"/>
  <c r="F35" i="26"/>
  <c r="Y33" i="26"/>
  <c r="AH33" i="26" s="1"/>
  <c r="AN32" i="26"/>
  <c r="AA48" i="2" s="1"/>
  <c r="AE32" i="26"/>
  <c r="Z48" i="2" s="1"/>
  <c r="U32" i="26"/>
  <c r="Y48" i="2" s="1"/>
  <c r="G31" i="26"/>
  <c r="F31" i="26"/>
  <c r="Y29" i="26"/>
  <c r="AH29" i="26" s="1"/>
  <c r="AN28" i="26"/>
  <c r="AA47" i="2" s="1"/>
  <c r="AE28" i="26"/>
  <c r="Z47" i="2" s="1"/>
  <c r="U28" i="26"/>
  <c r="Y47" i="2" s="1"/>
  <c r="G27" i="26"/>
  <c r="F27" i="26"/>
  <c r="Y25" i="26"/>
  <c r="AH25" i="26" s="1"/>
  <c r="AN24" i="26"/>
  <c r="AA46" i="2" s="1"/>
  <c r="AE24" i="26"/>
  <c r="Z46" i="2" s="1"/>
  <c r="U24" i="26"/>
  <c r="Y46" i="2" s="1"/>
  <c r="G23" i="26"/>
  <c r="F23" i="26"/>
  <c r="Y21" i="26"/>
  <c r="AH21" i="26" s="1"/>
  <c r="AN20" i="26"/>
  <c r="AA45" i="2" s="1"/>
  <c r="AE20" i="26"/>
  <c r="Z45" i="2" s="1"/>
  <c r="U20" i="26"/>
  <c r="Y45" i="2" s="1"/>
  <c r="G19" i="26"/>
  <c r="F19" i="26"/>
  <c r="Y17" i="26"/>
  <c r="AH17" i="26" s="1"/>
  <c r="AN16" i="26"/>
  <c r="AA44" i="2" s="1"/>
  <c r="AE16" i="26"/>
  <c r="Z44" i="2" s="1"/>
  <c r="U16" i="26"/>
  <c r="Y44" i="2" s="1"/>
  <c r="G15" i="26"/>
  <c r="F15" i="26"/>
  <c r="Y13" i="26"/>
  <c r="AH13" i="26" s="1"/>
  <c r="AN12" i="26"/>
  <c r="AA43" i="2" s="1"/>
  <c r="AE12" i="26"/>
  <c r="Z43" i="2" s="1"/>
  <c r="U12" i="26"/>
  <c r="Y43" i="2" s="1"/>
  <c r="G11" i="26"/>
  <c r="F11" i="26"/>
  <c r="AN52" i="25"/>
  <c r="F72" i="2" s="1"/>
  <c r="AE52" i="25"/>
  <c r="E72" i="2" s="1"/>
  <c r="U52" i="25"/>
  <c r="D72" i="2" s="1"/>
  <c r="G51" i="25"/>
  <c r="F51" i="25"/>
  <c r="Y49" i="25"/>
  <c r="AH49" i="25" s="1"/>
  <c r="AN48" i="25"/>
  <c r="F71" i="2" s="1"/>
  <c r="AE48" i="25"/>
  <c r="E71" i="2" s="1"/>
  <c r="U48" i="25"/>
  <c r="D71" i="2" s="1"/>
  <c r="G47" i="25"/>
  <c r="F47" i="25"/>
  <c r="Y45" i="25"/>
  <c r="AH45" i="25" s="1"/>
  <c r="AN44" i="25"/>
  <c r="F70" i="2" s="1"/>
  <c r="AE44" i="25"/>
  <c r="E70" i="2" s="1"/>
  <c r="U44" i="25"/>
  <c r="D70" i="2" s="1"/>
  <c r="G43" i="25"/>
  <c r="F43" i="25"/>
  <c r="Y41" i="25"/>
  <c r="AH41" i="25" s="1"/>
  <c r="AN40" i="25"/>
  <c r="AE40" i="25"/>
  <c r="E69" i="2" s="1"/>
  <c r="U40" i="25"/>
  <c r="D69" i="2" s="1"/>
  <c r="G39" i="25"/>
  <c r="F39" i="25"/>
  <c r="Y37" i="25"/>
  <c r="AH37" i="25" s="1"/>
  <c r="AN36" i="25"/>
  <c r="F68" i="2" s="1"/>
  <c r="AE36" i="25"/>
  <c r="E68" i="2" s="1"/>
  <c r="U36" i="25"/>
  <c r="D68" i="2" s="1"/>
  <c r="G35" i="25"/>
  <c r="F35" i="25"/>
  <c r="Y33" i="25"/>
  <c r="AH33" i="25" s="1"/>
  <c r="AN32" i="25"/>
  <c r="F67" i="2" s="1"/>
  <c r="AE32" i="25"/>
  <c r="E67" i="2" s="1"/>
  <c r="U32" i="25"/>
  <c r="D67" i="2" s="1"/>
  <c r="G31" i="25"/>
  <c r="F31" i="25"/>
  <c r="Y29" i="25"/>
  <c r="AH29" i="25" s="1"/>
  <c r="AN28" i="25"/>
  <c r="F66" i="2" s="1"/>
  <c r="AE28" i="25"/>
  <c r="E66" i="2" s="1"/>
  <c r="U28" i="25"/>
  <c r="D66" i="2" s="1"/>
  <c r="G27" i="25"/>
  <c r="F27" i="25"/>
  <c r="Y25" i="25"/>
  <c r="AH25" i="25" s="1"/>
  <c r="AN24" i="25"/>
  <c r="F65" i="2" s="1"/>
  <c r="AE24" i="25"/>
  <c r="U24" i="25"/>
  <c r="D65" i="2" s="1"/>
  <c r="G23" i="25"/>
  <c r="F23" i="25"/>
  <c r="Y21" i="25"/>
  <c r="AH21" i="25" s="1"/>
  <c r="AN20" i="25"/>
  <c r="F64" i="2" s="1"/>
  <c r="AE20" i="25"/>
  <c r="E64" i="2" s="1"/>
  <c r="U20" i="25"/>
  <c r="D64" i="2" s="1"/>
  <c r="G19" i="25"/>
  <c r="F19" i="25"/>
  <c r="Y17" i="25"/>
  <c r="AH17" i="25" s="1"/>
  <c r="AN16" i="25"/>
  <c r="F63" i="2" s="1"/>
  <c r="AE16" i="25"/>
  <c r="E63" i="2" s="1"/>
  <c r="U16" i="25"/>
  <c r="D63" i="2" s="1"/>
  <c r="G15" i="25"/>
  <c r="F15" i="25"/>
  <c r="Y13" i="25"/>
  <c r="AH13" i="25" s="1"/>
  <c r="AN12" i="25"/>
  <c r="F62" i="2" s="1"/>
  <c r="AE12" i="25"/>
  <c r="E62" i="2" s="1"/>
  <c r="U12" i="25"/>
  <c r="D62" i="2" s="1"/>
  <c r="G11" i="25"/>
  <c r="F11" i="25"/>
  <c r="AN52" i="24"/>
  <c r="M72" i="2" s="1"/>
  <c r="AE52" i="24"/>
  <c r="L72" i="2" s="1"/>
  <c r="U52" i="24"/>
  <c r="K72" i="2" s="1"/>
  <c r="G51" i="24"/>
  <c r="F51" i="24"/>
  <c r="Y49" i="24"/>
  <c r="AH49" i="24" s="1"/>
  <c r="AN48" i="24"/>
  <c r="M71" i="2" s="1"/>
  <c r="AE48" i="24"/>
  <c r="L71" i="2" s="1"/>
  <c r="U48" i="24"/>
  <c r="K71" i="2" s="1"/>
  <c r="G47" i="24"/>
  <c r="F47" i="24"/>
  <c r="Y45" i="24"/>
  <c r="AH45" i="24" s="1"/>
  <c r="AN44" i="24"/>
  <c r="M70" i="2" s="1"/>
  <c r="AE44" i="24"/>
  <c r="L70" i="2" s="1"/>
  <c r="U44" i="24"/>
  <c r="K70" i="2" s="1"/>
  <c r="G43" i="24"/>
  <c r="F43" i="24"/>
  <c r="Y41" i="24"/>
  <c r="AH41" i="24" s="1"/>
  <c r="AN40" i="24"/>
  <c r="M69" i="2" s="1"/>
  <c r="AE40" i="24"/>
  <c r="L69" i="2" s="1"/>
  <c r="U40" i="24"/>
  <c r="K69" i="2" s="1"/>
  <c r="G39" i="24"/>
  <c r="F39" i="24"/>
  <c r="Y37" i="24"/>
  <c r="AH37" i="24" s="1"/>
  <c r="AN36" i="24"/>
  <c r="M68" i="2" s="1"/>
  <c r="AE36" i="24"/>
  <c r="L68" i="2" s="1"/>
  <c r="U36" i="24"/>
  <c r="K68" i="2" s="1"/>
  <c r="G35" i="24"/>
  <c r="F35" i="24"/>
  <c r="Y33" i="24"/>
  <c r="AH33" i="24" s="1"/>
  <c r="AN32" i="24"/>
  <c r="M67" i="2" s="1"/>
  <c r="AE32" i="24"/>
  <c r="L67" i="2" s="1"/>
  <c r="U32" i="24"/>
  <c r="K67" i="2" s="1"/>
  <c r="G31" i="24"/>
  <c r="F31" i="24"/>
  <c r="Y29" i="24"/>
  <c r="AH29" i="24" s="1"/>
  <c r="AN28" i="24"/>
  <c r="M66" i="2" s="1"/>
  <c r="AE28" i="24"/>
  <c r="L66" i="2" s="1"/>
  <c r="U28" i="24"/>
  <c r="K66" i="2" s="1"/>
  <c r="G27" i="24"/>
  <c r="F27" i="24"/>
  <c r="Y25" i="24"/>
  <c r="AH25" i="24" s="1"/>
  <c r="AN24" i="24"/>
  <c r="M65" i="2" s="1"/>
  <c r="AE24" i="24"/>
  <c r="L65" i="2" s="1"/>
  <c r="U24" i="24"/>
  <c r="K65" i="2" s="1"/>
  <c r="G23" i="24"/>
  <c r="F23" i="24"/>
  <c r="Y21" i="24"/>
  <c r="AH21" i="24" s="1"/>
  <c r="AN20" i="24"/>
  <c r="M64" i="2" s="1"/>
  <c r="AE20" i="24"/>
  <c r="L64" i="2" s="1"/>
  <c r="U20" i="24"/>
  <c r="K64" i="2" s="1"/>
  <c r="G19" i="24"/>
  <c r="F19" i="24"/>
  <c r="Y17" i="24"/>
  <c r="AH17" i="24" s="1"/>
  <c r="AN16" i="24"/>
  <c r="M63" i="2" s="1"/>
  <c r="AE16" i="24"/>
  <c r="L63" i="2" s="1"/>
  <c r="U16" i="24"/>
  <c r="K63" i="2" s="1"/>
  <c r="G15" i="24"/>
  <c r="F15" i="24"/>
  <c r="Y13" i="24"/>
  <c r="AH13" i="24" s="1"/>
  <c r="AN12" i="24"/>
  <c r="M62" i="2" s="1"/>
  <c r="AE12" i="24"/>
  <c r="L62" i="2" s="1"/>
  <c r="U12" i="24"/>
  <c r="K62" i="2" s="1"/>
  <c r="G11" i="24"/>
  <c r="F11" i="24"/>
  <c r="AN57" i="23"/>
  <c r="T72" i="2" s="1"/>
  <c r="AE57" i="23"/>
  <c r="S72" i="2" s="1"/>
  <c r="U57" i="23"/>
  <c r="R72" i="2" s="1"/>
  <c r="G56" i="23"/>
  <c r="F56" i="23"/>
  <c r="Y54" i="23"/>
  <c r="AH54" i="23" s="1"/>
  <c r="AN53" i="23"/>
  <c r="T71" i="2" s="1"/>
  <c r="AE53" i="23"/>
  <c r="S71" i="2" s="1"/>
  <c r="U53" i="23"/>
  <c r="R71" i="2" s="1"/>
  <c r="G52" i="23"/>
  <c r="F52" i="23"/>
  <c r="Y50" i="23"/>
  <c r="AH50" i="23" s="1"/>
  <c r="AN49" i="23"/>
  <c r="T70" i="2" s="1"/>
  <c r="AE49" i="23"/>
  <c r="S70" i="2" s="1"/>
  <c r="U49" i="23"/>
  <c r="R70" i="2" s="1"/>
  <c r="G48" i="23"/>
  <c r="F48" i="23"/>
  <c r="Y46" i="23"/>
  <c r="AH46" i="23" s="1"/>
  <c r="AN45" i="23"/>
  <c r="T69" i="2" s="1"/>
  <c r="AE45" i="23"/>
  <c r="S69" i="2" s="1"/>
  <c r="U45" i="23"/>
  <c r="R69" i="2" s="1"/>
  <c r="G44" i="23"/>
  <c r="F44" i="23"/>
  <c r="Y42" i="23"/>
  <c r="AH42" i="23" s="1"/>
  <c r="AN41" i="23"/>
  <c r="T68" i="2" s="1"/>
  <c r="AE41" i="23"/>
  <c r="S68" i="2" s="1"/>
  <c r="U41" i="23"/>
  <c r="R68" i="2" s="1"/>
  <c r="G40" i="23"/>
  <c r="F40" i="23"/>
  <c r="Y38" i="23"/>
  <c r="AH38" i="23" s="1"/>
  <c r="AN37" i="23"/>
  <c r="T67" i="2" s="1"/>
  <c r="AE37" i="23"/>
  <c r="S67" i="2" s="1"/>
  <c r="U37" i="23"/>
  <c r="R67" i="2" s="1"/>
  <c r="G36" i="23"/>
  <c r="F36" i="23"/>
  <c r="Y34" i="23"/>
  <c r="AH34" i="23" s="1"/>
  <c r="AN33" i="23"/>
  <c r="T66" i="2" s="1"/>
  <c r="AE33" i="23"/>
  <c r="S66" i="2" s="1"/>
  <c r="U33" i="23"/>
  <c r="R66" i="2" s="1"/>
  <c r="G32" i="23"/>
  <c r="F32" i="23"/>
  <c r="Y30" i="23"/>
  <c r="AH30" i="23" s="1"/>
  <c r="AN29" i="23"/>
  <c r="T65" i="2" s="1"/>
  <c r="AE29" i="23"/>
  <c r="S65" i="2" s="1"/>
  <c r="U29" i="23"/>
  <c r="R65" i="2" s="1"/>
  <c r="G28" i="23"/>
  <c r="F28" i="23"/>
  <c r="Y26" i="23"/>
  <c r="AH26" i="23" s="1"/>
  <c r="AN25" i="23"/>
  <c r="T64" i="2" s="1"/>
  <c r="AE25" i="23"/>
  <c r="S64" i="2" s="1"/>
  <c r="U25" i="23"/>
  <c r="R64" i="2" s="1"/>
  <c r="G24" i="23"/>
  <c r="F24" i="23"/>
  <c r="Y22" i="23"/>
  <c r="AH22" i="23" s="1"/>
  <c r="AN21" i="23"/>
  <c r="T63" i="2" s="1"/>
  <c r="AE21" i="23"/>
  <c r="S63" i="2" s="1"/>
  <c r="U21" i="23"/>
  <c r="R63" i="2" s="1"/>
  <c r="G20" i="23"/>
  <c r="F20" i="23"/>
  <c r="Y18" i="23"/>
  <c r="AH18" i="23" s="1"/>
  <c r="AN17" i="23"/>
  <c r="T62" i="2" s="1"/>
  <c r="AE17" i="23"/>
  <c r="S62" i="2" s="1"/>
  <c r="U17" i="23"/>
  <c r="R62" i="2" s="1"/>
  <c r="G16" i="23"/>
  <c r="F16" i="23"/>
  <c r="AN53" i="22"/>
  <c r="AA72" i="2" s="1"/>
  <c r="AE53" i="22"/>
  <c r="Z72" i="2" s="1"/>
  <c r="U53" i="22"/>
  <c r="Y72" i="2" s="1"/>
  <c r="G52" i="22"/>
  <c r="F52" i="22"/>
  <c r="Y50" i="22"/>
  <c r="AH50" i="22" s="1"/>
  <c r="AN49" i="22"/>
  <c r="AA71" i="2" s="1"/>
  <c r="AE49" i="22"/>
  <c r="Z71" i="2" s="1"/>
  <c r="U49" i="22"/>
  <c r="Y71" i="2" s="1"/>
  <c r="G48" i="22"/>
  <c r="F48" i="22"/>
  <c r="Y46" i="22"/>
  <c r="AH46" i="22" s="1"/>
  <c r="AN45" i="22"/>
  <c r="AA70" i="2" s="1"/>
  <c r="AE45" i="22"/>
  <c r="Z70" i="2" s="1"/>
  <c r="U45" i="22"/>
  <c r="Y70" i="2" s="1"/>
  <c r="G44" i="22"/>
  <c r="F44" i="22"/>
  <c r="Y42" i="22"/>
  <c r="AH42" i="22" s="1"/>
  <c r="AN41" i="22"/>
  <c r="AA69" i="2" s="1"/>
  <c r="AE41" i="22"/>
  <c r="Z69" i="2" s="1"/>
  <c r="U41" i="22"/>
  <c r="Y69" i="2" s="1"/>
  <c r="G40" i="22"/>
  <c r="F40" i="22"/>
  <c r="Y38" i="22"/>
  <c r="AH38" i="22" s="1"/>
  <c r="AN37" i="22"/>
  <c r="AA68" i="2" s="1"/>
  <c r="AE37" i="22"/>
  <c r="Z68" i="2" s="1"/>
  <c r="U37" i="22"/>
  <c r="Y68" i="2" s="1"/>
  <c r="G36" i="22"/>
  <c r="F36" i="22"/>
  <c r="Y34" i="22"/>
  <c r="AH34" i="22" s="1"/>
  <c r="AN33" i="22"/>
  <c r="AA67" i="2" s="1"/>
  <c r="AE33" i="22"/>
  <c r="Z67" i="2" s="1"/>
  <c r="U33" i="22"/>
  <c r="Y67" i="2" s="1"/>
  <c r="G32" i="22"/>
  <c r="F32" i="22"/>
  <c r="Y30" i="22"/>
  <c r="AH30" i="22" s="1"/>
  <c r="AN29" i="22"/>
  <c r="AA66" i="2" s="1"/>
  <c r="AE29" i="22"/>
  <c r="Z66" i="2" s="1"/>
  <c r="U29" i="22"/>
  <c r="Y66" i="2" s="1"/>
  <c r="G28" i="22"/>
  <c r="F28" i="22"/>
  <c r="Y26" i="22"/>
  <c r="AH26" i="22" s="1"/>
  <c r="AN25" i="22"/>
  <c r="AA65" i="2" s="1"/>
  <c r="AE25" i="22"/>
  <c r="Z65" i="2" s="1"/>
  <c r="U25" i="22"/>
  <c r="Y65" i="2" s="1"/>
  <c r="G24" i="22"/>
  <c r="F24" i="22"/>
  <c r="Y22" i="22"/>
  <c r="AH22" i="22" s="1"/>
  <c r="AN21" i="22"/>
  <c r="AA64" i="2" s="1"/>
  <c r="AE21" i="22"/>
  <c r="Z64" i="2" s="1"/>
  <c r="U21" i="22"/>
  <c r="Y64" i="2" s="1"/>
  <c r="G20" i="22"/>
  <c r="F20" i="22"/>
  <c r="Y18" i="22"/>
  <c r="AH18" i="22" s="1"/>
  <c r="AN17" i="22"/>
  <c r="AA63" i="2" s="1"/>
  <c r="AE17" i="22"/>
  <c r="Z63" i="2" s="1"/>
  <c r="U17" i="22"/>
  <c r="Y63" i="2" s="1"/>
  <c r="G16" i="22"/>
  <c r="F16" i="22"/>
  <c r="Y14" i="22"/>
  <c r="AH14" i="22" s="1"/>
  <c r="AN13" i="22"/>
  <c r="AA62" i="2" s="1"/>
  <c r="AE13" i="22"/>
  <c r="Z62" i="2" s="1"/>
  <c r="U13" i="22"/>
  <c r="Y62" i="2" s="1"/>
  <c r="G12" i="22"/>
  <c r="F12" i="22"/>
  <c r="AN56" i="21"/>
  <c r="F91" i="2" s="1"/>
  <c r="AE56" i="21"/>
  <c r="E91" i="2" s="1"/>
  <c r="U56" i="21"/>
  <c r="D91" i="2" s="1"/>
  <c r="G55" i="21"/>
  <c r="F55" i="21"/>
  <c r="Y53" i="21"/>
  <c r="AH53" i="21" s="1"/>
  <c r="AN52" i="21"/>
  <c r="F90" i="2" s="1"/>
  <c r="AE52" i="21"/>
  <c r="E90" i="2" s="1"/>
  <c r="U52" i="21"/>
  <c r="D90" i="2" s="1"/>
  <c r="G51" i="21"/>
  <c r="F51" i="21"/>
  <c r="Y49" i="21"/>
  <c r="AH49" i="21" s="1"/>
  <c r="AN48" i="21"/>
  <c r="F89" i="2" s="1"/>
  <c r="AE48" i="21"/>
  <c r="E89" i="2" s="1"/>
  <c r="U48" i="21"/>
  <c r="D89" i="2" s="1"/>
  <c r="G47" i="21"/>
  <c r="F47" i="21"/>
  <c r="Y45" i="21"/>
  <c r="AH45" i="21" s="1"/>
  <c r="AN44" i="21"/>
  <c r="F88" i="2" s="1"/>
  <c r="AE44" i="21"/>
  <c r="E88" i="2" s="1"/>
  <c r="U44" i="21"/>
  <c r="D88" i="2" s="1"/>
  <c r="G43" i="21"/>
  <c r="F43" i="21"/>
  <c r="Y41" i="21"/>
  <c r="AH41" i="21" s="1"/>
  <c r="AN40" i="21"/>
  <c r="F87" i="2" s="1"/>
  <c r="AE40" i="21"/>
  <c r="E87" i="2" s="1"/>
  <c r="U40" i="21"/>
  <c r="D87" i="2" s="1"/>
  <c r="G39" i="21"/>
  <c r="F39" i="21"/>
  <c r="Y37" i="21"/>
  <c r="AH37" i="21" s="1"/>
  <c r="AN36" i="21"/>
  <c r="F86" i="2" s="1"/>
  <c r="AE36" i="21"/>
  <c r="E86" i="2" s="1"/>
  <c r="U36" i="21"/>
  <c r="D86" i="2" s="1"/>
  <c r="G35" i="21"/>
  <c r="F35" i="21"/>
  <c r="Y33" i="21"/>
  <c r="AH33" i="21" s="1"/>
  <c r="AN32" i="21"/>
  <c r="F85" i="2" s="1"/>
  <c r="AE32" i="21"/>
  <c r="E85" i="2" s="1"/>
  <c r="U32" i="21"/>
  <c r="D85" i="2" s="1"/>
  <c r="G31" i="21"/>
  <c r="F31" i="21"/>
  <c r="Y29" i="21"/>
  <c r="AH29" i="21" s="1"/>
  <c r="AN28" i="21"/>
  <c r="F84" i="2" s="1"/>
  <c r="AE28" i="21"/>
  <c r="E84" i="2" s="1"/>
  <c r="U28" i="21"/>
  <c r="D84" i="2" s="1"/>
  <c r="G27" i="21"/>
  <c r="F27" i="21"/>
  <c r="Y25" i="21"/>
  <c r="AH25" i="21" s="1"/>
  <c r="AN24" i="21"/>
  <c r="F83" i="2" s="1"/>
  <c r="AE24" i="21"/>
  <c r="E83" i="2" s="1"/>
  <c r="U24" i="21"/>
  <c r="D83" i="2" s="1"/>
  <c r="G23" i="21"/>
  <c r="F23" i="21"/>
  <c r="Y21" i="21"/>
  <c r="AH21" i="21" s="1"/>
  <c r="AN20" i="21"/>
  <c r="F82" i="2" s="1"/>
  <c r="AE20" i="21"/>
  <c r="E82" i="2" s="1"/>
  <c r="U20" i="21"/>
  <c r="D82" i="2" s="1"/>
  <c r="G19" i="21"/>
  <c r="F19" i="21"/>
  <c r="Y17" i="21"/>
  <c r="AH17" i="21" s="1"/>
  <c r="AN16" i="21"/>
  <c r="F81" i="2" s="1"/>
  <c r="AE16" i="21"/>
  <c r="E81" i="2" s="1"/>
  <c r="U16" i="21"/>
  <c r="D81" i="2" s="1"/>
  <c r="G15" i="21"/>
  <c r="F15" i="21"/>
  <c r="AN52" i="20"/>
  <c r="AE52" i="20"/>
  <c r="U52" i="20"/>
  <c r="K91" i="2" s="1"/>
  <c r="G51" i="20"/>
  <c r="F51" i="20"/>
  <c r="Y49" i="20"/>
  <c r="AH49" i="20" s="1"/>
  <c r="AN48" i="20"/>
  <c r="AE48" i="20"/>
  <c r="L90" i="2" s="1"/>
  <c r="U48" i="20"/>
  <c r="K90" i="2" s="1"/>
  <c r="G47" i="20"/>
  <c r="F47" i="20"/>
  <c r="Y45" i="20"/>
  <c r="AH45" i="20" s="1"/>
  <c r="AN44" i="20"/>
  <c r="AE44" i="20"/>
  <c r="U44" i="20"/>
  <c r="K89" i="2" s="1"/>
  <c r="G43" i="20"/>
  <c r="F43" i="20"/>
  <c r="Y41" i="20"/>
  <c r="AH41" i="20" s="1"/>
  <c r="AN40" i="20"/>
  <c r="AE40" i="20"/>
  <c r="M88" i="2" s="1"/>
  <c r="U40" i="20"/>
  <c r="K88" i="2" s="1"/>
  <c r="G39" i="20"/>
  <c r="F39" i="20"/>
  <c r="Y37" i="20"/>
  <c r="AH37" i="20" s="1"/>
  <c r="AN36" i="20"/>
  <c r="AE36" i="20"/>
  <c r="U36" i="20"/>
  <c r="K87" i="2" s="1"/>
  <c r="G35" i="20"/>
  <c r="F35" i="20"/>
  <c r="Y33" i="20"/>
  <c r="AH33" i="20" s="1"/>
  <c r="AN32" i="20"/>
  <c r="AE32" i="20"/>
  <c r="L86" i="2" s="1"/>
  <c r="U32" i="20"/>
  <c r="K86" i="2" s="1"/>
  <c r="G31" i="20"/>
  <c r="F31" i="20"/>
  <c r="Y29" i="20"/>
  <c r="AH29" i="20" s="1"/>
  <c r="AN28" i="20"/>
  <c r="AE28" i="20"/>
  <c r="U28" i="20"/>
  <c r="K85" i="2" s="1"/>
  <c r="G27" i="20"/>
  <c r="F27" i="20"/>
  <c r="Y25" i="20"/>
  <c r="AH25" i="20" s="1"/>
  <c r="AN24" i="20"/>
  <c r="AE24" i="20"/>
  <c r="M84" i="2" s="1"/>
  <c r="U24" i="20"/>
  <c r="K84" i="2" s="1"/>
  <c r="G23" i="20"/>
  <c r="F23" i="20"/>
  <c r="Y21" i="20"/>
  <c r="AH21" i="20" s="1"/>
  <c r="AN20" i="20"/>
  <c r="AE20" i="20"/>
  <c r="M83" i="2" s="1"/>
  <c r="U20" i="20"/>
  <c r="K83" i="2" s="1"/>
  <c r="G19" i="20"/>
  <c r="F19" i="20"/>
  <c r="Y17" i="20"/>
  <c r="AH17" i="20" s="1"/>
  <c r="AN16" i="20"/>
  <c r="AE16" i="20"/>
  <c r="L82" i="2" s="1"/>
  <c r="U16" i="20"/>
  <c r="K82" i="2" s="1"/>
  <c r="G15" i="20"/>
  <c r="F15" i="20"/>
  <c r="Y13" i="20"/>
  <c r="AH13" i="20" s="1"/>
  <c r="AN12" i="20"/>
  <c r="AE12" i="20"/>
  <c r="U12" i="20"/>
  <c r="K81" i="2" s="1"/>
  <c r="G11" i="20"/>
  <c r="F11" i="20"/>
  <c r="AN52" i="19"/>
  <c r="AE52" i="19"/>
  <c r="U52" i="19"/>
  <c r="R91" i="2" s="1"/>
  <c r="G51" i="19"/>
  <c r="F51" i="19"/>
  <c r="Y49" i="19"/>
  <c r="AH49" i="19" s="1"/>
  <c r="AN48" i="19"/>
  <c r="AE48" i="19"/>
  <c r="U48" i="19"/>
  <c r="R90" i="2" s="1"/>
  <c r="G47" i="19"/>
  <c r="F47" i="19"/>
  <c r="Y45" i="19"/>
  <c r="AH45" i="19" s="1"/>
  <c r="AN44" i="19"/>
  <c r="AE44" i="19"/>
  <c r="U44" i="19"/>
  <c r="R89" i="2" s="1"/>
  <c r="G43" i="19"/>
  <c r="F43" i="19"/>
  <c r="Y41" i="19"/>
  <c r="AH41" i="19" s="1"/>
  <c r="AN40" i="19"/>
  <c r="AE40" i="19"/>
  <c r="U40" i="19"/>
  <c r="R88" i="2" s="1"/>
  <c r="G39" i="19"/>
  <c r="F39" i="19"/>
  <c r="Y37" i="19"/>
  <c r="AH37" i="19" s="1"/>
  <c r="AN36" i="19"/>
  <c r="AE36" i="19"/>
  <c r="T87" i="2" s="1"/>
  <c r="U36" i="19"/>
  <c r="R87" i="2" s="1"/>
  <c r="G35" i="19"/>
  <c r="F35" i="19"/>
  <c r="Y33" i="19"/>
  <c r="AH33" i="19" s="1"/>
  <c r="AN32" i="19"/>
  <c r="AE32" i="19"/>
  <c r="U32" i="19"/>
  <c r="R86" i="2" s="1"/>
  <c r="G31" i="19"/>
  <c r="F31" i="19"/>
  <c r="Y29" i="19"/>
  <c r="AH29" i="19" s="1"/>
  <c r="AN28" i="19"/>
  <c r="AE28" i="19"/>
  <c r="U28" i="19"/>
  <c r="R85" i="2" s="1"/>
  <c r="G27" i="19"/>
  <c r="F27" i="19"/>
  <c r="Y25" i="19"/>
  <c r="AH25" i="19" s="1"/>
  <c r="AN24" i="19"/>
  <c r="AE24" i="19"/>
  <c r="U24" i="19"/>
  <c r="R84" i="2" s="1"/>
  <c r="G23" i="19"/>
  <c r="F23" i="19"/>
  <c r="Y21" i="19"/>
  <c r="AH21" i="19" s="1"/>
  <c r="AN20" i="19"/>
  <c r="AE20" i="19"/>
  <c r="U20" i="19"/>
  <c r="R83" i="2" s="1"/>
  <c r="G19" i="19"/>
  <c r="F19" i="19"/>
  <c r="Y17" i="19"/>
  <c r="AH17" i="19" s="1"/>
  <c r="AN16" i="19"/>
  <c r="AE16" i="19"/>
  <c r="U16" i="19"/>
  <c r="R82" i="2" s="1"/>
  <c r="G15" i="19"/>
  <c r="F15" i="19"/>
  <c r="Y13" i="19"/>
  <c r="AH13" i="19" s="1"/>
  <c r="AN12" i="19"/>
  <c r="AE12" i="19"/>
  <c r="U12" i="19"/>
  <c r="R81" i="2" s="1"/>
  <c r="G11" i="19"/>
  <c r="F11" i="19"/>
  <c r="AN56" i="18"/>
  <c r="AE56" i="18"/>
  <c r="U56" i="18"/>
  <c r="Y91" i="2" s="1"/>
  <c r="G55" i="18"/>
  <c r="F55" i="18"/>
  <c r="Y53" i="18"/>
  <c r="AH53" i="18" s="1"/>
  <c r="AN52" i="18"/>
  <c r="AE52" i="18"/>
  <c r="U52" i="18"/>
  <c r="Y90" i="2" s="1"/>
  <c r="G51" i="18"/>
  <c r="F51" i="18"/>
  <c r="Y49" i="18"/>
  <c r="AH49" i="18" s="1"/>
  <c r="AN48" i="18"/>
  <c r="AE48" i="18"/>
  <c r="U48" i="18"/>
  <c r="Y89" i="2" s="1"/>
  <c r="G47" i="18"/>
  <c r="F47" i="18"/>
  <c r="Y45" i="18"/>
  <c r="AH45" i="18" s="1"/>
  <c r="AN44" i="18"/>
  <c r="AE44" i="18"/>
  <c r="U44" i="18"/>
  <c r="Y88" i="2" s="1"/>
  <c r="G43" i="18"/>
  <c r="F43" i="18"/>
  <c r="Y41" i="18"/>
  <c r="AH41" i="18" s="1"/>
  <c r="AN40" i="18"/>
  <c r="AE40" i="18"/>
  <c r="U40" i="18"/>
  <c r="Y87" i="2" s="1"/>
  <c r="G39" i="18"/>
  <c r="F39" i="18"/>
  <c r="Y37" i="18"/>
  <c r="AH37" i="18" s="1"/>
  <c r="AN36" i="18"/>
  <c r="AE36" i="18"/>
  <c r="U36" i="18"/>
  <c r="Y86" i="2" s="1"/>
  <c r="G35" i="18"/>
  <c r="F35" i="18"/>
  <c r="Y33" i="18"/>
  <c r="AH33" i="18" s="1"/>
  <c r="AN32" i="18"/>
  <c r="AE32" i="18"/>
  <c r="U32" i="18"/>
  <c r="Y85" i="2" s="1"/>
  <c r="G31" i="18"/>
  <c r="F31" i="18"/>
  <c r="Y29" i="18"/>
  <c r="AH29" i="18" s="1"/>
  <c r="AN28" i="18"/>
  <c r="AE28" i="18"/>
  <c r="U28" i="18"/>
  <c r="Y84" i="2" s="1"/>
  <c r="G27" i="18"/>
  <c r="F27" i="18"/>
  <c r="Y25" i="18"/>
  <c r="AH25" i="18" s="1"/>
  <c r="AN20" i="18"/>
  <c r="AE20" i="18"/>
  <c r="U20" i="18"/>
  <c r="Y83" i="2" s="1"/>
  <c r="G19" i="18"/>
  <c r="F19" i="18"/>
  <c r="Y17" i="18"/>
  <c r="AH17" i="18" s="1"/>
  <c r="AN16" i="18"/>
  <c r="AE16" i="18"/>
  <c r="U16" i="18"/>
  <c r="Y82" i="2" s="1"/>
  <c r="G15" i="18"/>
  <c r="F15" i="18"/>
  <c r="Y13" i="18"/>
  <c r="AH13" i="18" s="1"/>
  <c r="AN12" i="18"/>
  <c r="AE12" i="18"/>
  <c r="AA81" i="2" s="1"/>
  <c r="U12" i="18"/>
  <c r="Y81" i="2" s="1"/>
  <c r="G11" i="18"/>
  <c r="F11" i="18"/>
  <c r="AN52" i="17"/>
  <c r="F109" i="2" s="1"/>
  <c r="AE52" i="17"/>
  <c r="E109" i="2" s="1"/>
  <c r="U52" i="17"/>
  <c r="D109" i="2" s="1"/>
  <c r="G51" i="17"/>
  <c r="F51" i="17"/>
  <c r="Y49" i="17"/>
  <c r="AH49" i="17" s="1"/>
  <c r="AN48" i="17"/>
  <c r="F108" i="2" s="1"/>
  <c r="AE48" i="17"/>
  <c r="E108" i="2" s="1"/>
  <c r="U48" i="17"/>
  <c r="D108" i="2" s="1"/>
  <c r="G47" i="17"/>
  <c r="F47" i="17"/>
  <c r="Y45" i="17"/>
  <c r="AH45" i="17" s="1"/>
  <c r="AN44" i="17"/>
  <c r="F107" i="2" s="1"/>
  <c r="AE44" i="17"/>
  <c r="E107" i="2" s="1"/>
  <c r="U44" i="17"/>
  <c r="D107" i="2" s="1"/>
  <c r="G43" i="17"/>
  <c r="F43" i="17"/>
  <c r="Y41" i="17"/>
  <c r="AH41" i="17" s="1"/>
  <c r="AN40" i="17"/>
  <c r="F106" i="2" s="1"/>
  <c r="AE40" i="17"/>
  <c r="E106" i="2" s="1"/>
  <c r="U40" i="17"/>
  <c r="D106" i="2" s="1"/>
  <c r="G39" i="17"/>
  <c r="F39" i="17"/>
  <c r="Y37" i="17"/>
  <c r="AH37" i="17" s="1"/>
  <c r="AN36" i="17"/>
  <c r="F105" i="2" s="1"/>
  <c r="AE36" i="17"/>
  <c r="E105" i="2" s="1"/>
  <c r="U36" i="17"/>
  <c r="D105" i="2" s="1"/>
  <c r="G35" i="17"/>
  <c r="F35" i="17"/>
  <c r="Y33" i="17"/>
  <c r="AH33" i="17" s="1"/>
  <c r="AN32" i="17"/>
  <c r="F104" i="2" s="1"/>
  <c r="AE32" i="17"/>
  <c r="E104" i="2" s="1"/>
  <c r="U32" i="17"/>
  <c r="D104" i="2" s="1"/>
  <c r="G31" i="17"/>
  <c r="F31" i="17"/>
  <c r="Y29" i="17"/>
  <c r="AH29" i="17" s="1"/>
  <c r="AN28" i="17"/>
  <c r="F103" i="2" s="1"/>
  <c r="AE28" i="17"/>
  <c r="E103" i="2" s="1"/>
  <c r="U28" i="17"/>
  <c r="D103" i="2" s="1"/>
  <c r="G27" i="17"/>
  <c r="F27" i="17"/>
  <c r="Y25" i="17"/>
  <c r="AH25" i="17" s="1"/>
  <c r="AN24" i="17"/>
  <c r="F102" i="2" s="1"/>
  <c r="AE24" i="17"/>
  <c r="E102" i="2" s="1"/>
  <c r="U24" i="17"/>
  <c r="D102" i="2" s="1"/>
  <c r="G23" i="17"/>
  <c r="F23" i="17"/>
  <c r="Y21" i="17"/>
  <c r="AH21" i="17" s="1"/>
  <c r="AN20" i="17"/>
  <c r="AE20" i="17"/>
  <c r="E101" i="2" s="1"/>
  <c r="U20" i="17"/>
  <c r="D101" i="2" s="1"/>
  <c r="G19" i="17"/>
  <c r="F19" i="17"/>
  <c r="Y17" i="17"/>
  <c r="AH17" i="17" s="1"/>
  <c r="AN16" i="17"/>
  <c r="F100" i="2" s="1"/>
  <c r="AE16" i="17"/>
  <c r="E100" i="2" s="1"/>
  <c r="U16" i="17"/>
  <c r="D100" i="2" s="1"/>
  <c r="G15" i="17"/>
  <c r="F15" i="17"/>
  <c r="Y13" i="17"/>
  <c r="AH13" i="17" s="1"/>
  <c r="AN12" i="17"/>
  <c r="F99" i="2" s="1"/>
  <c r="AE12" i="17"/>
  <c r="E99" i="2" s="1"/>
  <c r="U12" i="17"/>
  <c r="D99" i="2" s="1"/>
  <c r="G11" i="17"/>
  <c r="F11" i="17"/>
  <c r="AN52" i="16"/>
  <c r="M109" i="2" s="1"/>
  <c r="AE52" i="16"/>
  <c r="L109" i="2" s="1"/>
  <c r="U52" i="16"/>
  <c r="K109" i="2" s="1"/>
  <c r="G51" i="16"/>
  <c r="F51" i="16"/>
  <c r="Y49" i="16"/>
  <c r="AH49" i="16" s="1"/>
  <c r="AN48" i="16"/>
  <c r="M108" i="2" s="1"/>
  <c r="AE48" i="16"/>
  <c r="L108" i="2" s="1"/>
  <c r="U48" i="16"/>
  <c r="K108" i="2" s="1"/>
  <c r="G47" i="16"/>
  <c r="F47" i="16"/>
  <c r="Y45" i="16"/>
  <c r="AH45" i="16" s="1"/>
  <c r="AN44" i="16"/>
  <c r="M107" i="2" s="1"/>
  <c r="AE44" i="16"/>
  <c r="L107" i="2" s="1"/>
  <c r="U44" i="16"/>
  <c r="K107" i="2" s="1"/>
  <c r="G43" i="16"/>
  <c r="F43" i="16"/>
  <c r="Y41" i="16"/>
  <c r="AH41" i="16" s="1"/>
  <c r="AN40" i="16"/>
  <c r="M106" i="2" s="1"/>
  <c r="AE40" i="16"/>
  <c r="L106" i="2" s="1"/>
  <c r="U40" i="16"/>
  <c r="K106" i="2" s="1"/>
  <c r="G39" i="16"/>
  <c r="F39" i="16"/>
  <c r="Y37" i="16"/>
  <c r="AH37" i="16" s="1"/>
  <c r="AN36" i="16"/>
  <c r="M105" i="2" s="1"/>
  <c r="AE36" i="16"/>
  <c r="L105" i="2" s="1"/>
  <c r="U36" i="16"/>
  <c r="K105" i="2" s="1"/>
  <c r="G35" i="16"/>
  <c r="F35" i="16"/>
  <c r="Y33" i="16"/>
  <c r="AH33" i="16" s="1"/>
  <c r="AN32" i="16"/>
  <c r="M104" i="2" s="1"/>
  <c r="AE32" i="16"/>
  <c r="L104" i="2" s="1"/>
  <c r="U32" i="16"/>
  <c r="K104" i="2" s="1"/>
  <c r="G31" i="16"/>
  <c r="F31" i="16"/>
  <c r="Y29" i="16"/>
  <c r="AH29" i="16" s="1"/>
  <c r="AN28" i="16"/>
  <c r="M103" i="2" s="1"/>
  <c r="AE28" i="16"/>
  <c r="L103" i="2" s="1"/>
  <c r="U28" i="16"/>
  <c r="K103" i="2" s="1"/>
  <c r="G27" i="16"/>
  <c r="F27" i="16"/>
  <c r="Y25" i="16"/>
  <c r="AH25" i="16" s="1"/>
  <c r="AN24" i="16"/>
  <c r="M102" i="2" s="1"/>
  <c r="AE24" i="16"/>
  <c r="L102" i="2" s="1"/>
  <c r="U24" i="16"/>
  <c r="K102" i="2" s="1"/>
  <c r="G23" i="16"/>
  <c r="F23" i="16"/>
  <c r="Y21" i="16"/>
  <c r="AH21" i="16" s="1"/>
  <c r="AN20" i="16"/>
  <c r="M101" i="2" s="1"/>
  <c r="AE20" i="16"/>
  <c r="L101" i="2" s="1"/>
  <c r="U20" i="16"/>
  <c r="K101" i="2" s="1"/>
  <c r="G19" i="16"/>
  <c r="F19" i="16"/>
  <c r="Y17" i="16"/>
  <c r="AH17" i="16" s="1"/>
  <c r="AN16" i="16"/>
  <c r="M100" i="2" s="1"/>
  <c r="AE16" i="16"/>
  <c r="L100" i="2" s="1"/>
  <c r="U16" i="16"/>
  <c r="K100" i="2" s="1"/>
  <c r="G15" i="16"/>
  <c r="F15" i="16"/>
  <c r="Y13" i="16"/>
  <c r="AH13" i="16" s="1"/>
  <c r="AN12" i="16"/>
  <c r="M99" i="2" s="1"/>
  <c r="AE12" i="16"/>
  <c r="L99" i="2" s="1"/>
  <c r="U12" i="16"/>
  <c r="K99" i="2" s="1"/>
  <c r="G11" i="16"/>
  <c r="F11" i="16"/>
  <c r="AN52" i="15"/>
  <c r="T109" i="2" s="1"/>
  <c r="AE52" i="15"/>
  <c r="S109" i="2" s="1"/>
  <c r="U52" i="15"/>
  <c r="R109" i="2" s="1"/>
  <c r="G51" i="15"/>
  <c r="F51" i="15"/>
  <c r="Y49" i="15"/>
  <c r="AH49" i="15" s="1"/>
  <c r="AN48" i="15"/>
  <c r="T108" i="2" s="1"/>
  <c r="AE48" i="15"/>
  <c r="S108" i="2" s="1"/>
  <c r="U48" i="15"/>
  <c r="R108" i="2" s="1"/>
  <c r="G47" i="15"/>
  <c r="F47" i="15"/>
  <c r="Y45" i="15"/>
  <c r="AH45" i="15" s="1"/>
  <c r="AN44" i="15"/>
  <c r="T107" i="2" s="1"/>
  <c r="AE44" i="15"/>
  <c r="S107" i="2" s="1"/>
  <c r="U44" i="15"/>
  <c r="R107" i="2" s="1"/>
  <c r="G43" i="15"/>
  <c r="F43" i="15"/>
  <c r="Y41" i="15"/>
  <c r="AH41" i="15" s="1"/>
  <c r="AN40" i="15"/>
  <c r="T106" i="2" s="1"/>
  <c r="AE40" i="15"/>
  <c r="S106" i="2" s="1"/>
  <c r="U40" i="15"/>
  <c r="R106" i="2" s="1"/>
  <c r="G39" i="15"/>
  <c r="F39" i="15"/>
  <c r="Y37" i="15"/>
  <c r="AH37" i="15" s="1"/>
  <c r="AN36" i="15"/>
  <c r="T105" i="2" s="1"/>
  <c r="AE36" i="15"/>
  <c r="S105" i="2" s="1"/>
  <c r="U36" i="15"/>
  <c r="R105" i="2" s="1"/>
  <c r="G35" i="15"/>
  <c r="F35" i="15"/>
  <c r="Y33" i="15"/>
  <c r="AH33" i="15" s="1"/>
  <c r="AN32" i="15"/>
  <c r="T104" i="2" s="1"/>
  <c r="AE32" i="15"/>
  <c r="S104" i="2" s="1"/>
  <c r="U32" i="15"/>
  <c r="R104" i="2" s="1"/>
  <c r="G31" i="15"/>
  <c r="F31" i="15"/>
  <c r="Y29" i="15"/>
  <c r="AH29" i="15" s="1"/>
  <c r="AN28" i="15"/>
  <c r="T103" i="2" s="1"/>
  <c r="AE28" i="15"/>
  <c r="S103" i="2" s="1"/>
  <c r="U28" i="15"/>
  <c r="R103" i="2" s="1"/>
  <c r="G27" i="15"/>
  <c r="F27" i="15"/>
  <c r="Y25" i="15"/>
  <c r="AH25" i="15" s="1"/>
  <c r="AN24" i="15"/>
  <c r="T102" i="2" s="1"/>
  <c r="AE24" i="15"/>
  <c r="S102" i="2" s="1"/>
  <c r="U24" i="15"/>
  <c r="R102" i="2" s="1"/>
  <c r="G23" i="15"/>
  <c r="F23" i="15"/>
  <c r="Y21" i="15"/>
  <c r="AH21" i="15" s="1"/>
  <c r="AN20" i="15"/>
  <c r="T101" i="2" s="1"/>
  <c r="AE20" i="15"/>
  <c r="S101" i="2" s="1"/>
  <c r="U20" i="15"/>
  <c r="R101" i="2" s="1"/>
  <c r="G19" i="15"/>
  <c r="F19" i="15"/>
  <c r="Y17" i="15"/>
  <c r="AH17" i="15" s="1"/>
  <c r="AN16" i="15"/>
  <c r="T100" i="2" s="1"/>
  <c r="AE16" i="15"/>
  <c r="S100" i="2" s="1"/>
  <c r="U16" i="15"/>
  <c r="R100" i="2" s="1"/>
  <c r="G15" i="15"/>
  <c r="F15" i="15"/>
  <c r="Y13" i="15"/>
  <c r="AH13" i="15" s="1"/>
  <c r="AN12" i="15"/>
  <c r="T99" i="2" s="1"/>
  <c r="AE12" i="15"/>
  <c r="S99" i="2" s="1"/>
  <c r="U12" i="15"/>
  <c r="R99" i="2" s="1"/>
  <c r="G11" i="15"/>
  <c r="F11" i="15"/>
  <c r="AN52" i="14"/>
  <c r="AA109" i="2" s="1"/>
  <c r="AE52" i="14"/>
  <c r="Z109" i="2" s="1"/>
  <c r="U52" i="14"/>
  <c r="Y109" i="2" s="1"/>
  <c r="G51" i="14"/>
  <c r="F51" i="14"/>
  <c r="Y49" i="14"/>
  <c r="AH49" i="14" s="1"/>
  <c r="AN48" i="14"/>
  <c r="AA108" i="2" s="1"/>
  <c r="AE48" i="14"/>
  <c r="Z108" i="2" s="1"/>
  <c r="U48" i="14"/>
  <c r="Y108" i="2" s="1"/>
  <c r="G47" i="14"/>
  <c r="F47" i="14"/>
  <c r="Y45" i="14"/>
  <c r="AH45" i="14" s="1"/>
  <c r="AN44" i="14"/>
  <c r="AA107" i="2" s="1"/>
  <c r="AE44" i="14"/>
  <c r="Z107" i="2" s="1"/>
  <c r="U44" i="14"/>
  <c r="Y107" i="2" s="1"/>
  <c r="G43" i="14"/>
  <c r="F43" i="14"/>
  <c r="Y41" i="14"/>
  <c r="AH41" i="14" s="1"/>
  <c r="AN40" i="14"/>
  <c r="AA106" i="2" s="1"/>
  <c r="AE40" i="14"/>
  <c r="Z106" i="2" s="1"/>
  <c r="U40" i="14"/>
  <c r="Y106" i="2" s="1"/>
  <c r="G39" i="14"/>
  <c r="F39" i="14"/>
  <c r="Y37" i="14"/>
  <c r="AH37" i="14" s="1"/>
  <c r="AN36" i="14"/>
  <c r="AA105" i="2" s="1"/>
  <c r="AE36" i="14"/>
  <c r="Z105" i="2" s="1"/>
  <c r="U36" i="14"/>
  <c r="Y105" i="2" s="1"/>
  <c r="G35" i="14"/>
  <c r="F35" i="14"/>
  <c r="Y33" i="14"/>
  <c r="AH33" i="14" s="1"/>
  <c r="AN32" i="14"/>
  <c r="AA104" i="2" s="1"/>
  <c r="AE32" i="14"/>
  <c r="Z104" i="2" s="1"/>
  <c r="U32" i="14"/>
  <c r="Y104" i="2" s="1"/>
  <c r="G31" i="14"/>
  <c r="F31" i="14"/>
  <c r="Y29" i="14"/>
  <c r="AH29" i="14" s="1"/>
  <c r="AN28" i="14"/>
  <c r="AA103" i="2" s="1"/>
  <c r="AE28" i="14"/>
  <c r="Z103" i="2" s="1"/>
  <c r="U28" i="14"/>
  <c r="Y103" i="2" s="1"/>
  <c r="G27" i="14"/>
  <c r="F27" i="14"/>
  <c r="Y25" i="14"/>
  <c r="AH25" i="14" s="1"/>
  <c r="AN24" i="14"/>
  <c r="AA102" i="2" s="1"/>
  <c r="AE24" i="14"/>
  <c r="Z102" i="2" s="1"/>
  <c r="U24" i="14"/>
  <c r="Y102" i="2" s="1"/>
  <c r="G23" i="14"/>
  <c r="F23" i="14"/>
  <c r="Y21" i="14"/>
  <c r="AH21" i="14" s="1"/>
  <c r="AN20" i="14"/>
  <c r="AA101" i="2" s="1"/>
  <c r="AE20" i="14"/>
  <c r="Z101" i="2" s="1"/>
  <c r="U20" i="14"/>
  <c r="Y101" i="2" s="1"/>
  <c r="G19" i="14"/>
  <c r="F19" i="14"/>
  <c r="Y17" i="14"/>
  <c r="AH17" i="14" s="1"/>
  <c r="AN16" i="14"/>
  <c r="AA100" i="2" s="1"/>
  <c r="AE16" i="14"/>
  <c r="Z100" i="2" s="1"/>
  <c r="U16" i="14"/>
  <c r="Y100" i="2" s="1"/>
  <c r="G15" i="14"/>
  <c r="F15" i="14"/>
  <c r="Y13" i="14"/>
  <c r="AH13" i="14" s="1"/>
  <c r="AN12" i="14"/>
  <c r="AA99" i="2" s="1"/>
  <c r="AE12" i="14"/>
  <c r="Z99" i="2" s="1"/>
  <c r="U12" i="14"/>
  <c r="Y99" i="2" s="1"/>
  <c r="G11" i="14"/>
  <c r="F11" i="14"/>
  <c r="AK53" i="13"/>
  <c r="AC53" i="13"/>
  <c r="U53" i="13"/>
  <c r="G52" i="13"/>
  <c r="F52" i="13"/>
  <c r="W50" i="13"/>
  <c r="AE50" i="13" s="1"/>
  <c r="AK49" i="13"/>
  <c r="AC49" i="13"/>
  <c r="U49" i="13"/>
  <c r="G48" i="13"/>
  <c r="F48" i="13"/>
  <c r="W46" i="13"/>
  <c r="AE46" i="13" s="1"/>
  <c r="AK45" i="13"/>
  <c r="AC45" i="13"/>
  <c r="U45" i="13"/>
  <c r="G44" i="13"/>
  <c r="F44" i="13"/>
  <c r="W42" i="13"/>
  <c r="AE42" i="13" s="1"/>
  <c r="AK41" i="13"/>
  <c r="AC41" i="13"/>
  <c r="U41" i="13"/>
  <c r="G40" i="13"/>
  <c r="F40" i="13"/>
  <c r="W38" i="13"/>
  <c r="AE38" i="13" s="1"/>
  <c r="AK37" i="13"/>
  <c r="AC37" i="13"/>
  <c r="U37" i="13"/>
  <c r="G36" i="13"/>
  <c r="F36" i="13"/>
  <c r="W34" i="13"/>
  <c r="AE34" i="13" s="1"/>
  <c r="AK33" i="13"/>
  <c r="AC33" i="13"/>
  <c r="U33" i="13"/>
  <c r="G32" i="13"/>
  <c r="F32" i="13"/>
  <c r="W30" i="13"/>
  <c r="AE30" i="13" s="1"/>
  <c r="AK29" i="13"/>
  <c r="AC29" i="13"/>
  <c r="U29" i="13"/>
  <c r="G28" i="13"/>
  <c r="F28" i="13"/>
  <c r="W26" i="13"/>
  <c r="AE26" i="13" s="1"/>
  <c r="AK25" i="13"/>
  <c r="AC25" i="13"/>
  <c r="U25" i="13"/>
  <c r="G24" i="13"/>
  <c r="F24" i="13"/>
  <c r="W22" i="13"/>
  <c r="AE22" i="13" s="1"/>
  <c r="AK21" i="13"/>
  <c r="AC21" i="13"/>
  <c r="U21" i="13"/>
  <c r="G20" i="13"/>
  <c r="F20" i="13"/>
  <c r="W18" i="13"/>
  <c r="AE18" i="13" s="1"/>
  <c r="AK17" i="13"/>
  <c r="AC17" i="13"/>
  <c r="U17" i="13"/>
  <c r="R6" i="2" s="1"/>
  <c r="G16" i="13"/>
  <c r="F16" i="13"/>
  <c r="W14" i="13"/>
  <c r="AE14" i="13" s="1"/>
  <c r="AK13" i="13"/>
  <c r="AC13" i="13"/>
  <c r="U13" i="13"/>
  <c r="R5" i="2" s="1"/>
  <c r="G12" i="13"/>
  <c r="F12" i="13"/>
  <c r="AN52" i="12"/>
  <c r="F127" i="2" s="1"/>
  <c r="AE52" i="12"/>
  <c r="E127" i="2" s="1"/>
  <c r="U52" i="12"/>
  <c r="D127" i="2" s="1"/>
  <c r="G51" i="12"/>
  <c r="F51" i="12"/>
  <c r="Y49" i="12"/>
  <c r="AH49" i="12" s="1"/>
  <c r="AN48" i="12"/>
  <c r="F126" i="2" s="1"/>
  <c r="AE48" i="12"/>
  <c r="E126" i="2" s="1"/>
  <c r="U48" i="12"/>
  <c r="D126" i="2" s="1"/>
  <c r="G47" i="12"/>
  <c r="F47" i="12"/>
  <c r="Y45" i="12"/>
  <c r="AH45" i="12" s="1"/>
  <c r="AN44" i="12"/>
  <c r="F125" i="2" s="1"/>
  <c r="AE44" i="12"/>
  <c r="E125" i="2" s="1"/>
  <c r="U44" i="12"/>
  <c r="D125" i="2" s="1"/>
  <c r="G43" i="12"/>
  <c r="F43" i="12"/>
  <c r="Y41" i="12"/>
  <c r="AH41" i="12" s="1"/>
  <c r="AN40" i="12"/>
  <c r="F124" i="2" s="1"/>
  <c r="AE40" i="12"/>
  <c r="U40" i="12"/>
  <c r="D124" i="2" s="1"/>
  <c r="G39" i="12"/>
  <c r="F39" i="12"/>
  <c r="Y37" i="12"/>
  <c r="AH37" i="12" s="1"/>
  <c r="AN36" i="12"/>
  <c r="F123" i="2" s="1"/>
  <c r="AE36" i="12"/>
  <c r="E123" i="2" s="1"/>
  <c r="U36" i="12"/>
  <c r="D123" i="2" s="1"/>
  <c r="G35" i="12"/>
  <c r="F35" i="12"/>
  <c r="Y33" i="12"/>
  <c r="AH33" i="12" s="1"/>
  <c r="AN32" i="12"/>
  <c r="F122" i="2" s="1"/>
  <c r="AE32" i="12"/>
  <c r="U32" i="12"/>
  <c r="D122" i="2" s="1"/>
  <c r="G31" i="12"/>
  <c r="F31" i="12"/>
  <c r="Y29" i="12"/>
  <c r="AH29" i="12" s="1"/>
  <c r="AN28" i="12"/>
  <c r="F121" i="2" s="1"/>
  <c r="AE28" i="12"/>
  <c r="E121" i="2" s="1"/>
  <c r="U28" i="12"/>
  <c r="D121" i="2" s="1"/>
  <c r="G27" i="12"/>
  <c r="F27" i="12"/>
  <c r="Y25" i="12"/>
  <c r="AH25" i="12" s="1"/>
  <c r="AN24" i="12"/>
  <c r="F120" i="2" s="1"/>
  <c r="AE24" i="12"/>
  <c r="E120" i="2" s="1"/>
  <c r="U24" i="12"/>
  <c r="D120" i="2" s="1"/>
  <c r="G23" i="12"/>
  <c r="F23" i="12"/>
  <c r="Y21" i="12"/>
  <c r="AH21" i="12" s="1"/>
  <c r="AN20" i="12"/>
  <c r="F119" i="2" s="1"/>
  <c r="AE20" i="12"/>
  <c r="E119" i="2" s="1"/>
  <c r="U20" i="12"/>
  <c r="D119" i="2" s="1"/>
  <c r="G19" i="12"/>
  <c r="F19" i="12"/>
  <c r="Y17" i="12"/>
  <c r="AH17" i="12" s="1"/>
  <c r="AN16" i="12"/>
  <c r="F118" i="2" s="1"/>
  <c r="AE16" i="12"/>
  <c r="E118" i="2" s="1"/>
  <c r="U16" i="12"/>
  <c r="D118" i="2" s="1"/>
  <c r="G15" i="12"/>
  <c r="F15" i="12"/>
  <c r="Y13" i="12"/>
  <c r="AH13" i="12" s="1"/>
  <c r="AN12" i="12"/>
  <c r="F117" i="2" s="1"/>
  <c r="AE12" i="12"/>
  <c r="E117" i="2" s="1"/>
  <c r="U12" i="12"/>
  <c r="D117" i="2" s="1"/>
  <c r="G11" i="12"/>
  <c r="F11" i="12"/>
  <c r="AK55" i="11"/>
  <c r="F34" i="2" s="1"/>
  <c r="AC55" i="11"/>
  <c r="E34" i="2" s="1"/>
  <c r="U55" i="11"/>
  <c r="D34" i="2" s="1"/>
  <c r="G54" i="11"/>
  <c r="F54" i="11"/>
  <c r="W52" i="11"/>
  <c r="AE52" i="11" s="1"/>
  <c r="AK51" i="11"/>
  <c r="F33" i="2" s="1"/>
  <c r="AC51" i="11"/>
  <c r="E33" i="2" s="1"/>
  <c r="U51" i="11"/>
  <c r="D33" i="2" s="1"/>
  <c r="G50" i="11"/>
  <c r="F50" i="11"/>
  <c r="W48" i="11"/>
  <c r="AE48" i="11" s="1"/>
  <c r="AK47" i="11"/>
  <c r="F32" i="2" s="1"/>
  <c r="AC47" i="11"/>
  <c r="E32" i="2" s="1"/>
  <c r="U47" i="11"/>
  <c r="D32" i="2" s="1"/>
  <c r="G46" i="11"/>
  <c r="F46" i="11"/>
  <c r="W44" i="11"/>
  <c r="AE44" i="11" s="1"/>
  <c r="AK43" i="11"/>
  <c r="AC43" i="11"/>
  <c r="E31" i="2" s="1"/>
  <c r="U43" i="11"/>
  <c r="D31" i="2" s="1"/>
  <c r="G42" i="11"/>
  <c r="F42" i="11"/>
  <c r="W40" i="11"/>
  <c r="AE40" i="11" s="1"/>
  <c r="AK39" i="11"/>
  <c r="F30" i="2" s="1"/>
  <c r="AC39" i="11"/>
  <c r="E30" i="2" s="1"/>
  <c r="U39" i="11"/>
  <c r="D30" i="2" s="1"/>
  <c r="G38" i="11"/>
  <c r="F38" i="11"/>
  <c r="W36" i="11"/>
  <c r="AE36" i="11" s="1"/>
  <c r="AK35" i="11"/>
  <c r="F29" i="2" s="1"/>
  <c r="AC35" i="11"/>
  <c r="E29" i="2" s="1"/>
  <c r="U35" i="11"/>
  <c r="D29" i="2" s="1"/>
  <c r="G34" i="11"/>
  <c r="F34" i="11"/>
  <c r="W32" i="11"/>
  <c r="AE32" i="11" s="1"/>
  <c r="AK31" i="11"/>
  <c r="F28" i="2" s="1"/>
  <c r="AC31" i="11"/>
  <c r="E28" i="2" s="1"/>
  <c r="U31" i="11"/>
  <c r="D28" i="2" s="1"/>
  <c r="G30" i="11"/>
  <c r="F30" i="11"/>
  <c r="W28" i="11"/>
  <c r="AE28" i="11" s="1"/>
  <c r="AK27" i="11"/>
  <c r="F27" i="2" s="1"/>
  <c r="AC27" i="11"/>
  <c r="E27" i="2" s="1"/>
  <c r="U27" i="11"/>
  <c r="D27" i="2" s="1"/>
  <c r="G26" i="11"/>
  <c r="F26" i="11"/>
  <c r="W24" i="11"/>
  <c r="AE24" i="11" s="1"/>
  <c r="AK23" i="11"/>
  <c r="F26" i="2" s="1"/>
  <c r="AC23" i="11"/>
  <c r="E26" i="2" s="1"/>
  <c r="U23" i="11"/>
  <c r="D26" i="2" s="1"/>
  <c r="G22" i="11"/>
  <c r="F22" i="11"/>
  <c r="W20" i="11"/>
  <c r="AE20" i="11" s="1"/>
  <c r="AK19" i="11"/>
  <c r="F25" i="2" s="1"/>
  <c r="AC19" i="11"/>
  <c r="E25" i="2" s="1"/>
  <c r="U19" i="11"/>
  <c r="D25" i="2" s="1"/>
  <c r="G18" i="11"/>
  <c r="F18" i="11"/>
  <c r="W16" i="11"/>
  <c r="AE16" i="11" s="1"/>
  <c r="AK15" i="11"/>
  <c r="F24" i="2" s="1"/>
  <c r="AC15" i="11"/>
  <c r="E24" i="2" s="1"/>
  <c r="U15" i="11"/>
  <c r="D24" i="2" s="1"/>
  <c r="G14" i="11"/>
  <c r="F14" i="11"/>
  <c r="AN52" i="10"/>
  <c r="M127" i="2" s="1"/>
  <c r="AE52" i="10"/>
  <c r="L127" i="2" s="1"/>
  <c r="U52" i="10"/>
  <c r="K127" i="2" s="1"/>
  <c r="G51" i="10"/>
  <c r="F51" i="10"/>
  <c r="Y49" i="10"/>
  <c r="AH49" i="10" s="1"/>
  <c r="AN48" i="10"/>
  <c r="M126" i="2" s="1"/>
  <c r="AE48" i="10"/>
  <c r="L126" i="2" s="1"/>
  <c r="U48" i="10"/>
  <c r="K126" i="2" s="1"/>
  <c r="G47" i="10"/>
  <c r="F47" i="10"/>
  <c r="Y45" i="10"/>
  <c r="AH45" i="10" s="1"/>
  <c r="AN44" i="10"/>
  <c r="M125" i="2" s="1"/>
  <c r="AE44" i="10"/>
  <c r="L125" i="2" s="1"/>
  <c r="U44" i="10"/>
  <c r="K125" i="2" s="1"/>
  <c r="G43" i="10"/>
  <c r="F43" i="10"/>
  <c r="Y41" i="10"/>
  <c r="AH41" i="10" s="1"/>
  <c r="AN40" i="10"/>
  <c r="M124" i="2" s="1"/>
  <c r="AE40" i="10"/>
  <c r="L124" i="2" s="1"/>
  <c r="U40" i="10"/>
  <c r="K124" i="2" s="1"/>
  <c r="G39" i="10"/>
  <c r="F39" i="10"/>
  <c r="Y37" i="10"/>
  <c r="AH37" i="10" s="1"/>
  <c r="AN36" i="10"/>
  <c r="M123" i="2" s="1"/>
  <c r="AE36" i="10"/>
  <c r="L123" i="2" s="1"/>
  <c r="U36" i="10"/>
  <c r="K123" i="2" s="1"/>
  <c r="G35" i="10"/>
  <c r="F35" i="10"/>
  <c r="Y33" i="10"/>
  <c r="AH33" i="10" s="1"/>
  <c r="AN32" i="10"/>
  <c r="M122" i="2" s="1"/>
  <c r="AE32" i="10"/>
  <c r="L122" i="2" s="1"/>
  <c r="U32" i="10"/>
  <c r="K122" i="2" s="1"/>
  <c r="G31" i="10"/>
  <c r="F31" i="10"/>
  <c r="Y29" i="10"/>
  <c r="AH29" i="10" s="1"/>
  <c r="AN28" i="10"/>
  <c r="M121" i="2" s="1"/>
  <c r="AE28" i="10"/>
  <c r="L121" i="2" s="1"/>
  <c r="U28" i="10"/>
  <c r="K121" i="2" s="1"/>
  <c r="G27" i="10"/>
  <c r="F27" i="10"/>
  <c r="Y25" i="10"/>
  <c r="AH25" i="10" s="1"/>
  <c r="AN24" i="10"/>
  <c r="M120" i="2" s="1"/>
  <c r="AE24" i="10"/>
  <c r="L120" i="2" s="1"/>
  <c r="U24" i="10"/>
  <c r="K120" i="2" s="1"/>
  <c r="G23" i="10"/>
  <c r="F23" i="10"/>
  <c r="Y21" i="10"/>
  <c r="AH21" i="10" s="1"/>
  <c r="AN20" i="10"/>
  <c r="M119" i="2" s="1"/>
  <c r="AE20" i="10"/>
  <c r="L119" i="2" s="1"/>
  <c r="U20" i="10"/>
  <c r="K119" i="2" s="1"/>
  <c r="G19" i="10"/>
  <c r="F19" i="10"/>
  <c r="Y17" i="10"/>
  <c r="AH17" i="10" s="1"/>
  <c r="AN16" i="10"/>
  <c r="M118" i="2" s="1"/>
  <c r="AE16" i="10"/>
  <c r="U16" i="10"/>
  <c r="K118" i="2" s="1"/>
  <c r="G15" i="10"/>
  <c r="F15" i="10"/>
  <c r="Y13" i="10"/>
  <c r="AH13" i="10" s="1"/>
  <c r="AN12" i="10"/>
  <c r="M117" i="2" s="1"/>
  <c r="AE12" i="10"/>
  <c r="L117" i="2" s="1"/>
  <c r="U12" i="10"/>
  <c r="K117" i="2" s="1"/>
  <c r="G11" i="10"/>
  <c r="F11" i="10"/>
  <c r="AM54" i="9"/>
  <c r="AE54" i="9"/>
  <c r="U54" i="9"/>
  <c r="G53" i="9"/>
  <c r="F53" i="9"/>
  <c r="Y51" i="9"/>
  <c r="AG51" i="9" s="1"/>
  <c r="AM50" i="9"/>
  <c r="AE50" i="9"/>
  <c r="U50" i="9"/>
  <c r="G49" i="9"/>
  <c r="F49" i="9"/>
  <c r="Y47" i="9"/>
  <c r="AG47" i="9" s="1"/>
  <c r="AM46" i="9"/>
  <c r="AE46" i="9"/>
  <c r="U46" i="9"/>
  <c r="G45" i="9"/>
  <c r="F45" i="9"/>
  <c r="Y43" i="9"/>
  <c r="AG43" i="9" s="1"/>
  <c r="AM42" i="9"/>
  <c r="AE42" i="9"/>
  <c r="U42" i="9"/>
  <c r="G41" i="9"/>
  <c r="F41" i="9"/>
  <c r="Y39" i="9"/>
  <c r="AG39" i="9" s="1"/>
  <c r="AM38" i="9"/>
  <c r="AE38" i="9"/>
  <c r="U38" i="9"/>
  <c r="G37" i="9"/>
  <c r="F37" i="9"/>
  <c r="Y35" i="9"/>
  <c r="AG35" i="9" s="1"/>
  <c r="AM34" i="9"/>
  <c r="AE34" i="9"/>
  <c r="G33" i="9"/>
  <c r="F33" i="9"/>
  <c r="Y31" i="9"/>
  <c r="AG31" i="9" s="1"/>
  <c r="AM30" i="9"/>
  <c r="AE30" i="9"/>
  <c r="U30" i="9"/>
  <c r="G29" i="9"/>
  <c r="F29" i="9"/>
  <c r="Y27" i="9"/>
  <c r="AG27" i="9" s="1"/>
  <c r="AM26" i="9"/>
  <c r="AE26" i="9"/>
  <c r="U26" i="9"/>
  <c r="G25" i="9"/>
  <c r="F25" i="9"/>
  <c r="Y23" i="9"/>
  <c r="AG23" i="9" s="1"/>
  <c r="AM22" i="9"/>
  <c r="AE22" i="9"/>
  <c r="U22" i="9"/>
  <c r="G21" i="9"/>
  <c r="F21" i="9"/>
  <c r="Y19" i="9"/>
  <c r="AG19" i="9" s="1"/>
  <c r="AM18" i="9"/>
  <c r="AE18" i="9"/>
  <c r="U18" i="9"/>
  <c r="Y6" i="2" s="1"/>
  <c r="G17" i="9"/>
  <c r="F17" i="9"/>
  <c r="Y15" i="9"/>
  <c r="AG15" i="9" s="1"/>
  <c r="AM14" i="9"/>
  <c r="AE14" i="9"/>
  <c r="U14" i="9"/>
  <c r="Y5" i="2" s="1"/>
  <c r="G13" i="9"/>
  <c r="F13" i="9"/>
  <c r="AN52" i="8"/>
  <c r="T127" i="2" s="1"/>
  <c r="AE52" i="8"/>
  <c r="S127" i="2" s="1"/>
  <c r="U52" i="8"/>
  <c r="R127" i="2" s="1"/>
  <c r="G51" i="8"/>
  <c r="F51" i="8"/>
  <c r="Y49" i="8"/>
  <c r="AH49" i="8" s="1"/>
  <c r="AN48" i="8"/>
  <c r="T126" i="2" s="1"/>
  <c r="AE48" i="8"/>
  <c r="S126" i="2" s="1"/>
  <c r="U48" i="8"/>
  <c r="R126" i="2" s="1"/>
  <c r="G47" i="8"/>
  <c r="F47" i="8"/>
  <c r="Y45" i="8"/>
  <c r="AH45" i="8" s="1"/>
  <c r="AN44" i="8"/>
  <c r="T125" i="2" s="1"/>
  <c r="AE44" i="8"/>
  <c r="S125" i="2" s="1"/>
  <c r="U44" i="8"/>
  <c r="R125" i="2" s="1"/>
  <c r="G43" i="8"/>
  <c r="F43" i="8"/>
  <c r="Y41" i="8"/>
  <c r="AH41" i="8" s="1"/>
  <c r="AN40" i="8"/>
  <c r="T124" i="2" s="1"/>
  <c r="AE40" i="8"/>
  <c r="S124" i="2" s="1"/>
  <c r="U40" i="8"/>
  <c r="R124" i="2" s="1"/>
  <c r="G39" i="8"/>
  <c r="F39" i="8"/>
  <c r="Y37" i="8"/>
  <c r="AH37" i="8" s="1"/>
  <c r="AN36" i="8"/>
  <c r="T123" i="2" s="1"/>
  <c r="AE36" i="8"/>
  <c r="S123" i="2" s="1"/>
  <c r="U36" i="8"/>
  <c r="R123" i="2" s="1"/>
  <c r="G35" i="8"/>
  <c r="F35" i="8"/>
  <c r="Y33" i="8"/>
  <c r="AH33" i="8" s="1"/>
  <c r="AN32" i="8"/>
  <c r="T122" i="2" s="1"/>
  <c r="AE32" i="8"/>
  <c r="S122" i="2" s="1"/>
  <c r="U32" i="8"/>
  <c r="R122" i="2" s="1"/>
  <c r="G31" i="8"/>
  <c r="F31" i="8"/>
  <c r="Y29" i="8"/>
  <c r="AH29" i="8" s="1"/>
  <c r="AN28" i="8"/>
  <c r="T121" i="2" s="1"/>
  <c r="AE28" i="8"/>
  <c r="S121" i="2" s="1"/>
  <c r="U28" i="8"/>
  <c r="R121" i="2" s="1"/>
  <c r="G27" i="8"/>
  <c r="F27" i="8"/>
  <c r="Y25" i="8"/>
  <c r="AH25" i="8" s="1"/>
  <c r="AN24" i="8"/>
  <c r="T120" i="2" s="1"/>
  <c r="AE24" i="8"/>
  <c r="S120" i="2" s="1"/>
  <c r="U24" i="8"/>
  <c r="R120" i="2" s="1"/>
  <c r="G23" i="8"/>
  <c r="F23" i="8"/>
  <c r="Y21" i="8"/>
  <c r="AH21" i="8" s="1"/>
  <c r="AN20" i="8"/>
  <c r="T119" i="2" s="1"/>
  <c r="AE20" i="8"/>
  <c r="S119" i="2" s="1"/>
  <c r="U20" i="8"/>
  <c r="R119" i="2" s="1"/>
  <c r="G19" i="8"/>
  <c r="F19" i="8"/>
  <c r="Y17" i="8"/>
  <c r="AH17" i="8" s="1"/>
  <c r="AN16" i="8"/>
  <c r="T118" i="2" s="1"/>
  <c r="AE16" i="8"/>
  <c r="S118" i="2" s="1"/>
  <c r="U16" i="8"/>
  <c r="R118" i="2" s="1"/>
  <c r="G15" i="8"/>
  <c r="F15" i="8"/>
  <c r="Y13" i="8"/>
  <c r="AH13" i="8" s="1"/>
  <c r="AN12" i="8"/>
  <c r="T117" i="2" s="1"/>
  <c r="AE12" i="8"/>
  <c r="S117" i="2" s="1"/>
  <c r="U12" i="8"/>
  <c r="R117" i="2" s="1"/>
  <c r="G11" i="8"/>
  <c r="F11" i="8"/>
  <c r="AN52" i="7"/>
  <c r="F145" i="2" s="1"/>
  <c r="AE52" i="7"/>
  <c r="E145" i="2" s="1"/>
  <c r="U52" i="7"/>
  <c r="D145" i="2" s="1"/>
  <c r="G51" i="7"/>
  <c r="F51" i="7"/>
  <c r="Y49" i="7"/>
  <c r="AH49" i="7" s="1"/>
  <c r="AN48" i="7"/>
  <c r="F144" i="2" s="1"/>
  <c r="AE48" i="7"/>
  <c r="E144" i="2" s="1"/>
  <c r="U48" i="7"/>
  <c r="D144" i="2" s="1"/>
  <c r="G47" i="7"/>
  <c r="F47" i="7"/>
  <c r="Y45" i="7"/>
  <c r="AH45" i="7" s="1"/>
  <c r="AN44" i="7"/>
  <c r="F143" i="2" s="1"/>
  <c r="AE44" i="7"/>
  <c r="E143" i="2" s="1"/>
  <c r="U44" i="7"/>
  <c r="D143" i="2" s="1"/>
  <c r="G43" i="7"/>
  <c r="F43" i="7"/>
  <c r="Y41" i="7"/>
  <c r="AH41" i="7" s="1"/>
  <c r="AN40" i="7"/>
  <c r="F142" i="2" s="1"/>
  <c r="AE40" i="7"/>
  <c r="E142" i="2" s="1"/>
  <c r="U40" i="7"/>
  <c r="D142" i="2" s="1"/>
  <c r="G39" i="7"/>
  <c r="F39" i="7"/>
  <c r="Y37" i="7"/>
  <c r="AH37" i="7" s="1"/>
  <c r="AN36" i="7"/>
  <c r="F141" i="2" s="1"/>
  <c r="AE36" i="7"/>
  <c r="E141" i="2" s="1"/>
  <c r="U36" i="7"/>
  <c r="D141" i="2" s="1"/>
  <c r="G35" i="7"/>
  <c r="F35" i="7"/>
  <c r="Y33" i="7"/>
  <c r="AH33" i="7" s="1"/>
  <c r="AN32" i="7"/>
  <c r="F140" i="2" s="1"/>
  <c r="AE32" i="7"/>
  <c r="E140" i="2" s="1"/>
  <c r="U32" i="7"/>
  <c r="D140" i="2" s="1"/>
  <c r="G31" i="7"/>
  <c r="F31" i="7"/>
  <c r="Y29" i="7"/>
  <c r="AH29" i="7" s="1"/>
  <c r="AN28" i="7"/>
  <c r="F139" i="2" s="1"/>
  <c r="AE28" i="7"/>
  <c r="E139" i="2" s="1"/>
  <c r="U28" i="7"/>
  <c r="D139" i="2" s="1"/>
  <c r="G27" i="7"/>
  <c r="F27" i="7"/>
  <c r="Y25" i="7"/>
  <c r="AH25" i="7" s="1"/>
  <c r="AN24" i="7"/>
  <c r="F138" i="2" s="1"/>
  <c r="AE24" i="7"/>
  <c r="E138" i="2" s="1"/>
  <c r="U24" i="7"/>
  <c r="D138" i="2" s="1"/>
  <c r="G23" i="7"/>
  <c r="F23" i="7"/>
  <c r="Y21" i="7"/>
  <c r="AH21" i="7" s="1"/>
  <c r="AN20" i="7"/>
  <c r="F137" i="2" s="1"/>
  <c r="AE20" i="7"/>
  <c r="E137" i="2" s="1"/>
  <c r="U20" i="7"/>
  <c r="D137" i="2" s="1"/>
  <c r="G19" i="7"/>
  <c r="F19" i="7"/>
  <c r="Y17" i="7"/>
  <c r="AH17" i="7" s="1"/>
  <c r="AN16" i="7"/>
  <c r="F136" i="2" s="1"/>
  <c r="AE16" i="7"/>
  <c r="E136" i="2" s="1"/>
  <c r="U16" i="7"/>
  <c r="D136" i="2" s="1"/>
  <c r="G15" i="7"/>
  <c r="F15" i="7"/>
  <c r="Y13" i="7"/>
  <c r="AH13" i="7" s="1"/>
  <c r="AN12" i="7"/>
  <c r="F135" i="2" s="1"/>
  <c r="AE12" i="7"/>
  <c r="E135" i="2" s="1"/>
  <c r="U12" i="7"/>
  <c r="D135" i="2" s="1"/>
  <c r="G11" i="7"/>
  <c r="F11" i="7"/>
  <c r="AN52" i="6"/>
  <c r="AA127" i="2" s="1"/>
  <c r="AE52" i="6"/>
  <c r="Z127" i="2" s="1"/>
  <c r="U52" i="6"/>
  <c r="Y127" i="2" s="1"/>
  <c r="G51" i="6"/>
  <c r="F51" i="6"/>
  <c r="Y49" i="6"/>
  <c r="AH49" i="6" s="1"/>
  <c r="AN48" i="6"/>
  <c r="AA126" i="2" s="1"/>
  <c r="AE48" i="6"/>
  <c r="Z126" i="2" s="1"/>
  <c r="U48" i="6"/>
  <c r="Y126" i="2" s="1"/>
  <c r="G47" i="6"/>
  <c r="F47" i="6"/>
  <c r="Y45" i="6"/>
  <c r="AH45" i="6" s="1"/>
  <c r="AN44" i="6"/>
  <c r="AA125" i="2" s="1"/>
  <c r="AE44" i="6"/>
  <c r="Z125" i="2" s="1"/>
  <c r="U44" i="6"/>
  <c r="Y125" i="2" s="1"/>
  <c r="G43" i="6"/>
  <c r="F43" i="6"/>
  <c r="Y41" i="6"/>
  <c r="AH41" i="6" s="1"/>
  <c r="AN40" i="6"/>
  <c r="AA124" i="2" s="1"/>
  <c r="AE40" i="6"/>
  <c r="Z124" i="2" s="1"/>
  <c r="U40" i="6"/>
  <c r="Y124" i="2" s="1"/>
  <c r="G39" i="6"/>
  <c r="F39" i="6"/>
  <c r="Y37" i="6"/>
  <c r="AH37" i="6" s="1"/>
  <c r="AN36" i="6"/>
  <c r="AA123" i="2" s="1"/>
  <c r="AE36" i="6"/>
  <c r="Z123" i="2" s="1"/>
  <c r="U36" i="6"/>
  <c r="Y123" i="2" s="1"/>
  <c r="G35" i="6"/>
  <c r="F35" i="6"/>
  <c r="Y33" i="6"/>
  <c r="AH33" i="6" s="1"/>
  <c r="AN32" i="6"/>
  <c r="AA122" i="2" s="1"/>
  <c r="AE32" i="6"/>
  <c r="Z122" i="2" s="1"/>
  <c r="U32" i="6"/>
  <c r="Y122" i="2" s="1"/>
  <c r="G31" i="6"/>
  <c r="F31" i="6"/>
  <c r="Y29" i="6"/>
  <c r="AH29" i="6" s="1"/>
  <c r="AN28" i="6"/>
  <c r="AA121" i="2" s="1"/>
  <c r="AE28" i="6"/>
  <c r="Z121" i="2" s="1"/>
  <c r="U28" i="6"/>
  <c r="Y121" i="2" s="1"/>
  <c r="G27" i="6"/>
  <c r="F27" i="6"/>
  <c r="Y25" i="6"/>
  <c r="AH25" i="6" s="1"/>
  <c r="AN24" i="6"/>
  <c r="AA120" i="2" s="1"/>
  <c r="AE24" i="6"/>
  <c r="Z120" i="2" s="1"/>
  <c r="U24" i="6"/>
  <c r="Y120" i="2" s="1"/>
  <c r="G23" i="6"/>
  <c r="F23" i="6"/>
  <c r="Y21" i="6"/>
  <c r="AH21" i="6" s="1"/>
  <c r="AN20" i="6"/>
  <c r="AA119" i="2" s="1"/>
  <c r="AE20" i="6"/>
  <c r="Z119" i="2" s="1"/>
  <c r="U20" i="6"/>
  <c r="Y119" i="2" s="1"/>
  <c r="G19" i="6"/>
  <c r="F19" i="6"/>
  <c r="Y17" i="6"/>
  <c r="AH17" i="6" s="1"/>
  <c r="AN16" i="6"/>
  <c r="AA118" i="2" s="1"/>
  <c r="AE16" i="6"/>
  <c r="U16" i="6"/>
  <c r="Y118" i="2" s="1"/>
  <c r="G15" i="6"/>
  <c r="F15" i="6"/>
  <c r="Y13" i="6"/>
  <c r="AH13" i="6" s="1"/>
  <c r="AN12" i="6"/>
  <c r="AA117" i="2" s="1"/>
  <c r="AE12" i="6"/>
  <c r="Z117" i="2" s="1"/>
  <c r="U12" i="6"/>
  <c r="Y117" i="2" s="1"/>
  <c r="G11" i="6"/>
  <c r="F11" i="6"/>
  <c r="AN52" i="5"/>
  <c r="M145" i="2" s="1"/>
  <c r="AE52" i="5"/>
  <c r="L145" i="2" s="1"/>
  <c r="U52" i="5"/>
  <c r="K145" i="2" s="1"/>
  <c r="G51" i="5"/>
  <c r="F51" i="5"/>
  <c r="H51" i="5" s="1"/>
  <c r="I145" i="2" s="1"/>
  <c r="J145" i="2" s="1"/>
  <c r="Y49" i="5"/>
  <c r="AH49" i="5" s="1"/>
  <c r="AN48" i="5"/>
  <c r="M144" i="2" s="1"/>
  <c r="AE48" i="5"/>
  <c r="L144" i="2" s="1"/>
  <c r="U48" i="5"/>
  <c r="K144" i="2" s="1"/>
  <c r="G47" i="5"/>
  <c r="F47" i="5"/>
  <c r="Y45" i="5"/>
  <c r="AH45" i="5" s="1"/>
  <c r="AN44" i="5"/>
  <c r="M143" i="2" s="1"/>
  <c r="AE44" i="5"/>
  <c r="L143" i="2" s="1"/>
  <c r="U44" i="5"/>
  <c r="K143" i="2" s="1"/>
  <c r="G43" i="5"/>
  <c r="F43" i="5"/>
  <c r="Y41" i="5"/>
  <c r="AH41" i="5" s="1"/>
  <c r="AN40" i="5"/>
  <c r="M142" i="2" s="1"/>
  <c r="AE40" i="5"/>
  <c r="L142" i="2" s="1"/>
  <c r="U40" i="5"/>
  <c r="K142" i="2" s="1"/>
  <c r="G39" i="5"/>
  <c r="F39" i="5"/>
  <c r="Y37" i="5"/>
  <c r="AH37" i="5" s="1"/>
  <c r="AN36" i="5"/>
  <c r="M141" i="2" s="1"/>
  <c r="AE36" i="5"/>
  <c r="L141" i="2" s="1"/>
  <c r="U36" i="5"/>
  <c r="K141" i="2" s="1"/>
  <c r="G35" i="5"/>
  <c r="F35" i="5"/>
  <c r="Y33" i="5"/>
  <c r="AH33" i="5" s="1"/>
  <c r="AN32" i="5"/>
  <c r="M140" i="2" s="1"/>
  <c r="AE32" i="5"/>
  <c r="L140" i="2" s="1"/>
  <c r="U32" i="5"/>
  <c r="K140" i="2" s="1"/>
  <c r="G31" i="5"/>
  <c r="F31" i="5"/>
  <c r="Y29" i="5"/>
  <c r="AH29" i="5" s="1"/>
  <c r="AN28" i="5"/>
  <c r="M139" i="2" s="1"/>
  <c r="AE28" i="5"/>
  <c r="L139" i="2" s="1"/>
  <c r="U28" i="5"/>
  <c r="K139" i="2" s="1"/>
  <c r="G27" i="5"/>
  <c r="F27" i="5"/>
  <c r="Y25" i="5"/>
  <c r="AH25" i="5" s="1"/>
  <c r="AN24" i="5"/>
  <c r="M138" i="2" s="1"/>
  <c r="AE24" i="5"/>
  <c r="L138" i="2" s="1"/>
  <c r="U24" i="5"/>
  <c r="K138" i="2" s="1"/>
  <c r="G23" i="5"/>
  <c r="F23" i="5"/>
  <c r="Y21" i="5"/>
  <c r="AH21" i="5" s="1"/>
  <c r="AN20" i="5"/>
  <c r="M137" i="2" s="1"/>
  <c r="AE20" i="5"/>
  <c r="L137" i="2" s="1"/>
  <c r="U20" i="5"/>
  <c r="K137" i="2" s="1"/>
  <c r="G19" i="5"/>
  <c r="F19" i="5"/>
  <c r="H19" i="5" s="1"/>
  <c r="I137" i="2" s="1"/>
  <c r="J137" i="2" s="1"/>
  <c r="Y17" i="5"/>
  <c r="AH17" i="5" s="1"/>
  <c r="AN16" i="5"/>
  <c r="M136" i="2" s="1"/>
  <c r="AE16" i="5"/>
  <c r="L136" i="2" s="1"/>
  <c r="U16" i="5"/>
  <c r="K136" i="2" s="1"/>
  <c r="G15" i="5"/>
  <c r="F15" i="5"/>
  <c r="Y13" i="5"/>
  <c r="AH13" i="5" s="1"/>
  <c r="AN12" i="5"/>
  <c r="M135" i="2" s="1"/>
  <c r="AE12" i="5"/>
  <c r="L135" i="2" s="1"/>
  <c r="U12" i="5"/>
  <c r="K135" i="2" s="1"/>
  <c r="G11" i="5"/>
  <c r="F11" i="5"/>
  <c r="AK52" i="4"/>
  <c r="AC52" i="4"/>
  <c r="U52" i="4"/>
  <c r="K15" i="2" s="1"/>
  <c r="G51" i="4"/>
  <c r="F51" i="4"/>
  <c r="W49" i="4"/>
  <c r="AE49" i="4" s="1"/>
  <c r="AK48" i="4"/>
  <c r="M14" i="2" s="1"/>
  <c r="AC48" i="4"/>
  <c r="L14" i="2" s="1"/>
  <c r="U48" i="4"/>
  <c r="K14" i="2" s="1"/>
  <c r="G47" i="4"/>
  <c r="F47" i="4"/>
  <c r="W45" i="4"/>
  <c r="AE45" i="4" s="1"/>
  <c r="AK44" i="4"/>
  <c r="M13" i="2" s="1"/>
  <c r="AC44" i="4"/>
  <c r="L13" i="2" s="1"/>
  <c r="U44" i="4"/>
  <c r="K13" i="2" s="1"/>
  <c r="G43" i="4"/>
  <c r="F43" i="4"/>
  <c r="W41" i="4"/>
  <c r="AE41" i="4" s="1"/>
  <c r="AK40" i="4"/>
  <c r="M12" i="2" s="1"/>
  <c r="AC40" i="4"/>
  <c r="L12" i="2" s="1"/>
  <c r="U40" i="4"/>
  <c r="K12" i="2" s="1"/>
  <c r="G39" i="4"/>
  <c r="F39" i="4"/>
  <c r="W37" i="4"/>
  <c r="AE37" i="4" s="1"/>
  <c r="AK36" i="4"/>
  <c r="M11" i="2" s="1"/>
  <c r="AC36" i="4"/>
  <c r="L11" i="2" s="1"/>
  <c r="U36" i="4"/>
  <c r="K11" i="2" s="1"/>
  <c r="G35" i="4"/>
  <c r="F35" i="4"/>
  <c r="W33" i="4"/>
  <c r="AE33" i="4" s="1"/>
  <c r="AK32" i="4"/>
  <c r="M10" i="2" s="1"/>
  <c r="AC32" i="4"/>
  <c r="L10" i="2" s="1"/>
  <c r="U32" i="4"/>
  <c r="K10" i="2" s="1"/>
  <c r="G31" i="4"/>
  <c r="F31" i="4"/>
  <c r="W29" i="4"/>
  <c r="AE29" i="4" s="1"/>
  <c r="AK28" i="4"/>
  <c r="AC28" i="4"/>
  <c r="L9" i="2" s="1"/>
  <c r="U28" i="4"/>
  <c r="K9" i="2" s="1"/>
  <c r="G27" i="4"/>
  <c r="F27" i="4"/>
  <c r="W25" i="4"/>
  <c r="AE25" i="4" s="1"/>
  <c r="AK24" i="4"/>
  <c r="M8" i="2" s="1"/>
  <c r="AC24" i="4"/>
  <c r="L8" i="2" s="1"/>
  <c r="U24" i="4"/>
  <c r="K8" i="2" s="1"/>
  <c r="G23" i="4"/>
  <c r="F23" i="4"/>
  <c r="W21" i="4"/>
  <c r="AE21" i="4" s="1"/>
  <c r="AK20" i="4"/>
  <c r="M7" i="2" s="1"/>
  <c r="AC20" i="4"/>
  <c r="L7" i="2" s="1"/>
  <c r="U20" i="4"/>
  <c r="K7" i="2" s="1"/>
  <c r="G19" i="4"/>
  <c r="F19" i="4"/>
  <c r="W17" i="4"/>
  <c r="AE17" i="4" s="1"/>
  <c r="AK16" i="4"/>
  <c r="M6" i="2" s="1"/>
  <c r="AC16" i="4"/>
  <c r="L6" i="2" s="1"/>
  <c r="U16" i="4"/>
  <c r="K6" i="2" s="1"/>
  <c r="G15" i="4"/>
  <c r="F15" i="4"/>
  <c r="W13" i="4"/>
  <c r="AE13" i="4" s="1"/>
  <c r="AK12" i="4"/>
  <c r="M5" i="2" s="1"/>
  <c r="AC12" i="4"/>
  <c r="L5" i="2" s="1"/>
  <c r="U12" i="4"/>
  <c r="K5" i="2" s="1"/>
  <c r="G11" i="4"/>
  <c r="F11" i="4"/>
  <c r="AK52" i="1"/>
  <c r="F15" i="2" s="1"/>
  <c r="AK48" i="1"/>
  <c r="F14" i="2" s="1"/>
  <c r="AK44" i="1"/>
  <c r="F13" i="2" s="1"/>
  <c r="AK40" i="1"/>
  <c r="F12" i="2" s="1"/>
  <c r="AK36" i="1"/>
  <c r="F11" i="2" s="1"/>
  <c r="AK32" i="1"/>
  <c r="F10" i="2" s="1"/>
  <c r="AK28" i="1"/>
  <c r="M9" i="2" s="1"/>
  <c r="AK24" i="1"/>
  <c r="F8" i="2" s="1"/>
  <c r="AK20" i="1"/>
  <c r="F7" i="2" s="1"/>
  <c r="AK16" i="1"/>
  <c r="F6" i="2" s="1"/>
  <c r="AK12" i="1"/>
  <c r="F5" i="2" s="1"/>
  <c r="W13" i="1"/>
  <c r="AE13" i="1" s="1"/>
  <c r="W17" i="1"/>
  <c r="AE17" i="1" s="1"/>
  <c r="W21" i="1"/>
  <c r="AE21" i="1" s="1"/>
  <c r="W25" i="1"/>
  <c r="AE25" i="1" s="1"/>
  <c r="W29" i="1"/>
  <c r="AE29" i="1" s="1"/>
  <c r="W33" i="1"/>
  <c r="AE33" i="1" s="1"/>
  <c r="W37" i="1"/>
  <c r="AE37" i="1" s="1"/>
  <c r="W41" i="1"/>
  <c r="AE41" i="1" s="1"/>
  <c r="W45" i="1"/>
  <c r="AE45" i="1" s="1"/>
  <c r="W49" i="1"/>
  <c r="AE49" i="1" s="1"/>
  <c r="AC52" i="1"/>
  <c r="E15" i="2" s="1"/>
  <c r="AC48" i="1"/>
  <c r="E14" i="2" s="1"/>
  <c r="AC44" i="1"/>
  <c r="E13" i="2" s="1"/>
  <c r="AC40" i="1"/>
  <c r="E12" i="2" s="1"/>
  <c r="AC36" i="1"/>
  <c r="E11" i="2" s="1"/>
  <c r="AC32" i="1"/>
  <c r="E10" i="2" s="1"/>
  <c r="AC28" i="1"/>
  <c r="E9" i="2" s="1"/>
  <c r="AC24" i="1"/>
  <c r="E8" i="2" s="1"/>
  <c r="AC20" i="1"/>
  <c r="E7" i="2" s="1"/>
  <c r="AC16" i="1"/>
  <c r="E6" i="2" s="1"/>
  <c r="AC12" i="1"/>
  <c r="E5" i="2" s="1"/>
  <c r="U48" i="1"/>
  <c r="D14" i="2" s="1"/>
  <c r="U44" i="1"/>
  <c r="D13" i="2" s="1"/>
  <c r="U40" i="1"/>
  <c r="D12" i="2" s="1"/>
  <c r="U36" i="1"/>
  <c r="D11" i="2" s="1"/>
  <c r="U32" i="1"/>
  <c r="D10" i="2" s="1"/>
  <c r="U28" i="1"/>
  <c r="D9" i="2" s="1"/>
  <c r="U24" i="1"/>
  <c r="D8" i="2" s="1"/>
  <c r="U20" i="1"/>
  <c r="D7" i="2" s="1"/>
  <c r="U16" i="1"/>
  <c r="D6" i="2" s="1"/>
  <c r="U12" i="1"/>
  <c r="D5" i="2" s="1"/>
  <c r="U52" i="1"/>
  <c r="D15" i="2" s="1"/>
  <c r="H15" i="21" l="1"/>
  <c r="B81" i="2" s="1"/>
  <c r="C81" i="2" s="1"/>
  <c r="H11" i="25"/>
  <c r="B62" i="2" s="1"/>
  <c r="C62" i="2" s="1"/>
  <c r="H27" i="25"/>
  <c r="B66" i="2" s="1"/>
  <c r="C66" i="2" s="1"/>
  <c r="H43" i="25"/>
  <c r="B70" i="2" s="1"/>
  <c r="C70" i="2" s="1"/>
  <c r="H23" i="10"/>
  <c r="I120" i="2" s="1"/>
  <c r="J120" i="2" s="1"/>
  <c r="H39" i="10"/>
  <c r="I124" i="2" s="1"/>
  <c r="J124" i="2" s="1"/>
  <c r="H51" i="18"/>
  <c r="W90" i="2" s="1"/>
  <c r="X90" i="2" s="1"/>
  <c r="E6" i="3"/>
  <c r="H35" i="7"/>
  <c r="B141" i="2" s="1"/>
  <c r="C141" i="2" s="1"/>
  <c r="H19" i="15"/>
  <c r="P100" i="2" s="1"/>
  <c r="Q100" i="2" s="1"/>
  <c r="H27" i="19"/>
  <c r="P85" i="2" s="1"/>
  <c r="Q85" i="2" s="1"/>
  <c r="H56" i="23"/>
  <c r="P72" i="2" s="1"/>
  <c r="Q72" i="2" s="1"/>
  <c r="H23" i="25"/>
  <c r="B65" i="2" s="1"/>
  <c r="C65" i="2" s="1"/>
  <c r="H39" i="25"/>
  <c r="B69" i="2" s="1"/>
  <c r="C69" i="2" s="1"/>
  <c r="H13" i="28"/>
  <c r="I43" i="2" s="1"/>
  <c r="J43" i="2" s="1"/>
  <c r="H29" i="28"/>
  <c r="I47" i="2" s="1"/>
  <c r="J47" i="2" s="1"/>
  <c r="H32" i="30"/>
  <c r="W29" i="2" s="1"/>
  <c r="X29" i="2" s="1"/>
  <c r="F74" i="2"/>
  <c r="H23" i="4"/>
  <c r="I8" i="2" s="1"/>
  <c r="J8" i="2" s="1"/>
  <c r="H19" i="10"/>
  <c r="I119" i="2" s="1"/>
  <c r="J119" i="2" s="1"/>
  <c r="H35" i="10"/>
  <c r="I123" i="2" s="1"/>
  <c r="J123" i="2" s="1"/>
  <c r="H51" i="10"/>
  <c r="I127" i="2" s="1"/>
  <c r="J127" i="2" s="1"/>
  <c r="H11" i="14"/>
  <c r="W99" i="2" s="1"/>
  <c r="X99" i="2" s="1"/>
  <c r="H27" i="14"/>
  <c r="W103" i="2" s="1"/>
  <c r="X103" i="2" s="1"/>
  <c r="H43" i="14"/>
  <c r="W107" i="2" s="1"/>
  <c r="X107" i="2" s="1"/>
  <c r="H25" i="28"/>
  <c r="I46" i="2" s="1"/>
  <c r="J46" i="2" s="1"/>
  <c r="H41" i="28"/>
  <c r="I50" i="2" s="1"/>
  <c r="J50" i="2" s="1"/>
  <c r="H44" i="30"/>
  <c r="W32" i="2" s="1"/>
  <c r="X32" i="2" s="1"/>
  <c r="H11" i="7"/>
  <c r="B135" i="2" s="1"/>
  <c r="C135" i="2" s="1"/>
  <c r="H43" i="7"/>
  <c r="B143" i="2" s="1"/>
  <c r="C143" i="2" s="1"/>
  <c r="H53" i="32"/>
  <c r="I33" i="2" s="1"/>
  <c r="J33" i="2" s="1"/>
  <c r="H27" i="5"/>
  <c r="I139" i="2" s="1"/>
  <c r="J139" i="2" s="1"/>
  <c r="H35" i="5"/>
  <c r="I141" i="2" s="1"/>
  <c r="J141" i="2" s="1"/>
  <c r="H43" i="5"/>
  <c r="I143" i="2" s="1"/>
  <c r="J143" i="2" s="1"/>
  <c r="H27" i="7"/>
  <c r="B139" i="2" s="1"/>
  <c r="C139" i="2" s="1"/>
  <c r="H51" i="7"/>
  <c r="B145" i="2" s="1"/>
  <c r="C145" i="2" s="1"/>
  <c r="H21" i="9"/>
  <c r="W7" i="2" s="1"/>
  <c r="X7" i="2" s="1"/>
  <c r="H25" i="9"/>
  <c r="W8" i="2" s="1"/>
  <c r="X8" i="2" s="1"/>
  <c r="H29" i="9"/>
  <c r="W9" i="2" s="1"/>
  <c r="X9" i="2" s="1"/>
  <c r="H53" i="9"/>
  <c r="W15" i="2" s="1"/>
  <c r="X15" i="2" s="1"/>
  <c r="H15" i="10"/>
  <c r="I118" i="2" s="1"/>
  <c r="J118" i="2" s="1"/>
  <c r="H31" i="10"/>
  <c r="I122" i="2" s="1"/>
  <c r="J122" i="2" s="1"/>
  <c r="H47" i="10"/>
  <c r="I126" i="2" s="1"/>
  <c r="J126" i="2" s="1"/>
  <c r="H34" i="11"/>
  <c r="B29" i="2" s="1"/>
  <c r="C29" i="2" s="1"/>
  <c r="H46" i="11"/>
  <c r="B32" i="2" s="1"/>
  <c r="C32" i="2" s="1"/>
  <c r="H50" i="11"/>
  <c r="B33" i="2" s="1"/>
  <c r="C33" i="2" s="1"/>
  <c r="H54" i="11"/>
  <c r="B34" i="2" s="1"/>
  <c r="C34" i="2" s="1"/>
  <c r="H16" i="13"/>
  <c r="P6" i="2" s="1"/>
  <c r="Q6" i="2" s="1"/>
  <c r="H20" i="13"/>
  <c r="P7" i="2" s="1"/>
  <c r="Q7" i="2" s="1"/>
  <c r="H24" i="13"/>
  <c r="P8" i="2" s="1"/>
  <c r="Q8" i="2" s="1"/>
  <c r="H32" i="13"/>
  <c r="P10" i="2" s="1"/>
  <c r="Q10" i="2" s="1"/>
  <c r="H36" i="13"/>
  <c r="P12" i="2" s="1"/>
  <c r="Q12" i="2" s="1"/>
  <c r="H40" i="13"/>
  <c r="P13" i="2" s="1"/>
  <c r="Q13" i="2" s="1"/>
  <c r="H48" i="13"/>
  <c r="P15" i="2" s="1"/>
  <c r="Q15" i="2" s="1"/>
  <c r="H52" i="13"/>
  <c r="H51" i="15"/>
  <c r="P109" i="2" s="1"/>
  <c r="Q109" i="2" s="1"/>
  <c r="H35" i="17"/>
  <c r="B105" i="2" s="1"/>
  <c r="C105" i="2" s="1"/>
  <c r="H15" i="18"/>
  <c r="W82" i="2" s="1"/>
  <c r="X82" i="2" s="1"/>
  <c r="H47" i="21"/>
  <c r="B89" i="2" s="1"/>
  <c r="C89" i="2" s="1"/>
  <c r="F93" i="2"/>
  <c r="H12" i="22"/>
  <c r="W62" i="2" s="1"/>
  <c r="X62" i="2" s="1"/>
  <c r="H16" i="22"/>
  <c r="W63" i="2" s="1"/>
  <c r="X63" i="2" s="1"/>
  <c r="H20" i="22"/>
  <c r="W64" i="2" s="1"/>
  <c r="X64" i="2" s="1"/>
  <c r="H24" i="22"/>
  <c r="W65" i="2" s="1"/>
  <c r="X65" i="2" s="1"/>
  <c r="H28" i="22"/>
  <c r="W66" i="2" s="1"/>
  <c r="X66" i="2" s="1"/>
  <c r="H32" i="22"/>
  <c r="W67" i="2" s="1"/>
  <c r="X67" i="2" s="1"/>
  <c r="H36" i="22"/>
  <c r="W68" i="2" s="1"/>
  <c r="X68" i="2" s="1"/>
  <c r="H40" i="22"/>
  <c r="W69" i="2" s="1"/>
  <c r="X69" i="2" s="1"/>
  <c r="H44" i="22"/>
  <c r="W70" i="2" s="1"/>
  <c r="X70" i="2" s="1"/>
  <c r="H52" i="22"/>
  <c r="W72" i="2" s="1"/>
  <c r="X72" i="2" s="1"/>
  <c r="H20" i="23"/>
  <c r="P63" i="2" s="1"/>
  <c r="Q63" i="2" s="1"/>
  <c r="H28" i="23"/>
  <c r="P65" i="2" s="1"/>
  <c r="Q65" i="2" s="1"/>
  <c r="H32" i="23"/>
  <c r="P66" i="2" s="1"/>
  <c r="Q66" i="2" s="1"/>
  <c r="H36" i="23"/>
  <c r="P67" i="2" s="1"/>
  <c r="Q67" i="2" s="1"/>
  <c r="H19" i="27"/>
  <c r="P45" i="2" s="1"/>
  <c r="Q45" i="2" s="1"/>
  <c r="H23" i="27"/>
  <c r="P46" i="2" s="1"/>
  <c r="Q46" i="2" s="1"/>
  <c r="H31" i="27"/>
  <c r="P48" i="2" s="1"/>
  <c r="Q48" i="2" s="1"/>
  <c r="H51" i="27"/>
  <c r="P53" i="2" s="1"/>
  <c r="Q53" i="2" s="1"/>
  <c r="H35" i="31"/>
  <c r="P30" i="2" s="1"/>
  <c r="Q30" i="2" s="1"/>
  <c r="H17" i="32"/>
  <c r="I25" i="2" s="1"/>
  <c r="J25" i="2" s="1"/>
  <c r="S17" i="2"/>
  <c r="H15" i="4"/>
  <c r="I6" i="2" s="1"/>
  <c r="J6" i="2" s="1"/>
  <c r="H35" i="4"/>
  <c r="I11" i="2" s="1"/>
  <c r="J11" i="2" s="1"/>
  <c r="H19" i="4"/>
  <c r="I7" i="2" s="1"/>
  <c r="J7" i="2" s="1"/>
  <c r="H31" i="4"/>
  <c r="I10" i="2" s="1"/>
  <c r="J10" i="2" s="1"/>
  <c r="H51" i="4"/>
  <c r="I15" i="2" s="1"/>
  <c r="J15" i="2" s="1"/>
  <c r="H47" i="4"/>
  <c r="I14" i="2" s="1"/>
  <c r="J14" i="2" s="1"/>
  <c r="H13" i="9"/>
  <c r="W5" i="2" s="1"/>
  <c r="X5" i="2" s="1"/>
  <c r="R17" i="2"/>
  <c r="J6" i="3"/>
  <c r="AA82" i="2"/>
  <c r="Z82" i="2"/>
  <c r="T129" i="2"/>
  <c r="L6" i="3"/>
  <c r="H28" i="13"/>
  <c r="P9" i="2" s="1"/>
  <c r="Q9" i="2" s="1"/>
  <c r="H44" i="13"/>
  <c r="P14" i="2" s="1"/>
  <c r="Q14" i="2" s="1"/>
  <c r="S89" i="2"/>
  <c r="T89" i="2"/>
  <c r="K111" i="2"/>
  <c r="AA86" i="2"/>
  <c r="Z86" i="2"/>
  <c r="M6" i="3"/>
  <c r="D6" i="3"/>
  <c r="F6" i="3"/>
  <c r="T83" i="2"/>
  <c r="S83" i="2"/>
  <c r="G6" i="3"/>
  <c r="H11" i="4"/>
  <c r="I5" i="2" s="1"/>
  <c r="J5" i="2" s="1"/>
  <c r="H43" i="4"/>
  <c r="I13" i="2" s="1"/>
  <c r="J13" i="2" s="1"/>
  <c r="H19" i="7"/>
  <c r="B137" i="2" s="1"/>
  <c r="C137" i="2" s="1"/>
  <c r="AA90" i="2"/>
  <c r="Z90" i="2"/>
  <c r="K147" i="2"/>
  <c r="H6" i="3"/>
  <c r="H39" i="4"/>
  <c r="I12" i="2" s="1"/>
  <c r="J12" i="2" s="1"/>
  <c r="H17" i="9"/>
  <c r="W6" i="2" s="1"/>
  <c r="X6" i="2" s="1"/>
  <c r="F55" i="2"/>
  <c r="AA88" i="2"/>
  <c r="Z88" i="2"/>
  <c r="S81" i="2"/>
  <c r="T81" i="2"/>
  <c r="T17" i="2"/>
  <c r="T91" i="2"/>
  <c r="S91" i="2"/>
  <c r="C6" i="3"/>
  <c r="K6" i="3"/>
  <c r="H27" i="4"/>
  <c r="I9" i="2" s="1"/>
  <c r="J9" i="2" s="1"/>
  <c r="S85" i="2"/>
  <c r="T85" i="2"/>
  <c r="E74" i="2"/>
  <c r="Z84" i="2"/>
  <c r="AA84" i="2"/>
  <c r="E93" i="2"/>
  <c r="H48" i="22"/>
  <c r="W71" i="2" s="1"/>
  <c r="X71" i="2" s="1"/>
  <c r="H40" i="23"/>
  <c r="P68" i="2" s="1"/>
  <c r="Q68" i="2" s="1"/>
  <c r="H39" i="27"/>
  <c r="P50" i="2" s="1"/>
  <c r="Q50" i="2" s="1"/>
  <c r="H17" i="28"/>
  <c r="I44" i="2" s="1"/>
  <c r="J44" i="2" s="1"/>
  <c r="H33" i="28"/>
  <c r="I48" i="2" s="1"/>
  <c r="J48" i="2" s="1"/>
  <c r="H36" i="30"/>
  <c r="W30" i="2" s="1"/>
  <c r="X30" i="2" s="1"/>
  <c r="M82" i="2"/>
  <c r="H11" i="10"/>
  <c r="I117" i="2" s="1"/>
  <c r="J117" i="2" s="1"/>
  <c r="H43" i="10"/>
  <c r="I125" i="2" s="1"/>
  <c r="J125" i="2" s="1"/>
  <c r="H23" i="14"/>
  <c r="W102" i="2" s="1"/>
  <c r="X102" i="2" s="1"/>
  <c r="H39" i="14"/>
  <c r="W106" i="2" s="1"/>
  <c r="X106" i="2" s="1"/>
  <c r="H11" i="15"/>
  <c r="P99" i="2" s="1"/>
  <c r="Q99" i="2" s="1"/>
  <c r="H43" i="15"/>
  <c r="P107" i="2" s="1"/>
  <c r="Q107" i="2" s="1"/>
  <c r="H19" i="16"/>
  <c r="I101" i="2" s="1"/>
  <c r="J101" i="2" s="1"/>
  <c r="H35" i="16"/>
  <c r="I105" i="2" s="1"/>
  <c r="J105" i="2" s="1"/>
  <c r="H51" i="16"/>
  <c r="I109" i="2" s="1"/>
  <c r="J109" i="2" s="1"/>
  <c r="H27" i="17"/>
  <c r="B103" i="2" s="1"/>
  <c r="C103" i="2" s="1"/>
  <c r="Z83" i="2"/>
  <c r="E10" i="3" s="1"/>
  <c r="AA83" i="2"/>
  <c r="H43" i="18"/>
  <c r="W88" i="2" s="1"/>
  <c r="X88" i="2" s="1"/>
  <c r="Z91" i="2"/>
  <c r="AA91" i="2"/>
  <c r="H19" i="19"/>
  <c r="P83" i="2" s="1"/>
  <c r="Q83" i="2" s="1"/>
  <c r="T86" i="2"/>
  <c r="S86" i="2"/>
  <c r="H51" i="19"/>
  <c r="P91" i="2" s="1"/>
  <c r="Q91" i="2" s="1"/>
  <c r="L81" i="2"/>
  <c r="M81" i="2"/>
  <c r="C12" i="3" s="1"/>
  <c r="H23" i="20"/>
  <c r="I84" i="2" s="1"/>
  <c r="J84" i="2" s="1"/>
  <c r="L85" i="2"/>
  <c r="M85" i="2"/>
  <c r="H39" i="20"/>
  <c r="I88" i="2" s="1"/>
  <c r="J88" i="2" s="1"/>
  <c r="M89" i="2"/>
  <c r="L89" i="2"/>
  <c r="H39" i="21"/>
  <c r="B87" i="2" s="1"/>
  <c r="C87" i="2" s="1"/>
  <c r="H52" i="23"/>
  <c r="P71" i="2" s="1"/>
  <c r="Q71" i="2" s="1"/>
  <c r="H19" i="25"/>
  <c r="B64" i="2" s="1"/>
  <c r="C64" i="2" s="1"/>
  <c r="H35" i="25"/>
  <c r="B68" i="2" s="1"/>
  <c r="C68" i="2" s="1"/>
  <c r="H51" i="25"/>
  <c r="B72" i="2" s="1"/>
  <c r="C72" i="2" s="1"/>
  <c r="H35" i="27"/>
  <c r="P49" i="2" s="1"/>
  <c r="Q49" i="2" s="1"/>
  <c r="H27" i="31"/>
  <c r="P28" i="2" s="1"/>
  <c r="Q28" i="2" s="1"/>
  <c r="H45" i="32"/>
  <c r="I31" i="2" s="1"/>
  <c r="J31" i="2" s="1"/>
  <c r="M86" i="2"/>
  <c r="M90" i="2"/>
  <c r="H19" i="14"/>
  <c r="W101" i="2" s="1"/>
  <c r="X101" i="2" s="1"/>
  <c r="H35" i="14"/>
  <c r="W105" i="2" s="1"/>
  <c r="X105" i="2" s="1"/>
  <c r="H35" i="15"/>
  <c r="P105" i="2" s="1"/>
  <c r="Q105" i="2" s="1"/>
  <c r="H15" i="16"/>
  <c r="I100" i="2" s="1"/>
  <c r="J100" i="2" s="1"/>
  <c r="H31" i="16"/>
  <c r="I104" i="2" s="1"/>
  <c r="J104" i="2" s="1"/>
  <c r="H47" i="16"/>
  <c r="I108" i="2" s="1"/>
  <c r="J108" i="2" s="1"/>
  <c r="H19" i="17"/>
  <c r="B101" i="2" s="1"/>
  <c r="C101" i="2" s="1"/>
  <c r="H51" i="17"/>
  <c r="B109" i="2" s="1"/>
  <c r="C109" i="2" s="1"/>
  <c r="H35" i="18"/>
  <c r="W86" i="2" s="1"/>
  <c r="X86" i="2" s="1"/>
  <c r="AA89" i="2"/>
  <c r="Z89" i="2"/>
  <c r="H11" i="19"/>
  <c r="P81" i="2" s="1"/>
  <c r="Q81" i="2" s="1"/>
  <c r="S84" i="2"/>
  <c r="T84" i="2"/>
  <c r="H43" i="19"/>
  <c r="P89" i="2" s="1"/>
  <c r="Q89" i="2" s="1"/>
  <c r="H19" i="20"/>
  <c r="I83" i="2" s="1"/>
  <c r="J83" i="2" s="1"/>
  <c r="H35" i="20"/>
  <c r="I87" i="2" s="1"/>
  <c r="J87" i="2" s="1"/>
  <c r="H51" i="20"/>
  <c r="I91" i="2" s="1"/>
  <c r="J91" i="2" s="1"/>
  <c r="H31" i="21"/>
  <c r="B85" i="2" s="1"/>
  <c r="C85" i="2" s="1"/>
  <c r="H48" i="23"/>
  <c r="P70" i="2" s="1"/>
  <c r="Q70" i="2" s="1"/>
  <c r="H15" i="25"/>
  <c r="B63" i="2" s="1"/>
  <c r="C63" i="2" s="1"/>
  <c r="H31" i="25"/>
  <c r="B67" i="2" s="1"/>
  <c r="C67" i="2" s="1"/>
  <c r="H47" i="25"/>
  <c r="B71" i="2" s="1"/>
  <c r="C71" i="2" s="1"/>
  <c r="H27" i="27"/>
  <c r="P47" i="2" s="1"/>
  <c r="Q47" i="2" s="1"/>
  <c r="H19" i="31"/>
  <c r="P26" i="2" s="1"/>
  <c r="Q26" i="2" s="1"/>
  <c r="H51" i="31"/>
  <c r="P34" i="2" s="1"/>
  <c r="Q34" i="2" s="1"/>
  <c r="H33" i="32"/>
  <c r="I29" i="2" s="1"/>
  <c r="J29" i="2" s="1"/>
  <c r="Z81" i="2"/>
  <c r="H27" i="10"/>
  <c r="I121" i="2" s="1"/>
  <c r="J121" i="2" s="1"/>
  <c r="H11" i="12"/>
  <c r="B117" i="2" s="1"/>
  <c r="C117" i="2" s="1"/>
  <c r="H15" i="14"/>
  <c r="W100" i="2" s="1"/>
  <c r="X100" i="2" s="1"/>
  <c r="H31" i="14"/>
  <c r="W104" i="2" s="1"/>
  <c r="X104" i="2" s="1"/>
  <c r="H47" i="14"/>
  <c r="W108" i="2" s="1"/>
  <c r="X108" i="2" s="1"/>
  <c r="H27" i="15"/>
  <c r="P104" i="2" s="1"/>
  <c r="Q104" i="2" s="1"/>
  <c r="H11" i="16"/>
  <c r="I99" i="2" s="1"/>
  <c r="J99" i="2" s="1"/>
  <c r="H27" i="16"/>
  <c r="I103" i="2" s="1"/>
  <c r="J103" i="2" s="1"/>
  <c r="H43" i="16"/>
  <c r="I107" i="2" s="1"/>
  <c r="J107" i="2" s="1"/>
  <c r="H11" i="17"/>
  <c r="B99" i="2" s="1"/>
  <c r="C99" i="2" s="1"/>
  <c r="H43" i="17"/>
  <c r="B107" i="2" s="1"/>
  <c r="C107" i="2" s="1"/>
  <c r="H27" i="18"/>
  <c r="W84" i="2" s="1"/>
  <c r="X84" i="2" s="1"/>
  <c r="AA87" i="2"/>
  <c r="Z87" i="2"/>
  <c r="T82" i="2"/>
  <c r="S82" i="2"/>
  <c r="H35" i="19"/>
  <c r="P87" i="2" s="1"/>
  <c r="Q87" i="2" s="1"/>
  <c r="T90" i="2"/>
  <c r="S90" i="2"/>
  <c r="L10" i="3" s="1"/>
  <c r="H15" i="20"/>
  <c r="I82" i="2" s="1"/>
  <c r="J82" i="2" s="1"/>
  <c r="H31" i="20"/>
  <c r="I86" i="2" s="1"/>
  <c r="J86" i="2" s="1"/>
  <c r="M87" i="2"/>
  <c r="L87" i="2"/>
  <c r="H47" i="20"/>
  <c r="I90" i="2" s="1"/>
  <c r="J90" i="2" s="1"/>
  <c r="M91" i="2"/>
  <c r="L91" i="2"/>
  <c r="H23" i="21"/>
  <c r="B83" i="2" s="1"/>
  <c r="C83" i="2" s="1"/>
  <c r="H55" i="21"/>
  <c r="B91" i="2" s="1"/>
  <c r="C91" i="2" s="1"/>
  <c r="H44" i="23"/>
  <c r="P69" i="2" s="1"/>
  <c r="Q69" i="2" s="1"/>
  <c r="H11" i="31"/>
  <c r="P24" i="2" s="1"/>
  <c r="Q24" i="2" s="1"/>
  <c r="H43" i="31"/>
  <c r="P32" i="2" s="1"/>
  <c r="Q32" i="2" s="1"/>
  <c r="H25" i="32"/>
  <c r="I27" i="2" s="1"/>
  <c r="J27" i="2" s="1"/>
  <c r="H21" i="28"/>
  <c r="I45" i="2" s="1"/>
  <c r="J45" i="2" s="1"/>
  <c r="H37" i="28"/>
  <c r="I49" i="2" s="1"/>
  <c r="J49" i="2" s="1"/>
  <c r="H40" i="30"/>
  <c r="W31" i="2" s="1"/>
  <c r="X31" i="2" s="1"/>
  <c r="L84" i="2"/>
  <c r="H23" i="16"/>
  <c r="I102" i="2" s="1"/>
  <c r="J102" i="2" s="1"/>
  <c r="H39" i="16"/>
  <c r="I106" i="2" s="1"/>
  <c r="J106" i="2" s="1"/>
  <c r="AA85" i="2"/>
  <c r="Z85" i="2"/>
  <c r="T88" i="2"/>
  <c r="S88" i="2"/>
  <c r="H11" i="20"/>
  <c r="I81" i="2" s="1"/>
  <c r="J81" i="2" s="1"/>
  <c r="H27" i="20"/>
  <c r="I85" i="2" s="1"/>
  <c r="J85" i="2" s="1"/>
  <c r="H43" i="20"/>
  <c r="I89" i="2" s="1"/>
  <c r="J89" i="2" s="1"/>
  <c r="L88" i="2"/>
  <c r="J10" i="3" s="1"/>
  <c r="S87" i="2"/>
  <c r="H14" i="11"/>
  <c r="B24" i="2" s="1"/>
  <c r="C24" i="2" s="1"/>
  <c r="H47" i="5"/>
  <c r="I144" i="2" s="1"/>
  <c r="J144" i="2" s="1"/>
  <c r="H39" i="5"/>
  <c r="I142" i="2" s="1"/>
  <c r="J142" i="2" s="1"/>
  <c r="H31" i="5"/>
  <c r="I140" i="2" s="1"/>
  <c r="J140" i="2" s="1"/>
  <c r="H23" i="5"/>
  <c r="I138" i="2" s="1"/>
  <c r="J138" i="2" s="1"/>
  <c r="H15" i="5"/>
  <c r="I136" i="2" s="1"/>
  <c r="J136" i="2" s="1"/>
  <c r="H11" i="5"/>
  <c r="I135" i="2" s="1"/>
  <c r="J135" i="2" s="1"/>
  <c r="H47" i="7"/>
  <c r="B144" i="2" s="1"/>
  <c r="C144" i="2" s="1"/>
  <c r="H39" i="7"/>
  <c r="B142" i="2" s="1"/>
  <c r="C142" i="2" s="1"/>
  <c r="H31" i="7"/>
  <c r="B140" i="2" s="1"/>
  <c r="C140" i="2" s="1"/>
  <c r="H23" i="7"/>
  <c r="B138" i="2" s="1"/>
  <c r="C138" i="2" s="1"/>
  <c r="H15" i="7"/>
  <c r="B136" i="2" s="1"/>
  <c r="C136" i="2" s="1"/>
  <c r="H51" i="6"/>
  <c r="W127" i="2" s="1"/>
  <c r="X127" i="2" s="1"/>
  <c r="H47" i="6"/>
  <c r="W126" i="2" s="1"/>
  <c r="X126" i="2" s="1"/>
  <c r="H43" i="6"/>
  <c r="W125" i="2" s="1"/>
  <c r="X125" i="2" s="1"/>
  <c r="H39" i="6"/>
  <c r="W124" i="2" s="1"/>
  <c r="X124" i="2" s="1"/>
  <c r="H35" i="6"/>
  <c r="W123" i="2" s="1"/>
  <c r="X123" i="2" s="1"/>
  <c r="H31" i="6"/>
  <c r="W122" i="2" s="1"/>
  <c r="X122" i="2" s="1"/>
  <c r="H27" i="6"/>
  <c r="W121" i="2" s="1"/>
  <c r="X121" i="2" s="1"/>
  <c r="H23" i="6"/>
  <c r="W120" i="2" s="1"/>
  <c r="X120" i="2" s="1"/>
  <c r="H19" i="6"/>
  <c r="W119" i="2" s="1"/>
  <c r="X119" i="2" s="1"/>
  <c r="H15" i="6"/>
  <c r="W118" i="2" s="1"/>
  <c r="X118" i="2" s="1"/>
  <c r="H11" i="6"/>
  <c r="W117" i="2" s="1"/>
  <c r="X117" i="2" s="1"/>
  <c r="H51" i="8"/>
  <c r="P127" i="2" s="1"/>
  <c r="Q127" i="2" s="1"/>
  <c r="H47" i="8"/>
  <c r="P126" i="2" s="1"/>
  <c r="Q126" i="2" s="1"/>
  <c r="H43" i="8"/>
  <c r="P125" i="2" s="1"/>
  <c r="Q125" i="2" s="1"/>
  <c r="H39" i="8"/>
  <c r="P124" i="2" s="1"/>
  <c r="Q124" i="2" s="1"/>
  <c r="H35" i="8"/>
  <c r="P123" i="2" s="1"/>
  <c r="Q123" i="2" s="1"/>
  <c r="H31" i="8"/>
  <c r="P122" i="2" s="1"/>
  <c r="Q122" i="2" s="1"/>
  <c r="H27" i="8"/>
  <c r="P121" i="2" s="1"/>
  <c r="Q121" i="2" s="1"/>
  <c r="H23" i="8"/>
  <c r="P120" i="2" s="1"/>
  <c r="Q120" i="2" s="1"/>
  <c r="H19" i="8"/>
  <c r="P119" i="2" s="1"/>
  <c r="Q119" i="2" s="1"/>
  <c r="H15" i="8"/>
  <c r="P118" i="2" s="1"/>
  <c r="Q118" i="2" s="1"/>
  <c r="H11" i="8"/>
  <c r="P117" i="2" s="1"/>
  <c r="Q117" i="2" s="1"/>
  <c r="H51" i="12"/>
  <c r="B127" i="2" s="1"/>
  <c r="C127" i="2" s="1"/>
  <c r="H47" i="12"/>
  <c r="B126" i="2" s="1"/>
  <c r="C126" i="2" s="1"/>
  <c r="H43" i="12"/>
  <c r="B125" i="2" s="1"/>
  <c r="C125" i="2" s="1"/>
  <c r="H39" i="12"/>
  <c r="B124" i="2" s="1"/>
  <c r="C124" i="2" s="1"/>
  <c r="H35" i="12"/>
  <c r="B123" i="2" s="1"/>
  <c r="C123" i="2" s="1"/>
  <c r="H31" i="12"/>
  <c r="B122" i="2" s="1"/>
  <c r="C122" i="2" s="1"/>
  <c r="H27" i="12"/>
  <c r="B121" i="2" s="1"/>
  <c r="C121" i="2" s="1"/>
  <c r="H23" i="12"/>
  <c r="B120" i="2" s="1"/>
  <c r="C120" i="2" s="1"/>
  <c r="H19" i="12"/>
  <c r="B119" i="2" s="1"/>
  <c r="C119" i="2" s="1"/>
  <c r="H15" i="12"/>
  <c r="B118" i="2" s="1"/>
  <c r="C118" i="2" s="1"/>
  <c r="H51" i="14"/>
  <c r="W109" i="2" s="1"/>
  <c r="X109" i="2" s="1"/>
  <c r="H15" i="15"/>
  <c r="P101" i="2"/>
  <c r="Q101" i="2" s="1"/>
  <c r="H23" i="15"/>
  <c r="P102" i="2" s="1"/>
  <c r="Q102" i="2" s="1"/>
  <c r="H31" i="15"/>
  <c r="H39" i="15"/>
  <c r="P106" i="2" s="1"/>
  <c r="Q106" i="2" s="1"/>
  <c r="H47" i="15"/>
  <c r="P108" i="2" s="1"/>
  <c r="Q108" i="2" s="1"/>
  <c r="H47" i="17"/>
  <c r="B108" i="2" s="1"/>
  <c r="C108" i="2" s="1"/>
  <c r="H39" i="17"/>
  <c r="B106" i="2" s="1"/>
  <c r="C106" i="2" s="1"/>
  <c r="H31" i="17"/>
  <c r="B104" i="2" s="1"/>
  <c r="C104" i="2" s="1"/>
  <c r="H23" i="17"/>
  <c r="B102" i="2" s="1"/>
  <c r="C102" i="2" s="1"/>
  <c r="H15" i="17"/>
  <c r="B100" i="2" s="1"/>
  <c r="C100" i="2" s="1"/>
  <c r="H55" i="18"/>
  <c r="W91" i="2" s="1"/>
  <c r="X91" i="2" s="1"/>
  <c r="H47" i="18"/>
  <c r="W89" i="2" s="1"/>
  <c r="X89" i="2" s="1"/>
  <c r="H39" i="18"/>
  <c r="W87" i="2" s="1"/>
  <c r="X87" i="2" s="1"/>
  <c r="H31" i="18"/>
  <c r="W85" i="2" s="1"/>
  <c r="X85" i="2" s="1"/>
  <c r="H19" i="18"/>
  <c r="W83" i="2" s="1"/>
  <c r="X83" i="2" s="1"/>
  <c r="H11" i="18"/>
  <c r="W81" i="2" s="1"/>
  <c r="X81" i="2" s="1"/>
  <c r="H47" i="19"/>
  <c r="P90" i="2" s="1"/>
  <c r="Q90" i="2" s="1"/>
  <c r="H39" i="19"/>
  <c r="P88" i="2" s="1"/>
  <c r="Q88" i="2" s="1"/>
  <c r="H31" i="19"/>
  <c r="P86" i="2" s="1"/>
  <c r="Q86" i="2" s="1"/>
  <c r="H23" i="19"/>
  <c r="P84" i="2" s="1"/>
  <c r="Q84" i="2" s="1"/>
  <c r="H15" i="19"/>
  <c r="P82" i="2" s="1"/>
  <c r="Q82" i="2" s="1"/>
  <c r="H19" i="21"/>
  <c r="B82" i="2" s="1"/>
  <c r="C82" i="2" s="1"/>
  <c r="H27" i="21"/>
  <c r="B84" i="2" s="1"/>
  <c r="C84" i="2" s="1"/>
  <c r="H35" i="21"/>
  <c r="B86" i="2" s="1"/>
  <c r="C86" i="2" s="1"/>
  <c r="H43" i="21"/>
  <c r="B88" i="2" s="1"/>
  <c r="C88" i="2" s="1"/>
  <c r="H51" i="21"/>
  <c r="B90" i="2" s="1"/>
  <c r="C90" i="2" s="1"/>
  <c r="H24" i="23"/>
  <c r="P64" i="2" s="1"/>
  <c r="Q64" i="2" s="1"/>
  <c r="H16" i="23"/>
  <c r="P62" i="2" s="1"/>
  <c r="Q62" i="2" s="1"/>
  <c r="H51" i="24"/>
  <c r="I72" i="2" s="1"/>
  <c r="J72" i="2" s="1"/>
  <c r="H47" i="24"/>
  <c r="I71" i="2" s="1"/>
  <c r="J71" i="2" s="1"/>
  <c r="H43" i="24"/>
  <c r="I70" i="2" s="1"/>
  <c r="J70" i="2" s="1"/>
  <c r="H39" i="24"/>
  <c r="I69" i="2" s="1"/>
  <c r="J69" i="2" s="1"/>
  <c r="H35" i="24"/>
  <c r="I68" i="2" s="1"/>
  <c r="J68" i="2" s="1"/>
  <c r="H31" i="24"/>
  <c r="I67" i="2" s="1"/>
  <c r="J67" i="2" s="1"/>
  <c r="H27" i="24"/>
  <c r="I66" i="2" s="1"/>
  <c r="J66" i="2" s="1"/>
  <c r="H23" i="24"/>
  <c r="I65" i="2" s="1"/>
  <c r="J65" i="2" s="1"/>
  <c r="H19" i="24"/>
  <c r="I64" i="2" s="1"/>
  <c r="J64" i="2" s="1"/>
  <c r="H15" i="24"/>
  <c r="I63" i="2" s="1"/>
  <c r="J63" i="2" s="1"/>
  <c r="H11" i="24"/>
  <c r="I62" i="2" s="1"/>
  <c r="J62" i="2" s="1"/>
  <c r="H51" i="26"/>
  <c r="W53" i="2" s="1"/>
  <c r="X53" i="2" s="1"/>
  <c r="H47" i="26"/>
  <c r="W52" i="2" s="1"/>
  <c r="X52" i="2" s="1"/>
  <c r="H43" i="26"/>
  <c r="W51" i="2" s="1"/>
  <c r="X51" i="2" s="1"/>
  <c r="H39" i="26"/>
  <c r="W50" i="2" s="1"/>
  <c r="X50" i="2" s="1"/>
  <c r="H35" i="26"/>
  <c r="W49" i="2" s="1"/>
  <c r="X49" i="2" s="1"/>
  <c r="H31" i="26"/>
  <c r="W48" i="2" s="1"/>
  <c r="X48" i="2" s="1"/>
  <c r="H27" i="26"/>
  <c r="W47" i="2" s="1"/>
  <c r="X47" i="2" s="1"/>
  <c r="H23" i="26"/>
  <c r="W46" i="2" s="1"/>
  <c r="X46" i="2" s="1"/>
  <c r="H19" i="26"/>
  <c r="W45" i="2" s="1"/>
  <c r="X45" i="2" s="1"/>
  <c r="H15" i="26"/>
  <c r="W44" i="2" s="1"/>
  <c r="X44" i="2" s="1"/>
  <c r="H11" i="26"/>
  <c r="W43" i="2" s="1"/>
  <c r="X43" i="2" s="1"/>
  <c r="H47" i="27"/>
  <c r="P52" i="2" s="1"/>
  <c r="Q52" i="2" s="1"/>
  <c r="H43" i="27"/>
  <c r="P51" i="2" s="1"/>
  <c r="Q51" i="2" s="1"/>
  <c r="H15" i="27"/>
  <c r="P44" i="2" s="1"/>
  <c r="Q44" i="2" s="1"/>
  <c r="H11" i="27"/>
  <c r="P43" i="2" s="1"/>
  <c r="Q43" i="2" s="1"/>
  <c r="H45" i="28"/>
  <c r="I51" i="2" s="1"/>
  <c r="J51" i="2" s="1"/>
  <c r="H49" i="28"/>
  <c r="I52" i="2" s="1"/>
  <c r="J52" i="2" s="1"/>
  <c r="H53" i="28"/>
  <c r="I53" i="2" s="1"/>
  <c r="J53" i="2" s="1"/>
  <c r="H11" i="29"/>
  <c r="B43" i="2" s="1"/>
  <c r="C43" i="2" s="1"/>
  <c r="H15" i="29"/>
  <c r="B44" i="2" s="1"/>
  <c r="C44" i="2" s="1"/>
  <c r="H19" i="29"/>
  <c r="B45" i="2" s="1"/>
  <c r="C45" i="2" s="1"/>
  <c r="H23" i="29"/>
  <c r="B46" i="2" s="1"/>
  <c r="C46" i="2" s="1"/>
  <c r="H27" i="29"/>
  <c r="B47" i="2" s="1"/>
  <c r="C47" i="2" s="1"/>
  <c r="H31" i="29"/>
  <c r="B48" i="2" s="1"/>
  <c r="C48" i="2" s="1"/>
  <c r="H35" i="29"/>
  <c r="B49" i="2" s="1"/>
  <c r="C49" i="2" s="1"/>
  <c r="H39" i="29"/>
  <c r="B50" i="2" s="1"/>
  <c r="C50" i="2" s="1"/>
  <c r="H43" i="29"/>
  <c r="B51" i="2" s="1"/>
  <c r="C51" i="2" s="1"/>
  <c r="H47" i="29"/>
  <c r="B52" i="2" s="1"/>
  <c r="C52" i="2" s="1"/>
  <c r="H51" i="29"/>
  <c r="B53" i="2" s="1"/>
  <c r="C53" i="2" s="1"/>
  <c r="H12" i="30"/>
  <c r="W24" i="2" s="1"/>
  <c r="X24" i="2" s="1"/>
  <c r="H16" i="30"/>
  <c r="W25" i="2" s="1"/>
  <c r="X25" i="2" s="1"/>
  <c r="H20" i="30"/>
  <c r="W26" i="2" s="1"/>
  <c r="X26" i="2" s="1"/>
  <c r="H24" i="30"/>
  <c r="W27" i="2" s="1"/>
  <c r="X27" i="2" s="1"/>
  <c r="H28" i="30"/>
  <c r="W28" i="2" s="1"/>
  <c r="X28" i="2" s="1"/>
  <c r="H48" i="30"/>
  <c r="W33" i="2" s="1"/>
  <c r="X33" i="2" s="1"/>
  <c r="H52" i="30"/>
  <c r="W34" i="2" s="1"/>
  <c r="X34" i="2" s="1"/>
  <c r="H47" i="31"/>
  <c r="P33" i="2" s="1"/>
  <c r="Q33" i="2" s="1"/>
  <c r="H39" i="31"/>
  <c r="P31" i="2" s="1"/>
  <c r="Q31" i="2" s="1"/>
  <c r="H31" i="31"/>
  <c r="P29" i="2" s="1"/>
  <c r="Q29" i="2" s="1"/>
  <c r="H23" i="31"/>
  <c r="P27" i="2" s="1"/>
  <c r="Q27" i="2" s="1"/>
  <c r="H15" i="31"/>
  <c r="P25" i="2" s="1"/>
  <c r="Q25" i="2" s="1"/>
  <c r="H57" i="32"/>
  <c r="I34" i="2" s="1"/>
  <c r="J34" i="2" s="1"/>
  <c r="H49" i="32"/>
  <c r="I32" i="2" s="1"/>
  <c r="J32" i="2" s="1"/>
  <c r="H37" i="32"/>
  <c r="I30" i="2" s="1"/>
  <c r="J30" i="2" s="1"/>
  <c r="H29" i="32"/>
  <c r="I28" i="2" s="1"/>
  <c r="J28" i="2" s="1"/>
  <c r="H21" i="32"/>
  <c r="I26" i="2" s="1"/>
  <c r="J26" i="2" s="1"/>
  <c r="H13" i="32"/>
  <c r="I24" i="2" s="1"/>
  <c r="J24" i="2" s="1"/>
  <c r="H42" i="11"/>
  <c r="B31" i="2" s="1"/>
  <c r="C31" i="2" s="1"/>
  <c r="H38" i="11"/>
  <c r="B30" i="2" s="1"/>
  <c r="C30" i="2" s="1"/>
  <c r="H30" i="11"/>
  <c r="B28" i="2" s="1"/>
  <c r="C28" i="2" s="1"/>
  <c r="H26" i="11"/>
  <c r="B27" i="2" s="1"/>
  <c r="C27" i="2" s="1"/>
  <c r="H22" i="11"/>
  <c r="B26" i="2" s="1"/>
  <c r="C26" i="2" s="1"/>
  <c r="H18" i="11"/>
  <c r="B25" i="2" s="1"/>
  <c r="C25" i="2" s="1"/>
  <c r="H49" i="9"/>
  <c r="W14" i="2" s="1"/>
  <c r="X14" i="2" s="1"/>
  <c r="H45" i="9"/>
  <c r="W13" i="2" s="1"/>
  <c r="X13" i="2" s="1"/>
  <c r="H41" i="9"/>
  <c r="W12" i="2" s="1"/>
  <c r="X12" i="2" s="1"/>
  <c r="H37" i="9"/>
  <c r="W11" i="2" s="1"/>
  <c r="X11" i="2" s="1"/>
  <c r="H33" i="9"/>
  <c r="W10" i="2" s="1"/>
  <c r="X10" i="2" s="1"/>
  <c r="L15" i="2"/>
  <c r="L17" i="2" s="1"/>
  <c r="I6" i="3"/>
  <c r="F9" i="2"/>
  <c r="H12" i="13"/>
  <c r="M15" i="2"/>
  <c r="Y93" i="2"/>
  <c r="R93" i="2"/>
  <c r="K93" i="2"/>
  <c r="D93" i="2"/>
  <c r="D74" i="2"/>
  <c r="F111" i="2"/>
  <c r="E111" i="2"/>
  <c r="D111" i="2"/>
  <c r="AA111" i="2"/>
  <c r="Z111" i="2"/>
  <c r="Y111" i="2"/>
  <c r="F129" i="2"/>
  <c r="E129" i="2"/>
  <c r="D129" i="2"/>
  <c r="M147" i="2"/>
  <c r="L147" i="2"/>
  <c r="F147" i="2"/>
  <c r="E147" i="2"/>
  <c r="D147" i="2"/>
  <c r="AA129" i="2"/>
  <c r="Z129" i="2"/>
  <c r="Y129" i="2"/>
  <c r="S129" i="2"/>
  <c r="R129" i="2"/>
  <c r="T111" i="2"/>
  <c r="S111" i="2"/>
  <c r="R111" i="2"/>
  <c r="M129" i="2"/>
  <c r="L129" i="2"/>
  <c r="K129" i="2"/>
  <c r="M111" i="2"/>
  <c r="L111" i="2"/>
  <c r="M74" i="2"/>
  <c r="L74" i="2"/>
  <c r="K74" i="2"/>
  <c r="T74" i="2"/>
  <c r="S74" i="2"/>
  <c r="R74" i="2"/>
  <c r="AA74" i="2"/>
  <c r="Z74" i="2"/>
  <c r="Y74" i="2"/>
  <c r="AA55" i="2"/>
  <c r="Z55" i="2"/>
  <c r="Y55" i="2"/>
  <c r="T55" i="2"/>
  <c r="S55" i="2"/>
  <c r="R55" i="2"/>
  <c r="M55" i="2"/>
  <c r="L55" i="2"/>
  <c r="K55" i="2"/>
  <c r="T36" i="2"/>
  <c r="S36" i="2"/>
  <c r="R36" i="2"/>
  <c r="E55" i="2"/>
  <c r="D55" i="2"/>
  <c r="L36" i="2"/>
  <c r="K36" i="2"/>
  <c r="M36" i="2"/>
  <c r="E36" i="2"/>
  <c r="D36" i="2"/>
  <c r="F36" i="2"/>
  <c r="AA36" i="2"/>
  <c r="Z36" i="2"/>
  <c r="Y36" i="2"/>
  <c r="AA17" i="2"/>
  <c r="Z17" i="2"/>
  <c r="Y17" i="2"/>
  <c r="K17" i="2"/>
  <c r="E17" i="2"/>
  <c r="D17" i="2"/>
  <c r="G51" i="1"/>
  <c r="F51" i="1"/>
  <c r="G47" i="1"/>
  <c r="F47" i="1"/>
  <c r="G43" i="1"/>
  <c r="F43" i="1"/>
  <c r="G39" i="1"/>
  <c r="F39" i="1"/>
  <c r="G35" i="1"/>
  <c r="F35" i="1"/>
  <c r="G31" i="1"/>
  <c r="F31" i="1"/>
  <c r="G27" i="1"/>
  <c r="F27" i="1"/>
  <c r="G23" i="1"/>
  <c r="F23" i="1"/>
  <c r="G19" i="1"/>
  <c r="F19" i="1"/>
  <c r="G15" i="1"/>
  <c r="F15" i="1"/>
  <c r="G11" i="1"/>
  <c r="F11" i="1"/>
  <c r="I12" i="3" l="1"/>
  <c r="P103" i="2"/>
  <c r="Q103" i="2" s="1"/>
  <c r="E12" i="3"/>
  <c r="W111" i="2"/>
  <c r="W112" i="2" s="1"/>
  <c r="AA93" i="2"/>
  <c r="D10" i="3"/>
  <c r="H12" i="3"/>
  <c r="H10" i="3"/>
  <c r="H15" i="1"/>
  <c r="B6" i="2" s="1"/>
  <c r="C6" i="2" s="1"/>
  <c r="P11" i="2"/>
  <c r="Q11" i="2" s="1"/>
  <c r="W74" i="2"/>
  <c r="W75" i="2" s="1"/>
  <c r="S93" i="2"/>
  <c r="K10" i="3"/>
  <c r="H11" i="1"/>
  <c r="B5" i="2" s="1"/>
  <c r="C5" i="2" s="1"/>
  <c r="P74" i="2"/>
  <c r="P75" i="2" s="1"/>
  <c r="F10" i="3"/>
  <c r="K12" i="3"/>
  <c r="C10" i="3"/>
  <c r="F12" i="3"/>
  <c r="H27" i="1"/>
  <c r="B9" i="2" s="1"/>
  <c r="C9" i="2" s="1"/>
  <c r="I10" i="3"/>
  <c r="T93" i="2"/>
  <c r="D12" i="3"/>
  <c r="J12" i="3"/>
  <c r="P55" i="2"/>
  <c r="P56" i="2" s="1"/>
  <c r="I129" i="2"/>
  <c r="I130" i="2" s="1"/>
  <c r="B147" i="2"/>
  <c r="B148" i="2" s="1"/>
  <c r="I93" i="2"/>
  <c r="I94" i="2" s="1"/>
  <c r="Z93" i="2"/>
  <c r="M12" i="3"/>
  <c r="G12" i="3"/>
  <c r="G10" i="3"/>
  <c r="L12" i="3"/>
  <c r="M17" i="2"/>
  <c r="M10" i="3"/>
  <c r="I17" i="2"/>
  <c r="I18" i="2" s="1"/>
  <c r="P5" i="2"/>
  <c r="Q5" i="2" s="1"/>
  <c r="I111" i="2"/>
  <c r="I112" i="2" s="1"/>
  <c r="L93" i="2"/>
  <c r="M93" i="2"/>
  <c r="F17" i="2"/>
  <c r="B74" i="2"/>
  <c r="B75" i="2" s="1"/>
  <c r="W36" i="2"/>
  <c r="W37" i="2" s="1"/>
  <c r="I147" i="2"/>
  <c r="I148" i="2" s="1"/>
  <c r="H31" i="1"/>
  <c r="B10" i="2" s="1"/>
  <c r="C10" i="2" s="1"/>
  <c r="B93" i="2"/>
  <c r="B94" i="2" s="1"/>
  <c r="H19" i="1"/>
  <c r="B7" i="2" s="1"/>
  <c r="C7" i="2" s="1"/>
  <c r="B129" i="2"/>
  <c r="B130" i="2" s="1"/>
  <c r="B111" i="2"/>
  <c r="B112" i="2" s="1"/>
  <c r="W129" i="2"/>
  <c r="W130" i="2" s="1"/>
  <c r="P129" i="2"/>
  <c r="P130" i="2" s="1"/>
  <c r="P111" i="2"/>
  <c r="P112" i="2" s="1"/>
  <c r="W93" i="2"/>
  <c r="W94" i="2" s="1"/>
  <c r="P93" i="2"/>
  <c r="P94" i="2" s="1"/>
  <c r="I74" i="2"/>
  <c r="I75" i="2" s="1"/>
  <c r="W55" i="2"/>
  <c r="W56" i="2" s="1"/>
  <c r="I55" i="2"/>
  <c r="I56" i="2" s="1"/>
  <c r="B55" i="2"/>
  <c r="B56" i="2" s="1"/>
  <c r="P36" i="2"/>
  <c r="P37" i="2" s="1"/>
  <c r="I36" i="2"/>
  <c r="I37" i="2" s="1"/>
  <c r="B36" i="2"/>
  <c r="B37" i="2" s="1"/>
  <c r="W17" i="2"/>
  <c r="W18" i="2" s="1"/>
  <c r="H23" i="1"/>
  <c r="B8" i="2" s="1"/>
  <c r="C8" i="2" s="1"/>
  <c r="H39" i="1"/>
  <c r="B12" i="2" s="1"/>
  <c r="C12" i="2" s="1"/>
  <c r="H47" i="1"/>
  <c r="B14" i="2" s="1"/>
  <c r="C14" i="2" s="1"/>
  <c r="H43" i="1"/>
  <c r="B13" i="2" s="1"/>
  <c r="C13" i="2" s="1"/>
  <c r="H35" i="1"/>
  <c r="B11" i="2" s="1"/>
  <c r="C11" i="2" s="1"/>
  <c r="H51" i="1"/>
  <c r="B15" i="2" s="1"/>
  <c r="C15" i="2" s="1"/>
  <c r="P17" i="2" l="1"/>
  <c r="P18" i="2" s="1"/>
  <c r="B17" i="2"/>
  <c r="B18" i="2" s="1"/>
  <c r="A9" i="26" l="1"/>
  <c r="A9" i="26"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tc={CD426C0C-AFB9-4A2F-A83C-AEC4C45C9DB1}</author>
    <author>tc={D7A07D14-36CA-42B7-BF12-AA9316BEFC5D}</author>
    <author>tc={D8E56A8B-4D26-474B-95AC-D07641A9E9A7}</author>
    <author>tc={E8AC3699-40ED-4D34-83AB-4F12C9E2CF4A}</author>
  </authors>
  <commentList>
    <comment ref="B2" authorId="0" shapeId="0" xr:uid="{CD426C0C-AFB9-4A2F-A83C-AEC4C45C9DB1}">
      <text>
        <t>[Comentário encadeado]
Sua versão do Excel permite que você leia este comentário encadeado, no entanto, as edições serão removidas se o arquivo for aberto em uma versão mais recente do Excel. Saiba mais: https://go.microsoft.com/fwlink/?linkid=870924
Comentário:
    Reservado o Grupo J - 3000km R$7.553,00 e ao chegar lá o carro estava precisando de revisão, troca de pneu e foi disponibilizado Toro TEBIJ42 que está no grupo TT com mensalidade R$6.049,13. A substituição para a caminhonete S10 PVR4B99 só foi realizada em 11/04/26 - 7 diárias, solicitar desconto R$1.762,40</t>
      </text>
    </comment>
    <comment ref="B19" authorId="1" shapeId="0" xr:uid="{D7A07D14-36CA-42B7-BF12-AA9316BEFC5D}">
      <text>
        <t>[Comentário encadeado]
Sua versão do Excel permite que você leia este comentário encadeado, no entanto, as edições serão removidas se o arquivo for aberto em uma versão mais recente do Excel. Saiba mais: https://go.microsoft.com/fwlink/?linkid=870924
Comentário:
    Toro TEBIJ42 - Locado 04/04/2026
Responder:
    Reservado o Grupo J - 3000km R$7.553,00 e ao chegar lá o carro estava precisando de revisão, troca de pneu e foi disponibilizado Toro TEBIJ42 que está no grupo TT com mensalidade R$6.049,13. A substituição para a caminhonete S10 PVR4B99 só foi realizada em 11/04/26 - 7 diárias, solicitar desconto R$1.762,40</t>
      </text>
    </comment>
    <comment ref="C19" authorId="2" shapeId="0" xr:uid="{D8E56A8B-4D26-474B-95AC-D07641A9E9A7}">
      <text>
        <t>[Comentário encadeado]
Sua versão do Excel permite que você leia este comentário encadeado, no entanto, as edições serão removidas se o arquivo for aberto em uma versão mais recente do Excel. Saiba mais: https://go.microsoft.com/fwlink/?linkid=870924
Comentário:
    Devolução_substituição 11/04/2026</t>
      </text>
    </comment>
    <comment ref="B23" authorId="3" shapeId="0" xr:uid="{E8AC3699-40ED-4D34-83AB-4F12C9E2CF4A}">
      <text>
        <t>[Comentário encadeado]
Sua versão do Excel permite que você leia este comentário encadeado, no entanto, as edições serão removidas se o arquivo for aberto em uma versão mais recente do Excel. Saiba mais: https://go.microsoft.com/fwlink/?linkid=870924
Comentário:
    S10 PVR4B99 - Substituição_Retirada 11/04/2026
Responder:
    Reservado o Grupo J - 3000km R$7.553,00 e ao chegar lá o carro estava precisando de revisão, troca de pneu e foi disponibilizado Toro TEBIJ42 que está no grupo TT com mensalidade R$6.049,13. A substituição para a caminhonete S10 PVR4B99 só foi realizada em 11/04/26 - 7 diárias, solicitar desconto R$1.762,40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Administrativo2</author>
    <author>tc={6C33D3B7-E4D6-449E-B0A5-CE7D86D683ED}</author>
  </authors>
  <commentList>
    <comment ref="D43" authorId="0" shapeId="0" xr:uid="{94351730-7022-443F-8964-9E802A6055E8}">
      <text>
        <r>
          <rPr>
            <sz val="9"/>
            <color indexed="81"/>
            <rFont val="Segoe UI"/>
            <family val="2"/>
          </rPr>
          <t xml:space="preserve">
Argo TDQ6I22 retirado em 25/10/2025</t>
        </r>
      </text>
    </comment>
    <comment ref="C51" authorId="0" shapeId="0" xr:uid="{A1FF2B76-D61E-4EC7-B522-632ECD5BE431}">
      <text>
        <r>
          <rPr>
            <b/>
            <sz val="9"/>
            <color indexed="81"/>
            <rFont val="Segoe UI"/>
            <family val="2"/>
          </rPr>
          <t>uso particular</t>
        </r>
        <r>
          <rPr>
            <sz val="9"/>
            <color indexed="81"/>
            <rFont val="Segoe UI"/>
            <family val="2"/>
          </rPr>
          <t xml:space="preserve">
</t>
        </r>
      </text>
    </comment>
    <comment ref="E71" authorId="1" shapeId="0" xr:uid="{6C33D3B7-E4D6-449E-B0A5-CE7D86D683ED}">
      <text>
        <t>[Comentário encadeado]
Sua versão do Excel permite que você leia este comentário encadeado, no entanto, as edições serão removidas se o arquivo for aberto em uma versão mais recente do Excel. Saiba mais: https://go.microsoft.com/fwlink/?linkid=870924
Comentário:
    Veículo vai ficar com idalecio no período de folga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tc={C38D8F2F-B32C-4943-AF51-F30377D7CA3B}</author>
    <author>tc={2C6B85FB-ED75-44BF-AED9-FD06204FCCE0}</author>
  </authors>
  <commentList>
    <comment ref="B19" authorId="0" shapeId="0" xr:uid="{C38D8F2F-B32C-4943-AF51-F30377D7CA3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Locado 31/03/26
</t>
      </text>
    </comment>
    <comment ref="B27" authorId="1" shapeId="0" xr:uid="{2C6B85FB-ED75-44BF-AED9-FD06204FCCE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Eduardo - Uso do veículo para treinamento GWO - 11/06 ás 06:53h 51.019km a 11/06/26 19:58h 51.180km - utilizado 161km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Administrativo2</author>
    <author>tc={F73E923E-CA2D-4153-933D-9933CF157471}</author>
    <author>tc={E9469BEB-52D6-4D9E-B5B1-31D565BE548A}</author>
    <author>tc={21B050A0-0908-4E55-9C33-6589EAF247E9}</author>
    <author>tc={39086077-FE03-417B-9489-B5595C5E6481}</author>
    <author>tc={5A1CCB3B-9601-48DF-85A7-841F04CC3D40}</author>
    <author>tc={AC3198E7-2F0E-41DF-A625-1AA72EEE433D}</author>
  </authors>
  <commentList>
    <comment ref="I3" authorId="0" shapeId="0" xr:uid="{308E9F75-9E87-4B3B-B582-1A52BDF5C604}">
      <text>
        <r>
          <rPr>
            <b/>
            <sz val="9"/>
            <color indexed="81"/>
            <rFont val="Segoe UI"/>
            <family val="2"/>
          </rPr>
          <t xml:space="preserve">Troca de Condutor:
</t>
        </r>
        <r>
          <rPr>
            <sz val="9"/>
            <color indexed="81"/>
            <rFont val="Segoe UI"/>
            <family val="2"/>
          </rPr>
          <t xml:space="preserve">de 02/06/2025 a 11/06/2025 o Polo STZ7D92 era de Alain e no dia 11/06/2025 às 07:30h foi transferido para Alverson, decisão tomada em conjunto entre Alain, Breno e Alverson.
</t>
        </r>
      </text>
    </comment>
    <comment ref="I4" authorId="0" shapeId="0" xr:uid="{999E9B4A-22C1-4955-AA21-7BD819A82325}">
      <text>
        <r>
          <rPr>
            <b/>
            <sz val="9"/>
            <color indexed="81"/>
            <rFont val="Segoe UI"/>
            <family val="2"/>
          </rPr>
          <t xml:space="preserve">Troca de Condutor:
</t>
        </r>
        <r>
          <rPr>
            <sz val="9"/>
            <color indexed="81"/>
            <rFont val="Segoe UI"/>
            <family val="2"/>
          </rPr>
          <t>de 02/06/2025 a 11/06/2025 o Polo STZ7D92 era de Alain e no dia 11/06/2025 às 07:30h foi transferido para Alverson, decisão tomada em conjunto entre Alain, Breno e Alverson.</t>
        </r>
        <r>
          <rPr>
            <b/>
            <sz val="9"/>
            <color indexed="81"/>
            <rFont val="Segoe UI"/>
            <family val="2"/>
          </rPr>
          <t xml:space="preserve">
Troca de Condutor 2:
</t>
        </r>
        <r>
          <rPr>
            <sz val="9"/>
            <color indexed="81"/>
            <rFont val="Segoe UI"/>
            <family val="2"/>
          </rPr>
          <t xml:space="preserve">Polo STZ7D92 que estava sendo utilizado por Alverson desde o dia 11/06/2025 foi transferido Idalecio em 12/08/2025 devido este modelo ser 15cm mais alto que o Onix. E o Onix PVR3B92  que foi locado por Idalecio em 02/07/2025 foi repassado para o Alverson no dia 12/08/2025. 
</t>
        </r>
      </text>
    </comment>
    <comment ref="I5" authorId="1" shapeId="0" xr:uid="{F73E923E-CA2D-4153-933D-9933CF157471}">
      <text>
        <t>[Comentário encadeado]
Sua versão do Excel permite que você leia este comentário encadeado, no entanto, as edições serão removidas se o arquivo for aberto em uma versão mais recente do Excel. Saiba mais: https://go.microsoft.com/fwlink/?linkid=870924
Comentário:
    Polo STZ7D92 que estava com Idalecio ficou temporariamente com Yanca a partir de 05/12/2025 e foi seguindo com ela, até que em 10/02/2026 Alverson site manager confirmou que está definitivamente com Yanca.</t>
      </text>
    </comment>
    <comment ref="B30" authorId="0" shapeId="0" xr:uid="{C3729F14-F545-450C-ADD3-C0C12B18E284}">
      <text>
        <r>
          <rPr>
            <b/>
            <sz val="9"/>
            <color indexed="81"/>
            <rFont val="Segoe UI"/>
            <family val="2"/>
          </rPr>
          <t>Administrativo2:</t>
        </r>
        <r>
          <rPr>
            <sz val="9"/>
            <color indexed="81"/>
            <rFont val="Segoe UI"/>
            <family val="2"/>
          </rPr>
          <t xml:space="preserve">
STZ7D92 Retirado em 02/06/2025
</t>
        </r>
      </text>
    </comment>
    <comment ref="C30" authorId="0" shapeId="0" xr:uid="{11D67524-2804-4A8B-B15C-80BF279B4EC4}">
      <text>
        <r>
          <rPr>
            <b/>
            <sz val="9"/>
            <color indexed="81"/>
            <rFont val="Segoe UI"/>
            <family val="2"/>
          </rPr>
          <t xml:space="preserve">Troca de Condutor:
</t>
        </r>
        <r>
          <rPr>
            <sz val="9"/>
            <color indexed="81"/>
            <rFont val="Segoe UI"/>
            <family val="2"/>
          </rPr>
          <t xml:space="preserve">Polo STZ7D92 do dia 02/06/2025 a 10/06/25 era de Alain e no dia 11/06/2025 com 33465km foi repassado para Alverson.
</t>
        </r>
      </text>
    </comment>
    <comment ref="C38" authorId="0" shapeId="0" xr:uid="{E23C42D5-F270-4B24-B137-532EDA867651}">
      <text>
        <r>
          <rPr>
            <b/>
            <sz val="9"/>
            <color indexed="81"/>
            <rFont val="Segoe UI"/>
            <family val="2"/>
          </rPr>
          <t>em 12/08/2025 Polo STZ7D92 transferido de Alverson para Idalecio</t>
        </r>
        <r>
          <rPr>
            <sz val="9"/>
            <color indexed="81"/>
            <rFont val="Segoe UI"/>
            <family val="2"/>
          </rPr>
          <t xml:space="preserve">
</t>
        </r>
      </text>
    </comment>
    <comment ref="C46" authorId="0" shapeId="0" xr:uid="{AF6C751B-4349-485A-933A-730FD1C92020}">
      <text>
        <r>
          <rPr>
            <b/>
            <sz val="9"/>
            <color indexed="81"/>
            <rFont val="Segoe UI"/>
            <family val="2"/>
          </rPr>
          <t xml:space="preserve">No período de folga de Idalecio 10 a 20/10/25 - veículo disponibilizado a Yanca
</t>
        </r>
        <r>
          <rPr>
            <sz val="9"/>
            <color indexed="81"/>
            <rFont val="Segoe UI"/>
            <family val="2"/>
          </rPr>
          <t xml:space="preserve">
</t>
        </r>
      </text>
    </comment>
    <comment ref="B54" authorId="0" shapeId="0" xr:uid="{1177DB41-267C-42E8-A4D1-894A8E59E425}">
      <text>
        <r>
          <rPr>
            <b/>
            <sz val="9"/>
            <color indexed="81"/>
            <rFont val="Segoe UI"/>
            <family val="2"/>
          </rPr>
          <t>Veículo com Yanca de 05.12 a 05.01.26</t>
        </r>
        <r>
          <rPr>
            <sz val="9"/>
            <color indexed="81"/>
            <rFont val="Segoe UI"/>
            <family val="2"/>
          </rPr>
          <t xml:space="preserve">
</t>
        </r>
      </text>
    </comment>
    <comment ref="E58" authorId="2" shapeId="0" xr:uid="{E9469BEB-52D6-4D9E-B5B1-31D565BE548A}">
      <text>
        <t>[Comentário encadeado]
Sua versão do Excel permite que você leia este comentário encadeado, no entanto, as edições serão removidas se o arquivo for aberto em uma versão mais recente do Excel. Saiba mais: https://go.microsoft.com/fwlink/?linkid=870924
Comentário:
    Utilizado por Yanca desde antes do recesso de final de ano até o final de janeiro - teve ocorrência de avaria no para-choque e amassado na parte inferior da porta do motorista (informei que este o custo seria dela)</t>
      </text>
    </comment>
    <comment ref="B66" authorId="3" shapeId="0" xr:uid="{21B050A0-0908-4E55-9C33-6589EAF247E9}">
      <text>
        <t>[Comentário encadeado]
Sua versão do Excel permite que você leia este comentário encadeado, no entanto, as edições serão removidas se o arquivo for aberto em uma versão mais recente do Excel. Saiba mais: https://go.microsoft.com/fwlink/?linkid=870924
Comentário:
    07 a 09/03/26 esteve em João Camara 75km de Lajes - uso estimado 150km (não houve solicitação)</t>
      </text>
    </comment>
    <comment ref="E66" authorId="4" shapeId="0" xr:uid="{39086077-FE03-417B-9489-B5595C5E6481}">
      <text>
        <t>[Comentário encadeado]
Sua versão do Excel permite que você leia este comentário encadeado, no entanto, as edições serão removidas se o arquivo for aberto em uma versão mais recente do Excel. Saiba mais: https://go.microsoft.com/fwlink/?linkid=870924
Comentário:
    Yanca de férias a partir de 13/03 - João neto estará responsável pelo veículo até o dia 20/03/26</t>
      </text>
    </comment>
    <comment ref="E70" authorId="5" shapeId="0" xr:uid="{5A1CCB3B-9601-48DF-85A7-841F04CC3D40}">
      <text>
        <t>[Comentário encadeado]
Sua versão do Excel permite que você leia este comentário encadeado, no entanto, as edições serão removidas se o arquivo for aberto em uma versão mais recente do Excel. Saiba mais: https://go.microsoft.com/fwlink/?linkid=870924
Comentário:
    Devolução_substituição 25/04/26</t>
      </text>
    </comment>
    <comment ref="D74" authorId="6" shapeId="0" xr:uid="{AC3198E7-2F0E-41DF-A625-1AA72EEE433D}">
      <text>
        <t>[Comentário encadeado]
Sua versão do Excel permite que você leia este comentário encadeado, no entanto, as edições serão removidas se o arquivo for aberto em uma versão mais recente do Excel. Saiba mais: https://go.microsoft.com/fwlink/?linkid=870924
Comentário:
    Substituição_Retirada 25/04/26</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Administrativo2</author>
    <author>tc={7C5F6271-4EF3-4F96-87E7-C23EEE5E91CD}</author>
  </authors>
  <commentList>
    <comment ref="I3" authorId="0" shapeId="0" xr:uid="{85CD54BD-F5F5-4815-B682-96EB70287659}">
      <text>
        <r>
          <rPr>
            <b/>
            <sz val="9"/>
            <color indexed="81"/>
            <rFont val="Segoe UI"/>
            <family val="2"/>
          </rPr>
          <t xml:space="preserve">Troca de Condutor:
</t>
        </r>
        <r>
          <rPr>
            <sz val="9"/>
            <color indexed="81"/>
            <rFont val="Segoe UI"/>
            <family val="2"/>
          </rPr>
          <t xml:space="preserve">
Onix PVR3B92 - Este veículo foi locado por Idalecio em 02/07/2025 e ficou sendo utilizado por ele até 12/08/2025, após foi transferido para Alverson e o Polo STZ7D92 que estava sendo utilizado por Alverson foi passado para o Idalecio - Devido o Polo ser 15cm mais alto que o Onix .
</t>
        </r>
      </text>
    </comment>
    <comment ref="I5" authorId="0" shapeId="0" xr:uid="{F3154ABD-8066-40B6-900D-2C0C0663413F}">
      <text>
        <r>
          <rPr>
            <b/>
            <sz val="9"/>
            <color indexed="81"/>
            <rFont val="Segoe UI"/>
            <family val="2"/>
          </rPr>
          <t xml:space="preserve">Troca de Condutor:
</t>
        </r>
        <r>
          <rPr>
            <sz val="9"/>
            <color indexed="81"/>
            <rFont val="Segoe UI"/>
            <family val="2"/>
          </rPr>
          <t xml:space="preserve">
24/02/2026 - Polo TJL7E95 17.956km - Na desmobilização de Alverson ficou alinhado de que o veículo permaneceria no projeto, ficando com Idalecio até a chegada de Elisson em 02/03/26.
</t>
        </r>
      </text>
    </comment>
    <comment ref="B33" authorId="0" shapeId="0" xr:uid="{6A1128DE-BAD5-45B0-A1ED-29F52DBD7EBF}">
      <text>
        <r>
          <rPr>
            <sz val="9"/>
            <color indexed="81"/>
            <rFont val="Segoe UI"/>
            <family val="2"/>
          </rPr>
          <t xml:space="preserve">Onix PVR3B92 retirado em 02/07/2025
</t>
        </r>
      </text>
    </comment>
    <comment ref="C37" authorId="0" shapeId="0" xr:uid="{6B66C6FC-0B3E-421A-A3CF-D828051964DB}">
      <text>
        <r>
          <rPr>
            <sz val="9"/>
            <color indexed="81"/>
            <rFont val="Segoe UI"/>
            <family val="2"/>
          </rPr>
          <t xml:space="preserve">em 12/08/2025 o Onix PVR3B92 - transferido de Idalecio para Alverson
</t>
        </r>
      </text>
    </comment>
    <comment ref="E37" authorId="0" shapeId="0" xr:uid="{2DC6DCA6-77A4-47CD-8CE2-E8CED875D432}">
      <text>
        <r>
          <rPr>
            <b/>
            <sz val="9"/>
            <color indexed="81"/>
            <rFont val="Segoe UI"/>
            <family val="2"/>
          </rPr>
          <t>Devolução_Substituição Onix PVR3B92 - 23/08/2025</t>
        </r>
        <r>
          <rPr>
            <sz val="9"/>
            <color indexed="81"/>
            <rFont val="Segoe UI"/>
            <family val="2"/>
          </rPr>
          <t xml:space="preserve">
</t>
        </r>
      </text>
    </comment>
    <comment ref="Y37" authorId="0" shapeId="0" xr:uid="{8B6D7743-F2D5-41BC-B30F-4B324D6F9DD4}">
      <text>
        <r>
          <rPr>
            <b/>
            <sz val="9"/>
            <color indexed="81"/>
            <rFont val="Segoe UI"/>
            <family val="2"/>
          </rPr>
          <t>Alverson levou o Onix para o lava-jato de Brito em Lajes</t>
        </r>
        <r>
          <rPr>
            <sz val="9"/>
            <color indexed="81"/>
            <rFont val="Segoe UI"/>
            <family val="2"/>
          </rPr>
          <t xml:space="preserve">
</t>
        </r>
      </text>
    </comment>
    <comment ref="D41" authorId="0" shapeId="0" xr:uid="{6F5CC710-43AF-4329-8955-0E403B8B73E3}">
      <text>
        <r>
          <rPr>
            <b/>
            <sz val="9"/>
            <color indexed="81"/>
            <rFont val="Segoe UI"/>
            <family val="2"/>
          </rPr>
          <t xml:space="preserve">Substituição retirada Polo TJL7E95 - 23/08/2025
</t>
        </r>
        <r>
          <rPr>
            <sz val="9"/>
            <color indexed="81"/>
            <rFont val="Segoe UI"/>
            <family val="2"/>
          </rPr>
          <t xml:space="preserve">
</t>
        </r>
      </text>
    </comment>
    <comment ref="Y41" authorId="0" shapeId="0" xr:uid="{AF3E9BD1-696B-4892-B41E-6D935555135F}">
      <text>
        <r>
          <rPr>
            <b/>
            <sz val="9"/>
            <color indexed="81"/>
            <rFont val="Segoe UI"/>
            <family val="2"/>
          </rPr>
          <t>Alverson levou o Onix para o lava-jato de Brito em Lajes</t>
        </r>
        <r>
          <rPr>
            <sz val="9"/>
            <color indexed="81"/>
            <rFont val="Segoe UI"/>
            <family val="2"/>
          </rPr>
          <t xml:space="preserve">
</t>
        </r>
      </text>
    </comment>
    <comment ref="E65" authorId="1" shapeId="0" xr:uid="{7C5F6271-4EF3-4F96-87E7-C23EEE5E91CD}">
      <text>
        <t>[Comentário encadeado]
Sua versão do Excel permite que você leia este comentário encadeado, no entanto, as edições serão removidas se o arquivo for aberto em uma versão mais recente do Excel. Saiba mais: https://go.microsoft.com/fwlink/?linkid=870924
Comentário:
    Troca de Condutor:
24/02/2026 - Polo TJL7E95 17.956km - Na desmobilização de Alverson ficou alinhado de que o veículo permaneceria no projeto, ficando com Idalecio até a chegada de Elisson em 02/03/26.</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Administrativo2</author>
    <author>tc={6BDD0839-25CE-4BFF-84CF-99FFE0A986EE}</author>
    <author>tc={C1F56FA6-2E76-4EA7-A7EB-82777439A193}</author>
    <author>tc={35A7AD48-312E-4C93-B56C-3ED44BA68624}</author>
    <author>tc={8ED5A2DC-945D-4FC1-B1BB-4B1A9E723BF0}</author>
  </authors>
  <commentList>
    <comment ref="I3" authorId="0" shapeId="0" xr:uid="{C62725A2-6045-49BD-8C76-98AB79B1A57E}">
      <text>
        <r>
          <rPr>
            <b/>
            <sz val="9"/>
            <color indexed="81"/>
            <rFont val="Segoe UI"/>
            <family val="2"/>
          </rPr>
          <t>Administrativo2:</t>
        </r>
        <r>
          <rPr>
            <sz val="9"/>
            <color indexed="81"/>
            <rFont val="Segoe UI"/>
            <family val="2"/>
          </rPr>
          <t xml:space="preserve">
Veículo locado por Wildson e em Janeiro/2026 foi transferido para Ubiratan</t>
        </r>
      </text>
    </comment>
    <comment ref="I4" authorId="1" shapeId="0" xr:uid="{6BDD0839-25CE-4BFF-84CF-99FFE0A986E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Na desmobilização de Ubiratan em 08/05/26 o carro dele TJF8C34 ficou com Ilo Hilton por estar com km mais baixa e o de Ilo DHQ9H62 é que foi devolvido por estar acima de 60.000km.
</t>
      </text>
    </comment>
    <comment ref="B41" authorId="0" shapeId="0" xr:uid="{8052D03B-ABE6-4E45-BA94-F800BC47EAD8}">
      <text>
        <r>
          <rPr>
            <b/>
            <sz val="9"/>
            <color indexed="81"/>
            <rFont val="Segoe UI"/>
            <family val="2"/>
          </rPr>
          <t xml:space="preserve">Polo TJF8C34 - locado em 11/09/2025 1.808km </t>
        </r>
        <r>
          <rPr>
            <sz val="9"/>
            <color indexed="81"/>
            <rFont val="Segoe UI"/>
            <family val="2"/>
          </rPr>
          <t xml:space="preserve">
</t>
        </r>
      </text>
    </comment>
    <comment ref="D45" authorId="0" shapeId="0" xr:uid="{CD249DF9-5C9F-40AE-9DF1-07A017BA1CE2}">
      <text>
        <r>
          <rPr>
            <b/>
            <sz val="9"/>
            <color indexed="81"/>
            <rFont val="Segoe UI"/>
            <family val="2"/>
          </rPr>
          <t>Veículo utilizado por Roberto Marinho durante a folga de Wildson - 24.10 a 31.10.25</t>
        </r>
        <r>
          <rPr>
            <sz val="9"/>
            <color indexed="81"/>
            <rFont val="Segoe UI"/>
            <family val="2"/>
          </rPr>
          <t xml:space="preserve">
</t>
        </r>
      </text>
    </comment>
    <comment ref="C53" authorId="0" shapeId="0" xr:uid="{C2CAB3A7-3E0E-4C68-A617-7BB53B570304}">
      <text>
        <r>
          <rPr>
            <b/>
            <sz val="9"/>
            <color indexed="81"/>
            <rFont val="Segoe UI"/>
            <family val="2"/>
          </rPr>
          <t>de 17 a 18/12/25 veículo ficou com Roberto Sobrinho e de 19/12 a 04/01/26 veículo ficará com Idalecio (o carro de Idalecio está com Yanca). Folga de Wildson de 17/12 a 04/01/26.</t>
        </r>
        <r>
          <rPr>
            <sz val="9"/>
            <color indexed="81"/>
            <rFont val="Segoe UI"/>
            <family val="2"/>
          </rPr>
          <t xml:space="preserve">
</t>
        </r>
      </text>
    </comment>
    <comment ref="B57" authorId="2" shapeId="0" xr:uid="{C1F56FA6-2E76-4EA7-A7EB-82777439A193}">
      <text>
        <t>[Comentário encadeado]
Sua versão do Excel permite que você leia este comentário encadeado, no entanto, as edições serão removidas se o arquivo for aberto em uma versão mais recente do Excel. Saiba mais: https://go.microsoft.com/fwlink/?linkid=870924
Comentário:
    Veículo transferido para Ubiratan em 10/01/2026 com 8.709km</t>
      </text>
    </comment>
    <comment ref="C73" authorId="3" shapeId="0" xr:uid="{35A7AD48-312E-4C93-B56C-3ED44BA6862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Na desmobilização de Ubiratan em 08/05/26 o carro dele TJF8C34 ficou com Ilo Hilton por estar com km mais baixa e o de Ilo DHQ9H62 é que foi devolvido por estar acima de 60.000km.
</t>
      </text>
    </comment>
    <comment ref="E73" authorId="4" shapeId="0" xr:uid="{8ED5A2DC-945D-4FC1-B1BB-4B1A9E723BF0}">
      <text>
        <t>[Comentário encadeado]
Sua versão do Excel permite que você leia este comentário encadeado, no entanto, as edições serão removidas se o arquivo for aberto em uma versão mais recente do Excel. Saiba mais: https://go.microsoft.com/fwlink/?linkid=870924
Comentário:
    25 a 29/05/26 - veículo ficou com idalecio, Ilo Hilton estava de baixada</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Administrativo2</author>
    <author>tc={97DEAC73-BA45-44B6-B1CE-FDEA7F4BCC62}</author>
    <author>tc={296D57EA-F76D-41BE-80D5-0D631BC4E26F}</author>
    <author>tc={32E5BDD5-E0D1-4C6C-99A3-423512E09E8E}</author>
    <author>tc={2D269A78-88B2-4295-8D76-90C0543DE4A3}</author>
  </authors>
  <commentList>
    <comment ref="I3" authorId="0" shapeId="0" xr:uid="{C1FAA9D8-D5F0-4C2C-BC17-AD5BDB0822D8}">
      <text>
        <r>
          <rPr>
            <b/>
            <sz val="9"/>
            <color indexed="81"/>
            <rFont val="Segoe UI"/>
            <family val="2"/>
          </rPr>
          <t>Administrativo2:</t>
        </r>
        <r>
          <rPr>
            <sz val="9"/>
            <color indexed="81"/>
            <rFont val="Segoe UI"/>
            <family val="2"/>
          </rPr>
          <t xml:space="preserve">
veículo foi locado em 09/01/2026 e em Tiago saiu do projeto em 22/01/2026 e a partir disso o veículo ficou com Wildson, recebeu o carro com 19.700km.</t>
        </r>
      </text>
    </comment>
    <comment ref="B12" authorId="1" shapeId="0" xr:uid="{97DEAC73-BA45-44B6-B1CE-FDEA7F4BCC6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Locação 09/01/2026
</t>
      </text>
    </comment>
    <comment ref="E12" authorId="2" shapeId="0" xr:uid="{296D57EA-F76D-41BE-80D5-0D631BC4E26F}">
      <text>
        <t>[Comentário encadeado]
Sua versão do Excel permite que você leia este comentário encadeado, no entanto, as edições serão removidas se o arquivo for aberto em uma versão mais recente do Excel. Saiba mais: https://go.microsoft.com/fwlink/?linkid=870924
Comentário:
    Veículo transferido para Wildson em 22/01/2026 com 19.700km</t>
      </text>
    </comment>
    <comment ref="B24" authorId="3" shapeId="0" xr:uid="{32E5BDD5-E0D1-4C6C-99A3-423512E09E8E}">
      <text>
        <t>[Comentário encadeado]
Sua versão do Excel permite que você leia este comentário encadeado, no entanto, as edições serão removidas se o arquivo for aberto em uma versão mais recente do Excel. Saiba mais: https://go.microsoft.com/fwlink/?linkid=870924
Comentário:
    10 a 16/04/26 - veículo com Roberto Mendes durante folga de Wildson</t>
      </text>
    </comment>
    <comment ref="E28" authorId="4" shapeId="0" xr:uid="{2D269A78-88B2-4295-8D76-90C0543DE4A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29 a 31/05/26 - utilizado por Marcilio e Idalecio festa da Proyfe Brasil (apenas idalecio e alverson compareceu)
Responder:
    Uso particular 15 anos Proyfe Brasil - Idalecio e Alverson - 29/05 27.930km a 01/06/26 28.892km Lajes x Jaboatão dos Guararapes - utilizado 962km - entregou o veículo sem abastecer e sem registrar as fotos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tc={D2AF8ADC-C5B6-44A7-83C3-FBF96333D9C7}</author>
    <author>tc={9479F9B0-CB73-4499-90BA-6BF0D6E0ECCA}</author>
    <author>tc={89283A3A-9962-4264-B62D-EA37ED3BB3FE}</author>
    <author>tc={4F293CFA-ECAC-4856-883D-80F7DA4E11FB}</author>
    <author>tc={F3C960E0-365A-4A90-A2DD-6012C5FFF7B4}</author>
  </authors>
  <commentList>
    <comment ref="E2" authorId="0" shapeId="0" xr:uid="{D2AF8ADC-C5B6-44A7-83C3-FBF96333D9C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Veículo era de Eider Breno e foi devolvido em 31/01/2026 por Marcilio - seria retirado um novo veículo porém foi locado novamente o mesmo carro na mesma data, devido a indisponibilidade de outros veículos com km baixa, os demais estavam acima de 50.000km.
 - Marcilio transferiu para Mizael em 08/02/2026
</t>
      </text>
    </comment>
    <comment ref="I3" authorId="1" shapeId="0" xr:uid="{9479F9B0-CB73-4499-90BA-6BF0D6E0ECC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Veículo era de Eider Breno e foi devolvido em 31/01/2026 por Marcilio - seria retirado um novo veículo porém foi locado novamente o mesmo carro na mesma data, devido a indisponibilidade de outros veículos com km baixa, os demais estavam acima de 50.000km.
 - Marcilio transferiu para Mizael em 08/02/2026
</t>
      </text>
    </comment>
    <comment ref="B12" authorId="2" shapeId="0" xr:uid="{89283A3A-9962-4264-B62D-EA37ED3BB3F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Retirada 31/01/2026
Veículo era de Eider Breno e foi devolvido em 31/01/2026 por Marcilio - seria retirado um novo veículo porém foi locado novamente o mesmo carro na mesma data, devido a indisponibilidade de outros veículos com km baixa, os demais estavam acima de 50.000km.
</t>
      </text>
    </comment>
    <comment ref="E16" authorId="3" shapeId="0" xr:uid="{4F293CFA-ECAC-4856-883D-80F7DA4E11FB}">
      <text>
        <t>[Comentário encadeado]
Sua versão do Excel permite que você leia este comentário encadeado, no entanto, as edições serão removidas se o arquivo for aberto em uma versão mais recente do Excel. Saiba mais: https://go.microsoft.com/fwlink/?linkid=870924
Comentário:
    Folga Mizael 26/03 a 05/04/26 - veículo parado no residencial Bela vista em Lajes e chave com Rigoberto.</t>
      </text>
    </comment>
    <comment ref="E24" authorId="4" shapeId="0" xr:uid="{F3C960E0-365A-4A90-A2DD-6012C5FFF7B4}">
      <text>
        <t>[Comentário encadeado]
Sua versão do Excel permite que você leia este comentário encadeado, no entanto, as edições serão removidas se o arquivo for aberto em uma versão mais recente do Excel. Saiba mais: https://go.microsoft.com/fwlink/?linkid=870924
Comentário:
    25 a 31/05/26 - folga de mizael, veículo com Elisson)</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tc={F9CFA730-3153-4853-B996-4A8BADC799B6}</author>
    <author>tc={6F367A77-E58B-4A99-8F24-870478800954}</author>
    <author>tc={76BE21E8-4416-430C-B8B0-5E5821CD4A3E}</author>
  </authors>
  <commentList>
    <comment ref="I3" authorId="0" shapeId="0" xr:uid="{F9CFA730-3153-4853-B996-4A8BADC799B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Locado por Marcilio 10/01/26 e transferido para Rigoberto em 12/01/2026
</t>
      </text>
    </comment>
    <comment ref="B11" authorId="1" shapeId="0" xr:uid="{6F367A77-E58B-4A99-8F24-87047880095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Locado 10/01/2026
</t>
      </text>
    </comment>
    <comment ref="E11" authorId="2" shapeId="0" xr:uid="{76BE21E8-4416-430C-B8B0-5E5821CD4A3E}">
      <text>
        <t>[Comentário encadeado]
Sua versão do Excel permite que você leia este comentário encadeado, no entanto, as edições serão removidas se o arquivo for aberto em uma versão mais recente do Excel. Saiba mais: https://go.microsoft.com/fwlink/?linkid=870924
Comentário:
    Veículo transferido de Marcilio para Rigoberto em 12/01/2026 49.321KM</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tc={6CB31E5E-6D40-470B-9DB3-F03EB29C870E}</author>
    <author>tc={C846CC74-30C5-4A95-A95B-DB56B8048291}</author>
    <author>tc={B578FEF2-82EC-468A-AE9B-10506F171D6A}</author>
    <author>tc={617C49C6-D543-4D56-A2FF-A29AF0D4FE2B}</author>
  </authors>
  <commentList>
    <comment ref="B11" authorId="0" shapeId="0" xr:uid="{6CB31E5E-6D40-470B-9DB3-F03EB29C870E}">
      <text>
        <t>[Comentário encadeado]
Sua versão do Excel permite que você leia este comentário encadeado, no entanto, as edições serão removidas se o arquivo for aberto em uma versão mais recente do Excel. Saiba mais: https://go.microsoft.com/fwlink/?linkid=870924
Comentário:
    Locado 09/02/2026</t>
      </text>
    </comment>
    <comment ref="E15" authorId="1" shapeId="0" xr:uid="{C846CC74-30C5-4A95-A95B-DB56B8048291}">
      <text>
        <t>[Comentário encadeado]
Sua versão do Excel permite que você leia este comentário encadeado, no entanto, as edições serão removidas se o arquivo for aberto em uma versão mais recente do Excel. Saiba mais: https://go.microsoft.com/fwlink/?linkid=870924
Comentário:
    18 a 19/03/26 - Bruno precisou levar Savio em Salgueiro PE (emergência com a mãe de Sávio) - utilizado 1.189km</t>
      </text>
    </comment>
    <comment ref="B23" authorId="2" shapeId="0" xr:uid="{B578FEF2-82EC-468A-AE9B-10506F171D6A}">
      <text>
        <t>[Comentário encadeado]
Sua versão do Excel permite que você leia este comentário encadeado, no entanto, as edições serão removidas se o arquivo for aberto em uma versão mais recente do Excel. Saiba mais: https://go.microsoft.com/fwlink/?linkid=870924
Comentário:
    01/05/26 - Ida a São Miguel do Gostoso para uma atividade extra solicitada por Jaqueline</t>
      </text>
    </comment>
    <comment ref="E23" authorId="3" shapeId="0" xr:uid="{617C49C6-D543-4D56-A2FF-A29AF0D4FE2B}">
      <text>
        <t>[Comentário encadeado]
Sua versão do Excel permite que você leia este comentário encadeado, no entanto, as edições serão removidas se o arquivo for aberto em uma versão mais recente do Excel. Saiba mais: https://go.microsoft.com/fwlink/?linkid=870924
Comentário:
    Devolução 29/05/2026
Responder:
    Devolvido 29/05/2026</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Administrativo2</author>
    <author>tc={FAB9B970-D46A-4693-B025-B5A5398C0305}</author>
    <author>tc={E9DB949B-2706-40F7-906A-99684E2F9CC5}</author>
  </authors>
  <commentList>
    <comment ref="I4" authorId="0" shapeId="0" xr:uid="{0989697B-E89C-4B14-97D9-FEE292B3AD95}">
      <text>
        <r>
          <rPr>
            <sz val="9"/>
            <color indexed="81"/>
            <rFont val="Segoe UI"/>
            <family val="2"/>
          </rPr>
          <t xml:space="preserve">Veículo Polo DHQ9H62 retirado na locadora no sábado 11/10/2025 por Marcilio para ser entregue a Ilo Hilton na segunda-feira 13/10/2025 
</t>
        </r>
      </text>
    </comment>
    <comment ref="K4" authorId="1" shapeId="0" xr:uid="{FAB9B970-D46A-4693-B025-B5A5398C030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Na desmobilização de Ubiratan em 08/05/26 o carro dele TJF8C34 ficou com Ilo Hilton por estar com km mais baixa e o de Ilo DHQ9H62 é que foi devolvido por estar acima de 60.000km.
</t>
      </text>
    </comment>
    <comment ref="B43" authorId="0" shapeId="0" xr:uid="{4125C173-16FF-4026-98BE-41DEE67169E5}">
      <text>
        <r>
          <rPr>
            <sz val="9"/>
            <color indexed="81"/>
            <rFont val="Segoe UI"/>
            <family val="2"/>
          </rPr>
          <t xml:space="preserve">Retirada Polo DHQ9H62 11/10/2025
</t>
        </r>
      </text>
    </comment>
    <comment ref="C71" authorId="2" shapeId="0" xr:uid="{E9DB949B-2706-40F7-906A-99684E2F9CC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Na desmobilização de Ubiratan em 08/05/26 o carro dele TJF8C34 ficou com Ilo Hilton por estar com km mais baixa e o de Ilo DHQ9H62 é que foi devolvido por estar acima de 60.000km.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Administrativo2</author>
    <author>Recepção</author>
    <author>tc={804461CA-65C4-4621-A6A2-A4363F300943}</author>
    <author>tc={4468CD85-08E5-46AF-BAC3-ACD8BDE71D56}</author>
  </authors>
  <commentList>
    <comment ref="I3" authorId="0" shapeId="0" xr:uid="{DDA88BEF-0A1B-4BE0-8EBC-3004A5EF8AC9}">
      <text>
        <r>
          <rPr>
            <b/>
            <sz val="9"/>
            <color indexed="81"/>
            <rFont val="Segoe UI"/>
            <family val="2"/>
          </rPr>
          <t>Administrativo2:</t>
        </r>
        <r>
          <rPr>
            <sz val="9"/>
            <color indexed="81"/>
            <rFont val="Segoe UI"/>
            <family val="2"/>
          </rPr>
          <t xml:space="preserve">
de 26/02/2025 a 11/06/2025 a S10 TDP1E16 era de Breno e no dia 11/06/2025 foi transferido para Alain.</t>
        </r>
      </text>
    </comment>
    <comment ref="M15" authorId="0" shapeId="0" xr:uid="{390F93AC-DB26-4564-996D-EF2330AD6525}">
      <text>
        <r>
          <rPr>
            <b/>
            <sz val="9"/>
            <color indexed="81"/>
            <rFont val="Segoe UI"/>
            <family val="2"/>
          </rPr>
          <t>Administrativo2:</t>
        </r>
        <r>
          <rPr>
            <sz val="9"/>
            <color indexed="81"/>
            <rFont val="Segoe UI"/>
            <family val="2"/>
          </rPr>
          <t xml:space="preserve">
Uso Particular de 15 a 16/03/2025
</t>
        </r>
      </text>
    </comment>
    <comment ref="B16" authorId="1" shapeId="0" xr:uid="{618166BF-EDAA-4194-8455-0008F3F484F7}">
      <text>
        <r>
          <rPr>
            <b/>
            <sz val="9"/>
            <color indexed="81"/>
            <rFont val="Segoe UI"/>
            <family val="2"/>
          </rPr>
          <t>Recepção:</t>
        </r>
        <r>
          <rPr>
            <sz val="9"/>
            <color indexed="81"/>
            <rFont val="Segoe UI"/>
            <family val="2"/>
          </rPr>
          <t xml:space="preserve">
Uso particular carnaval 28/02 405km - 05/03/2025 817km</t>
        </r>
      </text>
    </comment>
    <comment ref="D16" authorId="1" shapeId="0" xr:uid="{4B2BE469-5A59-496A-9F86-125C038F0878}">
      <text>
        <r>
          <rPr>
            <b/>
            <sz val="9"/>
            <color indexed="81"/>
            <rFont val="Segoe UI"/>
            <family val="2"/>
          </rPr>
          <t>Recepção:</t>
        </r>
        <r>
          <rPr>
            <sz val="9"/>
            <color indexed="81"/>
            <rFont val="Segoe UI"/>
            <family val="2"/>
          </rPr>
          <t xml:space="preserve">
333km uso particular 15 e 16/03/25</t>
        </r>
      </text>
    </comment>
    <comment ref="K23" authorId="0" shapeId="0" xr:uid="{5968B114-3F0C-475E-9F6E-64714E3F9B20}">
      <text>
        <r>
          <rPr>
            <b/>
            <sz val="9"/>
            <color indexed="81"/>
            <rFont val="Segoe UI"/>
            <family val="2"/>
          </rPr>
          <t>Administrativo2:</t>
        </r>
        <r>
          <rPr>
            <sz val="9"/>
            <color indexed="81"/>
            <rFont val="Segoe UI"/>
            <family val="2"/>
          </rPr>
          <t xml:space="preserve">
Uso Particular 03 a 04/05/25 - Utilizado 305KM</t>
        </r>
      </text>
    </comment>
    <comment ref="M23" authorId="0" shapeId="0" xr:uid="{46D79662-3C6D-41FC-8E23-6B15592B5F47}">
      <text>
        <r>
          <rPr>
            <b/>
            <sz val="9"/>
            <color indexed="81"/>
            <rFont val="Segoe UI"/>
            <family val="2"/>
          </rPr>
          <t>Administrativo2:</t>
        </r>
        <r>
          <rPr>
            <sz val="9"/>
            <color indexed="81"/>
            <rFont val="Segoe UI"/>
            <family val="2"/>
          </rPr>
          <t xml:space="preserve">
Uso Particular 10 a 12/05/2025
</t>
        </r>
      </text>
    </comment>
    <comment ref="B24" authorId="0" shapeId="0" xr:uid="{D36D153E-9790-4285-99A7-0C50A9E646D9}">
      <text>
        <r>
          <rPr>
            <b/>
            <sz val="9"/>
            <color indexed="81"/>
            <rFont val="Segoe UI"/>
            <family val="2"/>
          </rPr>
          <t>Administrativo2:</t>
        </r>
        <r>
          <rPr>
            <sz val="9"/>
            <color indexed="81"/>
            <rFont val="Segoe UI"/>
            <family val="2"/>
          </rPr>
          <t xml:space="preserve">
Uso Particular • Viagem - Lajes / Extremoz / Lajes:
 03 a 04/05/25 - Utilizado 305KM 
• Viagem -  Lajes / Extremoz / Maxaranguape / Extremoz/ Lajes: 
Ida 10/05 KM 8456 - Retorno 12/05 KM 8819 - Utilizado 363KM
</t>
        </r>
      </text>
    </comment>
    <comment ref="D24" authorId="0" shapeId="0" xr:uid="{5E28A5A8-ABE2-4F33-9497-CD82EB2D1B67}">
      <text>
        <r>
          <rPr>
            <b/>
            <sz val="9"/>
            <color indexed="81"/>
            <rFont val="Segoe UI"/>
            <family val="2"/>
          </rPr>
          <t xml:space="preserve">• Viagem Particular - Lajes / Extremoz / Lajes:
</t>
        </r>
        <r>
          <rPr>
            <sz val="9"/>
            <color indexed="81"/>
            <rFont val="Segoe UI"/>
            <family val="2"/>
          </rPr>
          <t>Ida: 17/05/25 9389km
Retorno: 18/05/2025 9774km</t>
        </r>
      </text>
    </comment>
    <comment ref="C28" authorId="0" shapeId="0" xr:uid="{76F0E9CD-D03B-4165-8AAD-A293AC7B8343}">
      <text>
        <r>
          <rPr>
            <b/>
            <sz val="9"/>
            <color indexed="81"/>
            <rFont val="Segoe UI"/>
            <family val="2"/>
          </rPr>
          <t xml:space="preserve">Administrativo2:
</t>
        </r>
        <r>
          <rPr>
            <sz val="9"/>
            <color indexed="81"/>
            <rFont val="Segoe UI"/>
            <family val="2"/>
          </rPr>
          <t xml:space="preserve">
Registro de 11/06/2025 - troca de condutor: Eider Breno repassou a S10 TDP1E16 para Alain - com 12.133km</t>
        </r>
      </text>
    </comment>
    <comment ref="D28" authorId="0" shapeId="0" xr:uid="{FFC8AFE5-C3BB-418E-8D21-0B9D1A71F437}">
      <text>
        <r>
          <rPr>
            <sz val="9"/>
            <color indexed="81"/>
            <rFont val="Segoe UI"/>
            <family val="2"/>
          </rPr>
          <t xml:space="preserve">Alain: 26/06 13970km a 01/07/25 15504km - Utilizado 1.534km
</t>
        </r>
      </text>
    </comment>
    <comment ref="C40" authorId="0" shapeId="0" xr:uid="{7DA1966F-C549-4D76-95AB-3B0AF8367DBF}">
      <text>
        <r>
          <rPr>
            <b/>
            <sz val="9"/>
            <color indexed="81"/>
            <rFont val="Segoe UI"/>
            <family val="2"/>
          </rPr>
          <t xml:space="preserve">S10 TDP1E16 </t>
        </r>
        <r>
          <rPr>
            <sz val="9"/>
            <color indexed="81"/>
            <rFont val="Segoe UI"/>
            <family val="2"/>
          </rPr>
          <t>durante as folgas de Alain no período 12/09 a 22/09/25 o carro ficou sendo utilizado por Breno, o qual alertou no checklist que consta um rasgo no pneu e indicação no painel para fazer a calibragem, Alain ao sir de folga enviou apenas o checklist e nele não consta essa informação, solicitei o envio também do controle de km e fotos</t>
        </r>
        <r>
          <rPr>
            <sz val="9"/>
            <color indexed="81"/>
            <rFont val="Segoe UI"/>
            <family val="2"/>
          </rPr>
          <t xml:space="preserve">
</t>
        </r>
      </text>
    </comment>
    <comment ref="B44" authorId="0" shapeId="0" xr:uid="{AF17C1AF-A6BD-43C6-BA1D-834B7C6AA9C6}">
      <text>
        <r>
          <rPr>
            <b/>
            <sz val="9"/>
            <color indexed="81"/>
            <rFont val="Segoe UI"/>
            <family val="2"/>
          </rPr>
          <t xml:space="preserve">Uso paticular Alain de 03 a 06/10/2025 - de Cerro Corá RN x Delmiro Golveia AL
</t>
        </r>
        <r>
          <rPr>
            <sz val="9"/>
            <color indexed="81"/>
            <rFont val="Segoe UI"/>
            <family val="2"/>
          </rPr>
          <t xml:space="preserve">
</t>
        </r>
      </text>
    </comment>
    <comment ref="C52" authorId="0" shapeId="0" xr:uid="{61F54D27-CD5A-4698-A620-2B8DE8716129}">
      <text>
        <r>
          <rPr>
            <b/>
            <sz val="9"/>
            <color indexed="81"/>
            <rFont val="Segoe UI"/>
            <family val="2"/>
          </rPr>
          <t>uso particular - 23/12 34.792km a 04/01/26</t>
        </r>
        <r>
          <rPr>
            <sz val="9"/>
            <color indexed="81"/>
            <rFont val="Segoe UI"/>
            <family val="2"/>
          </rPr>
          <t xml:space="preserve">
</t>
        </r>
      </text>
    </comment>
    <comment ref="E60" authorId="2" shapeId="0" xr:uid="{804461CA-65C4-4621-A6A2-A4363F300943}">
      <text>
        <t>[Comentário encadeado]
Sua versão do Excel permite que você leia este comentário encadeado, no entanto, as edições serão removidas se o arquivo for aberto em uma versão mais recente do Excel. Saiba mais: https://go.microsoft.com/fwlink/?linkid=870924
Comentário:
    Utilizado por Marcilio na folga de Alain, que retornou em 09/03/26</t>
      </text>
    </comment>
    <comment ref="E64" authorId="3" shapeId="0" xr:uid="{4468CD85-08E5-46AF-BAC3-ACD8BDE71D56}">
      <text>
        <t>[Comentário encadeado]
Sua versão do Excel permite que você leia este comentário encadeado, no entanto, as edições serão removidas se o arquivo for aberto em uma versão mais recente do Excel. Saiba mais: https://go.microsoft.com/fwlink/?linkid=870924
Comentário:
    Devolução 31/03/26</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Administrativo2</author>
    <author>tc={CACF258E-DBC6-4251-A7FA-3BC9986953D9}</author>
  </authors>
  <commentList>
    <comment ref="B47" authorId="0" shapeId="0" xr:uid="{675264D3-F9D1-4931-BA81-E978A379F680}">
      <text>
        <r>
          <rPr>
            <b/>
            <sz val="9"/>
            <color indexed="81"/>
            <rFont val="Segoe UI"/>
            <family val="2"/>
          </rPr>
          <t>Retirada 07/11/2025</t>
        </r>
        <r>
          <rPr>
            <sz val="9"/>
            <color indexed="81"/>
            <rFont val="Segoe UI"/>
            <family val="2"/>
          </rPr>
          <t xml:space="preserve">
</t>
        </r>
      </text>
    </comment>
    <comment ref="C59" authorId="1" shapeId="0" xr:uid="{CACF258E-DBC6-4251-A7FA-3BC9986953D9}">
      <text>
        <t>[Comentário encadeado]
Sua versão do Excel permite que você leia este comentário encadeado, no entanto, as edições serão removidas se o arquivo for aberto em uma versão mais recente do Excel. Saiba mais: https://go.microsoft.com/fwlink/?linkid=870924
Comentário:
    Devolução 07/02/2026</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Administrativo2</author>
    <author>tc={3EBAA879-FA03-40DB-A481-F36F47102465}</author>
  </authors>
  <commentList>
    <comment ref="D32" authorId="0" shapeId="0" xr:uid="{FC5D4589-ABE6-4520-989E-A7069A06BEA9}">
      <text>
        <r>
          <rPr>
            <b/>
            <sz val="9"/>
            <color indexed="81"/>
            <rFont val="Segoe UI"/>
            <family val="2"/>
          </rPr>
          <t xml:space="preserve">Onix SJH8E03 retirado em 23/07/2025
</t>
        </r>
        <r>
          <rPr>
            <sz val="9"/>
            <color indexed="81"/>
            <rFont val="Segoe UI"/>
            <family val="2"/>
          </rPr>
          <t xml:space="preserve">
</t>
        </r>
      </text>
    </comment>
    <comment ref="N35" authorId="0" shapeId="0" xr:uid="{8F250DCF-2D81-41B8-B473-E3A27A6F0A10}">
      <text>
        <r>
          <rPr>
            <b/>
            <sz val="9"/>
            <color indexed="81"/>
            <rFont val="Segoe UI"/>
            <family val="2"/>
          </rPr>
          <t xml:space="preserve">Uso particular Breno de 09 a 10/08
</t>
        </r>
        <r>
          <rPr>
            <sz val="9"/>
            <color indexed="81"/>
            <rFont val="Segoe UI"/>
            <family val="2"/>
          </rPr>
          <t xml:space="preserve">
</t>
        </r>
      </text>
    </comment>
    <comment ref="C36" authorId="0" shapeId="0" xr:uid="{BE968A64-9F83-4A8A-8FF6-3F847584C20B}">
      <text>
        <r>
          <rPr>
            <sz val="9"/>
            <color indexed="81"/>
            <rFont val="Segoe UI"/>
            <family val="2"/>
          </rPr>
          <t xml:space="preserve">veíclo foi utilizado por Breno de 04/08 até 24/08/25 e durante esse período houve uso paraticular do dia 09/08 22679km a 10/08/2025 23021km - Utilizado 342km
</t>
        </r>
      </text>
    </comment>
    <comment ref="E36" authorId="0" shapeId="0" xr:uid="{D95DF1CF-D025-42E1-8041-0E70CD6BD00E}">
      <text>
        <r>
          <rPr>
            <b/>
            <sz val="9"/>
            <color indexed="81"/>
            <rFont val="Segoe UI"/>
            <family val="2"/>
          </rPr>
          <t xml:space="preserve">Uso Particular Onix SJH8E03 - Eider Breno: </t>
        </r>
        <r>
          <rPr>
            <sz val="9"/>
            <color indexed="81"/>
            <rFont val="Segoe UI"/>
            <family val="2"/>
          </rPr>
          <t>30/08/2025 24.626km a 01/09/2025 24.972km - Utilizado 346km
 Eider Breno sinalizou a Alverson  que ao retirar o veículo da garagem de sua residencia bateu o retrovisor (aparentemento lado do carona) na parede, Breno não relatou a avaria para equipe de Frotas ou a Jaqueline, informou apenas a Alverson. Breno não retornou para obra na segunda-feira 01/09/25 porque ficou resolvendo a avaria por conta propria - Comprou outro retrovisor lado direito.</t>
        </r>
        <r>
          <rPr>
            <sz val="9"/>
            <color indexed="81"/>
            <rFont val="Segoe UI"/>
            <family val="2"/>
          </rPr>
          <t xml:space="preserve">
</t>
        </r>
      </text>
    </comment>
    <comment ref="P39" authorId="0" shapeId="0" xr:uid="{C98DEC35-C06E-4769-8F92-5CA0D67C9413}">
      <text>
        <r>
          <rPr>
            <b/>
            <sz val="9"/>
            <color indexed="81"/>
            <rFont val="Segoe UI"/>
            <family val="2"/>
          </rPr>
          <t xml:space="preserve">abastecimento para substituição onix
</t>
        </r>
        <r>
          <rPr>
            <sz val="9"/>
            <color indexed="81"/>
            <rFont val="Segoe UI"/>
            <family val="2"/>
          </rPr>
          <t xml:space="preserve">
</t>
        </r>
      </text>
    </comment>
    <comment ref="E40" authorId="0" shapeId="0" xr:uid="{FD152669-E05D-4AAC-99FC-84B163006330}">
      <text>
        <r>
          <rPr>
            <b/>
            <sz val="9"/>
            <color indexed="81"/>
            <rFont val="Segoe UI"/>
            <family val="2"/>
          </rPr>
          <t xml:space="preserve">Onix SJH8E03 substituido em 01/10/2025
</t>
        </r>
        <r>
          <rPr>
            <sz val="9"/>
            <color indexed="81"/>
            <rFont val="Segoe UI"/>
            <family val="2"/>
          </rPr>
          <t xml:space="preserve">
</t>
        </r>
      </text>
    </comment>
    <comment ref="B44" authorId="0" shapeId="0" xr:uid="{2A9B8AB9-C4E9-469D-91FB-7D2B7765236F}">
      <text>
        <r>
          <rPr>
            <b/>
            <sz val="9"/>
            <color indexed="81"/>
            <rFont val="Segoe UI"/>
            <family val="2"/>
          </rPr>
          <t xml:space="preserve">Substituição_Retirada Argo TWZ9A06 01/10/2025
</t>
        </r>
        <r>
          <rPr>
            <sz val="9"/>
            <color indexed="81"/>
            <rFont val="Segoe UI"/>
            <family val="2"/>
          </rPr>
          <t xml:space="preserve">
</t>
        </r>
      </text>
    </comment>
    <comment ref="D44" authorId="0" shapeId="0" xr:uid="{70E90A43-BDFB-4FE9-AD37-8B2B9ED2B128}">
      <text>
        <r>
          <rPr>
            <b/>
            <sz val="9"/>
            <color indexed="81"/>
            <rFont val="Segoe UI"/>
            <family val="2"/>
          </rPr>
          <t xml:space="preserve">Breno uso particular: </t>
        </r>
        <r>
          <rPr>
            <sz val="9"/>
            <color indexed="81"/>
            <rFont val="Segoe UI"/>
            <family val="2"/>
          </rPr>
          <t xml:space="preserve">14/11 5.911km a 16/11/25 6.254km (Utilizado 343km)
</t>
        </r>
      </text>
    </comment>
    <comment ref="C48" authorId="0" shapeId="0" xr:uid="{BDC030AE-086E-4B3B-9201-DB1E69ACB467}">
      <text>
        <r>
          <rPr>
            <sz val="9"/>
            <color indexed="81"/>
            <rFont val="Segoe UI"/>
            <family val="2"/>
          </rPr>
          <t xml:space="preserve">Breno: uso particular 14/11 5.911km a 16/11/25 6.254km (Utilizado 343km)
</t>
        </r>
      </text>
    </comment>
    <comment ref="E56" authorId="1" shapeId="0" xr:uid="{3EBAA879-FA03-40DB-A481-F36F47102465}">
      <text>
        <t>[Comentário encadeado]
Sua versão do Excel permite que você leia este comentário encadeado, no entanto, as edições serão removidas se o arquivo for aberto em uma versão mais recente do Excel. Saiba mais: https://go.microsoft.com/fwlink/?linkid=870924
Comentário:
    Devolvido em 31/01/2026 por Marcilio e foi locado novamente na mesma data, devido a indisponibilidade de outros veículos com km baixa, os demais estavam acima de 50.000km</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Administrativo2</author>
    <author>tc={218FB36A-94B7-4F90-BB4B-3832A8518313}</author>
  </authors>
  <commentList>
    <comment ref="D39" authorId="0" shapeId="0" xr:uid="{D76A18A2-BC11-4835-9456-F55DFBCAAF73}">
      <text>
        <r>
          <rPr>
            <b/>
            <sz val="9"/>
            <color indexed="81"/>
            <rFont val="Segoe UI"/>
            <family val="2"/>
          </rPr>
          <t xml:space="preserve">S10 PVR4B99 retirado 15/09/2025
</t>
        </r>
        <r>
          <rPr>
            <sz val="9"/>
            <color indexed="81"/>
            <rFont val="Segoe UI"/>
            <family val="2"/>
          </rPr>
          <t xml:space="preserve">
</t>
        </r>
      </text>
    </comment>
    <comment ref="E39" authorId="0" shapeId="0" xr:uid="{16E0A698-485D-4C04-94CB-BD5A237ED3C4}">
      <text>
        <r>
          <rPr>
            <b/>
            <sz val="9"/>
            <color indexed="81"/>
            <rFont val="Segoe UI"/>
            <family val="2"/>
          </rPr>
          <t>S10 PVR4B99 devolvido_substituido em 22/09/2025, devido está apresentando redução de força.</t>
        </r>
        <r>
          <rPr>
            <sz val="9"/>
            <color indexed="81"/>
            <rFont val="Segoe UI"/>
            <family val="2"/>
          </rPr>
          <t xml:space="preserve">
</t>
        </r>
      </text>
    </comment>
    <comment ref="D43" authorId="0" shapeId="0" xr:uid="{99C583FF-758A-4505-9250-09323E0B168C}">
      <text>
        <r>
          <rPr>
            <b/>
            <sz val="9"/>
            <color indexed="81"/>
            <rFont val="Segoe UI"/>
            <family val="2"/>
          </rPr>
          <t>S10 TEZ5D42 - substituição_retirada 22/09/2025</t>
        </r>
        <r>
          <rPr>
            <sz val="9"/>
            <color indexed="81"/>
            <rFont val="Segoe UI"/>
            <family val="2"/>
          </rPr>
          <t xml:space="preserve">
</t>
        </r>
      </text>
    </comment>
    <comment ref="C59" authorId="1" shapeId="0" xr:uid="{218FB36A-94B7-4F90-BB4B-3832A851831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Devolvido em 09/01/2026
</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Recepção</author>
    <author>Administrativo2</author>
  </authors>
  <commentList>
    <comment ref="I4" authorId="0" shapeId="0" xr:uid="{6F3748EB-14AB-4636-AAA1-55D097BDD48E}">
      <text>
        <r>
          <rPr>
            <b/>
            <sz val="9"/>
            <color indexed="81"/>
            <rFont val="Segoe UI"/>
            <family val="2"/>
          </rPr>
          <t>Recepção:</t>
        </r>
        <r>
          <rPr>
            <sz val="9"/>
            <color indexed="81"/>
            <rFont val="Segoe UI"/>
            <family val="2"/>
          </rPr>
          <t xml:space="preserve">
Veículo foi retirado nesta data para atividade do laboratório (sede) e em  foi disponibilizado a Roberto 21/03/2025 para obra Auren Cajuínas</t>
        </r>
      </text>
    </comment>
    <comment ref="K4" authorId="1" shapeId="0" xr:uid="{14923F2B-D9A8-4052-8E58-410257B73F2D}">
      <text>
        <r>
          <rPr>
            <sz val="9"/>
            <color indexed="81"/>
            <rFont val="Segoe UI"/>
            <family val="2"/>
          </rPr>
          <t xml:space="preserve">devolução para efetivar a mudança da quilometragem de 4500 para 3000km.
</t>
        </r>
      </text>
    </comment>
    <comment ref="R22" authorId="1" shapeId="0" xr:uid="{8F847B7B-0AF9-4852-B84B-82AC592F8C1A}">
      <text>
        <r>
          <rPr>
            <b/>
            <sz val="9"/>
            <color indexed="81"/>
            <rFont val="Segoe UI"/>
            <family val="2"/>
          </rPr>
          <t>Administrativo2:</t>
        </r>
        <r>
          <rPr>
            <sz val="9"/>
            <color indexed="81"/>
            <rFont val="Segoe UI"/>
            <family val="2"/>
          </rPr>
          <t xml:space="preserve">
Abastecimento da S10 UAI4B92</t>
        </r>
      </text>
    </comment>
    <comment ref="AF22" authorId="1" shapeId="0" xr:uid="{08F23083-501A-4897-9E49-8F1F84264854}">
      <text>
        <r>
          <rPr>
            <b/>
            <sz val="9"/>
            <color indexed="81"/>
            <rFont val="Segoe UI"/>
            <family val="2"/>
          </rPr>
          <t>Administrativo2:</t>
        </r>
        <r>
          <rPr>
            <sz val="9"/>
            <color indexed="81"/>
            <rFont val="Segoe UI"/>
            <family val="2"/>
          </rPr>
          <t xml:space="preserve">
Pneu dianteiro dierito furou - informado por Yanca</t>
        </r>
      </text>
    </comment>
    <comment ref="D23" authorId="1" shapeId="0" xr:uid="{9C865F04-3AFF-485C-8508-9CBB7B9E4FB3}">
      <text>
        <r>
          <rPr>
            <b/>
            <sz val="9"/>
            <color indexed="81"/>
            <rFont val="Segoe UI"/>
            <family val="2"/>
          </rPr>
          <t>Administrativo2:</t>
        </r>
        <r>
          <rPr>
            <sz val="9"/>
            <color indexed="81"/>
            <rFont val="Segoe UI"/>
            <family val="2"/>
          </rPr>
          <t xml:space="preserve">
Uso Particular QMZ5D58 - por Yanca: ida 17/05/25: 42.195km
Retorno 19/05/25: 42.615km - UTILIZADO 420KM</t>
        </r>
      </text>
    </comment>
    <comment ref="E23" authorId="1" shapeId="0" xr:uid="{359CF1D4-E928-49FD-88C9-338C602C2F44}">
      <text>
        <r>
          <rPr>
            <b/>
            <sz val="9"/>
            <color indexed="81"/>
            <rFont val="Segoe UI"/>
            <family val="2"/>
          </rPr>
          <t>Administrativo2:</t>
        </r>
        <r>
          <rPr>
            <sz val="9"/>
            <color indexed="81"/>
            <rFont val="Segoe UI"/>
            <family val="2"/>
          </rPr>
          <t xml:space="preserve">
Veículo QMZ5D58 - Substituído em 27/05/2025</t>
        </r>
      </text>
    </comment>
    <comment ref="B27" authorId="1" shapeId="0" xr:uid="{9141716A-7ADA-45F3-9B3D-BD4B4098F1DD}">
      <text>
        <r>
          <rPr>
            <b/>
            <sz val="9"/>
            <color indexed="81"/>
            <rFont val="Segoe UI"/>
            <family val="2"/>
          </rPr>
          <t>Administrativo2:</t>
        </r>
        <r>
          <rPr>
            <sz val="9"/>
            <color indexed="81"/>
            <rFont val="Segoe UI"/>
            <family val="2"/>
          </rPr>
          <t xml:space="preserve">
Substituição_retirada em 27/05/2025 - S10 UAI4B92</t>
        </r>
      </text>
    </comment>
    <comment ref="M46" authorId="1" shapeId="0" xr:uid="{C6C5BC2F-4F9C-478A-B4BE-E1DF0717AA7F}">
      <text>
        <r>
          <rPr>
            <b/>
            <sz val="9"/>
            <color indexed="81"/>
            <rFont val="Segoe UI"/>
            <family val="2"/>
          </rPr>
          <t>Devolução do veículo S10 UAI4B92 para troca de km</t>
        </r>
        <r>
          <rPr>
            <sz val="9"/>
            <color indexed="81"/>
            <rFont val="Segoe UI"/>
            <family val="2"/>
          </rPr>
          <t xml:space="preserve">
</t>
        </r>
      </text>
    </comment>
    <comment ref="C47" authorId="1" shapeId="0" xr:uid="{C4401AC5-BBBF-4AEE-8C25-AC570CDB1DB4}">
      <text>
        <r>
          <rPr>
            <b/>
            <sz val="9"/>
            <color indexed="81"/>
            <rFont val="Segoe UI"/>
            <family val="2"/>
          </rPr>
          <t>Devolução UAI4B92 07/11/2025 - Motivo: troca da quilometragem estava em 4500km e fizemos uma nova reserva para o veículo de 3000km, conforme procedimento da locadora</t>
        </r>
        <r>
          <rPr>
            <sz val="9"/>
            <color indexed="81"/>
            <rFont val="Segoe UI"/>
            <family val="2"/>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Administrativo2</author>
  </authors>
  <commentList>
    <comment ref="I3" authorId="0" shapeId="0" xr:uid="{4DAC9778-66E5-4FFE-9158-7073AA07D291}">
      <text>
        <r>
          <rPr>
            <b/>
            <sz val="9"/>
            <color indexed="81"/>
            <rFont val="Segoe UI"/>
            <family val="2"/>
          </rPr>
          <t>Troca de Condutor:</t>
        </r>
        <r>
          <rPr>
            <sz val="9"/>
            <color indexed="81"/>
            <rFont val="Segoe UI"/>
            <family val="2"/>
          </rPr>
          <t xml:space="preserve">
De 24/03/2025 a 11/06/2025 a Duster TDJ7G97 era utilizada por Alverson e a partir do dia 11/06/2025 foi transferida para Eider Breno que compartilha o uso com Yanca.</t>
        </r>
      </text>
    </comment>
    <comment ref="I4" authorId="0" shapeId="0" xr:uid="{E3DF8E2B-9600-46F0-9950-410554440FBE}">
      <text>
        <r>
          <rPr>
            <b/>
            <sz val="9"/>
            <color indexed="81"/>
            <rFont val="Segoe UI"/>
            <family val="2"/>
          </rPr>
          <t>Troca de Condutor:</t>
        </r>
        <r>
          <rPr>
            <sz val="9"/>
            <color indexed="81"/>
            <rFont val="Segoe UI"/>
            <family val="2"/>
          </rPr>
          <t xml:space="preserve">
De 24/03/2025 a 11/06/2025 a Duster TDJ7G97 era utilizada por Alverson e a partir do dia 11/06/2025 foi transferida para Eider Breno que compartilha o uso com Yanca.
</t>
        </r>
      </text>
    </comment>
    <comment ref="I5" authorId="0" shapeId="0" xr:uid="{3430FB5D-75A8-418E-B74A-3DC393AEE3C9}">
      <text>
        <r>
          <rPr>
            <sz val="9"/>
            <color indexed="81"/>
            <rFont val="Segoe UI"/>
            <family val="2"/>
          </rPr>
          <t xml:space="preserve">Duster TDJ7G97 transferido para Marcilio em 04/08/2025, devido  Marcilio estar mais em terraplenagem e necessitava de um veículo mais alto.
</t>
        </r>
      </text>
    </comment>
    <comment ref="AH24" authorId="0" shapeId="0" xr:uid="{ABB1D900-83BD-4C4B-90C1-311404A8932A}">
      <text>
        <r>
          <rPr>
            <b/>
            <sz val="9"/>
            <color indexed="81"/>
            <rFont val="Segoe UI"/>
            <family val="2"/>
          </rPr>
          <t>Administrativo2:</t>
        </r>
        <r>
          <rPr>
            <sz val="9"/>
            <color indexed="81"/>
            <rFont val="Segoe UI"/>
            <family val="2"/>
          </rPr>
          <t xml:space="preserve">
Pneu traseiro lado do passageiro furou</t>
        </r>
      </text>
    </comment>
    <comment ref="AI24" authorId="0" shapeId="0" xr:uid="{B445B4AD-EE0C-41BA-BE9D-B455CE71B133}">
      <text>
        <r>
          <rPr>
            <b/>
            <sz val="9"/>
            <color indexed="81"/>
            <rFont val="Segoe UI"/>
            <family val="2"/>
          </rPr>
          <t>Administrativo2:</t>
        </r>
        <r>
          <rPr>
            <sz val="9"/>
            <color indexed="81"/>
            <rFont val="Segoe UI"/>
            <family val="2"/>
          </rPr>
          <t xml:space="preserve">
Pneu traseiro lado do passageiro furou novamente</t>
        </r>
      </text>
    </comment>
    <comment ref="C29" authorId="0" shapeId="0" xr:uid="{1F520890-3268-4FEE-A53F-E3B24FAA0C8D}">
      <text>
        <r>
          <rPr>
            <b/>
            <sz val="9"/>
            <color indexed="81"/>
            <rFont val="Segoe UI"/>
            <family val="2"/>
          </rPr>
          <t>Uso particular por Yanca:
 14/06/25 12.110km a 16/06/25 12.550km</t>
        </r>
        <r>
          <rPr>
            <sz val="9"/>
            <color indexed="81"/>
            <rFont val="Segoe UI"/>
            <family val="2"/>
          </rPr>
          <t xml:space="preserve">
</t>
        </r>
      </text>
    </comment>
    <comment ref="D29" authorId="0" shapeId="0" xr:uid="{5B915318-6450-4D4E-945D-CE610083F37D}">
      <text>
        <r>
          <rPr>
            <sz val="9"/>
            <color indexed="81"/>
            <rFont val="Segoe UI"/>
            <family val="2"/>
          </rPr>
          <t xml:space="preserve">
Eider Breno: 28/06/25 13.449km - 29/06/25 13.811km - Utilizado 362km
</t>
        </r>
      </text>
    </comment>
    <comment ref="D33" authorId="0" shapeId="0" xr:uid="{495334EC-BB8D-43FE-8055-87379B25C960}">
      <text>
        <r>
          <rPr>
            <b/>
            <sz val="9"/>
            <color indexed="81"/>
            <rFont val="Segoe UI"/>
            <family val="2"/>
          </rPr>
          <t xml:space="preserve">Uso particular Breno:
</t>
        </r>
        <r>
          <rPr>
            <sz val="9"/>
            <color indexed="81"/>
            <rFont val="Segoe UI"/>
            <family val="2"/>
          </rPr>
          <t xml:space="preserve">19/07/2025: 15.453km - 20/07/2025: 15.759km </t>
        </r>
        <r>
          <rPr>
            <b/>
            <sz val="9"/>
            <color indexed="81"/>
            <rFont val="Segoe UI"/>
            <family val="2"/>
          </rPr>
          <t>- Utilizado 306km</t>
        </r>
        <r>
          <rPr>
            <sz val="9"/>
            <color indexed="81"/>
            <rFont val="Segoe UI"/>
            <family val="2"/>
          </rPr>
          <t xml:space="preserve">
</t>
        </r>
      </text>
    </comment>
    <comment ref="E33" authorId="0" shapeId="0" xr:uid="{F95E9382-391E-4FF5-A77D-54B7E1289E07}">
      <text>
        <r>
          <rPr>
            <b/>
            <sz val="9"/>
            <color indexed="81"/>
            <rFont val="Segoe UI"/>
            <family val="2"/>
          </rPr>
          <t>Duster TDJ7G97 - utilizado em obra por Marcilio 25.07 a 04.08.2025</t>
        </r>
        <r>
          <rPr>
            <sz val="9"/>
            <color indexed="81"/>
            <rFont val="Segoe UI"/>
            <family val="2"/>
          </rPr>
          <t xml:space="preserve">
</t>
        </r>
      </text>
    </comment>
    <comment ref="C41" authorId="0" shapeId="0" xr:uid="{0ED2DAC4-B7D1-4BF9-9F47-96E95618FB07}">
      <text>
        <r>
          <rPr>
            <sz val="9"/>
            <color indexed="81"/>
            <rFont val="Segoe UI"/>
            <family val="2"/>
          </rPr>
          <t xml:space="preserve">Duster TDJ7G97 - ficou sendo utilizada por Yanca durante as folgas de Marcilio no período de 12/09 às 14:10h a 22/09/2025
</t>
        </r>
      </text>
    </comment>
    <comment ref="C53" authorId="0" shapeId="0" xr:uid="{901B4C31-4E3E-467B-8CA4-6C37735E67F7}">
      <text>
        <r>
          <rPr>
            <b/>
            <sz val="9"/>
            <color indexed="81"/>
            <rFont val="Segoe UI"/>
            <family val="2"/>
          </rPr>
          <t>Uso particular 23/12 a 04/01</t>
        </r>
        <r>
          <rPr>
            <sz val="9"/>
            <color indexed="81"/>
            <rFont val="Segoe UI"/>
            <family val="2"/>
          </rPr>
          <t xml:space="preserve">
</t>
        </r>
      </text>
    </comment>
    <comment ref="C57" authorId="0" shapeId="0" xr:uid="{524A732D-E49E-4E0A-83CA-FE6E4C9664E4}">
      <text>
        <r>
          <rPr>
            <b/>
            <sz val="9"/>
            <color indexed="81"/>
            <rFont val="Segoe UI"/>
            <family val="2"/>
          </rPr>
          <t>Uso particular 23/12 a 04/01</t>
        </r>
        <r>
          <rPr>
            <sz val="9"/>
            <color indexed="81"/>
            <rFont val="Segoe UI"/>
            <family val="2"/>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tc={3C3AB96C-FC99-49A5-A3C9-D2052EE27F83}</author>
    <author>Administrativo2</author>
  </authors>
  <commentList>
    <comment ref="K4" authorId="0" shapeId="0" xr:uid="{3C3AB96C-FC99-49A5-A3C9-D2052EE27F83}">
      <text>
        <t>[Comentário encadeado]
Sua versão do Excel permite que você leia este comentário encadeado, no entanto, as edições serão removidas se o arquivo for aberto em uma versão mais recente do Excel. Saiba mais: https://go.microsoft.com/fwlink/?linkid=870924
Comentário:
    Não enviou as informações de devolução</t>
      </text>
    </comment>
    <comment ref="D39" authorId="1" shapeId="0" xr:uid="{1563DEB8-E037-4D32-AB56-321440DC45BE}">
      <text>
        <r>
          <rPr>
            <b/>
            <sz val="9"/>
            <color indexed="81"/>
            <rFont val="Segoe UI"/>
            <family val="2"/>
          </rPr>
          <t xml:space="preserve">Locado em 22/09/2025
</t>
        </r>
        <r>
          <rPr>
            <sz val="9"/>
            <color indexed="81"/>
            <rFont val="Segoe UI"/>
            <family val="2"/>
          </rPr>
          <t xml:space="preserv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Recepção</author>
    <author>Administrativo2</author>
  </authors>
  <commentList>
    <comment ref="D11" authorId="0" shapeId="0" xr:uid="{8DDE691D-73EF-4188-86E1-C3BFED3D9984}">
      <text>
        <r>
          <rPr>
            <b/>
            <sz val="9"/>
            <color indexed="81"/>
            <rFont val="Segoe UI"/>
            <family val="2"/>
          </rPr>
          <t>Recepção:</t>
        </r>
        <r>
          <rPr>
            <sz val="9"/>
            <color indexed="81"/>
            <rFont val="Segoe UI"/>
            <family val="2"/>
          </rPr>
          <t xml:space="preserve">
Retirado em 26/02/2025
</t>
        </r>
      </text>
    </comment>
    <comment ref="D27" authorId="1" shapeId="0" xr:uid="{46515319-1FB6-4F8E-92BD-F0E0793F8C95}">
      <text>
        <r>
          <rPr>
            <sz val="9"/>
            <color indexed="81"/>
            <rFont val="Segoe UI"/>
            <family val="2"/>
          </rPr>
          <t xml:space="preserve">19/06/25 8744km - 23/06/25 9108km - Utilizado 364km
27/06/25 9.450km - 29/06/2025 9.769km - Utilizado 319km
Total utilizado 683km
</t>
        </r>
      </text>
    </comment>
    <comment ref="E43" authorId="1" shapeId="0" xr:uid="{97FC20F1-360E-4465-950B-AA311F359A40}">
      <text>
        <r>
          <rPr>
            <b/>
            <sz val="9"/>
            <color indexed="81"/>
            <rFont val="Segoe UI"/>
            <family val="2"/>
          </rPr>
          <t xml:space="preserve">Devolução TDQ6D38 25/10/2025
</t>
        </r>
        <r>
          <rPr>
            <sz val="9"/>
            <color indexed="81"/>
            <rFont val="Segoe UI"/>
            <family val="2"/>
          </rPr>
          <t xml:space="preserv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Administrativo2</author>
  </authors>
  <commentList>
    <comment ref="B31" authorId="0" shapeId="0" xr:uid="{2007F8DB-C1EF-4429-8934-DC521DE36734}">
      <text>
        <r>
          <rPr>
            <sz val="9"/>
            <color indexed="81"/>
            <rFont val="Segoe UI"/>
            <family val="2"/>
          </rPr>
          <t xml:space="preserve">Polo SSW2I35 retirado em 02/07/2025
</t>
        </r>
      </text>
    </comment>
    <comment ref="L42" authorId="0" shapeId="0" xr:uid="{D477249E-BBF7-48A6-BA6C-21902CC6B0C2}">
      <text>
        <r>
          <rPr>
            <b/>
            <sz val="9"/>
            <color indexed="81"/>
            <rFont val="Segoe UI"/>
            <family val="2"/>
          </rPr>
          <t>Abastecimento Devolução - cartão corporativo</t>
        </r>
        <r>
          <rPr>
            <sz val="9"/>
            <color indexed="81"/>
            <rFont val="Segoe UI"/>
            <family val="2"/>
          </rPr>
          <t xml:space="preserve">
</t>
        </r>
      </text>
    </comment>
    <comment ref="C43" authorId="0" shapeId="0" xr:uid="{BAD89DDB-393D-4DD8-9C46-15DF84D07099}">
      <text>
        <r>
          <rPr>
            <b/>
            <sz val="9"/>
            <color indexed="81"/>
            <rFont val="Segoe UI"/>
            <family val="2"/>
          </rPr>
          <t xml:space="preserve">Devolução veículo 11/10/2025
</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<sst xmlns="http://schemas.openxmlformats.org/spreadsheetml/2006/main" count="9209" uniqueCount="156">
  <si>
    <t>Veiculo</t>
  </si>
  <si>
    <t>Placa:</t>
  </si>
  <si>
    <t xml:space="preserve">Contrato de Locação </t>
  </si>
  <si>
    <t>Fevereiro</t>
  </si>
  <si>
    <t>DATA</t>
  </si>
  <si>
    <t>KM (Rodados)</t>
  </si>
  <si>
    <t>1ª Leitura</t>
  </si>
  <si>
    <t>2ª Leitura</t>
  </si>
  <si>
    <t>3ª Leitura</t>
  </si>
  <si>
    <t>4ª Leitura</t>
  </si>
  <si>
    <t>15 dias Rodados</t>
  </si>
  <si>
    <t>30 dias Rodados</t>
  </si>
  <si>
    <t>Total Mensal</t>
  </si>
  <si>
    <t>Março</t>
  </si>
  <si>
    <t>Abril</t>
  </si>
  <si>
    <t>Maio</t>
  </si>
  <si>
    <t>Julho</t>
  </si>
  <si>
    <t>Agosto</t>
  </si>
  <si>
    <t>Setembro</t>
  </si>
  <si>
    <t>Outubro</t>
  </si>
  <si>
    <t>Novembro</t>
  </si>
  <si>
    <t>Dezembro</t>
  </si>
  <si>
    <t>VALOR</t>
  </si>
  <si>
    <t>TOTAL</t>
  </si>
  <si>
    <t>Junho</t>
  </si>
  <si>
    <t>LAVA_RAPIDO</t>
  </si>
  <si>
    <t>ABASTECIMENTO</t>
  </si>
  <si>
    <t>BORRACHARIA</t>
  </si>
  <si>
    <t>REGISTRO DE KM</t>
  </si>
  <si>
    <t>Rastreador</t>
  </si>
  <si>
    <t>KM MENSAL</t>
  </si>
  <si>
    <t>JAN</t>
  </si>
  <si>
    <t>FEV</t>
  </si>
  <si>
    <t>MAR</t>
  </si>
  <si>
    <t>ABR</t>
  </si>
  <si>
    <t>MAI</t>
  </si>
  <si>
    <t>JUN</t>
  </si>
  <si>
    <t>JUL</t>
  </si>
  <si>
    <t>AGO</t>
  </si>
  <si>
    <t>SET</t>
  </si>
  <si>
    <t>OUT</t>
  </si>
  <si>
    <t>NOV</t>
  </si>
  <si>
    <t>DEZ</t>
  </si>
  <si>
    <t xml:space="preserve">KM </t>
  </si>
  <si>
    <t>SALDO KM</t>
  </si>
  <si>
    <t>Medição</t>
  </si>
  <si>
    <t>CAR_30</t>
  </si>
  <si>
    <t>CAR_29</t>
  </si>
  <si>
    <t>CAR_28</t>
  </si>
  <si>
    <t>CAR_27</t>
  </si>
  <si>
    <t>CAR_26</t>
  </si>
  <si>
    <t>CAR_25</t>
  </si>
  <si>
    <t>CAR_08</t>
  </si>
  <si>
    <t>CAR_09</t>
  </si>
  <si>
    <t>CAR_10</t>
  </si>
  <si>
    <t>CAR_11</t>
  </si>
  <si>
    <t>CAR_12</t>
  </si>
  <si>
    <t>CAR_13</t>
  </si>
  <si>
    <t>CAR_14</t>
  </si>
  <si>
    <t>CAR_15</t>
  </si>
  <si>
    <t>CAR_16</t>
  </si>
  <si>
    <t>CAR_17</t>
  </si>
  <si>
    <t>CAR_18</t>
  </si>
  <si>
    <t>CAR_19</t>
  </si>
  <si>
    <t>CAR_20</t>
  </si>
  <si>
    <t>CAR_21</t>
  </si>
  <si>
    <t>CAR_22</t>
  </si>
  <si>
    <t>CAR_23</t>
  </si>
  <si>
    <t>CAR_24</t>
  </si>
  <si>
    <t>Lucro Car's</t>
  </si>
  <si>
    <t>Data mob.</t>
  </si>
  <si>
    <t>KM RODADO</t>
  </si>
  <si>
    <t>CAR_07</t>
  </si>
  <si>
    <t>CAR_06</t>
  </si>
  <si>
    <t>CAR_05</t>
  </si>
  <si>
    <t>LUCIANE</t>
  </si>
  <si>
    <t>ALIRE</t>
  </si>
  <si>
    <t>JOSEANE</t>
  </si>
  <si>
    <t>ERIKA</t>
  </si>
  <si>
    <t>Substituição (data)</t>
  </si>
  <si>
    <t>Modelo</t>
  </si>
  <si>
    <t>25.001 AUREN CAJUÍNAS</t>
  </si>
  <si>
    <t>S10</t>
  </si>
  <si>
    <t>QMZ5D58</t>
  </si>
  <si>
    <t>TDP1E16</t>
  </si>
  <si>
    <t>Argo</t>
  </si>
  <si>
    <t>TDQ6D38</t>
  </si>
  <si>
    <t>TDJ7G97</t>
  </si>
  <si>
    <t>SYG4B54</t>
  </si>
  <si>
    <t>Duster</t>
  </si>
  <si>
    <t>UAI4B92</t>
  </si>
  <si>
    <t>KM</t>
  </si>
  <si>
    <t>STZ7D92</t>
  </si>
  <si>
    <t>Polo Track</t>
  </si>
  <si>
    <t>KICKS</t>
  </si>
  <si>
    <t>Troca de Condutor</t>
  </si>
  <si>
    <t xml:space="preserve"> Eider Breno para Alain</t>
  </si>
  <si>
    <t>Condutores:</t>
  </si>
  <si>
    <t>PVR3B92</t>
  </si>
  <si>
    <t>Onix</t>
  </si>
  <si>
    <t>Substituição:</t>
  </si>
  <si>
    <t>Polo</t>
  </si>
  <si>
    <t>SSW2I35</t>
  </si>
  <si>
    <t>Alverson para Eider Breno</t>
  </si>
  <si>
    <t>SJH8E03</t>
  </si>
  <si>
    <t>Data Mob.</t>
  </si>
  <si>
    <t>Alain para Alverson</t>
  </si>
  <si>
    <t>Alverson para Idalecio</t>
  </si>
  <si>
    <t>Troca de Condutor:</t>
  </si>
  <si>
    <t>Idalecio para Alverson</t>
  </si>
  <si>
    <t>Condutores</t>
  </si>
  <si>
    <t>Troca de Condutor 2</t>
  </si>
  <si>
    <t>Marcilio para Eider Breno</t>
  </si>
  <si>
    <t>Eider Breno para Marcilio</t>
  </si>
  <si>
    <t>TJL7E95</t>
  </si>
  <si>
    <t>Polo TJL7E95</t>
  </si>
  <si>
    <t>Onix PVR3B92</t>
  </si>
  <si>
    <t>PVR4B99</t>
  </si>
  <si>
    <t>Data Mob</t>
  </si>
  <si>
    <t>TJF8C34</t>
  </si>
  <si>
    <t>TEZ5D42</t>
  </si>
  <si>
    <t>TDP1D97</t>
  </si>
  <si>
    <t>S10 PVR4B99</t>
  </si>
  <si>
    <t>S10 TEZ5D42</t>
  </si>
  <si>
    <t>Onix SJH8E03</t>
  </si>
  <si>
    <t>TWZ9A06</t>
  </si>
  <si>
    <t>Data Devolução</t>
  </si>
  <si>
    <t>DHQ9H62</t>
  </si>
  <si>
    <t>Data Dev.</t>
  </si>
  <si>
    <t>TDQ6I22</t>
  </si>
  <si>
    <t>Ranger</t>
  </si>
  <si>
    <t>TEU5B03</t>
  </si>
  <si>
    <t>ABASTECIMENTO 2025</t>
  </si>
  <si>
    <t>ABASTECIMENTO 2026</t>
  </si>
  <si>
    <t>Janeiro</t>
  </si>
  <si>
    <t>Data Desmob.</t>
  </si>
  <si>
    <t>Wildson para Ubiratan</t>
  </si>
  <si>
    <t>TCT9C97</t>
  </si>
  <si>
    <t>km</t>
  </si>
  <si>
    <t>Tiago Gonçalves para Wildson</t>
  </si>
  <si>
    <t>De Marcilio para Mizael</t>
  </si>
  <si>
    <t>SUI9F93</t>
  </si>
  <si>
    <t>Marcilio para Rigoberto</t>
  </si>
  <si>
    <t>Idalecio para Yanca</t>
  </si>
  <si>
    <t>TEZ7A32</t>
  </si>
  <si>
    <t>Unidas</t>
  </si>
  <si>
    <t>Alverson para Elisson</t>
  </si>
  <si>
    <t>EWF6F13</t>
  </si>
  <si>
    <t>Março/Abril</t>
  </si>
  <si>
    <t>Toro</t>
  </si>
  <si>
    <t>TEBIJ42</t>
  </si>
  <si>
    <t>Unidas - 3s</t>
  </si>
  <si>
    <t>TYX9I38</t>
  </si>
  <si>
    <t>C3</t>
  </si>
  <si>
    <t>Ubiratan para Ilo Hilton</t>
  </si>
  <si>
    <t>Data Desmob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</si>
</sst>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R$&quot;\ #,##0.00;[Red]\-&quot;R$&quot;\ #,##0.00"/>
    <numFmt numFmtId="44" formatCode="_-&quot;R$&quot;\ * #,##0.00_-;\-&quot;R$&quot;\ * #,##0.00_-;_-&quot;R$&quot;\ * &quot;-&quot;??_-;_-@_-"/>
    <numFmt numFmtId="164" formatCode="_-[$R$-416]\ * #,##0.00_-;\-[$R$-416]\ * #,##0.00_-;_-[$R$-416]\ * &quot;-&quot;??_-;_-@_-"/>
    <numFmt numFmtId="165" formatCode="&quot;R$&quot;\ #,##0.00"/>
  </numFmts>
  <fonts count="13"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6"/>
      <color theme="1"/>
      <name val="Aptos Narrow"/>
      <family val="2"/>
      <scheme val="minor"/>
    </font>
    <font>
      <sz val="11"/>
      <color theme="5"/>
      <name val="Aptos Narrow"/>
      <family val="2"/>
      <scheme val="minor"/>
    </font>
    <font>
      <b/>
      <sz val="18"/>
      <color theme="1"/>
      <name val="Aptos Narrow"/>
      <family val="2"/>
      <scheme val="minor"/>
    </font>
    <font>
      <sz val="9"/>
      <color indexed="81"/>
      <name val="Segoe UI"/>
      <family val="2"/>
    </font>
    <font>
      <b/>
      <sz val="9"/>
      <color indexed="81"/>
      <name val="Segoe UI"/>
      <family val="2"/>
    </font>
    <font>
      <b/>
      <sz val="11"/>
      <color rgb="FFFF0000"/>
      <name val="Aptos Narrow"/>
      <family val="2"/>
      <scheme val="minor"/>
    </font>
    <font>
      <b/>
      <sz val="11"/>
      <name val="Aptos Narrow"/>
      <family val="2"/>
      <scheme val="minor"/>
    </font>
    <font>
      <sz val="11"/>
      <color rgb="FFFF0000"/>
      <name val="Aptos Narrow"/>
      <family val="2"/>
      <scheme val="minor"/>
    </font>
    <font>
      <sz val="9"/>
      <color indexed="81"/>
      <name val="Segoe UI"/>
      <charset val="1"/>
    </font>
  </fonts>
  <fills count="11">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theme="3" tint="0.499984740745262"/>
        <bgColor indexed="64"/>
      </patternFill>
    </fill>
    <fill>
      <patternFill patternType="solid">
        <fgColor rgb="FFFFFF00"/>
        <bgColor indexed="64"/>
      </patternFill>
    </fill>
    <fill>
      <patternFill patternType="solid">
        <fgColor rgb="FF0070C0"/>
        <bgColor indexed="64"/>
      </patternFill>
    </fill>
    <fill>
      <patternFill patternType="solid">
        <fgColor theme="6" tint="0.39997558519241921"/>
        <bgColor indexed="64"/>
      </patternFill>
    </fill>
    <fill>
      <patternFill patternType="solid">
        <fgColor theme="8" tint="0.39997558519241921"/>
        <bgColor indexed="64"/>
      </patternFill>
    </fill>
  </fills>
  <borders count="3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s>
  <cellStyleXfs count="2">
    <xf numFmtId="0" fontId="0" fillId="0" borderId="0"/>
    <xf numFmtId="44" fontId="1" fillId="0" borderId="0" applyFont="0" applyFill="0" applyBorder="0" applyAlignment="0" applyProtection="0"/>
  </cellStyleXfs>
  <cellXfs count="115">
    <xf numFmtId="0" fontId="0" fillId="0" borderId="0" xfId="0"/>
    <xf numFmtId="0" fontId="0" fillId="0" borderId="0" xfId="0" applyAlignment="1">
      <alignment horizontal="center"/>
    </xf>
    <xf numFmtId="14" fontId="0" fillId="0" borderId="0" xfId="0" applyNumberFormat="1"/>
    <xf numFmtId="0" fontId="2" fillId="0" borderId="0" xfId="0" applyFont="1"/>
    <xf numFmtId="0" fontId="0" fillId="0" borderId="5" xfId="0" applyBorder="1"/>
    <xf numFmtId="0" fontId="0" fillId="0" borderId="6" xfId="0" applyBorder="1"/>
    <xf numFmtId="0" fontId="2" fillId="0" borderId="12" xfId="0" applyFont="1" applyBorder="1"/>
    <xf numFmtId="14" fontId="2" fillId="0" borderId="13" xfId="0" applyNumberFormat="1" applyFont="1" applyBorder="1"/>
    <xf numFmtId="14" fontId="2" fillId="0" borderId="0" xfId="0" applyNumberFormat="1" applyFont="1"/>
    <xf numFmtId="14" fontId="0" fillId="0" borderId="4"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0" xfId="0" applyNumberFormat="1"/>
    <xf numFmtId="0" fontId="4" fillId="3" borderId="0" xfId="0" applyFont="1" applyFill="1" applyAlignment="1">
      <alignment horizontal="center"/>
    </xf>
    <xf numFmtId="0" fontId="0" fillId="3" borderId="0" xfId="0" applyFill="1"/>
    <xf numFmtId="0" fontId="2" fillId="3" borderId="0" xfId="0" applyFont="1" applyFill="1" applyAlignment="1">
      <alignment horizontal="center"/>
    </xf>
    <xf numFmtId="14" fontId="0" fillId="3" borderId="0" xfId="0" applyNumberFormat="1" applyFill="1"/>
    <xf numFmtId="14" fontId="2" fillId="3" borderId="0" xfId="0" applyNumberFormat="1" applyFont="1" applyFill="1" applyAlignment="1">
      <alignment horizontal="center"/>
    </xf>
    <xf numFmtId="0" fontId="2" fillId="0" borderId="0" xfId="0" applyFont="1" applyAlignment="1">
      <alignment horizontal="right"/>
    </xf>
    <xf numFmtId="0" fontId="0" fillId="0" borderId="17" xfId="0" applyBorder="1"/>
    <xf numFmtId="0" fontId="0" fillId="0" borderId="18" xfId="0" applyBorder="1"/>
    <xf numFmtId="0" fontId="2" fillId="0" borderId="3" xfId="0" applyFont="1" applyBorder="1" applyAlignment="1">
      <alignment horizontal="center"/>
    </xf>
    <xf numFmtId="0" fontId="2" fillId="0" borderId="3" xfId="0" applyFont="1" applyBorder="1"/>
    <xf numFmtId="0" fontId="2" fillId="0" borderId="23" xfId="0" applyFont="1" applyBorder="1"/>
    <xf numFmtId="0" fontId="2" fillId="0" borderId="24" xfId="0" applyFont="1" applyBorder="1"/>
    <xf numFmtId="0" fontId="0" fillId="0" borderId="16" xfId="0" applyBorder="1" applyAlignment="1">
      <alignment horizontal="center"/>
    </xf>
    <xf numFmtId="0" fontId="0" fillId="0" borderId="17" xfId="0" applyBorder="1" applyAlignment="1">
      <alignment horizontal="center"/>
    </xf>
    <xf numFmtId="0" fontId="2" fillId="0" borderId="12" xfId="0" applyFont="1" applyBorder="1" applyAlignment="1">
      <alignment horizontal="left"/>
    </xf>
    <xf numFmtId="14" fontId="2" fillId="0" borderId="13" xfId="0" applyNumberFormat="1" applyFont="1" applyBorder="1" applyAlignment="1">
      <alignment horizontal="left"/>
    </xf>
    <xf numFmtId="44" fontId="0" fillId="0" borderId="9" xfId="1" applyFont="1" applyBorder="1"/>
    <xf numFmtId="44" fontId="0" fillId="0" borderId="10" xfId="1" applyFont="1" applyBorder="1"/>
    <xf numFmtId="44" fontId="0" fillId="0" borderId="11" xfId="1" applyFont="1" applyBorder="1"/>
    <xf numFmtId="0" fontId="2" fillId="0" borderId="23" xfId="0" applyFont="1" applyBorder="1" applyAlignment="1">
      <alignment horizontal="center"/>
    </xf>
    <xf numFmtId="0" fontId="2" fillId="0" borderId="22" xfId="0" applyFont="1" applyBorder="1" applyAlignment="1">
      <alignment horizontal="center"/>
    </xf>
    <xf numFmtId="164" fontId="0" fillId="0" borderId="2" xfId="0" applyNumberFormat="1" applyBorder="1"/>
    <xf numFmtId="164" fontId="0" fillId="0" borderId="8" xfId="0" applyNumberFormat="1" applyBorder="1"/>
    <xf numFmtId="0" fontId="2" fillId="0" borderId="19" xfId="0" applyFont="1" applyBorder="1"/>
    <xf numFmtId="0" fontId="2" fillId="0" borderId="25" xfId="0" applyFont="1" applyBorder="1"/>
    <xf numFmtId="0" fontId="2" fillId="0" borderId="20" xfId="0" applyFont="1" applyBorder="1"/>
    <xf numFmtId="164" fontId="0" fillId="0" borderId="15" xfId="0" applyNumberFormat="1" applyBorder="1"/>
    <xf numFmtId="164" fontId="0" fillId="0" borderId="27" xfId="0" applyNumberFormat="1" applyBorder="1"/>
    <xf numFmtId="0" fontId="0" fillId="0" borderId="15" xfId="0" applyBorder="1" applyAlignment="1">
      <alignment horizontal="center"/>
    </xf>
    <xf numFmtId="0" fontId="0" fillId="0" borderId="2" xfId="0" applyBorder="1" applyAlignment="1">
      <alignment horizontal="center"/>
    </xf>
    <xf numFmtId="0" fontId="0" fillId="0" borderId="10" xfId="0" applyBorder="1" applyAlignment="1">
      <alignment horizontal="center"/>
    </xf>
    <xf numFmtId="0" fontId="0" fillId="0" borderId="2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44" fontId="0" fillId="0" borderId="18" xfId="1" applyFont="1" applyBorder="1"/>
    <xf numFmtId="44" fontId="0" fillId="0" borderId="21" xfId="1" applyFont="1" applyBorder="1"/>
    <xf numFmtId="44" fontId="0" fillId="0" borderId="3" xfId="1" applyFont="1" applyBorder="1"/>
    <xf numFmtId="0" fontId="0" fillId="0" borderId="23" xfId="0" applyBorder="1"/>
    <xf numFmtId="0" fontId="0" fillId="0" borderId="3" xfId="0" applyBorder="1"/>
    <xf numFmtId="0" fontId="2" fillId="2" borderId="0" xfId="0" applyFont="1" applyFill="1"/>
    <xf numFmtId="44" fontId="0" fillId="0" borderId="1" xfId="1" applyFont="1" applyBorder="1"/>
    <xf numFmtId="0" fontId="2" fillId="0" borderId="22" xfId="0" applyFont="1" applyBorder="1"/>
    <xf numFmtId="44" fontId="0" fillId="0" borderId="16" xfId="1" applyFont="1" applyBorder="1"/>
    <xf numFmtId="44" fontId="0" fillId="0" borderId="17" xfId="1" applyFont="1" applyBorder="1"/>
    <xf numFmtId="0" fontId="0" fillId="0" borderId="4" xfId="0" applyBorder="1" applyAlignment="1">
      <alignment horizontal="center"/>
    </xf>
    <xf numFmtId="0" fontId="0" fillId="0" borderId="5" xfId="0" applyBorder="1" applyAlignment="1">
      <alignment horizontal="center"/>
    </xf>
    <xf numFmtId="164" fontId="0" fillId="0" borderId="5" xfId="0" applyNumberFormat="1" applyBorder="1"/>
    <xf numFmtId="164" fontId="0" fillId="0" borderId="6" xfId="0" applyNumberFormat="1" applyBorder="1"/>
    <xf numFmtId="44" fontId="0" fillId="0" borderId="16" xfId="0" applyNumberFormat="1" applyBorder="1"/>
    <xf numFmtId="0" fontId="2" fillId="8" borderId="22" xfId="0" applyFont="1" applyFill="1" applyBorder="1"/>
    <xf numFmtId="0" fontId="2" fillId="9" borderId="22" xfId="0" applyFont="1" applyFill="1" applyBorder="1"/>
    <xf numFmtId="0" fontId="2" fillId="10" borderId="23" xfId="0" applyFont="1" applyFill="1" applyBorder="1"/>
    <xf numFmtId="14" fontId="0" fillId="0" borderId="5" xfId="0" applyNumberFormat="1" applyBorder="1"/>
    <xf numFmtId="14" fontId="0" fillId="0" borderId="1" xfId="1" applyNumberFormat="1" applyFont="1" applyBorder="1"/>
    <xf numFmtId="14" fontId="9" fillId="0" borderId="0" xfId="0" applyNumberFormat="1" applyFont="1" applyAlignment="1">
      <alignment horizontal="right"/>
    </xf>
    <xf numFmtId="8" fontId="0" fillId="0" borderId="10" xfId="1" applyNumberFormat="1" applyFont="1" applyBorder="1"/>
    <xf numFmtId="44" fontId="0" fillId="0" borderId="1" xfId="1" applyFont="1" applyBorder="1" applyAlignment="1">
      <alignment horizontal="center"/>
    </xf>
    <xf numFmtId="0" fontId="0" fillId="0" borderId="0" xfId="0" applyAlignment="1">
      <alignment horizontal="right"/>
    </xf>
    <xf numFmtId="0" fontId="0" fillId="0" borderId="1" xfId="1" applyNumberFormat="1" applyFont="1" applyBorder="1"/>
    <xf numFmtId="0" fontId="0" fillId="0" borderId="1" xfId="0" applyBorder="1" applyAlignment="1">
      <alignment horizontal="center"/>
    </xf>
    <xf numFmtId="0" fontId="0" fillId="0" borderId="0" xfId="1" applyNumberFormat="1" applyFont="1" applyBorder="1"/>
    <xf numFmtId="0" fontId="0" fillId="0" borderId="1" xfId="1" applyNumberFormat="1" applyFont="1" applyBorder="1" applyAlignment="1">
      <alignment horizontal="center"/>
    </xf>
    <xf numFmtId="14" fontId="0" fillId="0" borderId="1" xfId="1" applyNumberFormat="1" applyFont="1" applyBorder="1" applyAlignment="1">
      <alignment horizontal="center"/>
    </xf>
    <xf numFmtId="14" fontId="0" fillId="0" borderId="1" xfId="0" applyNumberFormat="1" applyBorder="1" applyAlignment="1">
      <alignment horizontal="right"/>
    </xf>
    <xf numFmtId="0" fontId="10" fillId="0" borderId="0" xfId="0" applyFont="1"/>
    <xf numFmtId="0" fontId="2" fillId="2" borderId="0" xfId="0" applyFont="1" applyFill="1" applyAlignment="1">
      <alignment horizontal="center"/>
    </xf>
    <xf numFmtId="0" fontId="2" fillId="5" borderId="0" xfId="0" applyFont="1" applyFill="1" applyAlignment="1">
      <alignment horizontal="center"/>
    </xf>
    <xf numFmtId="14" fontId="0" fillId="0" borderId="6" xfId="0" applyNumberFormat="1" applyBorder="1"/>
    <xf numFmtId="44" fontId="0" fillId="0" borderId="0" xfId="1" applyFont="1" applyBorder="1"/>
    <xf numFmtId="14" fontId="0" fillId="0" borderId="1" xfId="1" applyNumberFormat="1" applyFont="1" applyBorder="1" applyAlignment="1">
      <alignment horizontal="right"/>
    </xf>
    <xf numFmtId="0" fontId="2" fillId="0" borderId="28" xfId="0" applyFont="1" applyBorder="1" applyAlignment="1">
      <alignment horizontal="center"/>
    </xf>
    <xf numFmtId="0" fontId="2" fillId="0" borderId="19" xfId="0" applyFont="1" applyBorder="1" applyAlignment="1">
      <alignment horizontal="center"/>
    </xf>
    <xf numFmtId="0" fontId="2" fillId="0" borderId="29" xfId="0" applyFont="1" applyBorder="1" applyAlignment="1">
      <alignment horizontal="center"/>
    </xf>
    <xf numFmtId="0" fontId="9" fillId="0" borderId="0" xfId="0" applyFont="1" applyAlignment="1">
      <alignment horizontal="right"/>
    </xf>
    <xf numFmtId="0" fontId="0" fillId="0" borderId="0" xfId="0" applyAlignment="1">
      <alignment horizontal="left"/>
    </xf>
    <xf numFmtId="16" fontId="0" fillId="0" borderId="5" xfId="0" applyNumberFormat="1" applyBorder="1"/>
    <xf numFmtId="44" fontId="0" fillId="0" borderId="0" xfId="0" applyNumberFormat="1"/>
    <xf numFmtId="0" fontId="11" fillId="0" borderId="0" xfId="0" applyFont="1"/>
    <xf numFmtId="165" fontId="0" fillId="0" borderId="0" xfId="0" applyNumberForma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4" fillId="2" borderId="0" xfId="0" applyFont="1" applyFill="1" applyAlignment="1">
      <alignment horizontal="center"/>
    </xf>
    <xf numFmtId="0" fontId="2" fillId="0" borderId="0" xfId="0" applyFont="1" applyAlignment="1">
      <alignment horizontal="right" vertical="center"/>
    </xf>
    <xf numFmtId="14" fontId="2" fillId="2" borderId="0" xfId="0" applyNumberFormat="1" applyFont="1" applyFill="1" applyAlignment="1">
      <alignment horizontal="center"/>
    </xf>
    <xf numFmtId="0" fontId="2" fillId="4" borderId="14" xfId="0" applyFont="1" applyFill="1" applyBorder="1" applyAlignment="1">
      <alignment horizontal="center"/>
    </xf>
    <xf numFmtId="0" fontId="2" fillId="5" borderId="0" xfId="0" applyFont="1" applyFill="1" applyAlignment="1">
      <alignment horizontal="center"/>
    </xf>
    <xf numFmtId="0" fontId="2" fillId="6" borderId="14" xfId="0" applyFont="1" applyFill="1" applyBorder="1" applyAlignment="1">
      <alignment horizontal="center"/>
    </xf>
    <xf numFmtId="0" fontId="2" fillId="7" borderId="14" xfId="0" applyFont="1" applyFill="1" applyBorder="1" applyAlignment="1">
      <alignment horizontal="center"/>
    </xf>
    <xf numFmtId="0" fontId="2" fillId="2" borderId="0" xfId="0" applyFont="1" applyFill="1" applyAlignment="1">
      <alignment horizontal="center"/>
    </xf>
    <xf numFmtId="0" fontId="0" fillId="0" borderId="0" xfId="0" applyAlignment="1">
      <alignment horizontal="center"/>
    </xf>
    <xf numFmtId="0" fontId="6" fillId="2" borderId="0" xfId="0" applyFont="1" applyFill="1" applyAlignment="1">
      <alignment horizontal="center"/>
    </xf>
    <xf numFmtId="0" fontId="5" fillId="2" borderId="0" xfId="0" applyFont="1" applyFill="1" applyAlignment="1">
      <alignment horizontal="center"/>
    </xf>
    <xf numFmtId="0" fontId="2" fillId="2" borderId="14" xfId="0" applyFont="1" applyFill="1" applyBorder="1" applyAlignment="1">
      <alignment horizontal="center"/>
    </xf>
    <xf numFmtId="14" fontId="0" fillId="0" borderId="1" xfId="0" applyNumberFormat="1" applyBorder="1" applyAlignment="1">
      <alignment horizontal="center"/>
    </xf>
    <xf numFmtId="8" fontId="0" fillId="0" borderId="1" xfId="0" applyNumberFormat="1" applyBorder="1" applyAlignment="1">
      <alignment horizontal="center"/>
    </xf>
    <xf numFmtId="165" fontId="0" fillId="0" borderId="1" xfId="0" applyNumberFormat="1" applyBorder="1" applyAlignment="1">
      <alignment horizontal="center"/>
    </xf>
    <xf numFmtId="0" fontId="2" fillId="5" borderId="14" xfId="0" applyFont="1" applyFill="1" applyBorder="1" applyAlignment="1">
      <alignment horizontal="center"/>
    </xf>
    <xf numFmtId="17" fontId="2" fillId="4" borderId="14" xfId="0" applyNumberFormat="1" applyFont="1" applyFill="1" applyBorder="1" applyAlignment="1">
      <alignment horizontal="center"/>
    </xf>
    <xf numFmtId="17" fontId="2" fillId="5" borderId="0" xfId="0" applyNumberFormat="1" applyFont="1" applyFill="1" applyAlignment="1">
      <alignment horizontal="center"/>
    </xf>
    <xf numFmtId="44" fontId="0" fillId="0" borderId="1" xfId="1" applyFont="1" applyBorder="1" applyAlignment="1">
      <alignment horizontal="center" vertic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Despesas Carros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RESUMO!$A$6</c:f>
              <c:strCache>
                <c:ptCount val="1"/>
                <c:pt idx="0">
                  <c:v>ABASTECIMENTO 2025</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RESUMO!$B$6:$M$6</c:f>
              <c:numCache>
                <c:formatCode>_("R$"* #,##0.00_);_("R$"* \(#,##0.00\);_("R$"* "-"??_);_(@_)</c:formatCode>
                <c:ptCount val="12"/>
                <c:pt idx="0">
                  <c:v>0</c:v>
                </c:pt>
                <c:pt idx="1">
                  <c:v>4306.6600000000008</c:v>
                </c:pt>
                <c:pt idx="2">
                  <c:v>5225.4199999999992</c:v>
                </c:pt>
                <c:pt idx="3">
                  <c:v>5544.38</c:v>
                </c:pt>
                <c:pt idx="4">
                  <c:v>3696.81</c:v>
                </c:pt>
                <c:pt idx="5">
                  <c:v>3406.54</c:v>
                </c:pt>
                <c:pt idx="6">
                  <c:v>7216.04</c:v>
                </c:pt>
                <c:pt idx="7">
                  <c:v>8960.7139999999999</c:v>
                </c:pt>
                <c:pt idx="8">
                  <c:v>8913.73</c:v>
                </c:pt>
                <c:pt idx="9">
                  <c:v>10065.299999999999</c:v>
                </c:pt>
                <c:pt idx="10">
                  <c:v>10218.49</c:v>
                </c:pt>
                <c:pt idx="11">
                  <c:v>10463.920000000002</c:v>
                </c:pt>
              </c:numCache>
            </c:numRef>
          </c:val>
          <c:extLst>
            <c:ext xmlns:c16="http://schemas.microsoft.com/office/drawing/2014/chart" uri="{C3380CC4-5D6E-409C-BE32-E72D297353CC}">
              <c16:uniqueId val="{00000000-323D-4505-9075-AF1DF82A958E}"/>
            </c:ext>
          </c:extLst>
        </c:ser>
        <c:ser>
          <c:idx val="1"/>
          <c:order val="1"/>
          <c:tx>
            <c:strRef>
              <c:f>RESUMO!$A$9</c:f>
              <c:strCache>
                <c:ptCount val="1"/>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RESUMO!$B$9:$M$9</c:f>
              <c:numCache>
                <c:formatCode>General</c:formatCode>
                <c:ptCount val="12"/>
              </c:numCache>
            </c:numRef>
          </c:val>
          <c:extLst>
            <c:ext xmlns:c16="http://schemas.microsoft.com/office/drawing/2014/chart" uri="{C3380CC4-5D6E-409C-BE32-E72D297353CC}">
              <c16:uniqueId val="{00000001-323D-4505-9075-AF1DF82A958E}"/>
            </c:ext>
          </c:extLst>
        </c:ser>
        <c:ser>
          <c:idx val="2"/>
          <c:order val="2"/>
          <c:tx>
            <c:strRef>
              <c:f>RESUMO!$A$10</c:f>
              <c:strCache>
                <c:ptCount val="1"/>
                <c:pt idx="0">
                  <c:v>LAVA_RAPIDO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RESUMO!$B$10:$M$10</c:f>
              <c:numCache>
                <c:formatCode>_("R$"* #,##0.00_);_("R$"* \(#,##0.00\);_("R$"* "-"??_);_(@_)</c:formatCode>
                <c:ptCount val="12"/>
                <c:pt idx="0">
                  <c:v>0</c:v>
                </c:pt>
                <c:pt idx="1">
                  <c:v>0</c:v>
                </c:pt>
                <c:pt idx="2">
                  <c:v>0</c:v>
                </c:pt>
                <c:pt idx="3">
                  <c:v>0</c:v>
                </c:pt>
                <c:pt idx="4">
                  <c:v>0</c:v>
                </c:pt>
                <c:pt idx="5">
                  <c:v>0</c:v>
                </c:pt>
                <c:pt idx="6">
                  <c:v>0</c:v>
                </c:pt>
                <c:pt idx="7">
                  <c:v>40</c:v>
                </c:pt>
                <c:pt idx="8">
                  <c:v>200</c:v>
                </c:pt>
                <c:pt idx="9">
                  <c:v>0</c:v>
                </c:pt>
                <c:pt idx="10">
                  <c:v>0</c:v>
                </c:pt>
                <c:pt idx="11">
                  <c:v>0</c:v>
                </c:pt>
              </c:numCache>
            </c:numRef>
          </c:val>
          <c:extLst>
            <c:ext xmlns:c16="http://schemas.microsoft.com/office/drawing/2014/chart" uri="{C3380CC4-5D6E-409C-BE32-E72D297353CC}">
              <c16:uniqueId val="{00000002-323D-4505-9075-AF1DF82A958E}"/>
            </c:ext>
          </c:extLst>
        </c:ser>
        <c:ser>
          <c:idx val="3"/>
          <c:order val="3"/>
          <c:tx>
            <c:strRef>
              <c:f>RESUMO!$A$11</c:f>
              <c:strCache>
                <c:ptCount val="1"/>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RESUMO!$B$11:$M$11</c:f>
              <c:numCache>
                <c:formatCode>General</c:formatCode>
                <c:ptCount val="12"/>
              </c:numCache>
            </c:numRef>
          </c:val>
          <c:extLst>
            <c:ext xmlns:c16="http://schemas.microsoft.com/office/drawing/2014/chart" uri="{C3380CC4-5D6E-409C-BE32-E72D297353CC}">
              <c16:uniqueId val="{00000003-323D-4505-9075-AF1DF82A958E}"/>
            </c:ext>
          </c:extLst>
        </c:ser>
        <c:ser>
          <c:idx val="4"/>
          <c:order val="4"/>
          <c:tx>
            <c:strRef>
              <c:f>RESUMO!$A$12</c:f>
              <c:strCache>
                <c:ptCount val="1"/>
                <c:pt idx="0">
                  <c:v>BORRACHARIA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RESUMO!$B$12:$M$12</c:f>
              <c:numCache>
                <c:formatCode>_("R$"* #,##0.00_);_("R$"* \(#,##0.00\);_("R$"* "-"??_);_(@_)</c:formatCode>
                <c:ptCount val="12"/>
                <c:pt idx="0">
                  <c:v>0</c:v>
                </c:pt>
                <c:pt idx="1">
                  <c:v>0</c:v>
                </c:pt>
                <c:pt idx="2">
                  <c:v>0</c:v>
                </c:pt>
                <c:pt idx="3">
                  <c:v>0</c:v>
                </c:pt>
                <c:pt idx="4">
                  <c:v>40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323D-4505-9075-AF1DF82A958E}"/>
            </c:ext>
          </c:extLst>
        </c:ser>
        <c:ser>
          <c:idx val="5"/>
          <c:order val="5"/>
          <c:tx>
            <c:strRef>
              <c:f>RESUMO!$B$5</c:f>
              <c:strCache>
                <c:ptCount val="1"/>
                <c:pt idx="0">
                  <c:v>JAN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RESUMO!$C$5:$M$5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323D-4505-9075-AF1DF82A958E}"/>
            </c:ext>
          </c:extLst>
        </c:ser>
        <c:dLbls>
          <c:showLegendKey val="0"/>
          <c:showVal val="0"/>
          <c:showCatName val="0"/>
          <c:showSerName val="0"/>
          <c:showPercent val="0"/>
          <c:showBubbleSize val="0"/>
        </c:dLbls>
        <c:gapWidth val="150"/>
        <c:shape val="box"/>
        <c:axId val="2114339472"/>
        <c:axId val="2114330768"/>
        <c:axId val="0"/>
      </c:bar3DChart>
      <c:catAx>
        <c:axId val="2114339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0768"/>
        <c:crosses val="autoZero"/>
        <c:auto val="1"/>
        <c:lblAlgn val="ctr"/>
        <c:lblOffset val="100"/>
        <c:noMultiLvlLbl val="0"/>
      </c:catAx>
      <c:valAx>
        <c:axId val="2114330768"/>
        <c:scaling>
          <c:orientation val="minMax"/>
        </c:scaling>
        <c:delete val="0"/>
        <c:axPos val="l"/>
        <c:majorGridlines>
          <c:spPr>
            <a:ln w="9525" cap="flat" cmpd="sng" algn="ctr">
              <a:solidFill>
                <a:schemeClr val="dk1">
                  <a:lumMod val="50000"/>
                  <a:lumOff val="50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9472"/>
        <c:crosses val="autoZero"/>
        <c:crossBetween val="between"/>
      </c:valAx>
      <c:spPr>
        <a:noFill/>
        <a:ln>
          <a:noFill/>
        </a:ln>
        <a:effectLst/>
      </c:spPr>
    </c:plotArea>
    <c:legend>
      <c:legendPos val="b"/>
      <c:legendEntry>
        <c:idx val="1"/>
        <c:delete val="1"/>
      </c:legendEntry>
      <c:legendEntry>
        <c:idx val="3"/>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209549</xdr:colOff>
      <xdr:row>3</xdr:row>
      <xdr:rowOff>133350</xdr:rowOff>
    </xdr:from>
    <xdr:to>
      <xdr:col>24</xdr:col>
      <xdr:colOff>523874</xdr:colOff>
      <xdr:row>32</xdr:row>
      <xdr:rowOff>171450</xdr:rowOff>
    </xdr:to>
    <xdr:graphicFrame macro="">
      <xdr:nvGraphicFramePr>
        <xdr:cNvPr id="2" name="Gráfico 1">
          <a:extLst>
            <a:ext uri="{FF2B5EF4-FFF2-40B4-BE49-F238E27FC236}">
              <a16:creationId xmlns:a16="http://schemas.microsoft.com/office/drawing/2014/main" id="{154A4A2E-D4CB-C803-45D9-E7D769F79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Office 6" id="{0CE333B3-4C01-4415-8107-7A56E67D2BF2}" userId="S::office.6@proyfebrasil.com.br::fdc362f8-eb02-4ca9-bcee-c84e19200558"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6-04-14T13:49:18.07" personId="{0CE333B3-4C01-4415-8107-7A56E67D2BF2}" id="{CD426C0C-AFB9-4A2F-A83C-AEC4C45C9DB1}">
    <text>Reservado o Grupo J - 3000km R$7.553,00 e ao chegar lá o carro estava precisando de revisão, troca de pneu e foi disponibilizado Toro TEBIJ42 que está no grupo TT com mensalidade R$6.049,13. A substituição para a caminhonete S10 PVR4B99 só foi realizada em 11/04/26 - 7 diárias, solicitar desconto R$1.762,40</text>
  </threadedComment>
  <threadedComment ref="B19" dT="2026-04-14T13:48:18.53" personId="{0CE333B3-4C01-4415-8107-7A56E67D2BF2}" id="{D7A07D14-36CA-42B7-BF12-AA9316BEFC5D}">
    <text>Toro TEBIJ42 - Locado 04/04/2026</text>
  </threadedComment>
  <threadedComment ref="B19" dT="2026-04-14T13:48:58.67" personId="{0CE333B3-4C01-4415-8107-7A56E67D2BF2}" id="{143AD972-EF52-4B47-96D4-5D8E832FA65F}" parentId="{D7A07D14-36CA-42B7-BF12-AA9316BEFC5D}">
    <text>Reservado o Grupo J - 3000km R$7.553,00 e ao chegar lá o carro estava precisando de revisão, troca de pneu e foi disponibilizado Toro TEBIJ42 que está no grupo TT com mensalidade R$6.049,13. A substituição para a caminhonete S10 PVR4B99 só foi realizada em 11/04/26 - 7 diárias, solicitar desconto R$1.762,40</text>
  </threadedComment>
  <threadedComment ref="C19" dT="2026-04-14T13:56:06.37" personId="{0CE333B3-4C01-4415-8107-7A56E67D2BF2}" id="{D8E56A8B-4D26-474B-95AC-D07641A9E9A7}">
    <text>Devolução_substituição 11/04/2026</text>
  </threadedComment>
  <threadedComment ref="B23" dT="2026-04-14T13:48:18.53" personId="{0CE333B3-4C01-4415-8107-7A56E67D2BF2}" id="{E8AC3699-40ED-4D34-83AB-4F12C9E2CF4A}">
    <text>S10 PVR4B99 - Substituição_Retirada 11/04/2026</text>
  </threadedComment>
  <threadedComment ref="B23" dT="2026-04-14T13:48:58.67" personId="{0CE333B3-4C01-4415-8107-7A56E67D2BF2}" id="{7BBF63E1-EB95-41A5-92EB-BAA2C46F4E1A}" parentId="{E8AC3699-40ED-4D34-83AB-4F12C9E2CF4A}">
    <text>Reservado o Grupo J - 3000km R$7.553,00 e ao chegar lá o carro estava precisando de revisão, troca de pneu e foi disponibilizado Toro TEBIJ42 que está no grupo TT com mensalidade R$6.049,13. A substituição para a caminhonete S10 PVR4B99 só foi realizada em 11/04/26 - 7 diárias, solicitar desconto R$1.762,40</text>
  </threadedComment>
</ThreadedComments>
</file>

<file path=xl/threadedComments/threadedComment2.xml><?xml version="1.0" encoding="utf-8"?>
<ThreadedComments xmlns="http://schemas.microsoft.com/office/spreadsheetml/2018/threadedcomments" xmlns:x="http://schemas.openxmlformats.org/spreadsheetml/2006/main">
  <threadedComment ref="E71" dT="2026-06-03T11:38:16.57" personId="{0CE333B3-4C01-4415-8107-7A56E67D2BF2}" id="{6C33D3B7-E4D6-449E-B0A5-CE7D86D683ED}">
    <text>Veículo vai ficar com idalecio no período de folga</text>
  </threadedComment>
</ThreadedComments>
</file>

<file path=xl/threadedComments/threadedComment3.xml><?xml version="1.0" encoding="utf-8"?>
<ThreadedComments xmlns="http://schemas.microsoft.com/office/spreadsheetml/2018/threadedcomments" xmlns:x="http://schemas.openxmlformats.org/spreadsheetml/2006/main">
  <threadedComment ref="B19" dT="2026-04-06T19:07:30.35" personId="{0CE333B3-4C01-4415-8107-7A56E67D2BF2}" id="{C38D8F2F-B32C-4943-AF51-F30377D7CA3B}">
    <text xml:space="preserve">Locado 31/03/26
</text>
  </threadedComment>
  <threadedComment ref="B27" dT="2026-06-15T17:07:09.82" personId="{0CE333B3-4C01-4415-8107-7A56E67D2BF2}" id="{2C6B85FB-ED75-44BF-AED9-FD06204FCCE0}">
    <text xml:space="preserve">Eduardo - Uso do veículo para treinamento GWO - 11/06 ás 06:53h 51.019km a 11/06/26 19:58h 51.180km - utilizado 161km
</text>
  </threadedComment>
</ThreadedComments>
</file>

<file path=xl/threadedComments/threadedComment4.xml><?xml version="1.0" encoding="utf-8"?>
<ThreadedComments xmlns="http://schemas.microsoft.com/office/spreadsheetml/2018/threadedcomments" xmlns:x="http://schemas.openxmlformats.org/spreadsheetml/2006/main">
  <threadedComment ref="I5" dT="2026-02-19T16:47:21.27" personId="{0CE333B3-4C01-4415-8107-7A56E67D2BF2}" id="{F73E923E-CA2D-4153-933D-9933CF157471}">
    <text>Polo STZ7D92 que estava com Idalecio ficou temporariamente com Yanca a partir de 05/12/2025 e foi seguindo com ela, até que em 10/02/2026 Alverson site manager confirmou que está definitivamente com Yanca.</text>
  </threadedComment>
  <threadedComment ref="E58" dT="2026-02-10T12:52:06.68" personId="{0CE333B3-4C01-4415-8107-7A56E67D2BF2}" id="{E9469BEB-52D6-4D9E-B5B1-31D565BE548A}">
    <text>Utilizado por Yanca desde antes do recesso de final de ano até o final de janeiro - teve ocorrência de avaria no para-choque e amassado na parte inferior da porta do motorista (informei que este o custo seria dela)</text>
  </threadedComment>
  <threadedComment ref="B66" dT="2026-04-08T12:19:58.44" personId="{0CE333B3-4C01-4415-8107-7A56E67D2BF2}" id="{21B050A0-0908-4E55-9C33-6589EAF247E9}">
    <text>07 a 09/03/26 esteve em João Camara 75km de Lajes - uso estimado 150km (não houve solicitação)</text>
  </threadedComment>
  <threadedComment ref="E66" dT="2026-03-12T18:25:41.54" personId="{0CE333B3-4C01-4415-8107-7A56E67D2BF2}" id="{39086077-FE03-417B-9489-B5595C5E6481}">
    <text>Yanca de férias a partir de 13/03 - João neto estará responsável pelo veículo até o dia 20/03/26</text>
  </threadedComment>
  <threadedComment ref="E70" dT="2026-04-30T14:33:46.74" personId="{0CE333B3-4C01-4415-8107-7A56E67D2BF2}" id="{5A1CCB3B-9601-48DF-85A7-841F04CC3D40}">
    <text>Devolução_substituição 25/04/26</text>
  </threadedComment>
  <threadedComment ref="D74" dT="2026-04-30T16:34:48.88" personId="{0CE333B3-4C01-4415-8107-7A56E67D2BF2}" id="{AC3198E7-2F0E-41DF-A625-1AA72EEE433D}">
    <text>Substituição_Retirada 25/04/26</text>
  </threadedComment>
</ThreadedComments>
</file>

<file path=xl/threadedComments/threadedComment5.xml><?xml version="1.0" encoding="utf-8"?>
<ThreadedComments xmlns="http://schemas.microsoft.com/office/spreadsheetml/2018/threadedcomments" xmlns:x="http://schemas.openxmlformats.org/spreadsheetml/2006/main">
  <threadedComment ref="E65" dT="2026-03-03T13:16:15.28" personId="{0CE333B3-4C01-4415-8107-7A56E67D2BF2}" id="{7C5F6271-4EF3-4F96-87E7-C23EEE5E91CD}">
    <text>Troca de Condutor:
24/02/2026 - Polo TJL7E95 17.956km - Na desmobilização de Alverson ficou alinhado de que o veículo permaneceria no projeto, ficando com Idalecio até a chegada de Elisson em 02/03/26.</text>
  </threadedComment>
</ThreadedComments>
</file>

<file path=xl/threadedComments/threadedComment6.xml><?xml version="1.0" encoding="utf-8"?>
<ThreadedComments xmlns="http://schemas.microsoft.com/office/spreadsheetml/2018/threadedcomments" xmlns:x="http://schemas.openxmlformats.org/spreadsheetml/2006/main">
  <threadedComment ref="I4" dT="2026-05-11T12:38:35.70" personId="{0CE333B3-4C01-4415-8107-7A56E67D2BF2}" id="{6BDD0839-25CE-4BFF-84CF-99FFE0A986EE}">
    <text xml:space="preserve">Na desmobilização de Ubiratan em 08/05/26 o carro dele TJF8C34 ficou com Ilo Hilton por estar com km mais baixa e o de Ilo DHQ9H62 é que foi devolvido por estar acima de 60.000km.
</text>
  </threadedComment>
  <threadedComment ref="B57" dT="2026-02-10T13:00:10.79" personId="{0CE333B3-4C01-4415-8107-7A56E67D2BF2}" id="{C1F56FA6-2E76-4EA7-A7EB-82777439A193}">
    <text>Veículo transferido para Ubiratan em 10/01/2026 com 8.709km</text>
  </threadedComment>
  <threadedComment ref="C73" dT="2026-05-11T12:39:25.10" personId="{0CE333B3-4C01-4415-8107-7A56E67D2BF2}" id="{35A7AD48-312E-4C93-B56C-3ED44BA68624}">
    <text xml:space="preserve">Na desmobilização de Ubiratan em 08/05/26 o carro dele TJF8C34 ficou com Ilo Hilton por estar com km mais baixa e o de Ilo DHQ9H62 é que foi devolvido por estar acima de 60.000km.
</text>
  </threadedComment>
  <threadedComment ref="E73" dT="2026-06-03T13:14:28.25" personId="{0CE333B3-4C01-4415-8107-7A56E67D2BF2}" id="{8ED5A2DC-945D-4FC1-B1BB-4B1A9E723BF0}">
    <text>25 a 29/05/26 - veículo ficou com idalecio, Ilo Hilton estava de baixada</text>
  </threadedComment>
</ThreadedComments>
</file>

<file path=xl/threadedComments/threadedComment7.xml><?xml version="1.0" encoding="utf-8"?>
<ThreadedComments xmlns="http://schemas.microsoft.com/office/spreadsheetml/2018/threadedcomments" xmlns:x="http://schemas.openxmlformats.org/spreadsheetml/2006/main">
  <threadedComment ref="B12" dT="2026-02-10T13:35:02.61" personId="{0CE333B3-4C01-4415-8107-7A56E67D2BF2}" id="{97DEAC73-BA45-44B6-B1CE-FDEA7F4BCC62}">
    <text xml:space="preserve">Locação 09/01/2026
</text>
  </threadedComment>
  <threadedComment ref="E12" dT="2026-02-10T13:37:44.09" personId="{0CE333B3-4C01-4415-8107-7A56E67D2BF2}" id="{296D57EA-F76D-41BE-80D5-0D631BC4E26F}">
    <text>Veículo transferido para Wildson em 22/01/2026 com 19.700km</text>
  </threadedComment>
  <threadedComment ref="B24" dT="2026-05-04T11:50:59.28" personId="{0CE333B3-4C01-4415-8107-7A56E67D2BF2}" id="{32E5BDD5-E0D1-4C6C-99A3-423512E09E8E}">
    <text>10 a 16/04/26 - veículo com Roberto Mendes durante folga de Wildson</text>
  </threadedComment>
  <threadedComment ref="E28" dT="2026-06-03T16:17:38.78" personId="{0CE333B3-4C01-4415-8107-7A56E67D2BF2}" id="{2D269A78-88B2-4295-8D76-90C0543DE4A3}">
    <text>29 a 31/05/26 - utilizado por Marcilio e Idalecio festa da Proyfe Brasil (apenas idalecio e alverson compareceu)</text>
  </threadedComment>
  <threadedComment ref="E28" dT="2026-06-09T12:07:56.60" personId="{0CE333B3-4C01-4415-8107-7A56E67D2BF2}" id="{A649ADD4-50FB-497C-82C5-A5F0940816AC}" parentId="{2D269A78-88B2-4295-8D76-90C0543DE4A3}">
    <text xml:space="preserve">Uso particular 15 anos Proyfe Brasil - Idalecio e Alverson - 29/05 27.930km a 01/06/26 28.892km Lajes x Jaboatão dos Guararapes - utilizado 962km - entregou o veículo sem abastecer e sem registrar as fotos
</text>
  </threadedComment>
</ThreadedComments>
</file>

<file path=xl/threadedComments/threadedComment8.xml><?xml version="1.0" encoding="utf-8"?>
<ThreadedComments xmlns="http://schemas.microsoft.com/office/spreadsheetml/2018/threadedcomments" xmlns:x="http://schemas.openxmlformats.org/spreadsheetml/2006/main">
  <threadedComment ref="E2" dT="2026-02-10T14:37:44.21" personId="{0CE333B3-4C01-4415-8107-7A56E67D2BF2}" id="{D2AF8ADC-C5B6-44A7-83C3-FBF96333D9C7}">
    <text xml:space="preserve">Veículo era de Eider Breno e foi devolvido em 31/01/2026 por Marcilio - seria retirado um novo veículo porém foi locado novamente o mesmo carro na mesma data, devido a indisponibilidade de outros veículos com km baixa, os demais estavam acima de 50.000km.
 - Marcilio transferiu para Mizael em 08/02/2026
</text>
  </threadedComment>
  <threadedComment ref="I3" dT="2026-02-12T13:52:15.61" personId="{0CE333B3-4C01-4415-8107-7A56E67D2BF2}" id="{9479F9B0-CB73-4499-90BA-6BF0D6E0ECCA}">
    <text xml:space="preserve">Veículo era de Eider Breno e foi devolvido em 31/01/2026 por Marcilio - seria retirado um novo veículo porém foi locado novamente o mesmo carro na mesma data, devido a indisponibilidade de outros veículos com km baixa, os demais estavam acima de 50.000km.
 - Marcilio transferiu para Mizael em 08/02/2026
</text>
  </threadedComment>
  <threadedComment ref="B12" dT="2026-02-10T14:37:26.59" personId="{0CE333B3-4C01-4415-8107-7A56E67D2BF2}" id="{89283A3A-9962-4264-B62D-EA37ED3BB3FE}">
    <text xml:space="preserve">Retirada 31/01/2026
Veículo era de Eider Breno e foi devolvido em 31/01/2026 por Marcilio - seria retirado um novo veículo porém foi locado novamente o mesmo carro na mesma data, devido a indisponibilidade de outros veículos com km baixa, os demais estavam acima de 50.000km.
</text>
  </threadedComment>
  <threadedComment ref="E16" dT="2026-03-27T14:33:08.14" personId="{0CE333B3-4C01-4415-8107-7A56E67D2BF2}" id="{4F293CFA-ECAC-4856-883D-80F7DA4E11FB}">
    <text>Folga Mizael 26/03 a 05/04/26 - veículo parado no residencial Bela vista em Lajes e chave com Rigoberto.</text>
  </threadedComment>
  <threadedComment ref="E24" dT="2026-06-03T16:54:08.33" personId="{0CE333B3-4C01-4415-8107-7A56E67D2BF2}" id="{F3C960E0-365A-4A90-A2DD-6012C5FFF7B4}">
    <text>25 a 31/05/26 - folga de mizael, veículo com Elisson)</text>
  </threadedComment>
</ThreadedComments>
</file>

<file path=xl/threadedComments/threadedComment9.xml><?xml version="1.0" encoding="utf-8"?>
<ThreadedComments xmlns="http://schemas.microsoft.com/office/spreadsheetml/2018/threadedcomments" xmlns:x="http://schemas.openxmlformats.org/spreadsheetml/2006/main">
  <threadedComment ref="I3" dT="2026-02-12T14:06:48.63" personId="{0CE333B3-4C01-4415-8107-7A56E67D2BF2}" id="{F9CFA730-3153-4853-B996-4A8BADC799B6}">
    <text xml:space="preserve">Locado por Marcilio 10/01/26 e transferido para Rigoberto em 12/01/2026
</text>
  </threadedComment>
  <threadedComment ref="B11" dT="2026-02-12T14:01:25.98" personId="{0CE333B3-4C01-4415-8107-7A56E67D2BF2}" id="{6F367A77-E58B-4A99-8F24-870478800954}">
    <text xml:space="preserve">Locado 10/01/2026
</text>
  </threadedComment>
  <threadedComment ref="E11" dT="2026-02-12T14:03:07.50" personId="{0CE333B3-4C01-4415-8107-7A56E67D2BF2}" id="{76BE21E8-4416-430C-B8B0-5E5821CD4A3E}">
    <text>Veículo transferido de Marcilio para Rigoberto em 12/01/2026 49.321KM</text>
  </threadedComment>
</ThreadedComments>
</file>

<file path=xl/threadedComments/threadedComment10.xml><?xml version="1.0" encoding="utf-8"?>
<ThreadedComments xmlns="http://schemas.microsoft.com/office/spreadsheetml/2018/threadedcomments" xmlns:x="http://schemas.openxmlformats.org/spreadsheetml/2006/main">
  <threadedComment ref="B11" dT="2026-02-19T18:27:31.24" personId="{0CE333B3-4C01-4415-8107-7A56E67D2BF2}" id="{6CB31E5E-6D40-470B-9DB3-F03EB29C870E}">
    <text>Locado 09/02/2026</text>
  </threadedComment>
  <threadedComment ref="E15" dT="2026-04-06T19:33:46.44" personId="{0CE333B3-4C01-4415-8107-7A56E67D2BF2}" id="{C846CC74-30C5-4A95-A95B-DB56B8048291}">
    <text>18 a 19/03/26 - Bruno precisou levar Savio em Salgueiro PE (emergência com a mãe de Sávio) - utilizado 1.189km</text>
  </threadedComment>
  <threadedComment ref="B23" dT="2026-05-06T18:23:26.70" personId="{0CE333B3-4C01-4415-8107-7A56E67D2BF2}" id="{B578FEF2-82EC-468A-AE9B-10506F171D6A}">
    <text>01/05/26 - Ida a São Miguel do Gostoso para uma atividade extra solicitada por Jaqueline</text>
  </threadedComment>
  <threadedComment ref="E23" dT="2026-06-03T17:21:16.15" personId="{0CE333B3-4C01-4415-8107-7A56E67D2BF2}" id="{617C49C6-D543-4D56-A2FF-A29AF0D4FE2B}">
    <text>Devolução 29/05/2026</text>
  </threadedComment>
  <threadedComment ref="E23" dT="2026-06-09T19:03:35.90" personId="{0CE333B3-4C01-4415-8107-7A56E67D2BF2}" id="{C624FB3E-7CFC-459F-8694-45AA4D2E53F9}" parentId="{617C49C6-D543-4D56-A2FF-A29AF0D4FE2B}">
    <text>Devolvido 29/05/2026</text>
  </threadedComment>
</ThreadedComments>
</file>

<file path=xl/threadedComments/threadedComment11.xml><?xml version="1.0" encoding="utf-8"?>
<ThreadedComments xmlns="http://schemas.microsoft.com/office/spreadsheetml/2018/threadedcomments" xmlns:x="http://schemas.openxmlformats.org/spreadsheetml/2006/main">
  <threadedComment ref="K4" dT="2026-05-11T12:34:57.50" personId="{0CE333B3-4C01-4415-8107-7A56E67D2BF2}" id="{FAB9B970-D46A-4693-B025-B5A5398C0305}">
    <text xml:space="preserve">Na desmobilização de Ubiratan em 08/05/26 o carro dele TJF8C34 ficou com Ilo Hilton por estar com km mais baixa e o de Ilo DHQ9H62 é que foi devolvido por estar acima de 60.000km.
</text>
  </threadedComment>
  <threadedComment ref="C71" dT="2026-05-11T12:36:24.02" personId="{0CE333B3-4C01-4415-8107-7A56E67D2BF2}" id="{E9DB949B-2706-40F7-906A-99684E2F9CC5}">
    <text xml:space="preserve">Na desmobilização de Ubiratan em 08/05/26 o carro dele TJF8C34 ficou com Ilo Hilton por estar com km mais baixa e o de Ilo DHQ9H62 é que foi devolvido por estar acima de 60.000km.
</text>
  </threadedComment>
</ThreadedComments>
</file>

<file path=xl/threadedComments/threadedComment12.xml><?xml version="1.0" encoding="utf-8"?>
<ThreadedComments xmlns="http://schemas.microsoft.com/office/spreadsheetml/2018/threadedcomments" xmlns:x="http://schemas.openxmlformats.org/spreadsheetml/2006/main">
  <threadedComment ref="E60" dT="2026-03-11T11:18:24.22" personId="{0CE333B3-4C01-4415-8107-7A56E67D2BF2}" id="{804461CA-65C4-4621-A6A2-A4363F300943}">
    <text>Utilizado por Marcilio na folga de Alain, que retornou em 09/03/26</text>
  </threadedComment>
  <threadedComment ref="E64" dT="2026-03-17T16:45:53.42" personId="{0CE333B3-4C01-4415-8107-7A56E67D2BF2}" id="{4468CD85-08E5-46AF-BAC3-ACD8BDE71D56}">
    <text>Devolução 31/03/26</text>
  </threadedComment>
</ThreadedComments>
</file>

<file path=xl/threadedComments/threadedComment13.xml><?xml version="1.0" encoding="utf-8"?>
<ThreadedComments xmlns="http://schemas.microsoft.com/office/spreadsheetml/2018/threadedcomments" xmlns:x="http://schemas.openxmlformats.org/spreadsheetml/2006/main">
  <threadedComment ref="C59" dT="2026-02-09T18:08:22.83" personId="{0CE333B3-4C01-4415-8107-7A56E67D2BF2}" id="{CACF258E-DBC6-4251-A7FA-3BC9986953D9}">
    <text>Devolução 07/02/2026</text>
  </threadedComment>
</ThreadedComments>
</file>

<file path=xl/threadedComments/threadedComment14.xml><?xml version="1.0" encoding="utf-8"?>
<ThreadedComments xmlns="http://schemas.microsoft.com/office/spreadsheetml/2018/threadedcomments" xmlns:x="http://schemas.openxmlformats.org/spreadsheetml/2006/main">
  <threadedComment ref="E56" dT="2026-02-02T17:47:07.18" personId="{0CE333B3-4C01-4415-8107-7A56E67D2BF2}" id="{3EBAA879-FA03-40DB-A481-F36F47102465}">
    <text>Devolvido em 31/01/2026 por Marcilio e foi locado novamente na mesma data, devido a indisponibilidade de outros veículos com km baixa, os demais estavam acima de 50.000km</text>
  </threadedComment>
</ThreadedComments>
</file>

<file path=xl/threadedComments/threadedComment15.xml><?xml version="1.0" encoding="utf-8"?>
<ThreadedComments xmlns="http://schemas.microsoft.com/office/spreadsheetml/2018/threadedcomments" xmlns:x="http://schemas.openxmlformats.org/spreadsheetml/2006/main">
  <threadedComment ref="C59" dT="2026-02-05T14:12:39.74" personId="{0CE333B3-4C01-4415-8107-7A56E67D2BF2}" id="{218FB36A-94B7-4F90-BB4B-3832A8518313}">
    <text xml:space="preserve">Devolvido em 09/01/2026
</text>
  </threadedComment>
</ThreadedComments>
</file>

<file path=xl/threadedComments/threadedComment16.xml><?xml version="1.0" encoding="utf-8"?>
<ThreadedComments xmlns="http://schemas.microsoft.com/office/spreadsheetml/2018/threadedcomments" xmlns:x="http://schemas.openxmlformats.org/spreadsheetml/2006/main">
  <threadedComment ref="K4" dT="2026-02-10T12:55:29.31" personId="{0CE333B3-4C01-4415-8107-7A56E67D2BF2}" id="{3C3AB96C-FC99-49A5-A3C9-D2052EE27F83}">
    <text>Não enviou as informações de devolução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16.xml"/><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1"/>
  <sheetViews>
    <sheetView showGridLines="0" workbookViewId="0">
      <selection activeCell="C6" sqref="C6"/>
    </sheetView>
  </sheetViews>
  <sheetFormatPr defaultRowHeight="15" x14ac:dyDescent="0.25"/>
  <cols>
    <col min="1" max="1" width="21" bestFit="1" customWidth="1"/>
    <col min="2" max="2" width="13.28515625" bestFit="1" customWidth="1"/>
    <col min="3" max="3" width="13.140625" bestFit="1" customWidth="1"/>
    <col min="4" max="7" width="12.140625" bestFit="1" customWidth="1"/>
    <col min="8" max="8" width="13.28515625" bestFit="1" customWidth="1"/>
    <col min="9" max="9" width="12.140625" bestFit="1" customWidth="1"/>
    <col min="10" max="13" width="13.28515625" bestFit="1" customWidth="1"/>
  </cols>
  <sheetData>
    <row r="1" spans="1:25" x14ac:dyDescent="0.25">
      <c r="A1" s="105" t="s">
        <v>81</v>
      </c>
      <c r="B1" s="106"/>
      <c r="C1" s="106"/>
      <c r="D1" s="106"/>
      <c r="E1" s="106"/>
      <c r="F1" s="106"/>
      <c r="G1" s="106"/>
      <c r="H1" s="106"/>
      <c r="I1" s="106"/>
      <c r="J1" s="106"/>
      <c r="K1" s="106"/>
      <c r="L1" s="106"/>
      <c r="M1" s="106"/>
      <c r="N1" s="106"/>
      <c r="O1" s="106"/>
      <c r="P1" s="106"/>
      <c r="Q1" s="106"/>
      <c r="R1" s="106"/>
      <c r="S1" s="106"/>
      <c r="T1" s="106"/>
      <c r="U1" s="106"/>
      <c r="V1" s="106"/>
      <c r="W1" s="106"/>
      <c r="X1" s="106"/>
      <c r="Y1" s="106"/>
    </row>
    <row r="2" spans="1:25" x14ac:dyDescent="0.25">
      <c r="A2" s="106"/>
      <c r="B2" s="106"/>
      <c r="C2" s="106"/>
      <c r="D2" s="106"/>
      <c r="E2" s="106"/>
      <c r="F2" s="106"/>
      <c r="G2" s="106"/>
      <c r="H2" s="106"/>
      <c r="I2" s="106"/>
      <c r="J2" s="106"/>
      <c r="K2" s="106"/>
      <c r="L2" s="106"/>
      <c r="M2" s="106"/>
      <c r="N2" s="106"/>
      <c r="O2" s="106"/>
      <c r="P2" s="106"/>
      <c r="Q2" s="106"/>
      <c r="R2" s="106"/>
      <c r="S2" s="106"/>
      <c r="T2" s="106"/>
      <c r="U2" s="106"/>
      <c r="V2" s="106"/>
      <c r="W2" s="106"/>
      <c r="X2" s="106"/>
      <c r="Y2" s="106"/>
    </row>
    <row r="4" spans="1:25" x14ac:dyDescent="0.25">
      <c r="B4" s="104"/>
      <c r="C4" s="104"/>
      <c r="D4" s="104"/>
      <c r="E4" s="104"/>
      <c r="F4" s="104"/>
      <c r="G4" s="104"/>
      <c r="H4" s="104"/>
      <c r="I4" s="104"/>
      <c r="J4" s="104"/>
      <c r="K4" s="104"/>
      <c r="L4" s="104"/>
      <c r="M4" s="104"/>
    </row>
    <row r="5" spans="1:25" ht="15.75" thickBot="1" x14ac:dyDescent="0.3">
      <c r="B5" s="53" t="s">
        <v>31</v>
      </c>
      <c r="C5" s="53" t="s">
        <v>32</v>
      </c>
      <c r="D5" s="53" t="s">
        <v>33</v>
      </c>
      <c r="E5" s="53" t="s">
        <v>34</v>
      </c>
      <c r="F5" s="53" t="s">
        <v>35</v>
      </c>
      <c r="G5" s="53" t="s">
        <v>36</v>
      </c>
      <c r="H5" s="53" t="s">
        <v>37</v>
      </c>
      <c r="I5" s="53" t="s">
        <v>38</v>
      </c>
      <c r="J5" s="53" t="s">
        <v>39</v>
      </c>
      <c r="K5" s="53" t="s">
        <v>40</v>
      </c>
      <c r="L5" s="53" t="s">
        <v>41</v>
      </c>
      <c r="M5" s="53" t="s">
        <v>42</v>
      </c>
    </row>
    <row r="6" spans="1:25" ht="15.75" thickBot="1" x14ac:dyDescent="0.3">
      <c r="A6" s="63" t="s">
        <v>132</v>
      </c>
      <c r="B6" s="62">
        <f>SUM('Controle Central'!D4+'Controle Central'!K4+'Controle Central'!R4+'Controle Central'!Y4+'Controle Central'!D23+'Controle Central'!K23+'Controle Central'!R23+'Controle Central'!Y23+'Controle Central'!D42+'Controle Central'!K42+'Controle Central'!R42+'Controle Central'!Y42+'Controle Central'!D61+'Controle Central'!K61+'Controle Central'!R61+'Controle Central'!Y61+'Controle Central'!D80+'Controle Central'!K80+'Controle Central'!R80+'Controle Central'!Y80+'Controle Central'!D98+'Controle Central'!K98+'Controle Central'!R98+'Controle Central'!Y98+'Controle Central'!D116+'Controle Central'!K116+'Controle Central'!R116+'Controle Central'!Y116+'Controle Central'!D134+'Controle Central'!K134)</f>
        <v>0</v>
      </c>
      <c r="C6" s="62">
        <f>SUM('Controle Central'!D5+'Controle Central'!K5+'Controle Central'!R5+'Controle Central'!Y5+'Controle Central'!D24+'Controle Central'!K24+'Controle Central'!R24+'Controle Central'!Y24+'Controle Central'!D43+'Controle Central'!K43+'Controle Central'!R43+'Controle Central'!Y43+'Controle Central'!D62+'Controle Central'!K62+'Controle Central'!R62+'Controle Central'!Y62+'Controle Central'!D81+'Controle Central'!K81+'Controle Central'!R81+'Controle Central'!D99+'Controle Central'!K99+'Controle Central'!R99+'Controle Central'!Y99+'Controle Central'!D117+'Controle Central'!K117+'Controle Central'!R117+'Controle Central'!Y117+'Controle Central'!D135+'Controle Central'!K135)</f>
        <v>4306.6600000000008</v>
      </c>
      <c r="D6" s="57">
        <f>SUM('Controle Central'!D6+'Controle Central'!K6+'Controle Central'!R6+'Controle Central'!Y6+'Controle Central'!D25+'Controle Central'!K25+'Controle Central'!R25+'Controle Central'!Y25+'Controle Central'!D44+'Controle Central'!K44+'Controle Central'!R44+'Controle Central'!Y44+'Controle Central'!D63+'Controle Central'!K63+'Controle Central'!R63+'Controle Central'!Y63+'Controle Central'!D82+'Controle Central'!K82+'Controle Central'!R82+'Controle Central'!Y82+'Controle Central'!D100+'Controle Central'!K100+'Controle Central'!R100+'Controle Central'!Y100+'Controle Central'!D118+'Controle Central'!K118+'Controle Central'!R118+'Controle Central'!Y118+'Controle Central'!D136+'Controle Central'!K136)</f>
        <v>5225.4199999999992</v>
      </c>
      <c r="E6" s="57">
        <f>'Controle Central'!D7+'Controle Central'!K7+'Controle Central'!R7+'Controle Central'!Y7+'Controle Central'!D26+'Controle Central'!K26+'Controle Central'!R26+'Controle Central'!Y26+'Controle Central'!D45+'Controle Central'!K45+'Controle Central'!R45+'Controle Central'!Y45+'Controle Central'!D64+'Controle Central'!K64+'Controle Central'!R64+'Controle Central'!D83+'Controle Central'!K83+'Controle Central'!R83+'Controle Central'!Y83+'Controle Central'!D101+'Controle Central'!K101+'Controle Central'!R101+'Controle Central'!Y101+'Controle Central'!D119+'Controle Central'!K119+'Controle Central'!R119+'Controle Central'!Y119+'Controle Central'!D137+'Controle Central'!K137</f>
        <v>5544.38</v>
      </c>
      <c r="F6" s="57">
        <f>SUM('Controle Central'!D8+'Controle Central'!K8+'Controle Central'!R8+'Controle Central'!Y8+'Controle Central'!D27+'Controle Central'!K27+'Controle Central'!R27+'Controle Central'!Y27+'Controle Central'!D46+'Controle Central'!K46+'Controle Central'!R46+'Controle Central'!Y46+'Controle Central'!D65+'Controle Central'!K65+'Controle Central'!R65+'Controle Central'!Y65+'Controle Central'!D84+'Controle Central'!K84+'Controle Central'!R84+'Controle Central'!Y84+'Controle Central'!D102+'Controle Central'!K102+'Controle Central'!R102+'Controle Central'!Y102+'Controle Central'!D120+'Controle Central'!K120+'Controle Central'!R120+'Controle Central'!Y120+'Controle Central'!D138+'Controle Central'!K138)</f>
        <v>3696.81</v>
      </c>
      <c r="G6" s="57">
        <f>SUM('Controle Central'!D9+'Controle Central'!K9+'Controle Central'!R9+'Controle Central'!Y9+'Controle Central'!D28+'Controle Central'!K28+'Controle Central'!R28+'Controle Central'!Y28+'Controle Central'!D47+'Controle Central'!K47+'Controle Central'!R47+'Controle Central'!Y47+'Controle Central'!D66+'Controle Central'!K66+'Controle Central'!R66+'Controle Central'!Y66+'Controle Central'!D85+'Controle Central'!K85+'Controle Central'!R85+'Controle Central'!Y85+'Controle Central'!D103+'Controle Central'!K103+'Controle Central'!R103+'Controle Central'!Y103+'Controle Central'!D121+'Controle Central'!K121+'Controle Central'!R121+'Controle Central'!Y121+'Controle Central'!D139+'Controle Central'!K139)</f>
        <v>3406.54</v>
      </c>
      <c r="H6" s="57">
        <f>SUM('Controle Central'!D10+'Controle Central'!K10+'Controle Central'!R10+'Controle Central'!Y10+'Controle Central'!D29+'Controle Central'!K29+'Controle Central'!R29+'Controle Central'!D48+'Controle Central'!K48+'Controle Central'!R48+'Controle Central'!Y48+'Controle Central'!D67+'Controle Central'!K67+'Controle Central'!R67+'Controle Central'!Y67+'Controle Central'!D86+'Controle Central'!K86+'Controle Central'!R86+'Controle Central'!Y86+'Controle Central'!D104+'Controle Central'!K104+'Controle Central'!R104+'Controle Central'!Y104+'Controle Central'!D122+'Controle Central'!K122+'Controle Central'!R122+'Controle Central'!Y122+'Controle Central'!D140+'Controle Central'!K140)</f>
        <v>7216.04</v>
      </c>
      <c r="I6" s="57">
        <f>SUM('Controle Central'!D11+'Controle Central'!K11+'Controle Central'!R11+'Controle Central'!Y11+'Controle Central'!D30+'Controle Central'!K30+'Controle Central'!R30+'Controle Central'!Y30+'Controle Central'!D49+'Controle Central'!K49+'Controle Central'!R49+'Controle Central'!Y49+'Controle Central'!D68+'Controle Central'!K68+'Controle Central'!R68+'Controle Central'!Y68+'Controle Central'!D87+'Controle Central'!K87+'Controle Central'!R87+'Controle Central'!Y87+'Controle Central'!D105+'Controle Central'!K105+'Controle Central'!R105+'Controle Central'!Y105+'Controle Central'!D123+'Controle Central'!K123+'Controle Central'!R123+'Controle Central'!Y123+'Controle Central'!D141+'Controle Central'!K141)</f>
        <v>8960.7139999999999</v>
      </c>
      <c r="J6" s="57">
        <f>SUM('Controle Central'!D12+'Controle Central'!K12+'Controle Central'!R12+'Controle Central'!Y12+'Controle Central'!D31+'Controle Central'!K31+'Controle Central'!R31+'Controle Central'!Y31+'Controle Central'!D50+'Controle Central'!K50+'Controle Central'!R50+'Controle Central'!Y50+'Controle Central'!D69+'Controle Central'!K69+'Controle Central'!R69+'Controle Central'!Y69+'Controle Central'!D88+'Controle Central'!K88+'Controle Central'!R88+'Controle Central'!Y88+'Controle Central'!D106+'Controle Central'!K106+'Controle Central'!R106+'Controle Central'!Y106+'Controle Central'!D124+'Controle Central'!K124+'Controle Central'!R124+'Controle Central'!Y124+'Controle Central'!D142+'Controle Central'!K142)</f>
        <v>8913.73</v>
      </c>
      <c r="K6" s="57">
        <f>SUM('Controle Central'!D13+'Controle Central'!K13+'Controle Central'!R13+'Controle Central'!Y13+'Controle Central'!D32+'Controle Central'!K32+'Controle Central'!R32+'Controle Central'!Y32+'Controle Central'!D51+'Controle Central'!K51+'Controle Central'!R51+'Controle Central'!Y51+'Controle Central'!D70+'Controle Central'!K70+'Controle Central'!R70+'Controle Central'!Y70+'Controle Central'!D89+'Controle Central'!K89+'Controle Central'!R89+'Controle Central'!Y89+'Controle Central'!D107+'Controle Central'!K107+'Controle Central'!R107+'Controle Central'!Y107+'Controle Central'!D125+'Controle Central'!K125+'Controle Central'!R125+'Controle Central'!Y125+'Controle Central'!D143+'Controle Central'!K143)</f>
        <v>10065.299999999999</v>
      </c>
      <c r="L6" s="57">
        <f>SUM('Controle Central'!D14+'Controle Central'!K14+'Controle Central'!R14+'Controle Central'!Y14+'Controle Central'!D33+'Controle Central'!K33+'Controle Central'!R33+'Controle Central'!Y33+'Controle Central'!D52+'Controle Central'!K52+'Controle Central'!R52+'Controle Central'!Y52+'Controle Central'!D71+'Controle Central'!K71+'Controle Central'!R71+'Controle Central'!Y71+'Controle Central'!D90+'Controle Central'!K90+'Controle Central'!R90+'Controle Central'!Y90+'Controle Central'!D108+'Controle Central'!K108+'Controle Central'!R108+'Controle Central'!Y108+'Controle Central'!D126+'Controle Central'!K126+'Controle Central'!R126+'Controle Central'!Y126+'Controle Central'!D144+'Controle Central'!K144)</f>
        <v>10218.49</v>
      </c>
      <c r="M6" s="48">
        <f>SUM('Controle Central'!D15+'Controle Central'!K15+'Controle Central'!R15+'Controle Central'!Y15+'Controle Central'!D34+'Controle Central'!K34+'Controle Central'!R34+'Controle Central'!Y34+'Controle Central'!D53+'Controle Central'!K53+'Controle Central'!R53+'Controle Central'!Y53+'Controle Central'!D72+'Controle Central'!K72+'Controle Central'!R72+'Controle Central'!Y72+'Controle Central'!D91+'Controle Central'!K91+'Controle Central'!R91+'Controle Central'!Y91+'Controle Central'!D109+'Controle Central'!K109+'Controle Central'!R109+'Controle Central'!Y109+'Controle Central'!D127+'Controle Central'!K127+'Controle Central'!R127+'Controle Central'!Y127+'Controle Central'!D145+'Controle Central'!K145)</f>
        <v>10463.920000000002</v>
      </c>
    </row>
    <row r="7" spans="1:25" ht="15.75" thickBot="1" x14ac:dyDescent="0.3">
      <c r="A7" s="63" t="s">
        <v>133</v>
      </c>
      <c r="B7" s="62"/>
      <c r="C7" s="62"/>
      <c r="D7" s="57"/>
      <c r="E7" s="57"/>
      <c r="F7" s="57"/>
      <c r="G7" s="57"/>
      <c r="H7" s="57"/>
      <c r="I7" s="57"/>
      <c r="J7" s="57"/>
      <c r="K7" s="57"/>
      <c r="L7" s="57"/>
      <c r="M7" s="48"/>
    </row>
    <row r="8" spans="1:25" x14ac:dyDescent="0.25">
      <c r="A8" s="3"/>
      <c r="B8" s="90"/>
      <c r="C8" s="90"/>
      <c r="D8" s="82"/>
      <c r="E8" s="82"/>
      <c r="F8" s="82"/>
      <c r="G8" s="82"/>
      <c r="H8" s="82"/>
      <c r="I8" s="82"/>
      <c r="J8" s="82"/>
      <c r="K8" s="82"/>
      <c r="L8" s="82"/>
      <c r="M8" s="82"/>
    </row>
    <row r="9" spans="1:25" ht="15.75" thickBot="1" x14ac:dyDescent="0.3"/>
    <row r="10" spans="1:25" ht="15.75" thickBot="1" x14ac:dyDescent="0.3">
      <c r="A10" s="64" t="s">
        <v>25</v>
      </c>
      <c r="B10" s="56">
        <f>SUM('Controle Central'!E4+'Controle Central'!L4+'Controle Central'!S4+'Controle Central'!Z4+'Controle Central'!E23+'Controle Central'!L23+'Controle Central'!S23+'Controle Central'!Z23+'Controle Central'!E42+'Controle Central'!L42+'Controle Central'!S42+'Controle Central'!Z42+'Controle Central'!E61+'Controle Central'!L61+'Controle Central'!S61+'Controle Central'!Z61+'Controle Central'!E80+'Controle Central'!L80+'Controle Central'!S80+'Controle Central'!Z80+'Controle Central'!E98+'Controle Central'!L98+'Controle Central'!S98+'Controle Central'!Z98+'Controle Central'!E116+'Controle Central'!L116+'Controle Central'!S116+'Controle Central'!Z116+'Controle Central'!E134+'Controle Central'!L134)</f>
        <v>0</v>
      </c>
      <c r="C10" s="57">
        <f>SUM('Controle Central'!E5,'Controle Central'!L5,'Controle Central'!S5,'Controle Central'!Z5,'Controle Central'!E24,'Controle Central'!L24,'Controle Central'!S24,'Controle Central'!Z24,'Controle Central'!E43,'Controle Central'!L43,'Controle Central'!S43,'Controle Central'!Z43,'Controle Central'!E62,'Controle Central'!L62,'Controle Central'!S62,'Controle Central'!Z62,'Controle Central'!E81,'Controle Central'!L81,'Controle Central'!S81,'Controle Central'!Z81,'Controle Central'!E99,'Controle Central'!L99,'Controle Central'!S99,'Controle Central'!Z99,'Controle Central'!E117,'Controle Central'!L117,'Controle Central'!S117,'Controle Central'!Z117,'Controle Central'!E135,'Controle Central'!L135)</f>
        <v>0</v>
      </c>
      <c r="D10" s="57">
        <f>SUM('Controle Central'!E6,'Controle Central'!L6,'Controle Central'!S6,'Controle Central'!Z6,'Controle Central'!E25,'Controle Central'!L25,'Controle Central'!S25,'Controle Central'!Z25,'Controle Central'!E44,'Controle Central'!L44,'Controle Central'!S44,'Controle Central'!Z44,'Controle Central'!E63,'Controle Central'!L63,'Controle Central'!S63,'Controle Central'!Z63,'Controle Central'!E82,'Controle Central'!L82,'Controle Central'!S82,'Controle Central'!Z82,'Controle Central'!E100,'Controle Central'!L100,'Controle Central'!S100,'Controle Central'!Z100,'Controle Central'!E118,'Controle Central'!L118,'Controle Central'!S118,'Controle Central'!Z118,'Controle Central'!E136,'Controle Central'!L136)</f>
        <v>0</v>
      </c>
      <c r="E10" s="57">
        <f>SUM('Controle Central'!E7,'Controle Central'!L7,'Controle Central'!S7,'Controle Central'!Z7,'Controle Central'!E26,'Controle Central'!L26,'Controle Central'!S26,'Controle Central'!Z26,'Controle Central'!E45,'Controle Central'!L45,'Controle Central'!S45,'Controle Central'!Z45,'Controle Central'!E64,'Controle Central'!L64,'Controle Central'!S64,'Controle Central'!Z64,'Controle Central'!E83,'Controle Central'!L83,'Controle Central'!S83,'Controle Central'!Z83,'Controle Central'!E101,'Controle Central'!L101,'Controle Central'!S101,'Controle Central'!Z101,'Controle Central'!E119,'Controle Central'!L119,'Controle Central'!S119,'Controle Central'!Z119,'Controle Central'!E137,'Controle Central'!L137)</f>
        <v>0</v>
      </c>
      <c r="F10" s="57">
        <f>SUM('Controle Central'!E8,'Controle Central'!L8,'Controle Central'!S8,'Controle Central'!Z8,'Controle Central'!E27,'Controle Central'!L27,'Controle Central'!S27,'Controle Central'!Z27,'Controle Central'!E46,'Controle Central'!L46,'Controle Central'!S46,'Controle Central'!Z46,'Controle Central'!E65,'Controle Central'!L65,'Controle Central'!S65,'Controle Central'!Z65,'Controle Central'!E84,'Controle Central'!L84,'Controle Central'!S84,'Controle Central'!Z84,'Controle Central'!E102,'Controle Central'!L102,'Controle Central'!S102,'Controle Central'!Z102,'Controle Central'!E120,'Controle Central'!L120,'Controle Central'!S120,'Controle Central'!Z120,'Controle Central'!E138,'Controle Central'!L138)</f>
        <v>0</v>
      </c>
      <c r="G10" s="57">
        <f>SUM('Controle Central'!E9,'Controle Central'!L9,'Controle Central'!S9,'Controle Central'!Z9,'Controle Central'!E28,'Controle Central'!L28,'Controle Central'!S28,'Controle Central'!Z28,'Controle Central'!E47,'Controle Central'!L47,'Controle Central'!S47,'Controle Central'!Z47,'Controle Central'!E66,'Controle Central'!L66,'Controle Central'!S66,'Controle Central'!Z66,'Controle Central'!E85,'Controle Central'!L85,'Controle Central'!S85,'Controle Central'!Z85,'Controle Central'!E103,'Controle Central'!L103,'Controle Central'!S103,'Controle Central'!Z103,'Controle Central'!E121,'Controle Central'!L121,'Controle Central'!S121,'Controle Central'!Z121,'Controle Central'!E139+'Controle Central'!L139)</f>
        <v>0</v>
      </c>
      <c r="H10" s="57">
        <f>SUM('Controle Central'!E10,'Controle Central'!L10,'Controle Central'!S10,'Controle Central'!Z10,'Controle Central'!E29,'Controle Central'!L29,'Controle Central'!S29,'Controle Central'!Z29,'Controle Central'!E48,'Controle Central'!L48,'Controle Central'!S48,'Controle Central'!Z48,'Controle Central'!E67,'Controle Central'!L67,'Controle Central'!S67,'Controle Central'!Z67,'Controle Central'!E86,'Controle Central'!L86,'Controle Central'!S86,'Controle Central'!Z86,'Controle Central'!E104,'Controle Central'!L104,'Controle Central'!S104,'Controle Central'!Z104,'Controle Central'!E122,'Controle Central'!L122,'Controle Central'!S122,'Controle Central'!Z122,'Controle Central'!E140,'Controle Central'!L140)</f>
        <v>0</v>
      </c>
      <c r="I10" s="57">
        <f>SUM('Controle Central'!L11,'Controle Central'!S11,'Controle Central'!E11,'Controle Central'!Z11,'Controle Central'!Z30,'Controle Central'!S30,'Controle Central'!L30,'Controle Central'!E30,'Controle Central'!E49,'Controle Central'!L49,'Controle Central'!S49,'Controle Central'!Z49,'Controle Central'!Z68,'Controle Central'!S68,'Controle Central'!L68,'Controle Central'!E68,'Controle Central'!E87,'Controle Central'!L87,'Controle Central'!S87,'Controle Central'!Z87,'Controle Central'!Z105,'Controle Central'!Z123,'Controle Central'!S105,'Controle Central'!S123,'Controle Central'!L123,'Controle Central'!L105,'Controle Central'!E123,'Controle Central'!E105,'Controle Central'!E141,'Controle Central'!L141)</f>
        <v>40</v>
      </c>
      <c r="J10" s="57">
        <f>SUM('Controle Central'!E12,'Controle Central'!E31,'Controle Central'!L12,'Controle Central'!L31,'Controle Central'!S12,'Controle Central'!S31,'Controle Central'!Z12,'Controle Central'!Z31,'Controle Central'!Z50,'Controle Central'!Z69,'Controle Central'!S50,'Controle Central'!S69,'Controle Central'!L50,'Controle Central'!L69,'Controle Central'!E50,'Controle Central'!E69,'Controle Central'!E88,'Controle Central'!E106,'Controle Central'!L88,'Controle Central'!L106,'Controle Central'!S88,'Controle Central'!S106,'Controle Central'!Z88,'Controle Central'!Z106,'Controle Central'!Z124,'Controle Central'!S124,'Controle Central'!L124,'Controle Central'!E124,'Controle Central'!E142,'Controle Central'!L142)</f>
        <v>200</v>
      </c>
      <c r="K10" s="57">
        <f>SUM('Controle Central'!E13,'Controle Central'!L13,'Controle Central'!E32,'Controle Central'!L32,'Controle Central'!S13,'Controle Central'!S32,'Controle Central'!Z13,'Controle Central'!Z32,'Controle Central'!Z51,'Controle Central'!Z70,'Controle Central'!S51,'Controle Central'!S70,'Controle Central'!L51,'Controle Central'!L70,'Controle Central'!E51,'Controle Central'!E70,'Controle Central'!E89,'Controle Central'!E107,'Controle Central'!L89,'Controle Central'!L107,'Controle Central'!S89,'Controle Central'!S107,'Controle Central'!Z107,'Controle Central'!Z89,'Controle Central'!Z125,'Controle Central'!S125,'Controle Central'!L143,'Controle Central'!L125,'Controle Central'!E125,'Controle Central'!E143)</f>
        <v>0</v>
      </c>
      <c r="L10" s="57">
        <f>SUM('Controle Central'!E14,'Controle Central'!E33,'Controle Central'!L14,'Controle Central'!L33,'Controle Central'!S14,'Controle Central'!S33,'Controle Central'!Z14,'Controle Central'!Z33,'Controle Central'!Z52,'Controle Central'!Z71,'Controle Central'!S52,'Controle Central'!S71,'Controle Central'!L52,'Controle Central'!L71,'Controle Central'!E52,'Controle Central'!E71,'Controle Central'!E90,'Controle Central'!E108,'Controle Central'!L90,'Controle Central'!L108,'Controle Central'!S90,'Controle Central'!S108,'Controle Central'!Z90,'Controle Central'!Z108,'Controle Central'!Z126,'Controle Central'!S126,'Controle Central'!L126,'Controle Central'!L144,'Controle Central'!E126,'Controle Central'!E144)</f>
        <v>0</v>
      </c>
      <c r="M10" s="48">
        <f>SUM('Controle Central'!E15,'Controle Central'!E34,'Controle Central'!L15,'Controle Central'!L34,'Controle Central'!S15,'Controle Central'!S34,'Controle Central'!Z15,'Controle Central'!Z34,'Controle Central'!Z53,'Controle Central'!Z72,'Controle Central'!S53,'Controle Central'!S72,'Controle Central'!L53,'Controle Central'!L72,'Controle Central'!E53,'Controle Central'!E72,'Controle Central'!E91,'Controle Central'!E109,'Controle Central'!L91,'Controle Central'!L109,'Controle Central'!S91,'Controle Central'!S109,'Controle Central'!Z91,'Controle Central'!Z109,'Controle Central'!Z127,'Controle Central'!S127,'Controle Central'!L127,'Controle Central'!E127,'Controle Central'!E145,'Controle Central'!L145)</f>
        <v>0</v>
      </c>
    </row>
    <row r="11" spans="1:25" ht="15.75" thickBot="1" x14ac:dyDescent="0.3"/>
    <row r="12" spans="1:25" ht="15.75" thickBot="1" x14ac:dyDescent="0.3">
      <c r="A12" s="65" t="s">
        <v>27</v>
      </c>
      <c r="B12" s="56">
        <f>SUM('Controle Central'!F4,'Controle Central'!M4,'Controle Central'!M23,'Controle Central'!F23,'Controle Central'!T4,'Controle Central'!T23,'Controle Central'!AA4,'Controle Central'!AA23,'Controle Central'!AA61,'Controle Central'!AA42,'Controle Central'!T42,'Controle Central'!M42,'Controle Central'!M61,'Controle Central'!F61,'Controle Central'!F42,'Controle Central'!F98,'Controle Central'!F80,'Controle Central'!M80,'Controle Central'!M98,'Controle Central'!T80,'Controle Central'!T98,'Controle Central'!AA80,'Controle Central'!AA98,'Controle Central'!AA116,'Controle Central'!T116,'Controle Central'!M116,'Controle Central'!F116,'Controle Central'!F134,'Controle Central'!M134)</f>
        <v>0</v>
      </c>
      <c r="C12" s="57">
        <f>SUM('Controle Central'!F5,'Controle Central'!F24,'Controle Central'!M5,'Controle Central'!M24,'Controle Central'!T24,'Controle Central'!T5,'Controle Central'!AA5,'Controle Central'!AA24,'Controle Central'!AA43,'Controle Central'!AA62,'Controle Central'!T43,'Controle Central'!T62,'Controle Central'!M43,'Controle Central'!M62,'Controle Central'!F43,'Controle Central'!F62,'Controle Central'!F81,'Controle Central'!F99,'Controle Central'!M99,'Controle Central'!M81,'Controle Central'!T99,'Controle Central'!T81,'Controle Central'!AA81,'Controle Central'!AA99,'Controle Central'!AA117,'Controle Central'!T117,'Controle Central'!M117,'Controle Central'!F117,'Controle Central'!F135,'Controle Central'!M135)</f>
        <v>0</v>
      </c>
      <c r="D12" s="57">
        <f>SUM('Controle Central'!F6,'Controle Central'!F25,'Controle Central'!M6,'Controle Central'!M25,'Controle Central'!T6,'Controle Central'!T25,'Controle Central'!AA25,'Controle Central'!AA6,'Controle Central'!AA44,'Controle Central'!AA63,'Controle Central'!T63,'Controle Central'!T44,'Controle Central'!M44,'Controle Central'!M63,'Controle Central'!F63,'Controle Central'!F44,'Controle Central'!F82,'Controle Central'!F100,'Controle Central'!M100,'Controle Central'!M82,'Controle Central'!T82,'Controle Central'!T100,'Controle Central'!AA100,'Controle Central'!AA82,'Controle Central'!AA118,'Controle Central'!T118,'Controle Central'!M118,'Controle Central'!M136,'Controle Central'!F118,'Controle Central'!F136)</f>
        <v>0</v>
      </c>
      <c r="E12" s="57">
        <f>SUM('Controle Central'!F7,'Controle Central'!F26,'Controle Central'!M26,'Controle Central'!M7,'Controle Central'!T7,'Controle Central'!T26,'Controle Central'!AA7,'Controle Central'!AA26,'Controle Central'!AA45,'Controle Central'!T45,'Controle Central'!AA64,'Controle Central'!T64,'Controle Central'!M45,'Controle Central'!M64,'Controle Central'!F45,'Controle Central'!F64,'Controle Central'!F83,'Controle Central'!F101,'Controle Central'!M83,'Controle Central'!M101,'Controle Central'!T83,'Controle Central'!T101,'Controle Central'!AA83,'Controle Central'!AA101,'Controle Central'!AA119,'Controle Central'!T119,'Controle Central'!M119,'Controle Central'!M137,'Controle Central'!F137,'Controle Central'!F119)</f>
        <v>0</v>
      </c>
      <c r="F12" s="57">
        <f>SUM('Controle Central'!F8,'Controle Central'!F27,'Controle Central'!M8,'Controle Central'!M27,'Controle Central'!T8,'Controle Central'!T27,'Controle Central'!AA27,'Controle Central'!AA8,'Controle Central'!AA46,'Controle Central'!AA65,'Controle Central'!T46,'Controle Central'!T65,'Controle Central'!M65,'Controle Central'!M46,'Controle Central'!F46,'Controle Central'!F65,'Controle Central'!F84,'Controle Central'!F102,'Controle Central'!M84,'Controle Central'!M102,'Controle Central'!T84,'Controle Central'!T102,'Controle Central'!AA84,'Controle Central'!AA102,'Controle Central'!AA120,'Controle Central'!T120,'Controle Central'!M120,'Controle Central'!M138,'Controle Central'!F120,'Controle Central'!F138)</f>
        <v>40</v>
      </c>
      <c r="G12" s="57">
        <f>SUM('Controle Central'!F9,'Controle Central'!F28,'Controle Central'!M9,'Controle Central'!M28,'Controle Central'!T9,'Controle Central'!T28,'Controle Central'!AA9,'Controle Central'!AA28,'Controle Central'!AA47,'Controle Central'!AA66,'Controle Central'!T47,'Controle Central'!T66,'Controle Central'!M47,'Controle Central'!M66,'Controle Central'!F47,'Controle Central'!F66,'Controle Central'!F85,'Controle Central'!F103,'Controle Central'!M85,'Controle Central'!M103,'Controle Central'!T85,'Controle Central'!T103,'Controle Central'!AA85,'Controle Central'!AA103,'Controle Central'!AA121,'Controle Central'!T121,'Controle Central'!M121,'Controle Central'!M139,'Controle Central'!F139)</f>
        <v>0</v>
      </c>
      <c r="H12" s="57">
        <f>SUM('Controle Central'!F10,'Controle Central'!F29,'Controle Central'!M10,'Controle Central'!M29,'Controle Central'!T10,'Controle Central'!T29,'Controle Central'!AA10,'Controle Central'!AA29,'Controle Central'!AA48,'Controle Central'!T48,'Controle Central'!AA67,'Controle Central'!T67,'Controle Central'!M48,'Controle Central'!M67,'Controle Central'!F48,'Controle Central'!F67,'Controle Central'!F86,'Controle Central'!F104,'Controle Central'!M104,'Controle Central'!M86,'Controle Central'!T86,'Controle Central'!T104,'Controle Central'!AA86,'Controle Central'!AA104,'Controle Central'!AA122,'Controle Central'!T122,'Controle Central'!M122,'Controle Central'!M140,'Controle Central'!F122,'Controle Central'!F140)</f>
        <v>0</v>
      </c>
      <c r="I12" s="57">
        <f>SUM('Controle Central'!F11,'Controle Central'!F30,'Controle Central'!M11,'Controle Central'!M30,'Controle Central'!T11,'Controle Central'!T30,'Controle Central'!AA11,'Controle Central'!AA30,'Controle Central'!AA49,'Controle Central'!AA68,'Controle Central'!T49,'Controle Central'!T68,'Controle Central'!M49,'Controle Central'!M68,'Controle Central'!F68,'Controle Central'!F49,'Controle Central'!F87,'Controle Central'!F105,'Controle Central'!M87,'Controle Central'!M105,'Controle Central'!T87,'Controle Central'!T105,'Controle Central'!AA87,'Controle Central'!AA105,'Controle Central'!AA123,'Controle Central'!T123,'Controle Central'!M123,'Controle Central'!M141,'Controle Central'!F123,'Controle Central'!F141)</f>
        <v>0</v>
      </c>
      <c r="J12" s="57">
        <f>SUM('Controle Central'!F12,'Controle Central'!F31,'Controle Central'!M12,'Controle Central'!M31,'Controle Central'!T12,'Controle Central'!T31,'Controle Central'!AA12,'Controle Central'!AA31,'Controle Central'!AA50,'Controle Central'!T50,'Controle Central'!T69,'Controle Central'!AA69,'Controle Central'!M50,'Controle Central'!M69,'Controle Central'!F69,'Controle Central'!F50,'Controle Central'!F88,'Controle Central'!F106,'Controle Central'!M88,'Controle Central'!M106,'Controle Central'!T88,'Controle Central'!T106,'Controle Central'!AA88,'Controle Central'!AA106,'Controle Central'!AA124,'Controle Central'!T124,'Controle Central'!M124,'Controle Central'!F124,'Controle Central'!F142,'Controle Central'!M142)</f>
        <v>0</v>
      </c>
      <c r="K12" s="57">
        <f>SUM('Controle Central'!F13,'Controle Central'!F32,'Controle Central'!M13,'Controle Central'!M32,'Controle Central'!T13,'Controle Central'!T32,'Controle Central'!AA13,'Controle Central'!AA32,'Controle Central'!AA51,'Controle Central'!T51,'Controle Central'!T70,'Controle Central'!AA70,'Controle Central'!M51,'Controle Central'!M70,'Controle Central'!F70,'Controle Central'!F51,'Controle Central'!F89,'Controle Central'!F107,'Controle Central'!M89,'Controle Central'!M107,'Controle Central'!T89,'Controle Central'!T107,'Controle Central'!AA107,'Controle Central'!AA89,'Controle Central'!AA125,'Controle Central'!T125,'Controle Central'!M125,'Controle Central'!F125,'Controle Central'!F143,'Controle Central'!M143)</f>
        <v>0</v>
      </c>
      <c r="L12" s="57">
        <f>SUM('Controle Central'!F14,'Controle Central'!M14,'Controle Central'!F33,'Controle Central'!M33,'Controle Central'!T14,'Controle Central'!T33,'Controle Central'!AA33,'Controle Central'!AA14,'Controle Central'!AA52,'Controle Central'!T52,'Controle Central'!M52,'Controle Central'!M71,'Controle Central'!T71,'Controle Central'!AA71,'Controle Central'!AA90,'Controle Central'!T90,'Controle Central'!M90,'Controle Central'!F90,'Controle Central'!F108,'Controle Central'!F126,'Controle Central'!M108,'Controle Central'!M126,'Controle Central'!T108,'Controle Central'!T126,'Controle Central'!AA108,'Controle Central'!AA126,'Controle Central'!M144,'Controle Central'!F144)</f>
        <v>0</v>
      </c>
      <c r="M12" s="48">
        <f>SUM('Controle Central'!F15,'Controle Central'!F34,'Controle Central'!M15,'Controle Central'!M34,'Controle Central'!T15,'Controle Central'!T34,'Controle Central'!AA15,'Controle Central'!AA34,'Controle Central'!AA53,'Controle Central'!T53,'Controle Central'!AA72,'Controle Central'!T72,'Controle Central'!M53,'Controle Central'!F53,'Controle Central'!F72,'Controle Central'!M72,'Controle Central'!F91,'Controle Central'!F109,'Controle Central'!M91,'Controle Central'!M109,'Controle Central'!T91,'Controle Central'!T109,'Controle Central'!AA91,'Controle Central'!AA109,'Controle Central'!AA127,'Controle Central'!T127,'Controle Central'!M127,'Controle Central'!M145,'Controle Central'!F127,'Controle Central'!F145)</f>
        <v>0</v>
      </c>
    </row>
    <row r="15" spans="1:25" x14ac:dyDescent="0.25">
      <c r="B15" s="104"/>
      <c r="C15" s="104"/>
      <c r="D15" s="104"/>
      <c r="E15" s="104"/>
      <c r="F15" s="104"/>
      <c r="G15" s="104"/>
      <c r="H15" s="104"/>
      <c r="I15" s="104"/>
      <c r="J15" s="104"/>
      <c r="K15" s="104"/>
      <c r="L15" s="104"/>
      <c r="M15" s="104"/>
    </row>
    <row r="16" spans="1:25" ht="15.75" thickBot="1" x14ac:dyDescent="0.3">
      <c r="B16" s="53" t="s">
        <v>31</v>
      </c>
      <c r="C16" s="53" t="s">
        <v>32</v>
      </c>
      <c r="D16" s="53" t="s">
        <v>33</v>
      </c>
      <c r="E16" s="53" t="s">
        <v>34</v>
      </c>
      <c r="F16" s="53" t="s">
        <v>35</v>
      </c>
      <c r="G16" s="53" t="s">
        <v>36</v>
      </c>
      <c r="H16" s="53" t="s">
        <v>37</v>
      </c>
      <c r="I16" s="53" t="s">
        <v>38</v>
      </c>
      <c r="J16" s="53" t="s">
        <v>39</v>
      </c>
      <c r="K16" s="53" t="s">
        <v>40</v>
      </c>
      <c r="L16" s="53" t="s">
        <v>41</v>
      </c>
      <c r="M16" s="53" t="s">
        <v>42</v>
      </c>
    </row>
    <row r="17" spans="1:13" ht="15.75" thickBot="1" x14ac:dyDescent="0.3">
      <c r="A17" s="55" t="s">
        <v>45</v>
      </c>
      <c r="B17" s="56"/>
      <c r="C17" s="56"/>
      <c r="D17" s="57"/>
      <c r="E17" s="57"/>
      <c r="F17" s="57"/>
      <c r="G17" s="57"/>
      <c r="H17" s="57"/>
      <c r="I17" s="57"/>
      <c r="J17" s="57"/>
      <c r="K17" s="57"/>
      <c r="L17" s="57"/>
      <c r="M17" s="48"/>
    </row>
    <row r="18" spans="1:13" ht="15.75" thickBot="1" x14ac:dyDescent="0.3"/>
    <row r="19" spans="1:13" ht="15.75" thickBot="1" x14ac:dyDescent="0.3">
      <c r="A19" s="55" t="s">
        <v>2</v>
      </c>
      <c r="B19" s="56"/>
      <c r="C19" s="57"/>
      <c r="D19" s="57"/>
      <c r="E19" s="57"/>
      <c r="F19" s="57"/>
      <c r="G19" s="57"/>
      <c r="H19" s="57"/>
      <c r="I19" s="57"/>
      <c r="J19" s="57"/>
      <c r="K19" s="57"/>
      <c r="L19" s="57"/>
      <c r="M19" s="48"/>
    </row>
    <row r="20" spans="1:13" ht="15.75" thickBot="1" x14ac:dyDescent="0.3"/>
    <row r="21" spans="1:13" ht="15.75" thickBot="1" x14ac:dyDescent="0.3">
      <c r="A21" s="55" t="s">
        <v>69</v>
      </c>
      <c r="B21" s="56">
        <f>B17-B19</f>
        <v>0</v>
      </c>
      <c r="C21" s="56">
        <f>C17-C19</f>
        <v>0</v>
      </c>
      <c r="D21" s="56">
        <f t="shared" ref="D21:F21" si="0">D17-D19</f>
        <v>0</v>
      </c>
      <c r="E21" s="56">
        <f t="shared" si="0"/>
        <v>0</v>
      </c>
      <c r="F21" s="56">
        <f t="shared" si="0"/>
        <v>0</v>
      </c>
      <c r="G21" s="56">
        <f>G17-G19</f>
        <v>0</v>
      </c>
      <c r="H21" s="56">
        <f t="shared" ref="H21:M21" si="1">H17-H19</f>
        <v>0</v>
      </c>
      <c r="I21" s="56">
        <f t="shared" si="1"/>
        <v>0</v>
      </c>
      <c r="J21" s="56">
        <f t="shared" si="1"/>
        <v>0</v>
      </c>
      <c r="K21" s="56">
        <f t="shared" si="1"/>
        <v>0</v>
      </c>
      <c r="L21" s="56">
        <f t="shared" si="1"/>
        <v>0</v>
      </c>
      <c r="M21" s="56">
        <f t="shared" si="1"/>
        <v>0</v>
      </c>
    </row>
  </sheetData>
  <mergeCells count="3">
    <mergeCell ref="B15:M15"/>
    <mergeCell ref="A1:Y2"/>
    <mergeCell ref="B4:M4"/>
  </mergeCells>
  <phoneticPr fontId="3" type="noConversion"/>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A148"/>
  <sheetViews>
    <sheetView showGridLines="0" topLeftCell="K1" zoomScale="120" zoomScaleNormal="120" workbookViewId="0">
      <selection activeCell="Y6" sqref="Y6"/>
    </sheetView>
  </sheetViews>
  <sheetFormatPr defaultRowHeight="15" x14ac:dyDescent="0.25"/>
  <cols>
    <col min="1" max="1" width="11.28515625" bestFit="1" customWidth="1"/>
    <col min="2" max="2" width="12.7109375" customWidth="1"/>
    <col min="3" max="3" width="13.85546875" customWidth="1"/>
    <col min="4" max="4" width="18.42578125" customWidth="1"/>
    <col min="5" max="5" width="14.7109375" customWidth="1"/>
    <col min="6" max="6" width="16.42578125" customWidth="1"/>
    <col min="8" max="8" width="10.28515625" bestFit="1" customWidth="1"/>
    <col min="9" max="9" width="12.7109375" bestFit="1" customWidth="1"/>
    <col min="10" max="10" width="11.5703125" bestFit="1" customWidth="1"/>
    <col min="11" max="11" width="16.42578125" bestFit="1" customWidth="1"/>
    <col min="12" max="12" width="13.42578125" bestFit="1" customWidth="1"/>
    <col min="13" max="13" width="14.42578125" bestFit="1" customWidth="1"/>
    <col min="15" max="15" width="10.28515625" bestFit="1" customWidth="1"/>
    <col min="16" max="16" width="12.7109375" bestFit="1" customWidth="1"/>
    <col min="17" max="17" width="11.5703125" bestFit="1" customWidth="1"/>
    <col min="18" max="18" width="16.42578125" bestFit="1" customWidth="1"/>
    <col min="19" max="19" width="13.42578125" bestFit="1" customWidth="1"/>
    <col min="20" max="20" width="14.42578125" bestFit="1" customWidth="1"/>
    <col min="23" max="23" width="12.7109375" bestFit="1" customWidth="1"/>
    <col min="24" max="24" width="11.5703125" bestFit="1" customWidth="1"/>
    <col min="25" max="25" width="16.42578125" bestFit="1" customWidth="1"/>
    <col min="26" max="26" width="13.42578125" bestFit="1" customWidth="1"/>
    <col min="27" max="27" width="14.42578125" bestFit="1" customWidth="1"/>
  </cols>
  <sheetData>
    <row r="2" spans="1:27" ht="15.75" thickBot="1" x14ac:dyDescent="0.3">
      <c r="B2" s="103" t="s">
        <v>78</v>
      </c>
      <c r="C2" s="103"/>
      <c r="D2" s="103"/>
      <c r="E2" s="103"/>
      <c r="F2" s="103"/>
      <c r="I2" s="107" t="s">
        <v>77</v>
      </c>
      <c r="J2" s="107"/>
      <c r="K2" s="107"/>
      <c r="L2" s="107"/>
      <c r="M2" s="107"/>
      <c r="P2" s="107" t="s">
        <v>76</v>
      </c>
      <c r="Q2" s="107"/>
      <c r="R2" s="107"/>
      <c r="S2" s="107"/>
      <c r="T2" s="107"/>
      <c r="W2" s="107" t="s">
        <v>75</v>
      </c>
      <c r="X2" s="107"/>
      <c r="Y2" s="107"/>
      <c r="Z2" s="107"/>
      <c r="AA2" s="107"/>
    </row>
    <row r="3" spans="1:27" ht="15.75" thickBot="1" x14ac:dyDescent="0.3">
      <c r="B3" s="22" t="s">
        <v>71</v>
      </c>
      <c r="C3" s="33" t="s">
        <v>30</v>
      </c>
      <c r="D3" s="23" t="s">
        <v>26</v>
      </c>
      <c r="E3" s="23" t="s">
        <v>25</v>
      </c>
      <c r="F3" s="25" t="s">
        <v>27</v>
      </c>
      <c r="I3" s="22" t="s">
        <v>71</v>
      </c>
      <c r="J3" s="33" t="s">
        <v>30</v>
      </c>
      <c r="K3" s="23" t="s">
        <v>26</v>
      </c>
      <c r="L3" s="23" t="s">
        <v>25</v>
      </c>
      <c r="M3" s="25" t="s">
        <v>27</v>
      </c>
      <c r="P3" s="22" t="s">
        <v>71</v>
      </c>
      <c r="Q3" s="33" t="s">
        <v>30</v>
      </c>
      <c r="R3" s="23" t="s">
        <v>26</v>
      </c>
      <c r="S3" s="23" t="s">
        <v>25</v>
      </c>
      <c r="T3" s="25" t="s">
        <v>27</v>
      </c>
      <c r="W3" s="22" t="s">
        <v>71</v>
      </c>
      <c r="X3" s="33" t="s">
        <v>30</v>
      </c>
      <c r="Y3" s="23" t="s">
        <v>26</v>
      </c>
      <c r="Z3" s="23" t="s">
        <v>25</v>
      </c>
      <c r="AA3" s="25" t="s">
        <v>27</v>
      </c>
    </row>
    <row r="4" spans="1:27" x14ac:dyDescent="0.25">
      <c r="A4" s="37" t="s">
        <v>31</v>
      </c>
      <c r="B4" s="58"/>
      <c r="C4" s="59">
        <v>0</v>
      </c>
      <c r="D4" s="60">
        <v>0</v>
      </c>
      <c r="E4" s="60">
        <v>0</v>
      </c>
      <c r="F4" s="61">
        <v>0</v>
      </c>
      <c r="H4" s="37" t="s">
        <v>31</v>
      </c>
      <c r="I4" s="45"/>
      <c r="J4" s="42">
        <v>0</v>
      </c>
      <c r="K4" s="40">
        <v>0</v>
      </c>
      <c r="L4" s="40">
        <v>0</v>
      </c>
      <c r="M4" s="41">
        <v>0</v>
      </c>
      <c r="O4" s="37" t="s">
        <v>31</v>
      </c>
      <c r="P4" s="58"/>
      <c r="Q4" s="59">
        <v>0</v>
      </c>
      <c r="R4" s="60">
        <v>0</v>
      </c>
      <c r="S4" s="60">
        <v>0</v>
      </c>
      <c r="T4" s="61">
        <v>0</v>
      </c>
      <c r="V4" s="37" t="s">
        <v>31</v>
      </c>
      <c r="W4" s="58"/>
      <c r="X4" s="59">
        <v>0</v>
      </c>
      <c r="Y4" s="60">
        <v>0</v>
      </c>
      <c r="Z4" s="60">
        <v>0</v>
      </c>
      <c r="AA4" s="61">
        <v>0</v>
      </c>
    </row>
    <row r="5" spans="1:27" x14ac:dyDescent="0.25">
      <c r="A5" s="38" t="s">
        <v>32</v>
      </c>
      <c r="B5" s="46">
        <f>'Roberto- Devolv'!H11</f>
        <v>0</v>
      </c>
      <c r="C5" s="43">
        <f>SUM(5000-B5)</f>
        <v>5000</v>
      </c>
      <c r="D5" s="35">
        <f>'Roberto- Devolv'!U12</f>
        <v>0</v>
      </c>
      <c r="E5" s="35">
        <f>'Roberto- Devolv'!AC12</f>
        <v>0</v>
      </c>
      <c r="F5" s="36">
        <f>'Roberto- Devolv'!AK12</f>
        <v>0</v>
      </c>
      <c r="H5" s="38" t="s">
        <v>32</v>
      </c>
      <c r="I5" s="46">
        <f>'Chris-Desmob'!H11</f>
        <v>323</v>
      </c>
      <c r="J5" s="43">
        <f>SUM(5000-I5)</f>
        <v>4677</v>
      </c>
      <c r="K5" s="35">
        <f>'Chris-Desmob'!U12</f>
        <v>0</v>
      </c>
      <c r="L5" s="35">
        <f>'Chris-Desmob'!AC12</f>
        <v>0</v>
      </c>
      <c r="M5" s="36">
        <f>'Chris-Desmob'!AK12</f>
        <v>0</v>
      </c>
      <c r="O5" s="38" t="s">
        <v>32</v>
      </c>
      <c r="P5" s="46">
        <f>'Alain-Desmob'!H12</f>
        <v>326</v>
      </c>
      <c r="Q5" s="43">
        <f>SUM(5000-P5)</f>
        <v>4674</v>
      </c>
      <c r="R5" s="35">
        <f>'Alain-Desmob'!U13</f>
        <v>0</v>
      </c>
      <c r="S5" s="35">
        <f>'Alain-Desmob'!AI13</f>
        <v>0</v>
      </c>
      <c r="T5" s="36">
        <f>'Alain-Desmob'!AR13</f>
        <v>0</v>
      </c>
      <c r="V5" s="38" t="s">
        <v>32</v>
      </c>
      <c r="W5" s="46">
        <f>'Marcilio-Desmob'!H13</f>
        <v>0</v>
      </c>
      <c r="X5" s="43">
        <f>SUM(5000-W5)</f>
        <v>5000</v>
      </c>
      <c r="Y5" s="35">
        <f>'Marcilio-Desmob'!U14</f>
        <v>0</v>
      </c>
      <c r="Z5" s="35">
        <f>'Marcilio-Desmob'!AK14</f>
        <v>0</v>
      </c>
      <c r="AA5" s="36">
        <f>'Marcilio-Desmob'!AT14</f>
        <v>0</v>
      </c>
    </row>
    <row r="6" spans="1:27" x14ac:dyDescent="0.25">
      <c r="A6" s="38" t="s">
        <v>33</v>
      </c>
      <c r="B6" s="46">
        <f>'Roberto- Devolv'!H15</f>
        <v>1257</v>
      </c>
      <c r="C6" s="43">
        <f t="shared" ref="C6:C15" si="0">SUM(5000-B6)</f>
        <v>3743</v>
      </c>
      <c r="D6" s="35">
        <f>'Roberto- Devolv'!U16</f>
        <v>743.17</v>
      </c>
      <c r="E6" s="35">
        <f>'Roberto- Devolv'!AC16</f>
        <v>0</v>
      </c>
      <c r="F6" s="36">
        <f>'Roberto- Devolv'!AK16</f>
        <v>0</v>
      </c>
      <c r="H6" s="38" t="s">
        <v>33</v>
      </c>
      <c r="I6" s="46">
        <f>'Chris-Desmob'!H15</f>
        <v>1735</v>
      </c>
      <c r="J6" s="43">
        <f t="shared" ref="J6:J14" si="1">SUM(5000-I6)</f>
        <v>3265</v>
      </c>
      <c r="K6" s="35">
        <f>'Chris-Desmob'!U16</f>
        <v>1005.9799999999998</v>
      </c>
      <c r="L6" s="35">
        <f>'Chris-Desmob'!AC16</f>
        <v>0</v>
      </c>
      <c r="M6" s="36">
        <f>'Chris-Desmob'!AK16</f>
        <v>0</v>
      </c>
      <c r="O6" s="38" t="s">
        <v>33</v>
      </c>
      <c r="P6" s="46">
        <f>'Alain-Desmob'!H16</f>
        <v>3483</v>
      </c>
      <c r="Q6" s="43">
        <f t="shared" ref="Q6:Q14" si="2">SUM(5000-P6)</f>
        <v>1517</v>
      </c>
      <c r="R6" s="35">
        <f>'Alain-Desmob'!U17</f>
        <v>1804.05</v>
      </c>
      <c r="S6" s="35">
        <f>'Alain-Desmob'!AI17</f>
        <v>0</v>
      </c>
      <c r="T6" s="36">
        <f>'Alain-Desmob'!AR17</f>
        <v>0</v>
      </c>
      <c r="V6" s="38" t="s">
        <v>33</v>
      </c>
      <c r="W6" s="46">
        <f>'Marcilio-Desmob'!H17</f>
        <v>657</v>
      </c>
      <c r="X6" s="43">
        <f t="shared" ref="X6:X15" si="3">SUM(5000-W6)</f>
        <v>4343</v>
      </c>
      <c r="Y6" s="35">
        <f>'Marcilio-Desmob'!U18</f>
        <v>346</v>
      </c>
      <c r="Z6" s="35">
        <f>'Marcilio-Desmob'!AK18</f>
        <v>0</v>
      </c>
      <c r="AA6" s="36">
        <f>'Marcilio-Desmob'!AT18</f>
        <v>0</v>
      </c>
    </row>
    <row r="7" spans="1:27" x14ac:dyDescent="0.25">
      <c r="A7" s="38" t="s">
        <v>34</v>
      </c>
      <c r="B7" s="46">
        <f>'Roberto- Devolv'!H19</f>
        <v>4081</v>
      </c>
      <c r="C7" s="43">
        <f t="shared" si="0"/>
        <v>919</v>
      </c>
      <c r="D7" s="35">
        <f>'Roberto- Devolv'!U20</f>
        <v>2058.4</v>
      </c>
      <c r="E7" s="35">
        <f>'Roberto- Devolv'!AC20</f>
        <v>0</v>
      </c>
      <c r="F7" s="36">
        <f>'Roberto- Devolv'!AK20</f>
        <v>0</v>
      </c>
      <c r="H7" s="38" t="s">
        <v>34</v>
      </c>
      <c r="I7" s="46">
        <f>'Chris-Desmob'!H19</f>
        <v>1881</v>
      </c>
      <c r="J7" s="43">
        <f t="shared" si="1"/>
        <v>3119</v>
      </c>
      <c r="K7" s="35">
        <f>'Chris-Desmob'!U20</f>
        <v>953.58</v>
      </c>
      <c r="L7" s="35">
        <f>'Chris-Desmob'!AC20</f>
        <v>0</v>
      </c>
      <c r="M7" s="36">
        <f>'Chris-Desmob'!AK20</f>
        <v>0</v>
      </c>
      <c r="O7" s="38" t="s">
        <v>34</v>
      </c>
      <c r="P7" s="46">
        <f>'Alain-Desmob'!H20</f>
        <v>3268</v>
      </c>
      <c r="Q7" s="43">
        <f t="shared" si="2"/>
        <v>1732</v>
      </c>
      <c r="R7" s="35">
        <f>'Alain-Desmob'!Z21</f>
        <v>0</v>
      </c>
      <c r="S7" s="35">
        <f>'Alain-Desmob'!AI21</f>
        <v>0</v>
      </c>
      <c r="T7" s="36">
        <f>'Alain-Desmob'!AR21</f>
        <v>0</v>
      </c>
      <c r="V7" s="38" t="s">
        <v>34</v>
      </c>
      <c r="W7" s="46">
        <f>'Marcilio-Desmob'!H21</f>
        <v>2902</v>
      </c>
      <c r="X7" s="43">
        <f t="shared" si="3"/>
        <v>2098</v>
      </c>
      <c r="Y7" s="35">
        <f>'Marcilio-Desmob'!AB22</f>
        <v>0</v>
      </c>
      <c r="Z7" s="35">
        <f>'Marcilio-Desmob'!AK22</f>
        <v>0</v>
      </c>
      <c r="AA7" s="36">
        <f>'Marcilio-Desmob'!AT22</f>
        <v>0</v>
      </c>
    </row>
    <row r="8" spans="1:27" x14ac:dyDescent="0.25">
      <c r="A8" s="38" t="s">
        <v>35</v>
      </c>
      <c r="B8" s="46">
        <f>'Roberto- Devolv'!H23</f>
        <v>3287</v>
      </c>
      <c r="C8" s="43">
        <f t="shared" si="0"/>
        <v>1713</v>
      </c>
      <c r="D8" s="35">
        <f>'Roberto- Devolv'!U24</f>
        <v>2289.44</v>
      </c>
      <c r="E8" s="35">
        <f>'Roberto- Devolv'!AC24</f>
        <v>0</v>
      </c>
      <c r="F8" s="36">
        <f>'Roberto- Devolv'!AK24</f>
        <v>40</v>
      </c>
      <c r="H8" s="38" t="s">
        <v>35</v>
      </c>
      <c r="I8" s="46">
        <f>'Chris-Desmob'!H23</f>
        <v>2424</v>
      </c>
      <c r="J8" s="43">
        <f t="shared" si="1"/>
        <v>2576</v>
      </c>
      <c r="K8" s="35">
        <f>'Chris-Desmob'!U24</f>
        <v>1407.37</v>
      </c>
      <c r="L8" s="35">
        <f>'Chris-Desmob'!AC24</f>
        <v>0</v>
      </c>
      <c r="M8" s="36">
        <f>'Chris-Desmob'!AK24</f>
        <v>0</v>
      </c>
      <c r="O8" s="38" t="s">
        <v>35</v>
      </c>
      <c r="P8" s="46">
        <f>'Alain-Desmob'!H24</f>
        <v>4177</v>
      </c>
      <c r="Q8" s="43">
        <f t="shared" si="2"/>
        <v>823</v>
      </c>
      <c r="R8" s="35">
        <f>'Alain-Desmob'!Z25</f>
        <v>0</v>
      </c>
      <c r="S8" s="35">
        <f>'Alain-Desmob'!AI25</f>
        <v>0</v>
      </c>
      <c r="T8" s="36">
        <f>'Alain-Desmob'!AR25</f>
        <v>0</v>
      </c>
      <c r="V8" s="38" t="s">
        <v>35</v>
      </c>
      <c r="W8" s="46">
        <f>'Marcilio-Desmob'!H25</f>
        <v>3743</v>
      </c>
      <c r="X8" s="43">
        <f t="shared" si="3"/>
        <v>1257</v>
      </c>
      <c r="Y8" s="35">
        <f>'Marcilio-Desmob'!AB26</f>
        <v>0</v>
      </c>
      <c r="Z8" s="35">
        <f>'Marcilio-Desmob'!AK26</f>
        <v>0</v>
      </c>
      <c r="AA8" s="36">
        <f>'Marcilio-Desmob'!AT26</f>
        <v>0</v>
      </c>
    </row>
    <row r="9" spans="1:27" x14ac:dyDescent="0.25">
      <c r="A9" s="38" t="s">
        <v>36</v>
      </c>
      <c r="B9" s="46">
        <f>'Roberto- Devolv'!H27</f>
        <v>3480</v>
      </c>
      <c r="C9" s="43">
        <f t="shared" si="0"/>
        <v>1520</v>
      </c>
      <c r="D9" s="35">
        <f>'Roberto- Devolv'!U28</f>
        <v>1793.83</v>
      </c>
      <c r="E9" s="35">
        <f>'Roberto- Devolv'!AC28</f>
        <v>0</v>
      </c>
      <c r="F9" s="36">
        <f>'Roberto- Devolv'!AK28</f>
        <v>0</v>
      </c>
      <c r="H9" s="38" t="s">
        <v>36</v>
      </c>
      <c r="I9" s="46">
        <f>'Chris-Desmob'!H27</f>
        <v>2657</v>
      </c>
      <c r="J9" s="43">
        <f t="shared" si="1"/>
        <v>2343</v>
      </c>
      <c r="K9" s="35">
        <f>'Chris-Desmob'!U28</f>
        <v>763.62</v>
      </c>
      <c r="L9" s="35">
        <f>'Chris-Desmob'!AC28</f>
        <v>0</v>
      </c>
      <c r="M9" s="36">
        <f>'Roberto- Devolv'!AK28</f>
        <v>0</v>
      </c>
      <c r="O9" s="38" t="s">
        <v>36</v>
      </c>
      <c r="P9" s="46">
        <f>'Alain-Desmob'!H28</f>
        <v>4171</v>
      </c>
      <c r="Q9" s="43">
        <f t="shared" si="2"/>
        <v>829</v>
      </c>
      <c r="R9" s="35">
        <f>'Alain-Desmob'!Z29</f>
        <v>0</v>
      </c>
      <c r="S9" s="35">
        <f>'Alain-Desmob'!AI29</f>
        <v>0</v>
      </c>
      <c r="T9" s="36">
        <f>'Alain-Desmob'!AR29</f>
        <v>0</v>
      </c>
      <c r="V9" s="38" t="s">
        <v>36</v>
      </c>
      <c r="W9" s="46">
        <f>'Marcilio-Desmob'!H29</f>
        <v>3153</v>
      </c>
      <c r="X9" s="43">
        <f t="shared" si="3"/>
        <v>1847</v>
      </c>
      <c r="Y9" s="35">
        <f>'Marcilio-Desmob'!AB30</f>
        <v>0</v>
      </c>
      <c r="Z9" s="35">
        <f>'Marcilio-Desmob'!AK30</f>
        <v>0</v>
      </c>
      <c r="AA9" s="36">
        <f>'Marcilio-Desmob'!AT30</f>
        <v>0</v>
      </c>
    </row>
    <row r="10" spans="1:27" x14ac:dyDescent="0.25">
      <c r="A10" s="38" t="s">
        <v>37</v>
      </c>
      <c r="B10" s="46">
        <f>'Roberto- Devolv'!H31</f>
        <v>2925</v>
      </c>
      <c r="C10" s="43">
        <f t="shared" si="0"/>
        <v>2075</v>
      </c>
      <c r="D10" s="35">
        <f>'Roberto- Devolv'!U32</f>
        <v>1924.17</v>
      </c>
      <c r="E10" s="35">
        <f>'Roberto- Devolv'!AC32</f>
        <v>0</v>
      </c>
      <c r="F10" s="36">
        <f>'Roberto- Devolv'!AK32</f>
        <v>0</v>
      </c>
      <c r="H10" s="38" t="s">
        <v>37</v>
      </c>
      <c r="I10" s="46">
        <f>'Chris-Desmob'!H31</f>
        <v>2884</v>
      </c>
      <c r="J10" s="43">
        <f t="shared" si="1"/>
        <v>2116</v>
      </c>
      <c r="K10" s="35">
        <f>'Chris-Desmob'!U32</f>
        <v>1535.47</v>
      </c>
      <c r="L10" s="35">
        <f>'Chris-Desmob'!AC32</f>
        <v>0</v>
      </c>
      <c r="M10" s="36">
        <f>'Chris-Desmob'!AK32</f>
        <v>0</v>
      </c>
      <c r="O10" s="38" t="s">
        <v>37</v>
      </c>
      <c r="P10" s="46">
        <f>'Alain-Desmob'!H32</f>
        <v>3138</v>
      </c>
      <c r="Q10" s="43">
        <f t="shared" si="2"/>
        <v>1862</v>
      </c>
      <c r="R10" s="35">
        <f>'Alain-Desmob'!Z33</f>
        <v>0</v>
      </c>
      <c r="S10" s="35">
        <f>'Alain-Desmob'!AI33</f>
        <v>0</v>
      </c>
      <c r="T10" s="36">
        <f>'Alain-Desmob'!AR33</f>
        <v>0</v>
      </c>
      <c r="V10" s="38" t="s">
        <v>37</v>
      </c>
      <c r="W10" s="46">
        <f>'Marcilio-Desmob'!H33</f>
        <v>2966</v>
      </c>
      <c r="X10" s="43">
        <f t="shared" si="3"/>
        <v>2034</v>
      </c>
      <c r="Y10" s="35">
        <f>'Marcilio-Desmob'!AB34</f>
        <v>0</v>
      </c>
      <c r="Z10" s="35">
        <f>'Marcilio-Desmob'!AK34</f>
        <v>0</v>
      </c>
      <c r="AA10" s="36">
        <f>'Marcilio-Desmob'!AT34</f>
        <v>0</v>
      </c>
    </row>
    <row r="11" spans="1:27" x14ac:dyDescent="0.25">
      <c r="A11" s="38" t="s">
        <v>38</v>
      </c>
      <c r="B11" s="46">
        <f>'Roberto- Devolv'!H35</f>
        <v>2937</v>
      </c>
      <c r="C11" s="43">
        <f t="shared" si="0"/>
        <v>2063</v>
      </c>
      <c r="D11" s="35">
        <f>'Roberto- Devolv'!U36</f>
        <v>2154.0740000000001</v>
      </c>
      <c r="E11" s="35">
        <f>'Roberto- Devolv'!AC36</f>
        <v>0</v>
      </c>
      <c r="F11" s="36">
        <f>'Roberto- Devolv'!AK36</f>
        <v>0</v>
      </c>
      <c r="H11" s="38" t="s">
        <v>38</v>
      </c>
      <c r="I11" s="46">
        <f>'Chris-Desmob'!H35</f>
        <v>2292</v>
      </c>
      <c r="J11" s="43">
        <f t="shared" si="1"/>
        <v>2708</v>
      </c>
      <c r="K11" s="35">
        <f>'Chris-Desmob'!U36</f>
        <v>1581.46</v>
      </c>
      <c r="L11" s="35">
        <f>'Chris-Desmob'!AC36</f>
        <v>0</v>
      </c>
      <c r="M11" s="36">
        <f>'Chris-Desmob'!AK36</f>
        <v>0</v>
      </c>
      <c r="O11" s="38" t="s">
        <v>38</v>
      </c>
      <c r="P11" s="46">
        <f>'Alain-Desmob'!H36</f>
        <v>3784</v>
      </c>
      <c r="Q11" s="43">
        <f t="shared" si="2"/>
        <v>1216</v>
      </c>
      <c r="R11" s="35">
        <f>'Alain-Desmob'!Z37</f>
        <v>0</v>
      </c>
      <c r="S11" s="35">
        <f>'Alain-Desmob'!AI37</f>
        <v>0</v>
      </c>
      <c r="T11" s="36">
        <f>'Alain-Desmob'!AR37</f>
        <v>0</v>
      </c>
      <c r="V11" s="38" t="s">
        <v>38</v>
      </c>
      <c r="W11" s="46">
        <f>'Marcilio-Desmob'!H37</f>
        <v>2566</v>
      </c>
      <c r="X11" s="43">
        <f t="shared" si="3"/>
        <v>2434</v>
      </c>
      <c r="Y11" s="35">
        <f>'Marcilio-Desmob'!AB38</f>
        <v>0</v>
      </c>
      <c r="Z11" s="35">
        <f>'Marcilio-Desmob'!AK38</f>
        <v>0</v>
      </c>
      <c r="AA11" s="36">
        <f>'Marcilio-Desmob'!AT38</f>
        <v>0</v>
      </c>
    </row>
    <row r="12" spans="1:27" x14ac:dyDescent="0.25">
      <c r="A12" s="38" t="s">
        <v>39</v>
      </c>
      <c r="B12" s="46">
        <f>'Roberto- Devolv'!H39</f>
        <v>2938</v>
      </c>
      <c r="C12" s="43">
        <f t="shared" si="0"/>
        <v>2062</v>
      </c>
      <c r="D12" s="35">
        <f>'Roberto- Devolv'!U40</f>
        <v>1606.49</v>
      </c>
      <c r="E12" s="35">
        <f>'Roberto- Devolv'!AC40</f>
        <v>0</v>
      </c>
      <c r="F12" s="36">
        <f>'Roberto- Devolv'!AK40</f>
        <v>0</v>
      </c>
      <c r="H12" s="38" t="s">
        <v>39</v>
      </c>
      <c r="I12" s="46">
        <f>'Chris-Desmob'!H39</f>
        <v>2440</v>
      </c>
      <c r="J12" s="43">
        <f t="shared" si="1"/>
        <v>2560</v>
      </c>
      <c r="K12" s="35">
        <f>'Chris-Desmob'!U40</f>
        <v>1316.07</v>
      </c>
      <c r="L12" s="35">
        <f>'Chris-Desmob'!AC40</f>
        <v>0</v>
      </c>
      <c r="M12" s="36">
        <f>'Chris-Desmob'!AK40</f>
        <v>0</v>
      </c>
      <c r="O12" s="38" t="s">
        <v>39</v>
      </c>
      <c r="P12" s="46">
        <f>'Alain-Desmob'!H36</f>
        <v>3784</v>
      </c>
      <c r="Q12" s="43">
        <f t="shared" si="2"/>
        <v>1216</v>
      </c>
      <c r="R12" s="35">
        <f>'Alain-Desmob'!Z41</f>
        <v>0</v>
      </c>
      <c r="S12" s="35">
        <f>'Alain-Desmob'!AI41</f>
        <v>0</v>
      </c>
      <c r="T12" s="36">
        <f>'Alain-Desmob'!AR41</f>
        <v>0</v>
      </c>
      <c r="V12" s="38" t="s">
        <v>39</v>
      </c>
      <c r="W12" s="46">
        <f>'Marcilio-Desmob'!H41</f>
        <v>2482</v>
      </c>
      <c r="X12" s="43">
        <f t="shared" si="3"/>
        <v>2518</v>
      </c>
      <c r="Y12" s="35">
        <f>'Marcilio-Desmob'!AB42</f>
        <v>0</v>
      </c>
      <c r="Z12" s="35">
        <f>'Marcilio-Desmob'!AK42</f>
        <v>0</v>
      </c>
      <c r="AA12" s="36">
        <f>'Marcilio-Desmob'!AT42</f>
        <v>0</v>
      </c>
    </row>
    <row r="13" spans="1:27" x14ac:dyDescent="0.25">
      <c r="A13" s="38" t="s">
        <v>40</v>
      </c>
      <c r="B13" s="46">
        <f>'Roberto- Devolv'!H43</f>
        <v>2470</v>
      </c>
      <c r="C13" s="43">
        <f t="shared" si="0"/>
        <v>2530</v>
      </c>
      <c r="D13" s="35">
        <f>'Roberto- Devolv'!U44</f>
        <v>1308.6999999999998</v>
      </c>
      <c r="E13" s="35">
        <f>'Roberto- Devolv'!AC44</f>
        <v>0</v>
      </c>
      <c r="F13" s="36">
        <f>'Roberto- Devolv'!AK44</f>
        <v>0</v>
      </c>
      <c r="H13" s="38" t="s">
        <v>40</v>
      </c>
      <c r="I13" s="46">
        <f>'Chris-Desmob'!H43</f>
        <v>1979</v>
      </c>
      <c r="J13" s="43">
        <f t="shared" si="1"/>
        <v>3021</v>
      </c>
      <c r="K13" s="35">
        <f>'Chris-Desmob'!U44</f>
        <v>964.63999999999987</v>
      </c>
      <c r="L13" s="35">
        <f>'Chris-Desmob'!AC44</f>
        <v>0</v>
      </c>
      <c r="M13" s="36">
        <f>'Chris-Desmob'!AK44</f>
        <v>0</v>
      </c>
      <c r="O13" s="38" t="s">
        <v>40</v>
      </c>
      <c r="P13" s="46">
        <f>'Alain-Desmob'!H40</f>
        <v>2735</v>
      </c>
      <c r="Q13" s="43">
        <f t="shared" si="2"/>
        <v>2265</v>
      </c>
      <c r="R13" s="35">
        <f>'Alain-Desmob'!Z45</f>
        <v>0</v>
      </c>
      <c r="S13" s="35">
        <f>'Alain-Desmob'!AI45</f>
        <v>0</v>
      </c>
      <c r="T13" s="36">
        <f>'Alain-Desmob'!AR45</f>
        <v>0</v>
      </c>
      <c r="V13" s="38" t="s">
        <v>40</v>
      </c>
      <c r="W13" s="46">
        <f>'Marcilio-Desmob'!H45</f>
        <v>2278</v>
      </c>
      <c r="X13" s="43">
        <f t="shared" si="3"/>
        <v>2722</v>
      </c>
      <c r="Y13" s="35">
        <f>'Marcilio-Desmob'!AB46</f>
        <v>0</v>
      </c>
      <c r="Z13" s="35">
        <f>'Marcilio-Desmob'!AK46</f>
        <v>0</v>
      </c>
      <c r="AA13" s="36">
        <f>'Marcilio-Desmob'!AT46</f>
        <v>0</v>
      </c>
    </row>
    <row r="14" spans="1:27" x14ac:dyDescent="0.25">
      <c r="A14" s="38" t="s">
        <v>41</v>
      </c>
      <c r="B14" s="46">
        <f>'Roberto- Devolv'!H47</f>
        <v>1403</v>
      </c>
      <c r="C14" s="43">
        <f t="shared" si="0"/>
        <v>3597</v>
      </c>
      <c r="D14" s="35">
        <f>'Roberto- Devolv'!U48</f>
        <v>854.62999999999988</v>
      </c>
      <c r="E14" s="35">
        <f>'Roberto- Devolv'!AC48</f>
        <v>0</v>
      </c>
      <c r="F14" s="36">
        <f>'Roberto- Devolv'!AK48</f>
        <v>0</v>
      </c>
      <c r="H14" s="38" t="s">
        <v>41</v>
      </c>
      <c r="I14" s="46">
        <f>'Chris-Desmob'!H47</f>
        <v>0</v>
      </c>
      <c r="J14" s="43">
        <f t="shared" si="1"/>
        <v>5000</v>
      </c>
      <c r="K14" s="35">
        <f>'Chris-Desmob'!U48</f>
        <v>0</v>
      </c>
      <c r="L14" s="35">
        <f>'Chris-Desmob'!AC48</f>
        <v>0</v>
      </c>
      <c r="M14" s="36">
        <f>'Chris-Desmob'!AK48</f>
        <v>0</v>
      </c>
      <c r="O14" s="38" t="s">
        <v>41</v>
      </c>
      <c r="P14" s="46">
        <f>'Alain-Desmob'!H44</f>
        <v>4344</v>
      </c>
      <c r="Q14" s="43">
        <f t="shared" si="2"/>
        <v>656</v>
      </c>
      <c r="R14" s="35">
        <f>'Alain-Desmob'!Z49</f>
        <v>0</v>
      </c>
      <c r="S14" s="35">
        <f>'Alain-Desmob'!AI49</f>
        <v>0</v>
      </c>
      <c r="T14" s="36">
        <f>'Alain-Desmob'!AR49</f>
        <v>0</v>
      </c>
      <c r="V14" s="38" t="s">
        <v>41</v>
      </c>
      <c r="W14" s="46">
        <f>'Marcilio-Desmob'!H49</f>
        <v>1329</v>
      </c>
      <c r="X14" s="43">
        <f t="shared" si="3"/>
        <v>3671</v>
      </c>
      <c r="Y14" s="35">
        <f>'Marcilio-Desmob'!AB50</f>
        <v>0</v>
      </c>
      <c r="Z14" s="35">
        <f>'Marcilio-Desmob'!AK50</f>
        <v>0</v>
      </c>
      <c r="AA14" s="36">
        <f>'Marcilio-Desmob'!AT50</f>
        <v>0</v>
      </c>
    </row>
    <row r="15" spans="1:27" ht="15.75" thickBot="1" x14ac:dyDescent="0.3">
      <c r="A15" s="39" t="s">
        <v>42</v>
      </c>
      <c r="B15" s="47">
        <f>'Roberto- Devolv'!H51</f>
        <v>0</v>
      </c>
      <c r="C15" s="44">
        <f t="shared" si="0"/>
        <v>5000</v>
      </c>
      <c r="D15" s="11">
        <f>'Roberto- Devolv'!U52</f>
        <v>0</v>
      </c>
      <c r="E15" s="11">
        <f>'Roberto- Devolv'!AC52</f>
        <v>0</v>
      </c>
      <c r="F15" s="12">
        <f>'Roberto- Devolv'!AK52</f>
        <v>0</v>
      </c>
      <c r="H15" s="39" t="s">
        <v>42</v>
      </c>
      <c r="I15" s="47">
        <f>'Chris-Desmob'!H51</f>
        <v>0</v>
      </c>
      <c r="J15" s="44">
        <f>SUM(5000-I15)</f>
        <v>5000</v>
      </c>
      <c r="K15" s="11">
        <f>'Chris-Desmob'!U52</f>
        <v>0</v>
      </c>
      <c r="L15" s="11">
        <f>'Chris-Desmob'!AC48</f>
        <v>0</v>
      </c>
      <c r="M15" s="12">
        <f>'Chris-Desmob'!AK48</f>
        <v>0</v>
      </c>
      <c r="O15" s="39" t="s">
        <v>42</v>
      </c>
      <c r="P15" s="47">
        <f>'Alain-Desmob'!H48</f>
        <v>2478</v>
      </c>
      <c r="Q15" s="44">
        <f>SUM(5000-P15)</f>
        <v>2522</v>
      </c>
      <c r="R15" s="11">
        <f>'Alain-Desmob'!Z53</f>
        <v>0</v>
      </c>
      <c r="S15" s="11">
        <f>'Alain-Desmob'!AI49</f>
        <v>0</v>
      </c>
      <c r="T15" s="12">
        <f>'Alain-Desmob'!AR53</f>
        <v>0</v>
      </c>
      <c r="V15" s="39" t="s">
        <v>42</v>
      </c>
      <c r="W15" s="47">
        <f>'Marcilio-Desmob'!H53</f>
        <v>2541</v>
      </c>
      <c r="X15" s="44">
        <f t="shared" si="3"/>
        <v>2459</v>
      </c>
      <c r="Y15" s="11">
        <f>'Marcilio-Desmob'!AB54</f>
        <v>0</v>
      </c>
      <c r="Z15" s="11">
        <f>'Marcilio-Desmob'!AK54</f>
        <v>0</v>
      </c>
      <c r="AA15" s="12">
        <f>'Marcilio-Desmob'!AT54</f>
        <v>0</v>
      </c>
    </row>
    <row r="16" spans="1:27" ht="15.75" thickBot="1" x14ac:dyDescent="0.3"/>
    <row r="17" spans="1:27" ht="15.75" thickBot="1" x14ac:dyDescent="0.3">
      <c r="A17" s="3" t="s">
        <v>23</v>
      </c>
      <c r="B17" s="52">
        <f>SUM(B4:B15)</f>
        <v>24778</v>
      </c>
      <c r="C17" s="51"/>
      <c r="D17" s="50">
        <f>SUM(D4:D15)</f>
        <v>14732.904</v>
      </c>
      <c r="E17" s="49">
        <f>SUM(E4:E15)</f>
        <v>0</v>
      </c>
      <c r="F17" s="48">
        <f>SUM(F4:F15)</f>
        <v>40</v>
      </c>
      <c r="H17" s="3" t="s">
        <v>23</v>
      </c>
      <c r="I17" s="52">
        <f>SUM(I4:I15)</f>
        <v>18615</v>
      </c>
      <c r="J17" s="51"/>
      <c r="K17" s="50">
        <f>SUM(K4:K15)</f>
        <v>9528.19</v>
      </c>
      <c r="L17" s="49">
        <f>SUM(L4:L15)</f>
        <v>0</v>
      </c>
      <c r="M17" s="48">
        <f>SUM(M4:M15)</f>
        <v>0</v>
      </c>
      <c r="O17" s="3" t="s">
        <v>23</v>
      </c>
      <c r="P17" s="52">
        <f>SUM(P4:P15)</f>
        <v>35688</v>
      </c>
      <c r="Q17" s="51"/>
      <c r="R17" s="50">
        <f>SUM(R4:R15)</f>
        <v>1804.05</v>
      </c>
      <c r="S17" s="49">
        <f>SUM(S4:S15)</f>
        <v>0</v>
      </c>
      <c r="T17" s="48">
        <f>SUM(T4:T15)</f>
        <v>0</v>
      </c>
      <c r="V17" s="3" t="s">
        <v>23</v>
      </c>
      <c r="W17" s="52">
        <f>SUM(W4:W15)</f>
        <v>24617</v>
      </c>
      <c r="X17" s="51"/>
      <c r="Y17" s="50">
        <f>SUM(Y4:Y15)</f>
        <v>346</v>
      </c>
      <c r="Z17" s="49">
        <f>SUM(Z4:Z15)</f>
        <v>0</v>
      </c>
      <c r="AA17" s="48">
        <f>SUM(AA4:AA15)</f>
        <v>0</v>
      </c>
    </row>
    <row r="18" spans="1:27" ht="15.75" thickBot="1" x14ac:dyDescent="0.3">
      <c r="A18" s="3" t="s">
        <v>44</v>
      </c>
      <c r="B18" s="23">
        <f>SUM(60000-B17)</f>
        <v>35222</v>
      </c>
      <c r="H18" s="3" t="s">
        <v>44</v>
      </c>
      <c r="I18" s="23">
        <f>SUM(60000-I17)</f>
        <v>41385</v>
      </c>
      <c r="O18" s="3" t="s">
        <v>44</v>
      </c>
      <c r="P18" s="23">
        <f>SUM(60000-P17)</f>
        <v>24312</v>
      </c>
      <c r="V18" s="3" t="s">
        <v>44</v>
      </c>
      <c r="W18" s="23">
        <f>SUM(60000-W17)</f>
        <v>35383</v>
      </c>
    </row>
    <row r="21" spans="1:27" ht="15.75" thickBot="1" x14ac:dyDescent="0.3">
      <c r="B21" s="107" t="s">
        <v>74</v>
      </c>
      <c r="C21" s="107"/>
      <c r="D21" s="107"/>
      <c r="E21" s="107"/>
      <c r="F21" s="107"/>
      <c r="I21" s="103" t="s">
        <v>73</v>
      </c>
      <c r="J21" s="103"/>
      <c r="K21" s="103"/>
      <c r="L21" s="103"/>
      <c r="M21" s="103"/>
      <c r="P21" s="103" t="s">
        <v>72</v>
      </c>
      <c r="Q21" s="103"/>
      <c r="R21" s="103"/>
      <c r="S21" s="103"/>
      <c r="T21" s="103"/>
      <c r="W21" s="103" t="s">
        <v>52</v>
      </c>
      <c r="X21" s="103"/>
      <c r="Y21" s="103"/>
      <c r="Z21" s="103"/>
      <c r="AA21" s="103"/>
    </row>
    <row r="22" spans="1:27" ht="15.75" thickBot="1" x14ac:dyDescent="0.3">
      <c r="B22" s="22" t="s">
        <v>71</v>
      </c>
      <c r="C22" s="33" t="s">
        <v>30</v>
      </c>
      <c r="D22" s="23" t="s">
        <v>26</v>
      </c>
      <c r="E22" s="23" t="s">
        <v>25</v>
      </c>
      <c r="F22" s="25" t="s">
        <v>27</v>
      </c>
      <c r="I22" s="22" t="s">
        <v>71</v>
      </c>
      <c r="J22" s="33" t="s">
        <v>30</v>
      </c>
      <c r="K22" s="23" t="s">
        <v>26</v>
      </c>
      <c r="L22" s="23" t="s">
        <v>25</v>
      </c>
      <c r="M22" s="25" t="s">
        <v>27</v>
      </c>
      <c r="P22" s="22" t="s">
        <v>71</v>
      </c>
      <c r="Q22" s="33" t="s">
        <v>30</v>
      </c>
      <c r="R22" s="23" t="s">
        <v>26</v>
      </c>
      <c r="S22" s="23" t="s">
        <v>25</v>
      </c>
      <c r="T22" s="25" t="s">
        <v>27</v>
      </c>
      <c r="W22" s="22" t="s">
        <v>71</v>
      </c>
      <c r="X22" s="33" t="s">
        <v>30</v>
      </c>
      <c r="Y22" s="23" t="s">
        <v>26</v>
      </c>
      <c r="Z22" s="23" t="s">
        <v>25</v>
      </c>
      <c r="AA22" s="25" t="s">
        <v>27</v>
      </c>
    </row>
    <row r="23" spans="1:27" x14ac:dyDescent="0.25">
      <c r="A23" s="37" t="s">
        <v>31</v>
      </c>
      <c r="B23" s="58"/>
      <c r="C23" s="59">
        <v>0</v>
      </c>
      <c r="D23" s="60">
        <v>0</v>
      </c>
      <c r="E23" s="60">
        <v>0</v>
      </c>
      <c r="F23" s="61">
        <v>0</v>
      </c>
      <c r="H23" s="37" t="s">
        <v>31</v>
      </c>
      <c r="I23" s="58"/>
      <c r="J23" s="59">
        <v>0</v>
      </c>
      <c r="K23" s="60">
        <v>0</v>
      </c>
      <c r="L23" s="60">
        <v>0</v>
      </c>
      <c r="M23" s="61">
        <v>0</v>
      </c>
      <c r="O23" s="37" t="s">
        <v>31</v>
      </c>
      <c r="P23" s="58"/>
      <c r="Q23" s="59">
        <v>0</v>
      </c>
      <c r="R23" s="60">
        <v>0</v>
      </c>
      <c r="S23" s="60">
        <v>0</v>
      </c>
      <c r="T23" s="61">
        <v>0</v>
      </c>
      <c r="V23" s="37" t="s">
        <v>31</v>
      </c>
      <c r="W23" s="58"/>
      <c r="X23" s="59">
        <v>0</v>
      </c>
      <c r="Y23" s="60">
        <v>0</v>
      </c>
      <c r="Z23" s="60">
        <v>0</v>
      </c>
      <c r="AA23" s="61">
        <v>0</v>
      </c>
    </row>
    <row r="24" spans="1:27" x14ac:dyDescent="0.25">
      <c r="A24" s="38" t="s">
        <v>32</v>
      </c>
      <c r="B24" s="46">
        <f>Yanca!H14</f>
        <v>0</v>
      </c>
      <c r="C24" s="43">
        <f>SUM(5000-B24)</f>
        <v>5000</v>
      </c>
      <c r="D24" s="35">
        <f>Yanca!U15</f>
        <v>0</v>
      </c>
      <c r="E24" s="35">
        <f>Yanca!AC15</f>
        <v>0</v>
      </c>
      <c r="F24" s="36">
        <f>Yanca!AK15</f>
        <v>0</v>
      </c>
      <c r="H24" s="38" t="s">
        <v>32</v>
      </c>
      <c r="I24" s="46">
        <f>Elisson!H13</f>
        <v>0</v>
      </c>
      <c r="J24" s="43">
        <f>SUM(5000-I24)</f>
        <v>5000</v>
      </c>
      <c r="K24" s="35">
        <f>Elisson!U14</f>
        <v>0</v>
      </c>
      <c r="L24" s="35">
        <f>Elisson!AC14</f>
        <v>0</v>
      </c>
      <c r="M24" s="36">
        <f>Elisson!AK14</f>
        <v>0</v>
      </c>
      <c r="O24" s="38" t="s">
        <v>32</v>
      </c>
      <c r="P24" s="46">
        <f>'Geovani-Desmob'!H11</f>
        <v>0</v>
      </c>
      <c r="Q24" s="43">
        <f>SUM(5000-P24)</f>
        <v>5000</v>
      </c>
      <c r="R24" s="35">
        <f>'Geovani-Desmob'!U12</f>
        <v>0</v>
      </c>
      <c r="S24" s="35">
        <f>'Geovani-Desmob'!AC12</f>
        <v>0</v>
      </c>
      <c r="T24" s="36">
        <f>'Geovani-Desmob'!AK12</f>
        <v>0</v>
      </c>
      <c r="V24" s="38" t="s">
        <v>32</v>
      </c>
      <c r="W24" s="46">
        <f>'Eider Breno-Desmob'!H12</f>
        <v>0</v>
      </c>
      <c r="X24" s="43">
        <f>SUM(5000-W24)</f>
        <v>5000</v>
      </c>
      <c r="Y24" s="35">
        <f>'Eider Breno-Desmob'!U13</f>
        <v>0</v>
      </c>
      <c r="Z24" s="35">
        <f>'Eider Breno-Desmob'!AE13</f>
        <v>0</v>
      </c>
      <c r="AA24" s="36">
        <f>'Eider Breno-Desmob'!AN13</f>
        <v>0</v>
      </c>
    </row>
    <row r="25" spans="1:27" x14ac:dyDescent="0.25">
      <c r="A25" s="38" t="s">
        <v>33</v>
      </c>
      <c r="B25" s="46">
        <f>Yanca!H18</f>
        <v>0</v>
      </c>
      <c r="C25" s="43">
        <f t="shared" ref="C25:C34" si="4">SUM(5000-B25)</f>
        <v>5000</v>
      </c>
      <c r="D25" s="35">
        <f>Yanca!U19</f>
        <v>0</v>
      </c>
      <c r="E25" s="35">
        <f>Yanca!AC19</f>
        <v>0</v>
      </c>
      <c r="F25" s="36">
        <f>Yanca!AK19</f>
        <v>0</v>
      </c>
      <c r="H25" s="38" t="s">
        <v>33</v>
      </c>
      <c r="I25" s="46">
        <f>Elisson!H17</f>
        <v>0</v>
      </c>
      <c r="J25" s="43">
        <f t="shared" ref="J25:J34" si="5">SUM(5000-I25)</f>
        <v>5000</v>
      </c>
      <c r="K25" s="35">
        <f>Elisson!U18</f>
        <v>0</v>
      </c>
      <c r="L25" s="35">
        <f>Elisson!AC18</f>
        <v>0</v>
      </c>
      <c r="M25" s="36">
        <f>Elisson!AK18</f>
        <v>0</v>
      </c>
      <c r="O25" s="38" t="s">
        <v>33</v>
      </c>
      <c r="P25" s="46">
        <f>'Geovani-Desmob'!H15</f>
        <v>0</v>
      </c>
      <c r="Q25" s="43">
        <f t="shared" ref="Q25:Q34" si="6">SUM(5000-P25)</f>
        <v>5000</v>
      </c>
      <c r="R25" s="35">
        <f>'Geovani-Desmob'!U16</f>
        <v>0</v>
      </c>
      <c r="S25" s="35">
        <f>'Geovani-Desmob'!AC16</f>
        <v>0</v>
      </c>
      <c r="T25" s="36">
        <f>'Geovani-Desmob'!AK16</f>
        <v>0</v>
      </c>
      <c r="V25" s="38" t="s">
        <v>33</v>
      </c>
      <c r="W25" s="46">
        <f>'Eider Breno-Desmob'!H16</f>
        <v>0</v>
      </c>
      <c r="X25" s="43">
        <f t="shared" ref="X25:X34" si="7">SUM(5000-W25)</f>
        <v>5000</v>
      </c>
      <c r="Y25" s="35">
        <f>'Eider Breno-Desmob'!U17</f>
        <v>0</v>
      </c>
      <c r="Z25" s="35">
        <f>'Eider Breno-Desmob'!AE17</f>
        <v>0</v>
      </c>
      <c r="AA25" s="36">
        <f>'Eider Breno-Desmob'!AN17</f>
        <v>0</v>
      </c>
    </row>
    <row r="26" spans="1:27" x14ac:dyDescent="0.25">
      <c r="A26" s="38" t="s">
        <v>34</v>
      </c>
      <c r="B26" s="46">
        <f>Yanca!H22</f>
        <v>0</v>
      </c>
      <c r="C26" s="43">
        <f t="shared" si="4"/>
        <v>5000</v>
      </c>
      <c r="D26" s="35">
        <f>Yanca!U23</f>
        <v>0</v>
      </c>
      <c r="E26" s="35">
        <f>Yanca!AC23</f>
        <v>0</v>
      </c>
      <c r="F26" s="36">
        <f>Yanca!AK23</f>
        <v>0</v>
      </c>
      <c r="H26" s="38" t="s">
        <v>34</v>
      </c>
      <c r="I26" s="46">
        <f>Elisson!H21</f>
        <v>0</v>
      </c>
      <c r="J26" s="43">
        <f t="shared" si="5"/>
        <v>5000</v>
      </c>
      <c r="K26" s="35">
        <f>Elisson!U22</f>
        <v>0</v>
      </c>
      <c r="L26" s="35">
        <f>Elisson!AC22</f>
        <v>0</v>
      </c>
      <c r="M26" s="36">
        <f>Elisson!AK22</f>
        <v>0</v>
      </c>
      <c r="O26" s="38" t="s">
        <v>34</v>
      </c>
      <c r="P26" s="46">
        <f>'Geovani-Desmob'!H19</f>
        <v>0</v>
      </c>
      <c r="Q26" s="43">
        <f t="shared" si="6"/>
        <v>5000</v>
      </c>
      <c r="R26" s="35">
        <f>'Geovani-Desmob'!U20</f>
        <v>0</v>
      </c>
      <c r="S26" s="35">
        <f>'Geovani-Desmob'!AC20</f>
        <v>0</v>
      </c>
      <c r="T26" s="36">
        <f>'Geovani-Desmob'!AK20</f>
        <v>0</v>
      </c>
      <c r="V26" s="38" t="s">
        <v>34</v>
      </c>
      <c r="W26" s="46">
        <f>'Eider Breno-Desmob'!H20</f>
        <v>0</v>
      </c>
      <c r="X26" s="43">
        <f t="shared" si="7"/>
        <v>5000</v>
      </c>
      <c r="Y26" s="35">
        <f>'Eider Breno-Desmob'!U201</f>
        <v>0</v>
      </c>
      <c r="Z26" s="35">
        <f>'Eider Breno-Desmob'!AE21</f>
        <v>0</v>
      </c>
      <c r="AA26" s="36">
        <f>'Eider Breno-Desmob'!AN201</f>
        <v>0</v>
      </c>
    </row>
    <row r="27" spans="1:27" x14ac:dyDescent="0.25">
      <c r="A27" s="38" t="s">
        <v>35</v>
      </c>
      <c r="B27" s="46">
        <f>Yanca!H26</f>
        <v>0</v>
      </c>
      <c r="C27" s="43">
        <f t="shared" si="4"/>
        <v>5000</v>
      </c>
      <c r="D27" s="35">
        <f>Yanca!U27</f>
        <v>0</v>
      </c>
      <c r="E27" s="35">
        <f>Yanca!AC27</f>
        <v>0</v>
      </c>
      <c r="F27" s="36">
        <f>Yanca!AK27</f>
        <v>0</v>
      </c>
      <c r="H27" s="38" t="s">
        <v>35</v>
      </c>
      <c r="I27" s="46">
        <f>Elisson!H25</f>
        <v>0</v>
      </c>
      <c r="J27" s="43">
        <f t="shared" si="5"/>
        <v>5000</v>
      </c>
      <c r="K27" s="35">
        <f>Elisson!U26</f>
        <v>0</v>
      </c>
      <c r="L27" s="35">
        <f>Elisson!AC26</f>
        <v>0</v>
      </c>
      <c r="M27" s="36">
        <f>Elisson!AK26</f>
        <v>0</v>
      </c>
      <c r="O27" s="38" t="s">
        <v>35</v>
      </c>
      <c r="P27" s="46">
        <f>'Geovani-Desmob'!H23</f>
        <v>0</v>
      </c>
      <c r="Q27" s="43">
        <f t="shared" si="6"/>
        <v>5000</v>
      </c>
      <c r="R27" s="35">
        <f>'Geovani-Desmob'!U24</f>
        <v>0</v>
      </c>
      <c r="S27" s="35">
        <f>'Geovani-Desmob'!AC24</f>
        <v>0</v>
      </c>
      <c r="T27" s="36">
        <f>'Geovani-Desmob'!AK24</f>
        <v>0</v>
      </c>
      <c r="V27" s="38" t="s">
        <v>35</v>
      </c>
      <c r="W27" s="46">
        <f>'Eider Breno-Desmob'!H24</f>
        <v>0</v>
      </c>
      <c r="X27" s="43">
        <f t="shared" si="7"/>
        <v>5000</v>
      </c>
      <c r="Y27" s="35">
        <f>'Eider Breno-Desmob'!U25</f>
        <v>0</v>
      </c>
      <c r="Z27" s="35">
        <f>'Eider Breno-Desmob'!AE25</f>
        <v>0</v>
      </c>
      <c r="AA27" s="36">
        <f>'Eider Breno-Desmob'!AN25</f>
        <v>0</v>
      </c>
    </row>
    <row r="28" spans="1:27" x14ac:dyDescent="0.25">
      <c r="A28" s="38" t="s">
        <v>36</v>
      </c>
      <c r="B28" s="46">
        <f>Yanca!H30</f>
        <v>3261</v>
      </c>
      <c r="C28" s="43">
        <f t="shared" si="4"/>
        <v>1739</v>
      </c>
      <c r="D28" s="35">
        <f>Yanca!U31</f>
        <v>849.08999999999992</v>
      </c>
      <c r="E28" s="35">
        <f>Yanca!AC31</f>
        <v>0</v>
      </c>
      <c r="F28" s="36">
        <f>Yanca!AK31</f>
        <v>0</v>
      </c>
      <c r="H28" s="38" t="s">
        <v>36</v>
      </c>
      <c r="I28" s="46">
        <f>Elisson!H29</f>
        <v>0</v>
      </c>
      <c r="J28" s="43">
        <f t="shared" si="5"/>
        <v>5000</v>
      </c>
      <c r="K28" s="35">
        <f>Elisson!U30</f>
        <v>0</v>
      </c>
      <c r="L28" s="35">
        <f>Elisson!AC30</f>
        <v>0</v>
      </c>
      <c r="M28" s="36">
        <f>Elisson!AK30</f>
        <v>0</v>
      </c>
      <c r="O28" s="38" t="s">
        <v>36</v>
      </c>
      <c r="P28" s="46">
        <f>'Geovani-Desmob'!H27</f>
        <v>0</v>
      </c>
      <c r="Q28" s="43">
        <f t="shared" si="6"/>
        <v>5000</v>
      </c>
      <c r="R28" s="35">
        <f>'Geovani-Desmob'!U28</f>
        <v>0</v>
      </c>
      <c r="S28" s="35">
        <f>'Geovani-Desmob'!AC28</f>
        <v>0</v>
      </c>
      <c r="T28" s="36">
        <f>'Geovani-Desmob'!AK28</f>
        <v>0</v>
      </c>
      <c r="V28" s="38" t="s">
        <v>36</v>
      </c>
      <c r="W28" s="46">
        <f>'Eider Breno-Desmob'!H28</f>
        <v>0</v>
      </c>
      <c r="X28" s="43">
        <f t="shared" si="7"/>
        <v>5000</v>
      </c>
      <c r="Y28" s="35">
        <f>'Eider Breno-Desmob'!U29</f>
        <v>0</v>
      </c>
      <c r="Z28" s="35">
        <f>'Eider Breno-Desmob'!AE29</f>
        <v>0</v>
      </c>
      <c r="AA28" s="36">
        <f>'Eider Breno-Desmob'!AN29</f>
        <v>0</v>
      </c>
    </row>
    <row r="29" spans="1:27" x14ac:dyDescent="0.25">
      <c r="A29" s="38" t="s">
        <v>37</v>
      </c>
      <c r="B29" s="46">
        <f>Yanca!H34</f>
        <v>2509</v>
      </c>
      <c r="C29" s="43">
        <f t="shared" si="4"/>
        <v>2491</v>
      </c>
      <c r="D29" s="35">
        <f>Yanca!U35</f>
        <v>1401.7699999999998</v>
      </c>
      <c r="E29" s="35">
        <f>Yanca!AC35</f>
        <v>0</v>
      </c>
      <c r="F29" s="36">
        <f>Yanca!AK35</f>
        <v>0</v>
      </c>
      <c r="H29" s="38" t="s">
        <v>37</v>
      </c>
      <c r="I29" s="46">
        <f>Elisson!H33</f>
        <v>1760</v>
      </c>
      <c r="J29" s="43">
        <f t="shared" si="5"/>
        <v>3240</v>
      </c>
      <c r="K29" s="35">
        <f>Elisson!U34</f>
        <v>790.6</v>
      </c>
      <c r="L29" s="35">
        <f>Elisson!AC34</f>
        <v>0</v>
      </c>
      <c r="M29" s="36">
        <f>Elisson!AK34</f>
        <v>0</v>
      </c>
      <c r="O29" s="38" t="s">
        <v>37</v>
      </c>
      <c r="P29" s="46">
        <f>'Geovani-Desmob'!H31</f>
        <v>2511</v>
      </c>
      <c r="Q29" s="43">
        <f t="shared" si="6"/>
        <v>2489</v>
      </c>
      <c r="R29" s="35">
        <f>'Geovani-Desmob'!U32</f>
        <v>1564.03</v>
      </c>
      <c r="S29" s="35">
        <f>'Geovani-Desmob'!AC32</f>
        <v>0</v>
      </c>
      <c r="T29" s="36">
        <f>'Geovani-Desmob'!AK32</f>
        <v>0</v>
      </c>
      <c r="V29" s="38" t="s">
        <v>37</v>
      </c>
      <c r="W29" s="46">
        <f>'Eider Breno-Desmob'!H32</f>
        <v>672</v>
      </c>
      <c r="X29" s="43">
        <f t="shared" si="7"/>
        <v>4328</v>
      </c>
      <c r="Y29" s="35">
        <f>'Eider Breno-Desmob'!U33</f>
        <v>274.08999999999997</v>
      </c>
      <c r="Z29" s="35">
        <f>'Eider Breno-Desmob'!AE33</f>
        <v>0</v>
      </c>
      <c r="AA29" s="36">
        <f>'Eider Breno-Desmob'!AN33</f>
        <v>0</v>
      </c>
    </row>
    <row r="30" spans="1:27" x14ac:dyDescent="0.25">
      <c r="A30" s="38" t="s">
        <v>38</v>
      </c>
      <c r="B30" s="46">
        <f>Yanca!H38</f>
        <v>2496</v>
      </c>
      <c r="C30" s="43">
        <f t="shared" si="4"/>
        <v>2504</v>
      </c>
      <c r="D30" s="35">
        <f>Yanca!U39</f>
        <v>1445.53</v>
      </c>
      <c r="E30" s="35">
        <f>Yanca!AC39</f>
        <v>0</v>
      </c>
      <c r="F30" s="36">
        <f>Yanca!AK39</f>
        <v>0</v>
      </c>
      <c r="H30" s="38" t="s">
        <v>38</v>
      </c>
      <c r="I30" s="46">
        <f>Elisson!H37</f>
        <v>2237</v>
      </c>
      <c r="J30" s="43">
        <f t="shared" si="5"/>
        <v>2763</v>
      </c>
      <c r="K30" s="35">
        <f>Elisson!U38</f>
        <v>1039.7</v>
      </c>
      <c r="L30" s="35">
        <f>Elisson!AC38</f>
        <v>40</v>
      </c>
      <c r="M30" s="36">
        <f>Elisson!AK38</f>
        <v>0</v>
      </c>
      <c r="O30" s="38" t="s">
        <v>38</v>
      </c>
      <c r="P30" s="46">
        <f>'Geovani-Desmob'!H35</f>
        <v>2513</v>
      </c>
      <c r="Q30" s="43">
        <f t="shared" si="6"/>
        <v>2487</v>
      </c>
      <c r="R30" s="35">
        <f>'Geovani-Desmob'!U36</f>
        <v>1286.47</v>
      </c>
      <c r="S30" s="35">
        <f>'Geovani-Desmob'!AC36</f>
        <v>0</v>
      </c>
      <c r="T30" s="36">
        <f>'Geovani-Desmob'!AK36</f>
        <v>0</v>
      </c>
      <c r="V30" s="38" t="s">
        <v>38</v>
      </c>
      <c r="W30" s="46">
        <f>'Eider Breno-Desmob'!H36</f>
        <v>3020</v>
      </c>
      <c r="X30" s="43">
        <f t="shared" si="7"/>
        <v>1980</v>
      </c>
      <c r="Y30" s="35">
        <f>'Eider Breno-Desmob'!U37</f>
        <v>1453.48</v>
      </c>
      <c r="Z30" s="35">
        <f>'Eider Breno-Desmob'!AE37</f>
        <v>0</v>
      </c>
      <c r="AA30" s="36">
        <f>'Eider Breno-Desmob'!AN37</f>
        <v>0</v>
      </c>
    </row>
    <row r="31" spans="1:27" x14ac:dyDescent="0.25">
      <c r="A31" s="38" t="s">
        <v>39</v>
      </c>
      <c r="B31" s="46">
        <f>Yanca!H42</f>
        <v>2430</v>
      </c>
      <c r="C31" s="43">
        <f t="shared" si="4"/>
        <v>2570</v>
      </c>
      <c r="D31" s="35">
        <f>Yanca!U43</f>
        <v>1347.08</v>
      </c>
      <c r="E31" s="35">
        <f>Yanca!AC43</f>
        <v>80</v>
      </c>
      <c r="F31" s="36">
        <f>Yanca!AK7</f>
        <v>0</v>
      </c>
      <c r="H31" s="38" t="s">
        <v>39</v>
      </c>
      <c r="I31" s="46">
        <f>Elisson!H45</f>
        <v>3447</v>
      </c>
      <c r="J31" s="43">
        <f t="shared" si="5"/>
        <v>1553</v>
      </c>
      <c r="K31" s="35">
        <f>Elisson!U46</f>
        <v>1534.59</v>
      </c>
      <c r="L31" s="35">
        <f>Elisson!AC46</f>
        <v>120</v>
      </c>
      <c r="M31" s="36">
        <f>Elisson!AK46</f>
        <v>0</v>
      </c>
      <c r="O31" s="38" t="s">
        <v>39</v>
      </c>
      <c r="P31" s="46">
        <f>'Geovani-Desmob'!H39</f>
        <v>2099</v>
      </c>
      <c r="Q31" s="43">
        <f t="shared" si="6"/>
        <v>2901</v>
      </c>
      <c r="R31" s="35">
        <f>'Geovani-Desmob'!U40</f>
        <v>1333.1399999999999</v>
      </c>
      <c r="S31" s="35">
        <f>'Geovani-Desmob'!AC40</f>
        <v>0</v>
      </c>
      <c r="T31" s="36">
        <f>'Geovani-Desmob'!AK40</f>
        <v>0</v>
      </c>
      <c r="V31" s="38" t="s">
        <v>39</v>
      </c>
      <c r="W31" s="46">
        <f>'Eider Breno-Desmob'!H40</f>
        <v>1844</v>
      </c>
      <c r="X31" s="43">
        <f t="shared" si="7"/>
        <v>3156</v>
      </c>
      <c r="Y31" s="35">
        <f>'Eider Breno-Desmob'!U41</f>
        <v>688.1</v>
      </c>
      <c r="Z31" s="35">
        <f>'Eider Breno-Desmob'!AE41</f>
        <v>0</v>
      </c>
      <c r="AA31" s="36">
        <f>'Eider Breno-Desmob'!AN41</f>
        <v>0</v>
      </c>
    </row>
    <row r="32" spans="1:27" x14ac:dyDescent="0.25">
      <c r="A32" s="38" t="s">
        <v>40</v>
      </c>
      <c r="B32" s="46">
        <f>Yanca!H46</f>
        <v>1811</v>
      </c>
      <c r="C32" s="43">
        <f t="shared" si="4"/>
        <v>3189</v>
      </c>
      <c r="D32" s="35">
        <f>Yanca!U47</f>
        <v>1126.6399999999999</v>
      </c>
      <c r="E32" s="35">
        <f>Yanca!AC47</f>
        <v>0</v>
      </c>
      <c r="F32" s="36">
        <f>Yanca!AK47</f>
        <v>0</v>
      </c>
      <c r="H32" s="38" t="s">
        <v>40</v>
      </c>
      <c r="I32" s="46">
        <f>Elisson!H49</f>
        <v>3116</v>
      </c>
      <c r="J32" s="43">
        <f t="shared" si="5"/>
        <v>1884</v>
      </c>
      <c r="K32" s="35">
        <f>Elisson!U50</f>
        <v>1675.3199999999997</v>
      </c>
      <c r="L32" s="35">
        <f>Elisson!AC50</f>
        <v>0</v>
      </c>
      <c r="M32" s="36">
        <f>Elisson!AK50</f>
        <v>0</v>
      </c>
      <c r="O32" s="38" t="s">
        <v>40</v>
      </c>
      <c r="P32" s="46">
        <f>'Geovani-Desmob'!H43</f>
        <v>347</v>
      </c>
      <c r="Q32" s="43">
        <f t="shared" si="6"/>
        <v>4653</v>
      </c>
      <c r="R32" s="35">
        <f>'Geovani-Desmob'!U44</f>
        <v>159.79</v>
      </c>
      <c r="S32" s="35">
        <f>'Geovani-Desmob'!AC44</f>
        <v>0</v>
      </c>
      <c r="T32" s="36">
        <f>'Geovani-Desmob'!AK44</f>
        <v>0</v>
      </c>
      <c r="V32" s="38" t="s">
        <v>40</v>
      </c>
      <c r="W32" s="46">
        <f>'Eider Breno-Desmob'!H44</f>
        <v>2526</v>
      </c>
      <c r="X32" s="43">
        <f t="shared" si="7"/>
        <v>2474</v>
      </c>
      <c r="Y32" s="35">
        <f>'Eider Breno-Desmob'!U45</f>
        <v>1168.7800000000002</v>
      </c>
      <c r="Z32" s="35">
        <f>'Eider Breno-Desmob'!AE45</f>
        <v>0</v>
      </c>
      <c r="AA32" s="36">
        <f>'Eider Breno-Desmob'!AN45</f>
        <v>0</v>
      </c>
    </row>
    <row r="33" spans="1:27" x14ac:dyDescent="0.25">
      <c r="A33" s="38" t="s">
        <v>41</v>
      </c>
      <c r="B33" s="46">
        <f>Yanca!H50</f>
        <v>1343</v>
      </c>
      <c r="C33" s="43">
        <f t="shared" si="4"/>
        <v>3657</v>
      </c>
      <c r="D33" s="35">
        <f>Yanca!U51</f>
        <v>742.30000000000007</v>
      </c>
      <c r="E33" s="35">
        <f>Yanca!AC51</f>
        <v>0</v>
      </c>
      <c r="F33" s="36">
        <f>Yanca!AK51</f>
        <v>0</v>
      </c>
      <c r="H33" s="38" t="s">
        <v>41</v>
      </c>
      <c r="I33" s="46">
        <f>Elisson!H53</f>
        <v>2083</v>
      </c>
      <c r="J33" s="43">
        <f t="shared" si="5"/>
        <v>2917</v>
      </c>
      <c r="K33" s="35">
        <f>Elisson!U54</f>
        <v>480.01</v>
      </c>
      <c r="L33" s="35">
        <f>Elisson!AC54</f>
        <v>0</v>
      </c>
      <c r="M33" s="36">
        <f>Elisson!AK54</f>
        <v>0</v>
      </c>
      <c r="O33" s="38" t="s">
        <v>41</v>
      </c>
      <c r="P33" s="46">
        <f>'Geovani-Desmob'!H47</f>
        <v>0</v>
      </c>
      <c r="Q33" s="43">
        <f t="shared" si="6"/>
        <v>5000</v>
      </c>
      <c r="R33" s="35">
        <f>'Geovani-Desmob'!U48</f>
        <v>0</v>
      </c>
      <c r="S33" s="35">
        <f>'Geovani-Desmob'!AC48</f>
        <v>0</v>
      </c>
      <c r="T33" s="36">
        <f>'Geovani-Desmob'!AK48</f>
        <v>0</v>
      </c>
      <c r="V33" s="38" t="s">
        <v>41</v>
      </c>
      <c r="W33" s="46">
        <f>'Eider Breno-Desmob'!H48</f>
        <v>2215</v>
      </c>
      <c r="X33" s="43">
        <f t="shared" si="7"/>
        <v>2785</v>
      </c>
      <c r="Y33" s="35">
        <f>'Eider Breno-Desmob'!U49</f>
        <v>930.37</v>
      </c>
      <c r="Z33" s="35">
        <f>'Eider Breno-Desmob'!AE49</f>
        <v>0</v>
      </c>
      <c r="AA33" s="36">
        <f>'Eider Breno-Desmob'!AN49</f>
        <v>0</v>
      </c>
    </row>
    <row r="34" spans="1:27" ht="15.75" thickBot="1" x14ac:dyDescent="0.3">
      <c r="A34" s="39" t="s">
        <v>42</v>
      </c>
      <c r="B34" s="47">
        <f>Yanca!H54</f>
        <v>1656</v>
      </c>
      <c r="C34" s="44">
        <f t="shared" si="4"/>
        <v>3344</v>
      </c>
      <c r="D34" s="11">
        <f>Yanca!U55</f>
        <v>1033.8399999999999</v>
      </c>
      <c r="E34" s="11">
        <f>Yanca!AC55</f>
        <v>0</v>
      </c>
      <c r="F34" s="12">
        <f>Yanca!AK55</f>
        <v>0</v>
      </c>
      <c r="H34" s="39" t="s">
        <v>42</v>
      </c>
      <c r="I34" s="47">
        <f>Elisson!H57</f>
        <v>2820</v>
      </c>
      <c r="J34" s="44">
        <f t="shared" si="5"/>
        <v>2180</v>
      </c>
      <c r="K34" s="11">
        <f>Elisson!U58</f>
        <v>1278.8600000000001</v>
      </c>
      <c r="L34" s="11">
        <f>Elisson!AC58</f>
        <v>0</v>
      </c>
      <c r="M34" s="12">
        <f>Elisson!AK58</f>
        <v>0</v>
      </c>
      <c r="O34" s="39" t="s">
        <v>42</v>
      </c>
      <c r="P34" s="47">
        <f>'Geovani-Desmob'!H51</f>
        <v>0</v>
      </c>
      <c r="Q34" s="44">
        <f t="shared" si="6"/>
        <v>5000</v>
      </c>
      <c r="R34" s="11">
        <f>'Geovani-Desmob'!U52</f>
        <v>0</v>
      </c>
      <c r="S34" s="11">
        <f>'Geovani-Desmob'!AC52</f>
        <v>0</v>
      </c>
      <c r="T34" s="12">
        <f>'Geovani-Desmob'!AK52</f>
        <v>0</v>
      </c>
      <c r="V34" s="39" t="s">
        <v>42</v>
      </c>
      <c r="W34" s="47">
        <f>'Eider Breno-Desmob'!H52</f>
        <v>1892</v>
      </c>
      <c r="X34" s="44">
        <f t="shared" si="7"/>
        <v>3108</v>
      </c>
      <c r="Y34" s="11">
        <f>'Eider Breno-Desmob'!U53</f>
        <v>473.88</v>
      </c>
      <c r="Z34" s="11">
        <f>'Eider Breno-Desmob'!AE53</f>
        <v>0</v>
      </c>
      <c r="AA34" s="12">
        <f>'Eider Breno-Desmob'!AN53</f>
        <v>0</v>
      </c>
    </row>
    <row r="35" spans="1:27" ht="15.75" thickBot="1" x14ac:dyDescent="0.3"/>
    <row r="36" spans="1:27" ht="15.75" thickBot="1" x14ac:dyDescent="0.3">
      <c r="A36" s="3" t="s">
        <v>23</v>
      </c>
      <c r="B36" s="52">
        <f>SUM(B23:B34)</f>
        <v>15506</v>
      </c>
      <c r="C36" s="51"/>
      <c r="D36" s="50">
        <f>SUM(D23:D34)</f>
        <v>7946.2499999999991</v>
      </c>
      <c r="E36" s="49">
        <f>SUM(E23:E34)</f>
        <v>80</v>
      </c>
      <c r="F36" s="48">
        <f>SUM(F23:F34)</f>
        <v>0</v>
      </c>
      <c r="H36" s="3" t="s">
        <v>23</v>
      </c>
      <c r="I36" s="52">
        <f>SUM(I23:I34)</f>
        <v>15463</v>
      </c>
      <c r="J36" s="51"/>
      <c r="K36" s="50">
        <f>SUM(K23:K34)</f>
        <v>6799.08</v>
      </c>
      <c r="L36" s="49">
        <f>SUM(L23:L34)</f>
        <v>160</v>
      </c>
      <c r="M36" s="48">
        <f>SUM(M23:M34)</f>
        <v>0</v>
      </c>
      <c r="O36" s="3" t="s">
        <v>23</v>
      </c>
      <c r="P36" s="52">
        <f>SUM(P23:P34)</f>
        <v>7470</v>
      </c>
      <c r="Q36" s="51"/>
      <c r="R36" s="50">
        <f>SUM(R23:R34)</f>
        <v>4343.4299999999994</v>
      </c>
      <c r="S36" s="49">
        <f>SUM(S23:S34)</f>
        <v>0</v>
      </c>
      <c r="T36" s="48">
        <f>SUM(T23:T34)</f>
        <v>0</v>
      </c>
      <c r="V36" s="3" t="s">
        <v>23</v>
      </c>
      <c r="W36" s="52">
        <f>SUM(W23:W34)</f>
        <v>12169</v>
      </c>
      <c r="X36" s="51"/>
      <c r="Y36" s="50">
        <f>SUM(Y23:Y34)</f>
        <v>4988.7000000000007</v>
      </c>
      <c r="Z36" s="49">
        <f>SUM(Z23:Z34)</f>
        <v>0</v>
      </c>
      <c r="AA36" s="48">
        <f>SUM(AA23:AA34)</f>
        <v>0</v>
      </c>
    </row>
    <row r="37" spans="1:27" ht="15.75" thickBot="1" x14ac:dyDescent="0.3">
      <c r="A37" s="3" t="s">
        <v>44</v>
      </c>
      <c r="B37" s="23">
        <f>SUM(60000-B36)</f>
        <v>44494</v>
      </c>
      <c r="H37" s="3" t="s">
        <v>44</v>
      </c>
      <c r="I37" s="23">
        <f>SUM(60000-I36)</f>
        <v>44537</v>
      </c>
      <c r="O37" s="3" t="s">
        <v>44</v>
      </c>
      <c r="P37" s="23">
        <f>SUM(60000-P36)</f>
        <v>52530</v>
      </c>
      <c r="V37" s="3" t="s">
        <v>44</v>
      </c>
      <c r="W37" s="23">
        <f>SUM(60000-W36)</f>
        <v>47831</v>
      </c>
    </row>
    <row r="40" spans="1:27" ht="15.75" thickBot="1" x14ac:dyDescent="0.3">
      <c r="B40" s="103" t="s">
        <v>53</v>
      </c>
      <c r="C40" s="103"/>
      <c r="D40" s="103"/>
      <c r="E40" s="103"/>
      <c r="F40" s="103"/>
      <c r="I40" s="103" t="s">
        <v>54</v>
      </c>
      <c r="J40" s="103"/>
      <c r="K40" s="103"/>
      <c r="L40" s="103"/>
      <c r="M40" s="103"/>
      <c r="P40" s="103" t="s">
        <v>55</v>
      </c>
      <c r="Q40" s="103"/>
      <c r="R40" s="103"/>
      <c r="S40" s="103"/>
      <c r="T40" s="103"/>
      <c r="W40" s="103" t="s">
        <v>56</v>
      </c>
      <c r="X40" s="103"/>
      <c r="Y40" s="103"/>
      <c r="Z40" s="103"/>
      <c r="AA40" s="103"/>
    </row>
    <row r="41" spans="1:27" ht="15.75" thickBot="1" x14ac:dyDescent="0.3">
      <c r="B41" s="22" t="s">
        <v>43</v>
      </c>
      <c r="C41" s="33" t="s">
        <v>30</v>
      </c>
      <c r="D41" s="23" t="s">
        <v>26</v>
      </c>
      <c r="E41" s="23" t="s">
        <v>25</v>
      </c>
      <c r="F41" s="25" t="s">
        <v>27</v>
      </c>
      <c r="I41" s="22" t="s">
        <v>43</v>
      </c>
      <c r="J41" s="33" t="s">
        <v>30</v>
      </c>
      <c r="K41" s="23" t="s">
        <v>26</v>
      </c>
      <c r="L41" s="23" t="s">
        <v>25</v>
      </c>
      <c r="M41" s="25" t="s">
        <v>27</v>
      </c>
      <c r="P41" s="22" t="s">
        <v>43</v>
      </c>
      <c r="Q41" s="33" t="s">
        <v>30</v>
      </c>
      <c r="R41" s="23" t="s">
        <v>26</v>
      </c>
      <c r="S41" s="23" t="s">
        <v>25</v>
      </c>
      <c r="T41" s="25" t="s">
        <v>27</v>
      </c>
      <c r="W41" s="22" t="s">
        <v>43</v>
      </c>
      <c r="X41" s="33" t="s">
        <v>30</v>
      </c>
      <c r="Y41" s="23" t="s">
        <v>26</v>
      </c>
      <c r="Z41" s="23" t="s">
        <v>25</v>
      </c>
      <c r="AA41" s="25" t="s">
        <v>27</v>
      </c>
    </row>
    <row r="42" spans="1:27" x14ac:dyDescent="0.25">
      <c r="A42" s="37" t="s">
        <v>31</v>
      </c>
      <c r="B42" s="58"/>
      <c r="C42" s="59"/>
      <c r="D42" s="60"/>
      <c r="E42" s="60"/>
      <c r="F42" s="61"/>
      <c r="H42" s="37" t="s">
        <v>31</v>
      </c>
      <c r="I42" s="58"/>
      <c r="J42" s="59"/>
      <c r="K42" s="60"/>
      <c r="L42" s="60"/>
      <c r="M42" s="61"/>
      <c r="O42" s="37" t="s">
        <v>31</v>
      </c>
      <c r="P42" s="58"/>
      <c r="Q42" s="59"/>
      <c r="R42" s="60"/>
      <c r="S42" s="60"/>
      <c r="T42" s="61"/>
      <c r="V42" s="37" t="s">
        <v>31</v>
      </c>
      <c r="W42" s="58"/>
      <c r="X42" s="59"/>
      <c r="Y42" s="60"/>
      <c r="Z42" s="60"/>
      <c r="AA42" s="61"/>
    </row>
    <row r="43" spans="1:27" x14ac:dyDescent="0.25">
      <c r="A43" s="38" t="s">
        <v>32</v>
      </c>
      <c r="B43" s="46">
        <f>'Tiago Gonçalves - Desmob.'!H11</f>
        <v>0</v>
      </c>
      <c r="C43" s="43">
        <f>SUM(5000-B43)</f>
        <v>5000</v>
      </c>
      <c r="D43" s="35">
        <f>'Tiago Gonçalves - Desmob.'!U12</f>
        <v>0</v>
      </c>
      <c r="E43" s="35">
        <f>'Tiago Gonçalves - Desmob.'!AE12</f>
        <v>0</v>
      </c>
      <c r="F43" s="36">
        <f>'Tiago Gonçalves - Desmob.'!AN12</f>
        <v>0</v>
      </c>
      <c r="H43" s="38" t="s">
        <v>32</v>
      </c>
      <c r="I43" s="46">
        <f>'Ilo Hilton'!H13</f>
        <v>0</v>
      </c>
      <c r="J43" s="43">
        <f>SUM(5000-I43)</f>
        <v>5000</v>
      </c>
      <c r="K43" s="35">
        <f>'Ilo Hilton'!U14</f>
        <v>0</v>
      </c>
      <c r="L43" s="35">
        <f>'Ilo Hilton'!AE14</f>
        <v>0</v>
      </c>
      <c r="M43" s="36">
        <f>'Ilo Hilton'!AN14</f>
        <v>0</v>
      </c>
      <c r="O43" s="38" t="s">
        <v>32</v>
      </c>
      <c r="P43" s="46">
        <f>'Ubiratan-Desmob'!H11</f>
        <v>0</v>
      </c>
      <c r="Q43" s="43">
        <f>SUM(5000-P43)</f>
        <v>5000</v>
      </c>
      <c r="R43" s="35">
        <f>'Ubiratan-Desmob'!U12</f>
        <v>0</v>
      </c>
      <c r="S43" s="35">
        <f>'Ubiratan-Desmob'!AE12</f>
        <v>0</v>
      </c>
      <c r="T43" s="36">
        <f>'Ubiratan-Desmob'!AN12</f>
        <v>0</v>
      </c>
      <c r="V43" s="38" t="s">
        <v>32</v>
      </c>
      <c r="W43" s="46">
        <f>'Ilo Hilton-Desmob'!H11</f>
        <v>0</v>
      </c>
      <c r="X43" s="43">
        <f>SUM(5000-W43)</f>
        <v>5000</v>
      </c>
      <c r="Y43" s="35">
        <f>'Ilo Hilton-Desmob'!U12</f>
        <v>0</v>
      </c>
      <c r="Z43" s="35">
        <f>'Ilo Hilton-Desmob'!AE12</f>
        <v>0</v>
      </c>
      <c r="AA43" s="36">
        <f>'Ilo Hilton-Desmob'!AN12</f>
        <v>0</v>
      </c>
    </row>
    <row r="44" spans="1:27" x14ac:dyDescent="0.25">
      <c r="A44" s="38" t="s">
        <v>33</v>
      </c>
      <c r="B44" s="46">
        <f>'Tiago Gonçalves - Desmob.'!H15</f>
        <v>0</v>
      </c>
      <c r="C44" s="43">
        <f t="shared" ref="C44:C53" si="8">SUM(5000-B44)</f>
        <v>5000</v>
      </c>
      <c r="D44" s="35">
        <f>'Tiago Gonçalves - Desmob.'!U16</f>
        <v>0</v>
      </c>
      <c r="E44" s="35">
        <f>'Tiago Gonçalves - Desmob.'!AE16</f>
        <v>0</v>
      </c>
      <c r="F44" s="36">
        <f>'Tiago Gonçalves - Desmob.'!AN16</f>
        <v>0</v>
      </c>
      <c r="H44" s="38" t="s">
        <v>33</v>
      </c>
      <c r="I44" s="46">
        <f>'Ilo Hilton'!H17</f>
        <v>0</v>
      </c>
      <c r="J44" s="43">
        <f t="shared" ref="J44:J53" si="9">SUM(5000-I44)</f>
        <v>5000</v>
      </c>
      <c r="K44" s="35">
        <f>'Ilo Hilton'!U18</f>
        <v>0</v>
      </c>
      <c r="L44" s="35">
        <f>'Ilo Hilton'!AE18</f>
        <v>0</v>
      </c>
      <c r="M44" s="36">
        <f>'Ilo Hilton'!AN18</f>
        <v>0</v>
      </c>
      <c r="O44" s="38" t="s">
        <v>33</v>
      </c>
      <c r="P44" s="46">
        <f>'Ubiratan-Desmob'!H15</f>
        <v>0</v>
      </c>
      <c r="Q44" s="43">
        <f t="shared" ref="Q44:Q53" si="10">SUM(5000-P44)</f>
        <v>5000</v>
      </c>
      <c r="R44" s="35">
        <f>'Ubiratan-Desmob'!U16</f>
        <v>0</v>
      </c>
      <c r="S44" s="35">
        <f>'Ubiratan-Desmob'!AE16</f>
        <v>0</v>
      </c>
      <c r="T44" s="36">
        <f>'Ubiratan-Desmob'!AN16</f>
        <v>0</v>
      </c>
      <c r="V44" s="38" t="s">
        <v>33</v>
      </c>
      <c r="W44" s="46">
        <f>'Ilo Hilton-Desmob'!H15</f>
        <v>0</v>
      </c>
      <c r="X44" s="43">
        <f t="shared" ref="X44:X53" si="11">SUM(5000-W44)</f>
        <v>5000</v>
      </c>
      <c r="Y44" s="35">
        <f>'Ilo Hilton-Desmob'!U16</f>
        <v>0</v>
      </c>
      <c r="Z44" s="35">
        <f>'Ilo Hilton-Desmob'!AE16</f>
        <v>0</v>
      </c>
      <c r="AA44" s="36">
        <f>'Ilo Hilton-Desmob'!AN16</f>
        <v>0</v>
      </c>
    </row>
    <row r="45" spans="1:27" x14ac:dyDescent="0.25">
      <c r="A45" s="38" t="s">
        <v>34</v>
      </c>
      <c r="B45" s="46">
        <f>'Tiago Gonçalves - Desmob.'!H19</f>
        <v>0</v>
      </c>
      <c r="C45" s="43">
        <f t="shared" si="8"/>
        <v>5000</v>
      </c>
      <c r="D45" s="35">
        <f>'Tiago Gonçalves - Desmob.'!U20</f>
        <v>0</v>
      </c>
      <c r="E45" s="35">
        <f>'Tiago Gonçalves - Desmob.'!AE20</f>
        <v>0</v>
      </c>
      <c r="F45" s="36">
        <f>'Tiago Gonçalves - Desmob.'!AN20</f>
        <v>0</v>
      </c>
      <c r="H45" s="38" t="s">
        <v>34</v>
      </c>
      <c r="I45" s="46">
        <f>'Ilo Hilton'!H21</f>
        <v>0</v>
      </c>
      <c r="J45" s="43">
        <f t="shared" si="9"/>
        <v>5000</v>
      </c>
      <c r="K45" s="35">
        <f>'Ilo Hilton'!U22</f>
        <v>0</v>
      </c>
      <c r="L45" s="35">
        <f>'Ilo Hilton'!AE22</f>
        <v>0</v>
      </c>
      <c r="M45" s="36">
        <f>'Ilo Hilton'!AN22</f>
        <v>0</v>
      </c>
      <c r="O45" s="38" t="s">
        <v>34</v>
      </c>
      <c r="P45" s="46">
        <f>'Ubiratan-Desmob'!H19</f>
        <v>0</v>
      </c>
      <c r="Q45" s="43">
        <f t="shared" si="10"/>
        <v>5000</v>
      </c>
      <c r="R45" s="35">
        <f>'Ubiratan-Desmob'!U20</f>
        <v>0</v>
      </c>
      <c r="S45" s="35">
        <f>'Ubiratan-Desmob'!AE20</f>
        <v>0</v>
      </c>
      <c r="T45" s="36">
        <f>'Ubiratan-Desmob'!AN20</f>
        <v>0</v>
      </c>
      <c r="V45" s="38" t="s">
        <v>34</v>
      </c>
      <c r="W45" s="46">
        <f>'Ilo Hilton-Desmob'!H19</f>
        <v>0</v>
      </c>
      <c r="X45" s="43">
        <f t="shared" si="11"/>
        <v>5000</v>
      </c>
      <c r="Y45" s="35">
        <f>'Ilo Hilton-Desmob'!U20</f>
        <v>0</v>
      </c>
      <c r="Z45" s="35">
        <f>'Ilo Hilton-Desmob'!AE20</f>
        <v>0</v>
      </c>
      <c r="AA45" s="36">
        <f>'Ilo Hilton-Desmob'!AN20</f>
        <v>0</v>
      </c>
    </row>
    <row r="46" spans="1:27" x14ac:dyDescent="0.25">
      <c r="A46" s="38" t="s">
        <v>35</v>
      </c>
      <c r="B46" s="46">
        <f>'Tiago Gonçalves - Desmob.'!H23</f>
        <v>0</v>
      </c>
      <c r="C46" s="43">
        <f t="shared" si="8"/>
        <v>5000</v>
      </c>
      <c r="D46" s="35">
        <f>'Tiago Gonçalves - Desmob.'!U24</f>
        <v>0</v>
      </c>
      <c r="E46" s="35">
        <f>'Tiago Gonçalves - Desmob.'!AE24</f>
        <v>0</v>
      </c>
      <c r="F46" s="36">
        <f>'Tiago Gonçalves - Desmob.'!AN24</f>
        <v>0</v>
      </c>
      <c r="H46" s="38" t="s">
        <v>35</v>
      </c>
      <c r="I46" s="46">
        <f>'Ilo Hilton'!H25</f>
        <v>0</v>
      </c>
      <c r="J46" s="43">
        <f t="shared" si="9"/>
        <v>5000</v>
      </c>
      <c r="K46" s="35">
        <f>'Ilo Hilton'!U26</f>
        <v>0</v>
      </c>
      <c r="L46" s="35">
        <f>'Ilo Hilton'!AE26</f>
        <v>0</v>
      </c>
      <c r="M46" s="36">
        <f>'Ilo Hilton'!AN26</f>
        <v>0</v>
      </c>
      <c r="O46" s="38" t="s">
        <v>35</v>
      </c>
      <c r="P46" s="46">
        <f>'Ubiratan-Desmob'!H23</f>
        <v>0</v>
      </c>
      <c r="Q46" s="43">
        <f t="shared" si="10"/>
        <v>5000</v>
      </c>
      <c r="R46" s="35">
        <f>'Ubiratan-Desmob'!U24</f>
        <v>0</v>
      </c>
      <c r="S46" s="35">
        <f>'Ubiratan-Desmob'!AE24</f>
        <v>0</v>
      </c>
      <c r="T46" s="36">
        <f>'Ubiratan-Desmob'!AN24</f>
        <v>0</v>
      </c>
      <c r="V46" s="38" t="s">
        <v>35</v>
      </c>
      <c r="W46" s="46">
        <f>'Ilo Hilton-Desmob'!H23</f>
        <v>0</v>
      </c>
      <c r="X46" s="43">
        <f t="shared" si="11"/>
        <v>5000</v>
      </c>
      <c r="Y46" s="35">
        <f>'Ilo Hilton-Desmob'!U24</f>
        <v>0</v>
      </c>
      <c r="Z46" s="35">
        <f>'Ilo Hilton-Desmob'!AE24</f>
        <v>0</v>
      </c>
      <c r="AA46" s="36">
        <f>'Ilo Hilton-Desmob'!AN24</f>
        <v>0</v>
      </c>
    </row>
    <row r="47" spans="1:27" x14ac:dyDescent="0.25">
      <c r="A47" s="38" t="s">
        <v>36</v>
      </c>
      <c r="B47" s="46">
        <f>'Tiago Gonçalves - Desmob.'!H27</f>
        <v>0</v>
      </c>
      <c r="C47" s="43">
        <f t="shared" si="8"/>
        <v>5000</v>
      </c>
      <c r="D47" s="35">
        <f>'Tiago Gonçalves - Desmob.'!U28</f>
        <v>0</v>
      </c>
      <c r="E47" s="35">
        <f>'Tiago Gonçalves - Desmob.'!AE28</f>
        <v>0</v>
      </c>
      <c r="F47" s="36">
        <f>'Tiago Gonçalves - Desmob.'!AN28</f>
        <v>0</v>
      </c>
      <c r="H47" s="38" t="s">
        <v>36</v>
      </c>
      <c r="I47" s="46">
        <f>'Ilo Hilton'!H29</f>
        <v>0</v>
      </c>
      <c r="J47" s="43">
        <f t="shared" si="9"/>
        <v>5000</v>
      </c>
      <c r="K47" s="35">
        <f>'Ilo Hilton'!U30</f>
        <v>0</v>
      </c>
      <c r="L47" s="35">
        <f>'Ilo Hilton'!AE30</f>
        <v>0</v>
      </c>
      <c r="M47" s="36">
        <f>'Ilo Hilton'!AN30</f>
        <v>0</v>
      </c>
      <c r="O47" s="38" t="s">
        <v>36</v>
      </c>
      <c r="P47" s="46">
        <f>'Ubiratan-Desmob'!H27</f>
        <v>0</v>
      </c>
      <c r="Q47" s="43">
        <f t="shared" si="10"/>
        <v>5000</v>
      </c>
      <c r="R47" s="35">
        <f>'Ubiratan-Desmob'!U28</f>
        <v>0</v>
      </c>
      <c r="S47" s="35">
        <f>'Ubiratan-Desmob'!AE28</f>
        <v>0</v>
      </c>
      <c r="T47" s="36">
        <f>'Ubiratan-Desmob'!AN28</f>
        <v>0</v>
      </c>
      <c r="V47" s="38" t="s">
        <v>36</v>
      </c>
      <c r="W47" s="46">
        <f>'Ilo Hilton-Desmob'!H27</f>
        <v>0</v>
      </c>
      <c r="X47" s="43">
        <f t="shared" si="11"/>
        <v>5000</v>
      </c>
      <c r="Y47" s="35">
        <f>'Ilo Hilton-Desmob'!U28</f>
        <v>0</v>
      </c>
      <c r="Z47" s="35">
        <f>'Ilo Hilton-Desmob'!AE28</f>
        <v>0</v>
      </c>
      <c r="AA47" s="36">
        <f>'Ilo Hilton-Desmob'!AN28</f>
        <v>0</v>
      </c>
    </row>
    <row r="48" spans="1:27" x14ac:dyDescent="0.25">
      <c r="A48" s="38" t="s">
        <v>37</v>
      </c>
      <c r="B48" s="46">
        <f>'Tiago Gonçalves - Desmob.'!H31</f>
        <v>0</v>
      </c>
      <c r="C48" s="43">
        <f t="shared" si="8"/>
        <v>5000</v>
      </c>
      <c r="D48" s="35">
        <f>'Tiago Gonçalves - Desmob.'!U32</f>
        <v>0</v>
      </c>
      <c r="E48" s="35">
        <f>'Tiago Gonçalves - Desmob.'!AE32</f>
        <v>0</v>
      </c>
      <c r="F48" s="36">
        <f>'Tiago Gonçalves - Desmob.'!AN32</f>
        <v>0</v>
      </c>
      <c r="H48" s="38" t="s">
        <v>37</v>
      </c>
      <c r="I48" s="46">
        <f>'Ilo Hilton'!H33</f>
        <v>0</v>
      </c>
      <c r="J48" s="43">
        <f t="shared" si="9"/>
        <v>5000</v>
      </c>
      <c r="K48" s="35">
        <f>'Ilo Hilton'!U34</f>
        <v>0</v>
      </c>
      <c r="L48" s="35">
        <f>'Ilo Hilton'!AE34</f>
        <v>0</v>
      </c>
      <c r="M48" s="36">
        <f>'Ilo Hilton'!AN34</f>
        <v>0</v>
      </c>
      <c r="O48" s="38" t="s">
        <v>37</v>
      </c>
      <c r="P48" s="46">
        <f>'Ubiratan-Desmob'!H31</f>
        <v>0</v>
      </c>
      <c r="Q48" s="43">
        <f t="shared" si="10"/>
        <v>5000</v>
      </c>
      <c r="R48" s="35">
        <f>'Ubiratan-Desmob'!U32</f>
        <v>0</v>
      </c>
      <c r="S48" s="35">
        <f>'Ubiratan-Desmob'!AE32</f>
        <v>0</v>
      </c>
      <c r="T48" s="36">
        <f>'Ubiratan-Desmob'!AN32</f>
        <v>0</v>
      </c>
      <c r="V48" s="38" t="s">
        <v>37</v>
      </c>
      <c r="W48" s="46">
        <f>'Ilo Hilton-Desmob'!H31</f>
        <v>0</v>
      </c>
      <c r="X48" s="43">
        <f t="shared" si="11"/>
        <v>5000</v>
      </c>
      <c r="Y48" s="35">
        <f>'Ilo Hilton-Desmob'!U32</f>
        <v>0</v>
      </c>
      <c r="Z48" s="35">
        <f>'Ilo Hilton-Desmob'!AE32</f>
        <v>0</v>
      </c>
      <c r="AA48" s="36">
        <f>'Ilo Hilton-Desmob'!AN32</f>
        <v>0</v>
      </c>
    </row>
    <row r="49" spans="1:27" x14ac:dyDescent="0.25">
      <c r="A49" s="38" t="s">
        <v>38</v>
      </c>
      <c r="B49" s="46">
        <f>'Tiago Gonçalves - Desmob.'!H35</f>
        <v>0</v>
      </c>
      <c r="C49" s="43">
        <f t="shared" si="8"/>
        <v>5000</v>
      </c>
      <c r="D49" s="35">
        <f>'Tiago Gonçalves - Desmob.'!U36</f>
        <v>0</v>
      </c>
      <c r="E49" s="35">
        <f>'Tiago Gonçalves - Desmob.'!AE36</f>
        <v>0</v>
      </c>
      <c r="F49" s="36">
        <f>'Tiago Gonçalves - Desmob.'!AN36</f>
        <v>0</v>
      </c>
      <c r="H49" s="38" t="s">
        <v>38</v>
      </c>
      <c r="I49" s="46">
        <f>'Ilo Hilton'!H37</f>
        <v>0</v>
      </c>
      <c r="J49" s="43">
        <f t="shared" si="9"/>
        <v>5000</v>
      </c>
      <c r="K49" s="35">
        <f>'Ilo Hilton'!U38</f>
        <v>0</v>
      </c>
      <c r="L49" s="35">
        <f>'Ilo Hilton'!AE38</f>
        <v>0</v>
      </c>
      <c r="M49" s="36">
        <f>'Ilo Hilton'!AN38</f>
        <v>0</v>
      </c>
      <c r="O49" s="38" t="s">
        <v>38</v>
      </c>
      <c r="P49" s="46">
        <f>'Ubiratan-Desmob'!H35</f>
        <v>0</v>
      </c>
      <c r="Q49" s="43">
        <f t="shared" si="10"/>
        <v>5000</v>
      </c>
      <c r="R49" s="35">
        <f>'Ubiratan-Desmob'!U36</f>
        <v>0</v>
      </c>
      <c r="S49" s="35">
        <f>'Ubiratan-Desmob'!AE36</f>
        <v>0</v>
      </c>
      <c r="T49" s="36">
        <f>'Ubiratan-Desmob'!AN36</f>
        <v>0</v>
      </c>
      <c r="V49" s="38" t="s">
        <v>38</v>
      </c>
      <c r="W49" s="46">
        <f>'Ilo Hilton-Desmob'!H35</f>
        <v>0</v>
      </c>
      <c r="X49" s="43">
        <f t="shared" si="11"/>
        <v>5000</v>
      </c>
      <c r="Y49" s="35">
        <f>'Ilo Hilton-Desmob'!U36</f>
        <v>0</v>
      </c>
      <c r="Z49" s="35">
        <f>'Ilo Hilton-Desmob'!AE36</f>
        <v>0</v>
      </c>
      <c r="AA49" s="36">
        <f>'Ilo Hilton-Desmob'!AN36</f>
        <v>0</v>
      </c>
    </row>
    <row r="50" spans="1:27" x14ac:dyDescent="0.25">
      <c r="A50" s="38" t="s">
        <v>39</v>
      </c>
      <c r="B50" s="46">
        <f>'Tiago Gonçalves - Desmob.'!H39</f>
        <v>794</v>
      </c>
      <c r="C50" s="43">
        <f t="shared" si="8"/>
        <v>4206</v>
      </c>
      <c r="D50" s="35">
        <f>'Tiago Gonçalves - Desmob.'!U40</f>
        <v>0</v>
      </c>
      <c r="E50" s="35">
        <f>'Tiago Gonçalves - Desmob.'!AE40</f>
        <v>0</v>
      </c>
      <c r="F50" s="36">
        <f>'Tiago Gonçalves - Desmob.'!AN40</f>
        <v>0</v>
      </c>
      <c r="H50" s="38" t="s">
        <v>39</v>
      </c>
      <c r="I50" s="46">
        <f>'Ilo Hilton'!H41</f>
        <v>1235</v>
      </c>
      <c r="J50" s="43">
        <f t="shared" si="9"/>
        <v>3765</v>
      </c>
      <c r="K50" s="35">
        <f>'Ilo Hilton'!U42</f>
        <v>755.19</v>
      </c>
      <c r="L50" s="35">
        <f>'Ilo Hilton'!AE42</f>
        <v>0</v>
      </c>
      <c r="M50" s="36">
        <f>'Ilo Hilton'!AN42</f>
        <v>0</v>
      </c>
      <c r="O50" s="38" t="s">
        <v>39</v>
      </c>
      <c r="P50" s="46">
        <f>'Ubiratan-Desmob'!H39</f>
        <v>749</v>
      </c>
      <c r="Q50" s="43">
        <f t="shared" si="10"/>
        <v>4251</v>
      </c>
      <c r="R50" s="35">
        <f>'Ubiratan-Desmob'!U40</f>
        <v>333.07</v>
      </c>
      <c r="S50" s="35">
        <f>'Ubiratan-Desmob'!AE40</f>
        <v>0</v>
      </c>
      <c r="T50" s="36">
        <f>'Ubiratan-Desmob'!AN40</f>
        <v>0</v>
      </c>
      <c r="V50" s="38" t="s">
        <v>39</v>
      </c>
      <c r="W50" s="46">
        <f>'Ilo Hilton-Desmob'!H39</f>
        <v>0</v>
      </c>
      <c r="X50" s="43">
        <f t="shared" si="11"/>
        <v>5000</v>
      </c>
      <c r="Y50" s="35">
        <f>'Ilo Hilton-Desmob'!U40</f>
        <v>0</v>
      </c>
      <c r="Z50" s="35">
        <f>'Ilo Hilton-Desmob'!AE40</f>
        <v>0</v>
      </c>
      <c r="AA50" s="36">
        <f>'Ilo Hilton-Desmob'!AN40</f>
        <v>0</v>
      </c>
    </row>
    <row r="51" spans="1:27" x14ac:dyDescent="0.25">
      <c r="A51" s="38" t="s">
        <v>40</v>
      </c>
      <c r="B51" s="46">
        <f>'Tiago Gonçalves - Desmob.'!H43</f>
        <v>1048</v>
      </c>
      <c r="C51" s="43">
        <f t="shared" si="8"/>
        <v>3952</v>
      </c>
      <c r="D51" s="35">
        <f>'Tiago Gonçalves - Desmob.'!U44</f>
        <v>0</v>
      </c>
      <c r="E51" s="35">
        <f>'Tiago Gonçalves - Desmob.'!AE44</f>
        <v>0</v>
      </c>
      <c r="F51" s="36">
        <f>'Tiago Gonçalves - Desmob.'!AN44</f>
        <v>0</v>
      </c>
      <c r="H51" s="38" t="s">
        <v>40</v>
      </c>
      <c r="I51" s="46">
        <f>'Ilo Hilton'!H45</f>
        <v>1635</v>
      </c>
      <c r="J51" s="43">
        <f t="shared" si="9"/>
        <v>3365</v>
      </c>
      <c r="K51" s="35">
        <f>'Ilo Hilton'!U46</f>
        <v>1152.9300000000003</v>
      </c>
      <c r="L51" s="35">
        <f>'Ilo Hilton'!AE46</f>
        <v>0</v>
      </c>
      <c r="M51" s="36">
        <f>'Ilo Hilton'!AN46</f>
        <v>0</v>
      </c>
      <c r="O51" s="38" t="s">
        <v>40</v>
      </c>
      <c r="P51" s="46">
        <f>'Ubiratan-Desmob'!H43</f>
        <v>2133</v>
      </c>
      <c r="Q51" s="43">
        <f t="shared" si="10"/>
        <v>2867</v>
      </c>
      <c r="R51" s="35">
        <f>'Ubiratan-Desmob'!U44</f>
        <v>1163.48</v>
      </c>
      <c r="S51" s="35">
        <f>'Ubiratan-Desmob'!AE44</f>
        <v>0</v>
      </c>
      <c r="T51" s="36">
        <f>'Ubiratan-Desmob'!AN44</f>
        <v>0</v>
      </c>
      <c r="V51" s="38" t="s">
        <v>40</v>
      </c>
      <c r="W51" s="46">
        <f>'Ilo Hilton-Desmob'!H43</f>
        <v>1581</v>
      </c>
      <c r="X51" s="43">
        <f t="shared" si="11"/>
        <v>3419</v>
      </c>
      <c r="Y51" s="35">
        <f>'Ilo Hilton-Desmob'!U44</f>
        <v>967.24</v>
      </c>
      <c r="Z51" s="35">
        <f>'Ilo Hilton-Desmob'!AE44</f>
        <v>0</v>
      </c>
      <c r="AA51" s="36">
        <f>'Ilo Hilton-Desmob'!AN44</f>
        <v>0</v>
      </c>
    </row>
    <row r="52" spans="1:27" x14ac:dyDescent="0.25">
      <c r="A52" s="38" t="s">
        <v>41</v>
      </c>
      <c r="B52" s="46">
        <f>'Tiago Gonçalves - Desmob.'!H47</f>
        <v>2988</v>
      </c>
      <c r="C52" s="43">
        <f t="shared" si="8"/>
        <v>2012</v>
      </c>
      <c r="D52" s="35">
        <f>'Tiago Gonçalves - Desmob.'!U48</f>
        <v>1469.33</v>
      </c>
      <c r="E52" s="35">
        <f>'Tiago Gonçalves - Desmob.'!AE48</f>
        <v>0</v>
      </c>
      <c r="F52" s="36">
        <f>'Tiago Gonçalves - Desmob.'!AN48</f>
        <v>0</v>
      </c>
      <c r="H52" s="38" t="s">
        <v>41</v>
      </c>
      <c r="I52" s="46">
        <f>'Ilo Hilton'!H49</f>
        <v>1849</v>
      </c>
      <c r="J52" s="43">
        <f t="shared" si="9"/>
        <v>3151</v>
      </c>
      <c r="K52" s="35">
        <f>'Ilo Hilton'!U50</f>
        <v>1329.1899999999998</v>
      </c>
      <c r="L52" s="35">
        <f>'Ilo Hilton'!AE50</f>
        <v>0</v>
      </c>
      <c r="M52" s="36">
        <f>'Ilo Hilton'!AN50</f>
        <v>0</v>
      </c>
      <c r="O52" s="38" t="s">
        <v>41</v>
      </c>
      <c r="P52" s="46">
        <f>'Ubiratan-Desmob'!H47</f>
        <v>1851</v>
      </c>
      <c r="Q52" s="43">
        <f t="shared" si="10"/>
        <v>3149</v>
      </c>
      <c r="R52" s="35">
        <f>'Ubiratan-Desmob'!U48</f>
        <v>943.36999999999989</v>
      </c>
      <c r="S52" s="35">
        <f>'Ubiratan-Desmob'!AE48</f>
        <v>0</v>
      </c>
      <c r="T52" s="36">
        <f>'Ubiratan-Desmob'!AN48</f>
        <v>0</v>
      </c>
      <c r="V52" s="38" t="s">
        <v>41</v>
      </c>
      <c r="W52" s="46">
        <f>'Ilo Hilton-Desmob'!H47</f>
        <v>2295</v>
      </c>
      <c r="X52" s="43">
        <f t="shared" si="11"/>
        <v>2705</v>
      </c>
      <c r="Y52" s="35">
        <f>'Ilo Hilton-Desmob'!U48</f>
        <v>652.54</v>
      </c>
      <c r="Z52" s="35">
        <f>'Ilo Hilton-Desmob'!AE48</f>
        <v>0</v>
      </c>
      <c r="AA52" s="36">
        <f>'Ilo Hilton-Desmob'!AN48</f>
        <v>0</v>
      </c>
    </row>
    <row r="53" spans="1:27" ht="15.75" thickBot="1" x14ac:dyDescent="0.3">
      <c r="A53" s="39" t="s">
        <v>42</v>
      </c>
      <c r="B53" s="47">
        <f>'Tiago Gonçalves - Desmob.'!H51</f>
        <v>2843</v>
      </c>
      <c r="C53" s="44">
        <f t="shared" si="8"/>
        <v>2157</v>
      </c>
      <c r="D53" s="11">
        <f>'Tiago Gonçalves - Desmob.'!U52</f>
        <v>1782.3600000000001</v>
      </c>
      <c r="E53" s="11">
        <f>'Tiago Gonçalves - Desmob.'!AE52</f>
        <v>0</v>
      </c>
      <c r="F53" s="12">
        <f>'Tiago Gonçalves - Desmob.'!AN52</f>
        <v>0</v>
      </c>
      <c r="H53" s="39" t="s">
        <v>42</v>
      </c>
      <c r="I53" s="47">
        <f>'Ilo Hilton'!H53</f>
        <v>1731</v>
      </c>
      <c r="J53" s="44">
        <f t="shared" si="9"/>
        <v>3269</v>
      </c>
      <c r="K53" s="11">
        <f>'Ilo Hilton'!U54</f>
        <v>1386.1</v>
      </c>
      <c r="L53" s="11">
        <f>'Ilo Hilton'!AE54</f>
        <v>0</v>
      </c>
      <c r="M53" s="12">
        <f>'Ilo Hilton'!AN54</f>
        <v>0</v>
      </c>
      <c r="O53" s="39" t="s">
        <v>42</v>
      </c>
      <c r="P53" s="47">
        <f>'Ubiratan-Desmob'!H51</f>
        <v>2428</v>
      </c>
      <c r="Q53" s="44">
        <f t="shared" si="10"/>
        <v>2572</v>
      </c>
      <c r="R53" s="11">
        <f>'Ubiratan-Desmob'!U52</f>
        <v>1152.8800000000001</v>
      </c>
      <c r="S53" s="11">
        <f>'Ubiratan-Desmob'!AE52</f>
        <v>0</v>
      </c>
      <c r="T53" s="12">
        <f>'Ubiratan-Desmob'!AN52</f>
        <v>0</v>
      </c>
      <c r="V53" s="39" t="s">
        <v>42</v>
      </c>
      <c r="W53" s="47">
        <f>'Ilo Hilton-Desmob'!H51</f>
        <v>2053</v>
      </c>
      <c r="X53" s="44">
        <f t="shared" si="11"/>
        <v>2947</v>
      </c>
      <c r="Y53" s="11">
        <f>'Ilo Hilton-Desmob'!U52</f>
        <v>1650.82</v>
      </c>
      <c r="Z53" s="11">
        <f>'Ilo Hilton-Desmob'!AE52</f>
        <v>0</v>
      </c>
      <c r="AA53" s="12">
        <f>'Ilo Hilton-Desmob'!AN52</f>
        <v>0</v>
      </c>
    </row>
    <row r="54" spans="1:27" ht="15.75" thickBot="1" x14ac:dyDescent="0.3"/>
    <row r="55" spans="1:27" ht="15.75" thickBot="1" x14ac:dyDescent="0.3">
      <c r="A55" s="3" t="s">
        <v>23</v>
      </c>
      <c r="B55" s="52">
        <f>SUM(B42:B53)</f>
        <v>7673</v>
      </c>
      <c r="C55" s="51"/>
      <c r="D55" s="50">
        <f>SUM(D42:D53)</f>
        <v>3251.69</v>
      </c>
      <c r="E55" s="49">
        <f>SUM(E42:E53)</f>
        <v>0</v>
      </c>
      <c r="F55" s="48">
        <f>SUM(F42:F53)</f>
        <v>0</v>
      </c>
      <c r="H55" s="3" t="s">
        <v>23</v>
      </c>
      <c r="I55" s="52">
        <f>SUM(I42:I53)</f>
        <v>6450</v>
      </c>
      <c r="J55" s="51"/>
      <c r="K55" s="50">
        <f>SUM(K42:K53)</f>
        <v>4623.41</v>
      </c>
      <c r="L55" s="49">
        <f>SUM(L42:L53)</f>
        <v>0</v>
      </c>
      <c r="M55" s="48">
        <f>SUM(M42:M53)</f>
        <v>0</v>
      </c>
      <c r="O55" s="3" t="s">
        <v>23</v>
      </c>
      <c r="P55" s="52">
        <f>SUM(P42:P53)</f>
        <v>7161</v>
      </c>
      <c r="Q55" s="51"/>
      <c r="R55" s="50">
        <f>SUM(R42:R53)</f>
        <v>3592.8</v>
      </c>
      <c r="S55" s="49">
        <f>SUM(S42:S53)</f>
        <v>0</v>
      </c>
      <c r="T55" s="48">
        <f>SUM(T42:T53)</f>
        <v>0</v>
      </c>
      <c r="V55" s="3" t="s">
        <v>23</v>
      </c>
      <c r="W55" s="52">
        <f>SUM(W42:W53)</f>
        <v>5929</v>
      </c>
      <c r="X55" s="51"/>
      <c r="Y55" s="50">
        <f>SUM(Y42:Y53)</f>
        <v>3270.6</v>
      </c>
      <c r="Z55" s="49">
        <f>SUM(Z42:Z53)</f>
        <v>0</v>
      </c>
      <c r="AA55" s="48">
        <f>SUM(AA42:AA53)</f>
        <v>0</v>
      </c>
    </row>
    <row r="56" spans="1:27" ht="15.75" thickBot="1" x14ac:dyDescent="0.3">
      <c r="A56" s="3" t="s">
        <v>44</v>
      </c>
      <c r="B56" s="23">
        <f>SUM(60000-B55)</f>
        <v>52327</v>
      </c>
      <c r="H56" s="3" t="s">
        <v>44</v>
      </c>
      <c r="I56" s="23">
        <f>SUM(60000-I55)</f>
        <v>53550</v>
      </c>
      <c r="O56" s="3" t="s">
        <v>44</v>
      </c>
      <c r="P56" s="23">
        <f>SUM(60000-P55)</f>
        <v>52839</v>
      </c>
      <c r="V56" s="3" t="s">
        <v>44</v>
      </c>
      <c r="W56" s="23">
        <f>SUM(60000-W55)</f>
        <v>54071</v>
      </c>
    </row>
    <row r="59" spans="1:27" ht="15.75" thickBot="1" x14ac:dyDescent="0.3">
      <c r="B59" s="103" t="s">
        <v>57</v>
      </c>
      <c r="C59" s="103"/>
      <c r="D59" s="103"/>
      <c r="E59" s="103"/>
      <c r="F59" s="103"/>
      <c r="I59" s="103" t="s">
        <v>58</v>
      </c>
      <c r="J59" s="103"/>
      <c r="K59" s="103"/>
      <c r="L59" s="103"/>
      <c r="M59" s="103"/>
      <c r="P59" s="103" t="s">
        <v>59</v>
      </c>
      <c r="Q59" s="103"/>
      <c r="R59" s="103"/>
      <c r="S59" s="103"/>
      <c r="T59" s="103"/>
      <c r="W59" s="103" t="s">
        <v>60</v>
      </c>
      <c r="X59" s="103"/>
      <c r="Y59" s="103"/>
      <c r="Z59" s="103"/>
      <c r="AA59" s="103"/>
    </row>
    <row r="60" spans="1:27" ht="15.75" thickBot="1" x14ac:dyDescent="0.3">
      <c r="B60" s="22" t="s">
        <v>43</v>
      </c>
      <c r="C60" s="33" t="s">
        <v>30</v>
      </c>
      <c r="D60" s="23" t="s">
        <v>26</v>
      </c>
      <c r="E60" s="23" t="s">
        <v>25</v>
      </c>
      <c r="F60" s="25" t="s">
        <v>27</v>
      </c>
      <c r="I60" s="22" t="s">
        <v>43</v>
      </c>
      <c r="J60" s="33" t="s">
        <v>30</v>
      </c>
      <c r="K60" s="23" t="s">
        <v>26</v>
      </c>
      <c r="L60" s="23" t="s">
        <v>25</v>
      </c>
      <c r="M60" s="25" t="s">
        <v>27</v>
      </c>
      <c r="P60" s="22" t="s">
        <v>43</v>
      </c>
      <c r="Q60" s="33" t="s">
        <v>30</v>
      </c>
      <c r="R60" s="23" t="s">
        <v>26</v>
      </c>
      <c r="S60" s="23" t="s">
        <v>25</v>
      </c>
      <c r="T60" s="25" t="s">
        <v>27</v>
      </c>
      <c r="W60" s="22" t="s">
        <v>43</v>
      </c>
      <c r="X60" s="33" t="s">
        <v>30</v>
      </c>
      <c r="Y60" s="23" t="s">
        <v>26</v>
      </c>
      <c r="Z60" s="23" t="s">
        <v>25</v>
      </c>
      <c r="AA60" s="25" t="s">
        <v>27</v>
      </c>
    </row>
    <row r="61" spans="1:27" x14ac:dyDescent="0.25">
      <c r="A61" s="37" t="s">
        <v>31</v>
      </c>
      <c r="B61" s="58"/>
      <c r="C61" s="59"/>
      <c r="D61" s="60"/>
      <c r="E61" s="60"/>
      <c r="F61" s="61"/>
      <c r="H61" s="37" t="s">
        <v>31</v>
      </c>
      <c r="I61" s="58"/>
      <c r="J61" s="59"/>
      <c r="K61" s="60"/>
      <c r="L61" s="60"/>
      <c r="M61" s="61"/>
      <c r="O61" s="37" t="s">
        <v>31</v>
      </c>
      <c r="P61" s="58"/>
      <c r="Q61" s="59"/>
      <c r="R61" s="60"/>
      <c r="S61" s="60"/>
      <c r="T61" s="61"/>
      <c r="V61" s="37" t="s">
        <v>31</v>
      </c>
      <c r="W61" s="58"/>
      <c r="X61" s="59"/>
      <c r="Y61" s="60"/>
      <c r="Z61" s="60"/>
      <c r="AA61" s="61"/>
    </row>
    <row r="62" spans="1:27" x14ac:dyDescent="0.25">
      <c r="A62" s="38" t="s">
        <v>32</v>
      </c>
      <c r="B62" s="46">
        <f>Chris!H11</f>
        <v>0</v>
      </c>
      <c r="C62" s="43">
        <f>SUM(5000-B62)</f>
        <v>5000</v>
      </c>
      <c r="D62" s="35">
        <f>Chris!U12</f>
        <v>0</v>
      </c>
      <c r="E62" s="35">
        <f>Chris!AE12</f>
        <v>0</v>
      </c>
      <c r="F62" s="36">
        <f>Chris!AN12</f>
        <v>0</v>
      </c>
      <c r="H62" s="38" t="s">
        <v>32</v>
      </c>
      <c r="I62" s="46">
        <f>'Roberto-Desmob'!H11</f>
        <v>0</v>
      </c>
      <c r="J62" s="43">
        <f>SUM(5000-I62)</f>
        <v>5000</v>
      </c>
      <c r="K62" s="35">
        <f>'Roberto-Desmob'!U12</f>
        <v>0</v>
      </c>
      <c r="L62" s="35">
        <f>'Roberto-Desmob'!AE12</f>
        <v>0</v>
      </c>
      <c r="M62" s="36">
        <f>'Roberto-Desmob'!AN12</f>
        <v>0</v>
      </c>
      <c r="O62" s="38" t="s">
        <v>32</v>
      </c>
      <c r="P62" s="46">
        <f>Wildson!H16</f>
        <v>1718</v>
      </c>
      <c r="Q62" s="43">
        <f>SUM(5000-P62)</f>
        <v>3282</v>
      </c>
      <c r="R62" s="35">
        <f>Wildson!U17</f>
        <v>1280.82</v>
      </c>
      <c r="S62" s="35">
        <f>Wildson!AE17</f>
        <v>0</v>
      </c>
      <c r="T62" s="36">
        <f>Wildson!AN17</f>
        <v>0</v>
      </c>
      <c r="V62" s="38" t="s">
        <v>32</v>
      </c>
      <c r="W62" s="46">
        <f>Mizael!H12</f>
        <v>3093</v>
      </c>
      <c r="X62" s="43">
        <f>SUM(5000-W62)</f>
        <v>1907</v>
      </c>
      <c r="Y62" s="35">
        <f>Mizael!U13</f>
        <v>1497.5700000000002</v>
      </c>
      <c r="Z62" s="35">
        <f>Mizael!AE13</f>
        <v>0</v>
      </c>
      <c r="AA62" s="36">
        <f>Mizael!AN13</f>
        <v>0</v>
      </c>
    </row>
    <row r="63" spans="1:27" x14ac:dyDescent="0.25">
      <c r="A63" s="38" t="s">
        <v>33</v>
      </c>
      <c r="B63" s="46">
        <f>Chris!H15</f>
        <v>0</v>
      </c>
      <c r="C63" s="43">
        <f t="shared" ref="C63:C72" si="12">SUM(5000-B63)</f>
        <v>5000</v>
      </c>
      <c r="D63" s="35">
        <f>Chris!U16</f>
        <v>0</v>
      </c>
      <c r="E63" s="35">
        <f>Chris!AE16</f>
        <v>0</v>
      </c>
      <c r="F63" s="36">
        <f>Chris!AN16</f>
        <v>0</v>
      </c>
      <c r="H63" s="38" t="s">
        <v>33</v>
      </c>
      <c r="I63" s="46">
        <f>'Roberto-Desmob'!H15</f>
        <v>0</v>
      </c>
      <c r="J63" s="43">
        <f t="shared" ref="J63:J72" si="13">SUM(5000-I63)</f>
        <v>5000</v>
      </c>
      <c r="K63" s="35">
        <f>'Roberto-Desmob'!U16</f>
        <v>0</v>
      </c>
      <c r="L63" s="35">
        <f>'Roberto-Desmob'!AE16</f>
        <v>0</v>
      </c>
      <c r="M63" s="36">
        <f>'Roberto-Desmob'!AN16</f>
        <v>0</v>
      </c>
      <c r="O63" s="38" t="s">
        <v>33</v>
      </c>
      <c r="P63" s="46">
        <f>Wildson!H20</f>
        <v>2148</v>
      </c>
      <c r="Q63" s="43">
        <f t="shared" ref="Q63:Q72" si="14">SUM(5000-P63)</f>
        <v>2852</v>
      </c>
      <c r="R63" s="35">
        <f>Wildson!U21</f>
        <v>0</v>
      </c>
      <c r="S63" s="35">
        <f>Wildson!AE21</f>
        <v>0</v>
      </c>
      <c r="T63" s="36">
        <f>Wildson!AN21</f>
        <v>0</v>
      </c>
      <c r="V63" s="38" t="s">
        <v>33</v>
      </c>
      <c r="W63" s="46">
        <f>Mizael!H16</f>
        <v>2463</v>
      </c>
      <c r="X63" s="43">
        <f t="shared" ref="X63:X72" si="15">SUM(5000-W63)</f>
        <v>2537</v>
      </c>
      <c r="Y63" s="35">
        <f>Mizael!U17</f>
        <v>1179.02</v>
      </c>
      <c r="Z63" s="35">
        <f>Mizael!AE17</f>
        <v>0</v>
      </c>
      <c r="AA63" s="36">
        <f>Mizael!AN17</f>
        <v>0</v>
      </c>
    </row>
    <row r="64" spans="1:27" x14ac:dyDescent="0.25">
      <c r="A64" s="38" t="s">
        <v>34</v>
      </c>
      <c r="B64" s="46">
        <f>Chris!H19</f>
        <v>0</v>
      </c>
      <c r="C64" s="43">
        <f t="shared" si="12"/>
        <v>5000</v>
      </c>
      <c r="D64" s="35">
        <f>Chris!U20</f>
        <v>0</v>
      </c>
      <c r="E64" s="35">
        <f>Chris!AE20</f>
        <v>0</v>
      </c>
      <c r="F64" s="36">
        <f>Chris!AN20</f>
        <v>0</v>
      </c>
      <c r="H64" s="38" t="s">
        <v>34</v>
      </c>
      <c r="I64" s="46">
        <f>'Roberto-Desmob'!H19</f>
        <v>0</v>
      </c>
      <c r="J64" s="43">
        <f t="shared" si="13"/>
        <v>5000</v>
      </c>
      <c r="K64" s="35">
        <f>'Roberto-Desmob'!U20</f>
        <v>0</v>
      </c>
      <c r="L64" s="35">
        <f>'Roberto-Desmob'!AE20</f>
        <v>0</v>
      </c>
      <c r="M64" s="36">
        <f>'Roberto-Desmob'!AN20</f>
        <v>0</v>
      </c>
      <c r="O64" s="38" t="s">
        <v>34</v>
      </c>
      <c r="P64" s="46">
        <f>Wildson!H24</f>
        <v>1800</v>
      </c>
      <c r="Q64" s="43">
        <f t="shared" si="14"/>
        <v>3200</v>
      </c>
      <c r="R64" s="35">
        <f>Wildson!U25</f>
        <v>418.9</v>
      </c>
      <c r="S64" s="35">
        <f>Wildson!AE25</f>
        <v>0</v>
      </c>
      <c r="T64" s="36">
        <f>Wildson!AN25</f>
        <v>0</v>
      </c>
      <c r="V64" s="38" t="s">
        <v>34</v>
      </c>
      <c r="W64" s="46">
        <f>Mizael!H20</f>
        <v>2515</v>
      </c>
      <c r="X64" s="43">
        <f t="shared" si="15"/>
        <v>2485</v>
      </c>
      <c r="Y64" s="35">
        <f>Mizael!U21</f>
        <v>487.2</v>
      </c>
      <c r="Z64" s="35">
        <f>Mizael!AE21</f>
        <v>0</v>
      </c>
      <c r="AA64" s="36">
        <f>Mizael!AN21</f>
        <v>0</v>
      </c>
    </row>
    <row r="65" spans="1:27" x14ac:dyDescent="0.25">
      <c r="A65" s="38" t="s">
        <v>35</v>
      </c>
      <c r="B65" s="46">
        <f>Chris!H23</f>
        <v>0</v>
      </c>
      <c r="C65" s="43">
        <f t="shared" si="12"/>
        <v>5000</v>
      </c>
      <c r="D65" s="35">
        <f>Chris!U24</f>
        <v>0</v>
      </c>
      <c r="E65" s="35">
        <f>Chris!AE224</f>
        <v>0</v>
      </c>
      <c r="F65" s="36">
        <f>Chris!AN24</f>
        <v>0</v>
      </c>
      <c r="H65" s="38" t="s">
        <v>35</v>
      </c>
      <c r="I65" s="46">
        <f>'Roberto-Desmob'!H23</f>
        <v>0</v>
      </c>
      <c r="J65" s="43">
        <f t="shared" si="13"/>
        <v>5000</v>
      </c>
      <c r="K65" s="35">
        <f>'Roberto-Desmob'!U24</f>
        <v>0</v>
      </c>
      <c r="L65" s="35">
        <f>'Roberto-Desmob'!AE24</f>
        <v>0</v>
      </c>
      <c r="M65" s="36">
        <f>'Roberto-Desmob'!AN24</f>
        <v>0</v>
      </c>
      <c r="O65" s="38" t="s">
        <v>35</v>
      </c>
      <c r="P65" s="46">
        <f>Wildson!H28</f>
        <v>1872</v>
      </c>
      <c r="Q65" s="43">
        <f t="shared" si="14"/>
        <v>3128</v>
      </c>
      <c r="R65" s="35">
        <f>Wildson!U29</f>
        <v>0</v>
      </c>
      <c r="S65" s="35">
        <f>Wildson!AE29</f>
        <v>0</v>
      </c>
      <c r="T65" s="36">
        <f>Wildson!AN29</f>
        <v>0</v>
      </c>
      <c r="V65" s="38" t="s">
        <v>35</v>
      </c>
      <c r="W65" s="46">
        <f>Mizael!H24</f>
        <v>2706</v>
      </c>
      <c r="X65" s="43">
        <f t="shared" si="15"/>
        <v>2294</v>
      </c>
      <c r="Y65" s="35">
        <f>Mizael!U25</f>
        <v>0</v>
      </c>
      <c r="Z65" s="35">
        <f>Mizael!AE25</f>
        <v>0</v>
      </c>
      <c r="AA65" s="36">
        <f>Mizael!AN25</f>
        <v>0</v>
      </c>
    </row>
    <row r="66" spans="1:27" x14ac:dyDescent="0.25">
      <c r="A66" s="38" t="s">
        <v>36</v>
      </c>
      <c r="B66" s="46">
        <f>Chris!H27</f>
        <v>0</v>
      </c>
      <c r="C66" s="43">
        <f t="shared" si="12"/>
        <v>5000</v>
      </c>
      <c r="D66" s="35">
        <f>Chris!U28</f>
        <v>0</v>
      </c>
      <c r="E66" s="35">
        <f>Chris!AE28</f>
        <v>0</v>
      </c>
      <c r="F66" s="36">
        <f>Chris!AN28</f>
        <v>0</v>
      </c>
      <c r="H66" s="38" t="s">
        <v>36</v>
      </c>
      <c r="I66" s="46">
        <f>'Roberto-Desmob'!H27</f>
        <v>0</v>
      </c>
      <c r="J66" s="43">
        <f t="shared" si="13"/>
        <v>5000</v>
      </c>
      <c r="K66" s="35">
        <f>'Roberto-Desmob'!U28</f>
        <v>0</v>
      </c>
      <c r="L66" s="35">
        <f>'Roberto-Desmob'!AE28</f>
        <v>0</v>
      </c>
      <c r="M66" s="36">
        <f>'Roberto-Desmob'!AN28</f>
        <v>0</v>
      </c>
      <c r="O66" s="38" t="s">
        <v>36</v>
      </c>
      <c r="P66" s="46">
        <f>Wildson!H32</f>
        <v>0</v>
      </c>
      <c r="Q66" s="43">
        <f t="shared" si="14"/>
        <v>5000</v>
      </c>
      <c r="R66" s="35">
        <f>Wildson!U33</f>
        <v>0</v>
      </c>
      <c r="S66" s="35">
        <f>Wildson!AE33</f>
        <v>0</v>
      </c>
      <c r="T66" s="36">
        <f>Wildson!AN33</f>
        <v>0</v>
      </c>
      <c r="V66" s="38" t="s">
        <v>36</v>
      </c>
      <c r="W66" s="46">
        <f>Mizael!H28</f>
        <v>0</v>
      </c>
      <c r="X66" s="43">
        <f t="shared" si="15"/>
        <v>5000</v>
      </c>
      <c r="Y66" s="35">
        <f>Mizael!U29</f>
        <v>0</v>
      </c>
      <c r="Z66" s="35">
        <f>Mizael!AE29</f>
        <v>0</v>
      </c>
      <c r="AA66" s="36">
        <f>Mizael!AN29</f>
        <v>0</v>
      </c>
    </row>
    <row r="67" spans="1:27" x14ac:dyDescent="0.25">
      <c r="A67" s="38" t="s">
        <v>37</v>
      </c>
      <c r="B67" s="46">
        <f>Chris!H31</f>
        <v>0</v>
      </c>
      <c r="C67" s="43">
        <f t="shared" si="12"/>
        <v>5000</v>
      </c>
      <c r="D67" s="35">
        <f>Chris!U32</f>
        <v>0</v>
      </c>
      <c r="E67" s="35">
        <f>Chris!AE32</f>
        <v>0</v>
      </c>
      <c r="F67" s="36">
        <f>Chris!AN32</f>
        <v>0</v>
      </c>
      <c r="H67" s="38" t="s">
        <v>37</v>
      </c>
      <c r="I67" s="46">
        <f>'Roberto-Desmob'!H31</f>
        <v>0</v>
      </c>
      <c r="J67" s="43">
        <f t="shared" si="13"/>
        <v>5000</v>
      </c>
      <c r="K67" s="35">
        <f>'Roberto-Desmob'!U32</f>
        <v>0</v>
      </c>
      <c r="L67" s="35">
        <f>'Roberto-Desmob'!AE32</f>
        <v>0</v>
      </c>
      <c r="M67" s="36">
        <f>'Roberto-Desmob'!AN32</f>
        <v>0</v>
      </c>
      <c r="O67" s="38" t="s">
        <v>37</v>
      </c>
      <c r="P67" s="46">
        <f>Wildson!H36</f>
        <v>0</v>
      </c>
      <c r="Q67" s="43">
        <f t="shared" si="14"/>
        <v>5000</v>
      </c>
      <c r="R67" s="35">
        <f>Wildson!U37</f>
        <v>0</v>
      </c>
      <c r="S67" s="35">
        <f>Wildson!AE37</f>
        <v>0</v>
      </c>
      <c r="T67" s="36">
        <f>Wildson!AN37</f>
        <v>0</v>
      </c>
      <c r="V67" s="38" t="s">
        <v>37</v>
      </c>
      <c r="W67" s="46">
        <f>Mizael!H32</f>
        <v>0</v>
      </c>
      <c r="X67" s="43">
        <f t="shared" si="15"/>
        <v>5000</v>
      </c>
      <c r="Y67" s="35">
        <f>Mizael!U33</f>
        <v>0</v>
      </c>
      <c r="Z67" s="35">
        <f>Mizael!AE33</f>
        <v>0</v>
      </c>
      <c r="AA67" s="36">
        <f>Mizael!AN33</f>
        <v>0</v>
      </c>
    </row>
    <row r="68" spans="1:27" x14ac:dyDescent="0.25">
      <c r="A68" s="38" t="s">
        <v>38</v>
      </c>
      <c r="B68" s="46">
        <f>Chris!H35</f>
        <v>0</v>
      </c>
      <c r="C68" s="43">
        <f t="shared" si="12"/>
        <v>5000</v>
      </c>
      <c r="D68" s="35">
        <f>Chris!U36</f>
        <v>0</v>
      </c>
      <c r="E68" s="35">
        <f>Chris!AE36</f>
        <v>0</v>
      </c>
      <c r="F68" s="36">
        <f>Chris!AN36</f>
        <v>0</v>
      </c>
      <c r="H68" s="38" t="s">
        <v>38</v>
      </c>
      <c r="I68" s="46">
        <f>'Roberto-Desmob'!H35</f>
        <v>0</v>
      </c>
      <c r="J68" s="43">
        <f t="shared" si="13"/>
        <v>5000</v>
      </c>
      <c r="K68" s="35">
        <f>'Roberto-Desmob'!U36</f>
        <v>0</v>
      </c>
      <c r="L68" s="35">
        <f>'Roberto-Desmob'!AE36</f>
        <v>0</v>
      </c>
      <c r="M68" s="36">
        <f>'Roberto-Desmob'!AN36</f>
        <v>0</v>
      </c>
      <c r="O68" s="38" t="s">
        <v>38</v>
      </c>
      <c r="P68" s="46">
        <f>Wildson!H40</f>
        <v>0</v>
      </c>
      <c r="Q68" s="43">
        <f t="shared" si="14"/>
        <v>5000</v>
      </c>
      <c r="R68" s="35">
        <f>Wildson!U41</f>
        <v>0</v>
      </c>
      <c r="S68" s="35">
        <f>Wildson!AE41</f>
        <v>0</v>
      </c>
      <c r="T68" s="36">
        <f>Wildson!AN41</f>
        <v>0</v>
      </c>
      <c r="V68" s="38" t="s">
        <v>38</v>
      </c>
      <c r="W68" s="46">
        <f>Mizael!H36</f>
        <v>0</v>
      </c>
      <c r="X68" s="43">
        <f t="shared" si="15"/>
        <v>5000</v>
      </c>
      <c r="Y68" s="35">
        <f>Mizael!U37</f>
        <v>0</v>
      </c>
      <c r="Z68" s="35">
        <f>Mizael!AE37</f>
        <v>0</v>
      </c>
      <c r="AA68" s="36">
        <f>Mizael!AN37</f>
        <v>0</v>
      </c>
    </row>
    <row r="69" spans="1:27" x14ac:dyDescent="0.25">
      <c r="A69" s="38" t="s">
        <v>39</v>
      </c>
      <c r="B69" s="46">
        <f>Chris!H39</f>
        <v>0</v>
      </c>
      <c r="C69" s="43">
        <f t="shared" si="12"/>
        <v>5000</v>
      </c>
      <c r="D69" s="35">
        <f>Chris!U40</f>
        <v>0</v>
      </c>
      <c r="E69" s="35">
        <f>Chris!AE40</f>
        <v>0</v>
      </c>
      <c r="F69" s="36">
        <f>Chris!AN400</f>
        <v>0</v>
      </c>
      <c r="H69" s="38" t="s">
        <v>39</v>
      </c>
      <c r="I69" s="46">
        <f>'Roberto-Desmob'!H39</f>
        <v>0</v>
      </c>
      <c r="J69" s="43">
        <f t="shared" si="13"/>
        <v>5000</v>
      </c>
      <c r="K69" s="35">
        <f>'Roberto-Desmob'!U40</f>
        <v>0</v>
      </c>
      <c r="L69" s="35">
        <f>'Roberto-Desmob'!AE40</f>
        <v>0</v>
      </c>
      <c r="M69" s="36">
        <f>'Roberto-Desmob'!AN40</f>
        <v>0</v>
      </c>
      <c r="O69" s="38" t="s">
        <v>39</v>
      </c>
      <c r="P69" s="46">
        <f>Wildson!H44</f>
        <v>0</v>
      </c>
      <c r="Q69" s="43">
        <f t="shared" si="14"/>
        <v>5000</v>
      </c>
      <c r="R69" s="35">
        <f>Wildson!U45</f>
        <v>0</v>
      </c>
      <c r="S69" s="35">
        <f>Wildson!AE45</f>
        <v>0</v>
      </c>
      <c r="T69" s="36">
        <f>Wildson!AN45</f>
        <v>0</v>
      </c>
      <c r="V69" s="38" t="s">
        <v>39</v>
      </c>
      <c r="W69" s="46">
        <f>Mizael!H40</f>
        <v>0</v>
      </c>
      <c r="X69" s="43">
        <f t="shared" si="15"/>
        <v>5000</v>
      </c>
      <c r="Y69" s="35">
        <f>Mizael!U41</f>
        <v>0</v>
      </c>
      <c r="Z69" s="35">
        <f>Mizael!AE41</f>
        <v>0</v>
      </c>
      <c r="AA69" s="36">
        <f>Mizael!AN41</f>
        <v>0</v>
      </c>
    </row>
    <row r="70" spans="1:27" x14ac:dyDescent="0.25">
      <c r="A70" s="38" t="s">
        <v>40</v>
      </c>
      <c r="B70" s="46">
        <f>Chris!H43</f>
        <v>708</v>
      </c>
      <c r="C70" s="43">
        <f t="shared" si="12"/>
        <v>4292</v>
      </c>
      <c r="D70" s="35">
        <f>Chris!U44</f>
        <v>377.78</v>
      </c>
      <c r="E70" s="35">
        <f>Chris!AE44</f>
        <v>0</v>
      </c>
      <c r="F70" s="36">
        <f>Chris!AN44</f>
        <v>0</v>
      </c>
      <c r="H70" s="38" t="s">
        <v>40</v>
      </c>
      <c r="I70" s="46">
        <f>'Roberto-Desmob'!H43</f>
        <v>0</v>
      </c>
      <c r="J70" s="43">
        <f t="shared" si="13"/>
        <v>5000</v>
      </c>
      <c r="K70" s="35">
        <f>'Roberto-Desmob'!U44</f>
        <v>0</v>
      </c>
      <c r="L70" s="35">
        <f>'Roberto-Desmob'!AE44</f>
        <v>0</v>
      </c>
      <c r="M70" s="36">
        <f>'Roberto-Desmob'!AN44</f>
        <v>0</v>
      </c>
      <c r="O70" s="38" t="s">
        <v>40</v>
      </c>
      <c r="P70" s="46">
        <f>Wildson!H48</f>
        <v>0</v>
      </c>
      <c r="Q70" s="43">
        <f t="shared" si="14"/>
        <v>5000</v>
      </c>
      <c r="R70" s="35">
        <f>Wildson!U49</f>
        <v>0</v>
      </c>
      <c r="S70" s="35">
        <f>Wildson!AE49</f>
        <v>0</v>
      </c>
      <c r="T70" s="36">
        <f>Wildson!AN49</f>
        <v>0</v>
      </c>
      <c r="V70" s="38" t="s">
        <v>40</v>
      </c>
      <c r="W70" s="46">
        <f>Mizael!H44</f>
        <v>0</v>
      </c>
      <c r="X70" s="43">
        <f t="shared" si="15"/>
        <v>5000</v>
      </c>
      <c r="Y70" s="35">
        <f>Mizael!U45</f>
        <v>0</v>
      </c>
      <c r="Z70" s="35">
        <f>Mizael!AE45</f>
        <v>0</v>
      </c>
      <c r="AA70" s="36">
        <f>Mizael!AN45</f>
        <v>0</v>
      </c>
    </row>
    <row r="71" spans="1:27" x14ac:dyDescent="0.25">
      <c r="A71" s="38" t="s">
        <v>41</v>
      </c>
      <c r="B71" s="46">
        <f>Chris!H47</f>
        <v>2062</v>
      </c>
      <c r="C71" s="43">
        <f t="shared" si="12"/>
        <v>2938</v>
      </c>
      <c r="D71" s="35">
        <f>Chris!U48</f>
        <v>1165.4699999999998</v>
      </c>
      <c r="E71" s="35">
        <f>Chris!AE48</f>
        <v>0</v>
      </c>
      <c r="F71" s="36">
        <f>Chris!AN48</f>
        <v>0</v>
      </c>
      <c r="H71" s="38" t="s">
        <v>41</v>
      </c>
      <c r="I71" s="46">
        <f>'Roberto-Desmob'!H47</f>
        <v>2543</v>
      </c>
      <c r="J71" s="43">
        <f t="shared" si="13"/>
        <v>2457</v>
      </c>
      <c r="K71" s="35">
        <f>'Roberto-Desmob'!U48</f>
        <v>1651.28</v>
      </c>
      <c r="L71" s="35">
        <f>'Roberto-Desmob'!AE48</f>
        <v>0</v>
      </c>
      <c r="M71" s="36">
        <f>'Roberto-Desmob'!AN48</f>
        <v>0</v>
      </c>
      <c r="O71" s="38" t="s">
        <v>41</v>
      </c>
      <c r="P71" s="46">
        <f>Wildson!H52</f>
        <v>0</v>
      </c>
      <c r="Q71" s="43">
        <f t="shared" si="14"/>
        <v>5000</v>
      </c>
      <c r="R71" s="35">
        <f>Wildson!U53</f>
        <v>0</v>
      </c>
      <c r="S71" s="35">
        <f>Wildson!AE53</f>
        <v>0</v>
      </c>
      <c r="T71" s="36">
        <f>Wildson!AN53</f>
        <v>0</v>
      </c>
      <c r="V71" s="38" t="s">
        <v>41</v>
      </c>
      <c r="W71" s="46">
        <f>Mizael!H48</f>
        <v>0</v>
      </c>
      <c r="X71" s="43">
        <f t="shared" si="15"/>
        <v>5000</v>
      </c>
      <c r="Y71" s="35">
        <f>Mizael!U49</f>
        <v>0</v>
      </c>
      <c r="Z71" s="35">
        <f>Mizael!AE49</f>
        <v>0</v>
      </c>
      <c r="AA71" s="36">
        <f>Mizael!AN49</f>
        <v>0</v>
      </c>
    </row>
    <row r="72" spans="1:27" ht="15.75" thickBot="1" x14ac:dyDescent="0.3">
      <c r="A72" s="39" t="s">
        <v>42</v>
      </c>
      <c r="B72" s="47">
        <f>Chris!H51</f>
        <v>2349</v>
      </c>
      <c r="C72" s="44">
        <f t="shared" si="12"/>
        <v>2651</v>
      </c>
      <c r="D72" s="11">
        <f>Chris!U52</f>
        <v>1072.6500000000001</v>
      </c>
      <c r="E72" s="11">
        <f>Chris!AE52</f>
        <v>0</v>
      </c>
      <c r="F72" s="12">
        <f>Chris!AN52</f>
        <v>0</v>
      </c>
      <c r="H72" s="39" t="s">
        <v>42</v>
      </c>
      <c r="I72" s="47">
        <f>'Roberto-Desmob'!H51</f>
        <v>2819</v>
      </c>
      <c r="J72" s="44">
        <f t="shared" si="13"/>
        <v>2181</v>
      </c>
      <c r="K72" s="11">
        <f>'Roberto-Desmob'!U52</f>
        <v>632.53</v>
      </c>
      <c r="L72" s="11">
        <f>'Roberto-Desmob'!AE52</f>
        <v>0</v>
      </c>
      <c r="M72" s="12">
        <f>'Roberto-Desmob'!AN52</f>
        <v>0</v>
      </c>
      <c r="O72" s="39" t="s">
        <v>42</v>
      </c>
      <c r="P72" s="47">
        <f>Wildson!H56</f>
        <v>0</v>
      </c>
      <c r="Q72" s="44">
        <f t="shared" si="14"/>
        <v>5000</v>
      </c>
      <c r="R72" s="11">
        <f>Wildson!U57</f>
        <v>0</v>
      </c>
      <c r="S72" s="11">
        <f>Wildson!AE57</f>
        <v>0</v>
      </c>
      <c r="T72" s="12">
        <f>Wildson!AN57</f>
        <v>0</v>
      </c>
      <c r="V72" s="39" t="s">
        <v>42</v>
      </c>
      <c r="W72" s="47">
        <f>Mizael!H52</f>
        <v>0</v>
      </c>
      <c r="X72" s="44">
        <f t="shared" si="15"/>
        <v>5000</v>
      </c>
      <c r="Y72" s="11">
        <f>Mizael!U53</f>
        <v>0</v>
      </c>
      <c r="Z72" s="11">
        <f>Mizael!AE53</f>
        <v>0</v>
      </c>
      <c r="AA72" s="12">
        <f>Mizael!AN53</f>
        <v>0</v>
      </c>
    </row>
    <row r="73" spans="1:27" ht="15.75" thickBot="1" x14ac:dyDescent="0.3"/>
    <row r="74" spans="1:27" ht="15.75" thickBot="1" x14ac:dyDescent="0.3">
      <c r="A74" s="3" t="s">
        <v>23</v>
      </c>
      <c r="B74" s="52">
        <f>SUM(B61:B72)</f>
        <v>5119</v>
      </c>
      <c r="C74" s="51"/>
      <c r="D74" s="50">
        <f>SUM(D61:D72)</f>
        <v>2615.8999999999996</v>
      </c>
      <c r="E74" s="49">
        <f>SUM(E61:E72)</f>
        <v>0</v>
      </c>
      <c r="F74" s="48">
        <f>SUM(F61:F72)</f>
        <v>0</v>
      </c>
      <c r="H74" s="3" t="s">
        <v>23</v>
      </c>
      <c r="I74" s="52">
        <f>SUM(I61:I72)</f>
        <v>5362</v>
      </c>
      <c r="J74" s="51"/>
      <c r="K74" s="50">
        <f>SUM(K61:K72)</f>
        <v>2283.81</v>
      </c>
      <c r="L74" s="49">
        <f>SUM(L61:L72)</f>
        <v>0</v>
      </c>
      <c r="M74" s="48">
        <f>SUM(M61:M72)</f>
        <v>0</v>
      </c>
      <c r="O74" s="3" t="s">
        <v>23</v>
      </c>
      <c r="P74" s="52">
        <f>SUM(P61:P72)</f>
        <v>7538</v>
      </c>
      <c r="Q74" s="51"/>
      <c r="R74" s="50">
        <f>SUM(R61:R72)</f>
        <v>1699.7199999999998</v>
      </c>
      <c r="S74" s="49">
        <f>SUM(S61:S72)</f>
        <v>0</v>
      </c>
      <c r="T74" s="48">
        <f>SUM(T61:T72)</f>
        <v>0</v>
      </c>
      <c r="V74" s="3" t="s">
        <v>23</v>
      </c>
      <c r="W74" s="52">
        <f>SUM(W61:W72)</f>
        <v>10777</v>
      </c>
      <c r="X74" s="51"/>
      <c r="Y74" s="50">
        <f>SUM(Y61:Y72)</f>
        <v>3163.79</v>
      </c>
      <c r="Z74" s="49">
        <f>SUM(Z61:Z72)</f>
        <v>0</v>
      </c>
      <c r="AA74" s="48">
        <f>SUM(AA61:AA72)</f>
        <v>0</v>
      </c>
    </row>
    <row r="75" spans="1:27" ht="15.75" thickBot="1" x14ac:dyDescent="0.3">
      <c r="A75" s="3" t="s">
        <v>44</v>
      </c>
      <c r="B75" s="23">
        <f>SUM(60000-B74)</f>
        <v>54881</v>
      </c>
      <c r="H75" s="3" t="s">
        <v>44</v>
      </c>
      <c r="I75" s="23">
        <f>SUM(60000-I74)</f>
        <v>54638</v>
      </c>
      <c r="O75" s="3" t="s">
        <v>44</v>
      </c>
      <c r="P75" s="23">
        <f>SUM(60000-P74)</f>
        <v>52462</v>
      </c>
      <c r="V75" s="3" t="s">
        <v>44</v>
      </c>
      <c r="W75" s="23">
        <f>SUM(60000-W74)</f>
        <v>49223</v>
      </c>
    </row>
    <row r="78" spans="1:27" ht="15.75" thickBot="1" x14ac:dyDescent="0.3">
      <c r="B78" s="103" t="s">
        <v>61</v>
      </c>
      <c r="C78" s="103"/>
      <c r="D78" s="103"/>
      <c r="E78" s="103"/>
      <c r="F78" s="103"/>
      <c r="I78" s="103" t="s">
        <v>62</v>
      </c>
      <c r="J78" s="103"/>
      <c r="K78" s="103"/>
      <c r="L78" s="103"/>
      <c r="M78" s="103"/>
      <c r="P78" s="103" t="s">
        <v>63</v>
      </c>
      <c r="Q78" s="103"/>
      <c r="R78" s="103"/>
      <c r="S78" s="103"/>
      <c r="T78" s="103"/>
      <c r="W78" s="103" t="s">
        <v>64</v>
      </c>
      <c r="X78" s="103"/>
      <c r="Y78" s="103"/>
      <c r="Z78" s="103"/>
      <c r="AA78" s="103"/>
    </row>
    <row r="79" spans="1:27" ht="15.75" thickBot="1" x14ac:dyDescent="0.3">
      <c r="B79" s="22" t="s">
        <v>43</v>
      </c>
      <c r="C79" s="33" t="s">
        <v>30</v>
      </c>
      <c r="D79" s="23" t="s">
        <v>26</v>
      </c>
      <c r="E79" s="23" t="s">
        <v>25</v>
      </c>
      <c r="F79" s="25" t="s">
        <v>27</v>
      </c>
      <c r="I79" s="22" t="s">
        <v>43</v>
      </c>
      <c r="J79" s="33" t="s">
        <v>30</v>
      </c>
      <c r="K79" s="23" t="s">
        <v>26</v>
      </c>
      <c r="L79" s="23" t="s">
        <v>25</v>
      </c>
      <c r="M79" s="25" t="s">
        <v>27</v>
      </c>
      <c r="P79" s="22" t="s">
        <v>43</v>
      </c>
      <c r="Q79" s="33" t="s">
        <v>30</v>
      </c>
      <c r="R79" s="23" t="s">
        <v>26</v>
      </c>
      <c r="S79" s="23" t="s">
        <v>25</v>
      </c>
      <c r="T79" s="25" t="s">
        <v>27</v>
      </c>
      <c r="W79" s="22" t="s">
        <v>43</v>
      </c>
      <c r="X79" s="33" t="s">
        <v>30</v>
      </c>
      <c r="Y79" s="23" t="s">
        <v>26</v>
      </c>
      <c r="Z79" s="23" t="s">
        <v>25</v>
      </c>
      <c r="AA79" s="25" t="s">
        <v>27</v>
      </c>
    </row>
    <row r="80" spans="1:27" x14ac:dyDescent="0.25">
      <c r="A80" s="37" t="s">
        <v>31</v>
      </c>
      <c r="B80" s="58"/>
      <c r="C80" s="59"/>
      <c r="D80" s="60"/>
      <c r="E80" s="60"/>
      <c r="F80" s="61"/>
      <c r="H80" s="37" t="s">
        <v>31</v>
      </c>
      <c r="I80" s="58"/>
      <c r="J80" s="59"/>
      <c r="K80" s="60"/>
      <c r="L80" s="60"/>
      <c r="M80" s="61"/>
      <c r="O80" s="37" t="s">
        <v>31</v>
      </c>
      <c r="P80" s="58"/>
      <c r="Q80" s="59"/>
      <c r="R80" s="60"/>
      <c r="S80" s="60"/>
      <c r="T80" s="61"/>
      <c r="V80" s="37" t="s">
        <v>31</v>
      </c>
      <c r="W80" s="58"/>
      <c r="X80" s="59"/>
      <c r="Y80" s="60"/>
      <c r="Z80" s="60"/>
      <c r="AA80" s="61"/>
    </row>
    <row r="81" spans="1:27" x14ac:dyDescent="0.25">
      <c r="A81" s="38" t="s">
        <v>32</v>
      </c>
      <c r="B81" s="46">
        <f>Rigoberto!H15</f>
        <v>2279</v>
      </c>
      <c r="C81" s="43">
        <f>SUM(5000-B81)</f>
        <v>2721</v>
      </c>
      <c r="D81" s="35">
        <f>Rigoberto!U16</f>
        <v>1160.5899999999999</v>
      </c>
      <c r="E81" s="35">
        <f>Rigoberto!AE16</f>
        <v>0</v>
      </c>
      <c r="F81" s="36">
        <f>Rigoberto!AN16</f>
        <v>0</v>
      </c>
      <c r="H81" s="38" t="s">
        <v>32</v>
      </c>
      <c r="I81" s="46">
        <f>'Sávio-Desmob'!H11</f>
        <v>1779</v>
      </c>
      <c r="J81" s="43">
        <f>SUM(5000-I81)</f>
        <v>3221</v>
      </c>
      <c r="K81" s="35">
        <f>'Sávio-Desmob'!U12</f>
        <v>367.68</v>
      </c>
      <c r="L81" s="35">
        <f>'Sávio-Desmob'!AE12</f>
        <v>0</v>
      </c>
      <c r="M81" s="36">
        <f>'Sávio-Desmob'!AE12</f>
        <v>0</v>
      </c>
      <c r="O81" s="38" t="s">
        <v>32</v>
      </c>
      <c r="P81" s="46">
        <f>Eduardo!H11</f>
        <v>0</v>
      </c>
      <c r="Q81" s="43">
        <f>SUM(5000-P81)</f>
        <v>5000</v>
      </c>
      <c r="R81" s="35">
        <f>Eduardo!U12</f>
        <v>0</v>
      </c>
      <c r="S81" s="35">
        <f>Eduardo!AE12</f>
        <v>0</v>
      </c>
      <c r="T81" s="36">
        <f>Eduardo!AE12</f>
        <v>0</v>
      </c>
      <c r="V81" s="38" t="s">
        <v>32</v>
      </c>
      <c r="W81" s="46">
        <f>Ademir!H11</f>
        <v>0</v>
      </c>
      <c r="X81" s="43">
        <f>SUM(5000-W81)</f>
        <v>5000</v>
      </c>
      <c r="Y81" s="35">
        <f>Ademir!U12</f>
        <v>0</v>
      </c>
      <c r="Z81" s="35">
        <f>Ademir!AE12</f>
        <v>0</v>
      </c>
      <c r="AA81" s="36">
        <f>Ademir!AE12</f>
        <v>0</v>
      </c>
    </row>
    <row r="82" spans="1:27" x14ac:dyDescent="0.25">
      <c r="A82" s="38" t="s">
        <v>33</v>
      </c>
      <c r="B82" s="46">
        <f>Rigoberto!H19</f>
        <v>3076</v>
      </c>
      <c r="C82" s="43">
        <f t="shared" ref="C82:C91" si="16">SUM(5000-B82)</f>
        <v>1924</v>
      </c>
      <c r="D82" s="35">
        <f>Rigoberto!U20</f>
        <v>147.19999999999999</v>
      </c>
      <c r="E82" s="35">
        <f>Rigoberto!AE20</f>
        <v>0</v>
      </c>
      <c r="F82" s="36">
        <f>Rigoberto!AN20</f>
        <v>0</v>
      </c>
      <c r="H82" s="38" t="s">
        <v>33</v>
      </c>
      <c r="I82" s="46">
        <f>'Sávio-Desmob'!H15</f>
        <v>3802</v>
      </c>
      <c r="J82" s="43">
        <f t="shared" ref="J82:J91" si="17">SUM(5000-I82)</f>
        <v>1198</v>
      </c>
      <c r="K82" s="35">
        <f>'Sávio-Desmob'!U16</f>
        <v>0</v>
      </c>
      <c r="L82" s="35">
        <f>'Sávio-Desmob'!AE16</f>
        <v>0</v>
      </c>
      <c r="M82" s="36">
        <f>'Sávio-Desmob'!AE16</f>
        <v>0</v>
      </c>
      <c r="O82" s="38" t="s">
        <v>33</v>
      </c>
      <c r="P82" s="46">
        <f>Eduardo!H15</f>
        <v>0</v>
      </c>
      <c r="Q82" s="43">
        <f t="shared" ref="Q82:Q91" si="18">SUM(5000-P82)</f>
        <v>5000</v>
      </c>
      <c r="R82" s="35">
        <f>Eduardo!U16</f>
        <v>0</v>
      </c>
      <c r="S82" s="35">
        <f>Eduardo!AE16</f>
        <v>0</v>
      </c>
      <c r="T82" s="36">
        <f>Eduardo!AE16</f>
        <v>0</v>
      </c>
      <c r="V82" s="38" t="s">
        <v>33</v>
      </c>
      <c r="W82" s="46">
        <f>Ademir!H15</f>
        <v>0</v>
      </c>
      <c r="X82" s="43">
        <f t="shared" ref="X82:X91" si="19">SUM(5000-W82)</f>
        <v>5000</v>
      </c>
      <c r="Y82" s="35">
        <f>Ademir!U16</f>
        <v>0</v>
      </c>
      <c r="Z82" s="35">
        <f>Ademir!AE16</f>
        <v>0</v>
      </c>
      <c r="AA82" s="36">
        <f>Ademir!AE16</f>
        <v>0</v>
      </c>
    </row>
    <row r="83" spans="1:27" x14ac:dyDescent="0.25">
      <c r="A83" s="38" t="s">
        <v>34</v>
      </c>
      <c r="B83" s="46">
        <f>Rigoberto!H23</f>
        <v>2608</v>
      </c>
      <c r="C83" s="43">
        <f t="shared" si="16"/>
        <v>2392</v>
      </c>
      <c r="D83" s="35">
        <f>Rigoberto!U24</f>
        <v>501.85</v>
      </c>
      <c r="E83" s="35">
        <f>Rigoberto!AE24</f>
        <v>0</v>
      </c>
      <c r="F83" s="36">
        <f>Rigoberto!AN24</f>
        <v>0</v>
      </c>
      <c r="H83" s="38" t="s">
        <v>34</v>
      </c>
      <c r="I83" s="46">
        <f>'Sávio-Desmob'!H19</f>
        <v>2990</v>
      </c>
      <c r="J83" s="43">
        <f t="shared" si="17"/>
        <v>2010</v>
      </c>
      <c r="K83" s="35">
        <f>'Sávio-Desmob'!U20</f>
        <v>968.27</v>
      </c>
      <c r="L83" s="35">
        <f>'Sávio-Desmob'!AE120</f>
        <v>0</v>
      </c>
      <c r="M83" s="36">
        <f>'Sávio-Desmob'!AE20</f>
        <v>0</v>
      </c>
      <c r="O83" s="38" t="s">
        <v>34</v>
      </c>
      <c r="P83" s="46">
        <f>Eduardo!H19</f>
        <v>46732</v>
      </c>
      <c r="Q83" s="43">
        <f t="shared" si="18"/>
        <v>-41732</v>
      </c>
      <c r="R83" s="35">
        <f>Eduardo!U20</f>
        <v>239</v>
      </c>
      <c r="S83" s="35">
        <f>Eduardo!AE20</f>
        <v>0</v>
      </c>
      <c r="T83" s="36">
        <f>Eduardo!AE20</f>
        <v>0</v>
      </c>
      <c r="V83" s="38" t="s">
        <v>34</v>
      </c>
      <c r="W83" s="46">
        <f>Ademir!H19</f>
        <v>346</v>
      </c>
      <c r="X83" s="43">
        <f t="shared" si="19"/>
        <v>4654</v>
      </c>
      <c r="Y83" s="35">
        <f>Ademir!U20</f>
        <v>404.38</v>
      </c>
      <c r="Z83" s="35">
        <f>Ademir!AE20</f>
        <v>0</v>
      </c>
      <c r="AA83" s="36">
        <f>Ademir!AE20</f>
        <v>0</v>
      </c>
    </row>
    <row r="84" spans="1:27" x14ac:dyDescent="0.25">
      <c r="A84" s="38" t="s">
        <v>35</v>
      </c>
      <c r="B84" s="46">
        <f>Rigoberto!H27</f>
        <v>1645</v>
      </c>
      <c r="C84" s="43">
        <f t="shared" si="16"/>
        <v>3355</v>
      </c>
      <c r="D84" s="35">
        <f>Rigoberto!U28</f>
        <v>0</v>
      </c>
      <c r="E84" s="35">
        <f>Rigoberto!AE28</f>
        <v>0</v>
      </c>
      <c r="F84" s="36">
        <f>Rigoberto!AN28</f>
        <v>0</v>
      </c>
      <c r="H84" s="38" t="s">
        <v>35</v>
      </c>
      <c r="I84" s="46">
        <f>'Sávio-Desmob'!H23</f>
        <v>3453</v>
      </c>
      <c r="J84" s="43">
        <f t="shared" si="17"/>
        <v>1547</v>
      </c>
      <c r="K84" s="35">
        <f>'Sávio-Desmob'!U24</f>
        <v>0</v>
      </c>
      <c r="L84" s="35">
        <f>'Sávio-Desmob'!AE24</f>
        <v>0</v>
      </c>
      <c r="M84" s="36">
        <f>'Sávio-Desmob'!AE24</f>
        <v>0</v>
      </c>
      <c r="O84" s="38" t="s">
        <v>35</v>
      </c>
      <c r="P84" s="46">
        <f>Eduardo!H23</f>
        <v>2144</v>
      </c>
      <c r="Q84" s="43">
        <f t="shared" si="18"/>
        <v>2856</v>
      </c>
      <c r="R84" s="35">
        <f>Eduardo!U24</f>
        <v>0</v>
      </c>
      <c r="S84" s="35">
        <f>Eduardo!AE24</f>
        <v>0</v>
      </c>
      <c r="T84" s="36">
        <f>Eduardo!AE24</f>
        <v>0</v>
      </c>
      <c r="V84" s="38" t="s">
        <v>35</v>
      </c>
      <c r="W84" s="46">
        <f>Ademir!H27</f>
        <v>2320</v>
      </c>
      <c r="X84" s="43">
        <f t="shared" si="19"/>
        <v>2680</v>
      </c>
      <c r="Y84" s="35">
        <f>Ademir!U28</f>
        <v>0</v>
      </c>
      <c r="Z84" s="35">
        <f>Ademir!AE28</f>
        <v>0</v>
      </c>
      <c r="AA84" s="36">
        <f>Ademir!AE28</f>
        <v>0</v>
      </c>
    </row>
    <row r="85" spans="1:27" x14ac:dyDescent="0.25">
      <c r="A85" s="38" t="s">
        <v>36</v>
      </c>
      <c r="B85" s="46">
        <f>Rigoberto!H31</f>
        <v>0</v>
      </c>
      <c r="C85" s="43">
        <f t="shared" si="16"/>
        <v>5000</v>
      </c>
      <c r="D85" s="35">
        <f>Rigoberto!U32</f>
        <v>0</v>
      </c>
      <c r="E85" s="35">
        <f>Rigoberto!AE32</f>
        <v>0</v>
      </c>
      <c r="F85" s="36">
        <f>Rigoberto!AN32</f>
        <v>0</v>
      </c>
      <c r="H85" s="38" t="s">
        <v>36</v>
      </c>
      <c r="I85" s="46">
        <f>'Sávio-Desmob'!H27</f>
        <v>0</v>
      </c>
      <c r="J85" s="43">
        <f t="shared" si="17"/>
        <v>5000</v>
      </c>
      <c r="K85" s="35">
        <f>'Sávio-Desmob'!U28</f>
        <v>0</v>
      </c>
      <c r="L85" s="35">
        <f>'Sávio-Desmob'!AE28</f>
        <v>0</v>
      </c>
      <c r="M85" s="36">
        <f>'Sávio-Desmob'!AE28</f>
        <v>0</v>
      </c>
      <c r="O85" s="38" t="s">
        <v>36</v>
      </c>
      <c r="P85" s="46">
        <f>Eduardo!H27</f>
        <v>0</v>
      </c>
      <c r="Q85" s="43">
        <f t="shared" si="18"/>
        <v>5000</v>
      </c>
      <c r="R85" s="35">
        <f>Eduardo!U28</f>
        <v>0</v>
      </c>
      <c r="S85" s="35">
        <f>Eduardo!AE28</f>
        <v>0</v>
      </c>
      <c r="T85" s="36">
        <f>Eduardo!AE28</f>
        <v>0</v>
      </c>
      <c r="V85" s="38" t="s">
        <v>36</v>
      </c>
      <c r="W85" s="46">
        <f>Ademir!H31</f>
        <v>0</v>
      </c>
      <c r="X85" s="43">
        <f t="shared" si="19"/>
        <v>5000</v>
      </c>
      <c r="Y85" s="35">
        <f>Ademir!U32</f>
        <v>0</v>
      </c>
      <c r="Z85" s="35">
        <f>Ademir!AE32</f>
        <v>0</v>
      </c>
      <c r="AA85" s="36">
        <f>Ademir!AE32</f>
        <v>0</v>
      </c>
    </row>
    <row r="86" spans="1:27" x14ac:dyDescent="0.25">
      <c r="A86" s="38" t="s">
        <v>37</v>
      </c>
      <c r="B86" s="46">
        <f>Rigoberto!H35</f>
        <v>0</v>
      </c>
      <c r="C86" s="43">
        <f t="shared" si="16"/>
        <v>5000</v>
      </c>
      <c r="D86" s="35">
        <f>Rigoberto!U36</f>
        <v>0</v>
      </c>
      <c r="E86" s="35">
        <f>Rigoberto!AE36</f>
        <v>0</v>
      </c>
      <c r="F86" s="36">
        <f>Rigoberto!AN36</f>
        <v>0</v>
      </c>
      <c r="H86" s="38" t="s">
        <v>37</v>
      </c>
      <c r="I86" s="46">
        <f>'Sávio-Desmob'!H31</f>
        <v>0</v>
      </c>
      <c r="J86" s="43">
        <f t="shared" si="17"/>
        <v>5000</v>
      </c>
      <c r="K86" s="35">
        <f>'Sávio-Desmob'!U32</f>
        <v>0</v>
      </c>
      <c r="L86" s="35">
        <f>'Sávio-Desmob'!AE32</f>
        <v>0</v>
      </c>
      <c r="M86" s="36">
        <f>'Sávio-Desmob'!AE32</f>
        <v>0</v>
      </c>
      <c r="O86" s="38" t="s">
        <v>37</v>
      </c>
      <c r="P86" s="46">
        <f>Eduardo!H31</f>
        <v>0</v>
      </c>
      <c r="Q86" s="43">
        <f t="shared" si="18"/>
        <v>5000</v>
      </c>
      <c r="R86" s="35">
        <f>Eduardo!U32</f>
        <v>0</v>
      </c>
      <c r="S86" s="35">
        <f>Eduardo!AE32</f>
        <v>0</v>
      </c>
      <c r="T86" s="36">
        <f>Eduardo!AE32</f>
        <v>0</v>
      </c>
      <c r="V86" s="38" t="s">
        <v>37</v>
      </c>
      <c r="W86" s="46">
        <f>Ademir!H35</f>
        <v>0</v>
      </c>
      <c r="X86" s="43">
        <f t="shared" si="19"/>
        <v>5000</v>
      </c>
      <c r="Y86" s="35">
        <f>Ademir!U36</f>
        <v>0</v>
      </c>
      <c r="Z86" s="35">
        <f>Ademir!AE36</f>
        <v>0</v>
      </c>
      <c r="AA86" s="36">
        <f>Ademir!AE36</f>
        <v>0</v>
      </c>
    </row>
    <row r="87" spans="1:27" x14ac:dyDescent="0.25">
      <c r="A87" s="38" t="s">
        <v>38</v>
      </c>
      <c r="B87" s="46">
        <f>Rigoberto!H39</f>
        <v>0</v>
      </c>
      <c r="C87" s="43">
        <f t="shared" si="16"/>
        <v>5000</v>
      </c>
      <c r="D87" s="35">
        <f>Rigoberto!U40</f>
        <v>0</v>
      </c>
      <c r="E87" s="35">
        <f>Rigoberto!AE40</f>
        <v>0</v>
      </c>
      <c r="F87" s="36">
        <f>Rigoberto!AN40</f>
        <v>0</v>
      </c>
      <c r="H87" s="38" t="s">
        <v>38</v>
      </c>
      <c r="I87" s="46">
        <f>'Sávio-Desmob'!H35</f>
        <v>0</v>
      </c>
      <c r="J87" s="43">
        <f t="shared" si="17"/>
        <v>5000</v>
      </c>
      <c r="K87" s="35">
        <f>'Sávio-Desmob'!U36</f>
        <v>0</v>
      </c>
      <c r="L87" s="35">
        <f>'Sávio-Desmob'!AE36</f>
        <v>0</v>
      </c>
      <c r="M87" s="36">
        <f>'Sávio-Desmob'!AE36</f>
        <v>0</v>
      </c>
      <c r="O87" s="38" t="s">
        <v>38</v>
      </c>
      <c r="P87" s="46">
        <f>Eduardo!H35</f>
        <v>0</v>
      </c>
      <c r="Q87" s="43">
        <f t="shared" si="18"/>
        <v>5000</v>
      </c>
      <c r="R87" s="35">
        <f>Eduardo!U36</f>
        <v>0</v>
      </c>
      <c r="S87" s="35">
        <f>Eduardo!AE36</f>
        <v>0</v>
      </c>
      <c r="T87" s="36">
        <f>Eduardo!AE36</f>
        <v>0</v>
      </c>
      <c r="V87" s="38" t="s">
        <v>38</v>
      </c>
      <c r="W87" s="46">
        <f>Ademir!H39</f>
        <v>0</v>
      </c>
      <c r="X87" s="43">
        <f t="shared" si="19"/>
        <v>5000</v>
      </c>
      <c r="Y87" s="35">
        <f>Ademir!U40</f>
        <v>0</v>
      </c>
      <c r="Z87" s="35">
        <f>Ademir!AE40</f>
        <v>0</v>
      </c>
      <c r="AA87" s="36">
        <f>Ademir!AE40</f>
        <v>0</v>
      </c>
    </row>
    <row r="88" spans="1:27" x14ac:dyDescent="0.25">
      <c r="A88" s="38" t="s">
        <v>39</v>
      </c>
      <c r="B88" s="46">
        <f>Rigoberto!H43</f>
        <v>0</v>
      </c>
      <c r="C88" s="43">
        <f t="shared" si="16"/>
        <v>5000</v>
      </c>
      <c r="D88" s="35">
        <f>Rigoberto!U44</f>
        <v>0</v>
      </c>
      <c r="E88" s="35">
        <f>Rigoberto!AE44</f>
        <v>0</v>
      </c>
      <c r="F88" s="36">
        <f>Rigoberto!AN44</f>
        <v>0</v>
      </c>
      <c r="H88" s="38" t="s">
        <v>39</v>
      </c>
      <c r="I88" s="46">
        <f>'Sávio-Desmob'!H39</f>
        <v>0</v>
      </c>
      <c r="J88" s="43">
        <f t="shared" si="17"/>
        <v>5000</v>
      </c>
      <c r="K88" s="35">
        <f>'Sávio-Desmob'!U40</f>
        <v>0</v>
      </c>
      <c r="L88" s="35">
        <f>'Sávio-Desmob'!AE40</f>
        <v>0</v>
      </c>
      <c r="M88" s="36">
        <f>'Sávio-Desmob'!AE40</f>
        <v>0</v>
      </c>
      <c r="O88" s="38" t="s">
        <v>39</v>
      </c>
      <c r="P88" s="46">
        <f>Eduardo!H39</f>
        <v>0</v>
      </c>
      <c r="Q88" s="43">
        <f t="shared" si="18"/>
        <v>5000</v>
      </c>
      <c r="R88" s="35">
        <f>Eduardo!U40</f>
        <v>0</v>
      </c>
      <c r="S88" s="35">
        <f>Eduardo!AE40</f>
        <v>0</v>
      </c>
      <c r="T88" s="36">
        <f>Eduardo!AE40</f>
        <v>0</v>
      </c>
      <c r="V88" s="38" t="s">
        <v>39</v>
      </c>
      <c r="W88" s="46">
        <f>Ademir!H43</f>
        <v>0</v>
      </c>
      <c r="X88" s="43">
        <f t="shared" si="19"/>
        <v>5000</v>
      </c>
      <c r="Y88" s="35">
        <f>Ademir!U44</f>
        <v>0</v>
      </c>
      <c r="Z88" s="35">
        <f>Ademir!AE44</f>
        <v>0</v>
      </c>
      <c r="AA88" s="36">
        <f>Ademir!AE44</f>
        <v>0</v>
      </c>
    </row>
    <row r="89" spans="1:27" x14ac:dyDescent="0.25">
      <c r="A89" s="38" t="s">
        <v>40</v>
      </c>
      <c r="B89" s="46">
        <f>Rigoberto!H47</f>
        <v>0</v>
      </c>
      <c r="C89" s="43">
        <f t="shared" si="16"/>
        <v>5000</v>
      </c>
      <c r="D89" s="35">
        <f>Rigoberto!U48</f>
        <v>0</v>
      </c>
      <c r="E89" s="35">
        <f>Rigoberto!AE48</f>
        <v>0</v>
      </c>
      <c r="F89" s="36">
        <f>Rigoberto!AN48</f>
        <v>0</v>
      </c>
      <c r="H89" s="38" t="s">
        <v>40</v>
      </c>
      <c r="I89" s="46">
        <f>'Sávio-Desmob'!H43</f>
        <v>0</v>
      </c>
      <c r="J89" s="43">
        <f t="shared" si="17"/>
        <v>5000</v>
      </c>
      <c r="K89" s="35">
        <f>'Sávio-Desmob'!U44</f>
        <v>0</v>
      </c>
      <c r="L89" s="35">
        <f>'Sávio-Desmob'!AE44</f>
        <v>0</v>
      </c>
      <c r="M89" s="36">
        <f>'Sávio-Desmob'!AE44</f>
        <v>0</v>
      </c>
      <c r="O89" s="38" t="s">
        <v>40</v>
      </c>
      <c r="P89" s="46">
        <f>Eduardo!H43</f>
        <v>0</v>
      </c>
      <c r="Q89" s="43">
        <f t="shared" si="18"/>
        <v>5000</v>
      </c>
      <c r="R89" s="35">
        <f>Eduardo!U44</f>
        <v>0</v>
      </c>
      <c r="S89" s="35">
        <f>Eduardo!AE44</f>
        <v>0</v>
      </c>
      <c r="T89" s="36">
        <f>Eduardo!AE44</f>
        <v>0</v>
      </c>
      <c r="V89" s="38" t="s">
        <v>40</v>
      </c>
      <c r="W89" s="46">
        <f>Ademir!H47</f>
        <v>0</v>
      </c>
      <c r="X89" s="43">
        <f t="shared" si="19"/>
        <v>5000</v>
      </c>
      <c r="Y89" s="35">
        <f>Ademir!U48</f>
        <v>0</v>
      </c>
      <c r="Z89" s="35">
        <f>Ademir!AE48</f>
        <v>0</v>
      </c>
      <c r="AA89" s="36">
        <f>Ademir!AE48</f>
        <v>0</v>
      </c>
    </row>
    <row r="90" spans="1:27" x14ac:dyDescent="0.25">
      <c r="A90" s="38" t="s">
        <v>41</v>
      </c>
      <c r="B90" s="46">
        <f>Rigoberto!H51</f>
        <v>0</v>
      </c>
      <c r="C90" s="43">
        <f t="shared" si="16"/>
        <v>5000</v>
      </c>
      <c r="D90" s="35">
        <f>Rigoberto!U52</f>
        <v>0</v>
      </c>
      <c r="E90" s="35">
        <f>Rigoberto!AE52</f>
        <v>0</v>
      </c>
      <c r="F90" s="36">
        <f>Rigoberto!AN52</f>
        <v>0</v>
      </c>
      <c r="H90" s="38" t="s">
        <v>41</v>
      </c>
      <c r="I90" s="46">
        <f>'Sávio-Desmob'!H47</f>
        <v>0</v>
      </c>
      <c r="J90" s="43">
        <f t="shared" si="17"/>
        <v>5000</v>
      </c>
      <c r="K90" s="35">
        <f>'Sávio-Desmob'!U48</f>
        <v>0</v>
      </c>
      <c r="L90" s="35">
        <f>'Sávio-Desmob'!AE48</f>
        <v>0</v>
      </c>
      <c r="M90" s="36">
        <f>'Sávio-Desmob'!AE48</f>
        <v>0</v>
      </c>
      <c r="O90" s="38" t="s">
        <v>41</v>
      </c>
      <c r="P90" s="46">
        <f>Eduardo!H47</f>
        <v>0</v>
      </c>
      <c r="Q90" s="43">
        <f t="shared" si="18"/>
        <v>5000</v>
      </c>
      <c r="R90" s="35">
        <f>Eduardo!U48</f>
        <v>0</v>
      </c>
      <c r="S90" s="35">
        <f>Eduardo!AE48</f>
        <v>0</v>
      </c>
      <c r="T90" s="36">
        <f>Eduardo!AE48</f>
        <v>0</v>
      </c>
      <c r="V90" s="38" t="s">
        <v>41</v>
      </c>
      <c r="W90" s="46">
        <f>Ademir!H51</f>
        <v>0</v>
      </c>
      <c r="X90" s="43">
        <f t="shared" si="19"/>
        <v>5000</v>
      </c>
      <c r="Y90" s="35">
        <f>Ademir!U52</f>
        <v>0</v>
      </c>
      <c r="Z90" s="35">
        <f>Ademir!AE52</f>
        <v>0</v>
      </c>
      <c r="AA90" s="36">
        <f>Ademir!AE52</f>
        <v>0</v>
      </c>
    </row>
    <row r="91" spans="1:27" ht="15.75" thickBot="1" x14ac:dyDescent="0.3">
      <c r="A91" s="39" t="s">
        <v>42</v>
      </c>
      <c r="B91" s="47">
        <f>Rigoberto!H55</f>
        <v>0</v>
      </c>
      <c r="C91" s="44">
        <f t="shared" si="16"/>
        <v>5000</v>
      </c>
      <c r="D91" s="11">
        <f>Rigoberto!U56</f>
        <v>0</v>
      </c>
      <c r="E91" s="11">
        <f>Rigoberto!AE56</f>
        <v>0</v>
      </c>
      <c r="F91" s="12">
        <f>Rigoberto!AN56</f>
        <v>0</v>
      </c>
      <c r="H91" s="39" t="s">
        <v>42</v>
      </c>
      <c r="I91" s="47">
        <f>'Sávio-Desmob'!H51</f>
        <v>0</v>
      </c>
      <c r="J91" s="44">
        <f t="shared" si="17"/>
        <v>5000</v>
      </c>
      <c r="K91" s="11">
        <f>'Sávio-Desmob'!U52</f>
        <v>0</v>
      </c>
      <c r="L91" s="11">
        <f>'Sávio-Desmob'!AE52</f>
        <v>0</v>
      </c>
      <c r="M91" s="12">
        <f>'Sávio-Desmob'!AE52</f>
        <v>0</v>
      </c>
      <c r="O91" s="39" t="s">
        <v>42</v>
      </c>
      <c r="P91" s="47">
        <f>Eduardo!H51</f>
        <v>0</v>
      </c>
      <c r="Q91" s="44">
        <f t="shared" si="18"/>
        <v>5000</v>
      </c>
      <c r="R91" s="11">
        <f>Eduardo!U52</f>
        <v>0</v>
      </c>
      <c r="S91" s="11">
        <f>Eduardo!AE52</f>
        <v>0</v>
      </c>
      <c r="T91" s="12">
        <f>Eduardo!AE52</f>
        <v>0</v>
      </c>
      <c r="V91" s="39" t="s">
        <v>42</v>
      </c>
      <c r="W91" s="47">
        <f>Ademir!H55</f>
        <v>0</v>
      </c>
      <c r="X91" s="44">
        <f t="shared" si="19"/>
        <v>5000</v>
      </c>
      <c r="Y91" s="11">
        <f>Ademir!U56</f>
        <v>0</v>
      </c>
      <c r="Z91" s="11">
        <f>Ademir!AE56</f>
        <v>0</v>
      </c>
      <c r="AA91" s="12">
        <f>Ademir!AE56</f>
        <v>0</v>
      </c>
    </row>
    <row r="92" spans="1:27" ht="15.75" thickBot="1" x14ac:dyDescent="0.3"/>
    <row r="93" spans="1:27" ht="15.75" thickBot="1" x14ac:dyDescent="0.3">
      <c r="A93" s="3" t="s">
        <v>23</v>
      </c>
      <c r="B93" s="52">
        <f>SUM(B80:B91)</f>
        <v>9608</v>
      </c>
      <c r="C93" s="51"/>
      <c r="D93" s="50">
        <f>SUM(D80:D91)</f>
        <v>1809.6399999999999</v>
      </c>
      <c r="E93" s="49">
        <f>SUM(E80:E91)</f>
        <v>0</v>
      </c>
      <c r="F93" s="48">
        <f>SUM(F80:F91)</f>
        <v>0</v>
      </c>
      <c r="H93" s="3" t="s">
        <v>23</v>
      </c>
      <c r="I93" s="52">
        <f>SUM(I80:I91)</f>
        <v>12024</v>
      </c>
      <c r="J93" s="51"/>
      <c r="K93" s="50">
        <f>SUM(K80:K91)</f>
        <v>1335.95</v>
      </c>
      <c r="L93" s="49">
        <f>SUM(L80:L91)</f>
        <v>0</v>
      </c>
      <c r="M93" s="48">
        <f>SUM(M80:M91)</f>
        <v>0</v>
      </c>
      <c r="O93" s="3" t="s">
        <v>23</v>
      </c>
      <c r="P93" s="52">
        <f>SUM(P80:P91)</f>
        <v>48876</v>
      </c>
      <c r="Q93" s="51"/>
      <c r="R93" s="50">
        <f>SUM(R80:R91)</f>
        <v>239</v>
      </c>
      <c r="S93" s="49">
        <f>SUM(S80:S91)</f>
        <v>0</v>
      </c>
      <c r="T93" s="48">
        <f>SUM(T80:T91)</f>
        <v>0</v>
      </c>
      <c r="V93" s="3" t="s">
        <v>23</v>
      </c>
      <c r="W93" s="52">
        <f>SUM(W80:W91)</f>
        <v>2666</v>
      </c>
      <c r="X93" s="51"/>
      <c r="Y93" s="50">
        <f>SUM(Y80:Y91)</f>
        <v>404.38</v>
      </c>
      <c r="Z93" s="49">
        <f>SUM(Z80:Z91)</f>
        <v>0</v>
      </c>
      <c r="AA93" s="48">
        <f>SUM(AA80:AA91)</f>
        <v>0</v>
      </c>
    </row>
    <row r="94" spans="1:27" ht="15.75" thickBot="1" x14ac:dyDescent="0.3">
      <c r="A94" s="3" t="s">
        <v>44</v>
      </c>
      <c r="B94" s="23">
        <f>SUM(60000-B93)</f>
        <v>50392</v>
      </c>
      <c r="H94" s="3" t="s">
        <v>44</v>
      </c>
      <c r="I94" s="23">
        <f>SUM(60000-I93)</f>
        <v>47976</v>
      </c>
      <c r="O94" s="3" t="s">
        <v>44</v>
      </c>
      <c r="P94" s="23">
        <f>SUM(60000-P93)</f>
        <v>11124</v>
      </c>
      <c r="V94" s="3" t="s">
        <v>44</v>
      </c>
      <c r="W94" s="23">
        <f>SUM(60000-W93)</f>
        <v>57334</v>
      </c>
    </row>
    <row r="96" spans="1:27" ht="15.75" thickBot="1" x14ac:dyDescent="0.3">
      <c r="B96" s="103" t="s">
        <v>65</v>
      </c>
      <c r="C96" s="103"/>
      <c r="D96" s="103"/>
      <c r="E96" s="103"/>
      <c r="F96" s="103"/>
      <c r="I96" s="103" t="s">
        <v>66</v>
      </c>
      <c r="J96" s="103"/>
      <c r="K96" s="103"/>
      <c r="L96" s="103"/>
      <c r="M96" s="103"/>
      <c r="P96" s="103" t="s">
        <v>67</v>
      </c>
      <c r="Q96" s="103"/>
      <c r="R96" s="103"/>
      <c r="S96" s="103"/>
      <c r="T96" s="103"/>
      <c r="W96" s="103" t="s">
        <v>68</v>
      </c>
      <c r="X96" s="103"/>
      <c r="Y96" s="103"/>
      <c r="Z96" s="103"/>
      <c r="AA96" s="103"/>
    </row>
    <row r="97" spans="1:27" ht="15.75" thickBot="1" x14ac:dyDescent="0.3">
      <c r="B97" s="22" t="s">
        <v>43</v>
      </c>
      <c r="C97" s="33" t="s">
        <v>30</v>
      </c>
      <c r="D97" s="23" t="s">
        <v>26</v>
      </c>
      <c r="E97" s="23" t="s">
        <v>25</v>
      </c>
      <c r="F97" s="25" t="s">
        <v>27</v>
      </c>
      <c r="I97" s="22" t="s">
        <v>43</v>
      </c>
      <c r="J97" s="33" t="s">
        <v>30</v>
      </c>
      <c r="K97" s="23" t="s">
        <v>26</v>
      </c>
      <c r="L97" s="23" t="s">
        <v>25</v>
      </c>
      <c r="M97" s="25" t="s">
        <v>27</v>
      </c>
      <c r="P97" s="22" t="s">
        <v>43</v>
      </c>
      <c r="Q97" s="33" t="s">
        <v>30</v>
      </c>
      <c r="R97" s="23" t="s">
        <v>26</v>
      </c>
      <c r="S97" s="23" t="s">
        <v>25</v>
      </c>
      <c r="T97" s="25" t="s">
        <v>27</v>
      </c>
      <c r="W97" s="22" t="s">
        <v>43</v>
      </c>
      <c r="X97" s="33" t="s">
        <v>30</v>
      </c>
      <c r="Y97" s="23" t="s">
        <v>26</v>
      </c>
      <c r="Z97" s="23" t="s">
        <v>25</v>
      </c>
      <c r="AA97" s="25" t="s">
        <v>27</v>
      </c>
    </row>
    <row r="98" spans="1:27" x14ac:dyDescent="0.25">
      <c r="A98" s="37" t="s">
        <v>31</v>
      </c>
      <c r="B98" s="58"/>
      <c r="C98" s="59"/>
      <c r="D98" s="60"/>
      <c r="E98" s="60"/>
      <c r="F98" s="61"/>
      <c r="H98" s="37" t="s">
        <v>31</v>
      </c>
      <c r="I98" s="58"/>
      <c r="J98" s="59"/>
      <c r="K98" s="60"/>
      <c r="L98" s="60"/>
      <c r="M98" s="61"/>
      <c r="O98" s="37" t="s">
        <v>31</v>
      </c>
      <c r="P98" s="58"/>
      <c r="Q98" s="59"/>
      <c r="R98" s="60"/>
      <c r="S98" s="60"/>
      <c r="T98" s="61"/>
      <c r="V98" s="37" t="s">
        <v>31</v>
      </c>
      <c r="W98" s="58"/>
      <c r="X98" s="59"/>
      <c r="Y98" s="60"/>
      <c r="Z98" s="60"/>
      <c r="AA98" s="61"/>
    </row>
    <row r="99" spans="1:27" x14ac:dyDescent="0.25">
      <c r="A99" s="38" t="s">
        <v>32</v>
      </c>
      <c r="B99" s="46">
        <f>CAR_21!H11</f>
        <v>0</v>
      </c>
      <c r="C99" s="43">
        <f>SUM(5000-B99)</f>
        <v>5000</v>
      </c>
      <c r="D99" s="35">
        <f>CAR_21!U12</f>
        <v>0</v>
      </c>
      <c r="E99" s="35">
        <f>CAR_21!AE12</f>
        <v>0</v>
      </c>
      <c r="F99" s="36">
        <f>CAR_21!AN12</f>
        <v>0</v>
      </c>
      <c r="H99" s="38" t="s">
        <v>32</v>
      </c>
      <c r="I99" s="46">
        <f>CAR_22!H11</f>
        <v>0</v>
      </c>
      <c r="J99" s="43">
        <f>SUM(5000-I99)</f>
        <v>5000</v>
      </c>
      <c r="K99" s="35">
        <f>CAR_22!U12</f>
        <v>0</v>
      </c>
      <c r="L99" s="35">
        <f>CAR_22!AE12</f>
        <v>0</v>
      </c>
      <c r="M99" s="36">
        <f>CAR_22!AN12</f>
        <v>0</v>
      </c>
      <c r="O99" s="38" t="s">
        <v>32</v>
      </c>
      <c r="P99" s="46">
        <f>CAR_23!H11</f>
        <v>0</v>
      </c>
      <c r="Q99" s="43">
        <f>SUM(5000-P99)</f>
        <v>5000</v>
      </c>
      <c r="R99" s="35">
        <f>CAR_23!U12</f>
        <v>0</v>
      </c>
      <c r="S99" s="35">
        <f>CAR_23!AE12</f>
        <v>0</v>
      </c>
      <c r="T99" s="36">
        <f>CAR_23!AN12</f>
        <v>0</v>
      </c>
      <c r="V99" s="38" t="s">
        <v>32</v>
      </c>
      <c r="W99" s="46">
        <f>CAR_24!H11</f>
        <v>0</v>
      </c>
      <c r="X99" s="43">
        <f>SUM(5000-W99)</f>
        <v>5000</v>
      </c>
      <c r="Y99" s="35">
        <f>CAR_24!U12</f>
        <v>0</v>
      </c>
      <c r="Z99" s="35">
        <f>CAR_24!AE12</f>
        <v>0</v>
      </c>
      <c r="AA99" s="36">
        <f>CAR_24!AN12</f>
        <v>0</v>
      </c>
    </row>
    <row r="100" spans="1:27" x14ac:dyDescent="0.25">
      <c r="A100" s="38" t="s">
        <v>33</v>
      </c>
      <c r="B100" s="46">
        <f>CAR_21!H15</f>
        <v>0</v>
      </c>
      <c r="C100" s="43">
        <f t="shared" ref="C100:C109" si="20">SUM(5000-B100)</f>
        <v>5000</v>
      </c>
      <c r="D100" s="35">
        <f>CAR_21!U16</f>
        <v>0</v>
      </c>
      <c r="E100" s="35">
        <f>CAR_21!AE16</f>
        <v>0</v>
      </c>
      <c r="F100" s="36">
        <f>CAR_21!AN16</f>
        <v>0</v>
      </c>
      <c r="H100" s="38" t="s">
        <v>33</v>
      </c>
      <c r="I100" s="46">
        <f>CAR_22!H15</f>
        <v>0</v>
      </c>
      <c r="J100" s="43">
        <f t="shared" ref="J100:J109" si="21">SUM(5000-I100)</f>
        <v>5000</v>
      </c>
      <c r="K100" s="35">
        <f>CAR_22!U16</f>
        <v>0</v>
      </c>
      <c r="L100" s="35">
        <f>CAR_22!AE16</f>
        <v>0</v>
      </c>
      <c r="M100" s="36">
        <f>CAR_22!AN16</f>
        <v>0</v>
      </c>
      <c r="O100" s="38" t="s">
        <v>33</v>
      </c>
      <c r="P100" s="46">
        <f>CAR_23!H19</f>
        <v>0</v>
      </c>
      <c r="Q100" s="43">
        <f t="shared" ref="Q100:Q109" si="22">SUM(5000-P100)</f>
        <v>5000</v>
      </c>
      <c r="R100" s="35">
        <f>CAR_23!U16</f>
        <v>0</v>
      </c>
      <c r="S100" s="35">
        <f>CAR_23!AE16</f>
        <v>0</v>
      </c>
      <c r="T100" s="36">
        <f>CAR_23!AN16</f>
        <v>0</v>
      </c>
      <c r="V100" s="38" t="s">
        <v>33</v>
      </c>
      <c r="W100" s="46">
        <f>CAR_24!H15</f>
        <v>0</v>
      </c>
      <c r="X100" s="43">
        <f t="shared" ref="X100:X109" si="23">SUM(5000-W100)</f>
        <v>5000</v>
      </c>
      <c r="Y100" s="35">
        <f>CAR_24!U16</f>
        <v>0</v>
      </c>
      <c r="Z100" s="35">
        <f>CAR_24!AE16</f>
        <v>0</v>
      </c>
      <c r="AA100" s="36">
        <f>CAR_24!AN16</f>
        <v>0</v>
      </c>
    </row>
    <row r="101" spans="1:27" x14ac:dyDescent="0.25">
      <c r="A101" s="38" t="s">
        <v>34</v>
      </c>
      <c r="B101" s="46">
        <f>CAR_21!H19</f>
        <v>0</v>
      </c>
      <c r="C101" s="43">
        <f t="shared" si="20"/>
        <v>5000</v>
      </c>
      <c r="D101" s="35">
        <f>CAR_21!U20</f>
        <v>0</v>
      </c>
      <c r="E101" s="35">
        <f>CAR_21!AE20</f>
        <v>0</v>
      </c>
      <c r="F101" s="36">
        <f>CAR_21!AN220</f>
        <v>0</v>
      </c>
      <c r="H101" s="38" t="s">
        <v>34</v>
      </c>
      <c r="I101" s="46">
        <f>CAR_22!H19</f>
        <v>0</v>
      </c>
      <c r="J101" s="43">
        <f t="shared" si="21"/>
        <v>5000</v>
      </c>
      <c r="K101" s="35">
        <f>CAR_22!U20</f>
        <v>0</v>
      </c>
      <c r="L101" s="35">
        <f>CAR_22!AE20</f>
        <v>0</v>
      </c>
      <c r="M101" s="36">
        <f>CAR_22!AN20</f>
        <v>0</v>
      </c>
      <c r="O101" s="38" t="s">
        <v>34</v>
      </c>
      <c r="P101" s="46">
        <f>CAR_23!H19</f>
        <v>0</v>
      </c>
      <c r="Q101" s="43">
        <f t="shared" si="22"/>
        <v>5000</v>
      </c>
      <c r="R101" s="35">
        <f>CAR_23!U20</f>
        <v>0</v>
      </c>
      <c r="S101" s="35">
        <f>CAR_23!AE20</f>
        <v>0</v>
      </c>
      <c r="T101" s="36">
        <f>CAR_23!AN20</f>
        <v>0</v>
      </c>
      <c r="V101" s="38" t="s">
        <v>34</v>
      </c>
      <c r="W101" s="46">
        <f>CAR_24!H19</f>
        <v>0</v>
      </c>
      <c r="X101" s="43">
        <f t="shared" si="23"/>
        <v>5000</v>
      </c>
      <c r="Y101" s="35">
        <f>CAR_24!U20</f>
        <v>0</v>
      </c>
      <c r="Z101" s="35">
        <f>CAR_24!AE20</f>
        <v>0</v>
      </c>
      <c r="AA101" s="36">
        <f>CAR_24!AN20</f>
        <v>0</v>
      </c>
    </row>
    <row r="102" spans="1:27" x14ac:dyDescent="0.25">
      <c r="A102" s="38" t="s">
        <v>35</v>
      </c>
      <c r="B102" s="46">
        <f>CAR_21!H23</f>
        <v>0</v>
      </c>
      <c r="C102" s="43">
        <f t="shared" si="20"/>
        <v>5000</v>
      </c>
      <c r="D102" s="35">
        <f>CAR_21!U24</f>
        <v>0</v>
      </c>
      <c r="E102" s="35">
        <f>CAR_21!AE24</f>
        <v>0</v>
      </c>
      <c r="F102" s="36">
        <f>CAR_21!AN24</f>
        <v>0</v>
      </c>
      <c r="H102" s="38" t="s">
        <v>35</v>
      </c>
      <c r="I102" s="46">
        <f>CAR_22!H23</f>
        <v>0</v>
      </c>
      <c r="J102" s="43">
        <f t="shared" si="21"/>
        <v>5000</v>
      </c>
      <c r="K102" s="35">
        <f>CAR_22!U24</f>
        <v>0</v>
      </c>
      <c r="L102" s="35">
        <f>CAR_22!AE24</f>
        <v>0</v>
      </c>
      <c r="M102" s="36">
        <f>CAR_22!AN24</f>
        <v>0</v>
      </c>
      <c r="O102" s="38" t="s">
        <v>35</v>
      </c>
      <c r="P102" s="46">
        <f>CAR_23!H23</f>
        <v>0</v>
      </c>
      <c r="Q102" s="43">
        <f t="shared" si="22"/>
        <v>5000</v>
      </c>
      <c r="R102" s="35">
        <f>CAR_23!U24</f>
        <v>0</v>
      </c>
      <c r="S102" s="35">
        <f>CAR_23!AE24</f>
        <v>0</v>
      </c>
      <c r="T102" s="36">
        <f>CAR_23!AN24</f>
        <v>0</v>
      </c>
      <c r="V102" s="38" t="s">
        <v>35</v>
      </c>
      <c r="W102" s="46">
        <f>CAR_24!H23</f>
        <v>0</v>
      </c>
      <c r="X102" s="43">
        <f t="shared" si="23"/>
        <v>5000</v>
      </c>
      <c r="Y102" s="35">
        <f>CAR_24!U24</f>
        <v>0</v>
      </c>
      <c r="Z102" s="35">
        <f>CAR_24!AE24</f>
        <v>0</v>
      </c>
      <c r="AA102" s="36">
        <f>CAR_24!AN24</f>
        <v>0</v>
      </c>
    </row>
    <row r="103" spans="1:27" x14ac:dyDescent="0.25">
      <c r="A103" s="38" t="s">
        <v>36</v>
      </c>
      <c r="B103" s="46">
        <f>CAR_21!H27</f>
        <v>0</v>
      </c>
      <c r="C103" s="43">
        <f t="shared" si="20"/>
        <v>5000</v>
      </c>
      <c r="D103" s="35">
        <f>CAR_21!U28</f>
        <v>0</v>
      </c>
      <c r="E103" s="35">
        <f>CAR_21!AE28</f>
        <v>0</v>
      </c>
      <c r="F103" s="36">
        <f>CAR_21!AN28</f>
        <v>0</v>
      </c>
      <c r="H103" s="38" t="s">
        <v>36</v>
      </c>
      <c r="I103" s="46">
        <f>CAR_22!H27</f>
        <v>0</v>
      </c>
      <c r="J103" s="43">
        <f t="shared" si="21"/>
        <v>5000</v>
      </c>
      <c r="K103" s="35">
        <f>CAR_22!U28</f>
        <v>0</v>
      </c>
      <c r="L103" s="35">
        <f>CAR_22!AE28</f>
        <v>0</v>
      </c>
      <c r="M103" s="36">
        <f>CAR_22!AN28</f>
        <v>0</v>
      </c>
      <c r="O103" s="38" t="s">
        <v>36</v>
      </c>
      <c r="P103" s="46">
        <f>CAR_23!H27</f>
        <v>0</v>
      </c>
      <c r="Q103" s="43">
        <f t="shared" si="22"/>
        <v>5000</v>
      </c>
      <c r="R103" s="35">
        <f>CAR_23!U28</f>
        <v>0</v>
      </c>
      <c r="S103" s="35">
        <f>CAR_23!AE28</f>
        <v>0</v>
      </c>
      <c r="T103" s="36">
        <f>CAR_23!AN28</f>
        <v>0</v>
      </c>
      <c r="V103" s="38" t="s">
        <v>36</v>
      </c>
      <c r="W103" s="46">
        <f>CAR_24!H27</f>
        <v>0</v>
      </c>
      <c r="X103" s="43">
        <f t="shared" si="23"/>
        <v>5000</v>
      </c>
      <c r="Y103" s="35">
        <f>CAR_24!U28</f>
        <v>0</v>
      </c>
      <c r="Z103" s="35">
        <f>CAR_24!AE28</f>
        <v>0</v>
      </c>
      <c r="AA103" s="36">
        <f>CAR_24!AN28</f>
        <v>0</v>
      </c>
    </row>
    <row r="104" spans="1:27" x14ac:dyDescent="0.25">
      <c r="A104" s="38" t="s">
        <v>37</v>
      </c>
      <c r="B104" s="46">
        <f>CAR_21!H31</f>
        <v>0</v>
      </c>
      <c r="C104" s="43">
        <f t="shared" si="20"/>
        <v>5000</v>
      </c>
      <c r="D104" s="35">
        <f>CAR_21!U32</f>
        <v>0</v>
      </c>
      <c r="E104" s="35">
        <f>CAR_21!AE32</f>
        <v>0</v>
      </c>
      <c r="F104" s="36">
        <f>CAR_21!AN32</f>
        <v>0</v>
      </c>
      <c r="H104" s="38" t="s">
        <v>37</v>
      </c>
      <c r="I104" s="46">
        <f>CAR_22!H31</f>
        <v>0</v>
      </c>
      <c r="J104" s="43">
        <f t="shared" si="21"/>
        <v>5000</v>
      </c>
      <c r="K104" s="35">
        <f>CAR_22!U32</f>
        <v>0</v>
      </c>
      <c r="L104" s="35">
        <f>CAR_22!AE32</f>
        <v>0</v>
      </c>
      <c r="M104" s="36">
        <f>CAR_22!AN32</f>
        <v>0</v>
      </c>
      <c r="O104" s="38" t="s">
        <v>37</v>
      </c>
      <c r="P104" s="46">
        <f>CAR_23!H27</f>
        <v>0</v>
      </c>
      <c r="Q104" s="43">
        <f t="shared" si="22"/>
        <v>5000</v>
      </c>
      <c r="R104" s="35">
        <f>CAR_23!U32</f>
        <v>0</v>
      </c>
      <c r="S104" s="35">
        <f>CAR_23!AE32</f>
        <v>0</v>
      </c>
      <c r="T104" s="36">
        <f>CAR_23!AN32</f>
        <v>0</v>
      </c>
      <c r="V104" s="38" t="s">
        <v>37</v>
      </c>
      <c r="W104" s="46">
        <f>CAR_24!H31</f>
        <v>0</v>
      </c>
      <c r="X104" s="43">
        <f t="shared" si="23"/>
        <v>5000</v>
      </c>
      <c r="Y104" s="35">
        <f>CAR_24!U32</f>
        <v>0</v>
      </c>
      <c r="Z104" s="35">
        <f>CAR_24!AE32</f>
        <v>0</v>
      </c>
      <c r="AA104" s="36">
        <f>CAR_24!AN32</f>
        <v>0</v>
      </c>
    </row>
    <row r="105" spans="1:27" x14ac:dyDescent="0.25">
      <c r="A105" s="38" t="s">
        <v>38</v>
      </c>
      <c r="B105" s="46">
        <f>CAR_21!H35</f>
        <v>0</v>
      </c>
      <c r="C105" s="43">
        <f t="shared" si="20"/>
        <v>5000</v>
      </c>
      <c r="D105" s="35">
        <f>CAR_21!U36</f>
        <v>0</v>
      </c>
      <c r="E105" s="35">
        <f>CAR_21!AE36</f>
        <v>0</v>
      </c>
      <c r="F105" s="36">
        <f>CAR_21!AN36</f>
        <v>0</v>
      </c>
      <c r="H105" s="38" t="s">
        <v>38</v>
      </c>
      <c r="I105" s="46">
        <f>CAR_22!H35</f>
        <v>0</v>
      </c>
      <c r="J105" s="43">
        <f t="shared" si="21"/>
        <v>5000</v>
      </c>
      <c r="K105" s="35">
        <f>CAR_22!U36</f>
        <v>0</v>
      </c>
      <c r="L105" s="35">
        <f>CAR_22!AE36</f>
        <v>0</v>
      </c>
      <c r="M105" s="36">
        <f>CAR_22!AN36</f>
        <v>0</v>
      </c>
      <c r="O105" s="38" t="s">
        <v>38</v>
      </c>
      <c r="P105" s="46">
        <f>CAR_23!H35</f>
        <v>0</v>
      </c>
      <c r="Q105" s="43">
        <f t="shared" si="22"/>
        <v>5000</v>
      </c>
      <c r="R105" s="35">
        <f>CAR_23!U36</f>
        <v>0</v>
      </c>
      <c r="S105" s="35">
        <f>CAR_23!AE36</f>
        <v>0</v>
      </c>
      <c r="T105" s="36">
        <f>CAR_23!AN36</f>
        <v>0</v>
      </c>
      <c r="V105" s="38" t="s">
        <v>38</v>
      </c>
      <c r="W105" s="46">
        <f>CAR_24!H35</f>
        <v>0</v>
      </c>
      <c r="X105" s="43">
        <f t="shared" si="23"/>
        <v>5000</v>
      </c>
      <c r="Y105" s="35">
        <f>CAR_24!U36</f>
        <v>0</v>
      </c>
      <c r="Z105" s="35">
        <f>CAR_24!AE36</f>
        <v>0</v>
      </c>
      <c r="AA105" s="36">
        <f>CAR_24!AN36</f>
        <v>0</v>
      </c>
    </row>
    <row r="106" spans="1:27" x14ac:dyDescent="0.25">
      <c r="A106" s="38" t="s">
        <v>39</v>
      </c>
      <c r="B106" s="46">
        <f>CAR_21!H39</f>
        <v>0</v>
      </c>
      <c r="C106" s="43">
        <f t="shared" si="20"/>
        <v>5000</v>
      </c>
      <c r="D106" s="35">
        <f>CAR_21!U40</f>
        <v>0</v>
      </c>
      <c r="E106" s="35">
        <f>CAR_21!AE40</f>
        <v>0</v>
      </c>
      <c r="F106" s="36">
        <f>CAR_21!AN40</f>
        <v>0</v>
      </c>
      <c r="H106" s="38" t="s">
        <v>39</v>
      </c>
      <c r="I106" s="46">
        <f>CAR_22!H39</f>
        <v>0</v>
      </c>
      <c r="J106" s="43">
        <f t="shared" si="21"/>
        <v>5000</v>
      </c>
      <c r="K106" s="35">
        <f>CAR_22!U40</f>
        <v>0</v>
      </c>
      <c r="L106" s="35">
        <f>CAR_22!AE40</f>
        <v>0</v>
      </c>
      <c r="M106" s="36">
        <f>CAR_22!AN40</f>
        <v>0</v>
      </c>
      <c r="O106" s="38" t="s">
        <v>39</v>
      </c>
      <c r="P106" s="46">
        <f>CAR_23!H39</f>
        <v>0</v>
      </c>
      <c r="Q106" s="43">
        <f t="shared" si="22"/>
        <v>5000</v>
      </c>
      <c r="R106" s="35">
        <f>CAR_23!U40</f>
        <v>0</v>
      </c>
      <c r="S106" s="35">
        <f>CAR_23!AE40</f>
        <v>0</v>
      </c>
      <c r="T106" s="36">
        <f>CAR_23!AN40</f>
        <v>0</v>
      </c>
      <c r="V106" s="38" t="s">
        <v>39</v>
      </c>
      <c r="W106" s="46">
        <f>CAR_24!H39</f>
        <v>0</v>
      </c>
      <c r="X106" s="43">
        <f t="shared" si="23"/>
        <v>5000</v>
      </c>
      <c r="Y106" s="35">
        <f>CAR_24!U40</f>
        <v>0</v>
      </c>
      <c r="Z106" s="35">
        <f>CAR_24!AE40</f>
        <v>0</v>
      </c>
      <c r="AA106" s="36">
        <f>CAR_24!AN40</f>
        <v>0</v>
      </c>
    </row>
    <row r="107" spans="1:27" x14ac:dyDescent="0.25">
      <c r="A107" s="38" t="s">
        <v>40</v>
      </c>
      <c r="B107" s="46">
        <f>CAR_21!H43</f>
        <v>0</v>
      </c>
      <c r="C107" s="43">
        <f t="shared" si="20"/>
        <v>5000</v>
      </c>
      <c r="D107" s="35">
        <f>CAR_21!U44</f>
        <v>0</v>
      </c>
      <c r="E107" s="35">
        <f>CAR_21!AE44</f>
        <v>0</v>
      </c>
      <c r="F107" s="36">
        <f>CAR_21!AN44</f>
        <v>0</v>
      </c>
      <c r="H107" s="38" t="s">
        <v>40</v>
      </c>
      <c r="I107" s="46">
        <f>CAR_22!H43</f>
        <v>0</v>
      </c>
      <c r="J107" s="43">
        <f t="shared" si="21"/>
        <v>5000</v>
      </c>
      <c r="K107" s="35">
        <f>CAR_22!U44</f>
        <v>0</v>
      </c>
      <c r="L107" s="35">
        <f>CAR_22!AE44</f>
        <v>0</v>
      </c>
      <c r="M107" s="36">
        <f>CAR_22!AN44</f>
        <v>0</v>
      </c>
      <c r="O107" s="38" t="s">
        <v>40</v>
      </c>
      <c r="P107" s="46">
        <f>CAR_23!H43</f>
        <v>0</v>
      </c>
      <c r="Q107" s="43">
        <f t="shared" si="22"/>
        <v>5000</v>
      </c>
      <c r="R107" s="35">
        <f>CAR_23!U44</f>
        <v>0</v>
      </c>
      <c r="S107" s="35">
        <f>CAR_23!AE44</f>
        <v>0</v>
      </c>
      <c r="T107" s="36">
        <f>CAR_23!AN44</f>
        <v>0</v>
      </c>
      <c r="V107" s="38" t="s">
        <v>40</v>
      </c>
      <c r="W107" s="46">
        <f>CAR_24!H43</f>
        <v>0</v>
      </c>
      <c r="X107" s="43">
        <f t="shared" si="23"/>
        <v>5000</v>
      </c>
      <c r="Y107" s="35">
        <f>CAR_24!U44</f>
        <v>0</v>
      </c>
      <c r="Z107" s="35">
        <f>CAR_24!AE44</f>
        <v>0</v>
      </c>
      <c r="AA107" s="36">
        <f>CAR_24!AN44</f>
        <v>0</v>
      </c>
    </row>
    <row r="108" spans="1:27" x14ac:dyDescent="0.25">
      <c r="A108" s="38" t="s">
        <v>41</v>
      </c>
      <c r="B108" s="46">
        <f>CAR_21!H47</f>
        <v>0</v>
      </c>
      <c r="C108" s="43">
        <f t="shared" si="20"/>
        <v>5000</v>
      </c>
      <c r="D108" s="35">
        <f>CAR_21!U48</f>
        <v>0</v>
      </c>
      <c r="E108" s="35">
        <f>CAR_21!AE48</f>
        <v>0</v>
      </c>
      <c r="F108" s="36">
        <f>CAR_21!AN48</f>
        <v>0</v>
      </c>
      <c r="H108" s="38" t="s">
        <v>41</v>
      </c>
      <c r="I108" s="46">
        <f>CAR_22!H47</f>
        <v>0</v>
      </c>
      <c r="J108" s="43">
        <f t="shared" si="21"/>
        <v>5000</v>
      </c>
      <c r="K108" s="35">
        <f>CAR_22!U48</f>
        <v>0</v>
      </c>
      <c r="L108" s="35">
        <f>CAR_22!AE48</f>
        <v>0</v>
      </c>
      <c r="M108" s="36">
        <f>CAR_22!AN48</f>
        <v>0</v>
      </c>
      <c r="O108" s="38" t="s">
        <v>41</v>
      </c>
      <c r="P108" s="46">
        <f>CAR_23!H47</f>
        <v>0</v>
      </c>
      <c r="Q108" s="43">
        <f t="shared" si="22"/>
        <v>5000</v>
      </c>
      <c r="R108" s="35">
        <f>CAR_23!U48</f>
        <v>0</v>
      </c>
      <c r="S108" s="35">
        <f>CAR_23!AE48</f>
        <v>0</v>
      </c>
      <c r="T108" s="36">
        <f>CAR_23!AN48</f>
        <v>0</v>
      </c>
      <c r="V108" s="38" t="s">
        <v>41</v>
      </c>
      <c r="W108" s="46">
        <f>CAR_24!H47</f>
        <v>0</v>
      </c>
      <c r="X108" s="43">
        <f t="shared" si="23"/>
        <v>5000</v>
      </c>
      <c r="Y108" s="35">
        <f>CAR_24!U48</f>
        <v>0</v>
      </c>
      <c r="Z108" s="35">
        <f>CAR_24!AE48</f>
        <v>0</v>
      </c>
      <c r="AA108" s="36">
        <f>CAR_24!AN48</f>
        <v>0</v>
      </c>
    </row>
    <row r="109" spans="1:27" ht="15.75" thickBot="1" x14ac:dyDescent="0.3">
      <c r="A109" s="39" t="s">
        <v>42</v>
      </c>
      <c r="B109" s="47">
        <f>CAR_21!H51</f>
        <v>0</v>
      </c>
      <c r="C109" s="44">
        <f t="shared" si="20"/>
        <v>5000</v>
      </c>
      <c r="D109" s="11">
        <f>CAR_21!U52</f>
        <v>0</v>
      </c>
      <c r="E109" s="11">
        <f>CAR_21!AE52</f>
        <v>0</v>
      </c>
      <c r="F109" s="12">
        <f>CAR_21!AN52</f>
        <v>0</v>
      </c>
      <c r="H109" s="39" t="s">
        <v>42</v>
      </c>
      <c r="I109" s="47">
        <f>CAR_22!H51</f>
        <v>0</v>
      </c>
      <c r="J109" s="44">
        <f t="shared" si="21"/>
        <v>5000</v>
      </c>
      <c r="K109" s="11">
        <f>CAR_22!U52</f>
        <v>0</v>
      </c>
      <c r="L109" s="11">
        <f>CAR_22!AE52</f>
        <v>0</v>
      </c>
      <c r="M109" s="12">
        <f>CAR_22!AN52</f>
        <v>0</v>
      </c>
      <c r="O109" s="39" t="s">
        <v>42</v>
      </c>
      <c r="P109" s="47">
        <f>CAR_23!H51</f>
        <v>0</v>
      </c>
      <c r="Q109" s="44">
        <f t="shared" si="22"/>
        <v>5000</v>
      </c>
      <c r="R109" s="11">
        <f>CAR_23!U52</f>
        <v>0</v>
      </c>
      <c r="S109" s="11">
        <f>CAR_23!AE52</f>
        <v>0</v>
      </c>
      <c r="T109" s="12">
        <f>CAR_23!AN52</f>
        <v>0</v>
      </c>
      <c r="V109" s="39" t="s">
        <v>42</v>
      </c>
      <c r="W109" s="47">
        <f>CAR_24!H51</f>
        <v>0</v>
      </c>
      <c r="X109" s="44">
        <f t="shared" si="23"/>
        <v>5000</v>
      </c>
      <c r="Y109" s="11">
        <f>CAR_24!U52</f>
        <v>0</v>
      </c>
      <c r="Z109" s="11">
        <f>CAR_24!AE52</f>
        <v>0</v>
      </c>
      <c r="AA109" s="12">
        <f>CAR_24!AN52</f>
        <v>0</v>
      </c>
    </row>
    <row r="110" spans="1:27" ht="15.75" thickBot="1" x14ac:dyDescent="0.3"/>
    <row r="111" spans="1:27" ht="15.75" thickBot="1" x14ac:dyDescent="0.3">
      <c r="A111" s="3" t="s">
        <v>23</v>
      </c>
      <c r="B111" s="52">
        <f>SUM(B98:B109)</f>
        <v>0</v>
      </c>
      <c r="C111" s="51"/>
      <c r="D111" s="50">
        <f>SUM(D98:D109)</f>
        <v>0</v>
      </c>
      <c r="E111" s="49">
        <f>SUM(E98:E109)</f>
        <v>0</v>
      </c>
      <c r="F111" s="48">
        <f>SUM(F98:F109)</f>
        <v>0</v>
      </c>
      <c r="H111" s="3" t="s">
        <v>23</v>
      </c>
      <c r="I111" s="52">
        <f>SUM(I98:I109)</f>
        <v>0</v>
      </c>
      <c r="J111" s="51"/>
      <c r="K111" s="50">
        <f>SUM(K98:K109)</f>
        <v>0</v>
      </c>
      <c r="L111" s="49">
        <f>SUM(L98:L109)</f>
        <v>0</v>
      </c>
      <c r="M111" s="48">
        <f>SUM(M98:M109)</f>
        <v>0</v>
      </c>
      <c r="O111" s="3" t="s">
        <v>23</v>
      </c>
      <c r="P111" s="52">
        <f>SUM(P98:P109)</f>
        <v>0</v>
      </c>
      <c r="Q111" s="51"/>
      <c r="R111" s="50">
        <f>SUM(R98:R109)</f>
        <v>0</v>
      </c>
      <c r="S111" s="49">
        <f>SUM(S98:S109)</f>
        <v>0</v>
      </c>
      <c r="T111" s="48">
        <f>SUM(T98:T109)</f>
        <v>0</v>
      </c>
      <c r="V111" s="3" t="s">
        <v>23</v>
      </c>
      <c r="W111" s="52">
        <f>SUM(W98:W109)</f>
        <v>0</v>
      </c>
      <c r="X111" s="51"/>
      <c r="Y111" s="50">
        <f>SUM(Y98:Y109)</f>
        <v>0</v>
      </c>
      <c r="Z111" s="49">
        <f>SUM(Z98:Z109)</f>
        <v>0</v>
      </c>
      <c r="AA111" s="48">
        <f>SUM(AA98:AA109)</f>
        <v>0</v>
      </c>
    </row>
    <row r="112" spans="1:27" ht="15.75" thickBot="1" x14ac:dyDescent="0.3">
      <c r="A112" s="3" t="s">
        <v>44</v>
      </c>
      <c r="B112" s="23">
        <f>SUM(60000-B111)</f>
        <v>60000</v>
      </c>
      <c r="H112" s="3" t="s">
        <v>44</v>
      </c>
      <c r="I112" s="23">
        <f>SUM(60000-I111)</f>
        <v>60000</v>
      </c>
      <c r="O112" s="3" t="s">
        <v>44</v>
      </c>
      <c r="P112" s="23">
        <f>SUM(60000-P111)</f>
        <v>60000</v>
      </c>
      <c r="V112" s="3" t="s">
        <v>44</v>
      </c>
      <c r="W112" s="23">
        <f>SUM(60000-W111)</f>
        <v>60000</v>
      </c>
    </row>
    <row r="114" spans="1:27" ht="15.75" thickBot="1" x14ac:dyDescent="0.3">
      <c r="B114" s="103" t="s">
        <v>51</v>
      </c>
      <c r="C114" s="103"/>
      <c r="D114" s="103"/>
      <c r="E114" s="103"/>
      <c r="F114" s="103"/>
      <c r="I114" s="103" t="s">
        <v>50</v>
      </c>
      <c r="J114" s="103"/>
      <c r="K114" s="103"/>
      <c r="L114" s="103"/>
      <c r="M114" s="103"/>
      <c r="P114" s="103" t="s">
        <v>49</v>
      </c>
      <c r="Q114" s="103"/>
      <c r="R114" s="103"/>
      <c r="S114" s="103"/>
      <c r="T114" s="103"/>
      <c r="W114" s="103" t="s">
        <v>48</v>
      </c>
      <c r="X114" s="103"/>
      <c r="Y114" s="103"/>
      <c r="Z114" s="103"/>
      <c r="AA114" s="103"/>
    </row>
    <row r="115" spans="1:27" ht="15.75" thickBot="1" x14ac:dyDescent="0.3">
      <c r="B115" s="22" t="s">
        <v>43</v>
      </c>
      <c r="C115" s="33" t="s">
        <v>30</v>
      </c>
      <c r="D115" s="23" t="s">
        <v>26</v>
      </c>
      <c r="E115" s="23" t="s">
        <v>25</v>
      </c>
      <c r="F115" s="25" t="s">
        <v>27</v>
      </c>
      <c r="I115" s="22" t="s">
        <v>43</v>
      </c>
      <c r="J115" s="33" t="s">
        <v>30</v>
      </c>
      <c r="K115" s="23" t="s">
        <v>26</v>
      </c>
      <c r="L115" s="23" t="s">
        <v>25</v>
      </c>
      <c r="M115" s="25" t="s">
        <v>27</v>
      </c>
      <c r="P115" s="22" t="s">
        <v>43</v>
      </c>
      <c r="Q115" s="33" t="s">
        <v>30</v>
      </c>
      <c r="R115" s="23" t="s">
        <v>26</v>
      </c>
      <c r="S115" s="23" t="s">
        <v>25</v>
      </c>
      <c r="T115" s="25" t="s">
        <v>27</v>
      </c>
      <c r="W115" s="22" t="s">
        <v>43</v>
      </c>
      <c r="X115" s="33" t="s">
        <v>30</v>
      </c>
      <c r="Y115" s="23" t="s">
        <v>26</v>
      </c>
      <c r="Z115" s="23" t="s">
        <v>25</v>
      </c>
      <c r="AA115" s="25" t="s">
        <v>27</v>
      </c>
    </row>
    <row r="116" spans="1:27" x14ac:dyDescent="0.25">
      <c r="A116" s="37" t="s">
        <v>31</v>
      </c>
      <c r="B116" s="58"/>
      <c r="C116" s="59"/>
      <c r="D116" s="60"/>
      <c r="E116" s="60"/>
      <c r="F116" s="61"/>
      <c r="H116" s="37" t="s">
        <v>31</v>
      </c>
      <c r="I116" s="58"/>
      <c r="J116" s="59"/>
      <c r="K116" s="60"/>
      <c r="L116" s="60"/>
      <c r="M116" s="61"/>
      <c r="O116" s="37" t="s">
        <v>31</v>
      </c>
      <c r="P116" s="58"/>
      <c r="Q116" s="59"/>
      <c r="R116" s="60"/>
      <c r="S116" s="60"/>
      <c r="T116" s="61"/>
      <c r="V116" s="37" t="s">
        <v>31</v>
      </c>
      <c r="W116" s="58"/>
      <c r="X116" s="59"/>
      <c r="Y116" s="60"/>
      <c r="Z116" s="60"/>
      <c r="AA116" s="61"/>
    </row>
    <row r="117" spans="1:27" x14ac:dyDescent="0.25">
      <c r="A117" s="38" t="s">
        <v>32</v>
      </c>
      <c r="B117" s="46">
        <f>CAR_25!H11</f>
        <v>0</v>
      </c>
      <c r="C117" s="43">
        <f>SUM(5000-B117)</f>
        <v>5000</v>
      </c>
      <c r="D117" s="35">
        <f>CAR_25!U12</f>
        <v>0</v>
      </c>
      <c r="E117" s="35">
        <f>CAR_25!AE12</f>
        <v>0</v>
      </c>
      <c r="F117" s="36">
        <f>CAR_25!AN12</f>
        <v>0</v>
      </c>
      <c r="H117" s="38" t="s">
        <v>32</v>
      </c>
      <c r="I117" s="46">
        <f>CAR_26!H11</f>
        <v>0</v>
      </c>
      <c r="J117" s="43">
        <f>SUM(5000-I117)</f>
        <v>5000</v>
      </c>
      <c r="K117" s="35">
        <f>CAR_26!U12</f>
        <v>0</v>
      </c>
      <c r="L117" s="35">
        <f>CAR_26!AE12</f>
        <v>0</v>
      </c>
      <c r="M117" s="36">
        <f>CAR_26!AN12</f>
        <v>0</v>
      </c>
      <c r="O117" s="38" t="s">
        <v>32</v>
      </c>
      <c r="P117" s="46">
        <f>CAR_27!H11</f>
        <v>0</v>
      </c>
      <c r="Q117" s="43">
        <f>SUM(5000-P117)</f>
        <v>5000</v>
      </c>
      <c r="R117" s="35">
        <f>CAR_27!U12</f>
        <v>0</v>
      </c>
      <c r="S117" s="35">
        <f>CAR_27!AE12</f>
        <v>0</v>
      </c>
      <c r="T117" s="36">
        <f>CAR_27!AN12</f>
        <v>0</v>
      </c>
      <c r="V117" s="38" t="s">
        <v>32</v>
      </c>
      <c r="W117" s="46">
        <f>CAR_28!H11</f>
        <v>0</v>
      </c>
      <c r="X117" s="43">
        <f>SUM(5000-W117)</f>
        <v>5000</v>
      </c>
      <c r="Y117" s="35">
        <f>CAR_28!U12</f>
        <v>0</v>
      </c>
      <c r="Z117" s="35">
        <f>CAR_28!AE12</f>
        <v>0</v>
      </c>
      <c r="AA117" s="36">
        <f>CAR_28!AN12</f>
        <v>0</v>
      </c>
    </row>
    <row r="118" spans="1:27" x14ac:dyDescent="0.25">
      <c r="A118" s="38" t="s">
        <v>33</v>
      </c>
      <c r="B118" s="46">
        <f>CAR_25!H15</f>
        <v>0</v>
      </c>
      <c r="C118" s="43">
        <f t="shared" ref="C118:C127" si="24">SUM(5000-B118)</f>
        <v>5000</v>
      </c>
      <c r="D118" s="35">
        <f>CAR_25!U16</f>
        <v>0</v>
      </c>
      <c r="E118" s="35">
        <f>CAR_25!AE16</f>
        <v>0</v>
      </c>
      <c r="F118" s="36">
        <f>CAR_25!AN16</f>
        <v>0</v>
      </c>
      <c r="H118" s="38" t="s">
        <v>33</v>
      </c>
      <c r="I118" s="46">
        <f>CAR_26!H15</f>
        <v>0</v>
      </c>
      <c r="J118" s="43">
        <f t="shared" ref="J118:J127" si="25">SUM(5000-I118)</f>
        <v>5000</v>
      </c>
      <c r="K118" s="35">
        <f>CAR_26!U16</f>
        <v>0</v>
      </c>
      <c r="L118" s="35">
        <f>CAR_26!AE116</f>
        <v>0</v>
      </c>
      <c r="M118" s="36">
        <f>CAR_26!AN16</f>
        <v>0</v>
      </c>
      <c r="O118" s="38" t="s">
        <v>33</v>
      </c>
      <c r="P118" s="46">
        <f>CAR_27!H15</f>
        <v>0</v>
      </c>
      <c r="Q118" s="43">
        <f t="shared" ref="Q118:Q127" si="26">SUM(5000-P118)</f>
        <v>5000</v>
      </c>
      <c r="R118" s="35">
        <f>CAR_27!U16</f>
        <v>0</v>
      </c>
      <c r="S118" s="35">
        <f>CAR_27!AE16</f>
        <v>0</v>
      </c>
      <c r="T118" s="36">
        <f>CAR_27!AN16</f>
        <v>0</v>
      </c>
      <c r="V118" s="38" t="s">
        <v>33</v>
      </c>
      <c r="W118" s="46">
        <f>CAR_28!H15</f>
        <v>0</v>
      </c>
      <c r="X118" s="43">
        <f t="shared" ref="X118:X127" si="27">SUM(5000-W118)</f>
        <v>5000</v>
      </c>
      <c r="Y118" s="35">
        <f>CAR_28!U16</f>
        <v>0</v>
      </c>
      <c r="Z118" s="35">
        <f>CAR_28!AE6</f>
        <v>0</v>
      </c>
      <c r="AA118" s="36">
        <f>CAR_28!AN16</f>
        <v>0</v>
      </c>
    </row>
    <row r="119" spans="1:27" x14ac:dyDescent="0.25">
      <c r="A119" s="38" t="s">
        <v>34</v>
      </c>
      <c r="B119" s="46">
        <f>CAR_25!H19</f>
        <v>0</v>
      </c>
      <c r="C119" s="43">
        <f t="shared" si="24"/>
        <v>5000</v>
      </c>
      <c r="D119" s="35">
        <f>CAR_25!U20</f>
        <v>0</v>
      </c>
      <c r="E119" s="35">
        <f>CAR_25!AE20</f>
        <v>0</v>
      </c>
      <c r="F119" s="36">
        <f>CAR_25!AN20</f>
        <v>0</v>
      </c>
      <c r="H119" s="38" t="s">
        <v>34</v>
      </c>
      <c r="I119" s="46">
        <f>CAR_26!H19</f>
        <v>0</v>
      </c>
      <c r="J119" s="43">
        <f t="shared" si="25"/>
        <v>5000</v>
      </c>
      <c r="K119" s="35">
        <f>CAR_26!U20</f>
        <v>0</v>
      </c>
      <c r="L119" s="35">
        <f>CAR_26!AE20</f>
        <v>0</v>
      </c>
      <c r="M119" s="36">
        <f>CAR_26!AN20</f>
        <v>0</v>
      </c>
      <c r="O119" s="38" t="s">
        <v>34</v>
      </c>
      <c r="P119" s="46">
        <f>CAR_27!H19</f>
        <v>0</v>
      </c>
      <c r="Q119" s="43">
        <f t="shared" si="26"/>
        <v>5000</v>
      </c>
      <c r="R119" s="35">
        <f>CAR_27!U20</f>
        <v>0</v>
      </c>
      <c r="S119" s="35">
        <f>CAR_27!AE20</f>
        <v>0</v>
      </c>
      <c r="T119" s="36">
        <f>CAR_27!AN20</f>
        <v>0</v>
      </c>
      <c r="V119" s="38" t="s">
        <v>34</v>
      </c>
      <c r="W119" s="46">
        <f>CAR_28!H19</f>
        <v>0</v>
      </c>
      <c r="X119" s="43">
        <f t="shared" si="27"/>
        <v>5000</v>
      </c>
      <c r="Y119" s="35">
        <f>CAR_28!U20</f>
        <v>0</v>
      </c>
      <c r="Z119" s="35">
        <f>CAR_28!AE20</f>
        <v>0</v>
      </c>
      <c r="AA119" s="36">
        <f>CAR_28!AN20</f>
        <v>0</v>
      </c>
    </row>
    <row r="120" spans="1:27" x14ac:dyDescent="0.25">
      <c r="A120" s="38" t="s">
        <v>35</v>
      </c>
      <c r="B120" s="46">
        <f>CAR_25!H23</f>
        <v>0</v>
      </c>
      <c r="C120" s="43">
        <f t="shared" si="24"/>
        <v>5000</v>
      </c>
      <c r="D120" s="35">
        <f>CAR_25!U24</f>
        <v>0</v>
      </c>
      <c r="E120" s="35">
        <f>CAR_25!AE24</f>
        <v>0</v>
      </c>
      <c r="F120" s="36">
        <f>CAR_25!AN24</f>
        <v>0</v>
      </c>
      <c r="H120" s="38" t="s">
        <v>35</v>
      </c>
      <c r="I120" s="46">
        <f>CAR_26!H23</f>
        <v>0</v>
      </c>
      <c r="J120" s="43">
        <f t="shared" si="25"/>
        <v>5000</v>
      </c>
      <c r="K120" s="35">
        <f>CAR_26!U24</f>
        <v>0</v>
      </c>
      <c r="L120" s="35">
        <f>CAR_26!AE24</f>
        <v>0</v>
      </c>
      <c r="M120" s="36">
        <f>CAR_26!AN24</f>
        <v>0</v>
      </c>
      <c r="O120" s="38" t="s">
        <v>35</v>
      </c>
      <c r="P120" s="46">
        <f>CAR_27!H23</f>
        <v>0</v>
      </c>
      <c r="Q120" s="43">
        <f t="shared" si="26"/>
        <v>5000</v>
      </c>
      <c r="R120" s="35">
        <f>CAR_27!U24</f>
        <v>0</v>
      </c>
      <c r="S120" s="35">
        <f>CAR_27!AE24</f>
        <v>0</v>
      </c>
      <c r="T120" s="36">
        <f>CAR_27!AN24</f>
        <v>0</v>
      </c>
      <c r="V120" s="38" t="s">
        <v>35</v>
      </c>
      <c r="W120" s="46">
        <f>CAR_28!H23</f>
        <v>0</v>
      </c>
      <c r="X120" s="43">
        <f t="shared" si="27"/>
        <v>5000</v>
      </c>
      <c r="Y120" s="35">
        <f>CAR_28!U24</f>
        <v>0</v>
      </c>
      <c r="Z120" s="35">
        <f>CAR_28!AE24</f>
        <v>0</v>
      </c>
      <c r="AA120" s="36">
        <f>CAR_28!AN24</f>
        <v>0</v>
      </c>
    </row>
    <row r="121" spans="1:27" x14ac:dyDescent="0.25">
      <c r="A121" s="38" t="s">
        <v>36</v>
      </c>
      <c r="B121" s="46">
        <f>CAR_25!H27</f>
        <v>0</v>
      </c>
      <c r="C121" s="43">
        <f t="shared" si="24"/>
        <v>5000</v>
      </c>
      <c r="D121" s="35">
        <f>CAR_25!U28</f>
        <v>0</v>
      </c>
      <c r="E121" s="35">
        <f>CAR_25!AE28</f>
        <v>0</v>
      </c>
      <c r="F121" s="36">
        <f>CAR_25!AN28</f>
        <v>0</v>
      </c>
      <c r="H121" s="38" t="s">
        <v>36</v>
      </c>
      <c r="I121" s="46">
        <f>CAR_26!H27</f>
        <v>0</v>
      </c>
      <c r="J121" s="43">
        <f t="shared" si="25"/>
        <v>5000</v>
      </c>
      <c r="K121" s="35">
        <f>CAR_26!U28</f>
        <v>0</v>
      </c>
      <c r="L121" s="35">
        <f>CAR_26!AE28</f>
        <v>0</v>
      </c>
      <c r="M121" s="36">
        <f>CAR_26!AN28</f>
        <v>0</v>
      </c>
      <c r="O121" s="38" t="s">
        <v>36</v>
      </c>
      <c r="P121" s="46">
        <f>CAR_27!H27</f>
        <v>0</v>
      </c>
      <c r="Q121" s="43">
        <f t="shared" si="26"/>
        <v>5000</v>
      </c>
      <c r="R121" s="35">
        <f>CAR_27!U28</f>
        <v>0</v>
      </c>
      <c r="S121" s="35">
        <f>CAR_27!AE28</f>
        <v>0</v>
      </c>
      <c r="T121" s="36">
        <f>CAR_27!AN28</f>
        <v>0</v>
      </c>
      <c r="V121" s="38" t="s">
        <v>36</v>
      </c>
      <c r="W121" s="46">
        <f>CAR_28!H27</f>
        <v>0</v>
      </c>
      <c r="X121" s="43">
        <f t="shared" si="27"/>
        <v>5000</v>
      </c>
      <c r="Y121" s="35">
        <f>CAR_28!U28</f>
        <v>0</v>
      </c>
      <c r="Z121" s="35">
        <f>CAR_28!AE28</f>
        <v>0</v>
      </c>
      <c r="AA121" s="36">
        <f>CAR_28!AN28</f>
        <v>0</v>
      </c>
    </row>
    <row r="122" spans="1:27" x14ac:dyDescent="0.25">
      <c r="A122" s="38" t="s">
        <v>37</v>
      </c>
      <c r="B122" s="46">
        <f>CAR_25!H31</f>
        <v>0</v>
      </c>
      <c r="C122" s="43">
        <f t="shared" si="24"/>
        <v>5000</v>
      </c>
      <c r="D122" s="35">
        <f>CAR_25!U32</f>
        <v>0</v>
      </c>
      <c r="E122" s="35">
        <f>CAR_25!AE322</f>
        <v>0</v>
      </c>
      <c r="F122" s="36">
        <f>CAR_25!AN32</f>
        <v>0</v>
      </c>
      <c r="H122" s="38" t="s">
        <v>37</v>
      </c>
      <c r="I122" s="46">
        <f>CAR_26!H31</f>
        <v>0</v>
      </c>
      <c r="J122" s="43">
        <f t="shared" si="25"/>
        <v>5000</v>
      </c>
      <c r="K122" s="35">
        <f>CAR_26!U32</f>
        <v>0</v>
      </c>
      <c r="L122" s="35">
        <f>CAR_26!AE32</f>
        <v>0</v>
      </c>
      <c r="M122" s="36">
        <f>CAR_26!AN32</f>
        <v>0</v>
      </c>
      <c r="O122" s="38" t="s">
        <v>37</v>
      </c>
      <c r="P122" s="46">
        <f>CAR_27!H31</f>
        <v>0</v>
      </c>
      <c r="Q122" s="43">
        <f t="shared" si="26"/>
        <v>5000</v>
      </c>
      <c r="R122" s="35">
        <f>CAR_27!U32</f>
        <v>0</v>
      </c>
      <c r="S122" s="35">
        <f>CAR_27!AE32</f>
        <v>0</v>
      </c>
      <c r="T122" s="36">
        <f>CAR_27!AN32</f>
        <v>0</v>
      </c>
      <c r="V122" s="38" t="s">
        <v>37</v>
      </c>
      <c r="W122" s="46">
        <f>CAR_28!H31</f>
        <v>0</v>
      </c>
      <c r="X122" s="43">
        <f t="shared" si="27"/>
        <v>5000</v>
      </c>
      <c r="Y122" s="35">
        <f>CAR_28!U32</f>
        <v>0</v>
      </c>
      <c r="Z122" s="35">
        <f>CAR_28!AE32</f>
        <v>0</v>
      </c>
      <c r="AA122" s="36">
        <f>CAR_28!AN32</f>
        <v>0</v>
      </c>
    </row>
    <row r="123" spans="1:27" x14ac:dyDescent="0.25">
      <c r="A123" s="38" t="s">
        <v>38</v>
      </c>
      <c r="B123" s="46">
        <f>CAR_25!H35</f>
        <v>0</v>
      </c>
      <c r="C123" s="43">
        <f t="shared" si="24"/>
        <v>5000</v>
      </c>
      <c r="D123" s="35">
        <f>CAR_25!U36</f>
        <v>0</v>
      </c>
      <c r="E123" s="35">
        <f>CAR_25!AE36</f>
        <v>0</v>
      </c>
      <c r="F123" s="36">
        <f>CAR_25!AN36</f>
        <v>0</v>
      </c>
      <c r="H123" s="38" t="s">
        <v>38</v>
      </c>
      <c r="I123" s="46">
        <f>CAR_26!H35</f>
        <v>0</v>
      </c>
      <c r="J123" s="43">
        <f t="shared" si="25"/>
        <v>5000</v>
      </c>
      <c r="K123" s="35">
        <f>CAR_26!U36</f>
        <v>0</v>
      </c>
      <c r="L123" s="35">
        <f>CAR_26!AE36</f>
        <v>0</v>
      </c>
      <c r="M123" s="36">
        <f>CAR_26!AN36</f>
        <v>0</v>
      </c>
      <c r="O123" s="38" t="s">
        <v>38</v>
      </c>
      <c r="P123" s="46">
        <f>CAR_27!H35</f>
        <v>0</v>
      </c>
      <c r="Q123" s="43">
        <f t="shared" si="26"/>
        <v>5000</v>
      </c>
      <c r="R123" s="35">
        <f>CAR_27!U36</f>
        <v>0</v>
      </c>
      <c r="S123" s="35">
        <f>CAR_27!AE36</f>
        <v>0</v>
      </c>
      <c r="T123" s="36">
        <f>CAR_27!AN36</f>
        <v>0</v>
      </c>
      <c r="V123" s="38" t="s">
        <v>38</v>
      </c>
      <c r="W123" s="46">
        <f>CAR_28!H35</f>
        <v>0</v>
      </c>
      <c r="X123" s="43">
        <f t="shared" si="27"/>
        <v>5000</v>
      </c>
      <c r="Y123" s="35">
        <f>CAR_28!U36</f>
        <v>0</v>
      </c>
      <c r="Z123" s="35">
        <f>CAR_28!AE36</f>
        <v>0</v>
      </c>
      <c r="AA123" s="36">
        <f>CAR_28!AN36</f>
        <v>0</v>
      </c>
    </row>
    <row r="124" spans="1:27" x14ac:dyDescent="0.25">
      <c r="A124" s="38" t="s">
        <v>39</v>
      </c>
      <c r="B124" s="46">
        <f>CAR_25!H39</f>
        <v>0</v>
      </c>
      <c r="C124" s="43">
        <f t="shared" si="24"/>
        <v>5000</v>
      </c>
      <c r="D124" s="35">
        <f>CAR_25!U40</f>
        <v>0</v>
      </c>
      <c r="E124" s="35">
        <f>CAR_25!AE400</f>
        <v>0</v>
      </c>
      <c r="F124" s="36">
        <f>CAR_25!AN40</f>
        <v>0</v>
      </c>
      <c r="H124" s="38" t="s">
        <v>39</v>
      </c>
      <c r="I124" s="46">
        <f>CAR_26!H39</f>
        <v>0</v>
      </c>
      <c r="J124" s="43">
        <f t="shared" si="25"/>
        <v>5000</v>
      </c>
      <c r="K124" s="35">
        <f>CAR_26!U40</f>
        <v>0</v>
      </c>
      <c r="L124" s="35">
        <f>CAR_26!AE40</f>
        <v>0</v>
      </c>
      <c r="M124" s="36">
        <f>CAR_26!AN40</f>
        <v>0</v>
      </c>
      <c r="O124" s="38" t="s">
        <v>39</v>
      </c>
      <c r="P124" s="46">
        <f>CAR_27!H39</f>
        <v>0</v>
      </c>
      <c r="Q124" s="43">
        <f t="shared" si="26"/>
        <v>5000</v>
      </c>
      <c r="R124" s="35">
        <f>CAR_27!U40</f>
        <v>0</v>
      </c>
      <c r="S124" s="35">
        <f>CAR_27!AE40</f>
        <v>0</v>
      </c>
      <c r="T124" s="36">
        <f>CAR_27!AN40</f>
        <v>0</v>
      </c>
      <c r="V124" s="38" t="s">
        <v>39</v>
      </c>
      <c r="W124" s="46">
        <f>CAR_28!H39</f>
        <v>0</v>
      </c>
      <c r="X124" s="43">
        <f t="shared" si="27"/>
        <v>5000</v>
      </c>
      <c r="Y124" s="35">
        <f>CAR_28!U40</f>
        <v>0</v>
      </c>
      <c r="Z124" s="35">
        <f>CAR_28!AE40</f>
        <v>0</v>
      </c>
      <c r="AA124" s="36">
        <f>CAR_28!AN40</f>
        <v>0</v>
      </c>
    </row>
    <row r="125" spans="1:27" x14ac:dyDescent="0.25">
      <c r="A125" s="38" t="s">
        <v>40</v>
      </c>
      <c r="B125" s="46">
        <f>CAR_25!H43</f>
        <v>0</v>
      </c>
      <c r="C125" s="43">
        <f t="shared" si="24"/>
        <v>5000</v>
      </c>
      <c r="D125" s="35">
        <f>CAR_25!U44</f>
        <v>0</v>
      </c>
      <c r="E125" s="35">
        <f>CAR_25!AE44</f>
        <v>0</v>
      </c>
      <c r="F125" s="36">
        <f>CAR_25!AN44</f>
        <v>0</v>
      </c>
      <c r="H125" s="38" t="s">
        <v>40</v>
      </c>
      <c r="I125" s="46">
        <f>CAR_26!H43</f>
        <v>0</v>
      </c>
      <c r="J125" s="43">
        <f t="shared" si="25"/>
        <v>5000</v>
      </c>
      <c r="K125" s="35">
        <f>CAR_26!U44</f>
        <v>0</v>
      </c>
      <c r="L125" s="35">
        <f>CAR_26!AE44</f>
        <v>0</v>
      </c>
      <c r="M125" s="36">
        <f>CAR_26!AN44</f>
        <v>0</v>
      </c>
      <c r="O125" s="38" t="s">
        <v>40</v>
      </c>
      <c r="P125" s="46">
        <f>CAR_27!H43</f>
        <v>0</v>
      </c>
      <c r="Q125" s="43">
        <f t="shared" si="26"/>
        <v>5000</v>
      </c>
      <c r="R125" s="35">
        <f>CAR_27!U44</f>
        <v>0</v>
      </c>
      <c r="S125" s="35">
        <f>CAR_27!AE44</f>
        <v>0</v>
      </c>
      <c r="T125" s="36">
        <f>CAR_27!AN44</f>
        <v>0</v>
      </c>
      <c r="V125" s="38" t="s">
        <v>40</v>
      </c>
      <c r="W125" s="46">
        <f>CAR_28!H43</f>
        <v>0</v>
      </c>
      <c r="X125" s="43">
        <f t="shared" si="27"/>
        <v>5000</v>
      </c>
      <c r="Y125" s="35">
        <f>CAR_28!U44</f>
        <v>0</v>
      </c>
      <c r="Z125" s="35">
        <f>CAR_28!AE44</f>
        <v>0</v>
      </c>
      <c r="AA125" s="36">
        <f>CAR_28!AN44</f>
        <v>0</v>
      </c>
    </row>
    <row r="126" spans="1:27" x14ac:dyDescent="0.25">
      <c r="A126" s="38" t="s">
        <v>41</v>
      </c>
      <c r="B126" s="46">
        <f>CAR_25!H47</f>
        <v>0</v>
      </c>
      <c r="C126" s="43">
        <f t="shared" si="24"/>
        <v>5000</v>
      </c>
      <c r="D126" s="35">
        <f>CAR_25!U48</f>
        <v>0</v>
      </c>
      <c r="E126" s="35">
        <f>CAR_25!AE48</f>
        <v>0</v>
      </c>
      <c r="F126" s="36">
        <f>CAR_25!AN48</f>
        <v>0</v>
      </c>
      <c r="H126" s="38" t="s">
        <v>41</v>
      </c>
      <c r="I126" s="46">
        <f>CAR_26!H47</f>
        <v>0</v>
      </c>
      <c r="J126" s="43">
        <f t="shared" si="25"/>
        <v>5000</v>
      </c>
      <c r="K126" s="35">
        <f>CAR_26!U48</f>
        <v>0</v>
      </c>
      <c r="L126" s="35">
        <f>CAR_26!AE48</f>
        <v>0</v>
      </c>
      <c r="M126" s="36">
        <f>CAR_26!AN48</f>
        <v>0</v>
      </c>
      <c r="O126" s="38" t="s">
        <v>41</v>
      </c>
      <c r="P126" s="46">
        <f>CAR_27!H47</f>
        <v>0</v>
      </c>
      <c r="Q126" s="43">
        <f t="shared" si="26"/>
        <v>5000</v>
      </c>
      <c r="R126" s="35">
        <f>CAR_27!U48</f>
        <v>0</v>
      </c>
      <c r="S126" s="35">
        <f>CAR_27!AE48</f>
        <v>0</v>
      </c>
      <c r="T126" s="36">
        <f>CAR_27!AN48</f>
        <v>0</v>
      </c>
      <c r="V126" s="38" t="s">
        <v>41</v>
      </c>
      <c r="W126" s="46">
        <f>CAR_28!H47</f>
        <v>0</v>
      </c>
      <c r="X126" s="43">
        <f t="shared" si="27"/>
        <v>5000</v>
      </c>
      <c r="Y126" s="35">
        <f>CAR_28!U48</f>
        <v>0</v>
      </c>
      <c r="Z126" s="35">
        <f>CAR_28!AE48</f>
        <v>0</v>
      </c>
      <c r="AA126" s="36">
        <f>CAR_28!AN48</f>
        <v>0</v>
      </c>
    </row>
    <row r="127" spans="1:27" ht="15.75" thickBot="1" x14ac:dyDescent="0.3">
      <c r="A127" s="39" t="s">
        <v>42</v>
      </c>
      <c r="B127" s="47">
        <f>CAR_25!H51</f>
        <v>0</v>
      </c>
      <c r="C127" s="44">
        <f t="shared" si="24"/>
        <v>5000</v>
      </c>
      <c r="D127" s="11">
        <f>CAR_25!U52</f>
        <v>0</v>
      </c>
      <c r="E127" s="11">
        <f>CAR_25!AE52</f>
        <v>0</v>
      </c>
      <c r="F127" s="12">
        <f>CAR_25!AN52</f>
        <v>0</v>
      </c>
      <c r="H127" s="39" t="s">
        <v>42</v>
      </c>
      <c r="I127" s="47">
        <f>CAR_26!H51</f>
        <v>0</v>
      </c>
      <c r="J127" s="44">
        <f t="shared" si="25"/>
        <v>5000</v>
      </c>
      <c r="K127" s="11">
        <f>CAR_26!U52</f>
        <v>0</v>
      </c>
      <c r="L127" s="11">
        <f>CAR_26!AE52</f>
        <v>0</v>
      </c>
      <c r="M127" s="12">
        <f>CAR_26!AN52</f>
        <v>0</v>
      </c>
      <c r="O127" s="39" t="s">
        <v>42</v>
      </c>
      <c r="P127" s="47">
        <f>CAR_27!H51</f>
        <v>0</v>
      </c>
      <c r="Q127" s="44">
        <f t="shared" si="26"/>
        <v>5000</v>
      </c>
      <c r="R127" s="11">
        <f>CAR_27!U52</f>
        <v>0</v>
      </c>
      <c r="S127" s="11">
        <f>CAR_27!AE52</f>
        <v>0</v>
      </c>
      <c r="T127" s="12">
        <f>CAR_27!AN52</f>
        <v>0</v>
      </c>
      <c r="V127" s="39" t="s">
        <v>42</v>
      </c>
      <c r="W127" s="47">
        <f>CAR_28!H51</f>
        <v>0</v>
      </c>
      <c r="X127" s="44">
        <f t="shared" si="27"/>
        <v>5000</v>
      </c>
      <c r="Y127" s="11">
        <f>CAR_28!U52</f>
        <v>0</v>
      </c>
      <c r="Z127" s="11">
        <f>CAR_28!AE52</f>
        <v>0</v>
      </c>
      <c r="AA127" s="12">
        <f>CAR_28!AN52</f>
        <v>0</v>
      </c>
    </row>
    <row r="128" spans="1:27" ht="15.75" thickBot="1" x14ac:dyDescent="0.3"/>
    <row r="129" spans="1:27" ht="15.75" thickBot="1" x14ac:dyDescent="0.3">
      <c r="A129" s="3" t="s">
        <v>23</v>
      </c>
      <c r="B129" s="52">
        <f>SUM(B116:B127)</f>
        <v>0</v>
      </c>
      <c r="C129" s="51"/>
      <c r="D129" s="50">
        <f>SUM(D116:D127)</f>
        <v>0</v>
      </c>
      <c r="E129" s="49">
        <f>SUM(E116:E127)</f>
        <v>0</v>
      </c>
      <c r="F129" s="48">
        <f>SUM(F116:F127)</f>
        <v>0</v>
      </c>
      <c r="H129" s="3" t="s">
        <v>23</v>
      </c>
      <c r="I129" s="52">
        <f>SUM(I116:I127)</f>
        <v>0</v>
      </c>
      <c r="J129" s="51"/>
      <c r="K129" s="50">
        <f>SUM(K116:K127)</f>
        <v>0</v>
      </c>
      <c r="L129" s="49">
        <f>SUM(L116:L127)</f>
        <v>0</v>
      </c>
      <c r="M129" s="48">
        <f>SUM(M116:M127)</f>
        <v>0</v>
      </c>
      <c r="O129" s="3" t="s">
        <v>23</v>
      </c>
      <c r="P129" s="52">
        <f>SUM(P116:P127)</f>
        <v>0</v>
      </c>
      <c r="Q129" s="51"/>
      <c r="R129" s="50">
        <f>SUM(R116:R127)</f>
        <v>0</v>
      </c>
      <c r="S129" s="49">
        <f>SUM(S116:S127)</f>
        <v>0</v>
      </c>
      <c r="T129" s="48">
        <f>SUM(T116:T127)</f>
        <v>0</v>
      </c>
      <c r="V129" s="3" t="s">
        <v>23</v>
      </c>
      <c r="W129" s="52">
        <f>SUM(W116:W127)</f>
        <v>0</v>
      </c>
      <c r="X129" s="51"/>
      <c r="Y129" s="50">
        <f>SUM(Y116:Y127)</f>
        <v>0</v>
      </c>
      <c r="Z129" s="49">
        <f>SUM(Z116:Z127)</f>
        <v>0</v>
      </c>
      <c r="AA129" s="48">
        <f>SUM(AA116:AA127)</f>
        <v>0</v>
      </c>
    </row>
    <row r="130" spans="1:27" ht="15.75" thickBot="1" x14ac:dyDescent="0.3">
      <c r="A130" s="3" t="s">
        <v>44</v>
      </c>
      <c r="B130" s="23">
        <f>SUM(60000-B129)</f>
        <v>60000</v>
      </c>
      <c r="H130" s="3" t="s">
        <v>44</v>
      </c>
      <c r="I130" s="23">
        <f>SUM(60000-I129)</f>
        <v>60000</v>
      </c>
      <c r="O130" s="3" t="s">
        <v>44</v>
      </c>
      <c r="P130" s="23">
        <f>SUM(60000-P129)</f>
        <v>60000</v>
      </c>
      <c r="V130" s="3" t="s">
        <v>44</v>
      </c>
      <c r="W130" s="23">
        <f>SUM(60000-W129)</f>
        <v>60000</v>
      </c>
    </row>
    <row r="132" spans="1:27" ht="15.75" thickBot="1" x14ac:dyDescent="0.3">
      <c r="B132" s="103" t="s">
        <v>47</v>
      </c>
      <c r="C132" s="103"/>
      <c r="D132" s="103"/>
      <c r="E132" s="103"/>
      <c r="F132" s="103"/>
      <c r="I132" s="103" t="s">
        <v>46</v>
      </c>
      <c r="J132" s="103"/>
      <c r="K132" s="103"/>
      <c r="L132" s="103"/>
      <c r="M132" s="103"/>
    </row>
    <row r="133" spans="1:27" ht="15.75" thickBot="1" x14ac:dyDescent="0.3">
      <c r="B133" s="22" t="s">
        <v>43</v>
      </c>
      <c r="C133" s="33" t="s">
        <v>30</v>
      </c>
      <c r="D133" s="23" t="s">
        <v>26</v>
      </c>
      <c r="E133" s="23" t="s">
        <v>25</v>
      </c>
      <c r="F133" s="25" t="s">
        <v>27</v>
      </c>
      <c r="I133" s="22" t="s">
        <v>43</v>
      </c>
      <c r="J133" s="33" t="s">
        <v>30</v>
      </c>
      <c r="K133" s="23" t="s">
        <v>26</v>
      </c>
      <c r="L133" s="23" t="s">
        <v>25</v>
      </c>
      <c r="M133" s="25" t="s">
        <v>27</v>
      </c>
    </row>
    <row r="134" spans="1:27" x14ac:dyDescent="0.25">
      <c r="A134" s="37" t="s">
        <v>31</v>
      </c>
      <c r="B134" s="45"/>
      <c r="C134" s="42"/>
      <c r="D134" s="40"/>
      <c r="E134" s="40"/>
      <c r="F134" s="41"/>
      <c r="H134" s="37" t="s">
        <v>31</v>
      </c>
      <c r="I134" s="58"/>
      <c r="J134" s="59"/>
      <c r="K134" s="60"/>
      <c r="L134" s="60"/>
      <c r="M134" s="61"/>
    </row>
    <row r="135" spans="1:27" x14ac:dyDescent="0.25">
      <c r="A135" s="38" t="s">
        <v>32</v>
      </c>
      <c r="B135" s="46">
        <f>CAR_29!H11</f>
        <v>0</v>
      </c>
      <c r="C135" s="43">
        <f>SUM(5000-B135)</f>
        <v>5000</v>
      </c>
      <c r="D135" s="35">
        <f>CAR_29!U12</f>
        <v>0</v>
      </c>
      <c r="E135" s="35">
        <f>CAR_29!AE12</f>
        <v>0</v>
      </c>
      <c r="F135" s="36">
        <f>CAR_29!AN12</f>
        <v>0</v>
      </c>
      <c r="H135" s="38" t="s">
        <v>32</v>
      </c>
      <c r="I135" s="46">
        <f>CAR_30!H11</f>
        <v>0</v>
      </c>
      <c r="J135" s="43">
        <f>SUM(5000-I135)</f>
        <v>5000</v>
      </c>
      <c r="K135" s="35">
        <f>CAR_30!U12</f>
        <v>0</v>
      </c>
      <c r="L135" s="35">
        <f>CAR_30!AE12</f>
        <v>0</v>
      </c>
      <c r="M135" s="36">
        <f>CAR_30!AN12</f>
        <v>0</v>
      </c>
    </row>
    <row r="136" spans="1:27" x14ac:dyDescent="0.25">
      <c r="A136" s="38" t="s">
        <v>33</v>
      </c>
      <c r="B136" s="46">
        <f>CAR_29!H15</f>
        <v>0</v>
      </c>
      <c r="C136" s="43">
        <f t="shared" ref="C136:C145" si="28">SUM(5000-B136)</f>
        <v>5000</v>
      </c>
      <c r="D136" s="35">
        <f>CAR_29!U16</f>
        <v>0</v>
      </c>
      <c r="E136" s="35">
        <f>CAR_29!AE16</f>
        <v>0</v>
      </c>
      <c r="F136" s="36">
        <f>CAR_29!AN16</f>
        <v>0</v>
      </c>
      <c r="H136" s="38" t="s">
        <v>33</v>
      </c>
      <c r="I136" s="46">
        <f>CAR_30!H15</f>
        <v>0</v>
      </c>
      <c r="J136" s="43">
        <f t="shared" ref="J136:J145" si="29">SUM(5000-I136)</f>
        <v>5000</v>
      </c>
      <c r="K136" s="35">
        <f>CAR_30!U16</f>
        <v>0</v>
      </c>
      <c r="L136" s="35">
        <f>CAR_30!AE16</f>
        <v>0</v>
      </c>
      <c r="M136" s="36">
        <f>CAR_30!AN16</f>
        <v>0</v>
      </c>
    </row>
    <row r="137" spans="1:27" x14ac:dyDescent="0.25">
      <c r="A137" s="38" t="s">
        <v>34</v>
      </c>
      <c r="B137" s="46">
        <f>CAR_29!H19</f>
        <v>0</v>
      </c>
      <c r="C137" s="43">
        <f t="shared" si="28"/>
        <v>5000</v>
      </c>
      <c r="D137" s="35">
        <f>CAR_29!U20</f>
        <v>0</v>
      </c>
      <c r="E137" s="35">
        <f>CAR_29!AE20</f>
        <v>0</v>
      </c>
      <c r="F137" s="36">
        <f>CAR_29!AN20</f>
        <v>0</v>
      </c>
      <c r="H137" s="38" t="s">
        <v>34</v>
      </c>
      <c r="I137" s="46">
        <f>CAR_30!H19</f>
        <v>0</v>
      </c>
      <c r="J137" s="43">
        <f t="shared" si="29"/>
        <v>5000</v>
      </c>
      <c r="K137" s="35">
        <f>CAR_30!U20</f>
        <v>0</v>
      </c>
      <c r="L137" s="35">
        <f>CAR_30!AE20</f>
        <v>0</v>
      </c>
      <c r="M137" s="36">
        <f>CAR_30!AN20</f>
        <v>0</v>
      </c>
    </row>
    <row r="138" spans="1:27" x14ac:dyDescent="0.25">
      <c r="A138" s="38" t="s">
        <v>35</v>
      </c>
      <c r="B138" s="46">
        <f>CAR_29!H23</f>
        <v>0</v>
      </c>
      <c r="C138" s="43">
        <f t="shared" si="28"/>
        <v>5000</v>
      </c>
      <c r="D138" s="35">
        <f>CAR_29!U24</f>
        <v>0</v>
      </c>
      <c r="E138" s="35">
        <f>CAR_29!AE24</f>
        <v>0</v>
      </c>
      <c r="F138" s="36">
        <f>CAR_29!AN24</f>
        <v>0</v>
      </c>
      <c r="H138" s="38" t="s">
        <v>35</v>
      </c>
      <c r="I138" s="46">
        <f>CAR_30!H23</f>
        <v>0</v>
      </c>
      <c r="J138" s="43">
        <f t="shared" si="29"/>
        <v>5000</v>
      </c>
      <c r="K138" s="35">
        <f>CAR_30!U24</f>
        <v>0</v>
      </c>
      <c r="L138" s="35">
        <f>CAR_30!AE24</f>
        <v>0</v>
      </c>
      <c r="M138" s="36">
        <f>CAR_30!AN24</f>
        <v>0</v>
      </c>
    </row>
    <row r="139" spans="1:27" x14ac:dyDescent="0.25">
      <c r="A139" s="38" t="s">
        <v>36</v>
      </c>
      <c r="B139" s="46">
        <f>CAR_29!H27</f>
        <v>0</v>
      </c>
      <c r="C139" s="43">
        <f t="shared" si="28"/>
        <v>5000</v>
      </c>
      <c r="D139" s="35">
        <f>CAR_29!U28</f>
        <v>0</v>
      </c>
      <c r="E139" s="35">
        <f>CAR_29!AE28</f>
        <v>0</v>
      </c>
      <c r="F139" s="36">
        <f>CAR_29!AN28</f>
        <v>0</v>
      </c>
      <c r="H139" s="38" t="s">
        <v>36</v>
      </c>
      <c r="I139" s="46">
        <f>CAR_30!H27</f>
        <v>0</v>
      </c>
      <c r="J139" s="43">
        <f t="shared" si="29"/>
        <v>5000</v>
      </c>
      <c r="K139" s="35">
        <f>CAR_30!U28</f>
        <v>0</v>
      </c>
      <c r="L139" s="35">
        <f>CAR_30!AE28</f>
        <v>0</v>
      </c>
      <c r="M139" s="36">
        <f>CAR_30!AN28</f>
        <v>0</v>
      </c>
    </row>
    <row r="140" spans="1:27" x14ac:dyDescent="0.25">
      <c r="A140" s="38" t="s">
        <v>37</v>
      </c>
      <c r="B140" s="46">
        <f>CAR_29!H31</f>
        <v>0</v>
      </c>
      <c r="C140" s="43">
        <f t="shared" si="28"/>
        <v>5000</v>
      </c>
      <c r="D140" s="35">
        <f>CAR_29!U32</f>
        <v>0</v>
      </c>
      <c r="E140" s="35">
        <f>CAR_29!AE32</f>
        <v>0</v>
      </c>
      <c r="F140" s="36">
        <f>CAR_29!AN32</f>
        <v>0</v>
      </c>
      <c r="H140" s="38" t="s">
        <v>37</v>
      </c>
      <c r="I140" s="46">
        <f>CAR_30!H31</f>
        <v>0</v>
      </c>
      <c r="J140" s="43">
        <f t="shared" si="29"/>
        <v>5000</v>
      </c>
      <c r="K140" s="35">
        <f>CAR_30!U32</f>
        <v>0</v>
      </c>
      <c r="L140" s="35">
        <f>CAR_30!AE32</f>
        <v>0</v>
      </c>
      <c r="M140" s="36">
        <f>CAR_30!AN32</f>
        <v>0</v>
      </c>
    </row>
    <row r="141" spans="1:27" x14ac:dyDescent="0.25">
      <c r="A141" s="38" t="s">
        <v>38</v>
      </c>
      <c r="B141" s="46">
        <f>CAR_29!H35</f>
        <v>0</v>
      </c>
      <c r="C141" s="43">
        <f t="shared" si="28"/>
        <v>5000</v>
      </c>
      <c r="D141" s="35">
        <f>CAR_29!U36</f>
        <v>0</v>
      </c>
      <c r="E141" s="35">
        <f>CAR_29!AE36</f>
        <v>0</v>
      </c>
      <c r="F141" s="36">
        <f>CAR_29!AN36</f>
        <v>0</v>
      </c>
      <c r="H141" s="38" t="s">
        <v>38</v>
      </c>
      <c r="I141" s="46">
        <f>CAR_30!H35</f>
        <v>0</v>
      </c>
      <c r="J141" s="43">
        <f t="shared" si="29"/>
        <v>5000</v>
      </c>
      <c r="K141" s="35">
        <f>CAR_30!U36</f>
        <v>0</v>
      </c>
      <c r="L141" s="35">
        <f>CAR_30!AE36</f>
        <v>0</v>
      </c>
      <c r="M141" s="36">
        <f>CAR_30!AN36</f>
        <v>0</v>
      </c>
    </row>
    <row r="142" spans="1:27" x14ac:dyDescent="0.25">
      <c r="A142" s="38" t="s">
        <v>39</v>
      </c>
      <c r="B142" s="46">
        <f>CAR_29!H39</f>
        <v>0</v>
      </c>
      <c r="C142" s="43">
        <f t="shared" si="28"/>
        <v>5000</v>
      </c>
      <c r="D142" s="35">
        <f>CAR_29!U40</f>
        <v>0</v>
      </c>
      <c r="E142" s="35">
        <f>CAR_29!AE40</f>
        <v>0</v>
      </c>
      <c r="F142" s="36">
        <f>CAR_29!AN40</f>
        <v>0</v>
      </c>
      <c r="H142" s="38" t="s">
        <v>39</v>
      </c>
      <c r="I142" s="46">
        <f>CAR_30!H39</f>
        <v>0</v>
      </c>
      <c r="J142" s="43">
        <f t="shared" si="29"/>
        <v>5000</v>
      </c>
      <c r="K142" s="35">
        <f>CAR_30!U40</f>
        <v>0</v>
      </c>
      <c r="L142" s="35">
        <f>CAR_30!AE40</f>
        <v>0</v>
      </c>
      <c r="M142" s="36">
        <f>CAR_30!AN40</f>
        <v>0</v>
      </c>
    </row>
    <row r="143" spans="1:27" x14ac:dyDescent="0.25">
      <c r="A143" s="38" t="s">
        <v>40</v>
      </c>
      <c r="B143" s="46">
        <f>CAR_29!H43</f>
        <v>0</v>
      </c>
      <c r="C143" s="43">
        <f t="shared" si="28"/>
        <v>5000</v>
      </c>
      <c r="D143" s="35">
        <f>CAR_29!U44</f>
        <v>0</v>
      </c>
      <c r="E143" s="35">
        <f>CAR_29!AE44</f>
        <v>0</v>
      </c>
      <c r="F143" s="36">
        <f>CAR_29!AN44</f>
        <v>0</v>
      </c>
      <c r="H143" s="38" t="s">
        <v>40</v>
      </c>
      <c r="I143" s="46">
        <f>CAR_30!H43</f>
        <v>0</v>
      </c>
      <c r="J143" s="43">
        <f t="shared" si="29"/>
        <v>5000</v>
      </c>
      <c r="K143" s="35">
        <f>CAR_30!U44</f>
        <v>0</v>
      </c>
      <c r="L143" s="35">
        <f>CAR_30!AE44</f>
        <v>0</v>
      </c>
      <c r="M143" s="36">
        <f>CAR_30!AN44</f>
        <v>0</v>
      </c>
    </row>
    <row r="144" spans="1:27" x14ac:dyDescent="0.25">
      <c r="A144" s="38" t="s">
        <v>41</v>
      </c>
      <c r="B144" s="46">
        <f>CAR_29!H47</f>
        <v>0</v>
      </c>
      <c r="C144" s="43">
        <f t="shared" si="28"/>
        <v>5000</v>
      </c>
      <c r="D144" s="35">
        <f>CAR_29!U48</f>
        <v>0</v>
      </c>
      <c r="E144" s="35">
        <f>CAR_29!AE48</f>
        <v>0</v>
      </c>
      <c r="F144" s="36">
        <f>CAR_29!AN48</f>
        <v>0</v>
      </c>
      <c r="H144" s="38" t="s">
        <v>41</v>
      </c>
      <c r="I144" s="46">
        <f>CAR_30!H47</f>
        <v>0</v>
      </c>
      <c r="J144" s="43">
        <f t="shared" si="29"/>
        <v>5000</v>
      </c>
      <c r="K144" s="35">
        <f>CAR_30!U48</f>
        <v>0</v>
      </c>
      <c r="L144" s="35">
        <f>CAR_30!AE48</f>
        <v>0</v>
      </c>
      <c r="M144" s="36">
        <f>CAR_30!AN48</f>
        <v>0</v>
      </c>
    </row>
    <row r="145" spans="1:13" ht="15.75" thickBot="1" x14ac:dyDescent="0.3">
      <c r="A145" s="39" t="s">
        <v>42</v>
      </c>
      <c r="B145" s="47">
        <f>CAR_29!H51</f>
        <v>0</v>
      </c>
      <c r="C145" s="44">
        <f t="shared" si="28"/>
        <v>5000</v>
      </c>
      <c r="D145" s="11">
        <f>CAR_29!U52</f>
        <v>0</v>
      </c>
      <c r="E145" s="11">
        <f>CAR_29!AE52</f>
        <v>0</v>
      </c>
      <c r="F145" s="12">
        <f>CAR_29!AN52</f>
        <v>0</v>
      </c>
      <c r="H145" s="39" t="s">
        <v>42</v>
      </c>
      <c r="I145" s="47">
        <f>CAR_30!H51</f>
        <v>0</v>
      </c>
      <c r="J145" s="44">
        <f t="shared" si="29"/>
        <v>5000</v>
      </c>
      <c r="K145" s="11">
        <f>CAR_30!U52</f>
        <v>0</v>
      </c>
      <c r="L145" s="11">
        <f>CAR_30!AE52</f>
        <v>0</v>
      </c>
      <c r="M145" s="12">
        <f>CAR_30!AN52</f>
        <v>0</v>
      </c>
    </row>
    <row r="146" spans="1:13" ht="15.75" thickBot="1" x14ac:dyDescent="0.3"/>
    <row r="147" spans="1:13" ht="15.75" thickBot="1" x14ac:dyDescent="0.3">
      <c r="A147" s="3" t="s">
        <v>23</v>
      </c>
      <c r="B147" s="52">
        <f>SUM(B134:B145)</f>
        <v>0</v>
      </c>
      <c r="C147" s="51"/>
      <c r="D147" s="50">
        <f>SUM(D134:D145)</f>
        <v>0</v>
      </c>
      <c r="E147" s="49">
        <f>SUM(E134:E145)</f>
        <v>0</v>
      </c>
      <c r="F147" s="48">
        <f>SUM(F134:F145)</f>
        <v>0</v>
      </c>
      <c r="H147" s="3" t="s">
        <v>23</v>
      </c>
      <c r="I147" s="52">
        <f>SUM(I134:I145)</f>
        <v>0</v>
      </c>
      <c r="J147" s="51"/>
      <c r="K147" s="50">
        <f>SUM(K134:K145)</f>
        <v>0</v>
      </c>
      <c r="L147" s="49">
        <f>SUM(L134:L145)</f>
        <v>0</v>
      </c>
      <c r="M147" s="48">
        <f>SUM(M134:M145)</f>
        <v>0</v>
      </c>
    </row>
    <row r="148" spans="1:13" ht="15.75" thickBot="1" x14ac:dyDescent="0.3">
      <c r="A148" s="3" t="s">
        <v>44</v>
      </c>
      <c r="B148" s="23">
        <f>SUM(60000-B147)</f>
        <v>60000</v>
      </c>
      <c r="H148" s="3" t="s">
        <v>44</v>
      </c>
      <c r="I148" s="23">
        <f>SUM(60000-I147)</f>
        <v>60000</v>
      </c>
    </row>
  </sheetData>
  <mergeCells count="30">
    <mergeCell ref="B114:F114"/>
    <mergeCell ref="I114:M114"/>
    <mergeCell ref="P114:T114"/>
    <mergeCell ref="W114:AA114"/>
    <mergeCell ref="B132:F132"/>
    <mergeCell ref="I132:M132"/>
    <mergeCell ref="B78:F78"/>
    <mergeCell ref="I78:M78"/>
    <mergeCell ref="P78:T78"/>
    <mergeCell ref="W78:AA78"/>
    <mergeCell ref="B96:F96"/>
    <mergeCell ref="I96:M96"/>
    <mergeCell ref="P96:T96"/>
    <mergeCell ref="W96:AA96"/>
    <mergeCell ref="B40:F40"/>
    <mergeCell ref="I40:M40"/>
    <mergeCell ref="P40:T40"/>
    <mergeCell ref="W40:AA40"/>
    <mergeCell ref="B59:F59"/>
    <mergeCell ref="I59:M59"/>
    <mergeCell ref="P59:T59"/>
    <mergeCell ref="W59:AA59"/>
    <mergeCell ref="B2:F2"/>
    <mergeCell ref="I2:M2"/>
    <mergeCell ref="P2:T2"/>
    <mergeCell ref="W2:AA2"/>
    <mergeCell ref="B21:F21"/>
    <mergeCell ref="I21:M21"/>
    <mergeCell ref="P21:T21"/>
    <mergeCell ref="W21:AA21"/>
  </mergeCells>
  <phoneticPr fontId="3" type="noConversion"/>
  <conditionalFormatting sqref="B18">
    <cfRule type="iconSet" priority="31">
      <iconSet>
        <cfvo type="percent" val="0"/>
        <cfvo type="num" val="-1"/>
        <cfvo type="num" val="0"/>
      </iconSet>
    </cfRule>
  </conditionalFormatting>
  <conditionalFormatting sqref="B37">
    <cfRule type="iconSet" priority="27">
      <iconSet>
        <cfvo type="percent" val="0"/>
        <cfvo type="num" val="-1"/>
        <cfvo type="num" val="0"/>
      </iconSet>
    </cfRule>
  </conditionalFormatting>
  <conditionalFormatting sqref="B56">
    <cfRule type="iconSet" priority="23">
      <iconSet>
        <cfvo type="percent" val="0"/>
        <cfvo type="num" val="-1"/>
        <cfvo type="num" val="0"/>
      </iconSet>
    </cfRule>
  </conditionalFormatting>
  <conditionalFormatting sqref="B75">
    <cfRule type="iconSet" priority="19">
      <iconSet>
        <cfvo type="percent" val="0"/>
        <cfvo type="num" val="-1"/>
        <cfvo type="num" val="0"/>
      </iconSet>
    </cfRule>
  </conditionalFormatting>
  <conditionalFormatting sqref="B94">
    <cfRule type="iconSet" priority="15">
      <iconSet>
        <cfvo type="percent" val="0"/>
        <cfvo type="num" val="-1"/>
        <cfvo type="num" val="0"/>
      </iconSet>
    </cfRule>
  </conditionalFormatting>
  <conditionalFormatting sqref="B112">
    <cfRule type="iconSet" priority="11">
      <iconSet>
        <cfvo type="percent" val="0"/>
        <cfvo type="num" val="-1"/>
        <cfvo type="num" val="0"/>
      </iconSet>
    </cfRule>
  </conditionalFormatting>
  <conditionalFormatting sqref="B130">
    <cfRule type="iconSet" priority="7">
      <iconSet>
        <cfvo type="percent" val="0"/>
        <cfvo type="num" val="-1"/>
        <cfvo type="num" val="0"/>
      </iconSet>
    </cfRule>
  </conditionalFormatting>
  <conditionalFormatting sqref="B148">
    <cfRule type="iconSet" priority="3">
      <iconSet>
        <cfvo type="percent" val="0"/>
        <cfvo type="num" val="-1"/>
        <cfvo type="num" val="0"/>
      </iconSet>
    </cfRule>
  </conditionalFormatting>
  <conditionalFormatting sqref="I18">
    <cfRule type="iconSet" priority="30">
      <iconSet>
        <cfvo type="percent" val="0"/>
        <cfvo type="num" val="-1"/>
        <cfvo type="num" val="0"/>
      </iconSet>
    </cfRule>
  </conditionalFormatting>
  <conditionalFormatting sqref="I37">
    <cfRule type="iconSet" priority="26">
      <iconSet>
        <cfvo type="percent" val="0"/>
        <cfvo type="num" val="-1"/>
        <cfvo type="num" val="0"/>
      </iconSet>
    </cfRule>
  </conditionalFormatting>
  <conditionalFormatting sqref="I56">
    <cfRule type="iconSet" priority="22">
      <iconSet>
        <cfvo type="percent" val="0"/>
        <cfvo type="num" val="-1"/>
        <cfvo type="num" val="0"/>
      </iconSet>
    </cfRule>
  </conditionalFormatting>
  <conditionalFormatting sqref="I75">
    <cfRule type="iconSet" priority="18">
      <iconSet>
        <cfvo type="percent" val="0"/>
        <cfvo type="num" val="-1"/>
        <cfvo type="num" val="0"/>
      </iconSet>
    </cfRule>
  </conditionalFormatting>
  <conditionalFormatting sqref="I94">
    <cfRule type="iconSet" priority="14">
      <iconSet>
        <cfvo type="percent" val="0"/>
        <cfvo type="num" val="-1"/>
        <cfvo type="num" val="0"/>
      </iconSet>
    </cfRule>
  </conditionalFormatting>
  <conditionalFormatting sqref="I112">
    <cfRule type="iconSet" priority="10">
      <iconSet>
        <cfvo type="percent" val="0"/>
        <cfvo type="num" val="-1"/>
        <cfvo type="num" val="0"/>
      </iconSet>
    </cfRule>
  </conditionalFormatting>
  <conditionalFormatting sqref="I130">
    <cfRule type="iconSet" priority="6">
      <iconSet>
        <cfvo type="percent" val="0"/>
        <cfvo type="num" val="-1"/>
        <cfvo type="num" val="0"/>
      </iconSet>
    </cfRule>
  </conditionalFormatting>
  <conditionalFormatting sqref="I148">
    <cfRule type="iconSet" priority="2">
      <iconSet>
        <cfvo type="percent" val="0"/>
        <cfvo type="num" val="-1"/>
        <cfvo type="num" val="0"/>
      </iconSet>
    </cfRule>
  </conditionalFormatting>
  <conditionalFormatting sqref="P18">
    <cfRule type="iconSet" priority="1">
      <iconSet>
        <cfvo type="percent" val="0"/>
        <cfvo type="num" val="-1"/>
        <cfvo type="num" val="0"/>
      </iconSet>
    </cfRule>
  </conditionalFormatting>
  <conditionalFormatting sqref="P37">
    <cfRule type="iconSet" priority="25">
      <iconSet>
        <cfvo type="percent" val="0"/>
        <cfvo type="num" val="-1"/>
        <cfvo type="num" val="0"/>
      </iconSet>
    </cfRule>
  </conditionalFormatting>
  <conditionalFormatting sqref="P56">
    <cfRule type="iconSet" priority="21">
      <iconSet>
        <cfvo type="percent" val="0"/>
        <cfvo type="num" val="-1"/>
        <cfvo type="num" val="0"/>
      </iconSet>
    </cfRule>
  </conditionalFormatting>
  <conditionalFormatting sqref="P75">
    <cfRule type="iconSet" priority="17">
      <iconSet>
        <cfvo type="percent" val="0"/>
        <cfvo type="num" val="-1"/>
        <cfvo type="num" val="0"/>
      </iconSet>
    </cfRule>
  </conditionalFormatting>
  <conditionalFormatting sqref="P94">
    <cfRule type="iconSet" priority="13">
      <iconSet>
        <cfvo type="percent" val="0"/>
        <cfvo type="num" val="-1"/>
        <cfvo type="num" val="0"/>
      </iconSet>
    </cfRule>
  </conditionalFormatting>
  <conditionalFormatting sqref="P112">
    <cfRule type="iconSet" priority="9">
      <iconSet>
        <cfvo type="percent" val="0"/>
        <cfvo type="num" val="-1"/>
        <cfvo type="num" val="0"/>
      </iconSet>
    </cfRule>
  </conditionalFormatting>
  <conditionalFormatting sqref="P130">
    <cfRule type="iconSet" priority="5">
      <iconSet>
        <cfvo type="percent" val="0"/>
        <cfvo type="num" val="-1"/>
        <cfvo type="num" val="0"/>
      </iconSet>
    </cfRule>
  </conditionalFormatting>
  <conditionalFormatting sqref="W18">
    <cfRule type="iconSet" priority="28">
      <iconSet>
        <cfvo type="percent" val="0"/>
        <cfvo type="num" val="-1"/>
        <cfvo type="num" val="0"/>
      </iconSet>
    </cfRule>
  </conditionalFormatting>
  <conditionalFormatting sqref="W37">
    <cfRule type="iconSet" priority="24">
      <iconSet>
        <cfvo type="percent" val="0"/>
        <cfvo type="num" val="-1"/>
        <cfvo type="num" val="0"/>
      </iconSet>
    </cfRule>
  </conditionalFormatting>
  <conditionalFormatting sqref="W56">
    <cfRule type="iconSet" priority="20">
      <iconSet>
        <cfvo type="percent" val="0"/>
        <cfvo type="num" val="-1"/>
        <cfvo type="num" val="0"/>
      </iconSet>
    </cfRule>
  </conditionalFormatting>
  <conditionalFormatting sqref="W75">
    <cfRule type="iconSet" priority="16">
      <iconSet>
        <cfvo type="percent" val="0"/>
        <cfvo type="num" val="-1"/>
        <cfvo type="num" val="0"/>
      </iconSet>
    </cfRule>
  </conditionalFormatting>
  <conditionalFormatting sqref="W94">
    <cfRule type="iconSet" priority="12">
      <iconSet>
        <cfvo type="percent" val="0"/>
        <cfvo type="num" val="-1"/>
        <cfvo type="num" val="0"/>
      </iconSet>
    </cfRule>
  </conditionalFormatting>
  <conditionalFormatting sqref="W112">
    <cfRule type="iconSet" priority="8">
      <iconSet>
        <cfvo type="percent" val="0"/>
        <cfvo type="num" val="-1"/>
        <cfvo type="num" val="0"/>
      </iconSet>
    </cfRule>
  </conditionalFormatting>
  <conditionalFormatting sqref="W130">
    <cfRule type="iconSet" priority="4">
      <iconSet>
        <cfvo type="percent" val="0"/>
        <cfvo type="num" val="-1"/>
        <cfvo type="num" val="0"/>
      </iconSet>
    </cfRule>
  </conditionalFormatting>
  <pageMargins left="0.511811024" right="0.511811024" top="0.78740157499999996" bottom="0.78740157499999996" header="0.31496062000000002" footer="0.31496062000000002"/>
  <ignoredErrors>
    <ignoredError sqref="D48"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N56"/>
  <sheetViews>
    <sheetView showGridLines="0" topLeftCell="A7" workbookViewId="0">
      <selection activeCell="I26" sqref="I26"/>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2" width="10.42578125" bestFit="1" customWidth="1"/>
    <col min="21" max="21" width="10.5703125" bestFit="1" customWidth="1"/>
    <col min="37" max="39" width="10.140625" bestFit="1" customWidth="1"/>
  </cols>
  <sheetData>
    <row r="2" spans="1:40" x14ac:dyDescent="0.25">
      <c r="A2" t="s">
        <v>0</v>
      </c>
      <c r="B2" s="94" t="s">
        <v>149</v>
      </c>
      <c r="C2" s="94"/>
      <c r="D2" s="1" t="s">
        <v>1</v>
      </c>
      <c r="E2" s="94" t="s">
        <v>150</v>
      </c>
      <c r="F2" s="94"/>
      <c r="H2" t="s">
        <v>138</v>
      </c>
      <c r="I2" s="75">
        <v>3000</v>
      </c>
    </row>
    <row r="3" spans="1:40" x14ac:dyDescent="0.25">
      <c r="A3" t="s">
        <v>79</v>
      </c>
      <c r="B3" s="108">
        <v>46123</v>
      </c>
      <c r="C3" s="94"/>
      <c r="D3" s="1" t="s">
        <v>1</v>
      </c>
      <c r="E3" s="94" t="s">
        <v>117</v>
      </c>
      <c r="F3" s="94"/>
      <c r="H3" t="s">
        <v>80</v>
      </c>
      <c r="I3" s="70" t="s">
        <v>82</v>
      </c>
    </row>
    <row r="4" spans="1:40" x14ac:dyDescent="0.25">
      <c r="A4" t="s">
        <v>2</v>
      </c>
      <c r="B4" s="95">
        <v>7553</v>
      </c>
      <c r="C4" s="95"/>
      <c r="D4" s="1" t="s">
        <v>29</v>
      </c>
      <c r="E4" s="94" t="s">
        <v>151</v>
      </c>
      <c r="F4" s="94"/>
      <c r="H4" t="s">
        <v>118</v>
      </c>
      <c r="I4" s="76">
        <v>46116</v>
      </c>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87" t="s">
        <v>150</v>
      </c>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v>46121</v>
      </c>
      <c r="L18" s="66">
        <v>46123</v>
      </c>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v>32598</v>
      </c>
      <c r="C19" s="27">
        <v>32944</v>
      </c>
      <c r="D19" s="27"/>
      <c r="E19" s="27"/>
      <c r="F19" s="27">
        <f>SUM(C19-B19)</f>
        <v>346</v>
      </c>
      <c r="G19" s="20">
        <f>SUM(E19-D19)</f>
        <v>0</v>
      </c>
      <c r="H19" s="21">
        <f>SUM(F19:G19)</f>
        <v>346</v>
      </c>
      <c r="J19" s="7" t="s">
        <v>22</v>
      </c>
      <c r="K19" s="30">
        <v>342.64</v>
      </c>
      <c r="L19" s="31">
        <v>61.74</v>
      </c>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404.38</v>
      </c>
      <c r="AD20" s="8" t="s">
        <v>23</v>
      </c>
      <c r="AE20" s="13">
        <f>SUM(Z19:AE19)</f>
        <v>0</v>
      </c>
      <c r="AM20" s="8" t="s">
        <v>23</v>
      </c>
      <c r="AN20" s="13">
        <f>SUM(AI19:AN19)</f>
        <v>0</v>
      </c>
    </row>
    <row r="21" spans="1:40" ht="15.75" thickBot="1" x14ac:dyDescent="0.3">
      <c r="A21" s="87" t="s">
        <v>117</v>
      </c>
      <c r="B21" s="99" t="s">
        <v>14</v>
      </c>
      <c r="C21" s="99"/>
      <c r="D21" s="99"/>
      <c r="E21" s="99"/>
      <c r="F21" s="99"/>
      <c r="G21" s="99"/>
      <c r="H21" s="99"/>
      <c r="J21" s="100" t="s">
        <v>14</v>
      </c>
      <c r="K21" s="100"/>
      <c r="L21" s="100"/>
      <c r="M21" s="100"/>
      <c r="N21" s="100"/>
      <c r="O21" s="100"/>
      <c r="P21" s="100"/>
      <c r="Q21" s="100"/>
      <c r="R21" s="100"/>
      <c r="S21" s="100"/>
      <c r="T21" s="100"/>
      <c r="U21" s="100"/>
      <c r="Y21" s="101" t="str">
        <f>J21</f>
        <v>Abril</v>
      </c>
      <c r="Z21" s="101"/>
      <c r="AA21" s="101"/>
      <c r="AB21" s="101"/>
      <c r="AC21" s="101"/>
      <c r="AD21" s="101"/>
      <c r="AE21" s="101"/>
      <c r="AH21" s="102" t="str">
        <f>Y21</f>
        <v>Abril</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v>48016</v>
      </c>
      <c r="C23" s="27"/>
      <c r="D23" s="27"/>
      <c r="E23" s="27">
        <v>49352</v>
      </c>
      <c r="F23" s="27">
        <f>SUM(C23-B23)</f>
        <v>-48016</v>
      </c>
      <c r="G23" s="20">
        <f>SUM(E23-D23)</f>
        <v>49352</v>
      </c>
      <c r="H23" s="21">
        <f>SUM(F23:G23)</f>
        <v>1336</v>
      </c>
      <c r="J23" s="7" t="s">
        <v>22</v>
      </c>
      <c r="K23" s="30"/>
      <c r="L23" s="31"/>
      <c r="M23" s="31"/>
      <c r="N23" s="31"/>
      <c r="O23" s="31"/>
      <c r="P23" s="31"/>
      <c r="Q23" s="31"/>
      <c r="R23" s="31"/>
      <c r="S23" s="31"/>
      <c r="T23" s="31"/>
      <c r="U23" s="3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15</v>
      </c>
      <c r="C25" s="99"/>
      <c r="D25" s="99"/>
      <c r="E25" s="99"/>
      <c r="F25" s="99"/>
      <c r="G25" s="99"/>
      <c r="H25" s="99"/>
      <c r="J25" s="100" t="s">
        <v>15</v>
      </c>
      <c r="K25" s="100"/>
      <c r="L25" s="100"/>
      <c r="M25" s="100"/>
      <c r="N25" s="100"/>
      <c r="O25" s="100"/>
      <c r="P25" s="100"/>
      <c r="Q25" s="100"/>
      <c r="R25" s="100"/>
      <c r="S25" s="100"/>
      <c r="T25" s="100"/>
      <c r="U25" s="100"/>
      <c r="Y25" s="101" t="str">
        <f>J25</f>
        <v>Maio</v>
      </c>
      <c r="Z25" s="101"/>
      <c r="AA25" s="101"/>
      <c r="AB25" s="101"/>
      <c r="AC25" s="101"/>
      <c r="AD25" s="101"/>
      <c r="AE25" s="101"/>
      <c r="AH25" s="102" t="str">
        <f>Y25</f>
        <v>Maio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7">
        <v>49352</v>
      </c>
      <c r="C27" s="27"/>
      <c r="D27" s="27"/>
      <c r="E27" s="27">
        <v>51672</v>
      </c>
      <c r="F27" s="27">
        <f>SUM(C27-B27)</f>
        <v>-49352</v>
      </c>
      <c r="G27" s="20">
        <f>SUM(E27-D27)</f>
        <v>51672</v>
      </c>
      <c r="H27" s="21">
        <f>SUM(F27:G27)</f>
        <v>2320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24</v>
      </c>
      <c r="C29" s="99"/>
      <c r="D29" s="99"/>
      <c r="E29" s="99"/>
      <c r="F29" s="99"/>
      <c r="G29" s="99"/>
      <c r="H29" s="99"/>
      <c r="J29" s="100" t="s">
        <v>24</v>
      </c>
      <c r="K29" s="100"/>
      <c r="L29" s="100"/>
      <c r="M29" s="100"/>
      <c r="N29" s="100"/>
      <c r="O29" s="100"/>
      <c r="P29" s="100"/>
      <c r="Q29" s="100"/>
      <c r="R29" s="100"/>
      <c r="S29" s="100"/>
      <c r="T29" s="100"/>
      <c r="U29" s="100"/>
      <c r="Y29" s="101" t="str">
        <f>J29</f>
        <v>Junho</v>
      </c>
      <c r="Z29" s="101"/>
      <c r="AA29" s="101"/>
      <c r="AB29" s="101"/>
      <c r="AC29" s="101"/>
      <c r="AD29" s="101"/>
      <c r="AE29" s="101"/>
      <c r="AH29" s="102" t="str">
        <f>Y29</f>
        <v>Junho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16</v>
      </c>
      <c r="C33" s="99"/>
      <c r="D33" s="99"/>
      <c r="E33" s="99"/>
      <c r="F33" s="99"/>
      <c r="G33" s="99"/>
      <c r="H33" s="99"/>
      <c r="J33" s="100" t="s">
        <v>16</v>
      </c>
      <c r="K33" s="100"/>
      <c r="L33" s="100"/>
      <c r="M33" s="100"/>
      <c r="N33" s="100"/>
      <c r="O33" s="100"/>
      <c r="P33" s="100"/>
      <c r="Q33" s="100"/>
      <c r="R33" s="100"/>
      <c r="S33" s="100"/>
      <c r="T33" s="100"/>
      <c r="U33" s="100"/>
      <c r="Y33" s="101" t="str">
        <f>J33</f>
        <v>Julho</v>
      </c>
      <c r="Z33" s="101"/>
      <c r="AA33" s="101"/>
      <c r="AB33" s="101"/>
      <c r="AC33" s="101"/>
      <c r="AD33" s="101"/>
      <c r="AE33" s="101"/>
      <c r="AH33" s="102" t="str">
        <f>Y33</f>
        <v>Julho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17</v>
      </c>
      <c r="C37" s="99"/>
      <c r="D37" s="99"/>
      <c r="E37" s="99"/>
      <c r="F37" s="99"/>
      <c r="G37" s="99"/>
      <c r="H37" s="99"/>
      <c r="J37" s="100" t="s">
        <v>17</v>
      </c>
      <c r="K37" s="100"/>
      <c r="L37" s="100"/>
      <c r="M37" s="100"/>
      <c r="N37" s="100"/>
      <c r="O37" s="100"/>
      <c r="P37" s="100"/>
      <c r="Q37" s="100"/>
      <c r="R37" s="100"/>
      <c r="S37" s="100"/>
      <c r="T37" s="100"/>
      <c r="U37" s="100"/>
      <c r="Y37" s="101" t="str">
        <f>J37</f>
        <v>Agosto</v>
      </c>
      <c r="Z37" s="101"/>
      <c r="AA37" s="101"/>
      <c r="AB37" s="101"/>
      <c r="AC37" s="101"/>
      <c r="AD37" s="101"/>
      <c r="AE37" s="101"/>
      <c r="AH37" s="102" t="str">
        <f>Y37</f>
        <v>Agosto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18</v>
      </c>
      <c r="C41" s="99"/>
      <c r="D41" s="99"/>
      <c r="E41" s="99"/>
      <c r="F41" s="99"/>
      <c r="G41" s="99"/>
      <c r="H41" s="99"/>
      <c r="J41" s="100" t="s">
        <v>18</v>
      </c>
      <c r="K41" s="100"/>
      <c r="L41" s="100"/>
      <c r="M41" s="100"/>
      <c r="N41" s="100"/>
      <c r="O41" s="100"/>
      <c r="P41" s="100"/>
      <c r="Q41" s="100"/>
      <c r="R41" s="100"/>
      <c r="S41" s="100"/>
      <c r="T41" s="100"/>
      <c r="U41" s="100"/>
      <c r="Y41" s="101" t="str">
        <f>J41</f>
        <v>Setembro</v>
      </c>
      <c r="Z41" s="101"/>
      <c r="AA41" s="101"/>
      <c r="AB41" s="101"/>
      <c r="AC41" s="101"/>
      <c r="AD41" s="101"/>
      <c r="AE41" s="101"/>
      <c r="AH41" s="102" t="str">
        <f>Y41</f>
        <v>Setembro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9" t="s">
        <v>19</v>
      </c>
      <c r="C45" s="99"/>
      <c r="D45" s="99"/>
      <c r="E45" s="99"/>
      <c r="F45" s="99"/>
      <c r="G45" s="99"/>
      <c r="H45" s="99"/>
      <c r="J45" s="100" t="s">
        <v>19</v>
      </c>
      <c r="K45" s="100"/>
      <c r="L45" s="100"/>
      <c r="M45" s="100"/>
      <c r="N45" s="100"/>
      <c r="O45" s="100"/>
      <c r="P45" s="100"/>
      <c r="Q45" s="100"/>
      <c r="R45" s="100"/>
      <c r="S45" s="100"/>
      <c r="T45" s="100"/>
      <c r="U45" s="100"/>
      <c r="Y45" s="101" t="str">
        <f>J45</f>
        <v>Outubro</v>
      </c>
      <c r="Z45" s="101"/>
      <c r="AA45" s="101"/>
      <c r="AB45" s="101"/>
      <c r="AC45" s="101"/>
      <c r="AD45" s="101"/>
      <c r="AE45" s="101"/>
      <c r="AH45" s="102" t="str">
        <f>Y45</f>
        <v>Outubro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9" t="s">
        <v>20</v>
      </c>
      <c r="C49" s="99"/>
      <c r="D49" s="99"/>
      <c r="E49" s="99"/>
      <c r="F49" s="99"/>
      <c r="G49" s="99"/>
      <c r="H49" s="99"/>
      <c r="J49" s="100" t="s">
        <v>20</v>
      </c>
      <c r="K49" s="100"/>
      <c r="L49" s="100"/>
      <c r="M49" s="100"/>
      <c r="N49" s="100"/>
      <c r="O49" s="100"/>
      <c r="P49" s="100"/>
      <c r="Q49" s="100"/>
      <c r="R49" s="100"/>
      <c r="S49" s="100"/>
      <c r="T49" s="100"/>
      <c r="U49" s="100"/>
      <c r="Y49" s="101" t="str">
        <f>J49</f>
        <v>Novembro</v>
      </c>
      <c r="Z49" s="101"/>
      <c r="AA49" s="101"/>
      <c r="AB49" s="101"/>
      <c r="AC49" s="101"/>
      <c r="AD49" s="101"/>
      <c r="AE49" s="101"/>
      <c r="AH49" s="102" t="str">
        <f>Y49</f>
        <v>Novembro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row r="53" spans="1:40" ht="15.75" thickBot="1" x14ac:dyDescent="0.3">
      <c r="A53" s="19"/>
      <c r="B53" s="99" t="s">
        <v>21</v>
      </c>
      <c r="C53" s="99"/>
      <c r="D53" s="99"/>
      <c r="E53" s="99"/>
      <c r="F53" s="99"/>
      <c r="G53" s="99"/>
      <c r="H53" s="99"/>
      <c r="J53" s="100" t="s">
        <v>21</v>
      </c>
      <c r="K53" s="100"/>
      <c r="L53" s="100"/>
      <c r="M53" s="100"/>
      <c r="N53" s="100"/>
      <c r="O53" s="100"/>
      <c r="P53" s="100"/>
      <c r="Q53" s="100"/>
      <c r="R53" s="100"/>
      <c r="S53" s="100"/>
      <c r="T53" s="100"/>
      <c r="U53" s="100"/>
      <c r="Y53" s="101" t="str">
        <f>J53</f>
        <v>Dezembro</v>
      </c>
      <c r="Z53" s="101"/>
      <c r="AA53" s="101"/>
      <c r="AB53" s="101"/>
      <c r="AC53" s="101"/>
      <c r="AD53" s="101"/>
      <c r="AE53" s="101"/>
      <c r="AH53" s="102" t="str">
        <f>Y53</f>
        <v>Dezembro</v>
      </c>
      <c r="AI53" s="102"/>
      <c r="AJ53" s="102"/>
      <c r="AK53" s="102"/>
      <c r="AL53" s="102"/>
      <c r="AM53" s="102"/>
      <c r="AN53" s="102"/>
    </row>
    <row r="54" spans="1:40" ht="15.75" thickBot="1" x14ac:dyDescent="0.3">
      <c r="A54" s="97" t="s">
        <v>5</v>
      </c>
      <c r="B54" s="34" t="s">
        <v>6</v>
      </c>
      <c r="C54" s="22" t="s">
        <v>7</v>
      </c>
      <c r="D54" s="33" t="s">
        <v>8</v>
      </c>
      <c r="E54" s="22" t="s">
        <v>9</v>
      </c>
      <c r="F54" s="24" t="s">
        <v>10</v>
      </c>
      <c r="G54" s="23" t="s">
        <v>11</v>
      </c>
      <c r="H54" s="25" t="s">
        <v>12</v>
      </c>
      <c r="J54" s="6" t="s">
        <v>4</v>
      </c>
      <c r="K54" s="9"/>
      <c r="L54" s="4"/>
      <c r="M54" s="4"/>
      <c r="N54" s="4"/>
      <c r="O54" s="4"/>
      <c r="P54" s="4"/>
      <c r="Q54" s="4"/>
      <c r="R54" s="4"/>
      <c r="S54" s="4"/>
      <c r="T54" s="4"/>
      <c r="U54" s="5"/>
      <c r="Y54" s="6" t="s">
        <v>4</v>
      </c>
      <c r="Z54" s="9"/>
      <c r="AA54" s="4"/>
      <c r="AB54" s="4"/>
      <c r="AC54" s="4"/>
      <c r="AD54" s="4"/>
      <c r="AE54" s="5"/>
      <c r="AH54" s="6" t="s">
        <v>4</v>
      </c>
      <c r="AI54" s="9"/>
      <c r="AJ54" s="4"/>
      <c r="AK54" s="4"/>
      <c r="AL54" s="4"/>
      <c r="AM54" s="4"/>
      <c r="AN54" s="5"/>
    </row>
    <row r="55" spans="1:40" ht="15.75" thickBot="1" x14ac:dyDescent="0.3">
      <c r="A55" s="97"/>
      <c r="B55" s="26"/>
      <c r="C55" s="27"/>
      <c r="D55" s="27"/>
      <c r="E55" s="27"/>
      <c r="F55" s="27">
        <f>SUM(C55-B55)</f>
        <v>0</v>
      </c>
      <c r="G55" s="20">
        <f>SUM(E55-D55)</f>
        <v>0</v>
      </c>
      <c r="H55" s="21">
        <f>SUM(F55:G55)</f>
        <v>0</v>
      </c>
      <c r="J55" s="7" t="s">
        <v>22</v>
      </c>
      <c r="K55" s="10"/>
      <c r="L55" s="11"/>
      <c r="M55" s="11"/>
      <c r="N55" s="11"/>
      <c r="O55" s="11"/>
      <c r="P55" s="11"/>
      <c r="Q55" s="11"/>
      <c r="R55" s="11"/>
      <c r="S55" s="11"/>
      <c r="T55" s="11"/>
      <c r="U55" s="12"/>
      <c r="Y55" s="7" t="s">
        <v>22</v>
      </c>
      <c r="Z55" s="10"/>
      <c r="AA55" s="11"/>
      <c r="AB55" s="11"/>
      <c r="AC55" s="11"/>
      <c r="AD55" s="11"/>
      <c r="AE55" s="12"/>
      <c r="AH55" s="7" t="s">
        <v>22</v>
      </c>
      <c r="AI55" s="10"/>
      <c r="AJ55" s="11"/>
      <c r="AK55" s="11"/>
      <c r="AL55" s="11"/>
      <c r="AM55" s="11"/>
      <c r="AN55" s="12"/>
    </row>
    <row r="56" spans="1:40" x14ac:dyDescent="0.25">
      <c r="J56" s="8"/>
      <c r="T56" s="8" t="s">
        <v>23</v>
      </c>
      <c r="U56" s="13">
        <f>SUM(K55:U55)</f>
        <v>0</v>
      </c>
      <c r="AD56" s="8" t="s">
        <v>23</v>
      </c>
      <c r="AE56" s="13">
        <f>SUM(Z55:AE55)</f>
        <v>0</v>
      </c>
      <c r="AM56" s="8" t="s">
        <v>23</v>
      </c>
      <c r="AN56" s="13">
        <f>SUM(AI55:AN55)</f>
        <v>0</v>
      </c>
    </row>
  </sheetData>
  <mergeCells count="70">
    <mergeCell ref="A54:A55"/>
    <mergeCell ref="B45:H45"/>
    <mergeCell ref="J45:U45"/>
    <mergeCell ref="Y45:AE45"/>
    <mergeCell ref="AH45:AN45"/>
    <mergeCell ref="A46:A47"/>
    <mergeCell ref="B49:H49"/>
    <mergeCell ref="J49:U49"/>
    <mergeCell ref="Y49:AE49"/>
    <mergeCell ref="AH49:AN49"/>
    <mergeCell ref="A50:A51"/>
    <mergeCell ref="B53:H53"/>
    <mergeCell ref="J53:U53"/>
    <mergeCell ref="Y53:AE53"/>
    <mergeCell ref="AH53:AN53"/>
    <mergeCell ref="A42:A43"/>
    <mergeCell ref="B33:H33"/>
    <mergeCell ref="J33:U33"/>
    <mergeCell ref="Y33:AE33"/>
    <mergeCell ref="AH33:AN33"/>
    <mergeCell ref="A34:A35"/>
    <mergeCell ref="B37:H37"/>
    <mergeCell ref="J37:U37"/>
    <mergeCell ref="Y37:AE37"/>
    <mergeCell ref="AH37:AN37"/>
    <mergeCell ref="A38:A39"/>
    <mergeCell ref="B41:H41"/>
    <mergeCell ref="J41:U41"/>
    <mergeCell ref="Y41:AE41"/>
    <mergeCell ref="AH41:AN41"/>
    <mergeCell ref="A30:A31"/>
    <mergeCell ref="B17:H17"/>
    <mergeCell ref="J17:U17"/>
    <mergeCell ref="Y17:AE17"/>
    <mergeCell ref="AH17:AN17"/>
    <mergeCell ref="A18:A19"/>
    <mergeCell ref="B25:H25"/>
    <mergeCell ref="J25:U25"/>
    <mergeCell ref="Y25:AE25"/>
    <mergeCell ref="AH25:AN25"/>
    <mergeCell ref="A26:A27"/>
    <mergeCell ref="B29:H29"/>
    <mergeCell ref="J29:U29"/>
    <mergeCell ref="Y29:AE29"/>
    <mergeCell ref="AH29:AN29"/>
    <mergeCell ref="B21:H21"/>
    <mergeCell ref="Y9:AE9"/>
    <mergeCell ref="AH9:AN9"/>
    <mergeCell ref="J7:U7"/>
    <mergeCell ref="A10:A11"/>
    <mergeCell ref="B13:H13"/>
    <mergeCell ref="J13:U13"/>
    <mergeCell ref="Y13:AE13"/>
    <mergeCell ref="AH13:AN13"/>
    <mergeCell ref="J21:U21"/>
    <mergeCell ref="Y21:AE21"/>
    <mergeCell ref="AH21:AN21"/>
    <mergeCell ref="A22:A23"/>
    <mergeCell ref="B2:C2"/>
    <mergeCell ref="E2:F2"/>
    <mergeCell ref="B4:C4"/>
    <mergeCell ref="E4:F4"/>
    <mergeCell ref="A7:H7"/>
    <mergeCell ref="B3:C3"/>
    <mergeCell ref="E3:F3"/>
    <mergeCell ref="A14:A15"/>
    <mergeCell ref="Y7:AE7"/>
    <mergeCell ref="AH7:AN7"/>
    <mergeCell ref="B9:H9"/>
    <mergeCell ref="J9:U9"/>
  </mergeCells>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N88"/>
  <sheetViews>
    <sheetView showGridLines="0" topLeftCell="A43" workbookViewId="0">
      <selection activeCell="I73" sqref="I7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8" width="10.42578125" bestFit="1" customWidth="1"/>
    <col min="19" max="19" width="10.5703125" bestFit="1" customWidth="1"/>
    <col min="21" max="21" width="12.140625" bestFit="1" customWidth="1"/>
    <col min="37" max="39" width="10.140625" bestFit="1" customWidth="1"/>
  </cols>
  <sheetData>
    <row r="2" spans="1:40" x14ac:dyDescent="0.25">
      <c r="A2" t="s">
        <v>0</v>
      </c>
      <c r="B2" s="94" t="s">
        <v>85</v>
      </c>
      <c r="C2" s="94"/>
      <c r="D2" s="1" t="s">
        <v>1</v>
      </c>
      <c r="E2" s="94" t="s">
        <v>129</v>
      </c>
      <c r="F2" s="94"/>
      <c r="H2" t="s">
        <v>91</v>
      </c>
      <c r="I2" s="75">
        <v>3000</v>
      </c>
    </row>
    <row r="3" spans="1:40" x14ac:dyDescent="0.25">
      <c r="A3" t="s">
        <v>79</v>
      </c>
      <c r="B3" s="94"/>
      <c r="C3" s="94"/>
      <c r="D3" s="1" t="s">
        <v>1</v>
      </c>
      <c r="E3" s="94"/>
      <c r="F3" s="94"/>
      <c r="H3" t="s">
        <v>80</v>
      </c>
      <c r="I3" s="54"/>
    </row>
    <row r="4" spans="1:40" x14ac:dyDescent="0.25">
      <c r="A4" t="s">
        <v>2</v>
      </c>
      <c r="B4" s="95">
        <v>2484</v>
      </c>
      <c r="C4" s="95"/>
      <c r="D4" s="1" t="s">
        <v>29</v>
      </c>
      <c r="E4" s="109">
        <v>45</v>
      </c>
      <c r="F4" s="94"/>
      <c r="G4" s="1"/>
      <c r="H4" t="s">
        <v>105</v>
      </c>
      <c r="I4" s="76">
        <v>45955</v>
      </c>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Y41" s="101" t="str">
        <f>J41</f>
        <v>Outubro</v>
      </c>
      <c r="Z41" s="101"/>
      <c r="AA41" s="101"/>
      <c r="AB41" s="101"/>
      <c r="AC41" s="101"/>
      <c r="AD41" s="101"/>
      <c r="AE41" s="101"/>
      <c r="AH41" s="102" t="str">
        <f>Y41</f>
        <v>Outubro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v>45958</v>
      </c>
      <c r="L42" s="66">
        <v>45960</v>
      </c>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7">
        <v>18091</v>
      </c>
      <c r="E43" s="27">
        <v>18799</v>
      </c>
      <c r="F43" s="27">
        <f>SUM(C43-B43)</f>
        <v>0</v>
      </c>
      <c r="G43" s="20">
        <f>SUM(E43-D43)</f>
        <v>708</v>
      </c>
      <c r="H43" s="21">
        <f>SUM(F43:G43)</f>
        <v>708</v>
      </c>
      <c r="J43" s="7" t="s">
        <v>22</v>
      </c>
      <c r="K43" s="10">
        <v>201.9</v>
      </c>
      <c r="L43" s="11">
        <v>175.88</v>
      </c>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377.78</v>
      </c>
      <c r="AD44" s="8" t="s">
        <v>23</v>
      </c>
      <c r="AE44" s="13">
        <f>SUM(Z43:AE43)</f>
        <v>0</v>
      </c>
      <c r="AM44" s="8" t="s">
        <v>23</v>
      </c>
      <c r="AN44" s="13">
        <f>SUM(AI43:AN43)</f>
        <v>0</v>
      </c>
    </row>
    <row r="45" spans="1:40"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Y45" s="101" t="str">
        <f>J45</f>
        <v>Novembro</v>
      </c>
      <c r="Z45" s="101"/>
      <c r="AA45" s="101"/>
      <c r="AB45" s="101"/>
      <c r="AC45" s="101"/>
      <c r="AD45" s="101"/>
      <c r="AE45" s="101"/>
      <c r="AH45" s="102" t="str">
        <f>Y45</f>
        <v>Novembro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v>45965</v>
      </c>
      <c r="L46" s="66">
        <v>45967</v>
      </c>
      <c r="M46" s="66">
        <v>45972</v>
      </c>
      <c r="N46" s="66">
        <v>45974</v>
      </c>
      <c r="O46" s="66">
        <v>45979</v>
      </c>
      <c r="P46" s="66">
        <v>45983</v>
      </c>
      <c r="Q46" s="66">
        <v>45986</v>
      </c>
      <c r="R46" s="66">
        <v>45988</v>
      </c>
      <c r="S46" s="4"/>
      <c r="T46" s="4"/>
      <c r="U46" s="5"/>
      <c r="Y46" s="6" t="s">
        <v>4</v>
      </c>
      <c r="Z46" s="9"/>
      <c r="AA46" s="4"/>
      <c r="AB46" s="4"/>
      <c r="AC46" s="4"/>
      <c r="AD46" s="4"/>
      <c r="AE46" s="5"/>
      <c r="AH46" s="6" t="s">
        <v>4</v>
      </c>
      <c r="AI46" s="9"/>
      <c r="AJ46" s="4"/>
      <c r="AK46" s="4"/>
      <c r="AL46" s="4"/>
      <c r="AM46" s="4"/>
      <c r="AN46" s="5"/>
    </row>
    <row r="47" spans="1:40" ht="15.75" thickBot="1" x14ac:dyDescent="0.3">
      <c r="A47" s="97"/>
      <c r="B47" s="27">
        <v>18799</v>
      </c>
      <c r="C47" s="27">
        <v>19914</v>
      </c>
      <c r="D47" s="27">
        <v>19914</v>
      </c>
      <c r="E47" s="27">
        <v>20861</v>
      </c>
      <c r="F47" s="27">
        <f>SUM(C47-B47)</f>
        <v>1115</v>
      </c>
      <c r="G47" s="20">
        <f>SUM(E47-D47)</f>
        <v>947</v>
      </c>
      <c r="H47" s="21">
        <f>SUM(F47:G47)</f>
        <v>2062</v>
      </c>
      <c r="J47" s="7" t="s">
        <v>22</v>
      </c>
      <c r="K47" s="10">
        <v>183.33</v>
      </c>
      <c r="L47" s="11">
        <v>120.86</v>
      </c>
      <c r="M47" s="11">
        <v>149.59</v>
      </c>
      <c r="N47" s="11">
        <v>165.59</v>
      </c>
      <c r="O47" s="11">
        <v>147.65</v>
      </c>
      <c r="P47" s="11">
        <v>145.03</v>
      </c>
      <c r="Q47" s="11">
        <v>143.29</v>
      </c>
      <c r="R47" s="11">
        <v>110.13</v>
      </c>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1165.4699999999998</v>
      </c>
      <c r="AD48" s="8" t="s">
        <v>23</v>
      </c>
      <c r="AE48" s="13">
        <f>SUM(Z47:AE47)</f>
        <v>0</v>
      </c>
      <c r="AM48" s="8" t="s">
        <v>23</v>
      </c>
      <c r="AN48" s="13">
        <f>SUM(AI47:AN47)</f>
        <v>0</v>
      </c>
    </row>
    <row r="49" spans="1:40"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Y49" s="101" t="str">
        <f>J49</f>
        <v>Dezembro</v>
      </c>
      <c r="Z49" s="101"/>
      <c r="AA49" s="101"/>
      <c r="AB49" s="101"/>
      <c r="AC49" s="101"/>
      <c r="AD49" s="101"/>
      <c r="AE49" s="101"/>
      <c r="AH49" s="102" t="str">
        <f>Y49</f>
        <v>Dezembro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v>45993</v>
      </c>
      <c r="L50" s="66">
        <v>45995</v>
      </c>
      <c r="M50" s="66">
        <v>46000</v>
      </c>
      <c r="N50" s="66">
        <v>46002</v>
      </c>
      <c r="O50" s="66">
        <v>46004</v>
      </c>
      <c r="P50" s="66">
        <v>46007</v>
      </c>
      <c r="Q50" s="66">
        <v>46009</v>
      </c>
      <c r="R50" s="66">
        <v>46014</v>
      </c>
      <c r="S50" s="66"/>
      <c r="T50" s="66"/>
      <c r="U50" s="81"/>
      <c r="Y50" s="6" t="s">
        <v>4</v>
      </c>
      <c r="Z50" s="9"/>
      <c r="AA50" s="4"/>
      <c r="AB50" s="4"/>
      <c r="AC50" s="4"/>
      <c r="AD50" s="4"/>
      <c r="AE50" s="5"/>
      <c r="AH50" s="6" t="s">
        <v>4</v>
      </c>
      <c r="AI50" s="9"/>
      <c r="AJ50" s="4"/>
      <c r="AK50" s="4"/>
      <c r="AL50" s="4"/>
      <c r="AM50" s="4"/>
      <c r="AN50" s="5"/>
    </row>
    <row r="51" spans="1:40" ht="15.75" thickBot="1" x14ac:dyDescent="0.3">
      <c r="A51" s="97"/>
      <c r="B51" s="27">
        <v>20861</v>
      </c>
      <c r="C51" s="27">
        <v>22053</v>
      </c>
      <c r="D51" s="27">
        <v>22053</v>
      </c>
      <c r="E51" s="27">
        <v>23210</v>
      </c>
      <c r="F51" s="27">
        <f>SUM(C51-B51)</f>
        <v>1192</v>
      </c>
      <c r="G51" s="20">
        <f>SUM(E51-D51)</f>
        <v>1157</v>
      </c>
      <c r="H51" s="21">
        <f>SUM(F51:G51)</f>
        <v>2349</v>
      </c>
      <c r="J51" s="7" t="s">
        <v>22</v>
      </c>
      <c r="K51" s="10">
        <v>164.43</v>
      </c>
      <c r="L51" s="11">
        <v>149.5</v>
      </c>
      <c r="M51" s="11">
        <v>124.77</v>
      </c>
      <c r="N51" s="11">
        <v>176.56</v>
      </c>
      <c r="O51" s="11">
        <v>94.62</v>
      </c>
      <c r="P51" s="11">
        <v>147.33000000000001</v>
      </c>
      <c r="Q51" s="11">
        <v>110.31</v>
      </c>
      <c r="R51" s="11">
        <v>105.13</v>
      </c>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1072.6500000000001</v>
      </c>
      <c r="AD52" s="8" t="s">
        <v>23</v>
      </c>
      <c r="AE52" s="13">
        <f>SUM(Z51:AE51)</f>
        <v>0</v>
      </c>
      <c r="AM52" s="8" t="s">
        <v>23</v>
      </c>
      <c r="AN52" s="13">
        <f>SUM(AI51:AN51)</f>
        <v>0</v>
      </c>
    </row>
    <row r="53" spans="1:40" ht="15.75" thickBot="1" x14ac:dyDescent="0.3">
      <c r="A53" s="19">
        <v>2026</v>
      </c>
      <c r="B53" s="99" t="s">
        <v>134</v>
      </c>
      <c r="C53" s="99"/>
      <c r="D53" s="99"/>
      <c r="E53" s="99"/>
      <c r="F53" s="99"/>
      <c r="G53" s="99"/>
      <c r="H53" s="99"/>
      <c r="J53" s="100" t="s">
        <v>134</v>
      </c>
      <c r="K53" s="100"/>
      <c r="L53" s="100"/>
      <c r="M53" s="100"/>
      <c r="N53" s="100"/>
      <c r="O53" s="100"/>
      <c r="P53" s="100"/>
      <c r="Q53" s="100"/>
      <c r="R53" s="100"/>
      <c r="S53" s="100"/>
      <c r="T53" s="100"/>
      <c r="U53" s="100"/>
      <c r="Y53" s="101" t="s">
        <v>134</v>
      </c>
      <c r="Z53" s="101"/>
      <c r="AA53" s="101"/>
      <c r="AB53" s="101"/>
      <c r="AC53" s="101"/>
      <c r="AD53" s="101"/>
      <c r="AE53" s="101"/>
      <c r="AH53" s="102" t="s">
        <v>134</v>
      </c>
      <c r="AI53" s="102"/>
      <c r="AJ53" s="102"/>
      <c r="AK53" s="102"/>
      <c r="AL53" s="102"/>
      <c r="AM53" s="102"/>
      <c r="AN53" s="102"/>
    </row>
    <row r="54" spans="1:40" ht="15.75" thickBot="1" x14ac:dyDescent="0.3">
      <c r="A54" s="97" t="s">
        <v>5</v>
      </c>
      <c r="B54" s="34" t="s">
        <v>6</v>
      </c>
      <c r="C54" s="22" t="s">
        <v>7</v>
      </c>
      <c r="D54" s="33" t="s">
        <v>8</v>
      </c>
      <c r="E54" s="22" t="s">
        <v>9</v>
      </c>
      <c r="F54" s="24" t="s">
        <v>10</v>
      </c>
      <c r="G54" s="23" t="s">
        <v>11</v>
      </c>
      <c r="H54" s="25" t="s">
        <v>12</v>
      </c>
      <c r="J54" s="28" t="s">
        <v>4</v>
      </c>
      <c r="K54" s="9"/>
      <c r="L54" s="4"/>
      <c r="M54" s="4"/>
      <c r="N54" s="4"/>
      <c r="O54" s="4"/>
      <c r="P54" s="4"/>
      <c r="Q54" s="4"/>
      <c r="R54" s="4"/>
      <c r="S54" s="4"/>
      <c r="T54" s="4"/>
      <c r="U54" s="5"/>
      <c r="Y54" s="6" t="s">
        <v>4</v>
      </c>
      <c r="Z54" s="9"/>
      <c r="AA54" s="4"/>
      <c r="AB54" s="4"/>
      <c r="AC54" s="4"/>
      <c r="AD54" s="4"/>
      <c r="AE54" s="5"/>
      <c r="AH54" s="6" t="s">
        <v>4</v>
      </c>
      <c r="AI54" s="9"/>
      <c r="AJ54" s="4"/>
      <c r="AK54" s="4"/>
      <c r="AL54" s="4"/>
      <c r="AM54" s="4"/>
      <c r="AN54" s="5"/>
    </row>
    <row r="55" spans="1:40" ht="15.75" thickBot="1" x14ac:dyDescent="0.3">
      <c r="A55" s="97"/>
      <c r="B55" s="27">
        <v>23210</v>
      </c>
      <c r="C55" s="27"/>
      <c r="D55" s="27"/>
      <c r="E55" s="27">
        <v>25305</v>
      </c>
      <c r="F55" s="27">
        <f>SUM(C55-B55)</f>
        <v>-23210</v>
      </c>
      <c r="G55" s="20">
        <f>SUM(E55-D55)</f>
        <v>25305</v>
      </c>
      <c r="H55" s="21">
        <f>SUM(F55:G55)</f>
        <v>2095</v>
      </c>
      <c r="J55" s="29" t="s">
        <v>22</v>
      </c>
      <c r="K55" s="10"/>
      <c r="L55" s="11"/>
      <c r="M55" s="11"/>
      <c r="N55" s="11"/>
      <c r="O55" s="11"/>
      <c r="P55" s="11"/>
      <c r="Q55" s="11"/>
      <c r="R55" s="11"/>
      <c r="S55" s="11"/>
      <c r="T55" s="11"/>
      <c r="U55" s="12"/>
      <c r="Y55" s="7" t="s">
        <v>22</v>
      </c>
      <c r="Z55" s="10"/>
      <c r="AA55" s="11"/>
      <c r="AB55" s="11"/>
      <c r="AC55" s="11"/>
      <c r="AD55" s="11"/>
      <c r="AE55" s="12"/>
      <c r="AH55" s="7" t="s">
        <v>22</v>
      </c>
      <c r="AI55" s="10"/>
      <c r="AJ55" s="11"/>
      <c r="AK55" s="11"/>
      <c r="AL55" s="11"/>
      <c r="AM55" s="11"/>
      <c r="AN55" s="12"/>
    </row>
    <row r="56" spans="1:40" x14ac:dyDescent="0.25">
      <c r="J56" s="8"/>
      <c r="T56" s="8" t="s">
        <v>23</v>
      </c>
      <c r="U56" s="13">
        <f>SUM(K55:U55)</f>
        <v>0</v>
      </c>
      <c r="AD56" s="8" t="s">
        <v>23</v>
      </c>
      <c r="AE56" s="13">
        <f>SUM(Z55:AE55)</f>
        <v>0</v>
      </c>
      <c r="AM56" s="8" t="s">
        <v>23</v>
      </c>
      <c r="AN56" s="13">
        <f>SUM(AI55:AN55)</f>
        <v>0</v>
      </c>
    </row>
    <row r="57" spans="1:40" ht="15.75" thickBot="1" x14ac:dyDescent="0.3">
      <c r="A57" s="19"/>
      <c r="B57" s="99" t="s">
        <v>3</v>
      </c>
      <c r="C57" s="99"/>
      <c r="D57" s="99"/>
      <c r="E57" s="99"/>
      <c r="F57" s="99"/>
      <c r="G57" s="99"/>
      <c r="H57" s="99"/>
      <c r="J57" s="100" t="s">
        <v>3</v>
      </c>
      <c r="K57" s="100"/>
      <c r="L57" s="100"/>
      <c r="M57" s="100"/>
      <c r="N57" s="100"/>
      <c r="O57" s="100"/>
      <c r="P57" s="100"/>
      <c r="Q57" s="100"/>
      <c r="R57" s="100"/>
      <c r="S57" s="100"/>
      <c r="T57" s="100"/>
      <c r="U57" s="100"/>
      <c r="Y57" s="101" t="s">
        <v>3</v>
      </c>
      <c r="Z57" s="101"/>
      <c r="AA57" s="101"/>
      <c r="AB57" s="101"/>
      <c r="AC57" s="101"/>
      <c r="AD57" s="101"/>
      <c r="AE57" s="101"/>
      <c r="AH57" s="102" t="s">
        <v>3</v>
      </c>
      <c r="AI57" s="102"/>
      <c r="AJ57" s="102"/>
      <c r="AK57" s="102"/>
      <c r="AL57" s="102"/>
      <c r="AM57" s="102"/>
      <c r="AN57" s="102"/>
    </row>
    <row r="58" spans="1:40" ht="15.75" thickBot="1" x14ac:dyDescent="0.3">
      <c r="A58" s="97" t="s">
        <v>5</v>
      </c>
      <c r="B58" s="34" t="s">
        <v>6</v>
      </c>
      <c r="C58" s="22" t="s">
        <v>7</v>
      </c>
      <c r="D58" s="33" t="s">
        <v>8</v>
      </c>
      <c r="E58" s="22" t="s">
        <v>9</v>
      </c>
      <c r="F58" s="24" t="s">
        <v>10</v>
      </c>
      <c r="G58" s="23" t="s">
        <v>11</v>
      </c>
      <c r="H58" s="25" t="s">
        <v>12</v>
      </c>
      <c r="J58" s="28" t="s">
        <v>4</v>
      </c>
      <c r="K58" s="9">
        <v>46056</v>
      </c>
      <c r="L58" s="66">
        <v>46058</v>
      </c>
      <c r="M58" s="66">
        <v>46060</v>
      </c>
      <c r="N58" s="66">
        <v>46063</v>
      </c>
      <c r="O58" s="66">
        <v>46065</v>
      </c>
      <c r="P58" s="66">
        <v>46067</v>
      </c>
      <c r="Q58" s="66">
        <v>46072</v>
      </c>
      <c r="R58" s="66">
        <v>46077</v>
      </c>
      <c r="S58" s="66">
        <v>46079</v>
      </c>
      <c r="T58" s="4"/>
      <c r="U58" s="5"/>
      <c r="Y58" s="6" t="s">
        <v>4</v>
      </c>
      <c r="Z58" s="9"/>
      <c r="AA58" s="4"/>
      <c r="AB58" s="4"/>
      <c r="AC58" s="4"/>
      <c r="AD58" s="4"/>
      <c r="AE58" s="5"/>
      <c r="AH58" s="6" t="s">
        <v>4</v>
      </c>
      <c r="AI58" s="9"/>
      <c r="AJ58" s="4"/>
      <c r="AK58" s="4"/>
      <c r="AL58" s="4"/>
      <c r="AM58" s="4"/>
      <c r="AN58" s="5"/>
    </row>
    <row r="59" spans="1:40" ht="15.75" thickBot="1" x14ac:dyDescent="0.3">
      <c r="A59" s="97"/>
      <c r="B59" s="27">
        <v>25305</v>
      </c>
      <c r="C59" s="27"/>
      <c r="D59" s="27"/>
      <c r="E59" s="27">
        <v>27577</v>
      </c>
      <c r="F59" s="27">
        <f>SUM(C59-B59)</f>
        <v>-25305</v>
      </c>
      <c r="G59" s="20">
        <f>SUM(E59-D59)</f>
        <v>27577</v>
      </c>
      <c r="H59" s="21">
        <f>SUM(F59:G59)</f>
        <v>2272</v>
      </c>
      <c r="J59" s="29" t="s">
        <v>22</v>
      </c>
      <c r="K59" s="10">
        <v>187.27</v>
      </c>
      <c r="L59" s="11">
        <v>110.06</v>
      </c>
      <c r="M59" s="11">
        <v>112.71</v>
      </c>
      <c r="N59" s="11">
        <v>82.75</v>
      </c>
      <c r="O59" s="11">
        <v>167.96</v>
      </c>
      <c r="P59" s="11">
        <v>160.31</v>
      </c>
      <c r="Q59" s="11">
        <v>167.44</v>
      </c>
      <c r="R59" s="11">
        <v>110.32</v>
      </c>
      <c r="S59" s="11">
        <v>139.24</v>
      </c>
      <c r="T59" s="11"/>
      <c r="U59" s="12"/>
      <c r="Y59" s="7" t="s">
        <v>22</v>
      </c>
      <c r="Z59" s="10"/>
      <c r="AA59" s="11"/>
      <c r="AB59" s="11"/>
      <c r="AC59" s="11"/>
      <c r="AD59" s="11"/>
      <c r="AE59" s="12"/>
      <c r="AH59" s="7" t="s">
        <v>22</v>
      </c>
      <c r="AI59" s="10"/>
      <c r="AJ59" s="11"/>
      <c r="AK59" s="11"/>
      <c r="AL59" s="11"/>
      <c r="AM59" s="11"/>
      <c r="AN59" s="12"/>
    </row>
    <row r="60" spans="1:40" x14ac:dyDescent="0.25">
      <c r="J60" s="8"/>
      <c r="T60" s="8" t="s">
        <v>23</v>
      </c>
      <c r="U60" s="13">
        <f>SUM(K59:U59)</f>
        <v>1238.06</v>
      </c>
      <c r="AD60" s="8" t="s">
        <v>23</v>
      </c>
      <c r="AE60" s="13">
        <f>SUM(Z59:AE59)</f>
        <v>0</v>
      </c>
      <c r="AM60" s="8" t="s">
        <v>23</v>
      </c>
      <c r="AN60" s="13">
        <f>SUM(AI59:AN59)</f>
        <v>0</v>
      </c>
    </row>
    <row r="61" spans="1:40" ht="15.75" thickBot="1" x14ac:dyDescent="0.3">
      <c r="A61" s="19"/>
      <c r="B61" s="99" t="s">
        <v>13</v>
      </c>
      <c r="C61" s="99"/>
      <c r="D61" s="99"/>
      <c r="E61" s="99"/>
      <c r="F61" s="99"/>
      <c r="G61" s="99"/>
      <c r="H61" s="99"/>
      <c r="J61" s="100" t="s">
        <v>13</v>
      </c>
      <c r="K61" s="100"/>
      <c r="L61" s="100"/>
      <c r="M61" s="100"/>
      <c r="N61" s="100"/>
      <c r="O61" s="100"/>
      <c r="P61" s="100"/>
      <c r="Q61" s="100"/>
      <c r="R61" s="100"/>
      <c r="S61" s="100"/>
      <c r="T61" s="100"/>
      <c r="U61" s="100"/>
      <c r="Y61" s="101" t="str">
        <f>J61</f>
        <v>Março</v>
      </c>
      <c r="Z61" s="101"/>
      <c r="AA61" s="101"/>
      <c r="AB61" s="101"/>
      <c r="AC61" s="101"/>
      <c r="AD61" s="101"/>
      <c r="AE61" s="101"/>
      <c r="AH61" s="102" t="str">
        <f>Y61</f>
        <v>Março</v>
      </c>
      <c r="AI61" s="102"/>
      <c r="AJ61" s="102"/>
      <c r="AK61" s="102"/>
      <c r="AL61" s="102"/>
      <c r="AM61" s="102"/>
      <c r="AN61" s="102"/>
    </row>
    <row r="62" spans="1:40" ht="15.75" thickBot="1" x14ac:dyDescent="0.3">
      <c r="A62" s="97" t="s">
        <v>5</v>
      </c>
      <c r="B62" s="34" t="s">
        <v>6</v>
      </c>
      <c r="C62" s="22" t="s">
        <v>7</v>
      </c>
      <c r="D62" s="33" t="s">
        <v>8</v>
      </c>
      <c r="E62" s="22" t="s">
        <v>9</v>
      </c>
      <c r="F62" s="24" t="s">
        <v>10</v>
      </c>
      <c r="G62" s="23" t="s">
        <v>11</v>
      </c>
      <c r="H62" s="25" t="s">
        <v>12</v>
      </c>
      <c r="J62" s="6" t="s">
        <v>4</v>
      </c>
      <c r="K62" s="9"/>
      <c r="L62" s="4"/>
      <c r="M62" s="4"/>
      <c r="N62" s="4"/>
      <c r="O62" s="4"/>
      <c r="P62" s="4"/>
      <c r="Q62" s="4"/>
      <c r="R62" s="4"/>
      <c r="S62" s="4"/>
      <c r="T62" s="4"/>
      <c r="U62" s="5"/>
      <c r="Y62" s="6" t="s">
        <v>4</v>
      </c>
      <c r="Z62" s="9"/>
      <c r="AA62" s="4"/>
      <c r="AB62" s="4"/>
      <c r="AC62" s="4"/>
      <c r="AD62" s="4"/>
      <c r="AE62" s="5"/>
      <c r="AH62" s="6" t="s">
        <v>4</v>
      </c>
      <c r="AI62" s="9"/>
      <c r="AJ62" s="4"/>
      <c r="AK62" s="4"/>
      <c r="AL62" s="4"/>
      <c r="AM62" s="4"/>
      <c r="AN62" s="5"/>
    </row>
    <row r="63" spans="1:40" ht="15.75" thickBot="1" x14ac:dyDescent="0.3">
      <c r="A63" s="97"/>
      <c r="B63" s="27">
        <v>27577</v>
      </c>
      <c r="C63" s="27"/>
      <c r="D63" s="27"/>
      <c r="E63" s="27">
        <v>30028</v>
      </c>
      <c r="F63" s="27">
        <f>SUM(C63-B63)</f>
        <v>-27577</v>
      </c>
      <c r="G63" s="20">
        <f>SUM(E63-D63)</f>
        <v>30028</v>
      </c>
      <c r="H63" s="21">
        <f>SUM(F63:G63)</f>
        <v>2451</v>
      </c>
      <c r="J63" s="7" t="s">
        <v>22</v>
      </c>
      <c r="K63" s="10"/>
      <c r="L63" s="11"/>
      <c r="M63" s="11"/>
      <c r="N63" s="11"/>
      <c r="O63" s="11"/>
      <c r="P63" s="11"/>
      <c r="Q63" s="11"/>
      <c r="R63" s="11"/>
      <c r="S63" s="11"/>
      <c r="T63" s="11"/>
      <c r="U63" s="12"/>
      <c r="Y63" s="7" t="s">
        <v>22</v>
      </c>
      <c r="Z63" s="10"/>
      <c r="AA63" s="11"/>
      <c r="AB63" s="11"/>
      <c r="AC63" s="11"/>
      <c r="AD63" s="11"/>
      <c r="AE63" s="12"/>
      <c r="AH63" s="7" t="s">
        <v>22</v>
      </c>
      <c r="AI63" s="10"/>
      <c r="AJ63" s="11"/>
      <c r="AK63" s="11"/>
      <c r="AL63" s="11"/>
      <c r="AM63" s="11"/>
      <c r="AN63" s="12"/>
    </row>
    <row r="64" spans="1:40" x14ac:dyDescent="0.25">
      <c r="J64" s="8"/>
      <c r="T64" s="8" t="s">
        <v>23</v>
      </c>
      <c r="U64" s="13">
        <f>SUM(K63:U63)</f>
        <v>0</v>
      </c>
      <c r="AD64" s="8" t="s">
        <v>23</v>
      </c>
      <c r="AE64" s="13">
        <f>SUM(Z63:AE63)</f>
        <v>0</v>
      </c>
      <c r="AM64" s="8" t="s">
        <v>23</v>
      </c>
      <c r="AN64" s="13">
        <f>SUM(AI63:AN63)</f>
        <v>0</v>
      </c>
    </row>
    <row r="65" spans="1:40" ht="15.75" thickBot="1" x14ac:dyDescent="0.3">
      <c r="A65" s="19"/>
      <c r="B65" s="99" t="s">
        <v>14</v>
      </c>
      <c r="C65" s="99"/>
      <c r="D65" s="99"/>
      <c r="E65" s="99"/>
      <c r="F65" s="99"/>
      <c r="G65" s="99"/>
      <c r="H65" s="99"/>
      <c r="J65" s="100" t="s">
        <v>14</v>
      </c>
      <c r="K65" s="100"/>
      <c r="L65" s="100"/>
      <c r="M65" s="100"/>
      <c r="N65" s="100"/>
      <c r="O65" s="100"/>
      <c r="P65" s="100"/>
      <c r="Q65" s="100"/>
      <c r="R65" s="100"/>
      <c r="S65" s="100"/>
      <c r="T65" s="100"/>
      <c r="U65" s="100"/>
      <c r="Y65" s="101" t="str">
        <f>J65</f>
        <v>Abril</v>
      </c>
      <c r="Z65" s="101"/>
      <c r="AA65" s="101"/>
      <c r="AB65" s="101"/>
      <c r="AC65" s="101"/>
      <c r="AD65" s="101"/>
      <c r="AE65" s="101"/>
      <c r="AH65" s="102" t="str">
        <f>Y65</f>
        <v>Abril</v>
      </c>
      <c r="AI65" s="102"/>
      <c r="AJ65" s="102"/>
      <c r="AK65" s="102"/>
      <c r="AL65" s="102"/>
      <c r="AM65" s="102"/>
      <c r="AN65" s="102"/>
    </row>
    <row r="66" spans="1:40" ht="15.75" thickBot="1" x14ac:dyDescent="0.3">
      <c r="A66" s="97"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97"/>
      <c r="B67" s="27">
        <v>30028</v>
      </c>
      <c r="C67" s="27"/>
      <c r="D67" s="27"/>
      <c r="E67" s="27">
        <v>32524</v>
      </c>
      <c r="F67" s="27">
        <f>SUM(C67-B67)</f>
        <v>-30028</v>
      </c>
      <c r="G67" s="20">
        <f>SUM(E67-D67)</f>
        <v>32524</v>
      </c>
      <c r="H67" s="21">
        <f>SUM(F67:G67)</f>
        <v>2496</v>
      </c>
      <c r="J67" s="7" t="s">
        <v>22</v>
      </c>
      <c r="K67" s="30"/>
      <c r="L67" s="31"/>
      <c r="M67" s="31"/>
      <c r="N67" s="31"/>
      <c r="O67" s="31"/>
      <c r="P67" s="31"/>
      <c r="Q67" s="31"/>
      <c r="R67" s="31"/>
      <c r="S67" s="31"/>
      <c r="T67" s="31"/>
      <c r="U67" s="32"/>
      <c r="Y67" s="7" t="s">
        <v>22</v>
      </c>
      <c r="Z67" s="10"/>
      <c r="AA67" s="11"/>
      <c r="AB67" s="11"/>
      <c r="AC67" s="11"/>
      <c r="AD67" s="11"/>
      <c r="AE67" s="12"/>
      <c r="AH67" s="7" t="s">
        <v>22</v>
      </c>
      <c r="AI67" s="10"/>
      <c r="AJ67" s="11"/>
      <c r="AK67" s="11"/>
      <c r="AL67" s="11"/>
      <c r="AM67" s="11"/>
      <c r="AN67" s="12"/>
    </row>
    <row r="68" spans="1:40" x14ac:dyDescent="0.25">
      <c r="J68" s="8"/>
      <c r="T68" s="8" t="s">
        <v>23</v>
      </c>
      <c r="U68" s="13">
        <f>SUM(K67:U67)</f>
        <v>0</v>
      </c>
      <c r="AD68" s="8" t="s">
        <v>23</v>
      </c>
      <c r="AE68" s="13">
        <f>SUM(Z67:AE67)</f>
        <v>0</v>
      </c>
      <c r="AM68" s="8" t="s">
        <v>23</v>
      </c>
      <c r="AN68" s="13">
        <f>SUM(AI67:AN67)</f>
        <v>0</v>
      </c>
    </row>
    <row r="69" spans="1:40" ht="15.75" thickBot="1" x14ac:dyDescent="0.3">
      <c r="A69" s="19"/>
      <c r="B69" s="99" t="s">
        <v>15</v>
      </c>
      <c r="C69" s="99"/>
      <c r="D69" s="99"/>
      <c r="E69" s="99"/>
      <c r="F69" s="99"/>
      <c r="G69" s="99"/>
      <c r="H69" s="99"/>
      <c r="J69" s="100" t="s">
        <v>15</v>
      </c>
      <c r="K69" s="100"/>
      <c r="L69" s="100"/>
      <c r="M69" s="100"/>
      <c r="N69" s="100"/>
      <c r="O69" s="100"/>
      <c r="P69" s="100"/>
      <c r="Q69" s="100"/>
      <c r="R69" s="100"/>
      <c r="S69" s="100"/>
      <c r="T69" s="100"/>
      <c r="U69" s="100"/>
      <c r="Y69" s="101" t="str">
        <f>J69</f>
        <v>Maio</v>
      </c>
      <c r="Z69" s="101"/>
      <c r="AA69" s="101"/>
      <c r="AB69" s="101"/>
      <c r="AC69" s="101"/>
      <c r="AD69" s="101"/>
      <c r="AE69" s="101"/>
      <c r="AH69" s="102" t="str">
        <f>Y69</f>
        <v>Maio</v>
      </c>
      <c r="AI69" s="102"/>
      <c r="AJ69" s="102"/>
      <c r="AK69" s="102"/>
      <c r="AL69" s="102"/>
      <c r="AM69" s="102"/>
      <c r="AN69" s="102"/>
    </row>
    <row r="70" spans="1:40" ht="15.75" thickBot="1" x14ac:dyDescent="0.3">
      <c r="A70" s="97"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97"/>
      <c r="B71" s="27">
        <v>32524</v>
      </c>
      <c r="C71" s="27"/>
      <c r="D71" s="27"/>
      <c r="E71" s="27">
        <v>35049</v>
      </c>
      <c r="F71" s="27">
        <f>SUM(C71-B71)</f>
        <v>-32524</v>
      </c>
      <c r="G71" s="20">
        <f>SUM(E71-D71)</f>
        <v>35049</v>
      </c>
      <c r="H71" s="21">
        <f>SUM(F71:G71)</f>
        <v>2525</v>
      </c>
      <c r="J71" s="7" t="s">
        <v>22</v>
      </c>
      <c r="K71" s="10"/>
      <c r="L71" s="11"/>
      <c r="M71" s="11"/>
      <c r="N71" s="11"/>
      <c r="O71" s="11"/>
      <c r="P71" s="11"/>
      <c r="Q71" s="11"/>
      <c r="R71" s="11"/>
      <c r="S71" s="11"/>
      <c r="T71" s="11"/>
      <c r="U71" s="12"/>
      <c r="Y71" s="7" t="s">
        <v>22</v>
      </c>
      <c r="Z71" s="10"/>
      <c r="AA71" s="11"/>
      <c r="AB71" s="11"/>
      <c r="AC71" s="11"/>
      <c r="AD71" s="11"/>
      <c r="AE71" s="12"/>
      <c r="AH71" s="7" t="s">
        <v>22</v>
      </c>
      <c r="AI71" s="10"/>
      <c r="AJ71" s="11"/>
      <c r="AK71" s="11"/>
      <c r="AL71" s="11"/>
      <c r="AM71" s="11"/>
      <c r="AN71" s="12"/>
    </row>
    <row r="72" spans="1:40" x14ac:dyDescent="0.25">
      <c r="J72" s="8"/>
      <c r="T72" s="8" t="s">
        <v>23</v>
      </c>
      <c r="U72" s="13">
        <f>SUM(K71:U71)</f>
        <v>0</v>
      </c>
      <c r="AD72" s="8" t="s">
        <v>23</v>
      </c>
      <c r="AE72" s="13">
        <f>SUM(Z71:AE71)</f>
        <v>0</v>
      </c>
      <c r="AM72" s="8" t="s">
        <v>23</v>
      </c>
      <c r="AN72" s="13">
        <f>SUM(AI71:AN71)</f>
        <v>0</v>
      </c>
    </row>
    <row r="73" spans="1:40" ht="15.75" thickBot="1" x14ac:dyDescent="0.3">
      <c r="A73" s="19"/>
      <c r="B73" s="99" t="s">
        <v>24</v>
      </c>
      <c r="C73" s="99"/>
      <c r="D73" s="99"/>
      <c r="E73" s="99"/>
      <c r="F73" s="99"/>
      <c r="G73" s="99"/>
      <c r="H73" s="99"/>
      <c r="J73" s="100" t="s">
        <v>24</v>
      </c>
      <c r="K73" s="100"/>
      <c r="L73" s="100"/>
      <c r="M73" s="100"/>
      <c r="N73" s="100"/>
      <c r="O73" s="100"/>
      <c r="P73" s="100"/>
      <c r="Q73" s="100"/>
      <c r="R73" s="100"/>
      <c r="S73" s="100"/>
      <c r="T73" s="100"/>
      <c r="U73" s="100"/>
      <c r="Y73" s="101" t="str">
        <f>J73</f>
        <v>Junho</v>
      </c>
      <c r="Z73" s="101"/>
      <c r="AA73" s="101"/>
      <c r="AB73" s="101"/>
      <c r="AC73" s="101"/>
      <c r="AD73" s="101"/>
      <c r="AE73" s="101"/>
      <c r="AH73" s="102" t="str">
        <f>Y73</f>
        <v>Junho</v>
      </c>
      <c r="AI73" s="102"/>
      <c r="AJ73" s="102"/>
      <c r="AK73" s="102"/>
      <c r="AL73" s="102"/>
      <c r="AM73" s="102"/>
      <c r="AN73" s="102"/>
    </row>
    <row r="74" spans="1:40" ht="15.75" thickBot="1" x14ac:dyDescent="0.3">
      <c r="A74" s="97"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97"/>
      <c r="B75" s="26"/>
      <c r="C75" s="27"/>
      <c r="D75" s="27"/>
      <c r="E75" s="27"/>
      <c r="F75" s="27">
        <f>SUM(C75-B75)</f>
        <v>0</v>
      </c>
      <c r="G75" s="20">
        <f>SUM(E75-D75)</f>
        <v>0</v>
      </c>
      <c r="H75" s="21">
        <f>SUM(F75:G75)</f>
        <v>0</v>
      </c>
      <c r="J75" s="7" t="s">
        <v>22</v>
      </c>
      <c r="K75" s="10"/>
      <c r="L75" s="11"/>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J76" s="8"/>
      <c r="T76" s="8" t="s">
        <v>23</v>
      </c>
      <c r="U76" s="13">
        <f>SUM(K75:U75)</f>
        <v>0</v>
      </c>
      <c r="AD76" s="8" t="s">
        <v>23</v>
      </c>
      <c r="AE76" s="13">
        <f>SUM(Z75:AE75)</f>
        <v>0</v>
      </c>
      <c r="AM76" s="8" t="s">
        <v>23</v>
      </c>
      <c r="AN76" s="13">
        <f>SUM(AI75:AN75)</f>
        <v>0</v>
      </c>
    </row>
    <row r="77" spans="1:40" ht="15.75" thickBot="1" x14ac:dyDescent="0.3">
      <c r="A77" s="19"/>
      <c r="B77" s="99" t="s">
        <v>16</v>
      </c>
      <c r="C77" s="99"/>
      <c r="D77" s="99"/>
      <c r="E77" s="99"/>
      <c r="F77" s="99"/>
      <c r="G77" s="99"/>
      <c r="H77" s="99"/>
      <c r="J77" s="100" t="s">
        <v>16</v>
      </c>
      <c r="K77" s="100"/>
      <c r="L77" s="100"/>
      <c r="M77" s="100"/>
      <c r="N77" s="100"/>
      <c r="O77" s="100"/>
      <c r="P77" s="100"/>
      <c r="Q77" s="100"/>
      <c r="R77" s="100"/>
      <c r="S77" s="100"/>
      <c r="T77" s="100"/>
      <c r="U77" s="100"/>
      <c r="Y77" s="101" t="str">
        <f>J77</f>
        <v>Julho</v>
      </c>
      <c r="Z77" s="101"/>
      <c r="AA77" s="101"/>
      <c r="AB77" s="101"/>
      <c r="AC77" s="101"/>
      <c r="AD77" s="101"/>
      <c r="AE77" s="101"/>
      <c r="AH77" s="102" t="str">
        <f>Y77</f>
        <v>Julho</v>
      </c>
      <c r="AI77" s="102"/>
      <c r="AJ77" s="102"/>
      <c r="AK77" s="102"/>
      <c r="AL77" s="102"/>
      <c r="AM77" s="102"/>
      <c r="AN77" s="102"/>
    </row>
    <row r="78" spans="1:40" ht="15.75" thickBot="1" x14ac:dyDescent="0.3">
      <c r="A78" s="97"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Y78" s="6" t="s">
        <v>4</v>
      </c>
      <c r="Z78" s="9"/>
      <c r="AA78" s="4"/>
      <c r="AB78" s="4"/>
      <c r="AC78" s="4"/>
      <c r="AD78" s="4"/>
      <c r="AE78" s="5"/>
      <c r="AH78" s="6" t="s">
        <v>4</v>
      </c>
      <c r="AI78" s="9"/>
      <c r="AJ78" s="4"/>
      <c r="AK78" s="4"/>
      <c r="AL78" s="4"/>
      <c r="AM78" s="4"/>
      <c r="AN78" s="5"/>
    </row>
    <row r="79" spans="1:40" ht="15.75" thickBot="1" x14ac:dyDescent="0.3">
      <c r="A79" s="97"/>
      <c r="B79" s="26"/>
      <c r="C79" s="27"/>
      <c r="D79" s="27"/>
      <c r="E79" s="27"/>
      <c r="F79" s="27">
        <f>SUM(C79-B79)</f>
        <v>0</v>
      </c>
      <c r="G79" s="20">
        <f>SUM(E79-D79)</f>
        <v>0</v>
      </c>
      <c r="H79" s="21">
        <f>SUM(F79:G79)</f>
        <v>0</v>
      </c>
      <c r="J79" s="7" t="s">
        <v>22</v>
      </c>
      <c r="K79" s="10"/>
      <c r="L79" s="11"/>
      <c r="M79" s="11"/>
      <c r="N79" s="11"/>
      <c r="O79" s="11"/>
      <c r="P79" s="11"/>
      <c r="Q79" s="11"/>
      <c r="R79" s="11"/>
      <c r="S79" s="11"/>
      <c r="T79" s="11"/>
      <c r="U79" s="12"/>
      <c r="Y79" s="7" t="s">
        <v>22</v>
      </c>
      <c r="Z79" s="10"/>
      <c r="AA79" s="11"/>
      <c r="AB79" s="11"/>
      <c r="AC79" s="11"/>
      <c r="AD79" s="11"/>
      <c r="AE79" s="12"/>
      <c r="AH79" s="7" t="s">
        <v>22</v>
      </c>
      <c r="AI79" s="10"/>
      <c r="AJ79" s="11"/>
      <c r="AK79" s="11"/>
      <c r="AL79" s="11"/>
      <c r="AM79" s="11"/>
      <c r="AN79" s="12"/>
    </row>
    <row r="80" spans="1:40" x14ac:dyDescent="0.25">
      <c r="J80" s="8"/>
      <c r="T80" s="8" t="s">
        <v>23</v>
      </c>
      <c r="U80" s="13">
        <f>SUM(K79:U79)</f>
        <v>0</v>
      </c>
      <c r="AD80" s="8" t="s">
        <v>23</v>
      </c>
      <c r="AE80" s="13">
        <f>SUM(Z79:AE79)</f>
        <v>0</v>
      </c>
      <c r="AM80" s="8" t="s">
        <v>23</v>
      </c>
      <c r="AN80" s="13">
        <f>SUM(AI79:AN79)</f>
        <v>0</v>
      </c>
    </row>
    <row r="81" spans="1:40" ht="15.75" thickBot="1" x14ac:dyDescent="0.3">
      <c r="A81" s="19"/>
      <c r="B81" s="99" t="s">
        <v>17</v>
      </c>
      <c r="C81" s="99"/>
      <c r="D81" s="99"/>
      <c r="E81" s="99"/>
      <c r="F81" s="99"/>
      <c r="G81" s="99"/>
      <c r="H81" s="99"/>
      <c r="J81" s="100" t="s">
        <v>17</v>
      </c>
      <c r="K81" s="100"/>
      <c r="L81" s="100"/>
      <c r="M81" s="100"/>
      <c r="N81" s="100"/>
      <c r="O81" s="100"/>
      <c r="P81" s="100"/>
      <c r="Q81" s="100"/>
      <c r="R81" s="100"/>
      <c r="S81" s="100"/>
      <c r="T81" s="100"/>
      <c r="U81" s="100"/>
      <c r="Y81" s="101" t="str">
        <f>J81</f>
        <v>Agosto</v>
      </c>
      <c r="Z81" s="101"/>
      <c r="AA81" s="101"/>
      <c r="AB81" s="101"/>
      <c r="AC81" s="101"/>
      <c r="AD81" s="101"/>
      <c r="AE81" s="101"/>
      <c r="AH81" s="102" t="str">
        <f>Y81</f>
        <v>Agosto</v>
      </c>
      <c r="AI81" s="102"/>
      <c r="AJ81" s="102"/>
      <c r="AK81" s="102"/>
      <c r="AL81" s="102"/>
      <c r="AM81" s="102"/>
      <c r="AN81" s="102"/>
    </row>
    <row r="82" spans="1:40" ht="15.75" thickBot="1" x14ac:dyDescent="0.3">
      <c r="A82" s="97"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Y82" s="6" t="s">
        <v>4</v>
      </c>
      <c r="Z82" s="9"/>
      <c r="AA82" s="4"/>
      <c r="AB82" s="4"/>
      <c r="AC82" s="4"/>
      <c r="AD82" s="4"/>
      <c r="AE82" s="5"/>
      <c r="AH82" s="6" t="s">
        <v>4</v>
      </c>
      <c r="AI82" s="9"/>
      <c r="AJ82" s="4"/>
      <c r="AK82" s="4"/>
      <c r="AL82" s="4"/>
      <c r="AM82" s="4"/>
      <c r="AN82" s="5"/>
    </row>
    <row r="83" spans="1:40" ht="15.75" thickBot="1" x14ac:dyDescent="0.3">
      <c r="A83" s="97"/>
      <c r="B83" s="26"/>
      <c r="C83" s="27"/>
      <c r="D83" s="27"/>
      <c r="E83" s="27"/>
      <c r="F83" s="27">
        <f>SUM(C83-B83)</f>
        <v>0</v>
      </c>
      <c r="G83" s="20">
        <f>SUM(E83-D83)</f>
        <v>0</v>
      </c>
      <c r="H83" s="21">
        <f>SUM(F83:G83)</f>
        <v>0</v>
      </c>
      <c r="J83" s="7" t="s">
        <v>22</v>
      </c>
      <c r="K83" s="10"/>
      <c r="L83" s="11"/>
      <c r="M83" s="11"/>
      <c r="N83" s="11"/>
      <c r="O83" s="11"/>
      <c r="P83" s="11"/>
      <c r="Q83" s="11"/>
      <c r="R83" s="11"/>
      <c r="S83" s="11"/>
      <c r="T83" s="11"/>
      <c r="U83" s="12"/>
      <c r="Y83" s="7" t="s">
        <v>22</v>
      </c>
      <c r="Z83" s="10"/>
      <c r="AA83" s="11"/>
      <c r="AB83" s="11"/>
      <c r="AC83" s="11"/>
      <c r="AD83" s="11"/>
      <c r="AE83" s="12"/>
      <c r="AH83" s="7" t="s">
        <v>22</v>
      </c>
      <c r="AI83" s="10"/>
      <c r="AJ83" s="11"/>
      <c r="AK83" s="11"/>
      <c r="AL83" s="11"/>
      <c r="AM83" s="11"/>
      <c r="AN83" s="12"/>
    </row>
    <row r="84" spans="1:40" x14ac:dyDescent="0.25">
      <c r="J84" s="8"/>
      <c r="T84" s="8" t="s">
        <v>23</v>
      </c>
      <c r="U84" s="13">
        <f>SUM(K83:U83)</f>
        <v>0</v>
      </c>
      <c r="AD84" s="8" t="s">
        <v>23</v>
      </c>
      <c r="AE84" s="13">
        <f>SUM(Z83:AE83)</f>
        <v>0</v>
      </c>
      <c r="AM84" s="8" t="s">
        <v>23</v>
      </c>
      <c r="AN84" s="13">
        <f>SUM(AI83:AN83)</f>
        <v>0</v>
      </c>
    </row>
    <row r="85" spans="1:40" ht="15.75" thickBot="1" x14ac:dyDescent="0.3">
      <c r="A85" s="19"/>
      <c r="B85" s="99" t="s">
        <v>18</v>
      </c>
      <c r="C85" s="99"/>
      <c r="D85" s="99"/>
      <c r="E85" s="99"/>
      <c r="F85" s="99"/>
      <c r="G85" s="99"/>
      <c r="H85" s="99"/>
      <c r="J85" s="100" t="s">
        <v>18</v>
      </c>
      <c r="K85" s="100"/>
      <c r="L85" s="100"/>
      <c r="M85" s="100"/>
      <c r="N85" s="100"/>
      <c r="O85" s="100"/>
      <c r="P85" s="100"/>
      <c r="Q85" s="100"/>
      <c r="R85" s="100"/>
      <c r="S85" s="100"/>
      <c r="T85" s="100"/>
      <c r="U85" s="100"/>
      <c r="Y85" s="101" t="str">
        <f>J85</f>
        <v>Setembro</v>
      </c>
      <c r="Z85" s="101"/>
      <c r="AA85" s="101"/>
      <c r="AB85" s="101"/>
      <c r="AC85" s="101"/>
      <c r="AD85" s="101"/>
      <c r="AE85" s="101"/>
      <c r="AH85" s="102" t="str">
        <f>Y85</f>
        <v>Setembro</v>
      </c>
      <c r="AI85" s="102"/>
      <c r="AJ85" s="102"/>
      <c r="AK85" s="102"/>
      <c r="AL85" s="102"/>
      <c r="AM85" s="102"/>
      <c r="AN85" s="102"/>
    </row>
    <row r="86" spans="1:40" ht="15.75" thickBot="1" x14ac:dyDescent="0.3">
      <c r="A86" s="97"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Y86" s="6" t="s">
        <v>4</v>
      </c>
      <c r="Z86" s="9"/>
      <c r="AA86" s="4"/>
      <c r="AB86" s="4"/>
      <c r="AC86" s="4"/>
      <c r="AD86" s="4"/>
      <c r="AE86" s="5"/>
      <c r="AH86" s="6" t="s">
        <v>4</v>
      </c>
      <c r="AI86" s="9"/>
      <c r="AJ86" s="4"/>
      <c r="AK86" s="4"/>
      <c r="AL86" s="4"/>
      <c r="AM86" s="4"/>
      <c r="AN86" s="5"/>
    </row>
    <row r="87" spans="1:40" ht="15.75" thickBot="1" x14ac:dyDescent="0.3">
      <c r="A87" s="97"/>
      <c r="B87" s="26"/>
      <c r="C87" s="27"/>
      <c r="D87" s="27"/>
      <c r="E87" s="27"/>
      <c r="F87" s="27">
        <f>SUM(C87-B87)</f>
        <v>0</v>
      </c>
      <c r="G87" s="20">
        <f>SUM(E87-D87)</f>
        <v>0</v>
      </c>
      <c r="H87" s="21">
        <f>SUM(F87:G87)</f>
        <v>0</v>
      </c>
      <c r="J87" s="7" t="s">
        <v>22</v>
      </c>
      <c r="K87" s="10"/>
      <c r="L87" s="11"/>
      <c r="M87" s="11"/>
      <c r="N87" s="11"/>
      <c r="O87" s="11"/>
      <c r="P87" s="11"/>
      <c r="Q87" s="11"/>
      <c r="R87" s="11"/>
      <c r="S87" s="11"/>
      <c r="T87" s="11"/>
      <c r="U87" s="12"/>
      <c r="Y87" s="7" t="s">
        <v>22</v>
      </c>
      <c r="Z87" s="10"/>
      <c r="AA87" s="11"/>
      <c r="AB87" s="11"/>
      <c r="AC87" s="11"/>
      <c r="AD87" s="11"/>
      <c r="AE87" s="12"/>
      <c r="AH87" s="7" t="s">
        <v>22</v>
      </c>
      <c r="AI87" s="10"/>
      <c r="AJ87" s="11"/>
      <c r="AK87" s="11"/>
      <c r="AL87" s="11"/>
      <c r="AM87" s="11"/>
      <c r="AN87" s="12"/>
    </row>
    <row r="88" spans="1:40" x14ac:dyDescent="0.25">
      <c r="J88" s="8"/>
      <c r="T88" s="8" t="s">
        <v>23</v>
      </c>
      <c r="U88" s="13">
        <f>SUM(K87:U87)</f>
        <v>0</v>
      </c>
      <c r="AD88" s="8" t="s">
        <v>23</v>
      </c>
      <c r="AE88" s="13">
        <f>SUM(Z87:AE87)</f>
        <v>0</v>
      </c>
      <c r="AM88" s="8" t="s">
        <v>23</v>
      </c>
      <c r="AN88" s="13">
        <f>SUM(AI87:AN87)</f>
        <v>0</v>
      </c>
    </row>
  </sheetData>
  <mergeCells count="110">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B53:H53"/>
    <mergeCell ref="J53:U53"/>
    <mergeCell ref="Y53:AE53"/>
    <mergeCell ref="AH53:AN53"/>
    <mergeCell ref="A54:A5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B61:H61"/>
    <mergeCell ref="J61:U61"/>
    <mergeCell ref="Y61:AE61"/>
    <mergeCell ref="AH61:AN61"/>
    <mergeCell ref="A62:A63"/>
    <mergeCell ref="B57:H57"/>
    <mergeCell ref="J57:U57"/>
    <mergeCell ref="Y57:AE57"/>
    <mergeCell ref="AH57:AN57"/>
    <mergeCell ref="A58:A59"/>
    <mergeCell ref="B69:H69"/>
    <mergeCell ref="J69:U69"/>
    <mergeCell ref="Y69:AE69"/>
    <mergeCell ref="AH69:AN69"/>
    <mergeCell ref="A70:A71"/>
    <mergeCell ref="B65:H65"/>
    <mergeCell ref="J65:U65"/>
    <mergeCell ref="Y65:AE65"/>
    <mergeCell ref="AH65:AN65"/>
    <mergeCell ref="A66:A67"/>
    <mergeCell ref="B77:H77"/>
    <mergeCell ref="J77:U77"/>
    <mergeCell ref="Y77:AE77"/>
    <mergeCell ref="AH77:AN77"/>
    <mergeCell ref="A78:A79"/>
    <mergeCell ref="B73:H73"/>
    <mergeCell ref="J73:U73"/>
    <mergeCell ref="Y73:AE73"/>
    <mergeCell ref="AH73:AN73"/>
    <mergeCell ref="A74:A75"/>
    <mergeCell ref="B85:H85"/>
    <mergeCell ref="J85:U85"/>
    <mergeCell ref="Y85:AE85"/>
    <mergeCell ref="AH85:AN85"/>
    <mergeCell ref="A86:A87"/>
    <mergeCell ref="B81:H81"/>
    <mergeCell ref="J81:U81"/>
    <mergeCell ref="Y81:AE81"/>
    <mergeCell ref="AH81:AN81"/>
    <mergeCell ref="A82:A83"/>
  </mergeCells>
  <pageMargins left="0.511811024" right="0.511811024" top="0.78740157499999996" bottom="0.78740157499999996" header="0.31496062000000002" footer="0.31496062000000002"/>
  <pageSetup paperSize="9" orientation="portrait"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AN52"/>
  <sheetViews>
    <sheetView showGridLines="0" tabSelected="1" workbookViewId="0">
      <selection activeCell="I26" sqref="I26"/>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42578125" bestFit="1" customWidth="1"/>
    <col min="21" max="21" width="10.5703125" bestFit="1" customWidth="1"/>
    <col min="37" max="39" width="10.140625" bestFit="1" customWidth="1"/>
  </cols>
  <sheetData>
    <row r="2" spans="1:40" x14ac:dyDescent="0.25">
      <c r="A2" t="s">
        <v>0</v>
      </c>
      <c r="B2" s="94" t="s">
        <v>101</v>
      </c>
      <c r="C2" s="94"/>
      <c r="D2" s="1" t="s">
        <v>1</v>
      </c>
      <c r="E2" s="94" t="s">
        <v>147</v>
      </c>
      <c r="F2" s="94"/>
      <c r="H2" t="s">
        <v>138</v>
      </c>
      <c r="I2" s="75">
        <v>3000</v>
      </c>
    </row>
    <row r="3" spans="1:40" x14ac:dyDescent="0.25">
      <c r="A3" t="s">
        <v>79</v>
      </c>
      <c r="B3" s="94"/>
      <c r="C3" s="94"/>
      <c r="D3" s="1" t="s">
        <v>1</v>
      </c>
      <c r="E3" s="94"/>
      <c r="F3" s="94"/>
      <c r="H3" t="s">
        <v>80</v>
      </c>
      <c r="I3" s="70"/>
    </row>
    <row r="4" spans="1:40" x14ac:dyDescent="0.25">
      <c r="A4" t="s">
        <v>2</v>
      </c>
      <c r="B4" s="95">
        <v>2484</v>
      </c>
      <c r="C4" s="95"/>
      <c r="D4" s="1" t="s">
        <v>29</v>
      </c>
      <c r="E4" s="94" t="s">
        <v>145</v>
      </c>
      <c r="F4" s="94"/>
      <c r="H4" t="s">
        <v>105</v>
      </c>
      <c r="I4" s="76">
        <v>46112</v>
      </c>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148</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v>46114</v>
      </c>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v>1100</v>
      </c>
      <c r="C19" s="27"/>
      <c r="D19" s="27"/>
      <c r="E19" s="27">
        <v>47832</v>
      </c>
      <c r="F19" s="27">
        <f>SUM(C19-B19)</f>
        <v>-1100</v>
      </c>
      <c r="G19" s="20">
        <f>SUM(E19-D19)</f>
        <v>47832</v>
      </c>
      <c r="H19" s="21">
        <f>SUM(F19:G19)</f>
        <v>46732</v>
      </c>
      <c r="J19" s="7" t="s">
        <v>22</v>
      </c>
      <c r="K19" s="30">
        <v>239</v>
      </c>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239</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7">
        <v>47832</v>
      </c>
      <c r="C23" s="27"/>
      <c r="D23" s="27"/>
      <c r="E23" s="27">
        <v>49976</v>
      </c>
      <c r="F23" s="27">
        <f>SUM(C23-B23)</f>
        <v>-47832</v>
      </c>
      <c r="G23" s="20">
        <f>SUM(E23-D23)</f>
        <v>49976</v>
      </c>
      <c r="H23" s="21">
        <f>SUM(F23:G23)</f>
        <v>2144</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Y41" s="101" t="str">
        <f>J41</f>
        <v>Outubro</v>
      </c>
      <c r="Z41" s="101"/>
      <c r="AA41" s="101"/>
      <c r="AB41" s="101"/>
      <c r="AC41" s="101"/>
      <c r="AD41" s="101"/>
      <c r="AE41" s="101"/>
      <c r="AH41" s="102" t="str">
        <f>Y41</f>
        <v>Outubro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Y45" s="101" t="str">
        <f>J45</f>
        <v>Novembro</v>
      </c>
      <c r="Z45" s="101"/>
      <c r="AA45" s="101"/>
      <c r="AB45" s="101"/>
      <c r="AC45" s="101"/>
      <c r="AD45" s="101"/>
      <c r="AE45" s="101"/>
      <c r="AH45" s="102" t="str">
        <f>Y45</f>
        <v>Novembro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Y49" s="101" t="str">
        <f>J49</f>
        <v>Dezembro</v>
      </c>
      <c r="Z49" s="101"/>
      <c r="AA49" s="101"/>
      <c r="AB49" s="101"/>
      <c r="AC49" s="101"/>
      <c r="AD49" s="101"/>
      <c r="AE49" s="101"/>
      <c r="AH49" s="102" t="str">
        <f>Y49</f>
        <v>Dezembro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N95"/>
  <sheetViews>
    <sheetView showGridLines="0" topLeftCell="A58" workbookViewId="0">
      <selection activeCell="I79" sqref="I79"/>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3.7109375" bestFit="1" customWidth="1"/>
    <col min="10" max="10" width="13.42578125" bestFit="1" customWidth="1"/>
    <col min="11" max="14" width="10.42578125" bestFit="1" customWidth="1"/>
    <col min="15" max="15" width="10.5703125" bestFit="1" customWidth="1"/>
    <col min="16" max="16" width="10.42578125" bestFit="1" customWidth="1"/>
    <col min="17" max="20" width="10.5703125" bestFit="1" customWidth="1"/>
    <col min="21" max="21" width="12.140625" bestFit="1" customWidth="1"/>
    <col min="24" max="25" width="10.42578125" bestFit="1" customWidth="1"/>
    <col min="29" max="29" width="9.5703125" bestFit="1" customWidth="1"/>
    <col min="34" max="36" width="10.140625" bestFit="1" customWidth="1"/>
  </cols>
  <sheetData>
    <row r="2" spans="1:37" x14ac:dyDescent="0.25">
      <c r="A2" t="s">
        <v>0</v>
      </c>
      <c r="B2" s="94" t="s">
        <v>93</v>
      </c>
      <c r="C2" s="94"/>
      <c r="D2" s="1" t="s">
        <v>1</v>
      </c>
      <c r="E2" s="94" t="s">
        <v>92</v>
      </c>
      <c r="F2" s="94"/>
      <c r="G2" s="1"/>
      <c r="H2" s="1" t="s">
        <v>91</v>
      </c>
      <c r="I2" s="75">
        <v>3000</v>
      </c>
    </row>
    <row r="3" spans="1:37" x14ac:dyDescent="0.25">
      <c r="A3" t="s">
        <v>95</v>
      </c>
      <c r="B3" s="93">
        <v>45819</v>
      </c>
      <c r="C3" s="83"/>
      <c r="D3" s="1" t="s">
        <v>1</v>
      </c>
      <c r="E3" s="94" t="s">
        <v>92</v>
      </c>
      <c r="F3" s="94"/>
      <c r="G3" s="1"/>
      <c r="H3" s="1" t="s">
        <v>97</v>
      </c>
      <c r="I3" s="75" t="s">
        <v>106</v>
      </c>
    </row>
    <row r="4" spans="1:37" x14ac:dyDescent="0.25">
      <c r="A4" t="s">
        <v>95</v>
      </c>
      <c r="B4" s="93">
        <v>45881</v>
      </c>
      <c r="C4" s="83"/>
      <c r="D4" s="1" t="s">
        <v>1</v>
      </c>
      <c r="E4" s="94" t="s">
        <v>92</v>
      </c>
      <c r="F4" s="94"/>
      <c r="G4" s="1"/>
      <c r="H4" s="1" t="s">
        <v>97</v>
      </c>
      <c r="I4" s="75" t="s">
        <v>107</v>
      </c>
    </row>
    <row r="5" spans="1:37" x14ac:dyDescent="0.25">
      <c r="A5" t="s">
        <v>95</v>
      </c>
      <c r="B5" s="93">
        <v>45996</v>
      </c>
      <c r="C5" s="83"/>
      <c r="D5" s="1" t="s">
        <v>1</v>
      </c>
      <c r="E5" s="94" t="s">
        <v>92</v>
      </c>
      <c r="F5" s="94"/>
      <c r="G5" s="1"/>
      <c r="H5" s="1" t="s">
        <v>97</v>
      </c>
      <c r="I5" s="75" t="s">
        <v>143</v>
      </c>
    </row>
    <row r="6" spans="1:37" x14ac:dyDescent="0.25">
      <c r="A6" t="s">
        <v>79</v>
      </c>
      <c r="B6" s="93">
        <v>46137</v>
      </c>
      <c r="C6" s="93"/>
      <c r="D6" s="1" t="s">
        <v>1</v>
      </c>
      <c r="E6" s="94" t="s">
        <v>152</v>
      </c>
      <c r="F6" s="94"/>
      <c r="G6" s="1"/>
      <c r="H6" s="1" t="s">
        <v>80</v>
      </c>
      <c r="I6" s="70" t="s">
        <v>153</v>
      </c>
    </row>
    <row r="7" spans="1:37" x14ac:dyDescent="0.25">
      <c r="A7" t="s">
        <v>2</v>
      </c>
      <c r="B7" s="95">
        <v>2484</v>
      </c>
      <c r="C7" s="95"/>
      <c r="D7" s="1" t="s">
        <v>29</v>
      </c>
      <c r="E7" s="109">
        <v>45</v>
      </c>
      <c r="F7" s="94"/>
      <c r="G7" s="1"/>
      <c r="H7" s="1" t="s">
        <v>70</v>
      </c>
      <c r="I7" s="76">
        <v>45810</v>
      </c>
    </row>
    <row r="10" spans="1:37" ht="21" x14ac:dyDescent="0.35">
      <c r="A10" s="96" t="s">
        <v>28</v>
      </c>
      <c r="B10" s="96"/>
      <c r="C10" s="96"/>
      <c r="D10" s="96"/>
      <c r="E10" s="96"/>
      <c r="F10" s="96"/>
      <c r="G10" s="96"/>
      <c r="H10" s="96"/>
      <c r="J10" s="103" t="s">
        <v>26</v>
      </c>
      <c r="K10" s="103"/>
      <c r="L10" s="103"/>
      <c r="M10" s="103"/>
      <c r="N10" s="103"/>
      <c r="O10" s="103"/>
      <c r="P10" s="103"/>
      <c r="Q10" s="103"/>
      <c r="R10" s="103"/>
      <c r="S10" s="103"/>
      <c r="T10" s="103"/>
      <c r="U10" s="103"/>
      <c r="V10" s="2"/>
      <c r="W10" s="98" t="s">
        <v>25</v>
      </c>
      <c r="X10" s="98"/>
      <c r="Y10" s="98"/>
      <c r="Z10" s="98"/>
      <c r="AA10" s="98"/>
      <c r="AB10" s="98"/>
      <c r="AC10" s="98"/>
      <c r="AD10" s="2"/>
      <c r="AE10" s="98" t="s">
        <v>27</v>
      </c>
      <c r="AF10" s="98"/>
      <c r="AG10" s="98"/>
      <c r="AH10" s="98"/>
      <c r="AI10" s="98"/>
      <c r="AJ10" s="98"/>
      <c r="AK10" s="98"/>
    </row>
    <row r="11" spans="1:37" s="15" customFormat="1" ht="21" x14ac:dyDescent="0.35">
      <c r="A11" s="14"/>
      <c r="B11" s="14"/>
      <c r="C11" s="14"/>
      <c r="D11" s="14"/>
      <c r="E11" s="14"/>
      <c r="F11" s="14"/>
      <c r="G11" s="14"/>
      <c r="H11" s="14"/>
      <c r="J11" s="16"/>
      <c r="K11" s="16"/>
      <c r="L11" s="16"/>
      <c r="M11" s="16"/>
      <c r="N11" s="16"/>
      <c r="O11" s="16"/>
      <c r="P11" s="16"/>
      <c r="Q11" s="16"/>
      <c r="R11" s="16"/>
      <c r="S11" s="16"/>
      <c r="T11" s="16"/>
      <c r="U11" s="16"/>
      <c r="V11" s="17"/>
      <c r="W11" s="18"/>
      <c r="X11" s="18"/>
      <c r="Y11" s="18"/>
      <c r="Z11" s="18"/>
      <c r="AA11" s="18"/>
      <c r="AB11" s="18"/>
      <c r="AC11" s="18"/>
      <c r="AD11" s="17"/>
      <c r="AE11" s="18"/>
      <c r="AF11" s="18"/>
      <c r="AG11" s="18"/>
      <c r="AH11" s="18"/>
      <c r="AI11" s="18"/>
      <c r="AJ11" s="18"/>
      <c r="AK11" s="18"/>
    </row>
    <row r="12" spans="1:37" ht="15.75" thickBot="1" x14ac:dyDescent="0.3">
      <c r="A12" s="19"/>
      <c r="B12" s="99" t="s">
        <v>3</v>
      </c>
      <c r="C12" s="99"/>
      <c r="D12" s="99"/>
      <c r="E12" s="99"/>
      <c r="F12" s="99"/>
      <c r="G12" s="99"/>
      <c r="H12" s="99"/>
      <c r="J12" s="100" t="s">
        <v>3</v>
      </c>
      <c r="K12" s="100"/>
      <c r="L12" s="100"/>
      <c r="M12" s="100"/>
      <c r="N12" s="100"/>
      <c r="O12" s="100"/>
      <c r="P12" s="100"/>
      <c r="Q12" s="100"/>
      <c r="R12" s="100"/>
      <c r="S12" s="100"/>
      <c r="T12" s="100"/>
      <c r="U12" s="100"/>
      <c r="W12" s="101" t="s">
        <v>3</v>
      </c>
      <c r="X12" s="101"/>
      <c r="Y12" s="101"/>
      <c r="Z12" s="101"/>
      <c r="AA12" s="101"/>
      <c r="AB12" s="101"/>
      <c r="AC12" s="101"/>
      <c r="AE12" s="102" t="s">
        <v>3</v>
      </c>
      <c r="AF12" s="102"/>
      <c r="AG12" s="102"/>
      <c r="AH12" s="102"/>
      <c r="AI12" s="102"/>
      <c r="AJ12" s="102"/>
      <c r="AK12" s="102"/>
    </row>
    <row r="13" spans="1:37" ht="15.75" thickBot="1" x14ac:dyDescent="0.3">
      <c r="A13" s="97" t="s">
        <v>5</v>
      </c>
      <c r="B13" s="34" t="s">
        <v>6</v>
      </c>
      <c r="C13" s="22" t="s">
        <v>7</v>
      </c>
      <c r="D13" s="33" t="s">
        <v>8</v>
      </c>
      <c r="E13" s="22" t="s">
        <v>9</v>
      </c>
      <c r="F13" s="24" t="s">
        <v>10</v>
      </c>
      <c r="G13" s="23" t="s">
        <v>11</v>
      </c>
      <c r="H13" s="25" t="s">
        <v>12</v>
      </c>
      <c r="J13" s="28" t="s">
        <v>4</v>
      </c>
      <c r="K13" s="9"/>
      <c r="L13" s="4"/>
      <c r="M13" s="4"/>
      <c r="N13" s="4"/>
      <c r="O13" s="4"/>
      <c r="P13" s="4"/>
      <c r="Q13" s="4"/>
      <c r="R13" s="4"/>
      <c r="S13" s="4"/>
      <c r="T13" s="4"/>
      <c r="U13" s="5"/>
      <c r="W13" s="6" t="s">
        <v>4</v>
      </c>
      <c r="X13" s="9"/>
      <c r="Y13" s="4"/>
      <c r="Z13" s="4"/>
      <c r="AA13" s="4"/>
      <c r="AB13" s="4"/>
      <c r="AC13" s="5"/>
      <c r="AE13" s="6" t="s">
        <v>4</v>
      </c>
      <c r="AF13" s="9"/>
      <c r="AG13" s="4"/>
      <c r="AH13" s="4"/>
      <c r="AI13" s="4"/>
      <c r="AJ13" s="4"/>
      <c r="AK13" s="5"/>
    </row>
    <row r="14" spans="1:37" ht="15.75" thickBot="1" x14ac:dyDescent="0.3">
      <c r="A14" s="97"/>
      <c r="B14" s="26"/>
      <c r="C14" s="27"/>
      <c r="D14" s="27"/>
      <c r="E14" s="27"/>
      <c r="F14" s="27">
        <f>SUM(C14-B14)</f>
        <v>0</v>
      </c>
      <c r="G14" s="20">
        <f>SUM(E14-D14)</f>
        <v>0</v>
      </c>
      <c r="H14" s="21">
        <f>SUM(F14:G14)</f>
        <v>0</v>
      </c>
      <c r="J14" s="29" t="s">
        <v>22</v>
      </c>
      <c r="K14" s="10"/>
      <c r="L14" s="11"/>
      <c r="M14" s="11"/>
      <c r="N14" s="11"/>
      <c r="O14" s="11"/>
      <c r="P14" s="11"/>
      <c r="Q14" s="11"/>
      <c r="R14" s="11"/>
      <c r="S14" s="11"/>
      <c r="T14" s="11"/>
      <c r="U14" s="12"/>
      <c r="W14" s="7" t="s">
        <v>22</v>
      </c>
      <c r="X14" s="10"/>
      <c r="Y14" s="11"/>
      <c r="Z14" s="11"/>
      <c r="AA14" s="11"/>
      <c r="AB14" s="11"/>
      <c r="AC14" s="12"/>
      <c r="AE14" s="7" t="s">
        <v>22</v>
      </c>
      <c r="AF14" s="10"/>
      <c r="AG14" s="11"/>
      <c r="AH14" s="11"/>
      <c r="AI14" s="11"/>
      <c r="AJ14" s="11"/>
      <c r="AK14" s="12"/>
    </row>
    <row r="15" spans="1:37" x14ac:dyDescent="0.25">
      <c r="J15" s="8"/>
      <c r="T15" s="8" t="s">
        <v>23</v>
      </c>
      <c r="U15" s="13">
        <f>SUM(K14:U14)</f>
        <v>0</v>
      </c>
      <c r="AB15" s="8" t="s">
        <v>23</v>
      </c>
      <c r="AC15" s="13">
        <f>SUM(X14:AC14)</f>
        <v>0</v>
      </c>
      <c r="AJ15" s="8" t="s">
        <v>23</v>
      </c>
      <c r="AK15" s="13">
        <f>SUM(AF14:AK14)</f>
        <v>0</v>
      </c>
    </row>
    <row r="16" spans="1:37" ht="15.75" thickBot="1" x14ac:dyDescent="0.3">
      <c r="A16" s="19"/>
      <c r="B16" s="99" t="s">
        <v>13</v>
      </c>
      <c r="C16" s="99"/>
      <c r="D16" s="99"/>
      <c r="E16" s="99"/>
      <c r="F16" s="99"/>
      <c r="G16" s="99"/>
      <c r="H16" s="99"/>
      <c r="J16" s="100" t="s">
        <v>13</v>
      </c>
      <c r="K16" s="100"/>
      <c r="L16" s="100"/>
      <c r="M16" s="100"/>
      <c r="N16" s="100"/>
      <c r="O16" s="100"/>
      <c r="P16" s="100"/>
      <c r="Q16" s="100"/>
      <c r="R16" s="100"/>
      <c r="S16" s="100"/>
      <c r="T16" s="100"/>
      <c r="U16" s="100"/>
      <c r="W16" s="101" t="str">
        <f>J16</f>
        <v>Março</v>
      </c>
      <c r="X16" s="101"/>
      <c r="Y16" s="101"/>
      <c r="Z16" s="101"/>
      <c r="AA16" s="101"/>
      <c r="AB16" s="101"/>
      <c r="AC16" s="101"/>
      <c r="AE16" s="102" t="str">
        <f>W16</f>
        <v>Março</v>
      </c>
      <c r="AF16" s="102"/>
      <c r="AG16" s="102"/>
      <c r="AH16" s="102"/>
      <c r="AI16" s="102"/>
      <c r="AJ16" s="102"/>
      <c r="AK16" s="102"/>
    </row>
    <row r="17" spans="1:37" ht="15.75" thickBot="1" x14ac:dyDescent="0.3">
      <c r="A17" s="97" t="s">
        <v>5</v>
      </c>
      <c r="B17" s="34" t="s">
        <v>6</v>
      </c>
      <c r="C17" s="22" t="s">
        <v>7</v>
      </c>
      <c r="D17" s="33" t="s">
        <v>8</v>
      </c>
      <c r="E17" s="22" t="s">
        <v>9</v>
      </c>
      <c r="F17" s="24" t="s">
        <v>10</v>
      </c>
      <c r="G17" s="23" t="s">
        <v>11</v>
      </c>
      <c r="H17" s="25" t="s">
        <v>12</v>
      </c>
      <c r="J17" s="6" t="s">
        <v>4</v>
      </c>
      <c r="K17" s="9"/>
      <c r="L17" s="66"/>
      <c r="M17" s="66"/>
      <c r="N17" s="66"/>
      <c r="O17" s="4"/>
      <c r="P17" s="4"/>
      <c r="Q17" s="4"/>
      <c r="R17" s="4"/>
      <c r="S17" s="4"/>
      <c r="T17" s="4"/>
      <c r="U17" s="5"/>
      <c r="W17" s="6" t="s">
        <v>4</v>
      </c>
      <c r="X17" s="9"/>
      <c r="Y17" s="4"/>
      <c r="Z17" s="4"/>
      <c r="AA17" s="4"/>
      <c r="AB17" s="4"/>
      <c r="AC17" s="5"/>
      <c r="AE17" s="6" t="s">
        <v>4</v>
      </c>
      <c r="AF17" s="9"/>
      <c r="AG17" s="4"/>
      <c r="AH17" s="4"/>
      <c r="AI17" s="4"/>
      <c r="AJ17" s="4"/>
      <c r="AK17" s="5"/>
    </row>
    <row r="18" spans="1:37" ht="15.75" thickBot="1" x14ac:dyDescent="0.3">
      <c r="A18" s="97"/>
      <c r="B18" s="26"/>
      <c r="C18" s="27"/>
      <c r="D18" s="27"/>
      <c r="E18" s="27"/>
      <c r="F18" s="27">
        <f>SUM(C18-B18)</f>
        <v>0</v>
      </c>
      <c r="G18" s="20">
        <f>SUM(E18-D18)</f>
        <v>0</v>
      </c>
      <c r="H18" s="21">
        <f>SUM(F18:G18)</f>
        <v>0</v>
      </c>
      <c r="J18" s="7" t="s">
        <v>22</v>
      </c>
      <c r="K18" s="10"/>
      <c r="L18" s="11"/>
      <c r="M18" s="11"/>
      <c r="N18" s="11"/>
      <c r="O18" s="11"/>
      <c r="P18" s="11"/>
      <c r="Q18" s="11"/>
      <c r="R18" s="11"/>
      <c r="S18" s="11"/>
      <c r="T18" s="11"/>
      <c r="U18" s="12"/>
      <c r="W18" s="7" t="s">
        <v>22</v>
      </c>
      <c r="X18" s="10"/>
      <c r="Y18" s="11"/>
      <c r="Z18" s="11"/>
      <c r="AA18" s="11"/>
      <c r="AB18" s="11"/>
      <c r="AC18" s="12"/>
      <c r="AE18" s="7" t="s">
        <v>22</v>
      </c>
      <c r="AF18" s="10"/>
      <c r="AG18" s="11"/>
      <c r="AH18" s="11"/>
      <c r="AI18" s="11"/>
      <c r="AJ18" s="11"/>
      <c r="AK18" s="12"/>
    </row>
    <row r="19" spans="1:37" x14ac:dyDescent="0.25">
      <c r="J19" s="8"/>
      <c r="T19" s="8" t="s">
        <v>23</v>
      </c>
      <c r="U19" s="13">
        <f>SUM(K18:U18)</f>
        <v>0</v>
      </c>
      <c r="AB19" s="8" t="s">
        <v>23</v>
      </c>
      <c r="AC19" s="13">
        <f>SUM(X18:AC18)</f>
        <v>0</v>
      </c>
      <c r="AJ19" s="8" t="s">
        <v>23</v>
      </c>
      <c r="AK19" s="13">
        <f>SUM(AF18:AK18)</f>
        <v>0</v>
      </c>
    </row>
    <row r="20" spans="1:37" ht="15.75" thickBot="1" x14ac:dyDescent="0.3">
      <c r="A20" s="19"/>
      <c r="B20" s="99" t="s">
        <v>14</v>
      </c>
      <c r="C20" s="99"/>
      <c r="D20" s="99"/>
      <c r="E20" s="99"/>
      <c r="F20" s="99"/>
      <c r="G20" s="99"/>
      <c r="H20" s="99"/>
      <c r="J20" s="100" t="s">
        <v>14</v>
      </c>
      <c r="K20" s="100"/>
      <c r="L20" s="100"/>
      <c r="M20" s="100"/>
      <c r="N20" s="100"/>
      <c r="O20" s="100"/>
      <c r="P20" s="100"/>
      <c r="Q20" s="100"/>
      <c r="R20" s="100"/>
      <c r="S20" s="100"/>
      <c r="T20" s="100"/>
      <c r="U20" s="100"/>
      <c r="W20" s="101" t="str">
        <f>J20</f>
        <v>Abril</v>
      </c>
      <c r="X20" s="101"/>
      <c r="Y20" s="101"/>
      <c r="Z20" s="101"/>
      <c r="AA20" s="101"/>
      <c r="AB20" s="101"/>
      <c r="AC20" s="101"/>
      <c r="AE20" s="102" t="str">
        <f>W20</f>
        <v>Abril</v>
      </c>
      <c r="AF20" s="102"/>
      <c r="AG20" s="102"/>
      <c r="AH20" s="102"/>
      <c r="AI20" s="102"/>
      <c r="AJ20" s="102"/>
      <c r="AK20" s="102"/>
    </row>
    <row r="21" spans="1:37" ht="15.75" thickBot="1" x14ac:dyDescent="0.3">
      <c r="A21" s="97" t="s">
        <v>5</v>
      </c>
      <c r="B21" s="34" t="s">
        <v>6</v>
      </c>
      <c r="C21" s="22" t="s">
        <v>7</v>
      </c>
      <c r="D21" s="33" t="s">
        <v>8</v>
      </c>
      <c r="E21" s="22" t="s">
        <v>9</v>
      </c>
      <c r="F21" s="24" t="s">
        <v>10</v>
      </c>
      <c r="G21" s="23" t="s">
        <v>11</v>
      </c>
      <c r="H21" s="25" t="s">
        <v>12</v>
      </c>
      <c r="J21" s="6" t="s">
        <v>4</v>
      </c>
      <c r="K21" s="9"/>
      <c r="L21" s="4"/>
      <c r="M21" s="4"/>
      <c r="N21" s="4"/>
      <c r="O21" s="4"/>
      <c r="P21" s="4"/>
      <c r="Q21" s="4"/>
      <c r="R21" s="4"/>
      <c r="S21" s="4"/>
      <c r="T21" s="4"/>
      <c r="U21" s="5"/>
      <c r="W21" s="6" t="s">
        <v>4</v>
      </c>
      <c r="X21" s="9"/>
      <c r="Y21" s="4"/>
      <c r="Z21" s="4"/>
      <c r="AA21" s="4"/>
      <c r="AB21" s="4"/>
      <c r="AC21" s="5"/>
      <c r="AE21" s="6" t="s">
        <v>4</v>
      </c>
      <c r="AF21" s="9"/>
      <c r="AG21" s="4"/>
      <c r="AH21" s="4"/>
      <c r="AI21" s="4"/>
      <c r="AJ21" s="4"/>
      <c r="AK21" s="5"/>
    </row>
    <row r="22" spans="1:37" ht="15.75" thickBot="1" x14ac:dyDescent="0.3">
      <c r="A22" s="97"/>
      <c r="B22" s="26"/>
      <c r="C22" s="27"/>
      <c r="D22" s="27"/>
      <c r="E22" s="27"/>
      <c r="F22" s="27">
        <f>SUM(C22-B22)</f>
        <v>0</v>
      </c>
      <c r="G22" s="20">
        <f>SUM(E22-D22)</f>
        <v>0</v>
      </c>
      <c r="H22" s="21">
        <f>SUM(F22:G22)</f>
        <v>0</v>
      </c>
      <c r="J22" s="7" t="s">
        <v>22</v>
      </c>
      <c r="K22" s="30"/>
      <c r="L22" s="31"/>
      <c r="M22" s="31"/>
      <c r="N22" s="31"/>
      <c r="O22" s="31"/>
      <c r="P22" s="31"/>
      <c r="Q22" s="31"/>
      <c r="R22" s="31"/>
      <c r="S22" s="31"/>
      <c r="T22" s="31"/>
      <c r="U22" s="32"/>
      <c r="W22" s="7" t="s">
        <v>22</v>
      </c>
      <c r="X22" s="10"/>
      <c r="Y22" s="11"/>
      <c r="Z22" s="11"/>
      <c r="AA22" s="11"/>
      <c r="AB22" s="11"/>
      <c r="AC22" s="12"/>
      <c r="AE22" s="7" t="s">
        <v>22</v>
      </c>
      <c r="AF22" s="10"/>
      <c r="AG22" s="11"/>
      <c r="AH22" s="11"/>
      <c r="AI22" s="11"/>
      <c r="AJ22" s="11"/>
      <c r="AK22" s="12"/>
    </row>
    <row r="23" spans="1:37" x14ac:dyDescent="0.25">
      <c r="J23" s="8"/>
      <c r="T23" s="8" t="s">
        <v>23</v>
      </c>
      <c r="U23" s="13">
        <f>SUM(K22:U22)</f>
        <v>0</v>
      </c>
      <c r="AB23" s="8" t="s">
        <v>23</v>
      </c>
      <c r="AC23" s="13">
        <f>SUM(X22:AC22)</f>
        <v>0</v>
      </c>
      <c r="AJ23" s="8" t="s">
        <v>23</v>
      </c>
      <c r="AK23" s="13">
        <f>SUM(AF22:AK22)</f>
        <v>0</v>
      </c>
    </row>
    <row r="24" spans="1:37" ht="15.75" thickBot="1" x14ac:dyDescent="0.3">
      <c r="A24" s="19"/>
      <c r="B24" s="99" t="s">
        <v>15</v>
      </c>
      <c r="C24" s="99"/>
      <c r="D24" s="99"/>
      <c r="E24" s="99"/>
      <c r="F24" s="99"/>
      <c r="G24" s="99"/>
      <c r="H24" s="99"/>
      <c r="J24" s="100" t="s">
        <v>15</v>
      </c>
      <c r="K24" s="100"/>
      <c r="L24" s="100"/>
      <c r="M24" s="100"/>
      <c r="N24" s="100"/>
      <c r="O24" s="100"/>
      <c r="P24" s="100"/>
      <c r="Q24" s="100"/>
      <c r="R24" s="100"/>
      <c r="S24" s="100"/>
      <c r="T24" s="100"/>
      <c r="U24" s="100"/>
      <c r="W24" s="101" t="str">
        <f>J24</f>
        <v>Maio</v>
      </c>
      <c r="X24" s="101"/>
      <c r="Y24" s="101"/>
      <c r="Z24" s="101"/>
      <c r="AA24" s="101"/>
      <c r="AB24" s="101"/>
      <c r="AC24" s="101"/>
      <c r="AE24" s="102" t="str">
        <f>W24</f>
        <v>Maio</v>
      </c>
      <c r="AF24" s="102"/>
      <c r="AG24" s="102"/>
      <c r="AH24" s="102"/>
      <c r="AI24" s="102"/>
      <c r="AJ24" s="102"/>
      <c r="AK24" s="102"/>
    </row>
    <row r="25" spans="1:37" ht="15.75" thickBot="1" x14ac:dyDescent="0.3">
      <c r="A25" s="97" t="s">
        <v>5</v>
      </c>
      <c r="B25" s="34" t="s">
        <v>6</v>
      </c>
      <c r="C25" s="22" t="s">
        <v>7</v>
      </c>
      <c r="D25" s="33" t="s">
        <v>8</v>
      </c>
      <c r="E25" s="22" t="s">
        <v>9</v>
      </c>
      <c r="F25" s="24" t="s">
        <v>10</v>
      </c>
      <c r="G25" s="23" t="s">
        <v>11</v>
      </c>
      <c r="H25" s="25" t="s">
        <v>12</v>
      </c>
      <c r="J25" s="6" t="s">
        <v>4</v>
      </c>
      <c r="K25" s="9"/>
      <c r="L25" s="4"/>
      <c r="M25" s="4"/>
      <c r="N25" s="4"/>
      <c r="O25" s="4"/>
      <c r="P25" s="4"/>
      <c r="Q25" s="4"/>
      <c r="R25" s="4"/>
      <c r="S25" s="4"/>
      <c r="T25" s="4"/>
      <c r="U25" s="5"/>
      <c r="W25" s="6" t="s">
        <v>4</v>
      </c>
      <c r="X25" s="9"/>
      <c r="Y25" s="4"/>
      <c r="Z25" s="4"/>
      <c r="AA25" s="4"/>
      <c r="AB25" s="4"/>
      <c r="AC25" s="5"/>
      <c r="AE25" s="6" t="s">
        <v>4</v>
      </c>
      <c r="AF25" s="9"/>
      <c r="AG25" s="4"/>
      <c r="AH25" s="4"/>
      <c r="AI25" s="4"/>
      <c r="AJ25" s="4"/>
      <c r="AK25" s="5"/>
    </row>
    <row r="26" spans="1:37" ht="15.75" thickBot="1" x14ac:dyDescent="0.3">
      <c r="A26" s="97"/>
      <c r="B26" s="26"/>
      <c r="C26" s="27"/>
      <c r="D26" s="27"/>
      <c r="E26" s="27"/>
      <c r="F26" s="27">
        <f>SUM(C26-B26)</f>
        <v>0</v>
      </c>
      <c r="G26" s="20">
        <f>SUM(E26-D26)</f>
        <v>0</v>
      </c>
      <c r="H26" s="21">
        <f>SUM(F26:G26)</f>
        <v>0</v>
      </c>
      <c r="J26" s="7" t="s">
        <v>22</v>
      </c>
      <c r="K26" s="10"/>
      <c r="L26" s="11"/>
      <c r="M26" s="11"/>
      <c r="N26" s="11"/>
      <c r="O26" s="11"/>
      <c r="P26" s="11"/>
      <c r="Q26" s="11"/>
      <c r="R26" s="11"/>
      <c r="S26" s="11"/>
      <c r="T26" s="11"/>
      <c r="U26" s="12"/>
      <c r="W26" s="7" t="s">
        <v>22</v>
      </c>
      <c r="X26" s="10"/>
      <c r="Y26" s="11"/>
      <c r="Z26" s="11"/>
      <c r="AA26" s="11"/>
      <c r="AB26" s="11"/>
      <c r="AC26" s="12"/>
      <c r="AE26" s="7" t="s">
        <v>22</v>
      </c>
      <c r="AF26" s="10"/>
      <c r="AG26" s="11"/>
      <c r="AH26" s="11"/>
      <c r="AI26" s="11"/>
      <c r="AJ26" s="11"/>
      <c r="AK26" s="12"/>
    </row>
    <row r="27" spans="1:37" x14ac:dyDescent="0.25">
      <c r="J27" s="8"/>
      <c r="T27" s="8" t="s">
        <v>23</v>
      </c>
      <c r="U27" s="13">
        <f>SUM(K26:U26)</f>
        <v>0</v>
      </c>
      <c r="AB27" s="8" t="s">
        <v>23</v>
      </c>
      <c r="AC27" s="13">
        <f>SUM(X26:AC26)</f>
        <v>0</v>
      </c>
      <c r="AJ27" s="8" t="s">
        <v>23</v>
      </c>
      <c r="AK27" s="13">
        <f>SUM(AF26:AK26)</f>
        <v>0</v>
      </c>
    </row>
    <row r="28" spans="1:37" ht="15.75" thickBot="1" x14ac:dyDescent="0.3">
      <c r="A28" s="19"/>
      <c r="B28" s="99" t="s">
        <v>24</v>
      </c>
      <c r="C28" s="99"/>
      <c r="D28" s="99"/>
      <c r="E28" s="99"/>
      <c r="F28" s="99"/>
      <c r="G28" s="99"/>
      <c r="H28" s="99"/>
      <c r="J28" s="100" t="s">
        <v>24</v>
      </c>
      <c r="K28" s="100"/>
      <c r="L28" s="100"/>
      <c r="M28" s="100"/>
      <c r="N28" s="100"/>
      <c r="O28" s="100"/>
      <c r="P28" s="100"/>
      <c r="Q28" s="100"/>
      <c r="R28" s="100"/>
      <c r="S28" s="100"/>
      <c r="T28" s="100"/>
      <c r="U28" s="100"/>
      <c r="W28" s="101" t="str">
        <f>J28</f>
        <v>Junho</v>
      </c>
      <c r="X28" s="101"/>
      <c r="Y28" s="101"/>
      <c r="Z28" s="101"/>
      <c r="AA28" s="101"/>
      <c r="AB28" s="101"/>
      <c r="AC28" s="101"/>
      <c r="AE28" s="102" t="str">
        <f>W28</f>
        <v>Junho</v>
      </c>
      <c r="AF28" s="102"/>
      <c r="AG28" s="102"/>
      <c r="AH28" s="102"/>
      <c r="AI28" s="102"/>
      <c r="AJ28" s="102"/>
      <c r="AK28" s="102"/>
    </row>
    <row r="29" spans="1:37" ht="15.75" thickBot="1" x14ac:dyDescent="0.3">
      <c r="A29" s="97" t="s">
        <v>5</v>
      </c>
      <c r="B29" s="34" t="s">
        <v>6</v>
      </c>
      <c r="C29" s="22" t="s">
        <v>7</v>
      </c>
      <c r="D29" s="33" t="s">
        <v>8</v>
      </c>
      <c r="E29" s="22" t="s">
        <v>9</v>
      </c>
      <c r="F29" s="24" t="s">
        <v>10</v>
      </c>
      <c r="G29" s="23" t="s">
        <v>11</v>
      </c>
      <c r="H29" s="25" t="s">
        <v>12</v>
      </c>
      <c r="J29" s="6" t="s">
        <v>4</v>
      </c>
      <c r="K29" s="9">
        <v>45824</v>
      </c>
      <c r="L29" s="66">
        <v>45825</v>
      </c>
      <c r="M29" s="66">
        <v>45827</v>
      </c>
      <c r="N29" s="66">
        <v>45832</v>
      </c>
      <c r="O29" s="66">
        <v>45834</v>
      </c>
      <c r="P29" s="4"/>
      <c r="Q29" s="4"/>
      <c r="R29" s="4"/>
      <c r="S29" s="4"/>
      <c r="T29" s="4"/>
      <c r="U29" s="5"/>
      <c r="W29" s="6" t="s">
        <v>4</v>
      </c>
      <c r="X29" s="9"/>
      <c r="Y29" s="4"/>
      <c r="Z29" s="4"/>
      <c r="AA29" s="4"/>
      <c r="AB29" s="4"/>
      <c r="AC29" s="5"/>
      <c r="AE29" s="6" t="s">
        <v>4</v>
      </c>
      <c r="AF29" s="9"/>
      <c r="AG29" s="4"/>
      <c r="AH29" s="4"/>
      <c r="AI29" s="4"/>
      <c r="AJ29" s="4"/>
      <c r="AK29" s="5"/>
    </row>
    <row r="30" spans="1:37" ht="15.75" thickBot="1" x14ac:dyDescent="0.3">
      <c r="A30" s="97"/>
      <c r="B30" s="26">
        <v>32024</v>
      </c>
      <c r="C30" s="27">
        <v>33847</v>
      </c>
      <c r="D30" s="27">
        <v>33847</v>
      </c>
      <c r="E30" s="27">
        <v>35285</v>
      </c>
      <c r="F30" s="27">
        <f>SUM(C30-B30)</f>
        <v>1823</v>
      </c>
      <c r="G30" s="20">
        <f>SUM(E30-D30)</f>
        <v>1438</v>
      </c>
      <c r="H30" s="21">
        <f>SUM(F30:G30)</f>
        <v>3261</v>
      </c>
      <c r="J30" s="7" t="s">
        <v>22</v>
      </c>
      <c r="K30" s="10">
        <v>196.51</v>
      </c>
      <c r="L30" s="11">
        <v>194.92</v>
      </c>
      <c r="M30" s="11">
        <v>136.13</v>
      </c>
      <c r="N30" s="11">
        <v>188.78</v>
      </c>
      <c r="O30" s="11">
        <v>132.75</v>
      </c>
      <c r="P30" s="11"/>
      <c r="Q30" s="11"/>
      <c r="R30" s="11"/>
      <c r="S30" s="11"/>
      <c r="T30" s="11"/>
      <c r="U30" s="12"/>
      <c r="W30" s="7" t="s">
        <v>22</v>
      </c>
      <c r="X30" s="10"/>
      <c r="Y30" s="11"/>
      <c r="Z30" s="11"/>
      <c r="AA30" s="11"/>
      <c r="AB30" s="11"/>
      <c r="AC30" s="12"/>
      <c r="AE30" s="7" t="s">
        <v>22</v>
      </c>
      <c r="AF30" s="10"/>
      <c r="AG30" s="11"/>
      <c r="AH30" s="11"/>
      <c r="AI30" s="11"/>
      <c r="AJ30" s="11"/>
      <c r="AK30" s="12"/>
    </row>
    <row r="31" spans="1:37" x14ac:dyDescent="0.25">
      <c r="J31" s="8"/>
      <c r="T31" s="8" t="s">
        <v>23</v>
      </c>
      <c r="U31" s="13">
        <f>SUM(K30:U30)</f>
        <v>849.08999999999992</v>
      </c>
      <c r="AB31" s="8" t="s">
        <v>23</v>
      </c>
      <c r="AC31" s="13">
        <f>SUM(X30:AC30)</f>
        <v>0</v>
      </c>
      <c r="AJ31" s="8" t="s">
        <v>23</v>
      </c>
      <c r="AK31" s="13">
        <f>SUM(AF30:AK30)</f>
        <v>0</v>
      </c>
    </row>
    <row r="32" spans="1:37" ht="15.75" thickBot="1" x14ac:dyDescent="0.3">
      <c r="A32" s="19"/>
      <c r="B32" s="99" t="s">
        <v>16</v>
      </c>
      <c r="C32" s="99"/>
      <c r="D32" s="99"/>
      <c r="E32" s="99"/>
      <c r="F32" s="99"/>
      <c r="G32" s="99"/>
      <c r="H32" s="99"/>
      <c r="J32" s="100" t="s">
        <v>16</v>
      </c>
      <c r="K32" s="100"/>
      <c r="L32" s="100"/>
      <c r="M32" s="100"/>
      <c r="N32" s="100"/>
      <c r="O32" s="100"/>
      <c r="P32" s="100"/>
      <c r="Q32" s="100"/>
      <c r="R32" s="100"/>
      <c r="S32" s="100"/>
      <c r="T32" s="100"/>
      <c r="U32" s="100"/>
      <c r="W32" s="101" t="str">
        <f>J32</f>
        <v>Julho</v>
      </c>
      <c r="X32" s="101"/>
      <c r="Y32" s="101"/>
      <c r="Z32" s="101"/>
      <c r="AA32" s="101"/>
      <c r="AB32" s="101"/>
      <c r="AC32" s="101"/>
      <c r="AE32" s="102" t="str">
        <f>W32</f>
        <v>Julho</v>
      </c>
      <c r="AF32" s="102"/>
      <c r="AG32" s="102"/>
      <c r="AH32" s="102"/>
      <c r="AI32" s="102"/>
      <c r="AJ32" s="102"/>
      <c r="AK32" s="102"/>
    </row>
    <row r="33" spans="1:37" ht="15.75" thickBot="1" x14ac:dyDescent="0.3">
      <c r="A33" s="97" t="s">
        <v>5</v>
      </c>
      <c r="B33" s="34" t="s">
        <v>6</v>
      </c>
      <c r="C33" s="22" t="s">
        <v>7</v>
      </c>
      <c r="D33" s="33" t="s">
        <v>8</v>
      </c>
      <c r="E33" s="22" t="s">
        <v>9</v>
      </c>
      <c r="F33" s="24" t="s">
        <v>10</v>
      </c>
      <c r="G33" s="23" t="s">
        <v>11</v>
      </c>
      <c r="H33" s="25" t="s">
        <v>12</v>
      </c>
      <c r="J33" s="6" t="s">
        <v>4</v>
      </c>
      <c r="K33" s="9">
        <v>45839</v>
      </c>
      <c r="L33" s="66">
        <v>45841</v>
      </c>
      <c r="M33" s="66">
        <v>45846</v>
      </c>
      <c r="N33" s="66">
        <v>45848</v>
      </c>
      <c r="O33" s="66">
        <v>45853</v>
      </c>
      <c r="P33" s="66">
        <v>45855</v>
      </c>
      <c r="Q33" s="66">
        <v>45860</v>
      </c>
      <c r="R33" s="66">
        <v>45862</v>
      </c>
      <c r="S33" s="66">
        <v>45867</v>
      </c>
      <c r="T33" s="66">
        <v>45869</v>
      </c>
      <c r="U33" s="5"/>
      <c r="W33" s="6" t="s">
        <v>4</v>
      </c>
      <c r="X33" s="9"/>
      <c r="Y33" s="4"/>
      <c r="Z33" s="4"/>
      <c r="AA33" s="4"/>
      <c r="AB33" s="4"/>
      <c r="AC33" s="5"/>
      <c r="AE33" s="6" t="s">
        <v>4</v>
      </c>
      <c r="AF33" s="9"/>
      <c r="AG33" s="4"/>
      <c r="AH33" s="4"/>
      <c r="AI33" s="4"/>
      <c r="AJ33" s="4"/>
      <c r="AK33" s="5"/>
    </row>
    <row r="34" spans="1:37" ht="15.75" thickBot="1" x14ac:dyDescent="0.3">
      <c r="A34" s="97"/>
      <c r="B34" s="27">
        <v>35285</v>
      </c>
      <c r="C34" s="27">
        <v>36382</v>
      </c>
      <c r="D34" s="27">
        <v>36382</v>
      </c>
      <c r="E34" s="27">
        <v>37794</v>
      </c>
      <c r="F34" s="27">
        <f>SUM(C34-B34)</f>
        <v>1097</v>
      </c>
      <c r="G34" s="20">
        <f>SUM(E34-D34)</f>
        <v>1412</v>
      </c>
      <c r="H34" s="21">
        <f>SUM(F34:G34)</f>
        <v>2509</v>
      </c>
      <c r="J34" s="7" t="s">
        <v>22</v>
      </c>
      <c r="K34" s="10">
        <v>235.19</v>
      </c>
      <c r="L34" s="11">
        <v>48.03</v>
      </c>
      <c r="M34" s="11">
        <v>191.82</v>
      </c>
      <c r="N34" s="11">
        <v>107.42</v>
      </c>
      <c r="O34" s="11">
        <v>129.41999999999999</v>
      </c>
      <c r="P34" s="11">
        <v>47.07</v>
      </c>
      <c r="Q34" s="11">
        <v>229.05</v>
      </c>
      <c r="R34" s="11">
        <v>112.62</v>
      </c>
      <c r="S34" s="11">
        <v>193.14</v>
      </c>
      <c r="T34" s="11">
        <v>108.01</v>
      </c>
      <c r="U34" s="12"/>
      <c r="W34" s="7" t="s">
        <v>22</v>
      </c>
      <c r="X34" s="10"/>
      <c r="Y34" s="11"/>
      <c r="Z34" s="11"/>
      <c r="AA34" s="11"/>
      <c r="AB34" s="11"/>
      <c r="AC34" s="12"/>
      <c r="AE34" s="7" t="s">
        <v>22</v>
      </c>
      <c r="AF34" s="10"/>
      <c r="AG34" s="11"/>
      <c r="AH34" s="11"/>
      <c r="AI34" s="11"/>
      <c r="AJ34" s="11"/>
      <c r="AK34" s="12"/>
    </row>
    <row r="35" spans="1:37" x14ac:dyDescent="0.25">
      <c r="J35" s="8"/>
      <c r="T35" s="8" t="s">
        <v>23</v>
      </c>
      <c r="U35" s="13">
        <f>SUM(K34:U34)</f>
        <v>1401.7699999999998</v>
      </c>
      <c r="AB35" s="8" t="s">
        <v>23</v>
      </c>
      <c r="AC35" s="13">
        <f>SUM(X34:AC34)</f>
        <v>0</v>
      </c>
      <c r="AJ35" s="8" t="s">
        <v>23</v>
      </c>
      <c r="AK35" s="13">
        <f>SUM(AF34:AK34)</f>
        <v>0</v>
      </c>
    </row>
    <row r="36" spans="1:37" ht="15.75" thickBot="1" x14ac:dyDescent="0.3">
      <c r="A36" s="19"/>
      <c r="B36" s="99" t="s">
        <v>17</v>
      </c>
      <c r="C36" s="99"/>
      <c r="D36" s="99"/>
      <c r="E36" s="99"/>
      <c r="F36" s="99"/>
      <c r="G36" s="99"/>
      <c r="H36" s="99"/>
      <c r="J36" s="100" t="s">
        <v>17</v>
      </c>
      <c r="K36" s="100"/>
      <c r="L36" s="100"/>
      <c r="M36" s="100"/>
      <c r="N36" s="100"/>
      <c r="O36" s="100"/>
      <c r="P36" s="100"/>
      <c r="Q36" s="100"/>
      <c r="R36" s="100"/>
      <c r="S36" s="100"/>
      <c r="T36" s="100"/>
      <c r="U36" s="100"/>
      <c r="W36" s="101" t="str">
        <f>J36</f>
        <v>Agosto</v>
      </c>
      <c r="X36" s="101"/>
      <c r="Y36" s="101"/>
      <c r="Z36" s="101"/>
      <c r="AA36" s="101"/>
      <c r="AB36" s="101"/>
      <c r="AC36" s="101"/>
      <c r="AE36" s="102" t="str">
        <f>W36</f>
        <v>Agosto</v>
      </c>
      <c r="AF36" s="102"/>
      <c r="AG36" s="102"/>
      <c r="AH36" s="102"/>
      <c r="AI36" s="102"/>
      <c r="AJ36" s="102"/>
      <c r="AK36" s="102"/>
    </row>
    <row r="37" spans="1:37" ht="15.75" thickBot="1" x14ac:dyDescent="0.3">
      <c r="A37" s="97" t="s">
        <v>5</v>
      </c>
      <c r="B37" s="34" t="s">
        <v>6</v>
      </c>
      <c r="C37" s="22" t="s">
        <v>7</v>
      </c>
      <c r="D37" s="33" t="s">
        <v>8</v>
      </c>
      <c r="E37" s="22" t="s">
        <v>9</v>
      </c>
      <c r="F37" s="24" t="s">
        <v>10</v>
      </c>
      <c r="G37" s="23" t="s">
        <v>11</v>
      </c>
      <c r="H37" s="25" t="s">
        <v>12</v>
      </c>
      <c r="J37" s="6" t="s">
        <v>4</v>
      </c>
      <c r="K37" s="9">
        <v>45874</v>
      </c>
      <c r="L37" s="66">
        <v>45876</v>
      </c>
      <c r="M37" s="66">
        <v>45881</v>
      </c>
      <c r="N37" s="66">
        <v>45883</v>
      </c>
      <c r="O37" s="66">
        <v>45888</v>
      </c>
      <c r="P37" s="66">
        <v>45890</v>
      </c>
      <c r="Q37" s="66">
        <v>45892</v>
      </c>
      <c r="R37" s="66">
        <v>45895</v>
      </c>
      <c r="S37" s="4"/>
      <c r="T37" s="4"/>
      <c r="U37" s="5"/>
      <c r="W37" s="6" t="s">
        <v>4</v>
      </c>
      <c r="X37" s="9"/>
      <c r="Y37" s="4"/>
      <c r="Z37" s="4"/>
      <c r="AA37" s="4"/>
      <c r="AB37" s="4"/>
      <c r="AC37" s="5"/>
      <c r="AE37" s="6" t="s">
        <v>4</v>
      </c>
      <c r="AF37" s="9"/>
      <c r="AG37" s="4"/>
      <c r="AH37" s="4"/>
      <c r="AI37" s="4"/>
      <c r="AJ37" s="4"/>
      <c r="AK37" s="5"/>
    </row>
    <row r="38" spans="1:37" ht="15.75" thickBot="1" x14ac:dyDescent="0.3">
      <c r="A38" s="97"/>
      <c r="B38" s="27">
        <v>37794</v>
      </c>
      <c r="C38" s="27">
        <v>39044</v>
      </c>
      <c r="D38" s="27">
        <v>39044</v>
      </c>
      <c r="E38" s="27">
        <v>40290</v>
      </c>
      <c r="F38" s="27">
        <f>SUM(C38-B38)</f>
        <v>1250</v>
      </c>
      <c r="G38" s="20">
        <f>SUM(E38-D38)</f>
        <v>1246</v>
      </c>
      <c r="H38" s="21">
        <f>SUM(F38:G38)</f>
        <v>2496</v>
      </c>
      <c r="J38" s="7" t="s">
        <v>22</v>
      </c>
      <c r="K38" s="10">
        <v>180.54</v>
      </c>
      <c r="L38" s="11">
        <v>42.01</v>
      </c>
      <c r="M38" s="11">
        <v>197.4</v>
      </c>
      <c r="N38" s="11">
        <v>143.04</v>
      </c>
      <c r="O38" s="11">
        <v>247.06</v>
      </c>
      <c r="P38" s="11">
        <v>221.03</v>
      </c>
      <c r="Q38" s="11">
        <v>250.63</v>
      </c>
      <c r="R38" s="11">
        <v>163.82</v>
      </c>
      <c r="S38" s="11"/>
      <c r="T38" s="11"/>
      <c r="U38" s="12"/>
      <c r="W38" s="7" t="s">
        <v>22</v>
      </c>
      <c r="X38" s="10"/>
      <c r="Y38" s="11"/>
      <c r="Z38" s="11"/>
      <c r="AA38" s="11"/>
      <c r="AB38" s="11"/>
      <c r="AC38" s="12"/>
      <c r="AE38" s="7" t="s">
        <v>22</v>
      </c>
      <c r="AF38" s="10"/>
      <c r="AG38" s="11"/>
      <c r="AH38" s="11"/>
      <c r="AI38" s="11"/>
      <c r="AJ38" s="11"/>
      <c r="AK38" s="12"/>
    </row>
    <row r="39" spans="1:37" x14ac:dyDescent="0.25">
      <c r="J39" s="8"/>
      <c r="T39" s="8" t="s">
        <v>23</v>
      </c>
      <c r="U39" s="13">
        <f>SUM(K38:U38)</f>
        <v>1445.53</v>
      </c>
      <c r="AB39" s="8" t="s">
        <v>23</v>
      </c>
      <c r="AC39" s="13">
        <f>SUM(X38:AC38)</f>
        <v>0</v>
      </c>
      <c r="AJ39" s="8" t="s">
        <v>23</v>
      </c>
      <c r="AK39" s="13">
        <f>SUM(AF38:AK38)</f>
        <v>0</v>
      </c>
    </row>
    <row r="40" spans="1:37" ht="15.75" thickBot="1" x14ac:dyDescent="0.3">
      <c r="A40" s="19"/>
      <c r="B40" s="99" t="s">
        <v>18</v>
      </c>
      <c r="C40" s="99"/>
      <c r="D40" s="99"/>
      <c r="E40" s="99"/>
      <c r="F40" s="99"/>
      <c r="G40" s="99"/>
      <c r="H40" s="99"/>
      <c r="J40" s="100" t="s">
        <v>18</v>
      </c>
      <c r="K40" s="100"/>
      <c r="L40" s="100"/>
      <c r="M40" s="100"/>
      <c r="N40" s="100"/>
      <c r="O40" s="100"/>
      <c r="P40" s="100"/>
      <c r="Q40" s="100"/>
      <c r="R40" s="100"/>
      <c r="S40" s="100"/>
      <c r="T40" s="100"/>
      <c r="U40" s="100"/>
      <c r="W40" s="101" t="str">
        <f>J40</f>
        <v>Setembro</v>
      </c>
      <c r="X40" s="101"/>
      <c r="Y40" s="101"/>
      <c r="Z40" s="101"/>
      <c r="AA40" s="101"/>
      <c r="AB40" s="101"/>
      <c r="AC40" s="101"/>
      <c r="AE40" s="102" t="str">
        <f>W40</f>
        <v>Setembro</v>
      </c>
      <c r="AF40" s="102"/>
      <c r="AG40" s="102"/>
      <c r="AH40" s="102"/>
      <c r="AI40" s="102"/>
      <c r="AJ40" s="102"/>
      <c r="AK40" s="102"/>
    </row>
    <row r="41" spans="1:37" ht="15.75" thickBot="1" x14ac:dyDescent="0.3">
      <c r="A41" s="97" t="s">
        <v>5</v>
      </c>
      <c r="B41" s="34" t="s">
        <v>6</v>
      </c>
      <c r="C41" s="22" t="s">
        <v>7</v>
      </c>
      <c r="D41" s="33" t="s">
        <v>8</v>
      </c>
      <c r="E41" s="22" t="s">
        <v>9</v>
      </c>
      <c r="F41" s="24" t="s">
        <v>10</v>
      </c>
      <c r="G41" s="23" t="s">
        <v>11</v>
      </c>
      <c r="H41" s="25" t="s">
        <v>12</v>
      </c>
      <c r="J41" s="6" t="s">
        <v>4</v>
      </c>
      <c r="K41" s="9">
        <v>45901</v>
      </c>
      <c r="L41" s="66">
        <v>45904</v>
      </c>
      <c r="M41" s="66">
        <v>45906</v>
      </c>
      <c r="N41" s="66">
        <v>45911</v>
      </c>
      <c r="O41" s="66">
        <v>45918</v>
      </c>
      <c r="P41" s="66">
        <v>45920</v>
      </c>
      <c r="Q41" s="66">
        <v>45925</v>
      </c>
      <c r="R41" s="66">
        <v>45930</v>
      </c>
      <c r="S41" s="4"/>
      <c r="T41" s="4"/>
      <c r="U41" s="5"/>
      <c r="W41" s="6" t="s">
        <v>4</v>
      </c>
      <c r="X41" s="9">
        <v>45904</v>
      </c>
      <c r="Y41" s="66">
        <v>45924</v>
      </c>
      <c r="Z41" s="4"/>
      <c r="AA41" s="4"/>
      <c r="AB41" s="4"/>
      <c r="AC41" s="5"/>
      <c r="AE41" s="6" t="s">
        <v>4</v>
      </c>
      <c r="AF41" s="9"/>
      <c r="AG41" s="4"/>
      <c r="AH41" s="4"/>
      <c r="AI41" s="4"/>
      <c r="AJ41" s="4"/>
      <c r="AK41" s="5"/>
    </row>
    <row r="42" spans="1:37" ht="15.75" thickBot="1" x14ac:dyDescent="0.3">
      <c r="A42" s="97"/>
      <c r="B42" s="27">
        <v>40290</v>
      </c>
      <c r="C42" s="27">
        <v>41500</v>
      </c>
      <c r="D42" s="27">
        <v>41500</v>
      </c>
      <c r="E42" s="27">
        <v>42720</v>
      </c>
      <c r="F42" s="27">
        <f>SUM(C42-B42)</f>
        <v>1210</v>
      </c>
      <c r="G42" s="20">
        <f>SUM(E42-D42)</f>
        <v>1220</v>
      </c>
      <c r="H42" s="21">
        <f>SUM(F42:G42)</f>
        <v>2430</v>
      </c>
      <c r="J42" s="7" t="s">
        <v>22</v>
      </c>
      <c r="K42" s="10">
        <v>178.07</v>
      </c>
      <c r="L42" s="11">
        <v>127.04</v>
      </c>
      <c r="M42" s="11">
        <v>180.27</v>
      </c>
      <c r="N42" s="11">
        <v>167.44</v>
      </c>
      <c r="O42" s="11">
        <v>186.77</v>
      </c>
      <c r="P42" s="11">
        <v>242.43</v>
      </c>
      <c r="Q42" s="11">
        <v>84.03</v>
      </c>
      <c r="R42" s="11">
        <v>181.03</v>
      </c>
      <c r="S42" s="11"/>
      <c r="T42" s="11"/>
      <c r="U42" s="12"/>
      <c r="W42" s="7" t="s">
        <v>22</v>
      </c>
      <c r="X42" s="10">
        <v>40</v>
      </c>
      <c r="Y42" s="11">
        <v>40</v>
      </c>
      <c r="Z42" s="11"/>
      <c r="AA42" s="11"/>
      <c r="AB42" s="11"/>
      <c r="AC42" s="12"/>
      <c r="AE42" s="7" t="s">
        <v>22</v>
      </c>
      <c r="AF42" s="10"/>
      <c r="AG42" s="11"/>
      <c r="AH42" s="11"/>
      <c r="AI42" s="11"/>
      <c r="AJ42" s="11"/>
      <c r="AK42" s="12"/>
    </row>
    <row r="43" spans="1:37" x14ac:dyDescent="0.25">
      <c r="J43" s="8"/>
      <c r="T43" s="8" t="s">
        <v>23</v>
      </c>
      <c r="U43" s="13">
        <f>SUM(K42:U42)</f>
        <v>1347.08</v>
      </c>
      <c r="AB43" s="8" t="s">
        <v>23</v>
      </c>
      <c r="AC43" s="13">
        <f>SUM(X42:AC42)</f>
        <v>80</v>
      </c>
      <c r="AJ43" s="8" t="s">
        <v>23</v>
      </c>
      <c r="AK43" s="13">
        <f>SUM(AF42:AK42)</f>
        <v>0</v>
      </c>
    </row>
    <row r="44" spans="1:37" ht="15.75" thickBot="1" x14ac:dyDescent="0.3">
      <c r="A44" s="19"/>
      <c r="B44" s="99" t="s">
        <v>19</v>
      </c>
      <c r="C44" s="99"/>
      <c r="D44" s="99"/>
      <c r="E44" s="99"/>
      <c r="F44" s="99"/>
      <c r="G44" s="99"/>
      <c r="H44" s="99"/>
      <c r="J44" s="100" t="s">
        <v>19</v>
      </c>
      <c r="K44" s="100"/>
      <c r="L44" s="100"/>
      <c r="M44" s="100"/>
      <c r="N44" s="100"/>
      <c r="O44" s="100"/>
      <c r="P44" s="100"/>
      <c r="Q44" s="100"/>
      <c r="R44" s="100"/>
      <c r="S44" s="100"/>
      <c r="T44" s="100"/>
      <c r="U44" s="100"/>
      <c r="W44" s="101" t="str">
        <f>J44</f>
        <v>Outubro</v>
      </c>
      <c r="X44" s="101"/>
      <c r="Y44" s="101"/>
      <c r="Z44" s="101"/>
      <c r="AA44" s="101"/>
      <c r="AB44" s="101"/>
      <c r="AC44" s="101"/>
      <c r="AE44" s="102" t="str">
        <f>W44</f>
        <v>Outubro</v>
      </c>
      <c r="AF44" s="102"/>
      <c r="AG44" s="102"/>
      <c r="AH44" s="102"/>
      <c r="AI44" s="102"/>
      <c r="AJ44" s="102"/>
      <c r="AK44" s="102"/>
    </row>
    <row r="45" spans="1:37" ht="15.75" thickBot="1" x14ac:dyDescent="0.3">
      <c r="A45" s="97" t="s">
        <v>5</v>
      </c>
      <c r="B45" s="34" t="s">
        <v>6</v>
      </c>
      <c r="C45" s="22" t="s">
        <v>7</v>
      </c>
      <c r="D45" s="33" t="s">
        <v>8</v>
      </c>
      <c r="E45" s="22" t="s">
        <v>9</v>
      </c>
      <c r="F45" s="24" t="s">
        <v>10</v>
      </c>
      <c r="G45" s="23" t="s">
        <v>11</v>
      </c>
      <c r="H45" s="25" t="s">
        <v>12</v>
      </c>
      <c r="J45" s="6" t="s">
        <v>4</v>
      </c>
      <c r="K45" s="9">
        <v>45932</v>
      </c>
      <c r="L45" s="66">
        <v>45937</v>
      </c>
      <c r="M45" s="66">
        <v>45944</v>
      </c>
      <c r="N45" s="66">
        <v>45946</v>
      </c>
      <c r="O45" s="66">
        <v>45951</v>
      </c>
      <c r="P45" s="66">
        <v>45953</v>
      </c>
      <c r="Q45" s="66">
        <v>45958</v>
      </c>
      <c r="R45" s="4"/>
      <c r="S45" s="4"/>
      <c r="T45" s="4"/>
      <c r="U45" s="5"/>
      <c r="W45" s="6" t="s">
        <v>4</v>
      </c>
      <c r="X45" s="9"/>
      <c r="Y45" s="4"/>
      <c r="Z45" s="4"/>
      <c r="AA45" s="4"/>
      <c r="AB45" s="4"/>
      <c r="AC45" s="5"/>
      <c r="AE45" s="6" t="s">
        <v>4</v>
      </c>
      <c r="AF45" s="9"/>
      <c r="AG45" s="4"/>
      <c r="AH45" s="4"/>
      <c r="AI45" s="4"/>
      <c r="AJ45" s="4"/>
      <c r="AK45" s="5"/>
    </row>
    <row r="46" spans="1:37" ht="15.75" thickBot="1" x14ac:dyDescent="0.3">
      <c r="A46" s="97"/>
      <c r="B46" s="27">
        <v>42720</v>
      </c>
      <c r="C46" s="27">
        <v>43507</v>
      </c>
      <c r="D46" s="27">
        <v>43507</v>
      </c>
      <c r="E46" s="27">
        <v>44531</v>
      </c>
      <c r="F46" s="27">
        <f>SUM(C46-B46)</f>
        <v>787</v>
      </c>
      <c r="G46" s="20">
        <f>SUM(E46-D46)</f>
        <v>1024</v>
      </c>
      <c r="H46" s="21">
        <f>SUM(F46:G46)</f>
        <v>1811</v>
      </c>
      <c r="J46" s="7" t="s">
        <v>22</v>
      </c>
      <c r="K46" s="10">
        <v>158.66999999999999</v>
      </c>
      <c r="L46" s="11">
        <v>58.07</v>
      </c>
      <c r="M46" s="11">
        <v>220.84</v>
      </c>
      <c r="N46" s="11">
        <v>140.96</v>
      </c>
      <c r="O46" s="11">
        <v>215.02</v>
      </c>
      <c r="P46" s="11">
        <v>120</v>
      </c>
      <c r="Q46" s="11">
        <v>213.08</v>
      </c>
      <c r="R46" s="11"/>
      <c r="S46" s="11"/>
      <c r="T46" s="11"/>
      <c r="U46" s="12"/>
      <c r="W46" s="7" t="s">
        <v>22</v>
      </c>
      <c r="X46" s="10"/>
      <c r="Y46" s="11"/>
      <c r="Z46" s="11"/>
      <c r="AA46" s="11"/>
      <c r="AB46" s="11"/>
      <c r="AC46" s="12"/>
      <c r="AE46" s="7" t="s">
        <v>22</v>
      </c>
      <c r="AF46" s="10"/>
      <c r="AG46" s="11"/>
      <c r="AH46" s="11"/>
      <c r="AI46" s="11"/>
      <c r="AJ46" s="11"/>
      <c r="AK46" s="12"/>
    </row>
    <row r="47" spans="1:37" x14ac:dyDescent="0.25">
      <c r="J47" s="8"/>
      <c r="T47" s="8" t="s">
        <v>23</v>
      </c>
      <c r="U47" s="13">
        <f>SUM(K46:U46)</f>
        <v>1126.6399999999999</v>
      </c>
      <c r="AB47" s="8" t="s">
        <v>23</v>
      </c>
      <c r="AC47" s="13">
        <f>SUM(X46:AC46)</f>
        <v>0</v>
      </c>
      <c r="AJ47" s="8" t="s">
        <v>23</v>
      </c>
      <c r="AK47" s="13">
        <f>SUM(AF46:AK46)</f>
        <v>0</v>
      </c>
    </row>
    <row r="48" spans="1:37" ht="15.75" thickBot="1" x14ac:dyDescent="0.3">
      <c r="A48" s="19"/>
      <c r="B48" s="99" t="s">
        <v>20</v>
      </c>
      <c r="C48" s="99"/>
      <c r="D48" s="99"/>
      <c r="E48" s="99"/>
      <c r="F48" s="99"/>
      <c r="G48" s="99"/>
      <c r="H48" s="99"/>
      <c r="J48" s="100" t="s">
        <v>20</v>
      </c>
      <c r="K48" s="100"/>
      <c r="L48" s="100"/>
      <c r="M48" s="100"/>
      <c r="N48" s="100"/>
      <c r="O48" s="100"/>
      <c r="P48" s="100"/>
      <c r="Q48" s="100"/>
      <c r="R48" s="100"/>
      <c r="S48" s="100"/>
      <c r="T48" s="100"/>
      <c r="U48" s="100"/>
      <c r="W48" s="101" t="str">
        <f>J48</f>
        <v>Novembro</v>
      </c>
      <c r="X48" s="101"/>
      <c r="Y48" s="101"/>
      <c r="Z48" s="101"/>
      <c r="AA48" s="101"/>
      <c r="AB48" s="101"/>
      <c r="AC48" s="101"/>
      <c r="AE48" s="102" t="str">
        <f>W48</f>
        <v>Novembro</v>
      </c>
      <c r="AF48" s="102"/>
      <c r="AG48" s="102"/>
      <c r="AH48" s="102"/>
      <c r="AI48" s="102"/>
      <c r="AJ48" s="102"/>
      <c r="AK48" s="102"/>
    </row>
    <row r="49" spans="1:40" ht="15.75" thickBot="1" x14ac:dyDescent="0.3">
      <c r="A49" s="97" t="s">
        <v>5</v>
      </c>
      <c r="B49" s="34" t="s">
        <v>6</v>
      </c>
      <c r="C49" s="22" t="s">
        <v>7</v>
      </c>
      <c r="D49" s="33" t="s">
        <v>8</v>
      </c>
      <c r="E49" s="22" t="s">
        <v>9</v>
      </c>
      <c r="F49" s="24" t="s">
        <v>10</v>
      </c>
      <c r="G49" s="23" t="s">
        <v>11</v>
      </c>
      <c r="H49" s="25" t="s">
        <v>12</v>
      </c>
      <c r="J49" s="6" t="s">
        <v>4</v>
      </c>
      <c r="K49" s="9">
        <v>45965</v>
      </c>
      <c r="L49" s="66">
        <v>45972</v>
      </c>
      <c r="M49" s="66">
        <v>45979</v>
      </c>
      <c r="N49" s="66">
        <v>45981</v>
      </c>
      <c r="O49" s="66">
        <v>45988</v>
      </c>
      <c r="P49" s="4"/>
      <c r="Q49" s="4"/>
      <c r="R49" s="4"/>
      <c r="S49" s="4"/>
      <c r="T49" s="4"/>
      <c r="U49" s="5"/>
      <c r="W49" s="6" t="s">
        <v>4</v>
      </c>
      <c r="X49" s="9"/>
      <c r="Y49" s="4"/>
      <c r="Z49" s="4"/>
      <c r="AA49" s="4"/>
      <c r="AB49" s="4"/>
      <c r="AC49" s="5"/>
      <c r="AE49" s="6" t="s">
        <v>4</v>
      </c>
      <c r="AF49" s="9"/>
      <c r="AG49" s="4"/>
      <c r="AH49" s="4"/>
      <c r="AI49" s="4"/>
      <c r="AJ49" s="4"/>
      <c r="AK49" s="5"/>
    </row>
    <row r="50" spans="1:40" ht="15.75" thickBot="1" x14ac:dyDescent="0.3">
      <c r="A50" s="97"/>
      <c r="B50" s="27">
        <v>44531</v>
      </c>
      <c r="C50" s="27">
        <v>45232</v>
      </c>
      <c r="D50" s="27">
        <v>45232</v>
      </c>
      <c r="E50" s="27">
        <v>45874</v>
      </c>
      <c r="F50" s="27">
        <f>SUM(C50-B50)</f>
        <v>701</v>
      </c>
      <c r="G50" s="20">
        <f>SUM(E50-D50)</f>
        <v>642</v>
      </c>
      <c r="H50" s="21">
        <f>SUM(F50:G50)</f>
        <v>1343</v>
      </c>
      <c r="J50" s="7" t="s">
        <v>22</v>
      </c>
      <c r="K50" s="10">
        <v>92.05</v>
      </c>
      <c r="L50" s="11">
        <v>175.01</v>
      </c>
      <c r="M50" s="11">
        <v>253.07</v>
      </c>
      <c r="N50" s="11">
        <v>154.07</v>
      </c>
      <c r="O50" s="11">
        <v>68.099999999999994</v>
      </c>
      <c r="P50" s="11"/>
      <c r="Q50" s="11"/>
      <c r="R50" s="11"/>
      <c r="S50" s="11"/>
      <c r="T50" s="11"/>
      <c r="U50" s="12"/>
      <c r="W50" s="7" t="s">
        <v>22</v>
      </c>
      <c r="X50" s="10"/>
      <c r="Y50" s="11"/>
      <c r="Z50" s="11"/>
      <c r="AA50" s="11"/>
      <c r="AB50" s="11"/>
      <c r="AC50" s="12"/>
      <c r="AE50" s="7" t="s">
        <v>22</v>
      </c>
      <c r="AF50" s="10"/>
      <c r="AG50" s="11"/>
      <c r="AH50" s="11"/>
      <c r="AI50" s="11"/>
      <c r="AJ50" s="11"/>
      <c r="AK50" s="12"/>
    </row>
    <row r="51" spans="1:40" x14ac:dyDescent="0.25">
      <c r="J51" s="8"/>
      <c r="T51" s="8" t="s">
        <v>23</v>
      </c>
      <c r="U51" s="13">
        <f>SUM(K50:U50)</f>
        <v>742.30000000000007</v>
      </c>
      <c r="AB51" s="8" t="s">
        <v>23</v>
      </c>
      <c r="AC51" s="13">
        <f>SUM(X50:AC50)</f>
        <v>0</v>
      </c>
      <c r="AJ51" s="8" t="s">
        <v>23</v>
      </c>
      <c r="AK51" s="13">
        <f>SUM(AF50:AK50)</f>
        <v>0</v>
      </c>
    </row>
    <row r="52" spans="1:40" ht="15.75" thickBot="1" x14ac:dyDescent="0.3">
      <c r="A52" s="19"/>
      <c r="B52" s="99" t="s">
        <v>21</v>
      </c>
      <c r="C52" s="99"/>
      <c r="D52" s="99"/>
      <c r="E52" s="99"/>
      <c r="F52" s="99"/>
      <c r="G52" s="99"/>
      <c r="H52" s="99"/>
      <c r="J52" s="100" t="s">
        <v>21</v>
      </c>
      <c r="K52" s="100"/>
      <c r="L52" s="100"/>
      <c r="M52" s="100"/>
      <c r="N52" s="100"/>
      <c r="O52" s="100"/>
      <c r="P52" s="100"/>
      <c r="Q52" s="100"/>
      <c r="R52" s="100"/>
      <c r="S52" s="100"/>
      <c r="T52" s="100"/>
      <c r="U52" s="100"/>
      <c r="W52" s="101" t="str">
        <f>J52</f>
        <v>Dezembro</v>
      </c>
      <c r="X52" s="101"/>
      <c r="Y52" s="101"/>
      <c r="Z52" s="101"/>
      <c r="AA52" s="101"/>
      <c r="AB52" s="101"/>
      <c r="AC52" s="101"/>
      <c r="AE52" s="102" t="str">
        <f>W52</f>
        <v>Dezembro</v>
      </c>
      <c r="AF52" s="102"/>
      <c r="AG52" s="102"/>
      <c r="AH52" s="102"/>
      <c r="AI52" s="102"/>
      <c r="AJ52" s="102"/>
      <c r="AK52" s="102"/>
    </row>
    <row r="53" spans="1:40" ht="15.75" thickBot="1" x14ac:dyDescent="0.3">
      <c r="A53" s="97" t="s">
        <v>5</v>
      </c>
      <c r="B53" s="34" t="s">
        <v>6</v>
      </c>
      <c r="C53" s="22" t="s">
        <v>7</v>
      </c>
      <c r="D53" s="33" t="s">
        <v>8</v>
      </c>
      <c r="E53" s="22" t="s">
        <v>9</v>
      </c>
      <c r="F53" s="24" t="s">
        <v>10</v>
      </c>
      <c r="G53" s="23" t="s">
        <v>11</v>
      </c>
      <c r="H53" s="25" t="s">
        <v>12</v>
      </c>
      <c r="J53" s="6" t="s">
        <v>4</v>
      </c>
      <c r="K53" s="9">
        <v>45995</v>
      </c>
      <c r="L53" s="66">
        <v>46000</v>
      </c>
      <c r="M53" s="66">
        <v>46004</v>
      </c>
      <c r="N53" s="66">
        <v>46009</v>
      </c>
      <c r="O53" s="66">
        <v>46014</v>
      </c>
      <c r="P53" s="4"/>
      <c r="Q53" s="4"/>
      <c r="R53" s="4"/>
      <c r="S53" s="4"/>
      <c r="T53" s="4"/>
      <c r="U53" s="5"/>
      <c r="W53" s="6" t="s">
        <v>4</v>
      </c>
      <c r="X53" s="9"/>
      <c r="Y53" s="4"/>
      <c r="Z53" s="4"/>
      <c r="AA53" s="4"/>
      <c r="AB53" s="4"/>
      <c r="AC53" s="5"/>
      <c r="AE53" s="6" t="s">
        <v>4</v>
      </c>
      <c r="AF53" s="9"/>
      <c r="AG53" s="4"/>
      <c r="AH53" s="4"/>
      <c r="AI53" s="4"/>
      <c r="AJ53" s="4"/>
      <c r="AK53" s="5"/>
    </row>
    <row r="54" spans="1:40" ht="15.75" thickBot="1" x14ac:dyDescent="0.3">
      <c r="A54" s="97"/>
      <c r="B54" s="27">
        <v>45874</v>
      </c>
      <c r="C54" s="27">
        <v>46912</v>
      </c>
      <c r="D54" s="27">
        <v>46912</v>
      </c>
      <c r="E54" s="27">
        <v>47530</v>
      </c>
      <c r="F54" s="27">
        <f>SUM(C54-B54)</f>
        <v>1038</v>
      </c>
      <c r="G54" s="20">
        <f>SUM(E54-D54)</f>
        <v>618</v>
      </c>
      <c r="H54" s="21">
        <f>SUM(F54:G54)</f>
        <v>1656</v>
      </c>
      <c r="J54" s="7" t="s">
        <v>22</v>
      </c>
      <c r="K54" s="10">
        <v>260.04000000000002</v>
      </c>
      <c r="L54" s="11">
        <v>167.89</v>
      </c>
      <c r="M54" s="11">
        <v>214.95</v>
      </c>
      <c r="N54" s="11">
        <v>180.64</v>
      </c>
      <c r="O54" s="11">
        <v>210.32</v>
      </c>
      <c r="P54" s="11"/>
      <c r="Q54" s="11"/>
      <c r="R54" s="11"/>
      <c r="S54" s="11"/>
      <c r="T54" s="11"/>
      <c r="U54" s="12"/>
      <c r="W54" s="7" t="s">
        <v>22</v>
      </c>
      <c r="X54" s="10"/>
      <c r="Y54" s="11"/>
      <c r="Z54" s="11"/>
      <c r="AA54" s="11"/>
      <c r="AB54" s="11"/>
      <c r="AC54" s="12"/>
      <c r="AE54" s="7" t="s">
        <v>22</v>
      </c>
      <c r="AF54" s="10"/>
      <c r="AG54" s="11"/>
      <c r="AH54" s="11"/>
      <c r="AI54" s="11"/>
      <c r="AJ54" s="11"/>
      <c r="AK54" s="12"/>
    </row>
    <row r="55" spans="1:40" x14ac:dyDescent="0.25">
      <c r="J55" s="8"/>
      <c r="T55" s="8" t="s">
        <v>23</v>
      </c>
      <c r="U55" s="13">
        <f>SUM(K54:U54)</f>
        <v>1033.8399999999999</v>
      </c>
      <c r="AB55" s="8" t="s">
        <v>23</v>
      </c>
      <c r="AC55" s="13">
        <f>SUM(X54:AC54)</f>
        <v>0</v>
      </c>
      <c r="AJ55" s="8" t="s">
        <v>23</v>
      </c>
      <c r="AK55" s="13">
        <f>SUM(AF54:AK54)</f>
        <v>0</v>
      </c>
    </row>
    <row r="56" spans="1:40" ht="15.75" thickBot="1" x14ac:dyDescent="0.3">
      <c r="A56" s="19">
        <v>2026</v>
      </c>
      <c r="B56" s="99" t="s">
        <v>134</v>
      </c>
      <c r="C56" s="99"/>
      <c r="D56" s="99"/>
      <c r="E56" s="99"/>
      <c r="F56" s="99"/>
      <c r="G56" s="99"/>
      <c r="H56" s="99"/>
      <c r="J56" s="100" t="s">
        <v>134</v>
      </c>
      <c r="K56" s="100"/>
      <c r="L56" s="100"/>
      <c r="M56" s="100"/>
      <c r="N56" s="100"/>
      <c r="O56" s="100"/>
      <c r="P56" s="100"/>
      <c r="Q56" s="100"/>
      <c r="R56" s="100"/>
      <c r="S56" s="100"/>
      <c r="T56" s="100"/>
      <c r="U56" s="100"/>
      <c r="Y56" s="101" t="s">
        <v>134</v>
      </c>
      <c r="Z56" s="101"/>
      <c r="AA56" s="101"/>
      <c r="AB56" s="101"/>
      <c r="AC56" s="101"/>
      <c r="AD56" s="101"/>
      <c r="AE56" s="101"/>
      <c r="AH56" s="102" t="s">
        <v>134</v>
      </c>
      <c r="AI56" s="102"/>
      <c r="AJ56" s="102"/>
      <c r="AK56" s="102"/>
      <c r="AL56" s="102"/>
      <c r="AM56" s="102"/>
      <c r="AN56" s="102"/>
    </row>
    <row r="57" spans="1:40" ht="15.75" thickBot="1" x14ac:dyDescent="0.3">
      <c r="A57" s="97" t="s">
        <v>5</v>
      </c>
      <c r="B57" s="34" t="s">
        <v>6</v>
      </c>
      <c r="C57" s="22" t="s">
        <v>7</v>
      </c>
      <c r="D57" s="33" t="s">
        <v>8</v>
      </c>
      <c r="E57" s="22" t="s">
        <v>9</v>
      </c>
      <c r="F57" s="24" t="s">
        <v>10</v>
      </c>
      <c r="G57" s="23" t="s">
        <v>11</v>
      </c>
      <c r="H57" s="25" t="s">
        <v>12</v>
      </c>
      <c r="J57" s="28" t="s">
        <v>4</v>
      </c>
      <c r="K57" s="9"/>
      <c r="L57" s="4"/>
      <c r="M57" s="4"/>
      <c r="N57" s="4"/>
      <c r="O57" s="4"/>
      <c r="P57" s="4"/>
      <c r="Q57" s="4"/>
      <c r="R57" s="4"/>
      <c r="S57" s="4"/>
      <c r="T57" s="4"/>
      <c r="U57" s="5"/>
      <c r="Y57" s="6" t="s">
        <v>4</v>
      </c>
      <c r="Z57" s="9"/>
      <c r="AA57" s="4"/>
      <c r="AB57" s="4"/>
      <c r="AC57" s="4"/>
      <c r="AD57" s="4"/>
      <c r="AE57" s="5"/>
      <c r="AH57" s="6" t="s">
        <v>4</v>
      </c>
      <c r="AI57" s="9"/>
      <c r="AJ57" s="4"/>
      <c r="AK57" s="4"/>
      <c r="AL57" s="4"/>
      <c r="AM57" s="4"/>
      <c r="AN57" s="5"/>
    </row>
    <row r="58" spans="1:40" ht="15.75" thickBot="1" x14ac:dyDescent="0.3">
      <c r="A58" s="97"/>
      <c r="B58" s="27">
        <v>47530</v>
      </c>
      <c r="C58" s="27"/>
      <c r="D58" s="27"/>
      <c r="E58" s="27">
        <v>49451</v>
      </c>
      <c r="F58" s="27">
        <f>SUM(C58-B58)</f>
        <v>-47530</v>
      </c>
      <c r="G58" s="20">
        <f>SUM(E58-D58)</f>
        <v>49451</v>
      </c>
      <c r="H58" s="21">
        <f>SUM(F58:G58)</f>
        <v>1921</v>
      </c>
      <c r="J58" s="29" t="s">
        <v>22</v>
      </c>
      <c r="K58" s="10"/>
      <c r="L58" s="11"/>
      <c r="M58" s="11"/>
      <c r="N58" s="11"/>
      <c r="O58" s="11"/>
      <c r="P58" s="11"/>
      <c r="Q58" s="11"/>
      <c r="R58" s="11"/>
      <c r="S58" s="11"/>
      <c r="T58" s="11"/>
      <c r="U58" s="12"/>
      <c r="Y58" s="7" t="s">
        <v>22</v>
      </c>
      <c r="Z58" s="10"/>
      <c r="AA58" s="11"/>
      <c r="AB58" s="11"/>
      <c r="AC58" s="11"/>
      <c r="AD58" s="11"/>
      <c r="AE58" s="12"/>
      <c r="AH58" s="7" t="s">
        <v>22</v>
      </c>
      <c r="AI58" s="10"/>
      <c r="AJ58" s="11"/>
      <c r="AK58" s="11"/>
      <c r="AL58" s="11"/>
      <c r="AM58" s="11"/>
      <c r="AN58" s="12"/>
    </row>
    <row r="59" spans="1:40" x14ac:dyDescent="0.25">
      <c r="J59" s="8"/>
      <c r="T59" s="8" t="s">
        <v>23</v>
      </c>
      <c r="U59" s="13">
        <f>SUM(K58:U58)</f>
        <v>0</v>
      </c>
      <c r="AD59" s="8" t="s">
        <v>23</v>
      </c>
      <c r="AE59" s="13">
        <f>SUM(Z58:AE58)</f>
        <v>0</v>
      </c>
      <c r="AM59" s="8" t="s">
        <v>23</v>
      </c>
      <c r="AN59" s="13">
        <f>SUM(AI58:AN58)</f>
        <v>0</v>
      </c>
    </row>
    <row r="60" spans="1:40" ht="15.75" thickBot="1" x14ac:dyDescent="0.3">
      <c r="A60" s="19"/>
      <c r="B60" s="99" t="s">
        <v>3</v>
      </c>
      <c r="C60" s="99"/>
      <c r="D60" s="99"/>
      <c r="E60" s="99"/>
      <c r="F60" s="99"/>
      <c r="G60" s="99"/>
      <c r="H60" s="99"/>
      <c r="J60" s="100" t="s">
        <v>3</v>
      </c>
      <c r="K60" s="100"/>
      <c r="L60" s="100"/>
      <c r="M60" s="100"/>
      <c r="N60" s="100"/>
      <c r="O60" s="100"/>
      <c r="P60" s="100"/>
      <c r="Q60" s="100"/>
      <c r="R60" s="100"/>
      <c r="S60" s="100"/>
      <c r="T60" s="100"/>
      <c r="U60" s="100"/>
      <c r="Y60" s="101" t="s">
        <v>3</v>
      </c>
      <c r="Z60" s="101"/>
      <c r="AA60" s="101"/>
      <c r="AB60" s="101"/>
      <c r="AC60" s="101"/>
      <c r="AD60" s="101"/>
      <c r="AE60" s="101"/>
      <c r="AH60" s="102" t="s">
        <v>3</v>
      </c>
      <c r="AI60" s="102"/>
      <c r="AJ60" s="102"/>
      <c r="AK60" s="102"/>
      <c r="AL60" s="102"/>
      <c r="AM60" s="102"/>
      <c r="AN60" s="102"/>
    </row>
    <row r="61" spans="1:40" ht="15.75" thickBot="1" x14ac:dyDescent="0.3">
      <c r="A61" s="97" t="s">
        <v>5</v>
      </c>
      <c r="B61" s="34" t="s">
        <v>6</v>
      </c>
      <c r="C61" s="22" t="s">
        <v>7</v>
      </c>
      <c r="D61" s="33" t="s">
        <v>8</v>
      </c>
      <c r="E61" s="22" t="s">
        <v>9</v>
      </c>
      <c r="F61" s="24" t="s">
        <v>10</v>
      </c>
      <c r="G61" s="23" t="s">
        <v>11</v>
      </c>
      <c r="H61" s="25" t="s">
        <v>12</v>
      </c>
      <c r="J61" s="28" t="s">
        <v>4</v>
      </c>
      <c r="K61" s="9">
        <v>46058</v>
      </c>
      <c r="L61" s="66">
        <v>46065</v>
      </c>
      <c r="M61" s="66">
        <v>46074</v>
      </c>
      <c r="N61" s="66">
        <v>46079</v>
      </c>
      <c r="O61" s="66">
        <v>46081</v>
      </c>
      <c r="P61" s="4"/>
      <c r="Q61" s="4"/>
      <c r="R61" s="4"/>
      <c r="S61" s="4"/>
      <c r="T61" s="4"/>
      <c r="U61" s="5"/>
      <c r="Y61" s="6" t="s">
        <v>4</v>
      </c>
      <c r="Z61" s="9"/>
      <c r="AA61" s="4"/>
      <c r="AB61" s="4"/>
      <c r="AC61" s="4"/>
      <c r="AD61" s="4"/>
      <c r="AE61" s="5"/>
      <c r="AH61" s="6" t="s">
        <v>4</v>
      </c>
      <c r="AI61" s="9"/>
      <c r="AJ61" s="4"/>
      <c r="AK61" s="4"/>
      <c r="AL61" s="4"/>
      <c r="AM61" s="4"/>
      <c r="AN61" s="5"/>
    </row>
    <row r="62" spans="1:40" ht="15.75" thickBot="1" x14ac:dyDescent="0.3">
      <c r="A62" s="97"/>
      <c r="B62" s="26">
        <v>49451</v>
      </c>
      <c r="C62" s="27"/>
      <c r="D62" s="27"/>
      <c r="E62" s="27">
        <v>51166</v>
      </c>
      <c r="F62" s="27">
        <f>SUM(C62-B62)</f>
        <v>-49451</v>
      </c>
      <c r="G62" s="20">
        <f>SUM(E62-D62)</f>
        <v>51166</v>
      </c>
      <c r="H62" s="21">
        <f>SUM(F62:G62)</f>
        <v>1715</v>
      </c>
      <c r="J62" s="29" t="s">
        <v>22</v>
      </c>
      <c r="K62" s="10">
        <v>225.1</v>
      </c>
      <c r="L62" s="11">
        <v>222.68</v>
      </c>
      <c r="M62" s="11">
        <v>242.01</v>
      </c>
      <c r="N62" s="11">
        <v>185.7</v>
      </c>
      <c r="O62" s="11">
        <v>156.38999999999999</v>
      </c>
      <c r="P62" s="11"/>
      <c r="Q62" s="11"/>
      <c r="R62" s="11"/>
      <c r="S62" s="11"/>
      <c r="T62" s="11"/>
      <c r="U62" s="12"/>
      <c r="Y62" s="7" t="s">
        <v>22</v>
      </c>
      <c r="Z62" s="10"/>
      <c r="AA62" s="11"/>
      <c r="AB62" s="11"/>
      <c r="AC62" s="11"/>
      <c r="AD62" s="11"/>
      <c r="AE62" s="12"/>
      <c r="AH62" s="7" t="s">
        <v>22</v>
      </c>
      <c r="AI62" s="10"/>
      <c r="AJ62" s="11"/>
      <c r="AK62" s="11"/>
      <c r="AL62" s="11"/>
      <c r="AM62" s="11"/>
      <c r="AN62" s="12"/>
    </row>
    <row r="63" spans="1:40" x14ac:dyDescent="0.25">
      <c r="J63" s="8"/>
      <c r="T63" s="8" t="s">
        <v>23</v>
      </c>
      <c r="U63" s="13">
        <f>SUM(K62:U62)</f>
        <v>1031.8800000000001</v>
      </c>
      <c r="AD63" s="8" t="s">
        <v>23</v>
      </c>
      <c r="AE63" s="13">
        <f>SUM(Z62:AE62)</f>
        <v>0</v>
      </c>
      <c r="AM63" s="8" t="s">
        <v>23</v>
      </c>
      <c r="AN63" s="13">
        <f>SUM(AI62:AN62)</f>
        <v>0</v>
      </c>
    </row>
    <row r="64" spans="1:40" ht="15.75" thickBot="1" x14ac:dyDescent="0.3">
      <c r="A64" s="19"/>
      <c r="B64" s="99" t="s">
        <v>13</v>
      </c>
      <c r="C64" s="99"/>
      <c r="D64" s="99"/>
      <c r="E64" s="99"/>
      <c r="F64" s="99"/>
      <c r="G64" s="99"/>
      <c r="H64" s="99"/>
      <c r="J64" s="100" t="s">
        <v>13</v>
      </c>
      <c r="K64" s="100"/>
      <c r="L64" s="100"/>
      <c r="M64" s="100"/>
      <c r="N64" s="100"/>
      <c r="O64" s="100"/>
      <c r="P64" s="100"/>
      <c r="Q64" s="100"/>
      <c r="R64" s="100"/>
      <c r="S64" s="100"/>
      <c r="T64" s="100"/>
      <c r="U64" s="100"/>
      <c r="Y64" s="101" t="str">
        <f>J64</f>
        <v>Março</v>
      </c>
      <c r="Z64" s="101"/>
      <c r="AA64" s="101"/>
      <c r="AB64" s="101"/>
      <c r="AC64" s="101"/>
      <c r="AD64" s="101"/>
      <c r="AE64" s="101"/>
      <c r="AH64" s="102" t="str">
        <f>Y64</f>
        <v>Março</v>
      </c>
      <c r="AI64" s="102"/>
      <c r="AJ64" s="102"/>
      <c r="AK64" s="102"/>
      <c r="AL64" s="102"/>
      <c r="AM64" s="102"/>
      <c r="AN64" s="102"/>
    </row>
    <row r="65" spans="1:40" ht="15.75" thickBot="1" x14ac:dyDescent="0.3">
      <c r="A65" s="97" t="s">
        <v>5</v>
      </c>
      <c r="B65" s="34" t="s">
        <v>6</v>
      </c>
      <c r="C65" s="22" t="s">
        <v>7</v>
      </c>
      <c r="D65" s="33" t="s">
        <v>8</v>
      </c>
      <c r="E65" s="22" t="s">
        <v>9</v>
      </c>
      <c r="F65" s="24" t="s">
        <v>10</v>
      </c>
      <c r="G65" s="23" t="s">
        <v>11</v>
      </c>
      <c r="H65" s="25" t="s">
        <v>12</v>
      </c>
      <c r="J65" s="6" t="s">
        <v>4</v>
      </c>
      <c r="K65" s="9">
        <v>46086</v>
      </c>
      <c r="L65" s="4"/>
      <c r="M65" s="4"/>
      <c r="N65" s="4"/>
      <c r="O65" s="4"/>
      <c r="P65" s="4"/>
      <c r="Q65" s="4"/>
      <c r="R65" s="4"/>
      <c r="S65" s="4"/>
      <c r="T65" s="4"/>
      <c r="U65" s="5"/>
      <c r="Y65" s="6" t="s">
        <v>4</v>
      </c>
      <c r="Z65" s="9"/>
      <c r="AA65" s="4"/>
      <c r="AB65" s="4"/>
      <c r="AC65" s="4"/>
      <c r="AD65" s="4"/>
      <c r="AE65" s="5"/>
      <c r="AH65" s="6" t="s">
        <v>4</v>
      </c>
      <c r="AI65" s="9"/>
      <c r="AJ65" s="4"/>
      <c r="AK65" s="4"/>
      <c r="AL65" s="4"/>
      <c r="AM65" s="4"/>
      <c r="AN65" s="5"/>
    </row>
    <row r="66" spans="1:40" ht="15.75" thickBot="1" x14ac:dyDescent="0.3">
      <c r="A66" s="97"/>
      <c r="B66" s="27">
        <v>51166</v>
      </c>
      <c r="C66" s="27"/>
      <c r="D66" s="27"/>
      <c r="E66" s="27">
        <v>53504</v>
      </c>
      <c r="F66" s="27">
        <f>SUM(C66-B66)</f>
        <v>-51166</v>
      </c>
      <c r="G66" s="20">
        <f>SUM(E66-D66)</f>
        <v>53504</v>
      </c>
      <c r="H66" s="21">
        <f>SUM(F66:G66)</f>
        <v>2338</v>
      </c>
      <c r="J66" s="7" t="s">
        <v>22</v>
      </c>
      <c r="K66" s="10">
        <v>217.03</v>
      </c>
      <c r="L66" s="11"/>
      <c r="M66" s="11"/>
      <c r="N66" s="11"/>
      <c r="O66" s="11"/>
      <c r="P66" s="11"/>
      <c r="Q66" s="11"/>
      <c r="R66" s="11"/>
      <c r="S66" s="11"/>
      <c r="T66" s="11"/>
      <c r="U66" s="12"/>
      <c r="Y66" s="7" t="s">
        <v>22</v>
      </c>
      <c r="Z66" s="10"/>
      <c r="AA66" s="11"/>
      <c r="AB66" s="11"/>
      <c r="AC66" s="11"/>
      <c r="AD66" s="11"/>
      <c r="AE66" s="12"/>
      <c r="AH66" s="7" t="s">
        <v>22</v>
      </c>
      <c r="AI66" s="10"/>
      <c r="AJ66" s="11"/>
      <c r="AK66" s="11"/>
      <c r="AL66" s="11"/>
      <c r="AM66" s="11"/>
      <c r="AN66" s="12"/>
    </row>
    <row r="67" spans="1:40" x14ac:dyDescent="0.25">
      <c r="J67" s="8"/>
      <c r="T67" s="8" t="s">
        <v>23</v>
      </c>
      <c r="U67" s="13">
        <f>SUM(K66:U66)</f>
        <v>217.03</v>
      </c>
      <c r="AD67" s="8" t="s">
        <v>23</v>
      </c>
      <c r="AE67" s="13">
        <f>SUM(Z66:AE66)</f>
        <v>0</v>
      </c>
      <c r="AM67" s="8" t="s">
        <v>23</v>
      </c>
      <c r="AN67" s="13">
        <f>SUM(AI66:AN66)</f>
        <v>0</v>
      </c>
    </row>
    <row r="68" spans="1:40" ht="15.75" thickBot="1" x14ac:dyDescent="0.3">
      <c r="A68" s="19" t="s">
        <v>92</v>
      </c>
      <c r="B68" s="99" t="s">
        <v>14</v>
      </c>
      <c r="C68" s="99"/>
      <c r="D68" s="99"/>
      <c r="E68" s="99"/>
      <c r="F68" s="99"/>
      <c r="G68" s="99"/>
      <c r="H68" s="99"/>
      <c r="J68" s="100" t="s">
        <v>14</v>
      </c>
      <c r="K68" s="100"/>
      <c r="L68" s="100"/>
      <c r="M68" s="100"/>
      <c r="N68" s="100"/>
      <c r="O68" s="100"/>
      <c r="P68" s="100"/>
      <c r="Q68" s="100"/>
      <c r="R68" s="100"/>
      <c r="S68" s="100"/>
      <c r="T68" s="100"/>
      <c r="U68" s="100"/>
      <c r="Y68" s="101" t="str">
        <f>J68</f>
        <v>Abril</v>
      </c>
      <c r="Z68" s="101"/>
      <c r="AA68" s="101"/>
      <c r="AB68" s="101"/>
      <c r="AC68" s="101"/>
      <c r="AD68" s="101"/>
      <c r="AE68" s="101"/>
      <c r="AH68" s="102" t="str">
        <f>Y68</f>
        <v>Abril</v>
      </c>
      <c r="AI68" s="102"/>
      <c r="AJ68" s="102"/>
      <c r="AK68" s="102"/>
      <c r="AL68" s="102"/>
      <c r="AM68" s="102"/>
      <c r="AN68" s="102"/>
    </row>
    <row r="69" spans="1:40" ht="15.75" thickBot="1" x14ac:dyDescent="0.3">
      <c r="A69" s="97" t="s">
        <v>5</v>
      </c>
      <c r="B69" s="34" t="s">
        <v>6</v>
      </c>
      <c r="C69" s="22" t="s">
        <v>7</v>
      </c>
      <c r="D69" s="33" t="s">
        <v>8</v>
      </c>
      <c r="E69" s="22" t="s">
        <v>9</v>
      </c>
      <c r="F69" s="24" t="s">
        <v>10</v>
      </c>
      <c r="G69" s="23" t="s">
        <v>11</v>
      </c>
      <c r="H69" s="25" t="s">
        <v>12</v>
      </c>
      <c r="J69" s="6" t="s">
        <v>4</v>
      </c>
      <c r="K69" s="9">
        <v>46114</v>
      </c>
      <c r="L69" s="66">
        <v>46119</v>
      </c>
      <c r="M69" s="4"/>
      <c r="N69" s="4"/>
      <c r="O69" s="4"/>
      <c r="P69" s="4"/>
      <c r="Q69" s="4"/>
      <c r="R69" s="4"/>
      <c r="S69" s="4"/>
      <c r="T69" s="4"/>
      <c r="U69" s="5"/>
      <c r="Y69" s="6" t="s">
        <v>4</v>
      </c>
      <c r="Z69" s="9"/>
      <c r="AA69" s="4"/>
      <c r="AB69" s="4"/>
      <c r="AC69" s="4"/>
      <c r="AD69" s="4"/>
      <c r="AE69" s="5"/>
      <c r="AH69" s="6" t="s">
        <v>4</v>
      </c>
      <c r="AI69" s="9"/>
      <c r="AJ69" s="4"/>
      <c r="AK69" s="4"/>
      <c r="AL69" s="4"/>
      <c r="AM69" s="4"/>
      <c r="AN69" s="5"/>
    </row>
    <row r="70" spans="1:40" ht="15.75" thickBot="1" x14ac:dyDescent="0.3">
      <c r="A70" s="97"/>
      <c r="B70" s="26">
        <v>53504</v>
      </c>
      <c r="C70" s="27"/>
      <c r="D70" s="27"/>
      <c r="E70" s="27">
        <v>54721</v>
      </c>
      <c r="F70" s="27">
        <f>SUM(C70-B70)</f>
        <v>-53504</v>
      </c>
      <c r="G70" s="20">
        <f>SUM(E70-D70)</f>
        <v>54721</v>
      </c>
      <c r="H70" s="21">
        <f>SUM(F70:G70)</f>
        <v>1217</v>
      </c>
      <c r="J70" s="7" t="s">
        <v>22</v>
      </c>
      <c r="K70" s="30">
        <v>223.6</v>
      </c>
      <c r="L70" s="31">
        <v>248.49</v>
      </c>
      <c r="M70" s="31"/>
      <c r="N70" s="31"/>
      <c r="O70" s="31"/>
      <c r="P70" s="31"/>
      <c r="Q70" s="31"/>
      <c r="R70" s="31"/>
      <c r="S70" s="31"/>
      <c r="T70" s="31"/>
      <c r="U70" s="32"/>
      <c r="Y70" s="7" t="s">
        <v>22</v>
      </c>
      <c r="Z70" s="10"/>
      <c r="AA70" s="11"/>
      <c r="AB70" s="11"/>
      <c r="AC70" s="11"/>
      <c r="AD70" s="11"/>
      <c r="AE70" s="12"/>
      <c r="AH70" s="7" t="s">
        <v>22</v>
      </c>
      <c r="AI70" s="10"/>
      <c r="AJ70" s="11"/>
      <c r="AK70" s="11"/>
      <c r="AL70" s="11"/>
      <c r="AM70" s="11"/>
      <c r="AN70" s="12"/>
    </row>
    <row r="71" spans="1:40" x14ac:dyDescent="0.25">
      <c r="J71" s="8"/>
      <c r="T71" s="8" t="s">
        <v>23</v>
      </c>
      <c r="U71" s="13">
        <f>SUM(K70:U70)</f>
        <v>472.09000000000003</v>
      </c>
      <c r="AD71" s="8" t="s">
        <v>23</v>
      </c>
      <c r="AE71" s="13">
        <f>SUM(Z70:AE70)</f>
        <v>0</v>
      </c>
      <c r="AM71" s="8" t="s">
        <v>23</v>
      </c>
      <c r="AN71" s="13">
        <f>SUM(AI70:AN70)</f>
        <v>0</v>
      </c>
    </row>
    <row r="72" spans="1:40" ht="15.75" thickBot="1" x14ac:dyDescent="0.3">
      <c r="A72" s="19" t="s">
        <v>152</v>
      </c>
      <c r="B72" s="99" t="s">
        <v>14</v>
      </c>
      <c r="C72" s="99"/>
      <c r="D72" s="99"/>
      <c r="E72" s="99"/>
      <c r="F72" s="99"/>
      <c r="G72" s="99"/>
      <c r="H72" s="99"/>
      <c r="J72" s="100" t="s">
        <v>14</v>
      </c>
      <c r="K72" s="100"/>
      <c r="L72" s="100"/>
      <c r="M72" s="100"/>
      <c r="N72" s="100"/>
      <c r="O72" s="100"/>
      <c r="P72" s="100"/>
      <c r="Q72" s="100"/>
      <c r="R72" s="100"/>
      <c r="S72" s="100"/>
      <c r="T72" s="100"/>
      <c r="U72" s="100"/>
      <c r="Y72" s="101" t="str">
        <f>J72</f>
        <v>Abril</v>
      </c>
      <c r="Z72" s="101"/>
      <c r="AA72" s="101"/>
      <c r="AB72" s="101"/>
      <c r="AC72" s="101"/>
      <c r="AD72" s="101"/>
      <c r="AE72" s="101"/>
      <c r="AH72" s="102" t="str">
        <f>Y72</f>
        <v>Abril</v>
      </c>
      <c r="AI72" s="102"/>
      <c r="AJ72" s="102"/>
      <c r="AK72" s="102"/>
      <c r="AL72" s="102"/>
      <c r="AM72" s="102"/>
      <c r="AN72" s="102"/>
    </row>
    <row r="73" spans="1:40" ht="15.75" thickBot="1" x14ac:dyDescent="0.3">
      <c r="A73" s="97" t="s">
        <v>5</v>
      </c>
      <c r="B73" s="34" t="s">
        <v>6</v>
      </c>
      <c r="C73" s="22" t="s">
        <v>7</v>
      </c>
      <c r="D73" s="33" t="s">
        <v>8</v>
      </c>
      <c r="E73" s="22" t="s">
        <v>9</v>
      </c>
      <c r="F73" s="24" t="s">
        <v>10</v>
      </c>
      <c r="G73" s="23" t="s">
        <v>11</v>
      </c>
      <c r="H73" s="25" t="s">
        <v>12</v>
      </c>
      <c r="J73" s="6" t="s">
        <v>4</v>
      </c>
      <c r="K73" s="9"/>
      <c r="L73" s="66"/>
      <c r="M73" s="4"/>
      <c r="N73" s="4"/>
      <c r="O73" s="4"/>
      <c r="P73" s="4"/>
      <c r="Q73" s="4"/>
      <c r="R73" s="4"/>
      <c r="S73" s="4"/>
      <c r="T73" s="4"/>
      <c r="U73" s="5"/>
      <c r="Y73" s="6" t="s">
        <v>4</v>
      </c>
      <c r="Z73" s="9"/>
      <c r="AA73" s="4"/>
      <c r="AB73" s="4"/>
      <c r="AC73" s="4"/>
      <c r="AD73" s="4"/>
      <c r="AE73" s="5"/>
      <c r="AH73" s="6" t="s">
        <v>4</v>
      </c>
      <c r="AI73" s="9"/>
      <c r="AJ73" s="4"/>
      <c r="AK73" s="4"/>
      <c r="AL73" s="4"/>
      <c r="AM73" s="4"/>
      <c r="AN73" s="5"/>
    </row>
    <row r="74" spans="1:40" ht="15.75" thickBot="1" x14ac:dyDescent="0.3">
      <c r="A74" s="97"/>
      <c r="B74" s="26"/>
      <c r="C74" s="27"/>
      <c r="D74" s="27">
        <v>20</v>
      </c>
      <c r="E74" s="27">
        <v>603</v>
      </c>
      <c r="F74" s="27">
        <f>SUM(C74-B74)</f>
        <v>0</v>
      </c>
      <c r="G74" s="20">
        <f>SUM(E74-D74)</f>
        <v>583</v>
      </c>
      <c r="H74" s="21">
        <f>SUM(F74:G74)</f>
        <v>583</v>
      </c>
      <c r="J74" s="7" t="s">
        <v>22</v>
      </c>
      <c r="K74" s="30"/>
      <c r="L74" s="31"/>
      <c r="M74" s="31"/>
      <c r="N74" s="31"/>
      <c r="O74" s="31"/>
      <c r="P74" s="31"/>
      <c r="Q74" s="31"/>
      <c r="R74" s="31"/>
      <c r="S74" s="31"/>
      <c r="T74" s="31"/>
      <c r="U74" s="32"/>
      <c r="Y74" s="7" t="s">
        <v>22</v>
      </c>
      <c r="Z74" s="10"/>
      <c r="AA74" s="11"/>
      <c r="AB74" s="11"/>
      <c r="AC74" s="11"/>
      <c r="AD74" s="11"/>
      <c r="AE74" s="12"/>
      <c r="AH74" s="7" t="s">
        <v>22</v>
      </c>
      <c r="AI74" s="10"/>
      <c r="AJ74" s="11"/>
      <c r="AK74" s="11"/>
      <c r="AL74" s="11"/>
      <c r="AM74" s="11"/>
      <c r="AN74" s="12"/>
    </row>
    <row r="75" spans="1:40" x14ac:dyDescent="0.25">
      <c r="J75" s="8"/>
      <c r="T75" s="8" t="s">
        <v>23</v>
      </c>
      <c r="U75" s="13">
        <f>SUM(K74:U74)</f>
        <v>0</v>
      </c>
      <c r="AD75" s="8" t="s">
        <v>23</v>
      </c>
      <c r="AE75" s="13">
        <f>SUM(Z74:AE74)</f>
        <v>0</v>
      </c>
      <c r="AM75" s="8" t="s">
        <v>23</v>
      </c>
      <c r="AN75" s="13">
        <f>SUM(AI74:AN74)</f>
        <v>0</v>
      </c>
    </row>
    <row r="76" spans="1:40" ht="15.75" thickBot="1" x14ac:dyDescent="0.3">
      <c r="A76" s="19"/>
      <c r="B76" s="99" t="s">
        <v>15</v>
      </c>
      <c r="C76" s="99"/>
      <c r="D76" s="99"/>
      <c r="E76" s="99"/>
      <c r="F76" s="99"/>
      <c r="G76" s="99"/>
      <c r="H76" s="99"/>
      <c r="J76" s="100" t="s">
        <v>15</v>
      </c>
      <c r="K76" s="100"/>
      <c r="L76" s="100"/>
      <c r="M76" s="100"/>
      <c r="N76" s="100"/>
      <c r="O76" s="100"/>
      <c r="P76" s="100"/>
      <c r="Q76" s="100"/>
      <c r="R76" s="100"/>
      <c r="S76" s="100"/>
      <c r="T76" s="100"/>
      <c r="U76" s="100"/>
      <c r="Y76" s="101" t="str">
        <f>J76</f>
        <v>Maio</v>
      </c>
      <c r="Z76" s="101"/>
      <c r="AA76" s="101"/>
      <c r="AB76" s="101"/>
      <c r="AC76" s="101"/>
      <c r="AD76" s="101"/>
      <c r="AE76" s="101"/>
      <c r="AH76" s="102" t="str">
        <f>Y76</f>
        <v>Maio</v>
      </c>
      <c r="AI76" s="102"/>
      <c r="AJ76" s="102"/>
      <c r="AK76" s="102"/>
      <c r="AL76" s="102"/>
      <c r="AM76" s="102"/>
      <c r="AN76" s="102"/>
    </row>
    <row r="77" spans="1:40" ht="15.75" thickBot="1" x14ac:dyDescent="0.3">
      <c r="A77" s="97" t="s">
        <v>5</v>
      </c>
      <c r="B77" s="34" t="s">
        <v>6</v>
      </c>
      <c r="C77" s="22" t="s">
        <v>7</v>
      </c>
      <c r="D77" s="33" t="s">
        <v>8</v>
      </c>
      <c r="E77" s="22" t="s">
        <v>9</v>
      </c>
      <c r="F77" s="24" t="s">
        <v>10</v>
      </c>
      <c r="G77" s="23" t="s">
        <v>11</v>
      </c>
      <c r="H77" s="25" t="s">
        <v>12</v>
      </c>
      <c r="J77" s="6" t="s">
        <v>4</v>
      </c>
      <c r="K77" s="9"/>
      <c r="L77" s="4"/>
      <c r="M77" s="4"/>
      <c r="N77" s="4"/>
      <c r="O77" s="4"/>
      <c r="P77" s="4"/>
      <c r="Q77" s="4"/>
      <c r="R77" s="4"/>
      <c r="S77" s="4"/>
      <c r="T77" s="4"/>
      <c r="U77" s="5"/>
      <c r="Y77" s="6" t="s">
        <v>4</v>
      </c>
      <c r="Z77" s="9"/>
      <c r="AA77" s="4"/>
      <c r="AB77" s="4"/>
      <c r="AC77" s="4"/>
      <c r="AD77" s="4"/>
      <c r="AE77" s="5"/>
      <c r="AH77" s="6" t="s">
        <v>4</v>
      </c>
      <c r="AI77" s="9"/>
      <c r="AJ77" s="4"/>
      <c r="AK77" s="4"/>
      <c r="AL77" s="4"/>
      <c r="AM77" s="4"/>
      <c r="AN77" s="5"/>
    </row>
    <row r="78" spans="1:40" ht="15.75" thickBot="1" x14ac:dyDescent="0.3">
      <c r="A78" s="97"/>
      <c r="B78" s="26">
        <v>603</v>
      </c>
      <c r="C78" s="27"/>
      <c r="D78" s="27"/>
      <c r="E78" s="27">
        <v>2525</v>
      </c>
      <c r="F78" s="27">
        <f>SUM(C78-B78)</f>
        <v>-603</v>
      </c>
      <c r="G78" s="20">
        <f>SUM(E78-D78)</f>
        <v>2525</v>
      </c>
      <c r="H78" s="21">
        <f>SUM(F78:G78)</f>
        <v>1922</v>
      </c>
      <c r="J78" s="7" t="s">
        <v>22</v>
      </c>
      <c r="K78" s="10"/>
      <c r="L78" s="11"/>
      <c r="M78" s="11"/>
      <c r="N78" s="11"/>
      <c r="O78" s="11"/>
      <c r="P78" s="11"/>
      <c r="Q78" s="11"/>
      <c r="R78" s="11"/>
      <c r="S78" s="11"/>
      <c r="T78" s="11"/>
      <c r="U78" s="12"/>
      <c r="Y78" s="7" t="s">
        <v>22</v>
      </c>
      <c r="Z78" s="10"/>
      <c r="AA78" s="11"/>
      <c r="AB78" s="11"/>
      <c r="AC78" s="11"/>
      <c r="AD78" s="11"/>
      <c r="AE78" s="12"/>
      <c r="AH78" s="7" t="s">
        <v>22</v>
      </c>
      <c r="AI78" s="10"/>
      <c r="AJ78" s="11"/>
      <c r="AK78" s="11"/>
      <c r="AL78" s="11"/>
      <c r="AM78" s="11"/>
      <c r="AN78" s="12"/>
    </row>
    <row r="79" spans="1:40" x14ac:dyDescent="0.25">
      <c r="J79" s="8"/>
      <c r="T79" s="8" t="s">
        <v>23</v>
      </c>
      <c r="U79" s="13">
        <f>SUM(K78:U78)</f>
        <v>0</v>
      </c>
      <c r="AD79" s="8" t="s">
        <v>23</v>
      </c>
      <c r="AE79" s="13">
        <f>SUM(Z78:AE78)</f>
        <v>0</v>
      </c>
      <c r="AM79" s="8" t="s">
        <v>23</v>
      </c>
      <c r="AN79" s="13">
        <f>SUM(AI78:AN78)</f>
        <v>0</v>
      </c>
    </row>
    <row r="80" spans="1:40" ht="15.75" thickBot="1" x14ac:dyDescent="0.3">
      <c r="A80" s="19"/>
      <c r="B80" s="99" t="s">
        <v>24</v>
      </c>
      <c r="C80" s="99"/>
      <c r="D80" s="99"/>
      <c r="E80" s="99"/>
      <c r="F80" s="99"/>
      <c r="G80" s="99"/>
      <c r="H80" s="99"/>
      <c r="J80" s="100" t="s">
        <v>24</v>
      </c>
      <c r="K80" s="100"/>
      <c r="L80" s="100"/>
      <c r="M80" s="100"/>
      <c r="N80" s="100"/>
      <c r="O80" s="100"/>
      <c r="P80" s="100"/>
      <c r="Q80" s="100"/>
      <c r="R80" s="100"/>
      <c r="S80" s="100"/>
      <c r="T80" s="100"/>
      <c r="U80" s="100"/>
      <c r="Y80" s="101" t="str">
        <f>J80</f>
        <v>Junho</v>
      </c>
      <c r="Z80" s="101"/>
      <c r="AA80" s="101"/>
      <c r="AB80" s="101"/>
      <c r="AC80" s="101"/>
      <c r="AD80" s="101"/>
      <c r="AE80" s="101"/>
      <c r="AH80" s="102" t="str">
        <f>Y80</f>
        <v>Junho</v>
      </c>
      <c r="AI80" s="102"/>
      <c r="AJ80" s="102"/>
      <c r="AK80" s="102"/>
      <c r="AL80" s="102"/>
      <c r="AM80" s="102"/>
      <c r="AN80" s="102"/>
    </row>
    <row r="81" spans="1:40" ht="15.75" thickBot="1" x14ac:dyDescent="0.3">
      <c r="A81" s="97" t="s">
        <v>5</v>
      </c>
      <c r="B81" s="34" t="s">
        <v>6</v>
      </c>
      <c r="C81" s="22" t="s">
        <v>7</v>
      </c>
      <c r="D81" s="33" t="s">
        <v>8</v>
      </c>
      <c r="E81" s="22" t="s">
        <v>9</v>
      </c>
      <c r="F81" s="24" t="s">
        <v>10</v>
      </c>
      <c r="G81" s="23" t="s">
        <v>11</v>
      </c>
      <c r="H81" s="25" t="s">
        <v>12</v>
      </c>
      <c r="J81" s="6" t="s">
        <v>4</v>
      </c>
      <c r="K81" s="9"/>
      <c r="L81" s="4"/>
      <c r="M81" s="4"/>
      <c r="N81" s="4"/>
      <c r="O81" s="4"/>
      <c r="P81" s="4"/>
      <c r="Q81" s="4"/>
      <c r="R81" s="4"/>
      <c r="S81" s="4"/>
      <c r="T81" s="4"/>
      <c r="U81" s="5"/>
      <c r="Y81" s="6" t="s">
        <v>4</v>
      </c>
      <c r="Z81" s="9"/>
      <c r="AA81" s="4"/>
      <c r="AB81" s="4"/>
      <c r="AC81" s="4"/>
      <c r="AD81" s="4"/>
      <c r="AE81" s="5"/>
      <c r="AH81" s="6" t="s">
        <v>4</v>
      </c>
      <c r="AI81" s="9"/>
      <c r="AJ81" s="4"/>
      <c r="AK81" s="4"/>
      <c r="AL81" s="4"/>
      <c r="AM81" s="4"/>
      <c r="AN81" s="5"/>
    </row>
    <row r="82" spans="1:40" ht="15.75" thickBot="1" x14ac:dyDescent="0.3">
      <c r="A82" s="97"/>
      <c r="B82" s="26"/>
      <c r="C82" s="27"/>
      <c r="D82" s="27"/>
      <c r="E82" s="27"/>
      <c r="F82" s="27">
        <f>SUM(C82-B82)</f>
        <v>0</v>
      </c>
      <c r="G82" s="20">
        <f>SUM(E82-D82)</f>
        <v>0</v>
      </c>
      <c r="H82" s="21">
        <f>SUM(F82:G82)</f>
        <v>0</v>
      </c>
      <c r="J82" s="7" t="s">
        <v>22</v>
      </c>
      <c r="K82" s="10"/>
      <c r="L82" s="11"/>
      <c r="M82" s="11"/>
      <c r="N82" s="11"/>
      <c r="O82" s="11"/>
      <c r="P82" s="11"/>
      <c r="Q82" s="11"/>
      <c r="R82" s="11"/>
      <c r="S82" s="11"/>
      <c r="T82" s="11"/>
      <c r="U82" s="12"/>
      <c r="Y82" s="7" t="s">
        <v>22</v>
      </c>
      <c r="Z82" s="10"/>
      <c r="AA82" s="11"/>
      <c r="AB82" s="11"/>
      <c r="AC82" s="11"/>
      <c r="AD82" s="11"/>
      <c r="AE82" s="12"/>
      <c r="AH82" s="7" t="s">
        <v>22</v>
      </c>
      <c r="AI82" s="10"/>
      <c r="AJ82" s="11"/>
      <c r="AK82" s="11"/>
      <c r="AL82" s="11"/>
      <c r="AM82" s="11"/>
      <c r="AN82" s="12"/>
    </row>
    <row r="83" spans="1:40" x14ac:dyDescent="0.25">
      <c r="J83" s="8"/>
      <c r="T83" s="8" t="s">
        <v>23</v>
      </c>
      <c r="U83" s="13">
        <f>SUM(K82:U82)</f>
        <v>0</v>
      </c>
      <c r="AD83" s="8" t="s">
        <v>23</v>
      </c>
      <c r="AE83" s="13">
        <f>SUM(Z82:AE82)</f>
        <v>0</v>
      </c>
      <c r="AM83" s="8" t="s">
        <v>23</v>
      </c>
      <c r="AN83" s="13">
        <f>SUM(AI82:AN82)</f>
        <v>0</v>
      </c>
    </row>
    <row r="84" spans="1:40" ht="15.75" thickBot="1" x14ac:dyDescent="0.3">
      <c r="A84" s="19"/>
      <c r="B84" s="99" t="s">
        <v>16</v>
      </c>
      <c r="C84" s="99"/>
      <c r="D84" s="99"/>
      <c r="E84" s="99"/>
      <c r="F84" s="99"/>
      <c r="G84" s="99"/>
      <c r="H84" s="99"/>
      <c r="J84" s="100" t="s">
        <v>16</v>
      </c>
      <c r="K84" s="100"/>
      <c r="L84" s="100"/>
      <c r="M84" s="100"/>
      <c r="N84" s="100"/>
      <c r="O84" s="100"/>
      <c r="P84" s="100"/>
      <c r="Q84" s="100"/>
      <c r="R84" s="100"/>
      <c r="S84" s="100"/>
      <c r="T84" s="100"/>
      <c r="U84" s="100"/>
      <c r="Y84" s="101" t="str">
        <f>J84</f>
        <v>Julho</v>
      </c>
      <c r="Z84" s="101"/>
      <c r="AA84" s="101"/>
      <c r="AB84" s="101"/>
      <c r="AC84" s="101"/>
      <c r="AD84" s="101"/>
      <c r="AE84" s="101"/>
      <c r="AH84" s="102" t="str">
        <f>Y84</f>
        <v>Julho</v>
      </c>
      <c r="AI84" s="102"/>
      <c r="AJ84" s="102"/>
      <c r="AK84" s="102"/>
      <c r="AL84" s="102"/>
      <c r="AM84" s="102"/>
      <c r="AN84" s="102"/>
    </row>
    <row r="85" spans="1:40" ht="15.75" thickBot="1" x14ac:dyDescent="0.3">
      <c r="A85" s="97" t="s">
        <v>5</v>
      </c>
      <c r="B85" s="34" t="s">
        <v>6</v>
      </c>
      <c r="C85" s="22" t="s">
        <v>7</v>
      </c>
      <c r="D85" s="33" t="s">
        <v>8</v>
      </c>
      <c r="E85" s="22" t="s">
        <v>9</v>
      </c>
      <c r="F85" s="24" t="s">
        <v>10</v>
      </c>
      <c r="G85" s="23" t="s">
        <v>11</v>
      </c>
      <c r="H85" s="25" t="s">
        <v>12</v>
      </c>
      <c r="J85" s="6" t="s">
        <v>4</v>
      </c>
      <c r="K85" s="9"/>
      <c r="L85" s="4"/>
      <c r="M85" s="4"/>
      <c r="N85" s="4"/>
      <c r="O85" s="4"/>
      <c r="P85" s="4"/>
      <c r="Q85" s="4"/>
      <c r="R85" s="4"/>
      <c r="S85" s="4"/>
      <c r="T85" s="4"/>
      <c r="U85" s="5"/>
      <c r="Y85" s="6" t="s">
        <v>4</v>
      </c>
      <c r="Z85" s="9"/>
      <c r="AA85" s="4"/>
      <c r="AB85" s="4"/>
      <c r="AC85" s="4"/>
      <c r="AD85" s="4"/>
      <c r="AE85" s="5"/>
      <c r="AH85" s="6" t="s">
        <v>4</v>
      </c>
      <c r="AI85" s="9"/>
      <c r="AJ85" s="4"/>
      <c r="AK85" s="4"/>
      <c r="AL85" s="4"/>
      <c r="AM85" s="4"/>
      <c r="AN85" s="5"/>
    </row>
    <row r="86" spans="1:40" ht="15.75" thickBot="1" x14ac:dyDescent="0.3">
      <c r="A86" s="97"/>
      <c r="B86" s="26"/>
      <c r="C86" s="27"/>
      <c r="D86" s="27"/>
      <c r="E86" s="27"/>
      <c r="F86" s="27">
        <f>SUM(C86-B86)</f>
        <v>0</v>
      </c>
      <c r="G86" s="20">
        <f>SUM(E86-D86)</f>
        <v>0</v>
      </c>
      <c r="H86" s="21">
        <f>SUM(F86:G86)</f>
        <v>0</v>
      </c>
      <c r="J86" s="7" t="s">
        <v>22</v>
      </c>
      <c r="K86" s="10"/>
      <c r="L86" s="11"/>
      <c r="M86" s="11"/>
      <c r="N86" s="11"/>
      <c r="O86" s="11"/>
      <c r="P86" s="11"/>
      <c r="Q86" s="11"/>
      <c r="R86" s="11"/>
      <c r="S86" s="11"/>
      <c r="T86" s="11"/>
      <c r="U86" s="12"/>
      <c r="Y86" s="7" t="s">
        <v>22</v>
      </c>
      <c r="Z86" s="10"/>
      <c r="AA86" s="11"/>
      <c r="AB86" s="11"/>
      <c r="AC86" s="11"/>
      <c r="AD86" s="11"/>
      <c r="AE86" s="12"/>
      <c r="AH86" s="7" t="s">
        <v>22</v>
      </c>
      <c r="AI86" s="10"/>
      <c r="AJ86" s="11"/>
      <c r="AK86" s="11"/>
      <c r="AL86" s="11"/>
      <c r="AM86" s="11"/>
      <c r="AN86" s="12"/>
    </row>
    <row r="87" spans="1:40" x14ac:dyDescent="0.25">
      <c r="J87" s="8"/>
      <c r="T87" s="8" t="s">
        <v>23</v>
      </c>
      <c r="U87" s="13">
        <f>SUM(K86:U86)</f>
        <v>0</v>
      </c>
      <c r="AD87" s="8" t="s">
        <v>23</v>
      </c>
      <c r="AE87" s="13">
        <f>SUM(Z86:AE86)</f>
        <v>0</v>
      </c>
      <c r="AM87" s="8" t="s">
        <v>23</v>
      </c>
      <c r="AN87" s="13">
        <f>SUM(AI86:AN86)</f>
        <v>0</v>
      </c>
    </row>
    <row r="88" spans="1:40" ht="15.75" thickBot="1" x14ac:dyDescent="0.3">
      <c r="A88" s="19"/>
      <c r="B88" s="99" t="s">
        <v>17</v>
      </c>
      <c r="C88" s="99"/>
      <c r="D88" s="99"/>
      <c r="E88" s="99"/>
      <c r="F88" s="99"/>
      <c r="G88" s="99"/>
      <c r="H88" s="99"/>
      <c r="J88" s="100" t="s">
        <v>17</v>
      </c>
      <c r="K88" s="100"/>
      <c r="L88" s="100"/>
      <c r="M88" s="100"/>
      <c r="N88" s="100"/>
      <c r="O88" s="100"/>
      <c r="P88" s="100"/>
      <c r="Q88" s="100"/>
      <c r="R88" s="100"/>
      <c r="S88" s="100"/>
      <c r="T88" s="100"/>
      <c r="U88" s="100"/>
      <c r="Y88" s="101" t="str">
        <f>J88</f>
        <v>Agosto</v>
      </c>
      <c r="Z88" s="101"/>
      <c r="AA88" s="101"/>
      <c r="AB88" s="101"/>
      <c r="AC88" s="101"/>
      <c r="AD88" s="101"/>
      <c r="AE88" s="101"/>
      <c r="AH88" s="102" t="str">
        <f>Y88</f>
        <v>Agosto</v>
      </c>
      <c r="AI88" s="102"/>
      <c r="AJ88" s="102"/>
      <c r="AK88" s="102"/>
      <c r="AL88" s="102"/>
      <c r="AM88" s="102"/>
      <c r="AN88" s="102"/>
    </row>
    <row r="89" spans="1:40" ht="15.75" thickBot="1" x14ac:dyDescent="0.3">
      <c r="A89" s="97" t="s">
        <v>5</v>
      </c>
      <c r="B89" s="34" t="s">
        <v>6</v>
      </c>
      <c r="C89" s="22" t="s">
        <v>7</v>
      </c>
      <c r="D89" s="33" t="s">
        <v>8</v>
      </c>
      <c r="E89" s="22" t="s">
        <v>9</v>
      </c>
      <c r="F89" s="24" t="s">
        <v>10</v>
      </c>
      <c r="G89" s="23" t="s">
        <v>11</v>
      </c>
      <c r="H89" s="25" t="s">
        <v>12</v>
      </c>
      <c r="J89" s="6" t="s">
        <v>4</v>
      </c>
      <c r="K89" s="9"/>
      <c r="L89" s="4"/>
      <c r="M89" s="4"/>
      <c r="N89" s="4"/>
      <c r="O89" s="4"/>
      <c r="P89" s="4"/>
      <c r="Q89" s="4"/>
      <c r="R89" s="4"/>
      <c r="S89" s="4"/>
      <c r="T89" s="4"/>
      <c r="U89" s="5"/>
      <c r="Y89" s="6" t="s">
        <v>4</v>
      </c>
      <c r="Z89" s="9"/>
      <c r="AA89" s="4"/>
      <c r="AB89" s="4"/>
      <c r="AC89" s="4"/>
      <c r="AD89" s="4"/>
      <c r="AE89" s="5"/>
      <c r="AH89" s="6" t="s">
        <v>4</v>
      </c>
      <c r="AI89" s="9"/>
      <c r="AJ89" s="4"/>
      <c r="AK89" s="4"/>
      <c r="AL89" s="4"/>
      <c r="AM89" s="4"/>
      <c r="AN89" s="5"/>
    </row>
    <row r="90" spans="1:40" ht="15.75" thickBot="1" x14ac:dyDescent="0.3">
      <c r="A90" s="97"/>
      <c r="B90" s="26"/>
      <c r="C90" s="27"/>
      <c r="D90" s="27"/>
      <c r="E90" s="27"/>
      <c r="F90" s="27">
        <f>SUM(C90-B90)</f>
        <v>0</v>
      </c>
      <c r="G90" s="20">
        <f>SUM(E90-D90)</f>
        <v>0</v>
      </c>
      <c r="H90" s="21">
        <f>SUM(F90:G90)</f>
        <v>0</v>
      </c>
      <c r="J90" s="7" t="s">
        <v>22</v>
      </c>
      <c r="K90" s="10"/>
      <c r="L90" s="11"/>
      <c r="M90" s="11"/>
      <c r="N90" s="11"/>
      <c r="O90" s="11"/>
      <c r="P90" s="11"/>
      <c r="Q90" s="11"/>
      <c r="R90" s="11"/>
      <c r="S90" s="11"/>
      <c r="T90" s="11"/>
      <c r="U90" s="12"/>
      <c r="Y90" s="7" t="s">
        <v>22</v>
      </c>
      <c r="Z90" s="10"/>
      <c r="AA90" s="11"/>
      <c r="AB90" s="11"/>
      <c r="AC90" s="11"/>
      <c r="AD90" s="11"/>
      <c r="AE90" s="12"/>
      <c r="AH90" s="7" t="s">
        <v>22</v>
      </c>
      <c r="AI90" s="10"/>
      <c r="AJ90" s="11"/>
      <c r="AK90" s="11"/>
      <c r="AL90" s="11"/>
      <c r="AM90" s="11"/>
      <c r="AN90" s="12"/>
    </row>
    <row r="91" spans="1:40" x14ac:dyDescent="0.25">
      <c r="J91" s="8"/>
      <c r="T91" s="8" t="s">
        <v>23</v>
      </c>
      <c r="U91" s="13">
        <f>SUM(K90:U90)</f>
        <v>0</v>
      </c>
      <c r="AD91" s="8" t="s">
        <v>23</v>
      </c>
      <c r="AE91" s="13">
        <f>SUM(Z90:AE90)</f>
        <v>0</v>
      </c>
      <c r="AM91" s="8" t="s">
        <v>23</v>
      </c>
      <c r="AN91" s="13">
        <f>SUM(AI90:AN90)</f>
        <v>0</v>
      </c>
    </row>
    <row r="92" spans="1:40" ht="15.75" thickBot="1" x14ac:dyDescent="0.3">
      <c r="A92" s="19"/>
      <c r="B92" s="99" t="s">
        <v>18</v>
      </c>
      <c r="C92" s="99"/>
      <c r="D92" s="99"/>
      <c r="E92" s="99"/>
      <c r="F92" s="99"/>
      <c r="G92" s="99"/>
      <c r="H92" s="99"/>
      <c r="J92" s="100" t="s">
        <v>18</v>
      </c>
      <c r="K92" s="100"/>
      <c r="L92" s="100"/>
      <c r="M92" s="100"/>
      <c r="N92" s="100"/>
      <c r="O92" s="100"/>
      <c r="P92" s="100"/>
      <c r="Q92" s="100"/>
      <c r="R92" s="100"/>
      <c r="S92" s="100"/>
      <c r="T92" s="100"/>
      <c r="U92" s="100"/>
      <c r="Y92" s="101" t="str">
        <f>J92</f>
        <v>Setembro</v>
      </c>
      <c r="Z92" s="101"/>
      <c r="AA92" s="101"/>
      <c r="AB92" s="101"/>
      <c r="AC92" s="101"/>
      <c r="AD92" s="101"/>
      <c r="AE92" s="101"/>
      <c r="AH92" s="102" t="str">
        <f>Y92</f>
        <v>Setembro</v>
      </c>
      <c r="AI92" s="102"/>
      <c r="AJ92" s="102"/>
      <c r="AK92" s="102"/>
      <c r="AL92" s="102"/>
      <c r="AM92" s="102"/>
      <c r="AN92" s="102"/>
    </row>
    <row r="93" spans="1:40" ht="15.75" thickBot="1" x14ac:dyDescent="0.3">
      <c r="A93" s="97" t="s">
        <v>5</v>
      </c>
      <c r="B93" s="34" t="s">
        <v>6</v>
      </c>
      <c r="C93" s="22" t="s">
        <v>7</v>
      </c>
      <c r="D93" s="33" t="s">
        <v>8</v>
      </c>
      <c r="E93" s="22" t="s">
        <v>9</v>
      </c>
      <c r="F93" s="24" t="s">
        <v>10</v>
      </c>
      <c r="G93" s="23" t="s">
        <v>11</v>
      </c>
      <c r="H93" s="25" t="s">
        <v>12</v>
      </c>
      <c r="J93" s="6" t="s">
        <v>4</v>
      </c>
      <c r="K93" s="9"/>
      <c r="L93" s="4"/>
      <c r="M93" s="4"/>
      <c r="N93" s="4"/>
      <c r="O93" s="4"/>
      <c r="P93" s="4"/>
      <c r="Q93" s="4"/>
      <c r="R93" s="4"/>
      <c r="S93" s="4"/>
      <c r="T93" s="4"/>
      <c r="U93" s="5"/>
      <c r="Y93" s="6" t="s">
        <v>4</v>
      </c>
      <c r="Z93" s="9"/>
      <c r="AA93" s="4"/>
      <c r="AB93" s="4"/>
      <c r="AC93" s="4"/>
      <c r="AD93" s="4"/>
      <c r="AE93" s="5"/>
      <c r="AH93" s="6" t="s">
        <v>4</v>
      </c>
      <c r="AI93" s="9"/>
      <c r="AJ93" s="4"/>
      <c r="AK93" s="4"/>
      <c r="AL93" s="4"/>
      <c r="AM93" s="4"/>
      <c r="AN93" s="5"/>
    </row>
    <row r="94" spans="1:40" ht="15.75" thickBot="1" x14ac:dyDescent="0.3">
      <c r="A94" s="97"/>
      <c r="B94" s="26"/>
      <c r="C94" s="27"/>
      <c r="D94" s="27"/>
      <c r="E94" s="27"/>
      <c r="F94" s="27">
        <f>SUM(C94-B94)</f>
        <v>0</v>
      </c>
      <c r="G94" s="20">
        <f>SUM(E94-D94)</f>
        <v>0</v>
      </c>
      <c r="H94" s="21">
        <f>SUM(F94:G94)</f>
        <v>0</v>
      </c>
      <c r="J94" s="7" t="s">
        <v>22</v>
      </c>
      <c r="K94" s="10"/>
      <c r="L94" s="11"/>
      <c r="M94" s="11"/>
      <c r="N94" s="11"/>
      <c r="O94" s="11"/>
      <c r="P94" s="11"/>
      <c r="Q94" s="11"/>
      <c r="R94" s="11"/>
      <c r="S94" s="11"/>
      <c r="T94" s="11"/>
      <c r="U94" s="12"/>
      <c r="Y94" s="7" t="s">
        <v>22</v>
      </c>
      <c r="Z94" s="10"/>
      <c r="AA94" s="11"/>
      <c r="AB94" s="11"/>
      <c r="AC94" s="11"/>
      <c r="AD94" s="11"/>
      <c r="AE94" s="12"/>
      <c r="AH94" s="7" t="s">
        <v>22</v>
      </c>
      <c r="AI94" s="10"/>
      <c r="AJ94" s="11"/>
      <c r="AK94" s="11"/>
      <c r="AL94" s="11"/>
      <c r="AM94" s="11"/>
      <c r="AN94" s="12"/>
    </row>
    <row r="95" spans="1:40" x14ac:dyDescent="0.25">
      <c r="J95" s="8"/>
      <c r="T95" s="8" t="s">
        <v>23</v>
      </c>
      <c r="U95" s="13">
        <f>SUM(K94:U94)</f>
        <v>0</v>
      </c>
      <c r="AD95" s="8" t="s">
        <v>23</v>
      </c>
      <c r="AE95" s="13">
        <f>SUM(Z94:AE94)</f>
        <v>0</v>
      </c>
      <c r="AM95" s="8" t="s">
        <v>23</v>
      </c>
      <c r="AN95" s="13">
        <f>SUM(AI94:AN94)</f>
        <v>0</v>
      </c>
    </row>
  </sheetData>
  <mergeCells count="117">
    <mergeCell ref="A53:A54"/>
    <mergeCell ref="B44:H44"/>
    <mergeCell ref="J44:U44"/>
    <mergeCell ref="W44:AC44"/>
    <mergeCell ref="AE44:AK44"/>
    <mergeCell ref="A45:A46"/>
    <mergeCell ref="B48:H48"/>
    <mergeCell ref="J48:U48"/>
    <mergeCell ref="W48:AC48"/>
    <mergeCell ref="AE48:AK48"/>
    <mergeCell ref="A49:A50"/>
    <mergeCell ref="B52:H52"/>
    <mergeCell ref="J52:U52"/>
    <mergeCell ref="W52:AC52"/>
    <mergeCell ref="AE52:AK52"/>
    <mergeCell ref="A41:A42"/>
    <mergeCell ref="B32:H32"/>
    <mergeCell ref="J32:U32"/>
    <mergeCell ref="W32:AC32"/>
    <mergeCell ref="AE32:AK32"/>
    <mergeCell ref="A33:A34"/>
    <mergeCell ref="B36:H36"/>
    <mergeCell ref="J36:U36"/>
    <mergeCell ref="W36:AC36"/>
    <mergeCell ref="AE36:AK36"/>
    <mergeCell ref="A37:A38"/>
    <mergeCell ref="B40:H40"/>
    <mergeCell ref="J40:U40"/>
    <mergeCell ref="W40:AC40"/>
    <mergeCell ref="AE40:AK40"/>
    <mergeCell ref="A29:A30"/>
    <mergeCell ref="B20:H20"/>
    <mergeCell ref="J20:U20"/>
    <mergeCell ref="W20:AC20"/>
    <mergeCell ref="AE20:AK20"/>
    <mergeCell ref="A21:A22"/>
    <mergeCell ref="B24:H24"/>
    <mergeCell ref="J24:U24"/>
    <mergeCell ref="W24:AC24"/>
    <mergeCell ref="AE24:AK24"/>
    <mergeCell ref="A25:A26"/>
    <mergeCell ref="B28:H28"/>
    <mergeCell ref="J28:U28"/>
    <mergeCell ref="W28:AC28"/>
    <mergeCell ref="AE28:AK28"/>
    <mergeCell ref="W10:AC10"/>
    <mergeCell ref="AE10:AK10"/>
    <mergeCell ref="B12:H12"/>
    <mergeCell ref="J12:U12"/>
    <mergeCell ref="W12:AC12"/>
    <mergeCell ref="AE12:AK12"/>
    <mergeCell ref="J10:U10"/>
    <mergeCell ref="A13:A14"/>
    <mergeCell ref="B16:H16"/>
    <mergeCell ref="J16:U16"/>
    <mergeCell ref="W16:AC16"/>
    <mergeCell ref="AE16:AK16"/>
    <mergeCell ref="B2:C2"/>
    <mergeCell ref="E2:F2"/>
    <mergeCell ref="B7:C7"/>
    <mergeCell ref="E7:F7"/>
    <mergeCell ref="A10:H10"/>
    <mergeCell ref="E6:F6"/>
    <mergeCell ref="E3:F3"/>
    <mergeCell ref="E4:F4"/>
    <mergeCell ref="A17:A18"/>
    <mergeCell ref="E5:F5"/>
    <mergeCell ref="B60:H60"/>
    <mergeCell ref="J60:U60"/>
    <mergeCell ref="Y60:AE60"/>
    <mergeCell ref="AH60:AN60"/>
    <mergeCell ref="A61:A62"/>
    <mergeCell ref="B56:H56"/>
    <mergeCell ref="J56:U56"/>
    <mergeCell ref="Y56:AE56"/>
    <mergeCell ref="AH56:AN56"/>
    <mergeCell ref="A57:A58"/>
    <mergeCell ref="AH76:AN76"/>
    <mergeCell ref="A77:A78"/>
    <mergeCell ref="B68:H68"/>
    <mergeCell ref="J68:U68"/>
    <mergeCell ref="Y68:AE68"/>
    <mergeCell ref="AH68:AN68"/>
    <mergeCell ref="A69:A70"/>
    <mergeCell ref="B64:H64"/>
    <mergeCell ref="J64:U64"/>
    <mergeCell ref="Y64:AE64"/>
    <mergeCell ref="AH64:AN64"/>
    <mergeCell ref="A65:A66"/>
    <mergeCell ref="B76:H76"/>
    <mergeCell ref="J76:U76"/>
    <mergeCell ref="Y76:AE76"/>
    <mergeCell ref="B72:H72"/>
    <mergeCell ref="J72:U72"/>
    <mergeCell ref="Y72:AE72"/>
    <mergeCell ref="AH72:AN72"/>
    <mergeCell ref="A73:A74"/>
    <mergeCell ref="B92:H92"/>
    <mergeCell ref="J92:U92"/>
    <mergeCell ref="Y92:AE92"/>
    <mergeCell ref="AH92:AN92"/>
    <mergeCell ref="A93:A94"/>
    <mergeCell ref="B88:H88"/>
    <mergeCell ref="J88:U88"/>
    <mergeCell ref="Y88:AE88"/>
    <mergeCell ref="AH88:AN88"/>
    <mergeCell ref="A89:A90"/>
    <mergeCell ref="B84:H84"/>
    <mergeCell ref="J84:U84"/>
    <mergeCell ref="Y84:AE84"/>
    <mergeCell ref="AH84:AN84"/>
    <mergeCell ref="A85:A86"/>
    <mergeCell ref="B80:H80"/>
    <mergeCell ref="J80:U80"/>
    <mergeCell ref="Y80:AE80"/>
    <mergeCell ref="AH80:AN80"/>
    <mergeCell ref="A81:A82"/>
  </mergeCells>
  <phoneticPr fontId="3" type="noConversion"/>
  <pageMargins left="0.511811024" right="0.511811024" top="0.78740157499999996" bottom="0.78740157499999996" header="0.31496062000000002" footer="0.31496062000000002"/>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N94"/>
  <sheetViews>
    <sheetView showGridLines="0" topLeftCell="A58" workbookViewId="0">
      <selection activeCell="E78" sqref="E78"/>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1" bestFit="1" customWidth="1"/>
    <col min="10" max="10" width="13.42578125" bestFit="1" customWidth="1"/>
    <col min="11" max="13" width="10.42578125" bestFit="1" customWidth="1"/>
    <col min="14" max="15" width="10.5703125" bestFit="1" customWidth="1"/>
    <col min="16" max="19" width="10.42578125" bestFit="1" customWidth="1"/>
    <col min="21" max="21" width="12.140625" bestFit="1" customWidth="1"/>
    <col min="24" max="26" width="10.42578125" bestFit="1" customWidth="1"/>
    <col min="29" max="29" width="10.5703125" bestFit="1" customWidth="1"/>
    <col min="34" max="36" width="10.140625" bestFit="1" customWidth="1"/>
  </cols>
  <sheetData>
    <row r="2" spans="1:37" x14ac:dyDescent="0.25">
      <c r="A2" t="s">
        <v>0</v>
      </c>
      <c r="B2" s="94" t="s">
        <v>99</v>
      </c>
      <c r="C2" s="94"/>
      <c r="D2" s="1" t="s">
        <v>1</v>
      </c>
      <c r="E2" s="94" t="s">
        <v>98</v>
      </c>
      <c r="F2" s="94"/>
      <c r="H2" t="s">
        <v>91</v>
      </c>
      <c r="I2" s="75">
        <v>3000</v>
      </c>
    </row>
    <row r="3" spans="1:37" x14ac:dyDescent="0.25">
      <c r="A3" t="s">
        <v>108</v>
      </c>
      <c r="B3" s="83">
        <v>45881</v>
      </c>
      <c r="C3" s="73"/>
      <c r="D3" s="1" t="s">
        <v>1</v>
      </c>
      <c r="E3" s="94" t="s">
        <v>98</v>
      </c>
      <c r="F3" s="94"/>
      <c r="H3" t="s">
        <v>97</v>
      </c>
      <c r="I3" s="75" t="s">
        <v>109</v>
      </c>
    </row>
    <row r="4" spans="1:37" x14ac:dyDescent="0.25">
      <c r="A4" t="s">
        <v>100</v>
      </c>
      <c r="B4" s="108">
        <v>45892</v>
      </c>
      <c r="C4" s="94"/>
      <c r="D4" s="1" t="s">
        <v>1</v>
      </c>
      <c r="E4" s="94" t="s">
        <v>114</v>
      </c>
      <c r="F4" s="94"/>
      <c r="H4" t="s">
        <v>80</v>
      </c>
      <c r="I4" s="70" t="s">
        <v>101</v>
      </c>
    </row>
    <row r="5" spans="1:37" x14ac:dyDescent="0.25">
      <c r="A5" t="s">
        <v>108</v>
      </c>
      <c r="B5" s="108">
        <v>46077</v>
      </c>
      <c r="C5" s="94"/>
      <c r="D5" s="1" t="s">
        <v>1</v>
      </c>
      <c r="E5" s="94" t="s">
        <v>114</v>
      </c>
      <c r="F5" s="94"/>
      <c r="H5" t="s">
        <v>97</v>
      </c>
      <c r="I5" s="75" t="s">
        <v>146</v>
      </c>
    </row>
    <row r="6" spans="1:37" x14ac:dyDescent="0.25">
      <c r="A6" t="s">
        <v>2</v>
      </c>
      <c r="B6" s="95">
        <v>2484</v>
      </c>
      <c r="C6" s="95"/>
      <c r="D6" s="1" t="s">
        <v>29</v>
      </c>
      <c r="E6" s="110">
        <v>45</v>
      </c>
      <c r="F6" s="110"/>
      <c r="H6" t="s">
        <v>70</v>
      </c>
      <c r="I6" s="76">
        <v>45840</v>
      </c>
    </row>
    <row r="9" spans="1:37" ht="21" x14ac:dyDescent="0.35">
      <c r="A9" s="96" t="s">
        <v>28</v>
      </c>
      <c r="B9" s="96"/>
      <c r="C9" s="96"/>
      <c r="D9" s="96"/>
      <c r="E9" s="96"/>
      <c r="F9" s="96"/>
      <c r="G9" s="96"/>
      <c r="H9" s="96"/>
      <c r="J9" s="103" t="s">
        <v>26</v>
      </c>
      <c r="K9" s="103"/>
      <c r="L9" s="103"/>
      <c r="M9" s="103"/>
      <c r="N9" s="103"/>
      <c r="O9" s="103"/>
      <c r="P9" s="103"/>
      <c r="Q9" s="103"/>
      <c r="R9" s="103"/>
      <c r="S9" s="103"/>
      <c r="T9" s="103"/>
      <c r="U9" s="103"/>
      <c r="V9" s="2"/>
      <c r="W9" s="98" t="s">
        <v>25</v>
      </c>
      <c r="X9" s="98"/>
      <c r="Y9" s="98"/>
      <c r="Z9" s="98"/>
      <c r="AA9" s="98"/>
      <c r="AB9" s="98"/>
      <c r="AC9" s="98"/>
      <c r="AD9" s="2"/>
      <c r="AE9" s="98" t="s">
        <v>27</v>
      </c>
      <c r="AF9" s="98"/>
      <c r="AG9" s="98"/>
      <c r="AH9" s="98"/>
      <c r="AI9" s="98"/>
      <c r="AJ9" s="98"/>
      <c r="AK9" s="98"/>
    </row>
    <row r="10" spans="1:37" s="15" customFormat="1" ht="21" x14ac:dyDescent="0.35">
      <c r="A10" s="14"/>
      <c r="B10" s="14"/>
      <c r="C10" s="14"/>
      <c r="D10" s="14"/>
      <c r="E10" s="14"/>
      <c r="F10" s="14"/>
      <c r="G10" s="14"/>
      <c r="H10" s="14"/>
      <c r="J10" s="16"/>
      <c r="K10" s="16"/>
      <c r="L10" s="16"/>
      <c r="M10" s="16"/>
      <c r="N10" s="16"/>
      <c r="O10" s="16"/>
      <c r="P10" s="16"/>
      <c r="Q10" s="16"/>
      <c r="R10" s="16"/>
      <c r="S10" s="16"/>
      <c r="T10" s="16"/>
      <c r="U10" s="16"/>
      <c r="V10" s="17"/>
      <c r="W10" s="18"/>
      <c r="X10" s="18"/>
      <c r="Y10" s="18"/>
      <c r="Z10" s="18"/>
      <c r="AA10" s="18"/>
      <c r="AB10" s="18"/>
      <c r="AC10" s="18"/>
      <c r="AD10" s="17"/>
      <c r="AE10" s="18"/>
      <c r="AF10" s="18"/>
      <c r="AG10" s="18"/>
      <c r="AH10" s="18"/>
      <c r="AI10" s="18"/>
      <c r="AJ10" s="18"/>
      <c r="AK10" s="18"/>
    </row>
    <row r="11" spans="1:37" ht="15.75" thickBot="1" x14ac:dyDescent="0.3">
      <c r="A11" s="19"/>
      <c r="B11" s="99" t="s">
        <v>3</v>
      </c>
      <c r="C11" s="99"/>
      <c r="D11" s="99"/>
      <c r="E11" s="99"/>
      <c r="F11" s="99"/>
      <c r="G11" s="99"/>
      <c r="H11" s="99"/>
      <c r="J11" s="100" t="s">
        <v>3</v>
      </c>
      <c r="K11" s="100"/>
      <c r="L11" s="100"/>
      <c r="M11" s="100"/>
      <c r="N11" s="100"/>
      <c r="O11" s="100"/>
      <c r="P11" s="100"/>
      <c r="Q11" s="100"/>
      <c r="R11" s="100"/>
      <c r="S11" s="100"/>
      <c r="T11" s="100"/>
      <c r="U11" s="100"/>
      <c r="W11" s="101" t="s">
        <v>3</v>
      </c>
      <c r="X11" s="101"/>
      <c r="Y11" s="101"/>
      <c r="Z11" s="101"/>
      <c r="AA11" s="101"/>
      <c r="AB11" s="101"/>
      <c r="AC11" s="101"/>
      <c r="AE11" s="102" t="s">
        <v>3</v>
      </c>
      <c r="AF11" s="102"/>
      <c r="AG11" s="102"/>
      <c r="AH11" s="102"/>
      <c r="AI11" s="102"/>
      <c r="AJ11" s="102"/>
      <c r="AK11" s="102"/>
    </row>
    <row r="12" spans="1:37" ht="15.75" thickBot="1" x14ac:dyDescent="0.3">
      <c r="A12" s="97" t="s">
        <v>5</v>
      </c>
      <c r="B12" s="34" t="s">
        <v>6</v>
      </c>
      <c r="C12" s="22" t="s">
        <v>7</v>
      </c>
      <c r="D12" s="33" t="s">
        <v>8</v>
      </c>
      <c r="E12" s="22" t="s">
        <v>9</v>
      </c>
      <c r="F12" s="24" t="s">
        <v>10</v>
      </c>
      <c r="G12" s="23" t="s">
        <v>11</v>
      </c>
      <c r="H12" s="25" t="s">
        <v>12</v>
      </c>
      <c r="J12" s="28" t="s">
        <v>4</v>
      </c>
      <c r="K12" s="9"/>
      <c r="L12" s="4"/>
      <c r="M12" s="4"/>
      <c r="N12" s="4"/>
      <c r="O12" s="4"/>
      <c r="P12" s="4"/>
      <c r="Q12" s="4"/>
      <c r="R12" s="4"/>
      <c r="S12" s="4"/>
      <c r="T12" s="4"/>
      <c r="U12" s="5"/>
      <c r="W12" s="6" t="s">
        <v>4</v>
      </c>
      <c r="X12" s="9"/>
      <c r="Y12" s="4"/>
      <c r="Z12" s="4"/>
      <c r="AA12" s="4"/>
      <c r="AB12" s="4"/>
      <c r="AC12" s="5"/>
      <c r="AE12" s="6" t="s">
        <v>4</v>
      </c>
      <c r="AF12" s="9"/>
      <c r="AG12" s="4"/>
      <c r="AH12" s="4"/>
      <c r="AI12" s="4"/>
      <c r="AJ12" s="4"/>
      <c r="AK12" s="5"/>
    </row>
    <row r="13" spans="1:37" ht="15.75" thickBot="1" x14ac:dyDescent="0.3">
      <c r="A13" s="97"/>
      <c r="B13" s="26"/>
      <c r="C13" s="27"/>
      <c r="D13" s="27"/>
      <c r="E13" s="27"/>
      <c r="F13" s="27">
        <f>SUM(C13-B13)</f>
        <v>0</v>
      </c>
      <c r="G13" s="20">
        <f>SUM(E13-D13)</f>
        <v>0</v>
      </c>
      <c r="H13" s="21">
        <f>SUM(F13:G13)</f>
        <v>0</v>
      </c>
      <c r="J13" s="29" t="s">
        <v>22</v>
      </c>
      <c r="K13" s="10"/>
      <c r="L13" s="11"/>
      <c r="M13" s="11"/>
      <c r="N13" s="11"/>
      <c r="O13" s="11"/>
      <c r="P13" s="11"/>
      <c r="Q13" s="11"/>
      <c r="R13" s="11"/>
      <c r="S13" s="11"/>
      <c r="T13" s="11"/>
      <c r="U13" s="12"/>
      <c r="W13" s="7" t="s">
        <v>22</v>
      </c>
      <c r="X13" s="10"/>
      <c r="Y13" s="11"/>
      <c r="Z13" s="11"/>
      <c r="AA13" s="11"/>
      <c r="AB13" s="11"/>
      <c r="AC13" s="12"/>
      <c r="AE13" s="7" t="s">
        <v>22</v>
      </c>
      <c r="AF13" s="10"/>
      <c r="AG13" s="11"/>
      <c r="AH13" s="11"/>
      <c r="AI13" s="11"/>
      <c r="AJ13" s="11"/>
      <c r="AK13" s="12"/>
    </row>
    <row r="14" spans="1:37" x14ac:dyDescent="0.25">
      <c r="J14" s="8"/>
      <c r="T14" s="8" t="s">
        <v>23</v>
      </c>
      <c r="U14" s="13">
        <f>SUM(K13:U13)</f>
        <v>0</v>
      </c>
      <c r="AB14" s="8" t="s">
        <v>23</v>
      </c>
      <c r="AC14" s="13">
        <f>SUM(X13:AC13)</f>
        <v>0</v>
      </c>
      <c r="AJ14" s="8" t="s">
        <v>23</v>
      </c>
      <c r="AK14" s="13">
        <f>SUM(AF13:AK13)</f>
        <v>0</v>
      </c>
    </row>
    <row r="15" spans="1:37" ht="15.75" thickBot="1" x14ac:dyDescent="0.3">
      <c r="A15" s="19"/>
      <c r="B15" s="99" t="s">
        <v>13</v>
      </c>
      <c r="C15" s="99"/>
      <c r="D15" s="99"/>
      <c r="E15" s="99"/>
      <c r="F15" s="99"/>
      <c r="G15" s="99"/>
      <c r="H15" s="99"/>
      <c r="J15" s="100" t="s">
        <v>13</v>
      </c>
      <c r="K15" s="100"/>
      <c r="L15" s="100"/>
      <c r="M15" s="100"/>
      <c r="N15" s="100"/>
      <c r="O15" s="100"/>
      <c r="P15" s="100"/>
      <c r="Q15" s="100"/>
      <c r="R15" s="100"/>
      <c r="S15" s="100"/>
      <c r="T15" s="100"/>
      <c r="U15" s="100"/>
      <c r="W15" s="101" t="str">
        <f>J15</f>
        <v>Março</v>
      </c>
      <c r="X15" s="101"/>
      <c r="Y15" s="101"/>
      <c r="Z15" s="101"/>
      <c r="AA15" s="101"/>
      <c r="AB15" s="101"/>
      <c r="AC15" s="101"/>
      <c r="AE15" s="102" t="str">
        <f>W15</f>
        <v>Março</v>
      </c>
      <c r="AF15" s="102"/>
      <c r="AG15" s="102"/>
      <c r="AH15" s="102"/>
      <c r="AI15" s="102"/>
      <c r="AJ15" s="102"/>
      <c r="AK15" s="102"/>
    </row>
    <row r="16" spans="1:37" ht="15.75" thickBot="1" x14ac:dyDescent="0.3">
      <c r="A16" s="97" t="s">
        <v>5</v>
      </c>
      <c r="B16" s="34" t="s">
        <v>6</v>
      </c>
      <c r="C16" s="22" t="s">
        <v>7</v>
      </c>
      <c r="D16" s="33" t="s">
        <v>8</v>
      </c>
      <c r="E16" s="22" t="s">
        <v>9</v>
      </c>
      <c r="F16" s="24" t="s">
        <v>10</v>
      </c>
      <c r="G16" s="23" t="s">
        <v>11</v>
      </c>
      <c r="H16" s="25" t="s">
        <v>12</v>
      </c>
      <c r="J16" s="6" t="s">
        <v>4</v>
      </c>
      <c r="K16" s="9"/>
      <c r="L16" s="66"/>
      <c r="M16" s="66"/>
      <c r="N16" s="4"/>
      <c r="O16" s="4"/>
      <c r="P16" s="4"/>
      <c r="Q16" s="4"/>
      <c r="R16" s="4"/>
      <c r="S16" s="4"/>
      <c r="T16" s="4"/>
      <c r="U16" s="5"/>
      <c r="W16" s="6" t="s">
        <v>4</v>
      </c>
      <c r="X16" s="9"/>
      <c r="Y16" s="4"/>
      <c r="Z16" s="4"/>
      <c r="AA16" s="4"/>
      <c r="AB16" s="4"/>
      <c r="AC16" s="5"/>
      <c r="AE16" s="6" t="s">
        <v>4</v>
      </c>
      <c r="AF16" s="9"/>
      <c r="AG16" s="4"/>
      <c r="AH16" s="4"/>
      <c r="AI16" s="4"/>
      <c r="AJ16" s="4"/>
      <c r="AK16" s="5"/>
    </row>
    <row r="17" spans="1:37" ht="15.75" thickBot="1" x14ac:dyDescent="0.3">
      <c r="A17" s="97"/>
      <c r="B17" s="26"/>
      <c r="C17" s="27"/>
      <c r="D17" s="27"/>
      <c r="E17" s="27"/>
      <c r="F17" s="27">
        <f>SUM(C17-B17)</f>
        <v>0</v>
      </c>
      <c r="G17" s="20">
        <f>SUM(E17-D17)</f>
        <v>0</v>
      </c>
      <c r="H17" s="21">
        <f>SUM(F17:G17)</f>
        <v>0</v>
      </c>
      <c r="J17" s="7" t="s">
        <v>22</v>
      </c>
      <c r="K17" s="10"/>
      <c r="L17" s="11"/>
      <c r="M17" s="11"/>
      <c r="N17" s="11"/>
      <c r="O17" s="11"/>
      <c r="P17" s="11"/>
      <c r="Q17" s="11"/>
      <c r="R17" s="11"/>
      <c r="S17" s="11"/>
      <c r="T17" s="11"/>
      <c r="U17" s="12"/>
      <c r="W17" s="7" t="s">
        <v>22</v>
      </c>
      <c r="X17" s="10"/>
      <c r="Y17" s="11"/>
      <c r="Z17" s="11"/>
      <c r="AA17" s="11"/>
      <c r="AB17" s="11"/>
      <c r="AC17" s="12"/>
      <c r="AE17" s="7" t="s">
        <v>22</v>
      </c>
      <c r="AF17" s="10"/>
      <c r="AG17" s="11"/>
      <c r="AH17" s="11"/>
      <c r="AI17" s="11"/>
      <c r="AJ17" s="11"/>
      <c r="AK17" s="12"/>
    </row>
    <row r="18" spans="1:37" x14ac:dyDescent="0.25">
      <c r="J18" s="8"/>
      <c r="T18" s="8" t="s">
        <v>23</v>
      </c>
      <c r="U18" s="13">
        <f>SUM(K17:U17)</f>
        <v>0</v>
      </c>
      <c r="AB18" s="8" t="s">
        <v>23</v>
      </c>
      <c r="AC18" s="13">
        <f>SUM(X17:AC17)</f>
        <v>0</v>
      </c>
      <c r="AJ18" s="8" t="s">
        <v>23</v>
      </c>
      <c r="AK18" s="13">
        <f>SUM(AF17:AK17)</f>
        <v>0</v>
      </c>
    </row>
    <row r="19" spans="1:37" ht="15.75" thickBot="1" x14ac:dyDescent="0.3">
      <c r="A19" s="19"/>
      <c r="B19" s="99" t="s">
        <v>14</v>
      </c>
      <c r="C19" s="99"/>
      <c r="D19" s="99"/>
      <c r="E19" s="99"/>
      <c r="F19" s="99"/>
      <c r="G19" s="99"/>
      <c r="H19" s="99"/>
      <c r="J19" s="100" t="s">
        <v>14</v>
      </c>
      <c r="K19" s="100"/>
      <c r="L19" s="100"/>
      <c r="M19" s="100"/>
      <c r="N19" s="100"/>
      <c r="O19" s="100"/>
      <c r="P19" s="100"/>
      <c r="Q19" s="100"/>
      <c r="R19" s="100"/>
      <c r="S19" s="100"/>
      <c r="T19" s="100"/>
      <c r="U19" s="100"/>
      <c r="W19" s="101" t="str">
        <f>J19</f>
        <v>Abril</v>
      </c>
      <c r="X19" s="101"/>
      <c r="Y19" s="101"/>
      <c r="Z19" s="101"/>
      <c r="AA19" s="101"/>
      <c r="AB19" s="101"/>
      <c r="AC19" s="101"/>
      <c r="AE19" s="102" t="str">
        <f>W19</f>
        <v>Abril</v>
      </c>
      <c r="AF19" s="102"/>
      <c r="AG19" s="102"/>
      <c r="AH19" s="102"/>
      <c r="AI19" s="102"/>
      <c r="AJ19" s="102"/>
      <c r="AK19" s="102"/>
    </row>
    <row r="20" spans="1:37" ht="15.75" thickBot="1" x14ac:dyDescent="0.3">
      <c r="A20" s="97" t="s">
        <v>5</v>
      </c>
      <c r="B20" s="34" t="s">
        <v>6</v>
      </c>
      <c r="C20" s="22" t="s">
        <v>7</v>
      </c>
      <c r="D20" s="33" t="s">
        <v>8</v>
      </c>
      <c r="E20" s="22" t="s">
        <v>9</v>
      </c>
      <c r="F20" s="24" t="s">
        <v>10</v>
      </c>
      <c r="G20" s="23" t="s">
        <v>11</v>
      </c>
      <c r="H20" s="25" t="s">
        <v>12</v>
      </c>
      <c r="J20" s="6" t="s">
        <v>4</v>
      </c>
      <c r="K20" s="9"/>
      <c r="L20" s="4"/>
      <c r="M20" s="4"/>
      <c r="N20" s="4"/>
      <c r="O20" s="4"/>
      <c r="P20" s="4"/>
      <c r="Q20" s="4"/>
      <c r="R20" s="4"/>
      <c r="S20" s="4"/>
      <c r="T20" s="4"/>
      <c r="U20" s="5"/>
      <c r="W20" s="6" t="s">
        <v>4</v>
      </c>
      <c r="X20" s="9"/>
      <c r="Y20" s="4"/>
      <c r="Z20" s="4"/>
      <c r="AA20" s="4"/>
      <c r="AB20" s="4"/>
      <c r="AC20" s="5"/>
      <c r="AE20" s="6" t="s">
        <v>4</v>
      </c>
      <c r="AF20" s="9"/>
      <c r="AG20" s="4"/>
      <c r="AH20" s="4"/>
      <c r="AI20" s="4"/>
      <c r="AJ20" s="4"/>
      <c r="AK20" s="5"/>
    </row>
    <row r="21" spans="1:37" ht="15.75" thickBot="1" x14ac:dyDescent="0.3">
      <c r="A21" s="97"/>
      <c r="B21" s="26"/>
      <c r="C21" s="27"/>
      <c r="D21" s="27"/>
      <c r="E21" s="27"/>
      <c r="F21" s="27">
        <f>SUM(C21-B21)</f>
        <v>0</v>
      </c>
      <c r="G21" s="20">
        <f>SUM(E21-D21)</f>
        <v>0</v>
      </c>
      <c r="H21" s="21">
        <f>SUM(F21:G21)</f>
        <v>0</v>
      </c>
      <c r="J21" s="7" t="s">
        <v>22</v>
      </c>
      <c r="K21" s="30"/>
      <c r="L21" s="31"/>
      <c r="M21" s="31"/>
      <c r="N21" s="31"/>
      <c r="O21" s="31"/>
      <c r="P21" s="31"/>
      <c r="Q21" s="31"/>
      <c r="R21" s="31"/>
      <c r="S21" s="31"/>
      <c r="T21" s="31"/>
      <c r="U21" s="32"/>
      <c r="W21" s="7" t="s">
        <v>22</v>
      </c>
      <c r="X21" s="10"/>
      <c r="Y21" s="11"/>
      <c r="Z21" s="11"/>
      <c r="AA21" s="11"/>
      <c r="AB21" s="11"/>
      <c r="AC21" s="12"/>
      <c r="AE21" s="7" t="s">
        <v>22</v>
      </c>
      <c r="AF21" s="10"/>
      <c r="AG21" s="11"/>
      <c r="AH21" s="11"/>
      <c r="AI21" s="11"/>
      <c r="AJ21" s="11"/>
      <c r="AK21" s="12"/>
    </row>
    <row r="22" spans="1:37" x14ac:dyDescent="0.25">
      <c r="J22" s="8"/>
      <c r="T22" s="8" t="s">
        <v>23</v>
      </c>
      <c r="U22" s="13">
        <f>SUM(K21:U21)</f>
        <v>0</v>
      </c>
      <c r="AB22" s="8" t="s">
        <v>23</v>
      </c>
      <c r="AC22" s="13">
        <f>SUM(X21:AC21)</f>
        <v>0</v>
      </c>
      <c r="AJ22" s="8" t="s">
        <v>23</v>
      </c>
      <c r="AK22" s="13">
        <f>SUM(AF21:AK21)</f>
        <v>0</v>
      </c>
    </row>
    <row r="23" spans="1:37" ht="15.75" thickBot="1" x14ac:dyDescent="0.3">
      <c r="A23" s="19"/>
      <c r="B23" s="99" t="s">
        <v>15</v>
      </c>
      <c r="C23" s="99"/>
      <c r="D23" s="99"/>
      <c r="E23" s="99"/>
      <c r="F23" s="99"/>
      <c r="G23" s="99"/>
      <c r="H23" s="99"/>
      <c r="J23" s="100" t="s">
        <v>15</v>
      </c>
      <c r="K23" s="100"/>
      <c r="L23" s="100"/>
      <c r="M23" s="100"/>
      <c r="N23" s="100"/>
      <c r="O23" s="100"/>
      <c r="P23" s="100"/>
      <c r="Q23" s="100"/>
      <c r="R23" s="100"/>
      <c r="S23" s="100"/>
      <c r="T23" s="100"/>
      <c r="U23" s="100"/>
      <c r="W23" s="101" t="str">
        <f>J23</f>
        <v>Maio</v>
      </c>
      <c r="X23" s="101"/>
      <c r="Y23" s="101"/>
      <c r="Z23" s="101"/>
      <c r="AA23" s="101"/>
      <c r="AB23" s="101"/>
      <c r="AC23" s="101"/>
      <c r="AE23" s="102" t="str">
        <f>W23</f>
        <v>Maio</v>
      </c>
      <c r="AF23" s="102"/>
      <c r="AG23" s="102"/>
      <c r="AH23" s="102"/>
      <c r="AI23" s="102"/>
      <c r="AJ23" s="102"/>
      <c r="AK23" s="102"/>
    </row>
    <row r="24" spans="1:37" ht="15.75" thickBot="1" x14ac:dyDescent="0.3">
      <c r="A24" s="97" t="s">
        <v>5</v>
      </c>
      <c r="B24" s="34" t="s">
        <v>6</v>
      </c>
      <c r="C24" s="22" t="s">
        <v>7</v>
      </c>
      <c r="D24" s="33" t="s">
        <v>8</v>
      </c>
      <c r="E24" s="22" t="s">
        <v>9</v>
      </c>
      <c r="F24" s="24" t="s">
        <v>10</v>
      </c>
      <c r="G24" s="23" t="s">
        <v>11</v>
      </c>
      <c r="H24" s="25" t="s">
        <v>12</v>
      </c>
      <c r="J24" s="6" t="s">
        <v>4</v>
      </c>
      <c r="K24" s="9"/>
      <c r="L24" s="4"/>
      <c r="M24" s="4"/>
      <c r="N24" s="4"/>
      <c r="O24" s="4"/>
      <c r="P24" s="4"/>
      <c r="Q24" s="4"/>
      <c r="R24" s="4"/>
      <c r="S24" s="4"/>
      <c r="T24" s="4"/>
      <c r="U24" s="5"/>
      <c r="W24" s="6" t="s">
        <v>4</v>
      </c>
      <c r="X24" s="9"/>
      <c r="Y24" s="4"/>
      <c r="Z24" s="4"/>
      <c r="AA24" s="4"/>
      <c r="AB24" s="4"/>
      <c r="AC24" s="5"/>
      <c r="AE24" s="6" t="s">
        <v>4</v>
      </c>
      <c r="AF24" s="9"/>
      <c r="AG24" s="4"/>
      <c r="AH24" s="4"/>
      <c r="AI24" s="4"/>
      <c r="AJ24" s="4"/>
      <c r="AK24" s="5"/>
    </row>
    <row r="25" spans="1:37" ht="15.75" thickBot="1" x14ac:dyDescent="0.3">
      <c r="A25" s="97"/>
      <c r="B25" s="26"/>
      <c r="C25" s="27"/>
      <c r="D25" s="27"/>
      <c r="E25" s="27"/>
      <c r="F25" s="27">
        <f>SUM(C25-B25)</f>
        <v>0</v>
      </c>
      <c r="G25" s="20">
        <f>SUM(E25-D25)</f>
        <v>0</v>
      </c>
      <c r="H25" s="21">
        <f>SUM(F25:G25)</f>
        <v>0</v>
      </c>
      <c r="J25" s="7" t="s">
        <v>22</v>
      </c>
      <c r="K25" s="10"/>
      <c r="L25" s="11"/>
      <c r="M25" s="11"/>
      <c r="N25" s="11"/>
      <c r="O25" s="11"/>
      <c r="P25" s="11"/>
      <c r="Q25" s="11"/>
      <c r="R25" s="11"/>
      <c r="S25" s="11"/>
      <c r="T25" s="11"/>
      <c r="U25" s="12"/>
      <c r="W25" s="7" t="s">
        <v>22</v>
      </c>
      <c r="X25" s="10"/>
      <c r="Y25" s="11"/>
      <c r="Z25" s="11"/>
      <c r="AA25" s="11"/>
      <c r="AB25" s="11"/>
      <c r="AC25" s="12"/>
      <c r="AE25" s="7" t="s">
        <v>22</v>
      </c>
      <c r="AF25" s="10"/>
      <c r="AG25" s="11"/>
      <c r="AH25" s="11"/>
      <c r="AI25" s="11"/>
      <c r="AJ25" s="11"/>
      <c r="AK25" s="12"/>
    </row>
    <row r="26" spans="1:37" x14ac:dyDescent="0.25">
      <c r="J26" s="8"/>
      <c r="T26" s="8" t="s">
        <v>23</v>
      </c>
      <c r="U26" s="13">
        <f>SUM(K25:U25)</f>
        <v>0</v>
      </c>
      <c r="AB26" s="8" t="s">
        <v>23</v>
      </c>
      <c r="AC26" s="13">
        <f>SUM(X25:AC25)</f>
        <v>0</v>
      </c>
      <c r="AJ26" s="8" t="s">
        <v>23</v>
      </c>
      <c r="AK26" s="13">
        <f>SUM(AF25:AK25)</f>
        <v>0</v>
      </c>
    </row>
    <row r="27" spans="1:37" ht="15.75" thickBot="1" x14ac:dyDescent="0.3">
      <c r="A27" s="19"/>
      <c r="B27" s="99" t="s">
        <v>24</v>
      </c>
      <c r="C27" s="99"/>
      <c r="D27" s="99"/>
      <c r="E27" s="99"/>
      <c r="F27" s="99"/>
      <c r="G27" s="99"/>
      <c r="H27" s="99"/>
      <c r="J27" s="100" t="s">
        <v>24</v>
      </c>
      <c r="K27" s="100"/>
      <c r="L27" s="100"/>
      <c r="M27" s="100"/>
      <c r="N27" s="100"/>
      <c r="O27" s="100"/>
      <c r="P27" s="100"/>
      <c r="Q27" s="100"/>
      <c r="R27" s="100"/>
      <c r="S27" s="100"/>
      <c r="T27" s="100"/>
      <c r="U27" s="100"/>
      <c r="W27" s="101" t="str">
        <f>J27</f>
        <v>Junho</v>
      </c>
      <c r="X27" s="101"/>
      <c r="Y27" s="101"/>
      <c r="Z27" s="101"/>
      <c r="AA27" s="101"/>
      <c r="AB27" s="101"/>
      <c r="AC27" s="101"/>
      <c r="AE27" s="102" t="str">
        <f>W27</f>
        <v>Junho</v>
      </c>
      <c r="AF27" s="102"/>
      <c r="AG27" s="102"/>
      <c r="AH27" s="102"/>
      <c r="AI27" s="102"/>
      <c r="AJ27" s="102"/>
      <c r="AK27" s="102"/>
    </row>
    <row r="28" spans="1:37" ht="15.75" thickBot="1" x14ac:dyDescent="0.3">
      <c r="A28" s="97" t="s">
        <v>5</v>
      </c>
      <c r="B28" s="34" t="s">
        <v>6</v>
      </c>
      <c r="C28" s="22" t="s">
        <v>7</v>
      </c>
      <c r="D28" s="33" t="s">
        <v>8</v>
      </c>
      <c r="E28" s="22" t="s">
        <v>9</v>
      </c>
      <c r="F28" s="24" t="s">
        <v>10</v>
      </c>
      <c r="G28" s="23" t="s">
        <v>11</v>
      </c>
      <c r="H28" s="25" t="s">
        <v>12</v>
      </c>
      <c r="J28" s="6" t="s">
        <v>4</v>
      </c>
      <c r="K28" s="9"/>
      <c r="L28" s="4"/>
      <c r="M28" s="4"/>
      <c r="N28" s="4"/>
      <c r="O28" s="4"/>
      <c r="P28" s="4"/>
      <c r="Q28" s="4"/>
      <c r="R28" s="4"/>
      <c r="S28" s="4"/>
      <c r="T28" s="4"/>
      <c r="U28" s="5"/>
      <c r="W28" s="6" t="s">
        <v>4</v>
      </c>
      <c r="X28" s="9"/>
      <c r="Y28" s="4"/>
      <c r="Z28" s="4"/>
      <c r="AA28" s="4"/>
      <c r="AB28" s="4"/>
      <c r="AC28" s="5"/>
      <c r="AE28" s="6" t="s">
        <v>4</v>
      </c>
      <c r="AF28" s="9"/>
      <c r="AG28" s="4"/>
      <c r="AH28" s="4"/>
      <c r="AI28" s="4"/>
      <c r="AJ28" s="4"/>
      <c r="AK28" s="5"/>
    </row>
    <row r="29" spans="1:37" ht="15.75" thickBot="1" x14ac:dyDescent="0.3">
      <c r="A29" s="97"/>
      <c r="B29" s="26"/>
      <c r="C29" s="27"/>
      <c r="D29" s="27"/>
      <c r="E29" s="27"/>
      <c r="F29" s="27">
        <f>SUM(C29-B29)</f>
        <v>0</v>
      </c>
      <c r="G29" s="20">
        <f>SUM(E29-D29)</f>
        <v>0</v>
      </c>
      <c r="H29" s="21">
        <f>SUM(F29:G29)</f>
        <v>0</v>
      </c>
      <c r="J29" s="7" t="s">
        <v>22</v>
      </c>
      <c r="K29" s="10"/>
      <c r="L29" s="11"/>
      <c r="M29" s="11"/>
      <c r="N29" s="11"/>
      <c r="O29" s="11"/>
      <c r="P29" s="11"/>
      <c r="Q29" s="11"/>
      <c r="R29" s="11"/>
      <c r="S29" s="11"/>
      <c r="T29" s="11"/>
      <c r="U29" s="12"/>
      <c r="W29" s="7" t="s">
        <v>22</v>
      </c>
      <c r="X29" s="10"/>
      <c r="Y29" s="11"/>
      <c r="Z29" s="11"/>
      <c r="AA29" s="11"/>
      <c r="AB29" s="11"/>
      <c r="AC29" s="12"/>
      <c r="AE29" s="7" t="s">
        <v>22</v>
      </c>
      <c r="AF29" s="10"/>
      <c r="AG29" s="11"/>
      <c r="AH29" s="11"/>
      <c r="AI29" s="11"/>
      <c r="AJ29" s="11"/>
      <c r="AK29" s="12"/>
    </row>
    <row r="30" spans="1:37" x14ac:dyDescent="0.25">
      <c r="J30" s="8"/>
      <c r="T30" s="8" t="s">
        <v>23</v>
      </c>
      <c r="U30" s="13">
        <f>SUM(K29:U29)</f>
        <v>0</v>
      </c>
      <c r="AB30" s="8" t="s">
        <v>23</v>
      </c>
      <c r="AC30" s="13">
        <f>SUM(X29:AC29)</f>
        <v>0</v>
      </c>
      <c r="AJ30" s="8" t="s">
        <v>23</v>
      </c>
      <c r="AK30" s="13">
        <f>SUM(AF29:AK29)</f>
        <v>0</v>
      </c>
    </row>
    <row r="31" spans="1:37" ht="15.75" thickBot="1" x14ac:dyDescent="0.3">
      <c r="A31" s="19"/>
      <c r="B31" s="99" t="s">
        <v>16</v>
      </c>
      <c r="C31" s="99"/>
      <c r="D31" s="99"/>
      <c r="E31" s="99"/>
      <c r="F31" s="99"/>
      <c r="G31" s="99"/>
      <c r="H31" s="99"/>
      <c r="J31" s="100" t="s">
        <v>16</v>
      </c>
      <c r="K31" s="100"/>
      <c r="L31" s="100"/>
      <c r="M31" s="100"/>
      <c r="N31" s="100"/>
      <c r="O31" s="100"/>
      <c r="P31" s="100"/>
      <c r="Q31" s="100"/>
      <c r="R31" s="100"/>
      <c r="S31" s="100"/>
      <c r="T31" s="100"/>
      <c r="U31" s="100"/>
      <c r="W31" s="101" t="str">
        <f>J31</f>
        <v>Julho</v>
      </c>
      <c r="X31" s="101"/>
      <c r="Y31" s="101"/>
      <c r="Z31" s="101"/>
      <c r="AA31" s="101"/>
      <c r="AB31" s="101"/>
      <c r="AC31" s="101"/>
      <c r="AE31" s="102" t="str">
        <f>W31</f>
        <v>Julho</v>
      </c>
      <c r="AF31" s="102"/>
      <c r="AG31" s="102"/>
      <c r="AH31" s="102"/>
      <c r="AI31" s="102"/>
      <c r="AJ31" s="102"/>
      <c r="AK31" s="102"/>
    </row>
    <row r="32" spans="1:37" ht="15.75" thickBot="1" x14ac:dyDescent="0.3">
      <c r="A32" s="97" t="s">
        <v>5</v>
      </c>
      <c r="B32" s="34" t="s">
        <v>6</v>
      </c>
      <c r="C32" s="22" t="s">
        <v>7</v>
      </c>
      <c r="D32" s="33" t="s">
        <v>8</v>
      </c>
      <c r="E32" s="22" t="s">
        <v>9</v>
      </c>
      <c r="F32" s="24" t="s">
        <v>10</v>
      </c>
      <c r="G32" s="23" t="s">
        <v>11</v>
      </c>
      <c r="H32" s="25" t="s">
        <v>12</v>
      </c>
      <c r="J32" s="6" t="s">
        <v>4</v>
      </c>
      <c r="K32" s="9">
        <v>45841</v>
      </c>
      <c r="L32" s="66">
        <v>45853</v>
      </c>
      <c r="M32" s="66">
        <v>45855</v>
      </c>
      <c r="N32" s="66">
        <v>45860</v>
      </c>
      <c r="O32" s="66">
        <v>45862</v>
      </c>
      <c r="P32" s="66">
        <v>45869</v>
      </c>
      <c r="Q32" s="4"/>
      <c r="R32" s="4"/>
      <c r="S32" s="4"/>
      <c r="T32" s="4"/>
      <c r="U32" s="5"/>
      <c r="W32" s="6" t="s">
        <v>4</v>
      </c>
      <c r="X32" s="9"/>
      <c r="Y32" s="4"/>
      <c r="Z32" s="4"/>
      <c r="AA32" s="4"/>
      <c r="AB32" s="4"/>
      <c r="AC32" s="5"/>
      <c r="AE32" s="6" t="s">
        <v>4</v>
      </c>
      <c r="AF32" s="9"/>
      <c r="AG32" s="4"/>
      <c r="AH32" s="4"/>
      <c r="AI32" s="4"/>
      <c r="AJ32" s="4"/>
      <c r="AK32" s="5"/>
    </row>
    <row r="33" spans="1:37" ht="15.75" thickBot="1" x14ac:dyDescent="0.3">
      <c r="A33" s="97"/>
      <c r="B33" s="26">
        <v>26496</v>
      </c>
      <c r="C33" s="27">
        <v>27202</v>
      </c>
      <c r="D33" s="27">
        <v>27202</v>
      </c>
      <c r="E33" s="27">
        <v>28256</v>
      </c>
      <c r="F33" s="27">
        <f>SUM(C33-B33)</f>
        <v>706</v>
      </c>
      <c r="G33" s="20">
        <f>SUM(E33-D33)</f>
        <v>1054</v>
      </c>
      <c r="H33" s="21">
        <f>SUM(F33:G33)</f>
        <v>1760</v>
      </c>
      <c r="J33" s="7" t="s">
        <v>22</v>
      </c>
      <c r="K33" s="10">
        <v>169.98</v>
      </c>
      <c r="L33" s="11">
        <v>158.26</v>
      </c>
      <c r="M33" s="11">
        <v>135.71</v>
      </c>
      <c r="N33" s="11">
        <v>162.81</v>
      </c>
      <c r="O33" s="11">
        <v>104</v>
      </c>
      <c r="P33" s="11">
        <v>59.84</v>
      </c>
      <c r="Q33" s="11"/>
      <c r="R33" s="11"/>
      <c r="S33" s="11"/>
      <c r="T33" s="11"/>
      <c r="U33" s="12"/>
      <c r="W33" s="7" t="s">
        <v>22</v>
      </c>
      <c r="X33" s="10"/>
      <c r="Y33" s="11"/>
      <c r="Z33" s="11"/>
      <c r="AA33" s="11"/>
      <c r="AB33" s="11"/>
      <c r="AC33" s="12"/>
      <c r="AE33" s="7" t="s">
        <v>22</v>
      </c>
      <c r="AF33" s="10"/>
      <c r="AG33" s="11"/>
      <c r="AH33" s="11"/>
      <c r="AI33" s="11"/>
      <c r="AJ33" s="11"/>
      <c r="AK33" s="12"/>
    </row>
    <row r="34" spans="1:37" x14ac:dyDescent="0.25">
      <c r="J34" s="8"/>
      <c r="T34" s="8" t="s">
        <v>23</v>
      </c>
      <c r="U34" s="13">
        <f>SUM(K33:U33)</f>
        <v>790.6</v>
      </c>
      <c r="AB34" s="8" t="s">
        <v>23</v>
      </c>
      <c r="AC34" s="13">
        <f>SUM(X33:AC33)</f>
        <v>0</v>
      </c>
      <c r="AJ34" s="8" t="s">
        <v>23</v>
      </c>
      <c r="AK34" s="13">
        <f>SUM(AF33:AK33)</f>
        <v>0</v>
      </c>
    </row>
    <row r="35" spans="1:37" ht="15.75" thickBot="1" x14ac:dyDescent="0.3">
      <c r="A35" s="87" t="s">
        <v>116</v>
      </c>
      <c r="B35" s="99" t="s">
        <v>17</v>
      </c>
      <c r="C35" s="99"/>
      <c r="D35" s="99"/>
      <c r="E35" s="99"/>
      <c r="F35" s="99"/>
      <c r="G35" s="99"/>
      <c r="H35" s="99"/>
      <c r="J35" s="100" t="s">
        <v>17</v>
      </c>
      <c r="K35" s="100"/>
      <c r="L35" s="100"/>
      <c r="M35" s="100"/>
      <c r="N35" s="100"/>
      <c r="O35" s="100"/>
      <c r="P35" s="100"/>
      <c r="Q35" s="100"/>
      <c r="R35" s="100"/>
      <c r="S35" s="100"/>
      <c r="T35" s="100"/>
      <c r="U35" s="100"/>
      <c r="W35" s="101" t="str">
        <f>J35</f>
        <v>Agosto</v>
      </c>
      <c r="X35" s="101"/>
      <c r="Y35" s="101"/>
      <c r="Z35" s="101"/>
      <c r="AA35" s="101"/>
      <c r="AB35" s="101"/>
      <c r="AC35" s="101"/>
      <c r="AE35" s="102" t="str">
        <f>W35</f>
        <v>Agosto</v>
      </c>
      <c r="AF35" s="102"/>
      <c r="AG35" s="102"/>
      <c r="AH35" s="102"/>
      <c r="AI35" s="102"/>
      <c r="AJ35" s="102"/>
      <c r="AK35" s="102"/>
    </row>
    <row r="36" spans="1:37" ht="15.75" thickBot="1" x14ac:dyDescent="0.3">
      <c r="A36" s="97" t="s">
        <v>5</v>
      </c>
      <c r="B36" s="34" t="s">
        <v>6</v>
      </c>
      <c r="C36" s="22" t="s">
        <v>7</v>
      </c>
      <c r="D36" s="33" t="s">
        <v>8</v>
      </c>
      <c r="E36" s="22" t="s">
        <v>9</v>
      </c>
      <c r="F36" s="24" t="s">
        <v>10</v>
      </c>
      <c r="G36" s="23" t="s">
        <v>11</v>
      </c>
      <c r="H36" s="25" t="s">
        <v>12</v>
      </c>
      <c r="J36" s="6" t="s">
        <v>4</v>
      </c>
      <c r="K36" s="9">
        <v>45874</v>
      </c>
      <c r="L36" s="66">
        <v>45881</v>
      </c>
      <c r="M36" s="66">
        <v>45883</v>
      </c>
      <c r="N36" s="66">
        <v>45888</v>
      </c>
      <c r="O36" s="66">
        <v>45890</v>
      </c>
      <c r="P36" s="66">
        <v>45892</v>
      </c>
      <c r="Q36" s="4"/>
      <c r="R36" s="4"/>
      <c r="S36" s="4"/>
      <c r="T36" s="4"/>
      <c r="U36" s="5"/>
      <c r="W36" s="6" t="s">
        <v>4</v>
      </c>
      <c r="X36" s="9"/>
      <c r="Y36" s="66">
        <v>45887</v>
      </c>
      <c r="Z36" s="4"/>
      <c r="AA36" s="4"/>
      <c r="AB36" s="4"/>
      <c r="AC36" s="5"/>
      <c r="AE36" s="6" t="s">
        <v>4</v>
      </c>
      <c r="AF36" s="9"/>
      <c r="AG36" s="4"/>
      <c r="AH36" s="4"/>
      <c r="AI36" s="4"/>
      <c r="AJ36" s="4"/>
      <c r="AK36" s="5"/>
    </row>
    <row r="37" spans="1:37" ht="15.75" thickBot="1" x14ac:dyDescent="0.3">
      <c r="A37" s="97"/>
      <c r="B37" s="27">
        <v>28256</v>
      </c>
      <c r="C37" s="27">
        <v>29483</v>
      </c>
      <c r="D37" s="27">
        <v>29483</v>
      </c>
      <c r="E37" s="27">
        <v>30493</v>
      </c>
      <c r="F37" s="27">
        <f>SUM(C37-B37)</f>
        <v>1227</v>
      </c>
      <c r="G37" s="20">
        <f>SUM(E37-D37)</f>
        <v>1010</v>
      </c>
      <c r="H37" s="21">
        <f>SUM(F37:G37)</f>
        <v>2237</v>
      </c>
      <c r="J37" s="7" t="s">
        <v>22</v>
      </c>
      <c r="K37" s="10">
        <v>164.66</v>
      </c>
      <c r="L37" s="11">
        <v>184.96</v>
      </c>
      <c r="M37" s="11">
        <v>179.02</v>
      </c>
      <c r="N37" s="11">
        <v>236.04</v>
      </c>
      <c r="O37" s="11">
        <v>113.74</v>
      </c>
      <c r="P37" s="11">
        <v>161.28</v>
      </c>
      <c r="Q37" s="11"/>
      <c r="R37" s="11"/>
      <c r="S37" s="11"/>
      <c r="T37" s="11"/>
      <c r="U37" s="12"/>
      <c r="W37" s="7" t="s">
        <v>22</v>
      </c>
      <c r="X37" s="10"/>
      <c r="Y37" s="11">
        <v>40</v>
      </c>
      <c r="Z37" s="11"/>
      <c r="AA37" s="11"/>
      <c r="AB37" s="11"/>
      <c r="AC37" s="12"/>
      <c r="AE37" s="7" t="s">
        <v>22</v>
      </c>
      <c r="AF37" s="10"/>
      <c r="AG37" s="11"/>
      <c r="AH37" s="11"/>
      <c r="AI37" s="11"/>
      <c r="AJ37" s="11"/>
      <c r="AK37" s="12"/>
    </row>
    <row r="38" spans="1:37" x14ac:dyDescent="0.25">
      <c r="J38" s="8"/>
      <c r="T38" s="8" t="s">
        <v>23</v>
      </c>
      <c r="U38" s="13">
        <f>SUM(K37:U37)</f>
        <v>1039.7</v>
      </c>
      <c r="AB38" s="8" t="s">
        <v>23</v>
      </c>
      <c r="AC38" s="13">
        <f>SUM(X37:AC37)</f>
        <v>40</v>
      </c>
      <c r="AJ38" s="8" t="s">
        <v>23</v>
      </c>
      <c r="AK38" s="13">
        <f>SUM(AF37:AK37)</f>
        <v>0</v>
      </c>
    </row>
    <row r="39" spans="1:37" ht="15.75" thickBot="1" x14ac:dyDescent="0.3">
      <c r="A39" s="87" t="s">
        <v>115</v>
      </c>
      <c r="B39" s="99" t="s">
        <v>17</v>
      </c>
      <c r="C39" s="99"/>
      <c r="D39" s="99"/>
      <c r="E39" s="99"/>
      <c r="F39" s="99"/>
      <c r="G39" s="99"/>
      <c r="H39" s="99"/>
      <c r="J39" s="100" t="s">
        <v>17</v>
      </c>
      <c r="K39" s="100"/>
      <c r="L39" s="100"/>
      <c r="M39" s="100"/>
      <c r="N39" s="100"/>
      <c r="O39" s="100"/>
      <c r="P39" s="100"/>
      <c r="Q39" s="100"/>
      <c r="R39" s="100"/>
      <c r="S39" s="100"/>
      <c r="T39" s="100"/>
      <c r="U39" s="100"/>
      <c r="W39" s="101" t="str">
        <f>J39</f>
        <v>Agosto</v>
      </c>
      <c r="X39" s="101"/>
      <c r="Y39" s="101"/>
      <c r="Z39" s="101"/>
      <c r="AA39" s="101"/>
      <c r="AB39" s="101"/>
      <c r="AC39" s="101"/>
      <c r="AE39" s="102" t="str">
        <f>W39</f>
        <v>Agosto</v>
      </c>
      <c r="AF39" s="102"/>
      <c r="AG39" s="102"/>
      <c r="AH39" s="102"/>
      <c r="AI39" s="102"/>
      <c r="AJ39" s="102"/>
      <c r="AK39" s="102"/>
    </row>
    <row r="40" spans="1:37" ht="15.75" thickBot="1" x14ac:dyDescent="0.3">
      <c r="A40" s="97" t="s">
        <v>5</v>
      </c>
      <c r="B40" s="34" t="s">
        <v>6</v>
      </c>
      <c r="C40" s="22" t="s">
        <v>7</v>
      </c>
      <c r="D40" s="33" t="s">
        <v>8</v>
      </c>
      <c r="E40" s="22" t="s">
        <v>9</v>
      </c>
      <c r="F40" s="24" t="s">
        <v>10</v>
      </c>
      <c r="G40" s="23" t="s">
        <v>11</v>
      </c>
      <c r="H40" s="25" t="s">
        <v>12</v>
      </c>
      <c r="J40" s="6" t="s">
        <v>4</v>
      </c>
      <c r="K40" s="9">
        <v>45895</v>
      </c>
      <c r="L40" s="66">
        <v>45898</v>
      </c>
      <c r="M40" s="66"/>
      <c r="N40" s="4"/>
      <c r="O40" s="4"/>
      <c r="P40" s="4"/>
      <c r="Q40" s="4"/>
      <c r="R40" s="4"/>
      <c r="S40" s="4"/>
      <c r="T40" s="4"/>
      <c r="U40" s="5"/>
      <c r="W40" s="6" t="s">
        <v>4</v>
      </c>
      <c r="X40" s="9"/>
      <c r="Y40" s="66">
        <v>45887</v>
      </c>
      <c r="Z40" s="4"/>
      <c r="AA40" s="4"/>
      <c r="AB40" s="4"/>
      <c r="AC40" s="5"/>
      <c r="AE40" s="6" t="s">
        <v>4</v>
      </c>
      <c r="AF40" s="9"/>
      <c r="AG40" s="4"/>
      <c r="AH40" s="4"/>
      <c r="AI40" s="4"/>
      <c r="AJ40" s="4"/>
      <c r="AK40" s="5"/>
    </row>
    <row r="41" spans="1:37" ht="15.75" thickBot="1" x14ac:dyDescent="0.3">
      <c r="A41" s="97"/>
      <c r="B41" s="27"/>
      <c r="C41" s="27"/>
      <c r="D41" s="27">
        <v>11</v>
      </c>
      <c r="E41" s="27">
        <v>763</v>
      </c>
      <c r="F41" s="27">
        <f>SUM(C41-B41)</f>
        <v>0</v>
      </c>
      <c r="G41" s="20">
        <f>SUM(E41-D41)</f>
        <v>752</v>
      </c>
      <c r="H41" s="21">
        <f>SUM(F41:G41)</f>
        <v>752</v>
      </c>
      <c r="J41" s="7" t="s">
        <v>22</v>
      </c>
      <c r="K41" s="10">
        <v>202.35</v>
      </c>
      <c r="L41" s="11">
        <v>219</v>
      </c>
      <c r="M41" s="11"/>
      <c r="N41" s="11"/>
      <c r="O41" s="11"/>
      <c r="P41" s="11"/>
      <c r="Q41" s="11"/>
      <c r="R41" s="11"/>
      <c r="S41" s="11"/>
      <c r="T41" s="11"/>
      <c r="U41" s="12"/>
      <c r="W41" s="7" t="s">
        <v>22</v>
      </c>
      <c r="X41" s="10"/>
      <c r="Y41" s="11">
        <v>40</v>
      </c>
      <c r="Z41" s="11"/>
      <c r="AA41" s="11"/>
      <c r="AB41" s="11"/>
      <c r="AC41" s="12"/>
      <c r="AE41" s="7" t="s">
        <v>22</v>
      </c>
      <c r="AF41" s="10"/>
      <c r="AG41" s="11"/>
      <c r="AH41" s="11"/>
      <c r="AI41" s="11"/>
      <c r="AJ41" s="11"/>
      <c r="AK41" s="12"/>
    </row>
    <row r="42" spans="1:37" x14ac:dyDescent="0.25">
      <c r="J42" s="8"/>
      <c r="T42" s="8" t="s">
        <v>23</v>
      </c>
      <c r="U42" s="13">
        <f>SUM(K41:U41)</f>
        <v>421.35</v>
      </c>
      <c r="AB42" s="8" t="s">
        <v>23</v>
      </c>
      <c r="AC42" s="13">
        <f>SUM(X41:AC41)</f>
        <v>40</v>
      </c>
      <c r="AJ42" s="8" t="s">
        <v>23</v>
      </c>
      <c r="AK42" s="13">
        <f>SUM(AF41:AK41)</f>
        <v>0</v>
      </c>
    </row>
    <row r="43" spans="1:37" ht="15.75" thickBot="1" x14ac:dyDescent="0.3">
      <c r="A43" s="19"/>
      <c r="B43" s="99" t="s">
        <v>18</v>
      </c>
      <c r="C43" s="99"/>
      <c r="D43" s="99"/>
      <c r="E43" s="99"/>
      <c r="F43" s="99"/>
      <c r="G43" s="99"/>
      <c r="H43" s="99"/>
      <c r="J43" s="100" t="s">
        <v>18</v>
      </c>
      <c r="K43" s="100"/>
      <c r="L43" s="100"/>
      <c r="M43" s="100"/>
      <c r="N43" s="100"/>
      <c r="O43" s="100"/>
      <c r="P43" s="100"/>
      <c r="Q43" s="100"/>
      <c r="R43" s="100"/>
      <c r="S43" s="100"/>
      <c r="T43" s="100"/>
      <c r="U43" s="100"/>
      <c r="W43" s="101" t="str">
        <f>J43</f>
        <v>Setembro</v>
      </c>
      <c r="X43" s="101"/>
      <c r="Y43" s="101"/>
      <c r="Z43" s="101"/>
      <c r="AA43" s="101"/>
      <c r="AB43" s="101"/>
      <c r="AC43" s="101"/>
      <c r="AE43" s="102" t="str">
        <f>W43</f>
        <v>Setembro</v>
      </c>
      <c r="AF43" s="102"/>
      <c r="AG43" s="102"/>
      <c r="AH43" s="102"/>
      <c r="AI43" s="102"/>
      <c r="AJ43" s="102"/>
      <c r="AK43" s="102"/>
    </row>
    <row r="44" spans="1:37" ht="15.75" thickBot="1" x14ac:dyDescent="0.3">
      <c r="A44" s="97" t="s">
        <v>5</v>
      </c>
      <c r="B44" s="34" t="s">
        <v>6</v>
      </c>
      <c r="C44" s="22" t="s">
        <v>7</v>
      </c>
      <c r="D44" s="33" t="s">
        <v>8</v>
      </c>
      <c r="E44" s="22" t="s">
        <v>9</v>
      </c>
      <c r="F44" s="24" t="s">
        <v>10</v>
      </c>
      <c r="G44" s="23" t="s">
        <v>11</v>
      </c>
      <c r="H44" s="25" t="s">
        <v>12</v>
      </c>
      <c r="J44" s="6" t="s">
        <v>4</v>
      </c>
      <c r="K44" s="9">
        <v>45902</v>
      </c>
      <c r="L44" s="66">
        <v>45909</v>
      </c>
      <c r="M44" s="66">
        <v>45912</v>
      </c>
      <c r="N44" s="66">
        <v>45916</v>
      </c>
      <c r="O44" s="66">
        <v>45918</v>
      </c>
      <c r="P44" s="66">
        <v>45923</v>
      </c>
      <c r="Q44" s="66">
        <v>45925</v>
      </c>
      <c r="R44" s="66">
        <v>45930</v>
      </c>
      <c r="S44" s="4"/>
      <c r="T44" s="4"/>
      <c r="U44" s="5"/>
      <c r="W44" s="6" t="s">
        <v>4</v>
      </c>
      <c r="X44" s="9">
        <v>45903</v>
      </c>
      <c r="Y44" s="66">
        <v>45918</v>
      </c>
      <c r="Z44" s="66">
        <v>45925</v>
      </c>
      <c r="AA44" s="4"/>
      <c r="AB44" s="4"/>
      <c r="AC44" s="5"/>
      <c r="AE44" s="6" t="s">
        <v>4</v>
      </c>
      <c r="AF44" s="9"/>
      <c r="AG44" s="4"/>
      <c r="AH44" s="4"/>
      <c r="AI44" s="4"/>
      <c r="AJ44" s="4"/>
      <c r="AK44" s="5"/>
    </row>
    <row r="45" spans="1:37" ht="15.75" thickBot="1" x14ac:dyDescent="0.3">
      <c r="A45" s="97"/>
      <c r="B45" s="27">
        <v>763</v>
      </c>
      <c r="C45" s="27">
        <v>2854</v>
      </c>
      <c r="D45" s="27">
        <v>2854</v>
      </c>
      <c r="E45" s="27">
        <v>4210</v>
      </c>
      <c r="F45" s="27">
        <f>SUM(C45-B45)</f>
        <v>2091</v>
      </c>
      <c r="G45" s="20">
        <f>SUM(E45-D45)</f>
        <v>1356</v>
      </c>
      <c r="H45" s="21">
        <f>SUM(F45:G45)</f>
        <v>3447</v>
      </c>
      <c r="J45" s="7" t="s">
        <v>22</v>
      </c>
      <c r="K45" s="10">
        <v>200.1</v>
      </c>
      <c r="L45" s="11">
        <v>234.48</v>
      </c>
      <c r="M45" s="11">
        <v>177.25</v>
      </c>
      <c r="N45" s="11">
        <v>267.60000000000002</v>
      </c>
      <c r="O45" s="11">
        <v>106.04</v>
      </c>
      <c r="P45" s="11">
        <v>243.05</v>
      </c>
      <c r="Q45" s="11">
        <v>44.02</v>
      </c>
      <c r="R45" s="11">
        <v>262.05</v>
      </c>
      <c r="S45" s="11"/>
      <c r="T45" s="11"/>
      <c r="U45" s="12"/>
      <c r="W45" s="7" t="s">
        <v>22</v>
      </c>
      <c r="X45" s="10">
        <v>40</v>
      </c>
      <c r="Y45" s="11">
        <v>40</v>
      </c>
      <c r="Z45" s="11">
        <v>40</v>
      </c>
      <c r="AA45" s="11"/>
      <c r="AB45" s="11"/>
      <c r="AC45" s="12"/>
      <c r="AE45" s="7" t="s">
        <v>22</v>
      </c>
      <c r="AF45" s="10"/>
      <c r="AG45" s="11"/>
      <c r="AH45" s="11"/>
      <c r="AI45" s="11"/>
      <c r="AJ45" s="11"/>
      <c r="AK45" s="12"/>
    </row>
    <row r="46" spans="1:37" x14ac:dyDescent="0.25">
      <c r="J46" s="8"/>
      <c r="T46" s="8" t="s">
        <v>23</v>
      </c>
      <c r="U46" s="13">
        <f>SUM(K45:U45)</f>
        <v>1534.59</v>
      </c>
      <c r="AB46" s="8" t="s">
        <v>23</v>
      </c>
      <c r="AC46" s="13">
        <f>SUM(X45:AC45)</f>
        <v>120</v>
      </c>
      <c r="AJ46" s="8" t="s">
        <v>23</v>
      </c>
      <c r="AK46" s="13">
        <f>SUM(AF45:AK45)</f>
        <v>0</v>
      </c>
    </row>
    <row r="47" spans="1:37" ht="15.75" thickBot="1" x14ac:dyDescent="0.3">
      <c r="A47" s="19"/>
      <c r="B47" s="99" t="s">
        <v>19</v>
      </c>
      <c r="C47" s="99"/>
      <c r="D47" s="99"/>
      <c r="E47" s="99"/>
      <c r="F47" s="99"/>
      <c r="G47" s="99"/>
      <c r="H47" s="99"/>
      <c r="J47" s="100" t="s">
        <v>19</v>
      </c>
      <c r="K47" s="100"/>
      <c r="L47" s="100"/>
      <c r="M47" s="100"/>
      <c r="N47" s="100"/>
      <c r="O47" s="100"/>
      <c r="P47" s="100"/>
      <c r="Q47" s="100"/>
      <c r="R47" s="100"/>
      <c r="S47" s="100"/>
      <c r="T47" s="100"/>
      <c r="U47" s="100"/>
      <c r="W47" s="101" t="str">
        <f>J47</f>
        <v>Outubro</v>
      </c>
      <c r="X47" s="101"/>
      <c r="Y47" s="101"/>
      <c r="Z47" s="101"/>
      <c r="AA47" s="101"/>
      <c r="AB47" s="101"/>
      <c r="AC47" s="101"/>
      <c r="AE47" s="102" t="str">
        <f>W47</f>
        <v>Outubro</v>
      </c>
      <c r="AF47" s="102"/>
      <c r="AG47" s="102"/>
      <c r="AH47" s="102"/>
      <c r="AI47" s="102"/>
      <c r="AJ47" s="102"/>
      <c r="AK47" s="102"/>
    </row>
    <row r="48" spans="1:37" ht="15.75" thickBot="1" x14ac:dyDescent="0.3">
      <c r="A48" s="97" t="s">
        <v>5</v>
      </c>
      <c r="B48" s="34" t="s">
        <v>6</v>
      </c>
      <c r="C48" s="22" t="s">
        <v>7</v>
      </c>
      <c r="D48" s="33" t="s">
        <v>8</v>
      </c>
      <c r="E48" s="22" t="s">
        <v>9</v>
      </c>
      <c r="F48" s="24" t="s">
        <v>10</v>
      </c>
      <c r="G48" s="23" t="s">
        <v>11</v>
      </c>
      <c r="H48" s="25" t="s">
        <v>12</v>
      </c>
      <c r="J48" s="6" t="s">
        <v>4</v>
      </c>
      <c r="K48" s="9">
        <v>45932</v>
      </c>
      <c r="L48" s="66">
        <v>45937</v>
      </c>
      <c r="M48" s="66">
        <v>45939</v>
      </c>
      <c r="N48" s="66">
        <v>45944</v>
      </c>
      <c r="O48" s="66">
        <v>45946</v>
      </c>
      <c r="P48" s="66">
        <v>45951</v>
      </c>
      <c r="Q48" s="66">
        <v>45953</v>
      </c>
      <c r="R48" s="66">
        <v>45958</v>
      </c>
      <c r="S48" s="66">
        <v>45960</v>
      </c>
      <c r="T48" s="4"/>
      <c r="U48" s="5"/>
      <c r="W48" s="6" t="s">
        <v>4</v>
      </c>
      <c r="X48" s="9"/>
      <c r="Y48" s="4"/>
      <c r="Z48" s="4"/>
      <c r="AA48" s="4"/>
      <c r="AB48" s="4"/>
      <c r="AC48" s="5"/>
      <c r="AE48" s="6" t="s">
        <v>4</v>
      </c>
      <c r="AF48" s="9"/>
      <c r="AG48" s="4"/>
      <c r="AH48" s="4"/>
      <c r="AI48" s="4"/>
      <c r="AJ48" s="4"/>
      <c r="AK48" s="5"/>
    </row>
    <row r="49" spans="1:40" ht="15.75" thickBot="1" x14ac:dyDescent="0.3">
      <c r="A49" s="97"/>
      <c r="B49" s="27">
        <v>4210</v>
      </c>
      <c r="C49" s="27">
        <v>5617</v>
      </c>
      <c r="D49" s="27">
        <v>5617</v>
      </c>
      <c r="E49" s="27">
        <v>7326</v>
      </c>
      <c r="F49" s="27">
        <f>SUM(C49-B49)</f>
        <v>1407</v>
      </c>
      <c r="G49" s="20">
        <f>SUM(E49-D49)</f>
        <v>1709</v>
      </c>
      <c r="H49" s="21">
        <f>SUM(F49:G49)</f>
        <v>3116</v>
      </c>
      <c r="J49" s="7" t="s">
        <v>22</v>
      </c>
      <c r="K49" s="10">
        <v>118.82</v>
      </c>
      <c r="L49" s="11">
        <v>215.25</v>
      </c>
      <c r="M49" s="11">
        <v>228.7</v>
      </c>
      <c r="N49" s="11">
        <v>223.57</v>
      </c>
      <c r="O49" s="11">
        <v>78.010000000000005</v>
      </c>
      <c r="P49" s="11">
        <v>290.01</v>
      </c>
      <c r="Q49" s="11">
        <v>119.6</v>
      </c>
      <c r="R49" s="11">
        <v>259.98</v>
      </c>
      <c r="S49" s="11">
        <v>141.38</v>
      </c>
      <c r="T49" s="11"/>
      <c r="U49" s="12"/>
      <c r="W49" s="7" t="s">
        <v>22</v>
      </c>
      <c r="X49" s="10"/>
      <c r="Y49" s="11"/>
      <c r="Z49" s="11"/>
      <c r="AA49" s="11"/>
      <c r="AB49" s="11"/>
      <c r="AC49" s="12"/>
      <c r="AE49" s="7" t="s">
        <v>22</v>
      </c>
      <c r="AF49" s="10"/>
      <c r="AG49" s="11"/>
      <c r="AH49" s="11"/>
      <c r="AI49" s="11"/>
      <c r="AJ49" s="11"/>
      <c r="AK49" s="12"/>
    </row>
    <row r="50" spans="1:40" x14ac:dyDescent="0.25">
      <c r="J50" s="8"/>
      <c r="T50" s="8" t="s">
        <v>23</v>
      </c>
      <c r="U50" s="13">
        <f>SUM(K49:U49)</f>
        <v>1675.3199999999997</v>
      </c>
      <c r="AB50" s="8" t="s">
        <v>23</v>
      </c>
      <c r="AC50" s="13">
        <f>SUM(X49:AC49)</f>
        <v>0</v>
      </c>
      <c r="AJ50" s="8" t="s">
        <v>23</v>
      </c>
      <c r="AK50" s="13">
        <f>SUM(AF49:AK49)</f>
        <v>0</v>
      </c>
    </row>
    <row r="51" spans="1:40" ht="15.75" thickBot="1" x14ac:dyDescent="0.3">
      <c r="A51" s="19"/>
      <c r="B51" s="99" t="s">
        <v>20</v>
      </c>
      <c r="C51" s="99"/>
      <c r="D51" s="99"/>
      <c r="E51" s="99"/>
      <c r="F51" s="99"/>
      <c r="G51" s="99"/>
      <c r="H51" s="99"/>
      <c r="J51" s="100" t="s">
        <v>20</v>
      </c>
      <c r="K51" s="100"/>
      <c r="L51" s="100"/>
      <c r="M51" s="100"/>
      <c r="N51" s="100"/>
      <c r="O51" s="100"/>
      <c r="P51" s="100"/>
      <c r="Q51" s="100"/>
      <c r="R51" s="100"/>
      <c r="S51" s="100"/>
      <c r="T51" s="100"/>
      <c r="U51" s="100"/>
      <c r="W51" s="101" t="str">
        <f>J51</f>
        <v>Novembro</v>
      </c>
      <c r="X51" s="101"/>
      <c r="Y51" s="101"/>
      <c r="Z51" s="101"/>
      <c r="AA51" s="101"/>
      <c r="AB51" s="101"/>
      <c r="AC51" s="101"/>
      <c r="AE51" s="102" t="str">
        <f>W51</f>
        <v>Novembro</v>
      </c>
      <c r="AF51" s="102"/>
      <c r="AG51" s="102"/>
      <c r="AH51" s="102"/>
      <c r="AI51" s="102"/>
      <c r="AJ51" s="102"/>
      <c r="AK51" s="102"/>
    </row>
    <row r="52" spans="1:40" ht="15.75" thickBot="1" x14ac:dyDescent="0.3">
      <c r="A52" s="97" t="s">
        <v>5</v>
      </c>
      <c r="B52" s="34" t="s">
        <v>6</v>
      </c>
      <c r="C52" s="22" t="s">
        <v>7</v>
      </c>
      <c r="D52" s="33" t="s">
        <v>8</v>
      </c>
      <c r="E52" s="22" t="s">
        <v>9</v>
      </c>
      <c r="F52" s="24" t="s">
        <v>10</v>
      </c>
      <c r="G52" s="23" t="s">
        <v>11</v>
      </c>
      <c r="H52" s="25" t="s">
        <v>12</v>
      </c>
      <c r="J52" s="6" t="s">
        <v>4</v>
      </c>
      <c r="K52" s="9">
        <v>45967</v>
      </c>
      <c r="L52" s="66">
        <v>45972</v>
      </c>
      <c r="M52" s="4"/>
      <c r="N52" s="4"/>
      <c r="O52" s="4"/>
      <c r="P52" s="4"/>
      <c r="Q52" s="4"/>
      <c r="R52" s="4"/>
      <c r="S52" s="4"/>
      <c r="T52" s="4"/>
      <c r="U52" s="5"/>
      <c r="W52" s="6" t="s">
        <v>4</v>
      </c>
      <c r="X52" s="9"/>
      <c r="Y52" s="4"/>
      <c r="Z52" s="4"/>
      <c r="AA52" s="4"/>
      <c r="AB52" s="4"/>
      <c r="AC52" s="5"/>
      <c r="AE52" s="6" t="s">
        <v>4</v>
      </c>
      <c r="AF52" s="9"/>
      <c r="AG52" s="4"/>
      <c r="AH52" s="4"/>
      <c r="AI52" s="4"/>
      <c r="AJ52" s="4"/>
      <c r="AK52" s="5"/>
    </row>
    <row r="53" spans="1:40" ht="15.75" thickBot="1" x14ac:dyDescent="0.3">
      <c r="A53" s="97"/>
      <c r="B53" s="27">
        <v>7326</v>
      </c>
      <c r="C53" s="27">
        <v>8478</v>
      </c>
      <c r="D53" s="27">
        <v>8478</v>
      </c>
      <c r="E53" s="27">
        <v>9409</v>
      </c>
      <c r="F53" s="27">
        <f>SUM(C53-B53)</f>
        <v>1152</v>
      </c>
      <c r="G53" s="20">
        <f>SUM(E53-D53)</f>
        <v>931</v>
      </c>
      <c r="H53" s="21">
        <f>SUM(F53:G53)</f>
        <v>2083</v>
      </c>
      <c r="J53" s="7" t="s">
        <v>22</v>
      </c>
      <c r="K53" s="10">
        <v>230</v>
      </c>
      <c r="L53" s="11">
        <v>250.01</v>
      </c>
      <c r="M53" s="11"/>
      <c r="N53" s="11"/>
      <c r="O53" s="11"/>
      <c r="P53" s="11"/>
      <c r="Q53" s="11"/>
      <c r="R53" s="11"/>
      <c r="S53" s="11"/>
      <c r="T53" s="11"/>
      <c r="U53" s="12"/>
      <c r="W53" s="7" t="s">
        <v>22</v>
      </c>
      <c r="X53" s="10"/>
      <c r="Y53" s="11"/>
      <c r="Z53" s="11"/>
      <c r="AA53" s="11"/>
      <c r="AB53" s="11"/>
      <c r="AC53" s="12"/>
      <c r="AE53" s="7" t="s">
        <v>22</v>
      </c>
      <c r="AF53" s="10"/>
      <c r="AG53" s="11"/>
      <c r="AH53" s="11"/>
      <c r="AI53" s="11"/>
      <c r="AJ53" s="11"/>
      <c r="AK53" s="12"/>
    </row>
    <row r="54" spans="1:40" x14ac:dyDescent="0.25">
      <c r="J54" s="8"/>
      <c r="T54" s="8" t="s">
        <v>23</v>
      </c>
      <c r="U54" s="13">
        <f>SUM(K53:U53)</f>
        <v>480.01</v>
      </c>
      <c r="AB54" s="8" t="s">
        <v>23</v>
      </c>
      <c r="AC54" s="13">
        <f>SUM(X53:AC53)</f>
        <v>0</v>
      </c>
      <c r="AJ54" s="8" t="s">
        <v>23</v>
      </c>
      <c r="AK54" s="13">
        <f>SUM(AF53:AK53)</f>
        <v>0</v>
      </c>
    </row>
    <row r="55" spans="1:40" ht="15.75" thickBot="1" x14ac:dyDescent="0.3">
      <c r="A55" s="19"/>
      <c r="B55" s="99" t="s">
        <v>21</v>
      </c>
      <c r="C55" s="99"/>
      <c r="D55" s="99"/>
      <c r="E55" s="99"/>
      <c r="F55" s="99"/>
      <c r="G55" s="99"/>
      <c r="H55" s="99"/>
      <c r="J55" s="100" t="s">
        <v>21</v>
      </c>
      <c r="K55" s="100"/>
      <c r="L55" s="100"/>
      <c r="M55" s="100"/>
      <c r="N55" s="100"/>
      <c r="O55" s="100"/>
      <c r="P55" s="100"/>
      <c r="Q55" s="100"/>
      <c r="R55" s="100"/>
      <c r="S55" s="100"/>
      <c r="T55" s="100"/>
      <c r="U55" s="100"/>
      <c r="W55" s="101" t="str">
        <f>J55</f>
        <v>Dezembro</v>
      </c>
      <c r="X55" s="101"/>
      <c r="Y55" s="101"/>
      <c r="Z55" s="101"/>
      <c r="AA55" s="101"/>
      <c r="AB55" s="101"/>
      <c r="AC55" s="101"/>
      <c r="AE55" s="102" t="str">
        <f>W55</f>
        <v>Dezembro</v>
      </c>
      <c r="AF55" s="102"/>
      <c r="AG55" s="102"/>
      <c r="AH55" s="102"/>
      <c r="AI55" s="102"/>
      <c r="AJ55" s="102"/>
      <c r="AK55" s="102"/>
    </row>
    <row r="56" spans="1:40" ht="15.75" thickBot="1" x14ac:dyDescent="0.3">
      <c r="A56" s="97" t="s">
        <v>5</v>
      </c>
      <c r="B56" s="34" t="s">
        <v>6</v>
      </c>
      <c r="C56" s="22" t="s">
        <v>7</v>
      </c>
      <c r="D56" s="33" t="s">
        <v>8</v>
      </c>
      <c r="E56" s="22" t="s">
        <v>9</v>
      </c>
      <c r="F56" s="24" t="s">
        <v>10</v>
      </c>
      <c r="G56" s="23" t="s">
        <v>11</v>
      </c>
      <c r="H56" s="25" t="s">
        <v>12</v>
      </c>
      <c r="J56" s="6" t="s">
        <v>4</v>
      </c>
      <c r="K56" s="9">
        <v>45993</v>
      </c>
      <c r="L56" s="66">
        <v>45995</v>
      </c>
      <c r="M56" s="66">
        <v>46000</v>
      </c>
      <c r="N56" s="66">
        <v>46002</v>
      </c>
      <c r="O56" s="89">
        <v>46372</v>
      </c>
      <c r="P56" s="89">
        <v>46374</v>
      </c>
      <c r="Q56" s="89">
        <v>46379</v>
      </c>
      <c r="R56" s="4"/>
      <c r="S56" s="4"/>
      <c r="T56" s="4"/>
      <c r="U56" s="5"/>
      <c r="W56" s="6" t="s">
        <v>4</v>
      </c>
      <c r="X56" s="9"/>
      <c r="Y56" s="4"/>
      <c r="Z56" s="4"/>
      <c r="AA56" s="4"/>
      <c r="AB56" s="4"/>
      <c r="AC56" s="5"/>
      <c r="AE56" s="6" t="s">
        <v>4</v>
      </c>
      <c r="AF56" s="9"/>
      <c r="AG56" s="4"/>
      <c r="AH56" s="4"/>
      <c r="AI56" s="4"/>
      <c r="AJ56" s="4"/>
      <c r="AK56" s="5"/>
    </row>
    <row r="57" spans="1:40" ht="15.75" thickBot="1" x14ac:dyDescent="0.3">
      <c r="A57" s="97"/>
      <c r="B57" s="27">
        <v>9409</v>
      </c>
      <c r="C57" s="27">
        <v>10961</v>
      </c>
      <c r="D57" s="27">
        <v>10961</v>
      </c>
      <c r="E57" s="27">
        <v>12229</v>
      </c>
      <c r="F57" s="27">
        <f>SUM(C57-B57)</f>
        <v>1552</v>
      </c>
      <c r="G57" s="20">
        <f>SUM(E57-D57)</f>
        <v>1268</v>
      </c>
      <c r="H57" s="21">
        <f>SUM(F57:G57)</f>
        <v>2820</v>
      </c>
      <c r="J57" s="7" t="s">
        <v>22</v>
      </c>
      <c r="K57" s="10">
        <v>254.46</v>
      </c>
      <c r="L57" s="11">
        <v>167.45</v>
      </c>
      <c r="M57" s="11">
        <v>275.02999999999997</v>
      </c>
      <c r="N57" s="11">
        <v>46.7</v>
      </c>
      <c r="O57" s="11">
        <v>158.03</v>
      </c>
      <c r="P57" s="11">
        <v>82.09</v>
      </c>
      <c r="Q57" s="11">
        <v>295.10000000000002</v>
      </c>
      <c r="R57" s="11"/>
      <c r="S57" s="11"/>
      <c r="T57" s="11"/>
      <c r="U57" s="12"/>
      <c r="W57" s="7" t="s">
        <v>22</v>
      </c>
      <c r="X57" s="10"/>
      <c r="Y57" s="11"/>
      <c r="Z57" s="11"/>
      <c r="AA57" s="11"/>
      <c r="AB57" s="11"/>
      <c r="AC57" s="12"/>
      <c r="AE57" s="7" t="s">
        <v>22</v>
      </c>
      <c r="AF57" s="10"/>
      <c r="AG57" s="11"/>
      <c r="AH57" s="11"/>
      <c r="AI57" s="11"/>
      <c r="AJ57" s="11"/>
      <c r="AK57" s="12"/>
    </row>
    <row r="58" spans="1:40" x14ac:dyDescent="0.25">
      <c r="J58" s="8"/>
      <c r="T58" s="8" t="s">
        <v>23</v>
      </c>
      <c r="U58" s="13">
        <f>SUM(K57:U57)</f>
        <v>1278.8600000000001</v>
      </c>
      <c r="AB58" s="8" t="s">
        <v>23</v>
      </c>
      <c r="AC58" s="13">
        <f>SUM(X57:AC57)</f>
        <v>0</v>
      </c>
      <c r="AJ58" s="8" t="s">
        <v>23</v>
      </c>
      <c r="AK58" s="13">
        <f>SUM(AF57:AK57)</f>
        <v>0</v>
      </c>
    </row>
    <row r="59" spans="1:40" ht="15.75" thickBot="1" x14ac:dyDescent="0.3">
      <c r="A59" s="19">
        <v>2026</v>
      </c>
      <c r="B59" s="99" t="s">
        <v>134</v>
      </c>
      <c r="C59" s="99"/>
      <c r="D59" s="99"/>
      <c r="E59" s="99"/>
      <c r="F59" s="99"/>
      <c r="G59" s="99"/>
      <c r="H59" s="99"/>
      <c r="J59" s="100" t="s">
        <v>134</v>
      </c>
      <c r="K59" s="100"/>
      <c r="L59" s="100"/>
      <c r="M59" s="100"/>
      <c r="N59" s="100"/>
      <c r="O59" s="100"/>
      <c r="P59" s="100"/>
      <c r="Q59" s="100"/>
      <c r="R59" s="100"/>
      <c r="S59" s="100"/>
      <c r="T59" s="100"/>
      <c r="U59" s="100"/>
      <c r="Y59" s="101" t="s">
        <v>134</v>
      </c>
      <c r="Z59" s="101"/>
      <c r="AA59" s="101"/>
      <c r="AB59" s="101"/>
      <c r="AC59" s="101"/>
      <c r="AD59" s="101"/>
      <c r="AE59" s="101"/>
      <c r="AH59" s="102" t="s">
        <v>134</v>
      </c>
      <c r="AI59" s="102"/>
      <c r="AJ59" s="102"/>
      <c r="AK59" s="102"/>
      <c r="AL59" s="102"/>
      <c r="AM59" s="102"/>
      <c r="AN59" s="102"/>
    </row>
    <row r="60" spans="1:40" ht="15.75" thickBot="1" x14ac:dyDescent="0.3">
      <c r="A60" s="97" t="s">
        <v>5</v>
      </c>
      <c r="B60" s="34" t="s">
        <v>6</v>
      </c>
      <c r="C60" s="22" t="s">
        <v>7</v>
      </c>
      <c r="D60" s="33" t="s">
        <v>8</v>
      </c>
      <c r="E60" s="22" t="s">
        <v>9</v>
      </c>
      <c r="F60" s="24" t="s">
        <v>10</v>
      </c>
      <c r="G60" s="23" t="s">
        <v>11</v>
      </c>
      <c r="H60" s="25" t="s">
        <v>12</v>
      </c>
      <c r="J60" s="28" t="s">
        <v>4</v>
      </c>
      <c r="K60" s="9">
        <v>46028</v>
      </c>
      <c r="L60" s="66">
        <v>46030</v>
      </c>
      <c r="M60" s="66">
        <v>46035</v>
      </c>
      <c r="N60" s="66">
        <v>46037</v>
      </c>
      <c r="O60" s="66">
        <v>46042</v>
      </c>
      <c r="P60" s="66">
        <v>46044</v>
      </c>
      <c r="Q60" s="66">
        <v>46049</v>
      </c>
      <c r="R60" s="66">
        <v>46051</v>
      </c>
      <c r="S60" s="4"/>
      <c r="T60" s="4"/>
      <c r="U60" s="5"/>
      <c r="Y60" s="6" t="s">
        <v>4</v>
      </c>
      <c r="Z60" s="9"/>
      <c r="AA60" s="4"/>
      <c r="AB60" s="4"/>
      <c r="AC60" s="4"/>
      <c r="AD60" s="4"/>
      <c r="AE60" s="5"/>
      <c r="AH60" s="6" t="s">
        <v>4</v>
      </c>
      <c r="AI60" s="9"/>
      <c r="AJ60" s="4"/>
      <c r="AK60" s="4"/>
      <c r="AL60" s="4"/>
      <c r="AM60" s="4"/>
      <c r="AN60" s="5"/>
    </row>
    <row r="61" spans="1:40" ht="15.75" thickBot="1" x14ac:dyDescent="0.3">
      <c r="A61" s="97"/>
      <c r="B61" s="26">
        <v>12229</v>
      </c>
      <c r="C61" s="27">
        <v>13611</v>
      </c>
      <c r="D61" s="27">
        <v>13611</v>
      </c>
      <c r="E61" s="27">
        <v>15671</v>
      </c>
      <c r="F61" s="27">
        <f>SUM(C61-B61)</f>
        <v>1382</v>
      </c>
      <c r="G61" s="20">
        <f>SUM(E61-D61)</f>
        <v>2060</v>
      </c>
      <c r="H61" s="21">
        <f>SUM(F61:G61)</f>
        <v>3442</v>
      </c>
      <c r="J61" s="29" t="s">
        <v>22</v>
      </c>
      <c r="K61" s="10">
        <v>250.51</v>
      </c>
      <c r="L61" s="11">
        <v>75.06</v>
      </c>
      <c r="M61" s="11">
        <v>265.06</v>
      </c>
      <c r="N61" s="11">
        <v>217.01</v>
      </c>
      <c r="O61" s="11">
        <v>292.08999999999997</v>
      </c>
      <c r="P61" s="11">
        <v>234.15</v>
      </c>
      <c r="Q61" s="11">
        <v>286</v>
      </c>
      <c r="R61" s="11">
        <v>260.04000000000002</v>
      </c>
      <c r="S61" s="11"/>
      <c r="T61" s="11"/>
      <c r="U61" s="12"/>
      <c r="Y61" s="7" t="s">
        <v>22</v>
      </c>
      <c r="Z61" s="10"/>
      <c r="AA61" s="11"/>
      <c r="AB61" s="11"/>
      <c r="AC61" s="11"/>
      <c r="AD61" s="11"/>
      <c r="AE61" s="12"/>
      <c r="AH61" s="7" t="s">
        <v>22</v>
      </c>
      <c r="AI61" s="10"/>
      <c r="AJ61" s="11"/>
      <c r="AK61" s="11"/>
      <c r="AL61" s="11"/>
      <c r="AM61" s="11"/>
      <c r="AN61" s="12"/>
    </row>
    <row r="62" spans="1:40" x14ac:dyDescent="0.25">
      <c r="J62" s="8"/>
      <c r="T62" s="8" t="s">
        <v>23</v>
      </c>
      <c r="U62" s="13">
        <f>SUM(K61:U61)</f>
        <v>1879.92</v>
      </c>
      <c r="AD62" s="8" t="s">
        <v>23</v>
      </c>
      <c r="AE62" s="13">
        <f>SUM(Z61:AE61)</f>
        <v>0</v>
      </c>
      <c r="AM62" s="8" t="s">
        <v>23</v>
      </c>
      <c r="AN62" s="13">
        <f>SUM(AI61:AN61)</f>
        <v>0</v>
      </c>
    </row>
    <row r="63" spans="1:40" ht="15.75" thickBot="1" x14ac:dyDescent="0.3">
      <c r="A63" s="19"/>
      <c r="B63" s="99" t="s">
        <v>3</v>
      </c>
      <c r="C63" s="99"/>
      <c r="D63" s="99"/>
      <c r="E63" s="99"/>
      <c r="F63" s="99"/>
      <c r="G63" s="99"/>
      <c r="H63" s="99"/>
      <c r="J63" s="100" t="s">
        <v>3</v>
      </c>
      <c r="K63" s="100"/>
      <c r="L63" s="100"/>
      <c r="M63" s="100"/>
      <c r="N63" s="100"/>
      <c r="O63" s="100"/>
      <c r="P63" s="100"/>
      <c r="Q63" s="100"/>
      <c r="R63" s="100"/>
      <c r="S63" s="100"/>
      <c r="T63" s="100"/>
      <c r="U63" s="100"/>
      <c r="Y63" s="101" t="s">
        <v>3</v>
      </c>
      <c r="Z63" s="101"/>
      <c r="AA63" s="101"/>
      <c r="AB63" s="101"/>
      <c r="AC63" s="101"/>
      <c r="AD63" s="101"/>
      <c r="AE63" s="101"/>
      <c r="AH63" s="102" t="s">
        <v>3</v>
      </c>
      <c r="AI63" s="102"/>
      <c r="AJ63" s="102"/>
      <c r="AK63" s="102"/>
      <c r="AL63" s="102"/>
      <c r="AM63" s="102"/>
      <c r="AN63" s="102"/>
    </row>
    <row r="64" spans="1:40" ht="15.75" thickBot="1" x14ac:dyDescent="0.3">
      <c r="A64" s="97" t="s">
        <v>5</v>
      </c>
      <c r="B64" s="34" t="s">
        <v>6</v>
      </c>
      <c r="C64" s="22" t="s">
        <v>7</v>
      </c>
      <c r="D64" s="33" t="s">
        <v>8</v>
      </c>
      <c r="E64" s="22" t="s">
        <v>9</v>
      </c>
      <c r="F64" s="24" t="s">
        <v>10</v>
      </c>
      <c r="G64" s="23" t="s">
        <v>11</v>
      </c>
      <c r="H64" s="25" t="s">
        <v>12</v>
      </c>
      <c r="J64" s="28" t="s">
        <v>4</v>
      </c>
      <c r="K64" s="9">
        <v>46056</v>
      </c>
      <c r="L64" s="66">
        <v>46058</v>
      </c>
      <c r="M64" s="9">
        <v>46063</v>
      </c>
      <c r="N64" s="66">
        <v>46065</v>
      </c>
      <c r="O64" s="66">
        <v>46072</v>
      </c>
      <c r="P64" s="66">
        <v>46077</v>
      </c>
      <c r="Q64" s="66">
        <v>46079</v>
      </c>
      <c r="R64" s="66">
        <v>46081</v>
      </c>
      <c r="S64" s="4"/>
      <c r="T64" s="4"/>
      <c r="U64" s="5"/>
      <c r="Y64" s="6" t="s">
        <v>4</v>
      </c>
      <c r="Z64" s="9"/>
      <c r="AA64" s="4"/>
      <c r="AB64" s="4"/>
      <c r="AC64" s="4"/>
      <c r="AD64" s="4"/>
      <c r="AE64" s="5"/>
      <c r="AH64" s="6" t="s">
        <v>4</v>
      </c>
      <c r="AI64" s="9"/>
      <c r="AJ64" s="4"/>
      <c r="AK64" s="4"/>
      <c r="AL64" s="4"/>
      <c r="AM64" s="4"/>
      <c r="AN64" s="5"/>
    </row>
    <row r="65" spans="1:40" ht="15.75" thickBot="1" x14ac:dyDescent="0.3">
      <c r="A65" s="97"/>
      <c r="B65" s="27">
        <v>15671</v>
      </c>
      <c r="C65" s="27"/>
      <c r="D65" s="27"/>
      <c r="E65" s="27">
        <v>18601</v>
      </c>
      <c r="F65" s="27">
        <f>SUM(C65-B65)</f>
        <v>-15671</v>
      </c>
      <c r="G65" s="20">
        <f>SUM(E65-D65)</f>
        <v>18601</v>
      </c>
      <c r="H65" s="21">
        <f>SUM(F65:G65)</f>
        <v>2930</v>
      </c>
      <c r="J65" s="29" t="s">
        <v>22</v>
      </c>
      <c r="K65" s="10">
        <v>295.02999999999997</v>
      </c>
      <c r="L65" s="11">
        <v>210.07</v>
      </c>
      <c r="M65" s="10">
        <v>261.67</v>
      </c>
      <c r="N65" s="11">
        <v>211.84</v>
      </c>
      <c r="O65" s="11">
        <v>264.98</v>
      </c>
      <c r="P65" s="11">
        <v>122.3</v>
      </c>
      <c r="Q65" s="11">
        <v>107.04</v>
      </c>
      <c r="R65" s="11">
        <v>221.24</v>
      </c>
      <c r="S65" s="11"/>
      <c r="T65" s="11"/>
      <c r="U65" s="12"/>
      <c r="Y65" s="7" t="s">
        <v>22</v>
      </c>
      <c r="Z65" s="10"/>
      <c r="AA65" s="11"/>
      <c r="AB65" s="11"/>
      <c r="AC65" s="11"/>
      <c r="AD65" s="11"/>
      <c r="AE65" s="12"/>
      <c r="AH65" s="7" t="s">
        <v>22</v>
      </c>
      <c r="AI65" s="10"/>
      <c r="AJ65" s="11"/>
      <c r="AK65" s="11"/>
      <c r="AL65" s="11"/>
      <c r="AM65" s="11"/>
      <c r="AN65" s="12"/>
    </row>
    <row r="66" spans="1:40" x14ac:dyDescent="0.25">
      <c r="J66" s="8"/>
      <c r="T66" s="8" t="s">
        <v>23</v>
      </c>
      <c r="U66" s="13">
        <f>SUM(K65:U65)</f>
        <v>1694.17</v>
      </c>
      <c r="AD66" s="8" t="s">
        <v>23</v>
      </c>
      <c r="AE66" s="13">
        <f>SUM(Z65:AE65)</f>
        <v>0</v>
      </c>
      <c r="AM66" s="8" t="s">
        <v>23</v>
      </c>
      <c r="AN66" s="13">
        <f>SUM(AI65:AN65)</f>
        <v>0</v>
      </c>
    </row>
    <row r="67" spans="1:40" ht="15.75" thickBot="1" x14ac:dyDescent="0.3">
      <c r="A67" s="19"/>
      <c r="B67" s="99" t="s">
        <v>13</v>
      </c>
      <c r="C67" s="99"/>
      <c r="D67" s="99"/>
      <c r="E67" s="99"/>
      <c r="F67" s="99"/>
      <c r="G67" s="99"/>
      <c r="H67" s="99"/>
      <c r="J67" s="100" t="s">
        <v>13</v>
      </c>
      <c r="K67" s="100"/>
      <c r="L67" s="100"/>
      <c r="M67" s="100"/>
      <c r="N67" s="100"/>
      <c r="O67" s="100"/>
      <c r="P67" s="100"/>
      <c r="Q67" s="100"/>
      <c r="R67" s="100"/>
      <c r="S67" s="100"/>
      <c r="T67" s="100"/>
      <c r="U67" s="100"/>
      <c r="Y67" s="101" t="str">
        <f>J67</f>
        <v>Março</v>
      </c>
      <c r="Z67" s="101"/>
      <c r="AA67" s="101"/>
      <c r="AB67" s="101"/>
      <c r="AC67" s="101"/>
      <c r="AD67" s="101"/>
      <c r="AE67" s="101"/>
      <c r="AH67" s="102" t="str">
        <f>Y67</f>
        <v>Março</v>
      </c>
      <c r="AI67" s="102"/>
      <c r="AJ67" s="102"/>
      <c r="AK67" s="102"/>
      <c r="AL67" s="102"/>
      <c r="AM67" s="102"/>
      <c r="AN67" s="102"/>
    </row>
    <row r="68" spans="1:40" ht="15.75" thickBot="1" x14ac:dyDescent="0.3">
      <c r="A68" s="97" t="s">
        <v>5</v>
      </c>
      <c r="B68" s="34" t="s">
        <v>6</v>
      </c>
      <c r="C68" s="22" t="s">
        <v>7</v>
      </c>
      <c r="D68" s="33" t="s">
        <v>8</v>
      </c>
      <c r="E68" s="22" t="s">
        <v>9</v>
      </c>
      <c r="F68" s="24" t="s">
        <v>10</v>
      </c>
      <c r="G68" s="23" t="s">
        <v>11</v>
      </c>
      <c r="H68" s="25" t="s">
        <v>12</v>
      </c>
      <c r="J68" s="6" t="s">
        <v>4</v>
      </c>
      <c r="K68" s="9">
        <v>46088</v>
      </c>
      <c r="L68" s="66">
        <v>46098</v>
      </c>
      <c r="M68" s="66">
        <v>46100</v>
      </c>
      <c r="N68" s="66">
        <v>46105</v>
      </c>
      <c r="O68" s="66">
        <v>46107</v>
      </c>
      <c r="P68" s="66">
        <v>46112</v>
      </c>
      <c r="Q68" s="4"/>
      <c r="R68" s="4"/>
      <c r="S68" s="4"/>
      <c r="T68" s="4"/>
      <c r="U68" s="5"/>
      <c r="Y68" s="6" t="s">
        <v>4</v>
      </c>
      <c r="Z68" s="9"/>
      <c r="AA68" s="4"/>
      <c r="AB68" s="4"/>
      <c r="AC68" s="4"/>
      <c r="AD68" s="4"/>
      <c r="AE68" s="5"/>
      <c r="AH68" s="6" t="s">
        <v>4</v>
      </c>
      <c r="AI68" s="9"/>
      <c r="AJ68" s="4"/>
      <c r="AK68" s="4"/>
      <c r="AL68" s="4"/>
      <c r="AM68" s="4"/>
      <c r="AN68" s="5"/>
    </row>
    <row r="69" spans="1:40" ht="15.75" thickBot="1" x14ac:dyDescent="0.3">
      <c r="A69" s="97"/>
      <c r="B69" s="26">
        <v>18601</v>
      </c>
      <c r="C69" s="27"/>
      <c r="D69" s="27"/>
      <c r="E69" s="27">
        <v>20727</v>
      </c>
      <c r="F69" s="27">
        <f>SUM(C69-B69)</f>
        <v>-18601</v>
      </c>
      <c r="G69" s="20">
        <f>SUM(E69-D69)</f>
        <v>20727</v>
      </c>
      <c r="H69" s="21">
        <f>SUM(F69:G69)</f>
        <v>2126</v>
      </c>
      <c r="J69" s="7" t="s">
        <v>22</v>
      </c>
      <c r="K69" s="10">
        <v>193.92</v>
      </c>
      <c r="L69" s="11">
        <v>247.8</v>
      </c>
      <c r="M69" s="11">
        <v>187.26</v>
      </c>
      <c r="N69" s="11">
        <v>252.48</v>
      </c>
      <c r="O69" s="11">
        <v>186.03</v>
      </c>
      <c r="P69" s="11">
        <v>204.3</v>
      </c>
      <c r="Q69" s="11"/>
      <c r="R69" s="11"/>
      <c r="S69" s="11"/>
      <c r="T69" s="11"/>
      <c r="U69" s="12"/>
      <c r="Y69" s="7" t="s">
        <v>22</v>
      </c>
      <c r="Z69" s="10"/>
      <c r="AA69" s="11"/>
      <c r="AB69" s="11"/>
      <c r="AC69" s="11"/>
      <c r="AD69" s="11"/>
      <c r="AE69" s="12"/>
      <c r="AH69" s="7" t="s">
        <v>22</v>
      </c>
      <c r="AI69" s="10"/>
      <c r="AJ69" s="11"/>
      <c r="AK69" s="11"/>
      <c r="AL69" s="11"/>
      <c r="AM69" s="11"/>
      <c r="AN69" s="12"/>
    </row>
    <row r="70" spans="1:40" x14ac:dyDescent="0.25">
      <c r="J70" s="8"/>
      <c r="T70" s="8" t="s">
        <v>23</v>
      </c>
      <c r="U70" s="13">
        <f>SUM(K69:U69)</f>
        <v>1271.79</v>
      </c>
      <c r="AD70" s="8" t="s">
        <v>23</v>
      </c>
      <c r="AE70" s="13">
        <f>SUM(Z69:AE69)</f>
        <v>0</v>
      </c>
      <c r="AM70" s="8" t="s">
        <v>23</v>
      </c>
      <c r="AN70" s="13">
        <f>SUM(AI69:AN69)</f>
        <v>0</v>
      </c>
    </row>
    <row r="71" spans="1:40" ht="15.75" thickBot="1" x14ac:dyDescent="0.3">
      <c r="A71" s="19"/>
      <c r="B71" s="99" t="s">
        <v>14</v>
      </c>
      <c r="C71" s="99"/>
      <c r="D71" s="99"/>
      <c r="E71" s="99"/>
      <c r="F71" s="99"/>
      <c r="G71" s="99"/>
      <c r="H71" s="99"/>
      <c r="J71" s="100" t="s">
        <v>14</v>
      </c>
      <c r="K71" s="100"/>
      <c r="L71" s="100"/>
      <c r="M71" s="100"/>
      <c r="N71" s="100"/>
      <c r="O71" s="100"/>
      <c r="P71" s="100"/>
      <c r="Q71" s="100"/>
      <c r="R71" s="100"/>
      <c r="S71" s="100"/>
      <c r="T71" s="100"/>
      <c r="U71" s="100"/>
      <c r="Y71" s="101" t="str">
        <f>J71</f>
        <v>Abril</v>
      </c>
      <c r="Z71" s="101"/>
      <c r="AA71" s="101"/>
      <c r="AB71" s="101"/>
      <c r="AC71" s="101"/>
      <c r="AD71" s="101"/>
      <c r="AE71" s="101"/>
      <c r="AH71" s="102" t="str">
        <f>Y71</f>
        <v>Abril</v>
      </c>
      <c r="AI71" s="102"/>
      <c r="AJ71" s="102"/>
      <c r="AK71" s="102"/>
      <c r="AL71" s="102"/>
      <c r="AM71" s="102"/>
      <c r="AN71" s="102"/>
    </row>
    <row r="72" spans="1:40" ht="15.75" thickBot="1" x14ac:dyDescent="0.3">
      <c r="A72" s="97" t="s">
        <v>5</v>
      </c>
      <c r="B72" s="34" t="s">
        <v>6</v>
      </c>
      <c r="C72" s="22" t="s">
        <v>7</v>
      </c>
      <c r="D72" s="33" t="s">
        <v>8</v>
      </c>
      <c r="E72" s="22" t="s">
        <v>9</v>
      </c>
      <c r="F72" s="24" t="s">
        <v>10</v>
      </c>
      <c r="G72" s="23" t="s">
        <v>11</v>
      </c>
      <c r="H72" s="25" t="s">
        <v>12</v>
      </c>
      <c r="J72" s="6" t="s">
        <v>4</v>
      </c>
      <c r="K72" s="9">
        <v>46119</v>
      </c>
      <c r="L72" s="66">
        <v>46121</v>
      </c>
      <c r="M72" s="66">
        <v>46123</v>
      </c>
      <c r="N72" s="4"/>
      <c r="O72" s="4"/>
      <c r="P72" s="4"/>
      <c r="Q72" s="4"/>
      <c r="R72" s="4"/>
      <c r="S72" s="4"/>
      <c r="T72" s="4"/>
      <c r="U72" s="5"/>
      <c r="Y72" s="6" t="s">
        <v>4</v>
      </c>
      <c r="Z72" s="9"/>
      <c r="AA72" s="4"/>
      <c r="AB72" s="4"/>
      <c r="AC72" s="4"/>
      <c r="AD72" s="4"/>
      <c r="AE72" s="5"/>
      <c r="AH72" s="6" t="s">
        <v>4</v>
      </c>
      <c r="AI72" s="9"/>
      <c r="AJ72" s="4"/>
      <c r="AK72" s="4"/>
      <c r="AL72" s="4"/>
      <c r="AM72" s="4"/>
      <c r="AN72" s="5"/>
    </row>
    <row r="73" spans="1:40" ht="15.75" thickBot="1" x14ac:dyDescent="0.3">
      <c r="A73" s="97"/>
      <c r="B73" s="27">
        <v>20727</v>
      </c>
      <c r="C73" s="27"/>
      <c r="D73" s="27"/>
      <c r="E73" s="27">
        <v>23537</v>
      </c>
      <c r="F73" s="27">
        <f>SUM(C73-B73)</f>
        <v>-20727</v>
      </c>
      <c r="G73" s="20">
        <f>SUM(E73-D73)</f>
        <v>23537</v>
      </c>
      <c r="H73" s="21">
        <f>SUM(F73:G73)</f>
        <v>2810</v>
      </c>
      <c r="J73" s="7" t="s">
        <v>22</v>
      </c>
      <c r="K73" s="30">
        <v>189.01</v>
      </c>
      <c r="L73" s="31">
        <v>204.25</v>
      </c>
      <c r="M73" s="31">
        <v>265.62</v>
      </c>
      <c r="N73" s="31"/>
      <c r="O73" s="31"/>
      <c r="P73" s="31"/>
      <c r="Q73" s="31"/>
      <c r="R73" s="31"/>
      <c r="S73" s="31"/>
      <c r="T73" s="31"/>
      <c r="U73" s="32"/>
      <c r="Y73" s="7" t="s">
        <v>22</v>
      </c>
      <c r="Z73" s="10"/>
      <c r="AA73" s="11"/>
      <c r="AB73" s="11"/>
      <c r="AC73" s="11"/>
      <c r="AD73" s="11"/>
      <c r="AE73" s="12"/>
      <c r="AH73" s="7" t="s">
        <v>22</v>
      </c>
      <c r="AI73" s="10"/>
      <c r="AJ73" s="11"/>
      <c r="AK73" s="11"/>
      <c r="AL73" s="11"/>
      <c r="AM73" s="11"/>
      <c r="AN73" s="12"/>
    </row>
    <row r="74" spans="1:40" x14ac:dyDescent="0.25">
      <c r="J74" s="8"/>
      <c r="T74" s="8" t="s">
        <v>23</v>
      </c>
      <c r="U74" s="13">
        <f>SUM(K73:U73)</f>
        <v>658.88</v>
      </c>
      <c r="AD74" s="8" t="s">
        <v>23</v>
      </c>
      <c r="AE74" s="13">
        <f>SUM(Z73:AE73)</f>
        <v>0</v>
      </c>
      <c r="AM74" s="8" t="s">
        <v>23</v>
      </c>
      <c r="AN74" s="13">
        <f>SUM(AI73:AN73)</f>
        <v>0</v>
      </c>
    </row>
    <row r="75" spans="1:40" ht="15.75" thickBot="1" x14ac:dyDescent="0.3">
      <c r="A75" s="19"/>
      <c r="B75" s="99" t="s">
        <v>15</v>
      </c>
      <c r="C75" s="99"/>
      <c r="D75" s="99"/>
      <c r="E75" s="99"/>
      <c r="F75" s="99"/>
      <c r="G75" s="99"/>
      <c r="H75" s="99"/>
      <c r="J75" s="100" t="s">
        <v>15</v>
      </c>
      <c r="K75" s="100"/>
      <c r="L75" s="100"/>
      <c r="M75" s="100"/>
      <c r="N75" s="100"/>
      <c r="O75" s="100"/>
      <c r="P75" s="100"/>
      <c r="Q75" s="100"/>
      <c r="R75" s="100"/>
      <c r="S75" s="100"/>
      <c r="T75" s="100"/>
      <c r="U75" s="100"/>
      <c r="Y75" s="101" t="str">
        <f>J75</f>
        <v>Maio</v>
      </c>
      <c r="Z75" s="101"/>
      <c r="AA75" s="101"/>
      <c r="AB75" s="101"/>
      <c r="AC75" s="101"/>
      <c r="AD75" s="101"/>
      <c r="AE75" s="101"/>
      <c r="AH75" s="102" t="str">
        <f>Y75</f>
        <v>Maio</v>
      </c>
      <c r="AI75" s="102"/>
      <c r="AJ75" s="102"/>
      <c r="AK75" s="102"/>
      <c r="AL75" s="102"/>
      <c r="AM75" s="102"/>
      <c r="AN75" s="102"/>
    </row>
    <row r="76" spans="1:40" ht="15.75" thickBot="1" x14ac:dyDescent="0.3">
      <c r="A76" s="97" t="s">
        <v>5</v>
      </c>
      <c r="B76" s="34" t="s">
        <v>6</v>
      </c>
      <c r="C76" s="22" t="s">
        <v>7</v>
      </c>
      <c r="D76" s="33" t="s">
        <v>8</v>
      </c>
      <c r="E76" s="22" t="s">
        <v>9</v>
      </c>
      <c r="F76" s="24" t="s">
        <v>10</v>
      </c>
      <c r="G76" s="23" t="s">
        <v>11</v>
      </c>
      <c r="H76" s="25" t="s">
        <v>12</v>
      </c>
      <c r="J76" s="6" t="s">
        <v>4</v>
      </c>
      <c r="K76" s="9"/>
      <c r="L76" s="4"/>
      <c r="M76" s="4"/>
      <c r="N76" s="4"/>
      <c r="O76" s="4"/>
      <c r="P76" s="4"/>
      <c r="Q76" s="4"/>
      <c r="R76" s="4"/>
      <c r="S76" s="4"/>
      <c r="T76" s="4"/>
      <c r="U76" s="5"/>
      <c r="Y76" s="6" t="s">
        <v>4</v>
      </c>
      <c r="Z76" s="9"/>
      <c r="AA76" s="4"/>
      <c r="AB76" s="4"/>
      <c r="AC76" s="4"/>
      <c r="AD76" s="4"/>
      <c r="AE76" s="5"/>
      <c r="AH76" s="6" t="s">
        <v>4</v>
      </c>
      <c r="AI76" s="9"/>
      <c r="AJ76" s="4"/>
      <c r="AK76" s="4"/>
      <c r="AL76" s="4"/>
      <c r="AM76" s="4"/>
      <c r="AN76" s="5"/>
    </row>
    <row r="77" spans="1:40" ht="15.75" thickBot="1" x14ac:dyDescent="0.3">
      <c r="A77" s="97"/>
      <c r="B77" s="27">
        <v>23537</v>
      </c>
      <c r="C77" s="27"/>
      <c r="D77" s="27"/>
      <c r="E77" s="27">
        <v>26437</v>
      </c>
      <c r="F77" s="27">
        <f>SUM(C77-B77)</f>
        <v>-23537</v>
      </c>
      <c r="G77" s="20">
        <f>SUM(E77-D77)</f>
        <v>26437</v>
      </c>
      <c r="H77" s="21">
        <f>SUM(F77:G77)</f>
        <v>2900</v>
      </c>
      <c r="J77" s="7" t="s">
        <v>22</v>
      </c>
      <c r="K77" s="10"/>
      <c r="L77" s="11"/>
      <c r="M77" s="11"/>
      <c r="N77" s="11"/>
      <c r="O77" s="11"/>
      <c r="P77" s="11"/>
      <c r="Q77" s="11"/>
      <c r="R77" s="11"/>
      <c r="S77" s="11"/>
      <c r="T77" s="11"/>
      <c r="U77" s="12"/>
      <c r="Y77" s="7" t="s">
        <v>22</v>
      </c>
      <c r="Z77" s="10"/>
      <c r="AA77" s="11"/>
      <c r="AB77" s="11"/>
      <c r="AC77" s="11"/>
      <c r="AD77" s="11"/>
      <c r="AE77" s="12"/>
      <c r="AH77" s="7" t="s">
        <v>22</v>
      </c>
      <c r="AI77" s="10"/>
      <c r="AJ77" s="11"/>
      <c r="AK77" s="11"/>
      <c r="AL77" s="11"/>
      <c r="AM77" s="11"/>
      <c r="AN77" s="12"/>
    </row>
    <row r="78" spans="1:40" x14ac:dyDescent="0.25">
      <c r="J78" s="8"/>
      <c r="T78" s="8" t="s">
        <v>23</v>
      </c>
      <c r="U78" s="13">
        <f>SUM(K77:U77)</f>
        <v>0</v>
      </c>
      <c r="AD78" s="8" t="s">
        <v>23</v>
      </c>
      <c r="AE78" s="13">
        <f>SUM(Z77:AE77)</f>
        <v>0</v>
      </c>
      <c r="AM78" s="8" t="s">
        <v>23</v>
      </c>
      <c r="AN78" s="13">
        <f>SUM(AI77:AN77)</f>
        <v>0</v>
      </c>
    </row>
    <row r="79" spans="1:40" ht="15.75" thickBot="1" x14ac:dyDescent="0.3">
      <c r="A79" s="19"/>
      <c r="B79" s="99" t="s">
        <v>24</v>
      </c>
      <c r="C79" s="99"/>
      <c r="D79" s="99"/>
      <c r="E79" s="99"/>
      <c r="F79" s="99"/>
      <c r="G79" s="99"/>
      <c r="H79" s="99"/>
      <c r="J79" s="100" t="s">
        <v>24</v>
      </c>
      <c r="K79" s="100"/>
      <c r="L79" s="100"/>
      <c r="M79" s="100"/>
      <c r="N79" s="100"/>
      <c r="O79" s="100"/>
      <c r="P79" s="100"/>
      <c r="Q79" s="100"/>
      <c r="R79" s="100"/>
      <c r="S79" s="100"/>
      <c r="T79" s="100"/>
      <c r="U79" s="100"/>
      <c r="Y79" s="101" t="str">
        <f>J79</f>
        <v>Junho</v>
      </c>
      <c r="Z79" s="101"/>
      <c r="AA79" s="101"/>
      <c r="AB79" s="101"/>
      <c r="AC79" s="101"/>
      <c r="AD79" s="101"/>
      <c r="AE79" s="101"/>
      <c r="AH79" s="102" t="str">
        <f>Y79</f>
        <v>Junho</v>
      </c>
      <c r="AI79" s="102"/>
      <c r="AJ79" s="102"/>
      <c r="AK79" s="102"/>
      <c r="AL79" s="102"/>
      <c r="AM79" s="102"/>
      <c r="AN79" s="102"/>
    </row>
    <row r="80" spans="1:40" ht="15.75" thickBot="1" x14ac:dyDescent="0.3">
      <c r="A80" s="97" t="s">
        <v>5</v>
      </c>
      <c r="B80" s="34" t="s">
        <v>6</v>
      </c>
      <c r="C80" s="22" t="s">
        <v>7</v>
      </c>
      <c r="D80" s="33" t="s">
        <v>8</v>
      </c>
      <c r="E80" s="22" t="s">
        <v>9</v>
      </c>
      <c r="F80" s="24" t="s">
        <v>10</v>
      </c>
      <c r="G80" s="23" t="s">
        <v>11</v>
      </c>
      <c r="H80" s="25" t="s">
        <v>12</v>
      </c>
      <c r="J80" s="6" t="s">
        <v>4</v>
      </c>
      <c r="K80" s="9"/>
      <c r="L80" s="4"/>
      <c r="M80" s="4"/>
      <c r="N80" s="4"/>
      <c r="O80" s="4"/>
      <c r="P80" s="4"/>
      <c r="Q80" s="4"/>
      <c r="R80" s="4"/>
      <c r="S80" s="4"/>
      <c r="T80" s="4"/>
      <c r="U80" s="5"/>
      <c r="Y80" s="6" t="s">
        <v>4</v>
      </c>
      <c r="Z80" s="9"/>
      <c r="AA80" s="4"/>
      <c r="AB80" s="4"/>
      <c r="AC80" s="4"/>
      <c r="AD80" s="4"/>
      <c r="AE80" s="5"/>
      <c r="AH80" s="6" t="s">
        <v>4</v>
      </c>
      <c r="AI80" s="9"/>
      <c r="AJ80" s="4"/>
      <c r="AK80" s="4"/>
      <c r="AL80" s="4"/>
      <c r="AM80" s="4"/>
      <c r="AN80" s="5"/>
    </row>
    <row r="81" spans="1:40" ht="15.75" thickBot="1" x14ac:dyDescent="0.3">
      <c r="A81" s="97"/>
      <c r="B81" s="26"/>
      <c r="C81" s="27"/>
      <c r="D81" s="27"/>
      <c r="E81" s="27"/>
      <c r="F81" s="27">
        <f>SUM(C81-B81)</f>
        <v>0</v>
      </c>
      <c r="G81" s="20">
        <f>SUM(E81-D81)</f>
        <v>0</v>
      </c>
      <c r="H81" s="21">
        <f>SUM(F81:G81)</f>
        <v>0</v>
      </c>
      <c r="J81" s="7" t="s">
        <v>22</v>
      </c>
      <c r="K81" s="10"/>
      <c r="L81" s="11"/>
      <c r="M81" s="11"/>
      <c r="N81" s="11"/>
      <c r="O81" s="11"/>
      <c r="P81" s="11"/>
      <c r="Q81" s="11"/>
      <c r="R81" s="11"/>
      <c r="S81" s="11"/>
      <c r="T81" s="11"/>
      <c r="U81" s="12"/>
      <c r="Y81" s="7" t="s">
        <v>22</v>
      </c>
      <c r="Z81" s="10"/>
      <c r="AA81" s="11"/>
      <c r="AB81" s="11"/>
      <c r="AC81" s="11"/>
      <c r="AD81" s="11"/>
      <c r="AE81" s="12"/>
      <c r="AH81" s="7" t="s">
        <v>22</v>
      </c>
      <c r="AI81" s="10"/>
      <c r="AJ81" s="11"/>
      <c r="AK81" s="11"/>
      <c r="AL81" s="11"/>
      <c r="AM81" s="11"/>
      <c r="AN81" s="12"/>
    </row>
    <row r="82" spans="1:40" x14ac:dyDescent="0.25">
      <c r="J82" s="8"/>
      <c r="T82" s="8" t="s">
        <v>23</v>
      </c>
      <c r="U82" s="13">
        <f>SUM(K81:U81)</f>
        <v>0</v>
      </c>
      <c r="AD82" s="8" t="s">
        <v>23</v>
      </c>
      <c r="AE82" s="13">
        <f>SUM(Z81:AE81)</f>
        <v>0</v>
      </c>
      <c r="AM82" s="8" t="s">
        <v>23</v>
      </c>
      <c r="AN82" s="13">
        <f>SUM(AI81:AN81)</f>
        <v>0</v>
      </c>
    </row>
    <row r="83" spans="1:40" ht="15.75" thickBot="1" x14ac:dyDescent="0.3">
      <c r="A83" s="19"/>
      <c r="B83" s="99" t="s">
        <v>16</v>
      </c>
      <c r="C83" s="99"/>
      <c r="D83" s="99"/>
      <c r="E83" s="99"/>
      <c r="F83" s="99"/>
      <c r="G83" s="99"/>
      <c r="H83" s="99"/>
      <c r="J83" s="100" t="s">
        <v>16</v>
      </c>
      <c r="K83" s="100"/>
      <c r="L83" s="100"/>
      <c r="M83" s="100"/>
      <c r="N83" s="100"/>
      <c r="O83" s="100"/>
      <c r="P83" s="100"/>
      <c r="Q83" s="100"/>
      <c r="R83" s="100"/>
      <c r="S83" s="100"/>
      <c r="T83" s="100"/>
      <c r="U83" s="100"/>
      <c r="Y83" s="101" t="str">
        <f>J83</f>
        <v>Julho</v>
      </c>
      <c r="Z83" s="101"/>
      <c r="AA83" s="101"/>
      <c r="AB83" s="101"/>
      <c r="AC83" s="101"/>
      <c r="AD83" s="101"/>
      <c r="AE83" s="101"/>
      <c r="AH83" s="102" t="str">
        <f>Y83</f>
        <v>Julho</v>
      </c>
      <c r="AI83" s="102"/>
      <c r="AJ83" s="102"/>
      <c r="AK83" s="102"/>
      <c r="AL83" s="102"/>
      <c r="AM83" s="102"/>
      <c r="AN83" s="102"/>
    </row>
    <row r="84" spans="1:40" ht="15.75" thickBot="1" x14ac:dyDescent="0.3">
      <c r="A84" s="97" t="s">
        <v>5</v>
      </c>
      <c r="B84" s="34" t="s">
        <v>6</v>
      </c>
      <c r="C84" s="22" t="s">
        <v>7</v>
      </c>
      <c r="D84" s="33" t="s">
        <v>8</v>
      </c>
      <c r="E84" s="22" t="s">
        <v>9</v>
      </c>
      <c r="F84" s="24" t="s">
        <v>10</v>
      </c>
      <c r="G84" s="23" t="s">
        <v>11</v>
      </c>
      <c r="H84" s="25" t="s">
        <v>12</v>
      </c>
      <c r="J84" s="6" t="s">
        <v>4</v>
      </c>
      <c r="K84" s="9"/>
      <c r="L84" s="4"/>
      <c r="M84" s="4"/>
      <c r="N84" s="4"/>
      <c r="O84" s="4"/>
      <c r="P84" s="4"/>
      <c r="Q84" s="4"/>
      <c r="R84" s="4"/>
      <c r="S84" s="4"/>
      <c r="T84" s="4"/>
      <c r="U84" s="5"/>
      <c r="Y84" s="6" t="s">
        <v>4</v>
      </c>
      <c r="Z84" s="9"/>
      <c r="AA84" s="4"/>
      <c r="AB84" s="4"/>
      <c r="AC84" s="4"/>
      <c r="AD84" s="4"/>
      <c r="AE84" s="5"/>
      <c r="AH84" s="6" t="s">
        <v>4</v>
      </c>
      <c r="AI84" s="9"/>
      <c r="AJ84" s="4"/>
      <c r="AK84" s="4"/>
      <c r="AL84" s="4"/>
      <c r="AM84" s="4"/>
      <c r="AN84" s="5"/>
    </row>
    <row r="85" spans="1:40" ht="15.75" thickBot="1" x14ac:dyDescent="0.3">
      <c r="A85" s="97"/>
      <c r="B85" s="26"/>
      <c r="C85" s="27"/>
      <c r="D85" s="27"/>
      <c r="E85" s="27"/>
      <c r="F85" s="27">
        <f>SUM(C85-B85)</f>
        <v>0</v>
      </c>
      <c r="G85" s="20">
        <f>SUM(E85-D85)</f>
        <v>0</v>
      </c>
      <c r="H85" s="21">
        <f>SUM(F85:G85)</f>
        <v>0</v>
      </c>
      <c r="J85" s="7" t="s">
        <v>22</v>
      </c>
      <c r="K85" s="10"/>
      <c r="L85" s="11"/>
      <c r="M85" s="11"/>
      <c r="N85" s="11"/>
      <c r="O85" s="11"/>
      <c r="P85" s="11"/>
      <c r="Q85" s="11"/>
      <c r="R85" s="11"/>
      <c r="S85" s="11"/>
      <c r="T85" s="11"/>
      <c r="U85" s="12"/>
      <c r="Y85" s="7" t="s">
        <v>22</v>
      </c>
      <c r="Z85" s="10"/>
      <c r="AA85" s="11"/>
      <c r="AB85" s="11"/>
      <c r="AC85" s="11"/>
      <c r="AD85" s="11"/>
      <c r="AE85" s="12"/>
      <c r="AH85" s="7" t="s">
        <v>22</v>
      </c>
      <c r="AI85" s="10"/>
      <c r="AJ85" s="11"/>
      <c r="AK85" s="11"/>
      <c r="AL85" s="11"/>
      <c r="AM85" s="11"/>
      <c r="AN85" s="12"/>
    </row>
    <row r="86" spans="1:40" x14ac:dyDescent="0.25">
      <c r="J86" s="8"/>
      <c r="T86" s="8" t="s">
        <v>23</v>
      </c>
      <c r="U86" s="13">
        <f>SUM(K85:U85)</f>
        <v>0</v>
      </c>
      <c r="AD86" s="8" t="s">
        <v>23</v>
      </c>
      <c r="AE86" s="13">
        <f>SUM(Z85:AE85)</f>
        <v>0</v>
      </c>
      <c r="AM86" s="8" t="s">
        <v>23</v>
      </c>
      <c r="AN86" s="13">
        <f>SUM(AI85:AN85)</f>
        <v>0</v>
      </c>
    </row>
    <row r="87" spans="1:40" ht="15.75" thickBot="1" x14ac:dyDescent="0.3">
      <c r="A87" s="19"/>
      <c r="B87" s="99" t="s">
        <v>17</v>
      </c>
      <c r="C87" s="99"/>
      <c r="D87" s="99"/>
      <c r="E87" s="99"/>
      <c r="F87" s="99"/>
      <c r="G87" s="99"/>
      <c r="H87" s="99"/>
      <c r="J87" s="100" t="s">
        <v>17</v>
      </c>
      <c r="K87" s="100"/>
      <c r="L87" s="100"/>
      <c r="M87" s="100"/>
      <c r="N87" s="100"/>
      <c r="O87" s="100"/>
      <c r="P87" s="100"/>
      <c r="Q87" s="100"/>
      <c r="R87" s="100"/>
      <c r="S87" s="100"/>
      <c r="T87" s="100"/>
      <c r="U87" s="100"/>
      <c r="Y87" s="101" t="str">
        <f>J87</f>
        <v>Agosto</v>
      </c>
      <c r="Z87" s="101"/>
      <c r="AA87" s="101"/>
      <c r="AB87" s="101"/>
      <c r="AC87" s="101"/>
      <c r="AD87" s="101"/>
      <c r="AE87" s="101"/>
      <c r="AH87" s="102" t="str">
        <f>Y87</f>
        <v>Agosto</v>
      </c>
      <c r="AI87" s="102"/>
      <c r="AJ87" s="102"/>
      <c r="AK87" s="102"/>
      <c r="AL87" s="102"/>
      <c r="AM87" s="102"/>
      <c r="AN87" s="102"/>
    </row>
    <row r="88" spans="1:40" ht="15.75" thickBot="1" x14ac:dyDescent="0.3">
      <c r="A88" s="97" t="s">
        <v>5</v>
      </c>
      <c r="B88" s="34" t="s">
        <v>6</v>
      </c>
      <c r="C88" s="22" t="s">
        <v>7</v>
      </c>
      <c r="D88" s="33" t="s">
        <v>8</v>
      </c>
      <c r="E88" s="22" t="s">
        <v>9</v>
      </c>
      <c r="F88" s="24" t="s">
        <v>10</v>
      </c>
      <c r="G88" s="23" t="s">
        <v>11</v>
      </c>
      <c r="H88" s="25" t="s">
        <v>12</v>
      </c>
      <c r="J88" s="6" t="s">
        <v>4</v>
      </c>
      <c r="K88" s="9"/>
      <c r="L88" s="4"/>
      <c r="M88" s="4"/>
      <c r="N88" s="4"/>
      <c r="O88" s="4"/>
      <c r="P88" s="4"/>
      <c r="Q88" s="4"/>
      <c r="R88" s="4"/>
      <c r="S88" s="4"/>
      <c r="T88" s="4"/>
      <c r="U88" s="5"/>
      <c r="Y88" s="6" t="s">
        <v>4</v>
      </c>
      <c r="Z88" s="9"/>
      <c r="AA88" s="4"/>
      <c r="AB88" s="4"/>
      <c r="AC88" s="4"/>
      <c r="AD88" s="4"/>
      <c r="AE88" s="5"/>
      <c r="AH88" s="6" t="s">
        <v>4</v>
      </c>
      <c r="AI88" s="9"/>
      <c r="AJ88" s="4"/>
      <c r="AK88" s="4"/>
      <c r="AL88" s="4"/>
      <c r="AM88" s="4"/>
      <c r="AN88" s="5"/>
    </row>
    <row r="89" spans="1:40" ht="15.75" thickBot="1" x14ac:dyDescent="0.3">
      <c r="A89" s="97"/>
      <c r="B89" s="26"/>
      <c r="C89" s="27"/>
      <c r="D89" s="27"/>
      <c r="E89" s="27"/>
      <c r="F89" s="27">
        <f>SUM(C89-B89)</f>
        <v>0</v>
      </c>
      <c r="G89" s="20">
        <f>SUM(E89-D89)</f>
        <v>0</v>
      </c>
      <c r="H89" s="21">
        <f>SUM(F89:G89)</f>
        <v>0</v>
      </c>
      <c r="J89" s="7" t="s">
        <v>22</v>
      </c>
      <c r="K89" s="10"/>
      <c r="L89" s="11"/>
      <c r="M89" s="11"/>
      <c r="N89" s="11"/>
      <c r="O89" s="11"/>
      <c r="P89" s="11"/>
      <c r="Q89" s="11"/>
      <c r="R89" s="11"/>
      <c r="S89" s="11"/>
      <c r="T89" s="11"/>
      <c r="U89" s="12"/>
      <c r="Y89" s="7" t="s">
        <v>22</v>
      </c>
      <c r="Z89" s="10"/>
      <c r="AA89" s="11"/>
      <c r="AB89" s="11"/>
      <c r="AC89" s="11"/>
      <c r="AD89" s="11"/>
      <c r="AE89" s="12"/>
      <c r="AH89" s="7" t="s">
        <v>22</v>
      </c>
      <c r="AI89" s="10"/>
      <c r="AJ89" s="11"/>
      <c r="AK89" s="11"/>
      <c r="AL89" s="11"/>
      <c r="AM89" s="11"/>
      <c r="AN89" s="12"/>
    </row>
    <row r="90" spans="1:40" x14ac:dyDescent="0.25">
      <c r="J90" s="8"/>
      <c r="T90" s="8" t="s">
        <v>23</v>
      </c>
      <c r="U90" s="13">
        <f>SUM(K89:U89)</f>
        <v>0</v>
      </c>
      <c r="AD90" s="8" t="s">
        <v>23</v>
      </c>
      <c r="AE90" s="13">
        <f>SUM(Z89:AE89)</f>
        <v>0</v>
      </c>
      <c r="AM90" s="8" t="s">
        <v>23</v>
      </c>
      <c r="AN90" s="13">
        <f>SUM(AI89:AN89)</f>
        <v>0</v>
      </c>
    </row>
    <row r="91" spans="1:40" ht="15.75" thickBot="1" x14ac:dyDescent="0.3">
      <c r="A91" s="19"/>
      <c r="B91" s="99" t="s">
        <v>18</v>
      </c>
      <c r="C91" s="99"/>
      <c r="D91" s="99"/>
      <c r="E91" s="99"/>
      <c r="F91" s="99"/>
      <c r="G91" s="99"/>
      <c r="H91" s="99"/>
      <c r="J91" s="100" t="s">
        <v>18</v>
      </c>
      <c r="K91" s="100"/>
      <c r="L91" s="100"/>
      <c r="M91" s="100"/>
      <c r="N91" s="100"/>
      <c r="O91" s="100"/>
      <c r="P91" s="100"/>
      <c r="Q91" s="100"/>
      <c r="R91" s="100"/>
      <c r="S91" s="100"/>
      <c r="T91" s="100"/>
      <c r="U91" s="100"/>
      <c r="Y91" s="101" t="str">
        <f>J91</f>
        <v>Setembro</v>
      </c>
      <c r="Z91" s="101"/>
      <c r="AA91" s="101"/>
      <c r="AB91" s="101"/>
      <c r="AC91" s="101"/>
      <c r="AD91" s="101"/>
      <c r="AE91" s="101"/>
      <c r="AH91" s="102" t="str">
        <f>Y91</f>
        <v>Setembro</v>
      </c>
      <c r="AI91" s="102"/>
      <c r="AJ91" s="102"/>
      <c r="AK91" s="102"/>
      <c r="AL91" s="102"/>
      <c r="AM91" s="102"/>
      <c r="AN91" s="102"/>
    </row>
    <row r="92" spans="1:40" ht="15.75" thickBot="1" x14ac:dyDescent="0.3">
      <c r="A92" s="97" t="s">
        <v>5</v>
      </c>
      <c r="B92" s="34" t="s">
        <v>6</v>
      </c>
      <c r="C92" s="22" t="s">
        <v>7</v>
      </c>
      <c r="D92" s="33" t="s">
        <v>8</v>
      </c>
      <c r="E92" s="22" t="s">
        <v>9</v>
      </c>
      <c r="F92" s="24" t="s">
        <v>10</v>
      </c>
      <c r="G92" s="23" t="s">
        <v>11</v>
      </c>
      <c r="H92" s="25" t="s">
        <v>12</v>
      </c>
      <c r="J92" s="6" t="s">
        <v>4</v>
      </c>
      <c r="K92" s="9"/>
      <c r="L92" s="4"/>
      <c r="M92" s="4"/>
      <c r="N92" s="4"/>
      <c r="O92" s="4"/>
      <c r="P92" s="4"/>
      <c r="Q92" s="4"/>
      <c r="R92" s="4"/>
      <c r="S92" s="4"/>
      <c r="T92" s="4"/>
      <c r="U92" s="5"/>
      <c r="Y92" s="6" t="s">
        <v>4</v>
      </c>
      <c r="Z92" s="9"/>
      <c r="AA92" s="4"/>
      <c r="AB92" s="4"/>
      <c r="AC92" s="4"/>
      <c r="AD92" s="4"/>
      <c r="AE92" s="5"/>
      <c r="AH92" s="6" t="s">
        <v>4</v>
      </c>
      <c r="AI92" s="9"/>
      <c r="AJ92" s="4"/>
      <c r="AK92" s="4"/>
      <c r="AL92" s="4"/>
      <c r="AM92" s="4"/>
      <c r="AN92" s="5"/>
    </row>
    <row r="93" spans="1:40" ht="15.75" thickBot="1" x14ac:dyDescent="0.3">
      <c r="A93" s="97"/>
      <c r="B93" s="26"/>
      <c r="C93" s="27"/>
      <c r="D93" s="27"/>
      <c r="E93" s="27"/>
      <c r="F93" s="27">
        <f>SUM(C93-B93)</f>
        <v>0</v>
      </c>
      <c r="G93" s="20">
        <f>SUM(E93-D93)</f>
        <v>0</v>
      </c>
      <c r="H93" s="21">
        <f>SUM(F93:G93)</f>
        <v>0</v>
      </c>
      <c r="J93" s="7" t="s">
        <v>22</v>
      </c>
      <c r="K93" s="10"/>
      <c r="L93" s="11"/>
      <c r="M93" s="11"/>
      <c r="N93" s="11"/>
      <c r="O93" s="11"/>
      <c r="P93" s="11"/>
      <c r="Q93" s="11"/>
      <c r="R93" s="11"/>
      <c r="S93" s="11"/>
      <c r="T93" s="11"/>
      <c r="U93" s="12"/>
      <c r="Y93" s="7" t="s">
        <v>22</v>
      </c>
      <c r="Z93" s="10"/>
      <c r="AA93" s="11"/>
      <c r="AB93" s="11"/>
      <c r="AC93" s="11"/>
      <c r="AD93" s="11"/>
      <c r="AE93" s="12"/>
      <c r="AH93" s="7" t="s">
        <v>22</v>
      </c>
      <c r="AI93" s="10"/>
      <c r="AJ93" s="11"/>
      <c r="AK93" s="11"/>
      <c r="AL93" s="11"/>
      <c r="AM93" s="11"/>
      <c r="AN93" s="12"/>
    </row>
    <row r="94" spans="1:40" x14ac:dyDescent="0.25">
      <c r="J94" s="8"/>
      <c r="T94" s="8" t="s">
        <v>23</v>
      </c>
      <c r="U94" s="13">
        <f>SUM(K93:U93)</f>
        <v>0</v>
      </c>
      <c r="AD94" s="8" t="s">
        <v>23</v>
      </c>
      <c r="AE94" s="13">
        <f>SUM(Z93:AE93)</f>
        <v>0</v>
      </c>
      <c r="AM94" s="8" t="s">
        <v>23</v>
      </c>
      <c r="AN94" s="13">
        <f>SUM(AI93:AN93)</f>
        <v>0</v>
      </c>
    </row>
  </sheetData>
  <mergeCells count="118">
    <mergeCell ref="B27:H27"/>
    <mergeCell ref="J27:U27"/>
    <mergeCell ref="W27:AC27"/>
    <mergeCell ref="AE27:AK27"/>
    <mergeCell ref="A28:A29"/>
    <mergeCell ref="A56:A57"/>
    <mergeCell ref="B47:H47"/>
    <mergeCell ref="J47:U47"/>
    <mergeCell ref="W47:AC47"/>
    <mergeCell ref="AE47:AK47"/>
    <mergeCell ref="A48:A49"/>
    <mergeCell ref="B51:H51"/>
    <mergeCell ref="J51:U51"/>
    <mergeCell ref="W51:AC51"/>
    <mergeCell ref="AE51:AK51"/>
    <mergeCell ref="A52:A53"/>
    <mergeCell ref="B55:H55"/>
    <mergeCell ref="J55:U55"/>
    <mergeCell ref="W55:AC55"/>
    <mergeCell ref="AE55:AK55"/>
    <mergeCell ref="A36:A37"/>
    <mergeCell ref="B43:H43"/>
    <mergeCell ref="J43:U43"/>
    <mergeCell ref="W43:AC43"/>
    <mergeCell ref="J19:U19"/>
    <mergeCell ref="W19:AC19"/>
    <mergeCell ref="AE19:AK19"/>
    <mergeCell ref="A20:A21"/>
    <mergeCell ref="B23:H23"/>
    <mergeCell ref="J23:U23"/>
    <mergeCell ref="W23:AC23"/>
    <mergeCell ref="AE23:AK23"/>
    <mergeCell ref="A24:A25"/>
    <mergeCell ref="B19:H19"/>
    <mergeCell ref="J11:U11"/>
    <mergeCell ref="W11:AC11"/>
    <mergeCell ref="AE11:AK11"/>
    <mergeCell ref="J9:U9"/>
    <mergeCell ref="A12:A13"/>
    <mergeCell ref="W9:AC9"/>
    <mergeCell ref="AE9:AK9"/>
    <mergeCell ref="J15:U15"/>
    <mergeCell ref="W15:AC15"/>
    <mergeCell ref="AE15:AK15"/>
    <mergeCell ref="B2:C2"/>
    <mergeCell ref="E2:F2"/>
    <mergeCell ref="B6:C6"/>
    <mergeCell ref="E6:F6"/>
    <mergeCell ref="A9:H9"/>
    <mergeCell ref="B4:C4"/>
    <mergeCell ref="E4:F4"/>
    <mergeCell ref="E3:F3"/>
    <mergeCell ref="A16:A17"/>
    <mergeCell ref="B11:H11"/>
    <mergeCell ref="B15:H15"/>
    <mergeCell ref="E5:F5"/>
    <mergeCell ref="B5:C5"/>
    <mergeCell ref="B63:H63"/>
    <mergeCell ref="J63:U63"/>
    <mergeCell ref="Y63:AE63"/>
    <mergeCell ref="AH63:AN63"/>
    <mergeCell ref="A64:A65"/>
    <mergeCell ref="B59:H59"/>
    <mergeCell ref="J59:U59"/>
    <mergeCell ref="Y59:AE59"/>
    <mergeCell ref="AH59:AN59"/>
    <mergeCell ref="A60:A61"/>
    <mergeCell ref="A44:A45"/>
    <mergeCell ref="B31:H31"/>
    <mergeCell ref="J31:U31"/>
    <mergeCell ref="W31:AC31"/>
    <mergeCell ref="AE31:AK31"/>
    <mergeCell ref="A32:A33"/>
    <mergeCell ref="B35:H35"/>
    <mergeCell ref="J35:U35"/>
    <mergeCell ref="W35:AC35"/>
    <mergeCell ref="AE35:AK35"/>
    <mergeCell ref="AE39:AK39"/>
    <mergeCell ref="A40:A41"/>
    <mergeCell ref="AE43:AK43"/>
    <mergeCell ref="B39:H39"/>
    <mergeCell ref="J39:U39"/>
    <mergeCell ref="W39:AC39"/>
    <mergeCell ref="Y75:AE75"/>
    <mergeCell ref="AH75:AN75"/>
    <mergeCell ref="A76:A77"/>
    <mergeCell ref="B71:H71"/>
    <mergeCell ref="J71:U71"/>
    <mergeCell ref="Y71:AE71"/>
    <mergeCell ref="AH71:AN71"/>
    <mergeCell ref="A72:A73"/>
    <mergeCell ref="B67:H67"/>
    <mergeCell ref="J67:U67"/>
    <mergeCell ref="Y67:AE67"/>
    <mergeCell ref="AH67:AN67"/>
    <mergeCell ref="A68:A69"/>
    <mergeCell ref="B75:H75"/>
    <mergeCell ref="J75:U75"/>
    <mergeCell ref="B91:H91"/>
    <mergeCell ref="J91:U91"/>
    <mergeCell ref="Y91:AE91"/>
    <mergeCell ref="AH91:AN91"/>
    <mergeCell ref="A92:A93"/>
    <mergeCell ref="B87:H87"/>
    <mergeCell ref="J87:U87"/>
    <mergeCell ref="Y87:AE87"/>
    <mergeCell ref="AH87:AN87"/>
    <mergeCell ref="A88:A89"/>
    <mergeCell ref="B83:H83"/>
    <mergeCell ref="J83:U83"/>
    <mergeCell ref="Y83:AE83"/>
    <mergeCell ref="AH83:AN83"/>
    <mergeCell ref="A84:A85"/>
    <mergeCell ref="B79:H79"/>
    <mergeCell ref="J79:U79"/>
    <mergeCell ref="Y79:AE79"/>
    <mergeCell ref="AH79:AN79"/>
    <mergeCell ref="A80:A81"/>
  </mergeCells>
  <phoneticPr fontId="3" type="noConversion"/>
  <pageMargins left="0.511811024" right="0.511811024" top="0.78740157499999996" bottom="0.78740157499999996" header="0.31496062000000002" footer="0.31496062000000002"/>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N90"/>
  <sheetViews>
    <sheetView showGridLines="0" topLeftCell="A52" workbookViewId="0">
      <selection activeCell="I78" sqref="I78"/>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8" width="10.42578125" bestFit="1" customWidth="1"/>
    <col min="21" max="21" width="12.140625" bestFit="1" customWidth="1"/>
    <col min="37" max="39" width="10.140625" bestFit="1" customWidth="1"/>
  </cols>
  <sheetData>
    <row r="2" spans="1:40" x14ac:dyDescent="0.25">
      <c r="A2" t="s">
        <v>0</v>
      </c>
      <c r="B2" s="94" t="s">
        <v>101</v>
      </c>
      <c r="C2" s="94"/>
      <c r="D2" s="1" t="s">
        <v>1</v>
      </c>
      <c r="E2" s="94" t="s">
        <v>119</v>
      </c>
      <c r="F2" s="94"/>
      <c r="H2" t="s">
        <v>91</v>
      </c>
      <c r="I2" s="75">
        <v>3000</v>
      </c>
    </row>
    <row r="3" spans="1:40" x14ac:dyDescent="0.25">
      <c r="A3" s="78" t="s">
        <v>95</v>
      </c>
      <c r="B3" s="77">
        <v>46032</v>
      </c>
      <c r="C3" s="73"/>
      <c r="D3" s="1" t="s">
        <v>1</v>
      </c>
      <c r="E3" s="94" t="s">
        <v>119</v>
      </c>
      <c r="F3" s="94"/>
      <c r="H3" t="s">
        <v>97</v>
      </c>
      <c r="I3" s="67" t="s">
        <v>136</v>
      </c>
    </row>
    <row r="4" spans="1:40" x14ac:dyDescent="0.25">
      <c r="A4" s="78" t="s">
        <v>95</v>
      </c>
      <c r="B4" s="108">
        <v>46150</v>
      </c>
      <c r="C4" s="94"/>
      <c r="D4" s="1" t="s">
        <v>1</v>
      </c>
      <c r="E4" s="94" t="s">
        <v>119</v>
      </c>
      <c r="F4" s="94"/>
      <c r="H4" t="s">
        <v>97</v>
      </c>
      <c r="I4" s="67" t="s">
        <v>154</v>
      </c>
    </row>
    <row r="5" spans="1:40" x14ac:dyDescent="0.25">
      <c r="A5" t="s">
        <v>79</v>
      </c>
      <c r="B5" s="94"/>
      <c r="C5" s="94"/>
      <c r="D5" s="1" t="s">
        <v>1</v>
      </c>
      <c r="E5" s="94"/>
      <c r="F5" s="94"/>
      <c r="H5" t="s">
        <v>80</v>
      </c>
      <c r="I5" s="54"/>
    </row>
    <row r="6" spans="1:40" x14ac:dyDescent="0.25">
      <c r="A6" t="s">
        <v>2</v>
      </c>
      <c r="B6" s="95">
        <v>2484</v>
      </c>
      <c r="C6" s="95"/>
      <c r="D6" s="1" t="s">
        <v>29</v>
      </c>
      <c r="E6" s="110">
        <v>45</v>
      </c>
      <c r="F6" s="110"/>
      <c r="H6" t="s">
        <v>118</v>
      </c>
      <c r="I6" s="76">
        <v>45911</v>
      </c>
    </row>
    <row r="8" spans="1:40" x14ac:dyDescent="0.25">
      <c r="A8" s="91"/>
    </row>
    <row r="9" spans="1:40" ht="21" x14ac:dyDescent="0.35">
      <c r="A9" s="96" t="s">
        <v>28</v>
      </c>
      <c r="B9" s="96"/>
      <c r="C9" s="96"/>
      <c r="D9" s="96"/>
      <c r="E9" s="96"/>
      <c r="F9" s="96"/>
      <c r="G9" s="96"/>
      <c r="H9" s="96"/>
      <c r="J9" s="103" t="s">
        <v>26</v>
      </c>
      <c r="K9" s="103"/>
      <c r="L9" s="103"/>
      <c r="M9" s="103"/>
      <c r="N9" s="103"/>
      <c r="O9" s="103"/>
      <c r="P9" s="103"/>
      <c r="Q9" s="103"/>
      <c r="R9" s="103"/>
      <c r="S9" s="103"/>
      <c r="T9" s="103"/>
      <c r="U9" s="103"/>
      <c r="V9" s="2"/>
      <c r="W9" s="2"/>
      <c r="X9" s="2"/>
      <c r="Y9" s="98" t="s">
        <v>25</v>
      </c>
      <c r="Z9" s="98"/>
      <c r="AA9" s="98"/>
      <c r="AB9" s="98"/>
      <c r="AC9" s="98"/>
      <c r="AD9" s="98"/>
      <c r="AE9" s="98"/>
      <c r="AF9" s="2"/>
      <c r="AG9" s="2"/>
      <c r="AH9" s="98" t="s">
        <v>27</v>
      </c>
      <c r="AI9" s="98"/>
      <c r="AJ9" s="98"/>
      <c r="AK9" s="98"/>
      <c r="AL9" s="98"/>
      <c r="AM9" s="98"/>
      <c r="AN9" s="98"/>
    </row>
    <row r="10" spans="1:40" s="15" customFormat="1" ht="21" x14ac:dyDescent="0.35">
      <c r="A10" s="14"/>
      <c r="B10" s="14"/>
      <c r="C10" s="14"/>
      <c r="D10" s="14"/>
      <c r="E10" s="14"/>
      <c r="F10" s="14"/>
      <c r="G10" s="14"/>
      <c r="H10" s="14"/>
      <c r="J10" s="16"/>
      <c r="K10" s="16"/>
      <c r="L10" s="16"/>
      <c r="M10" s="16"/>
      <c r="N10" s="16"/>
      <c r="O10" s="16"/>
      <c r="P10" s="16"/>
      <c r="Q10" s="16"/>
      <c r="R10" s="16"/>
      <c r="S10" s="16"/>
      <c r="T10" s="16"/>
      <c r="U10" s="16"/>
      <c r="V10" s="17"/>
      <c r="W10" s="17"/>
      <c r="X10" s="17"/>
      <c r="Y10" s="18"/>
      <c r="Z10" s="18"/>
      <c r="AA10" s="18"/>
      <c r="AB10" s="18"/>
      <c r="AC10" s="18"/>
      <c r="AD10" s="18"/>
      <c r="AE10" s="18"/>
      <c r="AF10" s="17"/>
      <c r="AG10" s="17"/>
      <c r="AH10" s="18"/>
      <c r="AI10" s="18"/>
      <c r="AJ10" s="18"/>
      <c r="AK10" s="18"/>
      <c r="AL10" s="18"/>
      <c r="AM10" s="18"/>
      <c r="AN10" s="18"/>
    </row>
    <row r="11" spans="1:40" ht="15.75" thickBot="1" x14ac:dyDescent="0.3">
      <c r="A11" s="19"/>
      <c r="B11" s="99" t="s">
        <v>3</v>
      </c>
      <c r="C11" s="99"/>
      <c r="D11" s="99"/>
      <c r="E11" s="99"/>
      <c r="F11" s="99"/>
      <c r="G11" s="99"/>
      <c r="H11" s="99"/>
      <c r="J11" s="100" t="s">
        <v>3</v>
      </c>
      <c r="K11" s="100"/>
      <c r="L11" s="100"/>
      <c r="M11" s="100"/>
      <c r="N11" s="100"/>
      <c r="O11" s="100"/>
      <c r="P11" s="100"/>
      <c r="Q11" s="100"/>
      <c r="R11" s="100"/>
      <c r="S11" s="100"/>
      <c r="T11" s="100"/>
      <c r="U11" s="100"/>
      <c r="Y11" s="101" t="s">
        <v>3</v>
      </c>
      <c r="Z11" s="101"/>
      <c r="AA11" s="101"/>
      <c r="AB11" s="101"/>
      <c r="AC11" s="101"/>
      <c r="AD11" s="101"/>
      <c r="AE11" s="101"/>
      <c r="AH11" s="102" t="s">
        <v>3</v>
      </c>
      <c r="AI11" s="102"/>
      <c r="AJ11" s="102"/>
      <c r="AK11" s="102"/>
      <c r="AL11" s="102"/>
      <c r="AM11" s="102"/>
      <c r="AN11" s="102"/>
    </row>
    <row r="12" spans="1:40" ht="15.75" thickBot="1" x14ac:dyDescent="0.3">
      <c r="A12" s="97" t="s">
        <v>5</v>
      </c>
      <c r="B12" s="34" t="s">
        <v>6</v>
      </c>
      <c r="C12" s="22" t="s">
        <v>7</v>
      </c>
      <c r="D12" s="33" t="s">
        <v>8</v>
      </c>
      <c r="E12" s="22" t="s">
        <v>9</v>
      </c>
      <c r="F12" s="24" t="s">
        <v>10</v>
      </c>
      <c r="G12" s="23" t="s">
        <v>11</v>
      </c>
      <c r="H12" s="25" t="s">
        <v>12</v>
      </c>
      <c r="J12" s="28" t="s">
        <v>4</v>
      </c>
      <c r="K12" s="9"/>
      <c r="L12" s="4"/>
      <c r="M12" s="4"/>
      <c r="N12" s="4"/>
      <c r="O12" s="4"/>
      <c r="P12" s="4"/>
      <c r="Q12" s="4"/>
      <c r="R12" s="4"/>
      <c r="S12" s="4"/>
      <c r="T12" s="4"/>
      <c r="U12" s="5"/>
      <c r="Y12" s="6" t="s">
        <v>4</v>
      </c>
      <c r="Z12" s="9"/>
      <c r="AA12" s="4"/>
      <c r="AB12" s="4"/>
      <c r="AC12" s="4"/>
      <c r="AD12" s="4"/>
      <c r="AE12" s="5"/>
      <c r="AH12" s="6" t="s">
        <v>4</v>
      </c>
      <c r="AI12" s="9"/>
      <c r="AJ12" s="4"/>
      <c r="AK12" s="4"/>
      <c r="AL12" s="4"/>
      <c r="AM12" s="4"/>
      <c r="AN12" s="5"/>
    </row>
    <row r="13" spans="1:40" ht="15.75" thickBot="1" x14ac:dyDescent="0.3">
      <c r="A13" s="97"/>
      <c r="B13" s="26"/>
      <c r="C13" s="27"/>
      <c r="D13" s="27"/>
      <c r="E13" s="27"/>
      <c r="F13" s="27">
        <f>SUM(C13-B13)</f>
        <v>0</v>
      </c>
      <c r="G13" s="20">
        <f>SUM(E13-D13)</f>
        <v>0</v>
      </c>
      <c r="H13" s="21">
        <f>SUM(F13:G13)</f>
        <v>0</v>
      </c>
      <c r="J13" s="29" t="s">
        <v>22</v>
      </c>
      <c r="K13" s="10"/>
      <c r="L13" s="11"/>
      <c r="M13" s="11"/>
      <c r="N13" s="11"/>
      <c r="O13" s="11"/>
      <c r="P13" s="11"/>
      <c r="Q13" s="11"/>
      <c r="R13" s="11"/>
      <c r="S13" s="11"/>
      <c r="T13" s="11"/>
      <c r="U13" s="12"/>
      <c r="Y13" s="7" t="s">
        <v>22</v>
      </c>
      <c r="Z13" s="10"/>
      <c r="AA13" s="11"/>
      <c r="AB13" s="11"/>
      <c r="AC13" s="11"/>
      <c r="AD13" s="11"/>
      <c r="AE13" s="12"/>
      <c r="AH13" s="7" t="s">
        <v>22</v>
      </c>
      <c r="AI13" s="10"/>
      <c r="AJ13" s="11"/>
      <c r="AK13" s="11"/>
      <c r="AL13" s="11"/>
      <c r="AM13" s="11"/>
      <c r="AN13" s="12"/>
    </row>
    <row r="14" spans="1:40" x14ac:dyDescent="0.25">
      <c r="J14" s="8"/>
      <c r="T14" s="8" t="s">
        <v>23</v>
      </c>
      <c r="U14" s="13">
        <f>SUM(K13:U13)</f>
        <v>0</v>
      </c>
      <c r="AD14" s="8" t="s">
        <v>23</v>
      </c>
      <c r="AE14" s="13">
        <f>SUM(Z13:AE13)</f>
        <v>0</v>
      </c>
      <c r="AM14" s="8" t="s">
        <v>23</v>
      </c>
      <c r="AN14" s="13">
        <f>SUM(AI13:AN13)</f>
        <v>0</v>
      </c>
    </row>
    <row r="15" spans="1:40" ht="15.75" thickBot="1" x14ac:dyDescent="0.3">
      <c r="A15" s="19"/>
      <c r="B15" s="99" t="s">
        <v>13</v>
      </c>
      <c r="C15" s="99"/>
      <c r="D15" s="99"/>
      <c r="E15" s="99"/>
      <c r="F15" s="99"/>
      <c r="G15" s="99"/>
      <c r="H15" s="99"/>
      <c r="J15" s="100" t="s">
        <v>13</v>
      </c>
      <c r="K15" s="100"/>
      <c r="L15" s="100"/>
      <c r="M15" s="100"/>
      <c r="N15" s="100"/>
      <c r="O15" s="100"/>
      <c r="P15" s="100"/>
      <c r="Q15" s="100"/>
      <c r="R15" s="100"/>
      <c r="S15" s="100"/>
      <c r="T15" s="100"/>
      <c r="U15" s="100"/>
      <c r="Y15" s="101" t="str">
        <f>J15</f>
        <v>Março</v>
      </c>
      <c r="Z15" s="101"/>
      <c r="AA15" s="101"/>
      <c r="AB15" s="101"/>
      <c r="AC15" s="101"/>
      <c r="AD15" s="101"/>
      <c r="AE15" s="101"/>
      <c r="AH15" s="102" t="str">
        <f>Y15</f>
        <v>Março</v>
      </c>
      <c r="AI15" s="102"/>
      <c r="AJ15" s="102"/>
      <c r="AK15" s="102"/>
      <c r="AL15" s="102"/>
      <c r="AM15" s="102"/>
      <c r="AN15" s="102"/>
    </row>
    <row r="16" spans="1:40" ht="15.75" thickBot="1" x14ac:dyDescent="0.3">
      <c r="A16" s="97" t="s">
        <v>5</v>
      </c>
      <c r="B16" s="34" t="s">
        <v>6</v>
      </c>
      <c r="C16" s="22" t="s">
        <v>7</v>
      </c>
      <c r="D16" s="33" t="s">
        <v>8</v>
      </c>
      <c r="E16" s="22" t="s">
        <v>9</v>
      </c>
      <c r="F16" s="24" t="s">
        <v>10</v>
      </c>
      <c r="G16" s="23" t="s">
        <v>11</v>
      </c>
      <c r="H16" s="25" t="s">
        <v>12</v>
      </c>
      <c r="J16" s="6" t="s">
        <v>4</v>
      </c>
      <c r="K16" s="9"/>
      <c r="L16" s="4"/>
      <c r="M16" s="4"/>
      <c r="N16" s="4"/>
      <c r="O16" s="4"/>
      <c r="P16" s="4"/>
      <c r="Q16" s="4"/>
      <c r="R16" s="4"/>
      <c r="S16" s="4"/>
      <c r="T16" s="4"/>
      <c r="U16" s="5"/>
      <c r="Y16" s="6" t="s">
        <v>4</v>
      </c>
      <c r="Z16" s="9"/>
      <c r="AA16" s="4"/>
      <c r="AB16" s="4"/>
      <c r="AC16" s="4"/>
      <c r="AD16" s="4"/>
      <c r="AE16" s="5"/>
      <c r="AH16" s="6" t="s">
        <v>4</v>
      </c>
      <c r="AI16" s="9"/>
      <c r="AJ16" s="4"/>
      <c r="AK16" s="4"/>
      <c r="AL16" s="4"/>
      <c r="AM16" s="4"/>
      <c r="AN16" s="5"/>
    </row>
    <row r="17" spans="1:40" ht="15.75" thickBot="1" x14ac:dyDescent="0.3">
      <c r="A17" s="97"/>
      <c r="B17" s="26"/>
      <c r="C17" s="27"/>
      <c r="D17" s="27"/>
      <c r="E17" s="27"/>
      <c r="F17" s="27">
        <f>SUM(C17-B17)</f>
        <v>0</v>
      </c>
      <c r="G17" s="20">
        <f>SUM(E17-D17)</f>
        <v>0</v>
      </c>
      <c r="H17" s="21">
        <f>SUM(F17:G17)</f>
        <v>0</v>
      </c>
      <c r="J17" s="7" t="s">
        <v>22</v>
      </c>
      <c r="K17" s="10"/>
      <c r="L17" s="11"/>
      <c r="M17" s="11"/>
      <c r="N17" s="11"/>
      <c r="O17" s="11"/>
      <c r="P17" s="11"/>
      <c r="Q17" s="11"/>
      <c r="R17" s="11"/>
      <c r="S17" s="11"/>
      <c r="T17" s="11"/>
      <c r="U17" s="12"/>
      <c r="Y17" s="7" t="s">
        <v>22</v>
      </c>
      <c r="Z17" s="10"/>
      <c r="AA17" s="11"/>
      <c r="AB17" s="11"/>
      <c r="AC17" s="11"/>
      <c r="AD17" s="11"/>
      <c r="AE17" s="12"/>
      <c r="AH17" s="7" t="s">
        <v>22</v>
      </c>
      <c r="AI17" s="10"/>
      <c r="AJ17" s="11"/>
      <c r="AK17" s="11"/>
      <c r="AL17" s="11"/>
      <c r="AM17" s="11"/>
      <c r="AN17" s="12"/>
    </row>
    <row r="18" spans="1:40" x14ac:dyDescent="0.25">
      <c r="J18" s="8"/>
      <c r="T18" s="8" t="s">
        <v>23</v>
      </c>
      <c r="U18" s="13">
        <f>SUM(K17:U17)</f>
        <v>0</v>
      </c>
      <c r="AD18" s="8" t="s">
        <v>23</v>
      </c>
      <c r="AE18" s="13">
        <f>SUM(Z17:AE17)</f>
        <v>0</v>
      </c>
      <c r="AM18" s="8" t="s">
        <v>23</v>
      </c>
      <c r="AN18" s="13">
        <f>SUM(AI17:AN17)</f>
        <v>0</v>
      </c>
    </row>
    <row r="19" spans="1:40" ht="15.75" thickBot="1" x14ac:dyDescent="0.3">
      <c r="A19" s="19"/>
      <c r="B19" s="99" t="s">
        <v>14</v>
      </c>
      <c r="C19" s="99"/>
      <c r="D19" s="99"/>
      <c r="E19" s="99"/>
      <c r="F19" s="99"/>
      <c r="G19" s="99"/>
      <c r="H19" s="99"/>
      <c r="J19" s="100" t="s">
        <v>14</v>
      </c>
      <c r="K19" s="100"/>
      <c r="L19" s="100"/>
      <c r="M19" s="100"/>
      <c r="N19" s="100"/>
      <c r="O19" s="100"/>
      <c r="P19" s="100"/>
      <c r="Q19" s="100"/>
      <c r="R19" s="100"/>
      <c r="S19" s="100"/>
      <c r="T19" s="100"/>
      <c r="U19" s="100"/>
      <c r="Y19" s="101" t="str">
        <f>J19</f>
        <v>Abril</v>
      </c>
      <c r="Z19" s="101"/>
      <c r="AA19" s="101"/>
      <c r="AB19" s="101"/>
      <c r="AC19" s="101"/>
      <c r="AD19" s="101"/>
      <c r="AE19" s="101"/>
      <c r="AH19" s="102" t="str">
        <f>Y19</f>
        <v>Abril</v>
      </c>
      <c r="AI19" s="102"/>
      <c r="AJ19" s="102"/>
      <c r="AK19" s="102"/>
      <c r="AL19" s="102"/>
      <c r="AM19" s="102"/>
      <c r="AN19" s="102"/>
    </row>
    <row r="20" spans="1:40" ht="15.75" thickBot="1" x14ac:dyDescent="0.3">
      <c r="A20" s="97" t="s">
        <v>5</v>
      </c>
      <c r="B20" s="34" t="s">
        <v>6</v>
      </c>
      <c r="C20" s="22" t="s">
        <v>7</v>
      </c>
      <c r="D20" s="33" t="s">
        <v>8</v>
      </c>
      <c r="E20" s="22" t="s">
        <v>9</v>
      </c>
      <c r="F20" s="24" t="s">
        <v>10</v>
      </c>
      <c r="G20" s="23" t="s">
        <v>11</v>
      </c>
      <c r="H20" s="25" t="s">
        <v>12</v>
      </c>
      <c r="J20" s="6" t="s">
        <v>4</v>
      </c>
      <c r="K20" s="9"/>
      <c r="L20" s="4"/>
      <c r="M20" s="4"/>
      <c r="N20" s="4"/>
      <c r="O20" s="4"/>
      <c r="P20" s="4"/>
      <c r="Q20" s="4"/>
      <c r="R20" s="4"/>
      <c r="S20" s="4"/>
      <c r="T20" s="4"/>
      <c r="U20" s="5"/>
      <c r="Y20" s="6" t="s">
        <v>4</v>
      </c>
      <c r="Z20" s="9"/>
      <c r="AA20" s="4"/>
      <c r="AB20" s="4"/>
      <c r="AC20" s="4"/>
      <c r="AD20" s="4"/>
      <c r="AE20" s="5"/>
      <c r="AH20" s="6" t="s">
        <v>4</v>
      </c>
      <c r="AI20" s="9"/>
      <c r="AJ20" s="4"/>
      <c r="AK20" s="4"/>
      <c r="AL20" s="4"/>
      <c r="AM20" s="4"/>
      <c r="AN20" s="5"/>
    </row>
    <row r="21" spans="1:40" ht="15.75" thickBot="1" x14ac:dyDescent="0.3">
      <c r="A21" s="97"/>
      <c r="B21" s="26"/>
      <c r="C21" s="27"/>
      <c r="D21" s="27"/>
      <c r="E21" s="27"/>
      <c r="F21" s="27">
        <f>SUM(C21-B21)</f>
        <v>0</v>
      </c>
      <c r="G21" s="20">
        <f>SUM(E21-D21)</f>
        <v>0</v>
      </c>
      <c r="H21" s="21">
        <f>SUM(F21:G21)</f>
        <v>0</v>
      </c>
      <c r="J21" s="7" t="s">
        <v>22</v>
      </c>
      <c r="K21" s="30"/>
      <c r="L21" s="31"/>
      <c r="M21" s="31"/>
      <c r="N21" s="31"/>
      <c r="O21" s="31"/>
      <c r="P21" s="31"/>
      <c r="Q21" s="31"/>
      <c r="R21" s="31"/>
      <c r="S21" s="31"/>
      <c r="T21" s="31"/>
      <c r="U21" s="32"/>
      <c r="Y21" s="7" t="s">
        <v>22</v>
      </c>
      <c r="Z21" s="10"/>
      <c r="AA21" s="11"/>
      <c r="AB21" s="11"/>
      <c r="AC21" s="11"/>
      <c r="AD21" s="11"/>
      <c r="AE21" s="12"/>
      <c r="AH21" s="7" t="s">
        <v>22</v>
      </c>
      <c r="AI21" s="10"/>
      <c r="AJ21" s="11"/>
      <c r="AK21" s="11"/>
      <c r="AL21" s="11"/>
      <c r="AM21" s="11"/>
      <c r="AN21" s="12"/>
    </row>
    <row r="22" spans="1:40" x14ac:dyDescent="0.25">
      <c r="J22" s="8"/>
      <c r="T22" s="8" t="s">
        <v>23</v>
      </c>
      <c r="U22" s="13">
        <f>SUM(K21:U21)</f>
        <v>0</v>
      </c>
      <c r="AD22" s="8" t="s">
        <v>23</v>
      </c>
      <c r="AE22" s="13">
        <f>SUM(Z21:AE21)</f>
        <v>0</v>
      </c>
      <c r="AM22" s="8" t="s">
        <v>23</v>
      </c>
      <c r="AN22" s="13">
        <f>SUM(AI21:AN21)</f>
        <v>0</v>
      </c>
    </row>
    <row r="23" spans="1:40" ht="15.75" thickBot="1" x14ac:dyDescent="0.3">
      <c r="A23" s="19"/>
      <c r="B23" s="99" t="s">
        <v>15</v>
      </c>
      <c r="C23" s="99"/>
      <c r="D23" s="99"/>
      <c r="E23" s="99"/>
      <c r="F23" s="99"/>
      <c r="G23" s="99"/>
      <c r="H23" s="99"/>
      <c r="J23" s="100" t="s">
        <v>15</v>
      </c>
      <c r="K23" s="100"/>
      <c r="L23" s="100"/>
      <c r="M23" s="100"/>
      <c r="N23" s="100"/>
      <c r="O23" s="100"/>
      <c r="P23" s="100"/>
      <c r="Q23" s="100"/>
      <c r="R23" s="100"/>
      <c r="S23" s="100"/>
      <c r="T23" s="100"/>
      <c r="U23" s="100"/>
      <c r="Y23" s="101" t="str">
        <f>J23</f>
        <v>Maio</v>
      </c>
      <c r="Z23" s="101"/>
      <c r="AA23" s="101"/>
      <c r="AB23" s="101"/>
      <c r="AC23" s="101"/>
      <c r="AD23" s="101"/>
      <c r="AE23" s="101"/>
      <c r="AH23" s="102" t="str">
        <f>Y23</f>
        <v>Maio</v>
      </c>
      <c r="AI23" s="102"/>
      <c r="AJ23" s="102"/>
      <c r="AK23" s="102"/>
      <c r="AL23" s="102"/>
      <c r="AM23" s="102"/>
      <c r="AN23" s="102"/>
    </row>
    <row r="24" spans="1:40" ht="15.75" thickBot="1" x14ac:dyDescent="0.3">
      <c r="A24" s="97" t="s">
        <v>5</v>
      </c>
      <c r="B24" s="34" t="s">
        <v>6</v>
      </c>
      <c r="C24" s="22" t="s">
        <v>7</v>
      </c>
      <c r="D24" s="33" t="s">
        <v>8</v>
      </c>
      <c r="E24" s="22" t="s">
        <v>9</v>
      </c>
      <c r="F24" s="24" t="s">
        <v>10</v>
      </c>
      <c r="G24" s="23" t="s">
        <v>11</v>
      </c>
      <c r="H24" s="25" t="s">
        <v>12</v>
      </c>
      <c r="J24" s="6" t="s">
        <v>4</v>
      </c>
      <c r="K24" s="9"/>
      <c r="L24" s="4"/>
      <c r="M24" s="4"/>
      <c r="N24" s="4"/>
      <c r="O24" s="4"/>
      <c r="P24" s="4"/>
      <c r="Q24" s="4"/>
      <c r="R24" s="4"/>
      <c r="S24" s="4"/>
      <c r="T24" s="4"/>
      <c r="U24" s="5"/>
      <c r="Y24" s="6" t="s">
        <v>4</v>
      </c>
      <c r="Z24" s="9"/>
      <c r="AA24" s="4"/>
      <c r="AB24" s="4"/>
      <c r="AC24" s="4"/>
      <c r="AD24" s="4"/>
      <c r="AE24" s="5"/>
      <c r="AH24" s="6" t="s">
        <v>4</v>
      </c>
      <c r="AI24" s="9"/>
      <c r="AJ24" s="4"/>
      <c r="AK24" s="4"/>
      <c r="AL24" s="4"/>
      <c r="AM24" s="4"/>
      <c r="AN24" s="5"/>
    </row>
    <row r="25" spans="1:40" ht="15.75" thickBot="1" x14ac:dyDescent="0.3">
      <c r="A25" s="97"/>
      <c r="B25" s="26"/>
      <c r="C25" s="27"/>
      <c r="D25" s="27"/>
      <c r="E25" s="27"/>
      <c r="F25" s="27">
        <f>SUM(C25-B25)</f>
        <v>0</v>
      </c>
      <c r="G25" s="20">
        <f>SUM(E25-D25)</f>
        <v>0</v>
      </c>
      <c r="H25" s="21">
        <f>SUM(F25:G25)</f>
        <v>0</v>
      </c>
      <c r="J25" s="7" t="s">
        <v>22</v>
      </c>
      <c r="K25" s="10"/>
      <c r="L25" s="11"/>
      <c r="M25" s="11"/>
      <c r="N25" s="11"/>
      <c r="O25" s="11"/>
      <c r="P25" s="11"/>
      <c r="Q25" s="11"/>
      <c r="R25" s="11"/>
      <c r="S25" s="11"/>
      <c r="T25" s="11"/>
      <c r="U25" s="12"/>
      <c r="Y25" s="7" t="s">
        <v>22</v>
      </c>
      <c r="Z25" s="10"/>
      <c r="AA25" s="11"/>
      <c r="AB25" s="11"/>
      <c r="AC25" s="11"/>
      <c r="AD25" s="11"/>
      <c r="AE25" s="12"/>
      <c r="AH25" s="7" t="s">
        <v>22</v>
      </c>
      <c r="AI25" s="10"/>
      <c r="AJ25" s="11"/>
      <c r="AK25" s="11"/>
      <c r="AL25" s="11"/>
      <c r="AM25" s="11"/>
      <c r="AN25" s="12"/>
    </row>
    <row r="26" spans="1:40" x14ac:dyDescent="0.25">
      <c r="J26" s="8"/>
      <c r="T26" s="8" t="s">
        <v>23</v>
      </c>
      <c r="U26" s="13">
        <f>SUM(K25:U25)</f>
        <v>0</v>
      </c>
      <c r="AD26" s="8" t="s">
        <v>23</v>
      </c>
      <c r="AE26" s="13">
        <f>SUM(Z25:AE25)</f>
        <v>0</v>
      </c>
      <c r="AM26" s="8" t="s">
        <v>23</v>
      </c>
      <c r="AN26" s="13">
        <f>SUM(AI25:AN25)</f>
        <v>0</v>
      </c>
    </row>
    <row r="27" spans="1:40" ht="15.75" thickBot="1" x14ac:dyDescent="0.3">
      <c r="A27" s="19"/>
      <c r="B27" s="99" t="s">
        <v>24</v>
      </c>
      <c r="C27" s="99"/>
      <c r="D27" s="99"/>
      <c r="E27" s="99"/>
      <c r="F27" s="99"/>
      <c r="G27" s="99"/>
      <c r="H27" s="99"/>
      <c r="J27" s="100" t="s">
        <v>24</v>
      </c>
      <c r="K27" s="100"/>
      <c r="L27" s="100"/>
      <c r="M27" s="100"/>
      <c r="N27" s="100"/>
      <c r="O27" s="100"/>
      <c r="P27" s="100"/>
      <c r="Q27" s="100"/>
      <c r="R27" s="100"/>
      <c r="S27" s="100"/>
      <c r="T27" s="100"/>
      <c r="U27" s="100"/>
      <c r="Y27" s="101" t="str">
        <f>J27</f>
        <v>Junho</v>
      </c>
      <c r="Z27" s="101"/>
      <c r="AA27" s="101"/>
      <c r="AB27" s="101"/>
      <c r="AC27" s="101"/>
      <c r="AD27" s="101"/>
      <c r="AE27" s="101"/>
      <c r="AH27" s="102" t="str">
        <f>Y27</f>
        <v>Junho</v>
      </c>
      <c r="AI27" s="102"/>
      <c r="AJ27" s="102"/>
      <c r="AK27" s="102"/>
      <c r="AL27" s="102"/>
      <c r="AM27" s="102"/>
      <c r="AN27" s="102"/>
    </row>
    <row r="28" spans="1:40" ht="15.75" thickBot="1" x14ac:dyDescent="0.3">
      <c r="A28" s="97" t="s">
        <v>5</v>
      </c>
      <c r="B28" s="34" t="s">
        <v>6</v>
      </c>
      <c r="C28" s="22" t="s">
        <v>7</v>
      </c>
      <c r="D28" s="33" t="s">
        <v>8</v>
      </c>
      <c r="E28" s="22" t="s">
        <v>9</v>
      </c>
      <c r="F28" s="24" t="s">
        <v>10</v>
      </c>
      <c r="G28" s="23" t="s">
        <v>11</v>
      </c>
      <c r="H28" s="25" t="s">
        <v>12</v>
      </c>
      <c r="J28" s="6" t="s">
        <v>4</v>
      </c>
      <c r="K28" s="9"/>
      <c r="L28" s="4"/>
      <c r="M28" s="4"/>
      <c r="N28" s="4"/>
      <c r="O28" s="4"/>
      <c r="P28" s="4"/>
      <c r="Q28" s="4"/>
      <c r="R28" s="4"/>
      <c r="S28" s="4"/>
      <c r="T28" s="4"/>
      <c r="U28" s="5"/>
      <c r="Y28" s="6" t="s">
        <v>4</v>
      </c>
      <c r="Z28" s="9"/>
      <c r="AA28" s="4"/>
      <c r="AB28" s="4"/>
      <c r="AC28" s="4"/>
      <c r="AD28" s="4"/>
      <c r="AE28" s="5"/>
      <c r="AH28" s="6" t="s">
        <v>4</v>
      </c>
      <c r="AI28" s="9"/>
      <c r="AJ28" s="4"/>
      <c r="AK28" s="4"/>
      <c r="AL28" s="4"/>
      <c r="AM28" s="4"/>
      <c r="AN28" s="5"/>
    </row>
    <row r="29" spans="1:40" ht="15.75" thickBot="1" x14ac:dyDescent="0.3">
      <c r="A29" s="97"/>
      <c r="B29" s="26"/>
      <c r="C29" s="27"/>
      <c r="D29" s="27"/>
      <c r="E29" s="27"/>
      <c r="F29" s="27">
        <f>SUM(C29-B29)</f>
        <v>0</v>
      </c>
      <c r="G29" s="20">
        <f>SUM(E29-D29)</f>
        <v>0</v>
      </c>
      <c r="H29" s="21">
        <f>SUM(F29:G29)</f>
        <v>0</v>
      </c>
      <c r="J29" s="7" t="s">
        <v>22</v>
      </c>
      <c r="K29" s="10"/>
      <c r="L29" s="11"/>
      <c r="M29" s="11"/>
      <c r="N29" s="11"/>
      <c r="O29" s="11"/>
      <c r="P29" s="11"/>
      <c r="Q29" s="11"/>
      <c r="R29" s="11"/>
      <c r="S29" s="11"/>
      <c r="T29" s="11"/>
      <c r="U29" s="12"/>
      <c r="Y29" s="7" t="s">
        <v>22</v>
      </c>
      <c r="Z29" s="10"/>
      <c r="AA29" s="11"/>
      <c r="AB29" s="11"/>
      <c r="AC29" s="11"/>
      <c r="AD29" s="11"/>
      <c r="AE29" s="12"/>
      <c r="AH29" s="7" t="s">
        <v>22</v>
      </c>
      <c r="AI29" s="10"/>
      <c r="AJ29" s="11"/>
      <c r="AK29" s="11"/>
      <c r="AL29" s="11"/>
      <c r="AM29" s="11"/>
      <c r="AN29" s="12"/>
    </row>
    <row r="30" spans="1:40" x14ac:dyDescent="0.25">
      <c r="J30" s="8"/>
      <c r="T30" s="8" t="s">
        <v>23</v>
      </c>
      <c r="U30" s="13">
        <f>SUM(K29:U29)</f>
        <v>0</v>
      </c>
      <c r="AD30" s="8" t="s">
        <v>23</v>
      </c>
      <c r="AE30" s="13">
        <f>SUM(Z29:AE29)</f>
        <v>0</v>
      </c>
      <c r="AM30" s="8" t="s">
        <v>23</v>
      </c>
      <c r="AN30" s="13">
        <f>SUM(AI29:AN29)</f>
        <v>0</v>
      </c>
    </row>
    <row r="31" spans="1:40" ht="15.75" thickBot="1" x14ac:dyDescent="0.3">
      <c r="A31" s="19"/>
      <c r="B31" s="99" t="s">
        <v>16</v>
      </c>
      <c r="C31" s="99"/>
      <c r="D31" s="99"/>
      <c r="E31" s="99"/>
      <c r="F31" s="99"/>
      <c r="G31" s="99"/>
      <c r="H31" s="99"/>
      <c r="J31" s="100" t="s">
        <v>16</v>
      </c>
      <c r="K31" s="100"/>
      <c r="L31" s="100"/>
      <c r="M31" s="100"/>
      <c r="N31" s="100"/>
      <c r="O31" s="100"/>
      <c r="P31" s="100"/>
      <c r="Q31" s="100"/>
      <c r="R31" s="100"/>
      <c r="S31" s="100"/>
      <c r="T31" s="100"/>
      <c r="U31" s="100"/>
      <c r="Y31" s="101" t="str">
        <f>J31</f>
        <v>Julho</v>
      </c>
      <c r="Z31" s="101"/>
      <c r="AA31" s="101"/>
      <c r="AB31" s="101"/>
      <c r="AC31" s="101"/>
      <c r="AD31" s="101"/>
      <c r="AE31" s="101"/>
      <c r="AH31" s="102" t="str">
        <f>Y31</f>
        <v>Julho</v>
      </c>
      <c r="AI31" s="102"/>
      <c r="AJ31" s="102"/>
      <c r="AK31" s="102"/>
      <c r="AL31" s="102"/>
      <c r="AM31" s="102"/>
      <c r="AN31" s="102"/>
    </row>
    <row r="32" spans="1:40" ht="15.75" thickBot="1" x14ac:dyDescent="0.3">
      <c r="A32" s="97" t="s">
        <v>5</v>
      </c>
      <c r="B32" s="34" t="s">
        <v>6</v>
      </c>
      <c r="C32" s="22" t="s">
        <v>7</v>
      </c>
      <c r="D32" s="33" t="s">
        <v>8</v>
      </c>
      <c r="E32" s="22" t="s">
        <v>9</v>
      </c>
      <c r="F32" s="24" t="s">
        <v>10</v>
      </c>
      <c r="G32" s="23" t="s">
        <v>11</v>
      </c>
      <c r="H32" s="25" t="s">
        <v>12</v>
      </c>
      <c r="J32" s="6" t="s">
        <v>4</v>
      </c>
      <c r="K32" s="9"/>
      <c r="L32" s="4"/>
      <c r="M32" s="4"/>
      <c r="N32" s="4"/>
      <c r="O32" s="4"/>
      <c r="P32" s="4"/>
      <c r="Q32" s="4"/>
      <c r="R32" s="4"/>
      <c r="S32" s="4"/>
      <c r="T32" s="4"/>
      <c r="U32" s="5"/>
      <c r="Y32" s="6" t="s">
        <v>4</v>
      </c>
      <c r="Z32" s="9"/>
      <c r="AA32" s="4"/>
      <c r="AB32" s="4"/>
      <c r="AC32" s="4"/>
      <c r="AD32" s="4"/>
      <c r="AE32" s="5"/>
      <c r="AH32" s="6" t="s">
        <v>4</v>
      </c>
      <c r="AI32" s="9"/>
      <c r="AJ32" s="4"/>
      <c r="AK32" s="4"/>
      <c r="AL32" s="4"/>
      <c r="AM32" s="4"/>
      <c r="AN32" s="5"/>
    </row>
    <row r="33" spans="1:40" ht="15.75" thickBot="1" x14ac:dyDescent="0.3">
      <c r="A33" s="97"/>
      <c r="B33" s="26"/>
      <c r="C33" s="27"/>
      <c r="D33" s="27"/>
      <c r="E33" s="27"/>
      <c r="F33" s="27">
        <f>SUM(C33-B33)</f>
        <v>0</v>
      </c>
      <c r="G33" s="20">
        <f>SUM(E33-D33)</f>
        <v>0</v>
      </c>
      <c r="H33" s="21">
        <f>SUM(F33:G33)</f>
        <v>0</v>
      </c>
      <c r="J33" s="7" t="s">
        <v>22</v>
      </c>
      <c r="K33" s="10"/>
      <c r="L33" s="11"/>
      <c r="M33" s="11"/>
      <c r="N33" s="11"/>
      <c r="O33" s="11"/>
      <c r="P33" s="11"/>
      <c r="Q33" s="11"/>
      <c r="R33" s="11"/>
      <c r="S33" s="11"/>
      <c r="T33" s="11"/>
      <c r="U33" s="12"/>
      <c r="Y33" s="7" t="s">
        <v>22</v>
      </c>
      <c r="Z33" s="10"/>
      <c r="AA33" s="11"/>
      <c r="AB33" s="11"/>
      <c r="AC33" s="11"/>
      <c r="AD33" s="11"/>
      <c r="AE33" s="12"/>
      <c r="AH33" s="7" t="s">
        <v>22</v>
      </c>
      <c r="AI33" s="10"/>
      <c r="AJ33" s="11"/>
      <c r="AK33" s="11"/>
      <c r="AL33" s="11"/>
      <c r="AM33" s="11"/>
      <c r="AN33" s="12"/>
    </row>
    <row r="34" spans="1:40" x14ac:dyDescent="0.25">
      <c r="J34" s="8"/>
      <c r="T34" s="8" t="s">
        <v>23</v>
      </c>
      <c r="U34" s="13">
        <f>SUM(K33:U33)</f>
        <v>0</v>
      </c>
      <c r="AD34" s="8" t="s">
        <v>23</v>
      </c>
      <c r="AE34" s="13">
        <f>SUM(Z33:AE33)</f>
        <v>0</v>
      </c>
      <c r="AM34" s="8" t="s">
        <v>23</v>
      </c>
      <c r="AN34" s="13">
        <f>SUM(AI33:AN33)</f>
        <v>0</v>
      </c>
    </row>
    <row r="35" spans="1:40" ht="15.75" thickBot="1" x14ac:dyDescent="0.3">
      <c r="A35" s="19"/>
      <c r="B35" s="99" t="s">
        <v>17</v>
      </c>
      <c r="C35" s="99"/>
      <c r="D35" s="99"/>
      <c r="E35" s="99"/>
      <c r="F35" s="99"/>
      <c r="G35" s="99"/>
      <c r="H35" s="99"/>
      <c r="J35" s="100" t="s">
        <v>17</v>
      </c>
      <c r="K35" s="100"/>
      <c r="L35" s="100"/>
      <c r="M35" s="100"/>
      <c r="N35" s="100"/>
      <c r="O35" s="100"/>
      <c r="P35" s="100"/>
      <c r="Q35" s="100"/>
      <c r="R35" s="100"/>
      <c r="S35" s="100"/>
      <c r="T35" s="100"/>
      <c r="U35" s="100"/>
      <c r="Y35" s="101" t="str">
        <f>J35</f>
        <v>Agosto</v>
      </c>
      <c r="Z35" s="101"/>
      <c r="AA35" s="101"/>
      <c r="AB35" s="101"/>
      <c r="AC35" s="101"/>
      <c r="AD35" s="101"/>
      <c r="AE35" s="101"/>
      <c r="AH35" s="102" t="str">
        <f>Y35</f>
        <v>Agosto</v>
      </c>
      <c r="AI35" s="102"/>
      <c r="AJ35" s="102"/>
      <c r="AK35" s="102"/>
      <c r="AL35" s="102"/>
      <c r="AM35" s="102"/>
      <c r="AN35" s="102"/>
    </row>
    <row r="36" spans="1:40" ht="15.75" thickBot="1" x14ac:dyDescent="0.3">
      <c r="A36" s="97" t="s">
        <v>5</v>
      </c>
      <c r="B36" s="34" t="s">
        <v>6</v>
      </c>
      <c r="C36" s="22" t="s">
        <v>7</v>
      </c>
      <c r="D36" s="33" t="s">
        <v>8</v>
      </c>
      <c r="E36" s="22" t="s">
        <v>9</v>
      </c>
      <c r="F36" s="24" t="s">
        <v>10</v>
      </c>
      <c r="G36" s="23" t="s">
        <v>11</v>
      </c>
      <c r="H36" s="25" t="s">
        <v>12</v>
      </c>
      <c r="J36" s="6" t="s">
        <v>4</v>
      </c>
      <c r="K36" s="9"/>
      <c r="L36" s="4"/>
      <c r="M36" s="4"/>
      <c r="N36" s="4"/>
      <c r="O36" s="4"/>
      <c r="P36" s="4"/>
      <c r="Q36" s="4"/>
      <c r="R36" s="4"/>
      <c r="S36" s="4"/>
      <c r="T36" s="4"/>
      <c r="U36" s="5"/>
      <c r="Y36" s="6" t="s">
        <v>4</v>
      </c>
      <c r="Z36" s="9"/>
      <c r="AA36" s="4"/>
      <c r="AB36" s="4"/>
      <c r="AC36" s="4"/>
      <c r="AD36" s="4"/>
      <c r="AE36" s="5"/>
      <c r="AH36" s="6" t="s">
        <v>4</v>
      </c>
      <c r="AI36" s="9"/>
      <c r="AJ36" s="4"/>
      <c r="AK36" s="4"/>
      <c r="AL36" s="4"/>
      <c r="AM36" s="4"/>
      <c r="AN36" s="5"/>
    </row>
    <row r="37" spans="1:40" ht="15.75" thickBot="1" x14ac:dyDescent="0.3">
      <c r="A37" s="97"/>
      <c r="B37" s="26"/>
      <c r="C37" s="27"/>
      <c r="D37" s="27"/>
      <c r="E37" s="27"/>
      <c r="F37" s="27">
        <f>SUM(C37-B37)</f>
        <v>0</v>
      </c>
      <c r="G37" s="20">
        <f>SUM(E37-D37)</f>
        <v>0</v>
      </c>
      <c r="H37" s="21">
        <f>SUM(F37:G37)</f>
        <v>0</v>
      </c>
      <c r="J37" s="7" t="s">
        <v>22</v>
      </c>
      <c r="K37" s="10"/>
      <c r="L37" s="11"/>
      <c r="M37" s="11"/>
      <c r="N37" s="11"/>
      <c r="O37" s="11"/>
      <c r="P37" s="11"/>
      <c r="Q37" s="11"/>
      <c r="R37" s="11"/>
      <c r="S37" s="11"/>
      <c r="T37" s="11"/>
      <c r="U37" s="12"/>
      <c r="Y37" s="7" t="s">
        <v>22</v>
      </c>
      <c r="Z37" s="10"/>
      <c r="AA37" s="11"/>
      <c r="AB37" s="11"/>
      <c r="AC37" s="11"/>
      <c r="AD37" s="11"/>
      <c r="AE37" s="12"/>
      <c r="AH37" s="7" t="s">
        <v>22</v>
      </c>
      <c r="AI37" s="10"/>
      <c r="AJ37" s="11"/>
      <c r="AK37" s="11"/>
      <c r="AL37" s="11"/>
      <c r="AM37" s="11"/>
      <c r="AN37" s="12"/>
    </row>
    <row r="38" spans="1:40" x14ac:dyDescent="0.25">
      <c r="J38" s="8"/>
      <c r="T38" s="8" t="s">
        <v>23</v>
      </c>
      <c r="U38" s="13">
        <f>SUM(K37:U37)</f>
        <v>0</v>
      </c>
      <c r="AD38" s="8" t="s">
        <v>23</v>
      </c>
      <c r="AE38" s="13">
        <f>SUM(Z37:AE37)</f>
        <v>0</v>
      </c>
      <c r="AM38" s="8" t="s">
        <v>23</v>
      </c>
      <c r="AN38" s="13">
        <f>SUM(AI37:AN37)</f>
        <v>0</v>
      </c>
    </row>
    <row r="39" spans="1:40" ht="15.75" thickBot="1" x14ac:dyDescent="0.3">
      <c r="A39" s="19"/>
      <c r="B39" s="99" t="s">
        <v>18</v>
      </c>
      <c r="C39" s="99"/>
      <c r="D39" s="99"/>
      <c r="E39" s="99"/>
      <c r="F39" s="99"/>
      <c r="G39" s="99"/>
      <c r="H39" s="99"/>
      <c r="J39" s="100" t="s">
        <v>18</v>
      </c>
      <c r="K39" s="100"/>
      <c r="L39" s="100"/>
      <c r="M39" s="100"/>
      <c r="N39" s="100"/>
      <c r="O39" s="100"/>
      <c r="P39" s="100"/>
      <c r="Q39" s="100"/>
      <c r="R39" s="100"/>
      <c r="S39" s="100"/>
      <c r="T39" s="100"/>
      <c r="U39" s="100"/>
      <c r="Y39" s="101" t="str">
        <f>J39</f>
        <v>Setembro</v>
      </c>
      <c r="Z39" s="101"/>
      <c r="AA39" s="101"/>
      <c r="AB39" s="101"/>
      <c r="AC39" s="101"/>
      <c r="AD39" s="101"/>
      <c r="AE39" s="101"/>
      <c r="AH39" s="102" t="str">
        <f>Y39</f>
        <v>Setembro</v>
      </c>
      <c r="AI39" s="102"/>
      <c r="AJ39" s="102"/>
      <c r="AK39" s="102"/>
      <c r="AL39" s="102"/>
      <c r="AM39" s="102"/>
      <c r="AN39" s="102"/>
    </row>
    <row r="40" spans="1:40" ht="15.75" thickBot="1" x14ac:dyDescent="0.3">
      <c r="A40" s="97" t="s">
        <v>5</v>
      </c>
      <c r="B40" s="34" t="s">
        <v>6</v>
      </c>
      <c r="C40" s="22" t="s">
        <v>7</v>
      </c>
      <c r="D40" s="33" t="s">
        <v>8</v>
      </c>
      <c r="E40" s="22" t="s">
        <v>9</v>
      </c>
      <c r="F40" s="24" t="s">
        <v>10</v>
      </c>
      <c r="G40" s="23" t="s">
        <v>11</v>
      </c>
      <c r="H40" s="25" t="s">
        <v>12</v>
      </c>
      <c r="J40" s="6" t="s">
        <v>4</v>
      </c>
      <c r="K40" s="9">
        <v>45912</v>
      </c>
      <c r="L40" s="66">
        <v>45916</v>
      </c>
      <c r="M40" s="66">
        <v>45923</v>
      </c>
      <c r="N40" s="66">
        <v>45925</v>
      </c>
      <c r="O40" s="66">
        <v>45927</v>
      </c>
      <c r="P40" s="4"/>
      <c r="Q40" s="4"/>
      <c r="R40" s="4"/>
      <c r="S40" s="4"/>
      <c r="T40" s="4"/>
      <c r="U40" s="5"/>
      <c r="Y40" s="6" t="s">
        <v>4</v>
      </c>
      <c r="Z40" s="9"/>
      <c r="AA40" s="4"/>
      <c r="AB40" s="4"/>
      <c r="AC40" s="4"/>
      <c r="AD40" s="4"/>
      <c r="AE40" s="5"/>
      <c r="AH40" s="6" t="s">
        <v>4</v>
      </c>
      <c r="AI40" s="9"/>
      <c r="AJ40" s="4"/>
      <c r="AK40" s="4"/>
      <c r="AL40" s="4"/>
      <c r="AM40" s="4"/>
      <c r="AN40" s="5"/>
    </row>
    <row r="41" spans="1:40" ht="15.75" thickBot="1" x14ac:dyDescent="0.3">
      <c r="A41" s="97"/>
      <c r="B41" s="26">
        <v>1808</v>
      </c>
      <c r="C41" s="27">
        <v>2125</v>
      </c>
      <c r="D41" s="27">
        <v>2125</v>
      </c>
      <c r="E41" s="27">
        <v>3043</v>
      </c>
      <c r="F41" s="27">
        <f>SUM(C41-B41)</f>
        <v>317</v>
      </c>
      <c r="G41" s="20">
        <f>SUM(E41-D41)</f>
        <v>918</v>
      </c>
      <c r="H41" s="21">
        <f>SUM(F41:G41)</f>
        <v>1235</v>
      </c>
      <c r="J41" s="7" t="s">
        <v>22</v>
      </c>
      <c r="K41" s="10">
        <v>130.5</v>
      </c>
      <c r="L41" s="11">
        <v>182.84</v>
      </c>
      <c r="M41" s="11">
        <v>163.87</v>
      </c>
      <c r="N41" s="11">
        <v>127.34</v>
      </c>
      <c r="O41" s="11">
        <v>150.63999999999999</v>
      </c>
      <c r="P41" s="11"/>
      <c r="Q41" s="11"/>
      <c r="R41" s="11"/>
      <c r="S41" s="11"/>
      <c r="T41" s="11"/>
      <c r="U41" s="12"/>
      <c r="Y41" s="7" t="s">
        <v>22</v>
      </c>
      <c r="Z41" s="10"/>
      <c r="AA41" s="11"/>
      <c r="AB41" s="11"/>
      <c r="AC41" s="11"/>
      <c r="AD41" s="11"/>
      <c r="AE41" s="12"/>
      <c r="AH41" s="7" t="s">
        <v>22</v>
      </c>
      <c r="AI41" s="10"/>
      <c r="AJ41" s="11"/>
      <c r="AK41" s="11"/>
      <c r="AL41" s="11"/>
      <c r="AM41" s="11"/>
      <c r="AN41" s="12"/>
    </row>
    <row r="42" spans="1:40" x14ac:dyDescent="0.25">
      <c r="J42" s="8"/>
      <c r="T42" s="8" t="s">
        <v>23</v>
      </c>
      <c r="U42" s="13">
        <f>SUM(K41:U41)</f>
        <v>755.19</v>
      </c>
      <c r="AD42" s="8" t="s">
        <v>23</v>
      </c>
      <c r="AE42" s="13">
        <f>SUM(Z41:AE41)</f>
        <v>0</v>
      </c>
      <c r="AM42" s="8" t="s">
        <v>23</v>
      </c>
      <c r="AN42" s="13">
        <f>SUM(AI41:AN41)</f>
        <v>0</v>
      </c>
    </row>
    <row r="43" spans="1:40" ht="15.75" thickBot="1" x14ac:dyDescent="0.3">
      <c r="A43" s="19"/>
      <c r="B43" s="99" t="s">
        <v>19</v>
      </c>
      <c r="C43" s="99"/>
      <c r="D43" s="99"/>
      <c r="E43" s="99"/>
      <c r="F43" s="99"/>
      <c r="G43" s="99"/>
      <c r="H43" s="99"/>
      <c r="J43" s="100" t="s">
        <v>19</v>
      </c>
      <c r="K43" s="100"/>
      <c r="L43" s="100"/>
      <c r="M43" s="100"/>
      <c r="N43" s="100"/>
      <c r="O43" s="100"/>
      <c r="P43" s="100"/>
      <c r="Q43" s="100"/>
      <c r="R43" s="100"/>
      <c r="S43" s="100"/>
      <c r="T43" s="100"/>
      <c r="U43" s="100"/>
      <c r="Y43" s="101" t="str">
        <f>J43</f>
        <v>Outubro</v>
      </c>
      <c r="Z43" s="101"/>
      <c r="AA43" s="101"/>
      <c r="AB43" s="101"/>
      <c r="AC43" s="101"/>
      <c r="AD43" s="101"/>
      <c r="AE43" s="101"/>
      <c r="AH43" s="102" t="str">
        <f>Y43</f>
        <v>Outubro</v>
      </c>
      <c r="AI43" s="102"/>
      <c r="AJ43" s="102"/>
      <c r="AK43" s="102"/>
      <c r="AL43" s="102"/>
      <c r="AM43" s="102"/>
      <c r="AN43" s="102"/>
    </row>
    <row r="44" spans="1:40" ht="15.75" thickBot="1" x14ac:dyDescent="0.3">
      <c r="A44" s="97" t="s">
        <v>5</v>
      </c>
      <c r="B44" s="34" t="s">
        <v>6</v>
      </c>
      <c r="C44" s="22" t="s">
        <v>7</v>
      </c>
      <c r="D44" s="33" t="s">
        <v>8</v>
      </c>
      <c r="E44" s="22" t="s">
        <v>9</v>
      </c>
      <c r="F44" s="24" t="s">
        <v>10</v>
      </c>
      <c r="G44" s="23" t="s">
        <v>11</v>
      </c>
      <c r="H44" s="25" t="s">
        <v>12</v>
      </c>
      <c r="J44" s="6" t="s">
        <v>4</v>
      </c>
      <c r="K44" s="9">
        <v>45932</v>
      </c>
      <c r="L44" s="66">
        <v>45937</v>
      </c>
      <c r="M44" s="66">
        <v>45939</v>
      </c>
      <c r="N44" s="66">
        <v>45944</v>
      </c>
      <c r="O44" s="66">
        <v>45951</v>
      </c>
      <c r="P44" s="66">
        <v>45953</v>
      </c>
      <c r="Q44" s="66">
        <v>45958</v>
      </c>
      <c r="R44" s="66">
        <v>45960</v>
      </c>
      <c r="S44" s="4"/>
      <c r="T44" s="4"/>
      <c r="U44" s="5"/>
      <c r="Y44" s="6" t="s">
        <v>4</v>
      </c>
      <c r="Z44" s="9"/>
      <c r="AA44" s="4"/>
      <c r="AB44" s="4"/>
      <c r="AC44" s="4"/>
      <c r="AD44" s="4"/>
      <c r="AE44" s="5"/>
      <c r="AH44" s="6" t="s">
        <v>4</v>
      </c>
      <c r="AI44" s="9"/>
      <c r="AJ44" s="4"/>
      <c r="AK44" s="4"/>
      <c r="AL44" s="4"/>
      <c r="AM44" s="4"/>
      <c r="AN44" s="5"/>
    </row>
    <row r="45" spans="1:40" ht="15.75" thickBot="1" x14ac:dyDescent="0.3">
      <c r="A45" s="97"/>
      <c r="B45" s="27">
        <v>3043</v>
      </c>
      <c r="C45" s="27">
        <v>3802</v>
      </c>
      <c r="D45" s="27">
        <v>3802</v>
      </c>
      <c r="E45" s="27">
        <v>4678</v>
      </c>
      <c r="F45" s="27">
        <f>SUM(C45-B45)</f>
        <v>759</v>
      </c>
      <c r="G45" s="20">
        <f>SUM(E45-D45)</f>
        <v>876</v>
      </c>
      <c r="H45" s="21">
        <f>SUM(F45:G45)</f>
        <v>1635</v>
      </c>
      <c r="J45" s="7" t="s">
        <v>22</v>
      </c>
      <c r="K45" s="10">
        <v>133.87</v>
      </c>
      <c r="L45" s="11">
        <v>155.84</v>
      </c>
      <c r="M45" s="11">
        <v>165.09</v>
      </c>
      <c r="N45" s="11">
        <v>116.88</v>
      </c>
      <c r="O45" s="11">
        <v>197.61</v>
      </c>
      <c r="P45" s="11">
        <v>111.21</v>
      </c>
      <c r="Q45" s="11">
        <v>155.52000000000001</v>
      </c>
      <c r="R45" s="11">
        <v>116.91</v>
      </c>
      <c r="S45" s="11"/>
      <c r="T45" s="11"/>
      <c r="U45" s="12"/>
      <c r="Y45" s="7" t="s">
        <v>22</v>
      </c>
      <c r="Z45" s="10"/>
      <c r="AA45" s="11"/>
      <c r="AB45" s="11"/>
      <c r="AC45" s="11"/>
      <c r="AD45" s="11"/>
      <c r="AE45" s="12"/>
      <c r="AH45" s="7" t="s">
        <v>22</v>
      </c>
      <c r="AI45" s="10"/>
      <c r="AJ45" s="11"/>
      <c r="AK45" s="11"/>
      <c r="AL45" s="11"/>
      <c r="AM45" s="11"/>
      <c r="AN45" s="12"/>
    </row>
    <row r="46" spans="1:40" x14ac:dyDescent="0.25">
      <c r="J46" s="8"/>
      <c r="T46" s="8" t="s">
        <v>23</v>
      </c>
      <c r="U46" s="13">
        <f>SUM(K45:U45)</f>
        <v>1152.9300000000003</v>
      </c>
      <c r="AD46" s="8" t="s">
        <v>23</v>
      </c>
      <c r="AE46" s="13">
        <f>SUM(Z45:AE45)</f>
        <v>0</v>
      </c>
      <c r="AM46" s="8" t="s">
        <v>23</v>
      </c>
      <c r="AN46" s="13">
        <f>SUM(AI45:AN45)</f>
        <v>0</v>
      </c>
    </row>
    <row r="47" spans="1:40" ht="15.75" thickBot="1" x14ac:dyDescent="0.3">
      <c r="A47" s="19"/>
      <c r="B47" s="99" t="s">
        <v>20</v>
      </c>
      <c r="C47" s="99"/>
      <c r="D47" s="99"/>
      <c r="E47" s="99"/>
      <c r="F47" s="99"/>
      <c r="G47" s="99"/>
      <c r="H47" s="99"/>
      <c r="J47" s="100" t="s">
        <v>20</v>
      </c>
      <c r="K47" s="100"/>
      <c r="L47" s="100"/>
      <c r="M47" s="100"/>
      <c r="N47" s="100"/>
      <c r="O47" s="100"/>
      <c r="P47" s="100"/>
      <c r="Q47" s="100"/>
      <c r="R47" s="100"/>
      <c r="S47" s="100"/>
      <c r="T47" s="100"/>
      <c r="U47" s="100"/>
      <c r="Y47" s="101" t="str">
        <f>J47</f>
        <v>Novembro</v>
      </c>
      <c r="Z47" s="101"/>
      <c r="AA47" s="101"/>
      <c r="AB47" s="101"/>
      <c r="AC47" s="101"/>
      <c r="AD47" s="101"/>
      <c r="AE47" s="101"/>
      <c r="AH47" s="102" t="str">
        <f>Y47</f>
        <v>Novembro</v>
      </c>
      <c r="AI47" s="102"/>
      <c r="AJ47" s="102"/>
      <c r="AK47" s="102"/>
      <c r="AL47" s="102"/>
      <c r="AM47" s="102"/>
      <c r="AN47" s="102"/>
    </row>
    <row r="48" spans="1:40" ht="15.75" thickBot="1" x14ac:dyDescent="0.3">
      <c r="A48" s="97" t="s">
        <v>5</v>
      </c>
      <c r="B48" s="34" t="s">
        <v>6</v>
      </c>
      <c r="C48" s="22" t="s">
        <v>7</v>
      </c>
      <c r="D48" s="33" t="s">
        <v>8</v>
      </c>
      <c r="E48" s="22" t="s">
        <v>9</v>
      </c>
      <c r="F48" s="24" t="s">
        <v>10</v>
      </c>
      <c r="G48" s="23" t="s">
        <v>11</v>
      </c>
      <c r="H48" s="25" t="s">
        <v>12</v>
      </c>
      <c r="J48" s="6" t="s">
        <v>4</v>
      </c>
      <c r="K48" s="9">
        <v>45965</v>
      </c>
      <c r="L48" s="66">
        <v>45969</v>
      </c>
      <c r="M48" s="66">
        <v>45972</v>
      </c>
      <c r="N48" s="66">
        <v>45979</v>
      </c>
      <c r="O48" s="66">
        <v>45981</v>
      </c>
      <c r="P48" s="66">
        <v>45986</v>
      </c>
      <c r="Q48" s="66">
        <v>45988</v>
      </c>
      <c r="R48" s="4"/>
      <c r="S48" s="4"/>
      <c r="T48" s="4"/>
      <c r="U48" s="5"/>
      <c r="Y48" s="6" t="s">
        <v>4</v>
      </c>
      <c r="Z48" s="9"/>
      <c r="AA48" s="4"/>
      <c r="AB48" s="4"/>
      <c r="AC48" s="4"/>
      <c r="AD48" s="4"/>
      <c r="AE48" s="5"/>
      <c r="AH48" s="6" t="s">
        <v>4</v>
      </c>
      <c r="AI48" s="9"/>
      <c r="AJ48" s="4"/>
      <c r="AK48" s="4"/>
      <c r="AL48" s="4"/>
      <c r="AM48" s="4"/>
      <c r="AN48" s="5"/>
    </row>
    <row r="49" spans="1:40" ht="15.75" thickBot="1" x14ac:dyDescent="0.3">
      <c r="A49" s="97"/>
      <c r="B49" s="27">
        <v>4678</v>
      </c>
      <c r="C49" s="27">
        <v>5597</v>
      </c>
      <c r="D49" s="27">
        <v>5597</v>
      </c>
      <c r="E49" s="27">
        <v>6527</v>
      </c>
      <c r="F49" s="27">
        <f>SUM(C49-B49)</f>
        <v>919</v>
      </c>
      <c r="G49" s="20">
        <f>SUM(E49-D49)</f>
        <v>930</v>
      </c>
      <c r="H49" s="21">
        <f>SUM(F49:G49)</f>
        <v>1849</v>
      </c>
      <c r="J49" s="7" t="s">
        <v>22</v>
      </c>
      <c r="K49" s="10">
        <v>227.69</v>
      </c>
      <c r="L49" s="11">
        <v>214.14</v>
      </c>
      <c r="M49" s="11">
        <v>110.06</v>
      </c>
      <c r="N49" s="11">
        <v>197.34</v>
      </c>
      <c r="O49" s="11">
        <v>188.32</v>
      </c>
      <c r="P49" s="11">
        <v>205.81</v>
      </c>
      <c r="Q49" s="11">
        <v>185.83</v>
      </c>
      <c r="R49" s="11"/>
      <c r="S49" s="11"/>
      <c r="T49" s="11"/>
      <c r="U49" s="12"/>
      <c r="Y49" s="7" t="s">
        <v>22</v>
      </c>
      <c r="Z49" s="10"/>
      <c r="AA49" s="11"/>
      <c r="AB49" s="11"/>
      <c r="AC49" s="11"/>
      <c r="AD49" s="11"/>
      <c r="AE49" s="12"/>
      <c r="AH49" s="7" t="s">
        <v>22</v>
      </c>
      <c r="AI49" s="10"/>
      <c r="AJ49" s="11"/>
      <c r="AK49" s="11"/>
      <c r="AL49" s="11"/>
      <c r="AM49" s="11"/>
      <c r="AN49" s="12"/>
    </row>
    <row r="50" spans="1:40" x14ac:dyDescent="0.25">
      <c r="J50" s="8"/>
      <c r="T50" s="8" t="s">
        <v>23</v>
      </c>
      <c r="U50" s="13">
        <f>SUM(K49:U49)</f>
        <v>1329.1899999999998</v>
      </c>
      <c r="AD50" s="8" t="s">
        <v>23</v>
      </c>
      <c r="AE50" s="13">
        <f>SUM(Z49:AE49)</f>
        <v>0</v>
      </c>
      <c r="AM50" s="8" t="s">
        <v>23</v>
      </c>
      <c r="AN50" s="13">
        <f>SUM(AI49:AN49)</f>
        <v>0</v>
      </c>
    </row>
    <row r="51" spans="1:40" ht="15.75" thickBot="1" x14ac:dyDescent="0.3">
      <c r="A51" s="19"/>
      <c r="B51" s="99" t="s">
        <v>21</v>
      </c>
      <c r="C51" s="99"/>
      <c r="D51" s="99"/>
      <c r="E51" s="99"/>
      <c r="F51" s="99"/>
      <c r="G51" s="99"/>
      <c r="H51" s="99"/>
      <c r="J51" s="100" t="s">
        <v>21</v>
      </c>
      <c r="K51" s="100"/>
      <c r="L51" s="100"/>
      <c r="M51" s="100"/>
      <c r="N51" s="100"/>
      <c r="O51" s="100"/>
      <c r="P51" s="100"/>
      <c r="Q51" s="100"/>
      <c r="R51" s="100"/>
      <c r="S51" s="100"/>
      <c r="T51" s="100"/>
      <c r="U51" s="100"/>
      <c r="Y51" s="101" t="str">
        <f>J51</f>
        <v>Dezembro</v>
      </c>
      <c r="Z51" s="101"/>
      <c r="AA51" s="101"/>
      <c r="AB51" s="101"/>
      <c r="AC51" s="101"/>
      <c r="AD51" s="101"/>
      <c r="AE51" s="101"/>
      <c r="AH51" s="102" t="str">
        <f>Y51</f>
        <v>Dezembro</v>
      </c>
      <c r="AI51" s="102"/>
      <c r="AJ51" s="102"/>
      <c r="AK51" s="102"/>
      <c r="AL51" s="102"/>
      <c r="AM51" s="102"/>
      <c r="AN51" s="102"/>
    </row>
    <row r="52" spans="1:40" ht="15.75" thickBot="1" x14ac:dyDescent="0.3">
      <c r="A52" s="97" t="s">
        <v>5</v>
      </c>
      <c r="B52" s="34" t="s">
        <v>6</v>
      </c>
      <c r="C52" s="22" t="s">
        <v>7</v>
      </c>
      <c r="D52" s="33" t="s">
        <v>8</v>
      </c>
      <c r="E52" s="22" t="s">
        <v>9</v>
      </c>
      <c r="F52" s="24" t="s">
        <v>10</v>
      </c>
      <c r="G52" s="23" t="s">
        <v>11</v>
      </c>
      <c r="H52" s="25" t="s">
        <v>12</v>
      </c>
      <c r="J52" s="6" t="s">
        <v>4</v>
      </c>
      <c r="K52" s="9">
        <v>45993</v>
      </c>
      <c r="L52" s="66">
        <v>45995</v>
      </c>
      <c r="M52" s="66">
        <v>46000</v>
      </c>
      <c r="N52" s="66">
        <v>46002</v>
      </c>
      <c r="O52" s="66">
        <v>46007</v>
      </c>
      <c r="P52" s="66">
        <v>46009</v>
      </c>
      <c r="Q52" s="66">
        <v>46011</v>
      </c>
      <c r="R52" s="66">
        <v>46014</v>
      </c>
      <c r="S52" s="4"/>
      <c r="T52" s="4"/>
      <c r="U52" s="5"/>
      <c r="Y52" s="6" t="s">
        <v>4</v>
      </c>
      <c r="Z52" s="9"/>
      <c r="AA52" s="4"/>
      <c r="AB52" s="4"/>
      <c r="AC52" s="4"/>
      <c r="AD52" s="4"/>
      <c r="AE52" s="5"/>
      <c r="AH52" s="6" t="s">
        <v>4</v>
      </c>
      <c r="AI52" s="9"/>
      <c r="AJ52" s="4"/>
      <c r="AK52" s="4"/>
      <c r="AL52" s="4"/>
      <c r="AM52" s="4"/>
      <c r="AN52" s="5"/>
    </row>
    <row r="53" spans="1:40" ht="15.75" thickBot="1" x14ac:dyDescent="0.3">
      <c r="A53" s="97"/>
      <c r="B53" s="27">
        <v>6527</v>
      </c>
      <c r="C53" s="27">
        <v>7627</v>
      </c>
      <c r="D53" s="27">
        <v>7627</v>
      </c>
      <c r="E53" s="27">
        <v>8258</v>
      </c>
      <c r="F53" s="27">
        <f>SUM(C53-B53)</f>
        <v>1100</v>
      </c>
      <c r="G53" s="20">
        <f>SUM(E53-D53)</f>
        <v>631</v>
      </c>
      <c r="H53" s="21">
        <f>SUM(F53:G53)</f>
        <v>1731</v>
      </c>
      <c r="J53" s="7" t="s">
        <v>22</v>
      </c>
      <c r="K53" s="10">
        <v>210.27</v>
      </c>
      <c r="L53" s="11">
        <v>137.54</v>
      </c>
      <c r="M53" s="11">
        <v>173.07</v>
      </c>
      <c r="N53" s="11">
        <v>119.6</v>
      </c>
      <c r="O53" s="11">
        <v>261.18</v>
      </c>
      <c r="P53" s="11">
        <v>140.02000000000001</v>
      </c>
      <c r="Q53" s="11">
        <v>137.36000000000001</v>
      </c>
      <c r="R53" s="11">
        <v>207.06</v>
      </c>
      <c r="S53" s="11"/>
      <c r="T53" s="11"/>
      <c r="U53" s="12"/>
      <c r="Y53" s="7" t="s">
        <v>22</v>
      </c>
      <c r="Z53" s="10"/>
      <c r="AA53" s="11"/>
      <c r="AB53" s="11"/>
      <c r="AC53" s="11"/>
      <c r="AD53" s="11"/>
      <c r="AE53" s="12"/>
      <c r="AH53" s="7" t="s">
        <v>22</v>
      </c>
      <c r="AI53" s="10"/>
      <c r="AJ53" s="11"/>
      <c r="AK53" s="11"/>
      <c r="AL53" s="11"/>
      <c r="AM53" s="11"/>
      <c r="AN53" s="12"/>
    </row>
    <row r="54" spans="1:40" x14ac:dyDescent="0.25">
      <c r="J54" s="8"/>
      <c r="T54" s="8" t="s">
        <v>23</v>
      </c>
      <c r="U54" s="13">
        <f>SUM(K53:U53)</f>
        <v>1386.1</v>
      </c>
      <c r="AD54" s="8" t="s">
        <v>23</v>
      </c>
      <c r="AE54" s="13">
        <f>SUM(Z53:AE53)</f>
        <v>0</v>
      </c>
      <c r="AM54" s="8" t="s">
        <v>23</v>
      </c>
      <c r="AN54" s="13">
        <f>SUM(AI53:AN53)</f>
        <v>0</v>
      </c>
    </row>
    <row r="55" spans="1:40" ht="15.75" thickBot="1" x14ac:dyDescent="0.3">
      <c r="A55" s="19">
        <v>2026</v>
      </c>
      <c r="B55" s="99" t="s">
        <v>134</v>
      </c>
      <c r="C55" s="99"/>
      <c r="D55" s="99"/>
      <c r="E55" s="99"/>
      <c r="F55" s="99"/>
      <c r="G55" s="99"/>
      <c r="H55" s="99"/>
      <c r="J55" s="100" t="s">
        <v>134</v>
      </c>
      <c r="K55" s="100"/>
      <c r="L55" s="100"/>
      <c r="M55" s="100"/>
      <c r="N55" s="100"/>
      <c r="O55" s="100"/>
      <c r="P55" s="100"/>
      <c r="Q55" s="100"/>
      <c r="R55" s="100"/>
      <c r="S55" s="100"/>
      <c r="T55" s="100"/>
      <c r="U55" s="100"/>
      <c r="Y55" s="101" t="s">
        <v>134</v>
      </c>
      <c r="Z55" s="101"/>
      <c r="AA55" s="101"/>
      <c r="AB55" s="101"/>
      <c r="AC55" s="101"/>
      <c r="AD55" s="101"/>
      <c r="AE55" s="101"/>
      <c r="AH55" s="102" t="s">
        <v>134</v>
      </c>
      <c r="AI55" s="102"/>
      <c r="AJ55" s="102"/>
      <c r="AK55" s="102"/>
      <c r="AL55" s="102"/>
      <c r="AM55" s="102"/>
      <c r="AN55" s="102"/>
    </row>
    <row r="56" spans="1:40" ht="15.75" thickBot="1" x14ac:dyDescent="0.3">
      <c r="A56" s="97" t="s">
        <v>5</v>
      </c>
      <c r="B56" s="34" t="s">
        <v>6</v>
      </c>
      <c r="C56" s="22" t="s">
        <v>7</v>
      </c>
      <c r="D56" s="33" t="s">
        <v>8</v>
      </c>
      <c r="E56" s="22" t="s">
        <v>9</v>
      </c>
      <c r="F56" s="24" t="s">
        <v>10</v>
      </c>
      <c r="G56" s="23" t="s">
        <v>11</v>
      </c>
      <c r="H56" s="25" t="s">
        <v>12</v>
      </c>
      <c r="J56" s="28" t="s">
        <v>4</v>
      </c>
      <c r="K56" s="9"/>
      <c r="L56" s="4"/>
      <c r="M56" s="4"/>
      <c r="N56" s="4"/>
      <c r="O56" s="4"/>
      <c r="P56" s="4"/>
      <c r="Q56" s="4"/>
      <c r="R56" s="4"/>
      <c r="S56" s="4"/>
      <c r="T56" s="4"/>
      <c r="U56" s="5"/>
      <c r="Y56" s="6" t="s">
        <v>4</v>
      </c>
      <c r="Z56" s="9"/>
      <c r="AA56" s="4"/>
      <c r="AB56" s="4"/>
      <c r="AC56" s="4"/>
      <c r="AD56" s="4"/>
      <c r="AE56" s="5"/>
      <c r="AH56" s="6" t="s">
        <v>4</v>
      </c>
      <c r="AI56" s="9"/>
      <c r="AJ56" s="4"/>
      <c r="AK56" s="4"/>
      <c r="AL56" s="4"/>
      <c r="AM56" s="4"/>
      <c r="AN56" s="5"/>
    </row>
    <row r="57" spans="1:40" ht="15.75" thickBot="1" x14ac:dyDescent="0.3">
      <c r="A57" s="97"/>
      <c r="B57" s="27">
        <v>8258</v>
      </c>
      <c r="C57" s="27"/>
      <c r="D57" s="27"/>
      <c r="E57" s="27">
        <v>10399</v>
      </c>
      <c r="F57" s="27">
        <f>SUM(C57-B57)</f>
        <v>-8258</v>
      </c>
      <c r="G57" s="20">
        <f>SUM(E57-D57)</f>
        <v>10399</v>
      </c>
      <c r="H57" s="21">
        <f>SUM(F57:G57)</f>
        <v>2141</v>
      </c>
      <c r="J57" s="29" t="s">
        <v>22</v>
      </c>
      <c r="K57" s="10"/>
      <c r="L57" s="11"/>
      <c r="M57" s="11"/>
      <c r="N57" s="11"/>
      <c r="O57" s="11"/>
      <c r="P57" s="11"/>
      <c r="Q57" s="11"/>
      <c r="R57" s="11"/>
      <c r="S57" s="11"/>
      <c r="T57" s="11"/>
      <c r="U57" s="12"/>
      <c r="Y57" s="7" t="s">
        <v>22</v>
      </c>
      <c r="Z57" s="10"/>
      <c r="AA57" s="11"/>
      <c r="AB57" s="11"/>
      <c r="AC57" s="11"/>
      <c r="AD57" s="11"/>
      <c r="AE57" s="12"/>
      <c r="AH57" s="7" t="s">
        <v>22</v>
      </c>
      <c r="AI57" s="10"/>
      <c r="AJ57" s="11"/>
      <c r="AK57" s="11"/>
      <c r="AL57" s="11"/>
      <c r="AM57" s="11"/>
      <c r="AN57" s="12"/>
    </row>
    <row r="58" spans="1:40" x14ac:dyDescent="0.25">
      <c r="J58" s="8"/>
      <c r="T58" s="8" t="s">
        <v>23</v>
      </c>
      <c r="U58" s="13">
        <f>SUM(K57:U57)</f>
        <v>0</v>
      </c>
      <c r="AD58" s="8" t="s">
        <v>23</v>
      </c>
      <c r="AE58" s="13">
        <f>SUM(Z57:AE57)</f>
        <v>0</v>
      </c>
      <c r="AM58" s="8" t="s">
        <v>23</v>
      </c>
      <c r="AN58" s="13">
        <f>SUM(AI57:AN57)</f>
        <v>0</v>
      </c>
    </row>
    <row r="59" spans="1:40" ht="15.75" thickBot="1" x14ac:dyDescent="0.3">
      <c r="A59" s="19"/>
      <c r="B59" s="99" t="s">
        <v>3</v>
      </c>
      <c r="C59" s="99"/>
      <c r="D59" s="99"/>
      <c r="E59" s="99"/>
      <c r="F59" s="99"/>
      <c r="G59" s="99"/>
      <c r="H59" s="99"/>
      <c r="J59" s="100" t="s">
        <v>3</v>
      </c>
      <c r="K59" s="100"/>
      <c r="L59" s="100"/>
      <c r="M59" s="100"/>
      <c r="N59" s="100"/>
      <c r="O59" s="100"/>
      <c r="P59" s="100"/>
      <c r="Q59" s="100"/>
      <c r="R59" s="100"/>
      <c r="S59" s="100"/>
      <c r="T59" s="100"/>
      <c r="U59" s="100"/>
      <c r="Y59" s="101" t="s">
        <v>3</v>
      </c>
      <c r="Z59" s="101"/>
      <c r="AA59" s="101"/>
      <c r="AB59" s="101"/>
      <c r="AC59" s="101"/>
      <c r="AD59" s="101"/>
      <c r="AE59" s="101"/>
      <c r="AH59" s="102" t="s">
        <v>3</v>
      </c>
      <c r="AI59" s="102"/>
      <c r="AJ59" s="102"/>
      <c r="AK59" s="102"/>
      <c r="AL59" s="102"/>
      <c r="AM59" s="102"/>
      <c r="AN59" s="102"/>
    </row>
    <row r="60" spans="1:40" ht="15.75" thickBot="1" x14ac:dyDescent="0.3">
      <c r="A60" s="97" t="s">
        <v>5</v>
      </c>
      <c r="B60" s="34" t="s">
        <v>6</v>
      </c>
      <c r="C60" s="22" t="s">
        <v>7</v>
      </c>
      <c r="D60" s="33" t="s">
        <v>8</v>
      </c>
      <c r="E60" s="22" t="s">
        <v>9</v>
      </c>
      <c r="F60" s="24" t="s">
        <v>10</v>
      </c>
      <c r="G60" s="23" t="s">
        <v>11</v>
      </c>
      <c r="H60" s="25" t="s">
        <v>12</v>
      </c>
      <c r="J60" s="28" t="s">
        <v>4</v>
      </c>
      <c r="K60" s="9">
        <v>46056</v>
      </c>
      <c r="L60" s="66">
        <v>46060</v>
      </c>
      <c r="M60" s="66">
        <v>46067</v>
      </c>
      <c r="N60" s="66">
        <v>46072</v>
      </c>
      <c r="O60" s="66">
        <v>46081</v>
      </c>
      <c r="P60" s="4"/>
      <c r="Q60" s="4"/>
      <c r="R60" s="4"/>
      <c r="S60" s="4"/>
      <c r="T60" s="4"/>
      <c r="U60" s="5"/>
      <c r="Y60" s="6" t="s">
        <v>4</v>
      </c>
      <c r="Z60" s="9"/>
      <c r="AA60" s="4"/>
      <c r="AB60" s="4"/>
      <c r="AC60" s="4"/>
      <c r="AD60" s="4"/>
      <c r="AE60" s="5"/>
      <c r="AH60" s="6" t="s">
        <v>4</v>
      </c>
      <c r="AI60" s="9"/>
      <c r="AJ60" s="4"/>
      <c r="AK60" s="4"/>
      <c r="AL60" s="4"/>
      <c r="AM60" s="4"/>
      <c r="AN60" s="5"/>
    </row>
    <row r="61" spans="1:40" ht="15.75" thickBot="1" x14ac:dyDescent="0.3">
      <c r="A61" s="97"/>
      <c r="B61" s="27">
        <v>10399</v>
      </c>
      <c r="C61" s="27"/>
      <c r="D61" s="27"/>
      <c r="E61" s="27">
        <v>12508</v>
      </c>
      <c r="F61" s="27">
        <f>SUM(C61-B61)</f>
        <v>-10399</v>
      </c>
      <c r="G61" s="20">
        <f>SUM(E61-D61)</f>
        <v>12508</v>
      </c>
      <c r="H61" s="21">
        <f>SUM(F61:G61)</f>
        <v>2109</v>
      </c>
      <c r="J61" s="29" t="s">
        <v>22</v>
      </c>
      <c r="K61" s="10">
        <v>222.53</v>
      </c>
      <c r="L61" s="11">
        <v>205.34</v>
      </c>
      <c r="M61" s="11">
        <v>204.28</v>
      </c>
      <c r="N61" s="11">
        <v>254.2</v>
      </c>
      <c r="O61" s="11">
        <v>262.64</v>
      </c>
      <c r="P61" s="11"/>
      <c r="Q61" s="11"/>
      <c r="R61" s="11"/>
      <c r="S61" s="11"/>
      <c r="T61" s="11"/>
      <c r="U61" s="12"/>
      <c r="Y61" s="7" t="s">
        <v>22</v>
      </c>
      <c r="Z61" s="10"/>
      <c r="AA61" s="11"/>
      <c r="AB61" s="11"/>
      <c r="AC61" s="11"/>
      <c r="AD61" s="11"/>
      <c r="AE61" s="12"/>
      <c r="AH61" s="7" t="s">
        <v>22</v>
      </c>
      <c r="AI61" s="10"/>
      <c r="AJ61" s="11"/>
      <c r="AK61" s="11"/>
      <c r="AL61" s="11"/>
      <c r="AM61" s="11"/>
      <c r="AN61" s="12"/>
    </row>
    <row r="62" spans="1:40" x14ac:dyDescent="0.25">
      <c r="J62" s="8"/>
      <c r="T62" s="8" t="s">
        <v>23</v>
      </c>
      <c r="U62" s="13">
        <f>SUM(K61:U61)</f>
        <v>1148.9899999999998</v>
      </c>
      <c r="AD62" s="8" t="s">
        <v>23</v>
      </c>
      <c r="AE62" s="13">
        <f>SUM(Z61:AE61)</f>
        <v>0</v>
      </c>
      <c r="AM62" s="8" t="s">
        <v>23</v>
      </c>
      <c r="AN62" s="13">
        <f>SUM(AI61:AN61)</f>
        <v>0</v>
      </c>
    </row>
    <row r="63" spans="1:40" ht="15.75" thickBot="1" x14ac:dyDescent="0.3">
      <c r="A63" s="19"/>
      <c r="B63" s="99" t="s">
        <v>13</v>
      </c>
      <c r="C63" s="99"/>
      <c r="D63" s="99"/>
      <c r="E63" s="99"/>
      <c r="F63" s="99"/>
      <c r="G63" s="99"/>
      <c r="H63" s="99"/>
      <c r="J63" s="100" t="s">
        <v>13</v>
      </c>
      <c r="K63" s="100"/>
      <c r="L63" s="100"/>
      <c r="M63" s="100"/>
      <c r="N63" s="100"/>
      <c r="O63" s="100"/>
      <c r="P63" s="100"/>
      <c r="Q63" s="100"/>
      <c r="R63" s="100"/>
      <c r="S63" s="100"/>
      <c r="T63" s="100"/>
      <c r="U63" s="100"/>
      <c r="Y63" s="101" t="str">
        <f>J63</f>
        <v>Março</v>
      </c>
      <c r="Z63" s="101"/>
      <c r="AA63" s="101"/>
      <c r="AB63" s="101"/>
      <c r="AC63" s="101"/>
      <c r="AD63" s="101"/>
      <c r="AE63" s="101"/>
      <c r="AH63" s="102" t="str">
        <f>Y63</f>
        <v>Março</v>
      </c>
      <c r="AI63" s="102"/>
      <c r="AJ63" s="102"/>
      <c r="AK63" s="102"/>
      <c r="AL63" s="102"/>
      <c r="AM63" s="102"/>
      <c r="AN63" s="102"/>
    </row>
    <row r="64" spans="1:40" ht="15.75" thickBot="1" x14ac:dyDescent="0.3">
      <c r="A64" s="97" t="s">
        <v>5</v>
      </c>
      <c r="B64" s="34" t="s">
        <v>6</v>
      </c>
      <c r="C64" s="22" t="s">
        <v>7</v>
      </c>
      <c r="D64" s="33" t="s">
        <v>8</v>
      </c>
      <c r="E64" s="22" t="s">
        <v>9</v>
      </c>
      <c r="F64" s="24" t="s">
        <v>10</v>
      </c>
      <c r="G64" s="23" t="s">
        <v>11</v>
      </c>
      <c r="H64" s="25" t="s">
        <v>12</v>
      </c>
      <c r="J64" s="6" t="s">
        <v>4</v>
      </c>
      <c r="K64" s="9"/>
      <c r="L64" s="4"/>
      <c r="M64" s="4"/>
      <c r="N64" s="4"/>
      <c r="O64" s="4"/>
      <c r="P64" s="4"/>
      <c r="Q64" s="4"/>
      <c r="R64" s="4"/>
      <c r="S64" s="4"/>
      <c r="T64" s="4"/>
      <c r="U64" s="5"/>
      <c r="Y64" s="6" t="s">
        <v>4</v>
      </c>
      <c r="Z64" s="9"/>
      <c r="AA64" s="4"/>
      <c r="AB64" s="4"/>
      <c r="AC64" s="4"/>
      <c r="AD64" s="4"/>
      <c r="AE64" s="5"/>
      <c r="AH64" s="6" t="s">
        <v>4</v>
      </c>
      <c r="AI64" s="9"/>
      <c r="AJ64" s="4"/>
      <c r="AK64" s="4"/>
      <c r="AL64" s="4"/>
      <c r="AM64" s="4"/>
      <c r="AN64" s="5"/>
    </row>
    <row r="65" spans="1:40" ht="15.75" thickBot="1" x14ac:dyDescent="0.3">
      <c r="A65" s="97"/>
      <c r="B65" s="27">
        <v>12508</v>
      </c>
      <c r="C65" s="27"/>
      <c r="D65" s="27"/>
      <c r="E65" s="27">
        <v>14383</v>
      </c>
      <c r="F65" s="27">
        <f>SUM(C65-B65)</f>
        <v>-12508</v>
      </c>
      <c r="G65" s="20">
        <f>SUM(E65-D65)</f>
        <v>14383</v>
      </c>
      <c r="H65" s="21">
        <f>SUM(F65:G65)</f>
        <v>1875</v>
      </c>
      <c r="J65" s="7" t="s">
        <v>22</v>
      </c>
      <c r="K65" s="10"/>
      <c r="L65" s="11"/>
      <c r="M65" s="11"/>
      <c r="N65" s="11"/>
      <c r="O65" s="11"/>
      <c r="P65" s="11"/>
      <c r="Q65" s="11"/>
      <c r="R65" s="11"/>
      <c r="S65" s="11"/>
      <c r="T65" s="11"/>
      <c r="U65" s="12"/>
      <c r="Y65" s="7" t="s">
        <v>22</v>
      </c>
      <c r="Z65" s="10"/>
      <c r="AA65" s="11"/>
      <c r="AB65" s="11"/>
      <c r="AC65" s="11"/>
      <c r="AD65" s="11"/>
      <c r="AE65" s="12"/>
      <c r="AH65" s="7" t="s">
        <v>22</v>
      </c>
      <c r="AI65" s="10"/>
      <c r="AJ65" s="11"/>
      <c r="AK65" s="11"/>
      <c r="AL65" s="11"/>
      <c r="AM65" s="11"/>
      <c r="AN65" s="12"/>
    </row>
    <row r="66" spans="1:40" x14ac:dyDescent="0.25">
      <c r="J66" s="8"/>
      <c r="T66" s="8" t="s">
        <v>23</v>
      </c>
      <c r="U66" s="13">
        <f>SUM(K65:U65)</f>
        <v>0</v>
      </c>
      <c r="AD66" s="8" t="s">
        <v>23</v>
      </c>
      <c r="AE66" s="13">
        <f>SUM(Z65:AE65)</f>
        <v>0</v>
      </c>
      <c r="AM66" s="8" t="s">
        <v>23</v>
      </c>
      <c r="AN66" s="13">
        <f>SUM(AI65:AN65)</f>
        <v>0</v>
      </c>
    </row>
    <row r="67" spans="1:40" ht="15.75" thickBot="1" x14ac:dyDescent="0.3">
      <c r="A67" s="19"/>
      <c r="B67" s="99" t="s">
        <v>14</v>
      </c>
      <c r="C67" s="99"/>
      <c r="D67" s="99"/>
      <c r="E67" s="99"/>
      <c r="F67" s="99"/>
      <c r="G67" s="99"/>
      <c r="H67" s="99"/>
      <c r="J67" s="100" t="s">
        <v>14</v>
      </c>
      <c r="K67" s="100"/>
      <c r="L67" s="100"/>
      <c r="M67" s="100"/>
      <c r="N67" s="100"/>
      <c r="O67" s="100"/>
      <c r="P67" s="100"/>
      <c r="Q67" s="100"/>
      <c r="R67" s="100"/>
      <c r="S67" s="100"/>
      <c r="T67" s="100"/>
      <c r="U67" s="100"/>
      <c r="Y67" s="101" t="str">
        <f>J67</f>
        <v>Abril</v>
      </c>
      <c r="Z67" s="101"/>
      <c r="AA67" s="101"/>
      <c r="AB67" s="101"/>
      <c r="AC67" s="101"/>
      <c r="AD67" s="101"/>
      <c r="AE67" s="101"/>
      <c r="AH67" s="102" t="str">
        <f>Y67</f>
        <v>Abril</v>
      </c>
      <c r="AI67" s="102"/>
      <c r="AJ67" s="102"/>
      <c r="AK67" s="102"/>
      <c r="AL67" s="102"/>
      <c r="AM67" s="102"/>
      <c r="AN67" s="102"/>
    </row>
    <row r="68" spans="1:40" ht="15.75" thickBot="1" x14ac:dyDescent="0.3">
      <c r="A68" s="97" t="s">
        <v>5</v>
      </c>
      <c r="B68" s="34" t="s">
        <v>6</v>
      </c>
      <c r="C68" s="22" t="s">
        <v>7</v>
      </c>
      <c r="D68" s="33" t="s">
        <v>8</v>
      </c>
      <c r="E68" s="22" t="s">
        <v>9</v>
      </c>
      <c r="F68" s="24" t="s">
        <v>10</v>
      </c>
      <c r="G68" s="23" t="s">
        <v>11</v>
      </c>
      <c r="H68" s="25" t="s">
        <v>12</v>
      </c>
      <c r="J68" s="6" t="s">
        <v>4</v>
      </c>
      <c r="K68" s="9">
        <v>46119</v>
      </c>
      <c r="L68" s="4"/>
      <c r="M68" s="4"/>
      <c r="N68" s="4"/>
      <c r="O68" s="4"/>
      <c r="P68" s="4"/>
      <c r="Q68" s="4"/>
      <c r="R68" s="4"/>
      <c r="S68" s="4"/>
      <c r="T68" s="4"/>
      <c r="U68" s="5"/>
      <c r="Y68" s="6" t="s">
        <v>4</v>
      </c>
      <c r="Z68" s="9"/>
      <c r="AA68" s="4"/>
      <c r="AB68" s="4"/>
      <c r="AC68" s="4"/>
      <c r="AD68" s="4"/>
      <c r="AE68" s="5"/>
      <c r="AH68" s="6" t="s">
        <v>4</v>
      </c>
      <c r="AI68" s="9"/>
      <c r="AJ68" s="4"/>
      <c r="AK68" s="4"/>
      <c r="AL68" s="4"/>
      <c r="AM68" s="4"/>
      <c r="AN68" s="5"/>
    </row>
    <row r="69" spans="1:40" ht="15.75" thickBot="1" x14ac:dyDescent="0.3">
      <c r="A69" s="97"/>
      <c r="B69" s="27">
        <v>14383</v>
      </c>
      <c r="C69" s="27"/>
      <c r="D69" s="27"/>
      <c r="E69" s="27">
        <v>16052</v>
      </c>
      <c r="F69" s="27">
        <f>SUM(C69-B69)</f>
        <v>-14383</v>
      </c>
      <c r="G69" s="20">
        <f>SUM(E69-D69)</f>
        <v>16052</v>
      </c>
      <c r="H69" s="21">
        <f>SUM(F69:G69)</f>
        <v>1669</v>
      </c>
      <c r="J69" s="7" t="s">
        <v>22</v>
      </c>
      <c r="K69" s="30">
        <v>198.35</v>
      </c>
      <c r="L69" s="31"/>
      <c r="M69" s="31"/>
      <c r="N69" s="31"/>
      <c r="O69" s="31"/>
      <c r="P69" s="31"/>
      <c r="Q69" s="31"/>
      <c r="R69" s="31"/>
      <c r="S69" s="31"/>
      <c r="T69" s="31"/>
      <c r="U69" s="32"/>
      <c r="Y69" s="7" t="s">
        <v>22</v>
      </c>
      <c r="Z69" s="10"/>
      <c r="AA69" s="11"/>
      <c r="AB69" s="11"/>
      <c r="AC69" s="11"/>
      <c r="AD69" s="11"/>
      <c r="AE69" s="12"/>
      <c r="AH69" s="7" t="s">
        <v>22</v>
      </c>
      <c r="AI69" s="10"/>
      <c r="AJ69" s="11"/>
      <c r="AK69" s="11"/>
      <c r="AL69" s="11"/>
      <c r="AM69" s="11"/>
      <c r="AN69" s="12"/>
    </row>
    <row r="70" spans="1:40" x14ac:dyDescent="0.25">
      <c r="J70" s="8"/>
      <c r="T70" s="8" t="s">
        <v>23</v>
      </c>
      <c r="U70" s="13">
        <f>SUM(K69:U69)</f>
        <v>198.35</v>
      </c>
      <c r="AD70" s="8" t="s">
        <v>23</v>
      </c>
      <c r="AE70" s="13">
        <f>SUM(Z69:AE69)</f>
        <v>0</v>
      </c>
      <c r="AM70" s="8" t="s">
        <v>23</v>
      </c>
      <c r="AN70" s="13">
        <f>SUM(AI69:AN69)</f>
        <v>0</v>
      </c>
    </row>
    <row r="71" spans="1:40" ht="15.75" thickBot="1" x14ac:dyDescent="0.3">
      <c r="A71" s="19"/>
      <c r="B71" s="99" t="s">
        <v>15</v>
      </c>
      <c r="C71" s="99"/>
      <c r="D71" s="99"/>
      <c r="E71" s="99"/>
      <c r="F71" s="99"/>
      <c r="G71" s="99"/>
      <c r="H71" s="99"/>
      <c r="J71" s="100" t="s">
        <v>15</v>
      </c>
      <c r="K71" s="100"/>
      <c r="L71" s="100"/>
      <c r="M71" s="100"/>
      <c r="N71" s="100"/>
      <c r="O71" s="100"/>
      <c r="P71" s="100"/>
      <c r="Q71" s="100"/>
      <c r="R71" s="100"/>
      <c r="S71" s="100"/>
      <c r="T71" s="100"/>
      <c r="U71" s="100"/>
      <c r="Y71" s="101" t="str">
        <f>J71</f>
        <v>Maio</v>
      </c>
      <c r="Z71" s="101"/>
      <c r="AA71" s="101"/>
      <c r="AB71" s="101"/>
      <c r="AC71" s="101"/>
      <c r="AD71" s="101"/>
      <c r="AE71" s="101"/>
      <c r="AH71" s="102" t="str">
        <f>Y71</f>
        <v>Maio</v>
      </c>
      <c r="AI71" s="102"/>
      <c r="AJ71" s="102"/>
      <c r="AK71" s="102"/>
      <c r="AL71" s="102"/>
      <c r="AM71" s="102"/>
      <c r="AN71" s="102"/>
    </row>
    <row r="72" spans="1:40" ht="15.75" thickBot="1" x14ac:dyDescent="0.3">
      <c r="A72" s="97" t="s">
        <v>5</v>
      </c>
      <c r="B72" s="34" t="s">
        <v>6</v>
      </c>
      <c r="C72" s="22" t="s">
        <v>7</v>
      </c>
      <c r="D72" s="33" t="s">
        <v>8</v>
      </c>
      <c r="E72" s="22" t="s">
        <v>9</v>
      </c>
      <c r="F72" s="24" t="s">
        <v>10</v>
      </c>
      <c r="G72" s="23" t="s">
        <v>11</v>
      </c>
      <c r="H72" s="25" t="s">
        <v>12</v>
      </c>
      <c r="J72" s="6" t="s">
        <v>4</v>
      </c>
      <c r="K72" s="9"/>
      <c r="L72" s="4"/>
      <c r="M72" s="4"/>
      <c r="N72" s="4"/>
      <c r="O72" s="4"/>
      <c r="P72" s="4"/>
      <c r="Q72" s="4"/>
      <c r="R72" s="4"/>
      <c r="S72" s="4"/>
      <c r="T72" s="4"/>
      <c r="U72" s="5"/>
      <c r="Y72" s="6" t="s">
        <v>4</v>
      </c>
      <c r="Z72" s="9"/>
      <c r="AA72" s="4"/>
      <c r="AB72" s="4"/>
      <c r="AC72" s="4"/>
      <c r="AD72" s="4"/>
      <c r="AE72" s="5"/>
      <c r="AH72" s="6" t="s">
        <v>4</v>
      </c>
      <c r="AI72" s="9"/>
      <c r="AJ72" s="4"/>
      <c r="AK72" s="4"/>
      <c r="AL72" s="4"/>
      <c r="AM72" s="4"/>
      <c r="AN72" s="5"/>
    </row>
    <row r="73" spans="1:40" ht="15.75" thickBot="1" x14ac:dyDescent="0.3">
      <c r="A73" s="97"/>
      <c r="B73" s="27">
        <v>16052</v>
      </c>
      <c r="C73" s="27">
        <v>16714</v>
      </c>
      <c r="D73" s="27">
        <v>16714</v>
      </c>
      <c r="E73" s="27">
        <v>18784</v>
      </c>
      <c r="F73" s="27">
        <f>SUM(C73-B73)</f>
        <v>662</v>
      </c>
      <c r="G73" s="20">
        <f>SUM(E73-D73)</f>
        <v>2070</v>
      </c>
      <c r="H73" s="21">
        <f>SUM(F73:G73)</f>
        <v>2732</v>
      </c>
      <c r="J73" s="7" t="s">
        <v>22</v>
      </c>
      <c r="K73" s="10"/>
      <c r="L73" s="11"/>
      <c r="M73" s="11"/>
      <c r="N73" s="11"/>
      <c r="O73" s="11"/>
      <c r="P73" s="11"/>
      <c r="Q73" s="11"/>
      <c r="R73" s="11"/>
      <c r="S73" s="11"/>
      <c r="T73" s="11"/>
      <c r="U73" s="12"/>
      <c r="Y73" s="7" t="s">
        <v>22</v>
      </c>
      <c r="Z73" s="10"/>
      <c r="AA73" s="11"/>
      <c r="AB73" s="11"/>
      <c r="AC73" s="11"/>
      <c r="AD73" s="11"/>
      <c r="AE73" s="12"/>
      <c r="AH73" s="7" t="s">
        <v>22</v>
      </c>
      <c r="AI73" s="10"/>
      <c r="AJ73" s="11"/>
      <c r="AK73" s="11"/>
      <c r="AL73" s="11"/>
      <c r="AM73" s="11"/>
      <c r="AN73" s="12"/>
    </row>
    <row r="74" spans="1:40" x14ac:dyDescent="0.25">
      <c r="J74" s="8"/>
      <c r="T74" s="8" t="s">
        <v>23</v>
      </c>
      <c r="U74" s="13">
        <f>SUM(K73:U73)</f>
        <v>0</v>
      </c>
      <c r="AD74" s="8" t="s">
        <v>23</v>
      </c>
      <c r="AE74" s="13">
        <f>SUM(Z73:AE73)</f>
        <v>0</v>
      </c>
      <c r="AM74" s="8" t="s">
        <v>23</v>
      </c>
      <c r="AN74" s="13">
        <f>SUM(AI73:AN73)</f>
        <v>0</v>
      </c>
    </row>
    <row r="75" spans="1:40" ht="15.75" thickBot="1" x14ac:dyDescent="0.3">
      <c r="A75" s="19"/>
      <c r="B75" s="99" t="s">
        <v>24</v>
      </c>
      <c r="C75" s="99"/>
      <c r="D75" s="99"/>
      <c r="E75" s="99"/>
      <c r="F75" s="99"/>
      <c r="G75" s="99"/>
      <c r="H75" s="99"/>
      <c r="J75" s="100" t="s">
        <v>24</v>
      </c>
      <c r="K75" s="100"/>
      <c r="L75" s="100"/>
      <c r="M75" s="100"/>
      <c r="N75" s="100"/>
      <c r="O75" s="100"/>
      <c r="P75" s="100"/>
      <c r="Q75" s="100"/>
      <c r="R75" s="100"/>
      <c r="S75" s="100"/>
      <c r="T75" s="100"/>
      <c r="U75" s="100"/>
      <c r="Y75" s="101" t="str">
        <f>J75</f>
        <v>Junho</v>
      </c>
      <c r="Z75" s="101"/>
      <c r="AA75" s="101"/>
      <c r="AB75" s="101"/>
      <c r="AC75" s="101"/>
      <c r="AD75" s="101"/>
      <c r="AE75" s="101"/>
      <c r="AH75" s="102" t="str">
        <f>Y75</f>
        <v>Junho</v>
      </c>
      <c r="AI75" s="102"/>
      <c r="AJ75" s="102"/>
      <c r="AK75" s="102"/>
      <c r="AL75" s="102"/>
      <c r="AM75" s="102"/>
      <c r="AN75" s="102"/>
    </row>
    <row r="76" spans="1:40" ht="15.75" thickBot="1" x14ac:dyDescent="0.3">
      <c r="A76" s="97" t="s">
        <v>5</v>
      </c>
      <c r="B76" s="34" t="s">
        <v>6</v>
      </c>
      <c r="C76" s="22" t="s">
        <v>7</v>
      </c>
      <c r="D76" s="33" t="s">
        <v>8</v>
      </c>
      <c r="E76" s="22" t="s">
        <v>9</v>
      </c>
      <c r="F76" s="24" t="s">
        <v>10</v>
      </c>
      <c r="G76" s="23" t="s">
        <v>11</v>
      </c>
      <c r="H76" s="25" t="s">
        <v>12</v>
      </c>
      <c r="J76" s="6" t="s">
        <v>4</v>
      </c>
      <c r="K76" s="9"/>
      <c r="L76" s="4"/>
      <c r="M76" s="4"/>
      <c r="N76" s="4"/>
      <c r="O76" s="4"/>
      <c r="P76" s="4"/>
      <c r="Q76" s="4"/>
      <c r="R76" s="4"/>
      <c r="S76" s="4"/>
      <c r="T76" s="4"/>
      <c r="U76" s="5"/>
      <c r="Y76" s="6" t="s">
        <v>4</v>
      </c>
      <c r="Z76" s="9"/>
      <c r="AA76" s="4"/>
      <c r="AB76" s="4"/>
      <c r="AC76" s="4"/>
      <c r="AD76" s="4"/>
      <c r="AE76" s="5"/>
      <c r="AH76" s="6" t="s">
        <v>4</v>
      </c>
      <c r="AI76" s="9"/>
      <c r="AJ76" s="4"/>
      <c r="AK76" s="4"/>
      <c r="AL76" s="4"/>
      <c r="AM76" s="4"/>
      <c r="AN76" s="5"/>
    </row>
    <row r="77" spans="1:40" ht="15.75" thickBot="1" x14ac:dyDescent="0.3">
      <c r="A77" s="97"/>
      <c r="B77" s="26"/>
      <c r="C77" s="27"/>
      <c r="D77" s="27"/>
      <c r="E77" s="27"/>
      <c r="F77" s="27">
        <f>SUM(C77-B77)</f>
        <v>0</v>
      </c>
      <c r="G77" s="20">
        <f>SUM(E77-D77)</f>
        <v>0</v>
      </c>
      <c r="H77" s="21">
        <f>SUM(F77:G77)</f>
        <v>0</v>
      </c>
      <c r="J77" s="7" t="s">
        <v>22</v>
      </c>
      <c r="K77" s="10"/>
      <c r="L77" s="11"/>
      <c r="M77" s="11"/>
      <c r="N77" s="11"/>
      <c r="O77" s="11"/>
      <c r="P77" s="11"/>
      <c r="Q77" s="11"/>
      <c r="R77" s="11"/>
      <c r="S77" s="11"/>
      <c r="T77" s="11"/>
      <c r="U77" s="12"/>
      <c r="Y77" s="7" t="s">
        <v>22</v>
      </c>
      <c r="Z77" s="10"/>
      <c r="AA77" s="11"/>
      <c r="AB77" s="11"/>
      <c r="AC77" s="11"/>
      <c r="AD77" s="11"/>
      <c r="AE77" s="12"/>
      <c r="AH77" s="7" t="s">
        <v>22</v>
      </c>
      <c r="AI77" s="10"/>
      <c r="AJ77" s="11"/>
      <c r="AK77" s="11"/>
      <c r="AL77" s="11"/>
      <c r="AM77" s="11"/>
      <c r="AN77" s="12"/>
    </row>
    <row r="78" spans="1:40" x14ac:dyDescent="0.25">
      <c r="J78" s="8"/>
      <c r="T78" s="8" t="s">
        <v>23</v>
      </c>
      <c r="U78" s="13">
        <f>SUM(K77:U77)</f>
        <v>0</v>
      </c>
      <c r="AD78" s="8" t="s">
        <v>23</v>
      </c>
      <c r="AE78" s="13">
        <f>SUM(Z77:AE77)</f>
        <v>0</v>
      </c>
      <c r="AM78" s="8" t="s">
        <v>23</v>
      </c>
      <c r="AN78" s="13">
        <f>SUM(AI77:AN77)</f>
        <v>0</v>
      </c>
    </row>
    <row r="79" spans="1:40" ht="15.75" thickBot="1" x14ac:dyDescent="0.3">
      <c r="A79" s="19"/>
      <c r="B79" s="99" t="s">
        <v>16</v>
      </c>
      <c r="C79" s="99"/>
      <c r="D79" s="99"/>
      <c r="E79" s="99"/>
      <c r="F79" s="99"/>
      <c r="G79" s="99"/>
      <c r="H79" s="99"/>
      <c r="J79" s="100" t="s">
        <v>16</v>
      </c>
      <c r="K79" s="100"/>
      <c r="L79" s="100"/>
      <c r="M79" s="100"/>
      <c r="N79" s="100"/>
      <c r="O79" s="100"/>
      <c r="P79" s="100"/>
      <c r="Q79" s="100"/>
      <c r="R79" s="100"/>
      <c r="S79" s="100"/>
      <c r="T79" s="100"/>
      <c r="U79" s="100"/>
      <c r="Y79" s="101" t="str">
        <f>J79</f>
        <v>Julho</v>
      </c>
      <c r="Z79" s="101"/>
      <c r="AA79" s="101"/>
      <c r="AB79" s="101"/>
      <c r="AC79" s="101"/>
      <c r="AD79" s="101"/>
      <c r="AE79" s="101"/>
      <c r="AH79" s="102" t="str">
        <f>Y79</f>
        <v>Julho</v>
      </c>
      <c r="AI79" s="102"/>
      <c r="AJ79" s="102"/>
      <c r="AK79" s="102"/>
      <c r="AL79" s="102"/>
      <c r="AM79" s="102"/>
      <c r="AN79" s="102"/>
    </row>
    <row r="80" spans="1:40" ht="15.75" thickBot="1" x14ac:dyDescent="0.3">
      <c r="A80" s="97" t="s">
        <v>5</v>
      </c>
      <c r="B80" s="34" t="s">
        <v>6</v>
      </c>
      <c r="C80" s="22" t="s">
        <v>7</v>
      </c>
      <c r="D80" s="33" t="s">
        <v>8</v>
      </c>
      <c r="E80" s="22" t="s">
        <v>9</v>
      </c>
      <c r="F80" s="24" t="s">
        <v>10</v>
      </c>
      <c r="G80" s="23" t="s">
        <v>11</v>
      </c>
      <c r="H80" s="25" t="s">
        <v>12</v>
      </c>
      <c r="J80" s="6" t="s">
        <v>4</v>
      </c>
      <c r="K80" s="9"/>
      <c r="L80" s="4"/>
      <c r="M80" s="4"/>
      <c r="N80" s="4"/>
      <c r="O80" s="4"/>
      <c r="P80" s="4"/>
      <c r="Q80" s="4"/>
      <c r="R80" s="4"/>
      <c r="S80" s="4"/>
      <c r="T80" s="4"/>
      <c r="U80" s="5"/>
      <c r="Y80" s="6" t="s">
        <v>4</v>
      </c>
      <c r="Z80" s="9"/>
      <c r="AA80" s="4"/>
      <c r="AB80" s="4"/>
      <c r="AC80" s="4"/>
      <c r="AD80" s="4"/>
      <c r="AE80" s="5"/>
      <c r="AH80" s="6" t="s">
        <v>4</v>
      </c>
      <c r="AI80" s="9"/>
      <c r="AJ80" s="4"/>
      <c r="AK80" s="4"/>
      <c r="AL80" s="4"/>
      <c r="AM80" s="4"/>
      <c r="AN80" s="5"/>
    </row>
    <row r="81" spans="1:40" ht="15.75" thickBot="1" x14ac:dyDescent="0.3">
      <c r="A81" s="97"/>
      <c r="B81" s="26"/>
      <c r="C81" s="27"/>
      <c r="D81" s="27"/>
      <c r="E81" s="27"/>
      <c r="F81" s="27">
        <f>SUM(C81-B81)</f>
        <v>0</v>
      </c>
      <c r="G81" s="20">
        <f>SUM(E81-D81)</f>
        <v>0</v>
      </c>
      <c r="H81" s="21">
        <f>SUM(F81:G81)</f>
        <v>0</v>
      </c>
      <c r="J81" s="7" t="s">
        <v>22</v>
      </c>
      <c r="K81" s="10"/>
      <c r="L81" s="11"/>
      <c r="M81" s="11"/>
      <c r="N81" s="11"/>
      <c r="O81" s="11"/>
      <c r="P81" s="11"/>
      <c r="Q81" s="11"/>
      <c r="R81" s="11"/>
      <c r="S81" s="11"/>
      <c r="T81" s="11"/>
      <c r="U81" s="12"/>
      <c r="Y81" s="7" t="s">
        <v>22</v>
      </c>
      <c r="Z81" s="10"/>
      <c r="AA81" s="11"/>
      <c r="AB81" s="11"/>
      <c r="AC81" s="11"/>
      <c r="AD81" s="11"/>
      <c r="AE81" s="12"/>
      <c r="AH81" s="7" t="s">
        <v>22</v>
      </c>
      <c r="AI81" s="10"/>
      <c r="AJ81" s="11"/>
      <c r="AK81" s="11"/>
      <c r="AL81" s="11"/>
      <c r="AM81" s="11"/>
      <c r="AN81" s="12"/>
    </row>
    <row r="82" spans="1:40" x14ac:dyDescent="0.25">
      <c r="J82" s="8"/>
      <c r="T82" s="8" t="s">
        <v>23</v>
      </c>
      <c r="U82" s="13">
        <f>SUM(K81:U81)</f>
        <v>0</v>
      </c>
      <c r="AD82" s="8" t="s">
        <v>23</v>
      </c>
      <c r="AE82" s="13">
        <f>SUM(Z81:AE81)</f>
        <v>0</v>
      </c>
      <c r="AM82" s="8" t="s">
        <v>23</v>
      </c>
      <c r="AN82" s="13">
        <f>SUM(AI81:AN81)</f>
        <v>0</v>
      </c>
    </row>
    <row r="83" spans="1:40" ht="15.75" thickBot="1" x14ac:dyDescent="0.3">
      <c r="A83" s="19"/>
      <c r="B83" s="99" t="s">
        <v>17</v>
      </c>
      <c r="C83" s="99"/>
      <c r="D83" s="99"/>
      <c r="E83" s="99"/>
      <c r="F83" s="99"/>
      <c r="G83" s="99"/>
      <c r="H83" s="99"/>
      <c r="J83" s="100" t="s">
        <v>17</v>
      </c>
      <c r="K83" s="100"/>
      <c r="L83" s="100"/>
      <c r="M83" s="100"/>
      <c r="N83" s="100"/>
      <c r="O83" s="100"/>
      <c r="P83" s="100"/>
      <c r="Q83" s="100"/>
      <c r="R83" s="100"/>
      <c r="S83" s="100"/>
      <c r="T83" s="100"/>
      <c r="U83" s="100"/>
      <c r="Y83" s="101" t="str">
        <f>J83</f>
        <v>Agosto</v>
      </c>
      <c r="Z83" s="101"/>
      <c r="AA83" s="101"/>
      <c r="AB83" s="101"/>
      <c r="AC83" s="101"/>
      <c r="AD83" s="101"/>
      <c r="AE83" s="101"/>
      <c r="AH83" s="102" t="str">
        <f>Y83</f>
        <v>Agosto</v>
      </c>
      <c r="AI83" s="102"/>
      <c r="AJ83" s="102"/>
      <c r="AK83" s="102"/>
      <c r="AL83" s="102"/>
      <c r="AM83" s="102"/>
      <c r="AN83" s="102"/>
    </row>
    <row r="84" spans="1:40" ht="15.75" thickBot="1" x14ac:dyDescent="0.3">
      <c r="A84" s="97" t="s">
        <v>5</v>
      </c>
      <c r="B84" s="34" t="s">
        <v>6</v>
      </c>
      <c r="C84" s="22" t="s">
        <v>7</v>
      </c>
      <c r="D84" s="33" t="s">
        <v>8</v>
      </c>
      <c r="E84" s="22" t="s">
        <v>9</v>
      </c>
      <c r="F84" s="24" t="s">
        <v>10</v>
      </c>
      <c r="G84" s="23" t="s">
        <v>11</v>
      </c>
      <c r="H84" s="25" t="s">
        <v>12</v>
      </c>
      <c r="J84" s="6" t="s">
        <v>4</v>
      </c>
      <c r="K84" s="9"/>
      <c r="L84" s="4"/>
      <c r="M84" s="4"/>
      <c r="N84" s="4"/>
      <c r="O84" s="4"/>
      <c r="P84" s="4"/>
      <c r="Q84" s="4"/>
      <c r="R84" s="4"/>
      <c r="S84" s="4"/>
      <c r="T84" s="4"/>
      <c r="U84" s="5"/>
      <c r="Y84" s="6" t="s">
        <v>4</v>
      </c>
      <c r="Z84" s="9"/>
      <c r="AA84" s="4"/>
      <c r="AB84" s="4"/>
      <c r="AC84" s="4"/>
      <c r="AD84" s="4"/>
      <c r="AE84" s="5"/>
      <c r="AH84" s="6" t="s">
        <v>4</v>
      </c>
      <c r="AI84" s="9"/>
      <c r="AJ84" s="4"/>
      <c r="AK84" s="4"/>
      <c r="AL84" s="4"/>
      <c r="AM84" s="4"/>
      <c r="AN84" s="5"/>
    </row>
    <row r="85" spans="1:40" ht="15.75" thickBot="1" x14ac:dyDescent="0.3">
      <c r="A85" s="97"/>
      <c r="B85" s="26"/>
      <c r="C85" s="27"/>
      <c r="D85" s="27"/>
      <c r="E85" s="27"/>
      <c r="F85" s="27">
        <f>SUM(C85-B85)</f>
        <v>0</v>
      </c>
      <c r="G85" s="20">
        <f>SUM(E85-D85)</f>
        <v>0</v>
      </c>
      <c r="H85" s="21">
        <f>SUM(F85:G85)</f>
        <v>0</v>
      </c>
      <c r="J85" s="7" t="s">
        <v>22</v>
      </c>
      <c r="K85" s="10"/>
      <c r="L85" s="11"/>
      <c r="M85" s="11"/>
      <c r="N85" s="11"/>
      <c r="O85" s="11"/>
      <c r="P85" s="11"/>
      <c r="Q85" s="11"/>
      <c r="R85" s="11"/>
      <c r="S85" s="11"/>
      <c r="T85" s="11"/>
      <c r="U85" s="12"/>
      <c r="Y85" s="7" t="s">
        <v>22</v>
      </c>
      <c r="Z85" s="10"/>
      <c r="AA85" s="11"/>
      <c r="AB85" s="11"/>
      <c r="AC85" s="11"/>
      <c r="AD85" s="11"/>
      <c r="AE85" s="12"/>
      <c r="AH85" s="7" t="s">
        <v>22</v>
      </c>
      <c r="AI85" s="10"/>
      <c r="AJ85" s="11"/>
      <c r="AK85" s="11"/>
      <c r="AL85" s="11"/>
      <c r="AM85" s="11"/>
      <c r="AN85" s="12"/>
    </row>
    <row r="86" spans="1:40" x14ac:dyDescent="0.25">
      <c r="J86" s="8"/>
      <c r="T86" s="8" t="s">
        <v>23</v>
      </c>
      <c r="U86" s="13">
        <f>SUM(K85:U85)</f>
        <v>0</v>
      </c>
      <c r="AD86" s="8" t="s">
        <v>23</v>
      </c>
      <c r="AE86" s="13">
        <f>SUM(Z85:AE85)</f>
        <v>0</v>
      </c>
      <c r="AM86" s="8" t="s">
        <v>23</v>
      </c>
      <c r="AN86" s="13">
        <f>SUM(AI85:AN85)</f>
        <v>0</v>
      </c>
    </row>
    <row r="87" spans="1:40" ht="15.75" thickBot="1" x14ac:dyDescent="0.3">
      <c r="A87" s="19"/>
      <c r="B87" s="99" t="s">
        <v>18</v>
      </c>
      <c r="C87" s="99"/>
      <c r="D87" s="99"/>
      <c r="E87" s="99"/>
      <c r="F87" s="99"/>
      <c r="G87" s="99"/>
      <c r="H87" s="99"/>
      <c r="J87" s="100" t="s">
        <v>18</v>
      </c>
      <c r="K87" s="100"/>
      <c r="L87" s="100"/>
      <c r="M87" s="100"/>
      <c r="N87" s="100"/>
      <c r="O87" s="100"/>
      <c r="P87" s="100"/>
      <c r="Q87" s="100"/>
      <c r="R87" s="100"/>
      <c r="S87" s="100"/>
      <c r="T87" s="100"/>
      <c r="U87" s="100"/>
      <c r="Y87" s="101" t="str">
        <f>J87</f>
        <v>Setembro</v>
      </c>
      <c r="Z87" s="101"/>
      <c r="AA87" s="101"/>
      <c r="AB87" s="101"/>
      <c r="AC87" s="101"/>
      <c r="AD87" s="101"/>
      <c r="AE87" s="101"/>
      <c r="AH87" s="102" t="str">
        <f>Y87</f>
        <v>Setembro</v>
      </c>
      <c r="AI87" s="102"/>
      <c r="AJ87" s="102"/>
      <c r="AK87" s="102"/>
      <c r="AL87" s="102"/>
      <c r="AM87" s="102"/>
      <c r="AN87" s="102"/>
    </row>
    <row r="88" spans="1:40" ht="15.75" thickBot="1" x14ac:dyDescent="0.3">
      <c r="A88" s="97" t="s">
        <v>5</v>
      </c>
      <c r="B88" s="34" t="s">
        <v>6</v>
      </c>
      <c r="C88" s="22" t="s">
        <v>7</v>
      </c>
      <c r="D88" s="33" t="s">
        <v>8</v>
      </c>
      <c r="E88" s="22" t="s">
        <v>9</v>
      </c>
      <c r="F88" s="24" t="s">
        <v>10</v>
      </c>
      <c r="G88" s="23" t="s">
        <v>11</v>
      </c>
      <c r="H88" s="25" t="s">
        <v>12</v>
      </c>
      <c r="J88" s="6" t="s">
        <v>4</v>
      </c>
      <c r="K88" s="9"/>
      <c r="L88" s="4"/>
      <c r="M88" s="4"/>
      <c r="N88" s="4"/>
      <c r="O88" s="4"/>
      <c r="P88" s="4"/>
      <c r="Q88" s="4"/>
      <c r="R88" s="4"/>
      <c r="S88" s="4"/>
      <c r="T88" s="4"/>
      <c r="U88" s="5"/>
      <c r="Y88" s="6" t="s">
        <v>4</v>
      </c>
      <c r="Z88" s="9"/>
      <c r="AA88" s="4"/>
      <c r="AB88" s="4"/>
      <c r="AC88" s="4"/>
      <c r="AD88" s="4"/>
      <c r="AE88" s="5"/>
      <c r="AH88" s="6" t="s">
        <v>4</v>
      </c>
      <c r="AI88" s="9"/>
      <c r="AJ88" s="4"/>
      <c r="AK88" s="4"/>
      <c r="AL88" s="4"/>
      <c r="AM88" s="4"/>
      <c r="AN88" s="5"/>
    </row>
    <row r="89" spans="1:40" ht="15.75" thickBot="1" x14ac:dyDescent="0.3">
      <c r="A89" s="97"/>
      <c r="B89" s="26"/>
      <c r="C89" s="27"/>
      <c r="D89" s="27"/>
      <c r="E89" s="27"/>
      <c r="F89" s="27">
        <f>SUM(C89-B89)</f>
        <v>0</v>
      </c>
      <c r="G89" s="20">
        <f>SUM(E89-D89)</f>
        <v>0</v>
      </c>
      <c r="H89" s="21">
        <f>SUM(F89:G89)</f>
        <v>0</v>
      </c>
      <c r="J89" s="7" t="s">
        <v>22</v>
      </c>
      <c r="K89" s="10"/>
      <c r="L89" s="11"/>
      <c r="M89" s="11"/>
      <c r="N89" s="11"/>
      <c r="O89" s="11"/>
      <c r="P89" s="11"/>
      <c r="Q89" s="11"/>
      <c r="R89" s="11"/>
      <c r="S89" s="11"/>
      <c r="T89" s="11"/>
      <c r="U89" s="12"/>
      <c r="Y89" s="7" t="s">
        <v>22</v>
      </c>
      <c r="Z89" s="10"/>
      <c r="AA89" s="11"/>
      <c r="AB89" s="11"/>
      <c r="AC89" s="11"/>
      <c r="AD89" s="11"/>
      <c r="AE89" s="12"/>
      <c r="AH89" s="7" t="s">
        <v>22</v>
      </c>
      <c r="AI89" s="10"/>
      <c r="AJ89" s="11"/>
      <c r="AK89" s="11"/>
      <c r="AL89" s="11"/>
      <c r="AM89" s="11"/>
      <c r="AN89" s="12"/>
    </row>
    <row r="90" spans="1:40" x14ac:dyDescent="0.25">
      <c r="J90" s="8"/>
      <c r="T90" s="8" t="s">
        <v>23</v>
      </c>
      <c r="U90" s="13">
        <f>SUM(K89:U89)</f>
        <v>0</v>
      </c>
      <c r="AD90" s="8" t="s">
        <v>23</v>
      </c>
      <c r="AE90" s="13">
        <f>SUM(Z89:AE89)</f>
        <v>0</v>
      </c>
      <c r="AM90" s="8" t="s">
        <v>23</v>
      </c>
      <c r="AN90" s="13">
        <f>SUM(AI89:AN89)</f>
        <v>0</v>
      </c>
    </row>
  </sheetData>
  <mergeCells count="113">
    <mergeCell ref="A52:A53"/>
    <mergeCell ref="B43:H43"/>
    <mergeCell ref="J43:U43"/>
    <mergeCell ref="Y43:AE43"/>
    <mergeCell ref="AH43:AN43"/>
    <mergeCell ref="A44:A45"/>
    <mergeCell ref="B47:H47"/>
    <mergeCell ref="J47:U47"/>
    <mergeCell ref="Y47:AE47"/>
    <mergeCell ref="AH47:AN47"/>
    <mergeCell ref="A48:A49"/>
    <mergeCell ref="B51:H51"/>
    <mergeCell ref="J51:U51"/>
    <mergeCell ref="Y51:AE51"/>
    <mergeCell ref="AH51:AN51"/>
    <mergeCell ref="A40:A41"/>
    <mergeCell ref="B31:H31"/>
    <mergeCell ref="J31:U31"/>
    <mergeCell ref="Y31:AE31"/>
    <mergeCell ref="AH31:AN31"/>
    <mergeCell ref="A32:A33"/>
    <mergeCell ref="B35:H35"/>
    <mergeCell ref="J35:U35"/>
    <mergeCell ref="Y35:AE35"/>
    <mergeCell ref="AH35:AN35"/>
    <mergeCell ref="A36:A37"/>
    <mergeCell ref="B39:H39"/>
    <mergeCell ref="J39:U39"/>
    <mergeCell ref="Y39:AE39"/>
    <mergeCell ref="AH39:AN39"/>
    <mergeCell ref="A28:A29"/>
    <mergeCell ref="B19:H19"/>
    <mergeCell ref="J19:U19"/>
    <mergeCell ref="Y19:AE19"/>
    <mergeCell ref="AH19:AN19"/>
    <mergeCell ref="A20:A21"/>
    <mergeCell ref="B23:H23"/>
    <mergeCell ref="J23:U23"/>
    <mergeCell ref="Y23:AE23"/>
    <mergeCell ref="AH23:AN23"/>
    <mergeCell ref="A24:A25"/>
    <mergeCell ref="B27:H27"/>
    <mergeCell ref="J27:U27"/>
    <mergeCell ref="Y27:AE27"/>
    <mergeCell ref="AH27:AN27"/>
    <mergeCell ref="AH9:AN9"/>
    <mergeCell ref="B11:H11"/>
    <mergeCell ref="J11:U11"/>
    <mergeCell ref="Y11:AE11"/>
    <mergeCell ref="AH11:AN11"/>
    <mergeCell ref="J9:U9"/>
    <mergeCell ref="A12:A13"/>
    <mergeCell ref="B15:H15"/>
    <mergeCell ref="J15:U15"/>
    <mergeCell ref="Y15:AE15"/>
    <mergeCell ref="AH15:AN15"/>
    <mergeCell ref="B2:C2"/>
    <mergeCell ref="E2:F2"/>
    <mergeCell ref="B6:C6"/>
    <mergeCell ref="E6:F6"/>
    <mergeCell ref="A9:H9"/>
    <mergeCell ref="B5:C5"/>
    <mergeCell ref="E5:F5"/>
    <mergeCell ref="A16:A17"/>
    <mergeCell ref="Y9:AE9"/>
    <mergeCell ref="E3:F3"/>
    <mergeCell ref="E4:F4"/>
    <mergeCell ref="B4:C4"/>
    <mergeCell ref="B59:H59"/>
    <mergeCell ref="J59:U59"/>
    <mergeCell ref="Y59:AE59"/>
    <mergeCell ref="AH59:AN59"/>
    <mergeCell ref="A60:A61"/>
    <mergeCell ref="B55:H55"/>
    <mergeCell ref="J55:U55"/>
    <mergeCell ref="Y55:AE55"/>
    <mergeCell ref="AH55:AN55"/>
    <mergeCell ref="A56:A57"/>
    <mergeCell ref="AH71:AN71"/>
    <mergeCell ref="A72:A73"/>
    <mergeCell ref="B67:H67"/>
    <mergeCell ref="J67:U67"/>
    <mergeCell ref="Y67:AE67"/>
    <mergeCell ref="AH67:AN67"/>
    <mergeCell ref="A68:A69"/>
    <mergeCell ref="B63:H63"/>
    <mergeCell ref="J63:U63"/>
    <mergeCell ref="Y63:AE63"/>
    <mergeCell ref="AH63:AN63"/>
    <mergeCell ref="A64:A65"/>
    <mergeCell ref="B71:H71"/>
    <mergeCell ref="J71:U71"/>
    <mergeCell ref="Y71:AE71"/>
    <mergeCell ref="B87:H87"/>
    <mergeCell ref="J87:U87"/>
    <mergeCell ref="Y87:AE87"/>
    <mergeCell ref="AH87:AN87"/>
    <mergeCell ref="A88:A89"/>
    <mergeCell ref="B83:H83"/>
    <mergeCell ref="J83:U83"/>
    <mergeCell ref="Y83:AE83"/>
    <mergeCell ref="AH83:AN83"/>
    <mergeCell ref="A84:A85"/>
    <mergeCell ref="B79:H79"/>
    <mergeCell ref="J79:U79"/>
    <mergeCell ref="Y79:AE79"/>
    <mergeCell ref="AH79:AN79"/>
    <mergeCell ref="A80:A81"/>
    <mergeCell ref="B75:H75"/>
    <mergeCell ref="J75:U75"/>
    <mergeCell ref="Y75:AE75"/>
    <mergeCell ref="AH75:AN75"/>
    <mergeCell ref="A76:A77"/>
  </mergeCells>
  <phoneticPr fontId="3" type="noConversion"/>
  <pageMargins left="0.511811024" right="0.511811024" top="0.78740157499999996" bottom="0.78740157499999996" header="0.31496062000000002" footer="0.31496062000000002"/>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AN57"/>
  <sheetViews>
    <sheetView showGridLines="0" topLeftCell="A15" workbookViewId="0">
      <selection activeCell="I30" sqref="I30"/>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7" width="10.42578125" bestFit="1" customWidth="1"/>
    <col min="21" max="21" width="12.140625" bestFit="1" customWidth="1"/>
    <col min="37" max="39" width="10.140625" bestFit="1" customWidth="1"/>
  </cols>
  <sheetData>
    <row r="2" spans="1:40" x14ac:dyDescent="0.25">
      <c r="A2" t="s">
        <v>0</v>
      </c>
      <c r="B2" s="94" t="s">
        <v>85</v>
      </c>
      <c r="C2" s="94"/>
      <c r="D2" s="1" t="s">
        <v>1</v>
      </c>
      <c r="E2" s="94" t="s">
        <v>137</v>
      </c>
      <c r="F2" s="94"/>
      <c r="H2" t="s">
        <v>138</v>
      </c>
      <c r="I2" s="72">
        <v>3000</v>
      </c>
    </row>
    <row r="3" spans="1:40" x14ac:dyDescent="0.25">
      <c r="A3" s="78" t="s">
        <v>95</v>
      </c>
      <c r="B3" s="77">
        <v>46044</v>
      </c>
      <c r="C3" s="73"/>
      <c r="D3" s="1" t="s">
        <v>1</v>
      </c>
      <c r="E3" s="94" t="s">
        <v>137</v>
      </c>
      <c r="F3" s="94"/>
      <c r="H3" t="s">
        <v>97</v>
      </c>
      <c r="I3" s="67" t="s">
        <v>139</v>
      </c>
    </row>
    <row r="4" spans="1:40" x14ac:dyDescent="0.25">
      <c r="A4" t="s">
        <v>79</v>
      </c>
      <c r="B4" s="94"/>
      <c r="C4" s="94"/>
      <c r="D4" s="1" t="s">
        <v>1</v>
      </c>
      <c r="E4" s="94"/>
      <c r="F4" s="94"/>
      <c r="H4" t="s">
        <v>80</v>
      </c>
      <c r="I4" s="54"/>
    </row>
    <row r="5" spans="1:40" x14ac:dyDescent="0.25">
      <c r="A5" t="s">
        <v>2</v>
      </c>
      <c r="B5" s="110">
        <v>2484</v>
      </c>
      <c r="C5" s="110"/>
      <c r="D5" s="92" t="s">
        <v>29</v>
      </c>
      <c r="E5" s="110">
        <v>45</v>
      </c>
      <c r="F5" s="110"/>
      <c r="H5" t="s">
        <v>118</v>
      </c>
      <c r="I5" s="67">
        <v>46031</v>
      </c>
    </row>
    <row r="8" spans="1:40" ht="21" x14ac:dyDescent="0.35">
      <c r="A8" s="96" t="s">
        <v>28</v>
      </c>
      <c r="B8" s="96"/>
      <c r="C8" s="96"/>
      <c r="D8" s="96"/>
      <c r="E8" s="96"/>
      <c r="F8" s="96"/>
      <c r="G8" s="96"/>
      <c r="H8" s="96"/>
      <c r="J8" s="103" t="s">
        <v>26</v>
      </c>
      <c r="K8" s="103"/>
      <c r="L8" s="103"/>
      <c r="M8" s="103"/>
      <c r="N8" s="103"/>
      <c r="O8" s="103"/>
      <c r="P8" s="103"/>
      <c r="Q8" s="103"/>
      <c r="R8" s="103"/>
      <c r="S8" s="103"/>
      <c r="T8" s="103"/>
      <c r="U8" s="103"/>
      <c r="V8" s="2"/>
      <c r="W8" s="2"/>
      <c r="X8" s="2"/>
      <c r="Y8" s="98" t="s">
        <v>25</v>
      </c>
      <c r="Z8" s="98"/>
      <c r="AA8" s="98"/>
      <c r="AB8" s="98"/>
      <c r="AC8" s="98"/>
      <c r="AD8" s="98"/>
      <c r="AE8" s="98"/>
      <c r="AF8" s="2"/>
      <c r="AG8" s="2"/>
      <c r="AH8" s="98" t="s">
        <v>27</v>
      </c>
      <c r="AI8" s="98"/>
      <c r="AJ8" s="98"/>
      <c r="AK8" s="98"/>
      <c r="AL8" s="98"/>
      <c r="AM8" s="98"/>
      <c r="AN8" s="98"/>
    </row>
    <row r="9" spans="1:40" s="15" customFormat="1" ht="21" x14ac:dyDescent="0.35">
      <c r="A9" s="14"/>
      <c r="B9" s="14"/>
      <c r="C9" s="14"/>
      <c r="D9" s="14"/>
      <c r="E9" s="14"/>
      <c r="F9" s="14"/>
      <c r="G9" s="14"/>
      <c r="H9" s="14"/>
      <c r="J9" s="16"/>
      <c r="K9" s="16"/>
      <c r="L9" s="16"/>
      <c r="M9" s="16"/>
      <c r="N9" s="16"/>
      <c r="O9" s="16"/>
      <c r="P9" s="16"/>
      <c r="Q9" s="16"/>
      <c r="R9" s="16"/>
      <c r="S9" s="16"/>
      <c r="T9" s="16"/>
      <c r="U9" s="16"/>
      <c r="V9" s="17"/>
      <c r="W9" s="17"/>
      <c r="X9" s="17"/>
      <c r="Y9" s="18"/>
      <c r="Z9" s="18"/>
      <c r="AA9" s="18"/>
      <c r="AB9" s="18"/>
      <c r="AC9" s="18"/>
      <c r="AD9" s="18"/>
      <c r="AE9" s="18"/>
      <c r="AF9" s="17"/>
      <c r="AG9" s="17"/>
      <c r="AH9" s="18"/>
      <c r="AI9" s="18"/>
      <c r="AJ9" s="18"/>
      <c r="AK9" s="18"/>
      <c r="AL9" s="18"/>
      <c r="AM9" s="18"/>
      <c r="AN9" s="18"/>
    </row>
    <row r="10" spans="1:40" ht="15.75" thickBot="1" x14ac:dyDescent="0.3">
      <c r="A10" s="19"/>
      <c r="B10" s="99" t="s">
        <v>134</v>
      </c>
      <c r="C10" s="99"/>
      <c r="D10" s="99"/>
      <c r="E10" s="99"/>
      <c r="F10" s="99"/>
      <c r="G10" s="99"/>
      <c r="H10" s="99"/>
      <c r="J10" s="100" t="s">
        <v>134</v>
      </c>
      <c r="K10" s="100"/>
      <c r="L10" s="100"/>
      <c r="M10" s="100"/>
      <c r="N10" s="100"/>
      <c r="O10" s="100"/>
      <c r="P10" s="100"/>
      <c r="Q10" s="100"/>
      <c r="R10" s="100"/>
      <c r="S10" s="100"/>
      <c r="T10" s="100"/>
      <c r="U10" s="100"/>
      <c r="Y10" s="101" t="s">
        <v>134</v>
      </c>
      <c r="Z10" s="101"/>
      <c r="AA10" s="101"/>
      <c r="AB10" s="101"/>
      <c r="AC10" s="101"/>
      <c r="AD10" s="101"/>
      <c r="AE10" s="101"/>
      <c r="AH10" s="102" t="s">
        <v>3</v>
      </c>
      <c r="AI10" s="102"/>
      <c r="AJ10" s="102"/>
      <c r="AK10" s="102"/>
      <c r="AL10" s="102"/>
      <c r="AM10" s="102"/>
      <c r="AN10" s="102"/>
    </row>
    <row r="11" spans="1:40" ht="15.75" thickBot="1" x14ac:dyDescent="0.3">
      <c r="A11" s="97" t="s">
        <v>5</v>
      </c>
      <c r="B11" s="34" t="s">
        <v>6</v>
      </c>
      <c r="C11" s="22" t="s">
        <v>7</v>
      </c>
      <c r="D11" s="33" t="s">
        <v>8</v>
      </c>
      <c r="E11" s="22" t="s">
        <v>9</v>
      </c>
      <c r="F11" s="24" t="s">
        <v>10</v>
      </c>
      <c r="G11" s="23" t="s">
        <v>11</v>
      </c>
      <c r="H11" s="25" t="s">
        <v>12</v>
      </c>
      <c r="J11" s="28" t="s">
        <v>4</v>
      </c>
      <c r="K11" s="9"/>
      <c r="L11" s="4"/>
      <c r="M11" s="4"/>
      <c r="N11" s="4"/>
      <c r="O11" s="4"/>
      <c r="P11" s="4"/>
      <c r="Q11" s="4"/>
      <c r="R11" s="4"/>
      <c r="S11" s="4"/>
      <c r="T11" s="4"/>
      <c r="U11" s="5"/>
      <c r="Y11" s="6" t="s">
        <v>4</v>
      </c>
      <c r="Z11" s="9"/>
      <c r="AA11" s="4"/>
      <c r="AB11" s="4"/>
      <c r="AC11" s="4"/>
      <c r="AD11" s="4"/>
      <c r="AE11" s="5"/>
      <c r="AH11" s="6" t="s">
        <v>4</v>
      </c>
      <c r="AI11" s="9"/>
      <c r="AJ11" s="4"/>
      <c r="AK11" s="4"/>
      <c r="AL11" s="4"/>
      <c r="AM11" s="4"/>
      <c r="AN11" s="5"/>
    </row>
    <row r="12" spans="1:40" ht="15.75" thickBot="1" x14ac:dyDescent="0.3">
      <c r="A12" s="97"/>
      <c r="B12" s="26">
        <v>18650</v>
      </c>
      <c r="C12" s="27"/>
      <c r="D12" s="27"/>
      <c r="E12" s="27">
        <v>20350</v>
      </c>
      <c r="F12" s="27">
        <f>SUM(C12-B12)</f>
        <v>-18650</v>
      </c>
      <c r="G12" s="20">
        <f>SUM(E12-D12)</f>
        <v>20350</v>
      </c>
      <c r="H12" s="21">
        <f>SUM(F12:G12)</f>
        <v>1700</v>
      </c>
      <c r="J12" s="29" t="s">
        <v>22</v>
      </c>
      <c r="K12" s="10"/>
      <c r="L12" s="11"/>
      <c r="M12" s="11"/>
      <c r="N12" s="11"/>
      <c r="O12" s="11"/>
      <c r="P12" s="11"/>
      <c r="Q12" s="11"/>
      <c r="R12" s="11"/>
      <c r="S12" s="11"/>
      <c r="T12" s="11"/>
      <c r="U12" s="12"/>
      <c r="Y12" s="7" t="s">
        <v>22</v>
      </c>
      <c r="Z12" s="10"/>
      <c r="AA12" s="11"/>
      <c r="AB12" s="11"/>
      <c r="AC12" s="11"/>
      <c r="AD12" s="11"/>
      <c r="AE12" s="12"/>
      <c r="AH12" s="7" t="s">
        <v>22</v>
      </c>
      <c r="AI12" s="10"/>
      <c r="AJ12" s="11"/>
      <c r="AK12" s="11"/>
      <c r="AL12" s="11"/>
      <c r="AM12" s="11"/>
      <c r="AN12" s="12"/>
    </row>
    <row r="13" spans="1:40" x14ac:dyDescent="0.25">
      <c r="J13" s="8"/>
      <c r="T13" s="8" t="s">
        <v>23</v>
      </c>
      <c r="U13" s="13">
        <f>SUM(K12:U12)</f>
        <v>0</v>
      </c>
      <c r="AD13" s="8" t="s">
        <v>23</v>
      </c>
      <c r="AE13" s="13">
        <f>SUM(Z12:AE12)</f>
        <v>0</v>
      </c>
      <c r="AM13" s="8" t="s">
        <v>23</v>
      </c>
      <c r="AN13" s="13">
        <f>SUM(AI12:AN12)</f>
        <v>0</v>
      </c>
    </row>
    <row r="14" spans="1:40" ht="15.75" thickBot="1" x14ac:dyDescent="0.3">
      <c r="A14" s="19"/>
      <c r="B14" s="99" t="s">
        <v>3</v>
      </c>
      <c r="C14" s="99"/>
      <c r="D14" s="99"/>
      <c r="E14" s="99"/>
      <c r="F14" s="99"/>
      <c r="G14" s="99"/>
      <c r="H14" s="99"/>
      <c r="J14" s="100" t="s">
        <v>3</v>
      </c>
      <c r="K14" s="100"/>
      <c r="L14" s="100"/>
      <c r="M14" s="100"/>
      <c r="N14" s="100"/>
      <c r="O14" s="100"/>
      <c r="P14" s="100"/>
      <c r="Q14" s="100"/>
      <c r="R14" s="100"/>
      <c r="S14" s="100"/>
      <c r="T14" s="100"/>
      <c r="U14" s="100"/>
      <c r="Y14" s="101" t="s">
        <v>3</v>
      </c>
      <c r="Z14" s="101"/>
      <c r="AA14" s="101"/>
      <c r="AB14" s="101"/>
      <c r="AC14" s="101"/>
      <c r="AD14" s="101"/>
      <c r="AE14" s="101"/>
      <c r="AH14" s="102" t="s">
        <v>3</v>
      </c>
      <c r="AI14" s="102"/>
      <c r="AJ14" s="102"/>
      <c r="AK14" s="102"/>
      <c r="AL14" s="102"/>
      <c r="AM14" s="102"/>
      <c r="AN14" s="102"/>
    </row>
    <row r="15" spans="1:40" ht="15.75" thickBot="1" x14ac:dyDescent="0.3">
      <c r="A15" s="97" t="s">
        <v>5</v>
      </c>
      <c r="B15" s="34" t="s">
        <v>6</v>
      </c>
      <c r="C15" s="22" t="s">
        <v>7</v>
      </c>
      <c r="D15" s="33" t="s">
        <v>8</v>
      </c>
      <c r="E15" s="22" t="s">
        <v>9</v>
      </c>
      <c r="F15" s="24" t="s">
        <v>10</v>
      </c>
      <c r="G15" s="23" t="s">
        <v>11</v>
      </c>
      <c r="H15" s="25" t="s">
        <v>12</v>
      </c>
      <c r="J15" s="28" t="s">
        <v>4</v>
      </c>
      <c r="K15" s="9">
        <v>46056</v>
      </c>
      <c r="L15" s="66">
        <v>46058</v>
      </c>
      <c r="M15" s="66">
        <v>46065</v>
      </c>
      <c r="N15" s="66">
        <v>46072</v>
      </c>
      <c r="O15" s="66">
        <v>46077</v>
      </c>
      <c r="P15" s="66">
        <v>46079</v>
      </c>
      <c r="Q15" s="66">
        <v>46081</v>
      </c>
      <c r="R15" s="4"/>
      <c r="S15" s="4"/>
      <c r="T15" s="4"/>
      <c r="U15" s="5"/>
      <c r="Y15" s="6" t="s">
        <v>4</v>
      </c>
      <c r="Z15" s="9"/>
      <c r="AA15" s="4"/>
      <c r="AB15" s="4"/>
      <c r="AC15" s="4"/>
      <c r="AD15" s="4"/>
      <c r="AE15" s="5"/>
      <c r="AH15" s="6" t="s">
        <v>4</v>
      </c>
      <c r="AI15" s="9"/>
      <c r="AJ15" s="4"/>
      <c r="AK15" s="4"/>
      <c r="AL15" s="4"/>
      <c r="AM15" s="4"/>
      <c r="AN15" s="5"/>
    </row>
    <row r="16" spans="1:40" ht="15.75" thickBot="1" x14ac:dyDescent="0.3">
      <c r="A16" s="97"/>
      <c r="B16" s="26">
        <v>20350</v>
      </c>
      <c r="C16" s="27"/>
      <c r="D16" s="27"/>
      <c r="E16" s="27">
        <v>22068</v>
      </c>
      <c r="F16" s="27">
        <f>SUM(C16-B16)</f>
        <v>-20350</v>
      </c>
      <c r="G16" s="20">
        <f>SUM(E16-D16)</f>
        <v>22068</v>
      </c>
      <c r="H16" s="21">
        <f>SUM(F16:G16)</f>
        <v>1718</v>
      </c>
      <c r="J16" s="29" t="s">
        <v>22</v>
      </c>
      <c r="K16" s="10">
        <v>159.87</v>
      </c>
      <c r="L16" s="11">
        <v>202.17</v>
      </c>
      <c r="M16" s="11">
        <v>153.53</v>
      </c>
      <c r="N16" s="11">
        <v>227.95</v>
      </c>
      <c r="O16" s="11">
        <v>264</v>
      </c>
      <c r="P16" s="11">
        <v>118.02</v>
      </c>
      <c r="Q16" s="11">
        <v>155.28</v>
      </c>
      <c r="R16" s="11"/>
      <c r="S16" s="11"/>
      <c r="T16" s="11"/>
      <c r="U16" s="12"/>
      <c r="Y16" s="7" t="s">
        <v>22</v>
      </c>
      <c r="Z16" s="10"/>
      <c r="AA16" s="11"/>
      <c r="AB16" s="11"/>
      <c r="AC16" s="11"/>
      <c r="AD16" s="11"/>
      <c r="AE16" s="12"/>
      <c r="AH16" s="7" t="s">
        <v>22</v>
      </c>
      <c r="AI16" s="10"/>
      <c r="AJ16" s="11"/>
      <c r="AK16" s="11"/>
      <c r="AL16" s="11"/>
      <c r="AM16" s="11"/>
      <c r="AN16" s="12"/>
    </row>
    <row r="17" spans="1:40" x14ac:dyDescent="0.25">
      <c r="J17" s="8"/>
      <c r="T17" s="8" t="s">
        <v>23</v>
      </c>
      <c r="U17" s="13">
        <f>SUM(K16:U16)</f>
        <v>1280.82</v>
      </c>
      <c r="AD17" s="8" t="s">
        <v>23</v>
      </c>
      <c r="AE17" s="13">
        <f>SUM(Z16:AE16)</f>
        <v>0</v>
      </c>
      <c r="AM17" s="8" t="s">
        <v>23</v>
      </c>
      <c r="AN17" s="13">
        <f>SUM(AI16:AN16)</f>
        <v>0</v>
      </c>
    </row>
    <row r="18" spans="1:40" ht="15.75" thickBot="1" x14ac:dyDescent="0.3">
      <c r="A18" s="19"/>
      <c r="B18" s="99" t="s">
        <v>13</v>
      </c>
      <c r="C18" s="99"/>
      <c r="D18" s="99"/>
      <c r="E18" s="99"/>
      <c r="F18" s="99"/>
      <c r="G18" s="99"/>
      <c r="H18" s="99"/>
      <c r="J18" s="100" t="s">
        <v>13</v>
      </c>
      <c r="K18" s="100"/>
      <c r="L18" s="100"/>
      <c r="M18" s="100"/>
      <c r="N18" s="100"/>
      <c r="O18" s="100"/>
      <c r="P18" s="100"/>
      <c r="Q18" s="100"/>
      <c r="R18" s="100"/>
      <c r="S18" s="100"/>
      <c r="T18" s="100"/>
      <c r="U18" s="100"/>
      <c r="Y18" s="101" t="str">
        <f>J18</f>
        <v>Março</v>
      </c>
      <c r="Z18" s="101"/>
      <c r="AA18" s="101"/>
      <c r="AB18" s="101"/>
      <c r="AC18" s="101"/>
      <c r="AD18" s="101"/>
      <c r="AE18" s="101"/>
      <c r="AH18" s="102" t="str">
        <f>Y18</f>
        <v>Março</v>
      </c>
      <c r="AI18" s="102"/>
      <c r="AJ18" s="102"/>
      <c r="AK18" s="102"/>
      <c r="AL18" s="102"/>
      <c r="AM18" s="102"/>
      <c r="AN18" s="102"/>
    </row>
    <row r="19" spans="1:40" ht="15.75" thickBot="1" x14ac:dyDescent="0.3">
      <c r="A19" s="97" t="s">
        <v>5</v>
      </c>
      <c r="B19" s="34" t="s">
        <v>6</v>
      </c>
      <c r="C19" s="22" t="s">
        <v>7</v>
      </c>
      <c r="D19" s="33" t="s">
        <v>8</v>
      </c>
      <c r="E19" s="22" t="s">
        <v>9</v>
      </c>
      <c r="F19" s="24" t="s">
        <v>10</v>
      </c>
      <c r="G19" s="23" t="s">
        <v>11</v>
      </c>
      <c r="H19" s="25" t="s">
        <v>12</v>
      </c>
      <c r="J19" s="6" t="s">
        <v>4</v>
      </c>
      <c r="K19" s="9"/>
      <c r="L19" s="4"/>
      <c r="M19" s="4"/>
      <c r="N19" s="4"/>
      <c r="O19" s="4"/>
      <c r="P19" s="4"/>
      <c r="Q19" s="4"/>
      <c r="R19" s="4"/>
      <c r="S19" s="4"/>
      <c r="T19" s="4"/>
      <c r="U19" s="5"/>
      <c r="Y19" s="6" t="s">
        <v>4</v>
      </c>
      <c r="Z19" s="9"/>
      <c r="AA19" s="4"/>
      <c r="AB19" s="4"/>
      <c r="AC19" s="4"/>
      <c r="AD19" s="4"/>
      <c r="AE19" s="5"/>
      <c r="AH19" s="6" t="s">
        <v>4</v>
      </c>
      <c r="AI19" s="9"/>
      <c r="AJ19" s="4"/>
      <c r="AK19" s="4"/>
      <c r="AL19" s="4"/>
      <c r="AM19" s="4"/>
      <c r="AN19" s="5"/>
    </row>
    <row r="20" spans="1:40" ht="15.75" thickBot="1" x14ac:dyDescent="0.3">
      <c r="A20" s="97"/>
      <c r="B20" s="27">
        <v>22068</v>
      </c>
      <c r="C20" s="27"/>
      <c r="D20" s="27"/>
      <c r="E20" s="27">
        <v>24216</v>
      </c>
      <c r="F20" s="27">
        <f>SUM(C20-B20)</f>
        <v>-22068</v>
      </c>
      <c r="G20" s="20">
        <f>SUM(E20-D20)</f>
        <v>24216</v>
      </c>
      <c r="H20" s="21">
        <f>SUM(F20:G20)</f>
        <v>2148</v>
      </c>
      <c r="J20" s="7" t="s">
        <v>22</v>
      </c>
      <c r="K20" s="10"/>
      <c r="L20" s="11"/>
      <c r="M20" s="11"/>
      <c r="N20" s="11"/>
      <c r="O20" s="11"/>
      <c r="P20" s="11"/>
      <c r="Q20" s="11"/>
      <c r="R20" s="11"/>
      <c r="S20" s="11"/>
      <c r="T20" s="11"/>
      <c r="U20" s="12"/>
      <c r="Y20" s="7" t="s">
        <v>22</v>
      </c>
      <c r="Z20" s="10"/>
      <c r="AA20" s="11"/>
      <c r="AB20" s="11"/>
      <c r="AC20" s="11"/>
      <c r="AD20" s="11"/>
      <c r="AE20" s="12"/>
      <c r="AH20" s="7" t="s">
        <v>22</v>
      </c>
      <c r="AI20" s="10"/>
      <c r="AJ20" s="11"/>
      <c r="AK20" s="11"/>
      <c r="AL20" s="11"/>
      <c r="AM20" s="11"/>
      <c r="AN20" s="12"/>
    </row>
    <row r="21" spans="1:40" x14ac:dyDescent="0.25">
      <c r="J21" s="8"/>
      <c r="T21" s="8" t="s">
        <v>23</v>
      </c>
      <c r="U21" s="13">
        <f>SUM(K20:U20)</f>
        <v>0</v>
      </c>
      <c r="AD21" s="8" t="s">
        <v>23</v>
      </c>
      <c r="AE21" s="13">
        <f>SUM(Z20:AE20)</f>
        <v>0</v>
      </c>
      <c r="AM21" s="8" t="s">
        <v>23</v>
      </c>
      <c r="AN21" s="13">
        <f>SUM(AI20:AN20)</f>
        <v>0</v>
      </c>
    </row>
    <row r="22" spans="1:40" ht="15.75" thickBot="1" x14ac:dyDescent="0.3">
      <c r="A22" s="19"/>
      <c r="B22" s="99" t="s">
        <v>14</v>
      </c>
      <c r="C22" s="99"/>
      <c r="D22" s="99"/>
      <c r="E22" s="99"/>
      <c r="F22" s="99"/>
      <c r="G22" s="99"/>
      <c r="H22" s="99"/>
      <c r="J22" s="100" t="s">
        <v>14</v>
      </c>
      <c r="K22" s="100"/>
      <c r="L22" s="100"/>
      <c r="M22" s="100"/>
      <c r="N22" s="100"/>
      <c r="O22" s="100"/>
      <c r="P22" s="100"/>
      <c r="Q22" s="100"/>
      <c r="R22" s="100"/>
      <c r="S22" s="100"/>
      <c r="T22" s="100"/>
      <c r="U22" s="100"/>
      <c r="Y22" s="101" t="str">
        <f>J22</f>
        <v>Abril</v>
      </c>
      <c r="Z22" s="101"/>
      <c r="AA22" s="101"/>
      <c r="AB22" s="101"/>
      <c r="AC22" s="101"/>
      <c r="AD22" s="101"/>
      <c r="AE22" s="101"/>
      <c r="AH22" s="102" t="str">
        <f>Y22</f>
        <v>Abril</v>
      </c>
      <c r="AI22" s="102"/>
      <c r="AJ22" s="102"/>
      <c r="AK22" s="102"/>
      <c r="AL22" s="102"/>
      <c r="AM22" s="102"/>
      <c r="AN22" s="102"/>
    </row>
    <row r="23" spans="1:40" ht="15.75" thickBot="1" x14ac:dyDescent="0.3">
      <c r="A23" s="97" t="s">
        <v>5</v>
      </c>
      <c r="B23" s="34" t="s">
        <v>6</v>
      </c>
      <c r="C23" s="22" t="s">
        <v>7</v>
      </c>
      <c r="D23" s="33" t="s">
        <v>8</v>
      </c>
      <c r="E23" s="22" t="s">
        <v>9</v>
      </c>
      <c r="F23" s="24" t="s">
        <v>10</v>
      </c>
      <c r="G23" s="23" t="s">
        <v>11</v>
      </c>
      <c r="H23" s="25" t="s">
        <v>12</v>
      </c>
      <c r="J23" s="6" t="s">
        <v>4</v>
      </c>
      <c r="K23" s="9">
        <v>46114</v>
      </c>
      <c r="L23" s="66">
        <v>46119</v>
      </c>
      <c r="M23" s="66">
        <v>46123</v>
      </c>
      <c r="N23" s="4"/>
      <c r="O23" s="4"/>
      <c r="P23" s="4"/>
      <c r="Q23" s="4"/>
      <c r="R23" s="4"/>
      <c r="S23" s="4"/>
      <c r="T23" s="4"/>
      <c r="U23" s="5"/>
      <c r="Y23" s="6" t="s">
        <v>4</v>
      </c>
      <c r="Z23" s="9"/>
      <c r="AA23" s="4"/>
      <c r="AB23" s="4"/>
      <c r="AC23" s="4"/>
      <c r="AD23" s="4"/>
      <c r="AE23" s="5"/>
      <c r="AH23" s="6" t="s">
        <v>4</v>
      </c>
      <c r="AI23" s="9"/>
      <c r="AJ23" s="4"/>
      <c r="AK23" s="4"/>
      <c r="AL23" s="4"/>
      <c r="AM23" s="4"/>
      <c r="AN23" s="5"/>
    </row>
    <row r="24" spans="1:40" ht="15.75" thickBot="1" x14ac:dyDescent="0.3">
      <c r="A24" s="97"/>
      <c r="B24" s="27">
        <v>24216</v>
      </c>
      <c r="C24" s="27"/>
      <c r="D24" s="27"/>
      <c r="E24" s="27">
        <v>26016</v>
      </c>
      <c r="F24" s="27">
        <f>SUM(C24-B24)</f>
        <v>-24216</v>
      </c>
      <c r="G24" s="20">
        <f>SUM(E24-D24)</f>
        <v>26016</v>
      </c>
      <c r="H24" s="21">
        <f>SUM(F24:G24)</f>
        <v>1800</v>
      </c>
      <c r="J24" s="7" t="s">
        <v>22</v>
      </c>
      <c r="K24" s="30">
        <v>121.88</v>
      </c>
      <c r="L24" s="31">
        <v>132.76</v>
      </c>
      <c r="M24" s="31">
        <v>164.26</v>
      </c>
      <c r="N24" s="31"/>
      <c r="O24" s="31"/>
      <c r="P24" s="31"/>
      <c r="Q24" s="31"/>
      <c r="R24" s="31"/>
      <c r="S24" s="31"/>
      <c r="T24" s="31"/>
      <c r="U24" s="32"/>
      <c r="Y24" s="7" t="s">
        <v>22</v>
      </c>
      <c r="Z24" s="10"/>
      <c r="AA24" s="11"/>
      <c r="AB24" s="11"/>
      <c r="AC24" s="11"/>
      <c r="AD24" s="11"/>
      <c r="AE24" s="12"/>
      <c r="AH24" s="7" t="s">
        <v>22</v>
      </c>
      <c r="AI24" s="10"/>
      <c r="AJ24" s="11"/>
      <c r="AK24" s="11"/>
      <c r="AL24" s="11"/>
      <c r="AM24" s="11"/>
      <c r="AN24" s="12"/>
    </row>
    <row r="25" spans="1:40" x14ac:dyDescent="0.25">
      <c r="J25" s="8"/>
      <c r="T25" s="8" t="s">
        <v>23</v>
      </c>
      <c r="U25" s="13">
        <f>SUM(K24:U24)</f>
        <v>418.9</v>
      </c>
      <c r="AD25" s="8" t="s">
        <v>23</v>
      </c>
      <c r="AE25" s="13">
        <f>SUM(Z24:AE24)</f>
        <v>0</v>
      </c>
      <c r="AM25" s="8" t="s">
        <v>23</v>
      </c>
      <c r="AN25" s="13">
        <f>SUM(AI24:AN24)</f>
        <v>0</v>
      </c>
    </row>
    <row r="26" spans="1:40" ht="15.75" thickBot="1" x14ac:dyDescent="0.3">
      <c r="A26" s="19"/>
      <c r="B26" s="99" t="s">
        <v>15</v>
      </c>
      <c r="C26" s="99"/>
      <c r="D26" s="99"/>
      <c r="E26" s="99"/>
      <c r="F26" s="99"/>
      <c r="G26" s="99"/>
      <c r="H26" s="99"/>
      <c r="J26" s="100" t="s">
        <v>15</v>
      </c>
      <c r="K26" s="100"/>
      <c r="L26" s="100"/>
      <c r="M26" s="100"/>
      <c r="N26" s="100"/>
      <c r="O26" s="100"/>
      <c r="P26" s="100"/>
      <c r="Q26" s="100"/>
      <c r="R26" s="100"/>
      <c r="S26" s="100"/>
      <c r="T26" s="100"/>
      <c r="U26" s="100"/>
      <c r="Y26" s="101" t="str">
        <f>J26</f>
        <v>Maio</v>
      </c>
      <c r="Z26" s="101"/>
      <c r="AA26" s="101"/>
      <c r="AB26" s="101"/>
      <c r="AC26" s="101"/>
      <c r="AD26" s="101"/>
      <c r="AE26" s="101"/>
      <c r="AH26" s="102" t="str">
        <f>Y26</f>
        <v>Maio</v>
      </c>
      <c r="AI26" s="102"/>
      <c r="AJ26" s="102"/>
      <c r="AK26" s="102"/>
      <c r="AL26" s="102"/>
      <c r="AM26" s="102"/>
      <c r="AN26" s="102"/>
    </row>
    <row r="27" spans="1:40" ht="15.75" thickBot="1" x14ac:dyDescent="0.3">
      <c r="A27" s="97" t="s">
        <v>5</v>
      </c>
      <c r="B27" s="34" t="s">
        <v>6</v>
      </c>
      <c r="C27" s="22" t="s">
        <v>7</v>
      </c>
      <c r="D27" s="33" t="s">
        <v>8</v>
      </c>
      <c r="E27" s="22" t="s">
        <v>9</v>
      </c>
      <c r="F27" s="24" t="s">
        <v>10</v>
      </c>
      <c r="G27" s="23" t="s">
        <v>11</v>
      </c>
      <c r="H27" s="25" t="s">
        <v>12</v>
      </c>
      <c r="J27" s="6" t="s">
        <v>4</v>
      </c>
      <c r="K27" s="9"/>
      <c r="L27" s="4"/>
      <c r="M27" s="4"/>
      <c r="N27" s="4"/>
      <c r="O27" s="4"/>
      <c r="P27" s="4"/>
      <c r="Q27" s="4"/>
      <c r="R27" s="4"/>
      <c r="S27" s="4"/>
      <c r="T27" s="4"/>
      <c r="U27" s="5"/>
      <c r="Y27" s="6" t="s">
        <v>4</v>
      </c>
      <c r="Z27" s="9"/>
      <c r="AA27" s="4"/>
      <c r="AB27" s="4"/>
      <c r="AC27" s="4"/>
      <c r="AD27" s="4"/>
      <c r="AE27" s="5"/>
      <c r="AH27" s="6" t="s">
        <v>4</v>
      </c>
      <c r="AI27" s="9"/>
      <c r="AJ27" s="4"/>
      <c r="AK27" s="4"/>
      <c r="AL27" s="4"/>
      <c r="AM27" s="4"/>
      <c r="AN27" s="5"/>
    </row>
    <row r="28" spans="1:40" ht="15.75" thickBot="1" x14ac:dyDescent="0.3">
      <c r="A28" s="97"/>
      <c r="B28" s="27">
        <v>26016</v>
      </c>
      <c r="C28" s="27"/>
      <c r="D28" s="27"/>
      <c r="E28" s="27">
        <v>27888</v>
      </c>
      <c r="F28" s="27">
        <f>SUM(C28-B28)</f>
        <v>-26016</v>
      </c>
      <c r="G28" s="20">
        <f>SUM(E28-D28)</f>
        <v>27888</v>
      </c>
      <c r="H28" s="21">
        <f>SUM(F28:G28)</f>
        <v>1872</v>
      </c>
      <c r="J28" s="7" t="s">
        <v>22</v>
      </c>
      <c r="K28" s="10"/>
      <c r="L28" s="11"/>
      <c r="M28" s="11"/>
      <c r="N28" s="11"/>
      <c r="O28" s="11"/>
      <c r="P28" s="11"/>
      <c r="Q28" s="11"/>
      <c r="R28" s="11"/>
      <c r="S28" s="11"/>
      <c r="T28" s="11"/>
      <c r="U28" s="12"/>
      <c r="Y28" s="7" t="s">
        <v>22</v>
      </c>
      <c r="Z28" s="10"/>
      <c r="AA28" s="11"/>
      <c r="AB28" s="11"/>
      <c r="AC28" s="11"/>
      <c r="AD28" s="11"/>
      <c r="AE28" s="12"/>
      <c r="AH28" s="7" t="s">
        <v>22</v>
      </c>
      <c r="AI28" s="10"/>
      <c r="AJ28" s="11"/>
      <c r="AK28" s="11"/>
      <c r="AL28" s="11"/>
      <c r="AM28" s="11"/>
      <c r="AN28" s="12"/>
    </row>
    <row r="29" spans="1:40" x14ac:dyDescent="0.25">
      <c r="J29" s="8"/>
      <c r="T29" s="8" t="s">
        <v>23</v>
      </c>
      <c r="U29" s="13">
        <f>SUM(K28:U28)</f>
        <v>0</v>
      </c>
      <c r="AD29" s="8" t="s">
        <v>23</v>
      </c>
      <c r="AE29" s="13">
        <f>SUM(Z28:AE28)</f>
        <v>0</v>
      </c>
      <c r="AM29" s="8" t="s">
        <v>23</v>
      </c>
      <c r="AN29" s="13">
        <f>SUM(AI28:AN28)</f>
        <v>0</v>
      </c>
    </row>
    <row r="30" spans="1:40" ht="15.75" thickBot="1" x14ac:dyDescent="0.3">
      <c r="A30" s="19"/>
      <c r="B30" s="99" t="s">
        <v>24</v>
      </c>
      <c r="C30" s="99"/>
      <c r="D30" s="99"/>
      <c r="E30" s="99"/>
      <c r="F30" s="99"/>
      <c r="G30" s="99"/>
      <c r="H30" s="99"/>
      <c r="J30" s="100" t="s">
        <v>24</v>
      </c>
      <c r="K30" s="100"/>
      <c r="L30" s="100"/>
      <c r="M30" s="100"/>
      <c r="N30" s="100"/>
      <c r="O30" s="100"/>
      <c r="P30" s="100"/>
      <c r="Q30" s="100"/>
      <c r="R30" s="100"/>
      <c r="S30" s="100"/>
      <c r="T30" s="100"/>
      <c r="U30" s="100"/>
      <c r="Y30" s="101" t="str">
        <f>J30</f>
        <v>Junho</v>
      </c>
      <c r="Z30" s="101"/>
      <c r="AA30" s="101"/>
      <c r="AB30" s="101"/>
      <c r="AC30" s="101"/>
      <c r="AD30" s="101"/>
      <c r="AE30" s="101"/>
      <c r="AH30" s="102" t="str">
        <f>Y30</f>
        <v>Junho</v>
      </c>
      <c r="AI30" s="102"/>
      <c r="AJ30" s="102"/>
      <c r="AK30" s="102"/>
      <c r="AL30" s="102"/>
      <c r="AM30" s="102"/>
      <c r="AN30" s="102"/>
    </row>
    <row r="31" spans="1:40" ht="15.75" thickBot="1" x14ac:dyDescent="0.3">
      <c r="A31" s="97" t="s">
        <v>5</v>
      </c>
      <c r="B31" s="34" t="s">
        <v>6</v>
      </c>
      <c r="C31" s="22" t="s">
        <v>7</v>
      </c>
      <c r="D31" s="33" t="s">
        <v>8</v>
      </c>
      <c r="E31" s="22" t="s">
        <v>9</v>
      </c>
      <c r="F31" s="24" t="s">
        <v>10</v>
      </c>
      <c r="G31" s="23" t="s">
        <v>11</v>
      </c>
      <c r="H31" s="25" t="s">
        <v>12</v>
      </c>
      <c r="J31" s="6" t="s">
        <v>4</v>
      </c>
      <c r="K31" s="9"/>
      <c r="L31" s="4"/>
      <c r="M31" s="4"/>
      <c r="N31" s="4"/>
      <c r="O31" s="4"/>
      <c r="P31" s="4"/>
      <c r="Q31" s="4"/>
      <c r="R31" s="4"/>
      <c r="S31" s="4"/>
      <c r="T31" s="4"/>
      <c r="U31" s="5"/>
      <c r="Y31" s="6" t="s">
        <v>4</v>
      </c>
      <c r="Z31" s="9"/>
      <c r="AA31" s="4"/>
      <c r="AB31" s="4"/>
      <c r="AC31" s="4"/>
      <c r="AD31" s="4"/>
      <c r="AE31" s="5"/>
      <c r="AH31" s="6" t="s">
        <v>4</v>
      </c>
      <c r="AI31" s="9"/>
      <c r="AJ31" s="4"/>
      <c r="AK31" s="4"/>
      <c r="AL31" s="4"/>
      <c r="AM31" s="4"/>
      <c r="AN31" s="5"/>
    </row>
    <row r="32" spans="1:40" ht="15.75" thickBot="1" x14ac:dyDescent="0.3">
      <c r="A32" s="97"/>
      <c r="B32" s="26"/>
      <c r="C32" s="27"/>
      <c r="D32" s="27"/>
      <c r="E32" s="27"/>
      <c r="F32" s="27">
        <f>SUM(C32-B32)</f>
        <v>0</v>
      </c>
      <c r="G32" s="20">
        <f>SUM(E32-D32)</f>
        <v>0</v>
      </c>
      <c r="H32" s="21">
        <f>SUM(F32:G32)</f>
        <v>0</v>
      </c>
      <c r="J32" s="7" t="s">
        <v>22</v>
      </c>
      <c r="K32" s="10"/>
      <c r="L32" s="11"/>
      <c r="M32" s="11"/>
      <c r="N32" s="11"/>
      <c r="O32" s="11"/>
      <c r="P32" s="11"/>
      <c r="Q32" s="11"/>
      <c r="R32" s="11"/>
      <c r="S32" s="11"/>
      <c r="T32" s="11"/>
      <c r="U32" s="12"/>
      <c r="Y32" s="7" t="s">
        <v>22</v>
      </c>
      <c r="Z32" s="10"/>
      <c r="AA32" s="11"/>
      <c r="AB32" s="11"/>
      <c r="AC32" s="11"/>
      <c r="AD32" s="11"/>
      <c r="AE32" s="12"/>
      <c r="AH32" s="7" t="s">
        <v>22</v>
      </c>
      <c r="AI32" s="10"/>
      <c r="AJ32" s="11"/>
      <c r="AK32" s="11"/>
      <c r="AL32" s="11"/>
      <c r="AM32" s="11"/>
      <c r="AN32" s="12"/>
    </row>
    <row r="33" spans="1:40" x14ac:dyDescent="0.25">
      <c r="J33" s="8"/>
      <c r="T33" s="8" t="s">
        <v>23</v>
      </c>
      <c r="U33" s="13">
        <f>SUM(K32:U32)</f>
        <v>0</v>
      </c>
      <c r="AD33" s="8" t="s">
        <v>23</v>
      </c>
      <c r="AE33" s="13">
        <f>SUM(Z32:AE32)</f>
        <v>0</v>
      </c>
      <c r="AM33" s="8" t="s">
        <v>23</v>
      </c>
      <c r="AN33" s="13">
        <f>SUM(AI32:AN32)</f>
        <v>0</v>
      </c>
    </row>
    <row r="34" spans="1:40" ht="15.75" thickBot="1" x14ac:dyDescent="0.3">
      <c r="A34" s="19"/>
      <c r="B34" s="99" t="s">
        <v>16</v>
      </c>
      <c r="C34" s="99"/>
      <c r="D34" s="99"/>
      <c r="E34" s="99"/>
      <c r="F34" s="99"/>
      <c r="G34" s="99"/>
      <c r="H34" s="99"/>
      <c r="J34" s="100" t="s">
        <v>16</v>
      </c>
      <c r="K34" s="100"/>
      <c r="L34" s="100"/>
      <c r="M34" s="100"/>
      <c r="N34" s="100"/>
      <c r="O34" s="100"/>
      <c r="P34" s="100"/>
      <c r="Q34" s="100"/>
      <c r="R34" s="100"/>
      <c r="S34" s="100"/>
      <c r="T34" s="100"/>
      <c r="U34" s="100"/>
      <c r="Y34" s="101" t="str">
        <f>J34</f>
        <v>Julho</v>
      </c>
      <c r="Z34" s="101"/>
      <c r="AA34" s="101"/>
      <c r="AB34" s="101"/>
      <c r="AC34" s="101"/>
      <c r="AD34" s="101"/>
      <c r="AE34" s="101"/>
      <c r="AH34" s="102" t="str">
        <f>Y34</f>
        <v>Julho</v>
      </c>
      <c r="AI34" s="102"/>
      <c r="AJ34" s="102"/>
      <c r="AK34" s="102"/>
      <c r="AL34" s="102"/>
      <c r="AM34" s="102"/>
      <c r="AN34" s="102"/>
    </row>
    <row r="35" spans="1:40" ht="15.75" thickBot="1" x14ac:dyDescent="0.3">
      <c r="A35" s="97" t="s">
        <v>5</v>
      </c>
      <c r="B35" s="34" t="s">
        <v>6</v>
      </c>
      <c r="C35" s="22" t="s">
        <v>7</v>
      </c>
      <c r="D35" s="33" t="s">
        <v>8</v>
      </c>
      <c r="E35" s="22" t="s">
        <v>9</v>
      </c>
      <c r="F35" s="24" t="s">
        <v>10</v>
      </c>
      <c r="G35" s="23" t="s">
        <v>11</v>
      </c>
      <c r="H35" s="25" t="s">
        <v>12</v>
      </c>
      <c r="J35" s="6" t="s">
        <v>4</v>
      </c>
      <c r="K35" s="9"/>
      <c r="L35" s="4"/>
      <c r="M35" s="4"/>
      <c r="N35" s="4"/>
      <c r="O35" s="4"/>
      <c r="P35" s="4"/>
      <c r="Q35" s="4"/>
      <c r="R35" s="4"/>
      <c r="S35" s="4"/>
      <c r="T35" s="4"/>
      <c r="U35" s="5"/>
      <c r="Y35" s="6" t="s">
        <v>4</v>
      </c>
      <c r="Z35" s="9"/>
      <c r="AA35" s="4"/>
      <c r="AB35" s="4"/>
      <c r="AC35" s="4"/>
      <c r="AD35" s="4"/>
      <c r="AE35" s="5"/>
      <c r="AH35" s="6" t="s">
        <v>4</v>
      </c>
      <c r="AI35" s="9"/>
      <c r="AJ35" s="4"/>
      <c r="AK35" s="4"/>
      <c r="AL35" s="4"/>
      <c r="AM35" s="4"/>
      <c r="AN35" s="5"/>
    </row>
    <row r="36" spans="1:40" ht="15.75" thickBot="1" x14ac:dyDescent="0.3">
      <c r="A36" s="97"/>
      <c r="B36" s="26"/>
      <c r="C36" s="27"/>
      <c r="D36" s="27"/>
      <c r="E36" s="27"/>
      <c r="F36" s="27">
        <f>SUM(C36-B36)</f>
        <v>0</v>
      </c>
      <c r="G36" s="20">
        <f>SUM(E36-D36)</f>
        <v>0</v>
      </c>
      <c r="H36" s="21">
        <f>SUM(F36:G36)</f>
        <v>0</v>
      </c>
      <c r="J36" s="7" t="s">
        <v>22</v>
      </c>
      <c r="K36" s="10"/>
      <c r="L36" s="11"/>
      <c r="M36" s="11"/>
      <c r="N36" s="11"/>
      <c r="O36" s="11"/>
      <c r="P36" s="11"/>
      <c r="Q36" s="11"/>
      <c r="R36" s="11"/>
      <c r="S36" s="11"/>
      <c r="T36" s="11"/>
      <c r="U36" s="12"/>
      <c r="Y36" s="7" t="s">
        <v>22</v>
      </c>
      <c r="Z36" s="10"/>
      <c r="AA36" s="11"/>
      <c r="AB36" s="11"/>
      <c r="AC36" s="11"/>
      <c r="AD36" s="11"/>
      <c r="AE36" s="12"/>
      <c r="AH36" s="7" t="s">
        <v>22</v>
      </c>
      <c r="AI36" s="10"/>
      <c r="AJ36" s="11"/>
      <c r="AK36" s="11"/>
      <c r="AL36" s="11"/>
      <c r="AM36" s="11"/>
      <c r="AN36" s="12"/>
    </row>
    <row r="37" spans="1:40" x14ac:dyDescent="0.25">
      <c r="J37" s="8"/>
      <c r="T37" s="8" t="s">
        <v>23</v>
      </c>
      <c r="U37" s="13">
        <f>SUM(K36:U36)</f>
        <v>0</v>
      </c>
      <c r="AD37" s="8" t="s">
        <v>23</v>
      </c>
      <c r="AE37" s="13">
        <f>SUM(Z36:AE36)</f>
        <v>0</v>
      </c>
      <c r="AM37" s="8" t="s">
        <v>23</v>
      </c>
      <c r="AN37" s="13">
        <f>SUM(AI36:AN36)</f>
        <v>0</v>
      </c>
    </row>
    <row r="38" spans="1:40" ht="15.75" thickBot="1" x14ac:dyDescent="0.3">
      <c r="A38" s="19"/>
      <c r="B38" s="99" t="s">
        <v>17</v>
      </c>
      <c r="C38" s="99"/>
      <c r="D38" s="99"/>
      <c r="E38" s="99"/>
      <c r="F38" s="99"/>
      <c r="G38" s="99"/>
      <c r="H38" s="99"/>
      <c r="J38" s="100" t="s">
        <v>17</v>
      </c>
      <c r="K38" s="100"/>
      <c r="L38" s="100"/>
      <c r="M38" s="100"/>
      <c r="N38" s="100"/>
      <c r="O38" s="100"/>
      <c r="P38" s="100"/>
      <c r="Q38" s="100"/>
      <c r="R38" s="100"/>
      <c r="S38" s="100"/>
      <c r="T38" s="100"/>
      <c r="U38" s="100"/>
      <c r="Y38" s="101" t="str">
        <f>J38</f>
        <v>Agosto</v>
      </c>
      <c r="Z38" s="101"/>
      <c r="AA38" s="101"/>
      <c r="AB38" s="101"/>
      <c r="AC38" s="101"/>
      <c r="AD38" s="101"/>
      <c r="AE38" s="101"/>
      <c r="AH38" s="102" t="str">
        <f>Y38</f>
        <v>Agosto</v>
      </c>
      <c r="AI38" s="102"/>
      <c r="AJ38" s="102"/>
      <c r="AK38" s="102"/>
      <c r="AL38" s="102"/>
      <c r="AM38" s="102"/>
      <c r="AN38" s="102"/>
    </row>
    <row r="39" spans="1:40" ht="15.75" thickBot="1" x14ac:dyDescent="0.3">
      <c r="A39" s="97" t="s">
        <v>5</v>
      </c>
      <c r="B39" s="34" t="s">
        <v>6</v>
      </c>
      <c r="C39" s="22" t="s">
        <v>7</v>
      </c>
      <c r="D39" s="33" t="s">
        <v>8</v>
      </c>
      <c r="E39" s="22" t="s">
        <v>9</v>
      </c>
      <c r="F39" s="24" t="s">
        <v>10</v>
      </c>
      <c r="G39" s="23" t="s">
        <v>11</v>
      </c>
      <c r="H39" s="25" t="s">
        <v>12</v>
      </c>
      <c r="J39" s="6" t="s">
        <v>4</v>
      </c>
      <c r="K39" s="9"/>
      <c r="L39" s="4"/>
      <c r="M39" s="4"/>
      <c r="N39" s="4"/>
      <c r="O39" s="4"/>
      <c r="P39" s="4"/>
      <c r="Q39" s="4"/>
      <c r="R39" s="4"/>
      <c r="S39" s="4"/>
      <c r="T39" s="4"/>
      <c r="U39" s="5"/>
      <c r="Y39" s="6" t="s">
        <v>4</v>
      </c>
      <c r="Z39" s="9"/>
      <c r="AA39" s="4"/>
      <c r="AB39" s="4"/>
      <c r="AC39" s="4"/>
      <c r="AD39" s="4"/>
      <c r="AE39" s="5"/>
      <c r="AH39" s="6" t="s">
        <v>4</v>
      </c>
      <c r="AI39" s="9"/>
      <c r="AJ39" s="4"/>
      <c r="AK39" s="4"/>
      <c r="AL39" s="4"/>
      <c r="AM39" s="4"/>
      <c r="AN39" s="5"/>
    </row>
    <row r="40" spans="1:40" ht="15.75" thickBot="1" x14ac:dyDescent="0.3">
      <c r="A40" s="97"/>
      <c r="B40" s="26"/>
      <c r="C40" s="27"/>
      <c r="D40" s="27"/>
      <c r="E40" s="27"/>
      <c r="F40" s="27">
        <f>SUM(C40-B40)</f>
        <v>0</v>
      </c>
      <c r="G40" s="20">
        <f>SUM(E40-D40)</f>
        <v>0</v>
      </c>
      <c r="H40" s="21">
        <f>SUM(F40:G40)</f>
        <v>0</v>
      </c>
      <c r="J40" s="7" t="s">
        <v>22</v>
      </c>
      <c r="K40" s="10"/>
      <c r="L40" s="11"/>
      <c r="M40" s="11"/>
      <c r="N40" s="11"/>
      <c r="O40" s="11"/>
      <c r="P40" s="11"/>
      <c r="Q40" s="11"/>
      <c r="R40" s="11"/>
      <c r="S40" s="11"/>
      <c r="T40" s="11"/>
      <c r="U40" s="12"/>
      <c r="Y40" s="7" t="s">
        <v>22</v>
      </c>
      <c r="Z40" s="10"/>
      <c r="AA40" s="11"/>
      <c r="AB40" s="11"/>
      <c r="AC40" s="11"/>
      <c r="AD40" s="11"/>
      <c r="AE40" s="12"/>
      <c r="AH40" s="7" t="s">
        <v>22</v>
      </c>
      <c r="AI40" s="10"/>
      <c r="AJ40" s="11"/>
      <c r="AK40" s="11"/>
      <c r="AL40" s="11"/>
      <c r="AM40" s="11"/>
      <c r="AN40" s="12"/>
    </row>
    <row r="41" spans="1:40" x14ac:dyDescent="0.25">
      <c r="J41" s="8"/>
      <c r="T41" s="8" t="s">
        <v>23</v>
      </c>
      <c r="U41" s="13">
        <f>SUM(K40:U40)</f>
        <v>0</v>
      </c>
      <c r="AD41" s="8" t="s">
        <v>23</v>
      </c>
      <c r="AE41" s="13">
        <f>SUM(Z40:AE40)</f>
        <v>0</v>
      </c>
      <c r="AM41" s="8" t="s">
        <v>23</v>
      </c>
      <c r="AN41" s="13">
        <f>SUM(AI40:AN40)</f>
        <v>0</v>
      </c>
    </row>
    <row r="42" spans="1:40" ht="15.75" thickBot="1" x14ac:dyDescent="0.3">
      <c r="A42" s="19"/>
      <c r="B42" s="99" t="s">
        <v>18</v>
      </c>
      <c r="C42" s="99"/>
      <c r="D42" s="99"/>
      <c r="E42" s="99"/>
      <c r="F42" s="99"/>
      <c r="G42" s="99"/>
      <c r="H42" s="99"/>
      <c r="J42" s="100" t="s">
        <v>18</v>
      </c>
      <c r="K42" s="100"/>
      <c r="L42" s="100"/>
      <c r="M42" s="100"/>
      <c r="N42" s="100"/>
      <c r="O42" s="100"/>
      <c r="P42" s="100"/>
      <c r="Q42" s="100"/>
      <c r="R42" s="100"/>
      <c r="S42" s="100"/>
      <c r="T42" s="100"/>
      <c r="U42" s="100"/>
      <c r="Y42" s="101" t="str">
        <f>J42</f>
        <v>Setembro</v>
      </c>
      <c r="Z42" s="101"/>
      <c r="AA42" s="101"/>
      <c r="AB42" s="101"/>
      <c r="AC42" s="101"/>
      <c r="AD42" s="101"/>
      <c r="AE42" s="101"/>
      <c r="AH42" s="102" t="str">
        <f>Y42</f>
        <v>Setembro</v>
      </c>
      <c r="AI42" s="102"/>
      <c r="AJ42" s="102"/>
      <c r="AK42" s="102"/>
      <c r="AL42" s="102"/>
      <c r="AM42" s="102"/>
      <c r="AN42" s="102"/>
    </row>
    <row r="43" spans="1:40" ht="15.75" thickBot="1" x14ac:dyDescent="0.3">
      <c r="A43" s="97" t="s">
        <v>5</v>
      </c>
      <c r="B43" s="34" t="s">
        <v>6</v>
      </c>
      <c r="C43" s="22" t="s">
        <v>7</v>
      </c>
      <c r="D43" s="33" t="s">
        <v>8</v>
      </c>
      <c r="E43" s="22" t="s">
        <v>9</v>
      </c>
      <c r="F43" s="24" t="s">
        <v>10</v>
      </c>
      <c r="G43" s="23" t="s">
        <v>11</v>
      </c>
      <c r="H43" s="25" t="s">
        <v>12</v>
      </c>
      <c r="J43" s="6" t="s">
        <v>4</v>
      </c>
      <c r="K43" s="9"/>
      <c r="L43" s="4"/>
      <c r="M43" s="4"/>
      <c r="N43" s="4"/>
      <c r="O43" s="4"/>
      <c r="P43" s="4"/>
      <c r="Q43" s="4"/>
      <c r="R43" s="4"/>
      <c r="S43" s="4"/>
      <c r="T43" s="4"/>
      <c r="U43" s="5"/>
      <c r="Y43" s="6" t="s">
        <v>4</v>
      </c>
      <c r="Z43" s="9"/>
      <c r="AA43" s="4"/>
      <c r="AB43" s="4"/>
      <c r="AC43" s="4"/>
      <c r="AD43" s="4"/>
      <c r="AE43" s="5"/>
      <c r="AH43" s="6" t="s">
        <v>4</v>
      </c>
      <c r="AI43" s="9"/>
      <c r="AJ43" s="4"/>
      <c r="AK43" s="4"/>
      <c r="AL43" s="4"/>
      <c r="AM43" s="4"/>
      <c r="AN43" s="5"/>
    </row>
    <row r="44" spans="1:40" ht="15.75" thickBot="1" x14ac:dyDescent="0.3">
      <c r="A44" s="97"/>
      <c r="B44" s="26"/>
      <c r="C44" s="27"/>
      <c r="D44" s="27"/>
      <c r="E44" s="27"/>
      <c r="F44" s="27">
        <f>SUM(C44-B44)</f>
        <v>0</v>
      </c>
      <c r="G44" s="20">
        <f>SUM(E44-D44)</f>
        <v>0</v>
      </c>
      <c r="H44" s="21">
        <f>SUM(F44:G44)</f>
        <v>0</v>
      </c>
      <c r="J44" s="7" t="s">
        <v>22</v>
      </c>
      <c r="K44" s="10"/>
      <c r="L44" s="11"/>
      <c r="M44" s="11"/>
      <c r="N44" s="11"/>
      <c r="O44" s="11"/>
      <c r="P44" s="11"/>
      <c r="Q44" s="11"/>
      <c r="R44" s="11"/>
      <c r="S44" s="11"/>
      <c r="T44" s="11"/>
      <c r="U44" s="12"/>
      <c r="Y44" s="7" t="s">
        <v>22</v>
      </c>
      <c r="Z44" s="10"/>
      <c r="AA44" s="11"/>
      <c r="AB44" s="11"/>
      <c r="AC44" s="11"/>
      <c r="AD44" s="11"/>
      <c r="AE44" s="12"/>
      <c r="AH44" s="7" t="s">
        <v>22</v>
      </c>
      <c r="AI44" s="10"/>
      <c r="AJ44" s="11"/>
      <c r="AK44" s="11"/>
      <c r="AL44" s="11"/>
      <c r="AM44" s="11"/>
      <c r="AN44" s="12"/>
    </row>
    <row r="45" spans="1:40" x14ac:dyDescent="0.25">
      <c r="J45" s="8"/>
      <c r="T45" s="8" t="s">
        <v>23</v>
      </c>
      <c r="U45" s="13">
        <f>SUM(K44:U44)</f>
        <v>0</v>
      </c>
      <c r="AD45" s="8" t="s">
        <v>23</v>
      </c>
      <c r="AE45" s="13">
        <f>SUM(Z44:AE44)</f>
        <v>0</v>
      </c>
      <c r="AM45" s="8" t="s">
        <v>23</v>
      </c>
      <c r="AN45" s="13">
        <f>SUM(AI44:AN44)</f>
        <v>0</v>
      </c>
    </row>
    <row r="46" spans="1:40" ht="15.75" thickBot="1" x14ac:dyDescent="0.3">
      <c r="A46" s="19"/>
      <c r="B46" s="99" t="s">
        <v>19</v>
      </c>
      <c r="C46" s="99"/>
      <c r="D46" s="99"/>
      <c r="E46" s="99"/>
      <c r="F46" s="99"/>
      <c r="G46" s="99"/>
      <c r="H46" s="99"/>
      <c r="J46" s="100" t="s">
        <v>19</v>
      </c>
      <c r="K46" s="100"/>
      <c r="L46" s="100"/>
      <c r="M46" s="100"/>
      <c r="N46" s="100"/>
      <c r="O46" s="100"/>
      <c r="P46" s="100"/>
      <c r="Q46" s="100"/>
      <c r="R46" s="100"/>
      <c r="S46" s="100"/>
      <c r="T46" s="100"/>
      <c r="U46" s="100"/>
      <c r="Y46" s="101" t="str">
        <f>J46</f>
        <v>Outubro</v>
      </c>
      <c r="Z46" s="101"/>
      <c r="AA46" s="101"/>
      <c r="AB46" s="101"/>
      <c r="AC46" s="101"/>
      <c r="AD46" s="101"/>
      <c r="AE46" s="101"/>
      <c r="AH46" s="102" t="str">
        <f>Y46</f>
        <v>Outubro</v>
      </c>
      <c r="AI46" s="102"/>
      <c r="AJ46" s="102"/>
      <c r="AK46" s="102"/>
      <c r="AL46" s="102"/>
      <c r="AM46" s="102"/>
      <c r="AN46" s="102"/>
    </row>
    <row r="47" spans="1:40" ht="15.75" thickBot="1" x14ac:dyDescent="0.3">
      <c r="A47" s="97" t="s">
        <v>5</v>
      </c>
      <c r="B47" s="34" t="s">
        <v>6</v>
      </c>
      <c r="C47" s="22" t="s">
        <v>7</v>
      </c>
      <c r="D47" s="33" t="s">
        <v>8</v>
      </c>
      <c r="E47" s="22" t="s">
        <v>9</v>
      </c>
      <c r="F47" s="24" t="s">
        <v>10</v>
      </c>
      <c r="G47" s="23" t="s">
        <v>11</v>
      </c>
      <c r="H47" s="25" t="s">
        <v>12</v>
      </c>
      <c r="J47" s="6" t="s">
        <v>4</v>
      </c>
      <c r="K47" s="9"/>
      <c r="L47" s="4"/>
      <c r="M47" s="4"/>
      <c r="N47" s="4"/>
      <c r="O47" s="4"/>
      <c r="P47" s="4"/>
      <c r="Q47" s="4"/>
      <c r="R47" s="4"/>
      <c r="S47" s="4"/>
      <c r="T47" s="4"/>
      <c r="U47" s="5"/>
      <c r="Y47" s="6" t="s">
        <v>4</v>
      </c>
      <c r="Z47" s="9"/>
      <c r="AA47" s="4"/>
      <c r="AB47" s="4"/>
      <c r="AC47" s="4"/>
      <c r="AD47" s="4"/>
      <c r="AE47" s="5"/>
      <c r="AH47" s="6" t="s">
        <v>4</v>
      </c>
      <c r="AI47" s="9"/>
      <c r="AJ47" s="4"/>
      <c r="AK47" s="4"/>
      <c r="AL47" s="4"/>
      <c r="AM47" s="4"/>
      <c r="AN47" s="5"/>
    </row>
    <row r="48" spans="1:40" ht="15.75" thickBot="1" x14ac:dyDescent="0.3">
      <c r="A48" s="97"/>
      <c r="B48" s="26"/>
      <c r="C48" s="27"/>
      <c r="D48" s="27"/>
      <c r="E48" s="27"/>
      <c r="F48" s="27">
        <f>SUM(C48-B48)</f>
        <v>0</v>
      </c>
      <c r="G48" s="20">
        <f>SUM(E48-D48)</f>
        <v>0</v>
      </c>
      <c r="H48" s="21">
        <f>SUM(F48:G48)</f>
        <v>0</v>
      </c>
      <c r="J48" s="7" t="s">
        <v>22</v>
      </c>
      <c r="K48" s="10"/>
      <c r="L48" s="11"/>
      <c r="M48" s="11"/>
      <c r="N48" s="11"/>
      <c r="O48" s="11"/>
      <c r="P48" s="11"/>
      <c r="Q48" s="11"/>
      <c r="R48" s="11"/>
      <c r="S48" s="11"/>
      <c r="T48" s="11"/>
      <c r="U48" s="12"/>
      <c r="Y48" s="7" t="s">
        <v>22</v>
      </c>
      <c r="Z48" s="10"/>
      <c r="AA48" s="11"/>
      <c r="AB48" s="11"/>
      <c r="AC48" s="11"/>
      <c r="AD48" s="11"/>
      <c r="AE48" s="12"/>
      <c r="AH48" s="7" t="s">
        <v>22</v>
      </c>
      <c r="AI48" s="10"/>
      <c r="AJ48" s="11"/>
      <c r="AK48" s="11"/>
      <c r="AL48" s="11"/>
      <c r="AM48" s="11"/>
      <c r="AN48" s="12"/>
    </row>
    <row r="49" spans="1:40" x14ac:dyDescent="0.25">
      <c r="J49" s="8"/>
      <c r="T49" s="8" t="s">
        <v>23</v>
      </c>
      <c r="U49" s="13">
        <f>SUM(K48:U48)</f>
        <v>0</v>
      </c>
      <c r="AD49" s="8" t="s">
        <v>23</v>
      </c>
      <c r="AE49" s="13">
        <f>SUM(Z48:AE48)</f>
        <v>0</v>
      </c>
      <c r="AM49" s="8" t="s">
        <v>23</v>
      </c>
      <c r="AN49" s="13">
        <f>SUM(AI48:AN48)</f>
        <v>0</v>
      </c>
    </row>
    <row r="50" spans="1:40" ht="15.75" thickBot="1" x14ac:dyDescent="0.3">
      <c r="A50" s="19"/>
      <c r="B50" s="99" t="s">
        <v>20</v>
      </c>
      <c r="C50" s="99"/>
      <c r="D50" s="99"/>
      <c r="E50" s="99"/>
      <c r="F50" s="99"/>
      <c r="G50" s="99"/>
      <c r="H50" s="99"/>
      <c r="J50" s="100" t="s">
        <v>20</v>
      </c>
      <c r="K50" s="100"/>
      <c r="L50" s="100"/>
      <c r="M50" s="100"/>
      <c r="N50" s="100"/>
      <c r="O50" s="100"/>
      <c r="P50" s="100"/>
      <c r="Q50" s="100"/>
      <c r="R50" s="100"/>
      <c r="S50" s="100"/>
      <c r="T50" s="100"/>
      <c r="U50" s="100"/>
      <c r="Y50" s="101" t="str">
        <f>J50</f>
        <v>Novembro</v>
      </c>
      <c r="Z50" s="101"/>
      <c r="AA50" s="101"/>
      <c r="AB50" s="101"/>
      <c r="AC50" s="101"/>
      <c r="AD50" s="101"/>
      <c r="AE50" s="101"/>
      <c r="AH50" s="102" t="str">
        <f>Y50</f>
        <v>Novembro</v>
      </c>
      <c r="AI50" s="102"/>
      <c r="AJ50" s="102"/>
      <c r="AK50" s="102"/>
      <c r="AL50" s="102"/>
      <c r="AM50" s="102"/>
      <c r="AN50" s="102"/>
    </row>
    <row r="51" spans="1:40" ht="15.75" thickBot="1" x14ac:dyDescent="0.3">
      <c r="A51" s="97" t="s">
        <v>5</v>
      </c>
      <c r="B51" s="34" t="s">
        <v>6</v>
      </c>
      <c r="C51" s="22" t="s">
        <v>7</v>
      </c>
      <c r="D51" s="33" t="s">
        <v>8</v>
      </c>
      <c r="E51" s="22" t="s">
        <v>9</v>
      </c>
      <c r="F51" s="24" t="s">
        <v>10</v>
      </c>
      <c r="G51" s="23" t="s">
        <v>11</v>
      </c>
      <c r="H51" s="25" t="s">
        <v>12</v>
      </c>
      <c r="J51" s="6" t="s">
        <v>4</v>
      </c>
      <c r="K51" s="9"/>
      <c r="L51" s="4"/>
      <c r="M51" s="4"/>
      <c r="N51" s="4"/>
      <c r="O51" s="4"/>
      <c r="P51" s="4"/>
      <c r="Q51" s="4"/>
      <c r="R51" s="4"/>
      <c r="S51" s="4"/>
      <c r="T51" s="4"/>
      <c r="U51" s="5"/>
      <c r="Y51" s="6" t="s">
        <v>4</v>
      </c>
      <c r="Z51" s="9"/>
      <c r="AA51" s="4"/>
      <c r="AB51" s="4"/>
      <c r="AC51" s="4"/>
      <c r="AD51" s="4"/>
      <c r="AE51" s="5"/>
      <c r="AH51" s="6" t="s">
        <v>4</v>
      </c>
      <c r="AI51" s="9"/>
      <c r="AJ51" s="4"/>
      <c r="AK51" s="4"/>
      <c r="AL51" s="4"/>
      <c r="AM51" s="4"/>
      <c r="AN51" s="5"/>
    </row>
    <row r="52" spans="1:40" ht="15.75" thickBot="1" x14ac:dyDescent="0.3">
      <c r="A52" s="97"/>
      <c r="B52" s="26"/>
      <c r="C52" s="27"/>
      <c r="D52" s="27"/>
      <c r="E52" s="27"/>
      <c r="F52" s="27">
        <f>SUM(C52-B52)</f>
        <v>0</v>
      </c>
      <c r="G52" s="20">
        <f>SUM(E52-D52)</f>
        <v>0</v>
      </c>
      <c r="H52" s="21">
        <f>SUM(F52:G52)</f>
        <v>0</v>
      </c>
      <c r="J52" s="7" t="s">
        <v>22</v>
      </c>
      <c r="K52" s="10"/>
      <c r="L52" s="11"/>
      <c r="M52" s="11"/>
      <c r="N52" s="11"/>
      <c r="O52" s="11"/>
      <c r="P52" s="11"/>
      <c r="Q52" s="11"/>
      <c r="R52" s="11"/>
      <c r="S52" s="11"/>
      <c r="T52" s="11"/>
      <c r="U52" s="12"/>
      <c r="Y52" s="7" t="s">
        <v>22</v>
      </c>
      <c r="Z52" s="10"/>
      <c r="AA52" s="11"/>
      <c r="AB52" s="11"/>
      <c r="AC52" s="11"/>
      <c r="AD52" s="11"/>
      <c r="AE52" s="12"/>
      <c r="AH52" s="7" t="s">
        <v>22</v>
      </c>
      <c r="AI52" s="10"/>
      <c r="AJ52" s="11"/>
      <c r="AK52" s="11"/>
      <c r="AL52" s="11"/>
      <c r="AM52" s="11"/>
      <c r="AN52" s="12"/>
    </row>
    <row r="53" spans="1:40" x14ac:dyDescent="0.25">
      <c r="J53" s="8"/>
      <c r="T53" s="8" t="s">
        <v>23</v>
      </c>
      <c r="U53" s="13">
        <f>SUM(K52:U52)</f>
        <v>0</v>
      </c>
      <c r="AD53" s="8" t="s">
        <v>23</v>
      </c>
      <c r="AE53" s="13">
        <f>SUM(Z52:AE52)</f>
        <v>0</v>
      </c>
      <c r="AM53" s="8" t="s">
        <v>23</v>
      </c>
      <c r="AN53" s="13">
        <f>SUM(AI52:AN52)</f>
        <v>0</v>
      </c>
    </row>
    <row r="54" spans="1:40" ht="15.75" thickBot="1" x14ac:dyDescent="0.3">
      <c r="A54" s="19"/>
      <c r="B54" s="99" t="s">
        <v>21</v>
      </c>
      <c r="C54" s="99"/>
      <c r="D54" s="99"/>
      <c r="E54" s="99"/>
      <c r="F54" s="99"/>
      <c r="G54" s="99"/>
      <c r="H54" s="99"/>
      <c r="J54" s="100" t="s">
        <v>21</v>
      </c>
      <c r="K54" s="100"/>
      <c r="L54" s="100"/>
      <c r="M54" s="100"/>
      <c r="N54" s="100"/>
      <c r="O54" s="100"/>
      <c r="P54" s="100"/>
      <c r="Q54" s="100"/>
      <c r="R54" s="100"/>
      <c r="S54" s="100"/>
      <c r="T54" s="100"/>
      <c r="U54" s="100"/>
      <c r="Y54" s="101" t="str">
        <f>J54</f>
        <v>Dezembro</v>
      </c>
      <c r="Z54" s="101"/>
      <c r="AA54" s="101"/>
      <c r="AB54" s="101"/>
      <c r="AC54" s="101"/>
      <c r="AD54" s="101"/>
      <c r="AE54" s="101"/>
      <c r="AH54" s="102" t="str">
        <f>Y54</f>
        <v>Dezembro</v>
      </c>
      <c r="AI54" s="102"/>
      <c r="AJ54" s="102"/>
      <c r="AK54" s="102"/>
      <c r="AL54" s="102"/>
      <c r="AM54" s="102"/>
      <c r="AN54" s="102"/>
    </row>
    <row r="55" spans="1:40" ht="15.75" thickBot="1" x14ac:dyDescent="0.3">
      <c r="A55" s="97" t="s">
        <v>5</v>
      </c>
      <c r="B55" s="34" t="s">
        <v>6</v>
      </c>
      <c r="C55" s="22" t="s">
        <v>7</v>
      </c>
      <c r="D55" s="33" t="s">
        <v>8</v>
      </c>
      <c r="E55" s="22" t="s">
        <v>9</v>
      </c>
      <c r="F55" s="24" t="s">
        <v>10</v>
      </c>
      <c r="G55" s="23" t="s">
        <v>11</v>
      </c>
      <c r="H55" s="25" t="s">
        <v>12</v>
      </c>
      <c r="J55" s="6" t="s">
        <v>4</v>
      </c>
      <c r="K55" s="9"/>
      <c r="L55" s="4"/>
      <c r="M55" s="4"/>
      <c r="N55" s="4"/>
      <c r="O55" s="4"/>
      <c r="P55" s="4"/>
      <c r="Q55" s="4"/>
      <c r="R55" s="4"/>
      <c r="S55" s="4"/>
      <c r="T55" s="4"/>
      <c r="U55" s="5"/>
      <c r="Y55" s="6" t="s">
        <v>4</v>
      </c>
      <c r="Z55" s="9"/>
      <c r="AA55" s="4"/>
      <c r="AB55" s="4"/>
      <c r="AC55" s="4"/>
      <c r="AD55" s="4"/>
      <c r="AE55" s="5"/>
      <c r="AH55" s="6" t="s">
        <v>4</v>
      </c>
      <c r="AI55" s="9"/>
      <c r="AJ55" s="4"/>
      <c r="AK55" s="4"/>
      <c r="AL55" s="4"/>
      <c r="AM55" s="4"/>
      <c r="AN55" s="5"/>
    </row>
    <row r="56" spans="1:40" ht="15.75" thickBot="1" x14ac:dyDescent="0.3">
      <c r="A56" s="97"/>
      <c r="B56" s="26"/>
      <c r="C56" s="27"/>
      <c r="D56" s="27"/>
      <c r="E56" s="27"/>
      <c r="F56" s="27">
        <f>SUM(C56-B56)</f>
        <v>0</v>
      </c>
      <c r="G56" s="20">
        <f>SUM(E56-D56)</f>
        <v>0</v>
      </c>
      <c r="H56" s="21">
        <f>SUM(F56:G56)</f>
        <v>0</v>
      </c>
      <c r="J56" s="7" t="s">
        <v>22</v>
      </c>
      <c r="K56" s="10"/>
      <c r="L56" s="11"/>
      <c r="M56" s="11"/>
      <c r="N56" s="11"/>
      <c r="O56" s="11"/>
      <c r="P56" s="11"/>
      <c r="Q56" s="11"/>
      <c r="R56" s="11"/>
      <c r="S56" s="11"/>
      <c r="T56" s="11"/>
      <c r="U56" s="12"/>
      <c r="Y56" s="7" t="s">
        <v>22</v>
      </c>
      <c r="Z56" s="10"/>
      <c r="AA56" s="11"/>
      <c r="AB56" s="11"/>
      <c r="AC56" s="11"/>
      <c r="AD56" s="11"/>
      <c r="AE56" s="12"/>
      <c r="AH56" s="7" t="s">
        <v>22</v>
      </c>
      <c r="AI56" s="10"/>
      <c r="AJ56" s="11"/>
      <c r="AK56" s="11"/>
      <c r="AL56" s="11"/>
      <c r="AM56" s="11"/>
      <c r="AN56" s="12"/>
    </row>
    <row r="57" spans="1:40" x14ac:dyDescent="0.25">
      <c r="J57" s="8"/>
      <c r="T57" s="8" t="s">
        <v>23</v>
      </c>
      <c r="U57" s="13">
        <f>SUM(K56:U56)</f>
        <v>0</v>
      </c>
      <c r="AD57" s="8" t="s">
        <v>23</v>
      </c>
      <c r="AE57" s="13">
        <f>SUM(Z56:AE56)</f>
        <v>0</v>
      </c>
      <c r="AM57" s="8" t="s">
        <v>23</v>
      </c>
      <c r="AN57" s="13">
        <f>SUM(AI56:AN56)</f>
        <v>0</v>
      </c>
    </row>
  </sheetData>
  <mergeCells count="71">
    <mergeCell ref="A55:A56"/>
    <mergeCell ref="B46:H46"/>
    <mergeCell ref="J46:U46"/>
    <mergeCell ref="Y46:AE46"/>
    <mergeCell ref="AH46:AN46"/>
    <mergeCell ref="A47:A48"/>
    <mergeCell ref="B50:H50"/>
    <mergeCell ref="J50:U50"/>
    <mergeCell ref="Y50:AE50"/>
    <mergeCell ref="AH50:AN50"/>
    <mergeCell ref="A51:A52"/>
    <mergeCell ref="B54:H54"/>
    <mergeCell ref="J54:U54"/>
    <mergeCell ref="Y54:AE54"/>
    <mergeCell ref="AH54:AN54"/>
    <mergeCell ref="A43:A44"/>
    <mergeCell ref="B34:H34"/>
    <mergeCell ref="J34:U34"/>
    <mergeCell ref="Y34:AE34"/>
    <mergeCell ref="AH34:AN34"/>
    <mergeCell ref="A35:A36"/>
    <mergeCell ref="B38:H38"/>
    <mergeCell ref="J38:U38"/>
    <mergeCell ref="Y38:AE38"/>
    <mergeCell ref="AH38:AN38"/>
    <mergeCell ref="A39:A40"/>
    <mergeCell ref="B42:H42"/>
    <mergeCell ref="J42:U42"/>
    <mergeCell ref="Y42:AE42"/>
    <mergeCell ref="AH42:AN42"/>
    <mergeCell ref="A31:A32"/>
    <mergeCell ref="B22:H22"/>
    <mergeCell ref="J22:U22"/>
    <mergeCell ref="Y22:AE22"/>
    <mergeCell ref="AH22:AN22"/>
    <mergeCell ref="A23:A24"/>
    <mergeCell ref="B26:H26"/>
    <mergeCell ref="J26:U26"/>
    <mergeCell ref="Y26:AE26"/>
    <mergeCell ref="AH26:AN26"/>
    <mergeCell ref="A27:A28"/>
    <mergeCell ref="B30:H30"/>
    <mergeCell ref="J30:U30"/>
    <mergeCell ref="Y30:AE30"/>
    <mergeCell ref="AH30:AN30"/>
    <mergeCell ref="A19:A20"/>
    <mergeCell ref="Y8:AE8"/>
    <mergeCell ref="AH8:AN8"/>
    <mergeCell ref="B14:H14"/>
    <mergeCell ref="J14:U14"/>
    <mergeCell ref="Y14:AE14"/>
    <mergeCell ref="AH14:AN14"/>
    <mergeCell ref="J8:U8"/>
    <mergeCell ref="A15:A16"/>
    <mergeCell ref="B18:H18"/>
    <mergeCell ref="J18:U18"/>
    <mergeCell ref="Y18:AE18"/>
    <mergeCell ref="AH18:AN18"/>
    <mergeCell ref="B10:H10"/>
    <mergeCell ref="J10:U10"/>
    <mergeCell ref="Y10:AE10"/>
    <mergeCell ref="AH10:AN10"/>
    <mergeCell ref="A11:A12"/>
    <mergeCell ref="B2:C2"/>
    <mergeCell ref="E2:F2"/>
    <mergeCell ref="B5:C5"/>
    <mergeCell ref="E5:F5"/>
    <mergeCell ref="A8:H8"/>
    <mergeCell ref="B4:C4"/>
    <mergeCell ref="E4:F4"/>
    <mergeCell ref="E3:F3"/>
  </mergeCells>
  <phoneticPr fontId="3" type="noConversion"/>
  <pageMargins left="0.511811024" right="0.511811024" top="0.78740157499999996" bottom="0.78740157499999996" header="0.31496062000000002" footer="0.31496062000000002"/>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AN53"/>
  <sheetViews>
    <sheetView showGridLines="0" workbookViewId="0">
      <selection activeCell="I25" sqref="I25"/>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8" width="10.42578125" bestFit="1" customWidth="1"/>
    <col min="21" max="21" width="12.140625" bestFit="1" customWidth="1"/>
    <col min="37" max="39" width="10.140625" bestFit="1" customWidth="1"/>
  </cols>
  <sheetData>
    <row r="2" spans="1:40" x14ac:dyDescent="0.25">
      <c r="A2" t="s">
        <v>0</v>
      </c>
      <c r="B2" s="94" t="s">
        <v>85</v>
      </c>
      <c r="C2" s="94"/>
      <c r="D2" s="1" t="s">
        <v>1</v>
      </c>
      <c r="E2" s="94" t="s">
        <v>125</v>
      </c>
      <c r="F2" s="94"/>
      <c r="H2" t="s">
        <v>138</v>
      </c>
      <c r="I2" s="75">
        <v>3000</v>
      </c>
    </row>
    <row r="3" spans="1:40" x14ac:dyDescent="0.25">
      <c r="A3" t="s">
        <v>95</v>
      </c>
      <c r="B3" s="108">
        <v>46061</v>
      </c>
      <c r="C3" s="94"/>
      <c r="D3" s="1" t="s">
        <v>1</v>
      </c>
      <c r="E3" s="94" t="s">
        <v>125</v>
      </c>
      <c r="F3" s="94"/>
      <c r="H3" t="s">
        <v>110</v>
      </c>
      <c r="I3" s="54" t="s">
        <v>140</v>
      </c>
    </row>
    <row r="4" spans="1:40" x14ac:dyDescent="0.25">
      <c r="A4" t="s">
        <v>79</v>
      </c>
      <c r="B4" s="73"/>
      <c r="C4" s="73"/>
      <c r="D4" s="1" t="s">
        <v>1</v>
      </c>
      <c r="E4" s="73"/>
      <c r="F4" s="73"/>
      <c r="H4" t="s">
        <v>80</v>
      </c>
      <c r="I4" s="54"/>
    </row>
    <row r="5" spans="1:40" x14ac:dyDescent="0.25">
      <c r="A5" t="s">
        <v>2</v>
      </c>
      <c r="B5" s="110">
        <v>2484</v>
      </c>
      <c r="C5" s="110"/>
      <c r="D5" s="92" t="s">
        <v>29</v>
      </c>
      <c r="E5" s="110">
        <v>45</v>
      </c>
      <c r="F5" s="110"/>
      <c r="H5" t="s">
        <v>118</v>
      </c>
      <c r="I5" s="76">
        <v>46053</v>
      </c>
    </row>
    <row r="8" spans="1:40" ht="21" x14ac:dyDescent="0.35">
      <c r="A8" s="96" t="s">
        <v>28</v>
      </c>
      <c r="B8" s="96"/>
      <c r="C8" s="96"/>
      <c r="D8" s="96"/>
      <c r="E8" s="96"/>
      <c r="F8" s="96"/>
      <c r="G8" s="96"/>
      <c r="H8" s="96"/>
      <c r="J8" s="103" t="s">
        <v>26</v>
      </c>
      <c r="K8" s="103"/>
      <c r="L8" s="103"/>
      <c r="M8" s="103"/>
      <c r="N8" s="103"/>
      <c r="O8" s="103"/>
      <c r="P8" s="103"/>
      <c r="Q8" s="103"/>
      <c r="R8" s="103"/>
      <c r="S8" s="103"/>
      <c r="T8" s="103"/>
      <c r="U8" s="103"/>
      <c r="V8" s="2"/>
      <c r="W8" s="2"/>
      <c r="X8" s="2"/>
      <c r="Y8" s="98" t="s">
        <v>25</v>
      </c>
      <c r="Z8" s="98"/>
      <c r="AA8" s="98"/>
      <c r="AB8" s="98"/>
      <c r="AC8" s="98"/>
      <c r="AD8" s="98"/>
      <c r="AE8" s="98"/>
      <c r="AF8" s="2"/>
      <c r="AG8" s="2"/>
      <c r="AH8" s="98" t="s">
        <v>27</v>
      </c>
      <c r="AI8" s="98"/>
      <c r="AJ8" s="98"/>
      <c r="AK8" s="98"/>
      <c r="AL8" s="98"/>
      <c r="AM8" s="98"/>
      <c r="AN8" s="98"/>
    </row>
    <row r="9" spans="1:40" s="15" customFormat="1" ht="21" x14ac:dyDescent="0.35">
      <c r="A9" s="14"/>
      <c r="B9" s="14"/>
      <c r="C9" s="14"/>
      <c r="D9" s="14"/>
      <c r="E9" s="14"/>
      <c r="F9" s="14"/>
      <c r="G9" s="14"/>
      <c r="H9" s="14"/>
      <c r="J9" s="16"/>
      <c r="K9" s="16"/>
      <c r="L9" s="16"/>
      <c r="M9" s="16"/>
      <c r="N9" s="16"/>
      <c r="O9" s="16"/>
      <c r="P9" s="16"/>
      <c r="Q9" s="16"/>
      <c r="R9" s="16"/>
      <c r="S9" s="16"/>
      <c r="T9" s="16"/>
      <c r="U9" s="16"/>
      <c r="V9" s="17"/>
      <c r="W9" s="17"/>
      <c r="X9" s="17"/>
      <c r="Y9" s="18"/>
      <c r="Z9" s="18"/>
      <c r="AA9" s="18"/>
      <c r="AB9" s="18"/>
      <c r="AC9" s="18"/>
      <c r="AD9" s="18"/>
      <c r="AE9" s="18"/>
      <c r="AF9" s="17"/>
      <c r="AG9" s="17"/>
      <c r="AH9" s="18"/>
      <c r="AI9" s="18"/>
      <c r="AJ9" s="18"/>
      <c r="AK9" s="18"/>
      <c r="AL9" s="18"/>
      <c r="AM9" s="18"/>
      <c r="AN9" s="18"/>
    </row>
    <row r="10" spans="1:40" ht="15.75" thickBot="1" x14ac:dyDescent="0.3">
      <c r="A10" s="19"/>
      <c r="B10" s="99" t="s">
        <v>3</v>
      </c>
      <c r="C10" s="99"/>
      <c r="D10" s="99"/>
      <c r="E10" s="99"/>
      <c r="F10" s="99"/>
      <c r="G10" s="99"/>
      <c r="H10" s="99"/>
      <c r="J10" s="100" t="s">
        <v>3</v>
      </c>
      <c r="K10" s="100"/>
      <c r="L10" s="100"/>
      <c r="M10" s="100"/>
      <c r="N10" s="100"/>
      <c r="O10" s="100"/>
      <c r="P10" s="100"/>
      <c r="Q10" s="100"/>
      <c r="R10" s="100"/>
      <c r="S10" s="100"/>
      <c r="T10" s="100"/>
      <c r="U10" s="100"/>
      <c r="Y10" s="101" t="s">
        <v>3</v>
      </c>
      <c r="Z10" s="101"/>
      <c r="AA10" s="101"/>
      <c r="AB10" s="101"/>
      <c r="AC10" s="101"/>
      <c r="AD10" s="101"/>
      <c r="AE10" s="101"/>
      <c r="AH10" s="102" t="s">
        <v>3</v>
      </c>
      <c r="AI10" s="102"/>
      <c r="AJ10" s="102"/>
      <c r="AK10" s="102"/>
      <c r="AL10" s="102"/>
      <c r="AM10" s="102"/>
      <c r="AN10" s="102"/>
    </row>
    <row r="11" spans="1:40" ht="15.75" thickBot="1" x14ac:dyDescent="0.3">
      <c r="A11" s="97" t="s">
        <v>5</v>
      </c>
      <c r="B11" s="34" t="s">
        <v>6</v>
      </c>
      <c r="C11" s="22" t="s">
        <v>7</v>
      </c>
      <c r="D11" s="33" t="s">
        <v>8</v>
      </c>
      <c r="E11" s="22" t="s">
        <v>9</v>
      </c>
      <c r="F11" s="24" t="s">
        <v>10</v>
      </c>
      <c r="G11" s="23" t="s">
        <v>11</v>
      </c>
      <c r="H11" s="25" t="s">
        <v>12</v>
      </c>
      <c r="J11" s="28" t="s">
        <v>4</v>
      </c>
      <c r="K11" s="9">
        <v>46063</v>
      </c>
      <c r="L11" s="66">
        <v>46065</v>
      </c>
      <c r="M11" s="66">
        <v>46070</v>
      </c>
      <c r="N11" s="66">
        <v>46072</v>
      </c>
      <c r="O11" s="66">
        <v>46074</v>
      </c>
      <c r="P11" s="66">
        <v>46077</v>
      </c>
      <c r="Q11" s="66">
        <v>46079</v>
      </c>
      <c r="R11" s="66">
        <v>46081</v>
      </c>
      <c r="S11" s="4"/>
      <c r="T11" s="4"/>
      <c r="U11" s="5"/>
      <c r="Y11" s="6" t="s">
        <v>4</v>
      </c>
      <c r="Z11" s="9"/>
      <c r="AA11" s="4"/>
      <c r="AB11" s="4"/>
      <c r="AC11" s="4"/>
      <c r="AD11" s="4"/>
      <c r="AE11" s="5"/>
      <c r="AH11" s="6" t="s">
        <v>4</v>
      </c>
      <c r="AI11" s="9"/>
      <c r="AJ11" s="4"/>
      <c r="AK11" s="4"/>
      <c r="AL11" s="4"/>
      <c r="AM11" s="4"/>
      <c r="AN11" s="5"/>
    </row>
    <row r="12" spans="1:40" ht="15.75" thickBot="1" x14ac:dyDescent="0.3">
      <c r="A12" s="97"/>
      <c r="B12" s="26">
        <v>10858</v>
      </c>
      <c r="C12" s="27"/>
      <c r="D12" s="27"/>
      <c r="E12" s="27">
        <v>13951</v>
      </c>
      <c r="F12" s="27">
        <f>SUM(C12-B12)</f>
        <v>-10858</v>
      </c>
      <c r="G12" s="20">
        <f>SUM(E12-D12)</f>
        <v>13951</v>
      </c>
      <c r="H12" s="21">
        <f>SUM(F12:G12)</f>
        <v>3093</v>
      </c>
      <c r="J12" s="29" t="s">
        <v>22</v>
      </c>
      <c r="K12" s="10">
        <v>185.52</v>
      </c>
      <c r="L12" s="11">
        <v>167.11</v>
      </c>
      <c r="M12" s="11">
        <v>181.09</v>
      </c>
      <c r="N12" s="11">
        <v>179.96</v>
      </c>
      <c r="O12" s="11">
        <v>219.54</v>
      </c>
      <c r="P12" s="11">
        <v>186.01</v>
      </c>
      <c r="Q12" s="11">
        <v>190.94</v>
      </c>
      <c r="R12" s="11">
        <v>187.4</v>
      </c>
      <c r="S12" s="11"/>
      <c r="T12" s="11"/>
      <c r="U12" s="12"/>
      <c r="Y12" s="7" t="s">
        <v>22</v>
      </c>
      <c r="Z12" s="10"/>
      <c r="AA12" s="11"/>
      <c r="AB12" s="11"/>
      <c r="AC12" s="11"/>
      <c r="AD12" s="11"/>
      <c r="AE12" s="12"/>
      <c r="AH12" s="7" t="s">
        <v>22</v>
      </c>
      <c r="AI12" s="10"/>
      <c r="AJ12" s="11"/>
      <c r="AK12" s="11"/>
      <c r="AL12" s="11"/>
      <c r="AM12" s="11"/>
      <c r="AN12" s="12"/>
    </row>
    <row r="13" spans="1:40" x14ac:dyDescent="0.25">
      <c r="J13" s="8"/>
      <c r="T13" s="8" t="s">
        <v>23</v>
      </c>
      <c r="U13" s="13">
        <f>SUM(K12:U12)</f>
        <v>1497.5700000000002</v>
      </c>
      <c r="AD13" s="8" t="s">
        <v>23</v>
      </c>
      <c r="AE13" s="13">
        <f>SUM(Z12:AE12)</f>
        <v>0</v>
      </c>
      <c r="AM13" s="8" t="s">
        <v>23</v>
      </c>
      <c r="AN13" s="13">
        <f>SUM(AI12:AN12)</f>
        <v>0</v>
      </c>
    </row>
    <row r="14" spans="1:40" ht="15.75" thickBot="1" x14ac:dyDescent="0.3">
      <c r="A14" s="19"/>
      <c r="B14" s="99" t="s">
        <v>13</v>
      </c>
      <c r="C14" s="99"/>
      <c r="D14" s="99"/>
      <c r="E14" s="99"/>
      <c r="F14" s="99"/>
      <c r="G14" s="99"/>
      <c r="H14" s="99"/>
      <c r="J14" s="100" t="s">
        <v>13</v>
      </c>
      <c r="K14" s="100"/>
      <c r="L14" s="100"/>
      <c r="M14" s="100"/>
      <c r="N14" s="100"/>
      <c r="O14" s="100"/>
      <c r="P14" s="100"/>
      <c r="Q14" s="100"/>
      <c r="R14" s="100"/>
      <c r="S14" s="100"/>
      <c r="T14" s="100"/>
      <c r="U14" s="100"/>
      <c r="Y14" s="101" t="str">
        <f>J14</f>
        <v>Março</v>
      </c>
      <c r="Z14" s="101"/>
      <c r="AA14" s="101"/>
      <c r="AB14" s="101"/>
      <c r="AC14" s="101"/>
      <c r="AD14" s="101"/>
      <c r="AE14" s="101"/>
      <c r="AH14" s="102" t="str">
        <f>Y14</f>
        <v>Março</v>
      </c>
      <c r="AI14" s="102"/>
      <c r="AJ14" s="102"/>
      <c r="AK14" s="102"/>
      <c r="AL14" s="102"/>
      <c r="AM14" s="102"/>
      <c r="AN14" s="102"/>
    </row>
    <row r="15" spans="1:40" ht="15.75" thickBot="1" x14ac:dyDescent="0.3">
      <c r="A15" s="97" t="s">
        <v>5</v>
      </c>
      <c r="B15" s="34" t="s">
        <v>6</v>
      </c>
      <c r="C15" s="22" t="s">
        <v>7</v>
      </c>
      <c r="D15" s="33" t="s">
        <v>8</v>
      </c>
      <c r="E15" s="22" t="s">
        <v>9</v>
      </c>
      <c r="F15" s="24" t="s">
        <v>10</v>
      </c>
      <c r="G15" s="23" t="s">
        <v>11</v>
      </c>
      <c r="H15" s="25" t="s">
        <v>12</v>
      </c>
      <c r="J15" s="6" t="s">
        <v>4</v>
      </c>
      <c r="K15" s="9">
        <v>46086</v>
      </c>
      <c r="L15" s="66">
        <v>46088</v>
      </c>
      <c r="M15" s="66">
        <v>46091</v>
      </c>
      <c r="N15" s="66">
        <v>46093</v>
      </c>
      <c r="O15" s="66">
        <v>46095</v>
      </c>
      <c r="P15" s="66">
        <v>46100</v>
      </c>
      <c r="Q15" s="66">
        <v>46105</v>
      </c>
      <c r="R15" s="4"/>
      <c r="S15" s="4"/>
      <c r="T15" s="4"/>
      <c r="U15" s="5"/>
      <c r="Y15" s="6" t="s">
        <v>4</v>
      </c>
      <c r="Z15" s="9"/>
      <c r="AA15" s="4"/>
      <c r="AB15" s="4"/>
      <c r="AC15" s="4"/>
      <c r="AD15" s="4"/>
      <c r="AE15" s="5"/>
      <c r="AH15" s="6" t="s">
        <v>4</v>
      </c>
      <c r="AI15" s="9"/>
      <c r="AJ15" s="4"/>
      <c r="AK15" s="4"/>
      <c r="AL15" s="4"/>
      <c r="AM15" s="4"/>
      <c r="AN15" s="5"/>
    </row>
    <row r="16" spans="1:40" ht="15.75" thickBot="1" x14ac:dyDescent="0.3">
      <c r="A16" s="97"/>
      <c r="B16" s="27">
        <v>13951</v>
      </c>
      <c r="C16" s="27"/>
      <c r="D16" s="27"/>
      <c r="E16" s="27">
        <v>16414</v>
      </c>
      <c r="F16" s="27">
        <f>SUM(C16-B16)</f>
        <v>-13951</v>
      </c>
      <c r="G16" s="20">
        <f>SUM(E16-D16)</f>
        <v>16414</v>
      </c>
      <c r="H16" s="21">
        <f>SUM(F16:G16)</f>
        <v>2463</v>
      </c>
      <c r="J16" s="7" t="s">
        <v>22</v>
      </c>
      <c r="K16" s="10">
        <v>130.16</v>
      </c>
      <c r="L16" s="11">
        <v>114.5</v>
      </c>
      <c r="M16" s="11">
        <v>130.75</v>
      </c>
      <c r="N16" s="11">
        <v>144.47999999999999</v>
      </c>
      <c r="O16" s="11">
        <v>182.87</v>
      </c>
      <c r="P16" s="11">
        <v>220.53</v>
      </c>
      <c r="Q16" s="11">
        <v>255.73</v>
      </c>
      <c r="R16" s="11"/>
      <c r="S16" s="11"/>
      <c r="T16" s="11"/>
      <c r="U16" s="12"/>
      <c r="Y16" s="7" t="s">
        <v>22</v>
      </c>
      <c r="Z16" s="10"/>
      <c r="AA16" s="11"/>
      <c r="AB16" s="11"/>
      <c r="AC16" s="11"/>
      <c r="AD16" s="11"/>
      <c r="AE16" s="12"/>
      <c r="AH16" s="7" t="s">
        <v>22</v>
      </c>
      <c r="AI16" s="10"/>
      <c r="AJ16" s="11"/>
      <c r="AK16" s="11"/>
      <c r="AL16" s="11"/>
      <c r="AM16" s="11"/>
      <c r="AN16" s="12"/>
    </row>
    <row r="17" spans="1:40" x14ac:dyDescent="0.25">
      <c r="J17" s="8"/>
      <c r="T17" s="8" t="s">
        <v>23</v>
      </c>
      <c r="U17" s="13">
        <f>SUM(K16:U16)</f>
        <v>1179.02</v>
      </c>
      <c r="AD17" s="8" t="s">
        <v>23</v>
      </c>
      <c r="AE17" s="13">
        <f>SUM(Z16:AE16)</f>
        <v>0</v>
      </c>
      <c r="AM17" s="8" t="s">
        <v>23</v>
      </c>
      <c r="AN17" s="13">
        <f>SUM(AI16:AN16)</f>
        <v>0</v>
      </c>
    </row>
    <row r="18" spans="1:40" ht="15.75" thickBot="1" x14ac:dyDescent="0.3">
      <c r="A18" s="19"/>
      <c r="B18" s="99" t="s">
        <v>14</v>
      </c>
      <c r="C18" s="99"/>
      <c r="D18" s="99"/>
      <c r="E18" s="99"/>
      <c r="F18" s="99"/>
      <c r="G18" s="99"/>
      <c r="H18" s="99"/>
      <c r="J18" s="100" t="s">
        <v>14</v>
      </c>
      <c r="K18" s="100"/>
      <c r="L18" s="100"/>
      <c r="M18" s="100"/>
      <c r="N18" s="100"/>
      <c r="O18" s="100"/>
      <c r="P18" s="100"/>
      <c r="Q18" s="100"/>
      <c r="R18" s="100"/>
      <c r="S18" s="100"/>
      <c r="T18" s="100"/>
      <c r="U18" s="100"/>
      <c r="Y18" s="101" t="str">
        <f>J18</f>
        <v>Abril</v>
      </c>
      <c r="Z18" s="101"/>
      <c r="AA18" s="101"/>
      <c r="AB18" s="101"/>
      <c r="AC18" s="101"/>
      <c r="AD18" s="101"/>
      <c r="AE18" s="101"/>
      <c r="AH18" s="102" t="str">
        <f>Y18</f>
        <v>Abril</v>
      </c>
      <c r="AI18" s="102"/>
      <c r="AJ18" s="102"/>
      <c r="AK18" s="102"/>
      <c r="AL18" s="102"/>
      <c r="AM18" s="102"/>
      <c r="AN18" s="102"/>
    </row>
    <row r="19" spans="1:40" ht="15.75" thickBot="1" x14ac:dyDescent="0.3">
      <c r="A19" s="97" t="s">
        <v>5</v>
      </c>
      <c r="B19" s="34" t="s">
        <v>6</v>
      </c>
      <c r="C19" s="22" t="s">
        <v>7</v>
      </c>
      <c r="D19" s="33" t="s">
        <v>8</v>
      </c>
      <c r="E19" s="22" t="s">
        <v>9</v>
      </c>
      <c r="F19" s="24" t="s">
        <v>10</v>
      </c>
      <c r="G19" s="23" t="s">
        <v>11</v>
      </c>
      <c r="H19" s="25" t="s">
        <v>12</v>
      </c>
      <c r="J19" s="6" t="s">
        <v>4</v>
      </c>
      <c r="K19" s="9">
        <v>46119</v>
      </c>
      <c r="L19" s="66">
        <v>46123</v>
      </c>
      <c r="M19" s="4"/>
      <c r="N19" s="4"/>
      <c r="O19" s="4"/>
      <c r="P19" s="4"/>
      <c r="Q19" s="4"/>
      <c r="R19" s="4"/>
      <c r="S19" s="4"/>
      <c r="T19" s="4"/>
      <c r="U19" s="5"/>
      <c r="Y19" s="6" t="s">
        <v>4</v>
      </c>
      <c r="Z19" s="9"/>
      <c r="AA19" s="4"/>
      <c r="AB19" s="4"/>
      <c r="AC19" s="4"/>
      <c r="AD19" s="4"/>
      <c r="AE19" s="5"/>
      <c r="AH19" s="6" t="s">
        <v>4</v>
      </c>
      <c r="AI19" s="9"/>
      <c r="AJ19" s="4"/>
      <c r="AK19" s="4"/>
      <c r="AL19" s="4"/>
      <c r="AM19" s="4"/>
      <c r="AN19" s="5"/>
    </row>
    <row r="20" spans="1:40" ht="15.75" thickBot="1" x14ac:dyDescent="0.3">
      <c r="A20" s="97"/>
      <c r="B20" s="26">
        <v>16414</v>
      </c>
      <c r="C20" s="27"/>
      <c r="D20" s="27"/>
      <c r="E20" s="27">
        <v>18929</v>
      </c>
      <c r="F20" s="27">
        <f>SUM(C20-B20)</f>
        <v>-16414</v>
      </c>
      <c r="G20" s="20">
        <f>SUM(E20-D20)</f>
        <v>18929</v>
      </c>
      <c r="H20" s="21">
        <f>SUM(F20:G20)</f>
        <v>2515</v>
      </c>
      <c r="J20" s="7" t="s">
        <v>22</v>
      </c>
      <c r="K20" s="30">
        <v>243.07</v>
      </c>
      <c r="L20" s="31">
        <v>244.13</v>
      </c>
      <c r="M20" s="31"/>
      <c r="N20" s="31"/>
      <c r="O20" s="31"/>
      <c r="P20" s="31"/>
      <c r="Q20" s="31"/>
      <c r="R20" s="31"/>
      <c r="S20" s="31"/>
      <c r="T20" s="31"/>
      <c r="U20" s="32"/>
      <c r="Y20" s="7" t="s">
        <v>22</v>
      </c>
      <c r="Z20" s="10"/>
      <c r="AA20" s="11"/>
      <c r="AB20" s="11"/>
      <c r="AC20" s="11"/>
      <c r="AD20" s="11"/>
      <c r="AE20" s="12"/>
      <c r="AH20" s="7" t="s">
        <v>22</v>
      </c>
      <c r="AI20" s="10"/>
      <c r="AJ20" s="11"/>
      <c r="AK20" s="11"/>
      <c r="AL20" s="11"/>
      <c r="AM20" s="11"/>
      <c r="AN20" s="12"/>
    </row>
    <row r="21" spans="1:40" x14ac:dyDescent="0.25">
      <c r="J21" s="8"/>
      <c r="T21" s="8" t="s">
        <v>23</v>
      </c>
      <c r="U21" s="13">
        <f>SUM(K20:U20)</f>
        <v>487.2</v>
      </c>
      <c r="AD21" s="8" t="s">
        <v>23</v>
      </c>
      <c r="AE21" s="13">
        <f>SUM(Z20:AE20)</f>
        <v>0</v>
      </c>
      <c r="AM21" s="8" t="s">
        <v>23</v>
      </c>
      <c r="AN21" s="13">
        <f>SUM(AI20:AN20)</f>
        <v>0</v>
      </c>
    </row>
    <row r="22" spans="1:40" ht="15.75" thickBot="1" x14ac:dyDescent="0.3">
      <c r="A22" s="19"/>
      <c r="B22" s="99" t="s">
        <v>15</v>
      </c>
      <c r="C22" s="99"/>
      <c r="D22" s="99"/>
      <c r="E22" s="99"/>
      <c r="F22" s="99"/>
      <c r="G22" s="99"/>
      <c r="H22" s="99"/>
      <c r="J22" s="100" t="s">
        <v>15</v>
      </c>
      <c r="K22" s="100"/>
      <c r="L22" s="100"/>
      <c r="M22" s="100"/>
      <c r="N22" s="100"/>
      <c r="O22" s="100"/>
      <c r="P22" s="100"/>
      <c r="Q22" s="100"/>
      <c r="R22" s="100"/>
      <c r="S22" s="100"/>
      <c r="T22" s="100"/>
      <c r="U22" s="100"/>
      <c r="Y22" s="101" t="str">
        <f>J22</f>
        <v>Maio</v>
      </c>
      <c r="Z22" s="101"/>
      <c r="AA22" s="101"/>
      <c r="AB22" s="101"/>
      <c r="AC22" s="101"/>
      <c r="AD22" s="101"/>
      <c r="AE22" s="101"/>
      <c r="AH22" s="102" t="str">
        <f>Y22</f>
        <v>Maio</v>
      </c>
      <c r="AI22" s="102"/>
      <c r="AJ22" s="102"/>
      <c r="AK22" s="102"/>
      <c r="AL22" s="102"/>
      <c r="AM22" s="102"/>
      <c r="AN22" s="102"/>
    </row>
    <row r="23" spans="1:40" ht="15.75" thickBot="1" x14ac:dyDescent="0.3">
      <c r="A23" s="97" t="s">
        <v>5</v>
      </c>
      <c r="B23" s="34" t="s">
        <v>6</v>
      </c>
      <c r="C23" s="22" t="s">
        <v>7</v>
      </c>
      <c r="D23" s="33" t="s">
        <v>8</v>
      </c>
      <c r="E23" s="22" t="s">
        <v>9</v>
      </c>
      <c r="F23" s="24" t="s">
        <v>10</v>
      </c>
      <c r="G23" s="23" t="s">
        <v>11</v>
      </c>
      <c r="H23" s="25" t="s">
        <v>12</v>
      </c>
      <c r="J23" s="6" t="s">
        <v>4</v>
      </c>
      <c r="K23" s="9"/>
      <c r="L23" s="4"/>
      <c r="M23" s="4"/>
      <c r="N23" s="4"/>
      <c r="O23" s="4"/>
      <c r="P23" s="4"/>
      <c r="Q23" s="4"/>
      <c r="R23" s="4"/>
      <c r="S23" s="4"/>
      <c r="T23" s="4"/>
      <c r="U23" s="5"/>
      <c r="Y23" s="6" t="s">
        <v>4</v>
      </c>
      <c r="Z23" s="9"/>
      <c r="AA23" s="4"/>
      <c r="AB23" s="4"/>
      <c r="AC23" s="4"/>
      <c r="AD23" s="4"/>
      <c r="AE23" s="5"/>
      <c r="AH23" s="6" t="s">
        <v>4</v>
      </c>
      <c r="AI23" s="9"/>
      <c r="AJ23" s="4"/>
      <c r="AK23" s="4"/>
      <c r="AL23" s="4"/>
      <c r="AM23" s="4"/>
      <c r="AN23" s="5"/>
    </row>
    <row r="24" spans="1:40" ht="15.75" thickBot="1" x14ac:dyDescent="0.3">
      <c r="A24" s="97"/>
      <c r="B24" s="27">
        <v>18929</v>
      </c>
      <c r="C24" s="27"/>
      <c r="D24" s="27"/>
      <c r="E24" s="27">
        <v>21635</v>
      </c>
      <c r="F24" s="27">
        <f>SUM(C24-B24)</f>
        <v>-18929</v>
      </c>
      <c r="G24" s="20">
        <f>SUM(E24-D24)</f>
        <v>21635</v>
      </c>
      <c r="H24" s="21">
        <f>SUM(F24:G24)</f>
        <v>2706</v>
      </c>
      <c r="J24" s="7" t="s">
        <v>22</v>
      </c>
      <c r="K24" s="10"/>
      <c r="L24" s="11"/>
      <c r="M24" s="11"/>
      <c r="N24" s="11"/>
      <c r="O24" s="11"/>
      <c r="P24" s="11"/>
      <c r="Q24" s="11"/>
      <c r="R24" s="11"/>
      <c r="S24" s="11"/>
      <c r="T24" s="11"/>
      <c r="U24" s="12"/>
      <c r="Y24" s="7" t="s">
        <v>22</v>
      </c>
      <c r="Z24" s="10"/>
      <c r="AA24" s="11"/>
      <c r="AB24" s="11"/>
      <c r="AC24" s="11"/>
      <c r="AD24" s="11"/>
      <c r="AE24" s="12"/>
      <c r="AH24" s="7" t="s">
        <v>22</v>
      </c>
      <c r="AI24" s="10"/>
      <c r="AJ24" s="11"/>
      <c r="AK24" s="11"/>
      <c r="AL24" s="11"/>
      <c r="AM24" s="11"/>
      <c r="AN24" s="12"/>
    </row>
    <row r="25" spans="1:40" x14ac:dyDescent="0.25">
      <c r="J25" s="8"/>
      <c r="T25" s="8" t="s">
        <v>23</v>
      </c>
      <c r="U25" s="13">
        <f>SUM(K24:U24)</f>
        <v>0</v>
      </c>
      <c r="AD25" s="8" t="s">
        <v>23</v>
      </c>
      <c r="AE25" s="13">
        <f>SUM(Z24:AE24)</f>
        <v>0</v>
      </c>
      <c r="AM25" s="8" t="s">
        <v>23</v>
      </c>
      <c r="AN25" s="13">
        <f>SUM(AI24:AN24)</f>
        <v>0</v>
      </c>
    </row>
    <row r="26" spans="1:40" ht="15.75" thickBot="1" x14ac:dyDescent="0.3">
      <c r="A26" s="19"/>
      <c r="B26" s="99" t="s">
        <v>24</v>
      </c>
      <c r="C26" s="99"/>
      <c r="D26" s="99"/>
      <c r="E26" s="99"/>
      <c r="F26" s="99"/>
      <c r="G26" s="99"/>
      <c r="H26" s="99"/>
      <c r="J26" s="100" t="s">
        <v>24</v>
      </c>
      <c r="K26" s="100"/>
      <c r="L26" s="100"/>
      <c r="M26" s="100"/>
      <c r="N26" s="100"/>
      <c r="O26" s="100"/>
      <c r="P26" s="100"/>
      <c r="Q26" s="100"/>
      <c r="R26" s="100"/>
      <c r="S26" s="100"/>
      <c r="T26" s="100"/>
      <c r="U26" s="100"/>
      <c r="Y26" s="101" t="str">
        <f>J26</f>
        <v>Junho</v>
      </c>
      <c r="Z26" s="101"/>
      <c r="AA26" s="101"/>
      <c r="AB26" s="101"/>
      <c r="AC26" s="101"/>
      <c r="AD26" s="101"/>
      <c r="AE26" s="101"/>
      <c r="AH26" s="102" t="str">
        <f>Y26</f>
        <v>Junho</v>
      </c>
      <c r="AI26" s="102"/>
      <c r="AJ26" s="102"/>
      <c r="AK26" s="102"/>
      <c r="AL26" s="102"/>
      <c r="AM26" s="102"/>
      <c r="AN26" s="102"/>
    </row>
    <row r="27" spans="1:40" ht="15.75" thickBot="1" x14ac:dyDescent="0.3">
      <c r="A27" s="97" t="s">
        <v>5</v>
      </c>
      <c r="B27" s="34" t="s">
        <v>6</v>
      </c>
      <c r="C27" s="22" t="s">
        <v>7</v>
      </c>
      <c r="D27" s="33" t="s">
        <v>8</v>
      </c>
      <c r="E27" s="22" t="s">
        <v>9</v>
      </c>
      <c r="F27" s="24" t="s">
        <v>10</v>
      </c>
      <c r="G27" s="23" t="s">
        <v>11</v>
      </c>
      <c r="H27" s="25" t="s">
        <v>12</v>
      </c>
      <c r="J27" s="6" t="s">
        <v>4</v>
      </c>
      <c r="K27" s="9"/>
      <c r="L27" s="4"/>
      <c r="M27" s="4"/>
      <c r="N27" s="4"/>
      <c r="O27" s="4"/>
      <c r="P27" s="4"/>
      <c r="Q27" s="4"/>
      <c r="R27" s="4"/>
      <c r="S27" s="4"/>
      <c r="T27" s="4"/>
      <c r="U27" s="5"/>
      <c r="Y27" s="6" t="s">
        <v>4</v>
      </c>
      <c r="Z27" s="9"/>
      <c r="AA27" s="4"/>
      <c r="AB27" s="4"/>
      <c r="AC27" s="4"/>
      <c r="AD27" s="4"/>
      <c r="AE27" s="5"/>
      <c r="AH27" s="6" t="s">
        <v>4</v>
      </c>
      <c r="AI27" s="9"/>
      <c r="AJ27" s="4"/>
      <c r="AK27" s="4"/>
      <c r="AL27" s="4"/>
      <c r="AM27" s="4"/>
      <c r="AN27" s="5"/>
    </row>
    <row r="28" spans="1:40" ht="15.75" thickBot="1" x14ac:dyDescent="0.3">
      <c r="A28" s="97"/>
      <c r="B28" s="26"/>
      <c r="C28" s="27"/>
      <c r="D28" s="27"/>
      <c r="E28" s="27"/>
      <c r="F28" s="27">
        <f>SUM(C28-B28)</f>
        <v>0</v>
      </c>
      <c r="G28" s="20">
        <f>SUM(E28-D28)</f>
        <v>0</v>
      </c>
      <c r="H28" s="21">
        <f>SUM(F28:G28)</f>
        <v>0</v>
      </c>
      <c r="J28" s="7" t="s">
        <v>22</v>
      </c>
      <c r="K28" s="10"/>
      <c r="L28" s="11"/>
      <c r="M28" s="11"/>
      <c r="N28" s="11"/>
      <c r="O28" s="11"/>
      <c r="P28" s="11"/>
      <c r="Q28" s="11"/>
      <c r="R28" s="11"/>
      <c r="S28" s="11"/>
      <c r="T28" s="11"/>
      <c r="U28" s="12"/>
      <c r="Y28" s="7" t="s">
        <v>22</v>
      </c>
      <c r="Z28" s="10"/>
      <c r="AA28" s="11"/>
      <c r="AB28" s="11"/>
      <c r="AC28" s="11"/>
      <c r="AD28" s="11"/>
      <c r="AE28" s="12"/>
      <c r="AH28" s="7" t="s">
        <v>22</v>
      </c>
      <c r="AI28" s="10"/>
      <c r="AJ28" s="11"/>
      <c r="AK28" s="11"/>
      <c r="AL28" s="11"/>
      <c r="AM28" s="11"/>
      <c r="AN28" s="12"/>
    </row>
    <row r="29" spans="1:40" x14ac:dyDescent="0.25">
      <c r="J29" s="8"/>
      <c r="T29" s="8" t="s">
        <v>23</v>
      </c>
      <c r="U29" s="13">
        <f>SUM(K28:U28)</f>
        <v>0</v>
      </c>
      <c r="AD29" s="8" t="s">
        <v>23</v>
      </c>
      <c r="AE29" s="13">
        <f>SUM(Z28:AE28)</f>
        <v>0</v>
      </c>
      <c r="AM29" s="8" t="s">
        <v>23</v>
      </c>
      <c r="AN29" s="13">
        <f>SUM(AI28:AN28)</f>
        <v>0</v>
      </c>
    </row>
    <row r="30" spans="1:40" ht="15.75" thickBot="1" x14ac:dyDescent="0.3">
      <c r="A30" s="19"/>
      <c r="B30" s="99" t="s">
        <v>16</v>
      </c>
      <c r="C30" s="99"/>
      <c r="D30" s="99"/>
      <c r="E30" s="99"/>
      <c r="F30" s="99"/>
      <c r="G30" s="99"/>
      <c r="H30" s="99"/>
      <c r="J30" s="100" t="s">
        <v>16</v>
      </c>
      <c r="K30" s="100"/>
      <c r="L30" s="100"/>
      <c r="M30" s="100"/>
      <c r="N30" s="100"/>
      <c r="O30" s="100"/>
      <c r="P30" s="100"/>
      <c r="Q30" s="100"/>
      <c r="R30" s="100"/>
      <c r="S30" s="100"/>
      <c r="T30" s="100"/>
      <c r="U30" s="100"/>
      <c r="Y30" s="101" t="str">
        <f>J30</f>
        <v>Julho</v>
      </c>
      <c r="Z30" s="101"/>
      <c r="AA30" s="101"/>
      <c r="AB30" s="101"/>
      <c r="AC30" s="101"/>
      <c r="AD30" s="101"/>
      <c r="AE30" s="101"/>
      <c r="AH30" s="102" t="str">
        <f>Y30</f>
        <v>Julho</v>
      </c>
      <c r="AI30" s="102"/>
      <c r="AJ30" s="102"/>
      <c r="AK30" s="102"/>
      <c r="AL30" s="102"/>
      <c r="AM30" s="102"/>
      <c r="AN30" s="102"/>
    </row>
    <row r="31" spans="1:40" ht="15.75" thickBot="1" x14ac:dyDescent="0.3">
      <c r="A31" s="97" t="s">
        <v>5</v>
      </c>
      <c r="B31" s="34" t="s">
        <v>6</v>
      </c>
      <c r="C31" s="22" t="s">
        <v>7</v>
      </c>
      <c r="D31" s="33" t="s">
        <v>8</v>
      </c>
      <c r="E31" s="22" t="s">
        <v>9</v>
      </c>
      <c r="F31" s="24" t="s">
        <v>10</v>
      </c>
      <c r="G31" s="23" t="s">
        <v>11</v>
      </c>
      <c r="H31" s="25" t="s">
        <v>12</v>
      </c>
      <c r="J31" s="6" t="s">
        <v>4</v>
      </c>
      <c r="K31" s="9"/>
      <c r="L31" s="4"/>
      <c r="M31" s="4"/>
      <c r="N31" s="4"/>
      <c r="O31" s="4"/>
      <c r="P31" s="4"/>
      <c r="Q31" s="4"/>
      <c r="R31" s="4"/>
      <c r="S31" s="4"/>
      <c r="T31" s="4"/>
      <c r="U31" s="5"/>
      <c r="Y31" s="6" t="s">
        <v>4</v>
      </c>
      <c r="Z31" s="9"/>
      <c r="AA31" s="4"/>
      <c r="AB31" s="4"/>
      <c r="AC31" s="4"/>
      <c r="AD31" s="4"/>
      <c r="AE31" s="5"/>
      <c r="AH31" s="6" t="s">
        <v>4</v>
      </c>
      <c r="AI31" s="9"/>
      <c r="AJ31" s="4"/>
      <c r="AK31" s="4"/>
      <c r="AL31" s="4"/>
      <c r="AM31" s="4"/>
      <c r="AN31" s="5"/>
    </row>
    <row r="32" spans="1:40" ht="15.75" thickBot="1" x14ac:dyDescent="0.3">
      <c r="A32" s="97"/>
      <c r="B32" s="26"/>
      <c r="C32" s="27"/>
      <c r="D32" s="27"/>
      <c r="E32" s="27"/>
      <c r="F32" s="27">
        <f>SUM(C32-B32)</f>
        <v>0</v>
      </c>
      <c r="G32" s="20">
        <f>SUM(E32-D32)</f>
        <v>0</v>
      </c>
      <c r="H32" s="21">
        <f>SUM(F32:G32)</f>
        <v>0</v>
      </c>
      <c r="J32" s="7" t="s">
        <v>22</v>
      </c>
      <c r="K32" s="10"/>
      <c r="L32" s="11"/>
      <c r="M32" s="11"/>
      <c r="N32" s="11"/>
      <c r="O32" s="11"/>
      <c r="P32" s="11"/>
      <c r="Q32" s="11"/>
      <c r="R32" s="11"/>
      <c r="S32" s="11"/>
      <c r="T32" s="11"/>
      <c r="U32" s="12"/>
      <c r="Y32" s="7" t="s">
        <v>22</v>
      </c>
      <c r="Z32" s="10"/>
      <c r="AA32" s="11"/>
      <c r="AB32" s="11"/>
      <c r="AC32" s="11"/>
      <c r="AD32" s="11"/>
      <c r="AE32" s="12"/>
      <c r="AH32" s="7" t="s">
        <v>22</v>
      </c>
      <c r="AI32" s="10"/>
      <c r="AJ32" s="11"/>
      <c r="AK32" s="11"/>
      <c r="AL32" s="11"/>
      <c r="AM32" s="11"/>
      <c r="AN32" s="12"/>
    </row>
    <row r="33" spans="1:40" x14ac:dyDescent="0.25">
      <c r="J33" s="8"/>
      <c r="T33" s="8" t="s">
        <v>23</v>
      </c>
      <c r="U33" s="13">
        <f>SUM(K32:U32)</f>
        <v>0</v>
      </c>
      <c r="AD33" s="8" t="s">
        <v>23</v>
      </c>
      <c r="AE33" s="13">
        <f>SUM(Z32:AE32)</f>
        <v>0</v>
      </c>
      <c r="AM33" s="8" t="s">
        <v>23</v>
      </c>
      <c r="AN33" s="13">
        <f>SUM(AI32:AN32)</f>
        <v>0</v>
      </c>
    </row>
    <row r="34" spans="1:40" ht="15.75" thickBot="1" x14ac:dyDescent="0.3">
      <c r="A34" s="19"/>
      <c r="B34" s="99" t="s">
        <v>17</v>
      </c>
      <c r="C34" s="99"/>
      <c r="D34" s="99"/>
      <c r="E34" s="99"/>
      <c r="F34" s="99"/>
      <c r="G34" s="99"/>
      <c r="H34" s="99"/>
      <c r="J34" s="100" t="s">
        <v>17</v>
      </c>
      <c r="K34" s="100"/>
      <c r="L34" s="100"/>
      <c r="M34" s="100"/>
      <c r="N34" s="100"/>
      <c r="O34" s="100"/>
      <c r="P34" s="100"/>
      <c r="Q34" s="100"/>
      <c r="R34" s="100"/>
      <c r="S34" s="100"/>
      <c r="T34" s="100"/>
      <c r="U34" s="100"/>
      <c r="Y34" s="101" t="str">
        <f>J34</f>
        <v>Agosto</v>
      </c>
      <c r="Z34" s="101"/>
      <c r="AA34" s="101"/>
      <c r="AB34" s="101"/>
      <c r="AC34" s="101"/>
      <c r="AD34" s="101"/>
      <c r="AE34" s="101"/>
      <c r="AH34" s="102" t="str">
        <f>Y34</f>
        <v>Agosto</v>
      </c>
      <c r="AI34" s="102"/>
      <c r="AJ34" s="102"/>
      <c r="AK34" s="102"/>
      <c r="AL34" s="102"/>
      <c r="AM34" s="102"/>
      <c r="AN34" s="102"/>
    </row>
    <row r="35" spans="1:40" ht="15.75" thickBot="1" x14ac:dyDescent="0.3">
      <c r="A35" s="97" t="s">
        <v>5</v>
      </c>
      <c r="B35" s="34" t="s">
        <v>6</v>
      </c>
      <c r="C35" s="22" t="s">
        <v>7</v>
      </c>
      <c r="D35" s="33" t="s">
        <v>8</v>
      </c>
      <c r="E35" s="22" t="s">
        <v>9</v>
      </c>
      <c r="F35" s="24" t="s">
        <v>10</v>
      </c>
      <c r="G35" s="23" t="s">
        <v>11</v>
      </c>
      <c r="H35" s="25" t="s">
        <v>12</v>
      </c>
      <c r="J35" s="6" t="s">
        <v>4</v>
      </c>
      <c r="K35" s="9"/>
      <c r="L35" s="4"/>
      <c r="M35" s="4"/>
      <c r="N35" s="4"/>
      <c r="O35" s="4"/>
      <c r="P35" s="4"/>
      <c r="Q35" s="4"/>
      <c r="R35" s="4"/>
      <c r="S35" s="4"/>
      <c r="T35" s="4"/>
      <c r="U35" s="5"/>
      <c r="Y35" s="6" t="s">
        <v>4</v>
      </c>
      <c r="Z35" s="9"/>
      <c r="AA35" s="4"/>
      <c r="AB35" s="4"/>
      <c r="AC35" s="4"/>
      <c r="AD35" s="4"/>
      <c r="AE35" s="5"/>
      <c r="AH35" s="6" t="s">
        <v>4</v>
      </c>
      <c r="AI35" s="9"/>
      <c r="AJ35" s="4"/>
      <c r="AK35" s="4"/>
      <c r="AL35" s="4"/>
      <c r="AM35" s="4"/>
      <c r="AN35" s="5"/>
    </row>
    <row r="36" spans="1:40" ht="15.75" thickBot="1" x14ac:dyDescent="0.3">
      <c r="A36" s="97"/>
      <c r="B36" s="26"/>
      <c r="C36" s="27"/>
      <c r="D36" s="27"/>
      <c r="E36" s="27"/>
      <c r="F36" s="27">
        <f>SUM(C36-B36)</f>
        <v>0</v>
      </c>
      <c r="G36" s="20">
        <f>SUM(E36-D36)</f>
        <v>0</v>
      </c>
      <c r="H36" s="21">
        <f>SUM(F36:G36)</f>
        <v>0</v>
      </c>
      <c r="J36" s="7" t="s">
        <v>22</v>
      </c>
      <c r="K36" s="10"/>
      <c r="L36" s="11"/>
      <c r="M36" s="11"/>
      <c r="N36" s="11"/>
      <c r="O36" s="11"/>
      <c r="P36" s="11"/>
      <c r="Q36" s="11"/>
      <c r="R36" s="11"/>
      <c r="S36" s="11"/>
      <c r="T36" s="11"/>
      <c r="U36" s="12"/>
      <c r="Y36" s="7" t="s">
        <v>22</v>
      </c>
      <c r="Z36" s="10"/>
      <c r="AA36" s="11"/>
      <c r="AB36" s="11"/>
      <c r="AC36" s="11"/>
      <c r="AD36" s="11"/>
      <c r="AE36" s="12"/>
      <c r="AH36" s="7" t="s">
        <v>22</v>
      </c>
      <c r="AI36" s="10"/>
      <c r="AJ36" s="11"/>
      <c r="AK36" s="11"/>
      <c r="AL36" s="11"/>
      <c r="AM36" s="11"/>
      <c r="AN36" s="12"/>
    </row>
    <row r="37" spans="1:40" x14ac:dyDescent="0.25">
      <c r="J37" s="8"/>
      <c r="T37" s="8" t="s">
        <v>23</v>
      </c>
      <c r="U37" s="13">
        <f>SUM(K36:U36)</f>
        <v>0</v>
      </c>
      <c r="AD37" s="8" t="s">
        <v>23</v>
      </c>
      <c r="AE37" s="13">
        <f>SUM(Z36:AE36)</f>
        <v>0</v>
      </c>
      <c r="AM37" s="8" t="s">
        <v>23</v>
      </c>
      <c r="AN37" s="13">
        <f>SUM(AI36:AN36)</f>
        <v>0</v>
      </c>
    </row>
    <row r="38" spans="1:40" ht="15.75" thickBot="1" x14ac:dyDescent="0.3">
      <c r="A38" s="19"/>
      <c r="B38" s="99" t="s">
        <v>18</v>
      </c>
      <c r="C38" s="99"/>
      <c r="D38" s="99"/>
      <c r="E38" s="99"/>
      <c r="F38" s="99"/>
      <c r="G38" s="99"/>
      <c r="H38" s="99"/>
      <c r="J38" s="100" t="s">
        <v>18</v>
      </c>
      <c r="K38" s="100"/>
      <c r="L38" s="100"/>
      <c r="M38" s="100"/>
      <c r="N38" s="100"/>
      <c r="O38" s="100"/>
      <c r="P38" s="100"/>
      <c r="Q38" s="100"/>
      <c r="R38" s="100"/>
      <c r="S38" s="100"/>
      <c r="T38" s="100"/>
      <c r="U38" s="100"/>
      <c r="Y38" s="101" t="str">
        <f>J38</f>
        <v>Setembro</v>
      </c>
      <c r="Z38" s="101"/>
      <c r="AA38" s="101"/>
      <c r="AB38" s="101"/>
      <c r="AC38" s="101"/>
      <c r="AD38" s="101"/>
      <c r="AE38" s="101"/>
      <c r="AH38" s="102" t="str">
        <f>Y38</f>
        <v>Setembro</v>
      </c>
      <c r="AI38" s="102"/>
      <c r="AJ38" s="102"/>
      <c r="AK38" s="102"/>
      <c r="AL38" s="102"/>
      <c r="AM38" s="102"/>
      <c r="AN38" s="102"/>
    </row>
    <row r="39" spans="1:40" ht="15.75" thickBot="1" x14ac:dyDescent="0.3">
      <c r="A39" s="97" t="s">
        <v>5</v>
      </c>
      <c r="B39" s="34" t="s">
        <v>6</v>
      </c>
      <c r="C39" s="22" t="s">
        <v>7</v>
      </c>
      <c r="D39" s="33" t="s">
        <v>8</v>
      </c>
      <c r="E39" s="22" t="s">
        <v>9</v>
      </c>
      <c r="F39" s="24" t="s">
        <v>10</v>
      </c>
      <c r="G39" s="23" t="s">
        <v>11</v>
      </c>
      <c r="H39" s="25" t="s">
        <v>12</v>
      </c>
      <c r="J39" s="6" t="s">
        <v>4</v>
      </c>
      <c r="K39" s="9"/>
      <c r="L39" s="4"/>
      <c r="M39" s="4"/>
      <c r="N39" s="4"/>
      <c r="O39" s="4"/>
      <c r="P39" s="4"/>
      <c r="Q39" s="4"/>
      <c r="R39" s="4"/>
      <c r="S39" s="4"/>
      <c r="T39" s="4"/>
      <c r="U39" s="5"/>
      <c r="Y39" s="6" t="s">
        <v>4</v>
      </c>
      <c r="Z39" s="9"/>
      <c r="AA39" s="4"/>
      <c r="AB39" s="4"/>
      <c r="AC39" s="4"/>
      <c r="AD39" s="4"/>
      <c r="AE39" s="5"/>
      <c r="AH39" s="6" t="s">
        <v>4</v>
      </c>
      <c r="AI39" s="9"/>
      <c r="AJ39" s="4"/>
      <c r="AK39" s="4"/>
      <c r="AL39" s="4"/>
      <c r="AM39" s="4"/>
      <c r="AN39" s="5"/>
    </row>
    <row r="40" spans="1:40" ht="15.75" thickBot="1" x14ac:dyDescent="0.3">
      <c r="A40" s="97"/>
      <c r="B40" s="26"/>
      <c r="C40" s="27"/>
      <c r="D40" s="27"/>
      <c r="E40" s="27"/>
      <c r="F40" s="27">
        <f>SUM(C40-B40)</f>
        <v>0</v>
      </c>
      <c r="G40" s="20">
        <f>SUM(E40-D40)</f>
        <v>0</v>
      </c>
      <c r="H40" s="21">
        <f>SUM(F40:G40)</f>
        <v>0</v>
      </c>
      <c r="J40" s="7" t="s">
        <v>22</v>
      </c>
      <c r="K40" s="10"/>
      <c r="L40" s="11"/>
      <c r="M40" s="11"/>
      <c r="N40" s="11"/>
      <c r="O40" s="11"/>
      <c r="P40" s="11"/>
      <c r="Q40" s="11"/>
      <c r="R40" s="11"/>
      <c r="S40" s="11"/>
      <c r="T40" s="11"/>
      <c r="U40" s="12"/>
      <c r="Y40" s="7" t="s">
        <v>22</v>
      </c>
      <c r="Z40" s="10"/>
      <c r="AA40" s="11"/>
      <c r="AB40" s="11"/>
      <c r="AC40" s="11"/>
      <c r="AD40" s="11"/>
      <c r="AE40" s="12"/>
      <c r="AH40" s="7" t="s">
        <v>22</v>
      </c>
      <c r="AI40" s="10"/>
      <c r="AJ40" s="11"/>
      <c r="AK40" s="11"/>
      <c r="AL40" s="11"/>
      <c r="AM40" s="11"/>
      <c r="AN40" s="12"/>
    </row>
    <row r="41" spans="1:40" x14ac:dyDescent="0.25">
      <c r="J41" s="8"/>
      <c r="T41" s="8" t="s">
        <v>23</v>
      </c>
      <c r="U41" s="13">
        <f>SUM(K40:U40)</f>
        <v>0</v>
      </c>
      <c r="AD41" s="8" t="s">
        <v>23</v>
      </c>
      <c r="AE41" s="13">
        <f>SUM(Z40:AE40)</f>
        <v>0</v>
      </c>
      <c r="AM41" s="8" t="s">
        <v>23</v>
      </c>
      <c r="AN41" s="13">
        <f>SUM(AI40:AN40)</f>
        <v>0</v>
      </c>
    </row>
    <row r="42" spans="1:40" ht="15.75" thickBot="1" x14ac:dyDescent="0.3">
      <c r="A42" s="19"/>
      <c r="B42" s="99" t="s">
        <v>19</v>
      </c>
      <c r="C42" s="99"/>
      <c r="D42" s="99"/>
      <c r="E42" s="99"/>
      <c r="F42" s="99"/>
      <c r="G42" s="99"/>
      <c r="H42" s="99"/>
      <c r="J42" s="100" t="s">
        <v>19</v>
      </c>
      <c r="K42" s="100"/>
      <c r="L42" s="100"/>
      <c r="M42" s="100"/>
      <c r="N42" s="100"/>
      <c r="O42" s="100"/>
      <c r="P42" s="100"/>
      <c r="Q42" s="100"/>
      <c r="R42" s="100"/>
      <c r="S42" s="100"/>
      <c r="T42" s="100"/>
      <c r="U42" s="100"/>
      <c r="Y42" s="101" t="str">
        <f>J42</f>
        <v>Outubro</v>
      </c>
      <c r="Z42" s="101"/>
      <c r="AA42" s="101"/>
      <c r="AB42" s="101"/>
      <c r="AC42" s="101"/>
      <c r="AD42" s="101"/>
      <c r="AE42" s="101"/>
      <c r="AH42" s="102" t="str">
        <f>Y42</f>
        <v>Outubro</v>
      </c>
      <c r="AI42" s="102"/>
      <c r="AJ42" s="102"/>
      <c r="AK42" s="102"/>
      <c r="AL42" s="102"/>
      <c r="AM42" s="102"/>
      <c r="AN42" s="102"/>
    </row>
    <row r="43" spans="1:40" ht="15.75" thickBot="1" x14ac:dyDescent="0.3">
      <c r="A43" s="97" t="s">
        <v>5</v>
      </c>
      <c r="B43" s="34" t="s">
        <v>6</v>
      </c>
      <c r="C43" s="22" t="s">
        <v>7</v>
      </c>
      <c r="D43" s="33" t="s">
        <v>8</v>
      </c>
      <c r="E43" s="22" t="s">
        <v>9</v>
      </c>
      <c r="F43" s="24" t="s">
        <v>10</v>
      </c>
      <c r="G43" s="23" t="s">
        <v>11</v>
      </c>
      <c r="H43" s="25" t="s">
        <v>12</v>
      </c>
      <c r="J43" s="6" t="s">
        <v>4</v>
      </c>
      <c r="K43" s="9"/>
      <c r="L43" s="4"/>
      <c r="M43" s="4"/>
      <c r="N43" s="4"/>
      <c r="O43" s="4"/>
      <c r="P43" s="4"/>
      <c r="Q43" s="4"/>
      <c r="R43" s="4"/>
      <c r="S43" s="4"/>
      <c r="T43" s="4"/>
      <c r="U43" s="5"/>
      <c r="Y43" s="6" t="s">
        <v>4</v>
      </c>
      <c r="Z43" s="9"/>
      <c r="AA43" s="4"/>
      <c r="AB43" s="4"/>
      <c r="AC43" s="4"/>
      <c r="AD43" s="4"/>
      <c r="AE43" s="5"/>
      <c r="AH43" s="6" t="s">
        <v>4</v>
      </c>
      <c r="AI43" s="9"/>
      <c r="AJ43" s="4"/>
      <c r="AK43" s="4"/>
      <c r="AL43" s="4"/>
      <c r="AM43" s="4"/>
      <c r="AN43" s="5"/>
    </row>
    <row r="44" spans="1:40" ht="15.75" thickBot="1" x14ac:dyDescent="0.3">
      <c r="A44" s="97"/>
      <c r="B44" s="26"/>
      <c r="C44" s="27"/>
      <c r="D44" s="27"/>
      <c r="E44" s="27"/>
      <c r="F44" s="27">
        <f>SUM(C44-B44)</f>
        <v>0</v>
      </c>
      <c r="G44" s="20">
        <f>SUM(E44-D44)</f>
        <v>0</v>
      </c>
      <c r="H44" s="21">
        <f>SUM(F44:G44)</f>
        <v>0</v>
      </c>
      <c r="J44" s="7" t="s">
        <v>22</v>
      </c>
      <c r="K44" s="10"/>
      <c r="L44" s="11"/>
      <c r="M44" s="11"/>
      <c r="N44" s="11"/>
      <c r="O44" s="11"/>
      <c r="P44" s="11"/>
      <c r="Q44" s="11"/>
      <c r="R44" s="11"/>
      <c r="S44" s="11"/>
      <c r="T44" s="11"/>
      <c r="U44" s="12"/>
      <c r="Y44" s="7" t="s">
        <v>22</v>
      </c>
      <c r="Z44" s="10"/>
      <c r="AA44" s="11"/>
      <c r="AB44" s="11"/>
      <c r="AC44" s="11"/>
      <c r="AD44" s="11"/>
      <c r="AE44" s="12"/>
      <c r="AH44" s="7" t="s">
        <v>22</v>
      </c>
      <c r="AI44" s="10"/>
      <c r="AJ44" s="11"/>
      <c r="AK44" s="11"/>
      <c r="AL44" s="11"/>
      <c r="AM44" s="11"/>
      <c r="AN44" s="12"/>
    </row>
    <row r="45" spans="1:40" x14ac:dyDescent="0.25">
      <c r="J45" s="8"/>
      <c r="T45" s="8" t="s">
        <v>23</v>
      </c>
      <c r="U45" s="13">
        <f>SUM(K44:U44)</f>
        <v>0</v>
      </c>
      <c r="AD45" s="8" t="s">
        <v>23</v>
      </c>
      <c r="AE45" s="13">
        <f>SUM(Z44:AE44)</f>
        <v>0</v>
      </c>
      <c r="AM45" s="8" t="s">
        <v>23</v>
      </c>
      <c r="AN45" s="13">
        <f>SUM(AI44:AN44)</f>
        <v>0</v>
      </c>
    </row>
    <row r="46" spans="1:40" ht="15.75" thickBot="1" x14ac:dyDescent="0.3">
      <c r="A46" s="19"/>
      <c r="B46" s="99" t="s">
        <v>20</v>
      </c>
      <c r="C46" s="99"/>
      <c r="D46" s="99"/>
      <c r="E46" s="99"/>
      <c r="F46" s="99"/>
      <c r="G46" s="99"/>
      <c r="H46" s="99"/>
      <c r="J46" s="100" t="s">
        <v>20</v>
      </c>
      <c r="K46" s="100"/>
      <c r="L46" s="100"/>
      <c r="M46" s="100"/>
      <c r="N46" s="100"/>
      <c r="O46" s="100"/>
      <c r="P46" s="100"/>
      <c r="Q46" s="100"/>
      <c r="R46" s="100"/>
      <c r="S46" s="100"/>
      <c r="T46" s="100"/>
      <c r="U46" s="100"/>
      <c r="Y46" s="101" t="str">
        <f>J46</f>
        <v>Novembro</v>
      </c>
      <c r="Z46" s="101"/>
      <c r="AA46" s="101"/>
      <c r="AB46" s="101"/>
      <c r="AC46" s="101"/>
      <c r="AD46" s="101"/>
      <c r="AE46" s="101"/>
      <c r="AH46" s="102" t="str">
        <f>Y46</f>
        <v>Novembro</v>
      </c>
      <c r="AI46" s="102"/>
      <c r="AJ46" s="102"/>
      <c r="AK46" s="102"/>
      <c r="AL46" s="102"/>
      <c r="AM46" s="102"/>
      <c r="AN46" s="102"/>
    </row>
    <row r="47" spans="1:40" ht="15.75" thickBot="1" x14ac:dyDescent="0.3">
      <c r="A47" s="97" t="s">
        <v>5</v>
      </c>
      <c r="B47" s="34" t="s">
        <v>6</v>
      </c>
      <c r="C47" s="22" t="s">
        <v>7</v>
      </c>
      <c r="D47" s="33" t="s">
        <v>8</v>
      </c>
      <c r="E47" s="22" t="s">
        <v>9</v>
      </c>
      <c r="F47" s="24" t="s">
        <v>10</v>
      </c>
      <c r="G47" s="23" t="s">
        <v>11</v>
      </c>
      <c r="H47" s="25" t="s">
        <v>12</v>
      </c>
      <c r="J47" s="6" t="s">
        <v>4</v>
      </c>
      <c r="K47" s="9"/>
      <c r="L47" s="4"/>
      <c r="M47" s="4"/>
      <c r="N47" s="4"/>
      <c r="O47" s="4"/>
      <c r="P47" s="4"/>
      <c r="Q47" s="4"/>
      <c r="R47" s="4"/>
      <c r="S47" s="4"/>
      <c r="T47" s="4"/>
      <c r="U47" s="5"/>
      <c r="Y47" s="6" t="s">
        <v>4</v>
      </c>
      <c r="Z47" s="9"/>
      <c r="AA47" s="4"/>
      <c r="AB47" s="4"/>
      <c r="AC47" s="4"/>
      <c r="AD47" s="4"/>
      <c r="AE47" s="5"/>
      <c r="AH47" s="6" t="s">
        <v>4</v>
      </c>
      <c r="AI47" s="9"/>
      <c r="AJ47" s="4"/>
      <c r="AK47" s="4"/>
      <c r="AL47" s="4"/>
      <c r="AM47" s="4"/>
      <c r="AN47" s="5"/>
    </row>
    <row r="48" spans="1:40" ht="15.75" thickBot="1" x14ac:dyDescent="0.3">
      <c r="A48" s="97"/>
      <c r="B48" s="26"/>
      <c r="C48" s="27"/>
      <c r="D48" s="27"/>
      <c r="E48" s="27"/>
      <c r="F48" s="27">
        <f>SUM(C48-B48)</f>
        <v>0</v>
      </c>
      <c r="G48" s="20">
        <f>SUM(E48-D48)</f>
        <v>0</v>
      </c>
      <c r="H48" s="21">
        <f>SUM(F48:G48)</f>
        <v>0</v>
      </c>
      <c r="J48" s="7" t="s">
        <v>22</v>
      </c>
      <c r="K48" s="10"/>
      <c r="L48" s="11"/>
      <c r="M48" s="11"/>
      <c r="N48" s="11"/>
      <c r="O48" s="11"/>
      <c r="P48" s="11"/>
      <c r="Q48" s="11"/>
      <c r="R48" s="11"/>
      <c r="S48" s="11"/>
      <c r="T48" s="11"/>
      <c r="U48" s="12"/>
      <c r="Y48" s="7" t="s">
        <v>22</v>
      </c>
      <c r="Z48" s="10"/>
      <c r="AA48" s="11"/>
      <c r="AB48" s="11"/>
      <c r="AC48" s="11"/>
      <c r="AD48" s="11"/>
      <c r="AE48" s="12"/>
      <c r="AH48" s="7" t="s">
        <v>22</v>
      </c>
      <c r="AI48" s="10"/>
      <c r="AJ48" s="11"/>
      <c r="AK48" s="11"/>
      <c r="AL48" s="11"/>
      <c r="AM48" s="11"/>
      <c r="AN48" s="12"/>
    </row>
    <row r="49" spans="1:40" x14ac:dyDescent="0.25">
      <c r="J49" s="8"/>
      <c r="T49" s="8" t="s">
        <v>23</v>
      </c>
      <c r="U49" s="13">
        <f>SUM(K48:U48)</f>
        <v>0</v>
      </c>
      <c r="AD49" s="8" t="s">
        <v>23</v>
      </c>
      <c r="AE49" s="13">
        <f>SUM(Z48:AE48)</f>
        <v>0</v>
      </c>
      <c r="AM49" s="8" t="s">
        <v>23</v>
      </c>
      <c r="AN49" s="13">
        <f>SUM(AI48:AN48)</f>
        <v>0</v>
      </c>
    </row>
    <row r="50" spans="1:40" ht="15.75" thickBot="1" x14ac:dyDescent="0.3">
      <c r="A50" s="19"/>
      <c r="B50" s="99" t="s">
        <v>21</v>
      </c>
      <c r="C50" s="99"/>
      <c r="D50" s="99"/>
      <c r="E50" s="99"/>
      <c r="F50" s="99"/>
      <c r="G50" s="99"/>
      <c r="H50" s="99"/>
      <c r="J50" s="100" t="s">
        <v>21</v>
      </c>
      <c r="K50" s="100"/>
      <c r="L50" s="100"/>
      <c r="M50" s="100"/>
      <c r="N50" s="100"/>
      <c r="O50" s="100"/>
      <c r="P50" s="100"/>
      <c r="Q50" s="100"/>
      <c r="R50" s="100"/>
      <c r="S50" s="100"/>
      <c r="T50" s="100"/>
      <c r="U50" s="100"/>
      <c r="Y50" s="101" t="str">
        <f>J50</f>
        <v>Dezembro</v>
      </c>
      <c r="Z50" s="101"/>
      <c r="AA50" s="101"/>
      <c r="AB50" s="101"/>
      <c r="AC50" s="101"/>
      <c r="AD50" s="101"/>
      <c r="AE50" s="101"/>
      <c r="AH50" s="102" t="str">
        <f>Y50</f>
        <v>Dezembro</v>
      </c>
      <c r="AI50" s="102"/>
      <c r="AJ50" s="102"/>
      <c r="AK50" s="102"/>
      <c r="AL50" s="102"/>
      <c r="AM50" s="102"/>
      <c r="AN50" s="102"/>
    </row>
    <row r="51" spans="1:40" ht="15.75" thickBot="1" x14ac:dyDescent="0.3">
      <c r="A51" s="97" t="s">
        <v>5</v>
      </c>
      <c r="B51" s="34" t="s">
        <v>6</v>
      </c>
      <c r="C51" s="22" t="s">
        <v>7</v>
      </c>
      <c r="D51" s="33" t="s">
        <v>8</v>
      </c>
      <c r="E51" s="22" t="s">
        <v>9</v>
      </c>
      <c r="F51" s="24" t="s">
        <v>10</v>
      </c>
      <c r="G51" s="23" t="s">
        <v>11</v>
      </c>
      <c r="H51" s="25" t="s">
        <v>12</v>
      </c>
      <c r="J51" s="6" t="s">
        <v>4</v>
      </c>
      <c r="K51" s="9"/>
      <c r="L51" s="4"/>
      <c r="M51" s="4"/>
      <c r="N51" s="4"/>
      <c r="O51" s="4"/>
      <c r="P51" s="4"/>
      <c r="Q51" s="4"/>
      <c r="R51" s="4"/>
      <c r="S51" s="4"/>
      <c r="T51" s="4"/>
      <c r="U51" s="5"/>
      <c r="Y51" s="6" t="s">
        <v>4</v>
      </c>
      <c r="Z51" s="9"/>
      <c r="AA51" s="4"/>
      <c r="AB51" s="4"/>
      <c r="AC51" s="4"/>
      <c r="AD51" s="4"/>
      <c r="AE51" s="5"/>
      <c r="AH51" s="6" t="s">
        <v>4</v>
      </c>
      <c r="AI51" s="9"/>
      <c r="AJ51" s="4"/>
      <c r="AK51" s="4"/>
      <c r="AL51" s="4"/>
      <c r="AM51" s="4"/>
      <c r="AN51" s="5"/>
    </row>
    <row r="52" spans="1:40" ht="15.75" thickBot="1" x14ac:dyDescent="0.3">
      <c r="A52" s="97"/>
      <c r="B52" s="26"/>
      <c r="C52" s="27"/>
      <c r="D52" s="27"/>
      <c r="E52" s="27"/>
      <c r="F52" s="27">
        <f>SUM(C52-B52)</f>
        <v>0</v>
      </c>
      <c r="G52" s="20">
        <f>SUM(E52-D52)</f>
        <v>0</v>
      </c>
      <c r="H52" s="21">
        <f>SUM(F52:G52)</f>
        <v>0</v>
      </c>
      <c r="J52" s="7" t="s">
        <v>22</v>
      </c>
      <c r="K52" s="10"/>
      <c r="L52" s="11"/>
      <c r="M52" s="11"/>
      <c r="N52" s="11"/>
      <c r="O52" s="11"/>
      <c r="P52" s="11"/>
      <c r="Q52" s="11"/>
      <c r="R52" s="11"/>
      <c r="S52" s="11"/>
      <c r="T52" s="11"/>
      <c r="U52" s="12"/>
      <c r="Y52" s="7" t="s">
        <v>22</v>
      </c>
      <c r="Z52" s="10"/>
      <c r="AA52" s="11"/>
      <c r="AB52" s="11"/>
      <c r="AC52" s="11"/>
      <c r="AD52" s="11"/>
      <c r="AE52" s="12"/>
      <c r="AH52" s="7" t="s">
        <v>22</v>
      </c>
      <c r="AI52" s="10"/>
      <c r="AJ52" s="11"/>
      <c r="AK52" s="11"/>
      <c r="AL52" s="11"/>
      <c r="AM52" s="11"/>
      <c r="AN52" s="12"/>
    </row>
    <row r="53" spans="1:40" x14ac:dyDescent="0.25">
      <c r="J53" s="8"/>
      <c r="T53" s="8" t="s">
        <v>23</v>
      </c>
      <c r="U53" s="13">
        <f>SUM(K52:U52)</f>
        <v>0</v>
      </c>
      <c r="AD53" s="8" t="s">
        <v>23</v>
      </c>
      <c r="AE53" s="13">
        <f>SUM(Z52:AE52)</f>
        <v>0</v>
      </c>
      <c r="AM53" s="8" t="s">
        <v>23</v>
      </c>
      <c r="AN53" s="13">
        <f>SUM(AI52:AN52)</f>
        <v>0</v>
      </c>
    </row>
  </sheetData>
  <mergeCells count="65">
    <mergeCell ref="A51:A52"/>
    <mergeCell ref="B42:H42"/>
    <mergeCell ref="J42:U42"/>
    <mergeCell ref="Y42:AE42"/>
    <mergeCell ref="AH42:AN42"/>
    <mergeCell ref="A43:A44"/>
    <mergeCell ref="B46:H46"/>
    <mergeCell ref="J46:U46"/>
    <mergeCell ref="Y46:AE46"/>
    <mergeCell ref="AH46:AN46"/>
    <mergeCell ref="A47:A48"/>
    <mergeCell ref="B50:H50"/>
    <mergeCell ref="J50:U50"/>
    <mergeCell ref="Y50:AE50"/>
    <mergeCell ref="AH50:AN50"/>
    <mergeCell ref="A39:A40"/>
    <mergeCell ref="B30:H30"/>
    <mergeCell ref="J30:U30"/>
    <mergeCell ref="Y30:AE30"/>
    <mergeCell ref="AH30:AN30"/>
    <mergeCell ref="A31:A32"/>
    <mergeCell ref="B34:H34"/>
    <mergeCell ref="J34:U34"/>
    <mergeCell ref="Y34:AE34"/>
    <mergeCell ref="AH34:AN34"/>
    <mergeCell ref="A35:A36"/>
    <mergeCell ref="B38:H38"/>
    <mergeCell ref="J38:U38"/>
    <mergeCell ref="Y38:AE38"/>
    <mergeCell ref="AH38:AN38"/>
    <mergeCell ref="A27:A28"/>
    <mergeCell ref="B18:H18"/>
    <mergeCell ref="J18:U18"/>
    <mergeCell ref="Y18:AE18"/>
    <mergeCell ref="AH18:AN18"/>
    <mergeCell ref="A19:A20"/>
    <mergeCell ref="B22:H22"/>
    <mergeCell ref="J22:U22"/>
    <mergeCell ref="Y22:AE22"/>
    <mergeCell ref="AH22:AN22"/>
    <mergeCell ref="A23:A24"/>
    <mergeCell ref="B26:H26"/>
    <mergeCell ref="J26:U26"/>
    <mergeCell ref="Y26:AE26"/>
    <mergeCell ref="AH26:AN26"/>
    <mergeCell ref="A15:A16"/>
    <mergeCell ref="Y8:AE8"/>
    <mergeCell ref="AH8:AN8"/>
    <mergeCell ref="B10:H10"/>
    <mergeCell ref="J10:U10"/>
    <mergeCell ref="Y10:AE10"/>
    <mergeCell ref="AH10:AN10"/>
    <mergeCell ref="J8:U8"/>
    <mergeCell ref="A11:A12"/>
    <mergeCell ref="B14:H14"/>
    <mergeCell ref="J14:U14"/>
    <mergeCell ref="Y14:AE14"/>
    <mergeCell ref="AH14:AN14"/>
    <mergeCell ref="B2:C2"/>
    <mergeCell ref="E2:F2"/>
    <mergeCell ref="B5:C5"/>
    <mergeCell ref="E5:F5"/>
    <mergeCell ref="A8:H8"/>
    <mergeCell ref="B3:C3"/>
    <mergeCell ref="E3:F3"/>
  </mergeCells>
  <phoneticPr fontId="3" type="noConversion"/>
  <pageMargins left="0.511811024" right="0.511811024" top="0.78740157499999996" bottom="0.78740157499999996" header="0.31496062000000002" footer="0.31496062000000002"/>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AN56"/>
  <sheetViews>
    <sheetView showGridLines="0" workbookViewId="0">
      <selection activeCell="I26" sqref="I26"/>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6" width="10.42578125" bestFit="1" customWidth="1"/>
    <col min="21" max="21" width="12.140625" bestFit="1" customWidth="1"/>
    <col min="37" max="39" width="10.140625" bestFit="1" customWidth="1"/>
  </cols>
  <sheetData>
    <row r="2" spans="1:40" x14ac:dyDescent="0.25">
      <c r="A2" t="s">
        <v>0</v>
      </c>
      <c r="B2" s="94" t="s">
        <v>101</v>
      </c>
      <c r="C2" s="94"/>
      <c r="D2" s="1" t="s">
        <v>1</v>
      </c>
      <c r="E2" s="94" t="s">
        <v>141</v>
      </c>
      <c r="F2" s="94"/>
      <c r="H2" t="s">
        <v>138</v>
      </c>
      <c r="I2" s="75">
        <v>3000</v>
      </c>
    </row>
    <row r="3" spans="1:40" x14ac:dyDescent="0.25">
      <c r="A3" t="s">
        <v>95</v>
      </c>
      <c r="B3" s="108">
        <v>46034</v>
      </c>
      <c r="C3" s="94"/>
      <c r="D3" s="1" t="s">
        <v>1</v>
      </c>
      <c r="E3" s="94" t="s">
        <v>141</v>
      </c>
      <c r="F3" s="94"/>
      <c r="H3" t="s">
        <v>110</v>
      </c>
      <c r="I3" s="70" t="s">
        <v>142</v>
      </c>
    </row>
    <row r="4" spans="1:40" x14ac:dyDescent="0.25">
      <c r="A4" t="s">
        <v>2</v>
      </c>
      <c r="B4" s="95">
        <v>2484</v>
      </c>
      <c r="C4" s="95"/>
      <c r="D4" s="1" t="s">
        <v>29</v>
      </c>
      <c r="E4" s="110">
        <v>45</v>
      </c>
      <c r="F4" s="110"/>
      <c r="H4" t="s">
        <v>118</v>
      </c>
      <c r="I4" s="76">
        <v>46032</v>
      </c>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134</v>
      </c>
      <c r="C9" s="99"/>
      <c r="D9" s="99"/>
      <c r="E9" s="99"/>
      <c r="F9" s="99"/>
      <c r="G9" s="99"/>
      <c r="H9" s="99"/>
      <c r="J9" s="111" t="s">
        <v>134</v>
      </c>
      <c r="K9" s="111"/>
      <c r="L9" s="111"/>
      <c r="M9" s="111"/>
      <c r="N9" s="111"/>
      <c r="O9" s="111"/>
      <c r="P9" s="111"/>
      <c r="Q9" s="111"/>
      <c r="R9" s="111"/>
      <c r="S9" s="111"/>
      <c r="T9" s="111"/>
      <c r="U9" s="111"/>
      <c r="Y9" s="101" t="s">
        <v>134</v>
      </c>
      <c r="Z9" s="101"/>
      <c r="AA9" s="101"/>
      <c r="AB9" s="101"/>
      <c r="AC9" s="101"/>
      <c r="AD9" s="101"/>
      <c r="AE9" s="101"/>
      <c r="AH9" s="102" t="s">
        <v>134</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v>49083</v>
      </c>
      <c r="C11" s="27"/>
      <c r="D11" s="27"/>
      <c r="E11" s="27">
        <v>50864</v>
      </c>
      <c r="F11" s="27">
        <f>SUM(C11-B11)</f>
        <v>-49083</v>
      </c>
      <c r="G11" s="20">
        <f>SUM(E11-D11)</f>
        <v>50864</v>
      </c>
      <c r="H11" s="21">
        <f>SUM(F11:G11)</f>
        <v>1781</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3</v>
      </c>
      <c r="C13" s="99"/>
      <c r="D13" s="99"/>
      <c r="E13" s="99"/>
      <c r="F13" s="99"/>
      <c r="G13" s="99"/>
      <c r="H13" s="99"/>
      <c r="J13" s="111" t="s">
        <v>3</v>
      </c>
      <c r="K13" s="111"/>
      <c r="L13" s="111"/>
      <c r="M13" s="111"/>
      <c r="N13" s="111"/>
      <c r="O13" s="111"/>
      <c r="P13" s="111"/>
      <c r="Q13" s="111"/>
      <c r="R13" s="111"/>
      <c r="S13" s="111"/>
      <c r="T13" s="111"/>
      <c r="U13" s="111"/>
      <c r="Y13" s="101" t="s">
        <v>3</v>
      </c>
      <c r="Z13" s="101"/>
      <c r="AA13" s="101"/>
      <c r="AB13" s="101"/>
      <c r="AC13" s="101"/>
      <c r="AD13" s="101"/>
      <c r="AE13" s="101"/>
      <c r="AH13" s="102" t="s">
        <v>3</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28" t="s">
        <v>4</v>
      </c>
      <c r="K14" s="9">
        <v>46056</v>
      </c>
      <c r="L14" s="66">
        <v>46060</v>
      </c>
      <c r="M14" s="66">
        <v>46063</v>
      </c>
      <c r="N14" s="66">
        <v>46067</v>
      </c>
      <c r="O14" s="66">
        <v>46070</v>
      </c>
      <c r="P14" s="66">
        <v>46072</v>
      </c>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v>50864</v>
      </c>
      <c r="C15" s="27"/>
      <c r="D15" s="27"/>
      <c r="E15" s="27">
        <v>53143</v>
      </c>
      <c r="F15" s="27">
        <f>SUM(C15-B15)</f>
        <v>-50864</v>
      </c>
      <c r="G15" s="20">
        <f>SUM(E15-D15)</f>
        <v>53143</v>
      </c>
      <c r="H15" s="21">
        <f>SUM(F15:G15)</f>
        <v>2279</v>
      </c>
      <c r="J15" s="29" t="s">
        <v>22</v>
      </c>
      <c r="K15" s="10">
        <v>224.64</v>
      </c>
      <c r="L15" s="11">
        <v>206.29</v>
      </c>
      <c r="M15" s="11">
        <v>172.99</v>
      </c>
      <c r="N15" s="11">
        <v>221.11</v>
      </c>
      <c r="O15" s="11">
        <v>130.05000000000001</v>
      </c>
      <c r="P15" s="11">
        <v>205.51</v>
      </c>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1160.5899999999999</v>
      </c>
      <c r="AD16" s="8" t="s">
        <v>23</v>
      </c>
      <c r="AE16" s="13">
        <f>SUM(Z15:AE15)</f>
        <v>0</v>
      </c>
      <c r="AM16" s="8" t="s">
        <v>23</v>
      </c>
      <c r="AN16" s="13">
        <f>SUM(AI15:AN15)</f>
        <v>0</v>
      </c>
    </row>
    <row r="17" spans="1:40" ht="15.75" thickBot="1" x14ac:dyDescent="0.3">
      <c r="A17" s="19"/>
      <c r="B17" s="99" t="s">
        <v>13</v>
      </c>
      <c r="C17" s="99"/>
      <c r="D17" s="99"/>
      <c r="E17" s="99"/>
      <c r="F17" s="99"/>
      <c r="G17" s="99"/>
      <c r="H17" s="99"/>
      <c r="J17" s="100" t="s">
        <v>13</v>
      </c>
      <c r="K17" s="100"/>
      <c r="L17" s="100"/>
      <c r="M17" s="100"/>
      <c r="N17" s="100"/>
      <c r="O17" s="100"/>
      <c r="P17" s="100"/>
      <c r="Q17" s="100"/>
      <c r="R17" s="100"/>
      <c r="S17" s="100"/>
      <c r="T17" s="100"/>
      <c r="U17" s="100"/>
      <c r="Y17" s="101" t="str">
        <f>J17</f>
        <v>Março</v>
      </c>
      <c r="Z17" s="101"/>
      <c r="AA17" s="101"/>
      <c r="AB17" s="101"/>
      <c r="AC17" s="101"/>
      <c r="AD17" s="101"/>
      <c r="AE17" s="101"/>
      <c r="AH17" s="102" t="str">
        <f>Y17</f>
        <v>Março</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v>46084</v>
      </c>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7">
        <v>53143</v>
      </c>
      <c r="C19" s="27"/>
      <c r="D19" s="27"/>
      <c r="E19" s="27">
        <v>56219</v>
      </c>
      <c r="F19" s="27">
        <f>SUM(C19-B19)</f>
        <v>-53143</v>
      </c>
      <c r="G19" s="20">
        <f>SUM(E19-D19)</f>
        <v>56219</v>
      </c>
      <c r="H19" s="21">
        <f>SUM(F19:G19)</f>
        <v>3076</v>
      </c>
      <c r="J19" s="7" t="s">
        <v>22</v>
      </c>
      <c r="K19" s="10">
        <v>147.19999999999999</v>
      </c>
      <c r="L19" s="11"/>
      <c r="M19" s="11"/>
      <c r="N19" s="11"/>
      <c r="O19" s="11"/>
      <c r="P19" s="11"/>
      <c r="Q19" s="11"/>
      <c r="R19" s="11"/>
      <c r="S19" s="11"/>
      <c r="T19" s="11"/>
      <c r="U19" s="12"/>
      <c r="Y19" s="7" t="s">
        <v>22</v>
      </c>
      <c r="Z19" s="10"/>
      <c r="AA19" s="11"/>
      <c r="AB19" s="11"/>
      <c r="AC19" s="11"/>
      <c r="AD19" s="11"/>
      <c r="AE19" s="12"/>
      <c r="AH19" s="7" t="s">
        <v>22</v>
      </c>
      <c r="AI19" s="10"/>
      <c r="AJ19" s="11"/>
      <c r="AK19" s="11"/>
      <c r="AL19" s="11"/>
      <c r="AM19" s="11"/>
      <c r="AN19" s="12"/>
    </row>
    <row r="20" spans="1:40" x14ac:dyDescent="0.25">
      <c r="J20" s="8"/>
      <c r="T20" s="8" t="s">
        <v>23</v>
      </c>
      <c r="U20" s="13">
        <f>SUM(K19:U19)</f>
        <v>147.19999999999999</v>
      </c>
      <c r="AD20" s="8" t="s">
        <v>23</v>
      </c>
      <c r="AE20" s="13">
        <f>SUM(Z19:AE19)</f>
        <v>0</v>
      </c>
      <c r="AM20" s="8" t="s">
        <v>23</v>
      </c>
      <c r="AN20" s="13">
        <f>SUM(AI19:AN19)</f>
        <v>0</v>
      </c>
    </row>
    <row r="21" spans="1:40" ht="15.75" thickBot="1" x14ac:dyDescent="0.3">
      <c r="A21" s="19"/>
      <c r="B21" s="99" t="s">
        <v>14</v>
      </c>
      <c r="C21" s="99"/>
      <c r="D21" s="99"/>
      <c r="E21" s="99"/>
      <c r="F21" s="99"/>
      <c r="G21" s="99"/>
      <c r="H21" s="99"/>
      <c r="J21" s="100" t="s">
        <v>14</v>
      </c>
      <c r="K21" s="100"/>
      <c r="L21" s="100"/>
      <c r="M21" s="100"/>
      <c r="N21" s="100"/>
      <c r="O21" s="100"/>
      <c r="P21" s="100"/>
      <c r="Q21" s="100"/>
      <c r="R21" s="100"/>
      <c r="S21" s="100"/>
      <c r="T21" s="100"/>
      <c r="U21" s="100"/>
      <c r="Y21" s="101" t="str">
        <f>J21</f>
        <v>Abril</v>
      </c>
      <c r="Z21" s="101"/>
      <c r="AA21" s="101"/>
      <c r="AB21" s="101"/>
      <c r="AC21" s="101"/>
      <c r="AD21" s="101"/>
      <c r="AE21" s="101"/>
      <c r="AH21" s="102" t="str">
        <f>Y21</f>
        <v>Abril</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v>46116</v>
      </c>
      <c r="L22" s="66">
        <v>46119</v>
      </c>
      <c r="M22" s="66">
        <v>46126</v>
      </c>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7">
        <v>56219</v>
      </c>
      <c r="C23" s="27"/>
      <c r="D23" s="27"/>
      <c r="E23" s="27">
        <v>58827</v>
      </c>
      <c r="F23" s="27">
        <f>SUM(C23-B23)</f>
        <v>-56219</v>
      </c>
      <c r="G23" s="20">
        <f>SUM(E23-D23)</f>
        <v>58827</v>
      </c>
      <c r="H23" s="21">
        <f>SUM(F23:G23)</f>
        <v>2608</v>
      </c>
      <c r="J23" s="7" t="s">
        <v>22</v>
      </c>
      <c r="K23" s="30">
        <v>196.21</v>
      </c>
      <c r="L23" s="31">
        <v>115.85</v>
      </c>
      <c r="M23" s="31">
        <v>189.79</v>
      </c>
      <c r="N23" s="31"/>
      <c r="O23" s="31"/>
      <c r="P23" s="31"/>
      <c r="Q23" s="31"/>
      <c r="R23" s="31"/>
      <c r="S23" s="31"/>
      <c r="T23" s="31"/>
      <c r="U23" s="32"/>
      <c r="Y23" s="7" t="s">
        <v>22</v>
      </c>
      <c r="Z23" s="10"/>
      <c r="AA23" s="11"/>
      <c r="AB23" s="11"/>
      <c r="AC23" s="11"/>
      <c r="AD23" s="11"/>
      <c r="AE23" s="12"/>
      <c r="AH23" s="7" t="s">
        <v>22</v>
      </c>
      <c r="AI23" s="10"/>
      <c r="AJ23" s="11"/>
      <c r="AK23" s="11"/>
      <c r="AL23" s="11"/>
      <c r="AM23" s="11"/>
      <c r="AN23" s="12"/>
    </row>
    <row r="24" spans="1:40" x14ac:dyDescent="0.25">
      <c r="J24" s="8"/>
      <c r="T24" s="8" t="s">
        <v>23</v>
      </c>
      <c r="U24" s="13">
        <f>SUM(K23:U23)</f>
        <v>501.85</v>
      </c>
      <c r="AD24" s="8" t="s">
        <v>23</v>
      </c>
      <c r="AE24" s="13">
        <f>SUM(Z23:AE23)</f>
        <v>0</v>
      </c>
      <c r="AM24" s="8" t="s">
        <v>23</v>
      </c>
      <c r="AN24" s="13">
        <f>SUM(AI23:AN23)</f>
        <v>0</v>
      </c>
    </row>
    <row r="25" spans="1:40" ht="15.75" thickBot="1" x14ac:dyDescent="0.3">
      <c r="A25" s="19"/>
      <c r="B25" s="99" t="s">
        <v>15</v>
      </c>
      <c r="C25" s="99"/>
      <c r="D25" s="99"/>
      <c r="E25" s="99"/>
      <c r="F25" s="99"/>
      <c r="G25" s="99"/>
      <c r="H25" s="99"/>
      <c r="J25" s="100" t="s">
        <v>15</v>
      </c>
      <c r="K25" s="100"/>
      <c r="L25" s="100"/>
      <c r="M25" s="100"/>
      <c r="N25" s="100"/>
      <c r="O25" s="100"/>
      <c r="P25" s="100"/>
      <c r="Q25" s="100"/>
      <c r="R25" s="100"/>
      <c r="S25" s="100"/>
      <c r="T25" s="100"/>
      <c r="U25" s="100"/>
      <c r="Y25" s="101" t="str">
        <f>J25</f>
        <v>Maio</v>
      </c>
      <c r="Z25" s="101"/>
      <c r="AA25" s="101"/>
      <c r="AB25" s="101"/>
      <c r="AC25" s="101"/>
      <c r="AD25" s="101"/>
      <c r="AE25" s="101"/>
      <c r="AH25" s="102" t="str">
        <f>Y25</f>
        <v>Maio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7">
        <v>58827</v>
      </c>
      <c r="C27" s="27"/>
      <c r="D27" s="27"/>
      <c r="E27" s="27">
        <v>60472</v>
      </c>
      <c r="F27" s="27">
        <f>SUM(C27-B27)</f>
        <v>-58827</v>
      </c>
      <c r="G27" s="20">
        <f>SUM(E27-D27)</f>
        <v>60472</v>
      </c>
      <c r="H27" s="21">
        <f>SUM(F27:G27)</f>
        <v>1645</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24</v>
      </c>
      <c r="C29" s="99"/>
      <c r="D29" s="99"/>
      <c r="E29" s="99"/>
      <c r="F29" s="99"/>
      <c r="G29" s="99"/>
      <c r="H29" s="99"/>
      <c r="J29" s="100" t="s">
        <v>24</v>
      </c>
      <c r="K29" s="100"/>
      <c r="L29" s="100"/>
      <c r="M29" s="100"/>
      <c r="N29" s="100"/>
      <c r="O29" s="100"/>
      <c r="P29" s="100"/>
      <c r="Q29" s="100"/>
      <c r="R29" s="100"/>
      <c r="S29" s="100"/>
      <c r="T29" s="100"/>
      <c r="U29" s="100"/>
      <c r="Y29" s="101" t="str">
        <f>J29</f>
        <v>Junho</v>
      </c>
      <c r="Z29" s="101"/>
      <c r="AA29" s="101"/>
      <c r="AB29" s="101"/>
      <c r="AC29" s="101"/>
      <c r="AD29" s="101"/>
      <c r="AE29" s="101"/>
      <c r="AH29" s="102" t="str">
        <f>Y29</f>
        <v>Junho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16</v>
      </c>
      <c r="C33" s="99"/>
      <c r="D33" s="99"/>
      <c r="E33" s="99"/>
      <c r="F33" s="99"/>
      <c r="G33" s="99"/>
      <c r="H33" s="99"/>
      <c r="J33" s="100" t="s">
        <v>16</v>
      </c>
      <c r="K33" s="100"/>
      <c r="L33" s="100"/>
      <c r="M33" s="100"/>
      <c r="N33" s="100"/>
      <c r="O33" s="100"/>
      <c r="P33" s="100"/>
      <c r="Q33" s="100"/>
      <c r="R33" s="100"/>
      <c r="S33" s="100"/>
      <c r="T33" s="100"/>
      <c r="U33" s="100"/>
      <c r="Y33" s="101" t="str">
        <f>J33</f>
        <v>Julho</v>
      </c>
      <c r="Z33" s="101"/>
      <c r="AA33" s="101"/>
      <c r="AB33" s="101"/>
      <c r="AC33" s="101"/>
      <c r="AD33" s="101"/>
      <c r="AE33" s="101"/>
      <c r="AH33" s="102" t="str">
        <f>Y33</f>
        <v>Julho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17</v>
      </c>
      <c r="C37" s="99"/>
      <c r="D37" s="99"/>
      <c r="E37" s="99"/>
      <c r="F37" s="99"/>
      <c r="G37" s="99"/>
      <c r="H37" s="99"/>
      <c r="J37" s="100" t="s">
        <v>17</v>
      </c>
      <c r="K37" s="100"/>
      <c r="L37" s="100"/>
      <c r="M37" s="100"/>
      <c r="N37" s="100"/>
      <c r="O37" s="100"/>
      <c r="P37" s="100"/>
      <c r="Q37" s="100"/>
      <c r="R37" s="100"/>
      <c r="S37" s="100"/>
      <c r="T37" s="100"/>
      <c r="U37" s="100"/>
      <c r="Y37" s="101" t="str">
        <f>J37</f>
        <v>Agosto</v>
      </c>
      <c r="Z37" s="101"/>
      <c r="AA37" s="101"/>
      <c r="AB37" s="101"/>
      <c r="AC37" s="101"/>
      <c r="AD37" s="101"/>
      <c r="AE37" s="101"/>
      <c r="AH37" s="102" t="str">
        <f>Y37</f>
        <v>Agosto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18</v>
      </c>
      <c r="C41" s="99"/>
      <c r="D41" s="99"/>
      <c r="E41" s="99"/>
      <c r="F41" s="99"/>
      <c r="G41" s="99"/>
      <c r="H41" s="99"/>
      <c r="J41" s="100" t="s">
        <v>18</v>
      </c>
      <c r="K41" s="100"/>
      <c r="L41" s="100"/>
      <c r="M41" s="100"/>
      <c r="N41" s="100"/>
      <c r="O41" s="100"/>
      <c r="P41" s="100"/>
      <c r="Q41" s="100"/>
      <c r="R41" s="100"/>
      <c r="S41" s="100"/>
      <c r="T41" s="100"/>
      <c r="U41" s="100"/>
      <c r="Y41" s="101" t="str">
        <f>J41</f>
        <v>Setembro</v>
      </c>
      <c r="Z41" s="101"/>
      <c r="AA41" s="101"/>
      <c r="AB41" s="101"/>
      <c r="AC41" s="101"/>
      <c r="AD41" s="101"/>
      <c r="AE41" s="101"/>
      <c r="AH41" s="102" t="str">
        <f>Y41</f>
        <v>Setembro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9" t="s">
        <v>19</v>
      </c>
      <c r="C45" s="99"/>
      <c r="D45" s="99"/>
      <c r="E45" s="99"/>
      <c r="F45" s="99"/>
      <c r="G45" s="99"/>
      <c r="H45" s="99"/>
      <c r="J45" s="100" t="s">
        <v>19</v>
      </c>
      <c r="K45" s="100"/>
      <c r="L45" s="100"/>
      <c r="M45" s="100"/>
      <c r="N45" s="100"/>
      <c r="O45" s="100"/>
      <c r="P45" s="100"/>
      <c r="Q45" s="100"/>
      <c r="R45" s="100"/>
      <c r="S45" s="100"/>
      <c r="T45" s="100"/>
      <c r="U45" s="100"/>
      <c r="Y45" s="101" t="str">
        <f>J45</f>
        <v>Outubro</v>
      </c>
      <c r="Z45" s="101"/>
      <c r="AA45" s="101"/>
      <c r="AB45" s="101"/>
      <c r="AC45" s="101"/>
      <c r="AD45" s="101"/>
      <c r="AE45" s="101"/>
      <c r="AH45" s="102" t="str">
        <f>Y45</f>
        <v>Outubro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9" t="s">
        <v>20</v>
      </c>
      <c r="C49" s="99"/>
      <c r="D49" s="99"/>
      <c r="E49" s="99"/>
      <c r="F49" s="99"/>
      <c r="G49" s="99"/>
      <c r="H49" s="99"/>
      <c r="J49" s="100" t="s">
        <v>20</v>
      </c>
      <c r="K49" s="100"/>
      <c r="L49" s="100"/>
      <c r="M49" s="100"/>
      <c r="N49" s="100"/>
      <c r="O49" s="100"/>
      <c r="P49" s="100"/>
      <c r="Q49" s="100"/>
      <c r="R49" s="100"/>
      <c r="S49" s="100"/>
      <c r="T49" s="100"/>
      <c r="U49" s="100"/>
      <c r="Y49" s="101" t="str">
        <f>J49</f>
        <v>Novembro</v>
      </c>
      <c r="Z49" s="101"/>
      <c r="AA49" s="101"/>
      <c r="AB49" s="101"/>
      <c r="AC49" s="101"/>
      <c r="AD49" s="101"/>
      <c r="AE49" s="101"/>
      <c r="AH49" s="102" t="str">
        <f>Y49</f>
        <v>Novembro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row r="53" spans="1:40" ht="15.75" thickBot="1" x14ac:dyDescent="0.3">
      <c r="A53" s="19"/>
      <c r="B53" s="99" t="s">
        <v>21</v>
      </c>
      <c r="C53" s="99"/>
      <c r="D53" s="99"/>
      <c r="E53" s="99"/>
      <c r="F53" s="99"/>
      <c r="G53" s="99"/>
      <c r="H53" s="99"/>
      <c r="J53" s="100" t="s">
        <v>21</v>
      </c>
      <c r="K53" s="100"/>
      <c r="L53" s="100"/>
      <c r="M53" s="100"/>
      <c r="N53" s="100"/>
      <c r="O53" s="100"/>
      <c r="P53" s="100"/>
      <c r="Q53" s="100"/>
      <c r="R53" s="100"/>
      <c r="S53" s="100"/>
      <c r="T53" s="100"/>
      <c r="U53" s="100"/>
      <c r="Y53" s="101" t="str">
        <f>J53</f>
        <v>Dezembro</v>
      </c>
      <c r="Z53" s="101"/>
      <c r="AA53" s="101"/>
      <c r="AB53" s="101"/>
      <c r="AC53" s="101"/>
      <c r="AD53" s="101"/>
      <c r="AE53" s="101"/>
      <c r="AH53" s="102" t="str">
        <f>Y53</f>
        <v>Dezembro</v>
      </c>
      <c r="AI53" s="102"/>
      <c r="AJ53" s="102"/>
      <c r="AK53" s="102"/>
      <c r="AL53" s="102"/>
      <c r="AM53" s="102"/>
      <c r="AN53" s="102"/>
    </row>
    <row r="54" spans="1:40" ht="15.75" thickBot="1" x14ac:dyDescent="0.3">
      <c r="A54" s="97" t="s">
        <v>5</v>
      </c>
      <c r="B54" s="34" t="s">
        <v>6</v>
      </c>
      <c r="C54" s="22" t="s">
        <v>7</v>
      </c>
      <c r="D54" s="33" t="s">
        <v>8</v>
      </c>
      <c r="E54" s="22" t="s">
        <v>9</v>
      </c>
      <c r="F54" s="24" t="s">
        <v>10</v>
      </c>
      <c r="G54" s="23" t="s">
        <v>11</v>
      </c>
      <c r="H54" s="25" t="s">
        <v>12</v>
      </c>
      <c r="J54" s="6" t="s">
        <v>4</v>
      </c>
      <c r="K54" s="9"/>
      <c r="L54" s="4"/>
      <c r="M54" s="4"/>
      <c r="N54" s="4"/>
      <c r="O54" s="4"/>
      <c r="P54" s="4"/>
      <c r="Q54" s="4"/>
      <c r="R54" s="4"/>
      <c r="S54" s="4"/>
      <c r="T54" s="4"/>
      <c r="U54" s="5"/>
      <c r="Y54" s="6" t="s">
        <v>4</v>
      </c>
      <c r="Z54" s="9"/>
      <c r="AA54" s="4"/>
      <c r="AB54" s="4"/>
      <c r="AC54" s="4"/>
      <c r="AD54" s="4"/>
      <c r="AE54" s="5"/>
      <c r="AH54" s="6" t="s">
        <v>4</v>
      </c>
      <c r="AI54" s="9"/>
      <c r="AJ54" s="4"/>
      <c r="AK54" s="4"/>
      <c r="AL54" s="4"/>
      <c r="AM54" s="4"/>
      <c r="AN54" s="5"/>
    </row>
    <row r="55" spans="1:40" ht="15.75" thickBot="1" x14ac:dyDescent="0.3">
      <c r="A55" s="97"/>
      <c r="B55" s="26"/>
      <c r="C55" s="27"/>
      <c r="D55" s="27"/>
      <c r="E55" s="27"/>
      <c r="F55" s="27">
        <f>SUM(C55-B55)</f>
        <v>0</v>
      </c>
      <c r="G55" s="20">
        <f>SUM(E55-D55)</f>
        <v>0</v>
      </c>
      <c r="H55" s="21">
        <f>SUM(F55:G55)</f>
        <v>0</v>
      </c>
      <c r="J55" s="7" t="s">
        <v>22</v>
      </c>
      <c r="K55" s="10"/>
      <c r="L55" s="11"/>
      <c r="M55" s="11"/>
      <c r="N55" s="11"/>
      <c r="O55" s="11"/>
      <c r="P55" s="11"/>
      <c r="Q55" s="11"/>
      <c r="R55" s="11"/>
      <c r="S55" s="11"/>
      <c r="T55" s="11"/>
      <c r="U55" s="12"/>
      <c r="Y55" s="7" t="s">
        <v>22</v>
      </c>
      <c r="Z55" s="10"/>
      <c r="AA55" s="11"/>
      <c r="AB55" s="11"/>
      <c r="AC55" s="11"/>
      <c r="AD55" s="11"/>
      <c r="AE55" s="12"/>
      <c r="AH55" s="7" t="s">
        <v>22</v>
      </c>
      <c r="AI55" s="10"/>
      <c r="AJ55" s="11"/>
      <c r="AK55" s="11"/>
      <c r="AL55" s="11"/>
      <c r="AM55" s="11"/>
      <c r="AN55" s="12"/>
    </row>
    <row r="56" spans="1:40" x14ac:dyDescent="0.25">
      <c r="J56" s="8"/>
      <c r="T56" s="8" t="s">
        <v>23</v>
      </c>
      <c r="U56" s="13">
        <f>SUM(K55:U55)</f>
        <v>0</v>
      </c>
      <c r="AD56" s="8" t="s">
        <v>23</v>
      </c>
      <c r="AE56" s="13">
        <f>SUM(Z55:AE55)</f>
        <v>0</v>
      </c>
      <c r="AM56" s="8" t="s">
        <v>23</v>
      </c>
      <c r="AN56" s="13">
        <f>SUM(AI55:AN55)</f>
        <v>0</v>
      </c>
    </row>
  </sheetData>
  <mergeCells count="70">
    <mergeCell ref="A54:A55"/>
    <mergeCell ref="B45:H45"/>
    <mergeCell ref="J45:U45"/>
    <mergeCell ref="Y45:AE45"/>
    <mergeCell ref="AH45:AN45"/>
    <mergeCell ref="A46:A47"/>
    <mergeCell ref="B49:H49"/>
    <mergeCell ref="J49:U49"/>
    <mergeCell ref="Y49:AE49"/>
    <mergeCell ref="AH49:AN49"/>
    <mergeCell ref="A50:A51"/>
    <mergeCell ref="B53:H53"/>
    <mergeCell ref="J53:U53"/>
    <mergeCell ref="Y53:AE53"/>
    <mergeCell ref="AH53:AN53"/>
    <mergeCell ref="A42:A43"/>
    <mergeCell ref="B33:H33"/>
    <mergeCell ref="J33:U33"/>
    <mergeCell ref="Y33:AE33"/>
    <mergeCell ref="AH33:AN33"/>
    <mergeCell ref="A34:A35"/>
    <mergeCell ref="B37:H37"/>
    <mergeCell ref="J37:U37"/>
    <mergeCell ref="Y37:AE37"/>
    <mergeCell ref="AH37:AN37"/>
    <mergeCell ref="A38:A39"/>
    <mergeCell ref="B41:H41"/>
    <mergeCell ref="J41:U41"/>
    <mergeCell ref="Y41:AE41"/>
    <mergeCell ref="AH41:AN41"/>
    <mergeCell ref="A30:A31"/>
    <mergeCell ref="B21:H21"/>
    <mergeCell ref="J21:U21"/>
    <mergeCell ref="Y21:AE21"/>
    <mergeCell ref="AH21:AN21"/>
    <mergeCell ref="A22:A23"/>
    <mergeCell ref="B25:H25"/>
    <mergeCell ref="J25:U25"/>
    <mergeCell ref="Y25:AE25"/>
    <mergeCell ref="AH25:AN25"/>
    <mergeCell ref="A26:A27"/>
    <mergeCell ref="B29:H29"/>
    <mergeCell ref="J29:U29"/>
    <mergeCell ref="Y29:AE29"/>
    <mergeCell ref="AH29:AN29"/>
    <mergeCell ref="A18:A19"/>
    <mergeCell ref="Y7:AE7"/>
    <mergeCell ref="AH7:AN7"/>
    <mergeCell ref="B13:H13"/>
    <mergeCell ref="J13:U13"/>
    <mergeCell ref="Y13:AE13"/>
    <mergeCell ref="AH13:AN13"/>
    <mergeCell ref="J7:U7"/>
    <mergeCell ref="A14:A15"/>
    <mergeCell ref="B17:H17"/>
    <mergeCell ref="J17:U17"/>
    <mergeCell ref="Y17:AE17"/>
    <mergeCell ref="AH17:AN17"/>
    <mergeCell ref="A10:A11"/>
    <mergeCell ref="B9:H9"/>
    <mergeCell ref="J9:U9"/>
    <mergeCell ref="Y9:AE9"/>
    <mergeCell ref="AH9:AN9"/>
    <mergeCell ref="B2:C2"/>
    <mergeCell ref="E2:F2"/>
    <mergeCell ref="B4:C4"/>
    <mergeCell ref="E4:F4"/>
    <mergeCell ref="A7:H7"/>
    <mergeCell ref="B3:C3"/>
    <mergeCell ref="E3:F3"/>
  </mergeCells>
  <phoneticPr fontId="3" type="noConversion"/>
  <pageMargins left="0.511811024" right="0.511811024" top="0.78740157499999996" bottom="0.78740157499999996" header="0.31496062000000002" footer="0.31496062000000002"/>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AN52"/>
  <sheetViews>
    <sheetView showGridLines="0" workbookViewId="0">
      <selection activeCell="I26" sqref="I26"/>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2" width="10.42578125" bestFit="1" customWidth="1"/>
    <col min="21" max="21" width="10.5703125" bestFit="1" customWidth="1"/>
    <col min="37" max="39" width="10.140625" bestFit="1" customWidth="1"/>
  </cols>
  <sheetData>
    <row r="2" spans="1:40" x14ac:dyDescent="0.25">
      <c r="A2" t="s">
        <v>0</v>
      </c>
      <c r="B2" s="94" t="s">
        <v>82</v>
      </c>
      <c r="C2" s="94"/>
      <c r="D2" s="1" t="s">
        <v>1</v>
      </c>
      <c r="E2" s="94" t="s">
        <v>144</v>
      </c>
      <c r="F2" s="94"/>
      <c r="H2" t="s">
        <v>138</v>
      </c>
      <c r="I2" s="75">
        <v>3000</v>
      </c>
    </row>
    <row r="3" spans="1:40" x14ac:dyDescent="0.25">
      <c r="A3" t="s">
        <v>79</v>
      </c>
      <c r="B3" s="94"/>
      <c r="C3" s="94"/>
      <c r="D3" s="1" t="s">
        <v>1</v>
      </c>
      <c r="E3" s="94"/>
      <c r="F3" s="94"/>
      <c r="H3" t="s">
        <v>80</v>
      </c>
      <c r="I3" s="70"/>
    </row>
    <row r="4" spans="1:40" x14ac:dyDescent="0.25">
      <c r="A4" t="s">
        <v>2</v>
      </c>
      <c r="B4" s="95">
        <v>7553</v>
      </c>
      <c r="C4" s="95"/>
      <c r="D4" s="1" t="s">
        <v>29</v>
      </c>
      <c r="E4" s="94" t="s">
        <v>145</v>
      </c>
      <c r="F4" s="94"/>
      <c r="H4" t="s">
        <v>118</v>
      </c>
      <c r="I4" s="76">
        <v>46062</v>
      </c>
      <c r="J4" t="s">
        <v>155</v>
      </c>
      <c r="K4" s="67">
        <v>46171</v>
      </c>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v>46063</v>
      </c>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v>17321</v>
      </c>
      <c r="C11" s="27"/>
      <c r="D11" s="27"/>
      <c r="E11" s="27">
        <v>19100</v>
      </c>
      <c r="F11" s="27">
        <f>SUM(C11-B11)</f>
        <v>-17321</v>
      </c>
      <c r="G11" s="20">
        <f>SUM(E11-D11)</f>
        <v>19100</v>
      </c>
      <c r="H11" s="21">
        <f>SUM(F11:G11)</f>
        <v>1779</v>
      </c>
      <c r="J11" s="29" t="s">
        <v>22</v>
      </c>
      <c r="K11" s="10">
        <v>367.68</v>
      </c>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367.68</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7">
        <v>19100</v>
      </c>
      <c r="C15" s="27"/>
      <c r="D15" s="27"/>
      <c r="E15" s="27">
        <v>22902</v>
      </c>
      <c r="F15" s="27">
        <f>SUM(C15-B15)</f>
        <v>-19100</v>
      </c>
      <c r="G15" s="20">
        <f>SUM(E15-D15)</f>
        <v>22902</v>
      </c>
      <c r="H15" s="21">
        <f>SUM(F15:G15)</f>
        <v>3802</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v>46119</v>
      </c>
      <c r="L18" s="66">
        <v>46126</v>
      </c>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v>22902</v>
      </c>
      <c r="C19" s="27"/>
      <c r="D19" s="27"/>
      <c r="E19" s="27">
        <v>25892</v>
      </c>
      <c r="F19" s="27">
        <f>SUM(C19-B19)</f>
        <v>-22902</v>
      </c>
      <c r="G19" s="20">
        <f>SUM(E19-D19)</f>
        <v>25892</v>
      </c>
      <c r="H19" s="21">
        <f>SUM(F19:G19)</f>
        <v>2990</v>
      </c>
      <c r="J19" s="7" t="s">
        <v>22</v>
      </c>
      <c r="K19" s="30">
        <v>513.73</v>
      </c>
      <c r="L19" s="31">
        <v>454.54</v>
      </c>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968.27</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v>25892</v>
      </c>
      <c r="C23" s="27"/>
      <c r="D23" s="27"/>
      <c r="E23" s="27">
        <v>29345</v>
      </c>
      <c r="F23" s="27">
        <f>SUM(C23-B23)</f>
        <v>-25892</v>
      </c>
      <c r="G23" s="20">
        <f>SUM(E23-D23)</f>
        <v>29345</v>
      </c>
      <c r="H23" s="21">
        <f>SUM(F23:G23)</f>
        <v>3453</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Y41" s="101" t="str">
        <f>J41</f>
        <v>Outubro</v>
      </c>
      <c r="Z41" s="101"/>
      <c r="AA41" s="101"/>
      <c r="AB41" s="101"/>
      <c r="AC41" s="101"/>
      <c r="AD41" s="101"/>
      <c r="AE41" s="101"/>
      <c r="AH41" s="102" t="str">
        <f>Y41</f>
        <v>Outubro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Y45" s="101" t="str">
        <f>J45</f>
        <v>Novembro</v>
      </c>
      <c r="Z45" s="101"/>
      <c r="AA45" s="101"/>
      <c r="AB45" s="101"/>
      <c r="AC45" s="101"/>
      <c r="AD45" s="101"/>
      <c r="AE45" s="101"/>
      <c r="AH45" s="102" t="str">
        <f>Y45</f>
        <v>Novembro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Y49" s="101" t="str">
        <f>J49</f>
        <v>Dezembro</v>
      </c>
      <c r="Z49" s="101"/>
      <c r="AA49" s="101"/>
      <c r="AB49" s="101"/>
      <c r="AC49" s="101"/>
      <c r="AD49" s="101"/>
      <c r="AE49" s="101"/>
      <c r="AH49" s="102" t="str">
        <f>Y49</f>
        <v>Dezembro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N88"/>
  <sheetViews>
    <sheetView showGridLines="0" topLeftCell="A43" workbookViewId="0">
      <selection activeCell="I79" sqref="I79"/>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5703125" bestFit="1" customWidth="1"/>
    <col min="12" max="17" width="10.42578125" bestFit="1" customWidth="1"/>
    <col min="18" max="19" width="10.5703125" bestFit="1" customWidth="1"/>
    <col min="20" max="20" width="10.42578125" bestFit="1" customWidth="1"/>
    <col min="21" max="21" width="12.140625" bestFit="1" customWidth="1"/>
    <col min="37" max="39" width="10.140625" bestFit="1" customWidth="1"/>
  </cols>
  <sheetData>
    <row r="2" spans="1:40" x14ac:dyDescent="0.25">
      <c r="A2" t="s">
        <v>0</v>
      </c>
      <c r="B2" s="94" t="s">
        <v>101</v>
      </c>
      <c r="C2" s="94"/>
      <c r="D2" s="1" t="s">
        <v>1</v>
      </c>
      <c r="E2" s="94" t="s">
        <v>127</v>
      </c>
      <c r="F2" s="94"/>
      <c r="H2" t="s">
        <v>91</v>
      </c>
      <c r="I2" s="75">
        <v>3000</v>
      </c>
    </row>
    <row r="3" spans="1:40" x14ac:dyDescent="0.25">
      <c r="A3" t="s">
        <v>79</v>
      </c>
      <c r="B3" s="94"/>
      <c r="C3" s="94"/>
      <c r="D3" s="1" t="s">
        <v>1</v>
      </c>
      <c r="E3" s="94"/>
      <c r="F3" s="94"/>
      <c r="H3" t="s">
        <v>80</v>
      </c>
      <c r="I3" s="54"/>
    </row>
    <row r="4" spans="1:40" x14ac:dyDescent="0.25">
      <c r="A4" t="s">
        <v>2</v>
      </c>
      <c r="B4" s="95">
        <v>2484</v>
      </c>
      <c r="C4" s="95"/>
      <c r="D4" s="1" t="s">
        <v>29</v>
      </c>
      <c r="E4" s="110">
        <v>45</v>
      </c>
      <c r="F4" s="110"/>
      <c r="H4" t="s">
        <v>105</v>
      </c>
      <c r="I4" s="76">
        <v>45941</v>
      </c>
      <c r="J4" t="s">
        <v>135</v>
      </c>
      <c r="K4" s="76">
        <v>46150</v>
      </c>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m="1">
        <f t="array" aca="1" ref="A9" ca="1">A9:AE12</f>
        <v>0</v>
      </c>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Y41" s="101" t="str">
        <f>J41</f>
        <v>Outubro</v>
      </c>
      <c r="Z41" s="101"/>
      <c r="AA41" s="101"/>
      <c r="AB41" s="101"/>
      <c r="AC41" s="101"/>
      <c r="AD41" s="101"/>
      <c r="AE41" s="101"/>
      <c r="AH41" s="102" t="str">
        <f>Y41</f>
        <v>Outubro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v>45944</v>
      </c>
      <c r="L42" s="66">
        <v>45946</v>
      </c>
      <c r="M42" s="66">
        <v>45953</v>
      </c>
      <c r="N42" s="66">
        <v>45958</v>
      </c>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7">
        <v>44397</v>
      </c>
      <c r="C43" s="27">
        <v>44865</v>
      </c>
      <c r="D43" s="27">
        <v>44865</v>
      </c>
      <c r="E43" s="27">
        <v>45978</v>
      </c>
      <c r="F43" s="27">
        <f>SUM(C43-B43)</f>
        <v>468</v>
      </c>
      <c r="G43" s="20">
        <f>SUM(E43-D43)</f>
        <v>1113</v>
      </c>
      <c r="H43" s="21">
        <f>SUM(F43:G43)</f>
        <v>1581</v>
      </c>
      <c r="J43" s="7" t="s">
        <v>22</v>
      </c>
      <c r="K43" s="10">
        <v>265.12</v>
      </c>
      <c r="L43" s="11">
        <v>188.06</v>
      </c>
      <c r="M43" s="11">
        <v>259.04000000000002</v>
      </c>
      <c r="N43" s="11">
        <v>255.02</v>
      </c>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967.24</v>
      </c>
      <c r="AD44" s="8" t="s">
        <v>23</v>
      </c>
      <c r="AE44" s="13">
        <f>SUM(Z43:AE43)</f>
        <v>0</v>
      </c>
      <c r="AM44" s="8" t="s">
        <v>23</v>
      </c>
      <c r="AN44" s="13">
        <f>SUM(AI43:AN43)</f>
        <v>0</v>
      </c>
    </row>
    <row r="45" spans="1:40"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Y45" s="101" t="str">
        <f>J45</f>
        <v>Novembro</v>
      </c>
      <c r="Z45" s="101"/>
      <c r="AA45" s="101"/>
      <c r="AB45" s="101"/>
      <c r="AC45" s="101"/>
      <c r="AD45" s="101"/>
      <c r="AE45" s="101"/>
      <c r="AH45" s="102" t="str">
        <f>Y45</f>
        <v>Novembro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v>45967</v>
      </c>
      <c r="L46" s="66">
        <v>45972</v>
      </c>
      <c r="M46" s="66">
        <v>45974</v>
      </c>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7">
        <v>45978</v>
      </c>
      <c r="C47" s="27">
        <v>46946</v>
      </c>
      <c r="D47" s="27">
        <v>46946</v>
      </c>
      <c r="E47" s="27">
        <v>48273</v>
      </c>
      <c r="F47" s="27">
        <f>SUM(C47-B47)</f>
        <v>968</v>
      </c>
      <c r="G47" s="20">
        <f>SUM(E47-D47)</f>
        <v>1327</v>
      </c>
      <c r="H47" s="21">
        <f>SUM(F47:G47)</f>
        <v>2295</v>
      </c>
      <c r="J47" s="7" t="s">
        <v>22</v>
      </c>
      <c r="K47" s="10">
        <v>205.05</v>
      </c>
      <c r="L47" s="11">
        <v>207.39</v>
      </c>
      <c r="M47" s="11">
        <v>240.1</v>
      </c>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652.54</v>
      </c>
      <c r="AD48" s="8" t="s">
        <v>23</v>
      </c>
      <c r="AE48" s="13">
        <f>SUM(Z47:AE47)</f>
        <v>0</v>
      </c>
      <c r="AM48" s="8" t="s">
        <v>23</v>
      </c>
      <c r="AN48" s="13">
        <f>SUM(AI47:AN47)</f>
        <v>0</v>
      </c>
    </row>
    <row r="49" spans="1:40"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Y49" s="101" t="str">
        <f>J49</f>
        <v>Dezembro</v>
      </c>
      <c r="Z49" s="101"/>
      <c r="AA49" s="101"/>
      <c r="AB49" s="101"/>
      <c r="AC49" s="101"/>
      <c r="AD49" s="101"/>
      <c r="AE49" s="101"/>
      <c r="AH49" s="102" t="str">
        <f>Y49</f>
        <v>Dezembro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v>45993</v>
      </c>
      <c r="L50" s="66">
        <v>45995</v>
      </c>
      <c r="M50" s="66">
        <v>46000</v>
      </c>
      <c r="N50" s="66">
        <v>46003</v>
      </c>
      <c r="O50" s="66">
        <v>46007</v>
      </c>
      <c r="P50" s="66">
        <v>46009</v>
      </c>
      <c r="Q50" s="66">
        <v>46014</v>
      </c>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6">
        <v>48273</v>
      </c>
      <c r="C51" s="27">
        <v>49616</v>
      </c>
      <c r="D51" s="27">
        <v>49616</v>
      </c>
      <c r="E51" s="27">
        <v>50326</v>
      </c>
      <c r="F51" s="27">
        <f>SUM(C51-B51)</f>
        <v>1343</v>
      </c>
      <c r="G51" s="20">
        <f>SUM(E51-D51)</f>
        <v>710</v>
      </c>
      <c r="H51" s="21">
        <f>SUM(F51:G51)</f>
        <v>2053</v>
      </c>
      <c r="J51" s="7" t="s">
        <v>22</v>
      </c>
      <c r="K51" s="10">
        <v>213.01</v>
      </c>
      <c r="L51" s="11">
        <v>280.04000000000002</v>
      </c>
      <c r="M51" s="11">
        <v>285.13</v>
      </c>
      <c r="N51" s="11">
        <v>178.02</v>
      </c>
      <c r="O51" s="11">
        <v>205.05</v>
      </c>
      <c r="P51" s="11">
        <v>242.04</v>
      </c>
      <c r="Q51" s="11">
        <v>247.53</v>
      </c>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1650.82</v>
      </c>
      <c r="AD52" s="8" t="s">
        <v>23</v>
      </c>
      <c r="AE52" s="13">
        <f>SUM(Z51:AE51)</f>
        <v>0</v>
      </c>
      <c r="AM52" s="8" t="s">
        <v>23</v>
      </c>
      <c r="AN52" s="13">
        <f>SUM(AI51:AN51)</f>
        <v>0</v>
      </c>
    </row>
    <row r="53" spans="1:40" ht="15.75" thickBot="1" x14ac:dyDescent="0.3">
      <c r="A53" s="19">
        <v>2026</v>
      </c>
      <c r="B53" s="99" t="s">
        <v>134</v>
      </c>
      <c r="C53" s="99"/>
      <c r="D53" s="99"/>
      <c r="E53" s="99"/>
      <c r="F53" s="99"/>
      <c r="G53" s="99"/>
      <c r="H53" s="99"/>
      <c r="J53" s="100" t="s">
        <v>134</v>
      </c>
      <c r="K53" s="100"/>
      <c r="L53" s="100"/>
      <c r="M53" s="100"/>
      <c r="N53" s="100"/>
      <c r="O53" s="100"/>
      <c r="P53" s="100"/>
      <c r="Q53" s="100"/>
      <c r="R53" s="100"/>
      <c r="S53" s="100"/>
      <c r="T53" s="100"/>
      <c r="U53" s="100"/>
      <c r="Y53" s="101" t="s">
        <v>134</v>
      </c>
      <c r="Z53" s="101"/>
      <c r="AA53" s="101"/>
      <c r="AB53" s="101"/>
      <c r="AC53" s="101"/>
      <c r="AD53" s="101"/>
      <c r="AE53" s="101"/>
      <c r="AH53" s="102" t="s">
        <v>134</v>
      </c>
      <c r="AI53" s="102"/>
      <c r="AJ53" s="102"/>
      <c r="AK53" s="102"/>
      <c r="AL53" s="102"/>
      <c r="AM53" s="102"/>
      <c r="AN53" s="102"/>
    </row>
    <row r="54" spans="1:40" ht="15.75" thickBot="1" x14ac:dyDescent="0.3">
      <c r="A54" s="97" t="s">
        <v>5</v>
      </c>
      <c r="B54" s="34" t="s">
        <v>6</v>
      </c>
      <c r="C54" s="22" t="s">
        <v>7</v>
      </c>
      <c r="D54" s="33" t="s">
        <v>8</v>
      </c>
      <c r="E54" s="22" t="s">
        <v>9</v>
      </c>
      <c r="F54" s="24" t="s">
        <v>10</v>
      </c>
      <c r="G54" s="23" t="s">
        <v>11</v>
      </c>
      <c r="H54" s="25" t="s">
        <v>12</v>
      </c>
      <c r="J54" s="28" t="s">
        <v>4</v>
      </c>
      <c r="K54" s="9">
        <v>46028</v>
      </c>
      <c r="L54" s="66">
        <v>46030</v>
      </c>
      <c r="M54" s="66">
        <v>46035</v>
      </c>
      <c r="N54" s="66">
        <v>46039</v>
      </c>
      <c r="O54" s="66">
        <v>46042</v>
      </c>
      <c r="P54" s="66">
        <v>46044</v>
      </c>
      <c r="Q54" s="66">
        <v>46049</v>
      </c>
      <c r="R54" s="66">
        <v>46051</v>
      </c>
      <c r="S54" s="66">
        <v>46053</v>
      </c>
      <c r="T54" s="4"/>
      <c r="U54" s="5"/>
      <c r="Y54" s="6" t="s">
        <v>4</v>
      </c>
      <c r="Z54" s="9"/>
      <c r="AA54" s="4"/>
      <c r="AB54" s="4"/>
      <c r="AC54" s="4"/>
      <c r="AD54" s="4"/>
      <c r="AE54" s="5"/>
      <c r="AH54" s="6" t="s">
        <v>4</v>
      </c>
      <c r="AI54" s="9"/>
      <c r="AJ54" s="4"/>
      <c r="AK54" s="4"/>
      <c r="AL54" s="4"/>
      <c r="AM54" s="4"/>
      <c r="AN54" s="5"/>
    </row>
    <row r="55" spans="1:40" ht="15.75" thickBot="1" x14ac:dyDescent="0.3">
      <c r="A55" s="97"/>
      <c r="B55" s="27">
        <v>50326</v>
      </c>
      <c r="C55" s="27">
        <v>51154</v>
      </c>
      <c r="D55" s="27">
        <v>51154</v>
      </c>
      <c r="E55" s="27">
        <v>52747</v>
      </c>
      <c r="F55" s="27">
        <f>SUM(C55-B55)</f>
        <v>828</v>
      </c>
      <c r="G55" s="20">
        <f>SUM(E55-D55)</f>
        <v>1593</v>
      </c>
      <c r="H55" s="21">
        <f>SUM(F55:G55)</f>
        <v>2421</v>
      </c>
      <c r="J55" s="29" t="s">
        <v>22</v>
      </c>
      <c r="K55" s="10">
        <v>186.05</v>
      </c>
      <c r="L55" s="11">
        <v>224.78</v>
      </c>
      <c r="M55" s="11">
        <v>261.83999999999997</v>
      </c>
      <c r="N55" s="11">
        <v>200.03</v>
      </c>
      <c r="O55" s="11">
        <v>277.02999999999997</v>
      </c>
      <c r="P55" s="11">
        <v>177.75</v>
      </c>
      <c r="Q55" s="11">
        <v>171.06</v>
      </c>
      <c r="R55" s="11">
        <v>220.03</v>
      </c>
      <c r="S55" s="11">
        <v>200.1</v>
      </c>
      <c r="T55" s="11"/>
      <c r="U55" s="12"/>
      <c r="Y55" s="7" t="s">
        <v>22</v>
      </c>
      <c r="Z55" s="10"/>
      <c r="AA55" s="11"/>
      <c r="AB55" s="11"/>
      <c r="AC55" s="11"/>
      <c r="AD55" s="11"/>
      <c r="AE55" s="12"/>
      <c r="AH55" s="7" t="s">
        <v>22</v>
      </c>
      <c r="AI55" s="10"/>
      <c r="AJ55" s="11"/>
      <c r="AK55" s="11"/>
      <c r="AL55" s="11"/>
      <c r="AM55" s="11"/>
      <c r="AN55" s="12"/>
    </row>
    <row r="56" spans="1:40" x14ac:dyDescent="0.25">
      <c r="J56" s="8"/>
      <c r="T56" s="8" t="s">
        <v>23</v>
      </c>
      <c r="U56" s="13">
        <f>SUM(K55:U55)</f>
        <v>1918.6699999999998</v>
      </c>
      <c r="AD56" s="8" t="s">
        <v>23</v>
      </c>
      <c r="AE56" s="13">
        <f>SUM(Z55:AE55)</f>
        <v>0</v>
      </c>
      <c r="AM56" s="8" t="s">
        <v>23</v>
      </c>
      <c r="AN56" s="13">
        <f>SUM(AI55:AN55)</f>
        <v>0</v>
      </c>
    </row>
    <row r="57" spans="1:40" ht="15.75" thickBot="1" x14ac:dyDescent="0.3">
      <c r="A57" s="19"/>
      <c r="B57" s="99" t="s">
        <v>3</v>
      </c>
      <c r="C57" s="99"/>
      <c r="D57" s="99"/>
      <c r="E57" s="99"/>
      <c r="F57" s="99"/>
      <c r="G57" s="99"/>
      <c r="H57" s="99"/>
      <c r="J57" s="100" t="s">
        <v>3</v>
      </c>
      <c r="K57" s="100"/>
      <c r="L57" s="100"/>
      <c r="M57" s="100"/>
      <c r="N57" s="100"/>
      <c r="O57" s="100"/>
      <c r="P57" s="100"/>
      <c r="Q57" s="100"/>
      <c r="R57" s="100"/>
      <c r="S57" s="100"/>
      <c r="T57" s="100"/>
      <c r="U57" s="100"/>
      <c r="Y57" s="101" t="s">
        <v>3</v>
      </c>
      <c r="Z57" s="101"/>
      <c r="AA57" s="101"/>
      <c r="AB57" s="101"/>
      <c r="AC57" s="101"/>
      <c r="AD57" s="101"/>
      <c r="AE57" s="101"/>
      <c r="AH57" s="102" t="s">
        <v>3</v>
      </c>
      <c r="AI57" s="102"/>
      <c r="AJ57" s="102"/>
      <c r="AK57" s="102"/>
      <c r="AL57" s="102"/>
      <c r="AM57" s="102"/>
      <c r="AN57" s="102"/>
    </row>
    <row r="58" spans="1:40" ht="15.75" thickBot="1" x14ac:dyDescent="0.3">
      <c r="A58" s="97" t="s">
        <v>5</v>
      </c>
      <c r="B58" s="34" t="s">
        <v>6</v>
      </c>
      <c r="C58" s="22" t="s">
        <v>7</v>
      </c>
      <c r="D58" s="33" t="s">
        <v>8</v>
      </c>
      <c r="E58" s="22" t="s">
        <v>9</v>
      </c>
      <c r="F58" s="24" t="s">
        <v>10</v>
      </c>
      <c r="G58" s="23" t="s">
        <v>11</v>
      </c>
      <c r="H58" s="25" t="s">
        <v>12</v>
      </c>
      <c r="J58" s="28" t="s">
        <v>4</v>
      </c>
      <c r="K58" s="9">
        <v>46056</v>
      </c>
      <c r="L58" s="66">
        <v>46058</v>
      </c>
      <c r="M58" s="66">
        <v>46063</v>
      </c>
      <c r="N58" s="66">
        <v>46065</v>
      </c>
      <c r="O58" s="66">
        <v>46067</v>
      </c>
      <c r="P58" s="66">
        <v>46070</v>
      </c>
      <c r="Q58" s="66">
        <v>46072</v>
      </c>
      <c r="R58" s="66">
        <v>46074</v>
      </c>
      <c r="S58" s="66">
        <v>46077</v>
      </c>
      <c r="T58" s="66">
        <v>46079</v>
      </c>
      <c r="U58" s="5"/>
      <c r="Y58" s="6" t="s">
        <v>4</v>
      </c>
      <c r="Z58" s="9"/>
      <c r="AA58" s="4"/>
      <c r="AB58" s="4"/>
      <c r="AC58" s="4"/>
      <c r="AD58" s="4"/>
      <c r="AE58" s="5"/>
      <c r="AH58" s="6" t="s">
        <v>4</v>
      </c>
      <c r="AI58" s="9"/>
      <c r="AJ58" s="4"/>
      <c r="AK58" s="4"/>
      <c r="AL58" s="4"/>
      <c r="AM58" s="4"/>
      <c r="AN58" s="5"/>
    </row>
    <row r="59" spans="1:40" ht="15.75" thickBot="1" x14ac:dyDescent="0.3">
      <c r="A59" s="97"/>
      <c r="B59" s="27">
        <v>52747</v>
      </c>
      <c r="C59" s="27"/>
      <c r="D59" s="27"/>
      <c r="E59" s="27">
        <v>54985</v>
      </c>
      <c r="F59" s="27">
        <f>SUM(C59-B59)</f>
        <v>-52747</v>
      </c>
      <c r="G59" s="20">
        <f>SUM(E59-D59)</f>
        <v>54985</v>
      </c>
      <c r="H59" s="21">
        <f>SUM(F59:G59)</f>
        <v>2238</v>
      </c>
      <c r="J59" s="29" t="s">
        <v>22</v>
      </c>
      <c r="K59" s="10">
        <v>295.02999999999997</v>
      </c>
      <c r="L59" s="11">
        <v>145.04</v>
      </c>
      <c r="M59" s="11">
        <v>273.22000000000003</v>
      </c>
      <c r="N59" s="11">
        <v>130.05000000000001</v>
      </c>
      <c r="O59" s="11">
        <v>155.02000000000001</v>
      </c>
      <c r="P59" s="11">
        <v>206.05</v>
      </c>
      <c r="Q59" s="11">
        <v>132.51</v>
      </c>
      <c r="R59" s="11">
        <v>83.36</v>
      </c>
      <c r="S59" s="11">
        <v>93.66</v>
      </c>
      <c r="T59" s="11">
        <v>155.01</v>
      </c>
      <c r="U59" s="12"/>
      <c r="Y59" s="7" t="s">
        <v>22</v>
      </c>
      <c r="Z59" s="10"/>
      <c r="AA59" s="11"/>
      <c r="AB59" s="11"/>
      <c r="AC59" s="11"/>
      <c r="AD59" s="11"/>
      <c r="AE59" s="12"/>
      <c r="AH59" s="7" t="s">
        <v>22</v>
      </c>
      <c r="AI59" s="10"/>
      <c r="AJ59" s="11"/>
      <c r="AK59" s="11"/>
      <c r="AL59" s="11"/>
      <c r="AM59" s="11"/>
      <c r="AN59" s="12"/>
    </row>
    <row r="60" spans="1:40" x14ac:dyDescent="0.25">
      <c r="J60" s="8"/>
      <c r="T60" s="8" t="s">
        <v>23</v>
      </c>
      <c r="U60" s="13">
        <f>SUM(K59:U59)</f>
        <v>1668.9499999999998</v>
      </c>
      <c r="AD60" s="8" t="s">
        <v>23</v>
      </c>
      <c r="AE60" s="13">
        <f>SUM(Z59:AE59)</f>
        <v>0</v>
      </c>
      <c r="AM60" s="8" t="s">
        <v>23</v>
      </c>
      <c r="AN60" s="13">
        <f>SUM(AI59:AN59)</f>
        <v>0</v>
      </c>
    </row>
    <row r="61" spans="1:40" ht="15.75" thickBot="1" x14ac:dyDescent="0.3">
      <c r="A61" s="19"/>
      <c r="B61" s="99" t="s">
        <v>13</v>
      </c>
      <c r="C61" s="99"/>
      <c r="D61" s="99"/>
      <c r="E61" s="99"/>
      <c r="F61" s="99"/>
      <c r="G61" s="99"/>
      <c r="H61" s="99"/>
      <c r="J61" s="100" t="s">
        <v>13</v>
      </c>
      <c r="K61" s="100"/>
      <c r="L61" s="100"/>
      <c r="M61" s="100"/>
      <c r="N61" s="100"/>
      <c r="O61" s="100"/>
      <c r="P61" s="100"/>
      <c r="Q61" s="100"/>
      <c r="R61" s="100"/>
      <c r="S61" s="100"/>
      <c r="T61" s="100"/>
      <c r="U61" s="100"/>
      <c r="Y61" s="101" t="str">
        <f>J61</f>
        <v>Março</v>
      </c>
      <c r="Z61" s="101"/>
      <c r="AA61" s="101"/>
      <c r="AB61" s="101"/>
      <c r="AC61" s="101"/>
      <c r="AD61" s="101"/>
      <c r="AE61" s="101"/>
      <c r="AH61" s="102" t="str">
        <f>Y61</f>
        <v>Março</v>
      </c>
      <c r="AI61" s="102"/>
      <c r="AJ61" s="102"/>
      <c r="AK61" s="102"/>
      <c r="AL61" s="102"/>
      <c r="AM61" s="102"/>
      <c r="AN61" s="102"/>
    </row>
    <row r="62" spans="1:40" ht="15.75" thickBot="1" x14ac:dyDescent="0.3">
      <c r="A62" s="97" t="s">
        <v>5</v>
      </c>
      <c r="B62" s="34" t="s">
        <v>6</v>
      </c>
      <c r="C62" s="22" t="s">
        <v>7</v>
      </c>
      <c r="D62" s="33" t="s">
        <v>8</v>
      </c>
      <c r="E62" s="22" t="s">
        <v>9</v>
      </c>
      <c r="F62" s="24" t="s">
        <v>10</v>
      </c>
      <c r="G62" s="23" t="s">
        <v>11</v>
      </c>
      <c r="H62" s="25" t="s">
        <v>12</v>
      </c>
      <c r="J62" s="6" t="s">
        <v>4</v>
      </c>
      <c r="K62" s="9"/>
      <c r="L62" s="4"/>
      <c r="M62" s="4"/>
      <c r="N62" s="4"/>
      <c r="O62" s="4"/>
      <c r="P62" s="4"/>
      <c r="Q62" s="4"/>
      <c r="R62" s="4"/>
      <c r="S62" s="4"/>
      <c r="T62" s="4"/>
      <c r="U62" s="5"/>
      <c r="Y62" s="6" t="s">
        <v>4</v>
      </c>
      <c r="Z62" s="9"/>
      <c r="AA62" s="4"/>
      <c r="AB62" s="4"/>
      <c r="AC62" s="4"/>
      <c r="AD62" s="4"/>
      <c r="AE62" s="5"/>
      <c r="AH62" s="6" t="s">
        <v>4</v>
      </c>
      <c r="AI62" s="9"/>
      <c r="AJ62" s="4"/>
      <c r="AK62" s="4"/>
      <c r="AL62" s="4"/>
      <c r="AM62" s="4"/>
      <c r="AN62" s="5"/>
    </row>
    <row r="63" spans="1:40" ht="15.75" thickBot="1" x14ac:dyDescent="0.3">
      <c r="A63" s="97"/>
      <c r="B63" s="27">
        <v>54985</v>
      </c>
      <c r="C63" s="27"/>
      <c r="D63" s="27"/>
      <c r="E63" s="27">
        <v>58013</v>
      </c>
      <c r="F63" s="27">
        <f>SUM(C63-B63)</f>
        <v>-54985</v>
      </c>
      <c r="G63" s="20">
        <f>SUM(E63-D63)</f>
        <v>58013</v>
      </c>
      <c r="H63" s="21">
        <f>SUM(F63:G63)</f>
        <v>3028</v>
      </c>
      <c r="J63" s="7" t="s">
        <v>22</v>
      </c>
      <c r="K63" s="10"/>
      <c r="L63" s="11"/>
      <c r="M63" s="11"/>
      <c r="N63" s="11"/>
      <c r="O63" s="11"/>
      <c r="P63" s="11"/>
      <c r="Q63" s="11"/>
      <c r="R63" s="11"/>
      <c r="S63" s="11"/>
      <c r="T63" s="11"/>
      <c r="U63" s="12"/>
      <c r="Y63" s="7" t="s">
        <v>22</v>
      </c>
      <c r="Z63" s="10"/>
      <c r="AA63" s="11"/>
      <c r="AB63" s="11"/>
      <c r="AC63" s="11"/>
      <c r="AD63" s="11"/>
      <c r="AE63" s="12"/>
      <c r="AH63" s="7" t="s">
        <v>22</v>
      </c>
      <c r="AI63" s="10"/>
      <c r="AJ63" s="11"/>
      <c r="AK63" s="11"/>
      <c r="AL63" s="11"/>
      <c r="AM63" s="11"/>
      <c r="AN63" s="12"/>
    </row>
    <row r="64" spans="1:40" x14ac:dyDescent="0.25">
      <c r="J64" s="8"/>
      <c r="T64" s="8" t="s">
        <v>23</v>
      </c>
      <c r="U64" s="13">
        <f>SUM(K63:U63)</f>
        <v>0</v>
      </c>
      <c r="AD64" s="8" t="s">
        <v>23</v>
      </c>
      <c r="AE64" s="13">
        <f>SUM(Z63:AE63)</f>
        <v>0</v>
      </c>
      <c r="AM64" s="8" t="s">
        <v>23</v>
      </c>
      <c r="AN64" s="13">
        <f>SUM(AI63:AN63)</f>
        <v>0</v>
      </c>
    </row>
    <row r="65" spans="1:40" ht="15.75" thickBot="1" x14ac:dyDescent="0.3">
      <c r="A65" s="19"/>
      <c r="B65" s="99" t="s">
        <v>14</v>
      </c>
      <c r="C65" s="99"/>
      <c r="D65" s="99"/>
      <c r="E65" s="99"/>
      <c r="F65" s="99"/>
      <c r="G65" s="99"/>
      <c r="H65" s="99"/>
      <c r="J65" s="100" t="s">
        <v>14</v>
      </c>
      <c r="K65" s="100"/>
      <c r="L65" s="100"/>
      <c r="M65" s="100"/>
      <c r="N65" s="100"/>
      <c r="O65" s="100"/>
      <c r="P65" s="100"/>
      <c r="Q65" s="100"/>
      <c r="R65" s="100"/>
      <c r="S65" s="100"/>
      <c r="T65" s="100"/>
      <c r="U65" s="100"/>
      <c r="Y65" s="101" t="str">
        <f>J65</f>
        <v>Abril</v>
      </c>
      <c r="Z65" s="101"/>
      <c r="AA65" s="101"/>
      <c r="AB65" s="101"/>
      <c r="AC65" s="101"/>
      <c r="AD65" s="101"/>
      <c r="AE65" s="101"/>
      <c r="AH65" s="102" t="str">
        <f>Y65</f>
        <v>Abril</v>
      </c>
      <c r="AI65" s="102"/>
      <c r="AJ65" s="102"/>
      <c r="AK65" s="102"/>
      <c r="AL65" s="102"/>
      <c r="AM65" s="102"/>
      <c r="AN65" s="102"/>
    </row>
    <row r="66" spans="1:40" ht="15.75" thickBot="1" x14ac:dyDescent="0.3">
      <c r="A66" s="97" t="s">
        <v>5</v>
      </c>
      <c r="B66" s="34" t="s">
        <v>6</v>
      </c>
      <c r="C66" s="22" t="s">
        <v>7</v>
      </c>
      <c r="D66" s="33" t="s">
        <v>8</v>
      </c>
      <c r="E66" s="22" t="s">
        <v>9</v>
      </c>
      <c r="F66" s="24" t="s">
        <v>10</v>
      </c>
      <c r="G66" s="23" t="s">
        <v>11</v>
      </c>
      <c r="H66" s="25" t="s">
        <v>12</v>
      </c>
      <c r="J66" s="6" t="s">
        <v>4</v>
      </c>
      <c r="K66" s="9">
        <v>46116</v>
      </c>
      <c r="L66" s="66">
        <v>46126</v>
      </c>
      <c r="M66" s="4"/>
      <c r="N66" s="4"/>
      <c r="O66" s="4"/>
      <c r="P66" s="4"/>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97"/>
      <c r="B67" s="27">
        <v>58013</v>
      </c>
      <c r="C67" s="27"/>
      <c r="D67" s="27"/>
      <c r="E67" s="27">
        <v>60655</v>
      </c>
      <c r="F67" s="27">
        <f>SUM(C67-B67)</f>
        <v>-58013</v>
      </c>
      <c r="G67" s="20">
        <f>SUM(E67-D67)</f>
        <v>60655</v>
      </c>
      <c r="H67" s="21">
        <f>SUM(F67:G67)</f>
        <v>2642</v>
      </c>
      <c r="J67" s="7" t="s">
        <v>22</v>
      </c>
      <c r="K67" s="30">
        <v>217.81</v>
      </c>
      <c r="L67" s="31">
        <v>159.38</v>
      </c>
      <c r="M67" s="31"/>
      <c r="N67" s="31"/>
      <c r="O67" s="31"/>
      <c r="P67" s="31"/>
      <c r="Q67" s="31"/>
      <c r="R67" s="31"/>
      <c r="S67" s="31"/>
      <c r="T67" s="31"/>
      <c r="U67" s="32"/>
      <c r="Y67" s="7" t="s">
        <v>22</v>
      </c>
      <c r="Z67" s="10"/>
      <c r="AA67" s="11"/>
      <c r="AB67" s="11"/>
      <c r="AC67" s="11"/>
      <c r="AD67" s="11"/>
      <c r="AE67" s="12"/>
      <c r="AH67" s="7" t="s">
        <v>22</v>
      </c>
      <c r="AI67" s="10"/>
      <c r="AJ67" s="11"/>
      <c r="AK67" s="11"/>
      <c r="AL67" s="11"/>
      <c r="AM67" s="11"/>
      <c r="AN67" s="12"/>
    </row>
    <row r="68" spans="1:40" x14ac:dyDescent="0.25">
      <c r="J68" s="8"/>
      <c r="T68" s="8" t="s">
        <v>23</v>
      </c>
      <c r="U68" s="13">
        <f>SUM(K67:U67)</f>
        <v>377.19</v>
      </c>
      <c r="AD68" s="8" t="s">
        <v>23</v>
      </c>
      <c r="AE68" s="13">
        <f>SUM(Z67:AE67)</f>
        <v>0</v>
      </c>
      <c r="AM68" s="8" t="s">
        <v>23</v>
      </c>
      <c r="AN68" s="13">
        <f>SUM(AI67:AN67)</f>
        <v>0</v>
      </c>
    </row>
    <row r="69" spans="1:40" ht="15.75" thickBot="1" x14ac:dyDescent="0.3">
      <c r="A69" s="19"/>
      <c r="B69" s="99" t="s">
        <v>15</v>
      </c>
      <c r="C69" s="99"/>
      <c r="D69" s="99"/>
      <c r="E69" s="99"/>
      <c r="F69" s="99"/>
      <c r="G69" s="99"/>
      <c r="H69" s="99"/>
      <c r="J69" s="100" t="s">
        <v>15</v>
      </c>
      <c r="K69" s="100"/>
      <c r="L69" s="100"/>
      <c r="M69" s="100"/>
      <c r="N69" s="100"/>
      <c r="O69" s="100"/>
      <c r="P69" s="100"/>
      <c r="Q69" s="100"/>
      <c r="R69" s="100"/>
      <c r="S69" s="100"/>
      <c r="T69" s="100"/>
      <c r="U69" s="100"/>
      <c r="Y69" s="101" t="str">
        <f>J69</f>
        <v>Maio</v>
      </c>
      <c r="Z69" s="101"/>
      <c r="AA69" s="101"/>
      <c r="AB69" s="101"/>
      <c r="AC69" s="101"/>
      <c r="AD69" s="101"/>
      <c r="AE69" s="101"/>
      <c r="AH69" s="102" t="str">
        <f>Y69</f>
        <v>Maio</v>
      </c>
      <c r="AI69" s="102"/>
      <c r="AJ69" s="102"/>
      <c r="AK69" s="102"/>
      <c r="AL69" s="102"/>
      <c r="AM69" s="102"/>
      <c r="AN69" s="102"/>
    </row>
    <row r="70" spans="1:40" ht="15.75" thickBot="1" x14ac:dyDescent="0.3">
      <c r="A70" s="97"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97"/>
      <c r="B71" s="27">
        <v>60655</v>
      </c>
      <c r="C71" s="27">
        <v>61516</v>
      </c>
      <c r="D71" s="27"/>
      <c r="E71" s="27"/>
      <c r="F71" s="27">
        <f>SUM(C71-B71)</f>
        <v>861</v>
      </c>
      <c r="G71" s="20">
        <f>SUM(E71-D71)</f>
        <v>0</v>
      </c>
      <c r="H71" s="21">
        <f>SUM(F71:G71)</f>
        <v>861</v>
      </c>
      <c r="J71" s="7" t="s">
        <v>22</v>
      </c>
      <c r="K71" s="10"/>
      <c r="L71" s="11"/>
      <c r="M71" s="11"/>
      <c r="N71" s="11"/>
      <c r="O71" s="11"/>
      <c r="P71" s="11"/>
      <c r="Q71" s="11"/>
      <c r="R71" s="11"/>
      <c r="S71" s="11"/>
      <c r="T71" s="11"/>
      <c r="U71" s="12"/>
      <c r="Y71" s="7" t="s">
        <v>22</v>
      </c>
      <c r="Z71" s="10"/>
      <c r="AA71" s="11"/>
      <c r="AB71" s="11"/>
      <c r="AC71" s="11"/>
      <c r="AD71" s="11"/>
      <c r="AE71" s="12"/>
      <c r="AH71" s="7" t="s">
        <v>22</v>
      </c>
      <c r="AI71" s="10"/>
      <c r="AJ71" s="11"/>
      <c r="AK71" s="11"/>
      <c r="AL71" s="11"/>
      <c r="AM71" s="11"/>
      <c r="AN71" s="12"/>
    </row>
    <row r="72" spans="1:40" x14ac:dyDescent="0.25">
      <c r="J72" s="8"/>
      <c r="T72" s="8" t="s">
        <v>23</v>
      </c>
      <c r="U72" s="13">
        <f>SUM(K71:U71)</f>
        <v>0</v>
      </c>
      <c r="AD72" s="8" t="s">
        <v>23</v>
      </c>
      <c r="AE72" s="13">
        <f>SUM(Z71:AE71)</f>
        <v>0</v>
      </c>
      <c r="AM72" s="8" t="s">
        <v>23</v>
      </c>
      <c r="AN72" s="13">
        <f>SUM(AI71:AN71)</f>
        <v>0</v>
      </c>
    </row>
    <row r="73" spans="1:40" ht="15.75" thickBot="1" x14ac:dyDescent="0.3">
      <c r="A73" s="19"/>
      <c r="B73" s="99" t="s">
        <v>24</v>
      </c>
      <c r="C73" s="99"/>
      <c r="D73" s="99"/>
      <c r="E73" s="99"/>
      <c r="F73" s="99"/>
      <c r="G73" s="99"/>
      <c r="H73" s="99"/>
      <c r="J73" s="100" t="s">
        <v>24</v>
      </c>
      <c r="K73" s="100"/>
      <c r="L73" s="100"/>
      <c r="M73" s="100"/>
      <c r="N73" s="100"/>
      <c r="O73" s="100"/>
      <c r="P73" s="100"/>
      <c r="Q73" s="100"/>
      <c r="R73" s="100"/>
      <c r="S73" s="100"/>
      <c r="T73" s="100"/>
      <c r="U73" s="100"/>
      <c r="Y73" s="101" t="str">
        <f>J73</f>
        <v>Junho</v>
      </c>
      <c r="Z73" s="101"/>
      <c r="AA73" s="101"/>
      <c r="AB73" s="101"/>
      <c r="AC73" s="101"/>
      <c r="AD73" s="101"/>
      <c r="AE73" s="101"/>
      <c r="AH73" s="102" t="str">
        <f>Y73</f>
        <v>Junho</v>
      </c>
      <c r="AI73" s="102"/>
      <c r="AJ73" s="102"/>
      <c r="AK73" s="102"/>
      <c r="AL73" s="102"/>
      <c r="AM73" s="102"/>
      <c r="AN73" s="102"/>
    </row>
    <row r="74" spans="1:40" ht="15.75" thickBot="1" x14ac:dyDescent="0.3">
      <c r="A74" s="97"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97"/>
      <c r="B75" s="26"/>
      <c r="C75" s="27"/>
      <c r="D75" s="27"/>
      <c r="E75" s="27"/>
      <c r="F75" s="27">
        <f>SUM(C75-B75)</f>
        <v>0</v>
      </c>
      <c r="G75" s="20">
        <f>SUM(E75-D75)</f>
        <v>0</v>
      </c>
      <c r="H75" s="21">
        <f>SUM(F75:G75)</f>
        <v>0</v>
      </c>
      <c r="J75" s="7" t="s">
        <v>22</v>
      </c>
      <c r="K75" s="10"/>
      <c r="L75" s="11"/>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J76" s="8"/>
      <c r="T76" s="8" t="s">
        <v>23</v>
      </c>
      <c r="U76" s="13">
        <f>SUM(K75:U75)</f>
        <v>0</v>
      </c>
      <c r="AD76" s="8" t="s">
        <v>23</v>
      </c>
      <c r="AE76" s="13">
        <f>SUM(Z75:AE75)</f>
        <v>0</v>
      </c>
      <c r="AM76" s="8" t="s">
        <v>23</v>
      </c>
      <c r="AN76" s="13">
        <f>SUM(AI75:AN75)</f>
        <v>0</v>
      </c>
    </row>
    <row r="77" spans="1:40" ht="15.75" thickBot="1" x14ac:dyDescent="0.3">
      <c r="A77" s="19"/>
      <c r="B77" s="99" t="s">
        <v>16</v>
      </c>
      <c r="C77" s="99"/>
      <c r="D77" s="99"/>
      <c r="E77" s="99"/>
      <c r="F77" s="99"/>
      <c r="G77" s="99"/>
      <c r="H77" s="99"/>
      <c r="J77" s="100" t="s">
        <v>16</v>
      </c>
      <c r="K77" s="100"/>
      <c r="L77" s="100"/>
      <c r="M77" s="100"/>
      <c r="N77" s="100"/>
      <c r="O77" s="100"/>
      <c r="P77" s="100"/>
      <c r="Q77" s="100"/>
      <c r="R77" s="100"/>
      <c r="S77" s="100"/>
      <c r="T77" s="100"/>
      <c r="U77" s="100"/>
      <c r="Y77" s="101" t="str">
        <f>J77</f>
        <v>Julho</v>
      </c>
      <c r="Z77" s="101"/>
      <c r="AA77" s="101"/>
      <c r="AB77" s="101"/>
      <c r="AC77" s="101"/>
      <c r="AD77" s="101"/>
      <c r="AE77" s="101"/>
      <c r="AH77" s="102" t="str">
        <f>Y77</f>
        <v>Julho</v>
      </c>
      <c r="AI77" s="102"/>
      <c r="AJ77" s="102"/>
      <c r="AK77" s="102"/>
      <c r="AL77" s="102"/>
      <c r="AM77" s="102"/>
      <c r="AN77" s="102"/>
    </row>
    <row r="78" spans="1:40" ht="15.75" thickBot="1" x14ac:dyDescent="0.3">
      <c r="A78" s="97"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Y78" s="6" t="s">
        <v>4</v>
      </c>
      <c r="Z78" s="9"/>
      <c r="AA78" s="4"/>
      <c r="AB78" s="4"/>
      <c r="AC78" s="4"/>
      <c r="AD78" s="4"/>
      <c r="AE78" s="5"/>
      <c r="AH78" s="6" t="s">
        <v>4</v>
      </c>
      <c r="AI78" s="9"/>
      <c r="AJ78" s="4"/>
      <c r="AK78" s="4"/>
      <c r="AL78" s="4"/>
      <c r="AM78" s="4"/>
      <c r="AN78" s="5"/>
    </row>
    <row r="79" spans="1:40" ht="15.75" thickBot="1" x14ac:dyDescent="0.3">
      <c r="A79" s="97"/>
      <c r="B79" s="26"/>
      <c r="C79" s="27"/>
      <c r="D79" s="27"/>
      <c r="E79" s="27"/>
      <c r="F79" s="27">
        <f>SUM(C79-B79)</f>
        <v>0</v>
      </c>
      <c r="G79" s="20">
        <f>SUM(E79-D79)</f>
        <v>0</v>
      </c>
      <c r="H79" s="21">
        <f>SUM(F79:G79)</f>
        <v>0</v>
      </c>
      <c r="J79" s="7" t="s">
        <v>22</v>
      </c>
      <c r="K79" s="10"/>
      <c r="L79" s="11"/>
      <c r="M79" s="11"/>
      <c r="N79" s="11"/>
      <c r="O79" s="11"/>
      <c r="P79" s="11"/>
      <c r="Q79" s="11"/>
      <c r="R79" s="11"/>
      <c r="S79" s="11"/>
      <c r="T79" s="11"/>
      <c r="U79" s="12"/>
      <c r="Y79" s="7" t="s">
        <v>22</v>
      </c>
      <c r="Z79" s="10"/>
      <c r="AA79" s="11"/>
      <c r="AB79" s="11"/>
      <c r="AC79" s="11"/>
      <c r="AD79" s="11"/>
      <c r="AE79" s="12"/>
      <c r="AH79" s="7" t="s">
        <v>22</v>
      </c>
      <c r="AI79" s="10"/>
      <c r="AJ79" s="11"/>
      <c r="AK79" s="11"/>
      <c r="AL79" s="11"/>
      <c r="AM79" s="11"/>
      <c r="AN79" s="12"/>
    </row>
    <row r="80" spans="1:40" x14ac:dyDescent="0.25">
      <c r="J80" s="8"/>
      <c r="T80" s="8" t="s">
        <v>23</v>
      </c>
      <c r="U80" s="13">
        <f>SUM(K79:U79)</f>
        <v>0</v>
      </c>
      <c r="AD80" s="8" t="s">
        <v>23</v>
      </c>
      <c r="AE80" s="13">
        <f>SUM(Z79:AE79)</f>
        <v>0</v>
      </c>
      <c r="AM80" s="8" t="s">
        <v>23</v>
      </c>
      <c r="AN80" s="13">
        <f>SUM(AI79:AN79)</f>
        <v>0</v>
      </c>
    </row>
    <row r="81" spans="1:40" ht="15.75" thickBot="1" x14ac:dyDescent="0.3">
      <c r="A81" s="19"/>
      <c r="B81" s="99" t="s">
        <v>17</v>
      </c>
      <c r="C81" s="99"/>
      <c r="D81" s="99"/>
      <c r="E81" s="99"/>
      <c r="F81" s="99"/>
      <c r="G81" s="99"/>
      <c r="H81" s="99"/>
      <c r="J81" s="100" t="s">
        <v>17</v>
      </c>
      <c r="K81" s="100"/>
      <c r="L81" s="100"/>
      <c r="M81" s="100"/>
      <c r="N81" s="100"/>
      <c r="O81" s="100"/>
      <c r="P81" s="100"/>
      <c r="Q81" s="100"/>
      <c r="R81" s="100"/>
      <c r="S81" s="100"/>
      <c r="T81" s="100"/>
      <c r="U81" s="100"/>
      <c r="Y81" s="101" t="str">
        <f>J81</f>
        <v>Agosto</v>
      </c>
      <c r="Z81" s="101"/>
      <c r="AA81" s="101"/>
      <c r="AB81" s="101"/>
      <c r="AC81" s="101"/>
      <c r="AD81" s="101"/>
      <c r="AE81" s="101"/>
      <c r="AH81" s="102" t="str">
        <f>Y81</f>
        <v>Agosto</v>
      </c>
      <c r="AI81" s="102"/>
      <c r="AJ81" s="102"/>
      <c r="AK81" s="102"/>
      <c r="AL81" s="102"/>
      <c r="AM81" s="102"/>
      <c r="AN81" s="102"/>
    </row>
    <row r="82" spans="1:40" ht="15.75" thickBot="1" x14ac:dyDescent="0.3">
      <c r="A82" s="97"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Y82" s="6" t="s">
        <v>4</v>
      </c>
      <c r="Z82" s="9"/>
      <c r="AA82" s="4"/>
      <c r="AB82" s="4"/>
      <c r="AC82" s="4"/>
      <c r="AD82" s="4"/>
      <c r="AE82" s="5"/>
      <c r="AH82" s="6" t="s">
        <v>4</v>
      </c>
      <c r="AI82" s="9"/>
      <c r="AJ82" s="4"/>
      <c r="AK82" s="4"/>
      <c r="AL82" s="4"/>
      <c r="AM82" s="4"/>
      <c r="AN82" s="5"/>
    </row>
    <row r="83" spans="1:40" ht="15.75" thickBot="1" x14ac:dyDescent="0.3">
      <c r="A83" s="97"/>
      <c r="B83" s="26"/>
      <c r="C83" s="27"/>
      <c r="D83" s="27"/>
      <c r="E83" s="27"/>
      <c r="F83" s="27">
        <f>SUM(C83-B83)</f>
        <v>0</v>
      </c>
      <c r="G83" s="20">
        <f>SUM(E83-D83)</f>
        <v>0</v>
      </c>
      <c r="H83" s="21">
        <f>SUM(F83:G83)</f>
        <v>0</v>
      </c>
      <c r="J83" s="7" t="s">
        <v>22</v>
      </c>
      <c r="K83" s="10"/>
      <c r="L83" s="11"/>
      <c r="M83" s="11"/>
      <c r="N83" s="11"/>
      <c r="O83" s="11"/>
      <c r="P83" s="11"/>
      <c r="Q83" s="11"/>
      <c r="R83" s="11"/>
      <c r="S83" s="11"/>
      <c r="T83" s="11"/>
      <c r="U83" s="12"/>
      <c r="Y83" s="7" t="s">
        <v>22</v>
      </c>
      <c r="Z83" s="10"/>
      <c r="AA83" s="11"/>
      <c r="AB83" s="11"/>
      <c r="AC83" s="11"/>
      <c r="AD83" s="11"/>
      <c r="AE83" s="12"/>
      <c r="AH83" s="7" t="s">
        <v>22</v>
      </c>
      <c r="AI83" s="10"/>
      <c r="AJ83" s="11"/>
      <c r="AK83" s="11"/>
      <c r="AL83" s="11"/>
      <c r="AM83" s="11"/>
      <c r="AN83" s="12"/>
    </row>
    <row r="84" spans="1:40" x14ac:dyDescent="0.25">
      <c r="J84" s="8"/>
      <c r="T84" s="8" t="s">
        <v>23</v>
      </c>
      <c r="U84" s="13">
        <f>SUM(K83:U83)</f>
        <v>0</v>
      </c>
      <c r="AD84" s="8" t="s">
        <v>23</v>
      </c>
      <c r="AE84" s="13">
        <f>SUM(Z83:AE83)</f>
        <v>0</v>
      </c>
      <c r="AM84" s="8" t="s">
        <v>23</v>
      </c>
      <c r="AN84" s="13">
        <f>SUM(AI83:AN83)</f>
        <v>0</v>
      </c>
    </row>
    <row r="85" spans="1:40" ht="15.75" thickBot="1" x14ac:dyDescent="0.3">
      <c r="A85" s="19"/>
      <c r="B85" s="99" t="s">
        <v>18</v>
      </c>
      <c r="C85" s="99"/>
      <c r="D85" s="99"/>
      <c r="E85" s="99"/>
      <c r="F85" s="99"/>
      <c r="G85" s="99"/>
      <c r="H85" s="99"/>
      <c r="J85" s="100" t="s">
        <v>18</v>
      </c>
      <c r="K85" s="100"/>
      <c r="L85" s="100"/>
      <c r="M85" s="100"/>
      <c r="N85" s="100"/>
      <c r="O85" s="100"/>
      <c r="P85" s="100"/>
      <c r="Q85" s="100"/>
      <c r="R85" s="100"/>
      <c r="S85" s="100"/>
      <c r="T85" s="100"/>
      <c r="U85" s="100"/>
      <c r="Y85" s="101" t="str">
        <f>J85</f>
        <v>Setembro</v>
      </c>
      <c r="Z85" s="101"/>
      <c r="AA85" s="101"/>
      <c r="AB85" s="101"/>
      <c r="AC85" s="101"/>
      <c r="AD85" s="101"/>
      <c r="AE85" s="101"/>
      <c r="AH85" s="102" t="str">
        <f>Y85</f>
        <v>Setembro</v>
      </c>
      <c r="AI85" s="102"/>
      <c r="AJ85" s="102"/>
      <c r="AK85" s="102"/>
      <c r="AL85" s="102"/>
      <c r="AM85" s="102"/>
      <c r="AN85" s="102"/>
    </row>
    <row r="86" spans="1:40" ht="15.75" thickBot="1" x14ac:dyDescent="0.3">
      <c r="A86" s="97"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Y86" s="6" t="s">
        <v>4</v>
      </c>
      <c r="Z86" s="9"/>
      <c r="AA86" s="4"/>
      <c r="AB86" s="4"/>
      <c r="AC86" s="4"/>
      <c r="AD86" s="4"/>
      <c r="AE86" s="5"/>
      <c r="AH86" s="6" t="s">
        <v>4</v>
      </c>
      <c r="AI86" s="9"/>
      <c r="AJ86" s="4"/>
      <c r="AK86" s="4"/>
      <c r="AL86" s="4"/>
      <c r="AM86" s="4"/>
      <c r="AN86" s="5"/>
    </row>
    <row r="87" spans="1:40" ht="15.75" thickBot="1" x14ac:dyDescent="0.3">
      <c r="A87" s="97"/>
      <c r="B87" s="26"/>
      <c r="C87" s="27"/>
      <c r="D87" s="27"/>
      <c r="E87" s="27"/>
      <c r="F87" s="27">
        <f>SUM(C87-B87)</f>
        <v>0</v>
      </c>
      <c r="G87" s="20">
        <f>SUM(E87-D87)</f>
        <v>0</v>
      </c>
      <c r="H87" s="21">
        <f>SUM(F87:G87)</f>
        <v>0</v>
      </c>
      <c r="J87" s="7" t="s">
        <v>22</v>
      </c>
      <c r="K87" s="10"/>
      <c r="L87" s="11"/>
      <c r="M87" s="11"/>
      <c r="N87" s="11"/>
      <c r="O87" s="11"/>
      <c r="P87" s="11"/>
      <c r="Q87" s="11"/>
      <c r="R87" s="11"/>
      <c r="S87" s="11"/>
      <c r="T87" s="11"/>
      <c r="U87" s="12"/>
      <c r="Y87" s="7" t="s">
        <v>22</v>
      </c>
      <c r="Z87" s="10"/>
      <c r="AA87" s="11"/>
      <c r="AB87" s="11"/>
      <c r="AC87" s="11"/>
      <c r="AD87" s="11"/>
      <c r="AE87" s="12"/>
      <c r="AH87" s="7" t="s">
        <v>22</v>
      </c>
      <c r="AI87" s="10"/>
      <c r="AJ87" s="11"/>
      <c r="AK87" s="11"/>
      <c r="AL87" s="11"/>
      <c r="AM87" s="11"/>
      <c r="AN87" s="12"/>
    </row>
    <row r="88" spans="1:40" x14ac:dyDescent="0.25">
      <c r="J88" s="8"/>
      <c r="T88" s="8" t="s">
        <v>23</v>
      </c>
      <c r="U88" s="13">
        <f>SUM(K87:U87)</f>
        <v>0</v>
      </c>
      <c r="AD88" s="8" t="s">
        <v>23</v>
      </c>
      <c r="AE88" s="13">
        <f>SUM(Z87:AE87)</f>
        <v>0</v>
      </c>
      <c r="AM88" s="8" t="s">
        <v>23</v>
      </c>
      <c r="AN88" s="13">
        <f>SUM(AI87:AN87)</f>
        <v>0</v>
      </c>
    </row>
  </sheetData>
  <mergeCells count="110">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B53:H53"/>
    <mergeCell ref="J53:U53"/>
    <mergeCell ref="Y53:AE53"/>
    <mergeCell ref="AH53:AN53"/>
    <mergeCell ref="A54:A5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B61:H61"/>
    <mergeCell ref="J61:U61"/>
    <mergeCell ref="Y61:AE61"/>
    <mergeCell ref="AH61:AN61"/>
    <mergeCell ref="A62:A63"/>
    <mergeCell ref="B57:H57"/>
    <mergeCell ref="J57:U57"/>
    <mergeCell ref="Y57:AE57"/>
    <mergeCell ref="AH57:AN57"/>
    <mergeCell ref="A58:A59"/>
    <mergeCell ref="B69:H69"/>
    <mergeCell ref="J69:U69"/>
    <mergeCell ref="Y69:AE69"/>
    <mergeCell ref="AH69:AN69"/>
    <mergeCell ref="A70:A71"/>
    <mergeCell ref="B65:H65"/>
    <mergeCell ref="J65:U65"/>
    <mergeCell ref="Y65:AE65"/>
    <mergeCell ref="AH65:AN65"/>
    <mergeCell ref="A66:A67"/>
    <mergeCell ref="B77:H77"/>
    <mergeCell ref="J77:U77"/>
    <mergeCell ref="Y77:AE77"/>
    <mergeCell ref="AH77:AN77"/>
    <mergeCell ref="A78:A79"/>
    <mergeCell ref="B73:H73"/>
    <mergeCell ref="J73:U73"/>
    <mergeCell ref="Y73:AE73"/>
    <mergeCell ref="AH73:AN73"/>
    <mergeCell ref="A74:A75"/>
    <mergeCell ref="B85:H85"/>
    <mergeCell ref="J85:U85"/>
    <mergeCell ref="Y85:AE85"/>
    <mergeCell ref="AH85:AN85"/>
    <mergeCell ref="A86:A87"/>
    <mergeCell ref="B81:H81"/>
    <mergeCell ref="J81:U81"/>
    <mergeCell ref="Y81:AE81"/>
    <mergeCell ref="AH81:AN81"/>
    <mergeCell ref="A82:A83"/>
  </mergeCells>
  <pageMargins left="0.511811024" right="0.511811024" top="0.78740157499999996" bottom="0.78740157499999996" header="0.31496062000000002" footer="0.31496062000000002"/>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N89"/>
  <sheetViews>
    <sheetView showGridLines="0" topLeftCell="A7" zoomScaleNormal="100" workbookViewId="0">
      <selection activeCell="I59" sqref="I59"/>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1.42578125" bestFit="1" customWidth="1"/>
    <col min="10" max="10" width="13.42578125" bestFit="1" customWidth="1"/>
    <col min="11" max="16" width="11.28515625" bestFit="1" customWidth="1"/>
    <col min="17" max="18" width="10.42578125" bestFit="1" customWidth="1"/>
    <col min="21" max="21" width="12.85546875" bestFit="1" customWidth="1"/>
    <col min="24" max="26" width="10.42578125" bestFit="1" customWidth="1"/>
    <col min="29" max="29" width="15.85546875" bestFit="1" customWidth="1"/>
    <col min="32" max="32" width="10.42578125" bestFit="1" customWidth="1"/>
    <col min="34" max="36" width="10.140625" bestFit="1" customWidth="1"/>
    <col min="37" max="37" width="10.5703125" bestFit="1" customWidth="1"/>
  </cols>
  <sheetData>
    <row r="2" spans="1:37" x14ac:dyDescent="0.25">
      <c r="A2" t="s">
        <v>0</v>
      </c>
      <c r="B2" s="94" t="s">
        <v>82</v>
      </c>
      <c r="C2" s="94"/>
      <c r="D2" s="1" t="s">
        <v>1</v>
      </c>
      <c r="E2" s="94" t="s">
        <v>84</v>
      </c>
      <c r="F2" s="94"/>
      <c r="H2" t="s">
        <v>91</v>
      </c>
      <c r="I2" s="75">
        <v>3000</v>
      </c>
    </row>
    <row r="3" spans="1:37" x14ac:dyDescent="0.25">
      <c r="A3" s="78" t="s">
        <v>95</v>
      </c>
      <c r="B3" s="77">
        <v>45819</v>
      </c>
      <c r="C3" s="73"/>
      <c r="D3" s="1" t="s">
        <v>1</v>
      </c>
      <c r="E3" s="94" t="s">
        <v>84</v>
      </c>
      <c r="F3" s="94"/>
      <c r="H3" t="s">
        <v>97</v>
      </c>
      <c r="I3" s="67" t="s">
        <v>96</v>
      </c>
    </row>
    <row r="4" spans="1:37" x14ac:dyDescent="0.25">
      <c r="A4" t="s">
        <v>79</v>
      </c>
      <c r="B4" s="94"/>
      <c r="C4" s="94"/>
      <c r="D4" s="1" t="s">
        <v>1</v>
      </c>
      <c r="E4" s="94"/>
      <c r="F4" s="94"/>
      <c r="H4" t="s">
        <v>80</v>
      </c>
      <c r="I4" s="54"/>
    </row>
    <row r="5" spans="1:37" x14ac:dyDescent="0.25">
      <c r="A5" t="s">
        <v>2</v>
      </c>
      <c r="B5" s="95">
        <v>7553</v>
      </c>
      <c r="C5" s="95"/>
      <c r="D5" s="1" t="s">
        <v>29</v>
      </c>
      <c r="E5" s="109">
        <v>45</v>
      </c>
      <c r="F5" s="94"/>
      <c r="H5" t="s">
        <v>70</v>
      </c>
      <c r="I5" s="76">
        <v>45714</v>
      </c>
      <c r="J5" t="s">
        <v>135</v>
      </c>
      <c r="K5" s="76">
        <v>46112</v>
      </c>
    </row>
    <row r="8" spans="1:37" ht="21" x14ac:dyDescent="0.35">
      <c r="A8" s="96" t="s">
        <v>28</v>
      </c>
      <c r="B8" s="96"/>
      <c r="C8" s="96"/>
      <c r="D8" s="96"/>
      <c r="E8" s="96"/>
      <c r="F8" s="96"/>
      <c r="G8" s="96"/>
      <c r="H8" s="96"/>
      <c r="J8" s="103" t="s">
        <v>26</v>
      </c>
      <c r="K8" s="103"/>
      <c r="L8" s="103"/>
      <c r="M8" s="103"/>
      <c r="N8" s="103"/>
      <c r="O8" s="103"/>
      <c r="P8" s="103"/>
      <c r="Q8" s="103"/>
      <c r="R8" s="103"/>
      <c r="S8" s="103"/>
      <c r="T8" s="103"/>
      <c r="U8" s="103"/>
      <c r="V8" s="2"/>
      <c r="W8" s="98" t="s">
        <v>25</v>
      </c>
      <c r="X8" s="98"/>
      <c r="Y8" s="98"/>
      <c r="Z8" s="98"/>
      <c r="AA8" s="98"/>
      <c r="AB8" s="98"/>
      <c r="AC8" s="98"/>
      <c r="AD8" s="2"/>
      <c r="AE8" s="98" t="s">
        <v>27</v>
      </c>
      <c r="AF8" s="98"/>
      <c r="AG8" s="98"/>
      <c r="AH8" s="98"/>
      <c r="AI8" s="98"/>
      <c r="AJ8" s="98"/>
      <c r="AK8" s="98"/>
    </row>
    <row r="9" spans="1:37" s="15" customFormat="1" ht="21" x14ac:dyDescent="0.35">
      <c r="A9" s="14"/>
      <c r="B9" s="14"/>
      <c r="C9" s="14"/>
      <c r="D9" s="14"/>
      <c r="E9" s="14"/>
      <c r="F9" s="14"/>
      <c r="G9" s="14"/>
      <c r="H9" s="14"/>
      <c r="J9" s="16"/>
      <c r="K9" s="16"/>
      <c r="L9" s="16"/>
      <c r="M9" s="16"/>
      <c r="N9" s="16"/>
      <c r="O9" s="16"/>
      <c r="P9" s="16"/>
      <c r="Q9" s="16"/>
      <c r="R9" s="16"/>
      <c r="S9" s="16"/>
      <c r="T9" s="16"/>
      <c r="U9" s="16"/>
      <c r="V9" s="17"/>
      <c r="W9" s="18"/>
      <c r="X9" s="18"/>
      <c r="Y9" s="18"/>
      <c r="Z9" s="18"/>
      <c r="AA9" s="18"/>
      <c r="AB9" s="18"/>
      <c r="AC9" s="18"/>
      <c r="AD9" s="17"/>
      <c r="AE9" s="18"/>
      <c r="AF9" s="18"/>
      <c r="AG9" s="18"/>
      <c r="AH9" s="18"/>
      <c r="AI9" s="18"/>
      <c r="AJ9" s="18"/>
      <c r="AK9" s="18"/>
    </row>
    <row r="10" spans="1:37" ht="15.75" thickBot="1" x14ac:dyDescent="0.3">
      <c r="A10" s="19"/>
      <c r="B10" s="99" t="s">
        <v>3</v>
      </c>
      <c r="C10" s="99"/>
      <c r="D10" s="99"/>
      <c r="E10" s="99"/>
      <c r="F10" s="99"/>
      <c r="G10" s="99"/>
      <c r="H10" s="99"/>
      <c r="J10" s="100" t="s">
        <v>3</v>
      </c>
      <c r="K10" s="100"/>
      <c r="L10" s="100"/>
      <c r="M10" s="100"/>
      <c r="N10" s="100"/>
      <c r="O10" s="100"/>
      <c r="P10" s="100"/>
      <c r="Q10" s="100"/>
      <c r="R10" s="100"/>
      <c r="S10" s="100"/>
      <c r="T10" s="100"/>
      <c r="U10" s="100"/>
      <c r="W10" s="101" t="s">
        <v>3</v>
      </c>
      <c r="X10" s="101"/>
      <c r="Y10" s="101"/>
      <c r="Z10" s="101"/>
      <c r="AA10" s="101"/>
      <c r="AB10" s="101"/>
      <c r="AC10" s="101"/>
      <c r="AE10" s="102" t="s">
        <v>3</v>
      </c>
      <c r="AF10" s="102"/>
      <c r="AG10" s="102"/>
      <c r="AH10" s="102"/>
      <c r="AI10" s="102"/>
      <c r="AJ10" s="102"/>
      <c r="AK10" s="102"/>
    </row>
    <row r="11" spans="1:37" ht="15.75" thickBot="1" x14ac:dyDescent="0.3">
      <c r="A11" s="97" t="s">
        <v>5</v>
      </c>
      <c r="B11" s="34" t="s">
        <v>6</v>
      </c>
      <c r="C11" s="22" t="s">
        <v>7</v>
      </c>
      <c r="D11" s="33" t="s">
        <v>8</v>
      </c>
      <c r="E11" s="22" t="s">
        <v>9</v>
      </c>
      <c r="F11" s="24" t="s">
        <v>10</v>
      </c>
      <c r="G11" s="23" t="s">
        <v>11</v>
      </c>
      <c r="H11" s="25" t="s">
        <v>12</v>
      </c>
      <c r="J11" s="28" t="s">
        <v>4</v>
      </c>
      <c r="K11" s="9"/>
      <c r="L11" s="66"/>
      <c r="M11" s="66"/>
      <c r="N11" s="4"/>
      <c r="O11" s="4"/>
      <c r="P11" s="4"/>
      <c r="Q11" s="4"/>
      <c r="R11" s="4"/>
      <c r="S11" s="4"/>
      <c r="T11" s="4"/>
      <c r="U11" s="5"/>
      <c r="W11" s="6" t="s">
        <v>4</v>
      </c>
      <c r="X11" s="9"/>
      <c r="Y11" s="4"/>
      <c r="Z11" s="4"/>
      <c r="AA11" s="4"/>
      <c r="AB11" s="4"/>
      <c r="AC11" s="5"/>
      <c r="AE11" s="6" t="s">
        <v>4</v>
      </c>
      <c r="AF11" s="9"/>
      <c r="AG11" s="4"/>
      <c r="AH11" s="4"/>
      <c r="AI11" s="4"/>
      <c r="AJ11" s="4"/>
      <c r="AK11" s="5"/>
    </row>
    <row r="12" spans="1:37" ht="15.75" thickBot="1" x14ac:dyDescent="0.3">
      <c r="A12" s="97"/>
      <c r="B12" s="26"/>
      <c r="C12" s="27"/>
      <c r="D12" s="27">
        <v>79</v>
      </c>
      <c r="E12" s="27">
        <v>405</v>
      </c>
      <c r="F12" s="27">
        <f>SUM(C12-B12)</f>
        <v>0</v>
      </c>
      <c r="G12" s="20">
        <f>SUM(E12-D12)</f>
        <v>326</v>
      </c>
      <c r="H12" s="21">
        <f>SUM(F12:G12)</f>
        <v>326</v>
      </c>
      <c r="J12" s="29" t="s">
        <v>22</v>
      </c>
      <c r="K12" s="10"/>
      <c r="L12" s="11"/>
      <c r="M12" s="11"/>
      <c r="N12" s="11"/>
      <c r="O12" s="11"/>
      <c r="P12" s="11"/>
      <c r="Q12" s="11"/>
      <c r="R12" s="11"/>
      <c r="S12" s="11"/>
      <c r="T12" s="11"/>
      <c r="U12" s="12"/>
      <c r="W12" s="7" t="s">
        <v>22</v>
      </c>
      <c r="X12" s="10"/>
      <c r="Y12" s="11"/>
      <c r="Z12" s="11"/>
      <c r="AA12" s="11"/>
      <c r="AB12" s="11"/>
      <c r="AC12" s="12"/>
      <c r="AE12" s="7" t="s">
        <v>22</v>
      </c>
      <c r="AF12" s="10"/>
      <c r="AG12" s="11"/>
      <c r="AH12" s="11"/>
      <c r="AI12" s="11"/>
      <c r="AJ12" s="11"/>
      <c r="AK12" s="12"/>
    </row>
    <row r="13" spans="1:37" x14ac:dyDescent="0.25">
      <c r="J13" s="8"/>
      <c r="T13" s="8" t="s">
        <v>23</v>
      </c>
      <c r="U13" s="13">
        <f>SUM(K12:U12)</f>
        <v>0</v>
      </c>
      <c r="AB13" s="8" t="s">
        <v>23</v>
      </c>
      <c r="AC13" s="13">
        <f>SUM(X12:AC12)</f>
        <v>0</v>
      </c>
      <c r="AJ13" s="8" t="s">
        <v>23</v>
      </c>
      <c r="AK13" s="13">
        <f>SUM(AF12:AK12)</f>
        <v>0</v>
      </c>
    </row>
    <row r="14" spans="1:37" ht="15.75" thickBot="1" x14ac:dyDescent="0.3">
      <c r="A14" s="19"/>
      <c r="B14" s="99" t="s">
        <v>13</v>
      </c>
      <c r="C14" s="99"/>
      <c r="D14" s="99"/>
      <c r="E14" s="99"/>
      <c r="F14" s="99"/>
      <c r="G14" s="99"/>
      <c r="H14" s="99"/>
      <c r="J14" s="100" t="s">
        <v>13</v>
      </c>
      <c r="K14" s="100"/>
      <c r="L14" s="100"/>
      <c r="M14" s="100"/>
      <c r="N14" s="100"/>
      <c r="O14" s="100"/>
      <c r="P14" s="100"/>
      <c r="Q14" s="100"/>
      <c r="R14" s="100"/>
      <c r="S14" s="100"/>
      <c r="T14" s="100"/>
      <c r="U14" s="100"/>
      <c r="W14" s="101" t="str">
        <f>J14</f>
        <v>Março</v>
      </c>
      <c r="X14" s="101"/>
      <c r="Y14" s="101"/>
      <c r="Z14" s="101"/>
      <c r="AA14" s="101"/>
      <c r="AB14" s="101"/>
      <c r="AC14" s="101"/>
      <c r="AE14" s="102" t="str">
        <f>W14</f>
        <v>Março</v>
      </c>
      <c r="AF14" s="102"/>
      <c r="AG14" s="102"/>
      <c r="AH14" s="102"/>
      <c r="AI14" s="102"/>
      <c r="AJ14" s="102"/>
      <c r="AK14" s="102"/>
    </row>
    <row r="15" spans="1:37" ht="15.75" thickBot="1" x14ac:dyDescent="0.3">
      <c r="A15" s="97" t="s">
        <v>5</v>
      </c>
      <c r="B15" s="34" t="s">
        <v>6</v>
      </c>
      <c r="C15" s="22" t="s">
        <v>7</v>
      </c>
      <c r="D15" s="33" t="s">
        <v>8</v>
      </c>
      <c r="E15" s="22" t="s">
        <v>9</v>
      </c>
      <c r="F15" s="24" t="s">
        <v>10</v>
      </c>
      <c r="G15" s="23" t="s">
        <v>11</v>
      </c>
      <c r="H15" s="25" t="s">
        <v>12</v>
      </c>
      <c r="J15" s="6" t="s">
        <v>4</v>
      </c>
      <c r="K15" s="9">
        <v>45724</v>
      </c>
      <c r="L15" s="66">
        <v>45727</v>
      </c>
      <c r="M15" s="66">
        <v>45731</v>
      </c>
      <c r="N15" s="66">
        <v>45734</v>
      </c>
      <c r="O15" s="66">
        <v>45738</v>
      </c>
      <c r="P15" s="66">
        <v>45744</v>
      </c>
      <c r="Q15" s="4"/>
      <c r="R15" s="4"/>
      <c r="S15" s="4"/>
      <c r="T15" s="4"/>
      <c r="U15" s="5"/>
      <c r="W15" s="6" t="s">
        <v>4</v>
      </c>
      <c r="X15" s="9"/>
      <c r="Y15" s="4"/>
      <c r="Z15" s="4"/>
      <c r="AA15" s="4"/>
      <c r="AB15" s="4"/>
      <c r="AC15" s="5"/>
      <c r="AE15" s="6" t="s">
        <v>4</v>
      </c>
      <c r="AF15" s="9"/>
      <c r="AG15" s="4"/>
      <c r="AH15" s="4"/>
      <c r="AI15" s="4"/>
      <c r="AJ15" s="4"/>
      <c r="AK15" s="5"/>
    </row>
    <row r="16" spans="1:37" ht="15.75" thickBot="1" x14ac:dyDescent="0.3">
      <c r="A16" s="97"/>
      <c r="B16" s="26">
        <v>405</v>
      </c>
      <c r="C16" s="27">
        <v>1709</v>
      </c>
      <c r="D16" s="27">
        <v>1709</v>
      </c>
      <c r="E16" s="27">
        <v>3888</v>
      </c>
      <c r="F16" s="27">
        <f>SUM(C16-B16)</f>
        <v>1304</v>
      </c>
      <c r="G16" s="20">
        <f>SUM(E16-D16)</f>
        <v>2179</v>
      </c>
      <c r="H16" s="21">
        <f>SUM(F16:G16)</f>
        <v>3483</v>
      </c>
      <c r="J16" s="7" t="s">
        <v>22</v>
      </c>
      <c r="K16" s="10">
        <v>362.65</v>
      </c>
      <c r="L16" s="11">
        <v>236.93</v>
      </c>
      <c r="M16" s="11">
        <v>258.83</v>
      </c>
      <c r="N16" s="11">
        <v>222.68</v>
      </c>
      <c r="O16" s="11">
        <v>327.20999999999998</v>
      </c>
      <c r="P16" s="11">
        <v>395.75</v>
      </c>
      <c r="Q16" s="11"/>
      <c r="R16" s="11"/>
      <c r="S16" s="11"/>
      <c r="T16" s="11"/>
      <c r="U16" s="12"/>
      <c r="W16" s="7" t="s">
        <v>22</v>
      </c>
      <c r="X16" s="10"/>
      <c r="Y16" s="11"/>
      <c r="Z16" s="11"/>
      <c r="AA16" s="11"/>
      <c r="AB16" s="11"/>
      <c r="AC16" s="12"/>
      <c r="AE16" s="7" t="s">
        <v>22</v>
      </c>
      <c r="AF16" s="10"/>
      <c r="AG16" s="11"/>
      <c r="AH16" s="11"/>
      <c r="AI16" s="11"/>
      <c r="AJ16" s="11"/>
      <c r="AK16" s="12"/>
    </row>
    <row r="17" spans="1:37" x14ac:dyDescent="0.25">
      <c r="J17" s="8"/>
      <c r="T17" s="8" t="s">
        <v>23</v>
      </c>
      <c r="U17" s="13">
        <f>SUM(K16:U16)</f>
        <v>1804.05</v>
      </c>
      <c r="AB17" s="8" t="s">
        <v>23</v>
      </c>
      <c r="AC17" s="13">
        <f>SUM(X16:AC16)</f>
        <v>0</v>
      </c>
      <c r="AJ17" s="8" t="s">
        <v>23</v>
      </c>
      <c r="AK17" s="13">
        <f>SUM(AF16:AK16)</f>
        <v>0</v>
      </c>
    </row>
    <row r="18" spans="1:37" ht="15.75" thickBot="1" x14ac:dyDescent="0.3">
      <c r="A18" s="19"/>
      <c r="B18" s="99" t="s">
        <v>14</v>
      </c>
      <c r="C18" s="99"/>
      <c r="D18" s="99"/>
      <c r="E18" s="99"/>
      <c r="F18" s="99"/>
      <c r="G18" s="99"/>
      <c r="H18" s="99"/>
      <c r="J18" s="100" t="s">
        <v>14</v>
      </c>
      <c r="K18" s="100"/>
      <c r="L18" s="100"/>
      <c r="M18" s="100"/>
      <c r="N18" s="100"/>
      <c r="O18" s="100"/>
      <c r="P18" s="100"/>
      <c r="Q18" s="100"/>
      <c r="R18" s="100"/>
      <c r="S18" s="100"/>
      <c r="T18" s="100"/>
      <c r="U18" s="100"/>
      <c r="W18" s="101" t="str">
        <f>J18</f>
        <v>Abril</v>
      </c>
      <c r="X18" s="101"/>
      <c r="Y18" s="101"/>
      <c r="Z18" s="101"/>
      <c r="AA18" s="101"/>
      <c r="AB18" s="101"/>
      <c r="AC18" s="101"/>
      <c r="AE18" s="102" t="str">
        <f>W18</f>
        <v>Abril</v>
      </c>
      <c r="AF18" s="102"/>
      <c r="AG18" s="102"/>
      <c r="AH18" s="102"/>
      <c r="AI18" s="102"/>
      <c r="AJ18" s="102"/>
      <c r="AK18" s="102"/>
    </row>
    <row r="19" spans="1:37" ht="15.75" thickBot="1" x14ac:dyDescent="0.3">
      <c r="A19" s="97" t="s">
        <v>5</v>
      </c>
      <c r="B19" s="34" t="s">
        <v>6</v>
      </c>
      <c r="C19" s="22" t="s">
        <v>7</v>
      </c>
      <c r="D19" s="33" t="s">
        <v>8</v>
      </c>
      <c r="E19" s="22" t="s">
        <v>9</v>
      </c>
      <c r="F19" s="24" t="s">
        <v>10</v>
      </c>
      <c r="G19" s="23" t="s">
        <v>11</v>
      </c>
      <c r="H19" s="25" t="s">
        <v>12</v>
      </c>
      <c r="J19" s="6" t="s">
        <v>4</v>
      </c>
      <c r="K19" s="9">
        <v>45750</v>
      </c>
      <c r="L19" s="66">
        <v>45755</v>
      </c>
      <c r="M19" s="66">
        <v>45761</v>
      </c>
      <c r="N19" s="66">
        <v>45764</v>
      </c>
      <c r="O19" s="66">
        <v>45773</v>
      </c>
      <c r="P19" s="4"/>
      <c r="Q19" s="4"/>
      <c r="R19" s="4"/>
      <c r="S19" s="4"/>
      <c r="T19" s="4"/>
      <c r="U19" s="5"/>
      <c r="W19" s="6" t="s">
        <v>4</v>
      </c>
      <c r="X19" s="9"/>
      <c r="Y19" s="4"/>
      <c r="Z19" s="4"/>
      <c r="AA19" s="4"/>
      <c r="AB19" s="4"/>
      <c r="AC19" s="5"/>
      <c r="AE19" s="6" t="s">
        <v>4</v>
      </c>
      <c r="AF19" s="9"/>
      <c r="AG19" s="4"/>
      <c r="AH19" s="4"/>
      <c r="AI19" s="4"/>
      <c r="AJ19" s="4"/>
      <c r="AK19" s="5"/>
    </row>
    <row r="20" spans="1:37" ht="15.75" thickBot="1" x14ac:dyDescent="0.3">
      <c r="A20" s="97"/>
      <c r="B20" s="27">
        <v>3888</v>
      </c>
      <c r="C20" s="27">
        <v>5313</v>
      </c>
      <c r="D20" s="27">
        <v>5313</v>
      </c>
      <c r="E20" s="27">
        <v>7156</v>
      </c>
      <c r="F20" s="27">
        <f>SUM(C20-B20)</f>
        <v>1425</v>
      </c>
      <c r="G20" s="20">
        <f>SUM(E20-D20)</f>
        <v>1843</v>
      </c>
      <c r="H20" s="21">
        <f>SUM(F20:G20)</f>
        <v>3268</v>
      </c>
      <c r="J20" s="7" t="s">
        <v>22</v>
      </c>
      <c r="K20" s="30">
        <v>425.6</v>
      </c>
      <c r="L20" s="31">
        <v>396.25</v>
      </c>
      <c r="M20" s="31">
        <v>398.98</v>
      </c>
      <c r="N20" s="31">
        <v>211.68</v>
      </c>
      <c r="O20" s="31">
        <v>333.94</v>
      </c>
      <c r="P20" s="31"/>
      <c r="Q20" s="31"/>
      <c r="R20" s="31"/>
      <c r="S20" s="31"/>
      <c r="T20" s="31"/>
      <c r="U20" s="32"/>
      <c r="W20" s="7" t="s">
        <v>22</v>
      </c>
      <c r="X20" s="10"/>
      <c r="Y20" s="11"/>
      <c r="Z20" s="11"/>
      <c r="AA20" s="11"/>
      <c r="AB20" s="11"/>
      <c r="AC20" s="12"/>
      <c r="AE20" s="7" t="s">
        <v>22</v>
      </c>
      <c r="AF20" s="10"/>
      <c r="AG20" s="11"/>
      <c r="AH20" s="11"/>
      <c r="AI20" s="11"/>
      <c r="AJ20" s="11"/>
      <c r="AK20" s="12"/>
    </row>
    <row r="21" spans="1:37" x14ac:dyDescent="0.25">
      <c r="J21" s="8"/>
      <c r="T21" s="8" t="s">
        <v>23</v>
      </c>
      <c r="U21" s="13">
        <f>SUM(K20:U20)</f>
        <v>1766.45</v>
      </c>
      <c r="AB21" s="8" t="s">
        <v>23</v>
      </c>
      <c r="AC21" s="13">
        <f>SUM(X20:AC20)</f>
        <v>0</v>
      </c>
      <c r="AJ21" s="8" t="s">
        <v>23</v>
      </c>
      <c r="AK21" s="13">
        <f>SUM(AF20:AK20)</f>
        <v>0</v>
      </c>
    </row>
    <row r="22" spans="1:37" ht="15.75" thickBot="1" x14ac:dyDescent="0.3">
      <c r="A22" s="19"/>
      <c r="B22" s="99" t="s">
        <v>15</v>
      </c>
      <c r="C22" s="99"/>
      <c r="D22" s="99"/>
      <c r="E22" s="99"/>
      <c r="F22" s="99"/>
      <c r="G22" s="99"/>
      <c r="H22" s="99"/>
      <c r="J22" s="100" t="s">
        <v>15</v>
      </c>
      <c r="K22" s="100"/>
      <c r="L22" s="100"/>
      <c r="M22" s="100"/>
      <c r="N22" s="100"/>
      <c r="O22" s="100"/>
      <c r="P22" s="100"/>
      <c r="Q22" s="100"/>
      <c r="R22" s="100"/>
      <c r="S22" s="100"/>
      <c r="T22" s="100"/>
      <c r="U22" s="100"/>
      <c r="W22" s="101" t="str">
        <f>J22</f>
        <v>Maio</v>
      </c>
      <c r="X22" s="101"/>
      <c r="Y22" s="101"/>
      <c r="Z22" s="101"/>
      <c r="AA22" s="101"/>
      <c r="AB22" s="101"/>
      <c r="AC22" s="101"/>
      <c r="AE22" s="102" t="str">
        <f>W22</f>
        <v>Maio</v>
      </c>
      <c r="AF22" s="102"/>
      <c r="AG22" s="102"/>
      <c r="AH22" s="102"/>
      <c r="AI22" s="102"/>
      <c r="AJ22" s="102"/>
      <c r="AK22" s="102"/>
    </row>
    <row r="23" spans="1:37" ht="15.75" thickBot="1" x14ac:dyDescent="0.3">
      <c r="A23" s="97" t="s">
        <v>5</v>
      </c>
      <c r="B23" s="34" t="s">
        <v>6</v>
      </c>
      <c r="C23" s="22" t="s">
        <v>7</v>
      </c>
      <c r="D23" s="33" t="s">
        <v>8</v>
      </c>
      <c r="E23" s="22" t="s">
        <v>9</v>
      </c>
      <c r="F23" s="24" t="s">
        <v>10</v>
      </c>
      <c r="G23" s="23" t="s">
        <v>11</v>
      </c>
      <c r="H23" s="25" t="s">
        <v>12</v>
      </c>
      <c r="J23" s="6" t="s">
        <v>4</v>
      </c>
      <c r="K23" s="9">
        <v>45780</v>
      </c>
      <c r="L23" s="66">
        <v>45785</v>
      </c>
      <c r="M23" s="66">
        <v>45787</v>
      </c>
      <c r="N23" s="66">
        <v>45790</v>
      </c>
      <c r="O23" s="66">
        <v>45794</v>
      </c>
      <c r="P23" s="66">
        <v>45799</v>
      </c>
      <c r="Q23" s="66">
        <v>45801</v>
      </c>
      <c r="R23" s="66">
        <v>45804</v>
      </c>
      <c r="S23" s="4"/>
      <c r="T23" s="4"/>
      <c r="U23" s="5"/>
      <c r="W23" s="6" t="s">
        <v>4</v>
      </c>
      <c r="X23" s="9"/>
      <c r="Y23" s="4"/>
      <c r="Z23" s="4"/>
      <c r="AA23" s="4"/>
      <c r="AB23" s="4"/>
      <c r="AC23" s="5"/>
      <c r="AE23" s="6" t="s">
        <v>4</v>
      </c>
      <c r="AF23" s="9"/>
      <c r="AG23" s="4"/>
      <c r="AH23" s="4"/>
      <c r="AI23" s="4"/>
      <c r="AJ23" s="4"/>
      <c r="AK23" s="5"/>
    </row>
    <row r="24" spans="1:37" ht="15.75" thickBot="1" x14ac:dyDescent="0.3">
      <c r="A24" s="97"/>
      <c r="B24" s="27">
        <v>7156</v>
      </c>
      <c r="C24" s="27">
        <v>9263</v>
      </c>
      <c r="D24" s="27">
        <v>9263</v>
      </c>
      <c r="E24" s="27">
        <v>11333</v>
      </c>
      <c r="F24" s="27">
        <f>SUM(C24-B24)</f>
        <v>2107</v>
      </c>
      <c r="G24" s="20">
        <f>SUM(E24-D24)</f>
        <v>2070</v>
      </c>
      <c r="H24" s="21">
        <f>SUM(F24:G24)</f>
        <v>4177</v>
      </c>
      <c r="J24" s="7" t="s">
        <v>22</v>
      </c>
      <c r="K24" s="10">
        <v>395.85</v>
      </c>
      <c r="L24" s="11">
        <v>228.91</v>
      </c>
      <c r="M24" s="11">
        <v>112.39</v>
      </c>
      <c r="N24" s="11">
        <v>219.66</v>
      </c>
      <c r="O24" s="11">
        <v>199.33</v>
      </c>
      <c r="P24" s="11">
        <v>360.64</v>
      </c>
      <c r="Q24" s="11">
        <v>233.29</v>
      </c>
      <c r="R24" s="11">
        <v>149.53</v>
      </c>
      <c r="S24" s="11"/>
      <c r="T24" s="11"/>
      <c r="U24" s="12"/>
      <c r="W24" s="7" t="s">
        <v>22</v>
      </c>
      <c r="X24" s="10"/>
      <c r="Y24" s="11"/>
      <c r="Z24" s="11"/>
      <c r="AA24" s="11"/>
      <c r="AB24" s="11"/>
      <c r="AC24" s="12"/>
      <c r="AE24" s="7" t="s">
        <v>22</v>
      </c>
      <c r="AF24" s="10"/>
      <c r="AG24" s="11"/>
      <c r="AH24" s="11"/>
      <c r="AI24" s="11"/>
      <c r="AJ24" s="11"/>
      <c r="AK24" s="12"/>
    </row>
    <row r="25" spans="1:37" x14ac:dyDescent="0.25">
      <c r="J25" s="8"/>
      <c r="T25" s="8" t="s">
        <v>23</v>
      </c>
      <c r="U25" s="13">
        <f>SUM(K24:U24)</f>
        <v>1899.5999999999997</v>
      </c>
      <c r="AB25" s="8" t="s">
        <v>23</v>
      </c>
      <c r="AC25" s="13">
        <f>SUM(X24:AC24)</f>
        <v>0</v>
      </c>
      <c r="AJ25" s="8" t="s">
        <v>23</v>
      </c>
      <c r="AK25" s="13">
        <f>SUM(AF24:AK24)</f>
        <v>0</v>
      </c>
    </row>
    <row r="26" spans="1:37" ht="15.75" thickBot="1" x14ac:dyDescent="0.3">
      <c r="A26" s="19"/>
      <c r="B26" s="99" t="s">
        <v>24</v>
      </c>
      <c r="C26" s="99"/>
      <c r="D26" s="99"/>
      <c r="E26" s="99"/>
      <c r="F26" s="99"/>
      <c r="G26" s="99"/>
      <c r="H26" s="99"/>
      <c r="J26" s="100" t="s">
        <v>24</v>
      </c>
      <c r="K26" s="100"/>
      <c r="L26" s="100"/>
      <c r="M26" s="100"/>
      <c r="N26" s="100"/>
      <c r="O26" s="100"/>
      <c r="P26" s="100"/>
      <c r="Q26" s="100"/>
      <c r="R26" s="100"/>
      <c r="S26" s="100"/>
      <c r="T26" s="100"/>
      <c r="U26" s="100"/>
      <c r="W26" s="101" t="str">
        <f>J26</f>
        <v>Junho</v>
      </c>
      <c r="X26" s="101"/>
      <c r="Y26" s="101"/>
      <c r="Z26" s="101"/>
      <c r="AA26" s="101"/>
      <c r="AB26" s="101"/>
      <c r="AC26" s="101"/>
      <c r="AE26" s="102" t="str">
        <f>W26</f>
        <v>Junho</v>
      </c>
      <c r="AF26" s="102"/>
      <c r="AG26" s="102"/>
      <c r="AH26" s="102"/>
      <c r="AI26" s="102"/>
      <c r="AJ26" s="102"/>
      <c r="AK26" s="102"/>
    </row>
    <row r="27" spans="1:37" ht="15.75" thickBot="1" x14ac:dyDescent="0.3">
      <c r="A27" s="97" t="s">
        <v>5</v>
      </c>
      <c r="B27" s="34" t="s">
        <v>6</v>
      </c>
      <c r="C27" s="22" t="s">
        <v>7</v>
      </c>
      <c r="D27" s="33" t="s">
        <v>8</v>
      </c>
      <c r="E27" s="22" t="s">
        <v>9</v>
      </c>
      <c r="F27" s="24" t="s">
        <v>10</v>
      </c>
      <c r="G27" s="23" t="s">
        <v>11</v>
      </c>
      <c r="H27" s="25" t="s">
        <v>12</v>
      </c>
      <c r="J27" s="6" t="s">
        <v>4</v>
      </c>
      <c r="K27" s="9">
        <v>45811</v>
      </c>
      <c r="L27" s="66">
        <v>45818</v>
      </c>
      <c r="M27" s="66">
        <v>45822</v>
      </c>
      <c r="N27" s="66">
        <v>45825</v>
      </c>
      <c r="O27" s="66">
        <v>45832</v>
      </c>
      <c r="P27" s="66">
        <v>45834</v>
      </c>
      <c r="Q27" s="4"/>
      <c r="R27" s="4"/>
      <c r="S27" s="4"/>
      <c r="T27" s="4"/>
      <c r="U27" s="5"/>
      <c r="W27" s="6" t="s">
        <v>4</v>
      </c>
      <c r="X27" s="9"/>
      <c r="Y27" s="4"/>
      <c r="Z27" s="4"/>
      <c r="AA27" s="4"/>
      <c r="AB27" s="4"/>
      <c r="AC27" s="5"/>
      <c r="AE27" s="6" t="s">
        <v>4</v>
      </c>
      <c r="AF27" s="9"/>
      <c r="AG27" s="4"/>
      <c r="AH27" s="4"/>
      <c r="AI27" s="4"/>
      <c r="AJ27" s="4"/>
      <c r="AK27" s="5"/>
    </row>
    <row r="28" spans="1:37" ht="15.75" thickBot="1" x14ac:dyDescent="0.3">
      <c r="A28" s="97"/>
      <c r="B28" s="27">
        <v>11333</v>
      </c>
      <c r="C28" s="27">
        <v>13054</v>
      </c>
      <c r="D28" s="27">
        <v>13054</v>
      </c>
      <c r="E28" s="27">
        <v>15504</v>
      </c>
      <c r="F28" s="27">
        <f>SUM(C28-B28)</f>
        <v>1721</v>
      </c>
      <c r="G28" s="20">
        <f>SUM(E28-D28)</f>
        <v>2450</v>
      </c>
      <c r="H28" s="21">
        <f>SUM(F28:G28)</f>
        <v>4171</v>
      </c>
      <c r="J28" s="7" t="s">
        <v>22</v>
      </c>
      <c r="K28" s="10">
        <v>377.16</v>
      </c>
      <c r="L28" s="11">
        <v>334.88</v>
      </c>
      <c r="M28" s="11">
        <v>414.58</v>
      </c>
      <c r="N28" s="11">
        <v>314.67</v>
      </c>
      <c r="O28" s="11">
        <v>346.84</v>
      </c>
      <c r="P28" s="11">
        <v>185.27</v>
      </c>
      <c r="Q28" s="11"/>
      <c r="R28" s="11"/>
      <c r="S28" s="11"/>
      <c r="T28" s="11"/>
      <c r="U28" s="12"/>
      <c r="W28" s="7" t="s">
        <v>22</v>
      </c>
      <c r="X28" s="10"/>
      <c r="Y28" s="11"/>
      <c r="Z28" s="11"/>
      <c r="AA28" s="11"/>
      <c r="AB28" s="11"/>
      <c r="AC28" s="12"/>
      <c r="AE28" s="7" t="s">
        <v>22</v>
      </c>
      <c r="AF28" s="10"/>
      <c r="AG28" s="11"/>
      <c r="AH28" s="11"/>
      <c r="AI28" s="11"/>
      <c r="AJ28" s="11"/>
      <c r="AK28" s="12"/>
    </row>
    <row r="29" spans="1:37" x14ac:dyDescent="0.25">
      <c r="J29" s="8"/>
      <c r="T29" s="8" t="s">
        <v>23</v>
      </c>
      <c r="U29" s="13">
        <f>SUM(K28:U28)</f>
        <v>1973.3999999999999</v>
      </c>
      <c r="AB29" s="8" t="s">
        <v>23</v>
      </c>
      <c r="AC29" s="13">
        <f>SUM(X28:AC28)</f>
        <v>0</v>
      </c>
      <c r="AJ29" s="8" t="s">
        <v>23</v>
      </c>
      <c r="AK29" s="13">
        <f>SUM(AF28:AK28)</f>
        <v>0</v>
      </c>
    </row>
    <row r="30" spans="1:37" ht="15.75" thickBot="1" x14ac:dyDescent="0.3">
      <c r="A30" s="19"/>
      <c r="B30" s="99" t="s">
        <v>16</v>
      </c>
      <c r="C30" s="99"/>
      <c r="D30" s="99"/>
      <c r="E30" s="99"/>
      <c r="F30" s="99"/>
      <c r="G30" s="99"/>
      <c r="H30" s="99"/>
      <c r="J30" s="100" t="s">
        <v>16</v>
      </c>
      <c r="K30" s="100"/>
      <c r="L30" s="100"/>
      <c r="M30" s="100"/>
      <c r="N30" s="100"/>
      <c r="O30" s="100"/>
      <c r="P30" s="100"/>
      <c r="Q30" s="100"/>
      <c r="R30" s="100"/>
      <c r="S30" s="100"/>
      <c r="T30" s="100"/>
      <c r="U30" s="100"/>
      <c r="W30" s="101" t="str">
        <f>J30</f>
        <v>Julho</v>
      </c>
      <c r="X30" s="101"/>
      <c r="Y30" s="101"/>
      <c r="Z30" s="101"/>
      <c r="AA30" s="101"/>
      <c r="AB30" s="101"/>
      <c r="AC30" s="101"/>
      <c r="AE30" s="102" t="str">
        <f>W30</f>
        <v>Julho</v>
      </c>
      <c r="AF30" s="102"/>
      <c r="AG30" s="102"/>
      <c r="AH30" s="102"/>
      <c r="AI30" s="102"/>
      <c r="AJ30" s="102"/>
      <c r="AK30" s="102"/>
    </row>
    <row r="31" spans="1:37" ht="15.75" thickBot="1" x14ac:dyDescent="0.3">
      <c r="A31" s="97" t="s">
        <v>5</v>
      </c>
      <c r="B31" s="34" t="s">
        <v>6</v>
      </c>
      <c r="C31" s="22" t="s">
        <v>7</v>
      </c>
      <c r="D31" s="33" t="s">
        <v>8</v>
      </c>
      <c r="E31" s="22" t="s">
        <v>9</v>
      </c>
      <c r="F31" s="24" t="s">
        <v>10</v>
      </c>
      <c r="G31" s="23" t="s">
        <v>11</v>
      </c>
      <c r="H31" s="25" t="s">
        <v>12</v>
      </c>
      <c r="J31" s="6" t="s">
        <v>4</v>
      </c>
      <c r="K31" s="9">
        <v>45839</v>
      </c>
      <c r="L31" s="66">
        <v>45841</v>
      </c>
      <c r="M31" s="66">
        <v>45850</v>
      </c>
      <c r="N31" s="66">
        <v>45855</v>
      </c>
      <c r="O31" s="66">
        <v>45860</v>
      </c>
      <c r="P31" s="66">
        <v>45864</v>
      </c>
      <c r="Q31" s="66">
        <v>45869</v>
      </c>
      <c r="R31" s="4"/>
      <c r="S31" s="4"/>
      <c r="T31" s="4"/>
      <c r="U31" s="5"/>
      <c r="W31" s="6" t="s">
        <v>4</v>
      </c>
      <c r="X31" s="9"/>
      <c r="Y31" s="4"/>
      <c r="Z31" s="4"/>
      <c r="AA31" s="4"/>
      <c r="AB31" s="4"/>
      <c r="AC31" s="5"/>
      <c r="AE31" s="6" t="s">
        <v>4</v>
      </c>
      <c r="AF31" s="9"/>
      <c r="AG31" s="4"/>
      <c r="AH31" s="4"/>
      <c r="AI31" s="4"/>
      <c r="AJ31" s="4"/>
      <c r="AK31" s="5"/>
    </row>
    <row r="32" spans="1:37" ht="15.75" thickBot="1" x14ac:dyDescent="0.3">
      <c r="A32" s="97"/>
      <c r="B32" s="27">
        <v>15504</v>
      </c>
      <c r="C32" s="27">
        <v>16951</v>
      </c>
      <c r="D32" s="27">
        <v>16951</v>
      </c>
      <c r="E32" s="27">
        <v>18642</v>
      </c>
      <c r="F32" s="27">
        <f>SUM(C32-B32)</f>
        <v>1447</v>
      </c>
      <c r="G32" s="20">
        <f>SUM(E32-D32)</f>
        <v>1691</v>
      </c>
      <c r="H32" s="21">
        <f>SUM(F32:G32)</f>
        <v>3138</v>
      </c>
      <c r="J32" s="7" t="s">
        <v>22</v>
      </c>
      <c r="K32" s="10">
        <v>456.12</v>
      </c>
      <c r="L32" s="11">
        <v>345.3</v>
      </c>
      <c r="M32" s="11">
        <v>429.51</v>
      </c>
      <c r="N32" s="11">
        <v>292.16000000000003</v>
      </c>
      <c r="O32" s="11">
        <v>322.77999999999997</v>
      </c>
      <c r="P32" s="11">
        <v>260.97000000000003</v>
      </c>
      <c r="Q32" s="11">
        <v>289.5</v>
      </c>
      <c r="R32" s="11"/>
      <c r="S32" s="11"/>
      <c r="T32" s="11"/>
      <c r="U32" s="12"/>
      <c r="W32" s="7" t="s">
        <v>22</v>
      </c>
      <c r="X32" s="10"/>
      <c r="Y32" s="11"/>
      <c r="Z32" s="11"/>
      <c r="AA32" s="11"/>
      <c r="AB32" s="11"/>
      <c r="AC32" s="12"/>
      <c r="AE32" s="7" t="s">
        <v>22</v>
      </c>
      <c r="AF32" s="10"/>
      <c r="AG32" s="11"/>
      <c r="AH32" s="11"/>
      <c r="AI32" s="11"/>
      <c r="AJ32" s="11"/>
      <c r="AK32" s="12"/>
    </row>
    <row r="33" spans="1:37" x14ac:dyDescent="0.25">
      <c r="J33" s="8"/>
      <c r="T33" s="8" t="s">
        <v>23</v>
      </c>
      <c r="U33" s="13">
        <f>SUM(K32:U32)</f>
        <v>2396.34</v>
      </c>
      <c r="AB33" s="8" t="s">
        <v>23</v>
      </c>
      <c r="AC33" s="13">
        <f>SUM(X32:AC32)</f>
        <v>0</v>
      </c>
      <c r="AJ33" s="8" t="s">
        <v>23</v>
      </c>
      <c r="AK33" s="13">
        <f>SUM(AF32:AK32)</f>
        <v>0</v>
      </c>
    </row>
    <row r="34" spans="1:37" ht="15.75" thickBot="1" x14ac:dyDescent="0.3">
      <c r="A34" s="19"/>
      <c r="B34" s="99" t="s">
        <v>17</v>
      </c>
      <c r="C34" s="99"/>
      <c r="D34" s="99"/>
      <c r="E34" s="99"/>
      <c r="F34" s="99"/>
      <c r="G34" s="99"/>
      <c r="H34" s="99"/>
      <c r="J34" s="100" t="s">
        <v>17</v>
      </c>
      <c r="K34" s="100"/>
      <c r="L34" s="100"/>
      <c r="M34" s="100"/>
      <c r="N34" s="100"/>
      <c r="O34" s="100"/>
      <c r="P34" s="100"/>
      <c r="Q34" s="100"/>
      <c r="R34" s="100"/>
      <c r="S34" s="100"/>
      <c r="T34" s="100"/>
      <c r="U34" s="100"/>
      <c r="W34" s="101" t="str">
        <f>J34</f>
        <v>Agosto</v>
      </c>
      <c r="X34" s="101"/>
      <c r="Y34" s="101"/>
      <c r="Z34" s="101"/>
      <c r="AA34" s="101"/>
      <c r="AB34" s="101"/>
      <c r="AC34" s="101"/>
      <c r="AE34" s="102" t="str">
        <f>W34</f>
        <v>Agosto</v>
      </c>
      <c r="AF34" s="102"/>
      <c r="AG34" s="102"/>
      <c r="AH34" s="102"/>
      <c r="AI34" s="102"/>
      <c r="AJ34" s="102"/>
      <c r="AK34" s="102"/>
    </row>
    <row r="35" spans="1:37" ht="15.75" thickBot="1" x14ac:dyDescent="0.3">
      <c r="A35" s="97" t="s">
        <v>5</v>
      </c>
      <c r="B35" s="34" t="s">
        <v>6</v>
      </c>
      <c r="C35" s="22" t="s">
        <v>7</v>
      </c>
      <c r="D35" s="33" t="s">
        <v>8</v>
      </c>
      <c r="E35" s="22" t="s">
        <v>9</v>
      </c>
      <c r="F35" s="24" t="s">
        <v>10</v>
      </c>
      <c r="G35" s="23" t="s">
        <v>11</v>
      </c>
      <c r="H35" s="25" t="s">
        <v>12</v>
      </c>
      <c r="J35" s="6" t="s">
        <v>4</v>
      </c>
      <c r="K35" s="9">
        <v>45874</v>
      </c>
      <c r="L35" s="66">
        <v>45876</v>
      </c>
      <c r="M35" s="66">
        <v>45881</v>
      </c>
      <c r="N35" s="66">
        <v>45883</v>
      </c>
      <c r="O35" s="66">
        <v>45888</v>
      </c>
      <c r="P35" s="66">
        <v>45890</v>
      </c>
      <c r="Q35" s="66">
        <v>45895</v>
      </c>
      <c r="R35" s="66">
        <v>45897</v>
      </c>
      <c r="S35" s="4"/>
      <c r="T35" s="4"/>
      <c r="U35" s="5"/>
      <c r="W35" s="6" t="s">
        <v>4</v>
      </c>
      <c r="X35" s="9"/>
      <c r="Y35" s="4"/>
      <c r="Z35" s="4"/>
      <c r="AA35" s="4"/>
      <c r="AB35" s="4"/>
      <c r="AC35" s="5"/>
      <c r="AE35" s="6" t="s">
        <v>4</v>
      </c>
      <c r="AF35" s="9"/>
      <c r="AG35" s="4"/>
      <c r="AH35" s="4"/>
      <c r="AI35" s="4"/>
      <c r="AJ35" s="4"/>
      <c r="AK35" s="5"/>
    </row>
    <row r="36" spans="1:37" ht="15.75" thickBot="1" x14ac:dyDescent="0.3">
      <c r="A36" s="97"/>
      <c r="B36" s="26">
        <v>18642</v>
      </c>
      <c r="C36" s="27">
        <v>20306</v>
      </c>
      <c r="D36" s="27">
        <v>20306</v>
      </c>
      <c r="E36" s="27">
        <v>22426</v>
      </c>
      <c r="F36" s="27">
        <f>SUM(C36-B36)</f>
        <v>1664</v>
      </c>
      <c r="G36" s="20">
        <f>SUM(E36-D36)</f>
        <v>2120</v>
      </c>
      <c r="H36" s="21">
        <f>SUM(F36:G36)</f>
        <v>3784</v>
      </c>
      <c r="J36" s="7" t="s">
        <v>22</v>
      </c>
      <c r="K36" s="10">
        <v>270.12</v>
      </c>
      <c r="L36" s="11">
        <v>290</v>
      </c>
      <c r="M36" s="11">
        <v>352.01</v>
      </c>
      <c r="N36" s="11">
        <v>195.06</v>
      </c>
      <c r="O36" s="11">
        <v>353.04</v>
      </c>
      <c r="P36" s="11">
        <v>262.02999999999997</v>
      </c>
      <c r="Q36" s="11">
        <v>450.05</v>
      </c>
      <c r="R36" s="11">
        <v>235.05</v>
      </c>
      <c r="S36" s="11"/>
      <c r="T36" s="11"/>
      <c r="U36" s="12"/>
      <c r="W36" s="7" t="s">
        <v>22</v>
      </c>
      <c r="X36" s="10"/>
      <c r="Y36" s="11"/>
      <c r="Z36" s="11"/>
      <c r="AA36" s="11"/>
      <c r="AB36" s="11"/>
      <c r="AC36" s="12"/>
      <c r="AE36" s="7" t="s">
        <v>22</v>
      </c>
      <c r="AF36" s="10"/>
      <c r="AG36" s="11"/>
      <c r="AH36" s="11"/>
      <c r="AI36" s="11"/>
      <c r="AJ36" s="11"/>
      <c r="AK36" s="12"/>
    </row>
    <row r="37" spans="1:37" x14ac:dyDescent="0.25">
      <c r="J37" s="8"/>
      <c r="T37" s="8" t="s">
        <v>23</v>
      </c>
      <c r="U37" s="13">
        <f>SUM(K36:U36)</f>
        <v>2407.36</v>
      </c>
      <c r="AB37" s="8" t="s">
        <v>23</v>
      </c>
      <c r="AC37" s="13">
        <f>SUM(X36:AC36)</f>
        <v>0</v>
      </c>
      <c r="AJ37" s="8" t="s">
        <v>23</v>
      </c>
      <c r="AK37" s="13">
        <f>SUM(AF36:AK36)</f>
        <v>0</v>
      </c>
    </row>
    <row r="38" spans="1:37" ht="15.75" thickBot="1" x14ac:dyDescent="0.3">
      <c r="A38" s="19"/>
      <c r="B38" s="99" t="s">
        <v>18</v>
      </c>
      <c r="C38" s="99"/>
      <c r="D38" s="99"/>
      <c r="E38" s="99"/>
      <c r="F38" s="99"/>
      <c r="G38" s="99"/>
      <c r="H38" s="99"/>
      <c r="J38" s="100" t="s">
        <v>18</v>
      </c>
      <c r="K38" s="100"/>
      <c r="L38" s="100"/>
      <c r="M38" s="100"/>
      <c r="N38" s="100"/>
      <c r="O38" s="100"/>
      <c r="P38" s="100"/>
      <c r="Q38" s="100"/>
      <c r="R38" s="100"/>
      <c r="S38" s="100"/>
      <c r="T38" s="100"/>
      <c r="U38" s="100"/>
      <c r="W38" s="101" t="str">
        <f>J38</f>
        <v>Setembro</v>
      </c>
      <c r="X38" s="101"/>
      <c r="Y38" s="101"/>
      <c r="Z38" s="101"/>
      <c r="AA38" s="101"/>
      <c r="AB38" s="101"/>
      <c r="AC38" s="101"/>
      <c r="AE38" s="102" t="str">
        <f>W38</f>
        <v>Setembro</v>
      </c>
      <c r="AF38" s="102"/>
      <c r="AG38" s="102"/>
      <c r="AH38" s="102"/>
      <c r="AI38" s="102"/>
      <c r="AJ38" s="102"/>
      <c r="AK38" s="102"/>
    </row>
    <row r="39" spans="1:37" ht="15.75" thickBot="1" x14ac:dyDescent="0.3">
      <c r="A39" s="97" t="s">
        <v>5</v>
      </c>
      <c r="B39" s="34" t="s">
        <v>6</v>
      </c>
      <c r="C39" s="22" t="s">
        <v>7</v>
      </c>
      <c r="D39" s="33" t="s">
        <v>8</v>
      </c>
      <c r="E39" s="22" t="s">
        <v>9</v>
      </c>
      <c r="F39" s="24" t="s">
        <v>10</v>
      </c>
      <c r="G39" s="23" t="s">
        <v>11</v>
      </c>
      <c r="H39" s="25" t="s">
        <v>12</v>
      </c>
      <c r="J39" s="6" t="s">
        <v>4</v>
      </c>
      <c r="K39" s="9">
        <v>45902</v>
      </c>
      <c r="L39" s="66">
        <v>45904</v>
      </c>
      <c r="M39" s="66">
        <v>45909</v>
      </c>
      <c r="N39" s="66">
        <v>45911</v>
      </c>
      <c r="O39" s="66">
        <v>45923</v>
      </c>
      <c r="P39" s="66">
        <v>45925</v>
      </c>
      <c r="Q39" s="66">
        <v>45930</v>
      </c>
      <c r="R39" s="4"/>
      <c r="S39" s="4"/>
      <c r="T39" s="4"/>
      <c r="U39" s="5"/>
      <c r="W39" s="6" t="s">
        <v>4</v>
      </c>
      <c r="X39" s="9">
        <v>45905</v>
      </c>
      <c r="Y39" s="66">
        <v>45911</v>
      </c>
      <c r="Z39" s="66">
        <v>45926</v>
      </c>
      <c r="AA39" s="4"/>
      <c r="AB39" s="4"/>
      <c r="AC39" s="5"/>
      <c r="AE39" s="6" t="s">
        <v>4</v>
      </c>
      <c r="AF39" s="9"/>
      <c r="AG39" s="4"/>
      <c r="AH39" s="4"/>
      <c r="AI39" s="4"/>
      <c r="AJ39" s="4"/>
      <c r="AK39" s="5"/>
    </row>
    <row r="40" spans="1:37" ht="15.75" thickBot="1" x14ac:dyDescent="0.3">
      <c r="A40" s="97"/>
      <c r="B40" s="27">
        <v>22426</v>
      </c>
      <c r="C40" s="27">
        <v>23811</v>
      </c>
      <c r="D40" s="27">
        <v>23811</v>
      </c>
      <c r="E40" s="27">
        <v>25161</v>
      </c>
      <c r="F40" s="27">
        <f>SUM(C40-B40)</f>
        <v>1385</v>
      </c>
      <c r="G40" s="20">
        <f>SUM(E40-D40)</f>
        <v>1350</v>
      </c>
      <c r="H40" s="21">
        <f>SUM(F40:G40)</f>
        <v>2735</v>
      </c>
      <c r="J40" s="7" t="s">
        <v>22</v>
      </c>
      <c r="K40" s="10">
        <v>435.03</v>
      </c>
      <c r="L40" s="11">
        <v>185</v>
      </c>
      <c r="M40" s="11">
        <v>266.08999999999997</v>
      </c>
      <c r="N40" s="11">
        <v>170</v>
      </c>
      <c r="O40" s="11">
        <v>303.16000000000003</v>
      </c>
      <c r="P40" s="11">
        <v>170.05</v>
      </c>
      <c r="Q40" s="11">
        <v>260.17</v>
      </c>
      <c r="R40" s="11"/>
      <c r="S40" s="11"/>
      <c r="T40" s="11"/>
      <c r="U40" s="12"/>
      <c r="W40" s="7" t="s">
        <v>22</v>
      </c>
      <c r="X40" s="10">
        <v>60</v>
      </c>
      <c r="Y40" s="11">
        <v>60</v>
      </c>
      <c r="Z40" s="11">
        <v>60</v>
      </c>
      <c r="AA40" s="11"/>
      <c r="AB40" s="11"/>
      <c r="AC40" s="12"/>
      <c r="AE40" s="7" t="s">
        <v>22</v>
      </c>
      <c r="AF40" s="10"/>
      <c r="AG40" s="11"/>
      <c r="AH40" s="11"/>
      <c r="AI40" s="11"/>
      <c r="AJ40" s="11"/>
      <c r="AK40" s="12"/>
    </row>
    <row r="41" spans="1:37" x14ac:dyDescent="0.25">
      <c r="J41" s="8"/>
      <c r="T41" s="8" t="s">
        <v>23</v>
      </c>
      <c r="U41" s="13">
        <f>SUM(K40:U40)</f>
        <v>1789.5</v>
      </c>
      <c r="AB41" s="8" t="s">
        <v>23</v>
      </c>
      <c r="AC41" s="13">
        <f>SUM(X40:AC40)</f>
        <v>180</v>
      </c>
      <c r="AJ41" s="8" t="s">
        <v>23</v>
      </c>
      <c r="AK41" s="13">
        <f>SUM(AF40:AK40)</f>
        <v>0</v>
      </c>
    </row>
    <row r="42" spans="1:37" ht="15.75" thickBot="1" x14ac:dyDescent="0.3">
      <c r="A42" s="19"/>
      <c r="B42" s="99" t="s">
        <v>19</v>
      </c>
      <c r="C42" s="99"/>
      <c r="D42" s="99"/>
      <c r="E42" s="99"/>
      <c r="F42" s="99"/>
      <c r="G42" s="99"/>
      <c r="H42" s="99"/>
      <c r="J42" s="100" t="s">
        <v>19</v>
      </c>
      <c r="K42" s="100"/>
      <c r="L42" s="100"/>
      <c r="M42" s="100"/>
      <c r="N42" s="100"/>
      <c r="O42" s="100"/>
      <c r="P42" s="100"/>
      <c r="Q42" s="100"/>
      <c r="R42" s="100"/>
      <c r="S42" s="100"/>
      <c r="T42" s="100"/>
      <c r="U42" s="100"/>
      <c r="W42" s="101" t="str">
        <f>J42</f>
        <v>Outubro</v>
      </c>
      <c r="X42" s="101"/>
      <c r="Y42" s="101"/>
      <c r="Z42" s="101"/>
      <c r="AA42" s="101"/>
      <c r="AB42" s="101"/>
      <c r="AC42" s="101"/>
      <c r="AE42" s="102" t="str">
        <f>W42</f>
        <v>Outubro</v>
      </c>
      <c r="AF42" s="102"/>
      <c r="AG42" s="102"/>
      <c r="AH42" s="102"/>
      <c r="AI42" s="102"/>
      <c r="AJ42" s="102"/>
      <c r="AK42" s="102"/>
    </row>
    <row r="43" spans="1:37" ht="15.75" thickBot="1" x14ac:dyDescent="0.3">
      <c r="A43" s="97" t="s">
        <v>5</v>
      </c>
      <c r="B43" s="34" t="s">
        <v>6</v>
      </c>
      <c r="C43" s="22" t="s">
        <v>7</v>
      </c>
      <c r="D43" s="33" t="s">
        <v>8</v>
      </c>
      <c r="E43" s="22" t="s">
        <v>9</v>
      </c>
      <c r="F43" s="24" t="s">
        <v>10</v>
      </c>
      <c r="G43" s="23" t="s">
        <v>11</v>
      </c>
      <c r="H43" s="25" t="s">
        <v>12</v>
      </c>
      <c r="J43" s="6" t="s">
        <v>4</v>
      </c>
      <c r="K43" s="9">
        <v>45932</v>
      </c>
      <c r="L43" s="66">
        <v>45937</v>
      </c>
      <c r="M43" s="66">
        <v>45939</v>
      </c>
      <c r="N43" s="66">
        <v>45944</v>
      </c>
      <c r="O43" s="66">
        <v>45951</v>
      </c>
      <c r="P43" s="66">
        <v>45953</v>
      </c>
      <c r="Q43" s="66">
        <v>45958</v>
      </c>
      <c r="R43" s="66">
        <v>45960</v>
      </c>
      <c r="S43" s="4"/>
      <c r="T43" s="4"/>
      <c r="U43" s="5"/>
      <c r="W43" s="6" t="s">
        <v>4</v>
      </c>
      <c r="X43" s="9"/>
      <c r="Y43" s="4"/>
      <c r="Z43" s="4"/>
      <c r="AA43" s="4"/>
      <c r="AB43" s="4"/>
      <c r="AC43" s="5"/>
      <c r="AE43" s="6" t="s">
        <v>4</v>
      </c>
      <c r="AF43" s="9"/>
      <c r="AG43" s="4"/>
      <c r="AH43" s="4"/>
      <c r="AI43" s="4"/>
      <c r="AJ43" s="4"/>
      <c r="AK43" s="5"/>
    </row>
    <row r="44" spans="1:37" ht="15.75" thickBot="1" x14ac:dyDescent="0.3">
      <c r="A44" s="97"/>
      <c r="B44" s="27">
        <v>25161</v>
      </c>
      <c r="C44" s="27">
        <v>27660</v>
      </c>
      <c r="D44" s="27">
        <v>27660</v>
      </c>
      <c r="E44" s="27">
        <v>29505</v>
      </c>
      <c r="F44" s="27">
        <f>SUM(C44-B44)</f>
        <v>2499</v>
      </c>
      <c r="G44" s="20">
        <f>SUM(E44-D44)</f>
        <v>1845</v>
      </c>
      <c r="H44" s="21">
        <f>SUM(F44:G44)</f>
        <v>4344</v>
      </c>
      <c r="J44" s="7" t="s">
        <v>22</v>
      </c>
      <c r="K44" s="10">
        <v>253</v>
      </c>
      <c r="L44" s="11">
        <v>516.05999999999995</v>
      </c>
      <c r="M44" s="11">
        <v>245.08</v>
      </c>
      <c r="N44" s="11">
        <v>317.01</v>
      </c>
      <c r="O44" s="11">
        <v>485.06</v>
      </c>
      <c r="P44" s="11">
        <v>180.24</v>
      </c>
      <c r="Q44" s="11">
        <v>365.56</v>
      </c>
      <c r="R44" s="11">
        <v>170.05</v>
      </c>
      <c r="S44" s="11"/>
      <c r="T44" s="11"/>
      <c r="U44" s="12"/>
      <c r="W44" s="7" t="s">
        <v>22</v>
      </c>
      <c r="X44" s="10"/>
      <c r="Y44" s="11"/>
      <c r="Z44" s="11"/>
      <c r="AA44" s="11"/>
      <c r="AB44" s="11"/>
      <c r="AC44" s="12"/>
      <c r="AE44" s="7" t="s">
        <v>22</v>
      </c>
      <c r="AF44" s="10"/>
      <c r="AG44" s="11"/>
      <c r="AH44" s="11"/>
      <c r="AI44" s="11"/>
      <c r="AJ44" s="11"/>
      <c r="AK44" s="12"/>
    </row>
    <row r="45" spans="1:37" x14ac:dyDescent="0.25">
      <c r="J45" s="8"/>
      <c r="T45" s="8" t="s">
        <v>23</v>
      </c>
      <c r="U45" s="13">
        <f>SUM(K44:U44)</f>
        <v>2532.0600000000004</v>
      </c>
      <c r="AB45" s="8" t="s">
        <v>23</v>
      </c>
      <c r="AC45" s="13">
        <f>SUM(X44:AC44)</f>
        <v>0</v>
      </c>
      <c r="AJ45" s="8" t="s">
        <v>23</v>
      </c>
      <c r="AK45" s="13">
        <f>SUM(AF44:AK44)</f>
        <v>0</v>
      </c>
    </row>
    <row r="46" spans="1:37" ht="15.75" thickBot="1" x14ac:dyDescent="0.3">
      <c r="A46" s="19"/>
      <c r="B46" s="99" t="s">
        <v>20</v>
      </c>
      <c r="C46" s="99"/>
      <c r="D46" s="99"/>
      <c r="E46" s="99"/>
      <c r="F46" s="99"/>
      <c r="G46" s="99"/>
      <c r="H46" s="99"/>
      <c r="J46" s="100" t="s">
        <v>20</v>
      </c>
      <c r="K46" s="100"/>
      <c r="L46" s="100"/>
      <c r="M46" s="100"/>
      <c r="N46" s="100"/>
      <c r="O46" s="100"/>
      <c r="P46" s="100"/>
      <c r="Q46" s="100"/>
      <c r="R46" s="100"/>
      <c r="S46" s="100"/>
      <c r="T46" s="100"/>
      <c r="U46" s="100"/>
      <c r="W46" s="101" t="str">
        <f>J46</f>
        <v>Novembro</v>
      </c>
      <c r="X46" s="101"/>
      <c r="Y46" s="101"/>
      <c r="Z46" s="101"/>
      <c r="AA46" s="101"/>
      <c r="AB46" s="101"/>
      <c r="AC46" s="101"/>
      <c r="AE46" s="102" t="str">
        <f>W46</f>
        <v>Novembro</v>
      </c>
      <c r="AF46" s="102"/>
      <c r="AG46" s="102"/>
      <c r="AH46" s="102"/>
      <c r="AI46" s="102"/>
      <c r="AJ46" s="102"/>
      <c r="AK46" s="102"/>
    </row>
    <row r="47" spans="1:37" ht="15.75" thickBot="1" x14ac:dyDescent="0.3">
      <c r="A47" s="97" t="s">
        <v>5</v>
      </c>
      <c r="B47" s="84" t="s">
        <v>6</v>
      </c>
      <c r="C47" s="85" t="s">
        <v>7</v>
      </c>
      <c r="D47" s="86" t="s">
        <v>8</v>
      </c>
      <c r="E47" s="85" t="s">
        <v>9</v>
      </c>
      <c r="F47" s="24" t="s">
        <v>10</v>
      </c>
      <c r="G47" s="23" t="s">
        <v>11</v>
      </c>
      <c r="H47" s="25" t="s">
        <v>12</v>
      </c>
      <c r="J47" s="6" t="s">
        <v>4</v>
      </c>
      <c r="K47" s="9">
        <v>45965</v>
      </c>
      <c r="L47" s="66">
        <v>45972</v>
      </c>
      <c r="M47" s="66">
        <v>45976</v>
      </c>
      <c r="N47" s="66">
        <v>45983</v>
      </c>
      <c r="O47" s="66">
        <v>45986</v>
      </c>
      <c r="P47" s="4"/>
      <c r="Q47" s="4"/>
      <c r="R47" s="4"/>
      <c r="S47" s="4"/>
      <c r="T47" s="4"/>
      <c r="U47" s="5"/>
      <c r="W47" s="6" t="s">
        <v>4</v>
      </c>
      <c r="X47" s="9"/>
      <c r="Y47" s="4"/>
      <c r="Z47" s="4"/>
      <c r="AA47" s="4"/>
      <c r="AB47" s="4"/>
      <c r="AC47" s="5"/>
      <c r="AE47" s="6" t="s">
        <v>4</v>
      </c>
      <c r="AF47" s="9"/>
      <c r="AG47" s="4"/>
      <c r="AH47" s="4"/>
      <c r="AI47" s="4"/>
      <c r="AJ47" s="4"/>
      <c r="AK47" s="5"/>
    </row>
    <row r="48" spans="1:37" ht="15.75" thickBot="1" x14ac:dyDescent="0.3">
      <c r="A48" s="97"/>
      <c r="B48" s="27">
        <v>29505</v>
      </c>
      <c r="C48" s="27">
        <v>30646</v>
      </c>
      <c r="D48" s="27">
        <v>30646</v>
      </c>
      <c r="E48" s="27">
        <v>31983</v>
      </c>
      <c r="F48" s="27">
        <f>SUM(C48-B48)</f>
        <v>1141</v>
      </c>
      <c r="G48" s="20">
        <f>SUM(E48-D48)</f>
        <v>1337</v>
      </c>
      <c r="H48" s="21">
        <f>SUM(F48:G48)</f>
        <v>2478</v>
      </c>
      <c r="J48" s="7" t="s">
        <v>22</v>
      </c>
      <c r="K48" s="10">
        <v>233.53</v>
      </c>
      <c r="L48" s="11">
        <v>290.97000000000003</v>
      </c>
      <c r="M48" s="11">
        <v>256.39</v>
      </c>
      <c r="N48" s="11">
        <v>390.04</v>
      </c>
      <c r="O48" s="11">
        <v>410.02</v>
      </c>
      <c r="P48" s="11"/>
      <c r="Q48" s="11"/>
      <c r="R48" s="11"/>
      <c r="S48" s="11"/>
      <c r="T48" s="11"/>
      <c r="U48" s="12"/>
      <c r="W48" s="7" t="s">
        <v>22</v>
      </c>
      <c r="X48" s="10"/>
      <c r="Y48" s="11"/>
      <c r="Z48" s="11"/>
      <c r="AA48" s="11"/>
      <c r="AB48" s="11"/>
      <c r="AC48" s="12"/>
      <c r="AE48" s="7" t="s">
        <v>22</v>
      </c>
      <c r="AF48" s="10"/>
      <c r="AG48" s="11"/>
      <c r="AH48" s="11"/>
      <c r="AI48" s="11"/>
      <c r="AJ48" s="11"/>
      <c r="AK48" s="12"/>
    </row>
    <row r="49" spans="1:40" x14ac:dyDescent="0.25">
      <c r="J49" s="8"/>
      <c r="T49" s="8" t="s">
        <v>23</v>
      </c>
      <c r="U49" s="13">
        <f>SUM(K48:U48)</f>
        <v>1580.95</v>
      </c>
      <c r="AB49" s="8" t="s">
        <v>23</v>
      </c>
      <c r="AC49" s="13">
        <f>SUM(X48:AC48)</f>
        <v>0</v>
      </c>
      <c r="AJ49" s="8" t="s">
        <v>23</v>
      </c>
      <c r="AK49" s="13">
        <f>SUM(AF48:AK48)</f>
        <v>0</v>
      </c>
    </row>
    <row r="50" spans="1:40" ht="15.75" thickBot="1" x14ac:dyDescent="0.3">
      <c r="A50" s="19"/>
      <c r="B50" s="99" t="s">
        <v>21</v>
      </c>
      <c r="C50" s="99"/>
      <c r="D50" s="99"/>
      <c r="E50" s="99"/>
      <c r="F50" s="99"/>
      <c r="G50" s="99"/>
      <c r="H50" s="99"/>
      <c r="J50" s="100" t="s">
        <v>21</v>
      </c>
      <c r="K50" s="100"/>
      <c r="L50" s="100"/>
      <c r="M50" s="100"/>
      <c r="N50" s="100"/>
      <c r="O50" s="100"/>
      <c r="P50" s="100"/>
      <c r="Q50" s="100"/>
      <c r="R50" s="100"/>
      <c r="S50" s="100"/>
      <c r="T50" s="100"/>
      <c r="U50" s="100"/>
      <c r="W50" s="101" t="str">
        <f>J50</f>
        <v>Dezembro</v>
      </c>
      <c r="X50" s="101"/>
      <c r="Y50" s="101"/>
      <c r="Z50" s="101"/>
      <c r="AA50" s="101"/>
      <c r="AB50" s="101"/>
      <c r="AC50" s="101"/>
      <c r="AE50" s="102" t="str">
        <f>W50</f>
        <v>Dezembro</v>
      </c>
      <c r="AF50" s="102"/>
      <c r="AG50" s="102"/>
      <c r="AH50" s="102"/>
      <c r="AI50" s="102"/>
      <c r="AJ50" s="102"/>
      <c r="AK50" s="102"/>
    </row>
    <row r="51" spans="1:40" ht="15.75" thickBot="1" x14ac:dyDescent="0.3">
      <c r="A51" s="97" t="s">
        <v>5</v>
      </c>
      <c r="B51" s="34" t="s">
        <v>6</v>
      </c>
      <c r="C51" s="22" t="s">
        <v>7</v>
      </c>
      <c r="D51" s="33" t="s">
        <v>8</v>
      </c>
      <c r="E51" s="22" t="s">
        <v>9</v>
      </c>
      <c r="F51" s="24" t="s">
        <v>10</v>
      </c>
      <c r="G51" s="23" t="s">
        <v>11</v>
      </c>
      <c r="H51" s="25" t="s">
        <v>12</v>
      </c>
      <c r="J51" s="6" t="s">
        <v>4</v>
      </c>
      <c r="K51" s="9">
        <v>45995</v>
      </c>
      <c r="L51" s="66">
        <v>46000</v>
      </c>
      <c r="M51" s="66">
        <v>46007</v>
      </c>
      <c r="N51" s="4"/>
      <c r="O51" s="4"/>
      <c r="P51" s="4"/>
      <c r="Q51" s="4"/>
      <c r="R51" s="4"/>
      <c r="S51" s="4"/>
      <c r="T51" s="4"/>
      <c r="U51" s="5"/>
      <c r="W51" s="6" t="s">
        <v>4</v>
      </c>
      <c r="X51" s="9"/>
      <c r="Y51" s="4"/>
      <c r="Z51" s="4"/>
      <c r="AA51" s="4"/>
      <c r="AB51" s="4"/>
      <c r="AC51" s="5"/>
      <c r="AE51" s="6" t="s">
        <v>4</v>
      </c>
      <c r="AF51" s="9"/>
      <c r="AG51" s="4"/>
      <c r="AH51" s="4"/>
      <c r="AI51" s="4"/>
      <c r="AJ51" s="4"/>
      <c r="AK51" s="5"/>
    </row>
    <row r="52" spans="1:40" ht="15.75" thickBot="1" x14ac:dyDescent="0.3">
      <c r="A52" s="97"/>
      <c r="B52" s="27">
        <v>31983</v>
      </c>
      <c r="C52" s="27">
        <v>33707</v>
      </c>
      <c r="D52" s="27">
        <v>33707</v>
      </c>
      <c r="E52" s="27">
        <v>35354</v>
      </c>
      <c r="F52" s="27">
        <f>SUM(C52-B52)</f>
        <v>1724</v>
      </c>
      <c r="G52" s="20">
        <f>SUM(E52-D52)</f>
        <v>1647</v>
      </c>
      <c r="H52" s="21">
        <f>SUM(F52:G52)</f>
        <v>3371</v>
      </c>
      <c r="J52" s="7" t="s">
        <v>22</v>
      </c>
      <c r="K52" s="10">
        <v>400.03</v>
      </c>
      <c r="L52" s="11">
        <v>385.01</v>
      </c>
      <c r="M52" s="11">
        <v>500.01</v>
      </c>
      <c r="N52" s="11"/>
      <c r="O52" s="11"/>
      <c r="P52" s="11"/>
      <c r="Q52" s="11"/>
      <c r="R52" s="11"/>
      <c r="S52" s="11"/>
      <c r="T52" s="11"/>
      <c r="U52" s="12"/>
      <c r="W52" s="7" t="s">
        <v>22</v>
      </c>
      <c r="X52" s="10"/>
      <c r="Y52" s="11"/>
      <c r="Z52" s="11"/>
      <c r="AA52" s="11"/>
      <c r="AB52" s="11"/>
      <c r="AC52" s="12"/>
      <c r="AE52" s="7" t="s">
        <v>22</v>
      </c>
      <c r="AF52" s="10"/>
      <c r="AG52" s="11"/>
      <c r="AH52" s="11"/>
      <c r="AI52" s="11"/>
      <c r="AJ52" s="11"/>
      <c r="AK52" s="12"/>
    </row>
    <row r="53" spans="1:40" x14ac:dyDescent="0.25">
      <c r="J53" s="8"/>
      <c r="T53" s="8" t="s">
        <v>23</v>
      </c>
      <c r="U53" s="13">
        <f>SUM(K52:U52)</f>
        <v>1285.05</v>
      </c>
      <c r="AB53" s="8" t="s">
        <v>23</v>
      </c>
      <c r="AC53" s="13">
        <f>SUM(X52:AC52)</f>
        <v>0</v>
      </c>
      <c r="AJ53" s="8" t="s">
        <v>23</v>
      </c>
      <c r="AK53" s="13">
        <f>SUM(AF52:AK52)</f>
        <v>0</v>
      </c>
    </row>
    <row r="54" spans="1:40" ht="15.75" thickBot="1" x14ac:dyDescent="0.3">
      <c r="A54" s="19">
        <v>2026</v>
      </c>
      <c r="B54" s="99" t="s">
        <v>134</v>
      </c>
      <c r="C54" s="99"/>
      <c r="D54" s="99"/>
      <c r="E54" s="99"/>
      <c r="F54" s="99"/>
      <c r="G54" s="99"/>
      <c r="H54" s="99"/>
      <c r="J54" s="100" t="s">
        <v>134</v>
      </c>
      <c r="K54" s="100"/>
      <c r="L54" s="100"/>
      <c r="M54" s="100"/>
      <c r="N54" s="100"/>
      <c r="O54" s="100"/>
      <c r="P54" s="100"/>
      <c r="Q54" s="100"/>
      <c r="R54" s="100"/>
      <c r="S54" s="100"/>
      <c r="T54" s="100"/>
      <c r="U54" s="100"/>
      <c r="Y54" s="101" t="s">
        <v>134</v>
      </c>
      <c r="Z54" s="101"/>
      <c r="AA54" s="101"/>
      <c r="AB54" s="101"/>
      <c r="AC54" s="101"/>
      <c r="AD54" s="101"/>
      <c r="AE54" s="101"/>
      <c r="AH54" s="102" t="s">
        <v>134</v>
      </c>
      <c r="AI54" s="102"/>
      <c r="AJ54" s="102"/>
      <c r="AK54" s="102"/>
      <c r="AL54" s="102"/>
      <c r="AM54" s="102"/>
      <c r="AN54" s="102"/>
    </row>
    <row r="55" spans="1:40" ht="15.75" thickBot="1" x14ac:dyDescent="0.3">
      <c r="A55" s="97" t="s">
        <v>5</v>
      </c>
      <c r="B55" s="34" t="s">
        <v>6</v>
      </c>
      <c r="C55" s="22" t="s">
        <v>7</v>
      </c>
      <c r="D55" s="33" t="s">
        <v>8</v>
      </c>
      <c r="E55" s="22" t="s">
        <v>9</v>
      </c>
      <c r="F55" s="24" t="s">
        <v>10</v>
      </c>
      <c r="G55" s="23" t="s">
        <v>11</v>
      </c>
      <c r="H55" s="25" t="s">
        <v>12</v>
      </c>
      <c r="J55" s="28" t="s">
        <v>4</v>
      </c>
      <c r="K55" s="9">
        <v>46035</v>
      </c>
      <c r="L55" s="66">
        <v>46042</v>
      </c>
      <c r="M55" s="66">
        <v>46044</v>
      </c>
      <c r="N55" s="4"/>
      <c r="O55" s="4"/>
      <c r="P55" s="4"/>
      <c r="Q55" s="4"/>
      <c r="R55" s="4"/>
      <c r="S55" s="4"/>
      <c r="T55" s="4"/>
      <c r="U55" s="5"/>
      <c r="Y55" s="6" t="s">
        <v>4</v>
      </c>
      <c r="Z55" s="9"/>
      <c r="AA55" s="4"/>
      <c r="AB55" s="4"/>
      <c r="AC55" s="4"/>
      <c r="AD55" s="4"/>
      <c r="AE55" s="5"/>
      <c r="AH55" s="6" t="s">
        <v>4</v>
      </c>
      <c r="AI55" s="9"/>
      <c r="AJ55" s="4"/>
      <c r="AK55" s="4"/>
      <c r="AL55" s="4"/>
      <c r="AM55" s="4"/>
      <c r="AN55" s="5"/>
    </row>
    <row r="56" spans="1:40" ht="15.75" thickBot="1" x14ac:dyDescent="0.3">
      <c r="A56" s="97"/>
      <c r="B56" s="26">
        <v>35354</v>
      </c>
      <c r="C56" s="27">
        <v>36753</v>
      </c>
      <c r="D56" s="27">
        <v>36753</v>
      </c>
      <c r="E56" s="27">
        <v>37887</v>
      </c>
      <c r="F56" s="27">
        <f>SUM(C56-B56)</f>
        <v>1399</v>
      </c>
      <c r="G56" s="20">
        <f>SUM(E56-D56)</f>
        <v>1134</v>
      </c>
      <c r="H56" s="21">
        <f>SUM(F56:G56)</f>
        <v>2533</v>
      </c>
      <c r="J56" s="29" t="s">
        <v>22</v>
      </c>
      <c r="K56" s="10">
        <v>544.03</v>
      </c>
      <c r="L56" s="11">
        <v>400.1</v>
      </c>
      <c r="M56" s="11">
        <v>190.03</v>
      </c>
      <c r="N56" s="11"/>
      <c r="O56" s="11"/>
      <c r="P56" s="11"/>
      <c r="Q56" s="11"/>
      <c r="R56" s="11"/>
      <c r="S56" s="11"/>
      <c r="T56" s="11"/>
      <c r="U56" s="12"/>
      <c r="Y56" s="7" t="s">
        <v>22</v>
      </c>
      <c r="Z56" s="10"/>
      <c r="AA56" s="11"/>
      <c r="AB56" s="11"/>
      <c r="AC56" s="11"/>
      <c r="AD56" s="11"/>
      <c r="AE56" s="12"/>
      <c r="AH56" s="7" t="s">
        <v>22</v>
      </c>
      <c r="AI56" s="10"/>
      <c r="AJ56" s="11"/>
      <c r="AK56" s="11"/>
      <c r="AL56" s="11"/>
      <c r="AM56" s="11"/>
      <c r="AN56" s="12"/>
    </row>
    <row r="57" spans="1:40" x14ac:dyDescent="0.25">
      <c r="J57" s="8"/>
      <c r="T57" s="8" t="s">
        <v>23</v>
      </c>
      <c r="U57" s="13">
        <f>SUM(K56:U56)</f>
        <v>1134.1600000000001</v>
      </c>
      <c r="AD57" s="8" t="s">
        <v>23</v>
      </c>
      <c r="AE57" s="13">
        <f>SUM(Z56:AE56)</f>
        <v>0</v>
      </c>
      <c r="AM57" s="8" t="s">
        <v>23</v>
      </c>
      <c r="AN57" s="13">
        <f>SUM(AI56:AN56)</f>
        <v>0</v>
      </c>
    </row>
    <row r="58" spans="1:40" ht="15.75" thickBot="1" x14ac:dyDescent="0.3">
      <c r="A58" s="19"/>
      <c r="B58" s="99" t="s">
        <v>3</v>
      </c>
      <c r="C58" s="99"/>
      <c r="D58" s="99"/>
      <c r="E58" s="99"/>
      <c r="F58" s="99"/>
      <c r="G58" s="99"/>
      <c r="H58" s="99"/>
      <c r="J58" s="100" t="s">
        <v>3</v>
      </c>
      <c r="K58" s="100"/>
      <c r="L58" s="100"/>
      <c r="M58" s="100"/>
      <c r="N58" s="100"/>
      <c r="O58" s="100"/>
      <c r="P58" s="100"/>
      <c r="Q58" s="100"/>
      <c r="R58" s="100"/>
      <c r="S58" s="100"/>
      <c r="T58" s="100"/>
      <c r="U58" s="100"/>
      <c r="Y58" s="101" t="s">
        <v>3</v>
      </c>
      <c r="Z58" s="101"/>
      <c r="AA58" s="101"/>
      <c r="AB58" s="101"/>
      <c r="AC58" s="101"/>
      <c r="AD58" s="101"/>
      <c r="AE58" s="101"/>
      <c r="AH58" s="102" t="s">
        <v>3</v>
      </c>
      <c r="AI58" s="102"/>
      <c r="AJ58" s="102"/>
      <c r="AK58" s="102"/>
      <c r="AL58" s="102"/>
      <c r="AM58" s="102"/>
      <c r="AN58" s="102"/>
    </row>
    <row r="59" spans="1:40" ht="15.75" thickBot="1" x14ac:dyDescent="0.3">
      <c r="A59" s="97" t="s">
        <v>5</v>
      </c>
      <c r="B59" s="34" t="s">
        <v>6</v>
      </c>
      <c r="C59" s="22" t="s">
        <v>7</v>
      </c>
      <c r="D59" s="33" t="s">
        <v>8</v>
      </c>
      <c r="E59" s="22" t="s">
        <v>9</v>
      </c>
      <c r="F59" s="24" t="s">
        <v>10</v>
      </c>
      <c r="G59" s="23" t="s">
        <v>11</v>
      </c>
      <c r="H59" s="25" t="s">
        <v>12</v>
      </c>
      <c r="J59" s="28" t="s">
        <v>4</v>
      </c>
      <c r="K59" s="9">
        <v>46056</v>
      </c>
      <c r="L59" s="66">
        <v>46058</v>
      </c>
      <c r="M59" s="66">
        <v>46063</v>
      </c>
      <c r="N59" s="66">
        <v>46065</v>
      </c>
      <c r="O59" s="66">
        <v>46072</v>
      </c>
      <c r="P59" s="66">
        <v>46077</v>
      </c>
      <c r="Q59" s="4"/>
      <c r="R59" s="4"/>
      <c r="S59" s="4"/>
      <c r="T59" s="4"/>
      <c r="U59" s="5"/>
      <c r="Y59" s="6" t="s">
        <v>4</v>
      </c>
      <c r="Z59" s="9"/>
      <c r="AA59" s="4"/>
      <c r="AB59" s="4"/>
      <c r="AC59" s="4"/>
      <c r="AD59" s="4"/>
      <c r="AE59" s="5"/>
      <c r="AH59" s="6" t="s">
        <v>4</v>
      </c>
      <c r="AI59" s="9"/>
      <c r="AJ59" s="4"/>
      <c r="AK59" s="4"/>
      <c r="AL59" s="4"/>
      <c r="AM59" s="4"/>
      <c r="AN59" s="5"/>
    </row>
    <row r="60" spans="1:40" ht="15.75" thickBot="1" x14ac:dyDescent="0.3">
      <c r="A60" s="97"/>
      <c r="B60" s="27">
        <v>37887</v>
      </c>
      <c r="C60" s="27"/>
      <c r="D60" s="27"/>
      <c r="E60" s="27">
        <v>40221</v>
      </c>
      <c r="F60" s="27">
        <f>SUM(C60-B60)</f>
        <v>-37887</v>
      </c>
      <c r="G60" s="20">
        <f>SUM(E60-D60)</f>
        <v>40221</v>
      </c>
      <c r="H60" s="21">
        <f>SUM(F60:G60)</f>
        <v>2334</v>
      </c>
      <c r="J60" s="29" t="s">
        <v>22</v>
      </c>
      <c r="K60" s="10">
        <v>523.02</v>
      </c>
      <c r="L60" s="11">
        <v>247.01</v>
      </c>
      <c r="M60" s="11">
        <v>461.01</v>
      </c>
      <c r="N60" s="11">
        <v>179.83</v>
      </c>
      <c r="O60" s="11">
        <v>420.01</v>
      </c>
      <c r="P60" s="11">
        <v>264.04000000000002</v>
      </c>
      <c r="Q60" s="11"/>
      <c r="R60" s="11"/>
      <c r="S60" s="11"/>
      <c r="T60" s="11"/>
      <c r="U60" s="12"/>
      <c r="Y60" s="7" t="s">
        <v>22</v>
      </c>
      <c r="Z60" s="10"/>
      <c r="AA60" s="11"/>
      <c r="AB60" s="11"/>
      <c r="AC60" s="11"/>
      <c r="AD60" s="11"/>
      <c r="AE60" s="12"/>
      <c r="AH60" s="7" t="s">
        <v>22</v>
      </c>
      <c r="AI60" s="10"/>
      <c r="AJ60" s="11"/>
      <c r="AK60" s="11"/>
      <c r="AL60" s="11"/>
      <c r="AM60" s="11"/>
      <c r="AN60" s="12"/>
    </row>
    <row r="61" spans="1:40" x14ac:dyDescent="0.25">
      <c r="J61" s="8"/>
      <c r="T61" s="8" t="s">
        <v>23</v>
      </c>
      <c r="U61" s="13">
        <f>SUM(K60:U60)</f>
        <v>2094.92</v>
      </c>
      <c r="AD61" s="8" t="s">
        <v>23</v>
      </c>
      <c r="AE61" s="13">
        <f>SUM(Z60:AE60)</f>
        <v>0</v>
      </c>
      <c r="AM61" s="8" t="s">
        <v>23</v>
      </c>
      <c r="AN61" s="13">
        <f>SUM(AI60:AN60)</f>
        <v>0</v>
      </c>
    </row>
    <row r="62" spans="1:40" ht="15.75" thickBot="1" x14ac:dyDescent="0.3">
      <c r="A62" s="19"/>
      <c r="B62" s="99" t="s">
        <v>13</v>
      </c>
      <c r="C62" s="99"/>
      <c r="D62" s="99"/>
      <c r="E62" s="99"/>
      <c r="F62" s="99"/>
      <c r="G62" s="99"/>
      <c r="H62" s="99"/>
      <c r="J62" s="100" t="s">
        <v>13</v>
      </c>
      <c r="K62" s="100"/>
      <c r="L62" s="100"/>
      <c r="M62" s="100"/>
      <c r="N62" s="100"/>
      <c r="O62" s="100"/>
      <c r="P62" s="100"/>
      <c r="Q62" s="100"/>
      <c r="R62" s="100"/>
      <c r="S62" s="100"/>
      <c r="T62" s="100"/>
      <c r="U62" s="100"/>
      <c r="Y62" s="101" t="str">
        <f>J62</f>
        <v>Março</v>
      </c>
      <c r="Z62" s="101"/>
      <c r="AA62" s="101"/>
      <c r="AB62" s="101"/>
      <c r="AC62" s="101"/>
      <c r="AD62" s="101"/>
      <c r="AE62" s="101"/>
      <c r="AH62" s="102" t="str">
        <f>Y62</f>
        <v>Março</v>
      </c>
      <c r="AI62" s="102"/>
      <c r="AJ62" s="102"/>
      <c r="AK62" s="102"/>
      <c r="AL62" s="102"/>
      <c r="AM62" s="102"/>
      <c r="AN62" s="102"/>
    </row>
    <row r="63" spans="1:40" ht="15.75" thickBot="1" x14ac:dyDescent="0.3">
      <c r="A63" s="97" t="s">
        <v>5</v>
      </c>
      <c r="B63" s="34" t="s">
        <v>6</v>
      </c>
      <c r="C63" s="22" t="s">
        <v>7</v>
      </c>
      <c r="D63" s="33" t="s">
        <v>8</v>
      </c>
      <c r="E63" s="22" t="s">
        <v>9</v>
      </c>
      <c r="F63" s="24" t="s">
        <v>10</v>
      </c>
      <c r="G63" s="23" t="s">
        <v>11</v>
      </c>
      <c r="H63" s="25" t="s">
        <v>12</v>
      </c>
      <c r="J63" s="6" t="s">
        <v>4</v>
      </c>
      <c r="K63" s="9"/>
      <c r="L63" s="4"/>
      <c r="M63" s="4"/>
      <c r="N63" s="4"/>
      <c r="O63" s="4"/>
      <c r="P63" s="4"/>
      <c r="Q63" s="4"/>
      <c r="R63" s="4"/>
      <c r="S63" s="4"/>
      <c r="T63" s="4"/>
      <c r="U63" s="5"/>
      <c r="Y63" s="6" t="s">
        <v>4</v>
      </c>
      <c r="Z63" s="9"/>
      <c r="AA63" s="4"/>
      <c r="AB63" s="4"/>
      <c r="AC63" s="4"/>
      <c r="AD63" s="4"/>
      <c r="AE63" s="5"/>
      <c r="AH63" s="6" t="s">
        <v>4</v>
      </c>
      <c r="AI63" s="9"/>
      <c r="AJ63" s="4"/>
      <c r="AK63" s="4"/>
      <c r="AL63" s="4"/>
      <c r="AM63" s="4"/>
      <c r="AN63" s="5"/>
    </row>
    <row r="64" spans="1:40" ht="15.75" thickBot="1" x14ac:dyDescent="0.3">
      <c r="A64" s="97"/>
      <c r="B64" s="26">
        <v>40221</v>
      </c>
      <c r="C64" s="27"/>
      <c r="D64" s="27"/>
      <c r="E64" s="27">
        <v>43790</v>
      </c>
      <c r="F64" s="27">
        <f>SUM(C64-B64)</f>
        <v>-40221</v>
      </c>
      <c r="G64" s="20">
        <f>SUM(E64-D64)</f>
        <v>43790</v>
      </c>
      <c r="H64" s="21">
        <f>SUM(F64:G64)</f>
        <v>3569</v>
      </c>
      <c r="J64" s="7" t="s">
        <v>22</v>
      </c>
      <c r="K64" s="10"/>
      <c r="L64" s="11"/>
      <c r="M64" s="11"/>
      <c r="N64" s="11"/>
      <c r="O64" s="11"/>
      <c r="P64" s="11"/>
      <c r="Q64" s="11"/>
      <c r="R64" s="11"/>
      <c r="S64" s="11"/>
      <c r="T64" s="11"/>
      <c r="U64" s="12"/>
      <c r="Y64" s="7" t="s">
        <v>22</v>
      </c>
      <c r="Z64" s="10"/>
      <c r="AA64" s="11"/>
      <c r="AB64" s="11"/>
      <c r="AC64" s="11"/>
      <c r="AD64" s="11"/>
      <c r="AE64" s="12"/>
      <c r="AH64" s="7" t="s">
        <v>22</v>
      </c>
      <c r="AI64" s="10"/>
      <c r="AJ64" s="11"/>
      <c r="AK64" s="11"/>
      <c r="AL64" s="11"/>
      <c r="AM64" s="11"/>
      <c r="AN64" s="12"/>
    </row>
    <row r="65" spans="1:40" x14ac:dyDescent="0.25">
      <c r="J65" s="8"/>
      <c r="T65" s="8" t="s">
        <v>23</v>
      </c>
      <c r="U65" s="13">
        <f>SUM(K64:U64)</f>
        <v>0</v>
      </c>
      <c r="AD65" s="8" t="s">
        <v>23</v>
      </c>
      <c r="AE65" s="13">
        <f>SUM(Z64:AE64)</f>
        <v>0</v>
      </c>
      <c r="AM65" s="8" t="s">
        <v>23</v>
      </c>
      <c r="AN65" s="13">
        <f>SUM(AI64:AN64)</f>
        <v>0</v>
      </c>
    </row>
    <row r="66" spans="1:40" ht="15.75" thickBot="1" x14ac:dyDescent="0.3">
      <c r="A66" s="19"/>
      <c r="B66" s="99" t="s">
        <v>14</v>
      </c>
      <c r="C66" s="99"/>
      <c r="D66" s="99"/>
      <c r="E66" s="99"/>
      <c r="F66" s="99"/>
      <c r="G66" s="99"/>
      <c r="H66" s="99"/>
      <c r="J66" s="100" t="s">
        <v>14</v>
      </c>
      <c r="K66" s="100"/>
      <c r="L66" s="100"/>
      <c r="M66" s="100"/>
      <c r="N66" s="100"/>
      <c r="O66" s="100"/>
      <c r="P66" s="100"/>
      <c r="Q66" s="100"/>
      <c r="R66" s="100"/>
      <c r="S66" s="100"/>
      <c r="T66" s="100"/>
      <c r="U66" s="100"/>
      <c r="Y66" s="101" t="str">
        <f>J66</f>
        <v>Abril</v>
      </c>
      <c r="Z66" s="101"/>
      <c r="AA66" s="101"/>
      <c r="AB66" s="101"/>
      <c r="AC66" s="101"/>
      <c r="AD66" s="101"/>
      <c r="AE66" s="101"/>
      <c r="AH66" s="102" t="str">
        <f>Y66</f>
        <v>Abril</v>
      </c>
      <c r="AI66" s="102"/>
      <c r="AJ66" s="102"/>
      <c r="AK66" s="102"/>
      <c r="AL66" s="102"/>
      <c r="AM66" s="102"/>
      <c r="AN66" s="102"/>
    </row>
    <row r="67" spans="1:40" ht="15.75" thickBot="1" x14ac:dyDescent="0.3">
      <c r="A67" s="97" t="s">
        <v>5</v>
      </c>
      <c r="B67" s="34" t="s">
        <v>6</v>
      </c>
      <c r="C67" s="22" t="s">
        <v>7</v>
      </c>
      <c r="D67" s="33" t="s">
        <v>8</v>
      </c>
      <c r="E67" s="22" t="s">
        <v>9</v>
      </c>
      <c r="F67" s="24" t="s">
        <v>10</v>
      </c>
      <c r="G67" s="23" t="s">
        <v>11</v>
      </c>
      <c r="H67" s="25" t="s">
        <v>12</v>
      </c>
      <c r="J67" s="6" t="s">
        <v>4</v>
      </c>
      <c r="K67" s="9"/>
      <c r="L67" s="4"/>
      <c r="M67" s="4"/>
      <c r="N67" s="4"/>
      <c r="O67" s="4"/>
      <c r="P67" s="4"/>
      <c r="Q67" s="4"/>
      <c r="R67" s="4"/>
      <c r="S67" s="4"/>
      <c r="T67" s="4"/>
      <c r="U67" s="5"/>
      <c r="Y67" s="6" t="s">
        <v>4</v>
      </c>
      <c r="Z67" s="9"/>
      <c r="AA67" s="4"/>
      <c r="AB67" s="4"/>
      <c r="AC67" s="4"/>
      <c r="AD67" s="4"/>
      <c r="AE67" s="5"/>
      <c r="AH67" s="6" t="s">
        <v>4</v>
      </c>
      <c r="AI67" s="9"/>
      <c r="AJ67" s="4"/>
      <c r="AK67" s="4"/>
      <c r="AL67" s="4"/>
      <c r="AM67" s="4"/>
      <c r="AN67" s="5"/>
    </row>
    <row r="68" spans="1:40" ht="15.75" thickBot="1" x14ac:dyDescent="0.3">
      <c r="A68" s="97"/>
      <c r="B68" s="26"/>
      <c r="C68" s="27"/>
      <c r="D68" s="27"/>
      <c r="E68" s="27"/>
      <c r="F68" s="27">
        <f>SUM(C68-B68)</f>
        <v>0</v>
      </c>
      <c r="G68" s="20">
        <f>SUM(E68-D68)</f>
        <v>0</v>
      </c>
      <c r="H68" s="21">
        <f>SUM(F68:G68)</f>
        <v>0</v>
      </c>
      <c r="J68" s="7" t="s">
        <v>22</v>
      </c>
      <c r="K68" s="30"/>
      <c r="L68" s="31"/>
      <c r="M68" s="31"/>
      <c r="N68" s="31"/>
      <c r="O68" s="31"/>
      <c r="P68" s="31"/>
      <c r="Q68" s="31"/>
      <c r="R68" s="31"/>
      <c r="S68" s="31"/>
      <c r="T68" s="31"/>
      <c r="U68" s="32"/>
      <c r="Y68" s="7" t="s">
        <v>22</v>
      </c>
      <c r="Z68" s="10"/>
      <c r="AA68" s="11"/>
      <c r="AB68" s="11"/>
      <c r="AC68" s="11"/>
      <c r="AD68" s="11"/>
      <c r="AE68" s="12"/>
      <c r="AH68" s="7" t="s">
        <v>22</v>
      </c>
      <c r="AI68" s="10"/>
      <c r="AJ68" s="11"/>
      <c r="AK68" s="11"/>
      <c r="AL68" s="11"/>
      <c r="AM68" s="11"/>
      <c r="AN68" s="12"/>
    </row>
    <row r="69" spans="1:40" x14ac:dyDescent="0.25">
      <c r="J69" s="8"/>
      <c r="T69" s="8" t="s">
        <v>23</v>
      </c>
      <c r="U69" s="13">
        <f>SUM(K68:U68)</f>
        <v>0</v>
      </c>
      <c r="AD69" s="8" t="s">
        <v>23</v>
      </c>
      <c r="AE69" s="13">
        <f>SUM(Z68:AE68)</f>
        <v>0</v>
      </c>
      <c r="AM69" s="8" t="s">
        <v>23</v>
      </c>
      <c r="AN69" s="13">
        <f>SUM(AI68:AN68)</f>
        <v>0</v>
      </c>
    </row>
    <row r="70" spans="1:40" ht="15.75" thickBot="1" x14ac:dyDescent="0.3">
      <c r="A70" s="19"/>
      <c r="B70" s="99" t="s">
        <v>15</v>
      </c>
      <c r="C70" s="99"/>
      <c r="D70" s="99"/>
      <c r="E70" s="99"/>
      <c r="F70" s="99"/>
      <c r="G70" s="99"/>
      <c r="H70" s="99"/>
      <c r="J70" s="100" t="s">
        <v>15</v>
      </c>
      <c r="K70" s="100"/>
      <c r="L70" s="100"/>
      <c r="M70" s="100"/>
      <c r="N70" s="100"/>
      <c r="O70" s="100"/>
      <c r="P70" s="100"/>
      <c r="Q70" s="100"/>
      <c r="R70" s="100"/>
      <c r="S70" s="100"/>
      <c r="T70" s="100"/>
      <c r="U70" s="100"/>
      <c r="Y70" s="101" t="str">
        <f>J70</f>
        <v>Maio</v>
      </c>
      <c r="Z70" s="101"/>
      <c r="AA70" s="101"/>
      <c r="AB70" s="101"/>
      <c r="AC70" s="101"/>
      <c r="AD70" s="101"/>
      <c r="AE70" s="101"/>
      <c r="AH70" s="102" t="str">
        <f>Y70</f>
        <v>Maio</v>
      </c>
      <c r="AI70" s="102"/>
      <c r="AJ70" s="102"/>
      <c r="AK70" s="102"/>
      <c r="AL70" s="102"/>
      <c r="AM70" s="102"/>
      <c r="AN70" s="102"/>
    </row>
    <row r="71" spans="1:40" ht="15.75" thickBot="1" x14ac:dyDescent="0.3">
      <c r="A71" s="97" t="s">
        <v>5</v>
      </c>
      <c r="B71" s="34" t="s">
        <v>6</v>
      </c>
      <c r="C71" s="22" t="s">
        <v>7</v>
      </c>
      <c r="D71" s="33" t="s">
        <v>8</v>
      </c>
      <c r="E71" s="22" t="s">
        <v>9</v>
      </c>
      <c r="F71" s="24" t="s">
        <v>10</v>
      </c>
      <c r="G71" s="23" t="s">
        <v>11</v>
      </c>
      <c r="H71" s="25" t="s">
        <v>12</v>
      </c>
      <c r="J71" s="6" t="s">
        <v>4</v>
      </c>
      <c r="K71" s="9"/>
      <c r="L71" s="4"/>
      <c r="M71" s="4"/>
      <c r="N71" s="4"/>
      <c r="O71" s="4"/>
      <c r="P71" s="4"/>
      <c r="Q71" s="4"/>
      <c r="R71" s="4"/>
      <c r="S71" s="4"/>
      <c r="T71" s="4"/>
      <c r="U71" s="5"/>
      <c r="Y71" s="6" t="s">
        <v>4</v>
      </c>
      <c r="Z71" s="9"/>
      <c r="AA71" s="4"/>
      <c r="AB71" s="4"/>
      <c r="AC71" s="4"/>
      <c r="AD71" s="4"/>
      <c r="AE71" s="5"/>
      <c r="AH71" s="6" t="s">
        <v>4</v>
      </c>
      <c r="AI71" s="9"/>
      <c r="AJ71" s="4"/>
      <c r="AK71" s="4"/>
      <c r="AL71" s="4"/>
      <c r="AM71" s="4"/>
      <c r="AN71" s="5"/>
    </row>
    <row r="72" spans="1:40" ht="15.75" thickBot="1" x14ac:dyDescent="0.3">
      <c r="A72" s="97"/>
      <c r="B72" s="26"/>
      <c r="C72" s="27"/>
      <c r="D72" s="27"/>
      <c r="E72" s="27"/>
      <c r="F72" s="27">
        <f>SUM(C72-B72)</f>
        <v>0</v>
      </c>
      <c r="G72" s="20">
        <f>SUM(E72-D72)</f>
        <v>0</v>
      </c>
      <c r="H72" s="21">
        <f>SUM(F72:G72)</f>
        <v>0</v>
      </c>
      <c r="J72" s="7" t="s">
        <v>22</v>
      </c>
      <c r="K72" s="10"/>
      <c r="L72" s="11"/>
      <c r="M72" s="11"/>
      <c r="N72" s="11"/>
      <c r="O72" s="11"/>
      <c r="P72" s="11"/>
      <c r="Q72" s="11"/>
      <c r="R72" s="11"/>
      <c r="S72" s="11"/>
      <c r="T72" s="11"/>
      <c r="U72" s="12"/>
      <c r="Y72" s="7" t="s">
        <v>22</v>
      </c>
      <c r="Z72" s="10"/>
      <c r="AA72" s="11"/>
      <c r="AB72" s="11"/>
      <c r="AC72" s="11"/>
      <c r="AD72" s="11"/>
      <c r="AE72" s="12"/>
      <c r="AH72" s="7" t="s">
        <v>22</v>
      </c>
      <c r="AI72" s="10"/>
      <c r="AJ72" s="11"/>
      <c r="AK72" s="11"/>
      <c r="AL72" s="11"/>
      <c r="AM72" s="11"/>
      <c r="AN72" s="12"/>
    </row>
    <row r="73" spans="1:40" x14ac:dyDescent="0.25">
      <c r="J73" s="8"/>
      <c r="T73" s="8" t="s">
        <v>23</v>
      </c>
      <c r="U73" s="13">
        <f>SUM(K72:U72)</f>
        <v>0</v>
      </c>
      <c r="AD73" s="8" t="s">
        <v>23</v>
      </c>
      <c r="AE73" s="13">
        <f>SUM(Z72:AE72)</f>
        <v>0</v>
      </c>
      <c r="AM73" s="8" t="s">
        <v>23</v>
      </c>
      <c r="AN73" s="13">
        <f>SUM(AI72:AN72)</f>
        <v>0</v>
      </c>
    </row>
    <row r="74" spans="1:40" ht="15.75" thickBot="1" x14ac:dyDescent="0.3">
      <c r="A74" s="19"/>
      <c r="B74" s="99" t="s">
        <v>24</v>
      </c>
      <c r="C74" s="99"/>
      <c r="D74" s="99"/>
      <c r="E74" s="99"/>
      <c r="F74" s="99"/>
      <c r="G74" s="99"/>
      <c r="H74" s="99"/>
      <c r="J74" s="100" t="s">
        <v>24</v>
      </c>
      <c r="K74" s="100"/>
      <c r="L74" s="100"/>
      <c r="M74" s="100"/>
      <c r="N74" s="100"/>
      <c r="O74" s="100"/>
      <c r="P74" s="100"/>
      <c r="Q74" s="100"/>
      <c r="R74" s="100"/>
      <c r="S74" s="100"/>
      <c r="T74" s="100"/>
      <c r="U74" s="100"/>
      <c r="Y74" s="101" t="str">
        <f>J74</f>
        <v>Junho</v>
      </c>
      <c r="Z74" s="101"/>
      <c r="AA74" s="101"/>
      <c r="AB74" s="101"/>
      <c r="AC74" s="101"/>
      <c r="AD74" s="101"/>
      <c r="AE74" s="101"/>
      <c r="AH74" s="102" t="str">
        <f>Y74</f>
        <v>Junho</v>
      </c>
      <c r="AI74" s="102"/>
      <c r="AJ74" s="102"/>
      <c r="AK74" s="102"/>
      <c r="AL74" s="102"/>
      <c r="AM74" s="102"/>
      <c r="AN74" s="102"/>
    </row>
    <row r="75" spans="1:40" ht="15.75" thickBot="1" x14ac:dyDescent="0.3">
      <c r="A75" s="97" t="s">
        <v>5</v>
      </c>
      <c r="B75" s="34" t="s">
        <v>6</v>
      </c>
      <c r="C75" s="22" t="s">
        <v>7</v>
      </c>
      <c r="D75" s="33" t="s">
        <v>8</v>
      </c>
      <c r="E75" s="22" t="s">
        <v>9</v>
      </c>
      <c r="F75" s="24" t="s">
        <v>10</v>
      </c>
      <c r="G75" s="23" t="s">
        <v>11</v>
      </c>
      <c r="H75" s="25" t="s">
        <v>12</v>
      </c>
      <c r="J75" s="6" t="s">
        <v>4</v>
      </c>
      <c r="K75" s="9"/>
      <c r="L75" s="4"/>
      <c r="M75" s="4"/>
      <c r="N75" s="4"/>
      <c r="O75" s="4"/>
      <c r="P75" s="4"/>
      <c r="Q75" s="4"/>
      <c r="R75" s="4"/>
      <c r="S75" s="4"/>
      <c r="T75" s="4"/>
      <c r="U75" s="5"/>
      <c r="Y75" s="6" t="s">
        <v>4</v>
      </c>
      <c r="Z75" s="9"/>
      <c r="AA75" s="4"/>
      <c r="AB75" s="4"/>
      <c r="AC75" s="4"/>
      <c r="AD75" s="4"/>
      <c r="AE75" s="5"/>
      <c r="AH75" s="6" t="s">
        <v>4</v>
      </c>
      <c r="AI75" s="9"/>
      <c r="AJ75" s="4"/>
      <c r="AK75" s="4"/>
      <c r="AL75" s="4"/>
      <c r="AM75" s="4"/>
      <c r="AN75" s="5"/>
    </row>
    <row r="76" spans="1:40" ht="15.75" thickBot="1" x14ac:dyDescent="0.3">
      <c r="A76" s="97"/>
      <c r="B76" s="26"/>
      <c r="C76" s="27"/>
      <c r="D76" s="27"/>
      <c r="E76" s="27"/>
      <c r="F76" s="27">
        <f>SUM(C76-B76)</f>
        <v>0</v>
      </c>
      <c r="G76" s="20">
        <f>SUM(E76-D76)</f>
        <v>0</v>
      </c>
      <c r="H76" s="21">
        <f>SUM(F76:G76)</f>
        <v>0</v>
      </c>
      <c r="J76" s="7" t="s">
        <v>22</v>
      </c>
      <c r="K76" s="10"/>
      <c r="L76" s="11"/>
      <c r="M76" s="11"/>
      <c r="N76" s="11"/>
      <c r="O76" s="11"/>
      <c r="P76" s="11"/>
      <c r="Q76" s="11"/>
      <c r="R76" s="11"/>
      <c r="S76" s="11"/>
      <c r="T76" s="11"/>
      <c r="U76" s="12"/>
      <c r="Y76" s="7" t="s">
        <v>22</v>
      </c>
      <c r="Z76" s="10"/>
      <c r="AA76" s="11"/>
      <c r="AB76" s="11"/>
      <c r="AC76" s="11"/>
      <c r="AD76" s="11"/>
      <c r="AE76" s="12"/>
      <c r="AH76" s="7" t="s">
        <v>22</v>
      </c>
      <c r="AI76" s="10"/>
      <c r="AJ76" s="11"/>
      <c r="AK76" s="11"/>
      <c r="AL76" s="11"/>
      <c r="AM76" s="11"/>
      <c r="AN76" s="12"/>
    </row>
    <row r="77" spans="1:40" x14ac:dyDescent="0.25">
      <c r="J77" s="8"/>
      <c r="T77" s="8" t="s">
        <v>23</v>
      </c>
      <c r="U77" s="13">
        <f>SUM(K76:U76)</f>
        <v>0</v>
      </c>
      <c r="AD77" s="8" t="s">
        <v>23</v>
      </c>
      <c r="AE77" s="13">
        <f>SUM(Z76:AE76)</f>
        <v>0</v>
      </c>
      <c r="AM77" s="8" t="s">
        <v>23</v>
      </c>
      <c r="AN77" s="13">
        <f>SUM(AI76:AN76)</f>
        <v>0</v>
      </c>
    </row>
    <row r="78" spans="1:40" ht="15.75" thickBot="1" x14ac:dyDescent="0.3">
      <c r="A78" s="19"/>
      <c r="B78" s="99" t="s">
        <v>16</v>
      </c>
      <c r="C78" s="99"/>
      <c r="D78" s="99"/>
      <c r="E78" s="99"/>
      <c r="F78" s="99"/>
      <c r="G78" s="99"/>
      <c r="H78" s="99"/>
      <c r="J78" s="100" t="s">
        <v>16</v>
      </c>
      <c r="K78" s="100"/>
      <c r="L78" s="100"/>
      <c r="M78" s="100"/>
      <c r="N78" s="100"/>
      <c r="O78" s="100"/>
      <c r="P78" s="100"/>
      <c r="Q78" s="100"/>
      <c r="R78" s="100"/>
      <c r="S78" s="100"/>
      <c r="T78" s="100"/>
      <c r="U78" s="100"/>
      <c r="Y78" s="101" t="str">
        <f>J78</f>
        <v>Julho</v>
      </c>
      <c r="Z78" s="101"/>
      <c r="AA78" s="101"/>
      <c r="AB78" s="101"/>
      <c r="AC78" s="101"/>
      <c r="AD78" s="101"/>
      <c r="AE78" s="101"/>
      <c r="AH78" s="102" t="str">
        <f>Y78</f>
        <v>Julho</v>
      </c>
      <c r="AI78" s="102"/>
      <c r="AJ78" s="102"/>
      <c r="AK78" s="102"/>
      <c r="AL78" s="102"/>
      <c r="AM78" s="102"/>
      <c r="AN78" s="102"/>
    </row>
    <row r="79" spans="1:40" ht="15.75" thickBot="1" x14ac:dyDescent="0.3">
      <c r="A79" s="97" t="s">
        <v>5</v>
      </c>
      <c r="B79" s="34" t="s">
        <v>6</v>
      </c>
      <c r="C79" s="22" t="s">
        <v>7</v>
      </c>
      <c r="D79" s="33" t="s">
        <v>8</v>
      </c>
      <c r="E79" s="22" t="s">
        <v>9</v>
      </c>
      <c r="F79" s="24" t="s">
        <v>10</v>
      </c>
      <c r="G79" s="23" t="s">
        <v>11</v>
      </c>
      <c r="H79" s="25" t="s">
        <v>12</v>
      </c>
      <c r="J79" s="6" t="s">
        <v>4</v>
      </c>
      <c r="K79" s="9"/>
      <c r="L79" s="4"/>
      <c r="M79" s="4"/>
      <c r="N79" s="4"/>
      <c r="O79" s="4"/>
      <c r="P79" s="4"/>
      <c r="Q79" s="4"/>
      <c r="R79" s="4"/>
      <c r="S79" s="4"/>
      <c r="T79" s="4"/>
      <c r="U79" s="5"/>
      <c r="Y79" s="6" t="s">
        <v>4</v>
      </c>
      <c r="Z79" s="9"/>
      <c r="AA79" s="4"/>
      <c r="AB79" s="4"/>
      <c r="AC79" s="4"/>
      <c r="AD79" s="4"/>
      <c r="AE79" s="5"/>
      <c r="AH79" s="6" t="s">
        <v>4</v>
      </c>
      <c r="AI79" s="9"/>
      <c r="AJ79" s="4"/>
      <c r="AK79" s="4"/>
      <c r="AL79" s="4"/>
      <c r="AM79" s="4"/>
      <c r="AN79" s="5"/>
    </row>
    <row r="80" spans="1:40" ht="15.75" thickBot="1" x14ac:dyDescent="0.3">
      <c r="A80" s="97"/>
      <c r="B80" s="26"/>
      <c r="C80" s="27"/>
      <c r="D80" s="27"/>
      <c r="E80" s="27"/>
      <c r="F80" s="27">
        <f>SUM(C80-B80)</f>
        <v>0</v>
      </c>
      <c r="G80" s="20">
        <f>SUM(E80-D80)</f>
        <v>0</v>
      </c>
      <c r="H80" s="21">
        <f>SUM(F80:G80)</f>
        <v>0</v>
      </c>
      <c r="J80" s="7" t="s">
        <v>22</v>
      </c>
      <c r="K80" s="10"/>
      <c r="L80" s="11"/>
      <c r="M80" s="11"/>
      <c r="N80" s="11"/>
      <c r="O80" s="11"/>
      <c r="P80" s="11"/>
      <c r="Q80" s="11"/>
      <c r="R80" s="11"/>
      <c r="S80" s="11"/>
      <c r="T80" s="11"/>
      <c r="U80" s="12"/>
      <c r="Y80" s="7" t="s">
        <v>22</v>
      </c>
      <c r="Z80" s="10"/>
      <c r="AA80" s="11"/>
      <c r="AB80" s="11"/>
      <c r="AC80" s="11"/>
      <c r="AD80" s="11"/>
      <c r="AE80" s="12"/>
      <c r="AH80" s="7" t="s">
        <v>22</v>
      </c>
      <c r="AI80" s="10"/>
      <c r="AJ80" s="11"/>
      <c r="AK80" s="11"/>
      <c r="AL80" s="11"/>
      <c r="AM80" s="11"/>
      <c r="AN80" s="12"/>
    </row>
    <row r="81" spans="1:40" x14ac:dyDescent="0.25">
      <c r="J81" s="8"/>
      <c r="T81" s="8" t="s">
        <v>23</v>
      </c>
      <c r="U81" s="13">
        <f>SUM(K80:U80)</f>
        <v>0</v>
      </c>
      <c r="AD81" s="8" t="s">
        <v>23</v>
      </c>
      <c r="AE81" s="13">
        <f>SUM(Z80:AE80)</f>
        <v>0</v>
      </c>
      <c r="AM81" s="8" t="s">
        <v>23</v>
      </c>
      <c r="AN81" s="13">
        <f>SUM(AI80:AN80)</f>
        <v>0</v>
      </c>
    </row>
    <row r="82" spans="1:40" ht="15.75" thickBot="1" x14ac:dyDescent="0.3">
      <c r="A82" s="19"/>
      <c r="B82" s="99" t="s">
        <v>17</v>
      </c>
      <c r="C82" s="99"/>
      <c r="D82" s="99"/>
      <c r="E82" s="99"/>
      <c r="F82" s="99"/>
      <c r="G82" s="99"/>
      <c r="H82" s="99"/>
      <c r="J82" s="100" t="s">
        <v>17</v>
      </c>
      <c r="K82" s="100"/>
      <c r="L82" s="100"/>
      <c r="M82" s="100"/>
      <c r="N82" s="100"/>
      <c r="O82" s="100"/>
      <c r="P82" s="100"/>
      <c r="Q82" s="100"/>
      <c r="R82" s="100"/>
      <c r="S82" s="100"/>
      <c r="T82" s="100"/>
      <c r="U82" s="100"/>
      <c r="Y82" s="101" t="str">
        <f>J82</f>
        <v>Agosto</v>
      </c>
      <c r="Z82" s="101"/>
      <c r="AA82" s="101"/>
      <c r="AB82" s="101"/>
      <c r="AC82" s="101"/>
      <c r="AD82" s="101"/>
      <c r="AE82" s="101"/>
      <c r="AH82" s="102" t="str">
        <f>Y82</f>
        <v>Agosto</v>
      </c>
      <c r="AI82" s="102"/>
      <c r="AJ82" s="102"/>
      <c r="AK82" s="102"/>
      <c r="AL82" s="102"/>
      <c r="AM82" s="102"/>
      <c r="AN82" s="102"/>
    </row>
    <row r="83" spans="1:40" ht="15.75" thickBot="1" x14ac:dyDescent="0.3">
      <c r="A83" s="97" t="s">
        <v>5</v>
      </c>
      <c r="B83" s="34" t="s">
        <v>6</v>
      </c>
      <c r="C83" s="22" t="s">
        <v>7</v>
      </c>
      <c r="D83" s="33" t="s">
        <v>8</v>
      </c>
      <c r="E83" s="22" t="s">
        <v>9</v>
      </c>
      <c r="F83" s="24" t="s">
        <v>10</v>
      </c>
      <c r="G83" s="23" t="s">
        <v>11</v>
      </c>
      <c r="H83" s="25" t="s">
        <v>12</v>
      </c>
      <c r="J83" s="6" t="s">
        <v>4</v>
      </c>
      <c r="K83" s="9"/>
      <c r="L83" s="4"/>
      <c r="M83" s="4"/>
      <c r="N83" s="4"/>
      <c r="O83" s="4"/>
      <c r="P83" s="4"/>
      <c r="Q83" s="4"/>
      <c r="R83" s="4"/>
      <c r="S83" s="4"/>
      <c r="T83" s="4"/>
      <c r="U83" s="5"/>
      <c r="Y83" s="6" t="s">
        <v>4</v>
      </c>
      <c r="Z83" s="9"/>
      <c r="AA83" s="4"/>
      <c r="AB83" s="4"/>
      <c r="AC83" s="4"/>
      <c r="AD83" s="4"/>
      <c r="AE83" s="5"/>
      <c r="AH83" s="6" t="s">
        <v>4</v>
      </c>
      <c r="AI83" s="9"/>
      <c r="AJ83" s="4"/>
      <c r="AK83" s="4"/>
      <c r="AL83" s="4"/>
      <c r="AM83" s="4"/>
      <c r="AN83" s="5"/>
    </row>
    <row r="84" spans="1:40" ht="15.75" thickBot="1" x14ac:dyDescent="0.3">
      <c r="A84" s="97"/>
      <c r="B84" s="26"/>
      <c r="C84" s="27"/>
      <c r="D84" s="27"/>
      <c r="E84" s="27"/>
      <c r="F84" s="27">
        <f>SUM(C84-B84)</f>
        <v>0</v>
      </c>
      <c r="G84" s="20">
        <f>SUM(E84-D84)</f>
        <v>0</v>
      </c>
      <c r="H84" s="21">
        <f>SUM(F84:G84)</f>
        <v>0</v>
      </c>
      <c r="J84" s="7" t="s">
        <v>22</v>
      </c>
      <c r="K84" s="10"/>
      <c r="L84" s="11"/>
      <c r="M84" s="11"/>
      <c r="N84" s="11"/>
      <c r="O84" s="11"/>
      <c r="P84" s="11"/>
      <c r="Q84" s="11"/>
      <c r="R84" s="11"/>
      <c r="S84" s="11"/>
      <c r="T84" s="11"/>
      <c r="U84" s="12"/>
      <c r="Y84" s="7" t="s">
        <v>22</v>
      </c>
      <c r="Z84" s="10"/>
      <c r="AA84" s="11"/>
      <c r="AB84" s="11"/>
      <c r="AC84" s="11"/>
      <c r="AD84" s="11"/>
      <c r="AE84" s="12"/>
      <c r="AH84" s="7" t="s">
        <v>22</v>
      </c>
      <c r="AI84" s="10"/>
      <c r="AJ84" s="11"/>
      <c r="AK84" s="11"/>
      <c r="AL84" s="11"/>
      <c r="AM84" s="11"/>
      <c r="AN84" s="12"/>
    </row>
    <row r="85" spans="1:40" x14ac:dyDescent="0.25">
      <c r="J85" s="8"/>
      <c r="T85" s="8" t="s">
        <v>23</v>
      </c>
      <c r="U85" s="13">
        <f>SUM(K84:U84)</f>
        <v>0</v>
      </c>
      <c r="AD85" s="8" t="s">
        <v>23</v>
      </c>
      <c r="AE85" s="13">
        <f>SUM(Z84:AE84)</f>
        <v>0</v>
      </c>
      <c r="AM85" s="8" t="s">
        <v>23</v>
      </c>
      <c r="AN85" s="13">
        <f>SUM(AI84:AN84)</f>
        <v>0</v>
      </c>
    </row>
    <row r="86" spans="1:40" ht="15.75" thickBot="1" x14ac:dyDescent="0.3">
      <c r="A86" s="19"/>
      <c r="B86" s="99" t="s">
        <v>18</v>
      </c>
      <c r="C86" s="99"/>
      <c r="D86" s="99"/>
      <c r="E86" s="99"/>
      <c r="F86" s="99"/>
      <c r="G86" s="99"/>
      <c r="H86" s="99"/>
      <c r="J86" s="100" t="s">
        <v>18</v>
      </c>
      <c r="K86" s="100"/>
      <c r="L86" s="100"/>
      <c r="M86" s="100"/>
      <c r="N86" s="100"/>
      <c r="O86" s="100"/>
      <c r="P86" s="100"/>
      <c r="Q86" s="100"/>
      <c r="R86" s="100"/>
      <c r="S86" s="100"/>
      <c r="T86" s="100"/>
      <c r="U86" s="100"/>
      <c r="Y86" s="101" t="str">
        <f>J86</f>
        <v>Setembro</v>
      </c>
      <c r="Z86" s="101"/>
      <c r="AA86" s="101"/>
      <c r="AB86" s="101"/>
      <c r="AC86" s="101"/>
      <c r="AD86" s="101"/>
      <c r="AE86" s="101"/>
      <c r="AH86" s="102" t="str">
        <f>Y86</f>
        <v>Setembro</v>
      </c>
      <c r="AI86" s="102"/>
      <c r="AJ86" s="102"/>
      <c r="AK86" s="102"/>
      <c r="AL86" s="102"/>
      <c r="AM86" s="102"/>
      <c r="AN86" s="102"/>
    </row>
    <row r="87" spans="1:40" ht="15.75" thickBot="1" x14ac:dyDescent="0.3">
      <c r="A87" s="97" t="s">
        <v>5</v>
      </c>
      <c r="B87" s="34" t="s">
        <v>6</v>
      </c>
      <c r="C87" s="22" t="s">
        <v>7</v>
      </c>
      <c r="D87" s="33" t="s">
        <v>8</v>
      </c>
      <c r="E87" s="22" t="s">
        <v>9</v>
      </c>
      <c r="F87" s="24" t="s">
        <v>10</v>
      </c>
      <c r="G87" s="23" t="s">
        <v>11</v>
      </c>
      <c r="H87" s="25" t="s">
        <v>12</v>
      </c>
      <c r="J87" s="6" t="s">
        <v>4</v>
      </c>
      <c r="K87" s="9"/>
      <c r="L87" s="4"/>
      <c r="M87" s="4"/>
      <c r="N87" s="4"/>
      <c r="O87" s="4"/>
      <c r="P87" s="4"/>
      <c r="Q87" s="4"/>
      <c r="R87" s="4"/>
      <c r="S87" s="4"/>
      <c r="T87" s="4"/>
      <c r="U87" s="5"/>
      <c r="Y87" s="6" t="s">
        <v>4</v>
      </c>
      <c r="Z87" s="9"/>
      <c r="AA87" s="4"/>
      <c r="AB87" s="4"/>
      <c r="AC87" s="4"/>
      <c r="AD87" s="4"/>
      <c r="AE87" s="5"/>
      <c r="AH87" s="6" t="s">
        <v>4</v>
      </c>
      <c r="AI87" s="9"/>
      <c r="AJ87" s="4"/>
      <c r="AK87" s="4"/>
      <c r="AL87" s="4"/>
      <c r="AM87" s="4"/>
      <c r="AN87" s="5"/>
    </row>
    <row r="88" spans="1:40" ht="15.75" thickBot="1" x14ac:dyDescent="0.3">
      <c r="A88" s="97"/>
      <c r="B88" s="26"/>
      <c r="C88" s="27"/>
      <c r="D88" s="27"/>
      <c r="E88" s="27"/>
      <c r="F88" s="27">
        <f>SUM(C88-B88)</f>
        <v>0</v>
      </c>
      <c r="G88" s="20">
        <f>SUM(E88-D88)</f>
        <v>0</v>
      </c>
      <c r="H88" s="21">
        <f>SUM(F88:G88)</f>
        <v>0</v>
      </c>
      <c r="J88" s="7" t="s">
        <v>22</v>
      </c>
      <c r="K88" s="10"/>
      <c r="L88" s="11"/>
      <c r="M88" s="11"/>
      <c r="N88" s="11"/>
      <c r="O88" s="11"/>
      <c r="P88" s="11"/>
      <c r="Q88" s="11"/>
      <c r="R88" s="11"/>
      <c r="S88" s="11"/>
      <c r="T88" s="11"/>
      <c r="U88" s="12"/>
      <c r="Y88" s="7" t="s">
        <v>22</v>
      </c>
      <c r="Z88" s="10"/>
      <c r="AA88" s="11"/>
      <c r="AB88" s="11"/>
      <c r="AC88" s="11"/>
      <c r="AD88" s="11"/>
      <c r="AE88" s="12"/>
      <c r="AH88" s="7" t="s">
        <v>22</v>
      </c>
      <c r="AI88" s="10"/>
      <c r="AJ88" s="11"/>
      <c r="AK88" s="11"/>
      <c r="AL88" s="11"/>
      <c r="AM88" s="11"/>
      <c r="AN88" s="12"/>
    </row>
    <row r="89" spans="1:40" x14ac:dyDescent="0.25">
      <c r="J89" s="8"/>
      <c r="T89" s="8" t="s">
        <v>23</v>
      </c>
      <c r="U89" s="13">
        <f>SUM(K88:U88)</f>
        <v>0</v>
      </c>
      <c r="AD89" s="8" t="s">
        <v>23</v>
      </c>
      <c r="AE89" s="13">
        <f>SUM(Z88:AE88)</f>
        <v>0</v>
      </c>
      <c r="AM89" s="8" t="s">
        <v>23</v>
      </c>
      <c r="AN89" s="13">
        <f>SUM(AI88:AN88)</f>
        <v>0</v>
      </c>
    </row>
  </sheetData>
  <mergeCells count="111">
    <mergeCell ref="A51:A52"/>
    <mergeCell ref="B42:H42"/>
    <mergeCell ref="J42:U42"/>
    <mergeCell ref="W42:AC42"/>
    <mergeCell ref="AE42:AK42"/>
    <mergeCell ref="A43:A44"/>
    <mergeCell ref="B46:H46"/>
    <mergeCell ref="J46:U46"/>
    <mergeCell ref="W46:AC46"/>
    <mergeCell ref="AE46:AK46"/>
    <mergeCell ref="A47:A48"/>
    <mergeCell ref="B50:H50"/>
    <mergeCell ref="J50:U50"/>
    <mergeCell ref="W50:AC50"/>
    <mergeCell ref="AE50:AK50"/>
    <mergeCell ref="A39:A40"/>
    <mergeCell ref="B30:H30"/>
    <mergeCell ref="J30:U30"/>
    <mergeCell ref="W30:AC30"/>
    <mergeCell ref="AE30:AK30"/>
    <mergeCell ref="A31:A32"/>
    <mergeCell ref="B34:H34"/>
    <mergeCell ref="J34:U34"/>
    <mergeCell ref="W34:AC34"/>
    <mergeCell ref="AE34:AK34"/>
    <mergeCell ref="A35:A36"/>
    <mergeCell ref="B38:H38"/>
    <mergeCell ref="J38:U38"/>
    <mergeCell ref="W38:AC38"/>
    <mergeCell ref="AE38:AK38"/>
    <mergeCell ref="W14:AC14"/>
    <mergeCell ref="AE14:AK14"/>
    <mergeCell ref="A27:A28"/>
    <mergeCell ref="B18:H18"/>
    <mergeCell ref="J18:U18"/>
    <mergeCell ref="W18:AC18"/>
    <mergeCell ref="AE18:AK18"/>
    <mergeCell ref="A19:A20"/>
    <mergeCell ref="B22:H22"/>
    <mergeCell ref="J22:U22"/>
    <mergeCell ref="W22:AC22"/>
    <mergeCell ref="AE22:AK22"/>
    <mergeCell ref="A23:A24"/>
    <mergeCell ref="B26:H26"/>
    <mergeCell ref="J26:U26"/>
    <mergeCell ref="W26:AC26"/>
    <mergeCell ref="AE26:AK26"/>
    <mergeCell ref="B54:H54"/>
    <mergeCell ref="J54:U54"/>
    <mergeCell ref="Y54:AE54"/>
    <mergeCell ref="AH54:AN54"/>
    <mergeCell ref="A55:A56"/>
    <mergeCell ref="B2:C2"/>
    <mergeCell ref="E2:F2"/>
    <mergeCell ref="B5:C5"/>
    <mergeCell ref="E5:F5"/>
    <mergeCell ref="A8:H8"/>
    <mergeCell ref="B4:C4"/>
    <mergeCell ref="E4:F4"/>
    <mergeCell ref="E3:F3"/>
    <mergeCell ref="A15:A16"/>
    <mergeCell ref="W8:AC8"/>
    <mergeCell ref="AE8:AK8"/>
    <mergeCell ref="B10:H10"/>
    <mergeCell ref="J10:U10"/>
    <mergeCell ref="W10:AC10"/>
    <mergeCell ref="AE10:AK10"/>
    <mergeCell ref="J8:U8"/>
    <mergeCell ref="A11:A12"/>
    <mergeCell ref="B14:H14"/>
    <mergeCell ref="J14:U14"/>
    <mergeCell ref="B62:H62"/>
    <mergeCell ref="J62:U62"/>
    <mergeCell ref="Y62:AE62"/>
    <mergeCell ref="AH62:AN62"/>
    <mergeCell ref="A63:A64"/>
    <mergeCell ref="B58:H58"/>
    <mergeCell ref="J58:U58"/>
    <mergeCell ref="Y58:AE58"/>
    <mergeCell ref="AH58:AN58"/>
    <mergeCell ref="A59:A60"/>
    <mergeCell ref="B70:H70"/>
    <mergeCell ref="J70:U70"/>
    <mergeCell ref="Y70:AE70"/>
    <mergeCell ref="AH70:AN70"/>
    <mergeCell ref="A71:A72"/>
    <mergeCell ref="B66:H66"/>
    <mergeCell ref="J66:U66"/>
    <mergeCell ref="Y66:AE66"/>
    <mergeCell ref="AH66:AN66"/>
    <mergeCell ref="A67:A68"/>
    <mergeCell ref="B78:H78"/>
    <mergeCell ref="J78:U78"/>
    <mergeCell ref="Y78:AE78"/>
    <mergeCell ref="AH78:AN78"/>
    <mergeCell ref="A79:A80"/>
    <mergeCell ref="B74:H74"/>
    <mergeCell ref="J74:U74"/>
    <mergeCell ref="Y74:AE74"/>
    <mergeCell ref="AH74:AN74"/>
    <mergeCell ref="A75:A76"/>
    <mergeCell ref="B86:H86"/>
    <mergeCell ref="J86:U86"/>
    <mergeCell ref="Y86:AE86"/>
    <mergeCell ref="AH86:AN86"/>
    <mergeCell ref="A87:A88"/>
    <mergeCell ref="B82:H82"/>
    <mergeCell ref="J82:U82"/>
    <mergeCell ref="Y82:AE82"/>
    <mergeCell ref="AH82:AN82"/>
    <mergeCell ref="A83:A84"/>
  </mergeCells>
  <phoneticPr fontId="3" type="noConversion"/>
  <pageMargins left="0.511811024" right="0.511811024" top="0.78740157499999996" bottom="0.78740157499999996" header="0.31496062000000002" footer="0.31496062000000002"/>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N88"/>
  <sheetViews>
    <sheetView showGridLines="0" topLeftCell="A41" workbookViewId="0">
      <selection activeCell="I55" sqref="I55"/>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6" width="10.42578125" bestFit="1" customWidth="1"/>
    <col min="21" max="21" width="12.140625" bestFit="1" customWidth="1"/>
    <col min="37" max="39" width="10.140625" bestFit="1" customWidth="1"/>
  </cols>
  <sheetData>
    <row r="2" spans="1:40" x14ac:dyDescent="0.25">
      <c r="A2" t="s">
        <v>0</v>
      </c>
      <c r="B2" s="94" t="s">
        <v>130</v>
      </c>
      <c r="C2" s="94"/>
      <c r="D2" s="1" t="s">
        <v>1</v>
      </c>
      <c r="E2" s="94" t="s">
        <v>131</v>
      </c>
      <c r="F2" s="94"/>
      <c r="H2" t="s">
        <v>91</v>
      </c>
      <c r="I2" s="75">
        <v>3000</v>
      </c>
    </row>
    <row r="3" spans="1:40" x14ac:dyDescent="0.25">
      <c r="A3" t="s">
        <v>79</v>
      </c>
      <c r="B3" s="94"/>
      <c r="C3" s="94"/>
      <c r="D3" s="1" t="s">
        <v>1</v>
      </c>
      <c r="E3" s="94"/>
      <c r="F3" s="94"/>
      <c r="H3" t="s">
        <v>80</v>
      </c>
      <c r="I3" s="54"/>
    </row>
    <row r="4" spans="1:40" x14ac:dyDescent="0.25">
      <c r="A4" t="s">
        <v>2</v>
      </c>
      <c r="B4" s="95">
        <v>7553</v>
      </c>
      <c r="C4" s="95"/>
      <c r="D4" s="1" t="s">
        <v>29</v>
      </c>
      <c r="E4" s="110">
        <v>45</v>
      </c>
      <c r="F4" s="110"/>
      <c r="H4" t="s">
        <v>105</v>
      </c>
      <c r="I4" s="76">
        <v>45968</v>
      </c>
      <c r="J4" t="s">
        <v>135</v>
      </c>
      <c r="K4" s="76">
        <v>46060</v>
      </c>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Y41" s="101" t="str">
        <f>J41</f>
        <v>Outubro</v>
      </c>
      <c r="Z41" s="101"/>
      <c r="AA41" s="101"/>
      <c r="AB41" s="101"/>
      <c r="AC41" s="101"/>
      <c r="AD41" s="101"/>
      <c r="AE41" s="101"/>
      <c r="AH41" s="102" t="str">
        <f>Y41</f>
        <v>Outubro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Y45" s="101" t="str">
        <f>J45</f>
        <v>Novembro</v>
      </c>
      <c r="Z45" s="101"/>
      <c r="AA45" s="101"/>
      <c r="AB45" s="101"/>
      <c r="AC45" s="101"/>
      <c r="AD45" s="101"/>
      <c r="AE45" s="101"/>
      <c r="AH45" s="102" t="str">
        <f>Y45</f>
        <v>Novembro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v>45972</v>
      </c>
      <c r="L46" s="66">
        <v>45974</v>
      </c>
      <c r="M46" s="66">
        <v>45979</v>
      </c>
      <c r="N46" s="66">
        <v>45985</v>
      </c>
      <c r="O46" s="66">
        <v>45987</v>
      </c>
      <c r="P46" s="66">
        <v>45990</v>
      </c>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6">
        <v>12392</v>
      </c>
      <c r="C47" s="27">
        <v>13664</v>
      </c>
      <c r="D47" s="27">
        <v>13664</v>
      </c>
      <c r="E47" s="27">
        <v>14935</v>
      </c>
      <c r="F47" s="27">
        <f>SUM(C47-B47)</f>
        <v>1272</v>
      </c>
      <c r="G47" s="20">
        <f>SUM(E47-D47)</f>
        <v>1271</v>
      </c>
      <c r="H47" s="21">
        <f>SUM(F47:G47)</f>
        <v>2543</v>
      </c>
      <c r="J47" s="7" t="s">
        <v>22</v>
      </c>
      <c r="K47" s="10">
        <v>422.82</v>
      </c>
      <c r="L47" s="11">
        <v>259.52999999999997</v>
      </c>
      <c r="M47" s="11">
        <v>241.3</v>
      </c>
      <c r="N47" s="11">
        <v>280.79000000000002</v>
      </c>
      <c r="O47" s="11">
        <v>159.91999999999999</v>
      </c>
      <c r="P47" s="11">
        <v>286.92</v>
      </c>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1651.28</v>
      </c>
      <c r="AD48" s="8" t="s">
        <v>23</v>
      </c>
      <c r="AE48" s="13">
        <f>SUM(Z47:AE47)</f>
        <v>0</v>
      </c>
      <c r="AM48" s="8" t="s">
        <v>23</v>
      </c>
      <c r="AN48" s="13">
        <f>SUM(AI47:AN47)</f>
        <v>0</v>
      </c>
    </row>
    <row r="49" spans="1:40"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Y49" s="101" t="str">
        <f>J49</f>
        <v>Dezembro</v>
      </c>
      <c r="Z49" s="101"/>
      <c r="AA49" s="101"/>
      <c r="AB49" s="101"/>
      <c r="AC49" s="101"/>
      <c r="AD49" s="101"/>
      <c r="AE49" s="101"/>
      <c r="AH49" s="102" t="str">
        <f>Y49</f>
        <v>Dezembro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v>45995</v>
      </c>
      <c r="L50" s="66">
        <v>46000</v>
      </c>
      <c r="M50" s="66">
        <v>46002</v>
      </c>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7">
        <v>14935</v>
      </c>
      <c r="C51" s="27">
        <v>16327</v>
      </c>
      <c r="D51" s="27">
        <v>16327</v>
      </c>
      <c r="E51" s="27">
        <v>17754</v>
      </c>
      <c r="F51" s="27">
        <f>SUM(C51-B51)</f>
        <v>1392</v>
      </c>
      <c r="G51" s="20">
        <f>SUM(E51-D51)</f>
        <v>1427</v>
      </c>
      <c r="H51" s="21">
        <f>SUM(F51:G51)</f>
        <v>2819</v>
      </c>
      <c r="J51" s="7" t="s">
        <v>22</v>
      </c>
      <c r="K51" s="10">
        <v>235.7</v>
      </c>
      <c r="L51" s="11">
        <v>213.86</v>
      </c>
      <c r="M51" s="11">
        <v>182.97</v>
      </c>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632.53</v>
      </c>
      <c r="AD52" s="8" t="s">
        <v>23</v>
      </c>
      <c r="AE52" s="13">
        <f>SUM(Z51:AE51)</f>
        <v>0</v>
      </c>
      <c r="AM52" s="8" t="s">
        <v>23</v>
      </c>
      <c r="AN52" s="13">
        <f>SUM(AI51:AN51)</f>
        <v>0</v>
      </c>
    </row>
    <row r="53" spans="1:40" ht="15.75" thickBot="1" x14ac:dyDescent="0.3">
      <c r="A53" s="19">
        <v>2026</v>
      </c>
      <c r="B53" s="99" t="s">
        <v>134</v>
      </c>
      <c r="C53" s="99"/>
      <c r="D53" s="99"/>
      <c r="E53" s="99"/>
      <c r="F53" s="99"/>
      <c r="G53" s="99"/>
      <c r="H53" s="99"/>
      <c r="J53" s="100" t="s">
        <v>134</v>
      </c>
      <c r="K53" s="100"/>
      <c r="L53" s="100"/>
      <c r="M53" s="100"/>
      <c r="N53" s="100"/>
      <c r="O53" s="100"/>
      <c r="P53" s="100"/>
      <c r="Q53" s="100"/>
      <c r="R53" s="100"/>
      <c r="S53" s="100"/>
      <c r="T53" s="100"/>
      <c r="U53" s="100"/>
      <c r="Y53" s="101" t="s">
        <v>134</v>
      </c>
      <c r="Z53" s="101"/>
      <c r="AA53" s="101"/>
      <c r="AB53" s="101"/>
      <c r="AC53" s="101"/>
      <c r="AD53" s="101"/>
      <c r="AE53" s="101"/>
      <c r="AH53" s="102" t="s">
        <v>134</v>
      </c>
      <c r="AI53" s="102"/>
      <c r="AJ53" s="102"/>
      <c r="AK53" s="102"/>
      <c r="AL53" s="102"/>
      <c r="AM53" s="102"/>
      <c r="AN53" s="102"/>
    </row>
    <row r="54" spans="1:40" ht="15.75" thickBot="1" x14ac:dyDescent="0.3">
      <c r="A54" s="97" t="s">
        <v>5</v>
      </c>
      <c r="B54" s="34" t="s">
        <v>6</v>
      </c>
      <c r="C54" s="22" t="s">
        <v>7</v>
      </c>
      <c r="D54" s="33" t="s">
        <v>8</v>
      </c>
      <c r="E54" s="22" t="s">
        <v>9</v>
      </c>
      <c r="F54" s="24" t="s">
        <v>10</v>
      </c>
      <c r="G54" s="23" t="s">
        <v>11</v>
      </c>
      <c r="H54" s="25" t="s">
        <v>12</v>
      </c>
      <c r="J54" s="28" t="s">
        <v>4</v>
      </c>
      <c r="K54" s="9"/>
      <c r="L54" s="4"/>
      <c r="M54" s="4"/>
      <c r="N54" s="4"/>
      <c r="O54" s="4"/>
      <c r="P54" s="4"/>
      <c r="Q54" s="4"/>
      <c r="R54" s="4"/>
      <c r="S54" s="4"/>
      <c r="T54" s="4"/>
      <c r="U54" s="5"/>
      <c r="Y54" s="6" t="s">
        <v>4</v>
      </c>
      <c r="Z54" s="9"/>
      <c r="AA54" s="4"/>
      <c r="AB54" s="4"/>
      <c r="AC54" s="4"/>
      <c r="AD54" s="4"/>
      <c r="AE54" s="5"/>
      <c r="AH54" s="6" t="s">
        <v>4</v>
      </c>
      <c r="AI54" s="9"/>
      <c r="AJ54" s="4"/>
      <c r="AK54" s="4"/>
      <c r="AL54" s="4"/>
      <c r="AM54" s="4"/>
      <c r="AN54" s="5"/>
    </row>
    <row r="55" spans="1:40" ht="15.75" thickBot="1" x14ac:dyDescent="0.3">
      <c r="A55" s="97"/>
      <c r="B55" s="26">
        <v>17754</v>
      </c>
      <c r="C55" s="27">
        <v>19157</v>
      </c>
      <c r="D55" s="27">
        <v>19157</v>
      </c>
      <c r="E55" s="27">
        <v>20645</v>
      </c>
      <c r="F55" s="27">
        <f>SUM(C55-B55)</f>
        <v>1403</v>
      </c>
      <c r="G55" s="20">
        <f>SUM(E55-D55)</f>
        <v>1488</v>
      </c>
      <c r="H55" s="21">
        <f>SUM(F55:G55)</f>
        <v>2891</v>
      </c>
      <c r="J55" s="29" t="s">
        <v>22</v>
      </c>
      <c r="K55" s="10"/>
      <c r="L55" s="11"/>
      <c r="M55" s="11"/>
      <c r="N55" s="11"/>
      <c r="O55" s="11"/>
      <c r="P55" s="11"/>
      <c r="Q55" s="11"/>
      <c r="R55" s="11"/>
      <c r="S55" s="11"/>
      <c r="T55" s="11"/>
      <c r="U55" s="12"/>
      <c r="Y55" s="7" t="s">
        <v>22</v>
      </c>
      <c r="Z55" s="10"/>
      <c r="AA55" s="11"/>
      <c r="AB55" s="11"/>
      <c r="AC55" s="11"/>
      <c r="AD55" s="11"/>
      <c r="AE55" s="12"/>
      <c r="AH55" s="7" t="s">
        <v>22</v>
      </c>
      <c r="AI55" s="10"/>
      <c r="AJ55" s="11"/>
      <c r="AK55" s="11"/>
      <c r="AL55" s="11"/>
      <c r="AM55" s="11"/>
      <c r="AN55" s="12"/>
    </row>
    <row r="56" spans="1:40" x14ac:dyDescent="0.25">
      <c r="J56" s="8"/>
      <c r="T56" s="8" t="s">
        <v>23</v>
      </c>
      <c r="U56" s="13">
        <f>SUM(K55:U55)</f>
        <v>0</v>
      </c>
      <c r="AD56" s="8" t="s">
        <v>23</v>
      </c>
      <c r="AE56" s="13">
        <f>SUM(Z55:AE55)</f>
        <v>0</v>
      </c>
      <c r="AM56" s="8" t="s">
        <v>23</v>
      </c>
      <c r="AN56" s="13">
        <f>SUM(AI55:AN55)</f>
        <v>0</v>
      </c>
    </row>
    <row r="57" spans="1:40" ht="15.75" thickBot="1" x14ac:dyDescent="0.3">
      <c r="A57" s="19"/>
      <c r="B57" s="99" t="s">
        <v>3</v>
      </c>
      <c r="C57" s="99"/>
      <c r="D57" s="99"/>
      <c r="E57" s="99"/>
      <c r="F57" s="99"/>
      <c r="G57" s="99"/>
      <c r="H57" s="99"/>
      <c r="J57" s="100" t="s">
        <v>3</v>
      </c>
      <c r="K57" s="100"/>
      <c r="L57" s="100"/>
      <c r="M57" s="100"/>
      <c r="N57" s="100"/>
      <c r="O57" s="100"/>
      <c r="P57" s="100"/>
      <c r="Q57" s="100"/>
      <c r="R57" s="100"/>
      <c r="S57" s="100"/>
      <c r="T57" s="100"/>
      <c r="U57" s="100"/>
      <c r="Y57" s="101" t="s">
        <v>3</v>
      </c>
      <c r="Z57" s="101"/>
      <c r="AA57" s="101"/>
      <c r="AB57" s="101"/>
      <c r="AC57" s="101"/>
      <c r="AD57" s="101"/>
      <c r="AE57" s="101"/>
      <c r="AH57" s="102" t="s">
        <v>3</v>
      </c>
      <c r="AI57" s="102"/>
      <c r="AJ57" s="102"/>
      <c r="AK57" s="102"/>
      <c r="AL57" s="102"/>
      <c r="AM57" s="102"/>
      <c r="AN57" s="102"/>
    </row>
    <row r="58" spans="1:40" ht="15.75" thickBot="1" x14ac:dyDescent="0.3">
      <c r="A58" s="97" t="s">
        <v>5</v>
      </c>
      <c r="B58" s="34" t="s">
        <v>6</v>
      </c>
      <c r="C58" s="22" t="s">
        <v>7</v>
      </c>
      <c r="D58" s="33" t="s">
        <v>8</v>
      </c>
      <c r="E58" s="22" t="s">
        <v>9</v>
      </c>
      <c r="F58" s="24" t="s">
        <v>10</v>
      </c>
      <c r="G58" s="23" t="s">
        <v>11</v>
      </c>
      <c r="H58" s="25" t="s">
        <v>12</v>
      </c>
      <c r="J58" s="28" t="s">
        <v>4</v>
      </c>
      <c r="K58" s="9">
        <v>46058</v>
      </c>
      <c r="L58" s="4"/>
      <c r="M58" s="4"/>
      <c r="N58" s="4"/>
      <c r="O58" s="4"/>
      <c r="P58" s="4"/>
      <c r="Q58" s="4"/>
      <c r="R58" s="4"/>
      <c r="S58" s="4"/>
      <c r="T58" s="4"/>
      <c r="U58" s="5"/>
      <c r="Y58" s="6" t="s">
        <v>4</v>
      </c>
      <c r="Z58" s="9"/>
      <c r="AA58" s="4"/>
      <c r="AB58" s="4"/>
      <c r="AC58" s="4"/>
      <c r="AD58" s="4"/>
      <c r="AE58" s="5"/>
      <c r="AH58" s="6" t="s">
        <v>4</v>
      </c>
      <c r="AI58" s="9"/>
      <c r="AJ58" s="4"/>
      <c r="AK58" s="4"/>
      <c r="AL58" s="4"/>
      <c r="AM58" s="4"/>
      <c r="AN58" s="5"/>
    </row>
    <row r="59" spans="1:40" ht="15.75" thickBot="1" x14ac:dyDescent="0.3">
      <c r="A59" s="97"/>
      <c r="B59" s="26">
        <v>20645</v>
      </c>
      <c r="C59" s="27">
        <v>21474</v>
      </c>
      <c r="D59" s="27"/>
      <c r="E59" s="27"/>
      <c r="F59" s="27">
        <f>SUM(C59-B59)</f>
        <v>829</v>
      </c>
      <c r="G59" s="20">
        <f>SUM(E59-D59)</f>
        <v>0</v>
      </c>
      <c r="H59" s="21">
        <f>SUM(F59:G59)</f>
        <v>829</v>
      </c>
      <c r="J59" s="29" t="s">
        <v>22</v>
      </c>
      <c r="K59" s="10">
        <v>208.42</v>
      </c>
      <c r="L59" s="11"/>
      <c r="M59" s="11"/>
      <c r="N59" s="11"/>
      <c r="O59" s="11"/>
      <c r="P59" s="11"/>
      <c r="Q59" s="11"/>
      <c r="R59" s="11"/>
      <c r="S59" s="11"/>
      <c r="T59" s="11"/>
      <c r="U59" s="12"/>
      <c r="Y59" s="7" t="s">
        <v>22</v>
      </c>
      <c r="Z59" s="10"/>
      <c r="AA59" s="11"/>
      <c r="AB59" s="11"/>
      <c r="AC59" s="11"/>
      <c r="AD59" s="11"/>
      <c r="AE59" s="12"/>
      <c r="AH59" s="7" t="s">
        <v>22</v>
      </c>
      <c r="AI59" s="10"/>
      <c r="AJ59" s="11"/>
      <c r="AK59" s="11"/>
      <c r="AL59" s="11"/>
      <c r="AM59" s="11"/>
      <c r="AN59" s="12"/>
    </row>
    <row r="60" spans="1:40" x14ac:dyDescent="0.25">
      <c r="J60" s="8"/>
      <c r="T60" s="8" t="s">
        <v>23</v>
      </c>
      <c r="U60" s="13">
        <f>SUM(K59:U59)</f>
        <v>208.42</v>
      </c>
      <c r="AD60" s="8" t="s">
        <v>23</v>
      </c>
      <c r="AE60" s="13">
        <f>SUM(Z59:AE59)</f>
        <v>0</v>
      </c>
      <c r="AM60" s="8" t="s">
        <v>23</v>
      </c>
      <c r="AN60" s="13">
        <f>SUM(AI59:AN59)</f>
        <v>0</v>
      </c>
    </row>
    <row r="61" spans="1:40" ht="15.75" thickBot="1" x14ac:dyDescent="0.3">
      <c r="A61" s="19"/>
      <c r="B61" s="99" t="s">
        <v>13</v>
      </c>
      <c r="C61" s="99"/>
      <c r="D61" s="99"/>
      <c r="E61" s="99"/>
      <c r="F61" s="99"/>
      <c r="G61" s="99"/>
      <c r="H61" s="99"/>
      <c r="J61" s="100" t="s">
        <v>13</v>
      </c>
      <c r="K61" s="100"/>
      <c r="L61" s="100"/>
      <c r="M61" s="100"/>
      <c r="N61" s="100"/>
      <c r="O61" s="100"/>
      <c r="P61" s="100"/>
      <c r="Q61" s="100"/>
      <c r="R61" s="100"/>
      <c r="S61" s="100"/>
      <c r="T61" s="100"/>
      <c r="U61" s="100"/>
      <c r="Y61" s="101" t="str">
        <f>J61</f>
        <v>Março</v>
      </c>
      <c r="Z61" s="101"/>
      <c r="AA61" s="101"/>
      <c r="AB61" s="101"/>
      <c r="AC61" s="101"/>
      <c r="AD61" s="101"/>
      <c r="AE61" s="101"/>
      <c r="AH61" s="102" t="str">
        <f>Y61</f>
        <v>Março</v>
      </c>
      <c r="AI61" s="102"/>
      <c r="AJ61" s="102"/>
      <c r="AK61" s="102"/>
      <c r="AL61" s="102"/>
      <c r="AM61" s="102"/>
      <c r="AN61" s="102"/>
    </row>
    <row r="62" spans="1:40" ht="15.75" thickBot="1" x14ac:dyDescent="0.3">
      <c r="A62" s="97" t="s">
        <v>5</v>
      </c>
      <c r="B62" s="34" t="s">
        <v>6</v>
      </c>
      <c r="C62" s="22" t="s">
        <v>7</v>
      </c>
      <c r="D62" s="33" t="s">
        <v>8</v>
      </c>
      <c r="E62" s="22" t="s">
        <v>9</v>
      </c>
      <c r="F62" s="24" t="s">
        <v>10</v>
      </c>
      <c r="G62" s="23" t="s">
        <v>11</v>
      </c>
      <c r="H62" s="25" t="s">
        <v>12</v>
      </c>
      <c r="J62" s="6" t="s">
        <v>4</v>
      </c>
      <c r="K62" s="9"/>
      <c r="L62" s="4"/>
      <c r="M62" s="4"/>
      <c r="N62" s="4"/>
      <c r="O62" s="4"/>
      <c r="P62" s="4"/>
      <c r="Q62" s="4"/>
      <c r="R62" s="4"/>
      <c r="S62" s="4"/>
      <c r="T62" s="4"/>
      <c r="U62" s="5"/>
      <c r="Y62" s="6" t="s">
        <v>4</v>
      </c>
      <c r="Z62" s="9"/>
      <c r="AA62" s="4"/>
      <c r="AB62" s="4"/>
      <c r="AC62" s="4"/>
      <c r="AD62" s="4"/>
      <c r="AE62" s="5"/>
      <c r="AH62" s="6" t="s">
        <v>4</v>
      </c>
      <c r="AI62" s="9"/>
      <c r="AJ62" s="4"/>
      <c r="AK62" s="4"/>
      <c r="AL62" s="4"/>
      <c r="AM62" s="4"/>
      <c r="AN62" s="5"/>
    </row>
    <row r="63" spans="1:40" ht="15.75" thickBot="1" x14ac:dyDescent="0.3">
      <c r="A63" s="97"/>
      <c r="B63" s="26"/>
      <c r="C63" s="27"/>
      <c r="D63" s="27"/>
      <c r="E63" s="27"/>
      <c r="F63" s="27">
        <f>SUM(C63-B63)</f>
        <v>0</v>
      </c>
      <c r="G63" s="20">
        <f>SUM(E63-D63)</f>
        <v>0</v>
      </c>
      <c r="H63" s="21">
        <f>SUM(F63:G63)</f>
        <v>0</v>
      </c>
      <c r="J63" s="7" t="s">
        <v>22</v>
      </c>
      <c r="K63" s="10"/>
      <c r="L63" s="11"/>
      <c r="M63" s="11"/>
      <c r="N63" s="11"/>
      <c r="O63" s="11"/>
      <c r="P63" s="11"/>
      <c r="Q63" s="11"/>
      <c r="R63" s="11"/>
      <c r="S63" s="11"/>
      <c r="T63" s="11"/>
      <c r="U63" s="12"/>
      <c r="Y63" s="7" t="s">
        <v>22</v>
      </c>
      <c r="Z63" s="10"/>
      <c r="AA63" s="11"/>
      <c r="AB63" s="11"/>
      <c r="AC63" s="11"/>
      <c r="AD63" s="11"/>
      <c r="AE63" s="12"/>
      <c r="AH63" s="7" t="s">
        <v>22</v>
      </c>
      <c r="AI63" s="10"/>
      <c r="AJ63" s="11"/>
      <c r="AK63" s="11"/>
      <c r="AL63" s="11"/>
      <c r="AM63" s="11"/>
      <c r="AN63" s="12"/>
    </row>
    <row r="64" spans="1:40" x14ac:dyDescent="0.25">
      <c r="J64" s="8"/>
      <c r="T64" s="8" t="s">
        <v>23</v>
      </c>
      <c r="U64" s="13">
        <f>SUM(K63:U63)</f>
        <v>0</v>
      </c>
      <c r="AD64" s="8" t="s">
        <v>23</v>
      </c>
      <c r="AE64" s="13">
        <f>SUM(Z63:AE63)</f>
        <v>0</v>
      </c>
      <c r="AM64" s="8" t="s">
        <v>23</v>
      </c>
      <c r="AN64" s="13">
        <f>SUM(AI63:AN63)</f>
        <v>0</v>
      </c>
    </row>
    <row r="65" spans="1:40" ht="15.75" thickBot="1" x14ac:dyDescent="0.3">
      <c r="A65" s="19"/>
      <c r="B65" s="99" t="s">
        <v>14</v>
      </c>
      <c r="C65" s="99"/>
      <c r="D65" s="99"/>
      <c r="E65" s="99"/>
      <c r="F65" s="99"/>
      <c r="G65" s="99"/>
      <c r="H65" s="99"/>
      <c r="J65" s="100" t="s">
        <v>14</v>
      </c>
      <c r="K65" s="100"/>
      <c r="L65" s="100"/>
      <c r="M65" s="100"/>
      <c r="N65" s="100"/>
      <c r="O65" s="100"/>
      <c r="P65" s="100"/>
      <c r="Q65" s="100"/>
      <c r="R65" s="100"/>
      <c r="S65" s="100"/>
      <c r="T65" s="100"/>
      <c r="U65" s="100"/>
      <c r="Y65" s="101" t="str">
        <f>J65</f>
        <v>Abril</v>
      </c>
      <c r="Z65" s="101"/>
      <c r="AA65" s="101"/>
      <c r="AB65" s="101"/>
      <c r="AC65" s="101"/>
      <c r="AD65" s="101"/>
      <c r="AE65" s="101"/>
      <c r="AH65" s="102" t="str">
        <f>Y65</f>
        <v>Abril</v>
      </c>
      <c r="AI65" s="102"/>
      <c r="AJ65" s="102"/>
      <c r="AK65" s="102"/>
      <c r="AL65" s="102"/>
      <c r="AM65" s="102"/>
      <c r="AN65" s="102"/>
    </row>
    <row r="66" spans="1:40" ht="15.75" thickBot="1" x14ac:dyDescent="0.3">
      <c r="A66" s="97"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97"/>
      <c r="B67" s="26"/>
      <c r="C67" s="27"/>
      <c r="D67" s="27"/>
      <c r="E67" s="27"/>
      <c r="F67" s="27">
        <f>SUM(C67-B67)</f>
        <v>0</v>
      </c>
      <c r="G67" s="20">
        <f>SUM(E67-D67)</f>
        <v>0</v>
      </c>
      <c r="H67" s="21">
        <f>SUM(F67:G67)</f>
        <v>0</v>
      </c>
      <c r="J67" s="7" t="s">
        <v>22</v>
      </c>
      <c r="K67" s="30"/>
      <c r="L67" s="31"/>
      <c r="M67" s="31"/>
      <c r="N67" s="31"/>
      <c r="O67" s="31"/>
      <c r="P67" s="31"/>
      <c r="Q67" s="31"/>
      <c r="R67" s="31"/>
      <c r="S67" s="31"/>
      <c r="T67" s="31"/>
      <c r="U67" s="32"/>
      <c r="Y67" s="7" t="s">
        <v>22</v>
      </c>
      <c r="Z67" s="10"/>
      <c r="AA67" s="11"/>
      <c r="AB67" s="11"/>
      <c r="AC67" s="11"/>
      <c r="AD67" s="11"/>
      <c r="AE67" s="12"/>
      <c r="AH67" s="7" t="s">
        <v>22</v>
      </c>
      <c r="AI67" s="10"/>
      <c r="AJ67" s="11"/>
      <c r="AK67" s="11"/>
      <c r="AL67" s="11"/>
      <c r="AM67" s="11"/>
      <c r="AN67" s="12"/>
    </row>
    <row r="68" spans="1:40" x14ac:dyDescent="0.25">
      <c r="J68" s="8"/>
      <c r="T68" s="8" t="s">
        <v>23</v>
      </c>
      <c r="U68" s="13">
        <f>SUM(K67:U67)</f>
        <v>0</v>
      </c>
      <c r="AD68" s="8" t="s">
        <v>23</v>
      </c>
      <c r="AE68" s="13">
        <f>SUM(Z67:AE67)</f>
        <v>0</v>
      </c>
      <c r="AM68" s="8" t="s">
        <v>23</v>
      </c>
      <c r="AN68" s="13">
        <f>SUM(AI67:AN67)</f>
        <v>0</v>
      </c>
    </row>
    <row r="69" spans="1:40" ht="15.75" thickBot="1" x14ac:dyDescent="0.3">
      <c r="A69" s="19"/>
      <c r="B69" s="99" t="s">
        <v>15</v>
      </c>
      <c r="C69" s="99"/>
      <c r="D69" s="99"/>
      <c r="E69" s="99"/>
      <c r="F69" s="99"/>
      <c r="G69" s="99"/>
      <c r="H69" s="99"/>
      <c r="J69" s="100" t="s">
        <v>15</v>
      </c>
      <c r="K69" s="100"/>
      <c r="L69" s="100"/>
      <c r="M69" s="100"/>
      <c r="N69" s="100"/>
      <c r="O69" s="100"/>
      <c r="P69" s="100"/>
      <c r="Q69" s="100"/>
      <c r="R69" s="100"/>
      <c r="S69" s="100"/>
      <c r="T69" s="100"/>
      <c r="U69" s="100"/>
      <c r="Y69" s="101" t="str">
        <f>J69</f>
        <v>Maio</v>
      </c>
      <c r="Z69" s="101"/>
      <c r="AA69" s="101"/>
      <c r="AB69" s="101"/>
      <c r="AC69" s="101"/>
      <c r="AD69" s="101"/>
      <c r="AE69" s="101"/>
      <c r="AH69" s="102" t="str">
        <f>Y69</f>
        <v>Maio</v>
      </c>
      <c r="AI69" s="102"/>
      <c r="AJ69" s="102"/>
      <c r="AK69" s="102"/>
      <c r="AL69" s="102"/>
      <c r="AM69" s="102"/>
      <c r="AN69" s="102"/>
    </row>
    <row r="70" spans="1:40" ht="15.75" thickBot="1" x14ac:dyDescent="0.3">
      <c r="A70" s="97"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97"/>
      <c r="B71" s="26"/>
      <c r="C71" s="27"/>
      <c r="D71" s="27"/>
      <c r="E71" s="27"/>
      <c r="F71" s="27">
        <f>SUM(C71-B71)</f>
        <v>0</v>
      </c>
      <c r="G71" s="20">
        <f>SUM(E71-D71)</f>
        <v>0</v>
      </c>
      <c r="H71" s="21">
        <f>SUM(F71:G71)</f>
        <v>0</v>
      </c>
      <c r="J71" s="7" t="s">
        <v>22</v>
      </c>
      <c r="K71" s="10"/>
      <c r="L71" s="11"/>
      <c r="M71" s="11"/>
      <c r="N71" s="11"/>
      <c r="O71" s="11"/>
      <c r="P71" s="11"/>
      <c r="Q71" s="11"/>
      <c r="R71" s="11"/>
      <c r="S71" s="11"/>
      <c r="T71" s="11"/>
      <c r="U71" s="12"/>
      <c r="Y71" s="7" t="s">
        <v>22</v>
      </c>
      <c r="Z71" s="10"/>
      <c r="AA71" s="11"/>
      <c r="AB71" s="11"/>
      <c r="AC71" s="11"/>
      <c r="AD71" s="11"/>
      <c r="AE71" s="12"/>
      <c r="AH71" s="7" t="s">
        <v>22</v>
      </c>
      <c r="AI71" s="10"/>
      <c r="AJ71" s="11"/>
      <c r="AK71" s="11"/>
      <c r="AL71" s="11"/>
      <c r="AM71" s="11"/>
      <c r="AN71" s="12"/>
    </row>
    <row r="72" spans="1:40" x14ac:dyDescent="0.25">
      <c r="J72" s="8"/>
      <c r="T72" s="8" t="s">
        <v>23</v>
      </c>
      <c r="U72" s="13">
        <f>SUM(K71:U71)</f>
        <v>0</v>
      </c>
      <c r="AD72" s="8" t="s">
        <v>23</v>
      </c>
      <c r="AE72" s="13">
        <f>SUM(Z71:AE71)</f>
        <v>0</v>
      </c>
      <c r="AM72" s="8" t="s">
        <v>23</v>
      </c>
      <c r="AN72" s="13">
        <f>SUM(AI71:AN71)</f>
        <v>0</v>
      </c>
    </row>
    <row r="73" spans="1:40" ht="15.75" thickBot="1" x14ac:dyDescent="0.3">
      <c r="A73" s="19"/>
      <c r="B73" s="99" t="s">
        <v>24</v>
      </c>
      <c r="C73" s="99"/>
      <c r="D73" s="99"/>
      <c r="E73" s="99"/>
      <c r="F73" s="99"/>
      <c r="G73" s="99"/>
      <c r="H73" s="99"/>
      <c r="J73" s="100" t="s">
        <v>24</v>
      </c>
      <c r="K73" s="100"/>
      <c r="L73" s="100"/>
      <c r="M73" s="100"/>
      <c r="N73" s="100"/>
      <c r="O73" s="100"/>
      <c r="P73" s="100"/>
      <c r="Q73" s="100"/>
      <c r="R73" s="100"/>
      <c r="S73" s="100"/>
      <c r="T73" s="100"/>
      <c r="U73" s="100"/>
      <c r="Y73" s="101" t="str">
        <f>J73</f>
        <v>Junho</v>
      </c>
      <c r="Z73" s="101"/>
      <c r="AA73" s="101"/>
      <c r="AB73" s="101"/>
      <c r="AC73" s="101"/>
      <c r="AD73" s="101"/>
      <c r="AE73" s="101"/>
      <c r="AH73" s="102" t="str">
        <f>Y73</f>
        <v>Junho</v>
      </c>
      <c r="AI73" s="102"/>
      <c r="AJ73" s="102"/>
      <c r="AK73" s="102"/>
      <c r="AL73" s="102"/>
      <c r="AM73" s="102"/>
      <c r="AN73" s="102"/>
    </row>
    <row r="74" spans="1:40" ht="15.75" thickBot="1" x14ac:dyDescent="0.3">
      <c r="A74" s="97"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97"/>
      <c r="B75" s="26"/>
      <c r="C75" s="27"/>
      <c r="D75" s="27"/>
      <c r="E75" s="27"/>
      <c r="F75" s="27">
        <f>SUM(C75-B75)</f>
        <v>0</v>
      </c>
      <c r="G75" s="20">
        <f>SUM(E75-D75)</f>
        <v>0</v>
      </c>
      <c r="H75" s="21">
        <f>SUM(F75:G75)</f>
        <v>0</v>
      </c>
      <c r="J75" s="7" t="s">
        <v>22</v>
      </c>
      <c r="K75" s="10"/>
      <c r="L75" s="11"/>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J76" s="8"/>
      <c r="T76" s="8" t="s">
        <v>23</v>
      </c>
      <c r="U76" s="13">
        <f>SUM(K75:U75)</f>
        <v>0</v>
      </c>
      <c r="AD76" s="8" t="s">
        <v>23</v>
      </c>
      <c r="AE76" s="13">
        <f>SUM(Z75:AE75)</f>
        <v>0</v>
      </c>
      <c r="AM76" s="8" t="s">
        <v>23</v>
      </c>
      <c r="AN76" s="13">
        <f>SUM(AI75:AN75)</f>
        <v>0</v>
      </c>
    </row>
    <row r="77" spans="1:40" ht="15.75" thickBot="1" x14ac:dyDescent="0.3">
      <c r="A77" s="19"/>
      <c r="B77" s="99" t="s">
        <v>16</v>
      </c>
      <c r="C77" s="99"/>
      <c r="D77" s="99"/>
      <c r="E77" s="99"/>
      <c r="F77" s="99"/>
      <c r="G77" s="99"/>
      <c r="H77" s="99"/>
      <c r="J77" s="100" t="s">
        <v>16</v>
      </c>
      <c r="K77" s="100"/>
      <c r="L77" s="100"/>
      <c r="M77" s="100"/>
      <c r="N77" s="100"/>
      <c r="O77" s="100"/>
      <c r="P77" s="100"/>
      <c r="Q77" s="100"/>
      <c r="R77" s="100"/>
      <c r="S77" s="100"/>
      <c r="T77" s="100"/>
      <c r="U77" s="100"/>
      <c r="Y77" s="101" t="str">
        <f>J77</f>
        <v>Julho</v>
      </c>
      <c r="Z77" s="101"/>
      <c r="AA77" s="101"/>
      <c r="AB77" s="101"/>
      <c r="AC77" s="101"/>
      <c r="AD77" s="101"/>
      <c r="AE77" s="101"/>
      <c r="AH77" s="102" t="str">
        <f>Y77</f>
        <v>Julho</v>
      </c>
      <c r="AI77" s="102"/>
      <c r="AJ77" s="102"/>
      <c r="AK77" s="102"/>
      <c r="AL77" s="102"/>
      <c r="AM77" s="102"/>
      <c r="AN77" s="102"/>
    </row>
    <row r="78" spans="1:40" ht="15.75" thickBot="1" x14ac:dyDescent="0.3">
      <c r="A78" s="97"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Y78" s="6" t="s">
        <v>4</v>
      </c>
      <c r="Z78" s="9"/>
      <c r="AA78" s="4"/>
      <c r="AB78" s="4"/>
      <c r="AC78" s="4"/>
      <c r="AD78" s="4"/>
      <c r="AE78" s="5"/>
      <c r="AH78" s="6" t="s">
        <v>4</v>
      </c>
      <c r="AI78" s="9"/>
      <c r="AJ78" s="4"/>
      <c r="AK78" s="4"/>
      <c r="AL78" s="4"/>
      <c r="AM78" s="4"/>
      <c r="AN78" s="5"/>
    </row>
    <row r="79" spans="1:40" ht="15.75" thickBot="1" x14ac:dyDescent="0.3">
      <c r="A79" s="97"/>
      <c r="B79" s="26"/>
      <c r="C79" s="27"/>
      <c r="D79" s="27"/>
      <c r="E79" s="27"/>
      <c r="F79" s="27">
        <f>SUM(C79-B79)</f>
        <v>0</v>
      </c>
      <c r="G79" s="20">
        <f>SUM(E79-D79)</f>
        <v>0</v>
      </c>
      <c r="H79" s="21">
        <f>SUM(F79:G79)</f>
        <v>0</v>
      </c>
      <c r="J79" s="7" t="s">
        <v>22</v>
      </c>
      <c r="K79" s="10"/>
      <c r="L79" s="11"/>
      <c r="M79" s="11"/>
      <c r="N79" s="11"/>
      <c r="O79" s="11"/>
      <c r="P79" s="11"/>
      <c r="Q79" s="11"/>
      <c r="R79" s="11"/>
      <c r="S79" s="11"/>
      <c r="T79" s="11"/>
      <c r="U79" s="12"/>
      <c r="Y79" s="7" t="s">
        <v>22</v>
      </c>
      <c r="Z79" s="10"/>
      <c r="AA79" s="11"/>
      <c r="AB79" s="11"/>
      <c r="AC79" s="11"/>
      <c r="AD79" s="11"/>
      <c r="AE79" s="12"/>
      <c r="AH79" s="7" t="s">
        <v>22</v>
      </c>
      <c r="AI79" s="10"/>
      <c r="AJ79" s="11"/>
      <c r="AK79" s="11"/>
      <c r="AL79" s="11"/>
      <c r="AM79" s="11"/>
      <c r="AN79" s="12"/>
    </row>
    <row r="80" spans="1:40" x14ac:dyDescent="0.25">
      <c r="J80" s="8"/>
      <c r="T80" s="8" t="s">
        <v>23</v>
      </c>
      <c r="U80" s="13">
        <f>SUM(K79:U79)</f>
        <v>0</v>
      </c>
      <c r="AD80" s="8" t="s">
        <v>23</v>
      </c>
      <c r="AE80" s="13">
        <f>SUM(Z79:AE79)</f>
        <v>0</v>
      </c>
      <c r="AM80" s="8" t="s">
        <v>23</v>
      </c>
      <c r="AN80" s="13">
        <f>SUM(AI79:AN79)</f>
        <v>0</v>
      </c>
    </row>
    <row r="81" spans="1:40" ht="15.75" thickBot="1" x14ac:dyDescent="0.3">
      <c r="A81" s="19"/>
      <c r="B81" s="99" t="s">
        <v>17</v>
      </c>
      <c r="C81" s="99"/>
      <c r="D81" s="99"/>
      <c r="E81" s="99"/>
      <c r="F81" s="99"/>
      <c r="G81" s="99"/>
      <c r="H81" s="99"/>
      <c r="J81" s="100" t="s">
        <v>17</v>
      </c>
      <c r="K81" s="100"/>
      <c r="L81" s="100"/>
      <c r="M81" s="100"/>
      <c r="N81" s="100"/>
      <c r="O81" s="100"/>
      <c r="P81" s="100"/>
      <c r="Q81" s="100"/>
      <c r="R81" s="100"/>
      <c r="S81" s="100"/>
      <c r="T81" s="100"/>
      <c r="U81" s="100"/>
      <c r="Y81" s="101" t="str">
        <f>J81</f>
        <v>Agosto</v>
      </c>
      <c r="Z81" s="101"/>
      <c r="AA81" s="101"/>
      <c r="AB81" s="101"/>
      <c r="AC81" s="101"/>
      <c r="AD81" s="101"/>
      <c r="AE81" s="101"/>
      <c r="AH81" s="102" t="str">
        <f>Y81</f>
        <v>Agosto</v>
      </c>
      <c r="AI81" s="102"/>
      <c r="AJ81" s="102"/>
      <c r="AK81" s="102"/>
      <c r="AL81" s="102"/>
      <c r="AM81" s="102"/>
      <c r="AN81" s="102"/>
    </row>
    <row r="82" spans="1:40" ht="15.75" thickBot="1" x14ac:dyDescent="0.3">
      <c r="A82" s="97"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Y82" s="6" t="s">
        <v>4</v>
      </c>
      <c r="Z82" s="9"/>
      <c r="AA82" s="4"/>
      <c r="AB82" s="4"/>
      <c r="AC82" s="4"/>
      <c r="AD82" s="4"/>
      <c r="AE82" s="5"/>
      <c r="AH82" s="6" t="s">
        <v>4</v>
      </c>
      <c r="AI82" s="9"/>
      <c r="AJ82" s="4"/>
      <c r="AK82" s="4"/>
      <c r="AL82" s="4"/>
      <c r="AM82" s="4"/>
      <c r="AN82" s="5"/>
    </row>
    <row r="83" spans="1:40" ht="15.75" thickBot="1" x14ac:dyDescent="0.3">
      <c r="A83" s="97"/>
      <c r="B83" s="26"/>
      <c r="C83" s="27"/>
      <c r="D83" s="27"/>
      <c r="E83" s="27"/>
      <c r="F83" s="27">
        <f>SUM(C83-B83)</f>
        <v>0</v>
      </c>
      <c r="G83" s="20">
        <f>SUM(E83-D83)</f>
        <v>0</v>
      </c>
      <c r="H83" s="21">
        <f>SUM(F83:G83)</f>
        <v>0</v>
      </c>
      <c r="J83" s="7" t="s">
        <v>22</v>
      </c>
      <c r="K83" s="10"/>
      <c r="L83" s="11"/>
      <c r="M83" s="11"/>
      <c r="N83" s="11"/>
      <c r="O83" s="11"/>
      <c r="P83" s="11"/>
      <c r="Q83" s="11"/>
      <c r="R83" s="11"/>
      <c r="S83" s="11"/>
      <c r="T83" s="11"/>
      <c r="U83" s="12"/>
      <c r="Y83" s="7" t="s">
        <v>22</v>
      </c>
      <c r="Z83" s="10"/>
      <c r="AA83" s="11"/>
      <c r="AB83" s="11"/>
      <c r="AC83" s="11"/>
      <c r="AD83" s="11"/>
      <c r="AE83" s="12"/>
      <c r="AH83" s="7" t="s">
        <v>22</v>
      </c>
      <c r="AI83" s="10"/>
      <c r="AJ83" s="11"/>
      <c r="AK83" s="11"/>
      <c r="AL83" s="11"/>
      <c r="AM83" s="11"/>
      <c r="AN83" s="12"/>
    </row>
    <row r="84" spans="1:40" x14ac:dyDescent="0.25">
      <c r="J84" s="8"/>
      <c r="T84" s="8" t="s">
        <v>23</v>
      </c>
      <c r="U84" s="13">
        <f>SUM(K83:U83)</f>
        <v>0</v>
      </c>
      <c r="AD84" s="8" t="s">
        <v>23</v>
      </c>
      <c r="AE84" s="13">
        <f>SUM(Z83:AE83)</f>
        <v>0</v>
      </c>
      <c r="AM84" s="8" t="s">
        <v>23</v>
      </c>
      <c r="AN84" s="13">
        <f>SUM(AI83:AN83)</f>
        <v>0</v>
      </c>
    </row>
    <row r="85" spans="1:40" ht="15.75" thickBot="1" x14ac:dyDescent="0.3">
      <c r="A85" s="19"/>
      <c r="B85" s="99" t="s">
        <v>18</v>
      </c>
      <c r="C85" s="99"/>
      <c r="D85" s="99"/>
      <c r="E85" s="99"/>
      <c r="F85" s="99"/>
      <c r="G85" s="99"/>
      <c r="H85" s="99"/>
      <c r="J85" s="100" t="s">
        <v>18</v>
      </c>
      <c r="K85" s="100"/>
      <c r="L85" s="100"/>
      <c r="M85" s="100"/>
      <c r="N85" s="100"/>
      <c r="O85" s="100"/>
      <c r="P85" s="100"/>
      <c r="Q85" s="100"/>
      <c r="R85" s="100"/>
      <c r="S85" s="100"/>
      <c r="T85" s="100"/>
      <c r="U85" s="100"/>
      <c r="Y85" s="101" t="str">
        <f>J85</f>
        <v>Setembro</v>
      </c>
      <c r="Z85" s="101"/>
      <c r="AA85" s="101"/>
      <c r="AB85" s="101"/>
      <c r="AC85" s="101"/>
      <c r="AD85" s="101"/>
      <c r="AE85" s="101"/>
      <c r="AH85" s="102" t="str">
        <f>Y85</f>
        <v>Setembro</v>
      </c>
      <c r="AI85" s="102"/>
      <c r="AJ85" s="102"/>
      <c r="AK85" s="102"/>
      <c r="AL85" s="102"/>
      <c r="AM85" s="102"/>
      <c r="AN85" s="102"/>
    </row>
    <row r="86" spans="1:40" ht="15.75" thickBot="1" x14ac:dyDescent="0.3">
      <c r="A86" s="97"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Y86" s="6" t="s">
        <v>4</v>
      </c>
      <c r="Z86" s="9"/>
      <c r="AA86" s="4"/>
      <c r="AB86" s="4"/>
      <c r="AC86" s="4"/>
      <c r="AD86" s="4"/>
      <c r="AE86" s="5"/>
      <c r="AH86" s="6" t="s">
        <v>4</v>
      </c>
      <c r="AI86" s="9"/>
      <c r="AJ86" s="4"/>
      <c r="AK86" s="4"/>
      <c r="AL86" s="4"/>
      <c r="AM86" s="4"/>
      <c r="AN86" s="5"/>
    </row>
    <row r="87" spans="1:40" ht="15.75" thickBot="1" x14ac:dyDescent="0.3">
      <c r="A87" s="97"/>
      <c r="B87" s="26"/>
      <c r="C87" s="27"/>
      <c r="D87" s="27"/>
      <c r="E87" s="27"/>
      <c r="F87" s="27">
        <f>SUM(C87-B87)</f>
        <v>0</v>
      </c>
      <c r="G87" s="20">
        <f>SUM(E87-D87)</f>
        <v>0</v>
      </c>
      <c r="H87" s="21">
        <f>SUM(F87:G87)</f>
        <v>0</v>
      </c>
      <c r="J87" s="7" t="s">
        <v>22</v>
      </c>
      <c r="K87" s="10"/>
      <c r="L87" s="11"/>
      <c r="M87" s="11"/>
      <c r="N87" s="11"/>
      <c r="O87" s="11"/>
      <c r="P87" s="11"/>
      <c r="Q87" s="11"/>
      <c r="R87" s="11"/>
      <c r="S87" s="11"/>
      <c r="T87" s="11"/>
      <c r="U87" s="12"/>
      <c r="Y87" s="7" t="s">
        <v>22</v>
      </c>
      <c r="Z87" s="10"/>
      <c r="AA87" s="11"/>
      <c r="AB87" s="11"/>
      <c r="AC87" s="11"/>
      <c r="AD87" s="11"/>
      <c r="AE87" s="12"/>
      <c r="AH87" s="7" t="s">
        <v>22</v>
      </c>
      <c r="AI87" s="10"/>
      <c r="AJ87" s="11"/>
      <c r="AK87" s="11"/>
      <c r="AL87" s="11"/>
      <c r="AM87" s="11"/>
      <c r="AN87" s="12"/>
    </row>
    <row r="88" spans="1:40" x14ac:dyDescent="0.25">
      <c r="J88" s="8"/>
      <c r="T88" s="8" t="s">
        <v>23</v>
      </c>
      <c r="U88" s="13">
        <f>SUM(K87:U87)</f>
        <v>0</v>
      </c>
      <c r="AD88" s="8" t="s">
        <v>23</v>
      </c>
      <c r="AE88" s="13">
        <f>SUM(Z87:AE87)</f>
        <v>0</v>
      </c>
      <c r="AM88" s="8" t="s">
        <v>23</v>
      </c>
      <c r="AN88" s="13">
        <f>SUM(AI87:AN87)</f>
        <v>0</v>
      </c>
    </row>
  </sheetData>
  <mergeCells count="110">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B53:H53"/>
    <mergeCell ref="J53:U53"/>
    <mergeCell ref="Y53:AE53"/>
    <mergeCell ref="AH53:AN53"/>
    <mergeCell ref="A54:A5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B61:H61"/>
    <mergeCell ref="J61:U61"/>
    <mergeCell ref="Y61:AE61"/>
    <mergeCell ref="AH61:AN61"/>
    <mergeCell ref="A62:A63"/>
    <mergeCell ref="B57:H57"/>
    <mergeCell ref="J57:U57"/>
    <mergeCell ref="Y57:AE57"/>
    <mergeCell ref="AH57:AN57"/>
    <mergeCell ref="A58:A59"/>
    <mergeCell ref="B69:H69"/>
    <mergeCell ref="J69:U69"/>
    <mergeCell ref="Y69:AE69"/>
    <mergeCell ref="AH69:AN69"/>
    <mergeCell ref="A70:A71"/>
    <mergeCell ref="B65:H65"/>
    <mergeCell ref="J65:U65"/>
    <mergeCell ref="Y65:AE65"/>
    <mergeCell ref="AH65:AN65"/>
    <mergeCell ref="A66:A67"/>
    <mergeCell ref="B77:H77"/>
    <mergeCell ref="J77:U77"/>
    <mergeCell ref="Y77:AE77"/>
    <mergeCell ref="AH77:AN77"/>
    <mergeCell ref="A78:A79"/>
    <mergeCell ref="B73:H73"/>
    <mergeCell ref="J73:U73"/>
    <mergeCell ref="Y73:AE73"/>
    <mergeCell ref="AH73:AN73"/>
    <mergeCell ref="A74:A75"/>
    <mergeCell ref="B85:H85"/>
    <mergeCell ref="J85:U85"/>
    <mergeCell ref="Y85:AE85"/>
    <mergeCell ref="AH85:AN85"/>
    <mergeCell ref="A86:A87"/>
    <mergeCell ref="B81:H81"/>
    <mergeCell ref="J81:U81"/>
    <mergeCell ref="Y81:AE81"/>
    <mergeCell ref="AH81:AN81"/>
    <mergeCell ref="A82:A83"/>
  </mergeCells>
  <pageMargins left="0.511811024" right="0.511811024" top="0.78740157499999996" bottom="0.78740157499999996" header="0.31496062000000002" footer="0.31496062000000002"/>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57"/>
  <sheetViews>
    <sheetView showGridLines="0" topLeftCell="A29" workbookViewId="0">
      <selection activeCell="C62" sqref="C6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20" width="10.42578125" bestFit="1" customWidth="1"/>
    <col min="21" max="21" width="12.140625" bestFit="1" customWidth="1"/>
    <col min="37" max="39" width="10.140625" bestFit="1" customWidth="1"/>
  </cols>
  <sheetData>
    <row r="2" spans="1:40" x14ac:dyDescent="0.25">
      <c r="A2" t="s">
        <v>0</v>
      </c>
      <c r="B2" s="94" t="s">
        <v>99</v>
      </c>
      <c r="C2" s="94"/>
      <c r="D2" s="1" t="s">
        <v>1</v>
      </c>
      <c r="E2" s="94" t="s">
        <v>104</v>
      </c>
      <c r="F2" s="94"/>
      <c r="H2" t="s">
        <v>91</v>
      </c>
      <c r="I2" s="75">
        <v>3000</v>
      </c>
    </row>
    <row r="3" spans="1:40" x14ac:dyDescent="0.25">
      <c r="A3" t="s">
        <v>95</v>
      </c>
      <c r="B3" s="108">
        <v>45873</v>
      </c>
      <c r="C3" s="108"/>
      <c r="D3" s="1" t="s">
        <v>1</v>
      </c>
      <c r="E3" s="94" t="s">
        <v>104</v>
      </c>
      <c r="F3" s="94"/>
      <c r="H3" t="s">
        <v>110</v>
      </c>
      <c r="I3" s="75" t="s">
        <v>112</v>
      </c>
    </row>
    <row r="4" spans="1:40" x14ac:dyDescent="0.25">
      <c r="A4" t="s">
        <v>79</v>
      </c>
      <c r="B4" s="108">
        <v>45931</v>
      </c>
      <c r="C4" s="94"/>
      <c r="D4" s="1" t="s">
        <v>1</v>
      </c>
      <c r="E4" s="94" t="s">
        <v>125</v>
      </c>
      <c r="F4" s="94"/>
      <c r="H4" t="s">
        <v>80</v>
      </c>
      <c r="I4" s="70" t="s">
        <v>85</v>
      </c>
    </row>
    <row r="5" spans="1:40" x14ac:dyDescent="0.25">
      <c r="A5" t="s">
        <v>2</v>
      </c>
      <c r="B5" s="95">
        <v>2484</v>
      </c>
      <c r="C5" s="95"/>
      <c r="D5" s="1" t="s">
        <v>29</v>
      </c>
      <c r="E5" s="110">
        <v>45</v>
      </c>
      <c r="F5" s="110"/>
      <c r="H5" t="s">
        <v>105</v>
      </c>
      <c r="I5" s="76">
        <v>45861</v>
      </c>
      <c r="J5" t="s">
        <v>128</v>
      </c>
      <c r="K5" s="76">
        <v>46053</v>
      </c>
    </row>
    <row r="8" spans="1:40" ht="21" x14ac:dyDescent="0.35">
      <c r="A8" s="96" t="s">
        <v>28</v>
      </c>
      <c r="B8" s="96"/>
      <c r="C8" s="96"/>
      <c r="D8" s="96"/>
      <c r="E8" s="96"/>
      <c r="F8" s="96"/>
      <c r="G8" s="96"/>
      <c r="H8" s="96"/>
      <c r="J8" s="103" t="s">
        <v>26</v>
      </c>
      <c r="K8" s="103"/>
      <c r="L8" s="103"/>
      <c r="M8" s="103"/>
      <c r="N8" s="103"/>
      <c r="O8" s="103"/>
      <c r="P8" s="103"/>
      <c r="Q8" s="103"/>
      <c r="R8" s="103"/>
      <c r="S8" s="103"/>
      <c r="T8" s="103"/>
      <c r="U8" s="103"/>
      <c r="V8" s="2"/>
      <c r="W8" s="2"/>
      <c r="X8" s="2"/>
      <c r="Y8" s="98" t="s">
        <v>25</v>
      </c>
      <c r="Z8" s="98"/>
      <c r="AA8" s="98"/>
      <c r="AB8" s="98"/>
      <c r="AC8" s="98"/>
      <c r="AD8" s="98"/>
      <c r="AE8" s="98"/>
      <c r="AF8" s="2"/>
      <c r="AG8" s="2"/>
      <c r="AH8" s="98" t="s">
        <v>27</v>
      </c>
      <c r="AI8" s="98"/>
      <c r="AJ8" s="98"/>
      <c r="AK8" s="98"/>
      <c r="AL8" s="98"/>
      <c r="AM8" s="98"/>
      <c r="AN8" s="98"/>
    </row>
    <row r="9" spans="1:40" s="15" customFormat="1" ht="21" x14ac:dyDescent="0.35">
      <c r="A9" s="14"/>
      <c r="B9" s="14"/>
      <c r="C9" s="14"/>
      <c r="D9" s="14"/>
      <c r="E9" s="14"/>
      <c r="F9" s="14"/>
      <c r="G9" s="14"/>
      <c r="H9" s="14"/>
      <c r="J9" s="16"/>
      <c r="K9" s="16"/>
      <c r="L9" s="16"/>
      <c r="M9" s="16"/>
      <c r="N9" s="16"/>
      <c r="O9" s="16"/>
      <c r="P9" s="16"/>
      <c r="Q9" s="16"/>
      <c r="R9" s="16"/>
      <c r="S9" s="16"/>
      <c r="T9" s="16"/>
      <c r="U9" s="16"/>
      <c r="V9" s="17"/>
      <c r="W9" s="17"/>
      <c r="X9" s="17"/>
      <c r="Y9" s="18"/>
      <c r="Z9" s="18"/>
      <c r="AA9" s="18"/>
      <c r="AB9" s="18"/>
      <c r="AC9" s="18"/>
      <c r="AD9" s="18"/>
      <c r="AE9" s="18"/>
      <c r="AF9" s="17"/>
      <c r="AG9" s="17"/>
      <c r="AH9" s="18"/>
      <c r="AI9" s="18"/>
      <c r="AJ9" s="18"/>
      <c r="AK9" s="18"/>
      <c r="AL9" s="18"/>
      <c r="AM9" s="18"/>
      <c r="AN9" s="18"/>
    </row>
    <row r="10" spans="1:40" ht="15.75" thickBot="1" x14ac:dyDescent="0.3">
      <c r="A10" s="19"/>
      <c r="B10" s="99" t="s">
        <v>3</v>
      </c>
      <c r="C10" s="99"/>
      <c r="D10" s="99"/>
      <c r="E10" s="99"/>
      <c r="F10" s="99"/>
      <c r="G10" s="99"/>
      <c r="H10" s="99"/>
      <c r="J10" s="100" t="s">
        <v>3</v>
      </c>
      <c r="K10" s="100"/>
      <c r="L10" s="100"/>
      <c r="M10" s="100"/>
      <c r="N10" s="100"/>
      <c r="O10" s="100"/>
      <c r="P10" s="100"/>
      <c r="Q10" s="100"/>
      <c r="R10" s="100"/>
      <c r="S10" s="100"/>
      <c r="T10" s="100"/>
      <c r="U10" s="100"/>
      <c r="Y10" s="101" t="s">
        <v>3</v>
      </c>
      <c r="Z10" s="101"/>
      <c r="AA10" s="101"/>
      <c r="AB10" s="101"/>
      <c r="AC10" s="101"/>
      <c r="AD10" s="101"/>
      <c r="AE10" s="101"/>
      <c r="AH10" s="102" t="s">
        <v>3</v>
      </c>
      <c r="AI10" s="102"/>
      <c r="AJ10" s="102"/>
      <c r="AK10" s="102"/>
      <c r="AL10" s="102"/>
      <c r="AM10" s="102"/>
      <c r="AN10" s="102"/>
    </row>
    <row r="11" spans="1:40" ht="15.75" thickBot="1" x14ac:dyDescent="0.3">
      <c r="A11" s="97" t="s">
        <v>5</v>
      </c>
      <c r="B11" s="34" t="s">
        <v>6</v>
      </c>
      <c r="C11" s="22" t="s">
        <v>7</v>
      </c>
      <c r="D11" s="33" t="s">
        <v>8</v>
      </c>
      <c r="E11" s="22" t="s">
        <v>9</v>
      </c>
      <c r="F11" s="24" t="s">
        <v>10</v>
      </c>
      <c r="G11" s="23" t="s">
        <v>11</v>
      </c>
      <c r="H11" s="25" t="s">
        <v>12</v>
      </c>
      <c r="J11" s="28" t="s">
        <v>4</v>
      </c>
      <c r="K11" s="9"/>
      <c r="L11" s="4"/>
      <c r="M11" s="4"/>
      <c r="N11" s="4"/>
      <c r="O11" s="4"/>
      <c r="P11" s="4"/>
      <c r="Q11" s="4"/>
      <c r="R11" s="4"/>
      <c r="S11" s="4"/>
      <c r="T11" s="4"/>
      <c r="U11" s="5"/>
      <c r="Y11" s="6" t="s">
        <v>4</v>
      </c>
      <c r="Z11" s="9"/>
      <c r="AA11" s="4"/>
      <c r="AB11" s="4"/>
      <c r="AC11" s="4"/>
      <c r="AD11" s="4"/>
      <c r="AE11" s="5"/>
      <c r="AH11" s="6" t="s">
        <v>4</v>
      </c>
      <c r="AI11" s="9"/>
      <c r="AJ11" s="4"/>
      <c r="AK11" s="4"/>
      <c r="AL11" s="4"/>
      <c r="AM11" s="4"/>
      <c r="AN11" s="5"/>
    </row>
    <row r="12" spans="1:40" ht="15.75" thickBot="1" x14ac:dyDescent="0.3">
      <c r="A12" s="97"/>
      <c r="B12" s="26"/>
      <c r="C12" s="27"/>
      <c r="D12" s="27"/>
      <c r="E12" s="27"/>
      <c r="F12" s="27">
        <f>SUM(C12-B12)</f>
        <v>0</v>
      </c>
      <c r="G12" s="20">
        <f>SUM(E12-D12)</f>
        <v>0</v>
      </c>
      <c r="H12" s="21">
        <f>SUM(F12:G12)</f>
        <v>0</v>
      </c>
      <c r="J12" s="29" t="s">
        <v>22</v>
      </c>
      <c r="K12" s="10"/>
      <c r="L12" s="11"/>
      <c r="M12" s="11"/>
      <c r="N12" s="11"/>
      <c r="O12" s="11"/>
      <c r="P12" s="11"/>
      <c r="Q12" s="11"/>
      <c r="R12" s="11"/>
      <c r="S12" s="11"/>
      <c r="T12" s="11"/>
      <c r="U12" s="12"/>
      <c r="Y12" s="7" t="s">
        <v>22</v>
      </c>
      <c r="Z12" s="10"/>
      <c r="AA12" s="11"/>
      <c r="AB12" s="11"/>
      <c r="AC12" s="11"/>
      <c r="AD12" s="11"/>
      <c r="AE12" s="12"/>
      <c r="AH12" s="7" t="s">
        <v>22</v>
      </c>
      <c r="AI12" s="10"/>
      <c r="AJ12" s="11"/>
      <c r="AK12" s="11"/>
      <c r="AL12" s="11"/>
      <c r="AM12" s="11"/>
      <c r="AN12" s="12"/>
    </row>
    <row r="13" spans="1:40" x14ac:dyDescent="0.25">
      <c r="J13" s="8"/>
      <c r="T13" s="8" t="s">
        <v>23</v>
      </c>
      <c r="U13" s="13">
        <f>SUM(K12:U12)</f>
        <v>0</v>
      </c>
      <c r="AD13" s="8" t="s">
        <v>23</v>
      </c>
      <c r="AE13" s="13">
        <f>SUM(Z12:AE12)</f>
        <v>0</v>
      </c>
      <c r="AM13" s="8" t="s">
        <v>23</v>
      </c>
      <c r="AN13" s="13">
        <f>SUM(AI12:AN12)</f>
        <v>0</v>
      </c>
    </row>
    <row r="14" spans="1:40" ht="15.75" thickBot="1" x14ac:dyDescent="0.3">
      <c r="A14" s="19"/>
      <c r="B14" s="99" t="s">
        <v>13</v>
      </c>
      <c r="C14" s="99"/>
      <c r="D14" s="99"/>
      <c r="E14" s="99"/>
      <c r="F14" s="99"/>
      <c r="G14" s="99"/>
      <c r="H14" s="99"/>
      <c r="J14" s="100" t="s">
        <v>13</v>
      </c>
      <c r="K14" s="100"/>
      <c r="L14" s="100"/>
      <c r="M14" s="100"/>
      <c r="N14" s="100"/>
      <c r="O14" s="100"/>
      <c r="P14" s="100"/>
      <c r="Q14" s="100"/>
      <c r="R14" s="100"/>
      <c r="S14" s="100"/>
      <c r="T14" s="100"/>
      <c r="U14" s="100"/>
      <c r="Y14" s="101" t="str">
        <f>J14</f>
        <v>Março</v>
      </c>
      <c r="Z14" s="101"/>
      <c r="AA14" s="101"/>
      <c r="AB14" s="101"/>
      <c r="AC14" s="101"/>
      <c r="AD14" s="101"/>
      <c r="AE14" s="101"/>
      <c r="AH14" s="102" t="str">
        <f>Y14</f>
        <v>Março</v>
      </c>
      <c r="AI14" s="102"/>
      <c r="AJ14" s="102"/>
      <c r="AK14" s="102"/>
      <c r="AL14" s="102"/>
      <c r="AM14" s="102"/>
      <c r="AN14" s="102"/>
    </row>
    <row r="15" spans="1:40" ht="15.75" thickBot="1" x14ac:dyDescent="0.3">
      <c r="A15" s="97" t="s">
        <v>5</v>
      </c>
      <c r="B15" s="34" t="s">
        <v>6</v>
      </c>
      <c r="C15" s="22" t="s">
        <v>7</v>
      </c>
      <c r="D15" s="33" t="s">
        <v>8</v>
      </c>
      <c r="E15" s="22" t="s">
        <v>9</v>
      </c>
      <c r="F15" s="24" t="s">
        <v>10</v>
      </c>
      <c r="G15" s="23" t="s">
        <v>11</v>
      </c>
      <c r="H15" s="25" t="s">
        <v>12</v>
      </c>
      <c r="J15" s="6" t="s">
        <v>4</v>
      </c>
      <c r="K15" s="9"/>
      <c r="L15" s="4"/>
      <c r="M15" s="4"/>
      <c r="N15" s="4"/>
      <c r="O15" s="4"/>
      <c r="P15" s="4"/>
      <c r="Q15" s="4"/>
      <c r="R15" s="4"/>
      <c r="S15" s="4"/>
      <c r="T15" s="4"/>
      <c r="U15" s="5"/>
      <c r="Y15" s="6" t="s">
        <v>4</v>
      </c>
      <c r="Z15" s="9"/>
      <c r="AA15" s="4"/>
      <c r="AB15" s="4"/>
      <c r="AC15" s="4"/>
      <c r="AD15" s="4"/>
      <c r="AE15" s="5"/>
      <c r="AH15" s="6" t="s">
        <v>4</v>
      </c>
      <c r="AI15" s="9"/>
      <c r="AJ15" s="4"/>
      <c r="AK15" s="4"/>
      <c r="AL15" s="4"/>
      <c r="AM15" s="4"/>
      <c r="AN15" s="5"/>
    </row>
    <row r="16" spans="1:40" ht="15.75" thickBot="1" x14ac:dyDescent="0.3">
      <c r="A16" s="97"/>
      <c r="B16" s="26"/>
      <c r="C16" s="27"/>
      <c r="D16" s="27"/>
      <c r="E16" s="27"/>
      <c r="F16" s="27">
        <f>SUM(C16-B16)</f>
        <v>0</v>
      </c>
      <c r="G16" s="20">
        <f>SUM(E16-D16)</f>
        <v>0</v>
      </c>
      <c r="H16" s="21">
        <f>SUM(F16:G16)</f>
        <v>0</v>
      </c>
      <c r="J16" s="7" t="s">
        <v>22</v>
      </c>
      <c r="K16" s="10"/>
      <c r="L16" s="11"/>
      <c r="M16" s="11"/>
      <c r="N16" s="11"/>
      <c r="O16" s="11"/>
      <c r="P16" s="11"/>
      <c r="Q16" s="11"/>
      <c r="R16" s="11"/>
      <c r="S16" s="11"/>
      <c r="T16" s="11"/>
      <c r="U16" s="12"/>
      <c r="Y16" s="7" t="s">
        <v>22</v>
      </c>
      <c r="Z16" s="10"/>
      <c r="AA16" s="11"/>
      <c r="AB16" s="11"/>
      <c r="AC16" s="11"/>
      <c r="AD16" s="11"/>
      <c r="AE16" s="12"/>
      <c r="AH16" s="7" t="s">
        <v>22</v>
      </c>
      <c r="AI16" s="10"/>
      <c r="AJ16" s="11"/>
      <c r="AK16" s="11"/>
      <c r="AL16" s="11"/>
      <c r="AM16" s="11"/>
      <c r="AN16" s="12"/>
    </row>
    <row r="17" spans="1:40" x14ac:dyDescent="0.25">
      <c r="J17" s="8"/>
      <c r="T17" s="8" t="s">
        <v>23</v>
      </c>
      <c r="U17" s="13">
        <f>SUM(K16:U16)</f>
        <v>0</v>
      </c>
      <c r="AD17" s="8" t="s">
        <v>23</v>
      </c>
      <c r="AE17" s="13">
        <f>SUM(Z16:AE16)</f>
        <v>0</v>
      </c>
      <c r="AM17" s="8" t="s">
        <v>23</v>
      </c>
      <c r="AN17" s="13">
        <f>SUM(AI16:AN16)</f>
        <v>0</v>
      </c>
    </row>
    <row r="18" spans="1:40" ht="15.75" thickBot="1" x14ac:dyDescent="0.3">
      <c r="A18" s="19"/>
      <c r="B18" s="99" t="s">
        <v>14</v>
      </c>
      <c r="C18" s="99"/>
      <c r="D18" s="99"/>
      <c r="E18" s="99"/>
      <c r="F18" s="99"/>
      <c r="G18" s="99"/>
      <c r="H18" s="99"/>
      <c r="J18" s="100" t="s">
        <v>14</v>
      </c>
      <c r="K18" s="100"/>
      <c r="L18" s="100"/>
      <c r="M18" s="100"/>
      <c r="N18" s="100"/>
      <c r="O18" s="100"/>
      <c r="P18" s="100"/>
      <c r="Q18" s="100"/>
      <c r="R18" s="100"/>
      <c r="S18" s="100"/>
      <c r="T18" s="100"/>
      <c r="U18" s="100"/>
      <c r="Y18" s="101" t="str">
        <f>J18</f>
        <v>Abril</v>
      </c>
      <c r="Z18" s="101"/>
      <c r="AA18" s="101"/>
      <c r="AB18" s="101"/>
      <c r="AC18" s="101"/>
      <c r="AD18" s="101"/>
      <c r="AE18" s="101"/>
      <c r="AH18" s="102" t="str">
        <f>Y18</f>
        <v>Abril</v>
      </c>
      <c r="AI18" s="102"/>
      <c r="AJ18" s="102"/>
      <c r="AK18" s="102"/>
      <c r="AL18" s="102"/>
      <c r="AM18" s="102"/>
      <c r="AN18" s="102"/>
    </row>
    <row r="19" spans="1:40" ht="15.75" thickBot="1" x14ac:dyDescent="0.3">
      <c r="A19" s="97" t="s">
        <v>5</v>
      </c>
      <c r="B19" s="34" t="s">
        <v>6</v>
      </c>
      <c r="C19" s="22" t="s">
        <v>7</v>
      </c>
      <c r="D19" s="33" t="s">
        <v>8</v>
      </c>
      <c r="E19" s="22" t="s">
        <v>9</v>
      </c>
      <c r="F19" s="24" t="s">
        <v>10</v>
      </c>
      <c r="G19" s="23" t="s">
        <v>11</v>
      </c>
      <c r="H19" s="25" t="s">
        <v>12</v>
      </c>
      <c r="J19" s="6" t="s">
        <v>4</v>
      </c>
      <c r="K19" s="9"/>
      <c r="L19" s="4"/>
      <c r="M19" s="4"/>
      <c r="N19" s="4"/>
      <c r="O19" s="4"/>
      <c r="P19" s="4"/>
      <c r="Q19" s="4"/>
      <c r="R19" s="4"/>
      <c r="S19" s="4"/>
      <c r="T19" s="4"/>
      <c r="U19" s="5"/>
      <c r="Y19" s="6" t="s">
        <v>4</v>
      </c>
      <c r="Z19" s="9"/>
      <c r="AA19" s="4"/>
      <c r="AB19" s="4"/>
      <c r="AC19" s="4"/>
      <c r="AD19" s="4"/>
      <c r="AE19" s="5"/>
      <c r="AH19" s="6" t="s">
        <v>4</v>
      </c>
      <c r="AI19" s="9"/>
      <c r="AJ19" s="4"/>
      <c r="AK19" s="4"/>
      <c r="AL19" s="4"/>
      <c r="AM19" s="4"/>
      <c r="AN19" s="5"/>
    </row>
    <row r="20" spans="1:40" ht="15.75" thickBot="1" x14ac:dyDescent="0.3">
      <c r="A20" s="97"/>
      <c r="B20" s="26"/>
      <c r="C20" s="27"/>
      <c r="D20" s="27"/>
      <c r="E20" s="27"/>
      <c r="F20" s="27">
        <f>SUM(C20-B20)</f>
        <v>0</v>
      </c>
      <c r="G20" s="20">
        <f>SUM(E20-D20)</f>
        <v>0</v>
      </c>
      <c r="H20" s="21">
        <f>SUM(F20:G20)</f>
        <v>0</v>
      </c>
      <c r="J20" s="7" t="s">
        <v>22</v>
      </c>
      <c r="K20" s="30"/>
      <c r="L20" s="31"/>
      <c r="M20" s="31"/>
      <c r="N20" s="31"/>
      <c r="O20" s="31"/>
      <c r="P20" s="31"/>
      <c r="Q20" s="31"/>
      <c r="R20" s="31"/>
      <c r="S20" s="31"/>
      <c r="T20" s="31"/>
      <c r="U20" s="32"/>
      <c r="Y20" s="7" t="s">
        <v>22</v>
      </c>
      <c r="Z20" s="10"/>
      <c r="AA20" s="11"/>
      <c r="AB20" s="11"/>
      <c r="AC20" s="11"/>
      <c r="AD20" s="11"/>
      <c r="AE20" s="12"/>
      <c r="AH20" s="7" t="s">
        <v>22</v>
      </c>
      <c r="AI20" s="10"/>
      <c r="AJ20" s="11"/>
      <c r="AK20" s="11"/>
      <c r="AL20" s="11"/>
      <c r="AM20" s="11"/>
      <c r="AN20" s="12"/>
    </row>
    <row r="21" spans="1:40" x14ac:dyDescent="0.25">
      <c r="J21" s="8"/>
      <c r="T21" s="8" t="s">
        <v>23</v>
      </c>
      <c r="U21" s="13">
        <f>SUM(K20:U20)</f>
        <v>0</v>
      </c>
      <c r="AD21" s="8" t="s">
        <v>23</v>
      </c>
      <c r="AE21" s="13">
        <f>SUM(Z20:AE20)</f>
        <v>0</v>
      </c>
      <c r="AM21" s="8" t="s">
        <v>23</v>
      </c>
      <c r="AN21" s="13">
        <f>SUM(AI20:AN20)</f>
        <v>0</v>
      </c>
    </row>
    <row r="22" spans="1:40" ht="15.75" thickBot="1" x14ac:dyDescent="0.3">
      <c r="A22" s="19"/>
      <c r="B22" s="99" t="s">
        <v>15</v>
      </c>
      <c r="C22" s="99"/>
      <c r="D22" s="99"/>
      <c r="E22" s="99"/>
      <c r="F22" s="99"/>
      <c r="G22" s="99"/>
      <c r="H22" s="99"/>
      <c r="J22" s="100" t="s">
        <v>15</v>
      </c>
      <c r="K22" s="100"/>
      <c r="L22" s="100"/>
      <c r="M22" s="100"/>
      <c r="N22" s="100"/>
      <c r="O22" s="100"/>
      <c r="P22" s="100"/>
      <c r="Q22" s="100"/>
      <c r="R22" s="100"/>
      <c r="S22" s="100"/>
      <c r="T22" s="100"/>
      <c r="U22" s="100"/>
      <c r="Y22" s="101" t="str">
        <f>J22</f>
        <v>Maio</v>
      </c>
      <c r="Z22" s="101"/>
      <c r="AA22" s="101"/>
      <c r="AB22" s="101"/>
      <c r="AC22" s="101"/>
      <c r="AD22" s="101"/>
      <c r="AE22" s="101"/>
      <c r="AH22" s="102" t="str">
        <f>Y22</f>
        <v>Maio</v>
      </c>
      <c r="AI22" s="102"/>
      <c r="AJ22" s="102"/>
      <c r="AK22" s="102"/>
      <c r="AL22" s="102"/>
      <c r="AM22" s="102"/>
      <c r="AN22" s="102"/>
    </row>
    <row r="23" spans="1:40" ht="15.75" thickBot="1" x14ac:dyDescent="0.3">
      <c r="A23" s="97" t="s">
        <v>5</v>
      </c>
      <c r="B23" s="34" t="s">
        <v>6</v>
      </c>
      <c r="C23" s="22" t="s">
        <v>7</v>
      </c>
      <c r="D23" s="33" t="s">
        <v>8</v>
      </c>
      <c r="E23" s="22" t="s">
        <v>9</v>
      </c>
      <c r="F23" s="24" t="s">
        <v>10</v>
      </c>
      <c r="G23" s="23" t="s">
        <v>11</v>
      </c>
      <c r="H23" s="25" t="s">
        <v>12</v>
      </c>
      <c r="J23" s="6" t="s">
        <v>4</v>
      </c>
      <c r="K23" s="9"/>
      <c r="L23" s="4"/>
      <c r="M23" s="4"/>
      <c r="N23" s="4"/>
      <c r="O23" s="4"/>
      <c r="P23" s="4"/>
      <c r="Q23" s="4"/>
      <c r="R23" s="4"/>
      <c r="S23" s="4"/>
      <c r="T23" s="4"/>
      <c r="U23" s="5"/>
      <c r="Y23" s="6" t="s">
        <v>4</v>
      </c>
      <c r="Z23" s="9"/>
      <c r="AA23" s="4"/>
      <c r="AB23" s="4"/>
      <c r="AC23" s="4"/>
      <c r="AD23" s="4"/>
      <c r="AE23" s="5"/>
      <c r="AH23" s="6" t="s">
        <v>4</v>
      </c>
      <c r="AI23" s="9"/>
      <c r="AJ23" s="4"/>
      <c r="AK23" s="4"/>
      <c r="AL23" s="4"/>
      <c r="AM23" s="4"/>
      <c r="AN23" s="5"/>
    </row>
    <row r="24" spans="1:40" ht="15.75" thickBot="1" x14ac:dyDescent="0.3">
      <c r="A24" s="97"/>
      <c r="B24" s="26"/>
      <c r="C24" s="27"/>
      <c r="D24" s="27"/>
      <c r="E24" s="27"/>
      <c r="F24" s="27">
        <f>SUM(C24-B24)</f>
        <v>0</v>
      </c>
      <c r="G24" s="20">
        <f>SUM(E24-D24)</f>
        <v>0</v>
      </c>
      <c r="H24" s="21">
        <f>SUM(F24:G24)</f>
        <v>0</v>
      </c>
      <c r="J24" s="7" t="s">
        <v>22</v>
      </c>
      <c r="K24" s="10"/>
      <c r="L24" s="11"/>
      <c r="M24" s="11"/>
      <c r="N24" s="11"/>
      <c r="O24" s="11"/>
      <c r="P24" s="11"/>
      <c r="Q24" s="11"/>
      <c r="R24" s="11"/>
      <c r="S24" s="11"/>
      <c r="T24" s="11"/>
      <c r="U24" s="12"/>
      <c r="Y24" s="7" t="s">
        <v>22</v>
      </c>
      <c r="Z24" s="10"/>
      <c r="AA24" s="11"/>
      <c r="AB24" s="11"/>
      <c r="AC24" s="11"/>
      <c r="AD24" s="11"/>
      <c r="AE24" s="12"/>
      <c r="AH24" s="7" t="s">
        <v>22</v>
      </c>
      <c r="AI24" s="10"/>
      <c r="AJ24" s="11"/>
      <c r="AK24" s="11"/>
      <c r="AL24" s="11"/>
      <c r="AM24" s="11"/>
      <c r="AN24" s="12"/>
    </row>
    <row r="25" spans="1:40" x14ac:dyDescent="0.25">
      <c r="J25" s="8"/>
      <c r="T25" s="8" t="s">
        <v>23</v>
      </c>
      <c r="U25" s="13">
        <f>SUM(K24:U24)</f>
        <v>0</v>
      </c>
      <c r="AD25" s="8" t="s">
        <v>23</v>
      </c>
      <c r="AE25" s="13">
        <f>SUM(Z24:AE24)</f>
        <v>0</v>
      </c>
      <c r="AM25" s="8" t="s">
        <v>23</v>
      </c>
      <c r="AN25" s="13">
        <f>SUM(AI24:AN24)</f>
        <v>0</v>
      </c>
    </row>
    <row r="26" spans="1:40" ht="15.75" thickBot="1" x14ac:dyDescent="0.3">
      <c r="A26" s="19"/>
      <c r="B26" s="99" t="s">
        <v>24</v>
      </c>
      <c r="C26" s="99"/>
      <c r="D26" s="99"/>
      <c r="E26" s="99"/>
      <c r="F26" s="99"/>
      <c r="G26" s="99"/>
      <c r="H26" s="99"/>
      <c r="J26" s="100" t="s">
        <v>24</v>
      </c>
      <c r="K26" s="100"/>
      <c r="L26" s="100"/>
      <c r="M26" s="100"/>
      <c r="N26" s="100"/>
      <c r="O26" s="100"/>
      <c r="P26" s="100"/>
      <c r="Q26" s="100"/>
      <c r="R26" s="100"/>
      <c r="S26" s="100"/>
      <c r="T26" s="100"/>
      <c r="U26" s="100"/>
      <c r="Y26" s="101" t="str">
        <f>J26</f>
        <v>Junho</v>
      </c>
      <c r="Z26" s="101"/>
      <c r="AA26" s="101"/>
      <c r="AB26" s="101"/>
      <c r="AC26" s="101"/>
      <c r="AD26" s="101"/>
      <c r="AE26" s="101"/>
      <c r="AH26" s="102" t="str">
        <f>Y26</f>
        <v>Junho</v>
      </c>
      <c r="AI26" s="102"/>
      <c r="AJ26" s="102"/>
      <c r="AK26" s="102"/>
      <c r="AL26" s="102"/>
      <c r="AM26" s="102"/>
      <c r="AN26" s="102"/>
    </row>
    <row r="27" spans="1:40" ht="15.75" thickBot="1" x14ac:dyDescent="0.3">
      <c r="A27" s="97" t="s">
        <v>5</v>
      </c>
      <c r="B27" s="34" t="s">
        <v>6</v>
      </c>
      <c r="C27" s="22" t="s">
        <v>7</v>
      </c>
      <c r="D27" s="33" t="s">
        <v>8</v>
      </c>
      <c r="E27" s="22" t="s">
        <v>9</v>
      </c>
      <c r="F27" s="24" t="s">
        <v>10</v>
      </c>
      <c r="G27" s="23" t="s">
        <v>11</v>
      </c>
      <c r="H27" s="25" t="s">
        <v>12</v>
      </c>
      <c r="J27" s="6" t="s">
        <v>4</v>
      </c>
      <c r="K27" s="9"/>
      <c r="L27" s="4"/>
      <c r="M27" s="4"/>
      <c r="N27" s="4"/>
      <c r="O27" s="4"/>
      <c r="P27" s="4"/>
      <c r="Q27" s="4"/>
      <c r="R27" s="4"/>
      <c r="S27" s="4"/>
      <c r="T27" s="4"/>
      <c r="U27" s="5"/>
      <c r="Y27" s="6" t="s">
        <v>4</v>
      </c>
      <c r="Z27" s="9"/>
      <c r="AA27" s="4"/>
      <c r="AB27" s="4"/>
      <c r="AC27" s="4"/>
      <c r="AD27" s="4"/>
      <c r="AE27" s="5"/>
      <c r="AH27" s="6" t="s">
        <v>4</v>
      </c>
      <c r="AI27" s="9"/>
      <c r="AJ27" s="4"/>
      <c r="AK27" s="4"/>
      <c r="AL27" s="4"/>
      <c r="AM27" s="4"/>
      <c r="AN27" s="5"/>
    </row>
    <row r="28" spans="1:40" ht="15.75" thickBot="1" x14ac:dyDescent="0.3">
      <c r="A28" s="97"/>
      <c r="B28" s="26"/>
      <c r="C28" s="27"/>
      <c r="D28" s="27"/>
      <c r="E28" s="27"/>
      <c r="F28" s="27">
        <f>SUM(C28-B28)</f>
        <v>0</v>
      </c>
      <c r="G28" s="20">
        <f>SUM(E28-D28)</f>
        <v>0</v>
      </c>
      <c r="H28" s="21">
        <f>SUM(F28:G28)</f>
        <v>0</v>
      </c>
      <c r="J28" s="7" t="s">
        <v>22</v>
      </c>
      <c r="K28" s="10"/>
      <c r="L28" s="11"/>
      <c r="M28" s="11"/>
      <c r="N28" s="11"/>
      <c r="O28" s="11"/>
      <c r="P28" s="11"/>
      <c r="Q28" s="11"/>
      <c r="R28" s="11"/>
      <c r="S28" s="11"/>
      <c r="T28" s="11"/>
      <c r="U28" s="12"/>
      <c r="Y28" s="7" t="s">
        <v>22</v>
      </c>
      <c r="Z28" s="10"/>
      <c r="AA28" s="11"/>
      <c r="AB28" s="11"/>
      <c r="AC28" s="11"/>
      <c r="AD28" s="11"/>
      <c r="AE28" s="12"/>
      <c r="AH28" s="7" t="s">
        <v>22</v>
      </c>
      <c r="AI28" s="10"/>
      <c r="AJ28" s="11"/>
      <c r="AK28" s="11"/>
      <c r="AL28" s="11"/>
      <c r="AM28" s="11"/>
      <c r="AN28" s="12"/>
    </row>
    <row r="29" spans="1:40" x14ac:dyDescent="0.25">
      <c r="J29" s="8"/>
      <c r="T29" s="8" t="s">
        <v>23</v>
      </c>
      <c r="U29" s="13">
        <f>SUM(K28:U28)</f>
        <v>0</v>
      </c>
      <c r="AD29" s="8" t="s">
        <v>23</v>
      </c>
      <c r="AE29" s="13">
        <f>SUM(Z28:AE28)</f>
        <v>0</v>
      </c>
      <c r="AM29" s="8" t="s">
        <v>23</v>
      </c>
      <c r="AN29" s="13">
        <f>SUM(AI28:AN28)</f>
        <v>0</v>
      </c>
    </row>
    <row r="30" spans="1:40" ht="15.75" thickBot="1" x14ac:dyDescent="0.3">
      <c r="A30" s="19"/>
      <c r="B30" s="99" t="s">
        <v>16</v>
      </c>
      <c r="C30" s="99"/>
      <c r="D30" s="99"/>
      <c r="E30" s="99"/>
      <c r="F30" s="99"/>
      <c r="G30" s="99"/>
      <c r="H30" s="99"/>
      <c r="J30" s="100" t="s">
        <v>16</v>
      </c>
      <c r="K30" s="100"/>
      <c r="L30" s="100"/>
      <c r="M30" s="100"/>
      <c r="N30" s="100"/>
      <c r="O30" s="100"/>
      <c r="P30" s="100"/>
      <c r="Q30" s="100"/>
      <c r="R30" s="100"/>
      <c r="S30" s="100"/>
      <c r="T30" s="100"/>
      <c r="U30" s="100"/>
      <c r="Y30" s="101" t="str">
        <f>J30</f>
        <v>Julho</v>
      </c>
      <c r="Z30" s="101"/>
      <c r="AA30" s="101"/>
      <c r="AB30" s="101"/>
      <c r="AC30" s="101"/>
      <c r="AD30" s="101"/>
      <c r="AE30" s="101"/>
      <c r="AH30" s="102" t="str">
        <f>Y30</f>
        <v>Julho</v>
      </c>
      <c r="AI30" s="102"/>
      <c r="AJ30" s="102"/>
      <c r="AK30" s="102"/>
      <c r="AL30" s="102"/>
      <c r="AM30" s="102"/>
      <c r="AN30" s="102"/>
    </row>
    <row r="31" spans="1:40" ht="15.75" thickBot="1" x14ac:dyDescent="0.3">
      <c r="A31" s="97" t="s">
        <v>5</v>
      </c>
      <c r="B31" s="34" t="s">
        <v>6</v>
      </c>
      <c r="C31" s="22" t="s">
        <v>7</v>
      </c>
      <c r="D31" s="33" t="s">
        <v>8</v>
      </c>
      <c r="E31" s="22" t="s">
        <v>9</v>
      </c>
      <c r="F31" s="24" t="s">
        <v>10</v>
      </c>
      <c r="G31" s="23" t="s">
        <v>11</v>
      </c>
      <c r="H31" s="25" t="s">
        <v>12</v>
      </c>
      <c r="J31" s="6" t="s">
        <v>4</v>
      </c>
      <c r="K31" s="9">
        <v>45862</v>
      </c>
      <c r="L31" s="66">
        <v>45864</v>
      </c>
      <c r="M31" s="4"/>
      <c r="N31" s="4"/>
      <c r="O31" s="4"/>
      <c r="P31" s="4"/>
      <c r="Q31" s="4"/>
      <c r="R31" s="4"/>
      <c r="S31" s="4"/>
      <c r="T31" s="4"/>
      <c r="U31" s="5"/>
      <c r="Y31" s="6" t="s">
        <v>4</v>
      </c>
      <c r="Z31" s="9"/>
      <c r="AA31" s="4"/>
      <c r="AB31" s="4"/>
      <c r="AC31" s="4"/>
      <c r="AD31" s="4"/>
      <c r="AE31" s="5"/>
      <c r="AH31" s="6" t="s">
        <v>4</v>
      </c>
      <c r="AI31" s="9"/>
      <c r="AJ31" s="4"/>
      <c r="AK31" s="4"/>
      <c r="AL31" s="4"/>
      <c r="AM31" s="4"/>
      <c r="AN31" s="5"/>
    </row>
    <row r="32" spans="1:40" ht="15.75" thickBot="1" x14ac:dyDescent="0.3">
      <c r="A32" s="97"/>
      <c r="B32" s="26"/>
      <c r="C32" s="27"/>
      <c r="D32" s="27">
        <v>21280</v>
      </c>
      <c r="E32" s="27">
        <v>21952</v>
      </c>
      <c r="F32" s="27">
        <f>SUM(C32-B32)</f>
        <v>0</v>
      </c>
      <c r="G32" s="20">
        <f>SUM(E32-D32)</f>
        <v>672</v>
      </c>
      <c r="H32" s="21">
        <f>SUM(F32:G32)</f>
        <v>672</v>
      </c>
      <c r="J32" s="7" t="s">
        <v>22</v>
      </c>
      <c r="K32" s="10">
        <v>126.55</v>
      </c>
      <c r="L32" s="11">
        <v>147.54</v>
      </c>
      <c r="M32" s="11"/>
      <c r="N32" s="11"/>
      <c r="O32" s="11"/>
      <c r="P32" s="11"/>
      <c r="Q32" s="11"/>
      <c r="R32" s="11"/>
      <c r="S32" s="11"/>
      <c r="T32" s="11"/>
      <c r="U32" s="12"/>
      <c r="Y32" s="7" t="s">
        <v>22</v>
      </c>
      <c r="Z32" s="10"/>
      <c r="AA32" s="11"/>
      <c r="AB32" s="11"/>
      <c r="AC32" s="11"/>
      <c r="AD32" s="11"/>
      <c r="AE32" s="12"/>
      <c r="AH32" s="7" t="s">
        <v>22</v>
      </c>
      <c r="AI32" s="10"/>
      <c r="AJ32" s="11"/>
      <c r="AK32" s="11"/>
      <c r="AL32" s="11"/>
      <c r="AM32" s="11"/>
      <c r="AN32" s="12"/>
    </row>
    <row r="33" spans="1:40" x14ac:dyDescent="0.25">
      <c r="J33" s="8"/>
      <c r="T33" s="8" t="s">
        <v>23</v>
      </c>
      <c r="U33" s="13">
        <f>SUM(K32:U32)</f>
        <v>274.08999999999997</v>
      </c>
      <c r="AD33" s="8" t="s">
        <v>23</v>
      </c>
      <c r="AE33" s="13">
        <f>SUM(Z32:AE32)</f>
        <v>0</v>
      </c>
      <c r="AM33" s="8" t="s">
        <v>23</v>
      </c>
      <c r="AN33" s="13">
        <f>SUM(AI32:AN32)</f>
        <v>0</v>
      </c>
    </row>
    <row r="34" spans="1:40" ht="15.75" thickBot="1" x14ac:dyDescent="0.3">
      <c r="A34" s="19"/>
      <c r="B34" s="99" t="s">
        <v>17</v>
      </c>
      <c r="C34" s="99"/>
      <c r="D34" s="99"/>
      <c r="E34" s="99"/>
      <c r="F34" s="99"/>
      <c r="G34" s="99"/>
      <c r="H34" s="99"/>
      <c r="J34" s="100" t="s">
        <v>17</v>
      </c>
      <c r="K34" s="100"/>
      <c r="L34" s="100"/>
      <c r="M34" s="100"/>
      <c r="N34" s="100"/>
      <c r="O34" s="100"/>
      <c r="P34" s="100"/>
      <c r="Q34" s="100"/>
      <c r="R34" s="100"/>
      <c r="S34" s="100"/>
      <c r="T34" s="100"/>
      <c r="U34" s="100"/>
      <c r="Y34" s="101" t="str">
        <f>J34</f>
        <v>Agosto</v>
      </c>
      <c r="Z34" s="101"/>
      <c r="AA34" s="101"/>
      <c r="AB34" s="101"/>
      <c r="AC34" s="101"/>
      <c r="AD34" s="101"/>
      <c r="AE34" s="101"/>
      <c r="AH34" s="102" t="str">
        <f>Y34</f>
        <v>Agosto</v>
      </c>
      <c r="AI34" s="102"/>
      <c r="AJ34" s="102"/>
      <c r="AK34" s="102"/>
      <c r="AL34" s="102"/>
      <c r="AM34" s="102"/>
      <c r="AN34" s="102"/>
    </row>
    <row r="35" spans="1:40" ht="15.75" thickBot="1" x14ac:dyDescent="0.3">
      <c r="A35" s="97" t="s">
        <v>5</v>
      </c>
      <c r="B35" s="34" t="s">
        <v>6</v>
      </c>
      <c r="C35" s="22" t="s">
        <v>7</v>
      </c>
      <c r="D35" s="33" t="s">
        <v>8</v>
      </c>
      <c r="E35" s="22" t="s">
        <v>9</v>
      </c>
      <c r="F35" s="24" t="s">
        <v>10</v>
      </c>
      <c r="G35" s="23" t="s">
        <v>11</v>
      </c>
      <c r="H35" s="25" t="s">
        <v>12</v>
      </c>
      <c r="J35" s="6" t="s">
        <v>4</v>
      </c>
      <c r="K35" s="9">
        <v>45871</v>
      </c>
      <c r="L35" s="66">
        <v>45874</v>
      </c>
      <c r="M35" s="66">
        <v>45876</v>
      </c>
      <c r="N35" s="66">
        <v>45878</v>
      </c>
      <c r="O35" s="66">
        <v>45881</v>
      </c>
      <c r="P35" s="66">
        <v>45883</v>
      </c>
      <c r="Q35" s="66">
        <v>45888</v>
      </c>
      <c r="R35" s="66">
        <v>45892</v>
      </c>
      <c r="S35" s="66">
        <v>45895</v>
      </c>
      <c r="T35" s="66">
        <v>45897</v>
      </c>
      <c r="U35" s="81">
        <v>45899</v>
      </c>
      <c r="Y35" s="6" t="s">
        <v>4</v>
      </c>
      <c r="Z35" s="9"/>
      <c r="AA35" s="4"/>
      <c r="AB35" s="4"/>
      <c r="AC35" s="4"/>
      <c r="AD35" s="4"/>
      <c r="AE35" s="5"/>
      <c r="AH35" s="6" t="s">
        <v>4</v>
      </c>
      <c r="AI35" s="9"/>
      <c r="AJ35" s="4"/>
      <c r="AK35" s="4"/>
      <c r="AL35" s="4"/>
      <c r="AM35" s="4"/>
      <c r="AN35" s="5"/>
    </row>
    <row r="36" spans="1:40" ht="15.75" thickBot="1" x14ac:dyDescent="0.3">
      <c r="A36" s="97"/>
      <c r="B36" s="27">
        <v>21952</v>
      </c>
      <c r="C36" s="27">
        <v>23602</v>
      </c>
      <c r="D36" s="27">
        <v>23602</v>
      </c>
      <c r="E36" s="27">
        <v>24972</v>
      </c>
      <c r="F36" s="27">
        <f>SUM(C36-B36)</f>
        <v>1650</v>
      </c>
      <c r="G36" s="20">
        <f>SUM(E36-D36)</f>
        <v>1370</v>
      </c>
      <c r="H36" s="21">
        <f>SUM(F36:G36)</f>
        <v>3020</v>
      </c>
      <c r="J36" s="7" t="s">
        <v>22</v>
      </c>
      <c r="K36" s="10">
        <v>194.48</v>
      </c>
      <c r="L36" s="11">
        <v>98.7</v>
      </c>
      <c r="M36" s="11">
        <v>120.26</v>
      </c>
      <c r="N36" s="11">
        <v>90.79</v>
      </c>
      <c r="O36" s="11">
        <v>125.31</v>
      </c>
      <c r="P36" s="11">
        <v>126</v>
      </c>
      <c r="Q36" s="11">
        <v>192.06</v>
      </c>
      <c r="R36" s="11">
        <v>223.93</v>
      </c>
      <c r="S36" s="11">
        <v>87.41</v>
      </c>
      <c r="T36" s="11">
        <v>114.52</v>
      </c>
      <c r="U36" s="12">
        <v>80.02</v>
      </c>
      <c r="Y36" s="7" t="s">
        <v>22</v>
      </c>
      <c r="Z36" s="10"/>
      <c r="AA36" s="11"/>
      <c r="AB36" s="11"/>
      <c r="AC36" s="11"/>
      <c r="AD36" s="11"/>
      <c r="AE36" s="12"/>
      <c r="AH36" s="7" t="s">
        <v>22</v>
      </c>
      <c r="AI36" s="10"/>
      <c r="AJ36" s="11"/>
      <c r="AK36" s="11"/>
      <c r="AL36" s="11"/>
      <c r="AM36" s="11"/>
      <c r="AN36" s="12"/>
    </row>
    <row r="37" spans="1:40" x14ac:dyDescent="0.25">
      <c r="J37" s="8"/>
      <c r="T37" s="8" t="s">
        <v>23</v>
      </c>
      <c r="U37" s="13">
        <f>SUM(K36:U36)</f>
        <v>1453.48</v>
      </c>
      <c r="AD37" s="8" t="s">
        <v>23</v>
      </c>
      <c r="AE37" s="13">
        <f>SUM(Z36:AE36)</f>
        <v>0</v>
      </c>
      <c r="AM37" s="8" t="s">
        <v>23</v>
      </c>
      <c r="AN37" s="13">
        <f>SUM(AI36:AN36)</f>
        <v>0</v>
      </c>
    </row>
    <row r="38" spans="1:40" ht="15.75" thickBot="1" x14ac:dyDescent="0.3">
      <c r="A38" s="87" t="s">
        <v>124</v>
      </c>
      <c r="B38" s="99" t="s">
        <v>18</v>
      </c>
      <c r="C38" s="99"/>
      <c r="D38" s="99"/>
      <c r="E38" s="99"/>
      <c r="F38" s="99"/>
      <c r="G38" s="99"/>
      <c r="H38" s="99"/>
      <c r="J38" s="100" t="s">
        <v>18</v>
      </c>
      <c r="K38" s="100"/>
      <c r="L38" s="100"/>
      <c r="M38" s="100"/>
      <c r="N38" s="100"/>
      <c r="O38" s="100"/>
      <c r="P38" s="100"/>
      <c r="Q38" s="100"/>
      <c r="R38" s="100"/>
      <c r="S38" s="100"/>
      <c r="T38" s="100"/>
      <c r="U38" s="100"/>
      <c r="Y38" s="101" t="str">
        <f>J38</f>
        <v>Setembro</v>
      </c>
      <c r="Z38" s="101"/>
      <c r="AA38" s="101"/>
      <c r="AB38" s="101"/>
      <c r="AC38" s="101"/>
      <c r="AD38" s="101"/>
      <c r="AE38" s="101"/>
      <c r="AH38" s="102" t="str">
        <f>Y38</f>
        <v>Setembro</v>
      </c>
      <c r="AI38" s="102"/>
      <c r="AJ38" s="102"/>
      <c r="AK38" s="102"/>
      <c r="AL38" s="102"/>
      <c r="AM38" s="102"/>
      <c r="AN38" s="102"/>
    </row>
    <row r="39" spans="1:40" ht="15.75" thickBot="1" x14ac:dyDescent="0.3">
      <c r="A39" s="97" t="s">
        <v>5</v>
      </c>
      <c r="B39" s="34" t="s">
        <v>6</v>
      </c>
      <c r="C39" s="22" t="s">
        <v>7</v>
      </c>
      <c r="D39" s="33" t="s">
        <v>8</v>
      </c>
      <c r="E39" s="22" t="s">
        <v>9</v>
      </c>
      <c r="F39" s="24" t="s">
        <v>10</v>
      </c>
      <c r="G39" s="23" t="s">
        <v>11</v>
      </c>
      <c r="H39" s="25" t="s">
        <v>12</v>
      </c>
      <c r="J39" s="6" t="s">
        <v>4</v>
      </c>
      <c r="K39" s="9">
        <v>45904</v>
      </c>
      <c r="L39" s="66">
        <v>45909</v>
      </c>
      <c r="M39" s="66">
        <v>45916</v>
      </c>
      <c r="N39" s="66">
        <v>45925</v>
      </c>
      <c r="O39" s="66">
        <v>45930</v>
      </c>
      <c r="P39" s="66">
        <v>45931</v>
      </c>
      <c r="Q39" s="4"/>
      <c r="R39" s="4"/>
      <c r="S39" s="4"/>
      <c r="T39" s="4"/>
      <c r="U39" s="66"/>
      <c r="Y39" s="6" t="s">
        <v>4</v>
      </c>
      <c r="Z39" s="9"/>
      <c r="AA39" s="4"/>
      <c r="AB39" s="4"/>
      <c r="AC39" s="4"/>
      <c r="AD39" s="4"/>
      <c r="AE39" s="5"/>
      <c r="AH39" s="6" t="s">
        <v>4</v>
      </c>
      <c r="AI39" s="9"/>
      <c r="AJ39" s="4"/>
      <c r="AK39" s="4"/>
      <c r="AL39" s="4"/>
      <c r="AM39" s="4"/>
      <c r="AN39" s="5"/>
    </row>
    <row r="40" spans="1:40" ht="15.75" thickBot="1" x14ac:dyDescent="0.3">
      <c r="A40" s="97"/>
      <c r="B40" s="26">
        <v>24972</v>
      </c>
      <c r="C40" s="27">
        <v>26049</v>
      </c>
      <c r="D40" s="27">
        <v>26049</v>
      </c>
      <c r="E40" s="27">
        <v>26816</v>
      </c>
      <c r="F40" s="27">
        <f>SUM(C40-B40)</f>
        <v>1077</v>
      </c>
      <c r="G40" s="20">
        <f>SUM(E40-D40)</f>
        <v>767</v>
      </c>
      <c r="H40" s="21">
        <f>SUM(F40:G40)</f>
        <v>1844</v>
      </c>
      <c r="J40" s="7" t="s">
        <v>22</v>
      </c>
      <c r="K40" s="10">
        <v>141.82</v>
      </c>
      <c r="L40" s="11">
        <v>155.13</v>
      </c>
      <c r="M40" s="11">
        <v>120</v>
      </c>
      <c r="N40" s="11">
        <v>136.94</v>
      </c>
      <c r="O40" s="11">
        <v>84.21</v>
      </c>
      <c r="P40" s="11">
        <v>50</v>
      </c>
      <c r="Q40" s="11"/>
      <c r="R40" s="11"/>
      <c r="S40" s="11"/>
      <c r="T40" s="11"/>
      <c r="U40" s="11"/>
      <c r="Y40" s="7" t="s">
        <v>22</v>
      </c>
      <c r="Z40" s="10"/>
      <c r="AA40" s="11"/>
      <c r="AB40" s="11"/>
      <c r="AC40" s="11"/>
      <c r="AD40" s="11"/>
      <c r="AE40" s="12"/>
      <c r="AH40" s="7" t="s">
        <v>22</v>
      </c>
      <c r="AI40" s="10"/>
      <c r="AJ40" s="11"/>
      <c r="AK40" s="11"/>
      <c r="AL40" s="11"/>
      <c r="AM40" s="11"/>
      <c r="AN40" s="12"/>
    </row>
    <row r="41" spans="1:40" x14ac:dyDescent="0.25">
      <c r="J41" s="8"/>
      <c r="T41" s="8" t="s">
        <v>23</v>
      </c>
      <c r="U41" s="13">
        <f>SUM(K40:U40)</f>
        <v>688.1</v>
      </c>
      <c r="AD41" s="8" t="s">
        <v>23</v>
      </c>
      <c r="AE41" s="13">
        <f>SUM(Z40:AE40)</f>
        <v>0</v>
      </c>
      <c r="AM41" s="8" t="s">
        <v>23</v>
      </c>
      <c r="AN41" s="13">
        <f>SUM(AI40:AN40)</f>
        <v>0</v>
      </c>
    </row>
    <row r="42" spans="1:40" ht="15.75" thickBot="1" x14ac:dyDescent="0.3">
      <c r="A42" s="19"/>
      <c r="B42" s="99" t="s">
        <v>19</v>
      </c>
      <c r="C42" s="99"/>
      <c r="D42" s="99"/>
      <c r="E42" s="99"/>
      <c r="F42" s="99"/>
      <c r="G42" s="99"/>
      <c r="H42" s="99"/>
      <c r="J42" s="100" t="s">
        <v>19</v>
      </c>
      <c r="K42" s="100"/>
      <c r="L42" s="100"/>
      <c r="M42" s="100"/>
      <c r="N42" s="100"/>
      <c r="O42" s="100"/>
      <c r="P42" s="100"/>
      <c r="Q42" s="100"/>
      <c r="R42" s="100"/>
      <c r="S42" s="100"/>
      <c r="T42" s="100"/>
      <c r="U42" s="100"/>
      <c r="Y42" s="101" t="str">
        <f>J42</f>
        <v>Outubro</v>
      </c>
      <c r="Z42" s="101"/>
      <c r="AA42" s="101"/>
      <c r="AB42" s="101"/>
      <c r="AC42" s="101"/>
      <c r="AD42" s="101"/>
      <c r="AE42" s="101"/>
      <c r="AH42" s="102" t="str">
        <f>Y42</f>
        <v>Outubro</v>
      </c>
      <c r="AI42" s="102"/>
      <c r="AJ42" s="102"/>
      <c r="AK42" s="102"/>
      <c r="AL42" s="102"/>
      <c r="AM42" s="102"/>
      <c r="AN42" s="102"/>
    </row>
    <row r="43" spans="1:40" ht="15.75" thickBot="1" x14ac:dyDescent="0.3">
      <c r="A43" s="97" t="s">
        <v>5</v>
      </c>
      <c r="B43" s="34" t="s">
        <v>6</v>
      </c>
      <c r="C43" s="22" t="s">
        <v>7</v>
      </c>
      <c r="D43" s="33" t="s">
        <v>8</v>
      </c>
      <c r="E43" s="22" t="s">
        <v>9</v>
      </c>
      <c r="F43" s="24" t="s">
        <v>10</v>
      </c>
      <c r="G43" s="23" t="s">
        <v>11</v>
      </c>
      <c r="H43" s="25" t="s">
        <v>12</v>
      </c>
      <c r="J43" s="6" t="s">
        <v>4</v>
      </c>
      <c r="K43" s="9">
        <v>45932</v>
      </c>
      <c r="L43" s="66">
        <v>45937</v>
      </c>
      <c r="M43" s="66">
        <v>45939</v>
      </c>
      <c r="N43" s="66">
        <v>45941</v>
      </c>
      <c r="O43" s="66">
        <v>45944</v>
      </c>
      <c r="P43" s="66">
        <v>45946</v>
      </c>
      <c r="Q43" s="66">
        <v>45951</v>
      </c>
      <c r="R43" s="66">
        <v>45953</v>
      </c>
      <c r="S43" s="66">
        <v>45958</v>
      </c>
      <c r="T43" s="4"/>
      <c r="U43" s="5"/>
      <c r="Y43" s="6" t="s">
        <v>4</v>
      </c>
      <c r="Z43" s="9"/>
      <c r="AA43" s="4"/>
      <c r="AB43" s="4"/>
      <c r="AC43" s="4"/>
      <c r="AD43" s="4"/>
      <c r="AE43" s="5"/>
      <c r="AH43" s="6" t="s">
        <v>4</v>
      </c>
      <c r="AI43" s="9"/>
      <c r="AJ43" s="4"/>
      <c r="AK43" s="4"/>
      <c r="AL43" s="4"/>
      <c r="AM43" s="4"/>
      <c r="AN43" s="5"/>
    </row>
    <row r="44" spans="1:40" ht="15.75" thickBot="1" x14ac:dyDescent="0.3">
      <c r="A44" s="97"/>
      <c r="B44" s="26">
        <v>2295</v>
      </c>
      <c r="C44" s="27">
        <v>3414</v>
      </c>
      <c r="D44" s="27">
        <v>3414</v>
      </c>
      <c r="E44" s="27">
        <v>4821</v>
      </c>
      <c r="F44" s="27">
        <f>SUM(C44-B44)</f>
        <v>1119</v>
      </c>
      <c r="G44" s="20">
        <f>SUM(E44-D44)</f>
        <v>1407</v>
      </c>
      <c r="H44" s="21">
        <f>SUM(F44:G44)</f>
        <v>2526</v>
      </c>
      <c r="J44" s="7" t="s">
        <v>22</v>
      </c>
      <c r="K44" s="10">
        <v>136.4</v>
      </c>
      <c r="L44" s="11">
        <v>108.87</v>
      </c>
      <c r="M44" s="11">
        <v>88.81</v>
      </c>
      <c r="N44" s="11">
        <v>140.1</v>
      </c>
      <c r="O44" s="11">
        <v>166.05</v>
      </c>
      <c r="P44" s="11">
        <v>102.69</v>
      </c>
      <c r="Q44" s="11">
        <v>111.6</v>
      </c>
      <c r="R44" s="11">
        <v>141.77000000000001</v>
      </c>
      <c r="S44" s="11">
        <v>172.49</v>
      </c>
      <c r="T44" s="11"/>
      <c r="U44" s="12"/>
      <c r="Y44" s="7" t="s">
        <v>22</v>
      </c>
      <c r="Z44" s="10"/>
      <c r="AA44" s="11"/>
      <c r="AB44" s="11"/>
      <c r="AC44" s="11"/>
      <c r="AD44" s="11"/>
      <c r="AE44" s="12"/>
      <c r="AH44" s="7" t="s">
        <v>22</v>
      </c>
      <c r="AI44" s="10"/>
      <c r="AJ44" s="11"/>
      <c r="AK44" s="11"/>
      <c r="AL44" s="11"/>
      <c r="AM44" s="11"/>
      <c r="AN44" s="12"/>
    </row>
    <row r="45" spans="1:40" x14ac:dyDescent="0.25">
      <c r="J45" s="8"/>
      <c r="T45" s="8" t="s">
        <v>23</v>
      </c>
      <c r="U45" s="13">
        <f>SUM(K44:U44)</f>
        <v>1168.7800000000002</v>
      </c>
      <c r="AD45" s="8" t="s">
        <v>23</v>
      </c>
      <c r="AE45" s="13">
        <f>SUM(Z44:AE44)</f>
        <v>0</v>
      </c>
      <c r="AM45" s="8" t="s">
        <v>23</v>
      </c>
      <c r="AN45" s="13">
        <f>SUM(AI44:AN44)</f>
        <v>0</v>
      </c>
    </row>
    <row r="46" spans="1:40" ht="15.75" thickBot="1" x14ac:dyDescent="0.3">
      <c r="A46" s="19"/>
      <c r="B46" s="99" t="s">
        <v>20</v>
      </c>
      <c r="C46" s="99"/>
      <c r="D46" s="99"/>
      <c r="E46" s="99"/>
      <c r="F46" s="99"/>
      <c r="G46" s="99"/>
      <c r="H46" s="99"/>
      <c r="J46" s="100" t="s">
        <v>20</v>
      </c>
      <c r="K46" s="100"/>
      <c r="L46" s="100"/>
      <c r="M46" s="100"/>
      <c r="N46" s="100"/>
      <c r="O46" s="100"/>
      <c r="P46" s="100"/>
      <c r="Q46" s="100"/>
      <c r="R46" s="100"/>
      <c r="S46" s="100"/>
      <c r="T46" s="100"/>
      <c r="U46" s="100"/>
      <c r="Y46" s="101" t="str">
        <f>J46</f>
        <v>Novembro</v>
      </c>
      <c r="Z46" s="101"/>
      <c r="AA46" s="101"/>
      <c r="AB46" s="101"/>
      <c r="AC46" s="101"/>
      <c r="AD46" s="101"/>
      <c r="AE46" s="101"/>
      <c r="AH46" s="102" t="str">
        <f>Y46</f>
        <v>Novembro</v>
      </c>
      <c r="AI46" s="102"/>
      <c r="AJ46" s="102"/>
      <c r="AK46" s="102"/>
      <c r="AL46" s="102"/>
      <c r="AM46" s="102"/>
      <c r="AN46" s="102"/>
    </row>
    <row r="47" spans="1:40" ht="15.75" thickBot="1" x14ac:dyDescent="0.3">
      <c r="A47" s="97" t="s">
        <v>5</v>
      </c>
      <c r="B47" s="34" t="s">
        <v>6</v>
      </c>
      <c r="C47" s="22" t="s">
        <v>7</v>
      </c>
      <c r="D47" s="33" t="s">
        <v>8</v>
      </c>
      <c r="E47" s="22" t="s">
        <v>9</v>
      </c>
      <c r="F47" s="24" t="s">
        <v>10</v>
      </c>
      <c r="G47" s="23" t="s">
        <v>11</v>
      </c>
      <c r="H47" s="25" t="s">
        <v>12</v>
      </c>
      <c r="J47" s="6" t="s">
        <v>4</v>
      </c>
      <c r="K47" s="9">
        <v>45965</v>
      </c>
      <c r="L47" s="66">
        <v>45967</v>
      </c>
      <c r="M47" s="66">
        <v>45969</v>
      </c>
      <c r="N47" s="66">
        <v>45972</v>
      </c>
      <c r="O47" s="66">
        <v>45979</v>
      </c>
      <c r="P47" s="66">
        <v>45986</v>
      </c>
      <c r="Q47" s="66">
        <v>45988</v>
      </c>
      <c r="R47" s="4"/>
      <c r="S47" s="4"/>
      <c r="T47" s="4"/>
      <c r="U47" s="5"/>
      <c r="Y47" s="6" t="s">
        <v>4</v>
      </c>
      <c r="Z47" s="9"/>
      <c r="AA47" s="4"/>
      <c r="AB47" s="4"/>
      <c r="AC47" s="4"/>
      <c r="AD47" s="4"/>
      <c r="AE47" s="5"/>
      <c r="AH47" s="6" t="s">
        <v>4</v>
      </c>
      <c r="AI47" s="9"/>
      <c r="AJ47" s="4"/>
      <c r="AK47" s="4"/>
      <c r="AL47" s="4"/>
      <c r="AM47" s="4"/>
      <c r="AN47" s="5"/>
    </row>
    <row r="48" spans="1:40" ht="15.75" thickBot="1" x14ac:dyDescent="0.3">
      <c r="A48" s="97"/>
      <c r="B48" s="27">
        <v>4821</v>
      </c>
      <c r="C48" s="27">
        <v>6254</v>
      </c>
      <c r="D48" s="27">
        <v>6254</v>
      </c>
      <c r="E48" s="27">
        <v>7036</v>
      </c>
      <c r="F48" s="27">
        <f>SUM(C48-B48)</f>
        <v>1433</v>
      </c>
      <c r="G48" s="20">
        <f>SUM(E48-D48)</f>
        <v>782</v>
      </c>
      <c r="H48" s="21">
        <f>SUM(F48:G48)</f>
        <v>2215</v>
      </c>
      <c r="J48" s="7" t="s">
        <v>22</v>
      </c>
      <c r="K48" s="10">
        <v>223.78</v>
      </c>
      <c r="L48" s="11">
        <v>179.11</v>
      </c>
      <c r="M48" s="11">
        <v>112.65</v>
      </c>
      <c r="N48" s="11">
        <v>70.34</v>
      </c>
      <c r="O48" s="11">
        <v>135.28</v>
      </c>
      <c r="P48" s="11">
        <v>136.31</v>
      </c>
      <c r="Q48" s="11">
        <v>72.900000000000006</v>
      </c>
      <c r="R48" s="11"/>
      <c r="S48" s="11"/>
      <c r="T48" s="11"/>
      <c r="U48" s="12"/>
      <c r="Y48" s="7" t="s">
        <v>22</v>
      </c>
      <c r="Z48" s="10"/>
      <c r="AA48" s="11"/>
      <c r="AB48" s="11"/>
      <c r="AC48" s="11"/>
      <c r="AD48" s="11"/>
      <c r="AE48" s="12"/>
      <c r="AH48" s="7" t="s">
        <v>22</v>
      </c>
      <c r="AI48" s="10"/>
      <c r="AJ48" s="11"/>
      <c r="AK48" s="11"/>
      <c r="AL48" s="11"/>
      <c r="AM48" s="11"/>
      <c r="AN48" s="12"/>
    </row>
    <row r="49" spans="1:40" x14ac:dyDescent="0.25">
      <c r="J49" s="8"/>
      <c r="T49" s="8" t="s">
        <v>23</v>
      </c>
      <c r="U49" s="13">
        <f>SUM(K48:U48)</f>
        <v>930.37</v>
      </c>
      <c r="AD49" s="8" t="s">
        <v>23</v>
      </c>
      <c r="AE49" s="13">
        <f>SUM(Z48:AE48)</f>
        <v>0</v>
      </c>
      <c r="AM49" s="8" t="s">
        <v>23</v>
      </c>
      <c r="AN49" s="13">
        <f>SUM(AI48:AN48)</f>
        <v>0</v>
      </c>
    </row>
    <row r="50" spans="1:40" ht="15.75" thickBot="1" x14ac:dyDescent="0.3">
      <c r="A50" s="19"/>
      <c r="B50" s="99" t="s">
        <v>21</v>
      </c>
      <c r="C50" s="99"/>
      <c r="D50" s="99"/>
      <c r="E50" s="99"/>
      <c r="F50" s="99"/>
      <c r="G50" s="99"/>
      <c r="H50" s="99"/>
      <c r="J50" s="100" t="s">
        <v>21</v>
      </c>
      <c r="K50" s="100"/>
      <c r="L50" s="100"/>
      <c r="M50" s="100"/>
      <c r="N50" s="100"/>
      <c r="O50" s="100"/>
      <c r="P50" s="100"/>
      <c r="Q50" s="100"/>
      <c r="R50" s="100"/>
      <c r="S50" s="100"/>
      <c r="T50" s="100"/>
      <c r="U50" s="100"/>
      <c r="Y50" s="101" t="str">
        <f>J50</f>
        <v>Dezembro</v>
      </c>
      <c r="Z50" s="101"/>
      <c r="AA50" s="101"/>
      <c r="AB50" s="101"/>
      <c r="AC50" s="101"/>
      <c r="AD50" s="101"/>
      <c r="AE50" s="101"/>
      <c r="AH50" s="102" t="str">
        <f>Y50</f>
        <v>Dezembro</v>
      </c>
      <c r="AI50" s="102"/>
      <c r="AJ50" s="102"/>
      <c r="AK50" s="102"/>
      <c r="AL50" s="102"/>
      <c r="AM50" s="102"/>
      <c r="AN50" s="102"/>
    </row>
    <row r="51" spans="1:40" ht="15.75" thickBot="1" x14ac:dyDescent="0.3">
      <c r="A51" s="97" t="s">
        <v>5</v>
      </c>
      <c r="B51" s="34" t="s">
        <v>6</v>
      </c>
      <c r="C51" s="22" t="s">
        <v>7</v>
      </c>
      <c r="D51" s="33" t="s">
        <v>8</v>
      </c>
      <c r="E51" s="22" t="s">
        <v>9</v>
      </c>
      <c r="F51" s="24" t="s">
        <v>10</v>
      </c>
      <c r="G51" s="23" t="s">
        <v>11</v>
      </c>
      <c r="H51" s="25" t="s">
        <v>12</v>
      </c>
      <c r="J51" s="6" t="s">
        <v>4</v>
      </c>
      <c r="K51" s="9">
        <v>45993</v>
      </c>
      <c r="L51" s="66">
        <v>46000</v>
      </c>
      <c r="M51" s="66">
        <v>46002</v>
      </c>
      <c r="N51" s="4"/>
      <c r="O51" s="4"/>
      <c r="P51" s="4"/>
      <c r="Q51" s="4"/>
      <c r="R51" s="4"/>
      <c r="S51" s="4"/>
      <c r="T51" s="4"/>
      <c r="U51" s="5"/>
      <c r="Y51" s="6" t="s">
        <v>4</v>
      </c>
      <c r="Z51" s="9"/>
      <c r="AA51" s="4"/>
      <c r="AB51" s="4"/>
      <c r="AC51" s="4"/>
      <c r="AD51" s="4"/>
      <c r="AE51" s="5"/>
      <c r="AH51" s="6" t="s">
        <v>4</v>
      </c>
      <c r="AI51" s="9"/>
      <c r="AJ51" s="4"/>
      <c r="AK51" s="4"/>
      <c r="AL51" s="4"/>
      <c r="AM51" s="4"/>
      <c r="AN51" s="5"/>
    </row>
    <row r="52" spans="1:40" ht="15.75" thickBot="1" x14ac:dyDescent="0.3">
      <c r="A52" s="97"/>
      <c r="B52" s="27">
        <v>7036</v>
      </c>
      <c r="C52" s="27">
        <v>8097</v>
      </c>
      <c r="D52" s="27">
        <v>8097</v>
      </c>
      <c r="E52" s="27">
        <v>8928</v>
      </c>
      <c r="F52" s="27">
        <f>SUM(C52-B52)</f>
        <v>1061</v>
      </c>
      <c r="G52" s="20">
        <f>SUM(E52-D52)</f>
        <v>831</v>
      </c>
      <c r="H52" s="21">
        <f>SUM(F52:G52)</f>
        <v>1892</v>
      </c>
      <c r="J52" s="7" t="s">
        <v>22</v>
      </c>
      <c r="K52" s="10">
        <v>173.42</v>
      </c>
      <c r="L52" s="11">
        <v>188.11</v>
      </c>
      <c r="M52" s="11">
        <v>112.35</v>
      </c>
      <c r="N52" s="11"/>
      <c r="O52" s="11"/>
      <c r="P52" s="11"/>
      <c r="Q52" s="11"/>
      <c r="R52" s="11"/>
      <c r="S52" s="11"/>
      <c r="T52" s="11"/>
      <c r="U52" s="12"/>
      <c r="Y52" s="7" t="s">
        <v>22</v>
      </c>
      <c r="Z52" s="10"/>
      <c r="AA52" s="11"/>
      <c r="AB52" s="11"/>
      <c r="AC52" s="11"/>
      <c r="AD52" s="11"/>
      <c r="AE52" s="12"/>
      <c r="AH52" s="7" t="s">
        <v>22</v>
      </c>
      <c r="AI52" s="10"/>
      <c r="AJ52" s="11"/>
      <c r="AK52" s="11"/>
      <c r="AL52" s="11"/>
      <c r="AM52" s="11"/>
      <c r="AN52" s="12"/>
    </row>
    <row r="53" spans="1:40" x14ac:dyDescent="0.25">
      <c r="J53" s="8"/>
      <c r="T53" s="8" t="s">
        <v>23</v>
      </c>
      <c r="U53" s="13">
        <f>SUM(K52:U52)</f>
        <v>473.88</v>
      </c>
      <c r="AD53" s="8" t="s">
        <v>23</v>
      </c>
      <c r="AE53" s="13">
        <f>SUM(Z52:AE52)</f>
        <v>0</v>
      </c>
      <c r="AM53" s="8" t="s">
        <v>23</v>
      </c>
      <c r="AN53" s="13">
        <f>SUM(AI52:AN52)</f>
        <v>0</v>
      </c>
    </row>
    <row r="54" spans="1:40" ht="15.75" thickBot="1" x14ac:dyDescent="0.3">
      <c r="A54" s="87">
        <v>2026</v>
      </c>
      <c r="B54" s="112" t="s">
        <v>134</v>
      </c>
      <c r="C54" s="99"/>
      <c r="D54" s="99"/>
      <c r="E54" s="99"/>
      <c r="F54" s="99"/>
      <c r="G54" s="99"/>
      <c r="H54" s="99"/>
      <c r="J54" s="113" t="s">
        <v>134</v>
      </c>
      <c r="K54" s="100"/>
      <c r="L54" s="100"/>
      <c r="M54" s="100"/>
      <c r="N54" s="100"/>
      <c r="O54" s="100"/>
      <c r="P54" s="100"/>
      <c r="Q54" s="100"/>
      <c r="R54" s="100"/>
      <c r="S54" s="100"/>
      <c r="T54" s="100"/>
      <c r="U54" s="100"/>
      <c r="Y54" s="101" t="s">
        <v>134</v>
      </c>
      <c r="Z54" s="101"/>
      <c r="AA54" s="101"/>
      <c r="AB54" s="101"/>
      <c r="AC54" s="101"/>
      <c r="AD54" s="101"/>
      <c r="AE54" s="101"/>
      <c r="AH54" s="102" t="s">
        <v>134</v>
      </c>
      <c r="AI54" s="102"/>
      <c r="AJ54" s="102"/>
      <c r="AK54" s="102"/>
      <c r="AL54" s="102"/>
      <c r="AM54" s="102"/>
      <c r="AN54" s="102"/>
    </row>
    <row r="55" spans="1:40" ht="15.75" thickBot="1" x14ac:dyDescent="0.3">
      <c r="A55" s="97" t="s">
        <v>5</v>
      </c>
      <c r="B55" s="34" t="s">
        <v>6</v>
      </c>
      <c r="C55" s="22" t="s">
        <v>7</v>
      </c>
      <c r="D55" s="33" t="s">
        <v>8</v>
      </c>
      <c r="E55" s="22" t="s">
        <v>9</v>
      </c>
      <c r="F55" s="24" t="s">
        <v>10</v>
      </c>
      <c r="G55" s="23" t="s">
        <v>11</v>
      </c>
      <c r="H55" s="25" t="s">
        <v>12</v>
      </c>
      <c r="J55" s="28" t="s">
        <v>4</v>
      </c>
      <c r="K55" s="9">
        <v>46028</v>
      </c>
      <c r="L55" s="66">
        <v>46030</v>
      </c>
      <c r="M55" s="66">
        <v>46032</v>
      </c>
      <c r="N55" s="66">
        <v>46035</v>
      </c>
      <c r="O55" s="66">
        <v>46037</v>
      </c>
      <c r="P55" s="66">
        <v>46039</v>
      </c>
      <c r="Q55" s="4"/>
      <c r="R55" s="4"/>
      <c r="S55" s="4"/>
      <c r="T55" s="4"/>
      <c r="U55" s="5"/>
      <c r="Y55" s="6" t="s">
        <v>4</v>
      </c>
      <c r="Z55" s="9"/>
      <c r="AA55" s="4"/>
      <c r="AB55" s="4"/>
      <c r="AC55" s="4"/>
      <c r="AD55" s="4"/>
      <c r="AE55" s="5"/>
      <c r="AH55" s="6" t="s">
        <v>4</v>
      </c>
      <c r="AI55" s="9"/>
      <c r="AJ55" s="4"/>
      <c r="AK55" s="4"/>
      <c r="AL55" s="4"/>
      <c r="AM55" s="4"/>
      <c r="AN55" s="5"/>
    </row>
    <row r="56" spans="1:40" ht="15.75" thickBot="1" x14ac:dyDescent="0.3">
      <c r="A56" s="97"/>
      <c r="B56" s="26">
        <v>8928</v>
      </c>
      <c r="C56" s="27">
        <v>9908</v>
      </c>
      <c r="D56" s="27">
        <v>9908</v>
      </c>
      <c r="E56" s="27">
        <v>10858</v>
      </c>
      <c r="F56" s="27">
        <f>SUM(C56-B56)</f>
        <v>980</v>
      </c>
      <c r="G56" s="20">
        <f>SUM(E56-D56)</f>
        <v>950</v>
      </c>
      <c r="H56" s="21">
        <f>SUM(F56:G56)</f>
        <v>1930</v>
      </c>
      <c r="J56" s="29" t="s">
        <v>22</v>
      </c>
      <c r="K56" s="10">
        <v>179.43</v>
      </c>
      <c r="L56" s="11">
        <v>160.69999999999999</v>
      </c>
      <c r="M56" s="11">
        <v>97.49</v>
      </c>
      <c r="N56" s="11">
        <v>79.400000000000006</v>
      </c>
      <c r="O56" s="11">
        <v>120.77</v>
      </c>
      <c r="P56" s="11">
        <v>150.22</v>
      </c>
      <c r="Q56" s="11"/>
      <c r="R56" s="11"/>
      <c r="S56" s="11"/>
      <c r="T56" s="11"/>
      <c r="U56" s="12"/>
      <c r="Y56" s="7" t="s">
        <v>22</v>
      </c>
      <c r="Z56" s="10"/>
      <c r="AA56" s="11"/>
      <c r="AB56" s="11"/>
      <c r="AC56" s="11"/>
      <c r="AD56" s="11"/>
      <c r="AE56" s="12"/>
      <c r="AH56" s="7" t="s">
        <v>22</v>
      </c>
      <c r="AI56" s="10"/>
      <c r="AJ56" s="11"/>
      <c r="AK56" s="11"/>
      <c r="AL56" s="11"/>
      <c r="AM56" s="11"/>
      <c r="AN56" s="12"/>
    </row>
    <row r="57" spans="1:40" x14ac:dyDescent="0.25">
      <c r="J57" s="8"/>
      <c r="T57" s="8" t="s">
        <v>23</v>
      </c>
      <c r="U57" s="13">
        <f>SUM(K56:U56)</f>
        <v>788.01</v>
      </c>
      <c r="AD57" s="8" t="s">
        <v>23</v>
      </c>
      <c r="AE57" s="13">
        <f>SUM(Z56:AE56)</f>
        <v>0</v>
      </c>
      <c r="AM57" s="8" t="s">
        <v>23</v>
      </c>
      <c r="AN57" s="13">
        <f>SUM(AI56:AN56)</f>
        <v>0</v>
      </c>
    </row>
  </sheetData>
  <mergeCells count="72">
    <mergeCell ref="A51:A52"/>
    <mergeCell ref="B42:H42"/>
    <mergeCell ref="J42:U42"/>
    <mergeCell ref="Y42:AE42"/>
    <mergeCell ref="AH42:AN42"/>
    <mergeCell ref="A43:A44"/>
    <mergeCell ref="B46:H46"/>
    <mergeCell ref="J46:U46"/>
    <mergeCell ref="Y46:AE46"/>
    <mergeCell ref="AH46:AN46"/>
    <mergeCell ref="A47:A48"/>
    <mergeCell ref="B50:H50"/>
    <mergeCell ref="J50:U50"/>
    <mergeCell ref="Y50:AE50"/>
    <mergeCell ref="AH50:AN50"/>
    <mergeCell ref="A39:A40"/>
    <mergeCell ref="B30:H30"/>
    <mergeCell ref="J30:U30"/>
    <mergeCell ref="Y30:AE30"/>
    <mergeCell ref="AH30:AN30"/>
    <mergeCell ref="A31:A32"/>
    <mergeCell ref="B34:H34"/>
    <mergeCell ref="J34:U34"/>
    <mergeCell ref="Y34:AE34"/>
    <mergeCell ref="AH34:AN34"/>
    <mergeCell ref="A35:A36"/>
    <mergeCell ref="B38:H38"/>
    <mergeCell ref="J38:U38"/>
    <mergeCell ref="Y38:AE38"/>
    <mergeCell ref="AH38:AN38"/>
    <mergeCell ref="A27:A28"/>
    <mergeCell ref="B18:H18"/>
    <mergeCell ref="J18:U18"/>
    <mergeCell ref="Y18:AE18"/>
    <mergeCell ref="AH18:AN18"/>
    <mergeCell ref="A19:A20"/>
    <mergeCell ref="B22:H22"/>
    <mergeCell ref="J22:U22"/>
    <mergeCell ref="Y22:AE22"/>
    <mergeCell ref="AH22:AN22"/>
    <mergeCell ref="A23:A24"/>
    <mergeCell ref="B26:H26"/>
    <mergeCell ref="J26:U26"/>
    <mergeCell ref="Y26:AE26"/>
    <mergeCell ref="AH26:AN26"/>
    <mergeCell ref="A15:A16"/>
    <mergeCell ref="Y8:AE8"/>
    <mergeCell ref="AH8:AN8"/>
    <mergeCell ref="B10:H10"/>
    <mergeCell ref="J10:U10"/>
    <mergeCell ref="Y10:AE10"/>
    <mergeCell ref="AH10:AN10"/>
    <mergeCell ref="J8:U8"/>
    <mergeCell ref="A11:A12"/>
    <mergeCell ref="B14:H14"/>
    <mergeCell ref="J14:U14"/>
    <mergeCell ref="Y14:AE14"/>
    <mergeCell ref="AH14:AN14"/>
    <mergeCell ref="B2:C2"/>
    <mergeCell ref="E2:F2"/>
    <mergeCell ref="B5:C5"/>
    <mergeCell ref="E5:F5"/>
    <mergeCell ref="A8:H8"/>
    <mergeCell ref="B4:C4"/>
    <mergeCell ref="E4:F4"/>
    <mergeCell ref="E3:F3"/>
    <mergeCell ref="B3:C3"/>
    <mergeCell ref="B54:H54"/>
    <mergeCell ref="J54:U54"/>
    <mergeCell ref="Y54:AE54"/>
    <mergeCell ref="AH54:AN54"/>
    <mergeCell ref="A55:A56"/>
  </mergeCells>
  <phoneticPr fontId="3" type="noConversion"/>
  <pageMargins left="0.511811024" right="0.511811024" top="0.78740157499999996" bottom="0.78740157499999996" header="0.31496062000000002" footer="0.31496062000000002"/>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N92"/>
  <sheetViews>
    <sheetView showGridLines="0" workbookViewId="0">
      <selection activeCell="I42" sqref="I4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42578125" bestFit="1" customWidth="1"/>
    <col min="12" max="12" width="10.5703125" bestFit="1" customWidth="1"/>
    <col min="13" max="16" width="10.42578125" bestFit="1" customWidth="1"/>
    <col min="21" max="21" width="12.140625" bestFit="1" customWidth="1"/>
    <col min="37" max="39" width="10.140625" bestFit="1" customWidth="1"/>
  </cols>
  <sheetData>
    <row r="2" spans="1:40" x14ac:dyDescent="0.25">
      <c r="A2" t="s">
        <v>0</v>
      </c>
      <c r="B2" s="94" t="s">
        <v>82</v>
      </c>
      <c r="C2" s="94"/>
      <c r="D2" s="1" t="s">
        <v>1</v>
      </c>
      <c r="E2" s="94" t="s">
        <v>117</v>
      </c>
      <c r="F2" s="94"/>
      <c r="G2" s="1"/>
      <c r="H2" s="1" t="s">
        <v>91</v>
      </c>
      <c r="I2" s="75">
        <v>3000</v>
      </c>
    </row>
    <row r="3" spans="1:40" x14ac:dyDescent="0.25">
      <c r="A3" t="s">
        <v>79</v>
      </c>
      <c r="B3" s="108">
        <v>45922</v>
      </c>
      <c r="C3" s="94"/>
      <c r="D3" s="1" t="s">
        <v>1</v>
      </c>
      <c r="E3" s="94" t="s">
        <v>120</v>
      </c>
      <c r="F3" s="94"/>
      <c r="G3" s="1"/>
      <c r="H3" s="1" t="s">
        <v>80</v>
      </c>
      <c r="I3" s="70" t="s">
        <v>82</v>
      </c>
    </row>
    <row r="4" spans="1:40" x14ac:dyDescent="0.25">
      <c r="A4" t="s">
        <v>2</v>
      </c>
      <c r="B4" s="95">
        <v>7553</v>
      </c>
      <c r="C4" s="95"/>
      <c r="D4" s="1" t="s">
        <v>29</v>
      </c>
      <c r="E4" s="110">
        <v>45</v>
      </c>
      <c r="F4" s="110"/>
      <c r="G4" s="1"/>
      <c r="H4" s="1" t="s">
        <v>118</v>
      </c>
      <c r="I4" s="76">
        <v>45915</v>
      </c>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87" t="s">
        <v>122</v>
      </c>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v>36477</v>
      </c>
      <c r="E39" s="27">
        <v>37271</v>
      </c>
      <c r="F39" s="27">
        <f>SUM(C39-B39)</f>
        <v>0</v>
      </c>
      <c r="G39" s="20">
        <f>SUM(E39-D39)</f>
        <v>794</v>
      </c>
      <c r="H39" s="21">
        <f>SUM(F39:G39)</f>
        <v>794</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87" t="s">
        <v>123</v>
      </c>
      <c r="B41" s="99" t="s">
        <v>18</v>
      </c>
      <c r="C41" s="99"/>
      <c r="D41" s="99"/>
      <c r="E41" s="99"/>
      <c r="F41" s="99"/>
      <c r="G41" s="99"/>
      <c r="H41" s="99"/>
      <c r="J41" s="100" t="s">
        <v>18</v>
      </c>
      <c r="K41" s="100"/>
      <c r="L41" s="100"/>
      <c r="M41" s="100"/>
      <c r="N41" s="100"/>
      <c r="O41" s="100"/>
      <c r="P41" s="100"/>
      <c r="Q41" s="100"/>
      <c r="R41" s="100"/>
      <c r="S41" s="100"/>
      <c r="T41" s="100"/>
      <c r="U41" s="100"/>
      <c r="Y41" s="101" t="str">
        <f>J41</f>
        <v>Setembro</v>
      </c>
      <c r="Z41" s="101"/>
      <c r="AA41" s="101"/>
      <c r="AB41" s="101"/>
      <c r="AC41" s="101"/>
      <c r="AD41" s="101"/>
      <c r="AE41" s="101"/>
      <c r="AH41" s="102" t="str">
        <f>Y41</f>
        <v>Setembro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6">
        <v>6209</v>
      </c>
      <c r="E43" s="27">
        <v>7257</v>
      </c>
      <c r="F43" s="27">
        <f>SUM(C43-B43)</f>
        <v>0</v>
      </c>
      <c r="G43" s="20">
        <f>SUM(E43-D43)</f>
        <v>1048</v>
      </c>
      <c r="H43" s="21">
        <f>SUM(F43:G43)</f>
        <v>1048</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9" t="s">
        <v>19</v>
      </c>
      <c r="C45" s="99"/>
      <c r="D45" s="99"/>
      <c r="E45" s="99"/>
      <c r="F45" s="99"/>
      <c r="G45" s="99"/>
      <c r="H45" s="99"/>
      <c r="J45" s="100" t="s">
        <v>19</v>
      </c>
      <c r="K45" s="100"/>
      <c r="L45" s="100"/>
      <c r="M45" s="100"/>
      <c r="N45" s="100"/>
      <c r="O45" s="100"/>
      <c r="P45" s="100"/>
      <c r="Q45" s="100"/>
      <c r="R45" s="100"/>
      <c r="S45" s="100"/>
      <c r="T45" s="100"/>
      <c r="U45" s="100"/>
      <c r="Y45" s="101" t="str">
        <f>J45</f>
        <v>Outubro</v>
      </c>
      <c r="Z45" s="101"/>
      <c r="AA45" s="101"/>
      <c r="AB45" s="101"/>
      <c r="AC45" s="101"/>
      <c r="AD45" s="101"/>
      <c r="AE45" s="101"/>
      <c r="AH45" s="102" t="str">
        <f>Y45</f>
        <v>Outubro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v>45944</v>
      </c>
      <c r="L46" s="66">
        <v>45948</v>
      </c>
      <c r="M46" s="66">
        <v>45955</v>
      </c>
      <c r="N46" s="66">
        <v>45961</v>
      </c>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7">
        <v>7257</v>
      </c>
      <c r="C47" s="27">
        <v>8965</v>
      </c>
      <c r="D47" s="27">
        <v>8965</v>
      </c>
      <c r="E47" s="27">
        <v>10245</v>
      </c>
      <c r="F47" s="27">
        <f>SUM(C47-B47)</f>
        <v>1708</v>
      </c>
      <c r="G47" s="20">
        <f>SUM(E47-D47)</f>
        <v>1280</v>
      </c>
      <c r="H47" s="21">
        <f>SUM(F47:G47)</f>
        <v>2988</v>
      </c>
      <c r="J47" s="7" t="s">
        <v>22</v>
      </c>
      <c r="K47" s="10">
        <v>392.95</v>
      </c>
      <c r="L47" s="11">
        <v>328.34</v>
      </c>
      <c r="M47" s="11">
        <v>321.58999999999997</v>
      </c>
      <c r="N47" s="11">
        <v>426.45</v>
      </c>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1469.33</v>
      </c>
      <c r="AD48" s="8" t="s">
        <v>23</v>
      </c>
      <c r="AE48" s="13">
        <f>SUM(Z47:AE47)</f>
        <v>0</v>
      </c>
      <c r="AM48" s="8" t="s">
        <v>23</v>
      </c>
      <c r="AN48" s="13">
        <f>SUM(AI47:AN47)</f>
        <v>0</v>
      </c>
    </row>
    <row r="49" spans="1:40" ht="15.75" thickBot="1" x14ac:dyDescent="0.3">
      <c r="A49" s="19"/>
      <c r="B49" s="99" t="s">
        <v>20</v>
      </c>
      <c r="C49" s="99"/>
      <c r="D49" s="99"/>
      <c r="E49" s="99"/>
      <c r="F49" s="99"/>
      <c r="G49" s="99"/>
      <c r="H49" s="99"/>
      <c r="J49" s="100" t="s">
        <v>20</v>
      </c>
      <c r="K49" s="100"/>
      <c r="L49" s="100"/>
      <c r="M49" s="100"/>
      <c r="N49" s="100"/>
      <c r="O49" s="100"/>
      <c r="P49" s="100"/>
      <c r="Q49" s="100"/>
      <c r="R49" s="100"/>
      <c r="S49" s="100"/>
      <c r="T49" s="100"/>
      <c r="U49" s="100"/>
      <c r="Y49" s="101" t="str">
        <f>J49</f>
        <v>Novembro</v>
      </c>
      <c r="Z49" s="101"/>
      <c r="AA49" s="101"/>
      <c r="AB49" s="101"/>
      <c r="AC49" s="101"/>
      <c r="AD49" s="101"/>
      <c r="AE49" s="101"/>
      <c r="AH49" s="102" t="str">
        <f>Y49</f>
        <v>Novembro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v>45967</v>
      </c>
      <c r="L50" s="66">
        <v>45974</v>
      </c>
      <c r="M50" s="66">
        <v>45979</v>
      </c>
      <c r="N50" s="66">
        <v>45983</v>
      </c>
      <c r="O50" s="66">
        <v>45988</v>
      </c>
      <c r="P50" s="66">
        <v>45990</v>
      </c>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7">
        <v>10245</v>
      </c>
      <c r="C51" s="27">
        <v>11589</v>
      </c>
      <c r="D51" s="27">
        <v>11589</v>
      </c>
      <c r="E51" s="27">
        <v>13088</v>
      </c>
      <c r="F51" s="27">
        <f>SUM(C51-B51)</f>
        <v>1344</v>
      </c>
      <c r="G51" s="20">
        <f>SUM(E51-D51)</f>
        <v>1499</v>
      </c>
      <c r="H51" s="21">
        <f>SUM(F51:G51)</f>
        <v>2843</v>
      </c>
      <c r="J51" s="7" t="s">
        <v>22</v>
      </c>
      <c r="K51" s="10">
        <v>270</v>
      </c>
      <c r="L51" s="11">
        <v>435.15</v>
      </c>
      <c r="M51" s="11">
        <v>253.86</v>
      </c>
      <c r="N51" s="11">
        <v>293.02999999999997</v>
      </c>
      <c r="O51" s="11">
        <v>272.22000000000003</v>
      </c>
      <c r="P51" s="11">
        <v>258.10000000000002</v>
      </c>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1782.3600000000001</v>
      </c>
      <c r="AD52" s="8" t="s">
        <v>23</v>
      </c>
      <c r="AE52" s="13">
        <f>SUM(Z51:AE51)</f>
        <v>0</v>
      </c>
      <c r="AM52" s="8" t="s">
        <v>23</v>
      </c>
      <c r="AN52" s="13">
        <f>SUM(AI51:AN51)</f>
        <v>0</v>
      </c>
    </row>
    <row r="53" spans="1:40" ht="15.75" thickBot="1" x14ac:dyDescent="0.3">
      <c r="A53" s="19"/>
      <c r="B53" s="99" t="s">
        <v>21</v>
      </c>
      <c r="C53" s="99"/>
      <c r="D53" s="99"/>
      <c r="E53" s="99"/>
      <c r="F53" s="99"/>
      <c r="G53" s="99"/>
      <c r="H53" s="99"/>
      <c r="J53" s="100" t="s">
        <v>21</v>
      </c>
      <c r="K53" s="100"/>
      <c r="L53" s="100"/>
      <c r="M53" s="100"/>
      <c r="N53" s="100"/>
      <c r="O53" s="100"/>
      <c r="P53" s="100"/>
      <c r="Q53" s="100"/>
      <c r="R53" s="100"/>
      <c r="S53" s="100"/>
      <c r="T53" s="100"/>
      <c r="U53" s="100"/>
      <c r="W53" s="101" t="str">
        <f>J53</f>
        <v>Dezembro</v>
      </c>
      <c r="X53" s="101"/>
      <c r="Y53" s="101"/>
      <c r="Z53" s="101"/>
      <c r="AA53" s="101"/>
      <c r="AB53" s="101"/>
      <c r="AC53" s="101"/>
      <c r="AE53" s="102" t="str">
        <f>W53</f>
        <v>Dezembro</v>
      </c>
      <c r="AF53" s="102"/>
      <c r="AG53" s="102"/>
      <c r="AH53" s="102"/>
      <c r="AI53" s="102"/>
      <c r="AJ53" s="102"/>
      <c r="AK53" s="102"/>
    </row>
    <row r="54" spans="1:40" ht="15.75" thickBot="1" x14ac:dyDescent="0.3">
      <c r="A54" s="97" t="s">
        <v>5</v>
      </c>
      <c r="B54" s="34" t="s">
        <v>6</v>
      </c>
      <c r="C54" s="22" t="s">
        <v>7</v>
      </c>
      <c r="D54" s="33" t="s">
        <v>8</v>
      </c>
      <c r="E54" s="22" t="s">
        <v>9</v>
      </c>
      <c r="F54" s="24" t="s">
        <v>10</v>
      </c>
      <c r="G54" s="23" t="s">
        <v>11</v>
      </c>
      <c r="H54" s="25" t="s">
        <v>12</v>
      </c>
      <c r="J54" s="6" t="s">
        <v>4</v>
      </c>
      <c r="K54" s="9">
        <v>45997</v>
      </c>
      <c r="L54" s="66">
        <v>46002</v>
      </c>
      <c r="M54" s="4"/>
      <c r="N54" s="4"/>
      <c r="O54" s="4"/>
      <c r="P54" s="4"/>
      <c r="Q54" s="4"/>
      <c r="R54" s="4"/>
      <c r="S54" s="4"/>
      <c r="T54" s="4"/>
      <c r="U54" s="5"/>
      <c r="W54" s="6" t="s">
        <v>4</v>
      </c>
      <c r="X54" s="9"/>
      <c r="Y54" s="4"/>
      <c r="Z54" s="4"/>
      <c r="AA54" s="4"/>
      <c r="AB54" s="4"/>
      <c r="AC54" s="5"/>
      <c r="AE54" s="6" t="s">
        <v>4</v>
      </c>
      <c r="AF54" s="9"/>
      <c r="AG54" s="4"/>
      <c r="AH54" s="4"/>
      <c r="AI54" s="4"/>
      <c r="AJ54" s="4"/>
      <c r="AK54" s="5"/>
    </row>
    <row r="55" spans="1:40" ht="15.75" thickBot="1" x14ac:dyDescent="0.3">
      <c r="A55" s="97"/>
      <c r="B55" s="26">
        <v>13088</v>
      </c>
      <c r="C55" s="27">
        <v>14533</v>
      </c>
      <c r="D55" s="27">
        <v>14533</v>
      </c>
      <c r="E55" s="27">
        <v>15417</v>
      </c>
      <c r="F55" s="27">
        <f>SUM(C55-B55)</f>
        <v>1445</v>
      </c>
      <c r="G55" s="20">
        <f>SUM(E55-D55)</f>
        <v>884</v>
      </c>
      <c r="H55" s="21">
        <f>SUM(F55:G55)</f>
        <v>2329</v>
      </c>
      <c r="J55" s="7" t="s">
        <v>22</v>
      </c>
      <c r="K55" s="10">
        <v>355.54</v>
      </c>
      <c r="L55" s="11">
        <v>328.35</v>
      </c>
      <c r="M55" s="11"/>
      <c r="N55" s="11"/>
      <c r="O55" s="11"/>
      <c r="P55" s="11"/>
      <c r="Q55" s="11"/>
      <c r="R55" s="11"/>
      <c r="S55" s="11"/>
      <c r="T55" s="11"/>
      <c r="U55" s="12"/>
      <c r="W55" s="7" t="s">
        <v>22</v>
      </c>
      <c r="X55" s="10"/>
      <c r="Y55" s="11"/>
      <c r="Z55" s="11"/>
      <c r="AA55" s="11"/>
      <c r="AB55" s="11"/>
      <c r="AC55" s="12"/>
      <c r="AE55" s="7" t="s">
        <v>22</v>
      </c>
      <c r="AF55" s="10"/>
      <c r="AG55" s="11"/>
      <c r="AH55" s="11"/>
      <c r="AI55" s="11"/>
      <c r="AJ55" s="11"/>
      <c r="AK55" s="12"/>
    </row>
    <row r="56" spans="1:40" x14ac:dyDescent="0.25">
      <c r="J56" s="8"/>
      <c r="T56" s="8" t="s">
        <v>23</v>
      </c>
      <c r="U56" s="13">
        <f>SUM(K55:U55)</f>
        <v>683.8900000000001</v>
      </c>
      <c r="AB56" s="8" t="s">
        <v>23</v>
      </c>
      <c r="AC56" s="13">
        <f>SUM(X55:AC55)</f>
        <v>0</v>
      </c>
      <c r="AJ56" s="8" t="s">
        <v>23</v>
      </c>
      <c r="AK56" s="13">
        <f>SUM(AF55:AK55)</f>
        <v>0</v>
      </c>
    </row>
    <row r="57" spans="1:40" ht="15.75" thickBot="1" x14ac:dyDescent="0.3">
      <c r="A57" s="19">
        <v>2026</v>
      </c>
      <c r="B57" s="99" t="s">
        <v>134</v>
      </c>
      <c r="C57" s="99"/>
      <c r="D57" s="99"/>
      <c r="E57" s="99"/>
      <c r="F57" s="99"/>
      <c r="G57" s="99"/>
      <c r="H57" s="99"/>
      <c r="J57" s="100" t="s">
        <v>134</v>
      </c>
      <c r="K57" s="100"/>
      <c r="L57" s="100"/>
      <c r="M57" s="100"/>
      <c r="N57" s="100"/>
      <c r="O57" s="100"/>
      <c r="P57" s="100"/>
      <c r="Q57" s="100"/>
      <c r="R57" s="100"/>
      <c r="S57" s="100"/>
      <c r="T57" s="100"/>
      <c r="U57" s="100"/>
      <c r="Y57" s="101" t="s">
        <v>134</v>
      </c>
      <c r="Z57" s="101"/>
      <c r="AA57" s="101"/>
      <c r="AB57" s="101"/>
      <c r="AC57" s="101"/>
      <c r="AD57" s="101"/>
      <c r="AE57" s="101"/>
      <c r="AH57" s="102" t="s">
        <v>134</v>
      </c>
      <c r="AI57" s="102"/>
      <c r="AJ57" s="102"/>
      <c r="AK57" s="102"/>
      <c r="AL57" s="102"/>
      <c r="AM57" s="102"/>
      <c r="AN57" s="102"/>
    </row>
    <row r="58" spans="1:40" ht="15.75" thickBot="1" x14ac:dyDescent="0.3">
      <c r="A58" s="97" t="s">
        <v>5</v>
      </c>
      <c r="B58" s="34" t="s">
        <v>6</v>
      </c>
      <c r="C58" s="22" t="s">
        <v>7</v>
      </c>
      <c r="D58" s="33" t="s">
        <v>8</v>
      </c>
      <c r="E58" s="22" t="s">
        <v>9</v>
      </c>
      <c r="F58" s="24" t="s">
        <v>10</v>
      </c>
      <c r="G58" s="23" t="s">
        <v>11</v>
      </c>
      <c r="H58" s="25" t="s">
        <v>12</v>
      </c>
      <c r="J58" s="28" t="s">
        <v>4</v>
      </c>
      <c r="K58" s="9"/>
      <c r="L58" s="4"/>
      <c r="M58" s="4"/>
      <c r="N58" s="4"/>
      <c r="O58" s="4"/>
      <c r="P58" s="4"/>
      <c r="Q58" s="4"/>
      <c r="R58" s="4"/>
      <c r="S58" s="4"/>
      <c r="T58" s="4"/>
      <c r="U58" s="5"/>
      <c r="Y58" s="6" t="s">
        <v>4</v>
      </c>
      <c r="Z58" s="9"/>
      <c r="AA58" s="4"/>
      <c r="AB58" s="4"/>
      <c r="AC58" s="4"/>
      <c r="AD58" s="4"/>
      <c r="AE58" s="5"/>
      <c r="AH58" s="6" t="s">
        <v>4</v>
      </c>
      <c r="AI58" s="9"/>
      <c r="AJ58" s="4"/>
      <c r="AK58" s="4"/>
      <c r="AL58" s="4"/>
      <c r="AM58" s="4"/>
      <c r="AN58" s="5"/>
    </row>
    <row r="59" spans="1:40" ht="15.75" thickBot="1" x14ac:dyDescent="0.3">
      <c r="A59" s="97"/>
      <c r="B59" s="26">
        <v>15417</v>
      </c>
      <c r="C59" s="27">
        <v>16934</v>
      </c>
      <c r="D59" s="27"/>
      <c r="E59" s="27"/>
      <c r="F59" s="27">
        <f>SUM(C59-B59)</f>
        <v>1517</v>
      </c>
      <c r="G59" s="20">
        <f>SUM(E59-D59)</f>
        <v>0</v>
      </c>
      <c r="H59" s="21">
        <f>SUM(F59:G59)</f>
        <v>1517</v>
      </c>
      <c r="J59" s="29" t="s">
        <v>22</v>
      </c>
      <c r="K59" s="10"/>
      <c r="L59" s="11"/>
      <c r="M59" s="11"/>
      <c r="N59" s="11"/>
      <c r="O59" s="11"/>
      <c r="P59" s="11"/>
      <c r="Q59" s="11"/>
      <c r="R59" s="11"/>
      <c r="S59" s="11"/>
      <c r="T59" s="11"/>
      <c r="U59" s="12"/>
      <c r="Y59" s="7" t="s">
        <v>22</v>
      </c>
      <c r="Z59" s="10"/>
      <c r="AA59" s="11"/>
      <c r="AB59" s="11"/>
      <c r="AC59" s="11"/>
      <c r="AD59" s="11"/>
      <c r="AE59" s="12"/>
      <c r="AH59" s="7" t="s">
        <v>22</v>
      </c>
      <c r="AI59" s="10"/>
      <c r="AJ59" s="11"/>
      <c r="AK59" s="11"/>
      <c r="AL59" s="11"/>
      <c r="AM59" s="11"/>
      <c r="AN59" s="12"/>
    </row>
    <row r="60" spans="1:40" x14ac:dyDescent="0.25">
      <c r="J60" s="8"/>
      <c r="T60" s="8" t="s">
        <v>23</v>
      </c>
      <c r="U60" s="13">
        <f>SUM(K59:U59)</f>
        <v>0</v>
      </c>
      <c r="AD60" s="8" t="s">
        <v>23</v>
      </c>
      <c r="AE60" s="13">
        <f>SUM(Z59:AE59)</f>
        <v>0</v>
      </c>
      <c r="AM60" s="8" t="s">
        <v>23</v>
      </c>
      <c r="AN60" s="13">
        <f>SUM(AI59:AN59)</f>
        <v>0</v>
      </c>
    </row>
    <row r="61" spans="1:40" ht="15.75" thickBot="1" x14ac:dyDescent="0.3">
      <c r="A61" s="19"/>
      <c r="B61" s="99" t="s">
        <v>3</v>
      </c>
      <c r="C61" s="99"/>
      <c r="D61" s="99"/>
      <c r="E61" s="99"/>
      <c r="F61" s="99"/>
      <c r="G61" s="99"/>
      <c r="H61" s="99"/>
      <c r="J61" s="100" t="s">
        <v>3</v>
      </c>
      <c r="K61" s="100"/>
      <c r="L61" s="100"/>
      <c r="M61" s="100"/>
      <c r="N61" s="100"/>
      <c r="O61" s="100"/>
      <c r="P61" s="100"/>
      <c r="Q61" s="100"/>
      <c r="R61" s="100"/>
      <c r="S61" s="100"/>
      <c r="T61" s="100"/>
      <c r="U61" s="100"/>
      <c r="Y61" s="101" t="s">
        <v>3</v>
      </c>
      <c r="Z61" s="101"/>
      <c r="AA61" s="101"/>
      <c r="AB61" s="101"/>
      <c r="AC61" s="101"/>
      <c r="AD61" s="101"/>
      <c r="AE61" s="101"/>
      <c r="AH61" s="102" t="s">
        <v>3</v>
      </c>
      <c r="AI61" s="102"/>
      <c r="AJ61" s="102"/>
      <c r="AK61" s="102"/>
      <c r="AL61" s="102"/>
      <c r="AM61" s="102"/>
      <c r="AN61" s="102"/>
    </row>
    <row r="62" spans="1:40" ht="15.75" thickBot="1" x14ac:dyDescent="0.3">
      <c r="A62" s="97" t="s">
        <v>5</v>
      </c>
      <c r="B62" s="34" t="s">
        <v>6</v>
      </c>
      <c r="C62" s="22" t="s">
        <v>7</v>
      </c>
      <c r="D62" s="33" t="s">
        <v>8</v>
      </c>
      <c r="E62" s="22" t="s">
        <v>9</v>
      </c>
      <c r="F62" s="24" t="s">
        <v>10</v>
      </c>
      <c r="G62" s="23" t="s">
        <v>11</v>
      </c>
      <c r="H62" s="25" t="s">
        <v>12</v>
      </c>
      <c r="J62" s="28" t="s">
        <v>4</v>
      </c>
      <c r="K62" s="9"/>
      <c r="L62" s="4"/>
      <c r="M62" s="4"/>
      <c r="N62" s="4"/>
      <c r="O62" s="4"/>
      <c r="P62" s="4"/>
      <c r="Q62" s="4"/>
      <c r="R62" s="4"/>
      <c r="S62" s="4"/>
      <c r="T62" s="4"/>
      <c r="U62" s="5"/>
      <c r="Y62" s="6" t="s">
        <v>4</v>
      </c>
      <c r="Z62" s="9"/>
      <c r="AA62" s="4"/>
      <c r="AB62" s="4"/>
      <c r="AC62" s="4"/>
      <c r="AD62" s="4"/>
      <c r="AE62" s="5"/>
      <c r="AH62" s="6" t="s">
        <v>4</v>
      </c>
      <c r="AI62" s="9"/>
      <c r="AJ62" s="4"/>
      <c r="AK62" s="4"/>
      <c r="AL62" s="4"/>
      <c r="AM62" s="4"/>
      <c r="AN62" s="5"/>
    </row>
    <row r="63" spans="1:40" ht="15.75" thickBot="1" x14ac:dyDescent="0.3">
      <c r="A63" s="97"/>
      <c r="B63" s="26"/>
      <c r="C63" s="27"/>
      <c r="D63" s="27"/>
      <c r="E63" s="27"/>
      <c r="F63" s="27">
        <f>SUM(C63-B63)</f>
        <v>0</v>
      </c>
      <c r="G63" s="20">
        <f>SUM(E63-D63)</f>
        <v>0</v>
      </c>
      <c r="H63" s="21">
        <f>SUM(F63:G63)</f>
        <v>0</v>
      </c>
      <c r="J63" s="29" t="s">
        <v>22</v>
      </c>
      <c r="K63" s="10"/>
      <c r="L63" s="11"/>
      <c r="M63" s="11"/>
      <c r="N63" s="11"/>
      <c r="O63" s="11"/>
      <c r="P63" s="11"/>
      <c r="Q63" s="11"/>
      <c r="R63" s="11"/>
      <c r="S63" s="11"/>
      <c r="T63" s="11"/>
      <c r="U63" s="12"/>
      <c r="Y63" s="7" t="s">
        <v>22</v>
      </c>
      <c r="Z63" s="10"/>
      <c r="AA63" s="11"/>
      <c r="AB63" s="11"/>
      <c r="AC63" s="11"/>
      <c r="AD63" s="11"/>
      <c r="AE63" s="12"/>
      <c r="AH63" s="7" t="s">
        <v>22</v>
      </c>
      <c r="AI63" s="10"/>
      <c r="AJ63" s="11"/>
      <c r="AK63" s="11"/>
      <c r="AL63" s="11"/>
      <c r="AM63" s="11"/>
      <c r="AN63" s="12"/>
    </row>
    <row r="64" spans="1:40" x14ac:dyDescent="0.25">
      <c r="J64" s="8"/>
      <c r="T64" s="8" t="s">
        <v>23</v>
      </c>
      <c r="U64" s="13">
        <f>SUM(K63:U63)</f>
        <v>0</v>
      </c>
      <c r="AD64" s="8" t="s">
        <v>23</v>
      </c>
      <c r="AE64" s="13">
        <f>SUM(Z63:AE63)</f>
        <v>0</v>
      </c>
      <c r="AM64" s="8" t="s">
        <v>23</v>
      </c>
      <c r="AN64" s="13">
        <f>SUM(AI63:AN63)</f>
        <v>0</v>
      </c>
    </row>
    <row r="65" spans="1:40" ht="15.75" thickBot="1" x14ac:dyDescent="0.3">
      <c r="A65" s="19"/>
      <c r="B65" s="99" t="s">
        <v>13</v>
      </c>
      <c r="C65" s="99"/>
      <c r="D65" s="99"/>
      <c r="E65" s="99"/>
      <c r="F65" s="99"/>
      <c r="G65" s="99"/>
      <c r="H65" s="99"/>
      <c r="J65" s="100" t="s">
        <v>13</v>
      </c>
      <c r="K65" s="100"/>
      <c r="L65" s="100"/>
      <c r="M65" s="100"/>
      <c r="N65" s="100"/>
      <c r="O65" s="100"/>
      <c r="P65" s="100"/>
      <c r="Q65" s="100"/>
      <c r="R65" s="100"/>
      <c r="S65" s="100"/>
      <c r="T65" s="100"/>
      <c r="U65" s="100"/>
      <c r="Y65" s="101" t="str">
        <f>J65</f>
        <v>Março</v>
      </c>
      <c r="Z65" s="101"/>
      <c r="AA65" s="101"/>
      <c r="AB65" s="101"/>
      <c r="AC65" s="101"/>
      <c r="AD65" s="101"/>
      <c r="AE65" s="101"/>
      <c r="AH65" s="102" t="str">
        <f>Y65</f>
        <v>Março</v>
      </c>
      <c r="AI65" s="102"/>
      <c r="AJ65" s="102"/>
      <c r="AK65" s="102"/>
      <c r="AL65" s="102"/>
      <c r="AM65" s="102"/>
      <c r="AN65" s="102"/>
    </row>
    <row r="66" spans="1:40" ht="15.75" thickBot="1" x14ac:dyDescent="0.3">
      <c r="A66" s="97"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97"/>
      <c r="B67" s="26"/>
      <c r="C67" s="27"/>
      <c r="D67" s="27"/>
      <c r="E67" s="27"/>
      <c r="F67" s="27">
        <f>SUM(C67-B67)</f>
        <v>0</v>
      </c>
      <c r="G67" s="20">
        <f>SUM(E67-D67)</f>
        <v>0</v>
      </c>
      <c r="H67" s="21">
        <f>SUM(F67:G67)</f>
        <v>0</v>
      </c>
      <c r="J67" s="7" t="s">
        <v>22</v>
      </c>
      <c r="K67" s="10"/>
      <c r="L67" s="11"/>
      <c r="M67" s="11"/>
      <c r="N67" s="11"/>
      <c r="O67" s="11"/>
      <c r="P67" s="11"/>
      <c r="Q67" s="11"/>
      <c r="R67" s="11"/>
      <c r="S67" s="11"/>
      <c r="T67" s="11"/>
      <c r="U67" s="12"/>
      <c r="Y67" s="7" t="s">
        <v>22</v>
      </c>
      <c r="Z67" s="10"/>
      <c r="AA67" s="11"/>
      <c r="AB67" s="11"/>
      <c r="AC67" s="11"/>
      <c r="AD67" s="11"/>
      <c r="AE67" s="12"/>
      <c r="AH67" s="7" t="s">
        <v>22</v>
      </c>
      <c r="AI67" s="10"/>
      <c r="AJ67" s="11"/>
      <c r="AK67" s="11"/>
      <c r="AL67" s="11"/>
      <c r="AM67" s="11"/>
      <c r="AN67" s="12"/>
    </row>
    <row r="68" spans="1:40" x14ac:dyDescent="0.25">
      <c r="J68" s="8"/>
      <c r="T68" s="8" t="s">
        <v>23</v>
      </c>
      <c r="U68" s="13">
        <f>SUM(K67:U67)</f>
        <v>0</v>
      </c>
      <c r="AD68" s="8" t="s">
        <v>23</v>
      </c>
      <c r="AE68" s="13">
        <f>SUM(Z67:AE67)</f>
        <v>0</v>
      </c>
      <c r="AM68" s="8" t="s">
        <v>23</v>
      </c>
      <c r="AN68" s="13">
        <f>SUM(AI67:AN67)</f>
        <v>0</v>
      </c>
    </row>
    <row r="69" spans="1:40" ht="15.75" thickBot="1" x14ac:dyDescent="0.3">
      <c r="A69" s="19"/>
      <c r="B69" s="99" t="s">
        <v>14</v>
      </c>
      <c r="C69" s="99"/>
      <c r="D69" s="99"/>
      <c r="E69" s="99"/>
      <c r="F69" s="99"/>
      <c r="G69" s="99"/>
      <c r="H69" s="99"/>
      <c r="J69" s="100" t="s">
        <v>14</v>
      </c>
      <c r="K69" s="100"/>
      <c r="L69" s="100"/>
      <c r="M69" s="100"/>
      <c r="N69" s="100"/>
      <c r="O69" s="100"/>
      <c r="P69" s="100"/>
      <c r="Q69" s="100"/>
      <c r="R69" s="100"/>
      <c r="S69" s="100"/>
      <c r="T69" s="100"/>
      <c r="U69" s="100"/>
      <c r="Y69" s="101" t="str">
        <f>J69</f>
        <v>Abril</v>
      </c>
      <c r="Z69" s="101"/>
      <c r="AA69" s="101"/>
      <c r="AB69" s="101"/>
      <c r="AC69" s="101"/>
      <c r="AD69" s="101"/>
      <c r="AE69" s="101"/>
      <c r="AH69" s="102" t="str">
        <f>Y69</f>
        <v>Abril</v>
      </c>
      <c r="AI69" s="102"/>
      <c r="AJ69" s="102"/>
      <c r="AK69" s="102"/>
      <c r="AL69" s="102"/>
      <c r="AM69" s="102"/>
      <c r="AN69" s="102"/>
    </row>
    <row r="70" spans="1:40" ht="15.75" thickBot="1" x14ac:dyDescent="0.3">
      <c r="A70" s="97"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97"/>
      <c r="B71" s="26"/>
      <c r="C71" s="27"/>
      <c r="D71" s="27"/>
      <c r="E71" s="27"/>
      <c r="F71" s="27">
        <f>SUM(C71-B71)</f>
        <v>0</v>
      </c>
      <c r="G71" s="20">
        <f>SUM(E71-D71)</f>
        <v>0</v>
      </c>
      <c r="H71" s="21">
        <f>SUM(F71:G71)</f>
        <v>0</v>
      </c>
      <c r="J71" s="7" t="s">
        <v>22</v>
      </c>
      <c r="K71" s="30"/>
      <c r="L71" s="31"/>
      <c r="M71" s="31"/>
      <c r="N71" s="31"/>
      <c r="O71" s="31"/>
      <c r="P71" s="31"/>
      <c r="Q71" s="31"/>
      <c r="R71" s="31"/>
      <c r="S71" s="31"/>
      <c r="T71" s="31"/>
      <c r="U71" s="32"/>
      <c r="Y71" s="7" t="s">
        <v>22</v>
      </c>
      <c r="Z71" s="10"/>
      <c r="AA71" s="11"/>
      <c r="AB71" s="11"/>
      <c r="AC71" s="11"/>
      <c r="AD71" s="11"/>
      <c r="AE71" s="12"/>
      <c r="AH71" s="7" t="s">
        <v>22</v>
      </c>
      <c r="AI71" s="10"/>
      <c r="AJ71" s="11"/>
      <c r="AK71" s="11"/>
      <c r="AL71" s="11"/>
      <c r="AM71" s="11"/>
      <c r="AN71" s="12"/>
    </row>
    <row r="72" spans="1:40" x14ac:dyDescent="0.25">
      <c r="J72" s="8"/>
      <c r="T72" s="8" t="s">
        <v>23</v>
      </c>
      <c r="U72" s="13">
        <f>SUM(K71:U71)</f>
        <v>0</v>
      </c>
      <c r="AD72" s="8" t="s">
        <v>23</v>
      </c>
      <c r="AE72" s="13">
        <f>SUM(Z71:AE71)</f>
        <v>0</v>
      </c>
      <c r="AM72" s="8" t="s">
        <v>23</v>
      </c>
      <c r="AN72" s="13">
        <f>SUM(AI71:AN71)</f>
        <v>0</v>
      </c>
    </row>
    <row r="73" spans="1:40" ht="15.75" thickBot="1" x14ac:dyDescent="0.3">
      <c r="A73" s="19"/>
      <c r="B73" s="99" t="s">
        <v>15</v>
      </c>
      <c r="C73" s="99"/>
      <c r="D73" s="99"/>
      <c r="E73" s="99"/>
      <c r="F73" s="99"/>
      <c r="G73" s="99"/>
      <c r="H73" s="99"/>
      <c r="J73" s="100" t="s">
        <v>15</v>
      </c>
      <c r="K73" s="100"/>
      <c r="L73" s="100"/>
      <c r="M73" s="100"/>
      <c r="N73" s="100"/>
      <c r="O73" s="100"/>
      <c r="P73" s="100"/>
      <c r="Q73" s="100"/>
      <c r="R73" s="100"/>
      <c r="S73" s="100"/>
      <c r="T73" s="100"/>
      <c r="U73" s="100"/>
      <c r="Y73" s="101" t="str">
        <f>J73</f>
        <v>Maio</v>
      </c>
      <c r="Z73" s="101"/>
      <c r="AA73" s="101"/>
      <c r="AB73" s="101"/>
      <c r="AC73" s="101"/>
      <c r="AD73" s="101"/>
      <c r="AE73" s="101"/>
      <c r="AH73" s="102" t="str">
        <f>Y73</f>
        <v>Maio</v>
      </c>
      <c r="AI73" s="102"/>
      <c r="AJ73" s="102"/>
      <c r="AK73" s="102"/>
      <c r="AL73" s="102"/>
      <c r="AM73" s="102"/>
      <c r="AN73" s="102"/>
    </row>
    <row r="74" spans="1:40" ht="15.75" thickBot="1" x14ac:dyDescent="0.3">
      <c r="A74" s="97"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97"/>
      <c r="B75" s="26"/>
      <c r="C75" s="27"/>
      <c r="D75" s="27"/>
      <c r="E75" s="27"/>
      <c r="F75" s="27">
        <f>SUM(C75-B75)</f>
        <v>0</v>
      </c>
      <c r="G75" s="20">
        <f>SUM(E75-D75)</f>
        <v>0</v>
      </c>
      <c r="H75" s="21">
        <f>SUM(F75:G75)</f>
        <v>0</v>
      </c>
      <c r="J75" s="7" t="s">
        <v>22</v>
      </c>
      <c r="K75" s="10"/>
      <c r="L75" s="11"/>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J76" s="8"/>
      <c r="T76" s="8" t="s">
        <v>23</v>
      </c>
      <c r="U76" s="13">
        <f>SUM(K75:U75)</f>
        <v>0</v>
      </c>
      <c r="AD76" s="8" t="s">
        <v>23</v>
      </c>
      <c r="AE76" s="13">
        <f>SUM(Z75:AE75)</f>
        <v>0</v>
      </c>
      <c r="AM76" s="8" t="s">
        <v>23</v>
      </c>
      <c r="AN76" s="13">
        <f>SUM(AI75:AN75)</f>
        <v>0</v>
      </c>
    </row>
    <row r="77" spans="1:40" ht="15.75" thickBot="1" x14ac:dyDescent="0.3">
      <c r="A77" s="19"/>
      <c r="B77" s="99" t="s">
        <v>24</v>
      </c>
      <c r="C77" s="99"/>
      <c r="D77" s="99"/>
      <c r="E77" s="99"/>
      <c r="F77" s="99"/>
      <c r="G77" s="99"/>
      <c r="H77" s="99"/>
      <c r="J77" s="100" t="s">
        <v>24</v>
      </c>
      <c r="K77" s="100"/>
      <c r="L77" s="100"/>
      <c r="M77" s="100"/>
      <c r="N77" s="100"/>
      <c r="O77" s="100"/>
      <c r="P77" s="100"/>
      <c r="Q77" s="100"/>
      <c r="R77" s="100"/>
      <c r="S77" s="100"/>
      <c r="T77" s="100"/>
      <c r="U77" s="100"/>
      <c r="Y77" s="101" t="str">
        <f>J77</f>
        <v>Junho</v>
      </c>
      <c r="Z77" s="101"/>
      <c r="AA77" s="101"/>
      <c r="AB77" s="101"/>
      <c r="AC77" s="101"/>
      <c r="AD77" s="101"/>
      <c r="AE77" s="101"/>
      <c r="AH77" s="102" t="str">
        <f>Y77</f>
        <v>Junho</v>
      </c>
      <c r="AI77" s="102"/>
      <c r="AJ77" s="102"/>
      <c r="AK77" s="102"/>
      <c r="AL77" s="102"/>
      <c r="AM77" s="102"/>
      <c r="AN77" s="102"/>
    </row>
    <row r="78" spans="1:40" ht="15.75" thickBot="1" x14ac:dyDescent="0.3">
      <c r="A78" s="97"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Y78" s="6" t="s">
        <v>4</v>
      </c>
      <c r="Z78" s="9"/>
      <c r="AA78" s="4"/>
      <c r="AB78" s="4"/>
      <c r="AC78" s="4"/>
      <c r="AD78" s="4"/>
      <c r="AE78" s="5"/>
      <c r="AH78" s="6" t="s">
        <v>4</v>
      </c>
      <c r="AI78" s="9"/>
      <c r="AJ78" s="4"/>
      <c r="AK78" s="4"/>
      <c r="AL78" s="4"/>
      <c r="AM78" s="4"/>
      <c r="AN78" s="5"/>
    </row>
    <row r="79" spans="1:40" ht="15.75" thickBot="1" x14ac:dyDescent="0.3">
      <c r="A79" s="97"/>
      <c r="B79" s="26"/>
      <c r="C79" s="27"/>
      <c r="D79" s="27"/>
      <c r="E79" s="27"/>
      <c r="F79" s="27">
        <f>SUM(C79-B79)</f>
        <v>0</v>
      </c>
      <c r="G79" s="20">
        <f>SUM(E79-D79)</f>
        <v>0</v>
      </c>
      <c r="H79" s="21">
        <f>SUM(F79:G79)</f>
        <v>0</v>
      </c>
      <c r="J79" s="7" t="s">
        <v>22</v>
      </c>
      <c r="K79" s="10"/>
      <c r="L79" s="11"/>
      <c r="M79" s="11"/>
      <c r="N79" s="11"/>
      <c r="O79" s="11"/>
      <c r="P79" s="11"/>
      <c r="Q79" s="11"/>
      <c r="R79" s="11"/>
      <c r="S79" s="11"/>
      <c r="T79" s="11"/>
      <c r="U79" s="12"/>
      <c r="Y79" s="7" t="s">
        <v>22</v>
      </c>
      <c r="Z79" s="10"/>
      <c r="AA79" s="11"/>
      <c r="AB79" s="11"/>
      <c r="AC79" s="11"/>
      <c r="AD79" s="11"/>
      <c r="AE79" s="12"/>
      <c r="AH79" s="7" t="s">
        <v>22</v>
      </c>
      <c r="AI79" s="10"/>
      <c r="AJ79" s="11"/>
      <c r="AK79" s="11"/>
      <c r="AL79" s="11"/>
      <c r="AM79" s="11"/>
      <c r="AN79" s="12"/>
    </row>
    <row r="80" spans="1:40" x14ac:dyDescent="0.25">
      <c r="J80" s="8"/>
      <c r="T80" s="8" t="s">
        <v>23</v>
      </c>
      <c r="U80" s="13">
        <f>SUM(K79:U79)</f>
        <v>0</v>
      </c>
      <c r="AD80" s="8" t="s">
        <v>23</v>
      </c>
      <c r="AE80" s="13">
        <f>SUM(Z79:AE79)</f>
        <v>0</v>
      </c>
      <c r="AM80" s="8" t="s">
        <v>23</v>
      </c>
      <c r="AN80" s="13">
        <f>SUM(AI79:AN79)</f>
        <v>0</v>
      </c>
    </row>
    <row r="81" spans="1:40" ht="15.75" thickBot="1" x14ac:dyDescent="0.3">
      <c r="A81" s="19"/>
      <c r="B81" s="99" t="s">
        <v>16</v>
      </c>
      <c r="C81" s="99"/>
      <c r="D81" s="99"/>
      <c r="E81" s="99"/>
      <c r="F81" s="99"/>
      <c r="G81" s="99"/>
      <c r="H81" s="99"/>
      <c r="J81" s="100" t="s">
        <v>16</v>
      </c>
      <c r="K81" s="100"/>
      <c r="L81" s="100"/>
      <c r="M81" s="100"/>
      <c r="N81" s="100"/>
      <c r="O81" s="100"/>
      <c r="P81" s="100"/>
      <c r="Q81" s="100"/>
      <c r="R81" s="100"/>
      <c r="S81" s="100"/>
      <c r="T81" s="100"/>
      <c r="U81" s="100"/>
      <c r="Y81" s="101" t="str">
        <f>J81</f>
        <v>Julho</v>
      </c>
      <c r="Z81" s="101"/>
      <c r="AA81" s="101"/>
      <c r="AB81" s="101"/>
      <c r="AC81" s="101"/>
      <c r="AD81" s="101"/>
      <c r="AE81" s="101"/>
      <c r="AH81" s="102" t="str">
        <f>Y81</f>
        <v>Julho</v>
      </c>
      <c r="AI81" s="102"/>
      <c r="AJ81" s="102"/>
      <c r="AK81" s="102"/>
      <c r="AL81" s="102"/>
      <c r="AM81" s="102"/>
      <c r="AN81" s="102"/>
    </row>
    <row r="82" spans="1:40" ht="15.75" thickBot="1" x14ac:dyDescent="0.3">
      <c r="A82" s="97"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Y82" s="6" t="s">
        <v>4</v>
      </c>
      <c r="Z82" s="9"/>
      <c r="AA82" s="4"/>
      <c r="AB82" s="4"/>
      <c r="AC82" s="4"/>
      <c r="AD82" s="4"/>
      <c r="AE82" s="5"/>
      <c r="AH82" s="6" t="s">
        <v>4</v>
      </c>
      <c r="AI82" s="9"/>
      <c r="AJ82" s="4"/>
      <c r="AK82" s="4"/>
      <c r="AL82" s="4"/>
      <c r="AM82" s="4"/>
      <c r="AN82" s="5"/>
    </row>
    <row r="83" spans="1:40" ht="15.75" thickBot="1" x14ac:dyDescent="0.3">
      <c r="A83" s="97"/>
      <c r="B83" s="26"/>
      <c r="C83" s="27"/>
      <c r="D83" s="27"/>
      <c r="E83" s="27"/>
      <c r="F83" s="27">
        <f>SUM(C83-B83)</f>
        <v>0</v>
      </c>
      <c r="G83" s="20">
        <f>SUM(E83-D83)</f>
        <v>0</v>
      </c>
      <c r="H83" s="21">
        <f>SUM(F83:G83)</f>
        <v>0</v>
      </c>
      <c r="J83" s="7" t="s">
        <v>22</v>
      </c>
      <c r="K83" s="10"/>
      <c r="L83" s="11"/>
      <c r="M83" s="11"/>
      <c r="N83" s="11"/>
      <c r="O83" s="11"/>
      <c r="P83" s="11"/>
      <c r="Q83" s="11"/>
      <c r="R83" s="11"/>
      <c r="S83" s="11"/>
      <c r="T83" s="11"/>
      <c r="U83" s="12"/>
      <c r="Y83" s="7" t="s">
        <v>22</v>
      </c>
      <c r="Z83" s="10"/>
      <c r="AA83" s="11"/>
      <c r="AB83" s="11"/>
      <c r="AC83" s="11"/>
      <c r="AD83" s="11"/>
      <c r="AE83" s="12"/>
      <c r="AH83" s="7" t="s">
        <v>22</v>
      </c>
      <c r="AI83" s="10"/>
      <c r="AJ83" s="11"/>
      <c r="AK83" s="11"/>
      <c r="AL83" s="11"/>
      <c r="AM83" s="11"/>
      <c r="AN83" s="12"/>
    </row>
    <row r="84" spans="1:40" x14ac:dyDescent="0.25">
      <c r="J84" s="8"/>
      <c r="T84" s="8" t="s">
        <v>23</v>
      </c>
      <c r="U84" s="13">
        <f>SUM(K83:U83)</f>
        <v>0</v>
      </c>
      <c r="AD84" s="8" t="s">
        <v>23</v>
      </c>
      <c r="AE84" s="13">
        <f>SUM(Z83:AE83)</f>
        <v>0</v>
      </c>
      <c r="AM84" s="8" t="s">
        <v>23</v>
      </c>
      <c r="AN84" s="13">
        <f>SUM(AI83:AN83)</f>
        <v>0</v>
      </c>
    </row>
    <row r="85" spans="1:40" ht="15.75" thickBot="1" x14ac:dyDescent="0.3">
      <c r="A85" s="19"/>
      <c r="B85" s="99" t="s">
        <v>17</v>
      </c>
      <c r="C85" s="99"/>
      <c r="D85" s="99"/>
      <c r="E85" s="99"/>
      <c r="F85" s="99"/>
      <c r="G85" s="99"/>
      <c r="H85" s="99"/>
      <c r="J85" s="100" t="s">
        <v>17</v>
      </c>
      <c r="K85" s="100"/>
      <c r="L85" s="100"/>
      <c r="M85" s="100"/>
      <c r="N85" s="100"/>
      <c r="O85" s="100"/>
      <c r="P85" s="100"/>
      <c r="Q85" s="100"/>
      <c r="R85" s="100"/>
      <c r="S85" s="100"/>
      <c r="T85" s="100"/>
      <c r="U85" s="100"/>
      <c r="Y85" s="101" t="str">
        <f>J85</f>
        <v>Agosto</v>
      </c>
      <c r="Z85" s="101"/>
      <c r="AA85" s="101"/>
      <c r="AB85" s="101"/>
      <c r="AC85" s="101"/>
      <c r="AD85" s="101"/>
      <c r="AE85" s="101"/>
      <c r="AH85" s="102" t="str">
        <f>Y85</f>
        <v>Agosto</v>
      </c>
      <c r="AI85" s="102"/>
      <c r="AJ85" s="102"/>
      <c r="AK85" s="102"/>
      <c r="AL85" s="102"/>
      <c r="AM85" s="102"/>
      <c r="AN85" s="102"/>
    </row>
    <row r="86" spans="1:40" ht="15.75" thickBot="1" x14ac:dyDescent="0.3">
      <c r="A86" s="97"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Y86" s="6" t="s">
        <v>4</v>
      </c>
      <c r="Z86" s="9"/>
      <c r="AA86" s="4"/>
      <c r="AB86" s="4"/>
      <c r="AC86" s="4"/>
      <c r="AD86" s="4"/>
      <c r="AE86" s="5"/>
      <c r="AH86" s="6" t="s">
        <v>4</v>
      </c>
      <c r="AI86" s="9"/>
      <c r="AJ86" s="4"/>
      <c r="AK86" s="4"/>
      <c r="AL86" s="4"/>
      <c r="AM86" s="4"/>
      <c r="AN86" s="5"/>
    </row>
    <row r="87" spans="1:40" ht="15.75" thickBot="1" x14ac:dyDescent="0.3">
      <c r="A87" s="97"/>
      <c r="B87" s="26"/>
      <c r="C87" s="27"/>
      <c r="D87" s="27"/>
      <c r="E87" s="27"/>
      <c r="F87" s="27">
        <f>SUM(C87-B87)</f>
        <v>0</v>
      </c>
      <c r="G87" s="20">
        <f>SUM(E87-D87)</f>
        <v>0</v>
      </c>
      <c r="H87" s="21">
        <f>SUM(F87:G87)</f>
        <v>0</v>
      </c>
      <c r="J87" s="7" t="s">
        <v>22</v>
      </c>
      <c r="K87" s="10"/>
      <c r="L87" s="11"/>
      <c r="M87" s="11"/>
      <c r="N87" s="11"/>
      <c r="O87" s="11"/>
      <c r="P87" s="11"/>
      <c r="Q87" s="11"/>
      <c r="R87" s="11"/>
      <c r="S87" s="11"/>
      <c r="T87" s="11"/>
      <c r="U87" s="12"/>
      <c r="Y87" s="7" t="s">
        <v>22</v>
      </c>
      <c r="Z87" s="10"/>
      <c r="AA87" s="11"/>
      <c r="AB87" s="11"/>
      <c r="AC87" s="11"/>
      <c r="AD87" s="11"/>
      <c r="AE87" s="12"/>
      <c r="AH87" s="7" t="s">
        <v>22</v>
      </c>
      <c r="AI87" s="10"/>
      <c r="AJ87" s="11"/>
      <c r="AK87" s="11"/>
      <c r="AL87" s="11"/>
      <c r="AM87" s="11"/>
      <c r="AN87" s="12"/>
    </row>
    <row r="88" spans="1:40" x14ac:dyDescent="0.25">
      <c r="J88" s="8"/>
      <c r="T88" s="8" t="s">
        <v>23</v>
      </c>
      <c r="U88" s="13">
        <f>SUM(K87:U87)</f>
        <v>0</v>
      </c>
      <c r="AD88" s="8" t="s">
        <v>23</v>
      </c>
      <c r="AE88" s="13">
        <f>SUM(Z87:AE87)</f>
        <v>0</v>
      </c>
      <c r="AM88" s="8" t="s">
        <v>23</v>
      </c>
      <c r="AN88" s="13">
        <f>SUM(AI87:AN87)</f>
        <v>0</v>
      </c>
    </row>
    <row r="89" spans="1:40" ht="15.75" thickBot="1" x14ac:dyDescent="0.3">
      <c r="A89" s="19"/>
      <c r="B89" s="99" t="s">
        <v>18</v>
      </c>
      <c r="C89" s="99"/>
      <c r="D89" s="99"/>
      <c r="E89" s="99"/>
      <c r="F89" s="99"/>
      <c r="G89" s="99"/>
      <c r="H89" s="99"/>
      <c r="J89" s="100" t="s">
        <v>18</v>
      </c>
      <c r="K89" s="100"/>
      <c r="L89" s="100"/>
      <c r="M89" s="100"/>
      <c r="N89" s="100"/>
      <c r="O89" s="100"/>
      <c r="P89" s="100"/>
      <c r="Q89" s="100"/>
      <c r="R89" s="100"/>
      <c r="S89" s="100"/>
      <c r="T89" s="100"/>
      <c r="U89" s="100"/>
      <c r="Y89" s="101" t="str">
        <f>J89</f>
        <v>Setembro</v>
      </c>
      <c r="Z89" s="101"/>
      <c r="AA89" s="101"/>
      <c r="AB89" s="101"/>
      <c r="AC89" s="101"/>
      <c r="AD89" s="101"/>
      <c r="AE89" s="101"/>
      <c r="AH89" s="102" t="str">
        <f>Y89</f>
        <v>Setembro</v>
      </c>
      <c r="AI89" s="102"/>
      <c r="AJ89" s="102"/>
      <c r="AK89" s="102"/>
      <c r="AL89" s="102"/>
      <c r="AM89" s="102"/>
      <c r="AN89" s="102"/>
    </row>
    <row r="90" spans="1:40" ht="15.75" thickBot="1" x14ac:dyDescent="0.3">
      <c r="A90" s="97" t="s">
        <v>5</v>
      </c>
      <c r="B90" s="34" t="s">
        <v>6</v>
      </c>
      <c r="C90" s="22" t="s">
        <v>7</v>
      </c>
      <c r="D90" s="33" t="s">
        <v>8</v>
      </c>
      <c r="E90" s="22" t="s">
        <v>9</v>
      </c>
      <c r="F90" s="24" t="s">
        <v>10</v>
      </c>
      <c r="G90" s="23" t="s">
        <v>11</v>
      </c>
      <c r="H90" s="25" t="s">
        <v>12</v>
      </c>
      <c r="J90" s="6" t="s">
        <v>4</v>
      </c>
      <c r="K90" s="9"/>
      <c r="L90" s="4"/>
      <c r="M90" s="4"/>
      <c r="N90" s="4"/>
      <c r="O90" s="4"/>
      <c r="P90" s="4"/>
      <c r="Q90" s="4"/>
      <c r="R90" s="4"/>
      <c r="S90" s="4"/>
      <c r="T90" s="4"/>
      <c r="U90" s="5"/>
      <c r="Y90" s="6" t="s">
        <v>4</v>
      </c>
      <c r="Z90" s="9"/>
      <c r="AA90" s="4"/>
      <c r="AB90" s="4"/>
      <c r="AC90" s="4"/>
      <c r="AD90" s="4"/>
      <c r="AE90" s="5"/>
      <c r="AH90" s="6" t="s">
        <v>4</v>
      </c>
      <c r="AI90" s="9"/>
      <c r="AJ90" s="4"/>
      <c r="AK90" s="4"/>
      <c r="AL90" s="4"/>
      <c r="AM90" s="4"/>
      <c r="AN90" s="5"/>
    </row>
    <row r="91" spans="1:40" ht="15.75" thickBot="1" x14ac:dyDescent="0.3">
      <c r="A91" s="97"/>
      <c r="B91" s="26"/>
      <c r="C91" s="27"/>
      <c r="D91" s="27"/>
      <c r="E91" s="27"/>
      <c r="F91" s="27">
        <f>SUM(C91-B91)</f>
        <v>0</v>
      </c>
      <c r="G91" s="20">
        <f>SUM(E91-D91)</f>
        <v>0</v>
      </c>
      <c r="H91" s="21">
        <f>SUM(F91:G91)</f>
        <v>0</v>
      </c>
      <c r="J91" s="7" t="s">
        <v>22</v>
      </c>
      <c r="K91" s="10"/>
      <c r="L91" s="11"/>
      <c r="M91" s="11"/>
      <c r="N91" s="11"/>
      <c r="O91" s="11"/>
      <c r="P91" s="11"/>
      <c r="Q91" s="11"/>
      <c r="R91" s="11"/>
      <c r="S91" s="11"/>
      <c r="T91" s="11"/>
      <c r="U91" s="12"/>
      <c r="Y91" s="7" t="s">
        <v>22</v>
      </c>
      <c r="Z91" s="10"/>
      <c r="AA91" s="11"/>
      <c r="AB91" s="11"/>
      <c r="AC91" s="11"/>
      <c r="AD91" s="11"/>
      <c r="AE91" s="12"/>
      <c r="AH91" s="7" t="s">
        <v>22</v>
      </c>
      <c r="AI91" s="10"/>
      <c r="AJ91" s="11"/>
      <c r="AK91" s="11"/>
      <c r="AL91" s="11"/>
      <c r="AM91" s="11"/>
      <c r="AN91" s="12"/>
    </row>
    <row r="92" spans="1:40" x14ac:dyDescent="0.25">
      <c r="J92" s="8"/>
      <c r="T92" s="8" t="s">
        <v>23</v>
      </c>
      <c r="U92" s="13">
        <f>SUM(K91:U91)</f>
        <v>0</v>
      </c>
      <c r="AD92" s="8" t="s">
        <v>23</v>
      </c>
      <c r="AE92" s="13">
        <f>SUM(Z91:AE91)</f>
        <v>0</v>
      </c>
      <c r="AM92" s="8" t="s">
        <v>23</v>
      </c>
      <c r="AN92" s="13">
        <f>SUM(AI91:AN91)</f>
        <v>0</v>
      </c>
    </row>
  </sheetData>
  <mergeCells count="11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 ref="A14:A15"/>
    <mergeCell ref="Y7:AE7"/>
    <mergeCell ref="B57:H57"/>
    <mergeCell ref="J57:U57"/>
    <mergeCell ref="Y57:AE57"/>
    <mergeCell ref="AH57:AN57"/>
    <mergeCell ref="A58:A59"/>
    <mergeCell ref="B53:H53"/>
    <mergeCell ref="J53:U53"/>
    <mergeCell ref="W53:AC53"/>
    <mergeCell ref="AE53:AK53"/>
    <mergeCell ref="A54:A55"/>
    <mergeCell ref="B65:H65"/>
    <mergeCell ref="J65:U65"/>
    <mergeCell ref="Y65:AE65"/>
    <mergeCell ref="AH65:AN65"/>
    <mergeCell ref="A66:A67"/>
    <mergeCell ref="B61:H61"/>
    <mergeCell ref="J61:U61"/>
    <mergeCell ref="Y61:AE61"/>
    <mergeCell ref="AH61:AN61"/>
    <mergeCell ref="A62:A63"/>
    <mergeCell ref="B73:H73"/>
    <mergeCell ref="J73:U73"/>
    <mergeCell ref="Y73:AE73"/>
    <mergeCell ref="AH73:AN73"/>
    <mergeCell ref="A74:A75"/>
    <mergeCell ref="B69:H69"/>
    <mergeCell ref="J69:U69"/>
    <mergeCell ref="Y69:AE69"/>
    <mergeCell ref="AH69:AN69"/>
    <mergeCell ref="A70:A71"/>
    <mergeCell ref="B81:H81"/>
    <mergeCell ref="J81:U81"/>
    <mergeCell ref="Y81:AE81"/>
    <mergeCell ref="AH81:AN81"/>
    <mergeCell ref="A82:A83"/>
    <mergeCell ref="B77:H77"/>
    <mergeCell ref="J77:U77"/>
    <mergeCell ref="Y77:AE77"/>
    <mergeCell ref="AH77:AN77"/>
    <mergeCell ref="A78:A79"/>
    <mergeCell ref="B89:H89"/>
    <mergeCell ref="J89:U89"/>
    <mergeCell ref="Y89:AE89"/>
    <mergeCell ref="AH89:AN89"/>
    <mergeCell ref="A90:A91"/>
    <mergeCell ref="B85:H85"/>
    <mergeCell ref="J85:U85"/>
    <mergeCell ref="Y85:AE85"/>
    <mergeCell ref="AH85:AN85"/>
    <mergeCell ref="A86:A87"/>
  </mergeCells>
  <pageMargins left="0.511811024" right="0.511811024" top="0.78740157499999996" bottom="0.78740157499999996" header="0.31496062000000002" footer="0.31496062000000002"/>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K52"/>
  <sheetViews>
    <sheetView showGridLines="0" workbookViewId="0">
      <selection activeCell="I16" sqref="I16"/>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140625" customWidth="1"/>
    <col min="10" max="10" width="13.42578125" bestFit="1" customWidth="1"/>
    <col min="11" max="11" width="12.140625" bestFit="1" customWidth="1"/>
    <col min="12" max="13" width="10.7109375" bestFit="1" customWidth="1"/>
    <col min="14" max="14" width="13.28515625" bestFit="1" customWidth="1"/>
    <col min="15" max="15" width="10.5703125" bestFit="1" customWidth="1"/>
    <col min="16" max="16" width="10.7109375" bestFit="1" customWidth="1"/>
    <col min="18" max="18" width="10.5703125" bestFit="1" customWidth="1"/>
    <col min="21" max="21" width="12.140625" bestFit="1" customWidth="1"/>
    <col min="27" max="27" width="10.5703125" bestFit="1" customWidth="1"/>
    <col min="29" max="29" width="12.140625" bestFit="1" customWidth="1"/>
    <col min="32" max="32" width="10.42578125" bestFit="1" customWidth="1"/>
    <col min="34" max="34" width="10.140625" bestFit="1" customWidth="1"/>
    <col min="35" max="35" width="13.28515625" bestFit="1" customWidth="1"/>
    <col min="36" max="36" width="10.140625" bestFit="1" customWidth="1"/>
    <col min="37" max="37" width="13.28515625" bestFit="1" customWidth="1"/>
  </cols>
  <sheetData>
    <row r="2" spans="1:37" x14ac:dyDescent="0.25">
      <c r="A2" t="s">
        <v>0</v>
      </c>
      <c r="B2" s="94" t="s">
        <v>82</v>
      </c>
      <c r="C2" s="94"/>
      <c r="D2" s="1" t="s">
        <v>1</v>
      </c>
      <c r="E2" s="94" t="s">
        <v>83</v>
      </c>
      <c r="F2" s="94"/>
      <c r="H2" t="s">
        <v>91</v>
      </c>
      <c r="I2" s="75">
        <v>4500</v>
      </c>
      <c r="J2" s="71"/>
      <c r="K2" s="74"/>
    </row>
    <row r="3" spans="1:37" x14ac:dyDescent="0.25">
      <c r="A3" t="s">
        <v>79</v>
      </c>
      <c r="B3" s="108">
        <v>45804</v>
      </c>
      <c r="C3" s="94"/>
      <c r="D3" s="1" t="s">
        <v>1</v>
      </c>
      <c r="E3" s="94" t="s">
        <v>90</v>
      </c>
      <c r="F3" s="94"/>
      <c r="H3" t="s">
        <v>80</v>
      </c>
      <c r="I3" s="70" t="s">
        <v>82</v>
      </c>
    </row>
    <row r="4" spans="1:37" x14ac:dyDescent="0.25">
      <c r="A4" t="s">
        <v>2</v>
      </c>
      <c r="B4" s="95">
        <v>8158</v>
      </c>
      <c r="C4" s="95"/>
      <c r="D4" s="1" t="s">
        <v>29</v>
      </c>
      <c r="E4" s="109">
        <v>45</v>
      </c>
      <c r="F4" s="94"/>
      <c r="H4" t="s">
        <v>70</v>
      </c>
      <c r="I4" s="67">
        <v>45728</v>
      </c>
      <c r="J4" s="1" t="s">
        <v>128</v>
      </c>
      <c r="K4" s="67">
        <v>45968</v>
      </c>
    </row>
    <row r="7" spans="1:37" ht="21" x14ac:dyDescent="0.35">
      <c r="A7" s="96" t="s">
        <v>28</v>
      </c>
      <c r="B7" s="96"/>
      <c r="C7" s="96"/>
      <c r="D7" s="96"/>
      <c r="E7" s="96"/>
      <c r="F7" s="96"/>
      <c r="G7" s="96"/>
      <c r="H7" s="96"/>
      <c r="J7" s="103" t="s">
        <v>26</v>
      </c>
      <c r="K7" s="103"/>
      <c r="L7" s="103"/>
      <c r="M7" s="103"/>
      <c r="N7" s="103"/>
      <c r="O7" s="103"/>
      <c r="P7" s="103"/>
      <c r="Q7" s="103"/>
      <c r="R7" s="103"/>
      <c r="S7" s="103"/>
      <c r="T7" s="103"/>
      <c r="U7" s="103"/>
      <c r="V7" s="2"/>
      <c r="W7" s="98" t="s">
        <v>25</v>
      </c>
      <c r="X7" s="98"/>
      <c r="Y7" s="98"/>
      <c r="Z7" s="98"/>
      <c r="AA7" s="98"/>
      <c r="AB7" s="98"/>
      <c r="AC7" s="98"/>
      <c r="AD7" s="2"/>
      <c r="AE7" s="98" t="s">
        <v>27</v>
      </c>
      <c r="AF7" s="98"/>
      <c r="AG7" s="98"/>
      <c r="AH7" s="98"/>
      <c r="AI7" s="98"/>
      <c r="AJ7" s="98"/>
      <c r="AK7" s="98"/>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99" t="s">
        <v>3</v>
      </c>
      <c r="C9" s="99"/>
      <c r="D9" s="99"/>
      <c r="E9" s="99"/>
      <c r="F9" s="99"/>
      <c r="G9" s="99"/>
      <c r="H9" s="99"/>
      <c r="J9" s="100" t="s">
        <v>3</v>
      </c>
      <c r="K9" s="100"/>
      <c r="L9" s="100"/>
      <c r="M9" s="100"/>
      <c r="N9" s="100"/>
      <c r="O9" s="100"/>
      <c r="P9" s="100"/>
      <c r="Q9" s="100"/>
      <c r="R9" s="100"/>
      <c r="S9" s="100"/>
      <c r="T9" s="100"/>
      <c r="U9" s="100"/>
      <c r="W9" s="101" t="s">
        <v>3</v>
      </c>
      <c r="X9" s="101"/>
      <c r="Y9" s="101"/>
      <c r="Z9" s="101"/>
      <c r="AA9" s="101"/>
      <c r="AB9" s="101"/>
      <c r="AC9" s="101"/>
      <c r="AE9" s="102" t="s">
        <v>3</v>
      </c>
      <c r="AF9" s="102"/>
      <c r="AG9" s="102"/>
      <c r="AH9" s="102"/>
      <c r="AI9" s="102"/>
      <c r="AJ9" s="102"/>
      <c r="AK9" s="102"/>
    </row>
    <row r="10" spans="1:37" ht="15.75" thickBot="1" x14ac:dyDescent="0.3">
      <c r="A10" s="97"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68">
        <v>45737</v>
      </c>
      <c r="B13" s="99" t="s">
        <v>13</v>
      </c>
      <c r="C13" s="99"/>
      <c r="D13" s="99"/>
      <c r="E13" s="99"/>
      <c r="F13" s="99"/>
      <c r="G13" s="99"/>
      <c r="H13" s="99"/>
      <c r="J13" s="100" t="s">
        <v>13</v>
      </c>
      <c r="K13" s="100"/>
      <c r="L13" s="100"/>
      <c r="M13" s="100"/>
      <c r="N13" s="100"/>
      <c r="O13" s="100"/>
      <c r="P13" s="100"/>
      <c r="Q13" s="100"/>
      <c r="R13" s="100"/>
      <c r="S13" s="100"/>
      <c r="T13" s="100"/>
      <c r="U13" s="100"/>
      <c r="W13" s="101" t="str">
        <f>J13</f>
        <v>Março</v>
      </c>
      <c r="X13" s="101"/>
      <c r="Y13" s="101"/>
      <c r="Z13" s="101"/>
      <c r="AA13" s="101"/>
      <c r="AB13" s="101"/>
      <c r="AC13" s="101"/>
      <c r="AE13" s="102" t="str">
        <f>W13</f>
        <v>Março</v>
      </c>
      <c r="AF13" s="102"/>
      <c r="AG13" s="102"/>
      <c r="AH13" s="102"/>
      <c r="AI13" s="102"/>
      <c r="AJ13" s="102"/>
      <c r="AK13" s="102"/>
    </row>
    <row r="14" spans="1:37" ht="15.75" thickBot="1" x14ac:dyDescent="0.3">
      <c r="A14" s="97" t="s">
        <v>5</v>
      </c>
      <c r="B14" s="34" t="s">
        <v>6</v>
      </c>
      <c r="C14" s="22" t="s">
        <v>7</v>
      </c>
      <c r="D14" s="33" t="s">
        <v>8</v>
      </c>
      <c r="E14" s="22" t="s">
        <v>9</v>
      </c>
      <c r="F14" s="24" t="s">
        <v>10</v>
      </c>
      <c r="G14" s="23" t="s">
        <v>11</v>
      </c>
      <c r="H14" s="25" t="s">
        <v>12</v>
      </c>
      <c r="J14" s="6" t="s">
        <v>4</v>
      </c>
      <c r="K14" s="9">
        <v>45741</v>
      </c>
      <c r="L14" s="66">
        <v>45745</v>
      </c>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97"/>
      <c r="B15" s="26"/>
      <c r="C15" s="27"/>
      <c r="D15" s="27">
        <v>35273</v>
      </c>
      <c r="E15" s="27">
        <v>36530</v>
      </c>
      <c r="F15" s="27">
        <f>SUM(C15-B15)</f>
        <v>0</v>
      </c>
      <c r="G15" s="20">
        <f>SUM(E15-D15)</f>
        <v>1257</v>
      </c>
      <c r="H15" s="21">
        <f>SUM(F15:G15)</f>
        <v>1257</v>
      </c>
      <c r="J15" s="7" t="s">
        <v>22</v>
      </c>
      <c r="K15" s="10">
        <v>378.27</v>
      </c>
      <c r="L15" s="11">
        <v>364.9</v>
      </c>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743.17</v>
      </c>
      <c r="AB16" s="8" t="s">
        <v>23</v>
      </c>
      <c r="AC16" s="13">
        <f>SUM(X15:AC15)</f>
        <v>0</v>
      </c>
      <c r="AJ16" s="8" t="s">
        <v>23</v>
      </c>
      <c r="AK16" s="13">
        <f>SUM(AF15:AK15)</f>
        <v>0</v>
      </c>
    </row>
    <row r="17" spans="1:37"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W17" s="101" t="str">
        <f>J17</f>
        <v>Abril</v>
      </c>
      <c r="X17" s="101"/>
      <c r="Y17" s="101"/>
      <c r="Z17" s="101"/>
      <c r="AA17" s="101"/>
      <c r="AB17" s="101"/>
      <c r="AC17" s="101"/>
      <c r="AE17" s="102" t="str">
        <f>W17</f>
        <v>Abril</v>
      </c>
      <c r="AF17" s="102"/>
      <c r="AG17" s="102"/>
      <c r="AH17" s="102"/>
      <c r="AI17" s="102"/>
      <c r="AJ17" s="102"/>
      <c r="AK17" s="102"/>
    </row>
    <row r="18" spans="1:37" ht="15.75" thickBot="1" x14ac:dyDescent="0.3">
      <c r="A18" s="97" t="s">
        <v>5</v>
      </c>
      <c r="B18" s="34" t="s">
        <v>6</v>
      </c>
      <c r="C18" s="22" t="s">
        <v>7</v>
      </c>
      <c r="D18" s="33" t="s">
        <v>8</v>
      </c>
      <c r="E18" s="22" t="s">
        <v>9</v>
      </c>
      <c r="F18" s="24" t="s">
        <v>10</v>
      </c>
      <c r="G18" s="23" t="s">
        <v>11</v>
      </c>
      <c r="H18" s="25" t="s">
        <v>12</v>
      </c>
      <c r="J18" s="6" t="s">
        <v>4</v>
      </c>
      <c r="K18" s="9">
        <v>45750</v>
      </c>
      <c r="L18" s="66">
        <v>45757</v>
      </c>
      <c r="M18" s="66">
        <v>45762</v>
      </c>
      <c r="N18" s="66">
        <v>45771</v>
      </c>
      <c r="O18" s="66">
        <v>45773</v>
      </c>
      <c r="P18" s="66">
        <v>45776</v>
      </c>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97"/>
      <c r="B19" s="26">
        <v>36530</v>
      </c>
      <c r="C19" s="27">
        <v>37960</v>
      </c>
      <c r="D19" s="27">
        <v>37960</v>
      </c>
      <c r="E19" s="27">
        <v>40611</v>
      </c>
      <c r="F19" s="27">
        <f>SUM(C19-B19)</f>
        <v>1430</v>
      </c>
      <c r="G19" s="20">
        <f>SUM(E19-D19)</f>
        <v>2651</v>
      </c>
      <c r="H19" s="21">
        <f>SUM(F19:G19)</f>
        <v>4081</v>
      </c>
      <c r="J19" s="7" t="s">
        <v>22</v>
      </c>
      <c r="K19" s="69">
        <v>444.48</v>
      </c>
      <c r="L19" s="69">
        <v>372.11</v>
      </c>
      <c r="M19" s="69">
        <v>352.65</v>
      </c>
      <c r="N19" s="31">
        <v>352.71</v>
      </c>
      <c r="O19" s="31">
        <v>245.87</v>
      </c>
      <c r="P19" s="31">
        <v>290.58</v>
      </c>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2058.4</v>
      </c>
      <c r="AB20" s="8" t="s">
        <v>23</v>
      </c>
      <c r="AC20" s="13">
        <f>SUM(X19:AC19)</f>
        <v>0</v>
      </c>
      <c r="AJ20" s="8" t="s">
        <v>23</v>
      </c>
      <c r="AK20" s="13">
        <f>SUM(AF19:AK19)</f>
        <v>0</v>
      </c>
    </row>
    <row r="21" spans="1:37"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W21" s="101" t="str">
        <f>J21</f>
        <v>Maio</v>
      </c>
      <c r="X21" s="101"/>
      <c r="Y21" s="101"/>
      <c r="Z21" s="101"/>
      <c r="AA21" s="101"/>
      <c r="AB21" s="101"/>
      <c r="AC21" s="101"/>
      <c r="AE21" s="102" t="str">
        <f>W21</f>
        <v>Maio</v>
      </c>
      <c r="AF21" s="102"/>
      <c r="AG21" s="102"/>
      <c r="AH21" s="102"/>
      <c r="AI21" s="102"/>
      <c r="AJ21" s="102"/>
      <c r="AK21" s="102"/>
    </row>
    <row r="22" spans="1:37" ht="15.75" thickBot="1" x14ac:dyDescent="0.3">
      <c r="A22" s="97" t="s">
        <v>5</v>
      </c>
      <c r="B22" s="34" t="s">
        <v>6</v>
      </c>
      <c r="C22" s="22" t="s">
        <v>7</v>
      </c>
      <c r="D22" s="33" t="s">
        <v>8</v>
      </c>
      <c r="E22" s="22" t="s">
        <v>9</v>
      </c>
      <c r="F22" s="24" t="s">
        <v>10</v>
      </c>
      <c r="G22" s="23" t="s">
        <v>11</v>
      </c>
      <c r="H22" s="25" t="s">
        <v>12</v>
      </c>
      <c r="J22" s="6" t="s">
        <v>4</v>
      </c>
      <c r="K22" s="9">
        <v>45783</v>
      </c>
      <c r="L22" s="66">
        <v>45785</v>
      </c>
      <c r="M22" s="66">
        <v>45790</v>
      </c>
      <c r="N22" s="66">
        <v>45794</v>
      </c>
      <c r="O22" s="66">
        <v>45799</v>
      </c>
      <c r="P22" s="66">
        <v>45801</v>
      </c>
      <c r="Q22" s="4"/>
      <c r="R22" s="66">
        <v>45808</v>
      </c>
      <c r="S22" s="4"/>
      <c r="T22" s="4"/>
      <c r="U22" s="5"/>
      <c r="W22" s="6" t="s">
        <v>4</v>
      </c>
      <c r="X22" s="9"/>
      <c r="Y22" s="4"/>
      <c r="Z22" s="4"/>
      <c r="AA22" s="4"/>
      <c r="AB22" s="4"/>
      <c r="AC22" s="5"/>
      <c r="AE22" s="6" t="s">
        <v>4</v>
      </c>
      <c r="AF22" s="9">
        <v>45791</v>
      </c>
      <c r="AG22" s="4"/>
      <c r="AH22" s="4"/>
      <c r="AI22" s="4"/>
      <c r="AJ22" s="4"/>
      <c r="AK22" s="5"/>
    </row>
    <row r="23" spans="1:37" ht="15.75" thickBot="1" x14ac:dyDescent="0.3">
      <c r="A23" s="97"/>
      <c r="B23" s="27">
        <v>40611</v>
      </c>
      <c r="C23" s="27">
        <v>41979</v>
      </c>
      <c r="D23" s="27">
        <v>41979</v>
      </c>
      <c r="E23" s="27">
        <v>43898</v>
      </c>
      <c r="F23" s="27">
        <f>SUM(C23-B23)</f>
        <v>1368</v>
      </c>
      <c r="G23" s="20">
        <f>SUM(E23-D23)</f>
        <v>1919</v>
      </c>
      <c r="H23" s="21">
        <f>SUM(F23:G23)</f>
        <v>3287</v>
      </c>
      <c r="J23" s="7" t="s">
        <v>22</v>
      </c>
      <c r="K23" s="10">
        <v>299.04000000000002</v>
      </c>
      <c r="L23" s="11">
        <v>305.52</v>
      </c>
      <c r="M23" s="11">
        <v>299.06</v>
      </c>
      <c r="N23" s="11">
        <v>245.22</v>
      </c>
      <c r="O23" s="11">
        <v>348.75</v>
      </c>
      <c r="P23" s="11">
        <v>320.02</v>
      </c>
      <c r="Q23" s="11"/>
      <c r="R23" s="11">
        <v>471.83</v>
      </c>
      <c r="S23" s="11"/>
      <c r="T23" s="11"/>
      <c r="U23" s="12"/>
      <c r="W23" s="7" t="s">
        <v>22</v>
      </c>
      <c r="X23" s="10"/>
      <c r="Y23" s="11"/>
      <c r="Z23" s="11"/>
      <c r="AA23" s="11"/>
      <c r="AB23" s="11"/>
      <c r="AC23" s="12"/>
      <c r="AE23" s="7" t="s">
        <v>22</v>
      </c>
      <c r="AF23" s="10">
        <v>40</v>
      </c>
      <c r="AG23" s="11"/>
      <c r="AH23" s="11"/>
      <c r="AI23" s="11"/>
      <c r="AJ23" s="11"/>
      <c r="AK23" s="12"/>
    </row>
    <row r="24" spans="1:37" x14ac:dyDescent="0.25">
      <c r="J24" s="8"/>
      <c r="T24" s="8" t="s">
        <v>23</v>
      </c>
      <c r="U24" s="13">
        <f>SUM(K23:U23)</f>
        <v>2289.44</v>
      </c>
      <c r="AB24" s="8" t="s">
        <v>23</v>
      </c>
      <c r="AC24" s="13">
        <f>SUM(X23:AC23)</f>
        <v>0</v>
      </c>
      <c r="AJ24" s="8" t="s">
        <v>23</v>
      </c>
      <c r="AK24" s="13">
        <f>SUM(AF23:AK23)</f>
        <v>40</v>
      </c>
    </row>
    <row r="25" spans="1:37"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W25" s="101" t="str">
        <f>J25</f>
        <v>Junho</v>
      </c>
      <c r="X25" s="101"/>
      <c r="Y25" s="101"/>
      <c r="Z25" s="101"/>
      <c r="AA25" s="101"/>
      <c r="AB25" s="101"/>
      <c r="AC25" s="101"/>
      <c r="AE25" s="102" t="str">
        <f>W25</f>
        <v>Junho</v>
      </c>
      <c r="AF25" s="102"/>
      <c r="AG25" s="102"/>
      <c r="AH25" s="102"/>
      <c r="AI25" s="102"/>
      <c r="AJ25" s="102"/>
      <c r="AK25" s="102"/>
    </row>
    <row r="26" spans="1:37" ht="15.75" thickBot="1" x14ac:dyDescent="0.3">
      <c r="A26" s="97" t="s">
        <v>5</v>
      </c>
      <c r="B26" s="34" t="s">
        <v>6</v>
      </c>
      <c r="C26" s="22" t="s">
        <v>7</v>
      </c>
      <c r="D26" s="33" t="s">
        <v>8</v>
      </c>
      <c r="E26" s="22" t="s">
        <v>9</v>
      </c>
      <c r="F26" s="24" t="s">
        <v>10</v>
      </c>
      <c r="G26" s="23" t="s">
        <v>11</v>
      </c>
      <c r="H26" s="25" t="s">
        <v>12</v>
      </c>
      <c r="J26" s="6" t="s">
        <v>4</v>
      </c>
      <c r="K26" s="9">
        <v>45811</v>
      </c>
      <c r="L26" s="66">
        <v>45815</v>
      </c>
      <c r="M26" s="66">
        <v>45822</v>
      </c>
      <c r="N26" s="66">
        <v>45832</v>
      </c>
      <c r="O26" s="66">
        <v>45838</v>
      </c>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97"/>
      <c r="B27" s="26">
        <v>30678</v>
      </c>
      <c r="C27" s="27">
        <v>32993</v>
      </c>
      <c r="D27" s="27">
        <v>32993</v>
      </c>
      <c r="E27" s="27">
        <v>34158</v>
      </c>
      <c r="F27" s="27">
        <f>SUM(C27-B27)</f>
        <v>2315</v>
      </c>
      <c r="G27" s="20">
        <f>SUM(E27-D27)</f>
        <v>1165</v>
      </c>
      <c r="H27" s="21">
        <f>SUM(F27:G27)</f>
        <v>3480</v>
      </c>
      <c r="J27" s="7" t="s">
        <v>22</v>
      </c>
      <c r="K27" s="10">
        <v>362.01</v>
      </c>
      <c r="L27" s="11">
        <v>307.8</v>
      </c>
      <c r="M27" s="11">
        <v>394.77</v>
      </c>
      <c r="N27" s="11">
        <v>388.7</v>
      </c>
      <c r="O27" s="11">
        <v>340.55</v>
      </c>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1793.83</v>
      </c>
      <c r="AB28" s="8" t="s">
        <v>23</v>
      </c>
      <c r="AC28" s="13">
        <f>SUM(X27:AC27)</f>
        <v>0</v>
      </c>
      <c r="AJ28" s="8" t="s">
        <v>23</v>
      </c>
      <c r="AK28" s="13">
        <f>SUM(AF27:AK27)</f>
        <v>0</v>
      </c>
    </row>
    <row r="29" spans="1:37"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W29" s="101" t="str">
        <f>J29</f>
        <v>Julho</v>
      </c>
      <c r="X29" s="101"/>
      <c r="Y29" s="101"/>
      <c r="Z29" s="101"/>
      <c r="AA29" s="101"/>
      <c r="AB29" s="101"/>
      <c r="AC29" s="101"/>
      <c r="AE29" s="102" t="str">
        <f>W29</f>
        <v>Julho</v>
      </c>
      <c r="AF29" s="102"/>
      <c r="AG29" s="102"/>
      <c r="AH29" s="102"/>
      <c r="AI29" s="102"/>
      <c r="AJ29" s="102"/>
      <c r="AK29" s="102"/>
    </row>
    <row r="30" spans="1:37" ht="15.75" thickBot="1" x14ac:dyDescent="0.3">
      <c r="A30" s="97" t="s">
        <v>5</v>
      </c>
      <c r="B30" s="34" t="s">
        <v>6</v>
      </c>
      <c r="C30" s="22" t="s">
        <v>7</v>
      </c>
      <c r="D30" s="33" t="s">
        <v>8</v>
      </c>
      <c r="E30" s="22" t="s">
        <v>9</v>
      </c>
      <c r="F30" s="24" t="s">
        <v>10</v>
      </c>
      <c r="G30" s="23" t="s">
        <v>11</v>
      </c>
      <c r="H30" s="25" t="s">
        <v>12</v>
      </c>
      <c r="J30" s="6" t="s">
        <v>4</v>
      </c>
      <c r="K30" s="9">
        <v>45843</v>
      </c>
      <c r="L30" s="66">
        <v>45846</v>
      </c>
      <c r="M30" s="66">
        <v>45850</v>
      </c>
      <c r="N30" s="66">
        <v>45855</v>
      </c>
      <c r="O30" s="66">
        <v>45863</v>
      </c>
      <c r="P30" s="66">
        <v>45867</v>
      </c>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97"/>
      <c r="B31" s="26">
        <v>34158</v>
      </c>
      <c r="C31" s="27">
        <v>35453</v>
      </c>
      <c r="D31" s="27">
        <v>35453</v>
      </c>
      <c r="E31" s="27">
        <v>37083</v>
      </c>
      <c r="F31" s="27">
        <f>SUM(C31-B31)</f>
        <v>1295</v>
      </c>
      <c r="G31" s="20">
        <f>SUM(E31-D31)</f>
        <v>1630</v>
      </c>
      <c r="H31" s="21">
        <f>SUM(F31:G31)</f>
        <v>2925</v>
      </c>
      <c r="J31" s="7" t="s">
        <v>22</v>
      </c>
      <c r="K31" s="10">
        <v>362.42</v>
      </c>
      <c r="L31" s="11">
        <v>239.21</v>
      </c>
      <c r="M31" s="11">
        <v>226.38</v>
      </c>
      <c r="N31" s="11">
        <v>377.05</v>
      </c>
      <c r="O31" s="11">
        <v>404.98</v>
      </c>
      <c r="P31" s="11">
        <v>314.13</v>
      </c>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1924.17</v>
      </c>
      <c r="AB32" s="8" t="s">
        <v>23</v>
      </c>
      <c r="AC32" s="13">
        <f>SUM(X31:AC31)</f>
        <v>0</v>
      </c>
      <c r="AJ32" s="8" t="s">
        <v>23</v>
      </c>
      <c r="AK32" s="13">
        <f>SUM(AF31:AK31)</f>
        <v>0</v>
      </c>
    </row>
    <row r="33" spans="1:37"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W33" s="101" t="str">
        <f>J33</f>
        <v>Agosto</v>
      </c>
      <c r="X33" s="101"/>
      <c r="Y33" s="101"/>
      <c r="Z33" s="101"/>
      <c r="AA33" s="101"/>
      <c r="AB33" s="101"/>
      <c r="AC33" s="101"/>
      <c r="AE33" s="102" t="str">
        <f>W33</f>
        <v>Agosto</v>
      </c>
      <c r="AF33" s="102"/>
      <c r="AG33" s="102"/>
      <c r="AH33" s="102"/>
      <c r="AI33" s="102"/>
      <c r="AJ33" s="102"/>
      <c r="AK33" s="102"/>
    </row>
    <row r="34" spans="1:37" ht="15.75" thickBot="1" x14ac:dyDescent="0.3">
      <c r="A34" s="97" t="s">
        <v>5</v>
      </c>
      <c r="B34" s="34" t="s">
        <v>6</v>
      </c>
      <c r="C34" s="22" t="s">
        <v>7</v>
      </c>
      <c r="D34" s="33" t="s">
        <v>8</v>
      </c>
      <c r="E34" s="22" t="s">
        <v>9</v>
      </c>
      <c r="F34" s="24" t="s">
        <v>10</v>
      </c>
      <c r="G34" s="23" t="s">
        <v>11</v>
      </c>
      <c r="H34" s="25" t="s">
        <v>12</v>
      </c>
      <c r="J34" s="6" t="s">
        <v>4</v>
      </c>
      <c r="K34" s="9">
        <v>45871</v>
      </c>
      <c r="L34" s="66">
        <v>45876</v>
      </c>
      <c r="M34" s="66">
        <v>45883</v>
      </c>
      <c r="N34" s="66">
        <v>45888</v>
      </c>
      <c r="O34" s="66">
        <v>45892</v>
      </c>
      <c r="P34" s="66">
        <v>45866</v>
      </c>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97"/>
      <c r="B35" s="27">
        <v>37083</v>
      </c>
      <c r="C35" s="27">
        <v>38653</v>
      </c>
      <c r="D35" s="27">
        <v>38653</v>
      </c>
      <c r="E35" s="27">
        <v>40020</v>
      </c>
      <c r="F35" s="27">
        <f>SUM(C35-B35)</f>
        <v>1570</v>
      </c>
      <c r="G35" s="20">
        <f>SUM(E35-D35)</f>
        <v>1367</v>
      </c>
      <c r="H35" s="21">
        <f>SUM(F35:G35)</f>
        <v>2937</v>
      </c>
      <c r="J35" s="7" t="s">
        <v>22</v>
      </c>
      <c r="K35" s="10">
        <v>332.25</v>
      </c>
      <c r="L35" s="11">
        <v>377.02</v>
      </c>
      <c r="M35" s="11">
        <v>314.52</v>
      </c>
      <c r="N35" s="11">
        <v>391.25</v>
      </c>
      <c r="O35" s="11">
        <v>410.07400000000001</v>
      </c>
      <c r="P35" s="11">
        <v>328.96</v>
      </c>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2154.0740000000001</v>
      </c>
      <c r="AB36" s="8" t="s">
        <v>23</v>
      </c>
      <c r="AC36" s="13">
        <f>SUM(X35:AC35)</f>
        <v>0</v>
      </c>
      <c r="AJ36" s="8" t="s">
        <v>23</v>
      </c>
      <c r="AK36" s="13">
        <f>SUM(AF35:AK35)</f>
        <v>0</v>
      </c>
    </row>
    <row r="37" spans="1:37"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W37" s="101" t="str">
        <f>J37</f>
        <v>Setembro</v>
      </c>
      <c r="X37" s="101"/>
      <c r="Y37" s="101"/>
      <c r="Z37" s="101"/>
      <c r="AA37" s="101"/>
      <c r="AB37" s="101"/>
      <c r="AC37" s="101"/>
      <c r="AE37" s="102" t="str">
        <f>W37</f>
        <v>Setembro</v>
      </c>
      <c r="AF37" s="102"/>
      <c r="AG37" s="102"/>
      <c r="AH37" s="102"/>
      <c r="AI37" s="102"/>
      <c r="AJ37" s="102"/>
      <c r="AK37" s="102"/>
    </row>
    <row r="38" spans="1:37" ht="15.75" thickBot="1" x14ac:dyDescent="0.3">
      <c r="A38" s="97" t="s">
        <v>5</v>
      </c>
      <c r="B38" s="34" t="s">
        <v>6</v>
      </c>
      <c r="C38" s="22" t="s">
        <v>7</v>
      </c>
      <c r="D38" s="33" t="s">
        <v>8</v>
      </c>
      <c r="E38" s="22" t="s">
        <v>9</v>
      </c>
      <c r="F38" s="24" t="s">
        <v>10</v>
      </c>
      <c r="G38" s="23" t="s">
        <v>11</v>
      </c>
      <c r="H38" s="25" t="s">
        <v>12</v>
      </c>
      <c r="J38" s="6" t="s">
        <v>4</v>
      </c>
      <c r="K38" s="9">
        <v>45904</v>
      </c>
      <c r="L38" s="66">
        <v>45909</v>
      </c>
      <c r="M38" s="66">
        <v>45913</v>
      </c>
      <c r="N38" s="66">
        <v>45918</v>
      </c>
      <c r="O38" s="66">
        <v>45923</v>
      </c>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97"/>
      <c r="B39" s="27">
        <v>40020</v>
      </c>
      <c r="C39" s="27">
        <v>41482</v>
      </c>
      <c r="D39" s="27">
        <v>41482</v>
      </c>
      <c r="E39" s="27">
        <v>42958</v>
      </c>
      <c r="F39" s="27">
        <f>SUM(C39-B39)</f>
        <v>1462</v>
      </c>
      <c r="G39" s="20">
        <f>SUM(E39-D39)</f>
        <v>1476</v>
      </c>
      <c r="H39" s="21">
        <f>SUM(F39:G39)</f>
        <v>2938</v>
      </c>
      <c r="J39" s="7" t="s">
        <v>22</v>
      </c>
      <c r="K39" s="10">
        <v>317.01</v>
      </c>
      <c r="L39" s="11">
        <v>298.45999999999998</v>
      </c>
      <c r="M39" s="11">
        <v>319.99</v>
      </c>
      <c r="N39" s="11">
        <v>302.06</v>
      </c>
      <c r="O39" s="11">
        <v>368.97</v>
      </c>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1606.49</v>
      </c>
      <c r="AB40" s="8" t="s">
        <v>23</v>
      </c>
      <c r="AC40" s="13">
        <f>SUM(X39:AC39)</f>
        <v>0</v>
      </c>
      <c r="AJ40" s="8" t="s">
        <v>23</v>
      </c>
      <c r="AK40" s="13">
        <f>SUM(AF39:AK39)</f>
        <v>0</v>
      </c>
    </row>
    <row r="41" spans="1:37"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W41" s="101" t="str">
        <f>J41</f>
        <v>Outubro</v>
      </c>
      <c r="X41" s="101"/>
      <c r="Y41" s="101"/>
      <c r="Z41" s="101"/>
      <c r="AA41" s="101"/>
      <c r="AB41" s="101"/>
      <c r="AC41" s="101"/>
      <c r="AE41" s="102" t="str">
        <f>W41</f>
        <v>Outubro</v>
      </c>
      <c r="AF41" s="102"/>
      <c r="AG41" s="102"/>
      <c r="AH41" s="102"/>
      <c r="AI41" s="102"/>
      <c r="AJ41" s="102"/>
      <c r="AK41" s="102"/>
    </row>
    <row r="42" spans="1:37" ht="15.75" thickBot="1" x14ac:dyDescent="0.3">
      <c r="A42" s="97" t="s">
        <v>5</v>
      </c>
      <c r="B42" s="34" t="s">
        <v>6</v>
      </c>
      <c r="C42" s="22" t="s">
        <v>7</v>
      </c>
      <c r="D42" s="33" t="s">
        <v>8</v>
      </c>
      <c r="E42" s="22" t="s">
        <v>9</v>
      </c>
      <c r="F42" s="24" t="s">
        <v>10</v>
      </c>
      <c r="G42" s="23" t="s">
        <v>11</v>
      </c>
      <c r="H42" s="25" t="s">
        <v>12</v>
      </c>
      <c r="J42" s="6" t="s">
        <v>4</v>
      </c>
      <c r="K42" s="9">
        <v>45937</v>
      </c>
      <c r="L42" s="66">
        <v>45941</v>
      </c>
      <c r="M42" s="66">
        <v>45947</v>
      </c>
      <c r="N42" s="66">
        <v>45953</v>
      </c>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97"/>
      <c r="B43" s="27">
        <v>42958</v>
      </c>
      <c r="C43" s="27">
        <v>44360</v>
      </c>
      <c r="D43" s="27">
        <v>44360</v>
      </c>
      <c r="E43" s="27">
        <v>45428</v>
      </c>
      <c r="F43" s="27">
        <f>SUM(C43-B43)</f>
        <v>1402</v>
      </c>
      <c r="G43" s="20">
        <f>SUM(E43-D43)</f>
        <v>1068</v>
      </c>
      <c r="H43" s="21">
        <f>SUM(F43:G43)</f>
        <v>2470</v>
      </c>
      <c r="J43" s="7" t="s">
        <v>22</v>
      </c>
      <c r="K43" s="10">
        <v>327.92</v>
      </c>
      <c r="L43" s="11">
        <v>353.65</v>
      </c>
      <c r="M43" s="11">
        <v>379.34</v>
      </c>
      <c r="N43" s="11">
        <v>247.79</v>
      </c>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1308.6999999999998</v>
      </c>
      <c r="AB44" s="8" t="s">
        <v>23</v>
      </c>
      <c r="AC44" s="13">
        <f>SUM(X43:AC43)</f>
        <v>0</v>
      </c>
      <c r="AJ44" s="8" t="s">
        <v>23</v>
      </c>
      <c r="AK44" s="13">
        <f>SUM(AF43:AK43)</f>
        <v>0</v>
      </c>
    </row>
    <row r="45" spans="1:37"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W45" s="101" t="str">
        <f>J45</f>
        <v>Novembro</v>
      </c>
      <c r="X45" s="101"/>
      <c r="Y45" s="101"/>
      <c r="Z45" s="101"/>
      <c r="AA45" s="101"/>
      <c r="AB45" s="101"/>
      <c r="AC45" s="101"/>
      <c r="AE45" s="102" t="str">
        <f>W45</f>
        <v>Novembro</v>
      </c>
      <c r="AF45" s="102"/>
      <c r="AG45" s="102"/>
      <c r="AH45" s="102"/>
      <c r="AI45" s="102"/>
      <c r="AJ45" s="102"/>
      <c r="AK45" s="102"/>
    </row>
    <row r="46" spans="1:37" ht="15.75" thickBot="1" x14ac:dyDescent="0.3">
      <c r="A46" s="97" t="s">
        <v>5</v>
      </c>
      <c r="B46" s="34" t="s">
        <v>6</v>
      </c>
      <c r="C46" s="22" t="s">
        <v>7</v>
      </c>
      <c r="D46" s="33" t="s">
        <v>8</v>
      </c>
      <c r="E46" s="22" t="s">
        <v>9</v>
      </c>
      <c r="F46" s="24" t="s">
        <v>10</v>
      </c>
      <c r="G46" s="23" t="s">
        <v>11</v>
      </c>
      <c r="H46" s="25" t="s">
        <v>12</v>
      </c>
      <c r="J46" s="6" t="s">
        <v>4</v>
      </c>
      <c r="K46" s="9">
        <v>45965</v>
      </c>
      <c r="L46" s="66">
        <v>45967</v>
      </c>
      <c r="M46" s="66">
        <v>45968</v>
      </c>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97"/>
      <c r="B47" s="27">
        <v>45428</v>
      </c>
      <c r="C47" s="27">
        <v>46831</v>
      </c>
      <c r="D47" s="27"/>
      <c r="E47" s="27"/>
      <c r="F47" s="27">
        <f>SUM(C47-B47)</f>
        <v>1403</v>
      </c>
      <c r="G47" s="20">
        <f>SUM(E47-D47)</f>
        <v>0</v>
      </c>
      <c r="H47" s="21">
        <f>SUM(F47:G47)</f>
        <v>1403</v>
      </c>
      <c r="J47" s="7" t="s">
        <v>22</v>
      </c>
      <c r="K47" s="10">
        <v>287.08</v>
      </c>
      <c r="L47" s="11">
        <v>278.27999999999997</v>
      </c>
      <c r="M47" s="11">
        <v>289.27</v>
      </c>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854.62999999999988</v>
      </c>
      <c r="AB48" s="8" t="s">
        <v>23</v>
      </c>
      <c r="AC48" s="13">
        <f>SUM(X47:AC47)</f>
        <v>0</v>
      </c>
      <c r="AJ48" s="8" t="s">
        <v>23</v>
      </c>
      <c r="AK48" s="13">
        <f>SUM(AF47:AK47)</f>
        <v>0</v>
      </c>
    </row>
    <row r="49" spans="1:37"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W49" s="101" t="str">
        <f>J49</f>
        <v>Dezembro</v>
      </c>
      <c r="X49" s="101"/>
      <c r="Y49" s="101"/>
      <c r="Z49" s="101"/>
      <c r="AA49" s="101"/>
      <c r="AB49" s="101"/>
      <c r="AC49" s="101"/>
      <c r="AE49" s="102" t="str">
        <f>W49</f>
        <v>Dezembro</v>
      </c>
      <c r="AF49" s="102"/>
      <c r="AG49" s="102"/>
      <c r="AH49" s="102"/>
      <c r="AI49" s="102"/>
      <c r="AJ49" s="102"/>
      <c r="AK49" s="102"/>
    </row>
    <row r="50" spans="1:37"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E3:F3"/>
    <mergeCell ref="A50:A51"/>
    <mergeCell ref="E4:F4"/>
    <mergeCell ref="A38:A39"/>
    <mergeCell ref="B41:H41"/>
    <mergeCell ref="A42:A43"/>
    <mergeCell ref="B45:H45"/>
    <mergeCell ref="A46:A47"/>
    <mergeCell ref="B49:H49"/>
    <mergeCell ref="A26:A27"/>
    <mergeCell ref="B29:H29"/>
    <mergeCell ref="A30:A31"/>
    <mergeCell ref="B33:H33"/>
    <mergeCell ref="A34:A35"/>
    <mergeCell ref="B37:H37"/>
    <mergeCell ref="B25:H25"/>
    <mergeCell ref="AE7:AK7"/>
    <mergeCell ref="AE9:AK9"/>
    <mergeCell ref="AE13:AK13"/>
    <mergeCell ref="AE17:AK17"/>
    <mergeCell ref="AE49:AK49"/>
    <mergeCell ref="AE25:AK25"/>
    <mergeCell ref="AE29:AK29"/>
    <mergeCell ref="AE33:AK33"/>
    <mergeCell ref="AE37:AK37"/>
    <mergeCell ref="AE41:AK41"/>
    <mergeCell ref="AE45:AK45"/>
    <mergeCell ref="AE21:AK21"/>
    <mergeCell ref="W7:AC7"/>
    <mergeCell ref="W13:AC13"/>
    <mergeCell ref="W17:AC17"/>
    <mergeCell ref="W21:AC21"/>
    <mergeCell ref="W25:AC25"/>
    <mergeCell ref="J45:U45"/>
    <mergeCell ref="J49:U49"/>
    <mergeCell ref="W9:AC9"/>
    <mergeCell ref="J13:U13"/>
    <mergeCell ref="J17:U17"/>
    <mergeCell ref="J21:U21"/>
    <mergeCell ref="J25:U25"/>
    <mergeCell ref="J29:U29"/>
    <mergeCell ref="J33:U33"/>
    <mergeCell ref="J9:U9"/>
    <mergeCell ref="W49:AC49"/>
    <mergeCell ref="W29:AC29"/>
    <mergeCell ref="W33:AC33"/>
    <mergeCell ref="W37:AC37"/>
    <mergeCell ref="W41:AC41"/>
    <mergeCell ref="W45:AC45"/>
    <mergeCell ref="B2:C2"/>
    <mergeCell ref="E2:F2"/>
    <mergeCell ref="B4:C4"/>
    <mergeCell ref="J37:U37"/>
    <mergeCell ref="J41:U41"/>
    <mergeCell ref="J7:U7"/>
    <mergeCell ref="A7:H7"/>
    <mergeCell ref="A10:A11"/>
    <mergeCell ref="A14:A15"/>
    <mergeCell ref="A18:A19"/>
    <mergeCell ref="B9:H9"/>
    <mergeCell ref="B13:H13"/>
    <mergeCell ref="B17:H17"/>
    <mergeCell ref="B21:H21"/>
    <mergeCell ref="A22:A23"/>
    <mergeCell ref="B3:C3"/>
  </mergeCells>
  <phoneticPr fontId="3" type="noConversion"/>
  <pageMargins left="0.511811024" right="0.511811024" top="0.78740157499999996" bottom="0.78740157499999996" header="0.31496062000000002" footer="0.31496062000000002"/>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M58"/>
  <sheetViews>
    <sheetView showGridLines="0" topLeftCell="A29" workbookViewId="0">
      <selection activeCell="Q54" sqref="Q54"/>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4" bestFit="1" customWidth="1"/>
    <col min="10" max="10" width="13.42578125" bestFit="1" customWidth="1"/>
    <col min="11" max="13" width="10.42578125" bestFit="1" customWidth="1"/>
    <col min="14" max="16" width="10.5703125" bestFit="1" customWidth="1"/>
    <col min="17" max="20" width="10.42578125" bestFit="1" customWidth="1"/>
    <col min="21" max="21" width="13.28515625" bestFit="1" customWidth="1"/>
    <col min="22" max="23" width="13.28515625" customWidth="1"/>
    <col min="34" max="35" width="10.42578125" bestFit="1" customWidth="1"/>
    <col min="36" max="38" width="10.140625" bestFit="1" customWidth="1"/>
    <col min="39" max="39" width="9.5703125" bestFit="1" customWidth="1"/>
  </cols>
  <sheetData>
    <row r="2" spans="1:39" x14ac:dyDescent="0.25">
      <c r="A2" t="s">
        <v>0</v>
      </c>
      <c r="B2" s="94" t="s">
        <v>94</v>
      </c>
      <c r="C2" s="94"/>
      <c r="D2" s="1" t="s">
        <v>1</v>
      </c>
      <c r="E2" s="94" t="s">
        <v>88</v>
      </c>
      <c r="F2" s="94"/>
      <c r="H2" t="s">
        <v>91</v>
      </c>
      <c r="I2" s="75">
        <v>3000</v>
      </c>
    </row>
    <row r="3" spans="1:39" x14ac:dyDescent="0.25">
      <c r="A3" t="s">
        <v>79</v>
      </c>
      <c r="B3" s="108">
        <v>45741</v>
      </c>
      <c r="C3" s="94"/>
      <c r="D3" s="1" t="s">
        <v>1</v>
      </c>
      <c r="E3" s="94" t="s">
        <v>87</v>
      </c>
      <c r="F3" s="94"/>
      <c r="H3" t="s">
        <v>80</v>
      </c>
      <c r="I3" s="70" t="s">
        <v>89</v>
      </c>
    </row>
    <row r="4" spans="1:39" x14ac:dyDescent="0.25">
      <c r="A4" s="78" t="s">
        <v>95</v>
      </c>
      <c r="B4" s="108">
        <v>45819</v>
      </c>
      <c r="C4" s="94"/>
      <c r="D4" s="1" t="s">
        <v>1</v>
      </c>
      <c r="E4" s="94" t="s">
        <v>87</v>
      </c>
      <c r="F4" s="94"/>
      <c r="H4" t="s">
        <v>97</v>
      </c>
      <c r="I4" s="67" t="s">
        <v>103</v>
      </c>
    </row>
    <row r="5" spans="1:39" x14ac:dyDescent="0.25">
      <c r="A5" s="78" t="s">
        <v>111</v>
      </c>
      <c r="B5" s="108">
        <v>45873</v>
      </c>
      <c r="C5" s="94"/>
      <c r="D5" s="1" t="s">
        <v>1</v>
      </c>
      <c r="E5" s="94" t="s">
        <v>87</v>
      </c>
      <c r="F5" s="94"/>
      <c r="H5" t="s">
        <v>97</v>
      </c>
      <c r="I5" s="67" t="s">
        <v>113</v>
      </c>
    </row>
    <row r="6" spans="1:39" x14ac:dyDescent="0.25">
      <c r="A6" t="s">
        <v>2</v>
      </c>
      <c r="B6" s="95">
        <v>3837</v>
      </c>
      <c r="C6" s="95"/>
      <c r="D6" s="1" t="s">
        <v>29</v>
      </c>
      <c r="E6" s="114">
        <v>45</v>
      </c>
      <c r="F6" s="114"/>
      <c r="G6" s="1"/>
      <c r="H6" s="1" t="s">
        <v>70</v>
      </c>
      <c r="I6" s="76">
        <v>45740</v>
      </c>
    </row>
    <row r="9" spans="1:39" ht="21" x14ac:dyDescent="0.35">
      <c r="A9" s="96" t="s">
        <v>28</v>
      </c>
      <c r="B9" s="96"/>
      <c r="C9" s="96"/>
      <c r="D9" s="96"/>
      <c r="E9" s="96"/>
      <c r="F9" s="96"/>
      <c r="G9" s="96"/>
      <c r="H9" s="96"/>
      <c r="J9" s="103" t="s">
        <v>26</v>
      </c>
      <c r="K9" s="103"/>
      <c r="L9" s="103"/>
      <c r="M9" s="103"/>
      <c r="N9" s="103"/>
      <c r="O9" s="103"/>
      <c r="P9" s="103"/>
      <c r="Q9" s="103"/>
      <c r="R9" s="103"/>
      <c r="S9" s="103"/>
      <c r="T9" s="103"/>
      <c r="U9" s="103"/>
      <c r="V9" s="79"/>
      <c r="W9" s="79"/>
      <c r="X9" s="2"/>
      <c r="Y9" s="98" t="s">
        <v>25</v>
      </c>
      <c r="Z9" s="98"/>
      <c r="AA9" s="98"/>
      <c r="AB9" s="98"/>
      <c r="AC9" s="98"/>
      <c r="AD9" s="98"/>
      <c r="AE9" s="98"/>
      <c r="AF9" s="2"/>
      <c r="AG9" s="98" t="s">
        <v>27</v>
      </c>
      <c r="AH9" s="98"/>
      <c r="AI9" s="98"/>
      <c r="AJ9" s="98"/>
      <c r="AK9" s="98"/>
      <c r="AL9" s="98"/>
      <c r="AM9" s="98"/>
    </row>
    <row r="10" spans="1:39" s="15" customFormat="1" ht="21" x14ac:dyDescent="0.35">
      <c r="A10" s="14"/>
      <c r="B10" s="14"/>
      <c r="C10" s="14"/>
      <c r="D10" s="94"/>
      <c r="E10" s="94"/>
      <c r="F10" s="14"/>
      <c r="G10" s="14"/>
      <c r="H10" s="14"/>
      <c r="J10" s="16"/>
      <c r="K10" s="16"/>
      <c r="L10" s="16"/>
      <c r="M10" s="16"/>
      <c r="N10" s="16"/>
      <c r="O10" s="16"/>
      <c r="P10" s="16"/>
      <c r="Q10" s="16"/>
      <c r="R10" s="16"/>
      <c r="S10" s="16"/>
      <c r="T10" s="16"/>
      <c r="U10" s="16"/>
      <c r="V10" s="16"/>
      <c r="W10" s="16"/>
      <c r="X10" s="17"/>
      <c r="Y10" s="18"/>
      <c r="Z10" s="18"/>
      <c r="AA10" s="18"/>
      <c r="AB10" s="18"/>
      <c r="AC10" s="18"/>
      <c r="AD10" s="18"/>
      <c r="AE10" s="18"/>
      <c r="AF10" s="17"/>
      <c r="AG10" s="18"/>
      <c r="AH10" s="18"/>
      <c r="AI10" s="18"/>
      <c r="AJ10" s="18"/>
      <c r="AK10" s="18"/>
      <c r="AL10" s="18"/>
      <c r="AM10" s="18"/>
    </row>
    <row r="11" spans="1:39" ht="15.75" thickBot="1" x14ac:dyDescent="0.3">
      <c r="A11" s="19"/>
      <c r="B11" s="99" t="s">
        <v>3</v>
      </c>
      <c r="C11" s="99"/>
      <c r="D11" s="99"/>
      <c r="E11" s="99"/>
      <c r="F11" s="99"/>
      <c r="G11" s="99"/>
      <c r="H11" s="99"/>
      <c r="J11" s="100" t="s">
        <v>3</v>
      </c>
      <c r="K11" s="100"/>
      <c r="L11" s="100"/>
      <c r="M11" s="100"/>
      <c r="N11" s="100"/>
      <c r="O11" s="100"/>
      <c r="P11" s="100"/>
      <c r="Q11" s="100"/>
      <c r="R11" s="100"/>
      <c r="S11" s="100"/>
      <c r="T11" s="100"/>
      <c r="U11" s="100"/>
      <c r="V11" s="80"/>
      <c r="W11" s="80"/>
      <c r="Y11" s="101" t="s">
        <v>3</v>
      </c>
      <c r="Z11" s="101"/>
      <c r="AA11" s="101"/>
      <c r="AB11" s="101"/>
      <c r="AC11" s="101"/>
      <c r="AD11" s="101"/>
      <c r="AE11" s="101"/>
      <c r="AG11" s="102" t="s">
        <v>3</v>
      </c>
      <c r="AH11" s="102"/>
      <c r="AI11" s="102"/>
      <c r="AJ11" s="102"/>
      <c r="AK11" s="102"/>
      <c r="AL11" s="102"/>
      <c r="AM11" s="102"/>
    </row>
    <row r="12" spans="1:39" ht="15.75" thickBot="1" x14ac:dyDescent="0.3">
      <c r="A12" s="97" t="s">
        <v>5</v>
      </c>
      <c r="B12" s="34" t="s">
        <v>6</v>
      </c>
      <c r="C12" s="22" t="s">
        <v>7</v>
      </c>
      <c r="D12" s="33" t="s">
        <v>8</v>
      </c>
      <c r="E12" s="22" t="s">
        <v>9</v>
      </c>
      <c r="F12" s="24" t="s">
        <v>10</v>
      </c>
      <c r="G12" s="23" t="s">
        <v>11</v>
      </c>
      <c r="H12" s="25" t="s">
        <v>12</v>
      </c>
      <c r="J12" s="28" t="s">
        <v>4</v>
      </c>
      <c r="K12" s="9"/>
      <c r="L12" s="66"/>
      <c r="M12" s="4"/>
      <c r="N12" s="4"/>
      <c r="O12" s="4"/>
      <c r="P12" s="4"/>
      <c r="Q12" s="4"/>
      <c r="R12" s="4"/>
      <c r="S12" s="4"/>
      <c r="T12" s="4"/>
      <c r="U12" s="5"/>
      <c r="Y12" s="6" t="s">
        <v>4</v>
      </c>
      <c r="Z12" s="9"/>
      <c r="AA12" s="4"/>
      <c r="AB12" s="4"/>
      <c r="AC12" s="4"/>
      <c r="AD12" s="4"/>
      <c r="AE12" s="5"/>
      <c r="AG12" s="6" t="s">
        <v>4</v>
      </c>
      <c r="AH12" s="9"/>
      <c r="AI12" s="4"/>
      <c r="AJ12" s="4"/>
      <c r="AK12" s="4"/>
      <c r="AL12" s="4"/>
      <c r="AM12" s="5"/>
    </row>
    <row r="13" spans="1:39" ht="15.75" thickBot="1" x14ac:dyDescent="0.3">
      <c r="A13" s="97"/>
      <c r="B13" s="26"/>
      <c r="C13" s="27"/>
      <c r="D13" s="27"/>
      <c r="E13" s="27"/>
      <c r="F13" s="27">
        <f>SUM(C13-B13)</f>
        <v>0</v>
      </c>
      <c r="G13" s="20">
        <f>SUM(E13-D13)</f>
        <v>0</v>
      </c>
      <c r="H13" s="21">
        <f>SUM(F13:G13)</f>
        <v>0</v>
      </c>
      <c r="J13" s="29" t="s">
        <v>22</v>
      </c>
      <c r="K13" s="10"/>
      <c r="L13" s="11"/>
      <c r="M13" s="11"/>
      <c r="N13" s="11"/>
      <c r="O13" s="11"/>
      <c r="P13" s="11"/>
      <c r="Q13" s="11"/>
      <c r="R13" s="11"/>
      <c r="S13" s="11"/>
      <c r="T13" s="11"/>
      <c r="U13" s="12"/>
      <c r="V13" s="13"/>
      <c r="W13" s="13"/>
      <c r="Y13" s="7" t="s">
        <v>22</v>
      </c>
      <c r="Z13" s="10"/>
      <c r="AA13" s="11"/>
      <c r="AB13" s="11"/>
      <c r="AC13" s="11"/>
      <c r="AD13" s="11"/>
      <c r="AE13" s="12"/>
      <c r="AG13" s="7" t="s">
        <v>22</v>
      </c>
      <c r="AH13" s="10"/>
      <c r="AI13" s="11"/>
      <c r="AJ13" s="11"/>
      <c r="AK13" s="11"/>
      <c r="AL13" s="11"/>
      <c r="AM13" s="12"/>
    </row>
    <row r="14" spans="1:39" x14ac:dyDescent="0.25">
      <c r="J14" s="8"/>
      <c r="T14" s="8" t="s">
        <v>23</v>
      </c>
      <c r="U14" s="13">
        <f>SUM(K13:U13)</f>
        <v>0</v>
      </c>
      <c r="V14" s="13"/>
      <c r="W14" s="13"/>
      <c r="AD14" s="8" t="s">
        <v>23</v>
      </c>
      <c r="AE14" s="13">
        <f>SUM(Z13:AE13)</f>
        <v>0</v>
      </c>
      <c r="AL14" s="8" t="s">
        <v>23</v>
      </c>
      <c r="AM14" s="13">
        <f>SUM(AH13:AM13)</f>
        <v>0</v>
      </c>
    </row>
    <row r="15" spans="1:39" ht="15.75" thickBot="1" x14ac:dyDescent="0.3">
      <c r="A15" s="19"/>
      <c r="B15" s="99" t="s">
        <v>13</v>
      </c>
      <c r="C15" s="99"/>
      <c r="D15" s="99"/>
      <c r="E15" s="99"/>
      <c r="F15" s="99"/>
      <c r="G15" s="99"/>
      <c r="H15" s="99"/>
      <c r="J15" s="100" t="s">
        <v>13</v>
      </c>
      <c r="K15" s="100"/>
      <c r="L15" s="100"/>
      <c r="M15" s="100"/>
      <c r="N15" s="100"/>
      <c r="O15" s="100"/>
      <c r="P15" s="100"/>
      <c r="Q15" s="100"/>
      <c r="R15" s="100"/>
      <c r="S15" s="100"/>
      <c r="T15" s="100"/>
      <c r="U15" s="100"/>
      <c r="V15" s="80"/>
      <c r="W15" s="80"/>
      <c r="Y15" s="101" t="str">
        <f>J15</f>
        <v>Março</v>
      </c>
      <c r="Z15" s="101"/>
      <c r="AA15" s="101"/>
      <c r="AB15" s="101"/>
      <c r="AC15" s="101"/>
      <c r="AD15" s="101"/>
      <c r="AE15" s="101"/>
      <c r="AG15" s="102" t="str">
        <f>Y15</f>
        <v>Março</v>
      </c>
      <c r="AH15" s="102"/>
      <c r="AI15" s="102"/>
      <c r="AJ15" s="102"/>
      <c r="AK15" s="102"/>
      <c r="AL15" s="102"/>
      <c r="AM15" s="102"/>
    </row>
    <row r="16" spans="1:39" ht="15.75" thickBot="1" x14ac:dyDescent="0.3">
      <c r="A16" s="97" t="s">
        <v>5</v>
      </c>
      <c r="B16" s="34" t="s">
        <v>6</v>
      </c>
      <c r="C16" s="22" t="s">
        <v>7</v>
      </c>
      <c r="D16" s="33" t="s">
        <v>8</v>
      </c>
      <c r="E16" s="22" t="s">
        <v>9</v>
      </c>
      <c r="F16" s="24" t="s">
        <v>10</v>
      </c>
      <c r="G16" s="23" t="s">
        <v>11</v>
      </c>
      <c r="H16" s="25" t="s">
        <v>12</v>
      </c>
      <c r="J16" s="6" t="s">
        <v>4</v>
      </c>
      <c r="K16" s="66">
        <v>45741</v>
      </c>
      <c r="L16" s="66">
        <v>45743</v>
      </c>
      <c r="M16" s="66"/>
      <c r="N16" s="4"/>
      <c r="O16" s="4"/>
      <c r="P16" s="4"/>
      <c r="Q16" s="4"/>
      <c r="R16" s="4"/>
      <c r="S16" s="4"/>
      <c r="T16" s="4"/>
      <c r="U16" s="5"/>
      <c r="Y16" s="6" t="s">
        <v>4</v>
      </c>
      <c r="Z16" s="9"/>
      <c r="AA16" s="4"/>
      <c r="AB16" s="4"/>
      <c r="AC16" s="4"/>
      <c r="AD16" s="4"/>
      <c r="AE16" s="5"/>
      <c r="AG16" s="6" t="s">
        <v>4</v>
      </c>
      <c r="AH16" s="9"/>
      <c r="AI16" s="4"/>
      <c r="AJ16" s="4"/>
      <c r="AK16" s="4"/>
      <c r="AL16" s="4"/>
      <c r="AM16" s="5"/>
    </row>
    <row r="17" spans="1:39" ht="15.75" thickBot="1" x14ac:dyDescent="0.3">
      <c r="A17" s="97"/>
      <c r="B17" s="26"/>
      <c r="C17" s="27"/>
      <c r="D17" s="27">
        <v>3454</v>
      </c>
      <c r="E17" s="27">
        <v>4111</v>
      </c>
      <c r="F17" s="27">
        <f>SUM(C17-B17)</f>
        <v>0</v>
      </c>
      <c r="G17" s="20">
        <f>SUM(E17-D17)</f>
        <v>657</v>
      </c>
      <c r="H17" s="21">
        <f>SUM(F17:G17)</f>
        <v>657</v>
      </c>
      <c r="J17" s="7" t="s">
        <v>22</v>
      </c>
      <c r="K17" s="11">
        <v>120.11</v>
      </c>
      <c r="L17" s="11">
        <v>225.89</v>
      </c>
      <c r="M17" s="11"/>
      <c r="N17" s="11"/>
      <c r="O17" s="11"/>
      <c r="P17" s="11"/>
      <c r="Q17" s="11"/>
      <c r="R17" s="11"/>
      <c r="S17" s="11"/>
      <c r="T17" s="11"/>
      <c r="U17" s="12"/>
      <c r="V17" s="13"/>
      <c r="W17" s="13"/>
      <c r="Y17" s="7" t="s">
        <v>22</v>
      </c>
      <c r="Z17" s="10"/>
      <c r="AA17" s="11"/>
      <c r="AB17" s="11"/>
      <c r="AC17" s="11"/>
      <c r="AD17" s="11"/>
      <c r="AE17" s="12"/>
      <c r="AG17" s="7" t="s">
        <v>22</v>
      </c>
      <c r="AH17" s="10"/>
      <c r="AI17" s="11"/>
      <c r="AJ17" s="11"/>
      <c r="AK17" s="11"/>
      <c r="AL17" s="11"/>
      <c r="AM17" s="12"/>
    </row>
    <row r="18" spans="1:39" x14ac:dyDescent="0.25">
      <c r="J18" s="8"/>
      <c r="T18" s="8" t="s">
        <v>23</v>
      </c>
      <c r="U18" s="13">
        <f>SUM(K17:U17)</f>
        <v>346</v>
      </c>
      <c r="V18" s="13"/>
      <c r="W18" s="13"/>
      <c r="AD18" s="8" t="s">
        <v>23</v>
      </c>
      <c r="AE18" s="13">
        <f>SUM(Z17:AE17)</f>
        <v>0</v>
      </c>
      <c r="AL18" s="8" t="s">
        <v>23</v>
      </c>
      <c r="AM18" s="13">
        <f>SUM(AH17:AM17)</f>
        <v>0</v>
      </c>
    </row>
    <row r="19" spans="1:39" ht="15.75" thickBot="1" x14ac:dyDescent="0.3">
      <c r="A19" s="19"/>
      <c r="B19" s="99" t="s">
        <v>14</v>
      </c>
      <c r="C19" s="99"/>
      <c r="D19" s="99"/>
      <c r="E19" s="99"/>
      <c r="F19" s="99"/>
      <c r="G19" s="99"/>
      <c r="H19" s="99"/>
      <c r="J19" s="100" t="s">
        <v>14</v>
      </c>
      <c r="K19" s="100"/>
      <c r="L19" s="100"/>
      <c r="M19" s="100"/>
      <c r="N19" s="100"/>
      <c r="O19" s="100"/>
      <c r="P19" s="100"/>
      <c r="Q19" s="100"/>
      <c r="R19" s="100"/>
      <c r="S19" s="100"/>
      <c r="T19" s="100"/>
      <c r="U19" s="100"/>
      <c r="V19" s="80"/>
      <c r="W19" s="80"/>
      <c r="Y19" s="101" t="str">
        <f>J19</f>
        <v>Abril</v>
      </c>
      <c r="Z19" s="101"/>
      <c r="AA19" s="101"/>
      <c r="AB19" s="101"/>
      <c r="AC19" s="101"/>
      <c r="AD19" s="101"/>
      <c r="AE19" s="101"/>
      <c r="AG19" s="102" t="str">
        <f>Y19</f>
        <v>Abril</v>
      </c>
      <c r="AH19" s="102"/>
      <c r="AI19" s="102"/>
      <c r="AJ19" s="102"/>
      <c r="AK19" s="102"/>
      <c r="AL19" s="102"/>
      <c r="AM19" s="102"/>
    </row>
    <row r="20" spans="1:39" ht="15.75" thickBot="1" x14ac:dyDescent="0.3">
      <c r="A20" s="97" t="s">
        <v>5</v>
      </c>
      <c r="B20" s="34" t="s">
        <v>6</v>
      </c>
      <c r="C20" s="22" t="s">
        <v>7</v>
      </c>
      <c r="D20" s="33" t="s">
        <v>8</v>
      </c>
      <c r="E20" s="22" t="s">
        <v>9</v>
      </c>
      <c r="F20" s="24" t="s">
        <v>10</v>
      </c>
      <c r="G20" s="23" t="s">
        <v>11</v>
      </c>
      <c r="H20" s="25" t="s">
        <v>12</v>
      </c>
      <c r="J20" s="6" t="s">
        <v>4</v>
      </c>
      <c r="K20" s="9">
        <v>45748</v>
      </c>
      <c r="L20" s="66">
        <v>45750</v>
      </c>
      <c r="M20" s="66">
        <v>45755</v>
      </c>
      <c r="N20" s="66">
        <v>45758</v>
      </c>
      <c r="O20" s="66">
        <v>45762</v>
      </c>
      <c r="P20" s="66">
        <v>45764</v>
      </c>
      <c r="Q20" s="66">
        <v>45769</v>
      </c>
      <c r="R20" s="66">
        <v>45771</v>
      </c>
      <c r="S20" s="66">
        <v>45773</v>
      </c>
      <c r="T20" s="66">
        <v>45775</v>
      </c>
      <c r="U20" s="5"/>
      <c r="Y20" s="6" t="s">
        <v>4</v>
      </c>
      <c r="Z20" s="9"/>
      <c r="AA20" s="4"/>
      <c r="AB20" s="4"/>
      <c r="AC20" s="4"/>
      <c r="AD20" s="4"/>
      <c r="AE20" s="5"/>
      <c r="AG20" s="6" t="s">
        <v>4</v>
      </c>
      <c r="AH20" s="9"/>
      <c r="AI20" s="4"/>
      <c r="AJ20" s="4"/>
      <c r="AK20" s="4"/>
      <c r="AL20" s="4"/>
      <c r="AM20" s="5"/>
    </row>
    <row r="21" spans="1:39" ht="15.75" thickBot="1" x14ac:dyDescent="0.3">
      <c r="A21" s="97"/>
      <c r="B21" s="27">
        <v>4111</v>
      </c>
      <c r="C21" s="27">
        <v>5308</v>
      </c>
      <c r="D21" s="27">
        <v>5308</v>
      </c>
      <c r="E21" s="27">
        <v>7013</v>
      </c>
      <c r="F21" s="27">
        <f>SUM(C21-B21)</f>
        <v>1197</v>
      </c>
      <c r="G21" s="20">
        <f>SUM(E21-D21)</f>
        <v>1705</v>
      </c>
      <c r="H21" s="21">
        <f>SUM(F21:G21)</f>
        <v>2902</v>
      </c>
      <c r="J21" s="7" t="s">
        <v>22</v>
      </c>
      <c r="K21" s="30">
        <v>262.95</v>
      </c>
      <c r="L21" s="31">
        <v>258.08</v>
      </c>
      <c r="M21" s="31">
        <v>222.92</v>
      </c>
      <c r="N21" s="31">
        <v>224.35</v>
      </c>
      <c r="O21" s="31">
        <v>221.68</v>
      </c>
      <c r="P21" s="31">
        <v>174.23</v>
      </c>
      <c r="Q21" s="31">
        <v>212.99</v>
      </c>
      <c r="R21" s="31">
        <v>166.36</v>
      </c>
      <c r="S21" s="31">
        <v>233.65</v>
      </c>
      <c r="T21" s="31">
        <v>235.73</v>
      </c>
      <c r="U21" s="32"/>
      <c r="V21" s="82"/>
      <c r="W21" s="82"/>
      <c r="Y21" s="7" t="s">
        <v>22</v>
      </c>
      <c r="Z21" s="10"/>
      <c r="AA21" s="11"/>
      <c r="AB21" s="11"/>
      <c r="AC21" s="11"/>
      <c r="AD21" s="11"/>
      <c r="AE21" s="12"/>
      <c r="AG21" s="7" t="s">
        <v>22</v>
      </c>
      <c r="AH21" s="10"/>
      <c r="AI21" s="11"/>
      <c r="AJ21" s="11"/>
      <c r="AK21" s="11"/>
      <c r="AL21" s="11"/>
      <c r="AM21" s="12"/>
    </row>
    <row r="22" spans="1:39" x14ac:dyDescent="0.25">
      <c r="J22" s="8"/>
      <c r="T22" s="8" t="s">
        <v>23</v>
      </c>
      <c r="U22" s="13">
        <f>SUM(K21:U21)</f>
        <v>2212.94</v>
      </c>
      <c r="V22" s="13"/>
      <c r="W22" s="13"/>
      <c r="AD22" s="8" t="s">
        <v>23</v>
      </c>
      <c r="AE22" s="13">
        <f>SUM(Z21:AE21)</f>
        <v>0</v>
      </c>
      <c r="AL22" s="8" t="s">
        <v>23</v>
      </c>
      <c r="AM22" s="13">
        <f>SUM(AH21:AM21)</f>
        <v>0</v>
      </c>
    </row>
    <row r="23" spans="1:39" ht="15.75" thickBot="1" x14ac:dyDescent="0.3">
      <c r="A23" s="19"/>
      <c r="B23" s="99" t="s">
        <v>15</v>
      </c>
      <c r="C23" s="99"/>
      <c r="D23" s="99"/>
      <c r="E23" s="99"/>
      <c r="F23" s="99"/>
      <c r="G23" s="99"/>
      <c r="H23" s="99"/>
      <c r="J23" s="100" t="s">
        <v>15</v>
      </c>
      <c r="K23" s="100"/>
      <c r="L23" s="100"/>
      <c r="M23" s="100"/>
      <c r="N23" s="100"/>
      <c r="O23" s="100"/>
      <c r="P23" s="100"/>
      <c r="Q23" s="100"/>
      <c r="R23" s="100"/>
      <c r="S23" s="100"/>
      <c r="T23" s="100"/>
      <c r="U23" s="100"/>
      <c r="V23" s="80"/>
      <c r="W23" s="80"/>
      <c r="Y23" s="101" t="str">
        <f>J23</f>
        <v>Maio</v>
      </c>
      <c r="Z23" s="101"/>
      <c r="AA23" s="101"/>
      <c r="AB23" s="101"/>
      <c r="AC23" s="101"/>
      <c r="AD23" s="101"/>
      <c r="AE23" s="101"/>
      <c r="AG23" s="102" t="str">
        <f>Y23</f>
        <v>Maio</v>
      </c>
      <c r="AH23" s="102"/>
      <c r="AI23" s="102"/>
      <c r="AJ23" s="102"/>
      <c r="AK23" s="102"/>
      <c r="AL23" s="102"/>
      <c r="AM23" s="102"/>
    </row>
    <row r="24" spans="1:39" ht="15.75" thickBot="1" x14ac:dyDescent="0.3">
      <c r="A24" s="97" t="s">
        <v>5</v>
      </c>
      <c r="B24" s="34" t="s">
        <v>6</v>
      </c>
      <c r="C24" s="22" t="s">
        <v>7</v>
      </c>
      <c r="D24" s="33" t="s">
        <v>8</v>
      </c>
      <c r="E24" s="22" t="s">
        <v>9</v>
      </c>
      <c r="F24" s="24" t="s">
        <v>10</v>
      </c>
      <c r="G24" s="23" t="s">
        <v>11</v>
      </c>
      <c r="H24" s="25" t="s">
        <v>12</v>
      </c>
      <c r="J24" s="6" t="s">
        <v>4</v>
      </c>
      <c r="K24" s="9">
        <v>45779</v>
      </c>
      <c r="L24" s="66">
        <v>45783</v>
      </c>
      <c r="M24" s="66">
        <v>45785</v>
      </c>
      <c r="N24" s="66">
        <v>45790</v>
      </c>
      <c r="O24" s="66">
        <v>45792</v>
      </c>
      <c r="P24" s="66">
        <v>45797</v>
      </c>
      <c r="Q24" s="66">
        <v>45801</v>
      </c>
      <c r="R24" s="66">
        <v>45803</v>
      </c>
      <c r="S24" s="66">
        <v>45804</v>
      </c>
      <c r="T24" s="66">
        <v>45806</v>
      </c>
      <c r="U24" s="5"/>
      <c r="Y24" s="6" t="s">
        <v>4</v>
      </c>
      <c r="Z24" s="9"/>
      <c r="AA24" s="4"/>
      <c r="AB24" s="4"/>
      <c r="AC24" s="4"/>
      <c r="AD24" s="4"/>
      <c r="AE24" s="5"/>
      <c r="AG24" s="6" t="s">
        <v>4</v>
      </c>
      <c r="AH24" s="9">
        <v>45779</v>
      </c>
      <c r="AI24" s="66">
        <v>45805</v>
      </c>
      <c r="AJ24" s="4"/>
      <c r="AK24" s="4"/>
      <c r="AL24" s="4"/>
      <c r="AM24" s="5"/>
    </row>
    <row r="25" spans="1:39" ht="15.75" thickBot="1" x14ac:dyDescent="0.3">
      <c r="A25" s="97"/>
      <c r="B25" s="27">
        <v>7013</v>
      </c>
      <c r="C25" s="27">
        <v>8783</v>
      </c>
      <c r="D25" s="27">
        <v>8783</v>
      </c>
      <c r="E25" s="27">
        <v>10756</v>
      </c>
      <c r="F25" s="27">
        <f>SUM(C25-B25)</f>
        <v>1770</v>
      </c>
      <c r="G25" s="20">
        <f>SUM(E25-D25)</f>
        <v>1973</v>
      </c>
      <c r="H25" s="21">
        <f>SUM(F25:G25)</f>
        <v>3743</v>
      </c>
      <c r="J25" s="7" t="s">
        <v>22</v>
      </c>
      <c r="K25" s="10">
        <v>258.74</v>
      </c>
      <c r="L25" s="11">
        <v>246.69</v>
      </c>
      <c r="M25" s="11">
        <v>232.22</v>
      </c>
      <c r="N25" s="11">
        <v>254.01</v>
      </c>
      <c r="O25" s="11">
        <v>161.55000000000001</v>
      </c>
      <c r="P25" s="11">
        <v>239.23</v>
      </c>
      <c r="Q25" s="11">
        <v>190.46</v>
      </c>
      <c r="R25" s="11">
        <v>214.57</v>
      </c>
      <c r="S25" s="11">
        <v>237.97</v>
      </c>
      <c r="T25" s="11">
        <v>125.59</v>
      </c>
      <c r="U25" s="12"/>
      <c r="V25" s="13"/>
      <c r="W25" s="13"/>
      <c r="Y25" s="7" t="s">
        <v>22</v>
      </c>
      <c r="Z25" s="10"/>
      <c r="AA25" s="11"/>
      <c r="AB25" s="11"/>
      <c r="AC25" s="11"/>
      <c r="AD25" s="11"/>
      <c r="AE25" s="12"/>
      <c r="AG25" s="7" t="s">
        <v>22</v>
      </c>
      <c r="AH25" s="10">
        <v>40</v>
      </c>
      <c r="AI25" s="11">
        <v>40</v>
      </c>
      <c r="AJ25" s="11"/>
      <c r="AK25" s="11"/>
      <c r="AL25" s="11"/>
      <c r="AM25" s="12"/>
    </row>
    <row r="26" spans="1:39" x14ac:dyDescent="0.25">
      <c r="J26" s="8"/>
      <c r="T26" s="8" t="s">
        <v>23</v>
      </c>
      <c r="U26" s="13">
        <f>SUM(K25:U25)</f>
        <v>2161.0300000000002</v>
      </c>
      <c r="V26" s="13"/>
      <c r="W26" s="13"/>
      <c r="AD26" s="8" t="s">
        <v>23</v>
      </c>
      <c r="AE26" s="13">
        <f>SUM(Z25:AE25)</f>
        <v>0</v>
      </c>
      <c r="AL26" s="8" t="s">
        <v>23</v>
      </c>
      <c r="AM26" s="13">
        <f>SUM(AH25:AM25)</f>
        <v>80</v>
      </c>
    </row>
    <row r="27" spans="1:39" ht="15.75" thickBot="1" x14ac:dyDescent="0.3">
      <c r="A27" s="19"/>
      <c r="B27" s="99" t="s">
        <v>24</v>
      </c>
      <c r="C27" s="99"/>
      <c r="D27" s="99"/>
      <c r="E27" s="99"/>
      <c r="F27" s="99"/>
      <c r="G27" s="99"/>
      <c r="H27" s="99"/>
      <c r="J27" s="100" t="s">
        <v>24</v>
      </c>
      <c r="K27" s="100"/>
      <c r="L27" s="100"/>
      <c r="M27" s="100"/>
      <c r="N27" s="100"/>
      <c r="O27" s="100"/>
      <c r="P27" s="100"/>
      <c r="Q27" s="100"/>
      <c r="R27" s="100"/>
      <c r="S27" s="100"/>
      <c r="T27" s="100"/>
      <c r="U27" s="100"/>
      <c r="V27" s="80"/>
      <c r="W27" s="80"/>
      <c r="Y27" s="101" t="str">
        <f>J27</f>
        <v>Junho</v>
      </c>
      <c r="Z27" s="101"/>
      <c r="AA27" s="101"/>
      <c r="AB27" s="101"/>
      <c r="AC27" s="101"/>
      <c r="AD27" s="101"/>
      <c r="AE27" s="101"/>
      <c r="AG27" s="102" t="str">
        <f>Y27</f>
        <v>Junho</v>
      </c>
      <c r="AH27" s="102"/>
      <c r="AI27" s="102"/>
      <c r="AJ27" s="102"/>
      <c r="AK27" s="102"/>
      <c r="AL27" s="102"/>
      <c r="AM27" s="102"/>
    </row>
    <row r="28" spans="1:39" ht="15.75" thickBot="1" x14ac:dyDescent="0.3">
      <c r="A28" s="97" t="s">
        <v>5</v>
      </c>
      <c r="B28" s="34" t="s">
        <v>6</v>
      </c>
      <c r="C28" s="22" t="s">
        <v>7</v>
      </c>
      <c r="D28" s="33" t="s">
        <v>8</v>
      </c>
      <c r="E28" s="22" t="s">
        <v>9</v>
      </c>
      <c r="F28" s="24" t="s">
        <v>10</v>
      </c>
      <c r="G28" s="23" t="s">
        <v>11</v>
      </c>
      <c r="H28" s="25" t="s">
        <v>12</v>
      </c>
      <c r="J28" s="6" t="s">
        <v>4</v>
      </c>
      <c r="K28" s="9">
        <v>45820</v>
      </c>
      <c r="L28" s="66">
        <v>45825</v>
      </c>
      <c r="M28" s="66">
        <v>45832</v>
      </c>
      <c r="N28" s="66">
        <v>45836</v>
      </c>
      <c r="O28" s="4"/>
      <c r="P28" s="4"/>
      <c r="Q28" s="4"/>
      <c r="R28" s="4"/>
      <c r="S28" s="4"/>
      <c r="T28" s="4"/>
      <c r="U28" s="5"/>
      <c r="Y28" s="6" t="s">
        <v>4</v>
      </c>
      <c r="Z28" s="9"/>
      <c r="AA28" s="4"/>
      <c r="AB28" s="4"/>
      <c r="AC28" s="4"/>
      <c r="AD28" s="4"/>
      <c r="AE28" s="5"/>
      <c r="AG28" s="6" t="s">
        <v>4</v>
      </c>
      <c r="AH28" s="9"/>
      <c r="AI28" s="4"/>
      <c r="AJ28" s="4"/>
      <c r="AK28" s="4"/>
      <c r="AL28" s="4"/>
      <c r="AM28" s="5"/>
    </row>
    <row r="29" spans="1:39" ht="15.75" thickBot="1" x14ac:dyDescent="0.3">
      <c r="A29" s="97"/>
      <c r="B29" s="27">
        <v>10756</v>
      </c>
      <c r="C29" s="27">
        <v>12330</v>
      </c>
      <c r="D29" s="27">
        <v>12330</v>
      </c>
      <c r="E29" s="27">
        <v>13909</v>
      </c>
      <c r="F29" s="27">
        <f>SUM(C29-B29)</f>
        <v>1574</v>
      </c>
      <c r="G29" s="20">
        <f>SUM(E29-D29)</f>
        <v>1579</v>
      </c>
      <c r="H29" s="21">
        <f>SUM(F29:G29)</f>
        <v>3153</v>
      </c>
      <c r="J29" s="7" t="s">
        <v>22</v>
      </c>
      <c r="K29" s="10">
        <v>220.46</v>
      </c>
      <c r="L29" s="11">
        <v>205.37</v>
      </c>
      <c r="M29" s="11">
        <v>255.13</v>
      </c>
      <c r="N29" s="11">
        <v>323.77999999999997</v>
      </c>
      <c r="O29" s="11"/>
      <c r="P29" s="11"/>
      <c r="Q29" s="11"/>
      <c r="R29" s="11"/>
      <c r="S29" s="11"/>
      <c r="T29" s="11"/>
      <c r="U29" s="12"/>
      <c r="V29" s="13"/>
      <c r="W29" s="13"/>
      <c r="Y29" s="7" t="s">
        <v>22</v>
      </c>
      <c r="Z29" s="10"/>
      <c r="AA29" s="11"/>
      <c r="AB29" s="11"/>
      <c r="AC29" s="11"/>
      <c r="AD29" s="11"/>
      <c r="AE29" s="12"/>
      <c r="AG29" s="7" t="s">
        <v>22</v>
      </c>
      <c r="AH29" s="10"/>
      <c r="AI29" s="11"/>
      <c r="AJ29" s="11"/>
      <c r="AK29" s="11"/>
      <c r="AL29" s="11"/>
      <c r="AM29" s="12"/>
    </row>
    <row r="30" spans="1:39" x14ac:dyDescent="0.25">
      <c r="J30" s="8"/>
      <c r="T30" s="8" t="s">
        <v>23</v>
      </c>
      <c r="U30" s="13">
        <f>SUM(K29:U29)</f>
        <v>1004.74</v>
      </c>
      <c r="V30" s="13"/>
      <c r="W30" s="13"/>
      <c r="AD30" s="8" t="s">
        <v>23</v>
      </c>
      <c r="AE30" s="13">
        <f>SUM(Z29:AE29)</f>
        <v>0</v>
      </c>
      <c r="AL30" s="8" t="s">
        <v>23</v>
      </c>
      <c r="AM30" s="13">
        <f>SUM(AH29:AM29)</f>
        <v>0</v>
      </c>
    </row>
    <row r="31" spans="1:39" ht="15.75" thickBot="1" x14ac:dyDescent="0.3">
      <c r="A31" s="19"/>
      <c r="B31" s="99" t="s">
        <v>16</v>
      </c>
      <c r="C31" s="99"/>
      <c r="D31" s="99"/>
      <c r="E31" s="99"/>
      <c r="F31" s="99"/>
      <c r="G31" s="99"/>
      <c r="H31" s="99"/>
      <c r="J31" s="100" t="s">
        <v>16</v>
      </c>
      <c r="K31" s="100"/>
      <c r="L31" s="100"/>
      <c r="M31" s="100"/>
      <c r="N31" s="100"/>
      <c r="O31" s="100"/>
      <c r="P31" s="100"/>
      <c r="Q31" s="100"/>
      <c r="R31" s="100"/>
      <c r="S31" s="100"/>
      <c r="T31" s="100"/>
      <c r="U31" s="100"/>
      <c r="V31" s="80"/>
      <c r="W31" s="80"/>
      <c r="Y31" s="101" t="str">
        <f>J31</f>
        <v>Julho</v>
      </c>
      <c r="Z31" s="101"/>
      <c r="AA31" s="101"/>
      <c r="AB31" s="101"/>
      <c r="AC31" s="101"/>
      <c r="AD31" s="101"/>
      <c r="AE31" s="101"/>
      <c r="AG31" s="102" t="str">
        <f>Y31</f>
        <v>Julho</v>
      </c>
      <c r="AH31" s="102"/>
      <c r="AI31" s="102"/>
      <c r="AJ31" s="102"/>
      <c r="AK31" s="102"/>
      <c r="AL31" s="102"/>
      <c r="AM31" s="102"/>
    </row>
    <row r="32" spans="1:39" ht="15.75" thickBot="1" x14ac:dyDescent="0.3">
      <c r="A32" s="97" t="s">
        <v>5</v>
      </c>
      <c r="B32" s="34" t="s">
        <v>6</v>
      </c>
      <c r="C32" s="22" t="s">
        <v>7</v>
      </c>
      <c r="D32" s="33" t="s">
        <v>8</v>
      </c>
      <c r="E32" s="22" t="s">
        <v>9</v>
      </c>
      <c r="F32" s="24" t="s">
        <v>10</v>
      </c>
      <c r="G32" s="23" t="s">
        <v>11</v>
      </c>
      <c r="H32" s="25" t="s">
        <v>12</v>
      </c>
      <c r="J32" s="6" t="s">
        <v>4</v>
      </c>
      <c r="K32" s="9">
        <v>45841</v>
      </c>
      <c r="L32" s="66">
        <v>45843</v>
      </c>
      <c r="M32" s="66">
        <v>45846</v>
      </c>
      <c r="N32" s="66">
        <v>45848</v>
      </c>
      <c r="O32" s="66">
        <v>45850</v>
      </c>
      <c r="P32" s="66">
        <v>45853</v>
      </c>
      <c r="Q32" s="66">
        <v>45855</v>
      </c>
      <c r="R32" s="66">
        <v>45857</v>
      </c>
      <c r="S32" s="66">
        <v>45860</v>
      </c>
      <c r="T32" s="66">
        <v>45862</v>
      </c>
      <c r="U32" s="81">
        <v>45864</v>
      </c>
      <c r="V32" s="81">
        <v>45867</v>
      </c>
      <c r="W32" s="81">
        <v>45869</v>
      </c>
      <c r="Y32" s="6" t="s">
        <v>4</v>
      </c>
      <c r="Z32" s="9"/>
      <c r="AA32" s="4"/>
      <c r="AB32" s="4"/>
      <c r="AC32" s="4"/>
      <c r="AD32" s="4"/>
      <c r="AE32" s="5"/>
      <c r="AG32" s="6" t="s">
        <v>4</v>
      </c>
      <c r="AH32" s="9"/>
      <c r="AI32" s="4"/>
      <c r="AJ32" s="4"/>
      <c r="AK32" s="4"/>
      <c r="AL32" s="4"/>
      <c r="AM32" s="5"/>
    </row>
    <row r="33" spans="1:39" ht="15.75" thickBot="1" x14ac:dyDescent="0.3">
      <c r="A33" s="97"/>
      <c r="B33" s="27">
        <v>13909</v>
      </c>
      <c r="C33" s="27">
        <v>15118</v>
      </c>
      <c r="D33" s="27">
        <v>15118</v>
      </c>
      <c r="E33" s="27">
        <v>16875</v>
      </c>
      <c r="F33" s="27">
        <f>SUM(C33-B33)</f>
        <v>1209</v>
      </c>
      <c r="G33" s="20">
        <f>SUM(E33-D33)</f>
        <v>1757</v>
      </c>
      <c r="H33" s="21">
        <f>SUM(F33:G33)</f>
        <v>2966</v>
      </c>
      <c r="J33" s="7" t="s">
        <v>22</v>
      </c>
      <c r="K33" s="10">
        <v>258.45</v>
      </c>
      <c r="L33" s="11">
        <v>137.5</v>
      </c>
      <c r="M33" s="11">
        <v>208</v>
      </c>
      <c r="N33" s="11">
        <v>128.16</v>
      </c>
      <c r="O33" s="11">
        <v>213.47</v>
      </c>
      <c r="P33" s="11">
        <v>98.17</v>
      </c>
      <c r="Q33" s="11">
        <v>155.54</v>
      </c>
      <c r="R33" s="11">
        <v>129.09</v>
      </c>
      <c r="S33" s="11">
        <v>213.95</v>
      </c>
      <c r="T33" s="11">
        <v>137.31</v>
      </c>
      <c r="U33" s="12">
        <v>163.55000000000001</v>
      </c>
      <c r="V33" s="12">
        <v>107.98</v>
      </c>
      <c r="W33" s="12">
        <v>264.08999999999997</v>
      </c>
      <c r="Y33" s="7" t="s">
        <v>22</v>
      </c>
      <c r="Z33" s="10"/>
      <c r="AA33" s="11"/>
      <c r="AB33" s="11"/>
      <c r="AC33" s="11"/>
      <c r="AD33" s="11"/>
      <c r="AE33" s="12"/>
      <c r="AG33" s="7" t="s">
        <v>22</v>
      </c>
      <c r="AH33" s="10"/>
      <c r="AI33" s="11"/>
      <c r="AJ33" s="11"/>
      <c r="AK33" s="11"/>
      <c r="AL33" s="11"/>
      <c r="AM33" s="12"/>
    </row>
    <row r="34" spans="1:39" x14ac:dyDescent="0.25">
      <c r="J34" s="8"/>
      <c r="T34" s="8" t="s">
        <v>23</v>
      </c>
      <c r="U34" s="13">
        <f>SUM(K33:W33)</f>
        <v>2215.2599999999998</v>
      </c>
      <c r="V34" s="13"/>
      <c r="W34" s="13"/>
      <c r="AD34" s="8" t="s">
        <v>23</v>
      </c>
      <c r="AE34" s="13">
        <f>SUM(Z33:AE33)</f>
        <v>0</v>
      </c>
      <c r="AL34" s="8" t="s">
        <v>23</v>
      </c>
      <c r="AM34" s="13">
        <f>SUM(AH33:AM33)</f>
        <v>0</v>
      </c>
    </row>
    <row r="35" spans="1:39" ht="15.75" thickBot="1" x14ac:dyDescent="0.3">
      <c r="A35" s="19"/>
      <c r="B35" s="99" t="s">
        <v>17</v>
      </c>
      <c r="C35" s="99"/>
      <c r="D35" s="99"/>
      <c r="E35" s="99"/>
      <c r="F35" s="99"/>
      <c r="G35" s="99"/>
      <c r="H35" s="99"/>
      <c r="J35" s="100" t="s">
        <v>17</v>
      </c>
      <c r="K35" s="100"/>
      <c r="L35" s="100"/>
      <c r="M35" s="100"/>
      <c r="N35" s="100"/>
      <c r="O35" s="100"/>
      <c r="P35" s="100"/>
      <c r="Q35" s="100"/>
      <c r="R35" s="100"/>
      <c r="S35" s="100"/>
      <c r="T35" s="100"/>
      <c r="U35" s="100"/>
      <c r="V35" s="80"/>
      <c r="W35" s="80"/>
      <c r="Y35" s="101" t="str">
        <f>J35</f>
        <v>Agosto</v>
      </c>
      <c r="Z35" s="101"/>
      <c r="AA35" s="101"/>
      <c r="AB35" s="101"/>
      <c r="AC35" s="101"/>
      <c r="AD35" s="101"/>
      <c r="AE35" s="101"/>
      <c r="AG35" s="102" t="str">
        <f>Y35</f>
        <v>Agosto</v>
      </c>
      <c r="AH35" s="102"/>
      <c r="AI35" s="102"/>
      <c r="AJ35" s="102"/>
      <c r="AK35" s="102"/>
      <c r="AL35" s="102"/>
      <c r="AM35" s="102"/>
    </row>
    <row r="36" spans="1:39" ht="15.75" thickBot="1" x14ac:dyDescent="0.3">
      <c r="A36" s="97" t="s">
        <v>5</v>
      </c>
      <c r="B36" s="34" t="s">
        <v>6</v>
      </c>
      <c r="C36" s="22" t="s">
        <v>7</v>
      </c>
      <c r="D36" s="33" t="s">
        <v>8</v>
      </c>
      <c r="E36" s="22" t="s">
        <v>9</v>
      </c>
      <c r="F36" s="24" t="s">
        <v>10</v>
      </c>
      <c r="G36" s="23" t="s">
        <v>11</v>
      </c>
      <c r="H36" s="25" t="s">
        <v>12</v>
      </c>
      <c r="J36" s="6" t="s">
        <v>4</v>
      </c>
      <c r="K36" s="9">
        <v>45871</v>
      </c>
      <c r="L36" s="66">
        <v>45873</v>
      </c>
      <c r="M36" s="66">
        <v>45876</v>
      </c>
      <c r="N36" s="66">
        <v>45881</v>
      </c>
      <c r="O36" s="66">
        <v>45883</v>
      </c>
      <c r="P36" s="66">
        <v>45888</v>
      </c>
      <c r="Q36" s="66">
        <v>45890</v>
      </c>
      <c r="R36" s="66">
        <v>45895</v>
      </c>
      <c r="S36" s="66">
        <v>45897</v>
      </c>
      <c r="T36" s="4"/>
      <c r="U36" s="5"/>
      <c r="Y36" s="6" t="s">
        <v>4</v>
      </c>
      <c r="Z36" s="9"/>
      <c r="AA36" s="4"/>
      <c r="AB36" s="4"/>
      <c r="AC36" s="4"/>
      <c r="AD36" s="4"/>
      <c r="AE36" s="5"/>
      <c r="AG36" s="6" t="s">
        <v>4</v>
      </c>
      <c r="AH36" s="9"/>
      <c r="AI36" s="4"/>
      <c r="AJ36" s="4"/>
      <c r="AK36" s="4"/>
      <c r="AL36" s="4"/>
      <c r="AM36" s="5"/>
    </row>
    <row r="37" spans="1:39" ht="15.75" thickBot="1" x14ac:dyDescent="0.3">
      <c r="A37" s="97"/>
      <c r="B37" s="26">
        <v>16875</v>
      </c>
      <c r="C37" s="27">
        <v>18340</v>
      </c>
      <c r="D37" s="27">
        <v>18340</v>
      </c>
      <c r="E37" s="27">
        <v>19441</v>
      </c>
      <c r="F37" s="27">
        <f>SUM(C37-B37)</f>
        <v>1465</v>
      </c>
      <c r="G37" s="20">
        <f>SUM(E37-D37)</f>
        <v>1101</v>
      </c>
      <c r="H37" s="21">
        <f>SUM(F37:G37)</f>
        <v>2566</v>
      </c>
      <c r="J37" s="7" t="s">
        <v>22</v>
      </c>
      <c r="K37" s="10">
        <v>173.42</v>
      </c>
      <c r="L37" s="11">
        <v>241.45</v>
      </c>
      <c r="M37" s="11">
        <v>183.11</v>
      </c>
      <c r="N37" s="11">
        <v>226.04</v>
      </c>
      <c r="O37" s="11">
        <v>299.01</v>
      </c>
      <c r="P37" s="11">
        <v>354.43</v>
      </c>
      <c r="Q37" s="11">
        <v>125.1</v>
      </c>
      <c r="R37" s="11">
        <v>170.8</v>
      </c>
      <c r="S37" s="11">
        <v>160.04</v>
      </c>
      <c r="T37" s="11"/>
      <c r="U37" s="12"/>
      <c r="V37" s="13"/>
      <c r="W37" s="13"/>
      <c r="Y37" s="7" t="s">
        <v>22</v>
      </c>
      <c r="Z37" s="10"/>
      <c r="AA37" s="11"/>
      <c r="AB37" s="11"/>
      <c r="AC37" s="11"/>
      <c r="AD37" s="11"/>
      <c r="AE37" s="12"/>
      <c r="AG37" s="7" t="s">
        <v>22</v>
      </c>
      <c r="AH37" s="10"/>
      <c r="AI37" s="11"/>
      <c r="AJ37" s="11"/>
      <c r="AK37" s="11"/>
      <c r="AL37" s="11"/>
      <c r="AM37" s="12"/>
    </row>
    <row r="38" spans="1:39" x14ac:dyDescent="0.25">
      <c r="J38" s="8"/>
      <c r="T38" s="8" t="s">
        <v>23</v>
      </c>
      <c r="U38" s="13">
        <f>SUM(K37:U37)</f>
        <v>1933.3999999999999</v>
      </c>
      <c r="V38" s="13"/>
      <c r="W38" s="13"/>
      <c r="AD38" s="8" t="s">
        <v>23</v>
      </c>
      <c r="AE38" s="13">
        <f>SUM(Z37:AE37)</f>
        <v>0</v>
      </c>
      <c r="AL38" s="8" t="s">
        <v>23</v>
      </c>
      <c r="AM38" s="13">
        <f>SUM(AH37:AM37)</f>
        <v>0</v>
      </c>
    </row>
    <row r="39" spans="1:39" ht="15.75" thickBot="1" x14ac:dyDescent="0.3">
      <c r="A39" s="19"/>
      <c r="B39" s="99" t="s">
        <v>18</v>
      </c>
      <c r="C39" s="99"/>
      <c r="D39" s="99"/>
      <c r="E39" s="99"/>
      <c r="F39" s="99"/>
      <c r="G39" s="99"/>
      <c r="H39" s="99"/>
      <c r="J39" s="100" t="s">
        <v>18</v>
      </c>
      <c r="K39" s="100"/>
      <c r="L39" s="100"/>
      <c r="M39" s="100"/>
      <c r="N39" s="100"/>
      <c r="O39" s="100"/>
      <c r="P39" s="100"/>
      <c r="Q39" s="100"/>
      <c r="R39" s="100"/>
      <c r="S39" s="100"/>
      <c r="T39" s="100"/>
      <c r="U39" s="100"/>
      <c r="V39" s="80"/>
      <c r="W39" s="80"/>
      <c r="Y39" s="101" t="str">
        <f>J39</f>
        <v>Setembro</v>
      </c>
      <c r="Z39" s="101"/>
      <c r="AA39" s="101"/>
      <c r="AB39" s="101"/>
      <c r="AC39" s="101"/>
      <c r="AD39" s="101"/>
      <c r="AE39" s="101"/>
      <c r="AG39" s="102" t="str">
        <f>Y39</f>
        <v>Setembro</v>
      </c>
      <c r="AH39" s="102"/>
      <c r="AI39" s="102"/>
      <c r="AJ39" s="102"/>
      <c r="AK39" s="102"/>
      <c r="AL39" s="102"/>
      <c r="AM39" s="102"/>
    </row>
    <row r="40" spans="1:39" ht="15.75" thickBot="1" x14ac:dyDescent="0.3">
      <c r="A40" s="97" t="s">
        <v>5</v>
      </c>
      <c r="B40" s="34" t="s">
        <v>6</v>
      </c>
      <c r="C40" s="22" t="s">
        <v>7</v>
      </c>
      <c r="D40" s="33" t="s">
        <v>8</v>
      </c>
      <c r="E40" s="22" t="s">
        <v>9</v>
      </c>
      <c r="F40" s="24" t="s">
        <v>10</v>
      </c>
      <c r="G40" s="23" t="s">
        <v>11</v>
      </c>
      <c r="H40" s="25" t="s">
        <v>12</v>
      </c>
      <c r="J40" s="6" t="s">
        <v>4</v>
      </c>
      <c r="K40" s="9">
        <v>45902</v>
      </c>
      <c r="L40" s="66">
        <v>45904</v>
      </c>
      <c r="M40" s="66">
        <v>45906</v>
      </c>
      <c r="N40" s="66">
        <v>45911</v>
      </c>
      <c r="O40" s="66">
        <v>45916</v>
      </c>
      <c r="P40" s="66">
        <v>45918</v>
      </c>
      <c r="Q40" s="66">
        <v>45923</v>
      </c>
      <c r="R40" s="66">
        <v>45925</v>
      </c>
      <c r="S40" s="66">
        <v>45930</v>
      </c>
      <c r="T40" s="4"/>
      <c r="U40" s="5"/>
      <c r="Y40" s="6" t="s">
        <v>4</v>
      </c>
      <c r="Z40" s="9"/>
      <c r="AA40" s="4"/>
      <c r="AB40" s="4"/>
      <c r="AC40" s="4"/>
      <c r="AD40" s="4"/>
      <c r="AE40" s="5"/>
      <c r="AG40" s="6" t="s">
        <v>4</v>
      </c>
      <c r="AH40" s="9"/>
      <c r="AI40" s="4"/>
      <c r="AJ40" s="4"/>
      <c r="AK40" s="4"/>
      <c r="AL40" s="4"/>
      <c r="AM40" s="5"/>
    </row>
    <row r="41" spans="1:39" ht="15.75" thickBot="1" x14ac:dyDescent="0.3">
      <c r="A41" s="97"/>
      <c r="B41" s="27">
        <v>19441</v>
      </c>
      <c r="C41" s="27">
        <v>20814</v>
      </c>
      <c r="D41" s="27">
        <v>20814</v>
      </c>
      <c r="E41" s="27">
        <v>21923</v>
      </c>
      <c r="F41" s="27">
        <f>SUM(C41-B41)</f>
        <v>1373</v>
      </c>
      <c r="G41" s="20">
        <f>SUM(E41-D41)</f>
        <v>1109</v>
      </c>
      <c r="H41" s="21">
        <f>SUM(F41:G41)</f>
        <v>2482</v>
      </c>
      <c r="J41" s="7" t="s">
        <v>22</v>
      </c>
      <c r="K41" s="10">
        <v>257.56</v>
      </c>
      <c r="L41" s="11">
        <v>210.02</v>
      </c>
      <c r="M41" s="11">
        <v>183.66</v>
      </c>
      <c r="N41" s="11">
        <v>334.5</v>
      </c>
      <c r="O41" s="11">
        <v>230.02</v>
      </c>
      <c r="P41" s="11">
        <v>155.49</v>
      </c>
      <c r="Q41" s="11">
        <v>137.27000000000001</v>
      </c>
      <c r="R41" s="11">
        <v>245.05</v>
      </c>
      <c r="S41" s="11">
        <v>242.97</v>
      </c>
      <c r="T41" s="11"/>
      <c r="U41" s="12"/>
      <c r="V41" s="13"/>
      <c r="W41" s="13"/>
      <c r="Y41" s="7" t="s">
        <v>22</v>
      </c>
      <c r="Z41" s="10"/>
      <c r="AA41" s="11"/>
      <c r="AB41" s="11"/>
      <c r="AC41" s="11"/>
      <c r="AD41" s="11"/>
      <c r="AE41" s="12"/>
      <c r="AG41" s="7" t="s">
        <v>22</v>
      </c>
      <c r="AH41" s="10"/>
      <c r="AI41" s="11"/>
      <c r="AJ41" s="11"/>
      <c r="AK41" s="11"/>
      <c r="AL41" s="11"/>
      <c r="AM41" s="12"/>
    </row>
    <row r="42" spans="1:39" x14ac:dyDescent="0.25">
      <c r="J42" s="8"/>
      <c r="T42" s="8" t="s">
        <v>23</v>
      </c>
      <c r="U42" s="13">
        <f>SUM(K41:U41)</f>
        <v>1996.54</v>
      </c>
      <c r="V42" s="13"/>
      <c r="W42" s="13"/>
      <c r="AD42" s="8" t="s">
        <v>23</v>
      </c>
      <c r="AE42" s="13">
        <f>SUM(Z41:AE41)</f>
        <v>0</v>
      </c>
      <c r="AL42" s="8" t="s">
        <v>23</v>
      </c>
      <c r="AM42" s="13">
        <f>SUM(AH41:AM41)</f>
        <v>0</v>
      </c>
    </row>
    <row r="43" spans="1:39" ht="15.75" thickBot="1" x14ac:dyDescent="0.3">
      <c r="A43" s="19"/>
      <c r="B43" s="99" t="s">
        <v>19</v>
      </c>
      <c r="C43" s="99"/>
      <c r="D43" s="99"/>
      <c r="E43" s="99"/>
      <c r="F43" s="99"/>
      <c r="G43" s="99"/>
      <c r="H43" s="99"/>
      <c r="J43" s="100" t="s">
        <v>19</v>
      </c>
      <c r="K43" s="100"/>
      <c r="L43" s="100"/>
      <c r="M43" s="100"/>
      <c r="N43" s="100"/>
      <c r="O43" s="100"/>
      <c r="P43" s="100"/>
      <c r="Q43" s="100"/>
      <c r="R43" s="100"/>
      <c r="S43" s="100"/>
      <c r="T43" s="100"/>
      <c r="U43" s="100"/>
      <c r="V43" s="80"/>
      <c r="W43" s="80"/>
      <c r="Y43" s="101" t="str">
        <f>J43</f>
        <v>Outubro</v>
      </c>
      <c r="Z43" s="101"/>
      <c r="AA43" s="101"/>
      <c r="AB43" s="101"/>
      <c r="AC43" s="101"/>
      <c r="AD43" s="101"/>
      <c r="AE43" s="101"/>
      <c r="AG43" s="102" t="str">
        <f>Y43</f>
        <v>Outubro</v>
      </c>
      <c r="AH43" s="102"/>
      <c r="AI43" s="102"/>
      <c r="AJ43" s="102"/>
      <c r="AK43" s="102"/>
      <c r="AL43" s="102"/>
      <c r="AM43" s="102"/>
    </row>
    <row r="44" spans="1:39" ht="15.75" thickBot="1" x14ac:dyDescent="0.3">
      <c r="A44" s="97" t="s">
        <v>5</v>
      </c>
      <c r="B44" s="34" t="s">
        <v>6</v>
      </c>
      <c r="C44" s="22" t="s">
        <v>7</v>
      </c>
      <c r="D44" s="33" t="s">
        <v>8</v>
      </c>
      <c r="E44" s="22" t="s">
        <v>9</v>
      </c>
      <c r="F44" s="24" t="s">
        <v>10</v>
      </c>
      <c r="G44" s="23" t="s">
        <v>11</v>
      </c>
      <c r="H44" s="25" t="s">
        <v>12</v>
      </c>
      <c r="J44" s="6" t="s">
        <v>4</v>
      </c>
      <c r="K44" s="9">
        <v>45932</v>
      </c>
      <c r="L44" s="66">
        <v>45937</v>
      </c>
      <c r="M44" s="66">
        <v>45939</v>
      </c>
      <c r="N44" s="66">
        <v>45944</v>
      </c>
      <c r="O44" s="66">
        <v>45946</v>
      </c>
      <c r="P44" s="66">
        <v>45951</v>
      </c>
      <c r="Q44" s="66">
        <v>45953</v>
      </c>
      <c r="R44" s="66">
        <v>45958</v>
      </c>
      <c r="S44" s="66">
        <v>45960</v>
      </c>
      <c r="T44" s="4"/>
      <c r="U44" s="5"/>
      <c r="Y44" s="6" t="s">
        <v>4</v>
      </c>
      <c r="Z44" s="9"/>
      <c r="AA44" s="4"/>
      <c r="AB44" s="4"/>
      <c r="AC44" s="4"/>
      <c r="AD44" s="4"/>
      <c r="AE44" s="5"/>
      <c r="AG44" s="6" t="s">
        <v>4</v>
      </c>
      <c r="AH44" s="9"/>
      <c r="AI44" s="4"/>
      <c r="AJ44" s="4"/>
      <c r="AK44" s="4"/>
      <c r="AL44" s="4"/>
      <c r="AM44" s="5"/>
    </row>
    <row r="45" spans="1:39" ht="15.75" thickBot="1" x14ac:dyDescent="0.3">
      <c r="A45" s="97"/>
      <c r="B45" s="27">
        <v>21923</v>
      </c>
      <c r="C45" s="27">
        <v>22808</v>
      </c>
      <c r="D45" s="27">
        <v>22808</v>
      </c>
      <c r="E45" s="27">
        <v>24201</v>
      </c>
      <c r="F45" s="27">
        <f>SUM(C45-B45)</f>
        <v>885</v>
      </c>
      <c r="G45" s="20">
        <f>SUM(E45-D45)</f>
        <v>1393</v>
      </c>
      <c r="H45" s="21">
        <f>SUM(F45:G45)</f>
        <v>2278</v>
      </c>
      <c r="J45" s="7" t="s">
        <v>22</v>
      </c>
      <c r="K45" s="10">
        <v>238.85</v>
      </c>
      <c r="L45" s="11">
        <v>160.56</v>
      </c>
      <c r="M45" s="11">
        <v>200.1</v>
      </c>
      <c r="N45" s="11">
        <v>147.18</v>
      </c>
      <c r="O45" s="11">
        <v>154</v>
      </c>
      <c r="P45" s="11">
        <v>267.33</v>
      </c>
      <c r="Q45" s="11">
        <v>265.06</v>
      </c>
      <c r="R45" s="11">
        <v>153</v>
      </c>
      <c r="S45" s="11">
        <v>208.06</v>
      </c>
      <c r="T45" s="11"/>
      <c r="U45" s="12"/>
      <c r="V45" s="13"/>
      <c r="W45" s="13"/>
      <c r="Y45" s="7" t="s">
        <v>22</v>
      </c>
      <c r="Z45" s="10"/>
      <c r="AA45" s="11"/>
      <c r="AB45" s="11"/>
      <c r="AC45" s="11"/>
      <c r="AD45" s="11"/>
      <c r="AE45" s="12"/>
      <c r="AG45" s="7" t="s">
        <v>22</v>
      </c>
      <c r="AH45" s="10"/>
      <c r="AI45" s="11"/>
      <c r="AJ45" s="11"/>
      <c r="AK45" s="11"/>
      <c r="AL45" s="11"/>
      <c r="AM45" s="12"/>
    </row>
    <row r="46" spans="1:39" x14ac:dyDescent="0.25">
      <c r="J46" s="8"/>
      <c r="T46" s="8" t="s">
        <v>23</v>
      </c>
      <c r="U46" s="13">
        <f>SUM(K45:U45)</f>
        <v>1794.1399999999999</v>
      </c>
      <c r="V46" s="13"/>
      <c r="W46" s="13"/>
      <c r="AD46" s="8" t="s">
        <v>23</v>
      </c>
      <c r="AE46" s="13">
        <f>SUM(Z45:AE45)</f>
        <v>0</v>
      </c>
      <c r="AL46" s="8" t="s">
        <v>23</v>
      </c>
      <c r="AM46" s="13">
        <f>SUM(AH45:AM45)</f>
        <v>0</v>
      </c>
    </row>
    <row r="47" spans="1:39" ht="15.75" thickBot="1" x14ac:dyDescent="0.3">
      <c r="A47" s="19"/>
      <c r="B47" s="99" t="s">
        <v>20</v>
      </c>
      <c r="C47" s="99"/>
      <c r="D47" s="99"/>
      <c r="E47" s="99"/>
      <c r="F47" s="99"/>
      <c r="G47" s="99"/>
      <c r="H47" s="99"/>
      <c r="J47" s="100" t="s">
        <v>20</v>
      </c>
      <c r="K47" s="100"/>
      <c r="L47" s="100"/>
      <c r="M47" s="100"/>
      <c r="N47" s="100"/>
      <c r="O47" s="100"/>
      <c r="P47" s="100"/>
      <c r="Q47" s="100"/>
      <c r="R47" s="100"/>
      <c r="S47" s="100"/>
      <c r="T47" s="100"/>
      <c r="U47" s="100"/>
      <c r="V47" s="80"/>
      <c r="W47" s="80"/>
      <c r="Y47" s="101" t="str">
        <f>J47</f>
        <v>Novembro</v>
      </c>
      <c r="Z47" s="101"/>
      <c r="AA47" s="101"/>
      <c r="AB47" s="101"/>
      <c r="AC47" s="101"/>
      <c r="AD47" s="101"/>
      <c r="AE47" s="101"/>
      <c r="AG47" s="102" t="str">
        <f>Y47</f>
        <v>Novembro</v>
      </c>
      <c r="AH47" s="102"/>
      <c r="AI47" s="102"/>
      <c r="AJ47" s="102"/>
      <c r="AK47" s="102"/>
      <c r="AL47" s="102"/>
      <c r="AM47" s="102"/>
    </row>
    <row r="48" spans="1:39" ht="15.75" thickBot="1" x14ac:dyDescent="0.3">
      <c r="A48" s="97" t="s">
        <v>5</v>
      </c>
      <c r="B48" s="34" t="s">
        <v>6</v>
      </c>
      <c r="C48" s="22" t="s">
        <v>7</v>
      </c>
      <c r="D48" s="33" t="s">
        <v>8</v>
      </c>
      <c r="E48" s="22" t="s">
        <v>9</v>
      </c>
      <c r="F48" s="24" t="s">
        <v>10</v>
      </c>
      <c r="G48" s="23" t="s">
        <v>11</v>
      </c>
      <c r="H48" s="25" t="s">
        <v>12</v>
      </c>
      <c r="J48" s="6" t="s">
        <v>4</v>
      </c>
      <c r="K48" s="9">
        <v>45972</v>
      </c>
      <c r="L48" s="66">
        <v>45974</v>
      </c>
      <c r="M48" s="66">
        <v>45979</v>
      </c>
      <c r="N48" s="66">
        <v>45981</v>
      </c>
      <c r="O48" s="66">
        <v>45988</v>
      </c>
      <c r="P48" s="66">
        <v>45990</v>
      </c>
      <c r="Q48" s="4"/>
      <c r="R48" s="4"/>
      <c r="S48" s="4"/>
      <c r="T48" s="4"/>
      <c r="U48" s="5"/>
      <c r="Y48" s="6" t="s">
        <v>4</v>
      </c>
      <c r="Z48" s="9"/>
      <c r="AA48" s="4"/>
      <c r="AB48" s="4"/>
      <c r="AC48" s="4"/>
      <c r="AD48" s="4"/>
      <c r="AE48" s="5"/>
      <c r="AG48" s="6" t="s">
        <v>4</v>
      </c>
      <c r="AH48" s="9"/>
      <c r="AI48" s="4"/>
      <c r="AJ48" s="4"/>
      <c r="AK48" s="4"/>
      <c r="AL48" s="4"/>
      <c r="AM48" s="5"/>
    </row>
    <row r="49" spans="1:39" ht="15.75" thickBot="1" x14ac:dyDescent="0.3">
      <c r="A49" s="97"/>
      <c r="B49" s="27">
        <v>24201</v>
      </c>
      <c r="C49" s="27">
        <v>24609</v>
      </c>
      <c r="D49" s="27">
        <v>24609</v>
      </c>
      <c r="E49" s="27">
        <v>25530</v>
      </c>
      <c r="F49" s="27">
        <f>SUM(C49-B49)</f>
        <v>408</v>
      </c>
      <c r="G49" s="20">
        <f>SUM(E49-D49)</f>
        <v>921</v>
      </c>
      <c r="H49" s="21">
        <f>SUM(F49:G49)</f>
        <v>1329</v>
      </c>
      <c r="J49" s="7" t="s">
        <v>22</v>
      </c>
      <c r="K49" s="10">
        <v>171.06</v>
      </c>
      <c r="L49" s="11">
        <v>200.03</v>
      </c>
      <c r="M49" s="11">
        <v>223.11</v>
      </c>
      <c r="N49" s="11">
        <v>129.96</v>
      </c>
      <c r="O49" s="11">
        <v>211</v>
      </c>
      <c r="P49" s="11">
        <v>304.98</v>
      </c>
      <c r="Q49" s="11"/>
      <c r="R49" s="11"/>
      <c r="S49" s="11"/>
      <c r="T49" s="11"/>
      <c r="U49" s="12"/>
      <c r="V49" s="13"/>
      <c r="W49" s="13"/>
      <c r="Y49" s="7" t="s">
        <v>22</v>
      </c>
      <c r="Z49" s="10"/>
      <c r="AA49" s="11"/>
      <c r="AB49" s="11"/>
      <c r="AC49" s="11"/>
      <c r="AD49" s="11"/>
      <c r="AE49" s="12"/>
      <c r="AG49" s="7" t="s">
        <v>22</v>
      </c>
      <c r="AH49" s="10"/>
      <c r="AI49" s="11"/>
      <c r="AJ49" s="11"/>
      <c r="AK49" s="11"/>
      <c r="AL49" s="11"/>
      <c r="AM49" s="12"/>
    </row>
    <row r="50" spans="1:39" x14ac:dyDescent="0.25">
      <c r="J50" s="8"/>
      <c r="T50" s="8" t="s">
        <v>23</v>
      </c>
      <c r="U50" s="13">
        <f>SUM(K49:U49)</f>
        <v>1240.1400000000001</v>
      </c>
      <c r="V50" s="13"/>
      <c r="W50" s="13"/>
      <c r="AD50" s="8" t="s">
        <v>23</v>
      </c>
      <c r="AE50" s="13">
        <f>SUM(Z49:AE49)</f>
        <v>0</v>
      </c>
      <c r="AL50" s="8" t="s">
        <v>23</v>
      </c>
      <c r="AM50" s="13">
        <f>SUM(AH49:AM49)</f>
        <v>0</v>
      </c>
    </row>
    <row r="51" spans="1:39" ht="15.75" thickBot="1" x14ac:dyDescent="0.3">
      <c r="A51" s="19"/>
      <c r="B51" s="99" t="s">
        <v>21</v>
      </c>
      <c r="C51" s="99"/>
      <c r="D51" s="99"/>
      <c r="E51" s="99"/>
      <c r="F51" s="99"/>
      <c r="G51" s="99"/>
      <c r="H51" s="99"/>
      <c r="J51" s="100" t="s">
        <v>21</v>
      </c>
      <c r="K51" s="100"/>
      <c r="L51" s="100"/>
      <c r="M51" s="100"/>
      <c r="N51" s="100"/>
      <c r="O51" s="100"/>
      <c r="P51" s="100"/>
      <c r="Q51" s="100"/>
      <c r="R51" s="100"/>
      <c r="S51" s="100"/>
      <c r="T51" s="100"/>
      <c r="U51" s="100"/>
      <c r="V51" s="80"/>
      <c r="W51" s="80"/>
      <c r="Y51" s="101" t="str">
        <f>J51</f>
        <v>Dezembro</v>
      </c>
      <c r="Z51" s="101"/>
      <c r="AA51" s="101"/>
      <c r="AB51" s="101"/>
      <c r="AC51" s="101"/>
      <c r="AD51" s="101"/>
      <c r="AE51" s="101"/>
      <c r="AG51" s="102" t="str">
        <f>Y51</f>
        <v>Dezembro</v>
      </c>
      <c r="AH51" s="102"/>
      <c r="AI51" s="102"/>
      <c r="AJ51" s="102"/>
      <c r="AK51" s="102"/>
      <c r="AL51" s="102"/>
      <c r="AM51" s="102"/>
    </row>
    <row r="52" spans="1:39" ht="15.75" thickBot="1" x14ac:dyDescent="0.3">
      <c r="A52" s="97" t="s">
        <v>5</v>
      </c>
      <c r="B52" s="34" t="s">
        <v>6</v>
      </c>
      <c r="C52" s="22" t="s">
        <v>7</v>
      </c>
      <c r="D52" s="33" t="s">
        <v>8</v>
      </c>
      <c r="E52" s="22" t="s">
        <v>9</v>
      </c>
      <c r="F52" s="24" t="s">
        <v>10</v>
      </c>
      <c r="G52" s="23" t="s">
        <v>11</v>
      </c>
      <c r="H52" s="25" t="s">
        <v>12</v>
      </c>
      <c r="J52" s="6" t="s">
        <v>4</v>
      </c>
      <c r="K52" s="9">
        <v>45993</v>
      </c>
      <c r="L52" s="66">
        <v>45995</v>
      </c>
      <c r="M52" s="66">
        <v>46000</v>
      </c>
      <c r="N52" s="66">
        <v>46003</v>
      </c>
      <c r="O52" s="66">
        <v>46007</v>
      </c>
      <c r="P52" s="66">
        <v>46009</v>
      </c>
      <c r="Q52" s="66">
        <v>46014</v>
      </c>
      <c r="R52" s="4"/>
      <c r="S52" s="4"/>
      <c r="T52" s="4"/>
      <c r="U52" s="5"/>
      <c r="Y52" s="6" t="s">
        <v>4</v>
      </c>
      <c r="Z52" s="9"/>
      <c r="AA52" s="4"/>
      <c r="AB52" s="4"/>
      <c r="AC52" s="4"/>
      <c r="AD52" s="4"/>
      <c r="AE52" s="5"/>
      <c r="AG52" s="6" t="s">
        <v>4</v>
      </c>
      <c r="AH52" s="9"/>
      <c r="AI52" s="4"/>
      <c r="AJ52" s="4"/>
      <c r="AK52" s="4"/>
      <c r="AL52" s="4"/>
      <c r="AM52" s="5"/>
    </row>
    <row r="53" spans="1:39" ht="15.75" thickBot="1" x14ac:dyDescent="0.3">
      <c r="A53" s="97"/>
      <c r="B53" s="27">
        <v>25530</v>
      </c>
      <c r="C53" s="27">
        <v>26760</v>
      </c>
      <c r="D53" s="27">
        <v>26760</v>
      </c>
      <c r="E53" s="27">
        <v>28071</v>
      </c>
      <c r="F53" s="27">
        <f>SUM(C53-B53)</f>
        <v>1230</v>
      </c>
      <c r="G53" s="20">
        <f>SUM(E53-D53)</f>
        <v>1311</v>
      </c>
      <c r="H53" s="21">
        <f>SUM(F53:G53)</f>
        <v>2541</v>
      </c>
      <c r="J53" s="7" t="s">
        <v>22</v>
      </c>
      <c r="K53" s="10">
        <v>145.04</v>
      </c>
      <c r="L53" s="11">
        <v>120.09</v>
      </c>
      <c r="M53" s="11">
        <v>215.08</v>
      </c>
      <c r="N53" s="11">
        <v>244.99</v>
      </c>
      <c r="O53" s="11">
        <v>270.01</v>
      </c>
      <c r="P53" s="11">
        <v>334.5</v>
      </c>
      <c r="Q53" s="11">
        <v>322.06</v>
      </c>
      <c r="R53" s="11"/>
      <c r="S53" s="11"/>
      <c r="T53" s="11"/>
      <c r="U53" s="12"/>
      <c r="V53" s="13"/>
      <c r="W53" s="13"/>
      <c r="Y53" s="7" t="s">
        <v>22</v>
      </c>
      <c r="Z53" s="10"/>
      <c r="AA53" s="11"/>
      <c r="AB53" s="11"/>
      <c r="AC53" s="11"/>
      <c r="AD53" s="11"/>
      <c r="AE53" s="12"/>
      <c r="AG53" s="7" t="s">
        <v>22</v>
      </c>
      <c r="AH53" s="10"/>
      <c r="AI53" s="11"/>
      <c r="AJ53" s="11"/>
      <c r="AK53" s="11"/>
      <c r="AL53" s="11"/>
      <c r="AM53" s="12"/>
    </row>
    <row r="54" spans="1:39" x14ac:dyDescent="0.25">
      <c r="J54" s="8"/>
      <c r="T54" s="8" t="s">
        <v>23</v>
      </c>
      <c r="U54" s="13">
        <f>SUM(K53:U53)</f>
        <v>1651.77</v>
      </c>
      <c r="V54" s="13"/>
      <c r="W54" s="13"/>
      <c r="AD54" s="8" t="s">
        <v>23</v>
      </c>
      <c r="AE54" s="13">
        <f>SUM(Z53:AE53)</f>
        <v>0</v>
      </c>
      <c r="AL54" s="8" t="s">
        <v>23</v>
      </c>
      <c r="AM54" s="13">
        <f>SUM(AH53:AM53)</f>
        <v>0</v>
      </c>
    </row>
    <row r="55" spans="1:39" ht="15.75" thickBot="1" x14ac:dyDescent="0.3">
      <c r="A55" s="19"/>
      <c r="B55" s="112">
        <v>46023</v>
      </c>
      <c r="C55" s="99"/>
      <c r="D55" s="99"/>
      <c r="E55" s="99"/>
      <c r="F55" s="99"/>
      <c r="G55" s="99"/>
      <c r="H55" s="99"/>
      <c r="J55" s="113">
        <v>46023</v>
      </c>
      <c r="K55" s="100"/>
      <c r="L55" s="100"/>
      <c r="M55" s="100"/>
      <c r="N55" s="100"/>
      <c r="O55" s="100"/>
      <c r="P55" s="100"/>
      <c r="Q55" s="100"/>
      <c r="R55" s="100"/>
      <c r="S55" s="100"/>
      <c r="T55" s="100"/>
      <c r="U55" s="100"/>
      <c r="V55" s="80"/>
      <c r="W55" s="80"/>
    </row>
    <row r="56" spans="1:39" ht="15.75" thickBot="1" x14ac:dyDescent="0.3">
      <c r="A56" s="97" t="s">
        <v>5</v>
      </c>
      <c r="B56" s="34" t="s">
        <v>6</v>
      </c>
      <c r="C56" s="22" t="s">
        <v>7</v>
      </c>
      <c r="D56" s="33" t="s">
        <v>8</v>
      </c>
      <c r="E56" s="22" t="s">
        <v>9</v>
      </c>
      <c r="F56" s="24" t="s">
        <v>10</v>
      </c>
      <c r="G56" s="23" t="s">
        <v>11</v>
      </c>
      <c r="H56" s="25" t="s">
        <v>12</v>
      </c>
      <c r="J56" s="28" t="s">
        <v>4</v>
      </c>
      <c r="K56" s="9">
        <v>46028</v>
      </c>
      <c r="L56" s="66">
        <v>46030</v>
      </c>
      <c r="M56" s="66">
        <v>46032</v>
      </c>
      <c r="N56" s="4"/>
      <c r="O56" s="4"/>
      <c r="P56" s="4"/>
      <c r="Q56" s="4"/>
      <c r="R56" s="4"/>
      <c r="S56" s="4"/>
      <c r="T56" s="4"/>
      <c r="U56" s="5"/>
    </row>
    <row r="57" spans="1:39" ht="15.75" thickBot="1" x14ac:dyDescent="0.3">
      <c r="A57" s="97"/>
      <c r="B57" s="27">
        <v>28071</v>
      </c>
      <c r="C57" s="27">
        <v>28645</v>
      </c>
      <c r="D57" s="27"/>
      <c r="E57" s="27"/>
      <c r="F57" s="27">
        <f>SUM(C57-B57)</f>
        <v>574</v>
      </c>
      <c r="G57" s="20">
        <f>SUM(E57-D57)</f>
        <v>0</v>
      </c>
      <c r="H57" s="21">
        <f>SUM(F57:G57)</f>
        <v>574</v>
      </c>
      <c r="J57" s="29" t="s">
        <v>22</v>
      </c>
      <c r="K57" s="10">
        <v>303.58999999999997</v>
      </c>
      <c r="L57" s="11">
        <v>205.05</v>
      </c>
      <c r="M57" s="11">
        <v>124.99</v>
      </c>
      <c r="N57" s="11"/>
      <c r="O57" s="11"/>
      <c r="P57" s="11"/>
      <c r="Q57" s="11"/>
      <c r="R57" s="11"/>
      <c r="S57" s="11"/>
      <c r="T57" s="11"/>
      <c r="U57" s="12"/>
      <c r="V57" s="13"/>
      <c r="W57" s="13"/>
    </row>
    <row r="58" spans="1:39" x14ac:dyDescent="0.25">
      <c r="J58" s="8"/>
      <c r="T58" s="8" t="s">
        <v>23</v>
      </c>
      <c r="U58" s="13">
        <f>SUM(K57:U57)</f>
        <v>633.63</v>
      </c>
      <c r="V58" s="13"/>
      <c r="W58" s="13"/>
    </row>
  </sheetData>
  <mergeCells count="73">
    <mergeCell ref="A52:A53"/>
    <mergeCell ref="B43:H43"/>
    <mergeCell ref="J43:U43"/>
    <mergeCell ref="Y43:AE43"/>
    <mergeCell ref="AG43:AM43"/>
    <mergeCell ref="A44:A45"/>
    <mergeCell ref="B47:H47"/>
    <mergeCell ref="J47:U47"/>
    <mergeCell ref="Y47:AE47"/>
    <mergeCell ref="AG47:AM47"/>
    <mergeCell ref="A48:A49"/>
    <mergeCell ref="B51:H51"/>
    <mergeCell ref="J51:U51"/>
    <mergeCell ref="Y51:AE51"/>
    <mergeCell ref="AG51:AM51"/>
    <mergeCell ref="A40:A41"/>
    <mergeCell ref="B31:H31"/>
    <mergeCell ref="J31:U31"/>
    <mergeCell ref="Y31:AE31"/>
    <mergeCell ref="AG31:AM31"/>
    <mergeCell ref="A32:A33"/>
    <mergeCell ref="B35:H35"/>
    <mergeCell ref="J35:U35"/>
    <mergeCell ref="Y35:AE35"/>
    <mergeCell ref="AG35:AM35"/>
    <mergeCell ref="A36:A37"/>
    <mergeCell ref="B39:H39"/>
    <mergeCell ref="J39:U39"/>
    <mergeCell ref="Y39:AE39"/>
    <mergeCell ref="AG39:AM39"/>
    <mergeCell ref="A28:A29"/>
    <mergeCell ref="B19:H19"/>
    <mergeCell ref="J19:U19"/>
    <mergeCell ref="Y19:AE19"/>
    <mergeCell ref="AG19:AM19"/>
    <mergeCell ref="A20:A21"/>
    <mergeCell ref="B23:H23"/>
    <mergeCell ref="J23:U23"/>
    <mergeCell ref="Y23:AE23"/>
    <mergeCell ref="AG23:AM23"/>
    <mergeCell ref="A24:A25"/>
    <mergeCell ref="B27:H27"/>
    <mergeCell ref="J27:U27"/>
    <mergeCell ref="Y27:AE27"/>
    <mergeCell ref="AG27:AM27"/>
    <mergeCell ref="B15:H15"/>
    <mergeCell ref="J15:U15"/>
    <mergeCell ref="Y15:AE15"/>
    <mergeCell ref="AG15:AM15"/>
    <mergeCell ref="D10:E10"/>
    <mergeCell ref="Y9:AE9"/>
    <mergeCell ref="AG9:AM9"/>
    <mergeCell ref="B11:H11"/>
    <mergeCell ref="J11:U11"/>
    <mergeCell ref="Y11:AE11"/>
    <mergeCell ref="AG11:AM11"/>
    <mergeCell ref="J9:U9"/>
    <mergeCell ref="J55:U55"/>
    <mergeCell ref="B55:H55"/>
    <mergeCell ref="A56:A57"/>
    <mergeCell ref="B2:C2"/>
    <mergeCell ref="E2:F2"/>
    <mergeCell ref="B6:C6"/>
    <mergeCell ref="E6:F6"/>
    <mergeCell ref="A9:H9"/>
    <mergeCell ref="B3:C3"/>
    <mergeCell ref="E3:F3"/>
    <mergeCell ref="E4:F4"/>
    <mergeCell ref="B4:C4"/>
    <mergeCell ref="B5:C5"/>
    <mergeCell ref="E5:F5"/>
    <mergeCell ref="A16:A17"/>
    <mergeCell ref="A12:A13"/>
  </mergeCells>
  <phoneticPr fontId="3" type="noConversion"/>
  <pageMargins left="0.511811024" right="0.511811024" top="0.78740157499999996" bottom="0.78740157499999996" header="0.31496062000000002" footer="0.31496062000000002"/>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N88"/>
  <sheetViews>
    <sheetView showGridLines="0" workbookViewId="0">
      <selection activeCell="I24" sqref="I24"/>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4" width="10.42578125" bestFit="1" customWidth="1"/>
    <col min="21" max="21" width="12.140625" bestFit="1" customWidth="1"/>
    <col min="37" max="39" width="10.140625" bestFit="1" customWidth="1"/>
  </cols>
  <sheetData>
    <row r="1" spans="1:40" x14ac:dyDescent="0.25">
      <c r="A1" s="88"/>
    </row>
    <row r="2" spans="1:40" x14ac:dyDescent="0.25">
      <c r="A2" s="88" t="s">
        <v>0</v>
      </c>
      <c r="B2" s="94" t="s">
        <v>82</v>
      </c>
      <c r="C2" s="94"/>
      <c r="D2" s="1" t="s">
        <v>1</v>
      </c>
      <c r="E2" s="94" t="s">
        <v>121</v>
      </c>
      <c r="F2" s="94"/>
      <c r="G2" s="1"/>
      <c r="H2" s="1" t="s">
        <v>91</v>
      </c>
      <c r="I2" s="75">
        <v>3000</v>
      </c>
    </row>
    <row r="3" spans="1:40" x14ac:dyDescent="0.25">
      <c r="A3" s="88" t="s">
        <v>79</v>
      </c>
      <c r="B3" s="94"/>
      <c r="C3" s="94"/>
      <c r="D3" s="1" t="s">
        <v>1</v>
      </c>
      <c r="E3" s="94"/>
      <c r="F3" s="94"/>
      <c r="G3" s="1"/>
      <c r="H3" s="1" t="s">
        <v>80</v>
      </c>
      <c r="I3" s="70"/>
    </row>
    <row r="4" spans="1:40" x14ac:dyDescent="0.25">
      <c r="A4" s="88" t="s">
        <v>2</v>
      </c>
      <c r="B4" s="95">
        <v>7553</v>
      </c>
      <c r="C4" s="95"/>
      <c r="D4" s="1" t="s">
        <v>29</v>
      </c>
      <c r="E4" s="110">
        <v>45</v>
      </c>
      <c r="F4" s="110"/>
      <c r="G4" s="1"/>
      <c r="H4" s="1" t="s">
        <v>105</v>
      </c>
      <c r="I4" s="76">
        <v>45922</v>
      </c>
      <c r="J4" s="1" t="s">
        <v>135</v>
      </c>
      <c r="K4" s="76">
        <v>46031</v>
      </c>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v>45927</v>
      </c>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v>17968</v>
      </c>
      <c r="E39" s="27">
        <v>18717</v>
      </c>
      <c r="F39" s="27">
        <f>SUM(C39-B39)</f>
        <v>0</v>
      </c>
      <c r="G39" s="20">
        <f>SUM(E39-D39)</f>
        <v>749</v>
      </c>
      <c r="H39" s="21">
        <f>SUM(F39:G39)</f>
        <v>749</v>
      </c>
      <c r="J39" s="7" t="s">
        <v>22</v>
      </c>
      <c r="K39" s="10">
        <v>333.07</v>
      </c>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333.07</v>
      </c>
      <c r="AD40" s="8" t="s">
        <v>23</v>
      </c>
      <c r="AE40" s="13">
        <f>SUM(Z39:AE39)</f>
        <v>0</v>
      </c>
      <c r="AM40" s="8" t="s">
        <v>23</v>
      </c>
      <c r="AN40" s="13">
        <f>SUM(AI39:AN39)</f>
        <v>0</v>
      </c>
    </row>
    <row r="41" spans="1:40"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Y41" s="101" t="str">
        <f>J41</f>
        <v>Outubro</v>
      </c>
      <c r="Z41" s="101"/>
      <c r="AA41" s="101"/>
      <c r="AB41" s="101"/>
      <c r="AC41" s="101"/>
      <c r="AD41" s="101"/>
      <c r="AE41" s="101"/>
      <c r="AH41" s="102" t="str">
        <f>Y41</f>
        <v>Outubro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v>45934</v>
      </c>
      <c r="L42" s="66">
        <v>45941</v>
      </c>
      <c r="M42" s="66">
        <v>45949</v>
      </c>
      <c r="N42" s="66">
        <v>45955</v>
      </c>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7">
        <v>18717</v>
      </c>
      <c r="C43" s="27">
        <v>19687</v>
      </c>
      <c r="D43" s="27">
        <v>19687</v>
      </c>
      <c r="E43" s="27">
        <v>20850</v>
      </c>
      <c r="F43" s="27">
        <f>SUM(C43-B43)</f>
        <v>970</v>
      </c>
      <c r="G43" s="20">
        <f>SUM(E43-D43)</f>
        <v>1163</v>
      </c>
      <c r="H43" s="21">
        <f>SUM(F43:G43)</f>
        <v>2133</v>
      </c>
      <c r="J43" s="7" t="s">
        <v>22</v>
      </c>
      <c r="K43" s="10">
        <v>355.81</v>
      </c>
      <c r="L43" s="11">
        <v>259.82</v>
      </c>
      <c r="M43" s="11">
        <v>233.41</v>
      </c>
      <c r="N43" s="11">
        <v>314.44</v>
      </c>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1163.48</v>
      </c>
      <c r="AD44" s="8" t="s">
        <v>23</v>
      </c>
      <c r="AE44" s="13">
        <f>SUM(Z43:AE43)</f>
        <v>0</v>
      </c>
      <c r="AM44" s="8" t="s">
        <v>23</v>
      </c>
      <c r="AN44" s="13">
        <f>SUM(AI43:AN43)</f>
        <v>0</v>
      </c>
    </row>
    <row r="45" spans="1:40"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Y45" s="101" t="str">
        <f>J45</f>
        <v>Novembro</v>
      </c>
      <c r="Z45" s="101"/>
      <c r="AA45" s="101"/>
      <c r="AB45" s="101"/>
      <c r="AC45" s="101"/>
      <c r="AD45" s="101"/>
      <c r="AE45" s="101"/>
      <c r="AH45" s="102" t="str">
        <f>Y45</f>
        <v>Novembro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v>45962</v>
      </c>
      <c r="L46" s="66">
        <v>45969</v>
      </c>
      <c r="M46" s="66">
        <v>45981</v>
      </c>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7">
        <v>20850</v>
      </c>
      <c r="C47" s="27">
        <v>21754</v>
      </c>
      <c r="D47" s="27">
        <v>21754</v>
      </c>
      <c r="E47" s="27">
        <v>22701</v>
      </c>
      <c r="F47" s="27">
        <f>SUM(C47-B47)</f>
        <v>904</v>
      </c>
      <c r="G47" s="20">
        <f>SUM(E47-D47)</f>
        <v>947</v>
      </c>
      <c r="H47" s="21">
        <f>SUM(F47:G47)</f>
        <v>1851</v>
      </c>
      <c r="J47" s="7" t="s">
        <v>22</v>
      </c>
      <c r="K47" s="10">
        <v>256.33</v>
      </c>
      <c r="L47" s="11">
        <v>264.33</v>
      </c>
      <c r="M47" s="11">
        <v>422.71</v>
      </c>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943.36999999999989</v>
      </c>
      <c r="AD48" s="8" t="s">
        <v>23</v>
      </c>
      <c r="AE48" s="13">
        <f>SUM(Z47:AE47)</f>
        <v>0</v>
      </c>
      <c r="AM48" s="8" t="s">
        <v>23</v>
      </c>
      <c r="AN48" s="13">
        <f>SUM(AI47:AN47)</f>
        <v>0</v>
      </c>
    </row>
    <row r="49" spans="1:40"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Y49" s="101" t="str">
        <f>J49</f>
        <v>Dezembro</v>
      </c>
      <c r="Z49" s="101"/>
      <c r="AA49" s="101"/>
      <c r="AB49" s="101"/>
      <c r="AC49" s="101"/>
      <c r="AD49" s="101"/>
      <c r="AE49" s="101"/>
      <c r="AH49" s="102" t="str">
        <f>Y49</f>
        <v>Dezembro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v>46004</v>
      </c>
      <c r="L50" s="66">
        <v>46009</v>
      </c>
      <c r="M50" s="66">
        <v>46014</v>
      </c>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7">
        <v>22701</v>
      </c>
      <c r="C51" s="27">
        <v>24157</v>
      </c>
      <c r="D51" s="27">
        <v>24157</v>
      </c>
      <c r="E51" s="27">
        <v>25129</v>
      </c>
      <c r="F51" s="27">
        <f>SUM(C51-B51)</f>
        <v>1456</v>
      </c>
      <c r="G51" s="20">
        <f>SUM(E51-D51)</f>
        <v>972</v>
      </c>
      <c r="H51" s="21">
        <f>SUM(F51:G51)</f>
        <v>2428</v>
      </c>
      <c r="J51" s="7" t="s">
        <v>22</v>
      </c>
      <c r="K51" s="10">
        <v>438.41</v>
      </c>
      <c r="L51" s="11">
        <v>422.79</v>
      </c>
      <c r="M51" s="11">
        <v>291.68</v>
      </c>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1152.8800000000001</v>
      </c>
      <c r="AD52" s="8" t="s">
        <v>23</v>
      </c>
      <c r="AE52" s="13">
        <f>SUM(Z51:AE51)</f>
        <v>0</v>
      </c>
      <c r="AM52" s="8" t="s">
        <v>23</v>
      </c>
      <c r="AN52" s="13">
        <f>SUM(AI51:AN51)</f>
        <v>0</v>
      </c>
    </row>
    <row r="53" spans="1:40" ht="15.75" thickBot="1" x14ac:dyDescent="0.3">
      <c r="A53" s="19">
        <v>2026</v>
      </c>
      <c r="B53" s="99" t="s">
        <v>134</v>
      </c>
      <c r="C53" s="99"/>
      <c r="D53" s="99"/>
      <c r="E53" s="99"/>
      <c r="F53" s="99"/>
      <c r="G53" s="99"/>
      <c r="H53" s="99"/>
      <c r="J53" s="100" t="s">
        <v>134</v>
      </c>
      <c r="K53" s="100"/>
      <c r="L53" s="100"/>
      <c r="M53" s="100"/>
      <c r="N53" s="100"/>
      <c r="O53" s="100"/>
      <c r="P53" s="100"/>
      <c r="Q53" s="100"/>
      <c r="R53" s="100"/>
      <c r="S53" s="100"/>
      <c r="T53" s="100"/>
      <c r="U53" s="100"/>
      <c r="Y53" s="101" t="s">
        <v>134</v>
      </c>
      <c r="Z53" s="101"/>
      <c r="AA53" s="101"/>
      <c r="AB53" s="101"/>
      <c r="AC53" s="101"/>
      <c r="AD53" s="101"/>
      <c r="AE53" s="101"/>
      <c r="AH53" s="102" t="s">
        <v>134</v>
      </c>
      <c r="AI53" s="102"/>
      <c r="AJ53" s="102"/>
      <c r="AK53" s="102"/>
      <c r="AL53" s="102"/>
      <c r="AM53" s="102"/>
      <c r="AN53" s="102"/>
    </row>
    <row r="54" spans="1:40" ht="15.75" thickBot="1" x14ac:dyDescent="0.3">
      <c r="A54" s="97" t="s">
        <v>5</v>
      </c>
      <c r="B54" s="34" t="s">
        <v>6</v>
      </c>
      <c r="C54" s="22" t="s">
        <v>7</v>
      </c>
      <c r="D54" s="33" t="s">
        <v>8</v>
      </c>
      <c r="E54" s="22" t="s">
        <v>9</v>
      </c>
      <c r="F54" s="24" t="s">
        <v>10</v>
      </c>
      <c r="G54" s="23" t="s">
        <v>11</v>
      </c>
      <c r="H54" s="25" t="s">
        <v>12</v>
      </c>
      <c r="J54" s="28" t="s">
        <v>4</v>
      </c>
      <c r="K54" s="9"/>
      <c r="L54" s="4"/>
      <c r="M54" s="4"/>
      <c r="N54" s="4"/>
      <c r="O54" s="4"/>
      <c r="P54" s="4"/>
      <c r="Q54" s="4"/>
      <c r="R54" s="4"/>
      <c r="S54" s="4"/>
      <c r="T54" s="4"/>
      <c r="U54" s="5"/>
      <c r="Y54" s="6" t="s">
        <v>4</v>
      </c>
      <c r="Z54" s="9"/>
      <c r="AA54" s="4"/>
      <c r="AB54" s="4"/>
      <c r="AC54" s="4"/>
      <c r="AD54" s="4"/>
      <c r="AE54" s="5"/>
      <c r="AH54" s="6" t="s">
        <v>4</v>
      </c>
      <c r="AI54" s="9"/>
      <c r="AJ54" s="4"/>
      <c r="AK54" s="4"/>
      <c r="AL54" s="4"/>
      <c r="AM54" s="4"/>
      <c r="AN54" s="5"/>
    </row>
    <row r="55" spans="1:40" ht="15.75" thickBot="1" x14ac:dyDescent="0.3">
      <c r="A55" s="97"/>
      <c r="B55" s="26"/>
      <c r="C55" s="27"/>
      <c r="D55" s="27"/>
      <c r="E55" s="27"/>
      <c r="F55" s="27">
        <f>SUM(C55-B55)</f>
        <v>0</v>
      </c>
      <c r="G55" s="20">
        <f>SUM(E55-D55)</f>
        <v>0</v>
      </c>
      <c r="H55" s="21">
        <f>SUM(F55:G55)</f>
        <v>0</v>
      </c>
      <c r="J55" s="29" t="s">
        <v>22</v>
      </c>
      <c r="K55" s="10"/>
      <c r="L55" s="11"/>
      <c r="M55" s="11"/>
      <c r="N55" s="11"/>
      <c r="O55" s="11"/>
      <c r="P55" s="11"/>
      <c r="Q55" s="11"/>
      <c r="R55" s="11"/>
      <c r="S55" s="11"/>
      <c r="T55" s="11"/>
      <c r="U55" s="12"/>
      <c r="Y55" s="7" t="s">
        <v>22</v>
      </c>
      <c r="Z55" s="10"/>
      <c r="AA55" s="11"/>
      <c r="AB55" s="11"/>
      <c r="AC55" s="11"/>
      <c r="AD55" s="11"/>
      <c r="AE55" s="12"/>
      <c r="AH55" s="7" t="s">
        <v>22</v>
      </c>
      <c r="AI55" s="10"/>
      <c r="AJ55" s="11"/>
      <c r="AK55" s="11"/>
      <c r="AL55" s="11"/>
      <c r="AM55" s="11"/>
      <c r="AN55" s="12"/>
    </row>
    <row r="56" spans="1:40" x14ac:dyDescent="0.25">
      <c r="J56" s="8"/>
      <c r="T56" s="8" t="s">
        <v>23</v>
      </c>
      <c r="U56" s="13">
        <f>SUM(K55:U55)</f>
        <v>0</v>
      </c>
      <c r="AD56" s="8" t="s">
        <v>23</v>
      </c>
      <c r="AE56" s="13">
        <f>SUM(Z55:AE55)</f>
        <v>0</v>
      </c>
      <c r="AM56" s="8" t="s">
        <v>23</v>
      </c>
      <c r="AN56" s="13">
        <f>SUM(AI55:AN55)</f>
        <v>0</v>
      </c>
    </row>
    <row r="57" spans="1:40" ht="15.75" thickBot="1" x14ac:dyDescent="0.3">
      <c r="A57" s="19"/>
      <c r="B57" s="99" t="s">
        <v>3</v>
      </c>
      <c r="C57" s="99"/>
      <c r="D57" s="99"/>
      <c r="E57" s="99"/>
      <c r="F57" s="99"/>
      <c r="G57" s="99"/>
      <c r="H57" s="99"/>
      <c r="J57" s="100" t="s">
        <v>3</v>
      </c>
      <c r="K57" s="100"/>
      <c r="L57" s="100"/>
      <c r="M57" s="100"/>
      <c r="N57" s="100"/>
      <c r="O57" s="100"/>
      <c r="P57" s="100"/>
      <c r="Q57" s="100"/>
      <c r="R57" s="100"/>
      <c r="S57" s="100"/>
      <c r="T57" s="100"/>
      <c r="U57" s="100"/>
      <c r="Y57" s="101" t="s">
        <v>3</v>
      </c>
      <c r="Z57" s="101"/>
      <c r="AA57" s="101"/>
      <c r="AB57" s="101"/>
      <c r="AC57" s="101"/>
      <c r="AD57" s="101"/>
      <c r="AE57" s="101"/>
      <c r="AH57" s="102" t="s">
        <v>3</v>
      </c>
      <c r="AI57" s="102"/>
      <c r="AJ57" s="102"/>
      <c r="AK57" s="102"/>
      <c r="AL57" s="102"/>
      <c r="AM57" s="102"/>
      <c r="AN57" s="102"/>
    </row>
    <row r="58" spans="1:40" ht="15.75" thickBot="1" x14ac:dyDescent="0.3">
      <c r="A58" s="97" t="s">
        <v>5</v>
      </c>
      <c r="B58" s="34" t="s">
        <v>6</v>
      </c>
      <c r="C58" s="22" t="s">
        <v>7</v>
      </c>
      <c r="D58" s="33" t="s">
        <v>8</v>
      </c>
      <c r="E58" s="22" t="s">
        <v>9</v>
      </c>
      <c r="F58" s="24" t="s">
        <v>10</v>
      </c>
      <c r="G58" s="23" t="s">
        <v>11</v>
      </c>
      <c r="H58" s="25" t="s">
        <v>12</v>
      </c>
      <c r="J58" s="28" t="s">
        <v>4</v>
      </c>
      <c r="K58" s="9"/>
      <c r="L58" s="4"/>
      <c r="M58" s="4"/>
      <c r="N58" s="4"/>
      <c r="O58" s="4"/>
      <c r="P58" s="4"/>
      <c r="Q58" s="4"/>
      <c r="R58" s="4"/>
      <c r="S58" s="4"/>
      <c r="T58" s="4"/>
      <c r="U58" s="5"/>
      <c r="Y58" s="6" t="s">
        <v>4</v>
      </c>
      <c r="Z58" s="9"/>
      <c r="AA58" s="4"/>
      <c r="AB58" s="4"/>
      <c r="AC58" s="4"/>
      <c r="AD58" s="4"/>
      <c r="AE58" s="5"/>
      <c r="AH58" s="6" t="s">
        <v>4</v>
      </c>
      <c r="AI58" s="9"/>
      <c r="AJ58" s="4"/>
      <c r="AK58" s="4"/>
      <c r="AL58" s="4"/>
      <c r="AM58" s="4"/>
      <c r="AN58" s="5"/>
    </row>
    <row r="59" spans="1:40" ht="15.75" thickBot="1" x14ac:dyDescent="0.3">
      <c r="A59" s="97"/>
      <c r="B59" s="26"/>
      <c r="C59" s="27"/>
      <c r="D59" s="27"/>
      <c r="E59" s="27"/>
      <c r="F59" s="27">
        <f>SUM(C59-B59)</f>
        <v>0</v>
      </c>
      <c r="G59" s="20">
        <f>SUM(E59-D59)</f>
        <v>0</v>
      </c>
      <c r="H59" s="21">
        <f>SUM(F59:G59)</f>
        <v>0</v>
      </c>
      <c r="J59" s="29" t="s">
        <v>22</v>
      </c>
      <c r="K59" s="10"/>
      <c r="L59" s="11"/>
      <c r="M59" s="11"/>
      <c r="N59" s="11"/>
      <c r="O59" s="11"/>
      <c r="P59" s="11"/>
      <c r="Q59" s="11"/>
      <c r="R59" s="11"/>
      <c r="S59" s="11"/>
      <c r="T59" s="11"/>
      <c r="U59" s="12"/>
      <c r="Y59" s="7" t="s">
        <v>22</v>
      </c>
      <c r="Z59" s="10"/>
      <c r="AA59" s="11"/>
      <c r="AB59" s="11"/>
      <c r="AC59" s="11"/>
      <c r="AD59" s="11"/>
      <c r="AE59" s="12"/>
      <c r="AH59" s="7" t="s">
        <v>22</v>
      </c>
      <c r="AI59" s="10"/>
      <c r="AJ59" s="11"/>
      <c r="AK59" s="11"/>
      <c r="AL59" s="11"/>
      <c r="AM59" s="11"/>
      <c r="AN59" s="12"/>
    </row>
    <row r="60" spans="1:40" x14ac:dyDescent="0.25">
      <c r="J60" s="8"/>
      <c r="T60" s="8" t="s">
        <v>23</v>
      </c>
      <c r="U60" s="13">
        <f>SUM(K59:U59)</f>
        <v>0</v>
      </c>
      <c r="AD60" s="8" t="s">
        <v>23</v>
      </c>
      <c r="AE60" s="13">
        <f>SUM(Z59:AE59)</f>
        <v>0</v>
      </c>
      <c r="AM60" s="8" t="s">
        <v>23</v>
      </c>
      <c r="AN60" s="13">
        <f>SUM(AI59:AN59)</f>
        <v>0</v>
      </c>
    </row>
    <row r="61" spans="1:40" ht="15.75" thickBot="1" x14ac:dyDescent="0.3">
      <c r="A61" s="19"/>
      <c r="B61" s="99" t="s">
        <v>13</v>
      </c>
      <c r="C61" s="99"/>
      <c r="D61" s="99"/>
      <c r="E61" s="99"/>
      <c r="F61" s="99"/>
      <c r="G61" s="99"/>
      <c r="H61" s="99"/>
      <c r="J61" s="100" t="s">
        <v>13</v>
      </c>
      <c r="K61" s="100"/>
      <c r="L61" s="100"/>
      <c r="M61" s="100"/>
      <c r="N61" s="100"/>
      <c r="O61" s="100"/>
      <c r="P61" s="100"/>
      <c r="Q61" s="100"/>
      <c r="R61" s="100"/>
      <c r="S61" s="100"/>
      <c r="T61" s="100"/>
      <c r="U61" s="100"/>
      <c r="Y61" s="101" t="str">
        <f>J61</f>
        <v>Março</v>
      </c>
      <c r="Z61" s="101"/>
      <c r="AA61" s="101"/>
      <c r="AB61" s="101"/>
      <c r="AC61" s="101"/>
      <c r="AD61" s="101"/>
      <c r="AE61" s="101"/>
      <c r="AH61" s="102" t="str">
        <f>Y61</f>
        <v>Março</v>
      </c>
      <c r="AI61" s="102"/>
      <c r="AJ61" s="102"/>
      <c r="AK61" s="102"/>
      <c r="AL61" s="102"/>
      <c r="AM61" s="102"/>
      <c r="AN61" s="102"/>
    </row>
    <row r="62" spans="1:40" ht="15.75" thickBot="1" x14ac:dyDescent="0.3">
      <c r="A62" s="97" t="s">
        <v>5</v>
      </c>
      <c r="B62" s="34" t="s">
        <v>6</v>
      </c>
      <c r="C62" s="22" t="s">
        <v>7</v>
      </c>
      <c r="D62" s="33" t="s">
        <v>8</v>
      </c>
      <c r="E62" s="22" t="s">
        <v>9</v>
      </c>
      <c r="F62" s="24" t="s">
        <v>10</v>
      </c>
      <c r="G62" s="23" t="s">
        <v>11</v>
      </c>
      <c r="H62" s="25" t="s">
        <v>12</v>
      </c>
      <c r="J62" s="6" t="s">
        <v>4</v>
      </c>
      <c r="K62" s="9"/>
      <c r="L62" s="4"/>
      <c r="M62" s="4"/>
      <c r="N62" s="4"/>
      <c r="O62" s="4"/>
      <c r="P62" s="4"/>
      <c r="Q62" s="4"/>
      <c r="R62" s="4"/>
      <c r="S62" s="4"/>
      <c r="T62" s="4"/>
      <c r="U62" s="5"/>
      <c r="Y62" s="6" t="s">
        <v>4</v>
      </c>
      <c r="Z62" s="9"/>
      <c r="AA62" s="4"/>
      <c r="AB62" s="4"/>
      <c r="AC62" s="4"/>
      <c r="AD62" s="4"/>
      <c r="AE62" s="5"/>
      <c r="AH62" s="6" t="s">
        <v>4</v>
      </c>
      <c r="AI62" s="9"/>
      <c r="AJ62" s="4"/>
      <c r="AK62" s="4"/>
      <c r="AL62" s="4"/>
      <c r="AM62" s="4"/>
      <c r="AN62" s="5"/>
    </row>
    <row r="63" spans="1:40" ht="15.75" thickBot="1" x14ac:dyDescent="0.3">
      <c r="A63" s="97"/>
      <c r="B63" s="26"/>
      <c r="C63" s="27"/>
      <c r="D63" s="27"/>
      <c r="E63" s="27"/>
      <c r="F63" s="27">
        <f>SUM(C63-B63)</f>
        <v>0</v>
      </c>
      <c r="G63" s="20">
        <f>SUM(E63-D63)</f>
        <v>0</v>
      </c>
      <c r="H63" s="21">
        <f>SUM(F63:G63)</f>
        <v>0</v>
      </c>
      <c r="J63" s="7" t="s">
        <v>22</v>
      </c>
      <c r="K63" s="10"/>
      <c r="L63" s="11"/>
      <c r="M63" s="11"/>
      <c r="N63" s="11"/>
      <c r="O63" s="11"/>
      <c r="P63" s="11"/>
      <c r="Q63" s="11"/>
      <c r="R63" s="11"/>
      <c r="S63" s="11"/>
      <c r="T63" s="11"/>
      <c r="U63" s="12"/>
      <c r="Y63" s="7" t="s">
        <v>22</v>
      </c>
      <c r="Z63" s="10"/>
      <c r="AA63" s="11"/>
      <c r="AB63" s="11"/>
      <c r="AC63" s="11"/>
      <c r="AD63" s="11"/>
      <c r="AE63" s="12"/>
      <c r="AH63" s="7" t="s">
        <v>22</v>
      </c>
      <c r="AI63" s="10"/>
      <c r="AJ63" s="11"/>
      <c r="AK63" s="11"/>
      <c r="AL63" s="11"/>
      <c r="AM63" s="11"/>
      <c r="AN63" s="12"/>
    </row>
    <row r="64" spans="1:40" x14ac:dyDescent="0.25">
      <c r="J64" s="8"/>
      <c r="T64" s="8" t="s">
        <v>23</v>
      </c>
      <c r="U64" s="13">
        <f>SUM(K63:U63)</f>
        <v>0</v>
      </c>
      <c r="AD64" s="8" t="s">
        <v>23</v>
      </c>
      <c r="AE64" s="13">
        <f>SUM(Z63:AE63)</f>
        <v>0</v>
      </c>
      <c r="AM64" s="8" t="s">
        <v>23</v>
      </c>
      <c r="AN64" s="13">
        <f>SUM(AI63:AN63)</f>
        <v>0</v>
      </c>
    </row>
    <row r="65" spans="1:40" ht="15.75" thickBot="1" x14ac:dyDescent="0.3">
      <c r="A65" s="19"/>
      <c r="B65" s="99" t="s">
        <v>14</v>
      </c>
      <c r="C65" s="99"/>
      <c r="D65" s="99"/>
      <c r="E65" s="99"/>
      <c r="F65" s="99"/>
      <c r="G65" s="99"/>
      <c r="H65" s="99"/>
      <c r="J65" s="100" t="s">
        <v>14</v>
      </c>
      <c r="K65" s="100"/>
      <c r="L65" s="100"/>
      <c r="M65" s="100"/>
      <c r="N65" s="100"/>
      <c r="O65" s="100"/>
      <c r="P65" s="100"/>
      <c r="Q65" s="100"/>
      <c r="R65" s="100"/>
      <c r="S65" s="100"/>
      <c r="T65" s="100"/>
      <c r="U65" s="100"/>
      <c r="Y65" s="101" t="str">
        <f>J65</f>
        <v>Abril</v>
      </c>
      <c r="Z65" s="101"/>
      <c r="AA65" s="101"/>
      <c r="AB65" s="101"/>
      <c r="AC65" s="101"/>
      <c r="AD65" s="101"/>
      <c r="AE65" s="101"/>
      <c r="AH65" s="102" t="str">
        <f>Y65</f>
        <v>Abril</v>
      </c>
      <c r="AI65" s="102"/>
      <c r="AJ65" s="102"/>
      <c r="AK65" s="102"/>
      <c r="AL65" s="102"/>
      <c r="AM65" s="102"/>
      <c r="AN65" s="102"/>
    </row>
    <row r="66" spans="1:40" ht="15.75" thickBot="1" x14ac:dyDescent="0.3">
      <c r="A66" s="97"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97"/>
      <c r="B67" s="26"/>
      <c r="C67" s="27"/>
      <c r="D67" s="27"/>
      <c r="E67" s="27"/>
      <c r="F67" s="27">
        <f>SUM(C67-B67)</f>
        <v>0</v>
      </c>
      <c r="G67" s="20">
        <f>SUM(E67-D67)</f>
        <v>0</v>
      </c>
      <c r="H67" s="21">
        <f>SUM(F67:G67)</f>
        <v>0</v>
      </c>
      <c r="J67" s="7" t="s">
        <v>22</v>
      </c>
      <c r="K67" s="30"/>
      <c r="L67" s="31"/>
      <c r="M67" s="31"/>
      <c r="N67" s="31"/>
      <c r="O67" s="31"/>
      <c r="P67" s="31"/>
      <c r="Q67" s="31"/>
      <c r="R67" s="31"/>
      <c r="S67" s="31"/>
      <c r="T67" s="31"/>
      <c r="U67" s="32"/>
      <c r="Y67" s="7" t="s">
        <v>22</v>
      </c>
      <c r="Z67" s="10"/>
      <c r="AA67" s="11"/>
      <c r="AB67" s="11"/>
      <c r="AC67" s="11"/>
      <c r="AD67" s="11"/>
      <c r="AE67" s="12"/>
      <c r="AH67" s="7" t="s">
        <v>22</v>
      </c>
      <c r="AI67" s="10"/>
      <c r="AJ67" s="11"/>
      <c r="AK67" s="11"/>
      <c r="AL67" s="11"/>
      <c r="AM67" s="11"/>
      <c r="AN67" s="12"/>
    </row>
    <row r="68" spans="1:40" x14ac:dyDescent="0.25">
      <c r="J68" s="8"/>
      <c r="T68" s="8" t="s">
        <v>23</v>
      </c>
      <c r="U68" s="13">
        <f>SUM(K67:U67)</f>
        <v>0</v>
      </c>
      <c r="AD68" s="8" t="s">
        <v>23</v>
      </c>
      <c r="AE68" s="13">
        <f>SUM(Z67:AE67)</f>
        <v>0</v>
      </c>
      <c r="AM68" s="8" t="s">
        <v>23</v>
      </c>
      <c r="AN68" s="13">
        <f>SUM(AI67:AN67)</f>
        <v>0</v>
      </c>
    </row>
    <row r="69" spans="1:40" ht="15.75" thickBot="1" x14ac:dyDescent="0.3">
      <c r="A69" s="19"/>
      <c r="B69" s="99" t="s">
        <v>15</v>
      </c>
      <c r="C69" s="99"/>
      <c r="D69" s="99"/>
      <c r="E69" s="99"/>
      <c r="F69" s="99"/>
      <c r="G69" s="99"/>
      <c r="H69" s="99"/>
      <c r="J69" s="100" t="s">
        <v>15</v>
      </c>
      <c r="K69" s="100"/>
      <c r="L69" s="100"/>
      <c r="M69" s="100"/>
      <c r="N69" s="100"/>
      <c r="O69" s="100"/>
      <c r="P69" s="100"/>
      <c r="Q69" s="100"/>
      <c r="R69" s="100"/>
      <c r="S69" s="100"/>
      <c r="T69" s="100"/>
      <c r="U69" s="100"/>
      <c r="Y69" s="101" t="str">
        <f>J69</f>
        <v>Maio</v>
      </c>
      <c r="Z69" s="101"/>
      <c r="AA69" s="101"/>
      <c r="AB69" s="101"/>
      <c r="AC69" s="101"/>
      <c r="AD69" s="101"/>
      <c r="AE69" s="101"/>
      <c r="AH69" s="102" t="str">
        <f>Y69</f>
        <v>Maio</v>
      </c>
      <c r="AI69" s="102"/>
      <c r="AJ69" s="102"/>
      <c r="AK69" s="102"/>
      <c r="AL69" s="102"/>
      <c r="AM69" s="102"/>
      <c r="AN69" s="102"/>
    </row>
    <row r="70" spans="1:40" ht="15.75" thickBot="1" x14ac:dyDescent="0.3">
      <c r="A70" s="97"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97"/>
      <c r="B71" s="26"/>
      <c r="C71" s="27"/>
      <c r="D71" s="27"/>
      <c r="E71" s="27"/>
      <c r="F71" s="27">
        <f>SUM(C71-B71)</f>
        <v>0</v>
      </c>
      <c r="G71" s="20">
        <f>SUM(E71-D71)</f>
        <v>0</v>
      </c>
      <c r="H71" s="21">
        <f>SUM(F71:G71)</f>
        <v>0</v>
      </c>
      <c r="J71" s="7" t="s">
        <v>22</v>
      </c>
      <c r="K71" s="10"/>
      <c r="L71" s="11"/>
      <c r="M71" s="11"/>
      <c r="N71" s="11"/>
      <c r="O71" s="11"/>
      <c r="P71" s="11"/>
      <c r="Q71" s="11"/>
      <c r="R71" s="11"/>
      <c r="S71" s="11"/>
      <c r="T71" s="11"/>
      <c r="U71" s="12"/>
      <c r="Y71" s="7" t="s">
        <v>22</v>
      </c>
      <c r="Z71" s="10"/>
      <c r="AA71" s="11"/>
      <c r="AB71" s="11"/>
      <c r="AC71" s="11"/>
      <c r="AD71" s="11"/>
      <c r="AE71" s="12"/>
      <c r="AH71" s="7" t="s">
        <v>22</v>
      </c>
      <c r="AI71" s="10"/>
      <c r="AJ71" s="11"/>
      <c r="AK71" s="11"/>
      <c r="AL71" s="11"/>
      <c r="AM71" s="11"/>
      <c r="AN71" s="12"/>
    </row>
    <row r="72" spans="1:40" x14ac:dyDescent="0.25">
      <c r="J72" s="8"/>
      <c r="T72" s="8" t="s">
        <v>23</v>
      </c>
      <c r="U72" s="13">
        <f>SUM(K71:U71)</f>
        <v>0</v>
      </c>
      <c r="AD72" s="8" t="s">
        <v>23</v>
      </c>
      <c r="AE72" s="13">
        <f>SUM(Z71:AE71)</f>
        <v>0</v>
      </c>
      <c r="AM72" s="8" t="s">
        <v>23</v>
      </c>
      <c r="AN72" s="13">
        <f>SUM(AI71:AN71)</f>
        <v>0</v>
      </c>
    </row>
    <row r="73" spans="1:40" ht="15.75" thickBot="1" x14ac:dyDescent="0.3">
      <c r="A73" s="19"/>
      <c r="B73" s="99" t="s">
        <v>24</v>
      </c>
      <c r="C73" s="99"/>
      <c r="D73" s="99"/>
      <c r="E73" s="99"/>
      <c r="F73" s="99"/>
      <c r="G73" s="99"/>
      <c r="H73" s="99"/>
      <c r="J73" s="100" t="s">
        <v>24</v>
      </c>
      <c r="K73" s="100"/>
      <c r="L73" s="100"/>
      <c r="M73" s="100"/>
      <c r="N73" s="100"/>
      <c r="O73" s="100"/>
      <c r="P73" s="100"/>
      <c r="Q73" s="100"/>
      <c r="R73" s="100"/>
      <c r="S73" s="100"/>
      <c r="T73" s="100"/>
      <c r="U73" s="100"/>
      <c r="Y73" s="101" t="str">
        <f>J73</f>
        <v>Junho</v>
      </c>
      <c r="Z73" s="101"/>
      <c r="AA73" s="101"/>
      <c r="AB73" s="101"/>
      <c r="AC73" s="101"/>
      <c r="AD73" s="101"/>
      <c r="AE73" s="101"/>
      <c r="AH73" s="102" t="str">
        <f>Y73</f>
        <v>Junho</v>
      </c>
      <c r="AI73" s="102"/>
      <c r="AJ73" s="102"/>
      <c r="AK73" s="102"/>
      <c r="AL73" s="102"/>
      <c r="AM73" s="102"/>
      <c r="AN73" s="102"/>
    </row>
    <row r="74" spans="1:40" ht="15.75" thickBot="1" x14ac:dyDescent="0.3">
      <c r="A74" s="97"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97"/>
      <c r="B75" s="26"/>
      <c r="C75" s="27"/>
      <c r="D75" s="27"/>
      <c r="E75" s="27"/>
      <c r="F75" s="27">
        <f>SUM(C75-B75)</f>
        <v>0</v>
      </c>
      <c r="G75" s="20">
        <f>SUM(E75-D75)</f>
        <v>0</v>
      </c>
      <c r="H75" s="21">
        <f>SUM(F75:G75)</f>
        <v>0</v>
      </c>
      <c r="J75" s="7" t="s">
        <v>22</v>
      </c>
      <c r="K75" s="10"/>
      <c r="L75" s="11"/>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J76" s="8"/>
      <c r="T76" s="8" t="s">
        <v>23</v>
      </c>
      <c r="U76" s="13">
        <f>SUM(K75:U75)</f>
        <v>0</v>
      </c>
      <c r="AD76" s="8" t="s">
        <v>23</v>
      </c>
      <c r="AE76" s="13">
        <f>SUM(Z75:AE75)</f>
        <v>0</v>
      </c>
      <c r="AM76" s="8" t="s">
        <v>23</v>
      </c>
      <c r="AN76" s="13">
        <f>SUM(AI75:AN75)</f>
        <v>0</v>
      </c>
    </row>
    <row r="77" spans="1:40" ht="15.75" thickBot="1" x14ac:dyDescent="0.3">
      <c r="A77" s="19"/>
      <c r="B77" s="99" t="s">
        <v>16</v>
      </c>
      <c r="C77" s="99"/>
      <c r="D77" s="99"/>
      <c r="E77" s="99"/>
      <c r="F77" s="99"/>
      <c r="G77" s="99"/>
      <c r="H77" s="99"/>
      <c r="J77" s="100" t="s">
        <v>16</v>
      </c>
      <c r="K77" s="100"/>
      <c r="L77" s="100"/>
      <c r="M77" s="100"/>
      <c r="N77" s="100"/>
      <c r="O77" s="100"/>
      <c r="P77" s="100"/>
      <c r="Q77" s="100"/>
      <c r="R77" s="100"/>
      <c r="S77" s="100"/>
      <c r="T77" s="100"/>
      <c r="U77" s="100"/>
      <c r="Y77" s="101" t="str">
        <f>J77</f>
        <v>Julho</v>
      </c>
      <c r="Z77" s="101"/>
      <c r="AA77" s="101"/>
      <c r="AB77" s="101"/>
      <c r="AC77" s="101"/>
      <c r="AD77" s="101"/>
      <c r="AE77" s="101"/>
      <c r="AH77" s="102" t="str">
        <f>Y77</f>
        <v>Julho</v>
      </c>
      <c r="AI77" s="102"/>
      <c r="AJ77" s="102"/>
      <c r="AK77" s="102"/>
      <c r="AL77" s="102"/>
      <c r="AM77" s="102"/>
      <c r="AN77" s="102"/>
    </row>
    <row r="78" spans="1:40" ht="15.75" thickBot="1" x14ac:dyDescent="0.3">
      <c r="A78" s="97"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Y78" s="6" t="s">
        <v>4</v>
      </c>
      <c r="Z78" s="9"/>
      <c r="AA78" s="4"/>
      <c r="AB78" s="4"/>
      <c r="AC78" s="4"/>
      <c r="AD78" s="4"/>
      <c r="AE78" s="5"/>
      <c r="AH78" s="6" t="s">
        <v>4</v>
      </c>
      <c r="AI78" s="9"/>
      <c r="AJ78" s="4"/>
      <c r="AK78" s="4"/>
      <c r="AL78" s="4"/>
      <c r="AM78" s="4"/>
      <c r="AN78" s="5"/>
    </row>
    <row r="79" spans="1:40" ht="15.75" thickBot="1" x14ac:dyDescent="0.3">
      <c r="A79" s="97"/>
      <c r="B79" s="26"/>
      <c r="C79" s="27"/>
      <c r="D79" s="27"/>
      <c r="E79" s="27"/>
      <c r="F79" s="27">
        <f>SUM(C79-B79)</f>
        <v>0</v>
      </c>
      <c r="G79" s="20">
        <f>SUM(E79-D79)</f>
        <v>0</v>
      </c>
      <c r="H79" s="21">
        <f>SUM(F79:G79)</f>
        <v>0</v>
      </c>
      <c r="J79" s="7" t="s">
        <v>22</v>
      </c>
      <c r="K79" s="10"/>
      <c r="L79" s="11"/>
      <c r="M79" s="11"/>
      <c r="N79" s="11"/>
      <c r="O79" s="11"/>
      <c r="P79" s="11"/>
      <c r="Q79" s="11"/>
      <c r="R79" s="11"/>
      <c r="S79" s="11"/>
      <c r="T79" s="11"/>
      <c r="U79" s="12"/>
      <c r="Y79" s="7" t="s">
        <v>22</v>
      </c>
      <c r="Z79" s="10"/>
      <c r="AA79" s="11"/>
      <c r="AB79" s="11"/>
      <c r="AC79" s="11"/>
      <c r="AD79" s="11"/>
      <c r="AE79" s="12"/>
      <c r="AH79" s="7" t="s">
        <v>22</v>
      </c>
      <c r="AI79" s="10"/>
      <c r="AJ79" s="11"/>
      <c r="AK79" s="11"/>
      <c r="AL79" s="11"/>
      <c r="AM79" s="11"/>
      <c r="AN79" s="12"/>
    </row>
    <row r="80" spans="1:40" x14ac:dyDescent="0.25">
      <c r="J80" s="8"/>
      <c r="T80" s="8" t="s">
        <v>23</v>
      </c>
      <c r="U80" s="13">
        <f>SUM(K79:U79)</f>
        <v>0</v>
      </c>
      <c r="AD80" s="8" t="s">
        <v>23</v>
      </c>
      <c r="AE80" s="13">
        <f>SUM(Z79:AE79)</f>
        <v>0</v>
      </c>
      <c r="AM80" s="8" t="s">
        <v>23</v>
      </c>
      <c r="AN80" s="13">
        <f>SUM(AI79:AN79)</f>
        <v>0</v>
      </c>
    </row>
    <row r="81" spans="1:40" ht="15.75" thickBot="1" x14ac:dyDescent="0.3">
      <c r="A81" s="19"/>
      <c r="B81" s="99" t="s">
        <v>17</v>
      </c>
      <c r="C81" s="99"/>
      <c r="D81" s="99"/>
      <c r="E81" s="99"/>
      <c r="F81" s="99"/>
      <c r="G81" s="99"/>
      <c r="H81" s="99"/>
      <c r="J81" s="100" t="s">
        <v>17</v>
      </c>
      <c r="K81" s="100"/>
      <c r="L81" s="100"/>
      <c r="M81" s="100"/>
      <c r="N81" s="100"/>
      <c r="O81" s="100"/>
      <c r="P81" s="100"/>
      <c r="Q81" s="100"/>
      <c r="R81" s="100"/>
      <c r="S81" s="100"/>
      <c r="T81" s="100"/>
      <c r="U81" s="100"/>
      <c r="Y81" s="101" t="str">
        <f>J81</f>
        <v>Agosto</v>
      </c>
      <c r="Z81" s="101"/>
      <c r="AA81" s="101"/>
      <c r="AB81" s="101"/>
      <c r="AC81" s="101"/>
      <c r="AD81" s="101"/>
      <c r="AE81" s="101"/>
      <c r="AH81" s="102" t="str">
        <f>Y81</f>
        <v>Agosto</v>
      </c>
      <c r="AI81" s="102"/>
      <c r="AJ81" s="102"/>
      <c r="AK81" s="102"/>
      <c r="AL81" s="102"/>
      <c r="AM81" s="102"/>
      <c r="AN81" s="102"/>
    </row>
    <row r="82" spans="1:40" ht="15.75" thickBot="1" x14ac:dyDescent="0.3">
      <c r="A82" s="97"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Y82" s="6" t="s">
        <v>4</v>
      </c>
      <c r="Z82" s="9"/>
      <c r="AA82" s="4"/>
      <c r="AB82" s="4"/>
      <c r="AC82" s="4"/>
      <c r="AD82" s="4"/>
      <c r="AE82" s="5"/>
      <c r="AH82" s="6" t="s">
        <v>4</v>
      </c>
      <c r="AI82" s="9"/>
      <c r="AJ82" s="4"/>
      <c r="AK82" s="4"/>
      <c r="AL82" s="4"/>
      <c r="AM82" s="4"/>
      <c r="AN82" s="5"/>
    </row>
    <row r="83" spans="1:40" ht="15.75" thickBot="1" x14ac:dyDescent="0.3">
      <c r="A83" s="97"/>
      <c r="B83" s="26"/>
      <c r="C83" s="27"/>
      <c r="D83" s="27"/>
      <c r="E83" s="27"/>
      <c r="F83" s="27">
        <f>SUM(C83-B83)</f>
        <v>0</v>
      </c>
      <c r="G83" s="20">
        <f>SUM(E83-D83)</f>
        <v>0</v>
      </c>
      <c r="H83" s="21">
        <f>SUM(F83:G83)</f>
        <v>0</v>
      </c>
      <c r="J83" s="7" t="s">
        <v>22</v>
      </c>
      <c r="K83" s="10"/>
      <c r="L83" s="11"/>
      <c r="M83" s="11"/>
      <c r="N83" s="11"/>
      <c r="O83" s="11"/>
      <c r="P83" s="11"/>
      <c r="Q83" s="11"/>
      <c r="R83" s="11"/>
      <c r="S83" s="11"/>
      <c r="T83" s="11"/>
      <c r="U83" s="12"/>
      <c r="Y83" s="7" t="s">
        <v>22</v>
      </c>
      <c r="Z83" s="10"/>
      <c r="AA83" s="11"/>
      <c r="AB83" s="11"/>
      <c r="AC83" s="11"/>
      <c r="AD83" s="11"/>
      <c r="AE83" s="12"/>
      <c r="AH83" s="7" t="s">
        <v>22</v>
      </c>
      <c r="AI83" s="10"/>
      <c r="AJ83" s="11"/>
      <c r="AK83" s="11"/>
      <c r="AL83" s="11"/>
      <c r="AM83" s="11"/>
      <c r="AN83" s="12"/>
    </row>
    <row r="84" spans="1:40" x14ac:dyDescent="0.25">
      <c r="J84" s="8"/>
      <c r="T84" s="8" t="s">
        <v>23</v>
      </c>
      <c r="U84" s="13">
        <f>SUM(K83:U83)</f>
        <v>0</v>
      </c>
      <c r="AD84" s="8" t="s">
        <v>23</v>
      </c>
      <c r="AE84" s="13">
        <f>SUM(Z83:AE83)</f>
        <v>0</v>
      </c>
      <c r="AM84" s="8" t="s">
        <v>23</v>
      </c>
      <c r="AN84" s="13">
        <f>SUM(AI83:AN83)</f>
        <v>0</v>
      </c>
    </row>
    <row r="85" spans="1:40" ht="15.75" thickBot="1" x14ac:dyDescent="0.3">
      <c r="A85" s="19"/>
      <c r="B85" s="99" t="s">
        <v>18</v>
      </c>
      <c r="C85" s="99"/>
      <c r="D85" s="99"/>
      <c r="E85" s="99"/>
      <c r="F85" s="99"/>
      <c r="G85" s="99"/>
      <c r="H85" s="99"/>
      <c r="J85" s="100" t="s">
        <v>18</v>
      </c>
      <c r="K85" s="100"/>
      <c r="L85" s="100"/>
      <c r="M85" s="100"/>
      <c r="N85" s="100"/>
      <c r="O85" s="100"/>
      <c r="P85" s="100"/>
      <c r="Q85" s="100"/>
      <c r="R85" s="100"/>
      <c r="S85" s="100"/>
      <c r="T85" s="100"/>
      <c r="U85" s="100"/>
      <c r="Y85" s="101" t="str">
        <f>J85</f>
        <v>Setembro</v>
      </c>
      <c r="Z85" s="101"/>
      <c r="AA85" s="101"/>
      <c r="AB85" s="101"/>
      <c r="AC85" s="101"/>
      <c r="AD85" s="101"/>
      <c r="AE85" s="101"/>
      <c r="AH85" s="102" t="str">
        <f>Y85</f>
        <v>Setembro</v>
      </c>
      <c r="AI85" s="102"/>
      <c r="AJ85" s="102"/>
      <c r="AK85" s="102"/>
      <c r="AL85" s="102"/>
      <c r="AM85" s="102"/>
      <c r="AN85" s="102"/>
    </row>
    <row r="86" spans="1:40" ht="15.75" thickBot="1" x14ac:dyDescent="0.3">
      <c r="A86" s="97"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Y86" s="6" t="s">
        <v>4</v>
      </c>
      <c r="Z86" s="9"/>
      <c r="AA86" s="4"/>
      <c r="AB86" s="4"/>
      <c r="AC86" s="4"/>
      <c r="AD86" s="4"/>
      <c r="AE86" s="5"/>
      <c r="AH86" s="6" t="s">
        <v>4</v>
      </c>
      <c r="AI86" s="9"/>
      <c r="AJ86" s="4"/>
      <c r="AK86" s="4"/>
      <c r="AL86" s="4"/>
      <c r="AM86" s="4"/>
      <c r="AN86" s="5"/>
    </row>
    <row r="87" spans="1:40" ht="15.75" thickBot="1" x14ac:dyDescent="0.3">
      <c r="A87" s="97"/>
      <c r="B87" s="26"/>
      <c r="C87" s="27"/>
      <c r="D87" s="27"/>
      <c r="E87" s="27"/>
      <c r="F87" s="27">
        <f>SUM(C87-B87)</f>
        <v>0</v>
      </c>
      <c r="G87" s="20">
        <f>SUM(E87-D87)</f>
        <v>0</v>
      </c>
      <c r="H87" s="21">
        <f>SUM(F87:G87)</f>
        <v>0</v>
      </c>
      <c r="J87" s="7" t="s">
        <v>22</v>
      </c>
      <c r="K87" s="10"/>
      <c r="L87" s="11"/>
      <c r="M87" s="11"/>
      <c r="N87" s="11"/>
      <c r="O87" s="11"/>
      <c r="P87" s="11"/>
      <c r="Q87" s="11"/>
      <c r="R87" s="11"/>
      <c r="S87" s="11"/>
      <c r="T87" s="11"/>
      <c r="U87" s="12"/>
      <c r="Y87" s="7" t="s">
        <v>22</v>
      </c>
      <c r="Z87" s="10"/>
      <c r="AA87" s="11"/>
      <c r="AB87" s="11"/>
      <c r="AC87" s="11"/>
      <c r="AD87" s="11"/>
      <c r="AE87" s="12"/>
      <c r="AH87" s="7" t="s">
        <v>22</v>
      </c>
      <c r="AI87" s="10"/>
      <c r="AJ87" s="11"/>
      <c r="AK87" s="11"/>
      <c r="AL87" s="11"/>
      <c r="AM87" s="11"/>
      <c r="AN87" s="12"/>
    </row>
    <row r="88" spans="1:40" x14ac:dyDescent="0.25">
      <c r="J88" s="8"/>
      <c r="T88" s="8" t="s">
        <v>23</v>
      </c>
      <c r="U88" s="13">
        <f>SUM(K87:U87)</f>
        <v>0</v>
      </c>
      <c r="AD88" s="8" t="s">
        <v>23</v>
      </c>
      <c r="AE88" s="13">
        <f>SUM(Z87:AE87)</f>
        <v>0</v>
      </c>
      <c r="AM88" s="8" t="s">
        <v>23</v>
      </c>
      <c r="AN88" s="13">
        <f>SUM(AI87:AN87)</f>
        <v>0</v>
      </c>
    </row>
  </sheetData>
  <mergeCells count="110">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B53:H53"/>
    <mergeCell ref="J53:U53"/>
    <mergeCell ref="Y53:AE53"/>
    <mergeCell ref="AH53:AN53"/>
    <mergeCell ref="A54:A5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B61:H61"/>
    <mergeCell ref="J61:U61"/>
    <mergeCell ref="Y61:AE61"/>
    <mergeCell ref="AH61:AN61"/>
    <mergeCell ref="A62:A63"/>
    <mergeCell ref="B57:H57"/>
    <mergeCell ref="J57:U57"/>
    <mergeCell ref="Y57:AE57"/>
    <mergeCell ref="AH57:AN57"/>
    <mergeCell ref="A58:A59"/>
    <mergeCell ref="B69:H69"/>
    <mergeCell ref="J69:U69"/>
    <mergeCell ref="Y69:AE69"/>
    <mergeCell ref="AH69:AN69"/>
    <mergeCell ref="A70:A71"/>
    <mergeCell ref="B65:H65"/>
    <mergeCell ref="J65:U65"/>
    <mergeCell ref="Y65:AE65"/>
    <mergeCell ref="AH65:AN65"/>
    <mergeCell ref="A66:A67"/>
    <mergeCell ref="B77:H77"/>
    <mergeCell ref="J77:U77"/>
    <mergeCell ref="Y77:AE77"/>
    <mergeCell ref="AH77:AN77"/>
    <mergeCell ref="A78:A79"/>
    <mergeCell ref="B73:H73"/>
    <mergeCell ref="J73:U73"/>
    <mergeCell ref="Y73:AE73"/>
    <mergeCell ref="AH73:AN73"/>
    <mergeCell ref="A74:A75"/>
    <mergeCell ref="B85:H85"/>
    <mergeCell ref="J85:U85"/>
    <mergeCell ref="Y85:AE85"/>
    <mergeCell ref="AH85:AN85"/>
    <mergeCell ref="A86:A87"/>
    <mergeCell ref="B81:H81"/>
    <mergeCell ref="J81:U81"/>
    <mergeCell ref="Y81:AE81"/>
    <mergeCell ref="AH81:AN81"/>
    <mergeCell ref="A82:A83"/>
  </mergeCells>
  <pageMargins left="0.511811024" right="0.511811024" top="0.78740157499999996" bottom="0.78740157499999996" header="0.31496062000000002" footer="0.31496062000000002"/>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K52"/>
  <sheetViews>
    <sheetView showGridLines="0" topLeftCell="A37" workbookViewId="0">
      <selection activeCell="B45" sqref="B45:H45"/>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5703125" customWidth="1"/>
    <col min="10" max="10" width="8.85546875" customWidth="1"/>
    <col min="11" max="11" width="12.140625" bestFit="1" customWidth="1"/>
    <col min="12" max="13" width="10.42578125" bestFit="1" customWidth="1"/>
    <col min="14" max="20" width="10.5703125" bestFit="1" customWidth="1"/>
    <col min="21" max="21" width="13.28515625" bestFit="1" customWidth="1"/>
    <col min="26" max="26" width="10.5703125" bestFit="1" customWidth="1"/>
    <col min="27" max="27" width="12.140625" bestFit="1" customWidth="1"/>
    <col min="29" max="29" width="12.140625" bestFit="1" customWidth="1"/>
    <col min="34" max="36" width="10.140625" bestFit="1" customWidth="1"/>
    <col min="37" max="37" width="12.140625" bestFit="1" customWidth="1"/>
  </cols>
  <sheetData>
    <row r="2" spans="1:37" x14ac:dyDescent="0.25">
      <c r="A2" t="s">
        <v>0</v>
      </c>
      <c r="B2" s="94" t="s">
        <v>85</v>
      </c>
      <c r="C2" s="94"/>
      <c r="D2" s="1" t="s">
        <v>1</v>
      </c>
      <c r="E2" s="94" t="s">
        <v>86</v>
      </c>
      <c r="F2" s="94"/>
      <c r="H2" t="s">
        <v>91</v>
      </c>
      <c r="I2" s="72">
        <v>3000</v>
      </c>
    </row>
    <row r="3" spans="1:37" x14ac:dyDescent="0.25">
      <c r="A3" t="s">
        <v>79</v>
      </c>
      <c r="B3" s="94"/>
      <c r="C3" s="94"/>
      <c r="D3" s="1" t="s">
        <v>1</v>
      </c>
      <c r="E3" s="94"/>
      <c r="F3" s="94"/>
      <c r="H3" t="s">
        <v>80</v>
      </c>
      <c r="I3" s="54"/>
    </row>
    <row r="4" spans="1:37" x14ac:dyDescent="0.25">
      <c r="A4" t="s">
        <v>2</v>
      </c>
      <c r="B4" s="95">
        <v>2484</v>
      </c>
      <c r="C4" s="95"/>
      <c r="D4" s="1" t="s">
        <v>29</v>
      </c>
      <c r="E4" s="109">
        <v>45</v>
      </c>
      <c r="F4" s="94"/>
      <c r="H4" t="s">
        <v>70</v>
      </c>
      <c r="I4" s="67">
        <v>45714</v>
      </c>
      <c r="J4" t="s">
        <v>128</v>
      </c>
      <c r="K4" s="67">
        <v>45955</v>
      </c>
    </row>
    <row r="7" spans="1:37" ht="21" x14ac:dyDescent="0.35">
      <c r="A7" s="96" t="s">
        <v>28</v>
      </c>
      <c r="B7" s="96"/>
      <c r="C7" s="96"/>
      <c r="D7" s="96"/>
      <c r="E7" s="96"/>
      <c r="F7" s="96"/>
      <c r="G7" s="96"/>
      <c r="H7" s="96"/>
      <c r="J7" s="103" t="s">
        <v>26</v>
      </c>
      <c r="K7" s="103"/>
      <c r="L7" s="103"/>
      <c r="M7" s="103"/>
      <c r="N7" s="103"/>
      <c r="O7" s="103"/>
      <c r="P7" s="103"/>
      <c r="Q7" s="103"/>
      <c r="R7" s="103"/>
      <c r="S7" s="103"/>
      <c r="T7" s="103"/>
      <c r="U7" s="103"/>
      <c r="V7" s="2"/>
      <c r="W7" s="98" t="s">
        <v>25</v>
      </c>
      <c r="X7" s="98"/>
      <c r="Y7" s="98"/>
      <c r="Z7" s="98"/>
      <c r="AA7" s="98"/>
      <c r="AB7" s="98"/>
      <c r="AC7" s="98"/>
      <c r="AD7" s="2"/>
      <c r="AE7" s="98" t="s">
        <v>27</v>
      </c>
      <c r="AF7" s="98"/>
      <c r="AG7" s="98"/>
      <c r="AH7" s="98"/>
      <c r="AI7" s="98"/>
      <c r="AJ7" s="98"/>
      <c r="AK7" s="98"/>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99" t="s">
        <v>3</v>
      </c>
      <c r="C9" s="99"/>
      <c r="D9" s="99"/>
      <c r="E9" s="99"/>
      <c r="F9" s="99"/>
      <c r="G9" s="99"/>
      <c r="H9" s="99"/>
      <c r="J9" s="100" t="s">
        <v>3</v>
      </c>
      <c r="K9" s="100"/>
      <c r="L9" s="100"/>
      <c r="M9" s="100"/>
      <c r="N9" s="100"/>
      <c r="O9" s="100"/>
      <c r="P9" s="100"/>
      <c r="Q9" s="100"/>
      <c r="R9" s="100"/>
      <c r="S9" s="100"/>
      <c r="T9" s="100"/>
      <c r="U9" s="100"/>
      <c r="W9" s="101" t="s">
        <v>3</v>
      </c>
      <c r="X9" s="101"/>
      <c r="Y9" s="101"/>
      <c r="Z9" s="101"/>
      <c r="AA9" s="101"/>
      <c r="AB9" s="101"/>
      <c r="AC9" s="101"/>
      <c r="AE9" s="102" t="s">
        <v>3</v>
      </c>
      <c r="AF9" s="102"/>
      <c r="AG9" s="102"/>
      <c r="AH9" s="102"/>
      <c r="AI9" s="102"/>
      <c r="AJ9" s="102"/>
      <c r="AK9" s="102"/>
    </row>
    <row r="10" spans="1:37" ht="15.75" thickBot="1" x14ac:dyDescent="0.3">
      <c r="A10" s="97"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97"/>
      <c r="B11" s="26"/>
      <c r="C11" s="27"/>
      <c r="D11" s="27">
        <v>915</v>
      </c>
      <c r="E11" s="27">
        <v>1238</v>
      </c>
      <c r="F11" s="27">
        <f>SUM(C11-B11)</f>
        <v>0</v>
      </c>
      <c r="G11" s="20">
        <f>SUM(E11-D11)</f>
        <v>323</v>
      </c>
      <c r="H11" s="21">
        <f>SUM(F11:G11)</f>
        <v>323</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W13" s="101" t="str">
        <f>J13</f>
        <v>Março</v>
      </c>
      <c r="X13" s="101"/>
      <c r="Y13" s="101"/>
      <c r="Z13" s="101"/>
      <c r="AA13" s="101"/>
      <c r="AB13" s="101"/>
      <c r="AC13" s="101"/>
      <c r="AE13" s="102" t="str">
        <f>W13</f>
        <v>Março</v>
      </c>
      <c r="AF13" s="102"/>
      <c r="AG13" s="102"/>
      <c r="AH13" s="102"/>
      <c r="AI13" s="102"/>
      <c r="AJ13" s="102"/>
      <c r="AK13" s="102"/>
    </row>
    <row r="14" spans="1:37" ht="15.75" thickBot="1" x14ac:dyDescent="0.3">
      <c r="A14" s="97" t="s">
        <v>5</v>
      </c>
      <c r="B14" s="34" t="s">
        <v>6</v>
      </c>
      <c r="C14" s="22" t="s">
        <v>7</v>
      </c>
      <c r="D14" s="33" t="s">
        <v>8</v>
      </c>
      <c r="E14" s="22" t="s">
        <v>9</v>
      </c>
      <c r="F14" s="24" t="s">
        <v>10</v>
      </c>
      <c r="G14" s="23" t="s">
        <v>11</v>
      </c>
      <c r="H14" s="25" t="s">
        <v>12</v>
      </c>
      <c r="J14" s="6" t="s">
        <v>4</v>
      </c>
      <c r="K14" s="9">
        <v>45727</v>
      </c>
      <c r="L14" s="66">
        <v>45731</v>
      </c>
      <c r="M14" s="66">
        <v>45734</v>
      </c>
      <c r="N14" s="66">
        <v>45738</v>
      </c>
      <c r="O14" s="66">
        <v>45741</v>
      </c>
      <c r="P14" s="66">
        <v>45745</v>
      </c>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97"/>
      <c r="B15" s="27">
        <v>1238</v>
      </c>
      <c r="C15" s="27">
        <v>1960</v>
      </c>
      <c r="D15" s="27">
        <v>1960</v>
      </c>
      <c r="E15" s="27">
        <v>2973</v>
      </c>
      <c r="F15" s="27">
        <f>SUM(C15-B15)</f>
        <v>722</v>
      </c>
      <c r="G15" s="20">
        <f>SUM(E15-D15)</f>
        <v>1013</v>
      </c>
      <c r="H15" s="21">
        <f>SUM(F15:G15)</f>
        <v>1735</v>
      </c>
      <c r="J15" s="7" t="s">
        <v>22</v>
      </c>
      <c r="K15" s="10">
        <v>191.41</v>
      </c>
      <c r="L15" s="11">
        <v>225.62</v>
      </c>
      <c r="M15" s="11">
        <v>156.82</v>
      </c>
      <c r="N15" s="11">
        <v>168.77</v>
      </c>
      <c r="O15" s="11">
        <v>116.81</v>
      </c>
      <c r="P15" s="11">
        <v>146.55000000000001</v>
      </c>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1005.9799999999998</v>
      </c>
      <c r="AB16" s="8" t="s">
        <v>23</v>
      </c>
      <c r="AC16" s="13">
        <f>SUM(X15:AC15)</f>
        <v>0</v>
      </c>
      <c r="AJ16" s="8" t="s">
        <v>23</v>
      </c>
      <c r="AK16" s="13">
        <f>SUM(AF15:AK15)</f>
        <v>0</v>
      </c>
    </row>
    <row r="17" spans="1:37"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W17" s="101" t="str">
        <f>J17</f>
        <v>Abril</v>
      </c>
      <c r="X17" s="101"/>
      <c r="Y17" s="101"/>
      <c r="Z17" s="101"/>
      <c r="AA17" s="101"/>
      <c r="AB17" s="101"/>
      <c r="AC17" s="101"/>
      <c r="AE17" s="102" t="str">
        <f>W17</f>
        <v>Abril</v>
      </c>
      <c r="AF17" s="102"/>
      <c r="AG17" s="102"/>
      <c r="AH17" s="102"/>
      <c r="AI17" s="102"/>
      <c r="AJ17" s="102"/>
      <c r="AK17" s="102"/>
    </row>
    <row r="18" spans="1:37" ht="15.75" thickBot="1" x14ac:dyDescent="0.3">
      <c r="A18" s="97" t="s">
        <v>5</v>
      </c>
      <c r="B18" s="34" t="s">
        <v>6</v>
      </c>
      <c r="C18" s="22" t="s">
        <v>7</v>
      </c>
      <c r="D18" s="33" t="s">
        <v>8</v>
      </c>
      <c r="E18" s="22" t="s">
        <v>9</v>
      </c>
      <c r="F18" s="24" t="s">
        <v>10</v>
      </c>
      <c r="G18" s="23" t="s">
        <v>11</v>
      </c>
      <c r="H18" s="25" t="s">
        <v>12</v>
      </c>
      <c r="J18" s="6" t="s">
        <v>4</v>
      </c>
      <c r="K18" s="9">
        <v>45752</v>
      </c>
      <c r="L18" s="66">
        <v>45755</v>
      </c>
      <c r="M18" s="66">
        <v>45762</v>
      </c>
      <c r="N18" s="66">
        <v>45769</v>
      </c>
      <c r="O18" s="66">
        <v>45771</v>
      </c>
      <c r="P18" s="66">
        <v>45773</v>
      </c>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97"/>
      <c r="B19" s="27">
        <v>2973</v>
      </c>
      <c r="C19" s="27">
        <v>3713</v>
      </c>
      <c r="D19" s="27">
        <v>3713</v>
      </c>
      <c r="E19" s="27">
        <v>4854</v>
      </c>
      <c r="F19" s="27">
        <f>SUM(C19-B19)</f>
        <v>740</v>
      </c>
      <c r="G19" s="20">
        <f>SUM(E19-D19)</f>
        <v>1141</v>
      </c>
      <c r="H19" s="21">
        <f>SUM(F19:G19)</f>
        <v>1881</v>
      </c>
      <c r="J19" s="7" t="s">
        <v>22</v>
      </c>
      <c r="K19" s="30">
        <v>153.74</v>
      </c>
      <c r="L19" s="31">
        <v>146.74</v>
      </c>
      <c r="M19" s="31">
        <v>194.59</v>
      </c>
      <c r="N19" s="31">
        <v>154.84</v>
      </c>
      <c r="O19" s="31">
        <v>158.75</v>
      </c>
      <c r="P19" s="31">
        <v>144.91999999999999</v>
      </c>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953.58</v>
      </c>
      <c r="AB20" s="8" t="s">
        <v>23</v>
      </c>
      <c r="AC20" s="13">
        <f>SUM(X19:AC19)</f>
        <v>0</v>
      </c>
      <c r="AJ20" s="8" t="s">
        <v>23</v>
      </c>
      <c r="AK20" s="13">
        <f>SUM(AF19:AK19)</f>
        <v>0</v>
      </c>
    </row>
    <row r="21" spans="1:37"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W21" s="101" t="str">
        <f>J21</f>
        <v>Maio</v>
      </c>
      <c r="X21" s="101"/>
      <c r="Y21" s="101"/>
      <c r="Z21" s="101"/>
      <c r="AA21" s="101"/>
      <c r="AB21" s="101"/>
      <c r="AC21" s="101"/>
      <c r="AE21" s="102" t="str">
        <f>W21</f>
        <v>Maio</v>
      </c>
      <c r="AF21" s="102"/>
      <c r="AG21" s="102"/>
      <c r="AH21" s="102"/>
      <c r="AI21" s="102"/>
      <c r="AJ21" s="102"/>
      <c r="AK21" s="102"/>
    </row>
    <row r="22" spans="1:37" ht="15.75" thickBot="1" x14ac:dyDescent="0.3">
      <c r="A22" s="97" t="s">
        <v>5</v>
      </c>
      <c r="B22" s="34" t="s">
        <v>6</v>
      </c>
      <c r="C22" s="22" t="s">
        <v>7</v>
      </c>
      <c r="D22" s="33" t="s">
        <v>8</v>
      </c>
      <c r="E22" s="22" t="s">
        <v>9</v>
      </c>
      <c r="F22" s="24" t="s">
        <v>10</v>
      </c>
      <c r="G22" s="23" t="s">
        <v>11</v>
      </c>
      <c r="H22" s="25" t="s">
        <v>12</v>
      </c>
      <c r="J22" s="6" t="s">
        <v>4</v>
      </c>
      <c r="K22" s="9">
        <v>45778</v>
      </c>
      <c r="L22" s="66">
        <v>45780</v>
      </c>
      <c r="M22" s="66">
        <v>45783</v>
      </c>
      <c r="N22" s="66">
        <v>45785</v>
      </c>
      <c r="O22" s="66">
        <v>45790</v>
      </c>
      <c r="P22" s="66">
        <v>45792</v>
      </c>
      <c r="Q22" s="66">
        <v>45797</v>
      </c>
      <c r="R22" s="66">
        <v>45799</v>
      </c>
      <c r="S22" s="66">
        <v>45804</v>
      </c>
      <c r="T22" s="66">
        <v>45808</v>
      </c>
      <c r="U22" s="5"/>
      <c r="W22" s="6" t="s">
        <v>4</v>
      </c>
      <c r="X22" s="9"/>
      <c r="Y22" s="4"/>
      <c r="Z22" s="4"/>
      <c r="AA22" s="4"/>
      <c r="AB22" s="4"/>
      <c r="AC22" s="5"/>
      <c r="AE22" s="6" t="s">
        <v>4</v>
      </c>
      <c r="AF22" s="9"/>
      <c r="AG22" s="4"/>
      <c r="AH22" s="4"/>
      <c r="AI22" s="4"/>
      <c r="AJ22" s="4"/>
      <c r="AK22" s="5"/>
    </row>
    <row r="23" spans="1:37" ht="15.75" thickBot="1" x14ac:dyDescent="0.3">
      <c r="A23" s="97"/>
      <c r="B23" s="27">
        <v>4854</v>
      </c>
      <c r="C23" s="27">
        <v>6176</v>
      </c>
      <c r="D23" s="27">
        <v>6176</v>
      </c>
      <c r="E23" s="27">
        <v>7278</v>
      </c>
      <c r="F23" s="27">
        <f>SUM(C23-B23)</f>
        <v>1322</v>
      </c>
      <c r="G23" s="20">
        <f>SUM(E23-D23)</f>
        <v>1102</v>
      </c>
      <c r="H23" s="21">
        <f>SUM(F23:G23)</f>
        <v>2424</v>
      </c>
      <c r="J23" s="7" t="s">
        <v>22</v>
      </c>
      <c r="K23" s="10">
        <v>49.46</v>
      </c>
      <c r="L23" s="11">
        <v>100.03</v>
      </c>
      <c r="M23" s="11">
        <v>150.71</v>
      </c>
      <c r="N23" s="11">
        <v>179.58</v>
      </c>
      <c r="O23" s="11">
        <v>145.33000000000001</v>
      </c>
      <c r="P23" s="11">
        <v>186.67</v>
      </c>
      <c r="Q23" s="11">
        <v>112.84</v>
      </c>
      <c r="R23" s="11">
        <v>140.57</v>
      </c>
      <c r="S23" s="11">
        <v>158.12</v>
      </c>
      <c r="T23" s="11">
        <v>184.06</v>
      </c>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1407.37</v>
      </c>
      <c r="AB24" s="8" t="s">
        <v>23</v>
      </c>
      <c r="AC24" s="13">
        <f>SUM(X23:AC23)</f>
        <v>0</v>
      </c>
      <c r="AJ24" s="8" t="s">
        <v>23</v>
      </c>
      <c r="AK24" s="13">
        <f>SUM(AF23:AK23)</f>
        <v>0</v>
      </c>
    </row>
    <row r="25" spans="1:37"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W25" s="101" t="str">
        <f>J25</f>
        <v>Junho</v>
      </c>
      <c r="X25" s="101"/>
      <c r="Y25" s="101"/>
      <c r="Z25" s="101"/>
      <c r="AA25" s="101"/>
      <c r="AB25" s="101"/>
      <c r="AC25" s="101"/>
      <c r="AE25" s="102" t="str">
        <f>W25</f>
        <v>Junho</v>
      </c>
      <c r="AF25" s="102"/>
      <c r="AG25" s="102"/>
      <c r="AH25" s="102"/>
      <c r="AI25" s="102"/>
      <c r="AJ25" s="102"/>
      <c r="AK25" s="102"/>
    </row>
    <row r="26" spans="1:37" ht="15.75" thickBot="1" x14ac:dyDescent="0.3">
      <c r="A26" s="97" t="s">
        <v>5</v>
      </c>
      <c r="B26" s="34" t="s">
        <v>6</v>
      </c>
      <c r="C26" s="22" t="s">
        <v>7</v>
      </c>
      <c r="D26" s="33" t="s">
        <v>8</v>
      </c>
      <c r="E26" s="22" t="s">
        <v>9</v>
      </c>
      <c r="F26" s="24" t="s">
        <v>10</v>
      </c>
      <c r="G26" s="23" t="s">
        <v>11</v>
      </c>
      <c r="H26" s="25" t="s">
        <v>12</v>
      </c>
      <c r="J26" s="6" t="s">
        <v>4</v>
      </c>
      <c r="K26" s="9">
        <v>45811</v>
      </c>
      <c r="L26" s="66">
        <v>45820</v>
      </c>
      <c r="M26" s="66">
        <v>45822</v>
      </c>
      <c r="N26" s="66">
        <v>45825</v>
      </c>
      <c r="O26" s="66">
        <v>45827</v>
      </c>
      <c r="P26" s="66">
        <v>45834</v>
      </c>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97"/>
      <c r="B27" s="27">
        <v>7278</v>
      </c>
      <c r="C27" s="27">
        <v>8372</v>
      </c>
      <c r="D27" s="27">
        <v>8372</v>
      </c>
      <c r="E27" s="27">
        <v>9935</v>
      </c>
      <c r="F27" s="27">
        <f>SUM(C27-B27)</f>
        <v>1094</v>
      </c>
      <c r="G27" s="20">
        <f>SUM(E27-D27)</f>
        <v>1563</v>
      </c>
      <c r="H27" s="21">
        <f>SUM(F27:G27)</f>
        <v>2657</v>
      </c>
      <c r="J27" s="7" t="s">
        <v>22</v>
      </c>
      <c r="K27" s="10">
        <v>124.58</v>
      </c>
      <c r="L27" s="11">
        <v>116.31</v>
      </c>
      <c r="M27" s="11">
        <v>117.42</v>
      </c>
      <c r="N27" s="11">
        <v>118.42</v>
      </c>
      <c r="O27" s="11">
        <v>112.52</v>
      </c>
      <c r="P27" s="11">
        <v>174.37</v>
      </c>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763.62</v>
      </c>
      <c r="AB28" s="8" t="s">
        <v>23</v>
      </c>
      <c r="AC28" s="13">
        <f>SUM(X27:AC27)</f>
        <v>0</v>
      </c>
      <c r="AJ28" s="8" t="s">
        <v>23</v>
      </c>
      <c r="AK28" s="13">
        <f>SUM(AF27:AK27)</f>
        <v>0</v>
      </c>
    </row>
    <row r="29" spans="1:37"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W29" s="101" t="str">
        <f>J29</f>
        <v>Julho</v>
      </c>
      <c r="X29" s="101"/>
      <c r="Y29" s="101"/>
      <c r="Z29" s="101"/>
      <c r="AA29" s="101"/>
      <c r="AB29" s="101"/>
      <c r="AC29" s="101"/>
      <c r="AE29" s="102" t="str">
        <f>W29</f>
        <v>Julho</v>
      </c>
      <c r="AF29" s="102"/>
      <c r="AG29" s="102"/>
      <c r="AH29" s="102"/>
      <c r="AI29" s="102"/>
      <c r="AJ29" s="102"/>
      <c r="AK29" s="102"/>
    </row>
    <row r="30" spans="1:37" ht="15.75" thickBot="1" x14ac:dyDescent="0.3">
      <c r="A30" s="97" t="s">
        <v>5</v>
      </c>
      <c r="B30" s="34" t="s">
        <v>6</v>
      </c>
      <c r="C30" s="22" t="s">
        <v>7</v>
      </c>
      <c r="D30" s="33" t="s">
        <v>8</v>
      </c>
      <c r="E30" s="22" t="s">
        <v>9</v>
      </c>
      <c r="F30" s="24" t="s">
        <v>10</v>
      </c>
      <c r="G30" s="23" t="s">
        <v>11</v>
      </c>
      <c r="H30" s="25" t="s">
        <v>12</v>
      </c>
      <c r="J30" s="6" t="s">
        <v>4</v>
      </c>
      <c r="K30" s="9">
        <v>45839</v>
      </c>
      <c r="L30" s="66">
        <v>45841</v>
      </c>
      <c r="M30" s="66">
        <v>45843</v>
      </c>
      <c r="N30" s="66">
        <v>45846</v>
      </c>
      <c r="O30" s="66">
        <v>45848</v>
      </c>
      <c r="P30" s="66">
        <v>45850</v>
      </c>
      <c r="Q30" s="66">
        <v>45853</v>
      </c>
      <c r="R30" s="66">
        <v>45855</v>
      </c>
      <c r="S30" s="66">
        <v>45860</v>
      </c>
      <c r="T30" s="66">
        <v>45867</v>
      </c>
      <c r="U30" s="5"/>
      <c r="W30" s="6" t="s">
        <v>4</v>
      </c>
      <c r="X30" s="9"/>
      <c r="Y30" s="4"/>
      <c r="Z30" s="4"/>
      <c r="AA30" s="4"/>
      <c r="AB30" s="4"/>
      <c r="AC30" s="5"/>
      <c r="AE30" s="6" t="s">
        <v>4</v>
      </c>
      <c r="AF30" s="9"/>
      <c r="AG30" s="4"/>
      <c r="AH30" s="4"/>
      <c r="AI30" s="4"/>
      <c r="AJ30" s="4"/>
      <c r="AK30" s="5"/>
    </row>
    <row r="31" spans="1:37" ht="15.75" thickBot="1" x14ac:dyDescent="0.3">
      <c r="A31" s="97"/>
      <c r="B31" s="27">
        <v>9935</v>
      </c>
      <c r="C31" s="27">
        <v>11474</v>
      </c>
      <c r="D31" s="27">
        <v>11474</v>
      </c>
      <c r="E31" s="27">
        <v>12819</v>
      </c>
      <c r="F31" s="27">
        <f>SUM(C31-B31)</f>
        <v>1539</v>
      </c>
      <c r="G31" s="20">
        <f>SUM(E31-D31)</f>
        <v>1345</v>
      </c>
      <c r="H31" s="21">
        <f>SUM(F31:G31)</f>
        <v>2884</v>
      </c>
      <c r="J31" s="7" t="s">
        <v>22</v>
      </c>
      <c r="K31" s="10">
        <v>180.9</v>
      </c>
      <c r="L31" s="11">
        <v>128.76</v>
      </c>
      <c r="M31" s="11">
        <v>171.82</v>
      </c>
      <c r="N31" s="11">
        <v>143.80000000000001</v>
      </c>
      <c r="O31" s="11">
        <v>129.11000000000001</v>
      </c>
      <c r="P31" s="11">
        <v>139.91</v>
      </c>
      <c r="Q31" s="11">
        <v>176.2</v>
      </c>
      <c r="R31" s="11">
        <v>157.75</v>
      </c>
      <c r="S31" s="11">
        <v>185.95</v>
      </c>
      <c r="T31" s="11">
        <v>121.27</v>
      </c>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1535.47</v>
      </c>
      <c r="AB32" s="8" t="s">
        <v>23</v>
      </c>
      <c r="AC32" s="13">
        <f>SUM(X31:AC31)</f>
        <v>0</v>
      </c>
      <c r="AJ32" s="8" t="s">
        <v>23</v>
      </c>
      <c r="AK32" s="13">
        <f>SUM(AF31:AK31)</f>
        <v>0</v>
      </c>
    </row>
    <row r="33" spans="1:37"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W33" s="101" t="str">
        <f>J33</f>
        <v>Agosto</v>
      </c>
      <c r="X33" s="101"/>
      <c r="Y33" s="101"/>
      <c r="Z33" s="101"/>
      <c r="AA33" s="101"/>
      <c r="AB33" s="101"/>
      <c r="AC33" s="101"/>
      <c r="AE33" s="102" t="str">
        <f>W33</f>
        <v>Agosto</v>
      </c>
      <c r="AF33" s="102"/>
      <c r="AG33" s="102"/>
      <c r="AH33" s="102"/>
      <c r="AI33" s="102"/>
      <c r="AJ33" s="102"/>
      <c r="AK33" s="102"/>
    </row>
    <row r="34" spans="1:37" ht="15.75" thickBot="1" x14ac:dyDescent="0.3">
      <c r="A34" s="97" t="s">
        <v>5</v>
      </c>
      <c r="B34" s="34" t="s">
        <v>6</v>
      </c>
      <c r="C34" s="22" t="s">
        <v>7</v>
      </c>
      <c r="D34" s="33" t="s">
        <v>8</v>
      </c>
      <c r="E34" s="22" t="s">
        <v>9</v>
      </c>
      <c r="F34" s="24" t="s">
        <v>10</v>
      </c>
      <c r="G34" s="23" t="s">
        <v>11</v>
      </c>
      <c r="H34" s="25" t="s">
        <v>12</v>
      </c>
      <c r="J34" s="6" t="s">
        <v>4</v>
      </c>
      <c r="K34" s="9">
        <v>45874</v>
      </c>
      <c r="L34" s="66">
        <v>45876</v>
      </c>
      <c r="M34" s="66">
        <v>45881</v>
      </c>
      <c r="N34" s="66">
        <v>45883</v>
      </c>
      <c r="O34" s="66">
        <v>45885</v>
      </c>
      <c r="P34" s="66">
        <v>45888</v>
      </c>
      <c r="Q34" s="66">
        <v>45890</v>
      </c>
      <c r="R34" s="66">
        <v>45892</v>
      </c>
      <c r="S34" s="66">
        <v>45895</v>
      </c>
      <c r="T34" s="66">
        <v>45898</v>
      </c>
      <c r="U34" s="5"/>
      <c r="W34" s="6" t="s">
        <v>4</v>
      </c>
      <c r="X34" s="9"/>
      <c r="Y34" s="4"/>
      <c r="Z34" s="4"/>
      <c r="AA34" s="4"/>
      <c r="AB34" s="4"/>
      <c r="AC34" s="5"/>
      <c r="AE34" s="6" t="s">
        <v>4</v>
      </c>
      <c r="AF34" s="9"/>
      <c r="AG34" s="4"/>
      <c r="AH34" s="4"/>
      <c r="AI34" s="4"/>
      <c r="AJ34" s="4"/>
      <c r="AK34" s="5"/>
    </row>
    <row r="35" spans="1:37" ht="15.75" thickBot="1" x14ac:dyDescent="0.3">
      <c r="A35" s="97"/>
      <c r="B35" s="27">
        <v>12819</v>
      </c>
      <c r="C35" s="27">
        <v>13570</v>
      </c>
      <c r="D35" s="27">
        <v>13570</v>
      </c>
      <c r="E35" s="27">
        <v>15111</v>
      </c>
      <c r="F35" s="27">
        <f>SUM(C35-B35)</f>
        <v>751</v>
      </c>
      <c r="G35" s="20">
        <f>SUM(E35-D35)</f>
        <v>1541</v>
      </c>
      <c r="H35" s="21">
        <f>SUM(F35:G35)</f>
        <v>2292</v>
      </c>
      <c r="J35" s="7" t="s">
        <v>22</v>
      </c>
      <c r="K35" s="10">
        <v>205.68</v>
      </c>
      <c r="L35" s="11">
        <v>142</v>
      </c>
      <c r="M35" s="11">
        <v>286</v>
      </c>
      <c r="N35" s="11">
        <v>143.08000000000001</v>
      </c>
      <c r="O35" s="11">
        <v>76.2</v>
      </c>
      <c r="P35" s="11">
        <v>93.02</v>
      </c>
      <c r="Q35" s="11">
        <v>119.97</v>
      </c>
      <c r="R35" s="11">
        <v>150.02000000000001</v>
      </c>
      <c r="S35" s="11">
        <v>191.37</v>
      </c>
      <c r="T35" s="11">
        <v>174.12</v>
      </c>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1581.46</v>
      </c>
      <c r="AB36" s="8" t="s">
        <v>23</v>
      </c>
      <c r="AC36" s="13">
        <f>SUM(X35:AC35)</f>
        <v>0</v>
      </c>
      <c r="AJ36" s="8" t="s">
        <v>23</v>
      </c>
      <c r="AK36" s="13">
        <f>SUM(AF35:AK35)</f>
        <v>0</v>
      </c>
    </row>
    <row r="37" spans="1:37"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W37" s="101" t="str">
        <f>J37</f>
        <v>Setembro</v>
      </c>
      <c r="X37" s="101"/>
      <c r="Y37" s="101"/>
      <c r="Z37" s="101"/>
      <c r="AA37" s="101"/>
      <c r="AB37" s="101"/>
      <c r="AC37" s="101"/>
      <c r="AE37" s="102" t="str">
        <f>W37</f>
        <v>Setembro</v>
      </c>
      <c r="AF37" s="102"/>
      <c r="AG37" s="102"/>
      <c r="AH37" s="102"/>
      <c r="AI37" s="102"/>
      <c r="AJ37" s="102"/>
      <c r="AK37" s="102"/>
    </row>
    <row r="38" spans="1:37" ht="15.75" thickBot="1" x14ac:dyDescent="0.3">
      <c r="A38" s="97" t="s">
        <v>5</v>
      </c>
      <c r="B38" s="34" t="s">
        <v>6</v>
      </c>
      <c r="C38" s="22" t="s">
        <v>7</v>
      </c>
      <c r="D38" s="33" t="s">
        <v>8</v>
      </c>
      <c r="E38" s="22" t="s">
        <v>9</v>
      </c>
      <c r="F38" s="24" t="s">
        <v>10</v>
      </c>
      <c r="G38" s="23" t="s">
        <v>11</v>
      </c>
      <c r="H38" s="25" t="s">
        <v>12</v>
      </c>
      <c r="J38" s="6" t="s">
        <v>4</v>
      </c>
      <c r="K38" s="9">
        <v>45902</v>
      </c>
      <c r="L38" s="66">
        <v>45904</v>
      </c>
      <c r="M38" s="66">
        <v>45906</v>
      </c>
      <c r="N38" s="66">
        <v>45909</v>
      </c>
      <c r="O38" s="66">
        <v>45912</v>
      </c>
      <c r="P38" s="66">
        <v>45913</v>
      </c>
      <c r="Q38" s="66">
        <v>45916</v>
      </c>
      <c r="R38" s="66">
        <v>45918</v>
      </c>
      <c r="S38" s="66">
        <v>45925</v>
      </c>
      <c r="T38" s="66">
        <v>45930</v>
      </c>
      <c r="U38" s="5"/>
      <c r="W38" s="6" t="s">
        <v>4</v>
      </c>
      <c r="X38" s="9"/>
      <c r="Y38" s="4"/>
      <c r="Z38" s="4"/>
      <c r="AA38" s="4"/>
      <c r="AB38" s="4"/>
      <c r="AC38" s="5"/>
      <c r="AE38" s="6" t="s">
        <v>4</v>
      </c>
      <c r="AF38" s="9"/>
      <c r="AG38" s="4"/>
      <c r="AH38" s="4"/>
      <c r="AI38" s="4"/>
      <c r="AJ38" s="4"/>
      <c r="AK38" s="5"/>
    </row>
    <row r="39" spans="1:37" ht="15.75" thickBot="1" x14ac:dyDescent="0.3">
      <c r="A39" s="97"/>
      <c r="B39" s="27">
        <v>15111</v>
      </c>
      <c r="C39" s="27">
        <v>16724</v>
      </c>
      <c r="D39" s="27">
        <v>16724</v>
      </c>
      <c r="E39" s="27">
        <v>17551</v>
      </c>
      <c r="F39" s="27">
        <f>SUM(C39-B39)</f>
        <v>1613</v>
      </c>
      <c r="G39" s="20">
        <f>SUM(E39-D39)</f>
        <v>827</v>
      </c>
      <c r="H39" s="21">
        <f>SUM(F39:G39)</f>
        <v>2440</v>
      </c>
      <c r="J39" s="7" t="s">
        <v>22</v>
      </c>
      <c r="K39" s="10">
        <v>155.69</v>
      </c>
      <c r="L39" s="11">
        <v>152.49</v>
      </c>
      <c r="M39" s="11">
        <v>141.35</v>
      </c>
      <c r="N39" s="11">
        <v>126.78</v>
      </c>
      <c r="O39" s="11">
        <v>121.66</v>
      </c>
      <c r="P39" s="11">
        <v>84.66</v>
      </c>
      <c r="Q39" s="11">
        <v>147.87</v>
      </c>
      <c r="R39" s="11">
        <v>139.93</v>
      </c>
      <c r="S39" s="11">
        <v>150.86000000000001</v>
      </c>
      <c r="T39" s="11">
        <v>94.78</v>
      </c>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1316.07</v>
      </c>
      <c r="AB40" s="8" t="s">
        <v>23</v>
      </c>
      <c r="AC40" s="13">
        <f>SUM(X39:AC39)</f>
        <v>0</v>
      </c>
      <c r="AJ40" s="8" t="s">
        <v>23</v>
      </c>
      <c r="AK40" s="13">
        <f>SUM(AF39:AK39)</f>
        <v>0</v>
      </c>
    </row>
    <row r="41" spans="1:37"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W41" s="101" t="str">
        <f>J41</f>
        <v>Outubro</v>
      </c>
      <c r="X41" s="101"/>
      <c r="Y41" s="101"/>
      <c r="Z41" s="101"/>
      <c r="AA41" s="101"/>
      <c r="AB41" s="101"/>
      <c r="AC41" s="101"/>
      <c r="AE41" s="102" t="str">
        <f>W41</f>
        <v>Outubro</v>
      </c>
      <c r="AF41" s="102"/>
      <c r="AG41" s="102"/>
      <c r="AH41" s="102"/>
      <c r="AI41" s="102"/>
      <c r="AJ41" s="102"/>
      <c r="AK41" s="102"/>
    </row>
    <row r="42" spans="1:37" ht="15.75" thickBot="1" x14ac:dyDescent="0.3">
      <c r="A42" s="97" t="s">
        <v>5</v>
      </c>
      <c r="B42" s="34" t="s">
        <v>6</v>
      </c>
      <c r="C42" s="22" t="s">
        <v>7</v>
      </c>
      <c r="D42" s="33" t="s">
        <v>8</v>
      </c>
      <c r="E42" s="22" t="s">
        <v>9</v>
      </c>
      <c r="F42" s="24" t="s">
        <v>10</v>
      </c>
      <c r="G42" s="23" t="s">
        <v>11</v>
      </c>
      <c r="H42" s="25" t="s">
        <v>12</v>
      </c>
      <c r="J42" s="6" t="s">
        <v>4</v>
      </c>
      <c r="K42" s="9">
        <v>45937</v>
      </c>
      <c r="L42" s="66">
        <v>45939</v>
      </c>
      <c r="M42" s="66">
        <v>45941</v>
      </c>
      <c r="N42" s="66">
        <v>45944</v>
      </c>
      <c r="O42" s="66">
        <v>45953</v>
      </c>
      <c r="P42" s="66">
        <v>45955</v>
      </c>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97"/>
      <c r="B43" s="27">
        <v>17551</v>
      </c>
      <c r="C43" s="27">
        <v>18937</v>
      </c>
      <c r="D43" s="27">
        <v>18937</v>
      </c>
      <c r="E43" s="27">
        <v>19530</v>
      </c>
      <c r="F43" s="27">
        <f>SUM(C43-B43)</f>
        <v>1386</v>
      </c>
      <c r="G43" s="20">
        <f>SUM(E43-D43)</f>
        <v>593</v>
      </c>
      <c r="H43" s="21">
        <f>SUM(F43:G43)</f>
        <v>1979</v>
      </c>
      <c r="J43" s="7" t="s">
        <v>22</v>
      </c>
      <c r="K43" s="10">
        <v>156.26</v>
      </c>
      <c r="L43" s="11">
        <v>140.57</v>
      </c>
      <c r="M43" s="11">
        <v>207.61</v>
      </c>
      <c r="N43" s="11">
        <v>106.74</v>
      </c>
      <c r="O43" s="11">
        <v>215.28</v>
      </c>
      <c r="P43" s="11">
        <v>138.18</v>
      </c>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964.63999999999987</v>
      </c>
      <c r="AB44" s="8" t="s">
        <v>23</v>
      </c>
      <c r="AC44" s="13">
        <f>SUM(X43:AC43)</f>
        <v>0</v>
      </c>
      <c r="AJ44" s="8" t="s">
        <v>23</v>
      </c>
      <c r="AK44" s="13">
        <f>SUM(AF43:AK43)</f>
        <v>0</v>
      </c>
    </row>
    <row r="45" spans="1:37"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W45" s="101" t="str">
        <f>J45</f>
        <v>Novembro</v>
      </c>
      <c r="X45" s="101"/>
      <c r="Y45" s="101"/>
      <c r="Z45" s="101"/>
      <c r="AA45" s="101"/>
      <c r="AB45" s="101"/>
      <c r="AC45" s="101"/>
      <c r="AE45" s="102" t="str">
        <f>W45</f>
        <v>Novembro</v>
      </c>
      <c r="AF45" s="102"/>
      <c r="AG45" s="102"/>
      <c r="AH45" s="102"/>
      <c r="AI45" s="102"/>
      <c r="AJ45" s="102"/>
      <c r="AK45" s="102"/>
    </row>
    <row r="46" spans="1:37" ht="15.75" thickBot="1" x14ac:dyDescent="0.3">
      <c r="A46" s="9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97"/>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W49" s="101" t="str">
        <f>J49</f>
        <v>Dezembro</v>
      </c>
      <c r="X49" s="101"/>
      <c r="Y49" s="101"/>
      <c r="Z49" s="101"/>
      <c r="AA49" s="101"/>
      <c r="AB49" s="101"/>
      <c r="AC49" s="101"/>
      <c r="AE49" s="102" t="str">
        <f>W49</f>
        <v>Dezembro</v>
      </c>
      <c r="AF49" s="102"/>
      <c r="AG49" s="102"/>
      <c r="AH49" s="102"/>
      <c r="AI49" s="102"/>
      <c r="AJ49" s="102"/>
      <c r="AK49" s="102"/>
    </row>
    <row r="50" spans="1:37"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K52"/>
  <sheetViews>
    <sheetView showGridLines="0" topLeftCell="A10" workbookViewId="0">
      <selection activeCell="L5" sqref="L5"/>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0.42578125" customWidth="1"/>
    <col min="10" max="10" width="15" bestFit="1" customWidth="1"/>
    <col min="11" max="20" width="10.42578125" bestFit="1" customWidth="1"/>
    <col min="21" max="21" width="12.140625" bestFit="1" customWidth="1"/>
    <col min="34" max="36" width="10.140625" bestFit="1" customWidth="1"/>
  </cols>
  <sheetData>
    <row r="2" spans="1:37" x14ac:dyDescent="0.25">
      <c r="A2" t="s">
        <v>0</v>
      </c>
      <c r="B2" s="94" t="s">
        <v>101</v>
      </c>
      <c r="C2" s="94"/>
      <c r="D2" s="1" t="s">
        <v>1</v>
      </c>
      <c r="E2" s="94" t="s">
        <v>102</v>
      </c>
      <c r="F2" s="94"/>
      <c r="H2" t="s">
        <v>91</v>
      </c>
      <c r="I2" s="72">
        <v>3000</v>
      </c>
    </row>
    <row r="3" spans="1:37" x14ac:dyDescent="0.25">
      <c r="A3" t="s">
        <v>79</v>
      </c>
      <c r="B3" s="94"/>
      <c r="C3" s="94"/>
      <c r="D3" s="1" t="s">
        <v>1</v>
      </c>
      <c r="E3" s="94"/>
      <c r="F3" s="94"/>
      <c r="H3" t="s">
        <v>80</v>
      </c>
      <c r="I3" s="54"/>
    </row>
    <row r="4" spans="1:37" x14ac:dyDescent="0.25">
      <c r="A4" t="s">
        <v>2</v>
      </c>
      <c r="B4" s="95">
        <v>2484</v>
      </c>
      <c r="C4" s="95"/>
      <c r="D4" s="1" t="s">
        <v>29</v>
      </c>
      <c r="E4" s="110">
        <v>45</v>
      </c>
      <c r="F4" s="110"/>
      <c r="H4" t="s">
        <v>70</v>
      </c>
      <c r="I4" s="67">
        <v>45840</v>
      </c>
      <c r="J4" s="1" t="s">
        <v>126</v>
      </c>
      <c r="K4" s="67">
        <v>45941</v>
      </c>
    </row>
    <row r="7" spans="1:37" ht="21" x14ac:dyDescent="0.35">
      <c r="A7" s="96" t="s">
        <v>28</v>
      </c>
      <c r="B7" s="96"/>
      <c r="C7" s="96"/>
      <c r="D7" s="96"/>
      <c r="E7" s="96"/>
      <c r="F7" s="96"/>
      <c r="G7" s="96"/>
      <c r="H7" s="96"/>
      <c r="J7" s="103" t="s">
        <v>26</v>
      </c>
      <c r="K7" s="103"/>
      <c r="L7" s="103"/>
      <c r="M7" s="103"/>
      <c r="N7" s="103"/>
      <c r="O7" s="103"/>
      <c r="P7" s="103"/>
      <c r="Q7" s="103"/>
      <c r="R7" s="103"/>
      <c r="S7" s="103"/>
      <c r="T7" s="103"/>
      <c r="U7" s="103"/>
      <c r="V7" s="2"/>
      <c r="W7" s="98" t="s">
        <v>25</v>
      </c>
      <c r="X7" s="98"/>
      <c r="Y7" s="98"/>
      <c r="Z7" s="98"/>
      <c r="AA7" s="98"/>
      <c r="AB7" s="98"/>
      <c r="AC7" s="98"/>
      <c r="AD7" s="2"/>
      <c r="AE7" s="98" t="s">
        <v>27</v>
      </c>
      <c r="AF7" s="98"/>
      <c r="AG7" s="98"/>
      <c r="AH7" s="98"/>
      <c r="AI7" s="98"/>
      <c r="AJ7" s="98"/>
      <c r="AK7" s="98"/>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99" t="s">
        <v>3</v>
      </c>
      <c r="C9" s="99"/>
      <c r="D9" s="99"/>
      <c r="E9" s="99"/>
      <c r="F9" s="99"/>
      <c r="G9" s="99"/>
      <c r="H9" s="99"/>
      <c r="J9" s="100" t="s">
        <v>3</v>
      </c>
      <c r="K9" s="100"/>
      <c r="L9" s="100"/>
      <c r="M9" s="100"/>
      <c r="N9" s="100"/>
      <c r="O9" s="100"/>
      <c r="P9" s="100"/>
      <c r="Q9" s="100"/>
      <c r="R9" s="100"/>
      <c r="S9" s="100"/>
      <c r="T9" s="100"/>
      <c r="U9" s="100"/>
      <c r="W9" s="101" t="s">
        <v>3</v>
      </c>
      <c r="X9" s="101"/>
      <c r="Y9" s="101"/>
      <c r="Z9" s="101"/>
      <c r="AA9" s="101"/>
      <c r="AB9" s="101"/>
      <c r="AC9" s="101"/>
      <c r="AE9" s="102" t="s">
        <v>3</v>
      </c>
      <c r="AF9" s="102"/>
      <c r="AG9" s="102"/>
      <c r="AH9" s="102"/>
      <c r="AI9" s="102"/>
      <c r="AJ9" s="102"/>
      <c r="AK9" s="102"/>
    </row>
    <row r="10" spans="1:37"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W13" s="101" t="str">
        <f>J13</f>
        <v>Março</v>
      </c>
      <c r="X13" s="101"/>
      <c r="Y13" s="101"/>
      <c r="Z13" s="101"/>
      <c r="AA13" s="101"/>
      <c r="AB13" s="101"/>
      <c r="AC13" s="101"/>
      <c r="AE13" s="102" t="str">
        <f>W13</f>
        <v>Março</v>
      </c>
      <c r="AF13" s="102"/>
      <c r="AG13" s="102"/>
      <c r="AH13" s="102"/>
      <c r="AI13" s="102"/>
      <c r="AJ13" s="102"/>
      <c r="AK13" s="102"/>
    </row>
    <row r="14" spans="1:37" ht="15.75" thickBot="1" x14ac:dyDescent="0.3">
      <c r="A14" s="97"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W17" s="101" t="str">
        <f>J17</f>
        <v>Abril</v>
      </c>
      <c r="X17" s="101"/>
      <c r="Y17" s="101"/>
      <c r="Z17" s="101"/>
      <c r="AA17" s="101"/>
      <c r="AB17" s="101"/>
      <c r="AC17" s="101"/>
      <c r="AE17" s="102" t="str">
        <f>W17</f>
        <v>Abril</v>
      </c>
      <c r="AF17" s="102"/>
      <c r="AG17" s="102"/>
      <c r="AH17" s="102"/>
      <c r="AI17" s="102"/>
      <c r="AJ17" s="102"/>
      <c r="AK17" s="102"/>
    </row>
    <row r="18" spans="1:37" ht="15.75" thickBot="1" x14ac:dyDescent="0.3">
      <c r="A18" s="9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97"/>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W21" s="101" t="str">
        <f>J21</f>
        <v>Maio</v>
      </c>
      <c r="X21" s="101"/>
      <c r="Y21" s="101"/>
      <c r="Z21" s="101"/>
      <c r="AA21" s="101"/>
      <c r="AB21" s="101"/>
      <c r="AC21" s="101"/>
      <c r="AE21" s="102" t="str">
        <f>W21</f>
        <v>Maio</v>
      </c>
      <c r="AF21" s="102"/>
      <c r="AG21" s="102"/>
      <c r="AH21" s="102"/>
      <c r="AI21" s="102"/>
      <c r="AJ21" s="102"/>
      <c r="AK21" s="102"/>
    </row>
    <row r="22" spans="1:37"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97"/>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W25" s="101" t="str">
        <f>J25</f>
        <v>Junho</v>
      </c>
      <c r="X25" s="101"/>
      <c r="Y25" s="101"/>
      <c r="Z25" s="101"/>
      <c r="AA25" s="101"/>
      <c r="AB25" s="101"/>
      <c r="AC25" s="101"/>
      <c r="AE25" s="102" t="str">
        <f>W25</f>
        <v>Junho</v>
      </c>
      <c r="AF25" s="102"/>
      <c r="AG25" s="102"/>
      <c r="AH25" s="102"/>
      <c r="AI25" s="102"/>
      <c r="AJ25" s="102"/>
      <c r="AK25" s="102"/>
    </row>
    <row r="26" spans="1:37"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W29" s="101" t="str">
        <f>J29</f>
        <v>Julho</v>
      </c>
      <c r="X29" s="101"/>
      <c r="Y29" s="101"/>
      <c r="Z29" s="101"/>
      <c r="AA29" s="101"/>
      <c r="AB29" s="101"/>
      <c r="AC29" s="101"/>
      <c r="AE29" s="102" t="str">
        <f>W29</f>
        <v>Julho</v>
      </c>
      <c r="AF29" s="102"/>
      <c r="AG29" s="102"/>
      <c r="AH29" s="102"/>
      <c r="AI29" s="102"/>
      <c r="AJ29" s="102"/>
      <c r="AK29" s="102"/>
    </row>
    <row r="30" spans="1:37" ht="15.75" thickBot="1" x14ac:dyDescent="0.3">
      <c r="A30" s="97" t="s">
        <v>5</v>
      </c>
      <c r="B30" s="34" t="s">
        <v>6</v>
      </c>
      <c r="C30" s="22" t="s">
        <v>7</v>
      </c>
      <c r="D30" s="33" t="s">
        <v>8</v>
      </c>
      <c r="E30" s="22" t="s">
        <v>9</v>
      </c>
      <c r="F30" s="24" t="s">
        <v>10</v>
      </c>
      <c r="G30" s="23" t="s">
        <v>11</v>
      </c>
      <c r="H30" s="25" t="s">
        <v>12</v>
      </c>
      <c r="J30" s="6" t="s">
        <v>4</v>
      </c>
      <c r="K30" s="9">
        <v>45841</v>
      </c>
      <c r="L30" s="66">
        <v>45843</v>
      </c>
      <c r="M30" s="66">
        <v>45846</v>
      </c>
      <c r="N30" s="66">
        <v>45848</v>
      </c>
      <c r="O30" s="66">
        <v>45853</v>
      </c>
      <c r="P30" s="66">
        <v>45855</v>
      </c>
      <c r="Q30" s="66">
        <v>45860</v>
      </c>
      <c r="R30" s="66">
        <v>45862</v>
      </c>
      <c r="S30" s="66">
        <v>45867</v>
      </c>
      <c r="T30" s="66">
        <v>45869</v>
      </c>
      <c r="U30" s="5"/>
      <c r="W30" s="6" t="s">
        <v>4</v>
      </c>
      <c r="X30" s="9"/>
      <c r="Y30" s="4"/>
      <c r="Z30" s="4"/>
      <c r="AA30" s="4"/>
      <c r="AB30" s="4"/>
      <c r="AC30" s="5"/>
      <c r="AE30" s="6" t="s">
        <v>4</v>
      </c>
      <c r="AF30" s="9"/>
      <c r="AG30" s="4"/>
      <c r="AH30" s="4"/>
      <c r="AI30" s="4"/>
      <c r="AJ30" s="4"/>
      <c r="AK30" s="5"/>
    </row>
    <row r="31" spans="1:37" ht="15.75" thickBot="1" x14ac:dyDescent="0.3">
      <c r="A31" s="97"/>
      <c r="B31" s="26">
        <v>35596</v>
      </c>
      <c r="C31" s="27">
        <v>36658</v>
      </c>
      <c r="D31" s="27">
        <v>36658</v>
      </c>
      <c r="E31" s="27">
        <v>38107</v>
      </c>
      <c r="F31" s="27">
        <f>SUM(C31-B31)</f>
        <v>1062</v>
      </c>
      <c r="G31" s="20">
        <f>SUM(E31-D31)</f>
        <v>1449</v>
      </c>
      <c r="H31" s="21">
        <f>SUM(F31:G31)</f>
        <v>2511</v>
      </c>
      <c r="J31" s="7" t="s">
        <v>22</v>
      </c>
      <c r="K31" s="10">
        <v>168.03</v>
      </c>
      <c r="L31" s="11">
        <v>104.92</v>
      </c>
      <c r="M31" s="11">
        <v>135.02000000000001</v>
      </c>
      <c r="N31" s="11">
        <v>114.64</v>
      </c>
      <c r="O31" s="11">
        <v>191.81</v>
      </c>
      <c r="P31" s="11">
        <v>197.24</v>
      </c>
      <c r="Q31" s="11">
        <v>172.82</v>
      </c>
      <c r="R31" s="11">
        <v>156.32</v>
      </c>
      <c r="S31" s="11">
        <v>203.62</v>
      </c>
      <c r="T31" s="11">
        <v>119.61</v>
      </c>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1564.03</v>
      </c>
      <c r="AB32" s="8" t="s">
        <v>23</v>
      </c>
      <c r="AC32" s="13">
        <f>SUM(X31:AC31)</f>
        <v>0</v>
      </c>
      <c r="AJ32" s="8" t="s">
        <v>23</v>
      </c>
      <c r="AK32" s="13">
        <f>SUM(AF31:AK31)</f>
        <v>0</v>
      </c>
    </row>
    <row r="33" spans="1:37"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W33" s="101" t="str">
        <f>J33</f>
        <v>Agosto</v>
      </c>
      <c r="X33" s="101"/>
      <c r="Y33" s="101"/>
      <c r="Z33" s="101"/>
      <c r="AA33" s="101"/>
      <c r="AB33" s="101"/>
      <c r="AC33" s="101"/>
      <c r="AE33" s="102" t="str">
        <f>W33</f>
        <v>Agosto</v>
      </c>
      <c r="AF33" s="102"/>
      <c r="AG33" s="102"/>
      <c r="AH33" s="102"/>
      <c r="AI33" s="102"/>
      <c r="AJ33" s="102"/>
      <c r="AK33" s="102"/>
    </row>
    <row r="34" spans="1:37" ht="15.75" thickBot="1" x14ac:dyDescent="0.3">
      <c r="A34" s="97" t="s">
        <v>5</v>
      </c>
      <c r="B34" s="34" t="s">
        <v>6</v>
      </c>
      <c r="C34" s="22" t="s">
        <v>7</v>
      </c>
      <c r="D34" s="33" t="s">
        <v>8</v>
      </c>
      <c r="E34" s="22" t="s">
        <v>9</v>
      </c>
      <c r="F34" s="24" t="s">
        <v>10</v>
      </c>
      <c r="G34" s="23" t="s">
        <v>11</v>
      </c>
      <c r="H34" s="25" t="s">
        <v>12</v>
      </c>
      <c r="J34" s="6" t="s">
        <v>4</v>
      </c>
      <c r="K34" s="9">
        <v>45871</v>
      </c>
      <c r="L34" s="66">
        <v>45874</v>
      </c>
      <c r="M34" s="66">
        <v>45876</v>
      </c>
      <c r="N34" s="66">
        <v>45881</v>
      </c>
      <c r="O34" s="66">
        <v>45883</v>
      </c>
      <c r="P34" s="66">
        <v>45890</v>
      </c>
      <c r="Q34" s="66">
        <v>45897</v>
      </c>
      <c r="R34" s="66">
        <v>45899</v>
      </c>
      <c r="S34" s="4"/>
      <c r="T34" s="4"/>
      <c r="U34" s="5"/>
      <c r="W34" s="6" t="s">
        <v>4</v>
      </c>
      <c r="X34" s="9"/>
      <c r="Y34" s="4"/>
      <c r="Z34" s="4"/>
      <c r="AA34" s="4"/>
      <c r="AB34" s="4"/>
      <c r="AC34" s="5"/>
      <c r="AE34" s="6" t="s">
        <v>4</v>
      </c>
      <c r="AF34" s="9"/>
      <c r="AG34" s="4"/>
      <c r="AH34" s="4"/>
      <c r="AI34" s="4"/>
      <c r="AJ34" s="4"/>
      <c r="AK34" s="5"/>
    </row>
    <row r="35" spans="1:37" ht="15.75" thickBot="1" x14ac:dyDescent="0.3">
      <c r="A35" s="97"/>
      <c r="B35" s="27">
        <v>38107</v>
      </c>
      <c r="C35" s="27">
        <v>39569</v>
      </c>
      <c r="D35" s="27">
        <v>39569</v>
      </c>
      <c r="E35" s="27">
        <v>40620</v>
      </c>
      <c r="F35" s="27">
        <f>SUM(C35-B35)</f>
        <v>1462</v>
      </c>
      <c r="G35" s="20">
        <f>SUM(E35-D35)</f>
        <v>1051</v>
      </c>
      <c r="H35" s="21">
        <f>SUM(F35:G35)</f>
        <v>2513</v>
      </c>
      <c r="J35" s="7" t="s">
        <v>22</v>
      </c>
      <c r="K35" s="10">
        <v>74.39</v>
      </c>
      <c r="L35" s="11">
        <v>198.79</v>
      </c>
      <c r="M35" s="11">
        <v>154.57</v>
      </c>
      <c r="N35" s="11">
        <v>215.88</v>
      </c>
      <c r="O35" s="11">
        <v>178.32</v>
      </c>
      <c r="P35" s="11">
        <v>186.41</v>
      </c>
      <c r="Q35" s="11">
        <v>78.099999999999994</v>
      </c>
      <c r="R35" s="11">
        <v>200.01</v>
      </c>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1286.47</v>
      </c>
      <c r="AB36" s="8" t="s">
        <v>23</v>
      </c>
      <c r="AC36" s="13">
        <f>SUM(X35:AC35)</f>
        <v>0</v>
      </c>
      <c r="AJ36" s="8" t="s">
        <v>23</v>
      </c>
      <c r="AK36" s="13">
        <f>SUM(AF35:AK35)</f>
        <v>0</v>
      </c>
    </row>
    <row r="37" spans="1:37"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W37" s="101" t="str">
        <f>J37</f>
        <v>Setembro</v>
      </c>
      <c r="X37" s="101"/>
      <c r="Y37" s="101"/>
      <c r="Z37" s="101"/>
      <c r="AA37" s="101"/>
      <c r="AB37" s="101"/>
      <c r="AC37" s="101"/>
      <c r="AE37" s="102" t="str">
        <f>W37</f>
        <v>Setembro</v>
      </c>
      <c r="AF37" s="102"/>
      <c r="AG37" s="102"/>
      <c r="AH37" s="102"/>
      <c r="AI37" s="102"/>
      <c r="AJ37" s="102"/>
      <c r="AK37" s="102"/>
    </row>
    <row r="38" spans="1:37" ht="15.75" thickBot="1" x14ac:dyDescent="0.3">
      <c r="A38" s="97" t="s">
        <v>5</v>
      </c>
      <c r="B38" s="34" t="s">
        <v>6</v>
      </c>
      <c r="C38" s="22" t="s">
        <v>7</v>
      </c>
      <c r="D38" s="33" t="s">
        <v>8</v>
      </c>
      <c r="E38" s="22" t="s">
        <v>9</v>
      </c>
      <c r="F38" s="24" t="s">
        <v>10</v>
      </c>
      <c r="G38" s="23" t="s">
        <v>11</v>
      </c>
      <c r="H38" s="25" t="s">
        <v>12</v>
      </c>
      <c r="J38" s="6" t="s">
        <v>4</v>
      </c>
      <c r="K38" s="9">
        <v>45902</v>
      </c>
      <c r="L38" s="66">
        <v>45904</v>
      </c>
      <c r="M38" s="66">
        <v>45909</v>
      </c>
      <c r="N38" s="66">
        <v>45911</v>
      </c>
      <c r="O38" s="66">
        <v>45916</v>
      </c>
      <c r="P38" s="66">
        <v>45918</v>
      </c>
      <c r="Q38" s="66">
        <v>45922</v>
      </c>
      <c r="R38" s="66">
        <v>45925</v>
      </c>
      <c r="S38" s="4"/>
      <c r="T38" s="4"/>
      <c r="U38" s="5"/>
      <c r="W38" s="6" t="s">
        <v>4</v>
      </c>
      <c r="X38" s="9"/>
      <c r="Y38" s="4"/>
      <c r="Z38" s="4"/>
      <c r="AA38" s="4"/>
      <c r="AB38" s="4"/>
      <c r="AC38" s="5"/>
      <c r="AE38" s="6" t="s">
        <v>4</v>
      </c>
      <c r="AF38" s="9"/>
      <c r="AG38" s="4"/>
      <c r="AH38" s="4"/>
      <c r="AI38" s="4"/>
      <c r="AJ38" s="4"/>
      <c r="AK38" s="5"/>
    </row>
    <row r="39" spans="1:37" ht="15.75" thickBot="1" x14ac:dyDescent="0.3">
      <c r="A39" s="97"/>
      <c r="B39" s="27">
        <v>40620</v>
      </c>
      <c r="C39" s="27">
        <v>41631</v>
      </c>
      <c r="D39" s="27">
        <v>41631</v>
      </c>
      <c r="E39" s="27">
        <v>42719</v>
      </c>
      <c r="F39" s="27">
        <f>SUM(C39-B39)</f>
        <v>1011</v>
      </c>
      <c r="G39" s="20">
        <f>SUM(E39-D39)</f>
        <v>1088</v>
      </c>
      <c r="H39" s="21">
        <f>SUM(F39:G39)</f>
        <v>2099</v>
      </c>
      <c r="J39" s="7" t="s">
        <v>22</v>
      </c>
      <c r="K39" s="10">
        <v>105.1</v>
      </c>
      <c r="L39" s="11">
        <v>179.4</v>
      </c>
      <c r="M39" s="11">
        <v>139.84</v>
      </c>
      <c r="N39" s="11">
        <v>160.49</v>
      </c>
      <c r="O39" s="11">
        <v>137.54</v>
      </c>
      <c r="P39" s="11">
        <v>197.35</v>
      </c>
      <c r="Q39" s="11">
        <v>222.05</v>
      </c>
      <c r="R39" s="11">
        <v>191.37</v>
      </c>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1333.1399999999999</v>
      </c>
      <c r="AB40" s="8" t="s">
        <v>23</v>
      </c>
      <c r="AC40" s="13">
        <f>SUM(X39:AC39)</f>
        <v>0</v>
      </c>
      <c r="AJ40" s="8" t="s">
        <v>23</v>
      </c>
      <c r="AK40" s="13">
        <f>SUM(AF39:AK39)</f>
        <v>0</v>
      </c>
    </row>
    <row r="41" spans="1:37"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W41" s="101" t="str">
        <f>J41</f>
        <v>Outubro</v>
      </c>
      <c r="X41" s="101"/>
      <c r="Y41" s="101"/>
      <c r="Z41" s="101"/>
      <c r="AA41" s="101"/>
      <c r="AB41" s="101"/>
      <c r="AC41" s="101"/>
      <c r="AE41" s="102" t="str">
        <f>W41</f>
        <v>Outubro</v>
      </c>
      <c r="AF41" s="102"/>
      <c r="AG41" s="102"/>
      <c r="AH41" s="102"/>
      <c r="AI41" s="102"/>
      <c r="AJ41" s="102"/>
      <c r="AK41" s="102"/>
    </row>
    <row r="42" spans="1:37" ht="15.75" thickBot="1" x14ac:dyDescent="0.3">
      <c r="A42" s="97" t="s">
        <v>5</v>
      </c>
      <c r="B42" s="34" t="s">
        <v>6</v>
      </c>
      <c r="C42" s="22" t="s">
        <v>7</v>
      </c>
      <c r="D42" s="33" t="s">
        <v>8</v>
      </c>
      <c r="E42" s="22" t="s">
        <v>9</v>
      </c>
      <c r="F42" s="24" t="s">
        <v>10</v>
      </c>
      <c r="G42" s="23" t="s">
        <v>11</v>
      </c>
      <c r="H42" s="25" t="s">
        <v>12</v>
      </c>
      <c r="J42" s="6" t="s">
        <v>4</v>
      </c>
      <c r="K42" s="9">
        <v>45939</v>
      </c>
      <c r="L42" s="66">
        <v>45941</v>
      </c>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97"/>
      <c r="B43" s="27">
        <v>42719</v>
      </c>
      <c r="C43" s="27">
        <v>43066</v>
      </c>
      <c r="D43" s="27"/>
      <c r="E43" s="27"/>
      <c r="F43" s="27">
        <f>SUM(C43-B43)</f>
        <v>347</v>
      </c>
      <c r="G43" s="20">
        <f>SUM(E43-D43)</f>
        <v>0</v>
      </c>
      <c r="H43" s="21">
        <f>SUM(F43:G43)</f>
        <v>347</v>
      </c>
      <c r="J43" s="7" t="s">
        <v>22</v>
      </c>
      <c r="K43" s="10">
        <v>71.41</v>
      </c>
      <c r="L43" s="11">
        <v>88.38</v>
      </c>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159.79</v>
      </c>
      <c r="AB44" s="8" t="s">
        <v>23</v>
      </c>
      <c r="AC44" s="13">
        <f>SUM(X43:AC43)</f>
        <v>0</v>
      </c>
      <c r="AJ44" s="8" t="s">
        <v>23</v>
      </c>
      <c r="AK44" s="13">
        <f>SUM(AF43:AK43)</f>
        <v>0</v>
      </c>
    </row>
    <row r="45" spans="1:37"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W45" s="101" t="str">
        <f>J45</f>
        <v>Novembro</v>
      </c>
      <c r="X45" s="101"/>
      <c r="Y45" s="101"/>
      <c r="Z45" s="101"/>
      <c r="AA45" s="101"/>
      <c r="AB45" s="101"/>
      <c r="AC45" s="101"/>
      <c r="AE45" s="102" t="str">
        <f>W45</f>
        <v>Novembro</v>
      </c>
      <c r="AF45" s="102"/>
      <c r="AG45" s="102"/>
      <c r="AH45" s="102"/>
      <c r="AI45" s="102"/>
      <c r="AJ45" s="102"/>
      <c r="AK45" s="102"/>
    </row>
    <row r="46" spans="1:37" ht="15.75" thickBot="1" x14ac:dyDescent="0.3">
      <c r="A46" s="9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97"/>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W49" s="101" t="str">
        <f>J49</f>
        <v>Dezembro</v>
      </c>
      <c r="X49" s="101"/>
      <c r="Y49" s="101"/>
      <c r="Z49" s="101"/>
      <c r="AA49" s="101"/>
      <c r="AB49" s="101"/>
      <c r="AC49" s="101"/>
      <c r="AE49" s="102" t="str">
        <f>W49</f>
        <v>Dezembro</v>
      </c>
      <c r="AF49" s="102"/>
      <c r="AG49" s="102"/>
      <c r="AH49" s="102"/>
      <c r="AI49" s="102"/>
      <c r="AJ49" s="102"/>
      <c r="AK49" s="102"/>
    </row>
    <row r="50" spans="1:37"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4"/>
      <c r="C2" s="94"/>
      <c r="D2" s="1" t="s">
        <v>1</v>
      </c>
      <c r="E2" s="94"/>
      <c r="F2" s="94"/>
      <c r="H2" t="s">
        <v>45</v>
      </c>
      <c r="I2" s="54"/>
    </row>
    <row r="3" spans="1:40" x14ac:dyDescent="0.25">
      <c r="A3" t="s">
        <v>79</v>
      </c>
      <c r="B3" s="94"/>
      <c r="C3" s="94"/>
      <c r="D3" s="1" t="s">
        <v>1</v>
      </c>
      <c r="E3" s="94"/>
      <c r="F3" s="94"/>
      <c r="H3" t="s">
        <v>80</v>
      </c>
      <c r="I3" s="54"/>
    </row>
    <row r="4" spans="1:40" x14ac:dyDescent="0.25">
      <c r="A4" t="s">
        <v>2</v>
      </c>
      <c r="B4" s="95"/>
      <c r="C4" s="95"/>
      <c r="D4" s="1" t="s">
        <v>29</v>
      </c>
      <c r="E4" s="94"/>
      <c r="F4" s="94"/>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Y41" s="101" t="str">
        <f>J41</f>
        <v>Outubro</v>
      </c>
      <c r="Z41" s="101"/>
      <c r="AA41" s="101"/>
      <c r="AB41" s="101"/>
      <c r="AC41" s="101"/>
      <c r="AD41" s="101"/>
      <c r="AE41" s="101"/>
      <c r="AH41" s="102" t="str">
        <f>Y41</f>
        <v>Outubro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Y45" s="101" t="str">
        <f>J45</f>
        <v>Novembro</v>
      </c>
      <c r="Z45" s="101"/>
      <c r="AA45" s="101"/>
      <c r="AB45" s="101"/>
      <c r="AC45" s="101"/>
      <c r="AD45" s="101"/>
      <c r="AE45" s="101"/>
      <c r="AH45" s="102" t="str">
        <f>Y45</f>
        <v>Novembro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Y49" s="101" t="str">
        <f>J49</f>
        <v>Dezembro</v>
      </c>
      <c r="Z49" s="101"/>
      <c r="AA49" s="101"/>
      <c r="AB49" s="101"/>
      <c r="AC49" s="101"/>
      <c r="AD49" s="101"/>
      <c r="AE49" s="101"/>
      <c r="AH49" s="102" t="str">
        <f>Y49</f>
        <v>Dezembro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4"/>
      <c r="C2" s="94"/>
      <c r="D2" s="1" t="s">
        <v>1</v>
      </c>
      <c r="E2" s="94"/>
      <c r="F2" s="94"/>
      <c r="H2" t="s">
        <v>45</v>
      </c>
      <c r="I2" s="54"/>
    </row>
    <row r="3" spans="1:40" x14ac:dyDescent="0.25">
      <c r="A3" t="s">
        <v>79</v>
      </c>
      <c r="B3" s="94"/>
      <c r="C3" s="94"/>
      <c r="D3" s="1" t="s">
        <v>1</v>
      </c>
      <c r="E3" s="94"/>
      <c r="F3" s="94"/>
      <c r="H3" t="s">
        <v>80</v>
      </c>
      <c r="I3" s="54"/>
    </row>
    <row r="4" spans="1:40" x14ac:dyDescent="0.25">
      <c r="A4" t="s">
        <v>2</v>
      </c>
      <c r="B4" s="95"/>
      <c r="C4" s="95"/>
      <c r="D4" s="1" t="s">
        <v>29</v>
      </c>
      <c r="E4" s="94"/>
      <c r="F4" s="94"/>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Y41" s="101" t="str">
        <f>J41</f>
        <v>Outubro</v>
      </c>
      <c r="Z41" s="101"/>
      <c r="AA41" s="101"/>
      <c r="AB41" s="101"/>
      <c r="AC41" s="101"/>
      <c r="AD41" s="101"/>
      <c r="AE41" s="101"/>
      <c r="AH41" s="102" t="str">
        <f>Y41</f>
        <v>Outubro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Y45" s="101" t="str">
        <f>J45</f>
        <v>Novembro</v>
      </c>
      <c r="Z45" s="101"/>
      <c r="AA45" s="101"/>
      <c r="AB45" s="101"/>
      <c r="AC45" s="101"/>
      <c r="AD45" s="101"/>
      <c r="AE45" s="101"/>
      <c r="AH45" s="102" t="str">
        <f>Y45</f>
        <v>Novembro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Y49" s="101" t="str">
        <f>J49</f>
        <v>Dezembro</v>
      </c>
      <c r="Z49" s="101"/>
      <c r="AA49" s="101"/>
      <c r="AB49" s="101"/>
      <c r="AC49" s="101"/>
      <c r="AD49" s="101"/>
      <c r="AE49" s="101"/>
      <c r="AH49" s="102" t="str">
        <f>Y49</f>
        <v>Dezembro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4"/>
      <c r="C2" s="94"/>
      <c r="D2" s="1" t="s">
        <v>1</v>
      </c>
      <c r="E2" s="94"/>
      <c r="F2" s="94"/>
      <c r="H2" t="s">
        <v>45</v>
      </c>
      <c r="I2" s="54"/>
    </row>
    <row r="3" spans="1:40" x14ac:dyDescent="0.25">
      <c r="A3" t="s">
        <v>79</v>
      </c>
      <c r="B3" s="94"/>
      <c r="C3" s="94"/>
      <c r="D3" s="1" t="s">
        <v>1</v>
      </c>
      <c r="E3" s="94"/>
      <c r="F3" s="94"/>
      <c r="H3" t="s">
        <v>80</v>
      </c>
      <c r="I3" s="54"/>
    </row>
    <row r="4" spans="1:40" x14ac:dyDescent="0.25">
      <c r="A4" t="s">
        <v>2</v>
      </c>
      <c r="B4" s="95"/>
      <c r="C4" s="95"/>
      <c r="D4" s="1" t="s">
        <v>29</v>
      </c>
      <c r="E4" s="94"/>
      <c r="F4" s="94"/>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Y41" s="101" t="str">
        <f>J41</f>
        <v>Outubro</v>
      </c>
      <c r="Z41" s="101"/>
      <c r="AA41" s="101"/>
      <c r="AB41" s="101"/>
      <c r="AC41" s="101"/>
      <c r="AD41" s="101"/>
      <c r="AE41" s="101"/>
      <c r="AH41" s="102" t="str">
        <f>Y41</f>
        <v>Outubro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Y45" s="101" t="str">
        <f>J45</f>
        <v>Novembro</v>
      </c>
      <c r="Z45" s="101"/>
      <c r="AA45" s="101"/>
      <c r="AB45" s="101"/>
      <c r="AC45" s="101"/>
      <c r="AD45" s="101"/>
      <c r="AE45" s="101"/>
      <c r="AH45" s="102" t="str">
        <f>Y45</f>
        <v>Novembro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Y49" s="101" t="str">
        <f>J49</f>
        <v>Dezembro</v>
      </c>
      <c r="Z49" s="101"/>
      <c r="AA49" s="101"/>
      <c r="AB49" s="101"/>
      <c r="AC49" s="101"/>
      <c r="AD49" s="101"/>
      <c r="AE49" s="101"/>
      <c r="AH49" s="102" t="str">
        <f>Y49</f>
        <v>Dezembro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4"/>
      <c r="C2" s="94"/>
      <c r="D2" s="1" t="s">
        <v>1</v>
      </c>
      <c r="E2" s="94"/>
      <c r="F2" s="94"/>
      <c r="H2" t="s">
        <v>45</v>
      </c>
      <c r="I2" s="54"/>
    </row>
    <row r="3" spans="1:40" x14ac:dyDescent="0.25">
      <c r="A3" t="s">
        <v>79</v>
      </c>
      <c r="B3" s="94"/>
      <c r="C3" s="94"/>
      <c r="D3" s="1" t="s">
        <v>1</v>
      </c>
      <c r="E3" s="94"/>
      <c r="F3" s="94"/>
      <c r="H3" t="s">
        <v>80</v>
      </c>
      <c r="I3" s="54"/>
    </row>
    <row r="4" spans="1:40" x14ac:dyDescent="0.25">
      <c r="A4" t="s">
        <v>2</v>
      </c>
      <c r="B4" s="95"/>
      <c r="C4" s="95"/>
      <c r="D4" s="1" t="s">
        <v>29</v>
      </c>
      <c r="E4" s="94"/>
      <c r="F4" s="94"/>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Y41" s="101" t="str">
        <f>J41</f>
        <v>Outubro</v>
      </c>
      <c r="Z41" s="101"/>
      <c r="AA41" s="101"/>
      <c r="AB41" s="101"/>
      <c r="AC41" s="101"/>
      <c r="AD41" s="101"/>
      <c r="AE41" s="101"/>
      <c r="AH41" s="102" t="str">
        <f>Y41</f>
        <v>Outubro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Y45" s="101" t="str">
        <f>J45</f>
        <v>Novembro</v>
      </c>
      <c r="Z45" s="101"/>
      <c r="AA45" s="101"/>
      <c r="AB45" s="101"/>
      <c r="AC45" s="101"/>
      <c r="AD45" s="101"/>
      <c r="AE45" s="101"/>
      <c r="AH45" s="102" t="str">
        <f>Y45</f>
        <v>Novembro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Y49" s="101" t="str">
        <f>J49</f>
        <v>Dezembro</v>
      </c>
      <c r="Z49" s="101"/>
      <c r="AA49" s="101"/>
      <c r="AB49" s="101"/>
      <c r="AC49" s="101"/>
      <c r="AD49" s="101"/>
      <c r="AE49" s="101"/>
      <c r="AH49" s="102" t="str">
        <f>Y49</f>
        <v>Dezembro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4"/>
      <c r="C2" s="94"/>
      <c r="D2" s="1" t="s">
        <v>1</v>
      </c>
      <c r="E2" s="94"/>
      <c r="F2" s="94"/>
      <c r="H2" t="s">
        <v>45</v>
      </c>
      <c r="I2" s="54"/>
    </row>
    <row r="3" spans="1:40" x14ac:dyDescent="0.25">
      <c r="A3" t="s">
        <v>79</v>
      </c>
      <c r="B3" s="94"/>
      <c r="C3" s="94"/>
      <c r="D3" s="1" t="s">
        <v>1</v>
      </c>
      <c r="E3" s="94"/>
      <c r="F3" s="94"/>
      <c r="H3" t="s">
        <v>80</v>
      </c>
      <c r="I3" s="54"/>
    </row>
    <row r="4" spans="1:40" x14ac:dyDescent="0.25">
      <c r="A4" t="s">
        <v>2</v>
      </c>
      <c r="B4" s="95"/>
      <c r="C4" s="95"/>
      <c r="D4" s="1" t="s">
        <v>29</v>
      </c>
      <c r="E4" s="94"/>
      <c r="F4" s="94"/>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Y41" s="101" t="str">
        <f>J41</f>
        <v>Outubro</v>
      </c>
      <c r="Z41" s="101"/>
      <c r="AA41" s="101"/>
      <c r="AB41" s="101"/>
      <c r="AC41" s="101"/>
      <c r="AD41" s="101"/>
      <c r="AE41" s="101"/>
      <c r="AH41" s="102" t="str">
        <f>Y41</f>
        <v>Outubro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Y45" s="101" t="str">
        <f>J45</f>
        <v>Novembro</v>
      </c>
      <c r="Z45" s="101"/>
      <c r="AA45" s="101"/>
      <c r="AB45" s="101"/>
      <c r="AC45" s="101"/>
      <c r="AD45" s="101"/>
      <c r="AE45" s="101"/>
      <c r="AH45" s="102" t="str">
        <f>Y45</f>
        <v>Novembro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Y49" s="101" t="str">
        <f>J49</f>
        <v>Dezembro</v>
      </c>
      <c r="Z49" s="101"/>
      <c r="AA49" s="101"/>
      <c r="AB49" s="101"/>
      <c r="AC49" s="101"/>
      <c r="AD49" s="101"/>
      <c r="AE49" s="101"/>
      <c r="AH49" s="102" t="str">
        <f>Y49</f>
        <v>Dezembro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4"/>
      <c r="C2" s="94"/>
      <c r="D2" s="1" t="s">
        <v>1</v>
      </c>
      <c r="E2" s="94"/>
      <c r="F2" s="94"/>
      <c r="H2" t="s">
        <v>45</v>
      </c>
      <c r="I2" s="54"/>
    </row>
    <row r="3" spans="1:40" x14ac:dyDescent="0.25">
      <c r="A3" t="s">
        <v>79</v>
      </c>
      <c r="B3" s="94"/>
      <c r="C3" s="94"/>
      <c r="D3" s="1" t="s">
        <v>1</v>
      </c>
      <c r="E3" s="94"/>
      <c r="F3" s="94"/>
      <c r="H3" t="s">
        <v>80</v>
      </c>
      <c r="I3" s="54"/>
    </row>
    <row r="4" spans="1:40" x14ac:dyDescent="0.25">
      <c r="A4" t="s">
        <v>2</v>
      </c>
      <c r="B4" s="95"/>
      <c r="C4" s="95"/>
      <c r="D4" s="1" t="s">
        <v>29</v>
      </c>
      <c r="E4" s="94"/>
      <c r="F4" s="94"/>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Y41" s="101" t="str">
        <f>J41</f>
        <v>Outubro</v>
      </c>
      <c r="Z41" s="101"/>
      <c r="AA41" s="101"/>
      <c r="AB41" s="101"/>
      <c r="AC41" s="101"/>
      <c r="AD41" s="101"/>
      <c r="AE41" s="101"/>
      <c r="AH41" s="102" t="str">
        <f>Y41</f>
        <v>Outubro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Y45" s="101" t="str">
        <f>J45</f>
        <v>Novembro</v>
      </c>
      <c r="Z45" s="101"/>
      <c r="AA45" s="101"/>
      <c r="AB45" s="101"/>
      <c r="AC45" s="101"/>
      <c r="AD45" s="101"/>
      <c r="AE45" s="101"/>
      <c r="AH45" s="102" t="str">
        <f>Y45</f>
        <v>Novembro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Y49" s="101" t="str">
        <f>J49</f>
        <v>Dezembro</v>
      </c>
      <c r="Z49" s="101"/>
      <c r="AA49" s="101"/>
      <c r="AB49" s="101"/>
      <c r="AC49" s="101"/>
      <c r="AD49" s="101"/>
      <c r="AE49" s="101"/>
      <c r="AH49" s="102" t="str">
        <f>Y49</f>
        <v>Dezembro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4"/>
      <c r="C2" s="94"/>
      <c r="D2" s="1" t="s">
        <v>1</v>
      </c>
      <c r="E2" s="94"/>
      <c r="F2" s="94"/>
      <c r="H2" t="s">
        <v>45</v>
      </c>
      <c r="I2" s="54"/>
    </row>
    <row r="3" spans="1:40" x14ac:dyDescent="0.25">
      <c r="A3" t="s">
        <v>79</v>
      </c>
      <c r="B3" s="94"/>
      <c r="C3" s="94"/>
      <c r="D3" s="1" t="s">
        <v>1</v>
      </c>
      <c r="E3" s="94"/>
      <c r="F3" s="94"/>
      <c r="H3" t="s">
        <v>80</v>
      </c>
      <c r="I3" s="54"/>
    </row>
    <row r="4" spans="1:40" x14ac:dyDescent="0.25">
      <c r="A4" t="s">
        <v>2</v>
      </c>
      <c r="B4" s="95"/>
      <c r="C4" s="95"/>
      <c r="D4" s="1" t="s">
        <v>29</v>
      </c>
      <c r="E4" s="94"/>
      <c r="F4" s="94"/>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Y41" s="101" t="str">
        <f>J41</f>
        <v>Outubro</v>
      </c>
      <c r="Z41" s="101"/>
      <c r="AA41" s="101"/>
      <c r="AB41" s="101"/>
      <c r="AC41" s="101"/>
      <c r="AD41" s="101"/>
      <c r="AE41" s="101"/>
      <c r="AH41" s="102" t="str">
        <f>Y41</f>
        <v>Outubro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Y45" s="101" t="str">
        <f>J45</f>
        <v>Novembro</v>
      </c>
      <c r="Z45" s="101"/>
      <c r="AA45" s="101"/>
      <c r="AB45" s="101"/>
      <c r="AC45" s="101"/>
      <c r="AD45" s="101"/>
      <c r="AE45" s="101"/>
      <c r="AH45" s="102" t="str">
        <f>Y45</f>
        <v>Novembro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Y49" s="101" t="str">
        <f>J49</f>
        <v>Dezembro</v>
      </c>
      <c r="Z49" s="101"/>
      <c r="AA49" s="101"/>
      <c r="AB49" s="101"/>
      <c r="AC49" s="101"/>
      <c r="AD49" s="101"/>
      <c r="AE49" s="101"/>
      <c r="AH49" s="102" t="str">
        <f>Y49</f>
        <v>Dezembro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4"/>
      <c r="C2" s="94"/>
      <c r="D2" s="1" t="s">
        <v>1</v>
      </c>
      <c r="E2" s="94"/>
      <c r="F2" s="94"/>
      <c r="H2" t="s">
        <v>45</v>
      </c>
      <c r="I2" s="54"/>
    </row>
    <row r="3" spans="1:40" x14ac:dyDescent="0.25">
      <c r="A3" t="s">
        <v>79</v>
      </c>
      <c r="B3" s="94"/>
      <c r="C3" s="94"/>
      <c r="D3" s="1" t="s">
        <v>1</v>
      </c>
      <c r="E3" s="94"/>
      <c r="F3" s="94"/>
      <c r="H3" t="s">
        <v>80</v>
      </c>
      <c r="I3" s="54"/>
    </row>
    <row r="4" spans="1:40" x14ac:dyDescent="0.25">
      <c r="A4" t="s">
        <v>2</v>
      </c>
      <c r="B4" s="95"/>
      <c r="C4" s="95"/>
      <c r="D4" s="1" t="s">
        <v>29</v>
      </c>
      <c r="E4" s="94"/>
      <c r="F4" s="94"/>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Y41" s="101" t="str">
        <f>J41</f>
        <v>Outubro</v>
      </c>
      <c r="Z41" s="101"/>
      <c r="AA41" s="101"/>
      <c r="AB41" s="101"/>
      <c r="AC41" s="101"/>
      <c r="AD41" s="101"/>
      <c r="AE41" s="101"/>
      <c r="AH41" s="102" t="str">
        <f>Y41</f>
        <v>Outubro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Y45" s="101" t="str">
        <f>J45</f>
        <v>Novembro</v>
      </c>
      <c r="Z45" s="101"/>
      <c r="AA45" s="101"/>
      <c r="AB45" s="101"/>
      <c r="AC45" s="101"/>
      <c r="AD45" s="101"/>
      <c r="AE45" s="101"/>
      <c r="AH45" s="102" t="str">
        <f>Y45</f>
        <v>Novembro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Y49" s="101" t="str">
        <f>J49</f>
        <v>Dezembro</v>
      </c>
      <c r="Z49" s="101"/>
      <c r="AA49" s="101"/>
      <c r="AB49" s="101"/>
      <c r="AC49" s="101"/>
      <c r="AD49" s="101"/>
      <c r="AE49" s="101"/>
      <c r="AH49" s="102" t="str">
        <f>Y49</f>
        <v>Dezembro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4"/>
      <c r="C2" s="94"/>
      <c r="D2" s="1" t="s">
        <v>1</v>
      </c>
      <c r="E2" s="94"/>
      <c r="F2" s="94"/>
      <c r="H2" t="s">
        <v>45</v>
      </c>
      <c r="I2" s="54"/>
    </row>
    <row r="3" spans="1:40" x14ac:dyDescent="0.25">
      <c r="A3" t="s">
        <v>79</v>
      </c>
      <c r="B3" s="94"/>
      <c r="C3" s="94"/>
      <c r="D3" s="1" t="s">
        <v>1</v>
      </c>
      <c r="E3" s="94"/>
      <c r="F3" s="94"/>
      <c r="H3" t="s">
        <v>80</v>
      </c>
      <c r="I3" s="54"/>
    </row>
    <row r="4" spans="1:40" x14ac:dyDescent="0.25">
      <c r="A4" t="s">
        <v>2</v>
      </c>
      <c r="B4" s="95"/>
      <c r="C4" s="95"/>
      <c r="D4" s="1" t="s">
        <v>29</v>
      </c>
      <c r="E4" s="94"/>
      <c r="F4" s="94"/>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Y41" s="101" t="str">
        <f>J41</f>
        <v>Outubro</v>
      </c>
      <c r="Z41" s="101"/>
      <c r="AA41" s="101"/>
      <c r="AB41" s="101"/>
      <c r="AC41" s="101"/>
      <c r="AD41" s="101"/>
      <c r="AE41" s="101"/>
      <c r="AH41" s="102" t="str">
        <f>Y41</f>
        <v>Outubro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Y45" s="101" t="str">
        <f>J45</f>
        <v>Novembro</v>
      </c>
      <c r="Z45" s="101"/>
      <c r="AA45" s="101"/>
      <c r="AB45" s="101"/>
      <c r="AC45" s="101"/>
      <c r="AD45" s="101"/>
      <c r="AE45" s="101"/>
      <c r="AH45" s="102" t="str">
        <f>Y45</f>
        <v>Novembro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Y49" s="101" t="str">
        <f>J49</f>
        <v>Dezembro</v>
      </c>
      <c r="Z49" s="101"/>
      <c r="AA49" s="101"/>
      <c r="AB49" s="101"/>
      <c r="AC49" s="101"/>
      <c r="AD49" s="101"/>
      <c r="AE49" s="101"/>
      <c r="AH49" s="102" t="str">
        <f>Y49</f>
        <v>Dezembro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4"/>
      <c r="C2" s="94"/>
      <c r="D2" s="1" t="s">
        <v>1</v>
      </c>
      <c r="E2" s="94"/>
      <c r="F2" s="94"/>
      <c r="H2" t="s">
        <v>45</v>
      </c>
      <c r="I2" s="54"/>
    </row>
    <row r="3" spans="1:40" x14ac:dyDescent="0.25">
      <c r="A3" t="s">
        <v>79</v>
      </c>
      <c r="B3" s="94"/>
      <c r="C3" s="94"/>
      <c r="D3" s="1" t="s">
        <v>1</v>
      </c>
      <c r="E3" s="94"/>
      <c r="F3" s="94"/>
      <c r="H3" t="s">
        <v>80</v>
      </c>
      <c r="I3" s="54"/>
    </row>
    <row r="4" spans="1:40" x14ac:dyDescent="0.25">
      <c r="A4" t="s">
        <v>2</v>
      </c>
      <c r="B4" s="95"/>
      <c r="C4" s="95"/>
      <c r="D4" s="1" t="s">
        <v>29</v>
      </c>
      <c r="E4" s="94"/>
      <c r="F4" s="94"/>
    </row>
    <row r="7" spans="1:40" ht="21" x14ac:dyDescent="0.35">
      <c r="A7" s="96" t="s">
        <v>28</v>
      </c>
      <c r="B7" s="96"/>
      <c r="C7" s="96"/>
      <c r="D7" s="96"/>
      <c r="E7" s="96"/>
      <c r="F7" s="96"/>
      <c r="G7" s="96"/>
      <c r="H7" s="96"/>
      <c r="J7" s="103" t="s">
        <v>26</v>
      </c>
      <c r="K7" s="103"/>
      <c r="L7" s="103"/>
      <c r="M7" s="103"/>
      <c r="N7" s="103"/>
      <c r="O7" s="103"/>
      <c r="P7" s="103"/>
      <c r="Q7" s="103"/>
      <c r="R7" s="103"/>
      <c r="S7" s="103"/>
      <c r="T7" s="103"/>
      <c r="U7" s="103"/>
      <c r="V7" s="2"/>
      <c r="W7" s="2"/>
      <c r="X7" s="2"/>
      <c r="Y7" s="98" t="s">
        <v>25</v>
      </c>
      <c r="Z7" s="98"/>
      <c r="AA7" s="98"/>
      <c r="AB7" s="98"/>
      <c r="AC7" s="98"/>
      <c r="AD7" s="98"/>
      <c r="AE7" s="98"/>
      <c r="AF7" s="2"/>
      <c r="AG7" s="2"/>
      <c r="AH7" s="98" t="s">
        <v>27</v>
      </c>
      <c r="AI7" s="98"/>
      <c r="AJ7" s="98"/>
      <c r="AK7" s="98"/>
      <c r="AL7" s="98"/>
      <c r="AM7" s="98"/>
      <c r="AN7" s="9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99" t="s">
        <v>3</v>
      </c>
      <c r="C9" s="99"/>
      <c r="D9" s="99"/>
      <c r="E9" s="99"/>
      <c r="F9" s="99"/>
      <c r="G9" s="99"/>
      <c r="H9" s="99"/>
      <c r="J9" s="100" t="s">
        <v>3</v>
      </c>
      <c r="K9" s="100"/>
      <c r="L9" s="100"/>
      <c r="M9" s="100"/>
      <c r="N9" s="100"/>
      <c r="O9" s="100"/>
      <c r="P9" s="100"/>
      <c r="Q9" s="100"/>
      <c r="R9" s="100"/>
      <c r="S9" s="100"/>
      <c r="T9" s="100"/>
      <c r="U9" s="100"/>
      <c r="Y9" s="101" t="s">
        <v>3</v>
      </c>
      <c r="Z9" s="101"/>
      <c r="AA9" s="101"/>
      <c r="AB9" s="101"/>
      <c r="AC9" s="101"/>
      <c r="AD9" s="101"/>
      <c r="AE9" s="101"/>
      <c r="AH9" s="102" t="s">
        <v>3</v>
      </c>
      <c r="AI9" s="102"/>
      <c r="AJ9" s="102"/>
      <c r="AK9" s="102"/>
      <c r="AL9" s="102"/>
      <c r="AM9" s="102"/>
      <c r="AN9" s="102"/>
    </row>
    <row r="10" spans="1:40" ht="15.75" thickBot="1" x14ac:dyDescent="0.3">
      <c r="A10" s="9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9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99" t="s">
        <v>13</v>
      </c>
      <c r="C13" s="99"/>
      <c r="D13" s="99"/>
      <c r="E13" s="99"/>
      <c r="F13" s="99"/>
      <c r="G13" s="99"/>
      <c r="H13" s="99"/>
      <c r="J13" s="100" t="s">
        <v>13</v>
      </c>
      <c r="K13" s="100"/>
      <c r="L13" s="100"/>
      <c r="M13" s="100"/>
      <c r="N13" s="100"/>
      <c r="O13" s="100"/>
      <c r="P13" s="100"/>
      <c r="Q13" s="100"/>
      <c r="R13" s="100"/>
      <c r="S13" s="100"/>
      <c r="T13" s="100"/>
      <c r="U13" s="100"/>
      <c r="Y13" s="101" t="str">
        <f>J13</f>
        <v>Março</v>
      </c>
      <c r="Z13" s="101"/>
      <c r="AA13" s="101"/>
      <c r="AB13" s="101"/>
      <c r="AC13" s="101"/>
      <c r="AD13" s="101"/>
      <c r="AE13" s="101"/>
      <c r="AH13" s="102" t="str">
        <f>Y13</f>
        <v>Março</v>
      </c>
      <c r="AI13" s="102"/>
      <c r="AJ13" s="102"/>
      <c r="AK13" s="102"/>
      <c r="AL13" s="102"/>
      <c r="AM13" s="102"/>
      <c r="AN13" s="102"/>
    </row>
    <row r="14" spans="1:40" ht="15.75" thickBot="1" x14ac:dyDescent="0.3">
      <c r="A14" s="9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9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99" t="s">
        <v>14</v>
      </c>
      <c r="C17" s="99"/>
      <c r="D17" s="99"/>
      <c r="E17" s="99"/>
      <c r="F17" s="99"/>
      <c r="G17" s="99"/>
      <c r="H17" s="99"/>
      <c r="J17" s="100" t="s">
        <v>14</v>
      </c>
      <c r="K17" s="100"/>
      <c r="L17" s="100"/>
      <c r="M17" s="100"/>
      <c r="N17" s="100"/>
      <c r="O17" s="100"/>
      <c r="P17" s="100"/>
      <c r="Q17" s="100"/>
      <c r="R17" s="100"/>
      <c r="S17" s="100"/>
      <c r="T17" s="100"/>
      <c r="U17" s="100"/>
      <c r="Y17" s="101" t="str">
        <f>J17</f>
        <v>Abril</v>
      </c>
      <c r="Z17" s="101"/>
      <c r="AA17" s="101"/>
      <c r="AB17" s="101"/>
      <c r="AC17" s="101"/>
      <c r="AD17" s="101"/>
      <c r="AE17" s="101"/>
      <c r="AH17" s="102" t="str">
        <f>Y17</f>
        <v>Abril</v>
      </c>
      <c r="AI17" s="102"/>
      <c r="AJ17" s="102"/>
      <c r="AK17" s="102"/>
      <c r="AL17" s="102"/>
      <c r="AM17" s="102"/>
      <c r="AN17" s="102"/>
    </row>
    <row r="18" spans="1:40" ht="15.75" thickBot="1" x14ac:dyDescent="0.3">
      <c r="A18" s="9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9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99" t="s">
        <v>15</v>
      </c>
      <c r="C21" s="99"/>
      <c r="D21" s="99"/>
      <c r="E21" s="99"/>
      <c r="F21" s="99"/>
      <c r="G21" s="99"/>
      <c r="H21" s="99"/>
      <c r="J21" s="100" t="s">
        <v>15</v>
      </c>
      <c r="K21" s="100"/>
      <c r="L21" s="100"/>
      <c r="M21" s="100"/>
      <c r="N21" s="100"/>
      <c r="O21" s="100"/>
      <c r="P21" s="100"/>
      <c r="Q21" s="100"/>
      <c r="R21" s="100"/>
      <c r="S21" s="100"/>
      <c r="T21" s="100"/>
      <c r="U21" s="100"/>
      <c r="Y21" s="101" t="str">
        <f>J21</f>
        <v>Maio</v>
      </c>
      <c r="Z21" s="101"/>
      <c r="AA21" s="101"/>
      <c r="AB21" s="101"/>
      <c r="AC21" s="101"/>
      <c r="AD21" s="101"/>
      <c r="AE21" s="101"/>
      <c r="AH21" s="102" t="str">
        <f>Y21</f>
        <v>Maio</v>
      </c>
      <c r="AI21" s="102"/>
      <c r="AJ21" s="102"/>
      <c r="AK21" s="102"/>
      <c r="AL21" s="102"/>
      <c r="AM21" s="102"/>
      <c r="AN21" s="102"/>
    </row>
    <row r="22" spans="1:40" ht="15.75" thickBot="1" x14ac:dyDescent="0.3">
      <c r="A22" s="9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9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99" t="s">
        <v>24</v>
      </c>
      <c r="C25" s="99"/>
      <c r="D25" s="99"/>
      <c r="E25" s="99"/>
      <c r="F25" s="99"/>
      <c r="G25" s="99"/>
      <c r="H25" s="99"/>
      <c r="J25" s="100" t="s">
        <v>24</v>
      </c>
      <c r="K25" s="100"/>
      <c r="L25" s="100"/>
      <c r="M25" s="100"/>
      <c r="N25" s="100"/>
      <c r="O25" s="100"/>
      <c r="P25" s="100"/>
      <c r="Q25" s="100"/>
      <c r="R25" s="100"/>
      <c r="S25" s="100"/>
      <c r="T25" s="100"/>
      <c r="U25" s="100"/>
      <c r="Y25" s="101" t="str">
        <f>J25</f>
        <v>Junho</v>
      </c>
      <c r="Z25" s="101"/>
      <c r="AA25" s="101"/>
      <c r="AB25" s="101"/>
      <c r="AC25" s="101"/>
      <c r="AD25" s="101"/>
      <c r="AE25" s="101"/>
      <c r="AH25" s="102" t="str">
        <f>Y25</f>
        <v>Junho</v>
      </c>
      <c r="AI25" s="102"/>
      <c r="AJ25" s="102"/>
      <c r="AK25" s="102"/>
      <c r="AL25" s="102"/>
      <c r="AM25" s="102"/>
      <c r="AN25" s="102"/>
    </row>
    <row r="26" spans="1:40" ht="15.75" thickBot="1" x14ac:dyDescent="0.3">
      <c r="A26" s="9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9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99" t="s">
        <v>16</v>
      </c>
      <c r="C29" s="99"/>
      <c r="D29" s="99"/>
      <c r="E29" s="99"/>
      <c r="F29" s="99"/>
      <c r="G29" s="99"/>
      <c r="H29" s="99"/>
      <c r="J29" s="100" t="s">
        <v>16</v>
      </c>
      <c r="K29" s="100"/>
      <c r="L29" s="100"/>
      <c r="M29" s="100"/>
      <c r="N29" s="100"/>
      <c r="O29" s="100"/>
      <c r="P29" s="100"/>
      <c r="Q29" s="100"/>
      <c r="R29" s="100"/>
      <c r="S29" s="100"/>
      <c r="T29" s="100"/>
      <c r="U29" s="100"/>
      <c r="Y29" s="101" t="str">
        <f>J29</f>
        <v>Julho</v>
      </c>
      <c r="Z29" s="101"/>
      <c r="AA29" s="101"/>
      <c r="AB29" s="101"/>
      <c r="AC29" s="101"/>
      <c r="AD29" s="101"/>
      <c r="AE29" s="101"/>
      <c r="AH29" s="102" t="str">
        <f>Y29</f>
        <v>Julho</v>
      </c>
      <c r="AI29" s="102"/>
      <c r="AJ29" s="102"/>
      <c r="AK29" s="102"/>
      <c r="AL29" s="102"/>
      <c r="AM29" s="102"/>
      <c r="AN29" s="102"/>
    </row>
    <row r="30" spans="1:40" ht="15.75" thickBot="1" x14ac:dyDescent="0.3">
      <c r="A30" s="9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9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99" t="s">
        <v>17</v>
      </c>
      <c r="C33" s="99"/>
      <c r="D33" s="99"/>
      <c r="E33" s="99"/>
      <c r="F33" s="99"/>
      <c r="G33" s="99"/>
      <c r="H33" s="99"/>
      <c r="J33" s="100" t="s">
        <v>17</v>
      </c>
      <c r="K33" s="100"/>
      <c r="L33" s="100"/>
      <c r="M33" s="100"/>
      <c r="N33" s="100"/>
      <c r="O33" s="100"/>
      <c r="P33" s="100"/>
      <c r="Q33" s="100"/>
      <c r="R33" s="100"/>
      <c r="S33" s="100"/>
      <c r="T33" s="100"/>
      <c r="U33" s="100"/>
      <c r="Y33" s="101" t="str">
        <f>J33</f>
        <v>Agosto</v>
      </c>
      <c r="Z33" s="101"/>
      <c r="AA33" s="101"/>
      <c r="AB33" s="101"/>
      <c r="AC33" s="101"/>
      <c r="AD33" s="101"/>
      <c r="AE33" s="101"/>
      <c r="AH33" s="102" t="str">
        <f>Y33</f>
        <v>Agosto</v>
      </c>
      <c r="AI33" s="102"/>
      <c r="AJ33" s="102"/>
      <c r="AK33" s="102"/>
      <c r="AL33" s="102"/>
      <c r="AM33" s="102"/>
      <c r="AN33" s="102"/>
    </row>
    <row r="34" spans="1:40" ht="15.75" thickBot="1" x14ac:dyDescent="0.3">
      <c r="A34" s="9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9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99" t="s">
        <v>18</v>
      </c>
      <c r="C37" s="99"/>
      <c r="D37" s="99"/>
      <c r="E37" s="99"/>
      <c r="F37" s="99"/>
      <c r="G37" s="99"/>
      <c r="H37" s="99"/>
      <c r="J37" s="100" t="s">
        <v>18</v>
      </c>
      <c r="K37" s="100"/>
      <c r="L37" s="100"/>
      <c r="M37" s="100"/>
      <c r="N37" s="100"/>
      <c r="O37" s="100"/>
      <c r="P37" s="100"/>
      <c r="Q37" s="100"/>
      <c r="R37" s="100"/>
      <c r="S37" s="100"/>
      <c r="T37" s="100"/>
      <c r="U37" s="100"/>
      <c r="Y37" s="101" t="str">
        <f>J37</f>
        <v>Setembro</v>
      </c>
      <c r="Z37" s="101"/>
      <c r="AA37" s="101"/>
      <c r="AB37" s="101"/>
      <c r="AC37" s="101"/>
      <c r="AD37" s="101"/>
      <c r="AE37" s="101"/>
      <c r="AH37" s="102" t="str">
        <f>Y37</f>
        <v>Setembro</v>
      </c>
      <c r="AI37" s="102"/>
      <c r="AJ37" s="102"/>
      <c r="AK37" s="102"/>
      <c r="AL37" s="102"/>
      <c r="AM37" s="102"/>
      <c r="AN37" s="102"/>
    </row>
    <row r="38" spans="1:40" ht="15.75" thickBot="1" x14ac:dyDescent="0.3">
      <c r="A38" s="9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9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99" t="s">
        <v>19</v>
      </c>
      <c r="C41" s="99"/>
      <c r="D41" s="99"/>
      <c r="E41" s="99"/>
      <c r="F41" s="99"/>
      <c r="G41" s="99"/>
      <c r="H41" s="99"/>
      <c r="J41" s="100" t="s">
        <v>19</v>
      </c>
      <c r="K41" s="100"/>
      <c r="L41" s="100"/>
      <c r="M41" s="100"/>
      <c r="N41" s="100"/>
      <c r="O41" s="100"/>
      <c r="P41" s="100"/>
      <c r="Q41" s="100"/>
      <c r="R41" s="100"/>
      <c r="S41" s="100"/>
      <c r="T41" s="100"/>
      <c r="U41" s="100"/>
      <c r="Y41" s="101" t="str">
        <f>J41</f>
        <v>Outubro</v>
      </c>
      <c r="Z41" s="101"/>
      <c r="AA41" s="101"/>
      <c r="AB41" s="101"/>
      <c r="AC41" s="101"/>
      <c r="AD41" s="101"/>
      <c r="AE41" s="101"/>
      <c r="AH41" s="102" t="str">
        <f>Y41</f>
        <v>Outubro</v>
      </c>
      <c r="AI41" s="102"/>
      <c r="AJ41" s="102"/>
      <c r="AK41" s="102"/>
      <c r="AL41" s="102"/>
      <c r="AM41" s="102"/>
      <c r="AN41" s="102"/>
    </row>
    <row r="42" spans="1:40" ht="15.75" thickBot="1" x14ac:dyDescent="0.3">
      <c r="A42" s="9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9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99" t="s">
        <v>20</v>
      </c>
      <c r="C45" s="99"/>
      <c r="D45" s="99"/>
      <c r="E45" s="99"/>
      <c r="F45" s="99"/>
      <c r="G45" s="99"/>
      <c r="H45" s="99"/>
      <c r="J45" s="100" t="s">
        <v>20</v>
      </c>
      <c r="K45" s="100"/>
      <c r="L45" s="100"/>
      <c r="M45" s="100"/>
      <c r="N45" s="100"/>
      <c r="O45" s="100"/>
      <c r="P45" s="100"/>
      <c r="Q45" s="100"/>
      <c r="R45" s="100"/>
      <c r="S45" s="100"/>
      <c r="T45" s="100"/>
      <c r="U45" s="100"/>
      <c r="Y45" s="101" t="str">
        <f>J45</f>
        <v>Novembro</v>
      </c>
      <c r="Z45" s="101"/>
      <c r="AA45" s="101"/>
      <c r="AB45" s="101"/>
      <c r="AC45" s="101"/>
      <c r="AD45" s="101"/>
      <c r="AE45" s="101"/>
      <c r="AH45" s="102" t="str">
        <f>Y45</f>
        <v>Novembro</v>
      </c>
      <c r="AI45" s="102"/>
      <c r="AJ45" s="102"/>
      <c r="AK45" s="102"/>
      <c r="AL45" s="102"/>
      <c r="AM45" s="102"/>
      <c r="AN45" s="102"/>
    </row>
    <row r="46" spans="1:40" ht="15.75" thickBot="1" x14ac:dyDescent="0.3">
      <c r="A46" s="9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9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99" t="s">
        <v>21</v>
      </c>
      <c r="C49" s="99"/>
      <c r="D49" s="99"/>
      <c r="E49" s="99"/>
      <c r="F49" s="99"/>
      <c r="G49" s="99"/>
      <c r="H49" s="99"/>
      <c r="J49" s="100" t="s">
        <v>21</v>
      </c>
      <c r="K49" s="100"/>
      <c r="L49" s="100"/>
      <c r="M49" s="100"/>
      <c r="N49" s="100"/>
      <c r="O49" s="100"/>
      <c r="P49" s="100"/>
      <c r="Q49" s="100"/>
      <c r="R49" s="100"/>
      <c r="S49" s="100"/>
      <c r="T49" s="100"/>
      <c r="U49" s="100"/>
      <c r="Y49" s="101" t="str">
        <f>J49</f>
        <v>Dezembro</v>
      </c>
      <c r="Z49" s="101"/>
      <c r="AA49" s="101"/>
      <c r="AB49" s="101"/>
      <c r="AC49" s="101"/>
      <c r="AD49" s="101"/>
      <c r="AE49" s="101"/>
      <c r="AH49" s="102" t="str">
        <f>Y49</f>
        <v>Dezembro</v>
      </c>
      <c r="AI49" s="102"/>
      <c r="AJ49" s="102"/>
      <c r="AK49" s="102"/>
      <c r="AL49" s="102"/>
      <c r="AM49" s="102"/>
      <c r="AN49" s="102"/>
    </row>
    <row r="50" spans="1:40" ht="15.75" thickBot="1" x14ac:dyDescent="0.3">
      <c r="A50" s="9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9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32</vt:i4>
      </vt:variant>
    </vt:vector>
  </HeadingPairs>
  <TitlesOfParts>
    <vt:vector size="32" baseType="lpstr">
      <vt:lpstr>RESUMO</vt:lpstr>
      <vt:lpstr>Controle Central</vt:lpstr>
      <vt:lpstr>Ademir</vt:lpstr>
      <vt:lpstr>Chris</vt:lpstr>
      <vt:lpstr>Eduardo</vt:lpstr>
      <vt:lpstr>Yanca</vt:lpstr>
      <vt:lpstr>Elisson</vt:lpstr>
      <vt:lpstr>Ilo Hilton</vt:lpstr>
      <vt:lpstr>Wildson</vt:lpstr>
      <vt:lpstr>Mizael</vt:lpstr>
      <vt:lpstr>Rigoberto</vt:lpstr>
      <vt:lpstr>Sávio-Desmob</vt:lpstr>
      <vt:lpstr>Ilo Hilton-Desmob</vt:lpstr>
      <vt:lpstr>Alain-Desmob</vt:lpstr>
      <vt:lpstr>Roberto-Desmob</vt:lpstr>
      <vt:lpstr>Eider Breno-Desmob</vt:lpstr>
      <vt:lpstr>Tiago Gonçalves - Desmob.</vt:lpstr>
      <vt:lpstr>Roberto- Devolv</vt:lpstr>
      <vt:lpstr>Marcilio-Desmob</vt:lpstr>
      <vt:lpstr>Ubiratan-Desmob</vt:lpstr>
      <vt:lpstr>Chris-Desmob</vt:lpstr>
      <vt:lpstr>Geovani-Desmob</vt:lpstr>
      <vt:lpstr>CAR_21</vt:lpstr>
      <vt:lpstr>CAR_22</vt:lpstr>
      <vt:lpstr>CAR_23</vt:lpstr>
      <vt:lpstr>CAR_24</vt:lpstr>
      <vt:lpstr>CAR_25</vt:lpstr>
      <vt:lpstr>CAR_26</vt:lpstr>
      <vt:lpstr>CAR_27</vt:lpstr>
      <vt:lpstr>CAR_28</vt:lpstr>
      <vt:lpstr>CAR_29</vt:lpstr>
      <vt:lpstr>CAR_30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PEREIRA MASCARENHAS</dc:creator>
  <cp:lastModifiedBy>Office 6</cp:lastModifiedBy>
  <dcterms:created xsi:type="dcterms:W3CDTF">2024-01-31T23:17:24Z</dcterms:created>
  <dcterms:modified xsi:type="dcterms:W3CDTF">2026-06-15T17:07:12Z</dcterms:modified>
</cp:coreProperties>
</file>