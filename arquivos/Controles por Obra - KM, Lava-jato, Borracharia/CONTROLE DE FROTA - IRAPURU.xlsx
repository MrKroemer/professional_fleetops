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202300"/>
  <mc:AlternateContent xmlns:mc="http://schemas.openxmlformats.org/markup-compatibility/2006">
    <mc:Choice Requires="x15">
      <x15ac:absPath xmlns:x15ac="http://schemas.microsoft.com/office/spreadsheetml/2010/11/ac" url="P:\02 - Documentação Empresa\9.Veiculos\2. Locação Veicular\4. Planilhas de acompanhamento veicular\Controle Frota por obra\"/>
    </mc:Choice>
  </mc:AlternateContent>
  <xr:revisionPtr revIDLastSave="0" documentId="13_ncr:1_{52946D51-51C0-4093-AAC0-627928A78D51}" xr6:coauthVersionLast="47" xr6:coauthVersionMax="47" xr10:uidLastSave="{00000000-0000-0000-0000-000000000000}"/>
  <bookViews>
    <workbookView xWindow="-120" yWindow="-120" windowWidth="29040" windowHeight="15720" tabRatio="868" activeTab="3" xr2:uid="{00000000-000D-0000-FFFF-FFFF00000000}"/>
  </bookViews>
  <sheets>
    <sheet name="RESUMO" sheetId="3" r:id="rId1"/>
    <sheet name="Controle Central" sheetId="2" r:id="rId2"/>
    <sheet name="Leandro" sheetId="12" r:id="rId3"/>
    <sheet name="Helen" sheetId="10" r:id="rId4"/>
    <sheet name="Robson-Desmob" sheetId="15" r:id="rId5"/>
    <sheet name="Antonio Flavio-Desmob." sheetId="14" r:id="rId6"/>
    <sheet name="Vitor-Desmob" sheetId="16" r:id="rId7"/>
    <sheet name="Ivnna-Desmob" sheetId="9" r:id="rId8"/>
    <sheet name="Devaldo-Desmobi" sheetId="18" r:id="rId9"/>
    <sheet name="Antonio Flavio-Desmob" sheetId="26" r:id="rId10"/>
    <sheet name="Igor-Desmob" sheetId="31" r:id="rId11"/>
    <sheet name="Illichi_Wesley-Desmob" sheetId="29" r:id="rId12"/>
    <sheet name="Robson.- Desmob" sheetId="17" r:id="rId13"/>
    <sheet name="Wagner-Desmob" sheetId="28" r:id="rId14"/>
    <sheet name="Chris-Desmob" sheetId="32" r:id="rId15"/>
    <sheet name="Pedro Paulo-Desmob" sheetId="24" r:id="rId16"/>
    <sheet name="Robson-Devolv" sheetId="1" r:id="rId17"/>
    <sheet name="Rodolfo - Desmob" sheetId="11" r:id="rId18"/>
    <sheet name="Paulo - Desmob" sheetId="4" r:id="rId19"/>
    <sheet name="Antonio Paixão - Desmob" sheetId="23" r:id="rId20"/>
    <sheet name="Devaldo-Desmob" sheetId="27" r:id="rId21"/>
    <sheet name="Charles-Desmob " sheetId="22" r:id="rId22"/>
    <sheet name="Wesley-Desmob" sheetId="21" r:id="rId23"/>
    <sheet name="Hericson - Desmob" sheetId="20" r:id="rId24"/>
    <sheet name="Claudio-Desmob" sheetId="25" r:id="rId25"/>
    <sheet name="Marco - Desmob" sheetId="13" r:id="rId26"/>
    <sheet name="Jacques - desmob" sheetId="30" r:id="rId27"/>
    <sheet name="CAR_27" sheetId="8" r:id="rId28"/>
    <sheet name="CAR_28" sheetId="6" r:id="rId29"/>
    <sheet name="CAR_29" sheetId="7" r:id="rId30"/>
    <sheet name="CAR_30" sheetId="5" r:id="rId3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78" i="15" l="1"/>
  <c r="AE78" i="15"/>
  <c r="U78" i="15"/>
  <c r="G77" i="15"/>
  <c r="F77" i="15"/>
  <c r="Y75" i="15"/>
  <c r="AH75" i="15" s="1"/>
  <c r="AN74" i="15"/>
  <c r="AE74" i="15"/>
  <c r="U74" i="15"/>
  <c r="G73" i="15"/>
  <c r="F73" i="15"/>
  <c r="Y71" i="15"/>
  <c r="AH71" i="15" s="1"/>
  <c r="G69" i="15"/>
  <c r="F69" i="15"/>
  <c r="Y67" i="15"/>
  <c r="AH67" i="15" s="1"/>
  <c r="AN66" i="15"/>
  <c r="AE66" i="15"/>
  <c r="U66" i="15"/>
  <c r="G65" i="15"/>
  <c r="F65" i="15"/>
  <c r="Y63" i="15"/>
  <c r="AH63" i="15" s="1"/>
  <c r="AN62" i="15"/>
  <c r="AE62" i="15"/>
  <c r="U62" i="15"/>
  <c r="G61" i="15"/>
  <c r="F61" i="15"/>
  <c r="AN58" i="15"/>
  <c r="AE58" i="15"/>
  <c r="U58" i="15"/>
  <c r="G57" i="15"/>
  <c r="F57" i="15"/>
  <c r="U56" i="29"/>
  <c r="AC56" i="29"/>
  <c r="AK56" i="29"/>
  <c r="W57" i="29"/>
  <c r="AE57" i="29" s="1"/>
  <c r="AK68" i="31"/>
  <c r="AC68" i="31"/>
  <c r="U68" i="31"/>
  <c r="G67" i="31"/>
  <c r="F67" i="31"/>
  <c r="H67" i="31" s="1"/>
  <c r="W65" i="31"/>
  <c r="AE65" i="31" s="1"/>
  <c r="AK64" i="31"/>
  <c r="AC64" i="31"/>
  <c r="U64" i="31"/>
  <c r="G63" i="31"/>
  <c r="F63" i="31"/>
  <c r="W61" i="31"/>
  <c r="AE61" i="31" s="1"/>
  <c r="AN68" i="9"/>
  <c r="AC68" i="9"/>
  <c r="U68" i="9"/>
  <c r="G67" i="9"/>
  <c r="F67" i="9"/>
  <c r="H67" i="9" s="1"/>
  <c r="W65" i="9"/>
  <c r="AH65" i="9" s="1"/>
  <c r="AN64" i="9"/>
  <c r="AC64" i="9"/>
  <c r="U64" i="9"/>
  <c r="G63" i="9"/>
  <c r="F63" i="9"/>
  <c r="W61" i="9"/>
  <c r="AH61" i="9" s="1"/>
  <c r="AN79" i="26"/>
  <c r="AE79" i="26"/>
  <c r="U79" i="26"/>
  <c r="G78" i="26"/>
  <c r="F78" i="26"/>
  <c r="H78" i="26" s="1"/>
  <c r="Y76" i="26"/>
  <c r="AH76" i="26" s="1"/>
  <c r="AN75" i="26"/>
  <c r="AE75" i="26"/>
  <c r="U75" i="26"/>
  <c r="G74" i="26"/>
  <c r="F74" i="26"/>
  <c r="Y72" i="26"/>
  <c r="AH72" i="26" s="1"/>
  <c r="AN71" i="26"/>
  <c r="AE71" i="26"/>
  <c r="U71" i="26"/>
  <c r="G70" i="26"/>
  <c r="F70" i="26"/>
  <c r="H70" i="26" s="1"/>
  <c r="Y68" i="26"/>
  <c r="AH68" i="26" s="1"/>
  <c r="AN67" i="26"/>
  <c r="AE67" i="26"/>
  <c r="U67" i="26"/>
  <c r="G66" i="26"/>
  <c r="F66" i="26"/>
  <c r="Y64" i="26"/>
  <c r="AH64" i="26" s="1"/>
  <c r="AN76" i="24"/>
  <c r="AE76" i="24"/>
  <c r="U76" i="24"/>
  <c r="G75" i="24"/>
  <c r="F75" i="24"/>
  <c r="H75" i="24" s="1"/>
  <c r="Y73" i="24"/>
  <c r="AH73" i="24" s="1"/>
  <c r="AN72" i="24"/>
  <c r="AE72" i="24"/>
  <c r="U72" i="24"/>
  <c r="G71" i="24"/>
  <c r="F71" i="24"/>
  <c r="Y69" i="24"/>
  <c r="AH69" i="24" s="1"/>
  <c r="AN68" i="24"/>
  <c r="AE68" i="24"/>
  <c r="U68" i="24"/>
  <c r="G67" i="24"/>
  <c r="F67" i="24"/>
  <c r="H67" i="24" s="1"/>
  <c r="Y65" i="24"/>
  <c r="AH65" i="24" s="1"/>
  <c r="AN64" i="24"/>
  <c r="AE64" i="24"/>
  <c r="U64" i="24"/>
  <c r="G63" i="24"/>
  <c r="F63" i="24"/>
  <c r="Y61" i="24"/>
  <c r="AH61" i="24" s="1"/>
  <c r="W57" i="9"/>
  <c r="F59" i="9"/>
  <c r="G59" i="9"/>
  <c r="U60" i="9"/>
  <c r="AC60" i="9"/>
  <c r="H65" i="15" l="1"/>
  <c r="H69" i="15"/>
  <c r="H77" i="15"/>
  <c r="H73" i="15"/>
  <c r="H61" i="15"/>
  <c r="H57" i="15"/>
  <c r="H71" i="24"/>
  <c r="H63" i="31"/>
  <c r="H63" i="24"/>
  <c r="H66" i="26"/>
  <c r="H74" i="26"/>
  <c r="H63" i="9"/>
  <c r="H59" i="9"/>
  <c r="W58" i="1"/>
  <c r="AE58" i="1" s="1"/>
  <c r="F60" i="1"/>
  <c r="G60" i="1"/>
  <c r="U61" i="1"/>
  <c r="AC61" i="1"/>
  <c r="AK61" i="1"/>
  <c r="Y60" i="26"/>
  <c r="AH60" i="26" s="1"/>
  <c r="F62" i="26"/>
  <c r="G62" i="26"/>
  <c r="U63" i="26"/>
  <c r="AE63" i="26"/>
  <c r="AN63" i="26"/>
  <c r="W57" i="11"/>
  <c r="AE57" i="11" s="1"/>
  <c r="F59" i="11"/>
  <c r="G59" i="11"/>
  <c r="U60" i="11"/>
  <c r="AC60" i="11"/>
  <c r="AK60" i="11"/>
  <c r="F59" i="24"/>
  <c r="G59" i="24"/>
  <c r="U60" i="24"/>
  <c r="AE60" i="24"/>
  <c r="AN60" i="24"/>
  <c r="W57" i="31"/>
  <c r="AE57" i="31" s="1"/>
  <c r="F59" i="31"/>
  <c r="G59" i="31"/>
  <c r="U60" i="31"/>
  <c r="AC60" i="31"/>
  <c r="AK60" i="31"/>
  <c r="W53" i="31"/>
  <c r="AE53" i="31" s="1"/>
  <c r="F55" i="31"/>
  <c r="G55" i="31"/>
  <c r="U56" i="31"/>
  <c r="AC56" i="31"/>
  <c r="AK56" i="31"/>
  <c r="G56" i="1"/>
  <c r="F56" i="1"/>
  <c r="H56" i="1" s="1"/>
  <c r="H59" i="11" l="1"/>
  <c r="H59" i="31"/>
  <c r="H59" i="24"/>
  <c r="H62" i="26"/>
  <c r="H60" i="1"/>
  <c r="H55" i="31"/>
  <c r="Y54" i="21" l="1"/>
  <c r="AH54" i="21" s="1"/>
  <c r="F56" i="21"/>
  <c r="G56" i="21"/>
  <c r="U57" i="21"/>
  <c r="AE57" i="21"/>
  <c r="AN57" i="21"/>
  <c r="W53" i="11"/>
  <c r="AE53" i="11" s="1"/>
  <c r="F55" i="11"/>
  <c r="H55" i="11" s="1"/>
  <c r="G55" i="11"/>
  <c r="U56" i="11"/>
  <c r="AC56" i="11"/>
  <c r="AK56" i="11"/>
  <c r="Y53" i="20"/>
  <c r="AH53" i="20" s="1"/>
  <c r="F55" i="20"/>
  <c r="G55" i="20"/>
  <c r="U56" i="20"/>
  <c r="AE56" i="20"/>
  <c r="AN56" i="20"/>
  <c r="W53" i="29"/>
  <c r="AE53" i="29" s="1"/>
  <c r="F55" i="29"/>
  <c r="G55" i="29"/>
  <c r="Y56" i="26"/>
  <c r="AH56" i="26" s="1"/>
  <c r="F58" i="26"/>
  <c r="G58" i="26"/>
  <c r="U59" i="26"/>
  <c r="AE59" i="26"/>
  <c r="AN59" i="26"/>
  <c r="Y53" i="23"/>
  <c r="AH53" i="23" s="1"/>
  <c r="F55" i="23"/>
  <c r="G55" i="23"/>
  <c r="H55" i="23" s="1"/>
  <c r="U56" i="23"/>
  <c r="AE56" i="23"/>
  <c r="AN56" i="23"/>
  <c r="W53" i="32"/>
  <c r="AE53" i="32" s="1"/>
  <c r="F55" i="32"/>
  <c r="G55" i="32"/>
  <c r="U56" i="32"/>
  <c r="AC56" i="32"/>
  <c r="AK56" i="32"/>
  <c r="W53" i="4"/>
  <c r="AE53" i="4" s="1"/>
  <c r="F55" i="4"/>
  <c r="G55" i="4"/>
  <c r="U56" i="4"/>
  <c r="AC56" i="4"/>
  <c r="AK56" i="4"/>
  <c r="H55" i="4" l="1"/>
  <c r="H56" i="21"/>
  <c r="H58" i="26"/>
  <c r="H55" i="32"/>
  <c r="H55" i="20"/>
  <c r="H55" i="29"/>
  <c r="W53" i="9"/>
  <c r="AE53" i="9" s="1"/>
  <c r="F55" i="9"/>
  <c r="G55" i="9"/>
  <c r="U56" i="9"/>
  <c r="AC56" i="9"/>
  <c r="AK56" i="9"/>
  <c r="W54" i="1"/>
  <c r="AE54" i="1" s="1"/>
  <c r="U57" i="1"/>
  <c r="AC57" i="1"/>
  <c r="AK57" i="1"/>
  <c r="F55" i="24"/>
  <c r="G55" i="24"/>
  <c r="U56" i="24"/>
  <c r="AE56" i="24"/>
  <c r="AN56" i="24"/>
  <c r="U36" i="25"/>
  <c r="H55" i="24" l="1"/>
  <c r="H55" i="9"/>
  <c r="Z9" i="2"/>
  <c r="S67" i="2"/>
  <c r="S49" i="2"/>
  <c r="E68" i="2"/>
  <c r="H21" i="3"/>
  <c r="I21" i="3"/>
  <c r="J21" i="3"/>
  <c r="K21" i="3"/>
  <c r="L21" i="3"/>
  <c r="M21" i="3"/>
  <c r="G21" i="3"/>
  <c r="D21" i="3"/>
  <c r="E21" i="3"/>
  <c r="F21" i="3"/>
  <c r="C21" i="3"/>
  <c r="B21" i="3"/>
  <c r="B12" i="3"/>
  <c r="B10" i="3"/>
  <c r="B6" i="3"/>
  <c r="L83" i="2"/>
  <c r="F69" i="2"/>
  <c r="E65" i="2"/>
  <c r="F101" i="2"/>
  <c r="E124" i="2"/>
  <c r="E122" i="2"/>
  <c r="Z118" i="2"/>
  <c r="L118" i="2"/>
  <c r="F31" i="2"/>
  <c r="AA26" i="2"/>
  <c r="AA15" i="2"/>
  <c r="AA14" i="2"/>
  <c r="AA13" i="2"/>
  <c r="AA12" i="2"/>
  <c r="AA11" i="2"/>
  <c r="AA10" i="2"/>
  <c r="AA9" i="2"/>
  <c r="AA8" i="2"/>
  <c r="AA7" i="2"/>
  <c r="AA6" i="2"/>
  <c r="Z15" i="2"/>
  <c r="Z14" i="2"/>
  <c r="Z13" i="2"/>
  <c r="Z12" i="2"/>
  <c r="Z7" i="2"/>
  <c r="Z6" i="2"/>
  <c r="T15" i="2"/>
  <c r="T14" i="2"/>
  <c r="T13" i="2"/>
  <c r="T12" i="2"/>
  <c r="T11" i="2"/>
  <c r="T10" i="2"/>
  <c r="T9" i="2"/>
  <c r="T8" i="2"/>
  <c r="T7" i="2"/>
  <c r="T6" i="2"/>
  <c r="T5" i="2"/>
  <c r="S15" i="2"/>
  <c r="S14" i="2"/>
  <c r="S13" i="2"/>
  <c r="S12" i="2"/>
  <c r="S9" i="2"/>
  <c r="S7" i="2"/>
  <c r="S6" i="2"/>
  <c r="S5" i="2"/>
  <c r="R15" i="2"/>
  <c r="R14" i="2"/>
  <c r="R13" i="2"/>
  <c r="R12" i="2"/>
  <c r="AA5" i="2"/>
  <c r="Z5" i="2"/>
  <c r="Y15" i="2"/>
  <c r="Y14" i="2"/>
  <c r="Y13" i="2"/>
  <c r="AK52" i="32"/>
  <c r="M34" i="2" s="1"/>
  <c r="AC52" i="32"/>
  <c r="L34" i="2" s="1"/>
  <c r="U52" i="32"/>
  <c r="K34" i="2" s="1"/>
  <c r="G51" i="32"/>
  <c r="F51" i="32"/>
  <c r="W49" i="32"/>
  <c r="AE49" i="32" s="1"/>
  <c r="AK48" i="32"/>
  <c r="M33" i="2" s="1"/>
  <c r="AC48" i="32"/>
  <c r="L33" i="2" s="1"/>
  <c r="U48" i="32"/>
  <c r="K33" i="2" s="1"/>
  <c r="G47" i="32"/>
  <c r="F47" i="32"/>
  <c r="W45" i="32"/>
  <c r="AE45" i="32" s="1"/>
  <c r="AK44" i="32"/>
  <c r="M32" i="2" s="1"/>
  <c r="AC44" i="32"/>
  <c r="L32" i="2" s="1"/>
  <c r="U44" i="32"/>
  <c r="K32" i="2" s="1"/>
  <c r="G43" i="32"/>
  <c r="F43" i="32"/>
  <c r="W41" i="32"/>
  <c r="AE41" i="32" s="1"/>
  <c r="AK40" i="32"/>
  <c r="M31" i="2" s="1"/>
  <c r="AC40" i="32"/>
  <c r="L31" i="2" s="1"/>
  <c r="U40" i="32"/>
  <c r="K31" i="2" s="1"/>
  <c r="G39" i="32"/>
  <c r="F39" i="32"/>
  <c r="W37" i="32"/>
  <c r="AE37" i="32" s="1"/>
  <c r="AK36" i="32"/>
  <c r="M30" i="2" s="1"/>
  <c r="AC36" i="32"/>
  <c r="L30" i="2" s="1"/>
  <c r="U36" i="32"/>
  <c r="K30" i="2" s="1"/>
  <c r="G35" i="32"/>
  <c r="F35" i="32"/>
  <c r="W33" i="32"/>
  <c r="AE33" i="32" s="1"/>
  <c r="AK32" i="32"/>
  <c r="M29" i="2" s="1"/>
  <c r="AC32" i="32"/>
  <c r="L29" i="2" s="1"/>
  <c r="U32" i="32"/>
  <c r="K29" i="2" s="1"/>
  <c r="G31" i="32"/>
  <c r="F31" i="32"/>
  <c r="W29" i="32"/>
  <c r="AE29" i="32" s="1"/>
  <c r="AK28" i="32"/>
  <c r="M28" i="2" s="1"/>
  <c r="AC28" i="32"/>
  <c r="L28" i="2" s="1"/>
  <c r="U28" i="32"/>
  <c r="K28" i="2" s="1"/>
  <c r="G27" i="32"/>
  <c r="F27" i="32"/>
  <c r="W25" i="32"/>
  <c r="AE25" i="32" s="1"/>
  <c r="AK24" i="32"/>
  <c r="M27" i="2" s="1"/>
  <c r="AC24" i="32"/>
  <c r="L27" i="2" s="1"/>
  <c r="U24" i="32"/>
  <c r="K27" i="2" s="1"/>
  <c r="G23" i="32"/>
  <c r="F23" i="32"/>
  <c r="W21" i="32"/>
  <c r="AE21" i="32" s="1"/>
  <c r="AK20" i="32"/>
  <c r="M26" i="2" s="1"/>
  <c r="AC20" i="32"/>
  <c r="L26" i="2" s="1"/>
  <c r="U20" i="32"/>
  <c r="K26" i="2" s="1"/>
  <c r="G19" i="32"/>
  <c r="F19" i="32"/>
  <c r="W17" i="32"/>
  <c r="AE17" i="32" s="1"/>
  <c r="AK16" i="32"/>
  <c r="M25" i="2" s="1"/>
  <c r="AC16" i="32"/>
  <c r="L25" i="2" s="1"/>
  <c r="U16" i="32"/>
  <c r="K25" i="2" s="1"/>
  <c r="G15" i="32"/>
  <c r="F15" i="32"/>
  <c r="W13" i="32"/>
  <c r="AE13" i="32" s="1"/>
  <c r="AK12" i="32"/>
  <c r="M24" i="2" s="1"/>
  <c r="AC12" i="32"/>
  <c r="L24" i="2" s="1"/>
  <c r="U12" i="32"/>
  <c r="K24" i="2" s="1"/>
  <c r="G11" i="32"/>
  <c r="F11" i="32"/>
  <c r="AK52" i="31"/>
  <c r="T34" i="2" s="1"/>
  <c r="AC52" i="31"/>
  <c r="S34" i="2" s="1"/>
  <c r="U52" i="31"/>
  <c r="R34" i="2" s="1"/>
  <c r="G51" i="31"/>
  <c r="F51" i="31"/>
  <c r="W49" i="31"/>
  <c r="AE49" i="31" s="1"/>
  <c r="AK48" i="31"/>
  <c r="T33" i="2" s="1"/>
  <c r="AC48" i="31"/>
  <c r="S33" i="2" s="1"/>
  <c r="U48" i="31"/>
  <c r="R33" i="2" s="1"/>
  <c r="G47" i="31"/>
  <c r="F47" i="31"/>
  <c r="W45" i="31"/>
  <c r="AE45" i="31" s="1"/>
  <c r="AK44" i="31"/>
  <c r="T32" i="2" s="1"/>
  <c r="AC44" i="31"/>
  <c r="S32" i="2" s="1"/>
  <c r="U44" i="31"/>
  <c r="R32" i="2" s="1"/>
  <c r="G43" i="31"/>
  <c r="F43" i="31"/>
  <c r="W41" i="31"/>
  <c r="AE41" i="31" s="1"/>
  <c r="AK40" i="31"/>
  <c r="T31" i="2" s="1"/>
  <c r="AC40" i="31"/>
  <c r="S31" i="2" s="1"/>
  <c r="U40" i="31"/>
  <c r="R31" i="2" s="1"/>
  <c r="G39" i="31"/>
  <c r="F39" i="31"/>
  <c r="W37" i="31"/>
  <c r="AE37" i="31" s="1"/>
  <c r="AK36" i="31"/>
  <c r="T30" i="2" s="1"/>
  <c r="AC36" i="31"/>
  <c r="S30" i="2" s="1"/>
  <c r="U36" i="31"/>
  <c r="R30" i="2" s="1"/>
  <c r="G35" i="31"/>
  <c r="F35" i="31"/>
  <c r="W33" i="31"/>
  <c r="AE33" i="31" s="1"/>
  <c r="AK32" i="31"/>
  <c r="T29" i="2" s="1"/>
  <c r="AC32" i="31"/>
  <c r="S29" i="2" s="1"/>
  <c r="U32" i="31"/>
  <c r="R29" i="2" s="1"/>
  <c r="G31" i="31"/>
  <c r="F31" i="31"/>
  <c r="W29" i="31"/>
  <c r="AE29" i="31" s="1"/>
  <c r="AK28" i="31"/>
  <c r="T28" i="2" s="1"/>
  <c r="AC28" i="31"/>
  <c r="U28" i="31"/>
  <c r="R28" i="2" s="1"/>
  <c r="G27" i="31"/>
  <c r="F27" i="31"/>
  <c r="W25" i="31"/>
  <c r="AE25" i="31" s="1"/>
  <c r="AK24" i="31"/>
  <c r="T27" i="2" s="1"/>
  <c r="AC24" i="31"/>
  <c r="U24" i="31"/>
  <c r="R27" i="2" s="1"/>
  <c r="G23" i="31"/>
  <c r="F23" i="31"/>
  <c r="W21" i="31"/>
  <c r="AE21" i="31" s="1"/>
  <c r="AK20" i="31"/>
  <c r="T26" i="2" s="1"/>
  <c r="AC20" i="31"/>
  <c r="S26" i="2" s="1"/>
  <c r="U20" i="31"/>
  <c r="R26" i="2" s="1"/>
  <c r="G19" i="31"/>
  <c r="F19" i="31"/>
  <c r="W17" i="31"/>
  <c r="AE17" i="31" s="1"/>
  <c r="AK16" i="31"/>
  <c r="T25" i="2" s="1"/>
  <c r="AC16" i="31"/>
  <c r="S25" i="2" s="1"/>
  <c r="U16" i="31"/>
  <c r="R25" i="2" s="1"/>
  <c r="G15" i="31"/>
  <c r="F15" i="31"/>
  <c r="W13" i="31"/>
  <c r="AE13" i="31" s="1"/>
  <c r="AK12" i="31"/>
  <c r="T24" i="2" s="1"/>
  <c r="AC12" i="31"/>
  <c r="S24" i="2" s="1"/>
  <c r="U12" i="31"/>
  <c r="R24" i="2" s="1"/>
  <c r="G11" i="31"/>
  <c r="F11" i="31"/>
  <c r="AK52" i="30"/>
  <c r="AA34" i="2" s="1"/>
  <c r="AC52" i="30"/>
  <c r="Z34" i="2" s="1"/>
  <c r="U52" i="30"/>
  <c r="Y34" i="2" s="1"/>
  <c r="G51" i="30"/>
  <c r="F51" i="30"/>
  <c r="W49" i="30"/>
  <c r="AE49" i="30" s="1"/>
  <c r="AK48" i="30"/>
  <c r="AA33" i="2" s="1"/>
  <c r="AC48" i="30"/>
  <c r="Z33" i="2" s="1"/>
  <c r="U48" i="30"/>
  <c r="Y33" i="2" s="1"/>
  <c r="G47" i="30"/>
  <c r="F47" i="30"/>
  <c r="W45" i="30"/>
  <c r="AE45" i="30" s="1"/>
  <c r="AK44" i="30"/>
  <c r="AA32" i="2" s="1"/>
  <c r="AC44" i="30"/>
  <c r="Z32" i="2" s="1"/>
  <c r="U44" i="30"/>
  <c r="Y32" i="2" s="1"/>
  <c r="G43" i="30"/>
  <c r="F43" i="30"/>
  <c r="W41" i="30"/>
  <c r="AE41" i="30" s="1"/>
  <c r="AK40" i="30"/>
  <c r="AA31" i="2" s="1"/>
  <c r="AC40" i="30"/>
  <c r="Z31" i="2" s="1"/>
  <c r="U40" i="30"/>
  <c r="Y31" i="2" s="1"/>
  <c r="G39" i="30"/>
  <c r="F39" i="30"/>
  <c r="W37" i="30"/>
  <c r="AE37" i="30" s="1"/>
  <c r="AK36" i="30"/>
  <c r="AA30" i="2" s="1"/>
  <c r="AC36" i="30"/>
  <c r="Z30" i="2" s="1"/>
  <c r="U36" i="30"/>
  <c r="Y30" i="2" s="1"/>
  <c r="G35" i="30"/>
  <c r="F35" i="30"/>
  <c r="W33" i="30"/>
  <c r="AE33" i="30" s="1"/>
  <c r="AK32" i="30"/>
  <c r="AA29" i="2" s="1"/>
  <c r="AC32" i="30"/>
  <c r="Z29" i="2" s="1"/>
  <c r="U32" i="30"/>
  <c r="Y29" i="2" s="1"/>
  <c r="G31" i="30"/>
  <c r="F31" i="30"/>
  <c r="W29" i="30"/>
  <c r="AE29" i="30" s="1"/>
  <c r="AK28" i="30"/>
  <c r="AA28" i="2" s="1"/>
  <c r="AC28" i="30"/>
  <c r="Z28" i="2" s="1"/>
  <c r="U28" i="30"/>
  <c r="Y28" i="2" s="1"/>
  <c r="G27" i="30"/>
  <c r="F27" i="30"/>
  <c r="W25" i="30"/>
  <c r="AE25" i="30" s="1"/>
  <c r="AK24" i="30"/>
  <c r="AA27" i="2" s="1"/>
  <c r="AC24" i="30"/>
  <c r="Z27" i="2" s="1"/>
  <c r="U24" i="30"/>
  <c r="Y27" i="2" s="1"/>
  <c r="G23" i="30"/>
  <c r="F23" i="30"/>
  <c r="W21" i="30"/>
  <c r="AE21" i="30" s="1"/>
  <c r="AK20" i="30"/>
  <c r="AC20" i="30"/>
  <c r="Z26" i="2" s="1"/>
  <c r="U20" i="30"/>
  <c r="Y26" i="2" s="1"/>
  <c r="G19" i="30"/>
  <c r="F19" i="30"/>
  <c r="W17" i="30"/>
  <c r="AE17" i="30" s="1"/>
  <c r="AK16" i="30"/>
  <c r="AA25" i="2" s="1"/>
  <c r="AC16" i="30"/>
  <c r="Z25" i="2" s="1"/>
  <c r="U16" i="30"/>
  <c r="Y25" i="2" s="1"/>
  <c r="G15" i="30"/>
  <c r="F15" i="30"/>
  <c r="W13" i="30"/>
  <c r="AE13" i="30" s="1"/>
  <c r="AK12" i="30"/>
  <c r="AA24" i="2" s="1"/>
  <c r="AC12" i="30"/>
  <c r="Z24" i="2" s="1"/>
  <c r="U12" i="30"/>
  <c r="Y24" i="2" s="1"/>
  <c r="G11" i="30"/>
  <c r="F11" i="30"/>
  <c r="AK52" i="29"/>
  <c r="F53" i="2" s="1"/>
  <c r="AC52" i="29"/>
  <c r="E53" i="2" s="1"/>
  <c r="U52" i="29"/>
  <c r="D53" i="2" s="1"/>
  <c r="G51" i="29"/>
  <c r="F51" i="29"/>
  <c r="W49" i="29"/>
  <c r="AE49" i="29" s="1"/>
  <c r="AK48" i="29"/>
  <c r="F52" i="2" s="1"/>
  <c r="AC48" i="29"/>
  <c r="E52" i="2" s="1"/>
  <c r="U48" i="29"/>
  <c r="D52" i="2" s="1"/>
  <c r="G47" i="29"/>
  <c r="F47" i="29"/>
  <c r="W45" i="29"/>
  <c r="AE45" i="29" s="1"/>
  <c r="AK44" i="29"/>
  <c r="F51" i="2" s="1"/>
  <c r="AC44" i="29"/>
  <c r="E51" i="2" s="1"/>
  <c r="U44" i="29"/>
  <c r="D51" i="2" s="1"/>
  <c r="G43" i="29"/>
  <c r="F43" i="29"/>
  <c r="W41" i="29"/>
  <c r="AE41" i="29" s="1"/>
  <c r="AK40" i="29"/>
  <c r="F50" i="2" s="1"/>
  <c r="AC40" i="29"/>
  <c r="E50" i="2" s="1"/>
  <c r="U40" i="29"/>
  <c r="D50" i="2" s="1"/>
  <c r="G39" i="29"/>
  <c r="F39" i="29"/>
  <c r="W37" i="29"/>
  <c r="AE37" i="29" s="1"/>
  <c r="AK36" i="29"/>
  <c r="F49" i="2" s="1"/>
  <c r="AC36" i="29"/>
  <c r="E49" i="2" s="1"/>
  <c r="U36" i="29"/>
  <c r="D49" i="2" s="1"/>
  <c r="G35" i="29"/>
  <c r="F35" i="29"/>
  <c r="W33" i="29"/>
  <c r="AE33" i="29" s="1"/>
  <c r="AK32" i="29"/>
  <c r="F48" i="2" s="1"/>
  <c r="AC32" i="29"/>
  <c r="E48" i="2" s="1"/>
  <c r="U32" i="29"/>
  <c r="D48" i="2" s="1"/>
  <c r="G31" i="29"/>
  <c r="F31" i="29"/>
  <c r="W29" i="29"/>
  <c r="AE29" i="29" s="1"/>
  <c r="AK28" i="29"/>
  <c r="F47" i="2" s="1"/>
  <c r="AC28" i="29"/>
  <c r="E47" i="2" s="1"/>
  <c r="U28" i="29"/>
  <c r="D47" i="2" s="1"/>
  <c r="G27" i="29"/>
  <c r="F27" i="29"/>
  <c r="W25" i="29"/>
  <c r="AE25" i="29" s="1"/>
  <c r="AK24" i="29"/>
  <c r="F46" i="2" s="1"/>
  <c r="AC24" i="29"/>
  <c r="E46" i="2" s="1"/>
  <c r="U24" i="29"/>
  <c r="D46" i="2" s="1"/>
  <c r="G23" i="29"/>
  <c r="F23" i="29"/>
  <c r="W21" i="29"/>
  <c r="AE21" i="29" s="1"/>
  <c r="AK20" i="29"/>
  <c r="F45" i="2" s="1"/>
  <c r="AC20" i="29"/>
  <c r="E45" i="2" s="1"/>
  <c r="U20" i="29"/>
  <c r="D45" i="2" s="1"/>
  <c r="G19" i="29"/>
  <c r="F19" i="29"/>
  <c r="W17" i="29"/>
  <c r="AE17" i="29" s="1"/>
  <c r="AK16" i="29"/>
  <c r="F44" i="2" s="1"/>
  <c r="AC16" i="29"/>
  <c r="E44" i="2" s="1"/>
  <c r="U16" i="29"/>
  <c r="D44" i="2" s="1"/>
  <c r="G15" i="29"/>
  <c r="F15" i="29"/>
  <c r="W13" i="29"/>
  <c r="AE13" i="29" s="1"/>
  <c r="AK12" i="29"/>
  <c r="F43" i="2" s="1"/>
  <c r="AC12" i="29"/>
  <c r="E43" i="2" s="1"/>
  <c r="U12" i="29"/>
  <c r="D43" i="2" s="1"/>
  <c r="G11" i="29"/>
  <c r="F11" i="29"/>
  <c r="AN52" i="28"/>
  <c r="M53" i="2" s="1"/>
  <c r="AE52" i="28"/>
  <c r="L53" i="2" s="1"/>
  <c r="U52" i="28"/>
  <c r="K53" i="2" s="1"/>
  <c r="G51" i="28"/>
  <c r="F51" i="28"/>
  <c r="Y49" i="28"/>
  <c r="AH49" i="28" s="1"/>
  <c r="AN48" i="28"/>
  <c r="M52" i="2" s="1"/>
  <c r="AE48" i="28"/>
  <c r="L52" i="2" s="1"/>
  <c r="U48" i="28"/>
  <c r="K52" i="2" s="1"/>
  <c r="G47" i="28"/>
  <c r="F47" i="28"/>
  <c r="Y45" i="28"/>
  <c r="AH45" i="28" s="1"/>
  <c r="AN44" i="28"/>
  <c r="M51" i="2" s="1"/>
  <c r="AE44" i="28"/>
  <c r="L51" i="2" s="1"/>
  <c r="U44" i="28"/>
  <c r="K51" i="2" s="1"/>
  <c r="G43" i="28"/>
  <c r="F43" i="28"/>
  <c r="Y41" i="28"/>
  <c r="AH41" i="28" s="1"/>
  <c r="AN40" i="28"/>
  <c r="M50" i="2" s="1"/>
  <c r="AE40" i="28"/>
  <c r="L50" i="2" s="1"/>
  <c r="U40" i="28"/>
  <c r="K50" i="2" s="1"/>
  <c r="G39" i="28"/>
  <c r="F39" i="28"/>
  <c r="Y37" i="28"/>
  <c r="AH37" i="28" s="1"/>
  <c r="AN36" i="28"/>
  <c r="M49" i="2" s="1"/>
  <c r="AE36" i="28"/>
  <c r="L49" i="2" s="1"/>
  <c r="U36" i="28"/>
  <c r="K49" i="2" s="1"/>
  <c r="G35" i="28"/>
  <c r="F35" i="28"/>
  <c r="Y33" i="28"/>
  <c r="AH33" i="28" s="1"/>
  <c r="AN32" i="28"/>
  <c r="M48" i="2" s="1"/>
  <c r="AE32" i="28"/>
  <c r="L48" i="2" s="1"/>
  <c r="U32" i="28"/>
  <c r="K48" i="2" s="1"/>
  <c r="G31" i="28"/>
  <c r="F31" i="28"/>
  <c r="Y29" i="28"/>
  <c r="AH29" i="28" s="1"/>
  <c r="AN28" i="28"/>
  <c r="M47" i="2" s="1"/>
  <c r="AE28" i="28"/>
  <c r="L47" i="2" s="1"/>
  <c r="U28" i="28"/>
  <c r="K47" i="2" s="1"/>
  <c r="G27" i="28"/>
  <c r="F27" i="28"/>
  <c r="Y25" i="28"/>
  <c r="AH25" i="28" s="1"/>
  <c r="AN24" i="28"/>
  <c r="M46" i="2" s="1"/>
  <c r="AE24" i="28"/>
  <c r="L46" i="2" s="1"/>
  <c r="U24" i="28"/>
  <c r="K46" i="2" s="1"/>
  <c r="G23" i="28"/>
  <c r="F23" i="28"/>
  <c r="Y21" i="28"/>
  <c r="AH21" i="28" s="1"/>
  <c r="AN20" i="28"/>
  <c r="M45" i="2" s="1"/>
  <c r="AE20" i="28"/>
  <c r="L45" i="2" s="1"/>
  <c r="U20" i="28"/>
  <c r="K45" i="2" s="1"/>
  <c r="G19" i="28"/>
  <c r="F19" i="28"/>
  <c r="Y17" i="28"/>
  <c r="AH17" i="28" s="1"/>
  <c r="AN16" i="28"/>
  <c r="M44" i="2" s="1"/>
  <c r="AE16" i="28"/>
  <c r="L44" i="2" s="1"/>
  <c r="U16" i="28"/>
  <c r="K44" i="2" s="1"/>
  <c r="G15" i="28"/>
  <c r="F15" i="28"/>
  <c r="Y13" i="28"/>
  <c r="AH13" i="28" s="1"/>
  <c r="AN12" i="28"/>
  <c r="M43" i="2" s="1"/>
  <c r="AE12" i="28"/>
  <c r="L43" i="2" s="1"/>
  <c r="U12" i="28"/>
  <c r="K43" i="2" s="1"/>
  <c r="G11" i="28"/>
  <c r="F11" i="28"/>
  <c r="AN52" i="27"/>
  <c r="T53" i="2" s="1"/>
  <c r="AE52" i="27"/>
  <c r="S53" i="2" s="1"/>
  <c r="U52" i="27"/>
  <c r="R53" i="2" s="1"/>
  <c r="G51" i="27"/>
  <c r="F51" i="27"/>
  <c r="Y49" i="27"/>
  <c r="AH49" i="27" s="1"/>
  <c r="AN48" i="27"/>
  <c r="T52" i="2" s="1"/>
  <c r="AE48" i="27"/>
  <c r="S52" i="2" s="1"/>
  <c r="U48" i="27"/>
  <c r="R52" i="2" s="1"/>
  <c r="G47" i="27"/>
  <c r="F47" i="27"/>
  <c r="Y45" i="27"/>
  <c r="AH45" i="27" s="1"/>
  <c r="AN44" i="27"/>
  <c r="T51" i="2" s="1"/>
  <c r="AE44" i="27"/>
  <c r="S51" i="2" s="1"/>
  <c r="U44" i="27"/>
  <c r="R51" i="2" s="1"/>
  <c r="G43" i="27"/>
  <c r="F43" i="27"/>
  <c r="Y41" i="27"/>
  <c r="AH41" i="27" s="1"/>
  <c r="AN40" i="27"/>
  <c r="T50" i="2" s="1"/>
  <c r="AE40" i="27"/>
  <c r="S50" i="2" s="1"/>
  <c r="U40" i="27"/>
  <c r="R50" i="2" s="1"/>
  <c r="G39" i="27"/>
  <c r="F39" i="27"/>
  <c r="Y37" i="27"/>
  <c r="AH37" i="27" s="1"/>
  <c r="AN36" i="27"/>
  <c r="T49" i="2" s="1"/>
  <c r="AE36" i="27"/>
  <c r="U36" i="27"/>
  <c r="R49" i="2" s="1"/>
  <c r="G35" i="27"/>
  <c r="F35" i="27"/>
  <c r="Y33" i="27"/>
  <c r="AH33" i="27" s="1"/>
  <c r="AN32" i="27"/>
  <c r="T48" i="2" s="1"/>
  <c r="AE32" i="27"/>
  <c r="S48" i="2" s="1"/>
  <c r="U32" i="27"/>
  <c r="R48" i="2" s="1"/>
  <c r="G31" i="27"/>
  <c r="F31" i="27"/>
  <c r="Y29" i="27"/>
  <c r="AH29" i="27" s="1"/>
  <c r="AN28" i="27"/>
  <c r="T47" i="2" s="1"/>
  <c r="AE28" i="27"/>
  <c r="S47" i="2" s="1"/>
  <c r="U28" i="27"/>
  <c r="R47" i="2" s="1"/>
  <c r="G27" i="27"/>
  <c r="F27" i="27"/>
  <c r="Y25" i="27"/>
  <c r="AH25" i="27" s="1"/>
  <c r="AN24" i="27"/>
  <c r="T46" i="2" s="1"/>
  <c r="AE24" i="27"/>
  <c r="S46" i="2" s="1"/>
  <c r="U24" i="27"/>
  <c r="R46" i="2" s="1"/>
  <c r="G23" i="27"/>
  <c r="F23" i="27"/>
  <c r="Y21" i="27"/>
  <c r="AH21" i="27" s="1"/>
  <c r="AN20" i="27"/>
  <c r="T45" i="2" s="1"/>
  <c r="AE20" i="27"/>
  <c r="S45" i="2" s="1"/>
  <c r="U20" i="27"/>
  <c r="R45" i="2" s="1"/>
  <c r="G19" i="27"/>
  <c r="F19" i="27"/>
  <c r="Y17" i="27"/>
  <c r="AH17" i="27" s="1"/>
  <c r="AN16" i="27"/>
  <c r="T44" i="2" s="1"/>
  <c r="AE16" i="27"/>
  <c r="S44" i="2" s="1"/>
  <c r="U16" i="27"/>
  <c r="R44" i="2" s="1"/>
  <c r="G15" i="27"/>
  <c r="F15" i="27"/>
  <c r="Y13" i="27"/>
  <c r="AH13" i="27" s="1"/>
  <c r="AN12" i="27"/>
  <c r="T43" i="2" s="1"/>
  <c r="AE12" i="27"/>
  <c r="S43" i="2" s="1"/>
  <c r="U12" i="27"/>
  <c r="R43" i="2" s="1"/>
  <c r="G11" i="27"/>
  <c r="F11" i="27"/>
  <c r="AN55" i="26"/>
  <c r="AA53" i="2" s="1"/>
  <c r="AE55" i="26"/>
  <c r="Z53" i="2" s="1"/>
  <c r="U55" i="26"/>
  <c r="Y53" i="2" s="1"/>
  <c r="G54" i="26"/>
  <c r="F54" i="26"/>
  <c r="Y52" i="26"/>
  <c r="AH52" i="26" s="1"/>
  <c r="AN51" i="26"/>
  <c r="AA52" i="2" s="1"/>
  <c r="AE51" i="26"/>
  <c r="Z52" i="2" s="1"/>
  <c r="U51" i="26"/>
  <c r="Y52" i="2" s="1"/>
  <c r="G50" i="26"/>
  <c r="F50" i="26"/>
  <c r="Y48" i="26"/>
  <c r="AH48" i="26" s="1"/>
  <c r="AN47" i="26"/>
  <c r="AA51" i="2" s="1"/>
  <c r="AE47" i="26"/>
  <c r="Z51" i="2" s="1"/>
  <c r="U47" i="26"/>
  <c r="Y51" i="2" s="1"/>
  <c r="G46" i="26"/>
  <c r="F46" i="26"/>
  <c r="Y44" i="26"/>
  <c r="AH44" i="26" s="1"/>
  <c r="AN43" i="26"/>
  <c r="AA50" i="2" s="1"/>
  <c r="AE43" i="26"/>
  <c r="Z50" i="2" s="1"/>
  <c r="U43" i="26"/>
  <c r="Y50" i="2" s="1"/>
  <c r="G42" i="26"/>
  <c r="F42" i="26"/>
  <c r="Y40" i="26"/>
  <c r="AH40" i="26" s="1"/>
  <c r="AN39" i="26"/>
  <c r="AA49" i="2" s="1"/>
  <c r="AE39" i="26"/>
  <c r="Z49" i="2" s="1"/>
  <c r="U39" i="26"/>
  <c r="Y49" i="2" s="1"/>
  <c r="G38" i="26"/>
  <c r="F38" i="26"/>
  <c r="Y36" i="26"/>
  <c r="AH36" i="26" s="1"/>
  <c r="AN35" i="26"/>
  <c r="AA48" i="2" s="1"/>
  <c r="AE35" i="26"/>
  <c r="Z48" i="2" s="1"/>
  <c r="U35" i="26"/>
  <c r="Y48" i="2" s="1"/>
  <c r="G34" i="26"/>
  <c r="F34" i="26"/>
  <c r="Y32" i="26"/>
  <c r="AH32" i="26" s="1"/>
  <c r="AN31" i="26"/>
  <c r="AA47" i="2" s="1"/>
  <c r="AE31" i="26"/>
  <c r="Z47" i="2" s="1"/>
  <c r="U31" i="26"/>
  <c r="Y47" i="2" s="1"/>
  <c r="G30" i="26"/>
  <c r="F30" i="26"/>
  <c r="Y28" i="26"/>
  <c r="AH28" i="26" s="1"/>
  <c r="AN27" i="26"/>
  <c r="AA46" i="2" s="1"/>
  <c r="AE27" i="26"/>
  <c r="Z46" i="2" s="1"/>
  <c r="U27" i="26"/>
  <c r="Y46" i="2" s="1"/>
  <c r="G26" i="26"/>
  <c r="F26" i="26"/>
  <c r="Y24" i="26"/>
  <c r="AH24" i="26" s="1"/>
  <c r="AN23" i="26"/>
  <c r="AA45" i="2" s="1"/>
  <c r="AE23" i="26"/>
  <c r="Z45" i="2" s="1"/>
  <c r="U23" i="26"/>
  <c r="Y45" i="2" s="1"/>
  <c r="G22" i="26"/>
  <c r="F22" i="26"/>
  <c r="Y20" i="26"/>
  <c r="AH20" i="26" s="1"/>
  <c r="AN19" i="26"/>
  <c r="AA44" i="2" s="1"/>
  <c r="AE19" i="26"/>
  <c r="Z44" i="2" s="1"/>
  <c r="U19" i="26"/>
  <c r="Y44" i="2" s="1"/>
  <c r="G18" i="26"/>
  <c r="F18" i="26"/>
  <c r="Y16" i="26"/>
  <c r="AH16" i="26" s="1"/>
  <c r="AN15" i="26"/>
  <c r="AA43" i="2" s="1"/>
  <c r="AE15" i="26"/>
  <c r="Z43" i="2" s="1"/>
  <c r="U15" i="26"/>
  <c r="Y43" i="2" s="1"/>
  <c r="G14" i="26"/>
  <c r="F14" i="26"/>
  <c r="AN52" i="25"/>
  <c r="F72" i="2" s="1"/>
  <c r="AE52" i="25"/>
  <c r="E72" i="2" s="1"/>
  <c r="U52" i="25"/>
  <c r="D72" i="2" s="1"/>
  <c r="G51" i="25"/>
  <c r="F51" i="25"/>
  <c r="Y49" i="25"/>
  <c r="AH49" i="25" s="1"/>
  <c r="AN48" i="25"/>
  <c r="F71" i="2" s="1"/>
  <c r="AE48" i="25"/>
  <c r="E71" i="2" s="1"/>
  <c r="U48" i="25"/>
  <c r="D71" i="2" s="1"/>
  <c r="G47" i="25"/>
  <c r="F47" i="25"/>
  <c r="Y45" i="25"/>
  <c r="AH45" i="25" s="1"/>
  <c r="AN44" i="25"/>
  <c r="F70" i="2" s="1"/>
  <c r="AE44" i="25"/>
  <c r="E70" i="2" s="1"/>
  <c r="U44" i="25"/>
  <c r="D70" i="2" s="1"/>
  <c r="G43" i="25"/>
  <c r="F43" i="25"/>
  <c r="Y41" i="25"/>
  <c r="AH41" i="25" s="1"/>
  <c r="AN40" i="25"/>
  <c r="AE40" i="25"/>
  <c r="E69" i="2" s="1"/>
  <c r="U40" i="25"/>
  <c r="D69" i="2" s="1"/>
  <c r="G39" i="25"/>
  <c r="F39" i="25"/>
  <c r="Y37" i="25"/>
  <c r="AH37" i="25" s="1"/>
  <c r="AN36" i="25"/>
  <c r="F68" i="2" s="1"/>
  <c r="AE36" i="25"/>
  <c r="D68" i="2"/>
  <c r="G35" i="25"/>
  <c r="F35" i="25"/>
  <c r="Y33" i="25"/>
  <c r="AH33" i="25" s="1"/>
  <c r="AN32" i="25"/>
  <c r="F67" i="2" s="1"/>
  <c r="AE32" i="25"/>
  <c r="E67" i="2" s="1"/>
  <c r="U32" i="25"/>
  <c r="D67" i="2" s="1"/>
  <c r="G31" i="25"/>
  <c r="F31" i="25"/>
  <c r="Y29" i="25"/>
  <c r="AH29" i="25" s="1"/>
  <c r="AN28" i="25"/>
  <c r="F66" i="2" s="1"/>
  <c r="AE28" i="25"/>
  <c r="U28" i="25"/>
  <c r="D66" i="2" s="1"/>
  <c r="G27" i="25"/>
  <c r="F27" i="25"/>
  <c r="Y25" i="25"/>
  <c r="AH25" i="25" s="1"/>
  <c r="AN24" i="25"/>
  <c r="F65" i="2" s="1"/>
  <c r="AE24" i="25"/>
  <c r="E66" i="2" s="1"/>
  <c r="U24" i="25"/>
  <c r="D65" i="2" s="1"/>
  <c r="G23" i="25"/>
  <c r="F23" i="25"/>
  <c r="Y21" i="25"/>
  <c r="AH21" i="25" s="1"/>
  <c r="AN20" i="25"/>
  <c r="F64" i="2" s="1"/>
  <c r="AE20" i="25"/>
  <c r="E64" i="2" s="1"/>
  <c r="U20" i="25"/>
  <c r="D64" i="2" s="1"/>
  <c r="G19" i="25"/>
  <c r="F19" i="25"/>
  <c r="Y17" i="25"/>
  <c r="AH17" i="25" s="1"/>
  <c r="AN16" i="25"/>
  <c r="F63" i="2" s="1"/>
  <c r="AE16" i="25"/>
  <c r="E63" i="2" s="1"/>
  <c r="U16" i="25"/>
  <c r="D63" i="2" s="1"/>
  <c r="G15" i="25"/>
  <c r="F15" i="25"/>
  <c r="Y13" i="25"/>
  <c r="AH13" i="25" s="1"/>
  <c r="AN12" i="25"/>
  <c r="F62" i="2" s="1"/>
  <c r="AE12" i="25"/>
  <c r="E62" i="2" s="1"/>
  <c r="U12" i="25"/>
  <c r="D62" i="2" s="1"/>
  <c r="G11" i="25"/>
  <c r="F11" i="25"/>
  <c r="AN52" i="24"/>
  <c r="M72" i="2" s="1"/>
  <c r="AE52" i="24"/>
  <c r="L72" i="2" s="1"/>
  <c r="U52" i="24"/>
  <c r="K72" i="2" s="1"/>
  <c r="G51" i="24"/>
  <c r="F51" i="24"/>
  <c r="Y49" i="24"/>
  <c r="AH49" i="24" s="1"/>
  <c r="AN48" i="24"/>
  <c r="M71" i="2" s="1"/>
  <c r="AE48" i="24"/>
  <c r="L71" i="2" s="1"/>
  <c r="U48" i="24"/>
  <c r="K71" i="2" s="1"/>
  <c r="G47" i="24"/>
  <c r="F47" i="24"/>
  <c r="Y45" i="24"/>
  <c r="AH45" i="24" s="1"/>
  <c r="AN44" i="24"/>
  <c r="M70" i="2" s="1"/>
  <c r="AE44" i="24"/>
  <c r="L70" i="2" s="1"/>
  <c r="U44" i="24"/>
  <c r="K70" i="2" s="1"/>
  <c r="G43" i="24"/>
  <c r="F43" i="24"/>
  <c r="Y41" i="24"/>
  <c r="AH41" i="24" s="1"/>
  <c r="AN40" i="24"/>
  <c r="M69" i="2" s="1"/>
  <c r="AE40" i="24"/>
  <c r="L69" i="2" s="1"/>
  <c r="U40" i="24"/>
  <c r="K69" i="2" s="1"/>
  <c r="G39" i="24"/>
  <c r="F39" i="24"/>
  <c r="Y37" i="24"/>
  <c r="AH37" i="24" s="1"/>
  <c r="AN36" i="24"/>
  <c r="M68" i="2" s="1"/>
  <c r="AE36" i="24"/>
  <c r="L68" i="2" s="1"/>
  <c r="U36" i="24"/>
  <c r="K68" i="2" s="1"/>
  <c r="G35" i="24"/>
  <c r="F35" i="24"/>
  <c r="Y33" i="24"/>
  <c r="AH33" i="24" s="1"/>
  <c r="AN32" i="24"/>
  <c r="M67" i="2" s="1"/>
  <c r="AE32" i="24"/>
  <c r="L67" i="2" s="1"/>
  <c r="U32" i="24"/>
  <c r="K67" i="2" s="1"/>
  <c r="G31" i="24"/>
  <c r="F31" i="24"/>
  <c r="Y29" i="24"/>
  <c r="AH29" i="24" s="1"/>
  <c r="AN28" i="24"/>
  <c r="M66" i="2" s="1"/>
  <c r="AE28" i="24"/>
  <c r="L66" i="2" s="1"/>
  <c r="U28" i="24"/>
  <c r="K66" i="2" s="1"/>
  <c r="G27" i="24"/>
  <c r="F27" i="24"/>
  <c r="Y25" i="24"/>
  <c r="AH25" i="24" s="1"/>
  <c r="AN24" i="24"/>
  <c r="M65" i="2" s="1"/>
  <c r="AE24" i="24"/>
  <c r="L65" i="2" s="1"/>
  <c r="U24" i="24"/>
  <c r="K65" i="2" s="1"/>
  <c r="G23" i="24"/>
  <c r="F23" i="24"/>
  <c r="Y21" i="24"/>
  <c r="AH21" i="24" s="1"/>
  <c r="AN20" i="24"/>
  <c r="M64" i="2" s="1"/>
  <c r="AE20" i="24"/>
  <c r="L64" i="2" s="1"/>
  <c r="U20" i="24"/>
  <c r="K64" i="2" s="1"/>
  <c r="G19" i="24"/>
  <c r="F19" i="24"/>
  <c r="Y17" i="24"/>
  <c r="AH17" i="24" s="1"/>
  <c r="AN16" i="24"/>
  <c r="M63" i="2" s="1"/>
  <c r="AE16" i="24"/>
  <c r="L63" i="2" s="1"/>
  <c r="U16" i="24"/>
  <c r="K63" i="2" s="1"/>
  <c r="G15" i="24"/>
  <c r="F15" i="24"/>
  <c r="Y13" i="24"/>
  <c r="AH13" i="24" s="1"/>
  <c r="AN12" i="24"/>
  <c r="M62" i="2" s="1"/>
  <c r="AE12" i="24"/>
  <c r="L62" i="2" s="1"/>
  <c r="U12" i="24"/>
  <c r="K62" i="2" s="1"/>
  <c r="G11" i="24"/>
  <c r="F11" i="24"/>
  <c r="AN52" i="23"/>
  <c r="T72" i="2" s="1"/>
  <c r="AE52" i="23"/>
  <c r="S72" i="2" s="1"/>
  <c r="U52" i="23"/>
  <c r="R72" i="2" s="1"/>
  <c r="G51" i="23"/>
  <c r="F51" i="23"/>
  <c r="Y49" i="23"/>
  <c r="AH49" i="23" s="1"/>
  <c r="AN48" i="23"/>
  <c r="T71" i="2" s="1"/>
  <c r="AE48" i="23"/>
  <c r="S71" i="2" s="1"/>
  <c r="U48" i="23"/>
  <c r="R71" i="2" s="1"/>
  <c r="G47" i="23"/>
  <c r="F47" i="23"/>
  <c r="Y45" i="23"/>
  <c r="AH45" i="23" s="1"/>
  <c r="AN44" i="23"/>
  <c r="T70" i="2" s="1"/>
  <c r="AE44" i="23"/>
  <c r="S70" i="2" s="1"/>
  <c r="U44" i="23"/>
  <c r="R70" i="2" s="1"/>
  <c r="G43" i="23"/>
  <c r="F43" i="23"/>
  <c r="Y41" i="23"/>
  <c r="AH41" i="23" s="1"/>
  <c r="AN40" i="23"/>
  <c r="T69" i="2" s="1"/>
  <c r="AE40" i="23"/>
  <c r="S69" i="2" s="1"/>
  <c r="U40" i="23"/>
  <c r="R69" i="2" s="1"/>
  <c r="G39" i="23"/>
  <c r="F39" i="23"/>
  <c r="Y37" i="23"/>
  <c r="AH37" i="23" s="1"/>
  <c r="AN36" i="23"/>
  <c r="T68" i="2" s="1"/>
  <c r="AE36" i="23"/>
  <c r="S68" i="2" s="1"/>
  <c r="U36" i="23"/>
  <c r="R68" i="2" s="1"/>
  <c r="G35" i="23"/>
  <c r="F35" i="23"/>
  <c r="Y33" i="23"/>
  <c r="AH33" i="23" s="1"/>
  <c r="AN32" i="23"/>
  <c r="T67" i="2" s="1"/>
  <c r="AE32" i="23"/>
  <c r="U32" i="23"/>
  <c r="R67" i="2" s="1"/>
  <c r="G31" i="23"/>
  <c r="F31" i="23"/>
  <c r="Y29" i="23"/>
  <c r="AH29" i="23" s="1"/>
  <c r="AN28" i="23"/>
  <c r="T66" i="2" s="1"/>
  <c r="AE28" i="23"/>
  <c r="S66" i="2" s="1"/>
  <c r="U28" i="23"/>
  <c r="R66" i="2" s="1"/>
  <c r="G27" i="23"/>
  <c r="F27" i="23"/>
  <c r="Y25" i="23"/>
  <c r="AH25" i="23" s="1"/>
  <c r="AN24" i="23"/>
  <c r="T65" i="2" s="1"/>
  <c r="AE24" i="23"/>
  <c r="S65" i="2" s="1"/>
  <c r="U24" i="23"/>
  <c r="R65" i="2" s="1"/>
  <c r="G23" i="23"/>
  <c r="F23" i="23"/>
  <c r="Y21" i="23"/>
  <c r="AH21" i="23" s="1"/>
  <c r="AN20" i="23"/>
  <c r="T64" i="2" s="1"/>
  <c r="AE20" i="23"/>
  <c r="S64" i="2" s="1"/>
  <c r="U20" i="23"/>
  <c r="R64" i="2" s="1"/>
  <c r="G19" i="23"/>
  <c r="F19" i="23"/>
  <c r="Y17" i="23"/>
  <c r="AH17" i="23" s="1"/>
  <c r="AN16" i="23"/>
  <c r="T63" i="2" s="1"/>
  <c r="AE16" i="23"/>
  <c r="S63" i="2" s="1"/>
  <c r="U16" i="23"/>
  <c r="R63" i="2" s="1"/>
  <c r="G15" i="23"/>
  <c r="F15" i="23"/>
  <c r="Y13" i="23"/>
  <c r="AH13" i="23" s="1"/>
  <c r="AN12" i="23"/>
  <c r="T62" i="2" s="1"/>
  <c r="AE12" i="23"/>
  <c r="S62" i="2" s="1"/>
  <c r="U12" i="23"/>
  <c r="R62" i="2" s="1"/>
  <c r="G11" i="23"/>
  <c r="F11" i="23"/>
  <c r="AN52" i="22"/>
  <c r="AA72" i="2" s="1"/>
  <c r="AE52" i="22"/>
  <c r="Z72" i="2" s="1"/>
  <c r="U52" i="22"/>
  <c r="Y72" i="2" s="1"/>
  <c r="G51" i="22"/>
  <c r="F51" i="22"/>
  <c r="Y49" i="22"/>
  <c r="AH49" i="22" s="1"/>
  <c r="AN48" i="22"/>
  <c r="AA71" i="2" s="1"/>
  <c r="AE48" i="22"/>
  <c r="Z71" i="2" s="1"/>
  <c r="U48" i="22"/>
  <c r="Y71" i="2" s="1"/>
  <c r="G47" i="22"/>
  <c r="F47" i="22"/>
  <c r="Y45" i="22"/>
  <c r="AH45" i="22" s="1"/>
  <c r="AN44" i="22"/>
  <c r="AA70" i="2" s="1"/>
  <c r="AE44" i="22"/>
  <c r="Z70" i="2" s="1"/>
  <c r="U44" i="22"/>
  <c r="Y70" i="2" s="1"/>
  <c r="G43" i="22"/>
  <c r="F43" i="22"/>
  <c r="Y41" i="22"/>
  <c r="AH41" i="22" s="1"/>
  <c r="AN40" i="22"/>
  <c r="AA69" i="2" s="1"/>
  <c r="AE40" i="22"/>
  <c r="Z69" i="2" s="1"/>
  <c r="U40" i="22"/>
  <c r="Y69" i="2" s="1"/>
  <c r="G39" i="22"/>
  <c r="F39" i="22"/>
  <c r="Y37" i="22"/>
  <c r="AH37" i="22" s="1"/>
  <c r="AN36" i="22"/>
  <c r="AA68" i="2" s="1"/>
  <c r="AE36" i="22"/>
  <c r="Z68" i="2" s="1"/>
  <c r="U36" i="22"/>
  <c r="Y68" i="2" s="1"/>
  <c r="G35" i="22"/>
  <c r="F35" i="22"/>
  <c r="Y33" i="22"/>
  <c r="AH33" i="22" s="1"/>
  <c r="AN32" i="22"/>
  <c r="AA67" i="2" s="1"/>
  <c r="AE32" i="22"/>
  <c r="Z67" i="2" s="1"/>
  <c r="U32" i="22"/>
  <c r="Y67" i="2" s="1"/>
  <c r="G31" i="22"/>
  <c r="F31" i="22"/>
  <c r="Y29" i="22"/>
  <c r="AH29" i="22" s="1"/>
  <c r="AN28" i="22"/>
  <c r="AA66" i="2" s="1"/>
  <c r="AE28" i="22"/>
  <c r="Z66" i="2" s="1"/>
  <c r="U28" i="22"/>
  <c r="Y66" i="2" s="1"/>
  <c r="G27" i="22"/>
  <c r="F27" i="22"/>
  <c r="Y25" i="22"/>
  <c r="AH25" i="22" s="1"/>
  <c r="AN24" i="22"/>
  <c r="AA65" i="2" s="1"/>
  <c r="AE24" i="22"/>
  <c r="Z65" i="2" s="1"/>
  <c r="U24" i="22"/>
  <c r="Y65" i="2" s="1"/>
  <c r="G23" i="22"/>
  <c r="F23" i="22"/>
  <c r="Y21" i="22"/>
  <c r="AH21" i="22" s="1"/>
  <c r="AN20" i="22"/>
  <c r="AA64" i="2" s="1"/>
  <c r="AE20" i="22"/>
  <c r="Z64" i="2" s="1"/>
  <c r="U20" i="22"/>
  <c r="Y64" i="2" s="1"/>
  <c r="G19" i="22"/>
  <c r="F19" i="22"/>
  <c r="Y17" i="22"/>
  <c r="AH17" i="22" s="1"/>
  <c r="AN16" i="22"/>
  <c r="AA63" i="2" s="1"/>
  <c r="AE16" i="22"/>
  <c r="Z63" i="2" s="1"/>
  <c r="U16" i="22"/>
  <c r="Y63" i="2" s="1"/>
  <c r="G15" i="22"/>
  <c r="F15" i="22"/>
  <c r="Y13" i="22"/>
  <c r="AH13" i="22" s="1"/>
  <c r="AN12" i="22"/>
  <c r="AA62" i="2" s="1"/>
  <c r="AE12" i="22"/>
  <c r="Z62" i="2" s="1"/>
  <c r="U12" i="22"/>
  <c r="Y62" i="2" s="1"/>
  <c r="G11" i="22"/>
  <c r="F11" i="22"/>
  <c r="AN53" i="21"/>
  <c r="F91" i="2" s="1"/>
  <c r="AE53" i="21"/>
  <c r="E91" i="2" s="1"/>
  <c r="U53" i="21"/>
  <c r="D91" i="2" s="1"/>
  <c r="G52" i="21"/>
  <c r="F52" i="21"/>
  <c r="Y50" i="21"/>
  <c r="AH50" i="21" s="1"/>
  <c r="AN49" i="21"/>
  <c r="F90" i="2" s="1"/>
  <c r="AE49" i="21"/>
  <c r="E90" i="2" s="1"/>
  <c r="U49" i="21"/>
  <c r="D90" i="2" s="1"/>
  <c r="G48" i="21"/>
  <c r="F48" i="21"/>
  <c r="Y46" i="21"/>
  <c r="AH46" i="21" s="1"/>
  <c r="AN45" i="21"/>
  <c r="F89" i="2" s="1"/>
  <c r="AE45" i="21"/>
  <c r="E89" i="2" s="1"/>
  <c r="U45" i="21"/>
  <c r="D89" i="2" s="1"/>
  <c r="G44" i="21"/>
  <c r="F44" i="21"/>
  <c r="Y42" i="21"/>
  <c r="AH42" i="21" s="1"/>
  <c r="AN41" i="21"/>
  <c r="F88" i="2" s="1"/>
  <c r="AE41" i="21"/>
  <c r="E88" i="2" s="1"/>
  <c r="U41" i="21"/>
  <c r="D88" i="2" s="1"/>
  <c r="G40" i="21"/>
  <c r="F40" i="21"/>
  <c r="Y38" i="21"/>
  <c r="AH38" i="21" s="1"/>
  <c r="AN37" i="21"/>
  <c r="F87" i="2" s="1"/>
  <c r="AE37" i="21"/>
  <c r="E87" i="2" s="1"/>
  <c r="U37" i="21"/>
  <c r="D87" i="2" s="1"/>
  <c r="G36" i="21"/>
  <c r="F36" i="21"/>
  <c r="Y34" i="21"/>
  <c r="AH34" i="21" s="1"/>
  <c r="AN33" i="21"/>
  <c r="F86" i="2" s="1"/>
  <c r="AE33" i="21"/>
  <c r="E86" i="2" s="1"/>
  <c r="U33" i="21"/>
  <c r="D86" i="2" s="1"/>
  <c r="G32" i="21"/>
  <c r="F32" i="21"/>
  <c r="Y30" i="21"/>
  <c r="AH30" i="21" s="1"/>
  <c r="AN29" i="21"/>
  <c r="F85" i="2" s="1"/>
  <c r="AE29" i="21"/>
  <c r="E85" i="2" s="1"/>
  <c r="U29" i="21"/>
  <c r="D85" i="2" s="1"/>
  <c r="G28" i="21"/>
  <c r="F28" i="21"/>
  <c r="Y26" i="21"/>
  <c r="AH26" i="21" s="1"/>
  <c r="AN25" i="21"/>
  <c r="F84" i="2" s="1"/>
  <c r="AE25" i="21"/>
  <c r="E84" i="2" s="1"/>
  <c r="U25" i="21"/>
  <c r="D84" i="2" s="1"/>
  <c r="G24" i="21"/>
  <c r="F24" i="21"/>
  <c r="Y22" i="21"/>
  <c r="AH22" i="21" s="1"/>
  <c r="AN21" i="21"/>
  <c r="F83" i="2" s="1"/>
  <c r="AE21" i="21"/>
  <c r="E83" i="2" s="1"/>
  <c r="U21" i="21"/>
  <c r="D83" i="2" s="1"/>
  <c r="G20" i="21"/>
  <c r="F20" i="21"/>
  <c r="Y18" i="21"/>
  <c r="AH18" i="21" s="1"/>
  <c r="AN17" i="21"/>
  <c r="F82" i="2" s="1"/>
  <c r="AE17" i="21"/>
  <c r="E82" i="2" s="1"/>
  <c r="U17" i="21"/>
  <c r="D82" i="2" s="1"/>
  <c r="G16" i="21"/>
  <c r="F16" i="21"/>
  <c r="Y14" i="21"/>
  <c r="AH14" i="21" s="1"/>
  <c r="AN13" i="21"/>
  <c r="F81" i="2" s="1"/>
  <c r="AE13" i="21"/>
  <c r="E81" i="2" s="1"/>
  <c r="U13" i="21"/>
  <c r="D81" i="2" s="1"/>
  <c r="G12" i="21"/>
  <c r="F12" i="21"/>
  <c r="H12" i="21" s="1"/>
  <c r="B81" i="2" s="1"/>
  <c r="C81" i="2" s="1"/>
  <c r="AN52" i="20"/>
  <c r="AE52" i="20"/>
  <c r="U52" i="20"/>
  <c r="K91" i="2" s="1"/>
  <c r="G51" i="20"/>
  <c r="F51" i="20"/>
  <c r="Y49" i="20"/>
  <c r="AH49" i="20" s="1"/>
  <c r="AN48" i="20"/>
  <c r="AE48" i="20"/>
  <c r="L90" i="2" s="1"/>
  <c r="U48" i="20"/>
  <c r="K90" i="2" s="1"/>
  <c r="G47" i="20"/>
  <c r="F47" i="20"/>
  <c r="Y45" i="20"/>
  <c r="AH45" i="20" s="1"/>
  <c r="AN44" i="20"/>
  <c r="AE44" i="20"/>
  <c r="U44" i="20"/>
  <c r="K89" i="2" s="1"/>
  <c r="G43" i="20"/>
  <c r="F43" i="20"/>
  <c r="Y41" i="20"/>
  <c r="AH41" i="20" s="1"/>
  <c r="AN40" i="20"/>
  <c r="AE40" i="20"/>
  <c r="M88" i="2" s="1"/>
  <c r="U40" i="20"/>
  <c r="K88" i="2" s="1"/>
  <c r="G39" i="20"/>
  <c r="F39" i="20"/>
  <c r="Y37" i="20"/>
  <c r="AH37" i="20" s="1"/>
  <c r="AN36" i="20"/>
  <c r="AE36" i="20"/>
  <c r="U36" i="20"/>
  <c r="K87" i="2" s="1"/>
  <c r="G35" i="20"/>
  <c r="F35" i="20"/>
  <c r="Y33" i="20"/>
  <c r="AH33" i="20" s="1"/>
  <c r="AN32" i="20"/>
  <c r="AE32" i="20"/>
  <c r="L86" i="2" s="1"/>
  <c r="U32" i="20"/>
  <c r="K86" i="2" s="1"/>
  <c r="G31" i="20"/>
  <c r="F31" i="20"/>
  <c r="Y29" i="20"/>
  <c r="AH29" i="20" s="1"/>
  <c r="AN28" i="20"/>
  <c r="AE28" i="20"/>
  <c r="U28" i="20"/>
  <c r="K85" i="2" s="1"/>
  <c r="G27" i="20"/>
  <c r="F27" i="20"/>
  <c r="Y25" i="20"/>
  <c r="AH25" i="20" s="1"/>
  <c r="AN24" i="20"/>
  <c r="AE24" i="20"/>
  <c r="M84" i="2" s="1"/>
  <c r="U24" i="20"/>
  <c r="K84" i="2" s="1"/>
  <c r="G23" i="20"/>
  <c r="F23" i="20"/>
  <c r="Y21" i="20"/>
  <c r="AH21" i="20" s="1"/>
  <c r="AN20" i="20"/>
  <c r="AE20" i="20"/>
  <c r="M83" i="2" s="1"/>
  <c r="U20" i="20"/>
  <c r="K83" i="2" s="1"/>
  <c r="G19" i="20"/>
  <c r="F19" i="20"/>
  <c r="Y17" i="20"/>
  <c r="AH17" i="20" s="1"/>
  <c r="AN16" i="20"/>
  <c r="AE16" i="20"/>
  <c r="L82" i="2" s="1"/>
  <c r="U16" i="20"/>
  <c r="K82" i="2" s="1"/>
  <c r="G15" i="20"/>
  <c r="F15" i="20"/>
  <c r="Y13" i="20"/>
  <c r="AH13" i="20" s="1"/>
  <c r="AN12" i="20"/>
  <c r="AE12" i="20"/>
  <c r="U12" i="20"/>
  <c r="K81" i="2" s="1"/>
  <c r="G11" i="20"/>
  <c r="F11" i="20"/>
  <c r="R91" i="2"/>
  <c r="R90" i="2"/>
  <c r="R89" i="2"/>
  <c r="R88" i="2"/>
  <c r="T87" i="2"/>
  <c r="R87" i="2"/>
  <c r="R86" i="2"/>
  <c r="R85" i="2"/>
  <c r="R84" i="2"/>
  <c r="R83" i="2"/>
  <c r="R82" i="2"/>
  <c r="R81" i="2"/>
  <c r="AN53" i="18"/>
  <c r="AE53" i="18"/>
  <c r="U53" i="18"/>
  <c r="Y91" i="2" s="1"/>
  <c r="G52" i="18"/>
  <c r="F52" i="18"/>
  <c r="Y50" i="18"/>
  <c r="AH50" i="18" s="1"/>
  <c r="AN49" i="18"/>
  <c r="AE49" i="18"/>
  <c r="U49" i="18"/>
  <c r="Y90" i="2" s="1"/>
  <c r="G48" i="18"/>
  <c r="F48" i="18"/>
  <c r="Y46" i="18"/>
  <c r="AH46" i="18" s="1"/>
  <c r="AN45" i="18"/>
  <c r="AE45" i="18"/>
  <c r="U45" i="18"/>
  <c r="Y89" i="2" s="1"/>
  <c r="G44" i="18"/>
  <c r="F44" i="18"/>
  <c r="Y42" i="18"/>
  <c r="AH42" i="18" s="1"/>
  <c r="AN41" i="18"/>
  <c r="AE41" i="18"/>
  <c r="U41" i="18"/>
  <c r="Y88" i="2" s="1"/>
  <c r="G40" i="18"/>
  <c r="F40" i="18"/>
  <c r="Y38" i="18"/>
  <c r="AH38" i="18" s="1"/>
  <c r="AN37" i="18"/>
  <c r="AE37" i="18"/>
  <c r="U37" i="18"/>
  <c r="Y87" i="2" s="1"/>
  <c r="G36" i="18"/>
  <c r="F36" i="18"/>
  <c r="Y34" i="18"/>
  <c r="AH34" i="18" s="1"/>
  <c r="AN33" i="18"/>
  <c r="AE33" i="18"/>
  <c r="U33" i="18"/>
  <c r="Y86" i="2" s="1"/>
  <c r="G32" i="18"/>
  <c r="F32" i="18"/>
  <c r="Y30" i="18"/>
  <c r="AH30" i="18" s="1"/>
  <c r="AN29" i="18"/>
  <c r="AE29" i="18"/>
  <c r="U29" i="18"/>
  <c r="Y85" i="2" s="1"/>
  <c r="G28" i="18"/>
  <c r="F28" i="18"/>
  <c r="Y26" i="18"/>
  <c r="AH26" i="18" s="1"/>
  <c r="AN25" i="18"/>
  <c r="AE25" i="18"/>
  <c r="U25" i="18"/>
  <c r="Y84" i="2" s="1"/>
  <c r="G24" i="18"/>
  <c r="F24" i="18"/>
  <c r="Y22" i="18"/>
  <c r="AH22" i="18" s="1"/>
  <c r="AN21" i="18"/>
  <c r="AE21" i="18"/>
  <c r="U21" i="18"/>
  <c r="Y83" i="2" s="1"/>
  <c r="G20" i="18"/>
  <c r="F20" i="18"/>
  <c r="Y18" i="18"/>
  <c r="AH18" i="18" s="1"/>
  <c r="AN17" i="18"/>
  <c r="AE17" i="18"/>
  <c r="U17" i="18"/>
  <c r="Y82" i="2" s="1"/>
  <c r="G16" i="18"/>
  <c r="F16" i="18"/>
  <c r="Y14" i="18"/>
  <c r="AH14" i="18" s="1"/>
  <c r="AN13" i="18"/>
  <c r="AE13" i="18"/>
  <c r="AA81" i="2" s="1"/>
  <c r="U13" i="18"/>
  <c r="Y81" i="2" s="1"/>
  <c r="G12" i="18"/>
  <c r="F12" i="18"/>
  <c r="AN52" i="17"/>
  <c r="F109" i="2" s="1"/>
  <c r="AE52" i="17"/>
  <c r="E109" i="2" s="1"/>
  <c r="U52" i="17"/>
  <c r="D109" i="2" s="1"/>
  <c r="G51" i="17"/>
  <c r="F51" i="17"/>
  <c r="Y49" i="17"/>
  <c r="AH49" i="17" s="1"/>
  <c r="AN48" i="17"/>
  <c r="F108" i="2" s="1"/>
  <c r="AE48" i="17"/>
  <c r="E108" i="2" s="1"/>
  <c r="U48" i="17"/>
  <c r="D108" i="2" s="1"/>
  <c r="G47" i="17"/>
  <c r="F47" i="17"/>
  <c r="Y45" i="17"/>
  <c r="AH45" i="17" s="1"/>
  <c r="AN44" i="17"/>
  <c r="F107" i="2" s="1"/>
  <c r="AE44" i="17"/>
  <c r="E107" i="2" s="1"/>
  <c r="U44" i="17"/>
  <c r="D107" i="2" s="1"/>
  <c r="G43" i="17"/>
  <c r="F43" i="17"/>
  <c r="Y41" i="17"/>
  <c r="AH41" i="17" s="1"/>
  <c r="AN40" i="17"/>
  <c r="F106" i="2" s="1"/>
  <c r="AE40" i="17"/>
  <c r="E106" i="2" s="1"/>
  <c r="U40" i="17"/>
  <c r="D106" i="2" s="1"/>
  <c r="G39" i="17"/>
  <c r="F39" i="17"/>
  <c r="Y37" i="17"/>
  <c r="AH37" i="17" s="1"/>
  <c r="AN36" i="17"/>
  <c r="F105" i="2" s="1"/>
  <c r="AE36" i="17"/>
  <c r="E105" i="2" s="1"/>
  <c r="U36" i="17"/>
  <c r="D105" i="2" s="1"/>
  <c r="G35" i="17"/>
  <c r="F35" i="17"/>
  <c r="Y33" i="17"/>
  <c r="AH33" i="17" s="1"/>
  <c r="AN32" i="17"/>
  <c r="F104" i="2" s="1"/>
  <c r="AE32" i="17"/>
  <c r="E104" i="2" s="1"/>
  <c r="U32" i="17"/>
  <c r="D104" i="2" s="1"/>
  <c r="G31" i="17"/>
  <c r="F31" i="17"/>
  <c r="Y29" i="17"/>
  <c r="AH29" i="17" s="1"/>
  <c r="AN28" i="17"/>
  <c r="F103" i="2" s="1"/>
  <c r="AE28" i="17"/>
  <c r="E103" i="2" s="1"/>
  <c r="U28" i="17"/>
  <c r="D103" i="2" s="1"/>
  <c r="G27" i="17"/>
  <c r="F27" i="17"/>
  <c r="Y25" i="17"/>
  <c r="AH25" i="17" s="1"/>
  <c r="AN24" i="17"/>
  <c r="F102" i="2" s="1"/>
  <c r="AE24" i="17"/>
  <c r="E102" i="2" s="1"/>
  <c r="U24" i="17"/>
  <c r="D102" i="2" s="1"/>
  <c r="G23" i="17"/>
  <c r="F23" i="17"/>
  <c r="Y21" i="17"/>
  <c r="AH21" i="17" s="1"/>
  <c r="AN20" i="17"/>
  <c r="AE20" i="17"/>
  <c r="E101" i="2" s="1"/>
  <c r="U20" i="17"/>
  <c r="D101" i="2" s="1"/>
  <c r="G19" i="17"/>
  <c r="F19" i="17"/>
  <c r="Y17" i="17"/>
  <c r="AH17" i="17" s="1"/>
  <c r="AN16" i="17"/>
  <c r="F100" i="2" s="1"/>
  <c r="AE16" i="17"/>
  <c r="E100" i="2" s="1"/>
  <c r="U16" i="17"/>
  <c r="D100" i="2" s="1"/>
  <c r="G15" i="17"/>
  <c r="F15" i="17"/>
  <c r="Y13" i="17"/>
  <c r="AH13" i="17" s="1"/>
  <c r="AN12" i="17"/>
  <c r="F99" i="2" s="1"/>
  <c r="AE12" i="17"/>
  <c r="E99" i="2" s="1"/>
  <c r="U12" i="17"/>
  <c r="D99" i="2" s="1"/>
  <c r="G11" i="17"/>
  <c r="F11" i="17"/>
  <c r="AK52" i="16"/>
  <c r="M109" i="2" s="1"/>
  <c r="AC52" i="16"/>
  <c r="L109" i="2" s="1"/>
  <c r="U52" i="16"/>
  <c r="K109" i="2" s="1"/>
  <c r="G51" i="16"/>
  <c r="F51" i="16"/>
  <c r="W49" i="16"/>
  <c r="AE49" i="16" s="1"/>
  <c r="AK48" i="16"/>
  <c r="M108" i="2" s="1"/>
  <c r="AC48" i="16"/>
  <c r="L108" i="2" s="1"/>
  <c r="U48" i="16"/>
  <c r="K108" i="2" s="1"/>
  <c r="G47" i="16"/>
  <c r="F47" i="16"/>
  <c r="W45" i="16"/>
  <c r="AE45" i="16" s="1"/>
  <c r="AK44" i="16"/>
  <c r="M107" i="2" s="1"/>
  <c r="AC44" i="16"/>
  <c r="L107" i="2" s="1"/>
  <c r="U44" i="16"/>
  <c r="K107" i="2" s="1"/>
  <c r="G43" i="16"/>
  <c r="F43" i="16"/>
  <c r="W41" i="16"/>
  <c r="AE41" i="16" s="1"/>
  <c r="AK40" i="16"/>
  <c r="M106" i="2" s="1"/>
  <c r="AC40" i="16"/>
  <c r="L106" i="2" s="1"/>
  <c r="U40" i="16"/>
  <c r="K106" i="2" s="1"/>
  <c r="G39" i="16"/>
  <c r="F39" i="16"/>
  <c r="W37" i="16"/>
  <c r="AE37" i="16" s="1"/>
  <c r="AK36" i="16"/>
  <c r="M105" i="2" s="1"/>
  <c r="AC36" i="16"/>
  <c r="L105" i="2" s="1"/>
  <c r="U36" i="16"/>
  <c r="K105" i="2" s="1"/>
  <c r="G35" i="16"/>
  <c r="F35" i="16"/>
  <c r="W33" i="16"/>
  <c r="AE33" i="16" s="1"/>
  <c r="AK32" i="16"/>
  <c r="M104" i="2" s="1"/>
  <c r="AC32" i="16"/>
  <c r="L104" i="2" s="1"/>
  <c r="U32" i="16"/>
  <c r="K104" i="2" s="1"/>
  <c r="G31" i="16"/>
  <c r="F31" i="16"/>
  <c r="W29" i="16"/>
  <c r="AE29" i="16" s="1"/>
  <c r="AK28" i="16"/>
  <c r="M103" i="2" s="1"/>
  <c r="AC28" i="16"/>
  <c r="L103" i="2" s="1"/>
  <c r="U28" i="16"/>
  <c r="K103" i="2" s="1"/>
  <c r="G27" i="16"/>
  <c r="F27" i="16"/>
  <c r="W25" i="16"/>
  <c r="AE25" i="16" s="1"/>
  <c r="AK24" i="16"/>
  <c r="M102" i="2" s="1"/>
  <c r="AC24" i="16"/>
  <c r="L102" i="2" s="1"/>
  <c r="U24" i="16"/>
  <c r="K102" i="2" s="1"/>
  <c r="G23" i="16"/>
  <c r="F23" i="16"/>
  <c r="W21" i="16"/>
  <c r="AE21" i="16" s="1"/>
  <c r="AK20" i="16"/>
  <c r="M101" i="2" s="1"/>
  <c r="AC20" i="16"/>
  <c r="L101" i="2" s="1"/>
  <c r="U20" i="16"/>
  <c r="K101" i="2" s="1"/>
  <c r="G19" i="16"/>
  <c r="F19" i="16"/>
  <c r="W17" i="16"/>
  <c r="AE17" i="16" s="1"/>
  <c r="AK16" i="16"/>
  <c r="M100" i="2" s="1"/>
  <c r="AC16" i="16"/>
  <c r="L100" i="2" s="1"/>
  <c r="U16" i="16"/>
  <c r="K100" i="2" s="1"/>
  <c r="G15" i="16"/>
  <c r="F15" i="16"/>
  <c r="W13" i="16"/>
  <c r="AE13" i="16" s="1"/>
  <c r="AK12" i="16"/>
  <c r="M99" i="2" s="1"/>
  <c r="AC12" i="16"/>
  <c r="L99" i="2" s="1"/>
  <c r="U12" i="16"/>
  <c r="K99" i="2" s="1"/>
  <c r="G11" i="16"/>
  <c r="F11" i="16"/>
  <c r="AN54" i="15"/>
  <c r="T109" i="2" s="1"/>
  <c r="AE54" i="15"/>
  <c r="S109" i="2" s="1"/>
  <c r="U54" i="15"/>
  <c r="R109" i="2" s="1"/>
  <c r="G53" i="15"/>
  <c r="F53" i="15"/>
  <c r="Y51" i="15"/>
  <c r="AH51" i="15" s="1"/>
  <c r="AN50" i="15"/>
  <c r="T108" i="2" s="1"/>
  <c r="AE50" i="15"/>
  <c r="S108" i="2" s="1"/>
  <c r="U50" i="15"/>
  <c r="R108" i="2" s="1"/>
  <c r="G49" i="15"/>
  <c r="F49" i="15"/>
  <c r="Y47" i="15"/>
  <c r="AH47" i="15" s="1"/>
  <c r="AN46" i="15"/>
  <c r="T107" i="2" s="1"/>
  <c r="AE46" i="15"/>
  <c r="S107" i="2" s="1"/>
  <c r="U46" i="15"/>
  <c r="R107" i="2" s="1"/>
  <c r="G45" i="15"/>
  <c r="F45" i="15"/>
  <c r="Y43" i="15"/>
  <c r="AH43" i="15" s="1"/>
  <c r="AN42" i="15"/>
  <c r="T106" i="2" s="1"/>
  <c r="AE42" i="15"/>
  <c r="S106" i="2" s="1"/>
  <c r="U42" i="15"/>
  <c r="R106" i="2" s="1"/>
  <c r="G41" i="15"/>
  <c r="F41" i="15"/>
  <c r="Y39" i="15"/>
  <c r="AH39" i="15" s="1"/>
  <c r="AN38" i="15"/>
  <c r="T105" i="2" s="1"/>
  <c r="AE38" i="15"/>
  <c r="S105" i="2" s="1"/>
  <c r="U38" i="15"/>
  <c r="R105" i="2" s="1"/>
  <c r="G37" i="15"/>
  <c r="F37" i="15"/>
  <c r="Y35" i="15"/>
  <c r="AH35" i="15" s="1"/>
  <c r="AN34" i="15"/>
  <c r="T104" i="2" s="1"/>
  <c r="AE34" i="15"/>
  <c r="S104" i="2" s="1"/>
  <c r="U34" i="15"/>
  <c r="R104" i="2" s="1"/>
  <c r="G33" i="15"/>
  <c r="F33" i="15"/>
  <c r="Y31" i="15"/>
  <c r="AH31" i="15" s="1"/>
  <c r="AN30" i="15"/>
  <c r="T103" i="2" s="1"/>
  <c r="AE30" i="15"/>
  <c r="S103" i="2" s="1"/>
  <c r="U30" i="15"/>
  <c r="R103" i="2" s="1"/>
  <c r="G29" i="15"/>
  <c r="F29" i="15"/>
  <c r="Y27" i="15"/>
  <c r="AH27" i="15" s="1"/>
  <c r="AN26" i="15"/>
  <c r="T102" i="2" s="1"/>
  <c r="AE26" i="15"/>
  <c r="S102" i="2" s="1"/>
  <c r="U26" i="15"/>
  <c r="R102" i="2" s="1"/>
  <c r="G25" i="15"/>
  <c r="F25" i="15"/>
  <c r="Y23" i="15"/>
  <c r="AH23" i="15" s="1"/>
  <c r="AN22" i="15"/>
  <c r="T101" i="2" s="1"/>
  <c r="AE22" i="15"/>
  <c r="S101" i="2" s="1"/>
  <c r="U22" i="15"/>
  <c r="R101" i="2" s="1"/>
  <c r="G21" i="15"/>
  <c r="F21" i="15"/>
  <c r="Y19" i="15"/>
  <c r="AH19" i="15" s="1"/>
  <c r="AN18" i="15"/>
  <c r="T100" i="2" s="1"/>
  <c r="AE18" i="15"/>
  <c r="S100" i="2" s="1"/>
  <c r="U18" i="15"/>
  <c r="R100" i="2" s="1"/>
  <c r="G17" i="15"/>
  <c r="F17" i="15"/>
  <c r="Y15" i="15"/>
  <c r="AH15" i="15" s="1"/>
  <c r="AN14" i="15"/>
  <c r="T99" i="2" s="1"/>
  <c r="AE14" i="15"/>
  <c r="S99" i="2" s="1"/>
  <c r="U14" i="15"/>
  <c r="R99" i="2" s="1"/>
  <c r="G13" i="15"/>
  <c r="F13" i="15"/>
  <c r="AN52" i="14"/>
  <c r="AA109" i="2" s="1"/>
  <c r="AE52" i="14"/>
  <c r="Z109" i="2" s="1"/>
  <c r="U52" i="14"/>
  <c r="Y109" i="2" s="1"/>
  <c r="G51" i="14"/>
  <c r="F51" i="14"/>
  <c r="Y49" i="14"/>
  <c r="AH49" i="14" s="1"/>
  <c r="AN48" i="14"/>
  <c r="AA108" i="2" s="1"/>
  <c r="AE48" i="14"/>
  <c r="Z108" i="2" s="1"/>
  <c r="U48" i="14"/>
  <c r="Y108" i="2" s="1"/>
  <c r="G47" i="14"/>
  <c r="F47" i="14"/>
  <c r="Y45" i="14"/>
  <c r="AH45" i="14" s="1"/>
  <c r="AN44" i="14"/>
  <c r="AA107" i="2" s="1"/>
  <c r="AE44" i="14"/>
  <c r="Z107" i="2" s="1"/>
  <c r="U44" i="14"/>
  <c r="Y107" i="2" s="1"/>
  <c r="G43" i="14"/>
  <c r="F43" i="14"/>
  <c r="Y41" i="14"/>
  <c r="AH41" i="14" s="1"/>
  <c r="AN40" i="14"/>
  <c r="AA106" i="2" s="1"/>
  <c r="AE40" i="14"/>
  <c r="Z106" i="2" s="1"/>
  <c r="U40" i="14"/>
  <c r="Y106" i="2" s="1"/>
  <c r="G39" i="14"/>
  <c r="F39" i="14"/>
  <c r="Y37" i="14"/>
  <c r="AH37" i="14" s="1"/>
  <c r="AN36" i="14"/>
  <c r="AA105" i="2" s="1"/>
  <c r="AE36" i="14"/>
  <c r="Z105" i="2" s="1"/>
  <c r="U36" i="14"/>
  <c r="Y105" i="2" s="1"/>
  <c r="G35" i="14"/>
  <c r="F35" i="14"/>
  <c r="Y33" i="14"/>
  <c r="AH33" i="14" s="1"/>
  <c r="AN32" i="14"/>
  <c r="AA104" i="2" s="1"/>
  <c r="AE32" i="14"/>
  <c r="Z104" i="2" s="1"/>
  <c r="U32" i="14"/>
  <c r="Y104" i="2" s="1"/>
  <c r="G31" i="14"/>
  <c r="F31" i="14"/>
  <c r="Y29" i="14"/>
  <c r="AH29" i="14" s="1"/>
  <c r="AN28" i="14"/>
  <c r="AA103" i="2" s="1"/>
  <c r="AE28" i="14"/>
  <c r="Z103" i="2" s="1"/>
  <c r="U28" i="14"/>
  <c r="Y103" i="2" s="1"/>
  <c r="G27" i="14"/>
  <c r="F27" i="14"/>
  <c r="Y25" i="14"/>
  <c r="AH25" i="14" s="1"/>
  <c r="AN24" i="14"/>
  <c r="AA102" i="2" s="1"/>
  <c r="AE24" i="14"/>
  <c r="Z102" i="2" s="1"/>
  <c r="U24" i="14"/>
  <c r="Y102" i="2" s="1"/>
  <c r="G23" i="14"/>
  <c r="F23" i="14"/>
  <c r="Y21" i="14"/>
  <c r="AH21" i="14" s="1"/>
  <c r="AN20" i="14"/>
  <c r="AA101" i="2" s="1"/>
  <c r="AE20" i="14"/>
  <c r="Z101" i="2" s="1"/>
  <c r="U20" i="14"/>
  <c r="Y101" i="2" s="1"/>
  <c r="G19" i="14"/>
  <c r="F19" i="14"/>
  <c r="Y17" i="14"/>
  <c r="AH17" i="14" s="1"/>
  <c r="AN16" i="14"/>
  <c r="AA100" i="2" s="1"/>
  <c r="AE16" i="14"/>
  <c r="Z100" i="2" s="1"/>
  <c r="U16" i="14"/>
  <c r="Y100" i="2" s="1"/>
  <c r="G15" i="14"/>
  <c r="F15" i="14"/>
  <c r="Y13" i="14"/>
  <c r="AH13" i="14" s="1"/>
  <c r="AN12" i="14"/>
  <c r="AA99" i="2" s="1"/>
  <c r="AE12" i="14"/>
  <c r="Z99" i="2" s="1"/>
  <c r="U12" i="14"/>
  <c r="Y99" i="2" s="1"/>
  <c r="G11" i="14"/>
  <c r="F11" i="14"/>
  <c r="AK52" i="13"/>
  <c r="AC52" i="13"/>
  <c r="U52" i="13"/>
  <c r="G51" i="13"/>
  <c r="F51" i="13"/>
  <c r="W49" i="13"/>
  <c r="AE49" i="13" s="1"/>
  <c r="AK48" i="13"/>
  <c r="AC48" i="13"/>
  <c r="U48" i="13"/>
  <c r="G47" i="13"/>
  <c r="F47" i="13"/>
  <c r="W45" i="13"/>
  <c r="AE45" i="13" s="1"/>
  <c r="AK44" i="13"/>
  <c r="AC44" i="13"/>
  <c r="U44" i="13"/>
  <c r="G43" i="13"/>
  <c r="F43" i="13"/>
  <c r="W41" i="13"/>
  <c r="AE41" i="13" s="1"/>
  <c r="AK40" i="13"/>
  <c r="AC40" i="13"/>
  <c r="U40" i="13"/>
  <c r="G39" i="13"/>
  <c r="F39" i="13"/>
  <c r="W37" i="13"/>
  <c r="AE37" i="13" s="1"/>
  <c r="AK36" i="13"/>
  <c r="AC36" i="13"/>
  <c r="S11" i="2" s="1"/>
  <c r="U36" i="13"/>
  <c r="R11" i="2" s="1"/>
  <c r="G35" i="13"/>
  <c r="F35" i="13"/>
  <c r="W33" i="13"/>
  <c r="AE33" i="13" s="1"/>
  <c r="AK32" i="13"/>
  <c r="AC32" i="13"/>
  <c r="S10" i="2" s="1"/>
  <c r="U32" i="13"/>
  <c r="R10" i="2" s="1"/>
  <c r="G31" i="13"/>
  <c r="F31" i="13"/>
  <c r="W29" i="13"/>
  <c r="AE29" i="13" s="1"/>
  <c r="AK28" i="13"/>
  <c r="AC28" i="13"/>
  <c r="U28" i="13"/>
  <c r="R9" i="2" s="1"/>
  <c r="G27" i="13"/>
  <c r="F27" i="13"/>
  <c r="W25" i="13"/>
  <c r="AE25" i="13" s="1"/>
  <c r="AK24" i="13"/>
  <c r="AC24" i="13"/>
  <c r="S8" i="2" s="1"/>
  <c r="U24" i="13"/>
  <c r="R8" i="2" s="1"/>
  <c r="G23" i="13"/>
  <c r="F23" i="13"/>
  <c r="W21" i="13"/>
  <c r="AE21" i="13" s="1"/>
  <c r="AK20" i="13"/>
  <c r="AC20" i="13"/>
  <c r="U20" i="13"/>
  <c r="R7" i="2" s="1"/>
  <c r="G19" i="13"/>
  <c r="F19" i="13"/>
  <c r="W17" i="13"/>
  <c r="AE17" i="13" s="1"/>
  <c r="AK16" i="13"/>
  <c r="AC16" i="13"/>
  <c r="U16" i="13"/>
  <c r="R6" i="2" s="1"/>
  <c r="G15" i="13"/>
  <c r="F15" i="13"/>
  <c r="W13" i="13"/>
  <c r="AE13" i="13" s="1"/>
  <c r="AK12" i="13"/>
  <c r="AC12" i="13"/>
  <c r="U12" i="13"/>
  <c r="R5" i="2" s="1"/>
  <c r="G11" i="13"/>
  <c r="F11" i="13"/>
  <c r="AL53" i="12"/>
  <c r="F127" i="2" s="1"/>
  <c r="AC53" i="12"/>
  <c r="E127" i="2" s="1"/>
  <c r="U53" i="12"/>
  <c r="D127" i="2" s="1"/>
  <c r="G52" i="12"/>
  <c r="F52" i="12"/>
  <c r="W50" i="12"/>
  <c r="AF50" i="12" s="1"/>
  <c r="AL49" i="12"/>
  <c r="F126" i="2" s="1"/>
  <c r="AC49" i="12"/>
  <c r="E126" i="2" s="1"/>
  <c r="U49" i="12"/>
  <c r="D126" i="2" s="1"/>
  <c r="G48" i="12"/>
  <c r="F48" i="12"/>
  <c r="W46" i="12"/>
  <c r="AF46" i="12" s="1"/>
  <c r="AL45" i="12"/>
  <c r="F125" i="2" s="1"/>
  <c r="AC45" i="12"/>
  <c r="E125" i="2" s="1"/>
  <c r="U45" i="12"/>
  <c r="D125" i="2" s="1"/>
  <c r="G44" i="12"/>
  <c r="F44" i="12"/>
  <c r="W42" i="12"/>
  <c r="AF42" i="12" s="1"/>
  <c r="AL41" i="12"/>
  <c r="F124" i="2" s="1"/>
  <c r="AC41" i="12"/>
  <c r="U41" i="12"/>
  <c r="D124" i="2" s="1"/>
  <c r="G40" i="12"/>
  <c r="F40" i="12"/>
  <c r="W38" i="12"/>
  <c r="AF38" i="12" s="1"/>
  <c r="AL37" i="12"/>
  <c r="F123" i="2" s="1"/>
  <c r="AC37" i="12"/>
  <c r="E123" i="2" s="1"/>
  <c r="U37" i="12"/>
  <c r="D123" i="2" s="1"/>
  <c r="G36" i="12"/>
  <c r="F36" i="12"/>
  <c r="W34" i="12"/>
  <c r="AF34" i="12" s="1"/>
  <c r="AL33" i="12"/>
  <c r="F122" i="2" s="1"/>
  <c r="AC33" i="12"/>
  <c r="U33" i="12"/>
  <c r="D122" i="2" s="1"/>
  <c r="G32" i="12"/>
  <c r="F32" i="12"/>
  <c r="W30" i="12"/>
  <c r="AF30" i="12" s="1"/>
  <c r="AL29" i="12"/>
  <c r="F121" i="2" s="1"/>
  <c r="AC29" i="12"/>
  <c r="E121" i="2" s="1"/>
  <c r="U29" i="12"/>
  <c r="D121" i="2" s="1"/>
  <c r="G28" i="12"/>
  <c r="F28" i="12"/>
  <c r="W26" i="12"/>
  <c r="AF26" i="12" s="1"/>
  <c r="AL25" i="12"/>
  <c r="F120" i="2" s="1"/>
  <c r="AC25" i="12"/>
  <c r="E120" i="2" s="1"/>
  <c r="U25" i="12"/>
  <c r="D120" i="2" s="1"/>
  <c r="G24" i="12"/>
  <c r="F24" i="12"/>
  <c r="W22" i="12"/>
  <c r="AF22" i="12" s="1"/>
  <c r="AL21" i="12"/>
  <c r="F119" i="2" s="1"/>
  <c r="AC21" i="12"/>
  <c r="E119" i="2" s="1"/>
  <c r="U21" i="12"/>
  <c r="D119" i="2" s="1"/>
  <c r="G20" i="12"/>
  <c r="F20" i="12"/>
  <c r="W18" i="12"/>
  <c r="AF18" i="12" s="1"/>
  <c r="AL17" i="12"/>
  <c r="F118" i="2" s="1"/>
  <c r="AC17" i="12"/>
  <c r="E118" i="2" s="1"/>
  <c r="U17" i="12"/>
  <c r="D118" i="2" s="1"/>
  <c r="G16" i="12"/>
  <c r="F16" i="12"/>
  <c r="W14" i="12"/>
  <c r="AF14" i="12" s="1"/>
  <c r="AL13" i="12"/>
  <c r="F117" i="2" s="1"/>
  <c r="AC13" i="12"/>
  <c r="E117" i="2" s="1"/>
  <c r="U13" i="12"/>
  <c r="D117" i="2" s="1"/>
  <c r="G12" i="12"/>
  <c r="F12" i="12"/>
  <c r="AK52" i="11"/>
  <c r="F34" i="2" s="1"/>
  <c r="AC52" i="11"/>
  <c r="E34" i="2" s="1"/>
  <c r="U52" i="11"/>
  <c r="D34" i="2" s="1"/>
  <c r="G51" i="11"/>
  <c r="F51" i="11"/>
  <c r="W49" i="11"/>
  <c r="AE49" i="11" s="1"/>
  <c r="AK48" i="11"/>
  <c r="F33" i="2" s="1"/>
  <c r="AC48" i="11"/>
  <c r="E33" i="2" s="1"/>
  <c r="U48" i="11"/>
  <c r="D33" i="2" s="1"/>
  <c r="G47" i="11"/>
  <c r="F47" i="11"/>
  <c r="W45" i="11"/>
  <c r="AE45" i="11" s="1"/>
  <c r="AK44" i="11"/>
  <c r="F32" i="2" s="1"/>
  <c r="AC44" i="11"/>
  <c r="E32" i="2" s="1"/>
  <c r="U44" i="11"/>
  <c r="D32" i="2" s="1"/>
  <c r="G43" i="11"/>
  <c r="F43" i="11"/>
  <c r="W41" i="11"/>
  <c r="AE41" i="11" s="1"/>
  <c r="AK40" i="11"/>
  <c r="AC40" i="11"/>
  <c r="E31" i="2" s="1"/>
  <c r="U40" i="11"/>
  <c r="D31" i="2" s="1"/>
  <c r="G39" i="11"/>
  <c r="F39" i="11"/>
  <c r="W37" i="11"/>
  <c r="AE37" i="11" s="1"/>
  <c r="AK36" i="11"/>
  <c r="F30" i="2" s="1"/>
  <c r="AC36" i="11"/>
  <c r="E30" i="2" s="1"/>
  <c r="U36" i="11"/>
  <c r="D30" i="2" s="1"/>
  <c r="G35" i="11"/>
  <c r="F35" i="11"/>
  <c r="W33" i="11"/>
  <c r="AE33" i="11" s="1"/>
  <c r="AK32" i="11"/>
  <c r="F29" i="2" s="1"/>
  <c r="AC32" i="11"/>
  <c r="E29" i="2" s="1"/>
  <c r="U32" i="11"/>
  <c r="D29" i="2" s="1"/>
  <c r="G31" i="11"/>
  <c r="F31" i="11"/>
  <c r="W29" i="11"/>
  <c r="AE29" i="11" s="1"/>
  <c r="AK28" i="11"/>
  <c r="F28" i="2" s="1"/>
  <c r="AC28" i="11"/>
  <c r="U28" i="11"/>
  <c r="D28" i="2" s="1"/>
  <c r="G27" i="11"/>
  <c r="F27" i="11"/>
  <c r="W25" i="11"/>
  <c r="AE25" i="11" s="1"/>
  <c r="AK24" i="11"/>
  <c r="F27" i="2" s="1"/>
  <c r="AC24" i="11"/>
  <c r="U24" i="11"/>
  <c r="D27" i="2" s="1"/>
  <c r="G23" i="11"/>
  <c r="F23" i="11"/>
  <c r="W21" i="11"/>
  <c r="AE21" i="11" s="1"/>
  <c r="AK20" i="11"/>
  <c r="F26" i="2" s="1"/>
  <c r="AC20" i="11"/>
  <c r="E26" i="2" s="1"/>
  <c r="U20" i="11"/>
  <c r="D26" i="2" s="1"/>
  <c r="G19" i="11"/>
  <c r="F19" i="11"/>
  <c r="W17" i="11"/>
  <c r="AE17" i="11" s="1"/>
  <c r="AK16" i="11"/>
  <c r="F25" i="2" s="1"/>
  <c r="AC16" i="11"/>
  <c r="E25" i="2" s="1"/>
  <c r="U16" i="11"/>
  <c r="D25" i="2" s="1"/>
  <c r="G15" i="11"/>
  <c r="F15" i="11"/>
  <c r="W13" i="11"/>
  <c r="AE13" i="11" s="1"/>
  <c r="AK12" i="11"/>
  <c r="F24" i="2" s="1"/>
  <c r="AC12" i="11"/>
  <c r="E24" i="2" s="1"/>
  <c r="U12" i="11"/>
  <c r="D24" i="2" s="1"/>
  <c r="G11" i="11"/>
  <c r="F11" i="11"/>
  <c r="AN53" i="10"/>
  <c r="M127" i="2" s="1"/>
  <c r="AE53" i="10"/>
  <c r="L127" i="2" s="1"/>
  <c r="U53" i="10"/>
  <c r="K127" i="2" s="1"/>
  <c r="G52" i="10"/>
  <c r="F52" i="10"/>
  <c r="Y50" i="10"/>
  <c r="AH50" i="10" s="1"/>
  <c r="AN49" i="10"/>
  <c r="M126" i="2" s="1"/>
  <c r="AE49" i="10"/>
  <c r="L126" i="2" s="1"/>
  <c r="U49" i="10"/>
  <c r="K126" i="2" s="1"/>
  <c r="G48" i="10"/>
  <c r="F48" i="10"/>
  <c r="Y46" i="10"/>
  <c r="AH46" i="10" s="1"/>
  <c r="AN45" i="10"/>
  <c r="M125" i="2" s="1"/>
  <c r="AE45" i="10"/>
  <c r="L125" i="2" s="1"/>
  <c r="U45" i="10"/>
  <c r="K125" i="2" s="1"/>
  <c r="G44" i="10"/>
  <c r="F44" i="10"/>
  <c r="Y42" i="10"/>
  <c r="AH42" i="10" s="1"/>
  <c r="AN41" i="10"/>
  <c r="M124" i="2" s="1"/>
  <c r="AE41" i="10"/>
  <c r="L124" i="2" s="1"/>
  <c r="U41" i="10"/>
  <c r="K124" i="2" s="1"/>
  <c r="G40" i="10"/>
  <c r="F40" i="10"/>
  <c r="Y38" i="10"/>
  <c r="AH38" i="10" s="1"/>
  <c r="AN37" i="10"/>
  <c r="M123" i="2" s="1"/>
  <c r="AE37" i="10"/>
  <c r="L123" i="2" s="1"/>
  <c r="U37" i="10"/>
  <c r="K123" i="2" s="1"/>
  <c r="G36" i="10"/>
  <c r="F36" i="10"/>
  <c r="Y34" i="10"/>
  <c r="AH34" i="10" s="1"/>
  <c r="AN33" i="10"/>
  <c r="M122" i="2" s="1"/>
  <c r="AE33" i="10"/>
  <c r="L122" i="2" s="1"/>
  <c r="U33" i="10"/>
  <c r="K122" i="2" s="1"/>
  <c r="G32" i="10"/>
  <c r="F32" i="10"/>
  <c r="Y30" i="10"/>
  <c r="AH30" i="10" s="1"/>
  <c r="AN29" i="10"/>
  <c r="M121" i="2" s="1"/>
  <c r="AE29" i="10"/>
  <c r="L121" i="2" s="1"/>
  <c r="U29" i="10"/>
  <c r="K121" i="2" s="1"/>
  <c r="G28" i="10"/>
  <c r="F28" i="10"/>
  <c r="Y26" i="10"/>
  <c r="AH26" i="10" s="1"/>
  <c r="AN25" i="10"/>
  <c r="M120" i="2" s="1"/>
  <c r="AE25" i="10"/>
  <c r="L120" i="2" s="1"/>
  <c r="U25" i="10"/>
  <c r="K120" i="2" s="1"/>
  <c r="G24" i="10"/>
  <c r="F24" i="10"/>
  <c r="Y22" i="10"/>
  <c r="AH22" i="10" s="1"/>
  <c r="AN21" i="10"/>
  <c r="M119" i="2" s="1"/>
  <c r="AE21" i="10"/>
  <c r="L119" i="2" s="1"/>
  <c r="U21" i="10"/>
  <c r="K119" i="2" s="1"/>
  <c r="G20" i="10"/>
  <c r="F20" i="10"/>
  <c r="Y18" i="10"/>
  <c r="AH18" i="10" s="1"/>
  <c r="AN17" i="10"/>
  <c r="M118" i="2" s="1"/>
  <c r="AE17" i="10"/>
  <c r="U17" i="10"/>
  <c r="K118" i="2" s="1"/>
  <c r="G16" i="10"/>
  <c r="F16" i="10"/>
  <c r="Y14" i="10"/>
  <c r="AH14" i="10" s="1"/>
  <c r="AN13" i="10"/>
  <c r="M117" i="2" s="1"/>
  <c r="AE13" i="10"/>
  <c r="L117" i="2" s="1"/>
  <c r="U13" i="10"/>
  <c r="K117" i="2" s="1"/>
  <c r="G12" i="10"/>
  <c r="F12" i="10"/>
  <c r="AK52" i="9"/>
  <c r="AC52" i="9"/>
  <c r="U52" i="9"/>
  <c r="G51" i="9"/>
  <c r="F51" i="9"/>
  <c r="W49" i="9"/>
  <c r="AE49" i="9" s="1"/>
  <c r="AK48" i="9"/>
  <c r="AC48" i="9"/>
  <c r="U48" i="9"/>
  <c r="G47" i="9"/>
  <c r="F47" i="9"/>
  <c r="W45" i="9"/>
  <c r="AE45" i="9" s="1"/>
  <c r="AK44" i="9"/>
  <c r="AC44" i="9"/>
  <c r="U44" i="9"/>
  <c r="G43" i="9"/>
  <c r="F43" i="9"/>
  <c r="W41" i="9"/>
  <c r="AE41" i="9" s="1"/>
  <c r="AK40" i="9"/>
  <c r="AC40" i="9"/>
  <c r="U40" i="9"/>
  <c r="Y12" i="2" s="1"/>
  <c r="G39" i="9"/>
  <c r="F39" i="9"/>
  <c r="W37" i="9"/>
  <c r="AE37" i="9" s="1"/>
  <c r="AK36" i="9"/>
  <c r="AC36" i="9"/>
  <c r="Z11" i="2" s="1"/>
  <c r="U36" i="9"/>
  <c r="Y11" i="2" s="1"/>
  <c r="G35" i="9"/>
  <c r="F35" i="9"/>
  <c r="W33" i="9"/>
  <c r="AE33" i="9" s="1"/>
  <c r="AK32" i="9"/>
  <c r="AC32" i="9"/>
  <c r="Z10" i="2" s="1"/>
  <c r="U32" i="9"/>
  <c r="Y10" i="2" s="1"/>
  <c r="G31" i="9"/>
  <c r="F31" i="9"/>
  <c r="W29" i="9"/>
  <c r="AE29" i="9" s="1"/>
  <c r="AK28" i="9"/>
  <c r="AC28" i="9"/>
  <c r="U28" i="9"/>
  <c r="Y9" i="2" s="1"/>
  <c r="G27" i="9"/>
  <c r="F27" i="9"/>
  <c r="W25" i="9"/>
  <c r="AE25" i="9" s="1"/>
  <c r="AK24" i="9"/>
  <c r="AC24" i="9"/>
  <c r="Z8" i="2" s="1"/>
  <c r="U24" i="9"/>
  <c r="Y8" i="2" s="1"/>
  <c r="G23" i="9"/>
  <c r="F23" i="9"/>
  <c r="W21" i="9"/>
  <c r="AE21" i="9" s="1"/>
  <c r="AK20" i="9"/>
  <c r="AC20" i="9"/>
  <c r="U20" i="9"/>
  <c r="Y7" i="2" s="1"/>
  <c r="G19" i="9"/>
  <c r="F19" i="9"/>
  <c r="W17" i="9"/>
  <c r="AE17" i="9" s="1"/>
  <c r="AK16" i="9"/>
  <c r="AC16" i="9"/>
  <c r="U16" i="9"/>
  <c r="Y6" i="2" s="1"/>
  <c r="G15" i="9"/>
  <c r="F15" i="9"/>
  <c r="W13" i="9"/>
  <c r="AE13" i="9" s="1"/>
  <c r="AK12" i="9"/>
  <c r="AC12" i="9"/>
  <c r="U12" i="9"/>
  <c r="Y5" i="2" s="1"/>
  <c r="G11" i="9"/>
  <c r="F11" i="9"/>
  <c r="AN52" i="8"/>
  <c r="T127" i="2" s="1"/>
  <c r="AE52" i="8"/>
  <c r="S127" i="2" s="1"/>
  <c r="U52" i="8"/>
  <c r="R127" i="2" s="1"/>
  <c r="G51" i="8"/>
  <c r="F51" i="8"/>
  <c r="Y49" i="8"/>
  <c r="AH49" i="8" s="1"/>
  <c r="AN48" i="8"/>
  <c r="T126" i="2" s="1"/>
  <c r="AE48" i="8"/>
  <c r="S126" i="2" s="1"/>
  <c r="U48" i="8"/>
  <c r="R126" i="2" s="1"/>
  <c r="G47" i="8"/>
  <c r="F47" i="8"/>
  <c r="Y45" i="8"/>
  <c r="AH45" i="8" s="1"/>
  <c r="AN44" i="8"/>
  <c r="T125" i="2" s="1"/>
  <c r="AE44" i="8"/>
  <c r="S125" i="2" s="1"/>
  <c r="U44" i="8"/>
  <c r="R125" i="2" s="1"/>
  <c r="G43" i="8"/>
  <c r="F43" i="8"/>
  <c r="Y41" i="8"/>
  <c r="AH41" i="8" s="1"/>
  <c r="AN40" i="8"/>
  <c r="T124" i="2" s="1"/>
  <c r="AE40" i="8"/>
  <c r="S124" i="2" s="1"/>
  <c r="U40" i="8"/>
  <c r="R124" i="2" s="1"/>
  <c r="G39" i="8"/>
  <c r="F39" i="8"/>
  <c r="Y37" i="8"/>
  <c r="AH37" i="8" s="1"/>
  <c r="AN36" i="8"/>
  <c r="T123" i="2" s="1"/>
  <c r="AE36" i="8"/>
  <c r="S123" i="2" s="1"/>
  <c r="U36" i="8"/>
  <c r="R123" i="2" s="1"/>
  <c r="G35" i="8"/>
  <c r="F35" i="8"/>
  <c r="Y33" i="8"/>
  <c r="AH33" i="8" s="1"/>
  <c r="AN32" i="8"/>
  <c r="T122" i="2" s="1"/>
  <c r="AE32" i="8"/>
  <c r="S122" i="2" s="1"/>
  <c r="U32" i="8"/>
  <c r="R122" i="2" s="1"/>
  <c r="G31" i="8"/>
  <c r="F31" i="8"/>
  <c r="Y29" i="8"/>
  <c r="AH29" i="8" s="1"/>
  <c r="AN28" i="8"/>
  <c r="T121" i="2" s="1"/>
  <c r="AE28" i="8"/>
  <c r="S121" i="2" s="1"/>
  <c r="U28" i="8"/>
  <c r="R121" i="2" s="1"/>
  <c r="G27" i="8"/>
  <c r="F27" i="8"/>
  <c r="Y25" i="8"/>
  <c r="AH25" i="8" s="1"/>
  <c r="AN24" i="8"/>
  <c r="T120" i="2" s="1"/>
  <c r="AE24" i="8"/>
  <c r="S120" i="2" s="1"/>
  <c r="U24" i="8"/>
  <c r="R120" i="2" s="1"/>
  <c r="G23" i="8"/>
  <c r="F23" i="8"/>
  <c r="Y21" i="8"/>
  <c r="AH21" i="8" s="1"/>
  <c r="AN20" i="8"/>
  <c r="T119" i="2" s="1"/>
  <c r="AE20" i="8"/>
  <c r="S119" i="2" s="1"/>
  <c r="U20" i="8"/>
  <c r="R119" i="2" s="1"/>
  <c r="G19" i="8"/>
  <c r="F19" i="8"/>
  <c r="Y17" i="8"/>
  <c r="AH17" i="8" s="1"/>
  <c r="AN16" i="8"/>
  <c r="T118" i="2" s="1"/>
  <c r="AE16" i="8"/>
  <c r="S118" i="2" s="1"/>
  <c r="U16" i="8"/>
  <c r="R118" i="2" s="1"/>
  <c r="G15" i="8"/>
  <c r="F15" i="8"/>
  <c r="Y13" i="8"/>
  <c r="AH13" i="8" s="1"/>
  <c r="AN12" i="8"/>
  <c r="T117" i="2" s="1"/>
  <c r="AE12" i="8"/>
  <c r="S117" i="2" s="1"/>
  <c r="U12" i="8"/>
  <c r="R117" i="2" s="1"/>
  <c r="G11" i="8"/>
  <c r="F11" i="8"/>
  <c r="AN52" i="7"/>
  <c r="F145" i="2" s="1"/>
  <c r="AE52" i="7"/>
  <c r="E145" i="2" s="1"/>
  <c r="U52" i="7"/>
  <c r="D145" i="2" s="1"/>
  <c r="G51" i="7"/>
  <c r="F51" i="7"/>
  <c r="Y49" i="7"/>
  <c r="AH49" i="7" s="1"/>
  <c r="AN48" i="7"/>
  <c r="F144" i="2" s="1"/>
  <c r="AE48" i="7"/>
  <c r="E144" i="2" s="1"/>
  <c r="U48" i="7"/>
  <c r="D144" i="2" s="1"/>
  <c r="G47" i="7"/>
  <c r="F47" i="7"/>
  <c r="Y45" i="7"/>
  <c r="AH45" i="7" s="1"/>
  <c r="AN44" i="7"/>
  <c r="F143" i="2" s="1"/>
  <c r="AE44" i="7"/>
  <c r="E143" i="2" s="1"/>
  <c r="U44" i="7"/>
  <c r="D143" i="2" s="1"/>
  <c r="G43" i="7"/>
  <c r="F43" i="7"/>
  <c r="Y41" i="7"/>
  <c r="AH41" i="7" s="1"/>
  <c r="AN40" i="7"/>
  <c r="F142" i="2" s="1"/>
  <c r="AE40" i="7"/>
  <c r="E142" i="2" s="1"/>
  <c r="U40" i="7"/>
  <c r="D142" i="2" s="1"/>
  <c r="G39" i="7"/>
  <c r="F39" i="7"/>
  <c r="Y37" i="7"/>
  <c r="AH37" i="7" s="1"/>
  <c r="AN36" i="7"/>
  <c r="F141" i="2" s="1"/>
  <c r="AE36" i="7"/>
  <c r="E141" i="2" s="1"/>
  <c r="U36" i="7"/>
  <c r="D141" i="2" s="1"/>
  <c r="G35" i="7"/>
  <c r="F35" i="7"/>
  <c r="Y33" i="7"/>
  <c r="AH33" i="7" s="1"/>
  <c r="AN32" i="7"/>
  <c r="F140" i="2" s="1"/>
  <c r="AE32" i="7"/>
  <c r="E140" i="2" s="1"/>
  <c r="U32" i="7"/>
  <c r="D140" i="2" s="1"/>
  <c r="G31" i="7"/>
  <c r="F31" i="7"/>
  <c r="Y29" i="7"/>
  <c r="AH29" i="7" s="1"/>
  <c r="AN28" i="7"/>
  <c r="F139" i="2" s="1"/>
  <c r="AE28" i="7"/>
  <c r="E139" i="2" s="1"/>
  <c r="U28" i="7"/>
  <c r="D139" i="2" s="1"/>
  <c r="G27" i="7"/>
  <c r="F27" i="7"/>
  <c r="Y25" i="7"/>
  <c r="AH25" i="7" s="1"/>
  <c r="AN24" i="7"/>
  <c r="F138" i="2" s="1"/>
  <c r="AE24" i="7"/>
  <c r="E138" i="2" s="1"/>
  <c r="U24" i="7"/>
  <c r="D138" i="2" s="1"/>
  <c r="G23" i="7"/>
  <c r="F23" i="7"/>
  <c r="Y21" i="7"/>
  <c r="AH21" i="7" s="1"/>
  <c r="AN20" i="7"/>
  <c r="F137" i="2" s="1"/>
  <c r="AE20" i="7"/>
  <c r="E137" i="2" s="1"/>
  <c r="U20" i="7"/>
  <c r="D137" i="2" s="1"/>
  <c r="G19" i="7"/>
  <c r="F19" i="7"/>
  <c r="Y17" i="7"/>
  <c r="AH17" i="7" s="1"/>
  <c r="AN16" i="7"/>
  <c r="F136" i="2" s="1"/>
  <c r="AE16" i="7"/>
  <c r="E136" i="2" s="1"/>
  <c r="U16" i="7"/>
  <c r="D136" i="2" s="1"/>
  <c r="G15" i="7"/>
  <c r="F15" i="7"/>
  <c r="Y13" i="7"/>
  <c r="AH13" i="7" s="1"/>
  <c r="AN12" i="7"/>
  <c r="F135" i="2" s="1"/>
  <c r="AE12" i="7"/>
  <c r="E135" i="2" s="1"/>
  <c r="U12" i="7"/>
  <c r="D135" i="2" s="1"/>
  <c r="G11" i="7"/>
  <c r="F11" i="7"/>
  <c r="AN52" i="6"/>
  <c r="AA127" i="2" s="1"/>
  <c r="AE52" i="6"/>
  <c r="Z127" i="2" s="1"/>
  <c r="U52" i="6"/>
  <c r="Y127" i="2" s="1"/>
  <c r="G51" i="6"/>
  <c r="F51" i="6"/>
  <c r="Y49" i="6"/>
  <c r="AH49" i="6" s="1"/>
  <c r="AN48" i="6"/>
  <c r="AA126" i="2" s="1"/>
  <c r="AE48" i="6"/>
  <c r="Z126" i="2" s="1"/>
  <c r="U48" i="6"/>
  <c r="Y126" i="2" s="1"/>
  <c r="G47" i="6"/>
  <c r="F47" i="6"/>
  <c r="Y45" i="6"/>
  <c r="AH45" i="6" s="1"/>
  <c r="AN44" i="6"/>
  <c r="AA125" i="2" s="1"/>
  <c r="AE44" i="6"/>
  <c r="Z125" i="2" s="1"/>
  <c r="U44" i="6"/>
  <c r="Y125" i="2" s="1"/>
  <c r="G43" i="6"/>
  <c r="F43" i="6"/>
  <c r="Y41" i="6"/>
  <c r="AH41" i="6" s="1"/>
  <c r="AN40" i="6"/>
  <c r="AA124" i="2" s="1"/>
  <c r="AE40" i="6"/>
  <c r="Z124" i="2" s="1"/>
  <c r="U40" i="6"/>
  <c r="Y124" i="2" s="1"/>
  <c r="G39" i="6"/>
  <c r="F39" i="6"/>
  <c r="Y37" i="6"/>
  <c r="AH37" i="6" s="1"/>
  <c r="AN36" i="6"/>
  <c r="AA123" i="2" s="1"/>
  <c r="AE36" i="6"/>
  <c r="Z123" i="2" s="1"/>
  <c r="U36" i="6"/>
  <c r="Y123" i="2" s="1"/>
  <c r="G35" i="6"/>
  <c r="F35" i="6"/>
  <c r="Y33" i="6"/>
  <c r="AH33" i="6" s="1"/>
  <c r="AN32" i="6"/>
  <c r="AA122" i="2" s="1"/>
  <c r="AE32" i="6"/>
  <c r="Z122" i="2" s="1"/>
  <c r="U32" i="6"/>
  <c r="Y122" i="2" s="1"/>
  <c r="G31" i="6"/>
  <c r="F31" i="6"/>
  <c r="Y29" i="6"/>
  <c r="AH29" i="6" s="1"/>
  <c r="AN28" i="6"/>
  <c r="AA121" i="2" s="1"/>
  <c r="AE28" i="6"/>
  <c r="Z121" i="2" s="1"/>
  <c r="U28" i="6"/>
  <c r="Y121" i="2" s="1"/>
  <c r="G27" i="6"/>
  <c r="F27" i="6"/>
  <c r="Y25" i="6"/>
  <c r="AH25" i="6" s="1"/>
  <c r="AN24" i="6"/>
  <c r="AA120" i="2" s="1"/>
  <c r="AE24" i="6"/>
  <c r="Z120" i="2" s="1"/>
  <c r="U24" i="6"/>
  <c r="Y120" i="2" s="1"/>
  <c r="G23" i="6"/>
  <c r="F23" i="6"/>
  <c r="Y21" i="6"/>
  <c r="AH21" i="6" s="1"/>
  <c r="AN20" i="6"/>
  <c r="AA119" i="2" s="1"/>
  <c r="AE20" i="6"/>
  <c r="Z119" i="2" s="1"/>
  <c r="U20" i="6"/>
  <c r="Y119" i="2" s="1"/>
  <c r="G19" i="6"/>
  <c r="F19" i="6"/>
  <c r="Y17" i="6"/>
  <c r="AH17" i="6" s="1"/>
  <c r="AN16" i="6"/>
  <c r="AA118" i="2" s="1"/>
  <c r="AE16" i="6"/>
  <c r="U16" i="6"/>
  <c r="Y118" i="2" s="1"/>
  <c r="G15" i="6"/>
  <c r="F15" i="6"/>
  <c r="Y13" i="6"/>
  <c r="AH13" i="6" s="1"/>
  <c r="AN12" i="6"/>
  <c r="AA117" i="2" s="1"/>
  <c r="AE12" i="6"/>
  <c r="Z117" i="2" s="1"/>
  <c r="U12" i="6"/>
  <c r="Y117" i="2" s="1"/>
  <c r="G11" i="6"/>
  <c r="F11" i="6"/>
  <c r="AN52" i="5"/>
  <c r="M145" i="2" s="1"/>
  <c r="AE52" i="5"/>
  <c r="L145" i="2" s="1"/>
  <c r="U52" i="5"/>
  <c r="K145" i="2" s="1"/>
  <c r="G51" i="5"/>
  <c r="F51" i="5"/>
  <c r="Y49" i="5"/>
  <c r="AH49" i="5" s="1"/>
  <c r="AN48" i="5"/>
  <c r="M144" i="2" s="1"/>
  <c r="AE48" i="5"/>
  <c r="L144" i="2" s="1"/>
  <c r="U48" i="5"/>
  <c r="K144" i="2" s="1"/>
  <c r="G47" i="5"/>
  <c r="F47" i="5"/>
  <c r="Y45" i="5"/>
  <c r="AH45" i="5" s="1"/>
  <c r="AN44" i="5"/>
  <c r="M143" i="2" s="1"/>
  <c r="AE44" i="5"/>
  <c r="L143" i="2" s="1"/>
  <c r="U44" i="5"/>
  <c r="K143" i="2" s="1"/>
  <c r="G43" i="5"/>
  <c r="F43" i="5"/>
  <c r="Y41" i="5"/>
  <c r="AH41" i="5" s="1"/>
  <c r="AN40" i="5"/>
  <c r="M142" i="2" s="1"/>
  <c r="AE40" i="5"/>
  <c r="L142" i="2" s="1"/>
  <c r="U40" i="5"/>
  <c r="K142" i="2" s="1"/>
  <c r="G39" i="5"/>
  <c r="F39" i="5"/>
  <c r="Y37" i="5"/>
  <c r="AH37" i="5" s="1"/>
  <c r="AN36" i="5"/>
  <c r="M141" i="2" s="1"/>
  <c r="AE36" i="5"/>
  <c r="L141" i="2" s="1"/>
  <c r="U36" i="5"/>
  <c r="K141" i="2" s="1"/>
  <c r="G35" i="5"/>
  <c r="F35" i="5"/>
  <c r="Y33" i="5"/>
  <c r="AH33" i="5" s="1"/>
  <c r="AN32" i="5"/>
  <c r="M140" i="2" s="1"/>
  <c r="AE32" i="5"/>
  <c r="L140" i="2" s="1"/>
  <c r="U32" i="5"/>
  <c r="K140" i="2" s="1"/>
  <c r="G31" i="5"/>
  <c r="F31" i="5"/>
  <c r="Y29" i="5"/>
  <c r="AH29" i="5" s="1"/>
  <c r="AN28" i="5"/>
  <c r="M139" i="2" s="1"/>
  <c r="AE28" i="5"/>
  <c r="L139" i="2" s="1"/>
  <c r="U28" i="5"/>
  <c r="K139" i="2" s="1"/>
  <c r="G27" i="5"/>
  <c r="F27" i="5"/>
  <c r="Y25" i="5"/>
  <c r="AH25" i="5" s="1"/>
  <c r="AN24" i="5"/>
  <c r="M138" i="2" s="1"/>
  <c r="AE24" i="5"/>
  <c r="L138" i="2" s="1"/>
  <c r="U24" i="5"/>
  <c r="K138" i="2" s="1"/>
  <c r="G23" i="5"/>
  <c r="F23" i="5"/>
  <c r="Y21" i="5"/>
  <c r="AH21" i="5" s="1"/>
  <c r="AN20" i="5"/>
  <c r="M137" i="2" s="1"/>
  <c r="AE20" i="5"/>
  <c r="L137" i="2" s="1"/>
  <c r="U20" i="5"/>
  <c r="K137" i="2" s="1"/>
  <c r="G19" i="5"/>
  <c r="F19" i="5"/>
  <c r="Y17" i="5"/>
  <c r="AH17" i="5" s="1"/>
  <c r="AN16" i="5"/>
  <c r="M136" i="2" s="1"/>
  <c r="AE16" i="5"/>
  <c r="L136" i="2" s="1"/>
  <c r="U16" i="5"/>
  <c r="K136" i="2" s="1"/>
  <c r="G15" i="5"/>
  <c r="F15" i="5"/>
  <c r="Y13" i="5"/>
  <c r="AH13" i="5" s="1"/>
  <c r="AN12" i="5"/>
  <c r="M135" i="2" s="1"/>
  <c r="AE12" i="5"/>
  <c r="L135" i="2" s="1"/>
  <c r="U12" i="5"/>
  <c r="K135" i="2" s="1"/>
  <c r="G11" i="5"/>
  <c r="F11" i="5"/>
  <c r="AK52" i="4"/>
  <c r="AC52" i="4"/>
  <c r="U52" i="4"/>
  <c r="K15" i="2" s="1"/>
  <c r="G51" i="4"/>
  <c r="F51" i="4"/>
  <c r="W49" i="4"/>
  <c r="AE49" i="4" s="1"/>
  <c r="AK48" i="4"/>
  <c r="M14" i="2" s="1"/>
  <c r="AC48" i="4"/>
  <c r="L14" i="2" s="1"/>
  <c r="U48" i="4"/>
  <c r="K14" i="2" s="1"/>
  <c r="G47" i="4"/>
  <c r="F47" i="4"/>
  <c r="W45" i="4"/>
  <c r="AE45" i="4" s="1"/>
  <c r="AK44" i="4"/>
  <c r="M13" i="2" s="1"/>
  <c r="AC44" i="4"/>
  <c r="L13" i="2" s="1"/>
  <c r="U44" i="4"/>
  <c r="K13" i="2" s="1"/>
  <c r="G43" i="4"/>
  <c r="F43" i="4"/>
  <c r="W41" i="4"/>
  <c r="AE41" i="4" s="1"/>
  <c r="AK40" i="4"/>
  <c r="M12" i="2" s="1"/>
  <c r="AC40" i="4"/>
  <c r="L12" i="2" s="1"/>
  <c r="U40" i="4"/>
  <c r="K12" i="2" s="1"/>
  <c r="G39" i="4"/>
  <c r="F39" i="4"/>
  <c r="W37" i="4"/>
  <c r="AE37" i="4" s="1"/>
  <c r="AK36" i="4"/>
  <c r="M11" i="2" s="1"/>
  <c r="AC36" i="4"/>
  <c r="L11" i="2" s="1"/>
  <c r="U36" i="4"/>
  <c r="K11" i="2" s="1"/>
  <c r="G35" i="4"/>
  <c r="F35" i="4"/>
  <c r="W33" i="4"/>
  <c r="AE33" i="4" s="1"/>
  <c r="AK32" i="4"/>
  <c r="M10" i="2" s="1"/>
  <c r="AC32" i="4"/>
  <c r="L10" i="2" s="1"/>
  <c r="U32" i="4"/>
  <c r="K10" i="2" s="1"/>
  <c r="G31" i="4"/>
  <c r="F31" i="4"/>
  <c r="W29" i="4"/>
  <c r="AE29" i="4" s="1"/>
  <c r="AK28" i="4"/>
  <c r="AC28" i="4"/>
  <c r="L9" i="2" s="1"/>
  <c r="U28" i="4"/>
  <c r="K9" i="2" s="1"/>
  <c r="G27" i="4"/>
  <c r="F27" i="4"/>
  <c r="W25" i="4"/>
  <c r="AE25" i="4" s="1"/>
  <c r="AK24" i="4"/>
  <c r="M8" i="2" s="1"/>
  <c r="AC24" i="4"/>
  <c r="L8" i="2" s="1"/>
  <c r="U24" i="4"/>
  <c r="K8" i="2" s="1"/>
  <c r="G23" i="4"/>
  <c r="F23" i="4"/>
  <c r="W21" i="4"/>
  <c r="AE21" i="4" s="1"/>
  <c r="AK20" i="4"/>
  <c r="M7" i="2" s="1"/>
  <c r="AC20" i="4"/>
  <c r="L7" i="2" s="1"/>
  <c r="U20" i="4"/>
  <c r="K7" i="2" s="1"/>
  <c r="G19" i="4"/>
  <c r="F19" i="4"/>
  <c r="W17" i="4"/>
  <c r="AE17" i="4" s="1"/>
  <c r="AK16" i="4"/>
  <c r="M6" i="2" s="1"/>
  <c r="AC16" i="4"/>
  <c r="L6" i="2" s="1"/>
  <c r="U16" i="4"/>
  <c r="K6" i="2" s="1"/>
  <c r="G15" i="4"/>
  <c r="F15" i="4"/>
  <c r="W13" i="4"/>
  <c r="AE13" i="4" s="1"/>
  <c r="AK12" i="4"/>
  <c r="M5" i="2" s="1"/>
  <c r="AC12" i="4"/>
  <c r="L5" i="2" s="1"/>
  <c r="U12" i="4"/>
  <c r="K5" i="2" s="1"/>
  <c r="G11" i="4"/>
  <c r="F11" i="4"/>
  <c r="AK53" i="1"/>
  <c r="F15" i="2" s="1"/>
  <c r="AK49" i="1"/>
  <c r="F14" i="2" s="1"/>
  <c r="AK45" i="1"/>
  <c r="F13" i="2" s="1"/>
  <c r="AK41" i="1"/>
  <c r="F12" i="2" s="1"/>
  <c r="AK37" i="1"/>
  <c r="F11" i="2" s="1"/>
  <c r="AK33" i="1"/>
  <c r="F10" i="2" s="1"/>
  <c r="AK29" i="1"/>
  <c r="M9" i="2" s="1"/>
  <c r="AK25" i="1"/>
  <c r="F8" i="2" s="1"/>
  <c r="AK21" i="1"/>
  <c r="F7" i="2" s="1"/>
  <c r="AK17" i="1"/>
  <c r="F6" i="2" s="1"/>
  <c r="AK13" i="1"/>
  <c r="F5" i="2" s="1"/>
  <c r="W14" i="1"/>
  <c r="AE14" i="1" s="1"/>
  <c r="W18" i="1"/>
  <c r="AE18" i="1" s="1"/>
  <c r="W22" i="1"/>
  <c r="AE22" i="1" s="1"/>
  <c r="W26" i="1"/>
  <c r="AE26" i="1" s="1"/>
  <c r="W30" i="1"/>
  <c r="AE30" i="1" s="1"/>
  <c r="W34" i="1"/>
  <c r="AE34" i="1" s="1"/>
  <c r="W38" i="1"/>
  <c r="AE38" i="1" s="1"/>
  <c r="W42" i="1"/>
  <c r="AE42" i="1" s="1"/>
  <c r="W46" i="1"/>
  <c r="AE46" i="1" s="1"/>
  <c r="W50" i="1"/>
  <c r="AE50" i="1" s="1"/>
  <c r="AC53" i="1"/>
  <c r="E15" i="2" s="1"/>
  <c r="AC49" i="1"/>
  <c r="E14" i="2" s="1"/>
  <c r="AC45" i="1"/>
  <c r="E13" i="2" s="1"/>
  <c r="AC41" i="1"/>
  <c r="E12" i="2" s="1"/>
  <c r="AC37" i="1"/>
  <c r="E11" i="2" s="1"/>
  <c r="AC33" i="1"/>
  <c r="E10" i="2" s="1"/>
  <c r="AC29" i="1"/>
  <c r="E9" i="2" s="1"/>
  <c r="AC25" i="1"/>
  <c r="E8" i="2" s="1"/>
  <c r="AC21" i="1"/>
  <c r="E7" i="2" s="1"/>
  <c r="AC17" i="1"/>
  <c r="E6" i="2" s="1"/>
  <c r="AC13" i="1"/>
  <c r="E5" i="2" s="1"/>
  <c r="U49" i="1"/>
  <c r="D14" i="2" s="1"/>
  <c r="U45" i="1"/>
  <c r="D13" i="2" s="1"/>
  <c r="U41" i="1"/>
  <c r="D12" i="2" s="1"/>
  <c r="U37" i="1"/>
  <c r="D11" i="2" s="1"/>
  <c r="U33" i="1"/>
  <c r="D10" i="2" s="1"/>
  <c r="U29" i="1"/>
  <c r="D9" i="2" s="1"/>
  <c r="U25" i="1"/>
  <c r="D8" i="2" s="1"/>
  <c r="U21" i="1"/>
  <c r="D7" i="2" s="1"/>
  <c r="U17" i="1"/>
  <c r="D6" i="2" s="1"/>
  <c r="U13" i="1"/>
  <c r="D5" i="2" s="1"/>
  <c r="U53" i="1"/>
  <c r="D15" i="2" s="1"/>
  <c r="H23" i="4" l="1"/>
  <c r="I8" i="2" s="1"/>
  <c r="J8" i="2" s="1"/>
  <c r="J6" i="3"/>
  <c r="H11" i="7"/>
  <c r="B135" i="2" s="1"/>
  <c r="C135" i="2" s="1"/>
  <c r="H35" i="7"/>
  <c r="B141" i="2" s="1"/>
  <c r="C141" i="2" s="1"/>
  <c r="P85" i="2"/>
  <c r="Q85" i="2" s="1"/>
  <c r="H23" i="25"/>
  <c r="B65" i="2" s="1"/>
  <c r="C65" i="2" s="1"/>
  <c r="H39" i="25"/>
  <c r="B69" i="2" s="1"/>
  <c r="C69" i="2" s="1"/>
  <c r="H43" i="7"/>
  <c r="B143" i="2" s="1"/>
  <c r="C143" i="2" s="1"/>
  <c r="F6" i="3"/>
  <c r="S27" i="2"/>
  <c r="S28" i="2"/>
  <c r="E27" i="2"/>
  <c r="E28" i="2"/>
  <c r="F74" i="2"/>
  <c r="H20" i="10"/>
  <c r="I119" i="2" s="1"/>
  <c r="J119" i="2" s="1"/>
  <c r="H36" i="10"/>
  <c r="I123" i="2" s="1"/>
  <c r="J123" i="2" s="1"/>
  <c r="H52" i="10"/>
  <c r="I127" i="2" s="1"/>
  <c r="J127" i="2" s="1"/>
  <c r="H11" i="14"/>
  <c r="W99" i="2" s="1"/>
  <c r="X99" i="2" s="1"/>
  <c r="H27" i="14"/>
  <c r="W103" i="2" s="1"/>
  <c r="X103" i="2" s="1"/>
  <c r="H43" i="14"/>
  <c r="W107" i="2" s="1"/>
  <c r="X107" i="2" s="1"/>
  <c r="H19" i="5"/>
  <c r="I137" i="2" s="1"/>
  <c r="J137" i="2" s="1"/>
  <c r="H51" i="5"/>
  <c r="I145" i="2" s="1"/>
  <c r="J145" i="2" s="1"/>
  <c r="H11" i="25"/>
  <c r="B62" i="2" s="1"/>
  <c r="C62" i="2" s="1"/>
  <c r="H27" i="25"/>
  <c r="B66" i="2" s="1"/>
  <c r="C66" i="2" s="1"/>
  <c r="H43" i="25"/>
  <c r="B70" i="2" s="1"/>
  <c r="C70" i="2" s="1"/>
  <c r="H21" i="15"/>
  <c r="P100" i="2" s="1"/>
  <c r="Q100" i="2" s="1"/>
  <c r="H23" i="28"/>
  <c r="I46" i="2" s="1"/>
  <c r="J46" i="2" s="1"/>
  <c r="H39" i="28"/>
  <c r="I50" i="2" s="1"/>
  <c r="J50" i="2" s="1"/>
  <c r="H43" i="30"/>
  <c r="W32" i="2" s="1"/>
  <c r="X32" i="2" s="1"/>
  <c r="H51" i="23"/>
  <c r="P72" i="2" s="1"/>
  <c r="Q72" i="2" s="1"/>
  <c r="H24" i="10"/>
  <c r="I120" i="2" s="1"/>
  <c r="J120" i="2" s="1"/>
  <c r="H40" i="10"/>
  <c r="I124" i="2" s="1"/>
  <c r="J124" i="2" s="1"/>
  <c r="H48" i="18"/>
  <c r="W90" i="2" s="1"/>
  <c r="X90" i="2" s="1"/>
  <c r="H11" i="28"/>
  <c r="I43" i="2" s="1"/>
  <c r="J43" i="2" s="1"/>
  <c r="H27" i="28"/>
  <c r="I47" i="2" s="1"/>
  <c r="J47" i="2" s="1"/>
  <c r="H31" i="30"/>
  <c r="W29" i="2" s="1"/>
  <c r="X29" i="2" s="1"/>
  <c r="E6" i="3"/>
  <c r="H47" i="32"/>
  <c r="I33" i="2" s="1"/>
  <c r="J33" i="2" s="1"/>
  <c r="H27" i="5"/>
  <c r="I139" i="2" s="1"/>
  <c r="J139" i="2" s="1"/>
  <c r="H35" i="5"/>
  <c r="I141" i="2" s="1"/>
  <c r="J141" i="2" s="1"/>
  <c r="H43" i="5"/>
  <c r="I143" i="2" s="1"/>
  <c r="J143" i="2" s="1"/>
  <c r="H27" i="7"/>
  <c r="B139" i="2" s="1"/>
  <c r="C139" i="2" s="1"/>
  <c r="H51" i="7"/>
  <c r="B145" i="2" s="1"/>
  <c r="C145" i="2" s="1"/>
  <c r="H19" i="9"/>
  <c r="W7" i="2" s="1"/>
  <c r="X7" i="2" s="1"/>
  <c r="H23" i="9"/>
  <c r="W8" i="2" s="1"/>
  <c r="X8" i="2" s="1"/>
  <c r="H27" i="9"/>
  <c r="W9" i="2" s="1"/>
  <c r="X9" i="2" s="1"/>
  <c r="H51" i="9"/>
  <c r="W15" i="2" s="1"/>
  <c r="X15" i="2" s="1"/>
  <c r="H16" i="10"/>
  <c r="I118" i="2" s="1"/>
  <c r="J118" i="2" s="1"/>
  <c r="H32" i="10"/>
  <c r="I122" i="2" s="1"/>
  <c r="J122" i="2" s="1"/>
  <c r="H48" i="10"/>
  <c r="I126" i="2" s="1"/>
  <c r="J126" i="2" s="1"/>
  <c r="H31" i="11"/>
  <c r="B29" i="2" s="1"/>
  <c r="C29" i="2" s="1"/>
  <c r="H43" i="11"/>
  <c r="B32" i="2" s="1"/>
  <c r="C32" i="2" s="1"/>
  <c r="H47" i="11"/>
  <c r="B33" i="2" s="1"/>
  <c r="C33" i="2" s="1"/>
  <c r="H51" i="11"/>
  <c r="B34" i="2" s="1"/>
  <c r="C34" i="2" s="1"/>
  <c r="H15" i="13"/>
  <c r="P6" i="2" s="1"/>
  <c r="Q6" i="2" s="1"/>
  <c r="H19" i="13"/>
  <c r="P7" i="2" s="1"/>
  <c r="Q7" i="2" s="1"/>
  <c r="H23" i="13"/>
  <c r="P8" i="2" s="1"/>
  <c r="Q8" i="2" s="1"/>
  <c r="H31" i="13"/>
  <c r="P10" i="2" s="1"/>
  <c r="Q10" i="2" s="1"/>
  <c r="H35" i="13"/>
  <c r="P12" i="2" s="1"/>
  <c r="Q12" i="2" s="1"/>
  <c r="H39" i="13"/>
  <c r="P13" i="2" s="1"/>
  <c r="Q13" i="2" s="1"/>
  <c r="H47" i="13"/>
  <c r="P15" i="2" s="1"/>
  <c r="Q15" i="2" s="1"/>
  <c r="H51" i="13"/>
  <c r="H53" i="15"/>
  <c r="P109" i="2" s="1"/>
  <c r="Q109" i="2" s="1"/>
  <c r="H35" i="17"/>
  <c r="B105" i="2" s="1"/>
  <c r="C105" i="2" s="1"/>
  <c r="H16" i="18"/>
  <c r="W82" i="2" s="1"/>
  <c r="X82" i="2" s="1"/>
  <c r="H44" i="21"/>
  <c r="B89" i="2" s="1"/>
  <c r="C89" i="2" s="1"/>
  <c r="F93" i="2"/>
  <c r="H11" i="22"/>
  <c r="W62" i="2" s="1"/>
  <c r="X62" i="2" s="1"/>
  <c r="H15" i="22"/>
  <c r="W63" i="2" s="1"/>
  <c r="X63" i="2" s="1"/>
  <c r="H19" i="22"/>
  <c r="W64" i="2" s="1"/>
  <c r="X64" i="2" s="1"/>
  <c r="H23" i="22"/>
  <c r="W65" i="2" s="1"/>
  <c r="X65" i="2" s="1"/>
  <c r="H27" i="22"/>
  <c r="W66" i="2" s="1"/>
  <c r="X66" i="2" s="1"/>
  <c r="H31" i="22"/>
  <c r="W67" i="2" s="1"/>
  <c r="X67" i="2" s="1"/>
  <c r="H35" i="22"/>
  <c r="W68" i="2" s="1"/>
  <c r="X68" i="2" s="1"/>
  <c r="H39" i="22"/>
  <c r="W69" i="2" s="1"/>
  <c r="X69" i="2" s="1"/>
  <c r="H43" i="22"/>
  <c r="W70" i="2" s="1"/>
  <c r="X70" i="2" s="1"/>
  <c r="H51" i="22"/>
  <c r="W72" i="2" s="1"/>
  <c r="X72" i="2" s="1"/>
  <c r="H15" i="23"/>
  <c r="P63" i="2" s="1"/>
  <c r="Q63" i="2" s="1"/>
  <c r="H23" i="23"/>
  <c r="P65" i="2" s="1"/>
  <c r="Q65" i="2" s="1"/>
  <c r="H27" i="23"/>
  <c r="P66" i="2" s="1"/>
  <c r="Q66" i="2" s="1"/>
  <c r="H31" i="23"/>
  <c r="P67" i="2" s="1"/>
  <c r="Q67" i="2" s="1"/>
  <c r="H19" i="27"/>
  <c r="P45" i="2" s="1"/>
  <c r="Q45" i="2" s="1"/>
  <c r="H23" i="27"/>
  <c r="P46" i="2" s="1"/>
  <c r="Q46" i="2" s="1"/>
  <c r="H31" i="27"/>
  <c r="P48" i="2" s="1"/>
  <c r="Q48" i="2" s="1"/>
  <c r="H51" i="27"/>
  <c r="P53" i="2" s="1"/>
  <c r="Q53" i="2" s="1"/>
  <c r="H35" i="31"/>
  <c r="P30" i="2" s="1"/>
  <c r="Q30" i="2" s="1"/>
  <c r="H15" i="32"/>
  <c r="I25" i="2" s="1"/>
  <c r="J25" i="2" s="1"/>
  <c r="S17" i="2"/>
  <c r="H15" i="4"/>
  <c r="I6" i="2" s="1"/>
  <c r="J6" i="2" s="1"/>
  <c r="H35" i="4"/>
  <c r="I11" i="2" s="1"/>
  <c r="J11" i="2" s="1"/>
  <c r="H19" i="4"/>
  <c r="I7" i="2" s="1"/>
  <c r="J7" i="2" s="1"/>
  <c r="H31" i="4"/>
  <c r="I10" i="2" s="1"/>
  <c r="J10" i="2" s="1"/>
  <c r="H51" i="4"/>
  <c r="I15" i="2" s="1"/>
  <c r="J15" i="2" s="1"/>
  <c r="H47" i="4"/>
  <c r="I14" i="2" s="1"/>
  <c r="J14" i="2" s="1"/>
  <c r="H11" i="9"/>
  <c r="W5" i="2" s="1"/>
  <c r="X5" i="2" s="1"/>
  <c r="R17" i="2"/>
  <c r="AA82" i="2"/>
  <c r="Z82" i="2"/>
  <c r="T129" i="2"/>
  <c r="L6" i="3"/>
  <c r="H27" i="13"/>
  <c r="P9" i="2" s="1"/>
  <c r="Q9" i="2" s="1"/>
  <c r="H43" i="13"/>
  <c r="P14" i="2" s="1"/>
  <c r="Q14" i="2" s="1"/>
  <c r="S89" i="2"/>
  <c r="T89" i="2"/>
  <c r="K111" i="2"/>
  <c r="AA86" i="2"/>
  <c r="Z86" i="2"/>
  <c r="M6" i="3"/>
  <c r="D6" i="3"/>
  <c r="T83" i="2"/>
  <c r="S83" i="2"/>
  <c r="G6" i="3"/>
  <c r="H11" i="4"/>
  <c r="I5" i="2" s="1"/>
  <c r="J5" i="2" s="1"/>
  <c r="H43" i="4"/>
  <c r="I13" i="2" s="1"/>
  <c r="J13" i="2" s="1"/>
  <c r="H19" i="7"/>
  <c r="B137" i="2" s="1"/>
  <c r="C137" i="2" s="1"/>
  <c r="AA90" i="2"/>
  <c r="Z90" i="2"/>
  <c r="K147" i="2"/>
  <c r="H6" i="3"/>
  <c r="H39" i="4"/>
  <c r="I12" i="2" s="1"/>
  <c r="J12" i="2" s="1"/>
  <c r="H15" i="9"/>
  <c r="W6" i="2" s="1"/>
  <c r="X6" i="2" s="1"/>
  <c r="F55" i="2"/>
  <c r="AA88" i="2"/>
  <c r="Z88" i="2"/>
  <c r="S81" i="2"/>
  <c r="T81" i="2"/>
  <c r="T17" i="2"/>
  <c r="T91" i="2"/>
  <c r="S91" i="2"/>
  <c r="C6" i="3"/>
  <c r="K6" i="3"/>
  <c r="H27" i="4"/>
  <c r="I9" i="2" s="1"/>
  <c r="J9" i="2" s="1"/>
  <c r="S85" i="2"/>
  <c r="T85" i="2"/>
  <c r="E74" i="2"/>
  <c r="Z84" i="2"/>
  <c r="AA84" i="2"/>
  <c r="E93" i="2"/>
  <c r="H47" i="22"/>
  <c r="W71" i="2" s="1"/>
  <c r="X71" i="2" s="1"/>
  <c r="H35" i="23"/>
  <c r="P68" i="2" s="1"/>
  <c r="Q68" i="2" s="1"/>
  <c r="H39" i="27"/>
  <c r="P50" i="2" s="1"/>
  <c r="Q50" i="2" s="1"/>
  <c r="H15" i="28"/>
  <c r="I44" i="2" s="1"/>
  <c r="J44" i="2" s="1"/>
  <c r="H31" i="28"/>
  <c r="I48" i="2" s="1"/>
  <c r="J48" i="2" s="1"/>
  <c r="H35" i="30"/>
  <c r="W30" i="2" s="1"/>
  <c r="X30" i="2" s="1"/>
  <c r="M82" i="2"/>
  <c r="H12" i="10"/>
  <c r="I117" i="2" s="1"/>
  <c r="J117" i="2" s="1"/>
  <c r="H44" i="10"/>
  <c r="I125" i="2" s="1"/>
  <c r="J125" i="2" s="1"/>
  <c r="H23" i="14"/>
  <c r="W102" i="2" s="1"/>
  <c r="X102" i="2" s="1"/>
  <c r="H39" i="14"/>
  <c r="W106" i="2" s="1"/>
  <c r="X106" i="2" s="1"/>
  <c r="H13" i="15"/>
  <c r="P99" i="2" s="1"/>
  <c r="Q99" i="2" s="1"/>
  <c r="H45" i="15"/>
  <c r="P107" i="2" s="1"/>
  <c r="Q107" i="2" s="1"/>
  <c r="H19" i="16"/>
  <c r="I101" i="2" s="1"/>
  <c r="J101" i="2" s="1"/>
  <c r="H35" i="16"/>
  <c r="I105" i="2" s="1"/>
  <c r="J105" i="2" s="1"/>
  <c r="H51" i="16"/>
  <c r="I109" i="2" s="1"/>
  <c r="J109" i="2" s="1"/>
  <c r="H27" i="17"/>
  <c r="B103" i="2" s="1"/>
  <c r="C103" i="2" s="1"/>
  <c r="Z83" i="2"/>
  <c r="AA83" i="2"/>
  <c r="H40" i="18"/>
  <c r="W88" i="2" s="1"/>
  <c r="X88" i="2" s="1"/>
  <c r="Z91" i="2"/>
  <c r="AA91" i="2"/>
  <c r="P83" i="2"/>
  <c r="Q83" i="2" s="1"/>
  <c r="T86" i="2"/>
  <c r="H12" i="3" s="1"/>
  <c r="S86" i="2"/>
  <c r="H10" i="3" s="1"/>
  <c r="P91" i="2"/>
  <c r="Q91" i="2" s="1"/>
  <c r="L81" i="2"/>
  <c r="M81" i="2"/>
  <c r="C12" i="3" s="1"/>
  <c r="H23" i="20"/>
  <c r="I84" i="2" s="1"/>
  <c r="J84" i="2" s="1"/>
  <c r="L85" i="2"/>
  <c r="M85" i="2"/>
  <c r="H39" i="20"/>
  <c r="I88" i="2" s="1"/>
  <c r="J88" i="2" s="1"/>
  <c r="M89" i="2"/>
  <c r="L89" i="2"/>
  <c r="H36" i="21"/>
  <c r="B87" i="2" s="1"/>
  <c r="C87" i="2" s="1"/>
  <c r="H47" i="23"/>
  <c r="P71" i="2" s="1"/>
  <c r="Q71" i="2" s="1"/>
  <c r="H19" i="25"/>
  <c r="B64" i="2" s="1"/>
  <c r="C64" i="2" s="1"/>
  <c r="H35" i="25"/>
  <c r="B68" i="2" s="1"/>
  <c r="C68" i="2" s="1"/>
  <c r="H51" i="25"/>
  <c r="B72" i="2" s="1"/>
  <c r="C72" i="2" s="1"/>
  <c r="H35" i="27"/>
  <c r="P49" i="2" s="1"/>
  <c r="Q49" i="2" s="1"/>
  <c r="H27" i="31"/>
  <c r="P28" i="2" s="1"/>
  <c r="Q28" i="2" s="1"/>
  <c r="H39" i="32"/>
  <c r="I31" i="2" s="1"/>
  <c r="J31" i="2" s="1"/>
  <c r="M86" i="2"/>
  <c r="M90" i="2"/>
  <c r="H19" i="14"/>
  <c r="W101" i="2" s="1"/>
  <c r="X101" i="2" s="1"/>
  <c r="H35" i="14"/>
  <c r="W105" i="2" s="1"/>
  <c r="X105" i="2" s="1"/>
  <c r="H37" i="15"/>
  <c r="P105" i="2" s="1"/>
  <c r="Q105" i="2" s="1"/>
  <c r="H15" i="16"/>
  <c r="I100" i="2" s="1"/>
  <c r="J100" i="2" s="1"/>
  <c r="H31" i="16"/>
  <c r="I104" i="2" s="1"/>
  <c r="J104" i="2" s="1"/>
  <c r="H47" i="16"/>
  <c r="I108" i="2" s="1"/>
  <c r="J108" i="2" s="1"/>
  <c r="H19" i="17"/>
  <c r="B101" i="2" s="1"/>
  <c r="C101" i="2" s="1"/>
  <c r="H51" i="17"/>
  <c r="B109" i="2" s="1"/>
  <c r="C109" i="2" s="1"/>
  <c r="H32" i="18"/>
  <c r="W86" i="2" s="1"/>
  <c r="X86" i="2" s="1"/>
  <c r="AA89" i="2"/>
  <c r="Z89" i="2"/>
  <c r="P81" i="2"/>
  <c r="Q81" i="2" s="1"/>
  <c r="S84" i="2"/>
  <c r="T84" i="2"/>
  <c r="P89" i="2"/>
  <c r="Q89" i="2" s="1"/>
  <c r="H19" i="20"/>
  <c r="I83" i="2" s="1"/>
  <c r="J83" i="2" s="1"/>
  <c r="H35" i="20"/>
  <c r="I87" i="2" s="1"/>
  <c r="J87" i="2" s="1"/>
  <c r="H51" i="20"/>
  <c r="I91" i="2" s="1"/>
  <c r="J91" i="2" s="1"/>
  <c r="H28" i="21"/>
  <c r="B85" i="2" s="1"/>
  <c r="C85" i="2" s="1"/>
  <c r="H43" i="23"/>
  <c r="P70" i="2" s="1"/>
  <c r="Q70" i="2" s="1"/>
  <c r="H15" i="25"/>
  <c r="B63" i="2" s="1"/>
  <c r="C63" i="2" s="1"/>
  <c r="H31" i="25"/>
  <c r="B67" i="2" s="1"/>
  <c r="C67" i="2" s="1"/>
  <c r="H47" i="25"/>
  <c r="B71" i="2" s="1"/>
  <c r="C71" i="2" s="1"/>
  <c r="H27" i="27"/>
  <c r="P47" i="2" s="1"/>
  <c r="Q47" i="2" s="1"/>
  <c r="H19" i="31"/>
  <c r="P26" i="2" s="1"/>
  <c r="Q26" i="2" s="1"/>
  <c r="H51" i="31"/>
  <c r="P34" i="2" s="1"/>
  <c r="Q34" i="2" s="1"/>
  <c r="H31" i="32"/>
  <c r="I29" i="2" s="1"/>
  <c r="J29" i="2" s="1"/>
  <c r="Z81" i="2"/>
  <c r="H28" i="10"/>
  <c r="I121" i="2" s="1"/>
  <c r="J121" i="2" s="1"/>
  <c r="H12" i="12"/>
  <c r="B117" i="2" s="1"/>
  <c r="C117" i="2" s="1"/>
  <c r="H15" i="14"/>
  <c r="W100" i="2" s="1"/>
  <c r="X100" i="2" s="1"/>
  <c r="H31" i="14"/>
  <c r="W104" i="2" s="1"/>
  <c r="X104" i="2" s="1"/>
  <c r="H47" i="14"/>
  <c r="W108" i="2" s="1"/>
  <c r="X108" i="2" s="1"/>
  <c r="H29" i="15"/>
  <c r="P104" i="2" s="1"/>
  <c r="Q104" i="2" s="1"/>
  <c r="H11" i="16"/>
  <c r="I99" i="2" s="1"/>
  <c r="J99" i="2" s="1"/>
  <c r="H27" i="16"/>
  <c r="I103" i="2" s="1"/>
  <c r="J103" i="2" s="1"/>
  <c r="H43" i="16"/>
  <c r="I107" i="2" s="1"/>
  <c r="J107" i="2" s="1"/>
  <c r="H11" i="17"/>
  <c r="B99" i="2" s="1"/>
  <c r="C99" i="2" s="1"/>
  <c r="H43" i="17"/>
  <c r="B107" i="2" s="1"/>
  <c r="C107" i="2" s="1"/>
  <c r="H24" i="18"/>
  <c r="W84" i="2" s="1"/>
  <c r="X84" i="2" s="1"/>
  <c r="AA87" i="2"/>
  <c r="Z87" i="2"/>
  <c r="T82" i="2"/>
  <c r="S82" i="2"/>
  <c r="D10" i="3" s="1"/>
  <c r="P87" i="2"/>
  <c r="Q87" i="2" s="1"/>
  <c r="T90" i="2"/>
  <c r="S90" i="2"/>
  <c r="L10" i="3" s="1"/>
  <c r="H15" i="20"/>
  <c r="I82" i="2" s="1"/>
  <c r="J82" i="2" s="1"/>
  <c r="H31" i="20"/>
  <c r="I86" i="2" s="1"/>
  <c r="J86" i="2" s="1"/>
  <c r="M87" i="2"/>
  <c r="L87" i="2"/>
  <c r="H47" i="20"/>
  <c r="I90" i="2" s="1"/>
  <c r="J90" i="2" s="1"/>
  <c r="M91" i="2"/>
  <c r="L91" i="2"/>
  <c r="H20" i="21"/>
  <c r="B83" i="2" s="1"/>
  <c r="C83" i="2" s="1"/>
  <c r="H52" i="21"/>
  <c r="B91" i="2" s="1"/>
  <c r="C91" i="2" s="1"/>
  <c r="H39" i="23"/>
  <c r="P69" i="2" s="1"/>
  <c r="Q69" i="2" s="1"/>
  <c r="H11" i="31"/>
  <c r="P24" i="2" s="1"/>
  <c r="Q24" i="2" s="1"/>
  <c r="H43" i="31"/>
  <c r="P32" i="2" s="1"/>
  <c r="Q32" i="2" s="1"/>
  <c r="H23" i="32"/>
  <c r="I27" i="2" s="1"/>
  <c r="J27" i="2" s="1"/>
  <c r="H19" i="28"/>
  <c r="I45" i="2" s="1"/>
  <c r="J45" i="2" s="1"/>
  <c r="H35" i="28"/>
  <c r="I49" i="2" s="1"/>
  <c r="J49" i="2" s="1"/>
  <c r="H39" i="30"/>
  <c r="W31" i="2" s="1"/>
  <c r="X31" i="2" s="1"/>
  <c r="L84" i="2"/>
  <c r="H23" i="16"/>
  <c r="I102" i="2" s="1"/>
  <c r="J102" i="2" s="1"/>
  <c r="H39" i="16"/>
  <c r="I106" i="2" s="1"/>
  <c r="J106" i="2" s="1"/>
  <c r="AA85" i="2"/>
  <c r="Z85" i="2"/>
  <c r="T88" i="2"/>
  <c r="S88" i="2"/>
  <c r="H11" i="20"/>
  <c r="I81" i="2" s="1"/>
  <c r="J81" i="2" s="1"/>
  <c r="H27" i="20"/>
  <c r="I85" i="2" s="1"/>
  <c r="J85" i="2" s="1"/>
  <c r="H43" i="20"/>
  <c r="I89" i="2" s="1"/>
  <c r="J89" i="2" s="1"/>
  <c r="L88" i="2"/>
  <c r="J10" i="3" s="1"/>
  <c r="S87" i="2"/>
  <c r="H11" i="11"/>
  <c r="B24" i="2" s="1"/>
  <c r="C24" i="2" s="1"/>
  <c r="H47" i="5"/>
  <c r="I144" i="2" s="1"/>
  <c r="J144" i="2" s="1"/>
  <c r="H39" i="5"/>
  <c r="I142" i="2" s="1"/>
  <c r="J142" i="2" s="1"/>
  <c r="H31" i="5"/>
  <c r="I140" i="2" s="1"/>
  <c r="J140" i="2" s="1"/>
  <c r="H23" i="5"/>
  <c r="I138" i="2" s="1"/>
  <c r="J138" i="2" s="1"/>
  <c r="H15" i="5"/>
  <c r="I136" i="2" s="1"/>
  <c r="J136" i="2" s="1"/>
  <c r="H11" i="5"/>
  <c r="I135" i="2" s="1"/>
  <c r="J135" i="2" s="1"/>
  <c r="H47" i="7"/>
  <c r="B144" i="2" s="1"/>
  <c r="C144" i="2" s="1"/>
  <c r="H39" i="7"/>
  <c r="B142" i="2" s="1"/>
  <c r="C142" i="2" s="1"/>
  <c r="H31" i="7"/>
  <c r="B140" i="2" s="1"/>
  <c r="C140" i="2" s="1"/>
  <c r="H23" i="7"/>
  <c r="B138" i="2" s="1"/>
  <c r="C138" i="2" s="1"/>
  <c r="H15" i="7"/>
  <c r="B136" i="2" s="1"/>
  <c r="C136" i="2" s="1"/>
  <c r="H51" i="6"/>
  <c r="W127" i="2" s="1"/>
  <c r="X127" i="2" s="1"/>
  <c r="H47" i="6"/>
  <c r="W126" i="2" s="1"/>
  <c r="X126" i="2" s="1"/>
  <c r="H43" i="6"/>
  <c r="W125" i="2" s="1"/>
  <c r="X125" i="2" s="1"/>
  <c r="H39" i="6"/>
  <c r="W124" i="2" s="1"/>
  <c r="X124" i="2" s="1"/>
  <c r="H35" i="6"/>
  <c r="W123" i="2" s="1"/>
  <c r="X123" i="2" s="1"/>
  <c r="H31" i="6"/>
  <c r="W122" i="2" s="1"/>
  <c r="X122" i="2" s="1"/>
  <c r="H27" i="6"/>
  <c r="W121" i="2" s="1"/>
  <c r="X121" i="2" s="1"/>
  <c r="H23" i="6"/>
  <c r="W120" i="2" s="1"/>
  <c r="X120" i="2" s="1"/>
  <c r="H19" i="6"/>
  <c r="W119" i="2" s="1"/>
  <c r="X119" i="2" s="1"/>
  <c r="H15" i="6"/>
  <c r="W118" i="2" s="1"/>
  <c r="X118" i="2" s="1"/>
  <c r="H11" i="6"/>
  <c r="W117" i="2" s="1"/>
  <c r="X117" i="2" s="1"/>
  <c r="H51" i="8"/>
  <c r="P127" i="2" s="1"/>
  <c r="Q127" i="2" s="1"/>
  <c r="H47" i="8"/>
  <c r="P126" i="2" s="1"/>
  <c r="Q126" i="2" s="1"/>
  <c r="H43" i="8"/>
  <c r="P125" i="2" s="1"/>
  <c r="Q125" i="2" s="1"/>
  <c r="H39" i="8"/>
  <c r="P124" i="2" s="1"/>
  <c r="Q124" i="2" s="1"/>
  <c r="H35" i="8"/>
  <c r="P123" i="2" s="1"/>
  <c r="Q123" i="2" s="1"/>
  <c r="H31" i="8"/>
  <c r="P122" i="2" s="1"/>
  <c r="Q122" i="2" s="1"/>
  <c r="H27" i="8"/>
  <c r="P121" i="2" s="1"/>
  <c r="Q121" i="2" s="1"/>
  <c r="H23" i="8"/>
  <c r="P120" i="2" s="1"/>
  <c r="Q120" i="2" s="1"/>
  <c r="H19" i="8"/>
  <c r="P119" i="2" s="1"/>
  <c r="Q119" i="2" s="1"/>
  <c r="H15" i="8"/>
  <c r="P118" i="2" s="1"/>
  <c r="Q118" i="2" s="1"/>
  <c r="H11" i="8"/>
  <c r="P117" i="2" s="1"/>
  <c r="Q117" i="2" s="1"/>
  <c r="H52" i="12"/>
  <c r="B127" i="2" s="1"/>
  <c r="C127" i="2" s="1"/>
  <c r="H48" i="12"/>
  <c r="B126" i="2" s="1"/>
  <c r="C126" i="2" s="1"/>
  <c r="H44" i="12"/>
  <c r="B125" i="2" s="1"/>
  <c r="C125" i="2" s="1"/>
  <c r="H40" i="12"/>
  <c r="B124" i="2" s="1"/>
  <c r="C124" i="2" s="1"/>
  <c r="H36" i="12"/>
  <c r="B123" i="2" s="1"/>
  <c r="C123" i="2" s="1"/>
  <c r="H32" i="12"/>
  <c r="B122" i="2" s="1"/>
  <c r="C122" i="2" s="1"/>
  <c r="H28" i="12"/>
  <c r="B121" i="2" s="1"/>
  <c r="C121" i="2" s="1"/>
  <c r="H24" i="12"/>
  <c r="B120" i="2" s="1"/>
  <c r="C120" i="2" s="1"/>
  <c r="H20" i="12"/>
  <c r="B119" i="2" s="1"/>
  <c r="C119" i="2" s="1"/>
  <c r="H16" i="12"/>
  <c r="B118" i="2" s="1"/>
  <c r="C118" i="2" s="1"/>
  <c r="H51" i="14"/>
  <c r="W109" i="2" s="1"/>
  <c r="X109" i="2" s="1"/>
  <c r="H17" i="15"/>
  <c r="H25" i="15"/>
  <c r="P102" i="2" s="1"/>
  <c r="Q102" i="2" s="1"/>
  <c r="H33" i="15"/>
  <c r="H41" i="15"/>
  <c r="P106" i="2" s="1"/>
  <c r="Q106" i="2" s="1"/>
  <c r="H49" i="15"/>
  <c r="P108" i="2" s="1"/>
  <c r="Q108" i="2" s="1"/>
  <c r="H47" i="17"/>
  <c r="B108" i="2" s="1"/>
  <c r="C108" i="2" s="1"/>
  <c r="H39" i="17"/>
  <c r="B106" i="2" s="1"/>
  <c r="C106" i="2" s="1"/>
  <c r="H31" i="17"/>
  <c r="B104" i="2" s="1"/>
  <c r="C104" i="2" s="1"/>
  <c r="H23" i="17"/>
  <c r="B102" i="2" s="1"/>
  <c r="C102" i="2" s="1"/>
  <c r="H15" i="17"/>
  <c r="B100" i="2" s="1"/>
  <c r="C100" i="2" s="1"/>
  <c r="H52" i="18"/>
  <c r="W91" i="2" s="1"/>
  <c r="X91" i="2" s="1"/>
  <c r="H44" i="18"/>
  <c r="W89" i="2" s="1"/>
  <c r="X89" i="2" s="1"/>
  <c r="H36" i="18"/>
  <c r="W87" i="2" s="1"/>
  <c r="X87" i="2" s="1"/>
  <c r="H28" i="18"/>
  <c r="W85" i="2" s="1"/>
  <c r="X85" i="2" s="1"/>
  <c r="H20" i="18"/>
  <c r="W83" i="2" s="1"/>
  <c r="X83" i="2" s="1"/>
  <c r="H12" i="18"/>
  <c r="W81" i="2" s="1"/>
  <c r="X81" i="2" s="1"/>
  <c r="P90" i="2"/>
  <c r="Q90" i="2" s="1"/>
  <c r="P88" i="2"/>
  <c r="Q88" i="2" s="1"/>
  <c r="P86" i="2"/>
  <c r="Q86" i="2" s="1"/>
  <c r="P84" i="2"/>
  <c r="Q84" i="2" s="1"/>
  <c r="P82" i="2"/>
  <c r="Q82" i="2" s="1"/>
  <c r="H16" i="21"/>
  <c r="B82" i="2" s="1"/>
  <c r="C82" i="2" s="1"/>
  <c r="H24" i="21"/>
  <c r="B84" i="2" s="1"/>
  <c r="C84" i="2" s="1"/>
  <c r="H32" i="21"/>
  <c r="B86" i="2" s="1"/>
  <c r="C86" i="2" s="1"/>
  <c r="H40" i="21"/>
  <c r="B88" i="2" s="1"/>
  <c r="C88" i="2" s="1"/>
  <c r="H48" i="21"/>
  <c r="B90" i="2" s="1"/>
  <c r="C90" i="2" s="1"/>
  <c r="H19" i="23"/>
  <c r="P64" i="2" s="1"/>
  <c r="Q64" i="2" s="1"/>
  <c r="H11" i="23"/>
  <c r="P62" i="2" s="1"/>
  <c r="Q62" i="2" s="1"/>
  <c r="H51" i="24"/>
  <c r="I72" i="2" s="1"/>
  <c r="J72" i="2" s="1"/>
  <c r="H47" i="24"/>
  <c r="I71" i="2" s="1"/>
  <c r="J71" i="2" s="1"/>
  <c r="H43" i="24"/>
  <c r="I70" i="2" s="1"/>
  <c r="J70" i="2" s="1"/>
  <c r="H39" i="24"/>
  <c r="I69" i="2" s="1"/>
  <c r="J69" i="2" s="1"/>
  <c r="H35" i="24"/>
  <c r="I68" i="2" s="1"/>
  <c r="J68" i="2" s="1"/>
  <c r="H31" i="24"/>
  <c r="I67" i="2" s="1"/>
  <c r="J67" i="2" s="1"/>
  <c r="H27" i="24"/>
  <c r="I66" i="2" s="1"/>
  <c r="J66" i="2" s="1"/>
  <c r="H23" i="24"/>
  <c r="I65" i="2" s="1"/>
  <c r="J65" i="2" s="1"/>
  <c r="H19" i="24"/>
  <c r="I64" i="2" s="1"/>
  <c r="J64" i="2" s="1"/>
  <c r="H15" i="24"/>
  <c r="I63" i="2" s="1"/>
  <c r="J63" i="2" s="1"/>
  <c r="H11" i="24"/>
  <c r="I62" i="2" s="1"/>
  <c r="J62" i="2" s="1"/>
  <c r="H54" i="26"/>
  <c r="W53" i="2" s="1"/>
  <c r="X53" i="2" s="1"/>
  <c r="H50" i="26"/>
  <c r="W52" i="2" s="1"/>
  <c r="X52" i="2" s="1"/>
  <c r="H46" i="26"/>
  <c r="W51" i="2" s="1"/>
  <c r="X51" i="2" s="1"/>
  <c r="H42" i="26"/>
  <c r="W50" i="2" s="1"/>
  <c r="X50" i="2" s="1"/>
  <c r="H38" i="26"/>
  <c r="W49" i="2" s="1"/>
  <c r="X49" i="2" s="1"/>
  <c r="H34" i="26"/>
  <c r="W48" i="2" s="1"/>
  <c r="X48" i="2" s="1"/>
  <c r="H30" i="26"/>
  <c r="W47" i="2" s="1"/>
  <c r="X47" i="2" s="1"/>
  <c r="H26" i="26"/>
  <c r="W46" i="2" s="1"/>
  <c r="X46" i="2" s="1"/>
  <c r="H22" i="26"/>
  <c r="W45" i="2" s="1"/>
  <c r="X45" i="2" s="1"/>
  <c r="H18" i="26"/>
  <c r="W44" i="2" s="1"/>
  <c r="X44" i="2" s="1"/>
  <c r="H14" i="26"/>
  <c r="W43" i="2" s="1"/>
  <c r="X43" i="2" s="1"/>
  <c r="H47" i="27"/>
  <c r="P52" i="2" s="1"/>
  <c r="Q52" i="2" s="1"/>
  <c r="H43" i="27"/>
  <c r="P51" i="2" s="1"/>
  <c r="Q51" i="2" s="1"/>
  <c r="H15" i="27"/>
  <c r="P44" i="2" s="1"/>
  <c r="Q44" i="2" s="1"/>
  <c r="H11" i="27"/>
  <c r="P43" i="2" s="1"/>
  <c r="Q43" i="2" s="1"/>
  <c r="H43" i="28"/>
  <c r="I51" i="2" s="1"/>
  <c r="J51" i="2" s="1"/>
  <c r="H47" i="28"/>
  <c r="I52" i="2" s="1"/>
  <c r="J52" i="2" s="1"/>
  <c r="H51" i="28"/>
  <c r="I53" i="2" s="1"/>
  <c r="J53" i="2" s="1"/>
  <c r="H11" i="29"/>
  <c r="B43" i="2" s="1"/>
  <c r="C43" i="2" s="1"/>
  <c r="H15" i="29"/>
  <c r="B44" i="2" s="1"/>
  <c r="C44" i="2" s="1"/>
  <c r="H19" i="29"/>
  <c r="B45" i="2" s="1"/>
  <c r="C45" i="2" s="1"/>
  <c r="H23" i="29"/>
  <c r="B46" i="2" s="1"/>
  <c r="C46" i="2" s="1"/>
  <c r="H27" i="29"/>
  <c r="B47" i="2" s="1"/>
  <c r="C47" i="2" s="1"/>
  <c r="H31" i="29"/>
  <c r="B48" i="2" s="1"/>
  <c r="C48" i="2" s="1"/>
  <c r="H35" i="29"/>
  <c r="B49" i="2" s="1"/>
  <c r="C49" i="2" s="1"/>
  <c r="H39" i="29"/>
  <c r="B50" i="2" s="1"/>
  <c r="C50" i="2" s="1"/>
  <c r="H43" i="29"/>
  <c r="B51" i="2" s="1"/>
  <c r="C51" i="2" s="1"/>
  <c r="H47" i="29"/>
  <c r="B52" i="2" s="1"/>
  <c r="C52" i="2" s="1"/>
  <c r="H51" i="29"/>
  <c r="B53" i="2" s="1"/>
  <c r="C53" i="2" s="1"/>
  <c r="H11" i="30"/>
  <c r="W24" i="2" s="1"/>
  <c r="X24" i="2" s="1"/>
  <c r="H15" i="30"/>
  <c r="W25" i="2" s="1"/>
  <c r="X25" i="2" s="1"/>
  <c r="H19" i="30"/>
  <c r="W26" i="2" s="1"/>
  <c r="X26" i="2" s="1"/>
  <c r="H23" i="30"/>
  <c r="W27" i="2" s="1"/>
  <c r="X27" i="2" s="1"/>
  <c r="H27" i="30"/>
  <c r="W28" i="2" s="1"/>
  <c r="X28" i="2" s="1"/>
  <c r="H47" i="30"/>
  <c r="W33" i="2" s="1"/>
  <c r="X33" i="2" s="1"/>
  <c r="H51" i="30"/>
  <c r="W34" i="2" s="1"/>
  <c r="X34" i="2" s="1"/>
  <c r="H47" i="31"/>
  <c r="P33" i="2" s="1"/>
  <c r="Q33" i="2" s="1"/>
  <c r="H39" i="31"/>
  <c r="P31" i="2" s="1"/>
  <c r="Q31" i="2" s="1"/>
  <c r="H31" i="31"/>
  <c r="P29" i="2" s="1"/>
  <c r="Q29" i="2" s="1"/>
  <c r="H23" i="31"/>
  <c r="P27" i="2" s="1"/>
  <c r="Q27" i="2" s="1"/>
  <c r="H15" i="31"/>
  <c r="P25" i="2" s="1"/>
  <c r="Q25" i="2" s="1"/>
  <c r="H51" i="32"/>
  <c r="I34" i="2" s="1"/>
  <c r="J34" i="2" s="1"/>
  <c r="H43" i="32"/>
  <c r="I32" i="2" s="1"/>
  <c r="J32" i="2" s="1"/>
  <c r="H35" i="32"/>
  <c r="I30" i="2" s="1"/>
  <c r="J30" i="2" s="1"/>
  <c r="H27" i="32"/>
  <c r="I28" i="2" s="1"/>
  <c r="J28" i="2" s="1"/>
  <c r="H19" i="32"/>
  <c r="I26" i="2" s="1"/>
  <c r="J26" i="2" s="1"/>
  <c r="H11" i="32"/>
  <c r="I24" i="2" s="1"/>
  <c r="J24" i="2" s="1"/>
  <c r="H39" i="11"/>
  <c r="B31" i="2" s="1"/>
  <c r="C31" i="2" s="1"/>
  <c r="H35" i="11"/>
  <c r="B30" i="2" s="1"/>
  <c r="C30" i="2" s="1"/>
  <c r="H27" i="11"/>
  <c r="B28" i="2" s="1"/>
  <c r="C28" i="2" s="1"/>
  <c r="H23" i="11"/>
  <c r="B27" i="2" s="1"/>
  <c r="C27" i="2" s="1"/>
  <c r="H19" i="11"/>
  <c r="B26" i="2" s="1"/>
  <c r="C26" i="2" s="1"/>
  <c r="H15" i="11"/>
  <c r="B25" i="2" s="1"/>
  <c r="C25" i="2" s="1"/>
  <c r="H47" i="9"/>
  <c r="W14" i="2" s="1"/>
  <c r="X14" i="2" s="1"/>
  <c r="H43" i="9"/>
  <c r="W13" i="2" s="1"/>
  <c r="X13" i="2" s="1"/>
  <c r="H39" i="9"/>
  <c r="W12" i="2" s="1"/>
  <c r="X12" i="2" s="1"/>
  <c r="H35" i="9"/>
  <c r="W11" i="2" s="1"/>
  <c r="X11" i="2" s="1"/>
  <c r="H31" i="9"/>
  <c r="W10" i="2" s="1"/>
  <c r="X10" i="2" s="1"/>
  <c r="P11" i="2"/>
  <c r="Q11" i="2" s="1"/>
  <c r="L15" i="2"/>
  <c r="L17" i="2" s="1"/>
  <c r="I6" i="3"/>
  <c r="F9" i="2"/>
  <c r="H11" i="13"/>
  <c r="M15" i="2"/>
  <c r="Y93" i="2"/>
  <c r="R93" i="2"/>
  <c r="K93" i="2"/>
  <c r="D93" i="2"/>
  <c r="D74" i="2"/>
  <c r="F111" i="2"/>
  <c r="E111" i="2"/>
  <c r="D111" i="2"/>
  <c r="AA111" i="2"/>
  <c r="Z111" i="2"/>
  <c r="Y111" i="2"/>
  <c r="F129" i="2"/>
  <c r="E129" i="2"/>
  <c r="D129" i="2"/>
  <c r="M147" i="2"/>
  <c r="L147" i="2"/>
  <c r="F147" i="2"/>
  <c r="E147" i="2"/>
  <c r="D147" i="2"/>
  <c r="AA129" i="2"/>
  <c r="Z129" i="2"/>
  <c r="Y129" i="2"/>
  <c r="S129" i="2"/>
  <c r="R129" i="2"/>
  <c r="T111" i="2"/>
  <c r="S111" i="2"/>
  <c r="R111" i="2"/>
  <c r="M129" i="2"/>
  <c r="L129" i="2"/>
  <c r="K129" i="2"/>
  <c r="M111" i="2"/>
  <c r="L111" i="2"/>
  <c r="M74" i="2"/>
  <c r="L74" i="2"/>
  <c r="K74" i="2"/>
  <c r="T74" i="2"/>
  <c r="S74" i="2"/>
  <c r="R74" i="2"/>
  <c r="AA74" i="2"/>
  <c r="Z74" i="2"/>
  <c r="Y74" i="2"/>
  <c r="AA55" i="2"/>
  <c r="Z55" i="2"/>
  <c r="Y55" i="2"/>
  <c r="T55" i="2"/>
  <c r="S55" i="2"/>
  <c r="R55" i="2"/>
  <c r="M55" i="2"/>
  <c r="L55" i="2"/>
  <c r="K55" i="2"/>
  <c r="T36" i="2"/>
  <c r="R36" i="2"/>
  <c r="E55" i="2"/>
  <c r="D55" i="2"/>
  <c r="L36" i="2"/>
  <c r="K36" i="2"/>
  <c r="M36" i="2"/>
  <c r="E36" i="2"/>
  <c r="D36" i="2"/>
  <c r="F36" i="2"/>
  <c r="AA36" i="2"/>
  <c r="Z36" i="2"/>
  <c r="Y36" i="2"/>
  <c r="AA17" i="2"/>
  <c r="Z17" i="2"/>
  <c r="Y17" i="2"/>
  <c r="K17" i="2"/>
  <c r="E17" i="2"/>
  <c r="D17" i="2"/>
  <c r="G52" i="1"/>
  <c r="F52" i="1"/>
  <c r="G48" i="1"/>
  <c r="F48" i="1"/>
  <c r="G44" i="1"/>
  <c r="F44" i="1"/>
  <c r="G40" i="1"/>
  <c r="F40" i="1"/>
  <c r="G36" i="1"/>
  <c r="F36" i="1"/>
  <c r="G32" i="1"/>
  <c r="F32" i="1"/>
  <c r="G28" i="1"/>
  <c r="F28" i="1"/>
  <c r="G24" i="1"/>
  <c r="F24" i="1"/>
  <c r="G20" i="1"/>
  <c r="F20" i="1"/>
  <c r="G16" i="1"/>
  <c r="F16" i="1"/>
  <c r="G12" i="1"/>
  <c r="F12" i="1"/>
  <c r="S36" i="2" l="1"/>
  <c r="P101" i="2"/>
  <c r="Q101" i="2" s="1"/>
  <c r="E10" i="3"/>
  <c r="W111" i="2"/>
  <c r="W112" i="2" s="1"/>
  <c r="AA93" i="2"/>
  <c r="G10" i="3"/>
  <c r="P74" i="2"/>
  <c r="P75" i="2" s="1"/>
  <c r="I12" i="3"/>
  <c r="W74" i="2"/>
  <c r="W75" i="2" s="1"/>
  <c r="P103" i="2"/>
  <c r="Q103" i="2" s="1"/>
  <c r="S93" i="2"/>
  <c r="K10" i="3"/>
  <c r="E12" i="3"/>
  <c r="F10" i="3"/>
  <c r="K12" i="3"/>
  <c r="C10" i="3"/>
  <c r="F12" i="3"/>
  <c r="H28" i="1"/>
  <c r="B9" i="2" s="1"/>
  <c r="C9" i="2" s="1"/>
  <c r="I10" i="3"/>
  <c r="T93" i="2"/>
  <c r="D12" i="3"/>
  <c r="J12" i="3"/>
  <c r="P55" i="2"/>
  <c r="P56" i="2" s="1"/>
  <c r="I129" i="2"/>
  <c r="I130" i="2" s="1"/>
  <c r="B147" i="2"/>
  <c r="B148" i="2" s="1"/>
  <c r="I93" i="2"/>
  <c r="I94" i="2" s="1"/>
  <c r="Z93" i="2"/>
  <c r="M12" i="3"/>
  <c r="G12" i="3"/>
  <c r="L12" i="3"/>
  <c r="M17" i="2"/>
  <c r="M10" i="3"/>
  <c r="I17" i="2"/>
  <c r="I18" i="2" s="1"/>
  <c r="P5" i="2"/>
  <c r="Q5" i="2" s="1"/>
  <c r="I111" i="2"/>
  <c r="I112" i="2" s="1"/>
  <c r="L93" i="2"/>
  <c r="M93" i="2"/>
  <c r="F17" i="2"/>
  <c r="B74" i="2"/>
  <c r="B75" i="2" s="1"/>
  <c r="W36" i="2"/>
  <c r="W37" i="2" s="1"/>
  <c r="I147" i="2"/>
  <c r="I148" i="2" s="1"/>
  <c r="H16" i="1"/>
  <c r="B6" i="2" s="1"/>
  <c r="C6" i="2" s="1"/>
  <c r="H32" i="1"/>
  <c r="B10" i="2" s="1"/>
  <c r="C10" i="2" s="1"/>
  <c r="B93" i="2"/>
  <c r="B94" i="2" s="1"/>
  <c r="H20" i="1"/>
  <c r="B7" i="2" s="1"/>
  <c r="C7" i="2" s="1"/>
  <c r="B129" i="2"/>
  <c r="B130" i="2" s="1"/>
  <c r="B111" i="2"/>
  <c r="B112" i="2" s="1"/>
  <c r="W129" i="2"/>
  <c r="W130" i="2" s="1"/>
  <c r="P129" i="2"/>
  <c r="P130" i="2" s="1"/>
  <c r="P111" i="2"/>
  <c r="P112" i="2" s="1"/>
  <c r="W93" i="2"/>
  <c r="W94" i="2" s="1"/>
  <c r="P93" i="2"/>
  <c r="P94" i="2" s="1"/>
  <c r="I74" i="2"/>
  <c r="I75" i="2" s="1"/>
  <c r="W55" i="2"/>
  <c r="W56" i="2" s="1"/>
  <c r="I55" i="2"/>
  <c r="I56" i="2" s="1"/>
  <c r="B55" i="2"/>
  <c r="B56" i="2" s="1"/>
  <c r="P36" i="2"/>
  <c r="P37" i="2" s="1"/>
  <c r="I36" i="2"/>
  <c r="I37" i="2" s="1"/>
  <c r="B36" i="2"/>
  <c r="B37" i="2" s="1"/>
  <c r="W17" i="2"/>
  <c r="W18" i="2" s="1"/>
  <c r="H24" i="1"/>
  <c r="B8" i="2" s="1"/>
  <c r="C8" i="2" s="1"/>
  <c r="H40" i="1"/>
  <c r="B12" i="2" s="1"/>
  <c r="C12" i="2" s="1"/>
  <c r="H48" i="1"/>
  <c r="B14" i="2" s="1"/>
  <c r="C14" i="2" s="1"/>
  <c r="H44" i="1"/>
  <c r="B13" i="2" s="1"/>
  <c r="C13" i="2" s="1"/>
  <c r="H36" i="1"/>
  <c r="B11" i="2" s="1"/>
  <c r="C11" i="2" s="1"/>
  <c r="H52" i="1"/>
  <c r="B15" i="2" s="1"/>
  <c r="C15" i="2" s="1"/>
  <c r="H12" i="1"/>
  <c r="B5" i="2" s="1"/>
  <c r="C5" i="2" s="1"/>
  <c r="P17" i="2" l="1"/>
  <c r="P18" i="2" s="1"/>
  <c r="B17" i="2"/>
  <c r="B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tc={2502B6DE-FADE-49D1-BD1C-AA29DA89DCDD}</author>
    <author>tc={EFB23EA1-F246-4209-84EC-E626265334AB}</author>
  </authors>
  <commentList>
    <comment ref="I3" authorId="0" shapeId="0" xr:uid="{2502B6DE-FADE-49D1-BD1C-AA29DA89DCD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Condutor anterior era o Wendel, mas na desmobilização dele em 22/05/26 o veículo foi repassado para o Leandro Mattos - comunicado a equipe de Frotas na segunda 25/05/26
</t>
      </text>
    </comment>
    <comment ref="D20" authorId="1" shapeId="0" xr:uid="{EFB23EA1-F246-4209-84EC-E626265334AB}">
      <text>
        <t>[Comentário encadeado]
Sua versão do Excel permite que você leia este comentário encadeado, no entanto, as edições serão removidas se o arquivo for aberto em uma versão mais recente do Excel. Saiba mais: https://go.microsoft.com/fwlink/?linkid=870924
Comentário:
    Locação 19/04/2026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tc={8C826D2A-3473-4810-94CC-1126AD723325}</author>
    <author>tc={B3155851-7DF1-4C25-B4DB-454C7CE52516}</author>
  </authors>
  <commentList>
    <comment ref="I3" authorId="0" shapeId="0" xr:uid="{8C826D2A-3473-4810-94CC-1126AD72332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locado por Alain em 06/06/26 e ao chegar no projeto o Leandro solicitou que seja repassado para a Helen 09/06/2026
</t>
      </text>
    </comment>
    <comment ref="B28" authorId="1" shapeId="0" xr:uid="{B3155851-7DF1-4C25-B4DB-454C7CE52516}">
      <text>
        <t>[Comentário encadeado]
Sua versão do Excel permite que você leia este comentário encadeado, no entanto, as edições serão removidas se o arquivo for aberto em uma versão mais recente do Excel. Saiba mais: https://go.microsoft.com/fwlink/?linkid=870924
Comentário:
    Locado 06/06/26</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tc={110DCC61-831D-48E0-B2D1-DA09CF0FDAF4}</author>
    <author>tc={32FEA7C5-ED2F-49ED-AB16-D5A4EB6097B3}</author>
    <author>tc={9A33113B-5B7B-4954-98A8-183ECD1F5B00}</author>
    <author>Administrativo2</author>
    <author>tc={E0EF42F8-D6BF-4A2B-AF28-B3541E5296CF}</author>
    <author>tc={87AACF4A-8047-44B5-93D1-EA53A1971742}</author>
  </authors>
  <commentList>
    <comment ref="E3" authorId="0" shapeId="0" xr:uid="{110DCC61-831D-48E0-B2D1-DA09CF0FDAF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Guinchado 18/04/26 e taxi para retirada de novo veículo agendado para 19/04/2026.
Motivo da solicitação de guincho Argo TCU0B50: 
no final da tarde da segunda 14/04/26 o veículo apresentou barulho estranho oriundo do motor, foi realizada a lavagem do carro e na terça o carro passou o dia na oficina Lider Pneus (credenciada à Unidas) aguardando diagnostico e no dia seguinte o mecânico informou que o barulho é no motor e que precisaria abrir para entender se o problema é na corrente, mas lá eles não fazem o serviço e devido a suspeita, foi indicado a solicitação de guincho porque a locadora não tem outra oficina cadastrada na cidade. 
</t>
      </text>
    </comment>
    <comment ref="I3" authorId="1" shapeId="0" xr:uid="{32FEA7C5-ED2F-49ED-AB16-D5A4EB6097B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Robson saiu do projeto e o veículo ficou com o Leandro
Responder:
    TCU0B50 era do Robson Costa, mas ao sair do projeto em 10/04/2026 foi repassado para o Leandro, em 18/04/26 o veículo foi guinchado e o táxi para retirada do novo carro ficou agendado para o domingo 19/04/26 e a locação ocorreu por Wendel
</t>
      </text>
    </comment>
    <comment ref="K6" authorId="2" shapeId="0" xr:uid="{9A33113B-5B7B-4954-98A8-183ECD1F5B0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Motivo da solicitação de guincho Argo TCU0B50: 
no final da tarde da segunda 14/04/26 o veículo apresentou barulho estranho oriundo do motor, foi realizada a lavagem do carro e na terça o carro passou o dia na oficina Lider Pneus (credenciada à Unidas) aguardando diagnostico e no dia seguinte o mecânico informou que o barulho é no motor e que precisaria abrir para entender se o problema é na corrente, mas lá eles não fazem o serviço e devido a suspeita, foi indicado a solicitação de guincho porque a locadora não tem outra oficina cadastrada na cidade. 
</t>
      </text>
    </comment>
    <comment ref="D33" authorId="3" shapeId="0" xr:uid="{AD9D367E-6504-4C8E-AA1F-E691D56B9B71}">
      <text>
        <r>
          <rPr>
            <b/>
            <sz val="9"/>
            <color indexed="81"/>
            <rFont val="Segoe UI"/>
            <family val="2"/>
          </rPr>
          <t xml:space="preserve">Retirada TCU0B50 em 23/07/2025
</t>
        </r>
        <r>
          <rPr>
            <sz val="9"/>
            <color indexed="81"/>
            <rFont val="Segoe UI"/>
            <family val="2"/>
          </rPr>
          <t xml:space="preserve">
</t>
        </r>
      </text>
    </comment>
    <comment ref="E61" authorId="4" shapeId="0" xr:uid="{E0EF42F8-D6BF-4A2B-AF28-B3541E5296CF}">
      <text>
        <t>[Comentário encadeado]
Sua versão do Excel permite que você leia este comentário encadeado, no entanto, as edições serão removidas se o arquivo for aberto em uma versão mais recente do Excel. Saiba mais: https://go.microsoft.com/fwlink/?linkid=870924
Comentário:
    Km incompleto, até o dia 12/02/26</t>
      </text>
    </comment>
    <comment ref="E69" authorId="5" shapeId="0" xr:uid="{87AACF4A-8047-44B5-93D1-EA53A1971742}">
      <text>
        <t>[Comentário encadeado]
Sua versão do Excel permite que você leia este comentário encadeado, no entanto, as edições serão removidas se o arquivo for aberto em uma versão mais recente do Excel. Saiba mais: https://go.microsoft.com/fwlink/?linkid=870924
Comentário:
    Guincho 18/04/2026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D39" authorId="0" shapeId="0" xr:uid="{F13626C3-C559-44F7-95B8-AF7E681EE061}">
      <text>
        <r>
          <rPr>
            <b/>
            <sz val="9"/>
            <color indexed="81"/>
            <rFont val="Segoe UI"/>
            <family val="2"/>
          </rPr>
          <t xml:space="preserve">Locado em 22/09/2025
</t>
        </r>
        <r>
          <rPr>
            <sz val="9"/>
            <color indexed="81"/>
            <rFont val="Segoe UI"/>
            <family val="2"/>
          </rPr>
          <t xml:space="preserve">
</t>
        </r>
      </text>
    </comment>
    <comment ref="E51" authorId="0" shapeId="0" xr:uid="{64E5842C-CF7A-4382-96DE-A37A14DAEAF2}">
      <text>
        <r>
          <rPr>
            <b/>
            <sz val="9"/>
            <color indexed="81"/>
            <rFont val="Segoe UI"/>
            <family val="2"/>
          </rPr>
          <t>Devolução 24/12/2025</t>
        </r>
        <r>
          <rPr>
            <sz val="9"/>
            <color indexed="81"/>
            <rFont val="Segoe UI"/>
            <family val="2"/>
          </rPr>
          <t xml:space="preserve">
</t>
        </r>
      </text>
    </comment>
    <comment ref="Z51" authorId="0" shapeId="0" xr:uid="{234D1FFA-546A-4443-A4DF-6BB3029F0227}">
      <text>
        <r>
          <rPr>
            <b/>
            <sz val="9"/>
            <color indexed="81"/>
            <rFont val="Segoe UI"/>
            <family val="2"/>
          </rPr>
          <t>Lavagem geral e do motor</t>
        </r>
        <r>
          <rPr>
            <sz val="9"/>
            <color indexed="81"/>
            <rFont val="Segoe U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B31" authorId="0" shapeId="0" xr:uid="{28F4708C-63E9-4A3D-BE71-4601D956255E}">
      <text>
        <r>
          <rPr>
            <b/>
            <sz val="9"/>
            <color indexed="81"/>
            <rFont val="Segoe UI"/>
            <family val="2"/>
          </rPr>
          <t>Administrativo2:</t>
        </r>
        <r>
          <rPr>
            <sz val="9"/>
            <color indexed="81"/>
            <rFont val="Segoe UI"/>
            <family val="2"/>
          </rPr>
          <t xml:space="preserve">
Argo TCY1C54 - Veículo locado em 01/07/2025</t>
        </r>
      </text>
    </comment>
    <comment ref="K31" authorId="0" shapeId="0" xr:uid="{AAEEEFCE-925D-44FD-8BD5-AB8C2A7B46A0}">
      <text>
        <r>
          <rPr>
            <sz val="9"/>
            <color indexed="81"/>
            <rFont val="Segoe UI"/>
            <family val="2"/>
          </rPr>
          <t xml:space="preserve">Gasolina 27,681L
</t>
        </r>
      </text>
    </comment>
    <comment ref="L31" authorId="0" shapeId="0" xr:uid="{00AD67A4-E0E2-4831-AAE6-0E8D496067D7}">
      <text>
        <r>
          <rPr>
            <b/>
            <sz val="9"/>
            <color indexed="81"/>
            <rFont val="Segoe UI"/>
            <family val="2"/>
          </rPr>
          <t>Gasolina 46,621L</t>
        </r>
        <r>
          <rPr>
            <sz val="9"/>
            <color indexed="81"/>
            <rFont val="Segoe UI"/>
            <family val="2"/>
          </rPr>
          <t xml:space="preserve">
</t>
        </r>
      </text>
    </comment>
    <comment ref="M31" authorId="0" shapeId="0" xr:uid="{5F604659-29A7-458B-A1C8-EC3BE8D714AC}">
      <text>
        <r>
          <rPr>
            <b/>
            <sz val="9"/>
            <color indexed="81"/>
            <rFont val="Segoe UI"/>
            <family val="2"/>
          </rPr>
          <t>Gasolina 23,066L</t>
        </r>
        <r>
          <rPr>
            <sz val="9"/>
            <color indexed="81"/>
            <rFont val="Segoe UI"/>
            <family val="2"/>
          </rPr>
          <t xml:space="preserve">
</t>
        </r>
      </text>
    </comment>
    <comment ref="N31" authorId="0" shapeId="0" xr:uid="{557F9473-0024-4643-BBD7-B4EAD1AB11B9}">
      <text>
        <r>
          <rPr>
            <sz val="9"/>
            <color indexed="81"/>
            <rFont val="Segoe UI"/>
            <family val="2"/>
          </rPr>
          <t xml:space="preserve">Gasolina 34,208 L
</t>
        </r>
      </text>
    </comment>
    <comment ref="O31" authorId="0" shapeId="0" xr:uid="{CA80AAB7-CEF4-45AA-9DCC-EC0AEEED6DCA}">
      <text>
        <r>
          <rPr>
            <b/>
            <sz val="9"/>
            <color indexed="81"/>
            <rFont val="Segoe UI"/>
            <family val="2"/>
          </rPr>
          <t>Gasolina 39,148L</t>
        </r>
        <r>
          <rPr>
            <sz val="9"/>
            <color indexed="81"/>
            <rFont val="Segoe UI"/>
            <family val="2"/>
          </rPr>
          <t xml:space="preserve">
</t>
        </r>
      </text>
    </comment>
    <comment ref="P31" authorId="0" shapeId="0" xr:uid="{F2219B65-C2C0-4ED7-9414-A0A54837B5F2}">
      <text>
        <r>
          <rPr>
            <b/>
            <sz val="9"/>
            <color indexed="81"/>
            <rFont val="Segoe UI"/>
            <family val="2"/>
          </rPr>
          <t>Gasolina 36,642L</t>
        </r>
        <r>
          <rPr>
            <sz val="9"/>
            <color indexed="81"/>
            <rFont val="Segoe UI"/>
            <family val="2"/>
          </rPr>
          <t xml:space="preserve">
</t>
        </r>
      </text>
    </comment>
    <comment ref="O34" authorId="0" shapeId="0" xr:uid="{BBB786F4-34DA-410F-B694-8209A11BEEC6}">
      <text>
        <r>
          <rPr>
            <b/>
            <sz val="9"/>
            <color indexed="81"/>
            <rFont val="Segoe UI"/>
            <family val="2"/>
          </rPr>
          <t xml:space="preserve">Completar o tanque na devolução do veículo
</t>
        </r>
        <r>
          <rPr>
            <sz val="9"/>
            <color indexed="81"/>
            <rFont val="Segoe UI"/>
            <family val="2"/>
          </rPr>
          <t xml:space="preserve">
</t>
        </r>
      </text>
    </comment>
    <comment ref="E35" authorId="0" shapeId="0" xr:uid="{B9E2A638-A46B-4025-8632-4DA7BBADBDC4}">
      <text>
        <r>
          <rPr>
            <sz val="9"/>
            <color indexed="81"/>
            <rFont val="Segoe UI"/>
            <family val="2"/>
          </rPr>
          <t xml:space="preserve">Veículo devolvido em 26/08/2025
</t>
        </r>
      </text>
    </comment>
    <comment ref="K35" authorId="0" shapeId="0" xr:uid="{CB71E7E4-627C-4536-BDBC-05815F0D3153}">
      <text>
        <r>
          <rPr>
            <b/>
            <sz val="9"/>
            <color indexed="81"/>
            <rFont val="Segoe UI"/>
            <family val="2"/>
          </rPr>
          <t>33,205L</t>
        </r>
        <r>
          <rPr>
            <sz val="9"/>
            <color indexed="81"/>
            <rFont val="Segoe UI"/>
            <family val="2"/>
          </rPr>
          <t xml:space="preserve">
</t>
        </r>
      </text>
    </comment>
    <comment ref="L35" authorId="0" shapeId="0" xr:uid="{022C956D-1836-4F89-ABFF-BE9A08E001B3}">
      <text>
        <r>
          <rPr>
            <b/>
            <sz val="9"/>
            <color indexed="81"/>
            <rFont val="Segoe UI"/>
            <family val="2"/>
          </rPr>
          <t>38,157L</t>
        </r>
        <r>
          <rPr>
            <sz val="9"/>
            <color indexed="81"/>
            <rFont val="Segoe UI"/>
            <family val="2"/>
          </rPr>
          <t xml:space="preserve">
</t>
        </r>
      </text>
    </comment>
    <comment ref="M35" authorId="0" shapeId="0" xr:uid="{CD9C6C53-7301-4F06-BD0D-C77A81E14D1D}">
      <text>
        <r>
          <rPr>
            <b/>
            <sz val="9"/>
            <color indexed="81"/>
            <rFont val="Segoe UI"/>
            <family val="2"/>
          </rPr>
          <t>36,795L</t>
        </r>
        <r>
          <rPr>
            <sz val="9"/>
            <color indexed="81"/>
            <rFont val="Segoe UI"/>
            <family val="2"/>
          </rPr>
          <t xml:space="preserve">
</t>
        </r>
      </text>
    </comment>
    <comment ref="N35" authorId="0" shapeId="0" xr:uid="{13FCFBAB-10C6-47C8-ABD7-5C29E2F8DA5B}">
      <text>
        <r>
          <rPr>
            <b/>
            <sz val="9"/>
            <color indexed="81"/>
            <rFont val="Segoe UI"/>
            <family val="2"/>
          </rPr>
          <t>35,176L</t>
        </r>
        <r>
          <rPr>
            <sz val="9"/>
            <color indexed="81"/>
            <rFont val="Segoe UI"/>
            <family val="2"/>
          </rPr>
          <t xml:space="preserve">
</t>
        </r>
      </text>
    </comment>
    <comment ref="O35" authorId="0" shapeId="0" xr:uid="{2A5CE4CF-9BFA-4541-BA3F-DC2A2DF5E1D6}">
      <text>
        <r>
          <rPr>
            <b/>
            <sz val="9"/>
            <color indexed="81"/>
            <rFont val="Segoe UI"/>
            <family val="2"/>
          </rPr>
          <t>9,53L</t>
        </r>
        <r>
          <rPr>
            <sz val="9"/>
            <color indexed="81"/>
            <rFont val="Segoe UI"/>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Recepção</author>
  </authors>
  <commentList>
    <comment ref="X67" authorId="0" shapeId="0" xr:uid="{6498A049-53D8-4B9A-8304-47ECCE7A71E0}">
      <text>
        <r>
          <rPr>
            <b/>
            <sz val="9"/>
            <color indexed="81"/>
            <rFont val="Segoe UI"/>
            <family val="2"/>
          </rPr>
          <t>Recepção:</t>
        </r>
        <r>
          <rPr>
            <sz val="9"/>
            <color indexed="81"/>
            <rFont val="Segoe UI"/>
            <family val="2"/>
          </rPr>
          <t xml:space="preserve">
R$80,00 lavagem veículo + R$100,00 limpeza do motor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E20" authorId="0" shapeId="0" xr:uid="{C6473507-6649-4998-89E7-750BD6BC6CD2}">
      <text>
        <r>
          <rPr>
            <b/>
            <sz val="9"/>
            <color indexed="81"/>
            <rFont val="Segoe UI"/>
            <family val="2"/>
          </rPr>
          <t>Administrativo2:</t>
        </r>
        <r>
          <rPr>
            <sz val="9"/>
            <color indexed="81"/>
            <rFont val="Segoe UI"/>
            <family val="2"/>
          </rPr>
          <t xml:space="preserve">
Substituição/devolução 03/05/2025</t>
        </r>
      </text>
    </comment>
    <comment ref="L23" authorId="0" shapeId="0" xr:uid="{0D4A22D7-6A80-4DFB-8B16-1FF8A812B183}">
      <text>
        <r>
          <rPr>
            <b/>
            <sz val="9"/>
            <color indexed="81"/>
            <rFont val="Segoe UI"/>
            <family val="2"/>
          </rPr>
          <t>Administrativo2:</t>
        </r>
        <r>
          <rPr>
            <sz val="9"/>
            <color indexed="81"/>
            <rFont val="Segoe UI"/>
            <family val="2"/>
          </rPr>
          <t xml:space="preserve">
Abastecimento na devolução do veículo TCY1C54</t>
        </r>
      </text>
    </comment>
    <comment ref="B24" authorId="0" shapeId="0" xr:uid="{3215EC8D-7B98-4985-8C3A-48737D3AE296}">
      <text>
        <r>
          <rPr>
            <b/>
            <sz val="9"/>
            <color indexed="81"/>
            <rFont val="Segoe UI"/>
            <family val="2"/>
          </rPr>
          <t>Administrativo2:</t>
        </r>
        <r>
          <rPr>
            <sz val="9"/>
            <color indexed="81"/>
            <rFont val="Segoe UI"/>
            <family val="2"/>
          </rPr>
          <t xml:space="preserve">
 TCV9F56 retirado em 03/05/2025</t>
        </r>
      </text>
    </comment>
    <comment ref="E32" authorId="0" shapeId="0" xr:uid="{8F11EB2D-0621-411B-B51C-99A23CD9A3A3}">
      <text>
        <r>
          <rPr>
            <b/>
            <sz val="9"/>
            <color indexed="81"/>
            <rFont val="Segoe UI"/>
            <family val="2"/>
          </rPr>
          <t>PLACA:TCV9F56 Devolvido em 23/07/2025, devaldo comunicou que não voltaria mais para obra e Robson preferiu devolver este carro e retirar outro.
Devaldo não enviou os relatórios referente a 1ª quinzena de julho.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Recepção</author>
  </authors>
  <commentList>
    <comment ref="B66" authorId="0" shapeId="0" xr:uid="{5D61F50B-3D93-4DF9-BA5E-1B97E394F045}">
      <text>
        <r>
          <rPr>
            <b/>
            <sz val="9"/>
            <color indexed="81"/>
            <rFont val="Segoe UI"/>
            <family val="2"/>
          </rPr>
          <t>Recepção:</t>
        </r>
        <r>
          <rPr>
            <sz val="9"/>
            <color indexed="81"/>
            <rFont val="Segoe UI"/>
            <family val="2"/>
          </rPr>
          <t xml:space="preserve">
KM DA RETIRADA 24/02/2025 HB20 TDA0G27
</t>
        </r>
      </text>
    </comment>
    <comment ref="C70" authorId="0" shapeId="0" xr:uid="{8C81705E-334B-4482-9A4D-01B5DCD0A4A2}">
      <text>
        <r>
          <rPr>
            <b/>
            <sz val="9"/>
            <color indexed="81"/>
            <rFont val="Segoe UI"/>
            <family val="2"/>
          </rPr>
          <t>Recepção:</t>
        </r>
        <r>
          <rPr>
            <sz val="9"/>
            <color indexed="81"/>
            <rFont val="Segoe UI"/>
            <family val="2"/>
          </rPr>
          <t xml:space="preserve">
Devolvido 15/04/2025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Recepção</author>
  </authors>
  <commentList>
    <comment ref="C67" authorId="0" shapeId="0" xr:uid="{F115F161-D456-4724-8265-4C1BB20A02FA}">
      <text>
        <r>
          <rPr>
            <b/>
            <sz val="9"/>
            <color indexed="81"/>
            <rFont val="Segoe UI"/>
            <family val="2"/>
          </rPr>
          <t>Recepção:</t>
        </r>
        <r>
          <rPr>
            <sz val="9"/>
            <color indexed="81"/>
            <rFont val="Segoe UI"/>
            <family val="2"/>
          </rPr>
          <t xml:space="preserve">
Devolvido 15/04/2025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Recepção</author>
  </authors>
  <commentList>
    <comment ref="AA15" authorId="0" shapeId="0" xr:uid="{7141ECD2-4A3B-4A12-B4DC-122042967BD1}">
      <text>
        <r>
          <rPr>
            <b/>
            <sz val="9"/>
            <color indexed="81"/>
            <rFont val="Segoe UI"/>
            <family val="2"/>
          </rPr>
          <t>Recepção:</t>
        </r>
        <r>
          <rPr>
            <sz val="9"/>
            <color indexed="81"/>
            <rFont val="Segoe UI"/>
            <family val="2"/>
          </rPr>
          <t xml:space="preserve">
Lavagem pesada</t>
        </r>
      </text>
    </comment>
    <comment ref="Z19" authorId="0" shapeId="0" xr:uid="{C0EE0A6C-3758-450B-AA5A-B2E214652E3B}">
      <text>
        <r>
          <rPr>
            <b/>
            <sz val="9"/>
            <color indexed="81"/>
            <rFont val="Segoe UI"/>
            <family val="2"/>
          </rPr>
          <t>Recepção:</t>
        </r>
        <r>
          <rPr>
            <sz val="9"/>
            <color indexed="81"/>
            <rFont val="Segoe UI"/>
            <family val="2"/>
          </rPr>
          <t xml:space="preserve">
Lavagem Simples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Recepção</author>
  </authors>
  <commentList>
    <comment ref="AA63" authorId="0" shapeId="0" xr:uid="{B18AB0C4-095A-4B39-81D9-D960AB157103}">
      <text>
        <r>
          <rPr>
            <b/>
            <sz val="9"/>
            <color indexed="81"/>
            <rFont val="Segoe UI"/>
            <family val="2"/>
          </rPr>
          <t>Recepção:</t>
        </r>
        <r>
          <rPr>
            <sz val="9"/>
            <color indexed="81"/>
            <rFont val="Segoe UI"/>
            <family val="2"/>
          </rPr>
          <t xml:space="preserve">
130,00 lavagem completa + 130,00 polimento + 100,00 lavagem motor + 250,00 lavagem bancos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B19" authorId="0" shapeId="0" xr:uid="{5CF07C5D-B3A1-4E6B-BE6E-83D43F176D14}">
      <text>
        <r>
          <rPr>
            <b/>
            <sz val="9"/>
            <color indexed="81"/>
            <rFont val="Segoe UI"/>
            <family val="2"/>
          </rPr>
          <t>Administrativo2:</t>
        </r>
        <r>
          <rPr>
            <sz val="9"/>
            <color indexed="81"/>
            <rFont val="Segoe UI"/>
            <family val="2"/>
          </rPr>
          <t xml:space="preserve">
KM SUBSTITUIÇÃO DO VEICULO
 26/03/2024
</t>
        </r>
      </text>
    </comment>
  </commentList>
</comments>
</file>

<file path=xl/sharedStrings.xml><?xml version="1.0" encoding="utf-8"?>
<sst xmlns="http://schemas.openxmlformats.org/spreadsheetml/2006/main" count="7909" uniqueCount="208">
  <si>
    <t>Veiculo</t>
  </si>
  <si>
    <t>Placa:</t>
  </si>
  <si>
    <t xml:space="preserve">Contrato de Locação </t>
  </si>
  <si>
    <t>Fevereiro</t>
  </si>
  <si>
    <t>DATA</t>
  </si>
  <si>
    <t>KM (Rodados)</t>
  </si>
  <si>
    <t>1ª Leitura</t>
  </si>
  <si>
    <t>2ª Leitura</t>
  </si>
  <si>
    <t>3ª Leitura</t>
  </si>
  <si>
    <t>4ª Leitura</t>
  </si>
  <si>
    <t>15 dias Rodados</t>
  </si>
  <si>
    <t>30 dias Rodados</t>
  </si>
  <si>
    <t>Total Mensal</t>
  </si>
  <si>
    <t>Março</t>
  </si>
  <si>
    <t>Abril</t>
  </si>
  <si>
    <t>Maio</t>
  </si>
  <si>
    <t>Julho</t>
  </si>
  <si>
    <t>Agosto</t>
  </si>
  <si>
    <t>Setembro</t>
  </si>
  <si>
    <t>Outubro</t>
  </si>
  <si>
    <t>Novembro</t>
  </si>
  <si>
    <t>Dezembro</t>
  </si>
  <si>
    <t>VALOR</t>
  </si>
  <si>
    <t>TOTAL</t>
  </si>
  <si>
    <t>Junho</t>
  </si>
  <si>
    <t>LAVA_RAPIDO</t>
  </si>
  <si>
    <t>ABASTECIMENTO</t>
  </si>
  <si>
    <t>BORRACHARIA</t>
  </si>
  <si>
    <t>REGISTRO DE KM</t>
  </si>
  <si>
    <t>Rastreador</t>
  </si>
  <si>
    <t>KM MENSAL</t>
  </si>
  <si>
    <t>JAN</t>
  </si>
  <si>
    <t>FEV</t>
  </si>
  <si>
    <t>MAR</t>
  </si>
  <si>
    <t>ABR</t>
  </si>
  <si>
    <t>MAI</t>
  </si>
  <si>
    <t>JUN</t>
  </si>
  <si>
    <t>JUL</t>
  </si>
  <si>
    <t>AGO</t>
  </si>
  <si>
    <t>SET</t>
  </si>
  <si>
    <t>OUT</t>
  </si>
  <si>
    <t>NOV</t>
  </si>
  <si>
    <t>DEZ</t>
  </si>
  <si>
    <t xml:space="preserve">KM </t>
  </si>
  <si>
    <t>SALDO KM</t>
  </si>
  <si>
    <t>Medição</t>
  </si>
  <si>
    <t>CAR_30</t>
  </si>
  <si>
    <t>CAR_29</t>
  </si>
  <si>
    <t>CAR_28</t>
  </si>
  <si>
    <t>CAR_27</t>
  </si>
  <si>
    <t>CAR_26</t>
  </si>
  <si>
    <t>CAR_25</t>
  </si>
  <si>
    <t>CAR_18</t>
  </si>
  <si>
    <t>CAR_19</t>
  </si>
  <si>
    <t>CAR_20</t>
  </si>
  <si>
    <t>CAR_21</t>
  </si>
  <si>
    <t>CAR_22</t>
  </si>
  <si>
    <t>CAR_23</t>
  </si>
  <si>
    <t>CAR_24</t>
  </si>
  <si>
    <t>Lucro Car's</t>
  </si>
  <si>
    <t>HB20</t>
  </si>
  <si>
    <t>SYD0D79</t>
  </si>
  <si>
    <t>SYD0D94</t>
  </si>
  <si>
    <t>UFV IRAPURU - JANAUBA</t>
  </si>
  <si>
    <t>Data mob.</t>
  </si>
  <si>
    <t xml:space="preserve">POLO </t>
  </si>
  <si>
    <t>EX07J94</t>
  </si>
  <si>
    <t>HB20S</t>
  </si>
  <si>
    <t>SIE1B97</t>
  </si>
  <si>
    <t>POLO TRACK</t>
  </si>
  <si>
    <t xml:space="preserve">Robson km contratual 5.000 </t>
  </si>
  <si>
    <t>KM RODADO</t>
  </si>
  <si>
    <t>Thiago km contratual 5000</t>
  </si>
  <si>
    <t>Paulo km contratual 5000</t>
  </si>
  <si>
    <t>Adalberto km contratual 5000</t>
  </si>
  <si>
    <t>Danilo km contratual 5000</t>
  </si>
  <si>
    <t>Marco km contratual 5000</t>
  </si>
  <si>
    <t>ONIX - SJE5A88  - 02/03/2024</t>
  </si>
  <si>
    <t>Jacques km contratual 5000</t>
  </si>
  <si>
    <t>SJE8C04</t>
  </si>
  <si>
    <t>ONIX</t>
  </si>
  <si>
    <t>POLO</t>
  </si>
  <si>
    <t>02/03/2024 - ONIX LT - SHV4I10</t>
  </si>
  <si>
    <t xml:space="preserve">KM POLO </t>
  </si>
  <si>
    <t>04/042024</t>
  </si>
  <si>
    <t>Illichi km contratual 5000</t>
  </si>
  <si>
    <t>Carro repassado para Ivnna dia 20/04</t>
  </si>
  <si>
    <t>Wagner km contratual 5000</t>
  </si>
  <si>
    <t>Devaldo km contratual 5000</t>
  </si>
  <si>
    <t>Data desmob.20/05/2024</t>
  </si>
  <si>
    <t>SWJ7I31</t>
  </si>
  <si>
    <t>GASOLINA: 369,07</t>
  </si>
  <si>
    <t>GASOLINA: 1.454,72</t>
  </si>
  <si>
    <t>ETANOL: 331,2</t>
  </si>
  <si>
    <t>GASOLINA: 1.757,74</t>
  </si>
  <si>
    <t>ETANOL: 461,44</t>
  </si>
  <si>
    <t>GASOLINA: 2.111,78</t>
  </si>
  <si>
    <t>ETANOL: 169,56</t>
  </si>
  <si>
    <t>Claudio km contratual 5000</t>
  </si>
  <si>
    <t>GASOLINA: 2.410,38</t>
  </si>
  <si>
    <t>ETANOL: 172,99</t>
  </si>
  <si>
    <t>GTN7F62</t>
  </si>
  <si>
    <t>Pedro Paulo km contratual 5000</t>
  </si>
  <si>
    <t>Antonio Paixão km contratual 5000</t>
  </si>
  <si>
    <t>Antonio Flavio km contratual 5000</t>
  </si>
  <si>
    <t>GTN7F48</t>
  </si>
  <si>
    <t>GTN6B31 - SYX0J55</t>
  </si>
  <si>
    <t>GASOLINA: 2.769,34</t>
  </si>
  <si>
    <t>ETANOL: 293,05</t>
  </si>
  <si>
    <t>TCE7C08</t>
  </si>
  <si>
    <t>POLO - ARGO</t>
  </si>
  <si>
    <t>047/09/2024</t>
  </si>
  <si>
    <t>ARGO - HB20</t>
  </si>
  <si>
    <t>SIH3A51 - TCA5C20</t>
  </si>
  <si>
    <t>Charles km contratual 5000</t>
  </si>
  <si>
    <t>GASOLINA: 3.035,04</t>
  </si>
  <si>
    <t>ETANOL: 296,64</t>
  </si>
  <si>
    <t>SII4E16</t>
  </si>
  <si>
    <t>PEUGEOT 208</t>
  </si>
  <si>
    <t>RUG1I43 - SIS0I24</t>
  </si>
  <si>
    <t>ARGO - ONIX</t>
  </si>
  <si>
    <t>POLO - ONIX</t>
  </si>
  <si>
    <t>SSV6D80 - TCE7A63</t>
  </si>
  <si>
    <t>SYX0J57</t>
  </si>
  <si>
    <t>SIS0I24</t>
  </si>
  <si>
    <t>GASOLINA: 2.726,30</t>
  </si>
  <si>
    <t>ETANOL: 239,17</t>
  </si>
  <si>
    <t xml:space="preserve">Wesley </t>
  </si>
  <si>
    <t>Ivnna km contratual 5000</t>
  </si>
  <si>
    <t xml:space="preserve">HB20 - POLO TRACK </t>
  </si>
  <si>
    <t>SVU3A64</t>
  </si>
  <si>
    <t>GTN6E01/ POLO STL4C83( substituição 29/10/24)</t>
  </si>
  <si>
    <t>Veículo era do Adalberto e foi repassado para Chris em 30/11/2024, após sua desmobilização.</t>
  </si>
  <si>
    <t>EEK6B42 - SYX0J57 (encerrado em 16/11)</t>
  </si>
  <si>
    <t>Novembro - S10 TCT0H26</t>
  </si>
  <si>
    <t>Troca de categoria em 16/11 pela S10 TCT0H53</t>
  </si>
  <si>
    <t>Novembro S10 TCT0H53</t>
  </si>
  <si>
    <t>25/10 - SSZ3G23</t>
  </si>
  <si>
    <t>25/10/24 Alterou para o carro Polo SSZ3G23</t>
  </si>
  <si>
    <t xml:space="preserve">10/12/24 - Argo TCV9F12 </t>
  </si>
  <si>
    <t xml:space="preserve">STB1B80 </t>
  </si>
  <si>
    <t>Janeiro</t>
  </si>
  <si>
    <t xml:space="preserve">Janeiro </t>
  </si>
  <si>
    <t>20/11/2024 - S10 SHG4B20</t>
  </si>
  <si>
    <t>03/01/2025 PVR3F70</t>
  </si>
  <si>
    <t>27/12/2024TDA9D59</t>
  </si>
  <si>
    <t>Devolvido 14/02/2025</t>
  </si>
  <si>
    <t>Devolvido 24/02/2025</t>
  </si>
  <si>
    <t>Substituição</t>
  </si>
  <si>
    <t>Devolução</t>
  </si>
  <si>
    <t>Toro PVR3F70</t>
  </si>
  <si>
    <t>Argo</t>
  </si>
  <si>
    <t>TCY1C54</t>
  </si>
  <si>
    <t>4500km</t>
  </si>
  <si>
    <t>Devolução 24/02/2025</t>
  </si>
  <si>
    <t>Substituição:</t>
  </si>
  <si>
    <t>S10 TDA9D59</t>
  </si>
  <si>
    <t xml:space="preserve">    S10 QMZ5D62</t>
  </si>
  <si>
    <t>Guincho</t>
  </si>
  <si>
    <t>HB20 TCA5C22</t>
  </si>
  <si>
    <t>HB20 TDA0G27</t>
  </si>
  <si>
    <t>Novo Contrato:</t>
  </si>
  <si>
    <t>STG1F76</t>
  </si>
  <si>
    <t>06/03/2025 Polo Track</t>
  </si>
  <si>
    <t>Retirado 06/03/2025</t>
  </si>
  <si>
    <t>Polo FCS5C31 provisorio</t>
  </si>
  <si>
    <t>Devolução 19/11/2024</t>
  </si>
  <si>
    <t>Retirada 20/11/2024</t>
  </si>
  <si>
    <t>S10</t>
  </si>
  <si>
    <t>SHG4B20</t>
  </si>
  <si>
    <t>Substituição 23/01/2025</t>
  </si>
  <si>
    <t>Polo (provisorio)</t>
  </si>
  <si>
    <t>FCS5C31</t>
  </si>
  <si>
    <t>KM</t>
  </si>
  <si>
    <t>Devolução:</t>
  </si>
  <si>
    <t>Troca de Condutor:</t>
  </si>
  <si>
    <t>31/01/2025 Wesley</t>
  </si>
  <si>
    <t>Troca de categoria:      16/11 S10 TCT0H26</t>
  </si>
  <si>
    <t xml:space="preserve">Devolução </t>
  </si>
  <si>
    <t>Devolvido 06/04/2025</t>
  </si>
  <si>
    <t>RETIRADA 24/02/2025</t>
  </si>
  <si>
    <t>Devolvido 05/04/2025</t>
  </si>
  <si>
    <t>Devolução 29/03/2025</t>
  </si>
  <si>
    <t>TCV9F12</t>
  </si>
  <si>
    <t>Modelo</t>
  </si>
  <si>
    <t>TCV9F56</t>
  </si>
  <si>
    <t>Data Mob.</t>
  </si>
  <si>
    <t>31/01/2025   Data Devol.   23/07/2025</t>
  </si>
  <si>
    <t>TCU0B50</t>
  </si>
  <si>
    <t>Data Mob</t>
  </si>
  <si>
    <t>Data Dev.</t>
  </si>
  <si>
    <t>257,82 </t>
  </si>
  <si>
    <t>228,07 </t>
  </si>
  <si>
    <t>TDA0G20</t>
  </si>
  <si>
    <t>Troca de Condutor</t>
  </si>
  <si>
    <t>Condutores</t>
  </si>
  <si>
    <t>Robson para Leandro</t>
  </si>
  <si>
    <t>Data Desmob</t>
  </si>
  <si>
    <t>Substituição Veículo</t>
  </si>
  <si>
    <t>TJA7B20</t>
  </si>
  <si>
    <t>Polo</t>
  </si>
  <si>
    <t>km</t>
  </si>
  <si>
    <t>Unidas - 3s</t>
  </si>
  <si>
    <t>Consutores</t>
  </si>
  <si>
    <t>Wendel para Leandro</t>
  </si>
  <si>
    <t>TZL9C64</t>
  </si>
  <si>
    <t>unidas 3s</t>
  </si>
  <si>
    <t>Alain para Helen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</si>
</sst>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R$&quot;\ #,##0.00;[Red]\-&quot;R$&quot;\ #,##0.00"/>
    <numFmt numFmtId="44" formatCode="_-&quot;R$&quot;\ * #,##0.00_-;\-&quot;R$&quot;\ * #,##0.00_-;_-&quot;R$&quot;\ * &quot;-&quot;??_-;_-@_-"/>
    <numFmt numFmtId="164" formatCode="_-[$R$-416]\ * #,##0.00_-;\-[$R$-416]\ * #,##0.00_-;_-[$R$-416]\ * &quot;-&quot;??_-;_-@_-"/>
    <numFmt numFmtId="165" formatCode="&quot;R$&quot;\ #,##0.00"/>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theme="5"/>
      <name val="Aptos Narrow"/>
      <family val="2"/>
      <scheme val="minor"/>
    </font>
    <font>
      <b/>
      <sz val="18"/>
      <color theme="1"/>
      <name val="Aptos Narrow"/>
      <family val="2"/>
      <scheme val="minor"/>
    </font>
    <font>
      <sz val="9"/>
      <color indexed="81"/>
      <name val="Segoe UI"/>
      <family val="2"/>
    </font>
    <font>
      <b/>
      <sz val="9"/>
      <color indexed="81"/>
      <name val="Segoe UI"/>
      <family val="2"/>
    </font>
    <font>
      <sz val="11"/>
      <color rgb="FF000000"/>
      <name val="Calibri"/>
      <family val="2"/>
    </font>
    <font>
      <sz val="11"/>
      <color rgb="FFFF0000"/>
      <name val="Aptos Narrow"/>
      <family val="2"/>
      <scheme val="minor"/>
    </font>
    <font>
      <b/>
      <sz val="11"/>
      <color rgb="FFFF0000"/>
      <name val="Aptos Narrow"/>
      <family val="2"/>
      <scheme val="minor"/>
    </font>
    <font>
      <sz val="9"/>
      <color indexed="81"/>
      <name val="Segoe UI"/>
      <charset val="1"/>
    </font>
  </fonts>
  <fills count="11">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8" tint="0.39997558519241921"/>
        <bgColor indexed="64"/>
      </patternFill>
    </fill>
  </fills>
  <borders count="3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122">
    <xf numFmtId="0" fontId="0" fillId="0" borderId="0" xfId="0"/>
    <xf numFmtId="0" fontId="0" fillId="0" borderId="0" xfId="0" applyAlignment="1">
      <alignment horizontal="center"/>
    </xf>
    <xf numFmtId="14" fontId="0" fillId="0" borderId="0" xfId="0" applyNumberFormat="1"/>
    <xf numFmtId="0" fontId="2" fillId="0" borderId="0" xfId="0" applyFont="1"/>
    <xf numFmtId="0" fontId="0" fillId="0" borderId="5" xfId="0" applyBorder="1"/>
    <xf numFmtId="0" fontId="0" fillId="0" borderId="6" xfId="0" applyBorder="1"/>
    <xf numFmtId="0" fontId="2" fillId="0" borderId="12" xfId="0" applyFont="1" applyBorder="1"/>
    <xf numFmtId="14" fontId="2" fillId="0" borderId="13" xfId="0" applyNumberFormat="1" applyFont="1" applyBorder="1"/>
    <xf numFmtId="14" fontId="2" fillId="0" borderId="0" xfId="0" applyNumberFormat="1" applyFont="1"/>
    <xf numFmtId="14" fontId="0" fillId="0" borderId="4"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0" xfId="0" applyNumberFormat="1"/>
    <xf numFmtId="0" fontId="4" fillId="3" borderId="0" xfId="0" applyFont="1" applyFill="1" applyAlignment="1">
      <alignment horizontal="center"/>
    </xf>
    <xf numFmtId="0" fontId="0" fillId="3" borderId="0" xfId="0" applyFill="1"/>
    <xf numFmtId="0" fontId="2" fillId="3" borderId="0" xfId="0" applyFont="1" applyFill="1" applyAlignment="1">
      <alignment horizontal="center"/>
    </xf>
    <xf numFmtId="14" fontId="0" fillId="3" borderId="0" xfId="0" applyNumberFormat="1" applyFill="1"/>
    <xf numFmtId="14" fontId="2" fillId="3" borderId="0" xfId="0" applyNumberFormat="1" applyFont="1" applyFill="1" applyAlignment="1">
      <alignment horizontal="center"/>
    </xf>
    <xf numFmtId="0" fontId="2" fillId="0" borderId="0" xfId="0" applyFont="1" applyAlignment="1">
      <alignment horizontal="right"/>
    </xf>
    <xf numFmtId="0" fontId="0" fillId="0" borderId="17" xfId="0" applyBorder="1"/>
    <xf numFmtId="0" fontId="0" fillId="0" borderId="18" xfId="0" applyBorder="1"/>
    <xf numFmtId="0" fontId="2" fillId="0" borderId="3" xfId="0" applyFont="1" applyBorder="1" applyAlignment="1">
      <alignment horizontal="center"/>
    </xf>
    <xf numFmtId="0" fontId="2" fillId="0" borderId="3" xfId="0" applyFont="1" applyBorder="1"/>
    <xf numFmtId="0" fontId="2" fillId="0" borderId="23" xfId="0" applyFont="1" applyBorder="1"/>
    <xf numFmtId="0" fontId="2" fillId="0" borderId="24" xfId="0" applyFont="1" applyBorder="1"/>
    <xf numFmtId="0" fontId="0" fillId="0" borderId="16" xfId="0" applyBorder="1" applyAlignment="1">
      <alignment horizontal="center"/>
    </xf>
    <xf numFmtId="0" fontId="0" fillId="0" borderId="17" xfId="0" applyBorder="1" applyAlignment="1">
      <alignment horizontal="center"/>
    </xf>
    <xf numFmtId="0" fontId="2" fillId="0" borderId="12" xfId="0" applyFont="1" applyBorder="1" applyAlignment="1">
      <alignment horizontal="left"/>
    </xf>
    <xf numFmtId="14" fontId="2" fillId="0" borderId="13" xfId="0" applyNumberFormat="1" applyFont="1" applyBorder="1" applyAlignment="1">
      <alignment horizontal="left"/>
    </xf>
    <xf numFmtId="44" fontId="0" fillId="0" borderId="9" xfId="1" applyFont="1" applyBorder="1"/>
    <xf numFmtId="44" fontId="0" fillId="0" borderId="10" xfId="1" applyFont="1" applyBorder="1"/>
    <xf numFmtId="44" fontId="0" fillId="0" borderId="11" xfId="1" applyFont="1" applyBorder="1"/>
    <xf numFmtId="0" fontId="2" fillId="0" borderId="23" xfId="0" applyFont="1" applyBorder="1" applyAlignment="1">
      <alignment horizontal="center"/>
    </xf>
    <xf numFmtId="0" fontId="2" fillId="0" borderId="22" xfId="0" applyFont="1" applyBorder="1" applyAlignment="1">
      <alignment horizontal="center"/>
    </xf>
    <xf numFmtId="164" fontId="0" fillId="0" borderId="2" xfId="0" applyNumberFormat="1" applyBorder="1"/>
    <xf numFmtId="164" fontId="0" fillId="0" borderId="8" xfId="0" applyNumberFormat="1" applyBorder="1"/>
    <xf numFmtId="0" fontId="2" fillId="0" borderId="19" xfId="0" applyFont="1" applyBorder="1"/>
    <xf numFmtId="0" fontId="2" fillId="0" borderId="25" xfId="0" applyFont="1" applyBorder="1"/>
    <xf numFmtId="0" fontId="2" fillId="0" borderId="20" xfId="0" applyFont="1" applyBorder="1"/>
    <xf numFmtId="164" fontId="0" fillId="0" borderId="15" xfId="0" applyNumberFormat="1" applyBorder="1"/>
    <xf numFmtId="164" fontId="0" fillId="0" borderId="27" xfId="0" applyNumberFormat="1" applyBorder="1"/>
    <xf numFmtId="0" fontId="0" fillId="0" borderId="15"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18" xfId="1" applyFont="1" applyBorder="1"/>
    <xf numFmtId="44" fontId="0" fillId="0" borderId="21" xfId="1" applyFont="1" applyBorder="1"/>
    <xf numFmtId="44" fontId="0" fillId="0" borderId="3" xfId="1" applyFont="1" applyBorder="1"/>
    <xf numFmtId="0" fontId="0" fillId="0" borderId="23" xfId="0" applyBorder="1"/>
    <xf numFmtId="0" fontId="0" fillId="0" borderId="3" xfId="0" applyBorder="1"/>
    <xf numFmtId="0" fontId="2" fillId="2" borderId="0" xfId="0" applyFont="1" applyFill="1"/>
    <xf numFmtId="44" fontId="0" fillId="0" borderId="1" xfId="1" applyFont="1" applyBorder="1"/>
    <xf numFmtId="0" fontId="2" fillId="0" borderId="22" xfId="0" applyFont="1" applyBorder="1"/>
    <xf numFmtId="44" fontId="0" fillId="0" borderId="16" xfId="1" applyFont="1" applyBorder="1"/>
    <xf numFmtId="44" fontId="0" fillId="0" borderId="17" xfId="1" applyFont="1" applyBorder="1"/>
    <xf numFmtId="0" fontId="0" fillId="0" borderId="4" xfId="0" applyBorder="1" applyAlignment="1">
      <alignment horizontal="center"/>
    </xf>
    <xf numFmtId="0" fontId="0" fillId="0" borderId="5" xfId="0" applyBorder="1" applyAlignment="1">
      <alignment horizontal="center"/>
    </xf>
    <xf numFmtId="164" fontId="0" fillId="0" borderId="5" xfId="0" applyNumberFormat="1" applyBorder="1"/>
    <xf numFmtId="164" fontId="0" fillId="0" borderId="6" xfId="0" applyNumberFormat="1" applyBorder="1"/>
    <xf numFmtId="44" fontId="0" fillId="0" borderId="16" xfId="0" applyNumberFormat="1" applyBorder="1"/>
    <xf numFmtId="0" fontId="2" fillId="8" borderId="22" xfId="0" applyFont="1" applyFill="1" applyBorder="1"/>
    <xf numFmtId="0" fontId="2" fillId="9" borderId="22" xfId="0" applyFont="1" applyFill="1" applyBorder="1"/>
    <xf numFmtId="0" fontId="2" fillId="10" borderId="23" xfId="0" applyFont="1" applyFill="1" applyBorder="1"/>
    <xf numFmtId="14" fontId="0" fillId="0" borderId="5" xfId="0" applyNumberFormat="1" applyBorder="1"/>
    <xf numFmtId="14" fontId="0" fillId="0" borderId="1" xfId="1" applyNumberFormat="1" applyFont="1" applyBorder="1"/>
    <xf numFmtId="14" fontId="0" fillId="0" borderId="5" xfId="0" applyNumberFormat="1" applyBorder="1" applyAlignment="1">
      <alignment horizontal="center"/>
    </xf>
    <xf numFmtId="44" fontId="0" fillId="0" borderId="0" xfId="0" applyNumberFormat="1"/>
    <xf numFmtId="44" fontId="0" fillId="0" borderId="0" xfId="1" applyFont="1" applyBorder="1"/>
    <xf numFmtId="0" fontId="2" fillId="3" borderId="0" xfId="0" applyFont="1" applyFill="1"/>
    <xf numFmtId="44" fontId="0" fillId="0" borderId="2" xfId="1" applyFont="1" applyBorder="1"/>
    <xf numFmtId="44" fontId="0" fillId="0" borderId="15" xfId="0" applyNumberFormat="1" applyBorder="1"/>
    <xf numFmtId="44" fontId="0" fillId="0" borderId="15" xfId="1" applyFont="1" applyBorder="1"/>
    <xf numFmtId="14" fontId="0" fillId="0" borderId="6" xfId="0" applyNumberFormat="1" applyBorder="1"/>
    <xf numFmtId="0" fontId="0" fillId="0" borderId="28" xfId="0" applyBorder="1" applyAlignment="1">
      <alignment horizontal="center"/>
    </xf>
    <xf numFmtId="0" fontId="0" fillId="0" borderId="21" xfId="0" applyBorder="1" applyAlignment="1">
      <alignment horizontal="center"/>
    </xf>
    <xf numFmtId="3" fontId="0" fillId="0" borderId="0" xfId="0" applyNumberFormat="1"/>
    <xf numFmtId="44" fontId="0" fillId="0" borderId="28" xfId="1" applyFont="1" applyBorder="1"/>
    <xf numFmtId="0" fontId="9" fillId="0" borderId="5" xfId="0" applyFont="1" applyBorder="1"/>
    <xf numFmtId="0" fontId="2" fillId="0" borderId="29" xfId="0" applyFont="1" applyBorder="1" applyAlignment="1">
      <alignment horizontal="center"/>
    </xf>
    <xf numFmtId="0" fontId="10" fillId="0" borderId="0" xfId="0" applyFont="1"/>
    <xf numFmtId="0" fontId="11" fillId="0" borderId="0" xfId="0" applyFont="1" applyAlignment="1">
      <alignment horizontal="right"/>
    </xf>
    <xf numFmtId="0" fontId="0" fillId="0" borderId="1" xfId="0" applyBorder="1" applyAlignment="1">
      <alignment horizontal="center"/>
    </xf>
    <xf numFmtId="0" fontId="10" fillId="0" borderId="0" xfId="0" applyFont="1" applyAlignment="1">
      <alignment horizontal="right"/>
    </xf>
    <xf numFmtId="14" fontId="10" fillId="0" borderId="1" xfId="1" applyNumberFormat="1" applyFont="1" applyBorder="1"/>
    <xf numFmtId="14" fontId="0" fillId="0" borderId="1" xfId="0" applyNumberFormat="1" applyBorder="1" applyAlignment="1">
      <alignment horizontal="center"/>
    </xf>
    <xf numFmtId="0" fontId="10" fillId="0" borderId="17" xfId="0" applyFont="1" applyBorder="1" applyAlignment="1">
      <alignment horizontal="center"/>
    </xf>
    <xf numFmtId="14" fontId="0" fillId="0" borderId="0" xfId="0" applyNumberFormat="1" applyAlignment="1">
      <alignment horizontal="center"/>
    </xf>
    <xf numFmtId="0" fontId="0" fillId="0" borderId="0" xfId="0" applyAlignment="1">
      <alignment horizontal="right"/>
    </xf>
    <xf numFmtId="16" fontId="0" fillId="0" borderId="5" xfId="0" applyNumberFormat="1" applyBorder="1"/>
    <xf numFmtId="0" fontId="0" fillId="0" borderId="1" xfId="1" applyNumberFormat="1" applyFont="1" applyBorder="1"/>
    <xf numFmtId="4" fontId="0" fillId="0" borderId="0" xfId="0" applyNumberFormat="1"/>
    <xf numFmtId="165" fontId="0" fillId="0" borderId="0" xfId="0" applyNumberFormat="1"/>
    <xf numFmtId="14" fontId="0" fillId="0" borderId="1" xfId="1" applyNumberFormat="1" applyFont="1" applyBorder="1" applyAlignment="1">
      <alignment horizontal="center"/>
    </xf>
    <xf numFmtId="0" fontId="0" fillId="0" borderId="1" xfId="1" applyNumberFormat="1" applyFont="1" applyBorder="1" applyAlignment="1">
      <alignment horizontal="center"/>
    </xf>
    <xf numFmtId="0" fontId="9" fillId="0" borderId="30" xfId="0" applyFont="1" applyBorder="1" applyAlignment="1">
      <alignment horizontal="center" vertical="center"/>
    </xf>
    <xf numFmtId="0" fontId="2" fillId="0" borderId="0" xfId="0" applyFont="1" applyAlignment="1">
      <alignment horizontal="right" vertical="center"/>
    </xf>
    <xf numFmtId="14" fontId="1" fillId="0" borderId="1" xfId="1" applyNumberFormat="1" applyFont="1" applyBorder="1" applyAlignment="1">
      <alignment horizontal="center"/>
    </xf>
    <xf numFmtId="0" fontId="2" fillId="0" borderId="0" xfId="0" applyFont="1" applyAlignment="1">
      <alignment horizontal="right" vertical="center"/>
    </xf>
    <xf numFmtId="0" fontId="2" fillId="4" borderId="14" xfId="0" applyFont="1" applyFill="1" applyBorder="1" applyAlignment="1">
      <alignment horizontal="center"/>
    </xf>
    <xf numFmtId="0" fontId="2" fillId="5" borderId="0" xfId="0" applyFont="1" applyFill="1" applyAlignment="1">
      <alignment horizontal="center"/>
    </xf>
    <xf numFmtId="0" fontId="2" fillId="6" borderId="14" xfId="0" applyFont="1" applyFill="1" applyBorder="1" applyAlignment="1">
      <alignment horizontal="center"/>
    </xf>
    <xf numFmtId="0" fontId="2" fillId="7" borderId="14" xfId="0" applyFont="1" applyFill="1" applyBorder="1" applyAlignment="1">
      <alignment horizontal="center"/>
    </xf>
    <xf numFmtId="14" fontId="2" fillId="2" borderId="0" xfId="0" applyNumberFormat="1" applyFont="1" applyFill="1" applyAlignment="1">
      <alignment horizontal="center"/>
    </xf>
    <xf numFmtId="0" fontId="2" fillId="2" borderId="0" xfId="0" applyFont="1" applyFill="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4" fillId="2" borderId="0" xfId="0" applyFont="1" applyFill="1" applyAlignment="1">
      <alignment horizontal="center"/>
    </xf>
    <xf numFmtId="14" fontId="0" fillId="0" borderId="1" xfId="0" applyNumberFormat="1" applyBorder="1" applyAlignment="1">
      <alignment horizontal="center"/>
    </xf>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2" fillId="2" borderId="14" xfId="0" applyFont="1" applyFill="1" applyBorder="1" applyAlignment="1">
      <alignment horizontal="center"/>
    </xf>
    <xf numFmtId="165" fontId="0" fillId="0" borderId="1" xfId="0" applyNumberFormat="1" applyBorder="1" applyAlignment="1">
      <alignment horizontal="center"/>
    </xf>
    <xf numFmtId="14" fontId="0" fillId="0" borderId="1" xfId="0" applyNumberFormat="1" applyBorder="1" applyAlignment="1">
      <alignment horizontal="left"/>
    </xf>
    <xf numFmtId="0" fontId="0" fillId="0" borderId="1" xfId="0" applyBorder="1" applyAlignment="1">
      <alignment horizontal="left"/>
    </xf>
    <xf numFmtId="8" fontId="0" fillId="0" borderId="1" xfId="0" applyNumberFormat="1" applyBorder="1" applyAlignment="1">
      <alignment horizontal="center"/>
    </xf>
    <xf numFmtId="14" fontId="10" fillId="0" borderId="1" xfId="0" applyNumberFormat="1" applyFont="1" applyBorder="1" applyAlignment="1">
      <alignment horizontal="center"/>
    </xf>
    <xf numFmtId="0" fontId="10" fillId="0" borderId="1" xfId="0" applyFont="1" applyBorder="1" applyAlignment="1">
      <alignment horizontal="center"/>
    </xf>
    <xf numFmtId="17" fontId="2" fillId="4" borderId="14" xfId="0" applyNumberFormat="1" applyFont="1" applyFill="1" applyBorder="1" applyAlignment="1">
      <alignment horizont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17/10/relationships/person" Target="persons/perso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Despesas Carros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RESUMO!$A$6</c:f>
              <c:strCache>
                <c:ptCount val="1"/>
                <c:pt idx="0">
                  <c:v>ABASTECIMENTO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RESUMO!$B$6:$M$6</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23D-4505-9075-AF1DF82A958E}"/>
            </c:ext>
          </c:extLst>
        </c:ser>
        <c:ser>
          <c:idx val="1"/>
          <c:order val="1"/>
          <c:tx>
            <c:strRef>
              <c:f>RESUMO!$A$9</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RESUMO!$B$9:$M$9</c:f>
              <c:numCache>
                <c:formatCode>General</c:formatCode>
                <c:ptCount val="12"/>
              </c:numCache>
            </c:numRef>
          </c:val>
          <c:extLst>
            <c:ext xmlns:c16="http://schemas.microsoft.com/office/drawing/2014/chart" uri="{C3380CC4-5D6E-409C-BE32-E72D297353CC}">
              <c16:uniqueId val="{00000001-323D-4505-9075-AF1DF82A958E}"/>
            </c:ext>
          </c:extLst>
        </c:ser>
        <c:ser>
          <c:idx val="2"/>
          <c:order val="2"/>
          <c:tx>
            <c:strRef>
              <c:f>RESUMO!$A$10</c:f>
              <c:strCache>
                <c:ptCount val="1"/>
                <c:pt idx="0">
                  <c:v>LAVA_RAPIDO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RESUMO!$B$10:$M$10</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23D-4505-9075-AF1DF82A958E}"/>
            </c:ext>
          </c:extLst>
        </c:ser>
        <c:ser>
          <c:idx val="3"/>
          <c:order val="3"/>
          <c:tx>
            <c:strRef>
              <c:f>RESUMO!$A$11</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RESUMO!$B$11:$M$11</c:f>
              <c:numCache>
                <c:formatCode>General</c:formatCode>
                <c:ptCount val="12"/>
              </c:numCache>
            </c:numRef>
          </c:val>
          <c:extLst>
            <c:ext xmlns:c16="http://schemas.microsoft.com/office/drawing/2014/chart" uri="{C3380CC4-5D6E-409C-BE32-E72D297353CC}">
              <c16:uniqueId val="{00000003-323D-4505-9075-AF1DF82A958E}"/>
            </c:ext>
          </c:extLst>
        </c:ser>
        <c:ser>
          <c:idx val="4"/>
          <c:order val="4"/>
          <c:tx>
            <c:strRef>
              <c:f>RESUMO!$A$12</c:f>
              <c:strCache>
                <c:ptCount val="1"/>
                <c:pt idx="0">
                  <c:v>BORRACHARIA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RESUMO!$B$12:$M$12</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323D-4505-9075-AF1DF82A958E}"/>
            </c:ext>
          </c:extLst>
        </c:ser>
        <c:ser>
          <c:idx val="5"/>
          <c:order val="5"/>
          <c:tx>
            <c:strRef>
              <c:f>RESUMO!$B$5</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RESUMO!$C$5:$M$5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323D-4505-9075-AF1DF82A958E}"/>
            </c:ext>
          </c:extLst>
        </c:ser>
        <c:dLbls>
          <c:showLegendKey val="0"/>
          <c:showVal val="0"/>
          <c:showCatName val="0"/>
          <c:showSerName val="0"/>
          <c:showPercent val="0"/>
          <c:showBubbleSize val="0"/>
        </c:dLbls>
        <c:gapWidth val="150"/>
        <c:shape val="box"/>
        <c:axId val="2114339472"/>
        <c:axId val="2114330768"/>
        <c:axId val="0"/>
      </c:bar3DChart>
      <c:catAx>
        <c:axId val="2114339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0768"/>
        <c:crosses val="autoZero"/>
        <c:auto val="1"/>
        <c:lblAlgn val="ctr"/>
        <c:lblOffset val="100"/>
        <c:noMultiLvlLbl val="0"/>
      </c:catAx>
      <c:valAx>
        <c:axId val="2114330768"/>
        <c:scaling>
          <c:orientation val="minMax"/>
        </c:scaling>
        <c:delete val="0"/>
        <c:axPos val="l"/>
        <c:majorGridlines>
          <c:spPr>
            <a:ln w="9525" cap="flat" cmpd="sng" algn="ctr">
              <a:solidFill>
                <a:schemeClr val="dk1">
                  <a:lumMod val="50000"/>
                  <a:lumOff val="5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9472"/>
        <c:crosses val="autoZero"/>
        <c:crossBetween val="between"/>
      </c:valAx>
      <c:spPr>
        <a:noFill/>
        <a:ln>
          <a:noFill/>
        </a:ln>
        <a:effectLst/>
      </c:spPr>
    </c:plotArea>
    <c:legend>
      <c:legendPos val="b"/>
      <c:legendEntry>
        <c:idx val="1"/>
        <c:delete val="1"/>
      </c:legendEntry>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209549</xdr:colOff>
      <xdr:row>3</xdr:row>
      <xdr:rowOff>133350</xdr:rowOff>
    </xdr:from>
    <xdr:to>
      <xdr:col>24</xdr:col>
      <xdr:colOff>523874</xdr:colOff>
      <xdr:row>32</xdr:row>
      <xdr:rowOff>171450</xdr:rowOff>
    </xdr:to>
    <xdr:graphicFrame macro="">
      <xdr:nvGraphicFramePr>
        <xdr:cNvPr id="2" name="Gráfico 1">
          <a:extLst>
            <a:ext uri="{FF2B5EF4-FFF2-40B4-BE49-F238E27FC236}">
              <a16:creationId xmlns:a16="http://schemas.microsoft.com/office/drawing/2014/main" id="{154A4A2E-D4CB-C803-45D9-E7D769F79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Office 6" id="{FB8202A1-5BA5-4427-BC9E-090B2554FB27}" userId="S::office.6@proyfebrasil.com.br::fdc362f8-eb02-4ca9-bcee-c84e19200558"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3" dT="2026-06-04T12:00:36.21" personId="{FB8202A1-5BA5-4427-BC9E-090B2554FB27}" id="{2502B6DE-FADE-49D1-BD1C-AA29DA89DCDD}">
    <text xml:space="preserve">Condutor anterior era o Wendel, mas na desmobilização dele em 22/05/26 o veículo foi repassado para o Leandro Mattos - comunicado a equipe de Frotas na segunda 25/05/26
</text>
  </threadedComment>
  <threadedComment ref="D20" dT="2026-04-30T17:51:19.24" personId="{FB8202A1-5BA5-4427-BC9E-090B2554FB27}" id="{EFB23EA1-F246-4209-84EC-E626265334AB}">
    <text>Locação 19/04/2026</text>
  </threadedComment>
</ThreadedComments>
</file>

<file path=xl/threadedComments/threadedComment2.xml><?xml version="1.0" encoding="utf-8"?>
<ThreadedComments xmlns="http://schemas.microsoft.com/office/spreadsheetml/2018/threadedcomments" xmlns:x="http://schemas.openxmlformats.org/spreadsheetml/2006/main">
  <threadedComment ref="I3" dT="2026-06-04T12:00:36.21" personId="{FB8202A1-5BA5-4427-BC9E-090B2554FB27}" id="{8C826D2A-3473-4810-94CC-1126AD723325}">
    <text xml:space="preserve">Veículo locado por Alain em 06/06/26 e ao chegar no projeto o Leandro solicitou que seja repassado para a Helen 09/06/2026
</text>
  </threadedComment>
  <threadedComment ref="B28" dT="2026-06-12T12:24:49.45" personId="{FB8202A1-5BA5-4427-BC9E-090B2554FB27}" id="{B3155851-7DF1-4C25-B4DB-454C7CE52516}">
    <text>Locado 06/06/26</text>
  </threadedComment>
</ThreadedComments>
</file>

<file path=xl/threadedComments/threadedComment3.xml><?xml version="1.0" encoding="utf-8"?>
<ThreadedComments xmlns="http://schemas.microsoft.com/office/spreadsheetml/2018/threadedcomments" xmlns:x="http://schemas.openxmlformats.org/spreadsheetml/2006/main">
  <threadedComment ref="E3" dT="2026-04-22T14:31:56.77" personId="{FB8202A1-5BA5-4427-BC9E-090B2554FB27}" id="{110DCC61-831D-48E0-B2D1-DA09CF0FDAF4}">
    <text xml:space="preserve">Guinchado 18/04/26 e taxi para retirada de novo veículo agendado para 19/04/2026.
Motivo da solicitação de guincho Argo TCU0B50: 
no final da tarde da segunda 14/04/26 o veículo apresentou barulho estranho oriundo do motor, foi realizada a lavagem do carro e na terça o carro passou o dia na oficina Lider Pneus (credenciada à Unidas) aguardando diagnostico e no dia seguinte o mecânico informou que o barulho é no motor e que precisaria abrir para entender se o problema é na corrente, mas lá eles não fazem o serviço e devido a suspeita, foi indicado a solicitação de guincho porque a locadora não tem outra oficina cadastrada na cidade. 
</text>
  </threadedComment>
  <threadedComment ref="I3" dT="2026-04-22T14:22:00.76" personId="{FB8202A1-5BA5-4427-BC9E-090B2554FB27}" id="{32FEA7C5-ED2F-49ED-AB16-D5A4EB6097B3}">
    <text>Robson saiu do projeto e o veículo ficou com o Leandro</text>
  </threadedComment>
  <threadedComment ref="I3" dT="2026-04-22T14:29:18.79" personId="{FB8202A1-5BA5-4427-BC9E-090B2554FB27}" id="{69244660-C05B-422F-8451-BFFD9D5B935B}" parentId="{32FEA7C5-ED2F-49ED-AB16-D5A4EB6097B3}">
    <text xml:space="preserve">TCU0B50 era do Robson Costa, mas ao sair do projeto em 10/04/2026 foi repassado para o Leandro, em 18/04/26 o veículo foi guinchado e o táxi para retirada do novo carro ficou agendado para o domingo 19/04/26 e a locação ocorreu por Wendel
</text>
  </threadedComment>
  <threadedComment ref="K6" dT="2026-04-22T14:23:58.82" personId="{FB8202A1-5BA5-4427-BC9E-090B2554FB27}" id="{9A33113B-5B7B-4954-98A8-183ECD1F5B00}">
    <text xml:space="preserve">Motivo da solicitação de guincho Argo TCU0B50: 
no final da tarde da segunda 14/04/26 o veículo apresentou barulho estranho oriundo do motor, foi realizada a lavagem do carro e na terça o carro passou o dia na oficina Lider Pneus (credenciada à Unidas) aguardando diagnostico e no dia seguinte o mecânico informou que o barulho é no motor e que precisaria abrir para entender se o problema é na corrente, mas lá eles não fazem o serviço e devido a suspeita, foi indicado a solicitação de guincho porque a locadora não tem outra oficina cadastrada na cidade. 
</text>
  </threadedComment>
  <threadedComment ref="E61" dT="2026-03-05T16:45:21.84" personId="{FB8202A1-5BA5-4427-BC9E-090B2554FB27}" id="{E0EF42F8-D6BF-4A2B-AF28-B3541E5296CF}">
    <text>Km incompleto, até o dia 12/02/26</text>
  </threadedComment>
  <threadedComment ref="E69" dT="2026-04-30T17:25:20.25" personId="{FB8202A1-5BA5-4427-BC9E-090B2554FB27}" id="{87AACF4A-8047-44B5-93D1-EA53A1971742}">
    <text>Guincho 18/04/2026</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1"/>
  <sheetViews>
    <sheetView showGridLines="0" workbookViewId="0">
      <selection activeCell="J25" sqref="J25"/>
    </sheetView>
  </sheetViews>
  <sheetFormatPr defaultRowHeight="15" x14ac:dyDescent="0.25"/>
  <cols>
    <col min="1" max="1" width="20.140625" bestFit="1" customWidth="1"/>
    <col min="2" max="2" width="13.28515625" bestFit="1" customWidth="1"/>
    <col min="3" max="3" width="18.140625" bestFit="1" customWidth="1"/>
    <col min="4" max="8" width="19.7109375" bestFit="1" customWidth="1"/>
    <col min="9" max="9" width="19.42578125" customWidth="1"/>
    <col min="10" max="10" width="19.7109375" bestFit="1" customWidth="1"/>
    <col min="11" max="13" width="13.28515625" bestFit="1" customWidth="1"/>
  </cols>
  <sheetData>
    <row r="1" spans="1:25" x14ac:dyDescent="0.25">
      <c r="A1" s="112" t="s">
        <v>63</v>
      </c>
      <c r="B1" s="113"/>
      <c r="C1" s="113"/>
      <c r="D1" s="113"/>
      <c r="E1" s="113"/>
      <c r="F1" s="113"/>
      <c r="G1" s="113"/>
      <c r="H1" s="113"/>
      <c r="I1" s="113"/>
      <c r="J1" s="113"/>
      <c r="K1" s="113"/>
      <c r="L1" s="113"/>
      <c r="M1" s="113"/>
      <c r="N1" s="113"/>
      <c r="O1" s="113"/>
      <c r="P1" s="113"/>
      <c r="Q1" s="113"/>
      <c r="R1" s="113"/>
      <c r="S1" s="113"/>
      <c r="T1" s="113"/>
      <c r="U1" s="113"/>
      <c r="V1" s="113"/>
      <c r="W1" s="113"/>
      <c r="X1" s="113"/>
      <c r="Y1" s="113"/>
    </row>
    <row r="2" spans="1:25" x14ac:dyDescent="0.25">
      <c r="A2" s="113"/>
      <c r="B2" s="113"/>
      <c r="C2" s="113"/>
      <c r="D2" s="113"/>
      <c r="E2" s="113"/>
      <c r="F2" s="113"/>
      <c r="G2" s="113"/>
      <c r="H2" s="113"/>
      <c r="I2" s="113"/>
      <c r="J2" s="113"/>
      <c r="K2" s="113"/>
      <c r="L2" s="113"/>
      <c r="M2" s="113"/>
      <c r="N2" s="113"/>
      <c r="O2" s="113"/>
      <c r="P2" s="113"/>
      <c r="Q2" s="113"/>
      <c r="R2" s="113"/>
      <c r="S2" s="113"/>
      <c r="T2" s="113"/>
      <c r="U2" s="113"/>
      <c r="V2" s="113"/>
      <c r="W2" s="113"/>
      <c r="X2" s="113"/>
      <c r="Y2" s="113"/>
    </row>
    <row r="5" spans="1:25" ht="15.75" thickBot="1" x14ac:dyDescent="0.3">
      <c r="B5" s="53" t="s">
        <v>31</v>
      </c>
      <c r="C5" s="53" t="s">
        <v>32</v>
      </c>
      <c r="D5" s="53" t="s">
        <v>33</v>
      </c>
      <c r="E5" s="53" t="s">
        <v>34</v>
      </c>
      <c r="F5" s="53" t="s">
        <v>35</v>
      </c>
      <c r="G5" s="53" t="s">
        <v>36</v>
      </c>
      <c r="H5" s="53" t="s">
        <v>37</v>
      </c>
      <c r="I5" s="53" t="s">
        <v>38</v>
      </c>
      <c r="J5" s="53" t="s">
        <v>39</v>
      </c>
      <c r="K5" s="53" t="s">
        <v>40</v>
      </c>
      <c r="L5" s="53" t="s">
        <v>41</v>
      </c>
      <c r="M5" s="53" t="s">
        <v>42</v>
      </c>
    </row>
    <row r="6" spans="1:25" ht="15.75" thickBot="1" x14ac:dyDescent="0.3">
      <c r="A6" s="63" t="s">
        <v>26</v>
      </c>
      <c r="B6" s="62">
        <f>SUM('Controle Central'!D4+'Controle Central'!K4+'Controle Central'!R4+'Controle Central'!Y4+'Controle Central'!D23+'Controle Central'!K23+'Controle Central'!R23+'Controle Central'!Y23+'Controle Central'!D42+'Controle Central'!K42+'Controle Central'!R42+'Controle Central'!Y42+'Controle Central'!D61+'Controle Central'!K61+'Controle Central'!R61+'Controle Central'!Y61+'Controle Central'!D80+'Controle Central'!K80+'Controle Central'!R80+'Controle Central'!Y80+'Controle Central'!D98+'Controle Central'!K98+'Controle Central'!R98+'Controle Central'!Y98+'Controle Central'!D116+'Controle Central'!K116+'Controle Central'!R116+'Controle Central'!Y116+'Controle Central'!D134+'Controle Central'!K134)</f>
        <v>0</v>
      </c>
      <c r="C6" s="62" t="e">
        <f>SUM('Controle Central'!D5+'Controle Central'!K5+'Controle Central'!R5+'Controle Central'!Y5+'Controle Central'!D24+'Controle Central'!K24+'Controle Central'!R24+'Controle Central'!Y24+'Controle Central'!D43+'Controle Central'!K43+'Controle Central'!R43+'Controle Central'!Y43+'Controle Central'!D62+'Controle Central'!K62+'Controle Central'!R62+'Controle Central'!Y62+'Controle Central'!D81+'Controle Central'!K81+'Controle Central'!R81+'Controle Central'!D99+'Controle Central'!K99+'Controle Central'!R99+'Controle Central'!Y99+'Controle Central'!D117+'Controle Central'!K117+'Controle Central'!R117+'Controle Central'!Y117+'Controle Central'!D135+'Controle Central'!K135)</f>
        <v>#REF!</v>
      </c>
      <c r="D6" s="57" t="e">
        <f>SUM('Controle Central'!D6+'Controle Central'!K6+'Controle Central'!R6+'Controle Central'!Y6+'Controle Central'!D25+'Controle Central'!K25+'Controle Central'!R25+'Controle Central'!Y25+'Controle Central'!D44+'Controle Central'!K44+'Controle Central'!R44+'Controle Central'!Y44+'Controle Central'!D63+'Controle Central'!K63+'Controle Central'!R63+'Controle Central'!Y63+'Controle Central'!D82+'Controle Central'!K82+'Controle Central'!R82+'Controle Central'!Y82+'Controle Central'!D100+'Controle Central'!K100+'Controle Central'!R100+'Controle Central'!Y100+'Controle Central'!D118+'Controle Central'!K118+'Controle Central'!R118+'Controle Central'!Y118+'Controle Central'!D136+'Controle Central'!K136)</f>
        <v>#REF!</v>
      </c>
      <c r="E6" s="57" t="e">
        <f>'Controle Central'!D7+'Controle Central'!K7+'Controle Central'!R7+'Controle Central'!Y7+'Controle Central'!D26+'Controle Central'!K26+'Controle Central'!R26+'Controle Central'!Y26+'Controle Central'!D45+'Controle Central'!K45+'Controle Central'!R45+'Controle Central'!Y45+'Controle Central'!D64+'Controle Central'!K64+'Controle Central'!R64+'Controle Central'!D83+'Controle Central'!K83+'Controle Central'!R83+'Controle Central'!Y83+'Controle Central'!D101+'Controle Central'!K101+'Controle Central'!R101+'Controle Central'!Y101+'Controle Central'!D119+'Controle Central'!K119+'Controle Central'!R119+'Controle Central'!Y119+'Controle Central'!D137+'Controle Central'!K137</f>
        <v>#REF!</v>
      </c>
      <c r="F6" s="57" t="e">
        <f>SUM('Controle Central'!D8+'Controle Central'!K8+'Controle Central'!R8+'Controle Central'!Y8+'Controle Central'!D27+'Controle Central'!K27+'Controle Central'!R27+'Controle Central'!Y27+'Controle Central'!D46+'Controle Central'!K46+'Controle Central'!R46+'Controle Central'!Y46+'Controle Central'!D65+'Controle Central'!K65+'Controle Central'!R65+'Controle Central'!Y65+'Controle Central'!D84+'Controle Central'!K84+'Controle Central'!R84+'Controle Central'!Y84+'Controle Central'!D102+'Controle Central'!K102+'Controle Central'!R102+'Controle Central'!Y102+'Controle Central'!D120+'Controle Central'!K120+'Controle Central'!R120+'Controle Central'!Y120+'Controle Central'!D138+'Controle Central'!K138)</f>
        <v>#REF!</v>
      </c>
      <c r="G6" s="57" t="e">
        <f>SUM('Controle Central'!D9+'Controle Central'!K9+'Controle Central'!R9+'Controle Central'!Y9+'Controle Central'!D28+'Controle Central'!K28+'Controle Central'!R28+'Controle Central'!Y28+'Controle Central'!D47+'Controle Central'!K47+'Controle Central'!R47+'Controle Central'!Y47+'Controle Central'!D66+'Controle Central'!K66+'Controle Central'!R66+'Controle Central'!Y66+'Controle Central'!D85+'Controle Central'!K85+'Controle Central'!R85+'Controle Central'!Y85+'Controle Central'!D103+'Controle Central'!K103+'Controle Central'!R103+'Controle Central'!Y103+'Controle Central'!D121+'Controle Central'!K121+'Controle Central'!R121+'Controle Central'!Y121+'Controle Central'!D139+'Controle Central'!K139)</f>
        <v>#REF!</v>
      </c>
      <c r="H6" s="79" t="e">
        <f>SUM('Controle Central'!D10+'Controle Central'!K10+'Controle Central'!R10+'Controle Central'!Y10+'Controle Central'!D29+'Controle Central'!K29+'Controle Central'!R29+'Controle Central'!D48+'Controle Central'!K48+'Controle Central'!R48+'Controle Central'!Y48+'Controle Central'!D67+'Controle Central'!K67+'Controle Central'!R67+'Controle Central'!Y67+'Controle Central'!D86+'Controle Central'!K86+'Controle Central'!R86+'Controle Central'!Y86+'Controle Central'!D104+'Controle Central'!K104+'Controle Central'!R104+'Controle Central'!Y104+'Controle Central'!D122+'Controle Central'!K122+'Controle Central'!R122+'Controle Central'!Y122+'Controle Central'!D140+'Controle Central'!K140)</f>
        <v>#REF!</v>
      </c>
      <c r="I6" s="50" t="e">
        <f>SUM('Controle Central'!D11+'Controle Central'!K11+'Controle Central'!R11+'Controle Central'!Y11+'Controle Central'!D30+'Controle Central'!K30+'Controle Central'!R30+'Controle Central'!Y30+'Controle Central'!D49+'Controle Central'!K49+'Controle Central'!R49+'Controle Central'!Y49+'Controle Central'!D68+'Controle Central'!K68+'Controle Central'!R68+'Controle Central'!Y68+'Controle Central'!D87+'Controle Central'!K87+'Controle Central'!R87+'Controle Central'!Y87+'Controle Central'!D105+'Controle Central'!K105+'Controle Central'!R105+'Controle Central'!Y105+'Controle Central'!D123+'Controle Central'!K123+'Controle Central'!R123+'Controle Central'!Y123+'Controle Central'!D141+'Controle Central'!K141)</f>
        <v>#REF!</v>
      </c>
      <c r="J6" s="49" t="e">
        <f>SUM('Controle Central'!D12+'Controle Central'!K12+'Controle Central'!R12+'Controle Central'!Y12+'Controle Central'!D31+'Controle Central'!K31+'Controle Central'!R31+'Controle Central'!Y31+'Controle Central'!D50+'Controle Central'!K50+'Controle Central'!R50+'Controle Central'!Y50+'Controle Central'!D69+'Controle Central'!K69+'Controle Central'!R69+'Controle Central'!Y69+'Controle Central'!D88+'Controle Central'!K88+'Controle Central'!R88+'Controle Central'!Y88+'Controle Central'!D106+'Controle Central'!K106+'Controle Central'!R106+'Controle Central'!Y106+'Controle Central'!D124+'Controle Central'!K124+'Controle Central'!R124+'Controle Central'!Y124+'Controle Central'!D142+'Controle Central'!K142)</f>
        <v>#REF!</v>
      </c>
      <c r="K6" s="57" t="e">
        <f>SUM('Controle Central'!D13+'Controle Central'!K13+'Controle Central'!R13+'Controle Central'!Y13+'Controle Central'!D32+'Controle Central'!K32+'Controle Central'!R32+'Controle Central'!Y32+'Controle Central'!D51+'Controle Central'!K51+'Controle Central'!R51+'Controle Central'!Y51+'Controle Central'!D70+'Controle Central'!K70+'Controle Central'!R70+'Controle Central'!Y70+'Controle Central'!D89+'Controle Central'!K89+'Controle Central'!R89+'Controle Central'!Y89+'Controle Central'!D107+'Controle Central'!K107+'Controle Central'!R107+'Controle Central'!Y107+'Controle Central'!D125+'Controle Central'!K125+'Controle Central'!R125+'Controle Central'!Y125+'Controle Central'!D143+'Controle Central'!K143)</f>
        <v>#REF!</v>
      </c>
      <c r="L6" s="57" t="e">
        <f>SUM('Controle Central'!D14+'Controle Central'!K14+'Controle Central'!R14+'Controle Central'!Y14+'Controle Central'!D33+'Controle Central'!K33+'Controle Central'!R33+'Controle Central'!Y33+'Controle Central'!D52+'Controle Central'!K52+'Controle Central'!R52+'Controle Central'!Y52+'Controle Central'!D71+'Controle Central'!K71+'Controle Central'!R71+'Controle Central'!Y71+'Controle Central'!D90+'Controle Central'!K90+'Controle Central'!R90+'Controle Central'!Y90+'Controle Central'!D108+'Controle Central'!K108+'Controle Central'!R108+'Controle Central'!Y108+'Controle Central'!D126+'Controle Central'!K126+'Controle Central'!R126+'Controle Central'!Y126+'Controle Central'!D144+'Controle Central'!K144)</f>
        <v>#REF!</v>
      </c>
      <c r="M6" s="48" t="e">
        <f>SUM('Controle Central'!D15+'Controle Central'!K15+'Controle Central'!R15+'Controle Central'!Y15+'Controle Central'!D34+'Controle Central'!K34+'Controle Central'!R34+'Controle Central'!Y34+'Controle Central'!D53+'Controle Central'!K53+'Controle Central'!R53+'Controle Central'!Y53+'Controle Central'!D72+'Controle Central'!K72+'Controle Central'!R72+'Controle Central'!Y72+'Controle Central'!D91+'Controle Central'!K91+'Controle Central'!R91+'Controle Central'!Y91+'Controle Central'!D109+'Controle Central'!K109+'Controle Central'!R109+'Controle Central'!Y109+'Controle Central'!D127+'Controle Central'!K127+'Controle Central'!R127+'Controle Central'!Y127+'Controle Central'!D145+'Controle Central'!K145)</f>
        <v>#REF!</v>
      </c>
    </row>
    <row r="7" spans="1:25" x14ac:dyDescent="0.25">
      <c r="A7" s="71"/>
      <c r="B7" s="69"/>
      <c r="C7" s="73" t="s">
        <v>91</v>
      </c>
      <c r="D7" s="74" t="s">
        <v>92</v>
      </c>
      <c r="E7" s="74" t="s">
        <v>94</v>
      </c>
      <c r="F7" s="74" t="s">
        <v>96</v>
      </c>
      <c r="G7" s="74" t="s">
        <v>99</v>
      </c>
      <c r="H7" s="74" t="s">
        <v>107</v>
      </c>
      <c r="I7" s="74" t="s">
        <v>115</v>
      </c>
      <c r="J7" s="74" t="s">
        <v>125</v>
      </c>
      <c r="K7" s="70"/>
      <c r="L7" s="70"/>
      <c r="M7" s="70"/>
    </row>
    <row r="8" spans="1:25" x14ac:dyDescent="0.25">
      <c r="A8" s="71"/>
      <c r="B8" s="69"/>
      <c r="C8" s="69"/>
      <c r="D8" s="72" t="s">
        <v>93</v>
      </c>
      <c r="E8" s="72" t="s">
        <v>95</v>
      </c>
      <c r="F8" s="72" t="s">
        <v>97</v>
      </c>
      <c r="G8" s="72" t="s">
        <v>100</v>
      </c>
      <c r="H8" s="72" t="s">
        <v>108</v>
      </c>
      <c r="I8" s="72" t="s">
        <v>116</v>
      </c>
      <c r="J8" s="72" t="s">
        <v>126</v>
      </c>
      <c r="K8" s="70"/>
      <c r="L8" s="70"/>
      <c r="M8" s="70"/>
    </row>
    <row r="9" spans="1:25" ht="15.75" thickBot="1" x14ac:dyDescent="0.3"/>
    <row r="10" spans="1:25" ht="15.75" thickBot="1" x14ac:dyDescent="0.3">
      <c r="A10" s="64" t="s">
        <v>25</v>
      </c>
      <c r="B10" s="56">
        <f>SUM('Controle Central'!E4+'Controle Central'!L4+'Controle Central'!S4+'Controle Central'!Z4+'Controle Central'!E23+'Controle Central'!L23+'Controle Central'!S23+'Controle Central'!Z23+'Controle Central'!E42+'Controle Central'!L42+'Controle Central'!S42+'Controle Central'!Z42+'Controle Central'!E61+'Controle Central'!L61+'Controle Central'!S61+'Controle Central'!Z61+'Controle Central'!E80+'Controle Central'!L80+'Controle Central'!S80+'Controle Central'!Z80+'Controle Central'!E98+'Controle Central'!L98+'Controle Central'!S98+'Controle Central'!Z98+'Controle Central'!E116+'Controle Central'!L116+'Controle Central'!S116+'Controle Central'!Z116+'Controle Central'!E134+'Controle Central'!L134)</f>
        <v>0</v>
      </c>
      <c r="C10" s="57" t="e">
        <f>SUM('Controle Central'!E5,'Controle Central'!L5,'Controle Central'!S5,'Controle Central'!Z5,'Controle Central'!E24,'Controle Central'!L24,'Controle Central'!S24,'Controle Central'!Z24,'Controle Central'!E43,'Controle Central'!L43,'Controle Central'!S43,'Controle Central'!Z43,'Controle Central'!E62,'Controle Central'!L62,'Controle Central'!S62,'Controle Central'!Z62,'Controle Central'!E81,'Controle Central'!L81,'Controle Central'!S81,'Controle Central'!Z81,'Controle Central'!E99,'Controle Central'!L99,'Controle Central'!S99,'Controle Central'!Z99,'Controle Central'!E117,'Controle Central'!L117,'Controle Central'!S117,'Controle Central'!Z117,'Controle Central'!E135,'Controle Central'!L135)</f>
        <v>#REF!</v>
      </c>
      <c r="D10" s="57" t="e">
        <f>SUM('Controle Central'!E6,'Controle Central'!L6,'Controle Central'!S6,'Controle Central'!Z6,'Controle Central'!E25,'Controle Central'!L25,'Controle Central'!S25,'Controle Central'!Z25,'Controle Central'!E44,'Controle Central'!L44,'Controle Central'!S44,'Controle Central'!Z44,'Controle Central'!E63,'Controle Central'!L63,'Controle Central'!S63,'Controle Central'!Z63,'Controle Central'!E82,'Controle Central'!L82,'Controle Central'!S82,'Controle Central'!Z82,'Controle Central'!E100,'Controle Central'!L100,'Controle Central'!S100,'Controle Central'!Z100,'Controle Central'!E118,'Controle Central'!L118,'Controle Central'!S118,'Controle Central'!Z118,'Controle Central'!E136,'Controle Central'!L136)</f>
        <v>#REF!</v>
      </c>
      <c r="E10" s="57" t="e">
        <f>SUM('Controle Central'!E7,'Controle Central'!L7,'Controle Central'!S7,'Controle Central'!Z7,'Controle Central'!E26,'Controle Central'!L26,'Controle Central'!S26,'Controle Central'!Z26,'Controle Central'!E45,'Controle Central'!L45,'Controle Central'!S45,'Controle Central'!Z45,'Controle Central'!E64,'Controle Central'!L64,'Controle Central'!S64,'Controle Central'!Z64,'Controle Central'!E83,'Controle Central'!L83,'Controle Central'!S83,'Controle Central'!Z83,'Controle Central'!E101,'Controle Central'!L101,'Controle Central'!S101,'Controle Central'!Z101,'Controle Central'!E119,'Controle Central'!L119,'Controle Central'!S119,'Controle Central'!Z119,'Controle Central'!E137,'Controle Central'!L137)</f>
        <v>#REF!</v>
      </c>
      <c r="F10" s="57" t="e">
        <f>SUM('Controle Central'!E8,'Controle Central'!L8,'Controle Central'!S8,'Controle Central'!Z8,'Controle Central'!E27,'Controle Central'!L27,'Controle Central'!S27,'Controle Central'!Z27,'Controle Central'!E46,'Controle Central'!L46,'Controle Central'!S46,'Controle Central'!Z46,'Controle Central'!E65,'Controle Central'!L65,'Controle Central'!S65,'Controle Central'!Z65,'Controle Central'!E84,'Controle Central'!L84,'Controle Central'!S84,'Controle Central'!Z84,'Controle Central'!E102,'Controle Central'!L102,'Controle Central'!S102,'Controle Central'!Z102,'Controle Central'!E120,'Controle Central'!L120,'Controle Central'!S120,'Controle Central'!Z120,'Controle Central'!E138,'Controle Central'!L138)</f>
        <v>#REF!</v>
      </c>
      <c r="G10" s="57" t="e">
        <f>SUM('Controle Central'!E9,'Controle Central'!L9,'Controle Central'!S9,'Controle Central'!Z9,'Controle Central'!E28,'Controle Central'!L28,'Controle Central'!S28,'Controle Central'!Z28,'Controle Central'!E47,'Controle Central'!L47,'Controle Central'!S47,'Controle Central'!Z47,'Controle Central'!E66,'Controle Central'!L66,'Controle Central'!S66,'Controle Central'!Z66,'Controle Central'!E85,'Controle Central'!L85,'Controle Central'!S85,'Controle Central'!Z85,'Controle Central'!E103,'Controle Central'!L103,'Controle Central'!S103,'Controle Central'!Z103,'Controle Central'!E121,'Controle Central'!L121,'Controle Central'!S121,'Controle Central'!Z121,'Controle Central'!E139+'Controle Central'!L139)</f>
        <v>#REF!</v>
      </c>
      <c r="H10" s="57" t="e">
        <f>SUM('Controle Central'!E10,'Controle Central'!L10,'Controle Central'!S10,'Controle Central'!Z10,'Controle Central'!E29,'Controle Central'!L29,'Controle Central'!S29,'Controle Central'!Z29,'Controle Central'!E48,'Controle Central'!L48,'Controle Central'!S48,'Controle Central'!Z48,'Controle Central'!E67,'Controle Central'!L67,'Controle Central'!S67,'Controle Central'!Z67,'Controle Central'!E86,'Controle Central'!L86,'Controle Central'!S86,'Controle Central'!Z86,'Controle Central'!E104,'Controle Central'!L104,'Controle Central'!S104,'Controle Central'!Z104,'Controle Central'!E122,'Controle Central'!L122,'Controle Central'!S122,'Controle Central'!Z122,'Controle Central'!E140,'Controle Central'!L140)</f>
        <v>#REF!</v>
      </c>
      <c r="I10" s="57" t="e">
        <f>SUM('Controle Central'!L11,'Controle Central'!S11,'Controle Central'!E11,'Controle Central'!Z11,'Controle Central'!Z30,'Controle Central'!S30,'Controle Central'!L30,'Controle Central'!E30,'Controle Central'!E49,'Controle Central'!L49,'Controle Central'!S49,'Controle Central'!Z49,'Controle Central'!Z68,'Controle Central'!S68,'Controle Central'!L68,'Controle Central'!E68,'Controle Central'!E87,'Controle Central'!L87,'Controle Central'!S87,'Controle Central'!Z87,'Controle Central'!Z105,'Controle Central'!Z123,'Controle Central'!S105,'Controle Central'!S123,'Controle Central'!L123,'Controle Central'!L105,'Controle Central'!E123,'Controle Central'!E105,'Controle Central'!E141,'Controle Central'!L141)</f>
        <v>#REF!</v>
      </c>
      <c r="J10" s="57" t="e">
        <f>SUM('Controle Central'!E12,'Controle Central'!E31,'Controle Central'!L12,'Controle Central'!L31,'Controle Central'!S12,'Controle Central'!S31,'Controle Central'!Z12,'Controle Central'!Z31,'Controle Central'!Z50,'Controle Central'!Z69,'Controle Central'!S50,'Controle Central'!S69,'Controle Central'!L50,'Controle Central'!L69,'Controle Central'!E50,'Controle Central'!E69,'Controle Central'!E88,'Controle Central'!E106,'Controle Central'!L88,'Controle Central'!L106,'Controle Central'!S88,'Controle Central'!S106,'Controle Central'!Z88,'Controle Central'!Z106,'Controle Central'!Z124,'Controle Central'!S124,'Controle Central'!L124,'Controle Central'!E124,'Controle Central'!E142,'Controle Central'!L142)</f>
        <v>#REF!</v>
      </c>
      <c r="K10" s="57" t="e">
        <f>SUM('Controle Central'!E13,'Controle Central'!L13,'Controle Central'!E32,'Controle Central'!L32,'Controle Central'!S13,'Controle Central'!S32,'Controle Central'!Z13,'Controle Central'!Z32,'Controle Central'!Z51,'Controle Central'!Z70,'Controle Central'!S51,'Controle Central'!S70,'Controle Central'!L51,'Controle Central'!L70,'Controle Central'!E51,'Controle Central'!E70,'Controle Central'!E89,'Controle Central'!E107,'Controle Central'!L89,'Controle Central'!L107,'Controle Central'!S89,'Controle Central'!S107,'Controle Central'!Z107,'Controle Central'!Z89,'Controle Central'!Z125,'Controle Central'!S125,'Controle Central'!L143,'Controle Central'!L125,'Controle Central'!E125,'Controle Central'!E143)</f>
        <v>#REF!</v>
      </c>
      <c r="L10" s="57" t="e">
        <f>SUM('Controle Central'!E14,'Controle Central'!E33,'Controle Central'!L14,'Controle Central'!L33,'Controle Central'!S14,'Controle Central'!S33,'Controle Central'!Z14,'Controle Central'!Z33,'Controle Central'!Z52,'Controle Central'!Z71,'Controle Central'!S52,'Controle Central'!S71,'Controle Central'!L52,'Controle Central'!L71,'Controle Central'!E52,'Controle Central'!E71,'Controle Central'!E90,'Controle Central'!E108,'Controle Central'!L90,'Controle Central'!L108,'Controle Central'!S90,'Controle Central'!S108,'Controle Central'!Z90,'Controle Central'!Z108,'Controle Central'!Z126,'Controle Central'!S126,'Controle Central'!L126,'Controle Central'!L144,'Controle Central'!E126,'Controle Central'!E144)</f>
        <v>#REF!</v>
      </c>
      <c r="M10" s="48" t="e">
        <f>SUM('Controle Central'!E15,'Controle Central'!E34,'Controle Central'!L15,'Controle Central'!L34,'Controle Central'!S15,'Controle Central'!S34,'Controle Central'!Z15,'Controle Central'!Z34,'Controle Central'!Z53,'Controle Central'!Z72,'Controle Central'!S53,'Controle Central'!S72,'Controle Central'!L53,'Controle Central'!L72,'Controle Central'!E53,'Controle Central'!E72,'Controle Central'!E91,'Controle Central'!E109,'Controle Central'!L91,'Controle Central'!L109,'Controle Central'!S91,'Controle Central'!S109,'Controle Central'!Z91,'Controle Central'!Z109,'Controle Central'!Z127,'Controle Central'!S127,'Controle Central'!L127,'Controle Central'!E127,'Controle Central'!E145,'Controle Central'!L145)</f>
        <v>#REF!</v>
      </c>
    </row>
    <row r="11" spans="1:25" ht="15.75" thickBot="1" x14ac:dyDescent="0.3"/>
    <row r="12" spans="1:25" ht="15.75" thickBot="1" x14ac:dyDescent="0.3">
      <c r="A12" s="65" t="s">
        <v>27</v>
      </c>
      <c r="B12" s="56">
        <f>SUM('Controle Central'!F4,'Controle Central'!M4,'Controle Central'!M23,'Controle Central'!F23,'Controle Central'!T4,'Controle Central'!T23,'Controle Central'!AA4,'Controle Central'!AA23,'Controle Central'!AA61,'Controle Central'!AA42,'Controle Central'!T42,'Controle Central'!M42,'Controle Central'!M61,'Controle Central'!F61,'Controle Central'!F42,'Controle Central'!F98,'Controle Central'!F80,'Controle Central'!M80,'Controle Central'!M98,'Controle Central'!T80,'Controle Central'!T98,'Controle Central'!AA80,'Controle Central'!AA98,'Controle Central'!AA116,'Controle Central'!T116,'Controle Central'!M116,'Controle Central'!F116,'Controle Central'!F134,'Controle Central'!M134)</f>
        <v>0</v>
      </c>
      <c r="C12" s="57" t="e">
        <f>SUM('Controle Central'!F5,'Controle Central'!F24,'Controle Central'!M5,'Controle Central'!M24,'Controle Central'!T24,'Controle Central'!T5,'Controle Central'!AA5,'Controle Central'!AA24,'Controle Central'!AA43,'Controle Central'!AA62,'Controle Central'!T43,'Controle Central'!T62,'Controle Central'!M43,'Controle Central'!M62,'Controle Central'!F43,'Controle Central'!F62,'Controle Central'!F81,'Controle Central'!F99,'Controle Central'!M99,'Controle Central'!M81,'Controle Central'!T99,'Controle Central'!T81,'Controle Central'!AA81,'Controle Central'!AA99,'Controle Central'!AA117,'Controle Central'!T117,'Controle Central'!M117,'Controle Central'!F117,'Controle Central'!F135,'Controle Central'!M135)</f>
        <v>#REF!</v>
      </c>
      <c r="D12" s="57" t="e">
        <f>SUM('Controle Central'!F6,'Controle Central'!F25,'Controle Central'!M6,'Controle Central'!M25,'Controle Central'!T6,'Controle Central'!T25,'Controle Central'!AA25,'Controle Central'!AA6,'Controle Central'!AA44,'Controle Central'!AA63,'Controle Central'!T63,'Controle Central'!T44,'Controle Central'!M44,'Controle Central'!M63,'Controle Central'!F63,'Controle Central'!F44,'Controle Central'!F82,'Controle Central'!F100,'Controle Central'!M100,'Controle Central'!M82,'Controle Central'!T82,'Controle Central'!T100,'Controle Central'!AA100,'Controle Central'!AA82,'Controle Central'!AA118,'Controle Central'!T118,'Controle Central'!M118,'Controle Central'!M136,'Controle Central'!F118,'Controle Central'!F136)</f>
        <v>#REF!</v>
      </c>
      <c r="E12" s="57" t="e">
        <f>SUM('Controle Central'!F7,'Controle Central'!F26,'Controle Central'!M26,'Controle Central'!M7,'Controle Central'!T7,'Controle Central'!T26,'Controle Central'!AA7,'Controle Central'!AA26,'Controle Central'!AA45,'Controle Central'!T45,'Controle Central'!AA64,'Controle Central'!T64,'Controle Central'!M45,'Controle Central'!M64,'Controle Central'!F45,'Controle Central'!F64,'Controle Central'!F83,'Controle Central'!F101,'Controle Central'!M83,'Controle Central'!M101,'Controle Central'!T83,'Controle Central'!T101,'Controle Central'!AA83,'Controle Central'!AA101,'Controle Central'!AA119,'Controle Central'!T119,'Controle Central'!M119,'Controle Central'!M137,'Controle Central'!F137,'Controle Central'!F119)</f>
        <v>#REF!</v>
      </c>
      <c r="F12" s="57" t="e">
        <f>SUM('Controle Central'!F8,'Controle Central'!F27,'Controle Central'!M8,'Controle Central'!M27,'Controle Central'!T8,'Controle Central'!T27,'Controle Central'!AA27,'Controle Central'!AA8,'Controle Central'!AA46,'Controle Central'!AA65,'Controle Central'!T46,'Controle Central'!T65,'Controle Central'!M65,'Controle Central'!M46,'Controle Central'!F46,'Controle Central'!F65,'Controle Central'!F84,'Controle Central'!F102,'Controle Central'!M84,'Controle Central'!M102,'Controle Central'!T84,'Controle Central'!T102,'Controle Central'!AA84,'Controle Central'!AA102,'Controle Central'!AA120,'Controle Central'!T120,'Controle Central'!M120,'Controle Central'!M138,'Controle Central'!F120,'Controle Central'!F138)</f>
        <v>#REF!</v>
      </c>
      <c r="G12" s="57" t="e">
        <f>SUM('Controle Central'!F9,'Controle Central'!F28,'Controle Central'!M9,'Controle Central'!M28,'Controle Central'!T9,'Controle Central'!T28,'Controle Central'!AA9,'Controle Central'!AA28,'Controle Central'!AA47,'Controle Central'!AA66,'Controle Central'!T47,'Controle Central'!T66,'Controle Central'!M47,'Controle Central'!M66,'Controle Central'!F47,'Controle Central'!F66,'Controle Central'!F85,'Controle Central'!F103,'Controle Central'!M85,'Controle Central'!M103,'Controle Central'!T85,'Controle Central'!T103,'Controle Central'!AA85,'Controle Central'!AA103,'Controle Central'!AA121,'Controle Central'!T121,'Controle Central'!M121,'Controle Central'!M139,'Controle Central'!F139)</f>
        <v>#REF!</v>
      </c>
      <c r="H12" s="57" t="e">
        <f>SUM('Controle Central'!F10,'Controle Central'!F29,'Controle Central'!M10,'Controle Central'!M29,'Controle Central'!T10,'Controle Central'!T29,'Controle Central'!AA10,'Controle Central'!AA29,'Controle Central'!AA48,'Controle Central'!T48,'Controle Central'!AA67,'Controle Central'!T67,'Controle Central'!M48,'Controle Central'!M67,'Controle Central'!F48,'Controle Central'!F67,'Controle Central'!F86,'Controle Central'!F104,'Controle Central'!M104,'Controle Central'!M86,'Controle Central'!T86,'Controle Central'!T104,'Controle Central'!AA86,'Controle Central'!AA104,'Controle Central'!AA122,'Controle Central'!T122,'Controle Central'!M122,'Controle Central'!M140,'Controle Central'!F122,'Controle Central'!F140)</f>
        <v>#REF!</v>
      </c>
      <c r="I12" s="57" t="e">
        <f>SUM('Controle Central'!F11,'Controle Central'!F30,'Controle Central'!M11,'Controle Central'!M30,'Controle Central'!T11,'Controle Central'!T30,'Controle Central'!AA11,'Controle Central'!AA30,'Controle Central'!AA49,'Controle Central'!AA68,'Controle Central'!T49,'Controle Central'!T68,'Controle Central'!M49,'Controle Central'!M68,'Controle Central'!F68,'Controle Central'!F49,'Controle Central'!F87,'Controle Central'!F105,'Controle Central'!M87,'Controle Central'!M105,'Controle Central'!T87,'Controle Central'!T105,'Controle Central'!AA87,'Controle Central'!AA105,'Controle Central'!AA123,'Controle Central'!T123,'Controle Central'!M123,'Controle Central'!M141,'Controle Central'!F123,'Controle Central'!F141)</f>
        <v>#REF!</v>
      </c>
      <c r="J12" s="57" t="e">
        <f>SUM('Controle Central'!F12,'Controle Central'!F31,'Controle Central'!M12,'Controle Central'!M31,'Controle Central'!T12,'Controle Central'!T31,'Controle Central'!AA12,'Controle Central'!AA31,'Controle Central'!AA50,'Controle Central'!T50,'Controle Central'!T69,'Controle Central'!AA69,'Controle Central'!M50,'Controle Central'!M69,'Controle Central'!F69,'Controle Central'!F50,'Controle Central'!F88,'Controle Central'!F106,'Controle Central'!M88,'Controle Central'!M106,'Controle Central'!T88,'Controle Central'!T106,'Controle Central'!AA88,'Controle Central'!AA106,'Controle Central'!AA124,'Controle Central'!T124,'Controle Central'!M124,'Controle Central'!F124,'Controle Central'!F142,'Controle Central'!M142)</f>
        <v>#REF!</v>
      </c>
      <c r="K12" s="57" t="e">
        <f>SUM('Controle Central'!F13,'Controle Central'!F32,'Controle Central'!M13,'Controle Central'!M32,'Controle Central'!T13,'Controle Central'!T32,'Controle Central'!AA13,'Controle Central'!AA32,'Controle Central'!AA51,'Controle Central'!T51,'Controle Central'!T70,'Controle Central'!AA70,'Controle Central'!M51,'Controle Central'!M70,'Controle Central'!F70,'Controle Central'!F51,'Controle Central'!F89,'Controle Central'!F107,'Controle Central'!M89,'Controle Central'!M107,'Controle Central'!T89,'Controle Central'!T107,'Controle Central'!AA107,'Controle Central'!AA89,'Controle Central'!AA125,'Controle Central'!T125,'Controle Central'!M125,'Controle Central'!F125,'Controle Central'!F143,'Controle Central'!M143)</f>
        <v>#REF!</v>
      </c>
      <c r="L12" s="57" t="e">
        <f>SUM('Controle Central'!F14,'Controle Central'!M14,'Controle Central'!F33,'Controle Central'!M33,'Controle Central'!T14,'Controle Central'!T33,'Controle Central'!AA33,'Controle Central'!AA14,'Controle Central'!AA52,'Controle Central'!T52,'Controle Central'!M52,'Controle Central'!M71,'Controle Central'!T71,'Controle Central'!AA71,'Controle Central'!AA90,'Controle Central'!T90,'Controle Central'!M90,'Controle Central'!F90,'Controle Central'!F108,'Controle Central'!F126,'Controle Central'!M108,'Controle Central'!M126,'Controle Central'!T108,'Controle Central'!T126,'Controle Central'!AA108,'Controle Central'!AA126,'Controle Central'!M144,'Controle Central'!F144)</f>
        <v>#REF!</v>
      </c>
      <c r="M12" s="48" t="e">
        <f>SUM('Controle Central'!F15,'Controle Central'!F34,'Controle Central'!M15,'Controle Central'!M34,'Controle Central'!T15,'Controle Central'!T34,'Controle Central'!AA15,'Controle Central'!AA34,'Controle Central'!AA53,'Controle Central'!T53,'Controle Central'!AA72,'Controle Central'!T72,'Controle Central'!M53,'Controle Central'!F53,'Controle Central'!F72,'Controle Central'!M72,'Controle Central'!F91,'Controle Central'!F109,'Controle Central'!M91,'Controle Central'!M109,'Controle Central'!T91,'Controle Central'!T109,'Controle Central'!AA91,'Controle Central'!AA109,'Controle Central'!AA127,'Controle Central'!T127,'Controle Central'!M127,'Controle Central'!M145,'Controle Central'!F127,'Controle Central'!F145)</f>
        <v>#REF!</v>
      </c>
    </row>
    <row r="15" spans="1:25" x14ac:dyDescent="0.25">
      <c r="B15" s="111"/>
      <c r="C15" s="111"/>
      <c r="D15" s="111"/>
      <c r="E15" s="111"/>
      <c r="F15" s="111"/>
      <c r="G15" s="111"/>
      <c r="H15" s="111"/>
      <c r="I15" s="111"/>
      <c r="J15" s="111"/>
      <c r="K15" s="111"/>
      <c r="L15" s="111"/>
      <c r="M15" s="111"/>
    </row>
    <row r="16" spans="1:25" ht="15.75" thickBot="1" x14ac:dyDescent="0.3">
      <c r="B16" s="53" t="s">
        <v>31</v>
      </c>
      <c r="C16" s="53" t="s">
        <v>32</v>
      </c>
      <c r="D16" s="53" t="s">
        <v>33</v>
      </c>
      <c r="E16" s="53" t="s">
        <v>34</v>
      </c>
      <c r="F16" s="53" t="s">
        <v>35</v>
      </c>
      <c r="G16" s="53" t="s">
        <v>36</v>
      </c>
      <c r="H16" s="53" t="s">
        <v>37</v>
      </c>
      <c r="I16" s="53" t="s">
        <v>38</v>
      </c>
      <c r="J16" s="53" t="s">
        <v>39</v>
      </c>
      <c r="K16" s="53" t="s">
        <v>40</v>
      </c>
      <c r="L16" s="53" t="s">
        <v>41</v>
      </c>
      <c r="M16" s="53" t="s">
        <v>42</v>
      </c>
    </row>
    <row r="17" spans="1:13" ht="15.75" thickBot="1" x14ac:dyDescent="0.3">
      <c r="A17" s="55" t="s">
        <v>45</v>
      </c>
      <c r="B17" s="56"/>
      <c r="C17" s="56">
        <v>20800</v>
      </c>
      <c r="D17" s="57">
        <v>46800</v>
      </c>
      <c r="E17" s="57"/>
      <c r="F17" s="57"/>
      <c r="G17" s="57"/>
      <c r="H17" s="57"/>
      <c r="I17" s="57"/>
      <c r="J17" s="57"/>
      <c r="K17" s="57"/>
      <c r="L17" s="57"/>
      <c r="M17" s="48"/>
    </row>
    <row r="18" spans="1:13" ht="15.75" thickBot="1" x14ac:dyDescent="0.3"/>
    <row r="19" spans="1:13" ht="15.75" thickBot="1" x14ac:dyDescent="0.3">
      <c r="A19" s="55" t="s">
        <v>2</v>
      </c>
      <c r="B19" s="56"/>
      <c r="C19" s="57">
        <v>9452</v>
      </c>
      <c r="D19" s="57">
        <v>21267</v>
      </c>
      <c r="E19" s="57"/>
      <c r="F19" s="57"/>
      <c r="G19" s="57"/>
      <c r="H19" s="57"/>
      <c r="I19" s="57"/>
      <c r="J19" s="57"/>
      <c r="K19" s="57"/>
      <c r="L19" s="57"/>
      <c r="M19" s="48"/>
    </row>
    <row r="20" spans="1:13" ht="15.75" thickBot="1" x14ac:dyDescent="0.3"/>
    <row r="21" spans="1:13" ht="15.75" thickBot="1" x14ac:dyDescent="0.3">
      <c r="A21" s="55" t="s">
        <v>59</v>
      </c>
      <c r="B21" s="56">
        <f>B17-B19</f>
        <v>0</v>
      </c>
      <c r="C21" s="56">
        <f>C17-C19</f>
        <v>11348</v>
      </c>
      <c r="D21" s="56">
        <f t="shared" ref="D21:F21" si="0">D17-D19</f>
        <v>25533</v>
      </c>
      <c r="E21" s="56">
        <f t="shared" si="0"/>
        <v>0</v>
      </c>
      <c r="F21" s="56">
        <f t="shared" si="0"/>
        <v>0</v>
      </c>
      <c r="G21" s="56">
        <f>G17-G19</f>
        <v>0</v>
      </c>
      <c r="H21" s="56">
        <f t="shared" ref="H21:M21" si="1">H17-H19</f>
        <v>0</v>
      </c>
      <c r="I21" s="56">
        <f t="shared" si="1"/>
        <v>0</v>
      </c>
      <c r="J21" s="56">
        <f t="shared" si="1"/>
        <v>0</v>
      </c>
      <c r="K21" s="56">
        <f t="shared" si="1"/>
        <v>0</v>
      </c>
      <c r="L21" s="56">
        <f t="shared" si="1"/>
        <v>0</v>
      </c>
      <c r="M21" s="56">
        <f t="shared" si="1"/>
        <v>0</v>
      </c>
    </row>
  </sheetData>
  <mergeCells count="2">
    <mergeCell ref="B15:M15"/>
    <mergeCell ref="A1:Y2"/>
  </mergeCells>
  <phoneticPr fontId="3" type="noConversion"/>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148"/>
  <sheetViews>
    <sheetView showGridLines="0" topLeftCell="K3" zoomScale="120" zoomScaleNormal="120" workbookViewId="0">
      <selection activeCell="W3" sqref="W3"/>
    </sheetView>
  </sheetViews>
  <sheetFormatPr defaultRowHeight="15" x14ac:dyDescent="0.25"/>
  <cols>
    <col min="1" max="1" width="11.28515625" bestFit="1" customWidth="1"/>
    <col min="2" max="2" width="12.7109375" customWidth="1"/>
    <col min="3" max="3" width="13.85546875" customWidth="1"/>
    <col min="4" max="4" width="18.42578125" customWidth="1"/>
    <col min="5" max="5" width="14.7109375" customWidth="1"/>
    <col min="6" max="6" width="16.42578125" customWidth="1"/>
    <col min="8" max="8" width="10.28515625" bestFit="1" customWidth="1"/>
    <col min="9" max="9" width="12.7109375" bestFit="1" customWidth="1"/>
    <col min="10" max="10" width="11.5703125" bestFit="1" customWidth="1"/>
    <col min="11" max="11" width="16.42578125" bestFit="1" customWidth="1"/>
    <col min="12" max="12" width="13.42578125" bestFit="1" customWidth="1"/>
    <col min="13" max="13" width="14.42578125" bestFit="1" customWidth="1"/>
    <col min="15" max="15" width="10.28515625" bestFit="1" customWidth="1"/>
    <col min="16" max="16" width="12.7109375" bestFit="1" customWidth="1"/>
    <col min="17" max="17" width="11.5703125" bestFit="1" customWidth="1"/>
    <col min="18" max="18" width="16.42578125" bestFit="1" customWidth="1"/>
    <col min="19" max="19" width="13.42578125" bestFit="1" customWidth="1"/>
    <col min="20" max="20" width="14.42578125" bestFit="1" customWidth="1"/>
    <col min="23" max="23" width="12.7109375" bestFit="1" customWidth="1"/>
    <col min="24" max="24" width="11.5703125" bestFit="1" customWidth="1"/>
    <col min="25" max="25" width="16.42578125" bestFit="1" customWidth="1"/>
    <col min="26" max="26" width="13.42578125" bestFit="1" customWidth="1"/>
    <col min="27" max="27" width="14.42578125" bestFit="1" customWidth="1"/>
  </cols>
  <sheetData>
    <row r="2" spans="1:27" ht="15.75" thickBot="1" x14ac:dyDescent="0.3">
      <c r="B2" s="106" t="s">
        <v>70</v>
      </c>
      <c r="C2" s="106"/>
      <c r="D2" s="106"/>
      <c r="E2" s="106"/>
      <c r="F2" s="106"/>
      <c r="I2" s="114" t="s">
        <v>73</v>
      </c>
      <c r="J2" s="114"/>
      <c r="K2" s="114"/>
      <c r="L2" s="114"/>
      <c r="M2" s="114"/>
      <c r="P2" s="114" t="s">
        <v>76</v>
      </c>
      <c r="Q2" s="114"/>
      <c r="R2" s="114"/>
      <c r="S2" s="114"/>
      <c r="T2" s="114"/>
      <c r="W2" s="114" t="s">
        <v>128</v>
      </c>
      <c r="X2" s="114"/>
      <c r="Y2" s="114"/>
      <c r="Z2" s="114"/>
      <c r="AA2" s="114"/>
    </row>
    <row r="3" spans="1:27" ht="15.75" thickBot="1" x14ac:dyDescent="0.3">
      <c r="B3" s="22" t="s">
        <v>71</v>
      </c>
      <c r="C3" s="33" t="s">
        <v>30</v>
      </c>
      <c r="D3" s="23" t="s">
        <v>26</v>
      </c>
      <c r="E3" s="23" t="s">
        <v>25</v>
      </c>
      <c r="F3" s="25" t="s">
        <v>27</v>
      </c>
      <c r="I3" s="22" t="s">
        <v>71</v>
      </c>
      <c r="J3" s="33" t="s">
        <v>30</v>
      </c>
      <c r="K3" s="23" t="s">
        <v>26</v>
      </c>
      <c r="L3" s="23" t="s">
        <v>25</v>
      </c>
      <c r="M3" s="25" t="s">
        <v>27</v>
      </c>
      <c r="P3" s="22" t="s">
        <v>71</v>
      </c>
      <c r="Q3" s="33" t="s">
        <v>30</v>
      </c>
      <c r="R3" s="23" t="s">
        <v>26</v>
      </c>
      <c r="S3" s="23" t="s">
        <v>25</v>
      </c>
      <c r="T3" s="25" t="s">
        <v>27</v>
      </c>
      <c r="W3" s="22" t="s">
        <v>71</v>
      </c>
      <c r="X3" s="33" t="s">
        <v>30</v>
      </c>
      <c r="Y3" s="23" t="s">
        <v>26</v>
      </c>
      <c r="Z3" s="23" t="s">
        <v>25</v>
      </c>
      <c r="AA3" s="25" t="s">
        <v>27</v>
      </c>
    </row>
    <row r="4" spans="1:27" x14ac:dyDescent="0.25">
      <c r="A4" s="37" t="s">
        <v>31</v>
      </c>
      <c r="B4" s="58"/>
      <c r="C4" s="59">
        <v>0</v>
      </c>
      <c r="D4" s="60">
        <v>0</v>
      </c>
      <c r="E4" s="60">
        <v>0</v>
      </c>
      <c r="F4" s="61">
        <v>0</v>
      </c>
      <c r="H4" s="37" t="s">
        <v>31</v>
      </c>
      <c r="I4" s="45"/>
      <c r="J4" s="42">
        <v>0</v>
      </c>
      <c r="K4" s="40">
        <v>0</v>
      </c>
      <c r="L4" s="40">
        <v>0</v>
      </c>
      <c r="M4" s="41">
        <v>0</v>
      </c>
      <c r="O4" s="37" t="s">
        <v>31</v>
      </c>
      <c r="P4" s="58"/>
      <c r="Q4" s="59">
        <v>0</v>
      </c>
      <c r="R4" s="60">
        <v>0</v>
      </c>
      <c r="S4" s="60">
        <v>0</v>
      </c>
      <c r="T4" s="61">
        <v>0</v>
      </c>
      <c r="V4" s="37" t="s">
        <v>31</v>
      </c>
      <c r="W4" s="58"/>
      <c r="X4" s="59">
        <v>0</v>
      </c>
      <c r="Y4" s="60">
        <v>0</v>
      </c>
      <c r="Z4" s="60">
        <v>0</v>
      </c>
      <c r="AA4" s="61">
        <v>0</v>
      </c>
    </row>
    <row r="5" spans="1:27" x14ac:dyDescent="0.25">
      <c r="A5" s="38" t="s">
        <v>32</v>
      </c>
      <c r="B5" s="46">
        <f>'Robson-Devolv'!H12</f>
        <v>1314</v>
      </c>
      <c r="C5" s="43">
        <f>SUM(5000-B5)</f>
        <v>3686</v>
      </c>
      <c r="D5" s="35">
        <f>'Robson-Devolv'!U13</f>
        <v>687.92</v>
      </c>
      <c r="E5" s="35">
        <f>'Robson-Devolv'!AC13</f>
        <v>0</v>
      </c>
      <c r="F5" s="36">
        <f>'Robson-Devolv'!AK13</f>
        <v>0</v>
      </c>
      <c r="H5" s="38" t="s">
        <v>32</v>
      </c>
      <c r="I5" s="46">
        <f>'Paulo - Desmob'!H11</f>
        <v>1572</v>
      </c>
      <c r="J5" s="43">
        <f>SUM(5000-I5)</f>
        <v>3428</v>
      </c>
      <c r="K5" s="35">
        <f>'Paulo - Desmob'!U12</f>
        <v>704.42000000000007</v>
      </c>
      <c r="L5" s="35">
        <f>'Paulo - Desmob'!AC12</f>
        <v>0</v>
      </c>
      <c r="M5" s="36">
        <f>'Paulo - Desmob'!AK12</f>
        <v>0</v>
      </c>
      <c r="O5" s="38" t="s">
        <v>32</v>
      </c>
      <c r="P5" s="46">
        <f>'Marco - Desmob'!H11</f>
        <v>1218</v>
      </c>
      <c r="Q5" s="43">
        <f>SUM(5000-P5)</f>
        <v>3782</v>
      </c>
      <c r="R5" s="35">
        <f>'Marco - Desmob'!U12</f>
        <v>610.74</v>
      </c>
      <c r="S5" s="35">
        <f>'Marco - Desmob'!AI12</f>
        <v>0</v>
      </c>
      <c r="T5" s="36">
        <f>'Marco - Desmob'!AR12</f>
        <v>0</v>
      </c>
      <c r="V5" s="38" t="s">
        <v>32</v>
      </c>
      <c r="W5" s="46">
        <f>'Ivnna-Desmob'!H11</f>
        <v>925</v>
      </c>
      <c r="X5" s="43">
        <f>SUM(5000-W5)</f>
        <v>4075</v>
      </c>
      <c r="Y5" s="35">
        <f>'Ivnna-Desmob'!U12</f>
        <v>207.61</v>
      </c>
      <c r="Z5" s="35">
        <f>'Ivnna-Desmob'!AI12</f>
        <v>0</v>
      </c>
      <c r="AA5" s="36">
        <f>'Ivnna-Desmob'!AR12</f>
        <v>0</v>
      </c>
    </row>
    <row r="6" spans="1:27" x14ac:dyDescent="0.25">
      <c r="A6" s="38" t="s">
        <v>33</v>
      </c>
      <c r="B6" s="46">
        <f>'Robson-Devolv'!H16</f>
        <v>2994</v>
      </c>
      <c r="C6" s="43">
        <f t="shared" ref="C6:C15" si="0">SUM(5000-B6)</f>
        <v>2006</v>
      </c>
      <c r="D6" s="35">
        <f>'Robson-Devolv'!U17</f>
        <v>1346.74</v>
      </c>
      <c r="E6" s="35">
        <f>'Robson-Devolv'!AC17</f>
        <v>0</v>
      </c>
      <c r="F6" s="36">
        <f>'Robson-Devolv'!AK17</f>
        <v>0</v>
      </c>
      <c r="H6" s="38" t="s">
        <v>33</v>
      </c>
      <c r="I6" s="46">
        <f>'Paulo - Desmob'!H15</f>
        <v>3761</v>
      </c>
      <c r="J6" s="43">
        <f t="shared" ref="J6:J14" si="1">SUM(5000-I6)</f>
        <v>1239</v>
      </c>
      <c r="K6" s="35">
        <f>'Paulo - Desmob'!U16</f>
        <v>1959.56</v>
      </c>
      <c r="L6" s="35">
        <f>'Paulo - Desmob'!AC16</f>
        <v>0</v>
      </c>
      <c r="M6" s="36">
        <f>'Paulo - Desmob'!AK16</f>
        <v>0</v>
      </c>
      <c r="O6" s="38" t="s">
        <v>33</v>
      </c>
      <c r="P6" s="46">
        <f>'Marco - Desmob'!H15</f>
        <v>2279</v>
      </c>
      <c r="Q6" s="43">
        <f t="shared" ref="Q6:Q14" si="2">SUM(5000-P6)</f>
        <v>2721</v>
      </c>
      <c r="R6" s="35">
        <f>'Marco - Desmob'!U16</f>
        <v>706.46</v>
      </c>
      <c r="S6" s="35">
        <f>'Marco - Desmob'!AI16</f>
        <v>0</v>
      </c>
      <c r="T6" s="36">
        <f>'Marco - Desmob'!AR16</f>
        <v>0</v>
      </c>
      <c r="V6" s="38" t="s">
        <v>33</v>
      </c>
      <c r="W6" s="46">
        <f>'Ivnna-Desmob'!H15</f>
        <v>2685</v>
      </c>
      <c r="X6" s="43">
        <f t="shared" ref="X6:X15" si="3">SUM(5000-W6)</f>
        <v>2315</v>
      </c>
      <c r="Y6" s="35">
        <f>'Ivnna-Desmob'!U16</f>
        <v>1309.3000000000002</v>
      </c>
      <c r="Z6" s="35">
        <f>'Ivnna-Desmob'!AI16</f>
        <v>0</v>
      </c>
      <c r="AA6" s="36">
        <f>'Ivnna-Desmob'!AR16</f>
        <v>0</v>
      </c>
    </row>
    <row r="7" spans="1:27" x14ac:dyDescent="0.25">
      <c r="A7" s="38" t="s">
        <v>34</v>
      </c>
      <c r="B7" s="46">
        <f>'Robson-Devolv'!H20</f>
        <v>3086</v>
      </c>
      <c r="C7" s="43">
        <f t="shared" si="0"/>
        <v>1914</v>
      </c>
      <c r="D7" s="35">
        <f>'Robson-Devolv'!U21</f>
        <v>1268.57</v>
      </c>
      <c r="E7" s="35">
        <f>'Robson-Devolv'!AC21</f>
        <v>80</v>
      </c>
      <c r="F7" s="36">
        <f>'Robson-Devolv'!AK21</f>
        <v>0</v>
      </c>
      <c r="H7" s="38" t="s">
        <v>34</v>
      </c>
      <c r="I7" s="46">
        <f>'Paulo - Desmob'!H19</f>
        <v>2185</v>
      </c>
      <c r="J7" s="43">
        <f t="shared" si="1"/>
        <v>2815</v>
      </c>
      <c r="K7" s="35">
        <f>'Paulo - Desmob'!U20</f>
        <v>1147.02</v>
      </c>
      <c r="L7" s="35">
        <f>'Paulo - Desmob'!AC20</f>
        <v>80</v>
      </c>
      <c r="M7" s="36">
        <f>'Paulo - Desmob'!AK20</f>
        <v>0</v>
      </c>
      <c r="O7" s="38" t="s">
        <v>34</v>
      </c>
      <c r="P7" s="46">
        <f>'Marco - Desmob'!H19</f>
        <v>2628</v>
      </c>
      <c r="Q7" s="43">
        <f t="shared" si="2"/>
        <v>2372</v>
      </c>
      <c r="R7" s="35">
        <f>'Marco - Desmob'!U20</f>
        <v>1242.98</v>
      </c>
      <c r="S7" s="35">
        <f>'Marco - Desmob'!AI20</f>
        <v>0</v>
      </c>
      <c r="T7" s="36">
        <f>'Marco - Desmob'!AR20</f>
        <v>0</v>
      </c>
      <c r="V7" s="38" t="s">
        <v>34</v>
      </c>
      <c r="W7" s="46">
        <f>'Ivnna-Desmob'!H19</f>
        <v>3094</v>
      </c>
      <c r="X7" s="43">
        <f t="shared" si="3"/>
        <v>1906</v>
      </c>
      <c r="Y7" s="35">
        <f>'Ivnna-Desmob'!U20</f>
        <v>1226.75</v>
      </c>
      <c r="Z7" s="35">
        <f>'Ivnna-Desmob'!AI20</f>
        <v>0</v>
      </c>
      <c r="AA7" s="36">
        <f>'Ivnna-Desmob'!AR20</f>
        <v>0</v>
      </c>
    </row>
    <row r="8" spans="1:27" x14ac:dyDescent="0.25">
      <c r="A8" s="38" t="s">
        <v>35</v>
      </c>
      <c r="B8" s="46">
        <f>'Robson-Devolv'!H24</f>
        <v>2498</v>
      </c>
      <c r="C8" s="43">
        <f t="shared" si="0"/>
        <v>2502</v>
      </c>
      <c r="D8" s="35">
        <f>'Robson-Devolv'!U25</f>
        <v>870.52</v>
      </c>
      <c r="E8" s="35">
        <f>'Robson-Devolv'!AC25</f>
        <v>80</v>
      </c>
      <c r="F8" s="36">
        <f>'Robson-Devolv'!AK25</f>
        <v>0</v>
      </c>
      <c r="H8" s="38" t="s">
        <v>35</v>
      </c>
      <c r="I8" s="46">
        <f>'Paulo - Desmob'!H23</f>
        <v>3015</v>
      </c>
      <c r="J8" s="43">
        <f t="shared" si="1"/>
        <v>1985</v>
      </c>
      <c r="K8" s="35">
        <f>'Paulo - Desmob'!U24</f>
        <v>1794.06</v>
      </c>
      <c r="L8" s="35">
        <f>'Paulo - Desmob'!AC24</f>
        <v>80</v>
      </c>
      <c r="M8" s="36">
        <f>'Paulo - Desmob'!AK24</f>
        <v>0</v>
      </c>
      <c r="O8" s="38" t="s">
        <v>35</v>
      </c>
      <c r="P8" s="46">
        <f>'Marco - Desmob'!H23</f>
        <v>3170</v>
      </c>
      <c r="Q8" s="43">
        <f t="shared" si="2"/>
        <v>1830</v>
      </c>
      <c r="R8" s="35">
        <f>'Marco - Desmob'!U24</f>
        <v>1300.9100000000001</v>
      </c>
      <c r="S8" s="35">
        <f>'Marco - Desmob'!AC24</f>
        <v>160</v>
      </c>
      <c r="T8" s="36">
        <f>'Marco - Desmob'!AR24</f>
        <v>0</v>
      </c>
      <c r="V8" s="38" t="s">
        <v>35</v>
      </c>
      <c r="W8" s="46">
        <f>'Ivnna-Desmob'!H23</f>
        <v>2882</v>
      </c>
      <c r="X8" s="43">
        <f t="shared" si="3"/>
        <v>2118</v>
      </c>
      <c r="Y8" s="35">
        <f>'Ivnna-Desmob'!U24</f>
        <v>959.72</v>
      </c>
      <c r="Z8" s="35">
        <f>'Ivnna-Desmob'!AC24</f>
        <v>130</v>
      </c>
      <c r="AA8" s="36">
        <f>'Ivnna-Desmob'!AR24</f>
        <v>0</v>
      </c>
    </row>
    <row r="9" spans="1:27" x14ac:dyDescent="0.25">
      <c r="A9" s="38" t="s">
        <v>36</v>
      </c>
      <c r="B9" s="46">
        <f>'Robson-Devolv'!H28</f>
        <v>2729</v>
      </c>
      <c r="C9" s="43">
        <f t="shared" si="0"/>
        <v>2271</v>
      </c>
      <c r="D9" s="35">
        <f>'Robson-Devolv'!U29</f>
        <v>1312.5899999999997</v>
      </c>
      <c r="E9" s="35">
        <f>'Robson-Devolv'!AC29</f>
        <v>160</v>
      </c>
      <c r="F9" s="36">
        <f>'Robson-Devolv'!AK29</f>
        <v>0</v>
      </c>
      <c r="H9" s="38" t="s">
        <v>36</v>
      </c>
      <c r="I9" s="46">
        <f>'Paulo - Desmob'!H27</f>
        <v>4452</v>
      </c>
      <c r="J9" s="43">
        <f t="shared" si="1"/>
        <v>548</v>
      </c>
      <c r="K9" s="35">
        <f>'Paulo - Desmob'!U28</f>
        <v>1862.81</v>
      </c>
      <c r="L9" s="35">
        <f>'Paulo - Desmob'!AC28</f>
        <v>240</v>
      </c>
      <c r="M9" s="36">
        <f>'Robson-Devolv'!AK29</f>
        <v>0</v>
      </c>
      <c r="O9" s="38" t="s">
        <v>36</v>
      </c>
      <c r="P9" s="46">
        <f>'Marco - Desmob'!H27</f>
        <v>2928</v>
      </c>
      <c r="Q9" s="43">
        <f t="shared" si="2"/>
        <v>2072</v>
      </c>
      <c r="R9" s="35">
        <f>'Marco - Desmob'!U28</f>
        <v>1021.2199999999999</v>
      </c>
      <c r="S9" s="35">
        <f>'Marco - Desmob'!AI28</f>
        <v>0</v>
      </c>
      <c r="T9" s="36">
        <f>'Marco - Desmob'!AR28</f>
        <v>0</v>
      </c>
      <c r="V9" s="38" t="s">
        <v>36</v>
      </c>
      <c r="W9" s="46">
        <f>'Ivnna-Desmob'!H27</f>
        <v>2722</v>
      </c>
      <c r="X9" s="43">
        <f t="shared" si="3"/>
        <v>2278</v>
      </c>
      <c r="Y9" s="35">
        <f>'Ivnna-Desmob'!U28</f>
        <v>1244.8599999999999</v>
      </c>
      <c r="Z9" s="35">
        <f>'Ivnna-Desmob'!AI28</f>
        <v>0</v>
      </c>
      <c r="AA9" s="36">
        <f>'Ivnna-Desmob'!AR28</f>
        <v>0</v>
      </c>
    </row>
    <row r="10" spans="1:27" x14ac:dyDescent="0.25">
      <c r="A10" s="38" t="s">
        <v>37</v>
      </c>
      <c r="B10" s="46">
        <f>'Robson-Devolv'!H32</f>
        <v>2667</v>
      </c>
      <c r="C10" s="43">
        <f t="shared" si="0"/>
        <v>2333</v>
      </c>
      <c r="D10" s="35">
        <f>'Robson-Devolv'!U33</f>
        <v>1564.22</v>
      </c>
      <c r="E10" s="35">
        <f>'Robson-Devolv'!AC33</f>
        <v>135</v>
      </c>
      <c r="F10" s="36">
        <f>'Robson-Devolv'!AK33</f>
        <v>0</v>
      </c>
      <c r="H10" s="38" t="s">
        <v>37</v>
      </c>
      <c r="I10" s="46">
        <f>'Paulo - Desmob'!H31</f>
        <v>2031</v>
      </c>
      <c r="J10" s="43">
        <f t="shared" si="1"/>
        <v>2969</v>
      </c>
      <c r="K10" s="35">
        <f>'Paulo - Desmob'!U32</f>
        <v>1169.6300000000001</v>
      </c>
      <c r="L10" s="35">
        <f>'Paulo - Desmob'!AC32</f>
        <v>160</v>
      </c>
      <c r="M10" s="36">
        <f>'Paulo - Desmob'!AK32</f>
        <v>0</v>
      </c>
      <c r="O10" s="38" t="s">
        <v>37</v>
      </c>
      <c r="P10" s="46">
        <f>'Marco - Desmob'!H31</f>
        <v>2251</v>
      </c>
      <c r="Q10" s="43">
        <f t="shared" si="2"/>
        <v>2749</v>
      </c>
      <c r="R10" s="35">
        <f>'Marco - Desmob'!U32</f>
        <v>962.32999999999993</v>
      </c>
      <c r="S10" s="35">
        <f>'Marco - Desmob'!AC32</f>
        <v>140</v>
      </c>
      <c r="T10" s="36">
        <f>'Marco - Desmob'!AR32</f>
        <v>0</v>
      </c>
      <c r="V10" s="38" t="s">
        <v>37</v>
      </c>
      <c r="W10" s="46">
        <f>'Ivnna-Desmob'!H31</f>
        <v>3246</v>
      </c>
      <c r="X10" s="43">
        <f t="shared" si="3"/>
        <v>1754</v>
      </c>
      <c r="Y10" s="35">
        <f>'Ivnna-Desmob'!U32</f>
        <v>1338.32</v>
      </c>
      <c r="Z10" s="35">
        <f>'Ivnna-Desmob'!AC32</f>
        <v>220</v>
      </c>
      <c r="AA10" s="36">
        <f>'Ivnna-Desmob'!AR32</f>
        <v>0</v>
      </c>
    </row>
    <row r="11" spans="1:27" x14ac:dyDescent="0.25">
      <c r="A11" s="38" t="s">
        <v>38</v>
      </c>
      <c r="B11" s="46">
        <f>'Robson-Devolv'!H36</f>
        <v>1483</v>
      </c>
      <c r="C11" s="43">
        <f t="shared" si="0"/>
        <v>3517</v>
      </c>
      <c r="D11" s="35">
        <f>'Robson-Devolv'!U37</f>
        <v>1342.94</v>
      </c>
      <c r="E11" s="35">
        <f>'Robson-Devolv'!AC37</f>
        <v>215</v>
      </c>
      <c r="F11" s="36">
        <f>'Robson-Devolv'!AK37</f>
        <v>0</v>
      </c>
      <c r="H11" s="38" t="s">
        <v>38</v>
      </c>
      <c r="I11" s="46">
        <f>'Paulo - Desmob'!H35</f>
        <v>3925</v>
      </c>
      <c r="J11" s="43">
        <f t="shared" si="1"/>
        <v>1075</v>
      </c>
      <c r="K11" s="35">
        <f>'Paulo - Desmob'!U36</f>
        <v>2240.3200000000002</v>
      </c>
      <c r="L11" s="35">
        <f>'Paulo - Desmob'!AC36</f>
        <v>240</v>
      </c>
      <c r="M11" s="36">
        <f>'Paulo - Desmob'!AK36</f>
        <v>0</v>
      </c>
      <c r="O11" s="38" t="s">
        <v>38</v>
      </c>
      <c r="P11" s="46">
        <f>'Marco - Desmob'!H35</f>
        <v>0</v>
      </c>
      <c r="Q11" s="43">
        <f t="shared" si="2"/>
        <v>5000</v>
      </c>
      <c r="R11" s="35">
        <f>'Marco - Desmob'!U36</f>
        <v>360.84000000000003</v>
      </c>
      <c r="S11" s="35">
        <f>'Marco - Desmob'!AC36</f>
        <v>80</v>
      </c>
      <c r="T11" s="36">
        <f>'Marco - Desmob'!AR36</f>
        <v>0</v>
      </c>
      <c r="V11" s="38" t="s">
        <v>38</v>
      </c>
      <c r="W11" s="46">
        <f>'Ivnna-Desmob'!H35</f>
        <v>2843</v>
      </c>
      <c r="X11" s="43">
        <f t="shared" si="3"/>
        <v>2157</v>
      </c>
      <c r="Y11" s="35">
        <f>'Ivnna-Desmob'!U36</f>
        <v>1166.75</v>
      </c>
      <c r="Z11" s="35">
        <f>'Ivnna-Desmob'!AC36</f>
        <v>240</v>
      </c>
      <c r="AA11" s="36">
        <f>'Ivnna-Desmob'!AR36</f>
        <v>0</v>
      </c>
    </row>
    <row r="12" spans="1:27" x14ac:dyDescent="0.25">
      <c r="A12" s="38" t="s">
        <v>39</v>
      </c>
      <c r="B12" s="46">
        <f>'Robson-Devolv'!H40</f>
        <v>2886</v>
      </c>
      <c r="C12" s="43">
        <f t="shared" si="0"/>
        <v>2114</v>
      </c>
      <c r="D12" s="35">
        <f>'Robson-Devolv'!U41</f>
        <v>1243.68</v>
      </c>
      <c r="E12" s="35">
        <f>'Robson-Devolv'!AC41</f>
        <v>75</v>
      </c>
      <c r="F12" s="36">
        <f>'Robson-Devolv'!AK41</f>
        <v>0</v>
      </c>
      <c r="H12" s="38" t="s">
        <v>39</v>
      </c>
      <c r="I12" s="46">
        <f>'Paulo - Desmob'!H39</f>
        <v>3284</v>
      </c>
      <c r="J12" s="43">
        <f t="shared" si="1"/>
        <v>1716</v>
      </c>
      <c r="K12" s="35">
        <f>'Paulo - Desmob'!U40</f>
        <v>1698.73</v>
      </c>
      <c r="L12" s="35">
        <f>'Paulo - Desmob'!AC40</f>
        <v>75</v>
      </c>
      <c r="M12" s="36">
        <f>'Paulo - Desmob'!AK40</f>
        <v>0</v>
      </c>
      <c r="O12" s="38" t="s">
        <v>39</v>
      </c>
      <c r="P12" s="46">
        <f>'Marco - Desmob'!H35</f>
        <v>0</v>
      </c>
      <c r="Q12" s="43">
        <f t="shared" si="2"/>
        <v>5000</v>
      </c>
      <c r="R12" s="35">
        <f>'Marco - Desmob'!Z40</f>
        <v>0</v>
      </c>
      <c r="S12" s="35">
        <f>'Marco - Desmob'!AI40</f>
        <v>0</v>
      </c>
      <c r="T12" s="36">
        <f>'Marco - Desmob'!AR40</f>
        <v>0</v>
      </c>
      <c r="V12" s="38" t="s">
        <v>39</v>
      </c>
      <c r="W12" s="46">
        <f>'Ivnna-Desmob'!H39</f>
        <v>2747</v>
      </c>
      <c r="X12" s="43">
        <f t="shared" si="3"/>
        <v>2253</v>
      </c>
      <c r="Y12" s="35">
        <f>'Ivnna-Desmob'!U40</f>
        <v>1028.47</v>
      </c>
      <c r="Z12" s="35">
        <f>'Ivnna-Desmob'!AI40</f>
        <v>0</v>
      </c>
      <c r="AA12" s="36">
        <f>'Ivnna-Desmob'!AR40</f>
        <v>0</v>
      </c>
    </row>
    <row r="13" spans="1:27" x14ac:dyDescent="0.25">
      <c r="A13" s="38" t="s">
        <v>40</v>
      </c>
      <c r="B13" s="46">
        <f>'Robson-Devolv'!H44</f>
        <v>0</v>
      </c>
      <c r="C13" s="43">
        <f t="shared" si="0"/>
        <v>5000</v>
      </c>
      <c r="D13" s="35">
        <f>'Robson-Devolv'!U45</f>
        <v>1710.74</v>
      </c>
      <c r="E13" s="35">
        <f>'Robson-Devolv'!AC45</f>
        <v>75</v>
      </c>
      <c r="F13" s="36">
        <f>'Robson-Devolv'!AK45</f>
        <v>0</v>
      </c>
      <c r="H13" s="38" t="s">
        <v>40</v>
      </c>
      <c r="I13" s="46">
        <f>'Paulo - Desmob'!H43</f>
        <v>1136</v>
      </c>
      <c r="J13" s="43">
        <f t="shared" si="1"/>
        <v>3864</v>
      </c>
      <c r="K13" s="35">
        <f>'Paulo - Desmob'!U44</f>
        <v>2080.7200000000003</v>
      </c>
      <c r="L13" s="35">
        <f>'Paulo - Desmob'!AC44</f>
        <v>80</v>
      </c>
      <c r="M13" s="36">
        <f>'Paulo - Desmob'!AK44</f>
        <v>0</v>
      </c>
      <c r="O13" s="38" t="s">
        <v>40</v>
      </c>
      <c r="P13" s="46">
        <f>'Marco - Desmob'!H39</f>
        <v>0</v>
      </c>
      <c r="Q13" s="43">
        <f t="shared" si="2"/>
        <v>5000</v>
      </c>
      <c r="R13" s="35">
        <f>'Marco - Desmob'!Z44</f>
        <v>0</v>
      </c>
      <c r="S13" s="35">
        <f>'Marco - Desmob'!AI44</f>
        <v>0</v>
      </c>
      <c r="T13" s="36">
        <f>'Marco - Desmob'!AR44</f>
        <v>0</v>
      </c>
      <c r="V13" s="38" t="s">
        <v>40</v>
      </c>
      <c r="W13" s="46">
        <f>'Ivnna-Desmob'!H43</f>
        <v>3063</v>
      </c>
      <c r="X13" s="43">
        <f t="shared" si="3"/>
        <v>1937</v>
      </c>
      <c r="Y13" s="35">
        <f>'Ivnna-Desmob'!Z44</f>
        <v>0</v>
      </c>
      <c r="Z13" s="35">
        <f>'Ivnna-Desmob'!AI44</f>
        <v>0</v>
      </c>
      <c r="AA13" s="36">
        <f>'Ivnna-Desmob'!AR44</f>
        <v>0</v>
      </c>
    </row>
    <row r="14" spans="1:27" x14ac:dyDescent="0.25">
      <c r="A14" s="38" t="s">
        <v>41</v>
      </c>
      <c r="B14" s="46">
        <f>'Robson-Devolv'!H48</f>
        <v>1393</v>
      </c>
      <c r="C14" s="43">
        <f t="shared" si="0"/>
        <v>3607</v>
      </c>
      <c r="D14" s="35">
        <f>'Robson-Devolv'!U49</f>
        <v>408.9</v>
      </c>
      <c r="E14" s="35">
        <f>'Robson-Devolv'!AC49</f>
        <v>0</v>
      </c>
      <c r="F14" s="36">
        <f>'Robson-Devolv'!AK49</f>
        <v>0</v>
      </c>
      <c r="H14" s="38" t="s">
        <v>41</v>
      </c>
      <c r="I14" s="46">
        <f>'Paulo - Desmob'!H47</f>
        <v>2954</v>
      </c>
      <c r="J14" s="43">
        <f t="shared" si="1"/>
        <v>2046</v>
      </c>
      <c r="K14" s="35">
        <f>'Paulo - Desmob'!U48</f>
        <v>464.24</v>
      </c>
      <c r="L14" s="35">
        <f>'Paulo - Desmob'!AC48</f>
        <v>0</v>
      </c>
      <c r="M14" s="36">
        <f>'Paulo - Desmob'!AK48</f>
        <v>0</v>
      </c>
      <c r="O14" s="38" t="s">
        <v>41</v>
      </c>
      <c r="P14" s="46">
        <f>'Marco - Desmob'!H43</f>
        <v>0</v>
      </c>
      <c r="Q14" s="43">
        <f t="shared" si="2"/>
        <v>5000</v>
      </c>
      <c r="R14" s="35">
        <f>'Marco - Desmob'!Z48</f>
        <v>0</v>
      </c>
      <c r="S14" s="35">
        <f>'Marco - Desmob'!AI48</f>
        <v>0</v>
      </c>
      <c r="T14" s="36">
        <f>'Marco - Desmob'!AR48</f>
        <v>0</v>
      </c>
      <c r="V14" s="38" t="s">
        <v>41</v>
      </c>
      <c r="W14" s="46">
        <f>'Ivnna-Desmob'!H47</f>
        <v>1068</v>
      </c>
      <c r="X14" s="43">
        <f t="shared" si="3"/>
        <v>3932</v>
      </c>
      <c r="Y14" s="35">
        <f>'Ivnna-Desmob'!Z48</f>
        <v>0</v>
      </c>
      <c r="Z14" s="35">
        <f>'Ivnna-Desmob'!AI48</f>
        <v>0</v>
      </c>
      <c r="AA14" s="36">
        <f>'Ivnna-Desmob'!AR48</f>
        <v>0</v>
      </c>
    </row>
    <row r="15" spans="1:27" ht="15.75" thickBot="1" x14ac:dyDescent="0.3">
      <c r="A15" s="39" t="s">
        <v>42</v>
      </c>
      <c r="B15" s="47">
        <f>'Robson-Devolv'!H52</f>
        <v>2696</v>
      </c>
      <c r="C15" s="44">
        <f t="shared" si="0"/>
        <v>2304</v>
      </c>
      <c r="D15" s="11">
        <f>'Robson-Devolv'!U53</f>
        <v>0</v>
      </c>
      <c r="E15" s="11">
        <f>'Robson-Devolv'!AC53</f>
        <v>0</v>
      </c>
      <c r="F15" s="12">
        <f>'Robson-Devolv'!AK53</f>
        <v>0</v>
      </c>
      <c r="H15" s="39" t="s">
        <v>42</v>
      </c>
      <c r="I15" s="47">
        <f>'Paulo - Desmob'!H51</f>
        <v>2082</v>
      </c>
      <c r="J15" s="44">
        <f>SUM(5000-I15)</f>
        <v>2918</v>
      </c>
      <c r="K15" s="11">
        <f>'Paulo - Desmob'!U52</f>
        <v>0</v>
      </c>
      <c r="L15" s="11">
        <f>'Paulo - Desmob'!AC48</f>
        <v>0</v>
      </c>
      <c r="M15" s="12">
        <f>'Paulo - Desmob'!AK48</f>
        <v>0</v>
      </c>
      <c r="O15" s="39" t="s">
        <v>42</v>
      </c>
      <c r="P15" s="47">
        <f>'Marco - Desmob'!H47</f>
        <v>0</v>
      </c>
      <c r="Q15" s="44">
        <f>SUM(5000-P15)</f>
        <v>5000</v>
      </c>
      <c r="R15" s="11">
        <f>'Marco - Desmob'!Z52</f>
        <v>0</v>
      </c>
      <c r="S15" s="11">
        <f>'Marco - Desmob'!AI48</f>
        <v>0</v>
      </c>
      <c r="T15" s="12">
        <f>'Marco - Desmob'!AR52</f>
        <v>0</v>
      </c>
      <c r="V15" s="39" t="s">
        <v>42</v>
      </c>
      <c r="W15" s="47">
        <f>'Ivnna-Desmob'!H51</f>
        <v>1515</v>
      </c>
      <c r="X15" s="44">
        <f t="shared" si="3"/>
        <v>3485</v>
      </c>
      <c r="Y15" s="11">
        <f>'Ivnna-Desmob'!Z52</f>
        <v>0</v>
      </c>
      <c r="Z15" s="11">
        <f>'Ivnna-Desmob'!AI52</f>
        <v>0</v>
      </c>
      <c r="AA15" s="12">
        <f>'Ivnna-Desmob'!AR52</f>
        <v>0</v>
      </c>
    </row>
    <row r="16" spans="1:27" ht="15.75" thickBot="1" x14ac:dyDescent="0.3"/>
    <row r="17" spans="1:27" ht="15.75" thickBot="1" x14ac:dyDescent="0.3">
      <c r="A17" s="3" t="s">
        <v>23</v>
      </c>
      <c r="B17" s="52">
        <f>SUM(B4:B15)</f>
        <v>23746</v>
      </c>
      <c r="C17" s="51"/>
      <c r="D17" s="50">
        <f>SUM(D4:D15)</f>
        <v>11756.82</v>
      </c>
      <c r="E17" s="49">
        <f>SUM(E4:E15)</f>
        <v>820</v>
      </c>
      <c r="F17" s="48">
        <f>SUM(F4:F15)</f>
        <v>0</v>
      </c>
      <c r="H17" s="3" t="s">
        <v>23</v>
      </c>
      <c r="I17" s="52">
        <f>SUM(I4:I15)</f>
        <v>30397</v>
      </c>
      <c r="J17" s="51"/>
      <c r="K17" s="50">
        <f>SUM(K4:K15)</f>
        <v>15121.51</v>
      </c>
      <c r="L17" s="49">
        <f>SUM(L4:L15)</f>
        <v>955</v>
      </c>
      <c r="M17" s="48">
        <f>SUM(M4:M15)</f>
        <v>0</v>
      </c>
      <c r="O17" s="3" t="s">
        <v>23</v>
      </c>
      <c r="P17" s="52">
        <f>SUM(P4:P15)</f>
        <v>14474</v>
      </c>
      <c r="Q17" s="51"/>
      <c r="R17" s="50">
        <f>SUM(R4:R15)</f>
        <v>6205.4800000000005</v>
      </c>
      <c r="S17" s="49">
        <f>SUM(S4:S15)</f>
        <v>380</v>
      </c>
      <c r="T17" s="48">
        <f>SUM(T4:T15)</f>
        <v>0</v>
      </c>
      <c r="V17" s="3" t="s">
        <v>23</v>
      </c>
      <c r="W17" s="52">
        <f>SUM(W4:W15)</f>
        <v>26790</v>
      </c>
      <c r="X17" s="51"/>
      <c r="Y17" s="50">
        <f>SUM(Y4:Y15)</f>
        <v>8481.7799999999988</v>
      </c>
      <c r="Z17" s="49">
        <f>SUM(Z4:Z15)</f>
        <v>590</v>
      </c>
      <c r="AA17" s="48">
        <f>SUM(AA4:AA15)</f>
        <v>0</v>
      </c>
    </row>
    <row r="18" spans="1:27" ht="15.75" thickBot="1" x14ac:dyDescent="0.3">
      <c r="A18" s="3" t="s">
        <v>44</v>
      </c>
      <c r="B18" s="23">
        <f>SUM(60000-B17)</f>
        <v>36254</v>
      </c>
      <c r="H18" s="3" t="s">
        <v>44</v>
      </c>
      <c r="I18" s="23">
        <f>SUM(60000-I17)</f>
        <v>29603</v>
      </c>
      <c r="O18" s="3" t="s">
        <v>44</v>
      </c>
      <c r="P18" s="23">
        <f>SUM(60000-P17)</f>
        <v>45526</v>
      </c>
      <c r="V18" s="3" t="s">
        <v>44</v>
      </c>
      <c r="W18" s="23">
        <f>SUM(60000-W17)</f>
        <v>33210</v>
      </c>
    </row>
    <row r="21" spans="1:27" ht="15.75" thickBot="1" x14ac:dyDescent="0.3">
      <c r="B21" s="114" t="s">
        <v>72</v>
      </c>
      <c r="C21" s="114"/>
      <c r="D21" s="114"/>
      <c r="E21" s="114"/>
      <c r="F21" s="114"/>
      <c r="I21" s="106" t="s">
        <v>74</v>
      </c>
      <c r="J21" s="106"/>
      <c r="K21" s="106"/>
      <c r="L21" s="106"/>
      <c r="M21" s="106"/>
      <c r="P21" s="106" t="s">
        <v>75</v>
      </c>
      <c r="Q21" s="106"/>
      <c r="R21" s="106"/>
      <c r="S21" s="106"/>
      <c r="T21" s="106"/>
      <c r="W21" s="106" t="s">
        <v>78</v>
      </c>
      <c r="X21" s="106"/>
      <c r="Y21" s="106"/>
      <c r="Z21" s="106"/>
      <c r="AA21" s="106"/>
    </row>
    <row r="22" spans="1:27" ht="15.75" thickBot="1" x14ac:dyDescent="0.3">
      <c r="B22" s="22" t="s">
        <v>71</v>
      </c>
      <c r="C22" s="33" t="s">
        <v>30</v>
      </c>
      <c r="D22" s="23" t="s">
        <v>26</v>
      </c>
      <c r="E22" s="23" t="s">
        <v>25</v>
      </c>
      <c r="F22" s="25" t="s">
        <v>27</v>
      </c>
      <c r="I22" s="22" t="s">
        <v>71</v>
      </c>
      <c r="J22" s="33" t="s">
        <v>30</v>
      </c>
      <c r="K22" s="23" t="s">
        <v>26</v>
      </c>
      <c r="L22" s="23" t="s">
        <v>25</v>
      </c>
      <c r="M22" s="25" t="s">
        <v>27</v>
      </c>
      <c r="P22" s="22" t="s">
        <v>71</v>
      </c>
      <c r="Q22" s="33" t="s">
        <v>30</v>
      </c>
      <c r="R22" s="23" t="s">
        <v>26</v>
      </c>
      <c r="S22" s="23" t="s">
        <v>25</v>
      </c>
      <c r="T22" s="25" t="s">
        <v>27</v>
      </c>
      <c r="W22" s="22" t="s">
        <v>71</v>
      </c>
      <c r="X22" s="33" t="s">
        <v>30</v>
      </c>
      <c r="Y22" s="23" t="s">
        <v>26</v>
      </c>
      <c r="Z22" s="23" t="s">
        <v>25</v>
      </c>
      <c r="AA22" s="25" t="s">
        <v>27</v>
      </c>
    </row>
    <row r="23" spans="1:27" x14ac:dyDescent="0.25">
      <c r="A23" s="37" t="s">
        <v>31</v>
      </c>
      <c r="B23" s="58"/>
      <c r="C23" s="59">
        <v>0</v>
      </c>
      <c r="D23" s="60">
        <v>0</v>
      </c>
      <c r="E23" s="60">
        <v>0</v>
      </c>
      <c r="F23" s="61">
        <v>0</v>
      </c>
      <c r="H23" s="37" t="s">
        <v>31</v>
      </c>
      <c r="I23" s="58"/>
      <c r="J23" s="59">
        <v>0</v>
      </c>
      <c r="K23" s="60">
        <v>0</v>
      </c>
      <c r="L23" s="60">
        <v>0</v>
      </c>
      <c r="M23" s="61">
        <v>0</v>
      </c>
      <c r="O23" s="37" t="s">
        <v>31</v>
      </c>
      <c r="P23" s="58"/>
      <c r="Q23" s="59">
        <v>0</v>
      </c>
      <c r="R23" s="60">
        <v>0</v>
      </c>
      <c r="S23" s="60">
        <v>0</v>
      </c>
      <c r="T23" s="61">
        <v>0</v>
      </c>
      <c r="V23" s="37" t="s">
        <v>31</v>
      </c>
      <c r="W23" s="58"/>
      <c r="X23" s="59">
        <v>0</v>
      </c>
      <c r="Y23" s="60">
        <v>0</v>
      </c>
      <c r="Z23" s="60">
        <v>0</v>
      </c>
      <c r="AA23" s="61">
        <v>0</v>
      </c>
    </row>
    <row r="24" spans="1:27" x14ac:dyDescent="0.25">
      <c r="A24" s="38" t="s">
        <v>32</v>
      </c>
      <c r="B24" s="46">
        <f>'Rodolfo - Desmob'!H11</f>
        <v>0</v>
      </c>
      <c r="C24" s="43">
        <f>SUM(5000-B24)</f>
        <v>5000</v>
      </c>
      <c r="D24" s="35">
        <f>'Rodolfo - Desmob'!U12</f>
        <v>0</v>
      </c>
      <c r="E24" s="35">
        <f>'Rodolfo - Desmob'!AC12</f>
        <v>0</v>
      </c>
      <c r="F24" s="36">
        <f>'Rodolfo - Desmob'!AK12</f>
        <v>0</v>
      </c>
      <c r="H24" s="38" t="s">
        <v>32</v>
      </c>
      <c r="I24" s="46">
        <f>'Chris-Desmob'!H11</f>
        <v>0</v>
      </c>
      <c r="J24" s="43">
        <f>SUM(5000-I24)</f>
        <v>5000</v>
      </c>
      <c r="K24" s="35">
        <f>'Chris-Desmob'!U12</f>
        <v>0</v>
      </c>
      <c r="L24" s="35">
        <f>'Chris-Desmob'!AC12</f>
        <v>0</v>
      </c>
      <c r="M24" s="36">
        <f>'Chris-Desmob'!AK12</f>
        <v>0</v>
      </c>
      <c r="O24" s="38" t="s">
        <v>32</v>
      </c>
      <c r="P24" s="46">
        <f>'Igor-Desmob'!H11</f>
        <v>0</v>
      </c>
      <c r="Q24" s="43">
        <f>SUM(5000-P24)</f>
        <v>5000</v>
      </c>
      <c r="R24" s="35">
        <f>'Igor-Desmob'!U12</f>
        <v>0</v>
      </c>
      <c r="S24" s="35">
        <f>'Igor-Desmob'!AC12</f>
        <v>0</v>
      </c>
      <c r="T24" s="36">
        <f>'Igor-Desmob'!AK12</f>
        <v>0</v>
      </c>
      <c r="V24" s="38" t="s">
        <v>32</v>
      </c>
      <c r="W24" s="46">
        <f>'Jacques - desmob'!H11</f>
        <v>0</v>
      </c>
      <c r="X24" s="43">
        <f>SUM(5000-W24)</f>
        <v>5000</v>
      </c>
      <c r="Y24" s="35">
        <f>'Jacques - desmob'!U12</f>
        <v>0</v>
      </c>
      <c r="Z24" s="35">
        <f>'Jacques - desmob'!AC12</f>
        <v>0</v>
      </c>
      <c r="AA24" s="36">
        <f>'Jacques - desmob'!AK12</f>
        <v>0</v>
      </c>
    </row>
    <row r="25" spans="1:27" x14ac:dyDescent="0.25">
      <c r="A25" s="38" t="s">
        <v>33</v>
      </c>
      <c r="B25" s="46">
        <f>'Rodolfo - Desmob'!H15</f>
        <v>3002</v>
      </c>
      <c r="C25" s="43">
        <f t="shared" ref="C25:C34" si="4">SUM(5000-B25)</f>
        <v>1998</v>
      </c>
      <c r="D25" s="35">
        <f>'Rodolfo - Desmob'!U16</f>
        <v>1198.73</v>
      </c>
      <c r="E25" s="35">
        <f>'Rodolfo - Desmob'!AC16</f>
        <v>0</v>
      </c>
      <c r="F25" s="36">
        <f>'Rodolfo - Desmob'!AK16</f>
        <v>0</v>
      </c>
      <c r="H25" s="38" t="s">
        <v>33</v>
      </c>
      <c r="I25" s="46">
        <f>'Chris-Desmob'!H15</f>
        <v>2709</v>
      </c>
      <c r="J25" s="43">
        <f t="shared" ref="J25:J34" si="5">SUM(5000-I25)</f>
        <v>2291</v>
      </c>
      <c r="K25" s="35">
        <f>'Chris-Desmob'!U16</f>
        <v>1195.48</v>
      </c>
      <c r="L25" s="35">
        <f>'Chris-Desmob'!AC16</f>
        <v>0</v>
      </c>
      <c r="M25" s="36">
        <f>'Chris-Desmob'!AK16</f>
        <v>0</v>
      </c>
      <c r="O25" s="38" t="s">
        <v>33</v>
      </c>
      <c r="P25" s="46">
        <f>'Igor-Desmob'!H15</f>
        <v>3812</v>
      </c>
      <c r="Q25" s="43">
        <f t="shared" ref="Q25:Q34" si="6">SUM(5000-P25)</f>
        <v>1188</v>
      </c>
      <c r="R25" s="35">
        <f>'Igor-Desmob'!U16</f>
        <v>1754.3499999999997</v>
      </c>
      <c r="S25" s="35">
        <f>'Igor-Desmob'!AC16</f>
        <v>0</v>
      </c>
      <c r="T25" s="36">
        <f>'Igor-Desmob'!AK16</f>
        <v>0</v>
      </c>
      <c r="V25" s="38" t="s">
        <v>33</v>
      </c>
      <c r="W25" s="46">
        <f>'Jacques - desmob'!H15</f>
        <v>1967</v>
      </c>
      <c r="X25" s="43">
        <f t="shared" ref="X25:X34" si="7">SUM(5000-W25)</f>
        <v>3033</v>
      </c>
      <c r="Y25" s="35">
        <f>'Jacques - desmob'!U16</f>
        <v>544.78</v>
      </c>
      <c r="Z25" s="35">
        <f>'Jacques - desmob'!AC16</f>
        <v>0</v>
      </c>
      <c r="AA25" s="36">
        <f>'Jacques - desmob'!AK16</f>
        <v>0</v>
      </c>
    </row>
    <row r="26" spans="1:27" x14ac:dyDescent="0.25">
      <c r="A26" s="38" t="s">
        <v>34</v>
      </c>
      <c r="B26" s="46">
        <f>'Rodolfo - Desmob'!H19</f>
        <v>3082</v>
      </c>
      <c r="C26" s="43">
        <f t="shared" si="4"/>
        <v>1918</v>
      </c>
      <c r="D26" s="35">
        <f>'Rodolfo - Desmob'!U20</f>
        <v>1713.29</v>
      </c>
      <c r="E26" s="35">
        <f>'Rodolfo - Desmob'!AC20</f>
        <v>160</v>
      </c>
      <c r="F26" s="36">
        <f>'Rodolfo - Desmob'!AK20</f>
        <v>0</v>
      </c>
      <c r="H26" s="38" t="s">
        <v>34</v>
      </c>
      <c r="I26" s="46">
        <f>'Chris-Desmob'!H19</f>
        <v>2746</v>
      </c>
      <c r="J26" s="43">
        <f t="shared" si="5"/>
        <v>2254</v>
      </c>
      <c r="K26" s="35">
        <f>'Chris-Desmob'!U20</f>
        <v>1178.23</v>
      </c>
      <c r="L26" s="35">
        <f>'Chris-Desmob'!AC20</f>
        <v>80</v>
      </c>
      <c r="M26" s="36">
        <f>'Chris-Desmob'!AK20</f>
        <v>0</v>
      </c>
      <c r="O26" s="38" t="s">
        <v>34</v>
      </c>
      <c r="P26" s="46">
        <f>'Igor-Desmob'!H19</f>
        <v>3444</v>
      </c>
      <c r="Q26" s="43">
        <f t="shared" si="6"/>
        <v>1556</v>
      </c>
      <c r="R26" s="35">
        <f>'Igor-Desmob'!U20</f>
        <v>1735.0700000000002</v>
      </c>
      <c r="S26" s="35">
        <f>'Igor-Desmob'!AC20</f>
        <v>0</v>
      </c>
      <c r="T26" s="36">
        <f>'Igor-Desmob'!AK20</f>
        <v>0</v>
      </c>
      <c r="V26" s="38" t="s">
        <v>34</v>
      </c>
      <c r="W26" s="46">
        <f>'Jacques - desmob'!H19</f>
        <v>3475</v>
      </c>
      <c r="X26" s="43">
        <f t="shared" si="7"/>
        <v>1525</v>
      </c>
      <c r="Y26" s="35">
        <f>'Jacques - desmob'!U20</f>
        <v>1170.58</v>
      </c>
      <c r="Z26" s="35">
        <f>'Jacques - desmob'!AC20</f>
        <v>0</v>
      </c>
      <c r="AA26" s="36">
        <f>'Jacques - desmob'!AK200</f>
        <v>0</v>
      </c>
    </row>
    <row r="27" spans="1:27" x14ac:dyDescent="0.25">
      <c r="A27" s="38" t="s">
        <v>35</v>
      </c>
      <c r="B27" s="46">
        <f>'Rodolfo - Desmob'!H23</f>
        <v>2723</v>
      </c>
      <c r="C27" s="43">
        <f t="shared" si="4"/>
        <v>2277</v>
      </c>
      <c r="D27" s="35">
        <f>'Rodolfo - Desmob'!U24</f>
        <v>1347.94</v>
      </c>
      <c r="E27" s="35">
        <f>'Rodolfo - Desmob'!AC24</f>
        <v>160</v>
      </c>
      <c r="F27" s="36">
        <f>'Rodolfo - Desmob'!AK24</f>
        <v>0</v>
      </c>
      <c r="H27" s="38" t="s">
        <v>35</v>
      </c>
      <c r="I27" s="46">
        <f>'Chris-Desmob'!H23</f>
        <v>2577</v>
      </c>
      <c r="J27" s="43">
        <f t="shared" si="5"/>
        <v>2423</v>
      </c>
      <c r="K27" s="35">
        <f>'Chris-Desmob'!U24</f>
        <v>1295.9899999999998</v>
      </c>
      <c r="L27" s="35">
        <f>'Chris-Desmob'!AC24</f>
        <v>80</v>
      </c>
      <c r="M27" s="36">
        <f>'Chris-Desmob'!AK24</f>
        <v>0</v>
      </c>
      <c r="O27" s="38" t="s">
        <v>35</v>
      </c>
      <c r="P27" s="46">
        <f>'Igor-Desmob'!H23</f>
        <v>2939</v>
      </c>
      <c r="Q27" s="43">
        <f t="shared" si="6"/>
        <v>2061</v>
      </c>
      <c r="R27" s="35">
        <f>'Igor-Desmob'!U24</f>
        <v>1469.9300000000003</v>
      </c>
      <c r="S27" s="35">
        <f>'Igor-Desmob'!AC24</f>
        <v>290</v>
      </c>
      <c r="T27" s="36">
        <f>'Igor-Desmob'!AK24</f>
        <v>0</v>
      </c>
      <c r="V27" s="38" t="s">
        <v>35</v>
      </c>
      <c r="W27" s="46">
        <f>'Jacques - desmob'!H23</f>
        <v>2806</v>
      </c>
      <c r="X27" s="43">
        <f t="shared" si="7"/>
        <v>2194</v>
      </c>
      <c r="Y27" s="35">
        <f>'Jacques - desmob'!U24</f>
        <v>713.11</v>
      </c>
      <c r="Z27" s="35">
        <f>'Jacques - desmob'!AC24</f>
        <v>80</v>
      </c>
      <c r="AA27" s="36">
        <f>'Jacques - desmob'!AK24</f>
        <v>0</v>
      </c>
    </row>
    <row r="28" spans="1:27" x14ac:dyDescent="0.25">
      <c r="A28" s="38" t="s">
        <v>36</v>
      </c>
      <c r="B28" s="46">
        <f>'Rodolfo - Desmob'!H27</f>
        <v>3052</v>
      </c>
      <c r="C28" s="43">
        <f t="shared" si="4"/>
        <v>1948</v>
      </c>
      <c r="D28" s="35">
        <f>'Rodolfo - Desmob'!U28</f>
        <v>1486.8999999999999</v>
      </c>
      <c r="E28" s="35">
        <f>'Rodolfo - Desmob'!AC24</f>
        <v>160</v>
      </c>
      <c r="F28" s="36">
        <f>'Rodolfo - Desmob'!AK28</f>
        <v>0</v>
      </c>
      <c r="H28" s="38" t="s">
        <v>36</v>
      </c>
      <c r="I28" s="46">
        <f>'Chris-Desmob'!H27</f>
        <v>2121</v>
      </c>
      <c r="J28" s="43">
        <f t="shared" si="5"/>
        <v>2879</v>
      </c>
      <c r="K28" s="35">
        <f>'Chris-Desmob'!U28</f>
        <v>1240.8500000000001</v>
      </c>
      <c r="L28" s="35">
        <f>'Chris-Desmob'!AC28</f>
        <v>80</v>
      </c>
      <c r="M28" s="36">
        <f>'Chris-Desmob'!AK28</f>
        <v>0</v>
      </c>
      <c r="O28" s="38" t="s">
        <v>36</v>
      </c>
      <c r="P28" s="46">
        <f>'Igor-Desmob'!H27</f>
        <v>3082</v>
      </c>
      <c r="Q28" s="43">
        <f t="shared" si="6"/>
        <v>1918</v>
      </c>
      <c r="R28" s="35">
        <f>'Igor-Desmob'!U28</f>
        <v>1657.74</v>
      </c>
      <c r="S28" s="35">
        <f>'Igor-Desmob'!AC24</f>
        <v>290</v>
      </c>
      <c r="T28" s="36">
        <f>'Igor-Desmob'!AK28</f>
        <v>0</v>
      </c>
      <c r="V28" s="38" t="s">
        <v>36</v>
      </c>
      <c r="W28" s="46">
        <f>'Jacques - desmob'!H27</f>
        <v>0</v>
      </c>
      <c r="X28" s="43">
        <f t="shared" si="7"/>
        <v>5000</v>
      </c>
      <c r="Y28" s="35">
        <f>'Jacques - desmob'!U28</f>
        <v>0</v>
      </c>
      <c r="Z28" s="35">
        <f>'Jacques - desmob'!AC28</f>
        <v>0</v>
      </c>
      <c r="AA28" s="36">
        <f>'Jacques - desmob'!AK28</f>
        <v>0</v>
      </c>
    </row>
    <row r="29" spans="1:27" x14ac:dyDescent="0.25">
      <c r="A29" s="38" t="s">
        <v>37</v>
      </c>
      <c r="B29" s="46">
        <f>'Rodolfo - Desmob'!H31</f>
        <v>2611</v>
      </c>
      <c r="C29" s="43">
        <f t="shared" si="4"/>
        <v>2389</v>
      </c>
      <c r="D29" s="35">
        <f>'Rodolfo - Desmob'!U32</f>
        <v>1779.4799999999998</v>
      </c>
      <c r="E29" s="35">
        <f>'Rodolfo - Desmob'!AC32</f>
        <v>160</v>
      </c>
      <c r="F29" s="36">
        <f>'Rodolfo - Desmob'!AK32</f>
        <v>0</v>
      </c>
      <c r="H29" s="38" t="s">
        <v>37</v>
      </c>
      <c r="I29" s="46">
        <f>'Chris-Desmob'!H31</f>
        <v>2535</v>
      </c>
      <c r="J29" s="43">
        <f t="shared" si="5"/>
        <v>2465</v>
      </c>
      <c r="K29" s="35">
        <f>'Chris-Desmob'!U32</f>
        <v>1403.15</v>
      </c>
      <c r="L29" s="35">
        <f>'Chris-Desmob'!AC32</f>
        <v>215</v>
      </c>
      <c r="M29" s="36">
        <f>'Chris-Desmob'!AK32</f>
        <v>0</v>
      </c>
      <c r="O29" s="38" t="s">
        <v>37</v>
      </c>
      <c r="P29" s="46">
        <f>'Igor-Desmob'!H31</f>
        <v>3873</v>
      </c>
      <c r="Q29" s="43">
        <f t="shared" si="6"/>
        <v>1127</v>
      </c>
      <c r="R29" s="35">
        <f>'Igor-Desmob'!U32</f>
        <v>1689.01</v>
      </c>
      <c r="S29" s="35">
        <f>'Igor-Desmob'!AC32</f>
        <v>295</v>
      </c>
      <c r="T29" s="36">
        <f>'Igor-Desmob'!AK32</f>
        <v>0</v>
      </c>
      <c r="V29" s="38" t="s">
        <v>37</v>
      </c>
      <c r="W29" s="46">
        <f>'Jacques - desmob'!H31</f>
        <v>0</v>
      </c>
      <c r="X29" s="43">
        <f t="shared" si="7"/>
        <v>5000</v>
      </c>
      <c r="Y29" s="35">
        <f>'Jacques - desmob'!U32</f>
        <v>0</v>
      </c>
      <c r="Z29" s="35">
        <f>'Jacques - desmob'!AC32</f>
        <v>0</v>
      </c>
      <c r="AA29" s="36">
        <f>'Jacques - desmob'!AK32</f>
        <v>0</v>
      </c>
    </row>
    <row r="30" spans="1:27" x14ac:dyDescent="0.25">
      <c r="A30" s="38" t="s">
        <v>38</v>
      </c>
      <c r="B30" s="46">
        <f>'Rodolfo - Desmob'!H35</f>
        <v>2181</v>
      </c>
      <c r="C30" s="43">
        <f t="shared" si="4"/>
        <v>2819</v>
      </c>
      <c r="D30" s="35">
        <f>'Rodolfo - Desmob'!U36</f>
        <v>1516.8600000000001</v>
      </c>
      <c r="E30" s="35">
        <f>'Rodolfo - Desmob'!AC36</f>
        <v>135</v>
      </c>
      <c r="F30" s="36">
        <f>'Rodolfo - Desmob'!AK36</f>
        <v>0</v>
      </c>
      <c r="H30" s="38" t="s">
        <v>38</v>
      </c>
      <c r="I30" s="46">
        <f>'Chris-Desmob'!H35</f>
        <v>2327</v>
      </c>
      <c r="J30" s="43">
        <f t="shared" si="5"/>
        <v>2673</v>
      </c>
      <c r="K30" s="35">
        <f>'Chris-Desmob'!U36</f>
        <v>1129.75</v>
      </c>
      <c r="L30" s="35">
        <f>'Chris-Desmob'!AC36</f>
        <v>200</v>
      </c>
      <c r="M30" s="36">
        <f>'Chris-Desmob'!AK36</f>
        <v>0</v>
      </c>
      <c r="O30" s="38" t="s">
        <v>38</v>
      </c>
      <c r="P30" s="46">
        <f>'Igor-Desmob'!H35</f>
        <v>4548</v>
      </c>
      <c r="Q30" s="43">
        <f t="shared" si="6"/>
        <v>452</v>
      </c>
      <c r="R30" s="35">
        <f>'Igor-Desmob'!U36</f>
        <v>2037.19</v>
      </c>
      <c r="S30" s="35">
        <f>'Igor-Desmob'!AC36</f>
        <v>215</v>
      </c>
      <c r="T30" s="36">
        <f>'Igor-Desmob'!AK36</f>
        <v>0</v>
      </c>
      <c r="V30" s="38" t="s">
        <v>38</v>
      </c>
      <c r="W30" s="46">
        <f>'Jacques - desmob'!H35</f>
        <v>0</v>
      </c>
      <c r="X30" s="43">
        <f t="shared" si="7"/>
        <v>5000</v>
      </c>
      <c r="Y30" s="35">
        <f>'Jacques - desmob'!U36</f>
        <v>0</v>
      </c>
      <c r="Z30" s="35">
        <f>'Jacques - desmob'!AC36</f>
        <v>0</v>
      </c>
      <c r="AA30" s="36">
        <f>'Jacques - desmob'!AK36</f>
        <v>0</v>
      </c>
    </row>
    <row r="31" spans="1:27" x14ac:dyDescent="0.25">
      <c r="A31" s="38" t="s">
        <v>39</v>
      </c>
      <c r="B31" s="46">
        <f>'Rodolfo - Desmob'!H39</f>
        <v>2654</v>
      </c>
      <c r="C31" s="43">
        <f t="shared" si="4"/>
        <v>2346</v>
      </c>
      <c r="D31" s="35">
        <f>'Rodolfo - Desmob'!U40</f>
        <v>1491.29</v>
      </c>
      <c r="E31" s="35">
        <f>'Rodolfo - Desmob'!AC40</f>
        <v>210</v>
      </c>
      <c r="F31" s="36">
        <f>'Rodolfo - Desmob'!AK4</f>
        <v>0</v>
      </c>
      <c r="H31" s="38" t="s">
        <v>39</v>
      </c>
      <c r="I31" s="46">
        <f>'Chris-Desmob'!H39</f>
        <v>2288</v>
      </c>
      <c r="J31" s="43">
        <f t="shared" si="5"/>
        <v>2712</v>
      </c>
      <c r="K31" s="35">
        <f>'Chris-Desmob'!U40</f>
        <v>953.2</v>
      </c>
      <c r="L31" s="35">
        <f>'Chris-Desmob'!AC40</f>
        <v>155</v>
      </c>
      <c r="M31" s="36">
        <f>'Chris-Desmob'!AK40</f>
        <v>50</v>
      </c>
      <c r="O31" s="38" t="s">
        <v>39</v>
      </c>
      <c r="P31" s="46">
        <f>'Igor-Desmob'!H39</f>
        <v>3731</v>
      </c>
      <c r="Q31" s="43">
        <f t="shared" si="6"/>
        <v>1269</v>
      </c>
      <c r="R31" s="35">
        <f>'Igor-Desmob'!U40</f>
        <v>1939.8200000000002</v>
      </c>
      <c r="S31" s="35">
        <f>'Igor-Desmob'!AC40</f>
        <v>155</v>
      </c>
      <c r="T31" s="36">
        <f>'Igor-Desmob'!AK40</f>
        <v>0</v>
      </c>
      <c r="V31" s="38" t="s">
        <v>39</v>
      </c>
      <c r="W31" s="46">
        <f>'Jacques - desmob'!H39</f>
        <v>0</v>
      </c>
      <c r="X31" s="43">
        <f t="shared" si="7"/>
        <v>5000</v>
      </c>
      <c r="Y31" s="35">
        <f>'Jacques - desmob'!U40</f>
        <v>0</v>
      </c>
      <c r="Z31" s="35">
        <f>'Jacques - desmob'!AC40</f>
        <v>0</v>
      </c>
      <c r="AA31" s="36">
        <f>'Jacques - desmob'!AK40</f>
        <v>0</v>
      </c>
    </row>
    <row r="32" spans="1:27" x14ac:dyDescent="0.25">
      <c r="A32" s="38" t="s">
        <v>40</v>
      </c>
      <c r="B32" s="46">
        <f>'Rodolfo - Desmob'!H43</f>
        <v>-8031</v>
      </c>
      <c r="C32" s="43">
        <f t="shared" si="4"/>
        <v>13031</v>
      </c>
      <c r="D32" s="35">
        <f>'Rodolfo - Desmob'!U44</f>
        <v>1712.65</v>
      </c>
      <c r="E32" s="35">
        <f>'Rodolfo - Desmob'!AC44</f>
        <v>0</v>
      </c>
      <c r="F32" s="36">
        <f>'Rodolfo - Desmob'!AK44</f>
        <v>0</v>
      </c>
      <c r="H32" s="38" t="s">
        <v>40</v>
      </c>
      <c r="I32" s="46">
        <f>'Chris-Desmob'!H43</f>
        <v>1404</v>
      </c>
      <c r="J32" s="43">
        <f t="shared" si="5"/>
        <v>3596</v>
      </c>
      <c r="K32" s="35">
        <f>'Chris-Desmob'!U44</f>
        <v>1212.8900000000001</v>
      </c>
      <c r="L32" s="35">
        <f>'Chris-Desmob'!AC44</f>
        <v>75</v>
      </c>
      <c r="M32" s="36">
        <f>'Chris-Desmob'!AK44</f>
        <v>0</v>
      </c>
      <c r="O32" s="38" t="s">
        <v>40</v>
      </c>
      <c r="P32" s="46">
        <f>'Igor-Desmob'!H43</f>
        <v>4373</v>
      </c>
      <c r="Q32" s="43">
        <f t="shared" si="6"/>
        <v>627</v>
      </c>
      <c r="R32" s="35">
        <f>'Igor-Desmob'!U44</f>
        <v>2335.23</v>
      </c>
      <c r="S32" s="35">
        <f>'Igor-Desmob'!AC44</f>
        <v>150</v>
      </c>
      <c r="T32" s="36">
        <f>'Igor-Desmob'!AK44</f>
        <v>0</v>
      </c>
      <c r="V32" s="38" t="s">
        <v>40</v>
      </c>
      <c r="W32" s="46">
        <f>'Jacques - desmob'!H43</f>
        <v>0</v>
      </c>
      <c r="X32" s="43">
        <f t="shared" si="7"/>
        <v>5000</v>
      </c>
      <c r="Y32" s="35">
        <f>'Jacques - desmob'!U44</f>
        <v>0</v>
      </c>
      <c r="Z32" s="35">
        <f>'Jacques - desmob'!AC44</f>
        <v>0</v>
      </c>
      <c r="AA32" s="36">
        <f>'Jacques - desmob'!AK44</f>
        <v>0</v>
      </c>
    </row>
    <row r="33" spans="1:27" x14ac:dyDescent="0.25">
      <c r="A33" s="38" t="s">
        <v>41</v>
      </c>
      <c r="B33" s="46">
        <f>'Rodolfo - Desmob'!H47</f>
        <v>0</v>
      </c>
      <c r="C33" s="43">
        <f t="shared" si="4"/>
        <v>5000</v>
      </c>
      <c r="D33" s="35">
        <f>'Rodolfo - Desmob'!U48</f>
        <v>337.2</v>
      </c>
      <c r="E33" s="35">
        <f>'Rodolfo - Desmob'!AC48</f>
        <v>0</v>
      </c>
      <c r="F33" s="36">
        <f>'Rodolfo - Desmob'!AK48</f>
        <v>0</v>
      </c>
      <c r="H33" s="38" t="s">
        <v>41</v>
      </c>
      <c r="I33" s="46">
        <f>'Chris-Desmob'!H47</f>
        <v>3329</v>
      </c>
      <c r="J33" s="43">
        <f t="shared" si="5"/>
        <v>1671</v>
      </c>
      <c r="K33" s="35">
        <f>'Chris-Desmob'!U48</f>
        <v>242.5</v>
      </c>
      <c r="L33" s="35">
        <f>'Chris-Desmob'!AC48</f>
        <v>0</v>
      </c>
      <c r="M33" s="36">
        <f>'Chris-Desmob'!AK48</f>
        <v>0</v>
      </c>
      <c r="O33" s="38" t="s">
        <v>41</v>
      </c>
      <c r="P33" s="46">
        <f>'Igor-Desmob'!H47</f>
        <v>3532</v>
      </c>
      <c r="Q33" s="43">
        <f t="shared" si="6"/>
        <v>1468</v>
      </c>
      <c r="R33" s="35">
        <f>'Igor-Desmob'!U48</f>
        <v>752.94</v>
      </c>
      <c r="S33" s="35">
        <f>'Igor-Desmob'!AC48</f>
        <v>0</v>
      </c>
      <c r="T33" s="36">
        <f>'Igor-Desmob'!AK48</f>
        <v>0</v>
      </c>
      <c r="V33" s="38" t="s">
        <v>41</v>
      </c>
      <c r="W33" s="46">
        <f>'Jacques - desmob'!H47</f>
        <v>0</v>
      </c>
      <c r="X33" s="43">
        <f t="shared" si="7"/>
        <v>5000</v>
      </c>
      <c r="Y33" s="35">
        <f>'Jacques - desmob'!U48</f>
        <v>0</v>
      </c>
      <c r="Z33" s="35">
        <f>'Jacques - desmob'!AC48</f>
        <v>0</v>
      </c>
      <c r="AA33" s="36">
        <f>'Jacques - desmob'!AK48</f>
        <v>0</v>
      </c>
    </row>
    <row r="34" spans="1:27" ht="15.75" thickBot="1" x14ac:dyDescent="0.3">
      <c r="A34" s="39" t="s">
        <v>42</v>
      </c>
      <c r="B34" s="47">
        <f>'Rodolfo - Desmob'!H51</f>
        <v>0</v>
      </c>
      <c r="C34" s="44">
        <f t="shared" si="4"/>
        <v>5000</v>
      </c>
      <c r="D34" s="11">
        <f>'Rodolfo - Desmob'!U52</f>
        <v>0</v>
      </c>
      <c r="E34" s="11">
        <f>'Rodolfo - Desmob'!AC52</f>
        <v>0</v>
      </c>
      <c r="F34" s="12">
        <f>'Rodolfo - Desmob'!AK52</f>
        <v>0</v>
      </c>
      <c r="H34" s="39" t="s">
        <v>42</v>
      </c>
      <c r="I34" s="47">
        <f>'Chris-Desmob'!H51</f>
        <v>1706</v>
      </c>
      <c r="J34" s="44">
        <f t="shared" si="5"/>
        <v>3294</v>
      </c>
      <c r="K34" s="11">
        <f>'Chris-Desmob'!U52</f>
        <v>824.94999999999993</v>
      </c>
      <c r="L34" s="11">
        <f>'Chris-Desmob'!AC52</f>
        <v>0</v>
      </c>
      <c r="M34" s="12">
        <f>'Chris-Desmob'!AK52</f>
        <v>0</v>
      </c>
      <c r="O34" s="39" t="s">
        <v>42</v>
      </c>
      <c r="P34" s="47">
        <f>'Igor-Desmob'!H51</f>
        <v>764</v>
      </c>
      <c r="Q34" s="44">
        <f t="shared" si="6"/>
        <v>4236</v>
      </c>
      <c r="R34" s="11">
        <f>'Igor-Desmob'!U52</f>
        <v>0</v>
      </c>
      <c r="S34" s="11">
        <f>'Igor-Desmob'!AC52</f>
        <v>0</v>
      </c>
      <c r="T34" s="12">
        <f>'Igor-Desmob'!AK52</f>
        <v>0</v>
      </c>
      <c r="V34" s="39" t="s">
        <v>42</v>
      </c>
      <c r="W34" s="47">
        <f>'Jacques - desmob'!H51</f>
        <v>0</v>
      </c>
      <c r="X34" s="44">
        <f t="shared" si="7"/>
        <v>5000</v>
      </c>
      <c r="Y34" s="11">
        <f>'Jacques - desmob'!U52</f>
        <v>0</v>
      </c>
      <c r="Z34" s="11">
        <f>'Jacques - desmob'!AC52</f>
        <v>0</v>
      </c>
      <c r="AA34" s="12">
        <f>'Jacques - desmob'!AK52</f>
        <v>0</v>
      </c>
    </row>
    <row r="35" spans="1:27" ht="15.75" thickBot="1" x14ac:dyDescent="0.3"/>
    <row r="36" spans="1:27" ht="15.75" thickBot="1" x14ac:dyDescent="0.3">
      <c r="A36" s="3" t="s">
        <v>23</v>
      </c>
      <c r="B36" s="52">
        <f>SUM(B23:B34)</f>
        <v>11274</v>
      </c>
      <c r="C36" s="51"/>
      <c r="D36" s="50">
        <f>SUM(D23:D34)</f>
        <v>12584.339999999998</v>
      </c>
      <c r="E36" s="49">
        <f>SUM(E23:E34)</f>
        <v>985</v>
      </c>
      <c r="F36" s="48">
        <f>SUM(F23:F34)</f>
        <v>0</v>
      </c>
      <c r="H36" s="3" t="s">
        <v>23</v>
      </c>
      <c r="I36" s="52">
        <f>SUM(I23:I34)</f>
        <v>23742</v>
      </c>
      <c r="J36" s="51"/>
      <c r="K36" s="50">
        <f>SUM(K23:K34)</f>
        <v>10676.990000000002</v>
      </c>
      <c r="L36" s="49">
        <f>SUM(L23:L34)</f>
        <v>885</v>
      </c>
      <c r="M36" s="48">
        <f>SUM(M23:M34)</f>
        <v>50</v>
      </c>
      <c r="O36" s="3" t="s">
        <v>23</v>
      </c>
      <c r="P36" s="52">
        <f>SUM(P23:P34)</f>
        <v>34098</v>
      </c>
      <c r="Q36" s="51"/>
      <c r="R36" s="50">
        <f>SUM(R23:R34)</f>
        <v>15371.28</v>
      </c>
      <c r="S36" s="49">
        <f>SUM(S23:S34)</f>
        <v>1395</v>
      </c>
      <c r="T36" s="48">
        <f>SUM(T23:T34)</f>
        <v>0</v>
      </c>
      <c r="V36" s="3" t="s">
        <v>23</v>
      </c>
      <c r="W36" s="52">
        <f>SUM(W23:W34)</f>
        <v>8248</v>
      </c>
      <c r="X36" s="51"/>
      <c r="Y36" s="50">
        <f>SUM(Y23:Y34)</f>
        <v>2428.4699999999998</v>
      </c>
      <c r="Z36" s="49">
        <f>SUM(Z23:Z34)</f>
        <v>80</v>
      </c>
      <c r="AA36" s="48">
        <f>SUM(AA23:AA34)</f>
        <v>0</v>
      </c>
    </row>
    <row r="37" spans="1:27" ht="15.75" thickBot="1" x14ac:dyDescent="0.3">
      <c r="A37" s="3" t="s">
        <v>44</v>
      </c>
      <c r="B37" s="23">
        <f>SUM(60000-B36)</f>
        <v>48726</v>
      </c>
      <c r="H37" s="3" t="s">
        <v>44</v>
      </c>
      <c r="I37" s="23">
        <f>SUM(60000-I36)</f>
        <v>36258</v>
      </c>
      <c r="O37" s="3" t="s">
        <v>44</v>
      </c>
      <c r="P37" s="23">
        <f>SUM(60000-P36)</f>
        <v>25902</v>
      </c>
      <c r="V37" s="3" t="s">
        <v>44</v>
      </c>
      <c r="W37" s="23">
        <f>SUM(60000-W36)</f>
        <v>51752</v>
      </c>
    </row>
    <row r="40" spans="1:27" ht="15.75" thickBot="1" x14ac:dyDescent="0.3">
      <c r="B40" s="106" t="s">
        <v>85</v>
      </c>
      <c r="C40" s="106"/>
      <c r="D40" s="106"/>
      <c r="E40" s="106"/>
      <c r="F40" s="106"/>
      <c r="I40" s="106" t="s">
        <v>87</v>
      </c>
      <c r="J40" s="106"/>
      <c r="K40" s="106"/>
      <c r="L40" s="106"/>
      <c r="M40" s="106"/>
      <c r="P40" s="106" t="s">
        <v>88</v>
      </c>
      <c r="Q40" s="106"/>
      <c r="R40" s="106"/>
      <c r="S40" s="106"/>
      <c r="T40" s="106"/>
      <c r="W40" s="106" t="s">
        <v>104</v>
      </c>
      <c r="X40" s="106"/>
      <c r="Y40" s="106"/>
      <c r="Z40" s="106"/>
      <c r="AA40" s="106"/>
    </row>
    <row r="41" spans="1:27" ht="15.75" thickBot="1" x14ac:dyDescent="0.3">
      <c r="B41" s="22" t="s">
        <v>43</v>
      </c>
      <c r="C41" s="33" t="s">
        <v>30</v>
      </c>
      <c r="D41" s="23" t="s">
        <v>26</v>
      </c>
      <c r="E41" s="23" t="s">
        <v>25</v>
      </c>
      <c r="F41" s="25" t="s">
        <v>27</v>
      </c>
      <c r="I41" s="22" t="s">
        <v>43</v>
      </c>
      <c r="J41" s="33" t="s">
        <v>30</v>
      </c>
      <c r="K41" s="23" t="s">
        <v>26</v>
      </c>
      <c r="L41" s="23" t="s">
        <v>25</v>
      </c>
      <c r="M41" s="25" t="s">
        <v>27</v>
      </c>
      <c r="P41" s="22" t="s">
        <v>43</v>
      </c>
      <c r="Q41" s="33" t="s">
        <v>30</v>
      </c>
      <c r="R41" s="23" t="s">
        <v>26</v>
      </c>
      <c r="S41" s="23" t="s">
        <v>25</v>
      </c>
      <c r="T41" s="25" t="s">
        <v>27</v>
      </c>
      <c r="W41" s="22" t="s">
        <v>43</v>
      </c>
      <c r="X41" s="33" t="s">
        <v>30</v>
      </c>
      <c r="Y41" s="23" t="s">
        <v>26</v>
      </c>
      <c r="Z41" s="23" t="s">
        <v>25</v>
      </c>
      <c r="AA41" s="25" t="s">
        <v>27</v>
      </c>
    </row>
    <row r="42" spans="1:27" x14ac:dyDescent="0.25">
      <c r="A42" s="37" t="s">
        <v>31</v>
      </c>
      <c r="B42" s="58"/>
      <c r="C42" s="59"/>
      <c r="D42" s="60"/>
      <c r="E42" s="60"/>
      <c r="F42" s="61"/>
      <c r="H42" s="37" t="s">
        <v>31</v>
      </c>
      <c r="I42" s="58"/>
      <c r="J42" s="59"/>
      <c r="K42" s="60"/>
      <c r="L42" s="60"/>
      <c r="M42" s="61"/>
      <c r="O42" s="37" t="s">
        <v>31</v>
      </c>
      <c r="P42" s="58"/>
      <c r="Q42" s="59"/>
      <c r="R42" s="60"/>
      <c r="S42" s="60"/>
      <c r="T42" s="61"/>
      <c r="V42" s="37" t="s">
        <v>31</v>
      </c>
      <c r="W42" s="58"/>
      <c r="X42" s="59"/>
      <c r="Y42" s="60"/>
      <c r="Z42" s="60"/>
      <c r="AA42" s="61"/>
    </row>
    <row r="43" spans="1:27" x14ac:dyDescent="0.25">
      <c r="A43" s="38" t="s">
        <v>32</v>
      </c>
      <c r="B43" s="46">
        <f>'Illichi_Wesley-Desmob'!H11</f>
        <v>0</v>
      </c>
      <c r="C43" s="43">
        <f>SUM(5000-B43)</f>
        <v>5000</v>
      </c>
      <c r="D43" s="35">
        <f>'Illichi_Wesley-Desmob'!U12</f>
        <v>0</v>
      </c>
      <c r="E43" s="35">
        <f>'Illichi_Wesley-Desmob'!AC12</f>
        <v>0</v>
      </c>
      <c r="F43" s="36">
        <f>'Illichi_Wesley-Desmob'!AK12</f>
        <v>0</v>
      </c>
      <c r="H43" s="38" t="s">
        <v>32</v>
      </c>
      <c r="I43" s="46">
        <f>'Wagner-Desmob'!H11</f>
        <v>0</v>
      </c>
      <c r="J43" s="43">
        <f>SUM(5000-I43)</f>
        <v>5000</v>
      </c>
      <c r="K43" s="35">
        <f>'Wagner-Desmob'!U12</f>
        <v>0</v>
      </c>
      <c r="L43" s="35">
        <f>'Wagner-Desmob'!AE12</f>
        <v>0</v>
      </c>
      <c r="M43" s="36">
        <f>'Wagner-Desmob'!AN12</f>
        <v>0</v>
      </c>
      <c r="O43" s="38" t="s">
        <v>32</v>
      </c>
      <c r="P43" s="46">
        <f>'Devaldo-Desmob'!H11</f>
        <v>0</v>
      </c>
      <c r="Q43" s="43">
        <f>SUM(5000-P43)</f>
        <v>5000</v>
      </c>
      <c r="R43" s="35">
        <f>'Devaldo-Desmob'!U12</f>
        <v>0</v>
      </c>
      <c r="S43" s="35">
        <f>'Devaldo-Desmob'!AE12</f>
        <v>0</v>
      </c>
      <c r="T43" s="36">
        <f>'Devaldo-Desmob'!AN12</f>
        <v>0</v>
      </c>
      <c r="V43" s="38" t="s">
        <v>32</v>
      </c>
      <c r="W43" s="46">
        <f>'Antonio Flavio-Desmob'!H14</f>
        <v>0</v>
      </c>
      <c r="X43" s="43">
        <f>SUM(5000-W43)</f>
        <v>5000</v>
      </c>
      <c r="Y43" s="35">
        <f>'Antonio Flavio-Desmob'!U15</f>
        <v>0</v>
      </c>
      <c r="Z43" s="35">
        <f>'Antonio Flavio-Desmob'!AE15</f>
        <v>0</v>
      </c>
      <c r="AA43" s="36">
        <f>'Antonio Flavio-Desmob'!AN15</f>
        <v>0</v>
      </c>
    </row>
    <row r="44" spans="1:27" x14ac:dyDescent="0.25">
      <c r="A44" s="38" t="s">
        <v>33</v>
      </c>
      <c r="B44" s="46">
        <f>'Illichi_Wesley-Desmob'!H15</f>
        <v>149</v>
      </c>
      <c r="C44" s="43">
        <f t="shared" ref="C44:C53" si="8">SUM(5000-B44)</f>
        <v>4851</v>
      </c>
      <c r="D44" s="35">
        <f>'Illichi_Wesley-Desmob'!U16</f>
        <v>0</v>
      </c>
      <c r="E44" s="35">
        <f>'Illichi_Wesley-Desmob'!AC16</f>
        <v>0</v>
      </c>
      <c r="F44" s="36">
        <f>'Illichi_Wesley-Desmob'!AK16</f>
        <v>0</v>
      </c>
      <c r="H44" s="38" t="s">
        <v>33</v>
      </c>
      <c r="I44" s="46">
        <f>'Wagner-Desmob'!H15</f>
        <v>0</v>
      </c>
      <c r="J44" s="43">
        <f t="shared" ref="J44:J53" si="9">SUM(5000-I44)</f>
        <v>5000</v>
      </c>
      <c r="K44" s="35">
        <f>'Wagner-Desmob'!U16</f>
        <v>0</v>
      </c>
      <c r="L44" s="35">
        <f>'Wagner-Desmob'!AE16</f>
        <v>0</v>
      </c>
      <c r="M44" s="36">
        <f>'Wagner-Desmob'!AN16</f>
        <v>0</v>
      </c>
      <c r="O44" s="38" t="s">
        <v>33</v>
      </c>
      <c r="P44" s="46">
        <f>'Devaldo-Desmob'!H15</f>
        <v>0</v>
      </c>
      <c r="Q44" s="43">
        <f t="shared" ref="Q44:Q53" si="10">SUM(5000-P44)</f>
        <v>5000</v>
      </c>
      <c r="R44" s="35">
        <f>'Devaldo-Desmob'!U16</f>
        <v>0</v>
      </c>
      <c r="S44" s="35">
        <f>'Devaldo-Desmob'!AE16</f>
        <v>0</v>
      </c>
      <c r="T44" s="36">
        <f>'Devaldo-Desmob'!AN16</f>
        <v>0</v>
      </c>
      <c r="V44" s="38" t="s">
        <v>33</v>
      </c>
      <c r="W44" s="46">
        <f>'Antonio Flavio-Desmob'!H18</f>
        <v>0</v>
      </c>
      <c r="X44" s="43">
        <f t="shared" ref="X44:X53" si="11">SUM(5000-W44)</f>
        <v>5000</v>
      </c>
      <c r="Y44" s="35">
        <f>'Antonio Flavio-Desmob'!U19</f>
        <v>0</v>
      </c>
      <c r="Z44" s="35">
        <f>'Antonio Flavio-Desmob'!AE19</f>
        <v>0</v>
      </c>
      <c r="AA44" s="36">
        <f>'Antonio Flavio-Desmob'!AN19</f>
        <v>0</v>
      </c>
    </row>
    <row r="45" spans="1:27" x14ac:dyDescent="0.25">
      <c r="A45" s="38" t="s">
        <v>34</v>
      </c>
      <c r="B45" s="46">
        <f>'Illichi_Wesley-Desmob'!H19</f>
        <v>3335</v>
      </c>
      <c r="C45" s="43">
        <f t="shared" si="8"/>
        <v>1665</v>
      </c>
      <c r="D45" s="35">
        <f>'Illichi_Wesley-Desmob'!U20</f>
        <v>1469.27</v>
      </c>
      <c r="E45" s="35">
        <f>'Illichi_Wesley-Desmob'!AC20</f>
        <v>80</v>
      </c>
      <c r="F45" s="36">
        <f>'Illichi_Wesley-Desmob'!AK20</f>
        <v>0</v>
      </c>
      <c r="H45" s="38" t="s">
        <v>34</v>
      </c>
      <c r="I45" s="46">
        <f>'Wagner-Desmob'!H19</f>
        <v>0</v>
      </c>
      <c r="J45" s="43">
        <f t="shared" si="9"/>
        <v>5000</v>
      </c>
      <c r="K45" s="35">
        <f>'Wagner-Desmob'!U20</f>
        <v>186.41</v>
      </c>
      <c r="L45" s="35">
        <f>'Wagner-Desmob'!AE20</f>
        <v>0</v>
      </c>
      <c r="M45" s="36">
        <f>'Wagner-Desmob'!AN20</f>
        <v>0</v>
      </c>
      <c r="O45" s="38" t="s">
        <v>34</v>
      </c>
      <c r="P45" s="46">
        <f>'Devaldo-Desmob'!H19</f>
        <v>0</v>
      </c>
      <c r="Q45" s="43">
        <f t="shared" si="10"/>
        <v>5000</v>
      </c>
      <c r="R45" s="35">
        <f>'Devaldo-Desmob'!U20</f>
        <v>0</v>
      </c>
      <c r="S45" s="35">
        <f>'Devaldo-Desmob'!AE20</f>
        <v>0</v>
      </c>
      <c r="T45" s="36">
        <f>'Devaldo-Desmob'!AN20</f>
        <v>0</v>
      </c>
      <c r="V45" s="38" t="s">
        <v>34</v>
      </c>
      <c r="W45" s="46">
        <f>'Antonio Flavio-Desmob'!H22</f>
        <v>0</v>
      </c>
      <c r="X45" s="43">
        <f t="shared" si="11"/>
        <v>5000</v>
      </c>
      <c r="Y45" s="35">
        <f>'Antonio Flavio-Desmob'!U23</f>
        <v>0</v>
      </c>
      <c r="Z45" s="35">
        <f>'Antonio Flavio-Desmob'!AE23</f>
        <v>0</v>
      </c>
      <c r="AA45" s="36">
        <f>'Antonio Flavio-Desmob'!AN23</f>
        <v>0</v>
      </c>
    </row>
    <row r="46" spans="1:27" x14ac:dyDescent="0.25">
      <c r="A46" s="38" t="s">
        <v>35</v>
      </c>
      <c r="B46" s="46">
        <f>'Illichi_Wesley-Desmob'!H23</f>
        <v>2518</v>
      </c>
      <c r="C46" s="43">
        <f t="shared" si="8"/>
        <v>2482</v>
      </c>
      <c r="D46" s="35">
        <f>'Illichi_Wesley-Desmob'!U24</f>
        <v>1028.72</v>
      </c>
      <c r="E46" s="35">
        <f>'Illichi_Wesley-Desmob'!AC24</f>
        <v>160</v>
      </c>
      <c r="F46" s="36">
        <f>'Illichi_Wesley-Desmob'!AK24</f>
        <v>0</v>
      </c>
      <c r="H46" s="38" t="s">
        <v>35</v>
      </c>
      <c r="I46" s="46">
        <f>'Wagner-Desmob'!H23</f>
        <v>3418</v>
      </c>
      <c r="J46" s="43">
        <f t="shared" si="9"/>
        <v>1582</v>
      </c>
      <c r="K46" s="35">
        <f>'Wagner-Desmob'!U24</f>
        <v>1036.27</v>
      </c>
      <c r="L46" s="35">
        <f>'Wagner-Desmob'!AE24</f>
        <v>0</v>
      </c>
      <c r="M46" s="36">
        <f>'Wagner-Desmob'!AN24</f>
        <v>0</v>
      </c>
      <c r="O46" s="38" t="s">
        <v>35</v>
      </c>
      <c r="P46" s="46">
        <f>'Devaldo-Desmob'!H23</f>
        <v>3005</v>
      </c>
      <c r="Q46" s="43">
        <f t="shared" si="10"/>
        <v>1995</v>
      </c>
      <c r="R46" s="35">
        <f>'Devaldo-Desmob'!U24</f>
        <v>1351.6100000000001</v>
      </c>
      <c r="S46" s="35">
        <f>'Devaldo-Desmob'!AE24</f>
        <v>0</v>
      </c>
      <c r="T46" s="36">
        <f>'Devaldo-Desmob'!AN24</f>
        <v>0</v>
      </c>
      <c r="V46" s="38" t="s">
        <v>35</v>
      </c>
      <c r="W46" s="46">
        <f>'Antonio Flavio-Desmob'!H26</f>
        <v>573</v>
      </c>
      <c r="X46" s="43">
        <f t="shared" si="11"/>
        <v>4427</v>
      </c>
      <c r="Y46" s="35">
        <f>'Antonio Flavio-Desmob'!U27</f>
        <v>192.14</v>
      </c>
      <c r="Z46" s="35">
        <f>'Antonio Flavio-Desmob'!AE27</f>
        <v>0</v>
      </c>
      <c r="AA46" s="36">
        <f>'Antonio Flavio-Desmob'!AN27</f>
        <v>0</v>
      </c>
    </row>
    <row r="47" spans="1:27" x14ac:dyDescent="0.25">
      <c r="A47" s="38" t="s">
        <v>36</v>
      </c>
      <c r="B47" s="46">
        <f>'Illichi_Wesley-Desmob'!H27</f>
        <v>0</v>
      </c>
      <c r="C47" s="43">
        <f t="shared" si="8"/>
        <v>5000</v>
      </c>
      <c r="D47" s="35">
        <f>'Illichi_Wesley-Desmob'!U28</f>
        <v>934.01</v>
      </c>
      <c r="E47" s="35">
        <f>'Illichi_Wesley-Desmob'!AC28</f>
        <v>80</v>
      </c>
      <c r="F47" s="36">
        <f>'Illichi_Wesley-Desmob'!AK28</f>
        <v>0</v>
      </c>
      <c r="H47" s="38" t="s">
        <v>36</v>
      </c>
      <c r="I47" s="46">
        <f>'Wagner-Desmob'!H27</f>
        <v>3419</v>
      </c>
      <c r="J47" s="43">
        <f t="shared" si="9"/>
        <v>1581</v>
      </c>
      <c r="K47" s="35">
        <f>'Wagner-Desmob'!U28</f>
        <v>1572.7999999999997</v>
      </c>
      <c r="L47" s="35">
        <f>'Wagner-Desmob'!AE28</f>
        <v>320</v>
      </c>
      <c r="M47" s="36">
        <f>'Wagner-Desmob'!AN28</f>
        <v>0</v>
      </c>
      <c r="O47" s="38" t="s">
        <v>36</v>
      </c>
      <c r="P47" s="46">
        <f>'Devaldo-Desmob'!H27</f>
        <v>2584</v>
      </c>
      <c r="Q47" s="43">
        <f t="shared" si="10"/>
        <v>2416</v>
      </c>
      <c r="R47" s="35">
        <f>'Devaldo-Desmob'!U28</f>
        <v>1366.5699999999997</v>
      </c>
      <c r="S47" s="35">
        <f>'Devaldo-Desmob'!AE28</f>
        <v>0</v>
      </c>
      <c r="T47" s="36">
        <f>'Devaldo-Desmob'!AN28</f>
        <v>0</v>
      </c>
      <c r="V47" s="38" t="s">
        <v>36</v>
      </c>
      <c r="W47" s="46">
        <f>'Antonio Flavio-Desmob'!H30</f>
        <v>1814</v>
      </c>
      <c r="X47" s="43">
        <f t="shared" si="11"/>
        <v>3186</v>
      </c>
      <c r="Y47" s="35">
        <f>'Antonio Flavio-Desmob'!U31</f>
        <v>957.52</v>
      </c>
      <c r="Z47" s="35">
        <f>'Antonio Flavio-Desmob'!AE31</f>
        <v>160</v>
      </c>
      <c r="AA47" s="36">
        <f>'Antonio Flavio-Desmob'!AN31</f>
        <v>0</v>
      </c>
    </row>
    <row r="48" spans="1:27" x14ac:dyDescent="0.25">
      <c r="A48" s="38" t="s">
        <v>37</v>
      </c>
      <c r="B48" s="46">
        <f>'Illichi_Wesley-Desmob'!H31</f>
        <v>0</v>
      </c>
      <c r="C48" s="43">
        <f t="shared" si="8"/>
        <v>5000</v>
      </c>
      <c r="D48" s="35">
        <f>'Illichi_Wesley-Desmob'!U32</f>
        <v>166.82</v>
      </c>
      <c r="E48" s="35">
        <f>'Illichi_Wesley-Desmob'!AC32</f>
        <v>80</v>
      </c>
      <c r="F48" s="36">
        <f>'Illichi_Wesley-Desmob'!AK32</f>
        <v>0</v>
      </c>
      <c r="H48" s="38" t="s">
        <v>37</v>
      </c>
      <c r="I48" s="46">
        <f>'Wagner-Desmob'!H31</f>
        <v>1209</v>
      </c>
      <c r="J48" s="43">
        <f t="shared" si="9"/>
        <v>3791</v>
      </c>
      <c r="K48" s="35">
        <f>'Wagner-Desmob'!U32</f>
        <v>1786.69</v>
      </c>
      <c r="L48" s="35">
        <f>'Wagner-Desmob'!AE32</f>
        <v>160</v>
      </c>
      <c r="M48" s="36">
        <f>'Wagner-Desmob'!AN32</f>
        <v>0</v>
      </c>
      <c r="O48" s="38" t="s">
        <v>37</v>
      </c>
      <c r="P48" s="46">
        <f>'Devaldo-Desmob'!H31</f>
        <v>2453</v>
      </c>
      <c r="Q48" s="43">
        <f t="shared" si="10"/>
        <v>2547</v>
      </c>
      <c r="R48" s="35">
        <f>'Devaldo-Desmob'!U32</f>
        <v>1403.84</v>
      </c>
      <c r="S48" s="35">
        <f>'Devaldo-Desmob'!AE32</f>
        <v>75</v>
      </c>
      <c r="T48" s="36">
        <f>'Devaldo-Desmob'!AN32</f>
        <v>0</v>
      </c>
      <c r="V48" s="38" t="s">
        <v>37</v>
      </c>
      <c r="W48" s="46">
        <f>'Antonio Flavio-Desmob'!H34</f>
        <v>1870</v>
      </c>
      <c r="X48" s="43">
        <f t="shared" si="11"/>
        <v>3130</v>
      </c>
      <c r="Y48" s="35">
        <f>'Antonio Flavio-Desmob'!U35</f>
        <v>976.7299999999999</v>
      </c>
      <c r="Z48" s="35">
        <f>'Antonio Flavio-Desmob'!AE35</f>
        <v>195</v>
      </c>
      <c r="AA48" s="36">
        <f>'Antonio Flavio-Desmob'!AN35</f>
        <v>0</v>
      </c>
    </row>
    <row r="49" spans="1:27" x14ac:dyDescent="0.25">
      <c r="A49" s="38" t="s">
        <v>38</v>
      </c>
      <c r="B49" s="46">
        <f>'Illichi_Wesley-Desmob'!H35</f>
        <v>2092</v>
      </c>
      <c r="C49" s="43">
        <f t="shared" si="8"/>
        <v>2908</v>
      </c>
      <c r="D49" s="35">
        <f>'Illichi_Wesley-Desmob'!U36</f>
        <v>1859.41</v>
      </c>
      <c r="E49" s="35">
        <f>'Illichi_Wesley-Desmob'!AC36</f>
        <v>200</v>
      </c>
      <c r="F49" s="36">
        <f>'Illichi_Wesley-Desmob'!AK36</f>
        <v>0</v>
      </c>
      <c r="H49" s="38" t="s">
        <v>38</v>
      </c>
      <c r="I49" s="46">
        <f>'Wagner-Desmob'!H35</f>
        <v>2611</v>
      </c>
      <c r="J49" s="43">
        <f t="shared" si="9"/>
        <v>2389</v>
      </c>
      <c r="K49" s="35">
        <f>'Wagner-Desmob'!U36</f>
        <v>1098.5</v>
      </c>
      <c r="L49" s="35">
        <f>'Wagner-Desmob'!AE36</f>
        <v>340</v>
      </c>
      <c r="M49" s="36">
        <f>'Wagner-Desmob'!AN36</f>
        <v>0</v>
      </c>
      <c r="O49" s="38" t="s">
        <v>38</v>
      </c>
      <c r="P49" s="46">
        <f>'Devaldo-Desmob'!H35</f>
        <v>3764</v>
      </c>
      <c r="Q49" s="43">
        <f t="shared" si="10"/>
        <v>1236</v>
      </c>
      <c r="R49" s="35">
        <f>'Devaldo-Desmob'!U36</f>
        <v>1771.1000000000001</v>
      </c>
      <c r="S49" s="35">
        <f>'Devaldo-Desmob'!AC36</f>
        <v>0</v>
      </c>
      <c r="T49" s="36">
        <f>'Devaldo-Desmob'!AN36</f>
        <v>0</v>
      </c>
      <c r="V49" s="38" t="s">
        <v>38</v>
      </c>
      <c r="W49" s="46">
        <f>'Antonio Flavio-Desmob'!H38</f>
        <v>1824</v>
      </c>
      <c r="X49" s="43">
        <f t="shared" si="11"/>
        <v>3176</v>
      </c>
      <c r="Y49" s="35">
        <f>'Antonio Flavio-Desmob'!U39</f>
        <v>960.41000000000008</v>
      </c>
      <c r="Z49" s="35">
        <f>'Antonio Flavio-Desmob'!AE39</f>
        <v>340</v>
      </c>
      <c r="AA49" s="36">
        <f>'Antonio Flavio-Desmob'!AN39</f>
        <v>0</v>
      </c>
    </row>
    <row r="50" spans="1:27" x14ac:dyDescent="0.25">
      <c r="A50" s="38" t="s">
        <v>39</v>
      </c>
      <c r="B50" s="46">
        <f>'Illichi_Wesley-Desmob'!H39</f>
        <v>2761</v>
      </c>
      <c r="C50" s="43">
        <f t="shared" si="8"/>
        <v>2239</v>
      </c>
      <c r="D50" s="35">
        <f>'Illichi_Wesley-Desmob'!U40</f>
        <v>1141.1899999999998</v>
      </c>
      <c r="E50" s="35">
        <f>'Illichi_Wesley-Desmob'!AC40</f>
        <v>200</v>
      </c>
      <c r="F50" s="36">
        <f>'Illichi_Wesley-Desmob'!AK40</f>
        <v>0</v>
      </c>
      <c r="H50" s="38" t="s">
        <v>39</v>
      </c>
      <c r="I50" s="46">
        <f>'Wagner-Desmob'!H39</f>
        <v>2702</v>
      </c>
      <c r="J50" s="43">
        <f t="shared" si="9"/>
        <v>2298</v>
      </c>
      <c r="K50" s="35">
        <f>'Wagner-Desmob'!U40</f>
        <v>1178.6399999999999</v>
      </c>
      <c r="L50" s="35">
        <f>'Wagner-Desmob'!AE40</f>
        <v>235</v>
      </c>
      <c r="M50" s="36">
        <f>'Wagner-Desmob'!AN40</f>
        <v>0</v>
      </c>
      <c r="O50" s="38" t="s">
        <v>39</v>
      </c>
      <c r="P50" s="46">
        <f>'Devaldo-Desmob'!H39</f>
        <v>2368</v>
      </c>
      <c r="Q50" s="43">
        <f t="shared" si="10"/>
        <v>2632</v>
      </c>
      <c r="R50" s="35">
        <f>'Devaldo-Desmob'!U40</f>
        <v>1413.9</v>
      </c>
      <c r="S50" s="35">
        <f>'Devaldo-Desmob'!AE40</f>
        <v>225</v>
      </c>
      <c r="T50" s="36">
        <f>'Devaldo-Desmob'!AN40</f>
        <v>0</v>
      </c>
      <c r="V50" s="38" t="s">
        <v>39</v>
      </c>
      <c r="W50" s="46">
        <f>'Antonio Flavio-Desmob'!H42</f>
        <v>1317</v>
      </c>
      <c r="X50" s="43">
        <f t="shared" si="11"/>
        <v>3683</v>
      </c>
      <c r="Y50" s="35">
        <f>'Antonio Flavio-Desmob'!U43</f>
        <v>753.26</v>
      </c>
      <c r="Z50" s="35">
        <f>'Antonio Flavio-Desmob'!AE43</f>
        <v>210</v>
      </c>
      <c r="AA50" s="36">
        <f>'Antonio Flavio-Desmob'!AN43</f>
        <v>50</v>
      </c>
    </row>
    <row r="51" spans="1:27" x14ac:dyDescent="0.25">
      <c r="A51" s="38" t="s">
        <v>40</v>
      </c>
      <c r="B51" s="46">
        <f>'Illichi_Wesley-Desmob'!H43</f>
        <v>3144</v>
      </c>
      <c r="C51" s="43">
        <f t="shared" si="8"/>
        <v>1856</v>
      </c>
      <c r="D51" s="35">
        <f>'Illichi_Wesley-Desmob'!U44</f>
        <v>1603.944</v>
      </c>
      <c r="E51" s="35">
        <f>'Illichi_Wesley-Desmob'!AC44</f>
        <v>75</v>
      </c>
      <c r="F51" s="36">
        <f>'Illichi_Wesley-Desmob'!AK44</f>
        <v>0</v>
      </c>
      <c r="H51" s="38" t="s">
        <v>40</v>
      </c>
      <c r="I51" s="46">
        <f>'Wagner-Desmob'!H43</f>
        <v>3198</v>
      </c>
      <c r="J51" s="43">
        <f t="shared" si="9"/>
        <v>1802</v>
      </c>
      <c r="K51" s="35">
        <f>'Wagner-Desmob'!U44</f>
        <v>1451.5499999999997</v>
      </c>
      <c r="L51" s="35">
        <f>'Wagner-Desmob'!AE44</f>
        <v>75</v>
      </c>
      <c r="M51" s="36">
        <f>'Wagner-Desmob'!AN44</f>
        <v>0</v>
      </c>
      <c r="O51" s="38" t="s">
        <v>40</v>
      </c>
      <c r="P51" s="46">
        <f>'Devaldo-Desmob'!H43</f>
        <v>322</v>
      </c>
      <c r="Q51" s="43">
        <f t="shared" si="10"/>
        <v>4678</v>
      </c>
      <c r="R51" s="35">
        <f>'Devaldo-Desmob'!U44</f>
        <v>1895.9</v>
      </c>
      <c r="S51" s="35">
        <f>'Devaldo-Desmob'!AE44</f>
        <v>0</v>
      </c>
      <c r="T51" s="36">
        <f>'Devaldo-Desmob'!AN44</f>
        <v>0</v>
      </c>
      <c r="V51" s="38" t="s">
        <v>40</v>
      </c>
      <c r="W51" s="46">
        <f>'Antonio Flavio-Desmob'!H46</f>
        <v>1629</v>
      </c>
      <c r="X51" s="43">
        <f t="shared" si="11"/>
        <v>3371</v>
      </c>
      <c r="Y51" s="35">
        <f>'Antonio Flavio-Desmob'!U47</f>
        <v>759.56999999999994</v>
      </c>
      <c r="Z51" s="35">
        <f>'Antonio Flavio-Desmob'!AE47</f>
        <v>75</v>
      </c>
      <c r="AA51" s="36">
        <f>'Antonio Flavio-Desmob'!AN47</f>
        <v>0</v>
      </c>
    </row>
    <row r="52" spans="1:27" x14ac:dyDescent="0.25">
      <c r="A52" s="38" t="s">
        <v>41</v>
      </c>
      <c r="B52" s="46">
        <f>'Illichi_Wesley-Desmob'!H47</f>
        <v>2184</v>
      </c>
      <c r="C52" s="43">
        <f t="shared" si="8"/>
        <v>2816</v>
      </c>
      <c r="D52" s="35">
        <f>'Illichi_Wesley-Desmob'!U48</f>
        <v>401.74</v>
      </c>
      <c r="E52" s="35">
        <f>'Illichi_Wesley-Desmob'!AC48</f>
        <v>0</v>
      </c>
      <c r="F52" s="36">
        <f>'Illichi_Wesley-Desmob'!AK48</f>
        <v>0</v>
      </c>
      <c r="H52" s="38" t="s">
        <v>41</v>
      </c>
      <c r="I52" s="46">
        <f>'Wagner-Desmob'!H47</f>
        <v>1276</v>
      </c>
      <c r="J52" s="43">
        <f t="shared" si="9"/>
        <v>3724</v>
      </c>
      <c r="K52" s="35">
        <f>'Wagner-Desmob'!U48</f>
        <v>380.08000000000004</v>
      </c>
      <c r="L52" s="35">
        <f>'Wagner-Desmob'!AE48</f>
        <v>0</v>
      </c>
      <c r="M52" s="36">
        <f>'Wagner-Desmob'!AN48</f>
        <v>0</v>
      </c>
      <c r="O52" s="38" t="s">
        <v>41</v>
      </c>
      <c r="P52" s="46">
        <f>'Devaldo-Desmob'!H47</f>
        <v>3824</v>
      </c>
      <c r="Q52" s="43">
        <f t="shared" si="10"/>
        <v>1176</v>
      </c>
      <c r="R52" s="35">
        <f>'Devaldo-Desmob'!U48</f>
        <v>754.53</v>
      </c>
      <c r="S52" s="35">
        <f>'Devaldo-Desmob'!AE48</f>
        <v>0</v>
      </c>
      <c r="T52" s="36">
        <f>'Devaldo-Desmob'!AN48</f>
        <v>0</v>
      </c>
      <c r="V52" s="38" t="s">
        <v>41</v>
      </c>
      <c r="W52" s="46">
        <f>'Antonio Flavio-Desmob'!H50</f>
        <v>0</v>
      </c>
      <c r="X52" s="43">
        <f t="shared" si="11"/>
        <v>5000</v>
      </c>
      <c r="Y52" s="35">
        <f>'Antonio Flavio-Desmob'!U51</f>
        <v>313.56</v>
      </c>
      <c r="Z52" s="35">
        <f>'Antonio Flavio-Desmob'!AE51</f>
        <v>0</v>
      </c>
      <c r="AA52" s="36">
        <f>'Antonio Flavio-Desmob'!AN51</f>
        <v>0</v>
      </c>
    </row>
    <row r="53" spans="1:27" ht="15.75" thickBot="1" x14ac:dyDescent="0.3">
      <c r="A53" s="39" t="s">
        <v>42</v>
      </c>
      <c r="B53" s="47">
        <f>'Illichi_Wesley-Desmob'!H51</f>
        <v>2967</v>
      </c>
      <c r="C53" s="44">
        <f t="shared" si="8"/>
        <v>2033</v>
      </c>
      <c r="D53" s="11">
        <f>'Illichi_Wesley-Desmob'!U52</f>
        <v>0</v>
      </c>
      <c r="E53" s="11">
        <f>'Illichi_Wesley-Desmob'!AC52</f>
        <v>0</v>
      </c>
      <c r="F53" s="12">
        <f>'Illichi_Wesley-Desmob'!AK52</f>
        <v>0</v>
      </c>
      <c r="H53" s="39" t="s">
        <v>42</v>
      </c>
      <c r="I53" s="47">
        <f>'Wagner-Desmob'!H51</f>
        <v>1454</v>
      </c>
      <c r="J53" s="44">
        <f t="shared" si="9"/>
        <v>3546</v>
      </c>
      <c r="K53" s="11">
        <f>'Wagner-Desmob'!U52</f>
        <v>0</v>
      </c>
      <c r="L53" s="11">
        <f>'Wagner-Desmob'!AE52</f>
        <v>0</v>
      </c>
      <c r="M53" s="12">
        <f>'Wagner-Desmob'!AN52</f>
        <v>0</v>
      </c>
      <c r="O53" s="39" t="s">
        <v>42</v>
      </c>
      <c r="P53" s="47">
        <f>'Devaldo-Desmob'!H51</f>
        <v>0</v>
      </c>
      <c r="Q53" s="44">
        <f t="shared" si="10"/>
        <v>5000</v>
      </c>
      <c r="R53" s="11">
        <f>'Devaldo-Desmob'!U52</f>
        <v>0</v>
      </c>
      <c r="S53" s="11">
        <f>'Devaldo-Desmob'!AE52</f>
        <v>0</v>
      </c>
      <c r="T53" s="12">
        <f>'Devaldo-Desmob'!AN52</f>
        <v>0</v>
      </c>
      <c r="V53" s="39" t="s">
        <v>42</v>
      </c>
      <c r="W53" s="47">
        <f>'Antonio Flavio-Desmob'!H54</f>
        <v>267</v>
      </c>
      <c r="X53" s="44">
        <f t="shared" si="11"/>
        <v>4733</v>
      </c>
      <c r="Y53" s="11">
        <f>'Antonio Flavio-Desmob'!U55</f>
        <v>0</v>
      </c>
      <c r="Z53" s="11">
        <f>'Antonio Flavio-Desmob'!AE55</f>
        <v>0</v>
      </c>
      <c r="AA53" s="12">
        <f>'Antonio Flavio-Desmob'!AN55</f>
        <v>0</v>
      </c>
    </row>
    <row r="54" spans="1:27" ht="15.75" thickBot="1" x14ac:dyDescent="0.3"/>
    <row r="55" spans="1:27" ht="15.75" thickBot="1" x14ac:dyDescent="0.3">
      <c r="A55" s="3" t="s">
        <v>23</v>
      </c>
      <c r="B55" s="52">
        <f>SUM(B42:B53)</f>
        <v>19150</v>
      </c>
      <c r="C55" s="51"/>
      <c r="D55" s="50">
        <f>SUM(D42:D53)</f>
        <v>8605.1039999999994</v>
      </c>
      <c r="E55" s="49">
        <f>SUM(E42:E53)</f>
        <v>875</v>
      </c>
      <c r="F55" s="48">
        <f>SUM(F42:F53)</f>
        <v>0</v>
      </c>
      <c r="H55" s="3" t="s">
        <v>23</v>
      </c>
      <c r="I55" s="52">
        <f>SUM(I42:I53)</f>
        <v>19287</v>
      </c>
      <c r="J55" s="51"/>
      <c r="K55" s="50">
        <f>SUM(K42:K53)</f>
        <v>8690.9399999999987</v>
      </c>
      <c r="L55" s="49">
        <f>SUM(L42:L53)</f>
        <v>1130</v>
      </c>
      <c r="M55" s="48">
        <f>SUM(M42:M53)</f>
        <v>0</v>
      </c>
      <c r="O55" s="3" t="s">
        <v>23</v>
      </c>
      <c r="P55" s="52">
        <f>SUM(P42:P53)</f>
        <v>18320</v>
      </c>
      <c r="Q55" s="51"/>
      <c r="R55" s="50">
        <f>SUM(R42:R53)</f>
        <v>9957.4500000000007</v>
      </c>
      <c r="S55" s="49">
        <f>SUM(S42:S53)</f>
        <v>300</v>
      </c>
      <c r="T55" s="48">
        <f>SUM(T42:T53)</f>
        <v>0</v>
      </c>
      <c r="V55" s="3" t="s">
        <v>23</v>
      </c>
      <c r="W55" s="52">
        <f>SUM(W42:W53)</f>
        <v>9294</v>
      </c>
      <c r="X55" s="51"/>
      <c r="Y55" s="50">
        <f>SUM(Y42:Y53)</f>
        <v>4913.1900000000005</v>
      </c>
      <c r="Z55" s="49">
        <f>SUM(Z42:Z53)</f>
        <v>980</v>
      </c>
      <c r="AA55" s="48">
        <f>SUM(AA42:AA53)</f>
        <v>50</v>
      </c>
    </row>
    <row r="56" spans="1:27" ht="15.75" thickBot="1" x14ac:dyDescent="0.3">
      <c r="A56" s="3" t="s">
        <v>44</v>
      </c>
      <c r="B56" s="23">
        <f>SUM(60000-B55)</f>
        <v>40850</v>
      </c>
      <c r="H56" s="3" t="s">
        <v>44</v>
      </c>
      <c r="I56" s="23">
        <f>SUM(60000-I55)</f>
        <v>40713</v>
      </c>
      <c r="O56" s="3" t="s">
        <v>44</v>
      </c>
      <c r="P56" s="23">
        <f>SUM(60000-P55)</f>
        <v>41680</v>
      </c>
      <c r="V56" s="3" t="s">
        <v>44</v>
      </c>
      <c r="W56" s="23">
        <f>SUM(60000-W55)</f>
        <v>50706</v>
      </c>
    </row>
    <row r="59" spans="1:27" ht="15.75" thickBot="1" x14ac:dyDescent="0.3">
      <c r="B59" s="106" t="s">
        <v>98</v>
      </c>
      <c r="C59" s="106"/>
      <c r="D59" s="106"/>
      <c r="E59" s="106"/>
      <c r="F59" s="106"/>
      <c r="I59" s="106" t="s">
        <v>102</v>
      </c>
      <c r="J59" s="106"/>
      <c r="K59" s="106"/>
      <c r="L59" s="106"/>
      <c r="M59" s="106"/>
      <c r="P59" s="106" t="s">
        <v>103</v>
      </c>
      <c r="Q59" s="106"/>
      <c r="R59" s="106"/>
      <c r="S59" s="106"/>
      <c r="T59" s="106"/>
      <c r="W59" s="106" t="s">
        <v>114</v>
      </c>
      <c r="X59" s="106"/>
      <c r="Y59" s="106"/>
      <c r="Z59" s="106"/>
      <c r="AA59" s="106"/>
    </row>
    <row r="60" spans="1:27" ht="15.75" thickBot="1" x14ac:dyDescent="0.3">
      <c r="B60" s="22" t="s">
        <v>43</v>
      </c>
      <c r="C60" s="33" t="s">
        <v>30</v>
      </c>
      <c r="D60" s="23" t="s">
        <v>26</v>
      </c>
      <c r="E60" s="23" t="s">
        <v>25</v>
      </c>
      <c r="F60" s="25" t="s">
        <v>27</v>
      </c>
      <c r="I60" s="22" t="s">
        <v>43</v>
      </c>
      <c r="J60" s="33" t="s">
        <v>30</v>
      </c>
      <c r="K60" s="23" t="s">
        <v>26</v>
      </c>
      <c r="L60" s="23" t="s">
        <v>25</v>
      </c>
      <c r="M60" s="25" t="s">
        <v>27</v>
      </c>
      <c r="P60" s="22" t="s">
        <v>43</v>
      </c>
      <c r="Q60" s="33" t="s">
        <v>30</v>
      </c>
      <c r="R60" s="23" t="s">
        <v>26</v>
      </c>
      <c r="S60" s="23" t="s">
        <v>25</v>
      </c>
      <c r="T60" s="25" t="s">
        <v>27</v>
      </c>
      <c r="W60" s="22" t="s">
        <v>43</v>
      </c>
      <c r="X60" s="33" t="s">
        <v>30</v>
      </c>
      <c r="Y60" s="23" t="s">
        <v>26</v>
      </c>
      <c r="Z60" s="23" t="s">
        <v>25</v>
      </c>
      <c r="AA60" s="25" t="s">
        <v>27</v>
      </c>
    </row>
    <row r="61" spans="1:27" x14ac:dyDescent="0.25">
      <c r="A61" s="37" t="s">
        <v>31</v>
      </c>
      <c r="B61" s="58"/>
      <c r="C61" s="59"/>
      <c r="D61" s="60"/>
      <c r="E61" s="60"/>
      <c r="F61" s="61"/>
      <c r="H61" s="37" t="s">
        <v>31</v>
      </c>
      <c r="I61" s="58"/>
      <c r="J61" s="59"/>
      <c r="K61" s="60"/>
      <c r="L61" s="60"/>
      <c r="M61" s="61"/>
      <c r="O61" s="37" t="s">
        <v>31</v>
      </c>
      <c r="P61" s="58"/>
      <c r="Q61" s="59"/>
      <c r="R61" s="60"/>
      <c r="S61" s="60"/>
      <c r="T61" s="61"/>
      <c r="V61" s="37" t="s">
        <v>31</v>
      </c>
      <c r="W61" s="58"/>
      <c r="X61" s="59"/>
      <c r="Y61" s="60"/>
      <c r="Z61" s="60"/>
      <c r="AA61" s="61"/>
    </row>
    <row r="62" spans="1:27" x14ac:dyDescent="0.25">
      <c r="A62" s="38" t="s">
        <v>32</v>
      </c>
      <c r="B62" s="46">
        <f>'Claudio-Desmob'!H11</f>
        <v>0</v>
      </c>
      <c r="C62" s="43">
        <f>SUM(5000-B62)</f>
        <v>5000</v>
      </c>
      <c r="D62" s="35">
        <f>'Claudio-Desmob'!U12</f>
        <v>0</v>
      </c>
      <c r="E62" s="35">
        <f>'Claudio-Desmob'!AE12</f>
        <v>0</v>
      </c>
      <c r="F62" s="36">
        <f>'Claudio-Desmob'!AN12</f>
        <v>0</v>
      </c>
      <c r="H62" s="38" t="s">
        <v>32</v>
      </c>
      <c r="I62" s="46">
        <f>'Pedro Paulo-Desmob'!H11</f>
        <v>0</v>
      </c>
      <c r="J62" s="43">
        <f>SUM(5000-I62)</f>
        <v>5000</v>
      </c>
      <c r="K62" s="35">
        <f>'Pedro Paulo-Desmob'!U12</f>
        <v>0</v>
      </c>
      <c r="L62" s="35">
        <f>'Pedro Paulo-Desmob'!AE12</f>
        <v>0</v>
      </c>
      <c r="M62" s="36">
        <f>'Pedro Paulo-Desmob'!AN12</f>
        <v>0</v>
      </c>
      <c r="O62" s="38" t="s">
        <v>32</v>
      </c>
      <c r="P62" s="46">
        <f>'Antonio Paixão - Desmob'!H11</f>
        <v>0</v>
      </c>
      <c r="Q62" s="43">
        <f>SUM(5000-P62)</f>
        <v>5000</v>
      </c>
      <c r="R62" s="35">
        <f>'Antonio Paixão - Desmob'!U12</f>
        <v>0</v>
      </c>
      <c r="S62" s="35">
        <f>'Antonio Paixão - Desmob'!AE12</f>
        <v>0</v>
      </c>
      <c r="T62" s="36">
        <f>'Antonio Paixão - Desmob'!AN12</f>
        <v>0</v>
      </c>
      <c r="V62" s="38" t="s">
        <v>32</v>
      </c>
      <c r="W62" s="46">
        <f>'Charles-Desmob '!H11</f>
        <v>0</v>
      </c>
      <c r="X62" s="43">
        <f>SUM(5000-W62)</f>
        <v>5000</v>
      </c>
      <c r="Y62" s="35">
        <f>'Charles-Desmob '!U12</f>
        <v>0</v>
      </c>
      <c r="Z62" s="35">
        <f>'Charles-Desmob '!AE12</f>
        <v>0</v>
      </c>
      <c r="AA62" s="36">
        <f>'Charles-Desmob '!AN12</f>
        <v>0</v>
      </c>
    </row>
    <row r="63" spans="1:27" x14ac:dyDescent="0.25">
      <c r="A63" s="38" t="s">
        <v>33</v>
      </c>
      <c r="B63" s="46">
        <f>'Claudio-Desmob'!H15</f>
        <v>0</v>
      </c>
      <c r="C63" s="43">
        <f t="shared" ref="C63:C72" si="12">SUM(5000-B63)</f>
        <v>5000</v>
      </c>
      <c r="D63" s="35">
        <f>'Claudio-Desmob'!U16</f>
        <v>0</v>
      </c>
      <c r="E63" s="35">
        <f>'Claudio-Desmob'!AE16</f>
        <v>0</v>
      </c>
      <c r="F63" s="36">
        <f>'Claudio-Desmob'!AN16</f>
        <v>0</v>
      </c>
      <c r="H63" s="38" t="s">
        <v>33</v>
      </c>
      <c r="I63" s="46">
        <f>'Pedro Paulo-Desmob'!H15</f>
        <v>0</v>
      </c>
      <c r="J63" s="43">
        <f t="shared" ref="J63:J72" si="13">SUM(5000-I63)</f>
        <v>5000</v>
      </c>
      <c r="K63" s="35">
        <f>'Pedro Paulo-Desmob'!U16</f>
        <v>0</v>
      </c>
      <c r="L63" s="35">
        <f>'Pedro Paulo-Desmob'!AE16</f>
        <v>0</v>
      </c>
      <c r="M63" s="36">
        <f>'Pedro Paulo-Desmob'!AN16</f>
        <v>0</v>
      </c>
      <c r="O63" s="38" t="s">
        <v>33</v>
      </c>
      <c r="P63" s="46">
        <f>'Antonio Paixão - Desmob'!H15</f>
        <v>0</v>
      </c>
      <c r="Q63" s="43">
        <f t="shared" ref="Q63:Q72" si="14">SUM(5000-P63)</f>
        <v>5000</v>
      </c>
      <c r="R63" s="35">
        <f>'Antonio Paixão - Desmob'!U16</f>
        <v>0</v>
      </c>
      <c r="S63" s="35">
        <f>'Antonio Paixão - Desmob'!AE16</f>
        <v>0</v>
      </c>
      <c r="T63" s="36">
        <f>'Antonio Paixão - Desmob'!AN16</f>
        <v>0</v>
      </c>
      <c r="V63" s="38" t="s">
        <v>33</v>
      </c>
      <c r="W63" s="46">
        <f>'Charles-Desmob '!H15</f>
        <v>0</v>
      </c>
      <c r="X63" s="43">
        <f t="shared" ref="X63:X72" si="15">SUM(5000-W63)</f>
        <v>5000</v>
      </c>
      <c r="Y63" s="35">
        <f>'Charles-Desmob '!U16</f>
        <v>0</v>
      </c>
      <c r="Z63" s="35">
        <f>'Charles-Desmob '!AE16</f>
        <v>0</v>
      </c>
      <c r="AA63" s="36">
        <f>'Charles-Desmob '!AN16</f>
        <v>0</v>
      </c>
    </row>
    <row r="64" spans="1:27" x14ac:dyDescent="0.25">
      <c r="A64" s="38" t="s">
        <v>34</v>
      </c>
      <c r="B64" s="46">
        <f>'Claudio-Desmob'!H19</f>
        <v>0</v>
      </c>
      <c r="C64" s="43">
        <f t="shared" si="12"/>
        <v>5000</v>
      </c>
      <c r="D64" s="35">
        <f>'Claudio-Desmob'!U20</f>
        <v>0</v>
      </c>
      <c r="E64" s="35">
        <f>'Claudio-Desmob'!AE20</f>
        <v>0</v>
      </c>
      <c r="F64" s="36">
        <f>'Claudio-Desmob'!AN20</f>
        <v>0</v>
      </c>
      <c r="H64" s="38" t="s">
        <v>34</v>
      </c>
      <c r="I64" s="46">
        <f>'Pedro Paulo-Desmob'!H19</f>
        <v>0</v>
      </c>
      <c r="J64" s="43">
        <f t="shared" si="13"/>
        <v>5000</v>
      </c>
      <c r="K64" s="35">
        <f>'Pedro Paulo-Desmob'!U20</f>
        <v>0</v>
      </c>
      <c r="L64" s="35">
        <f>'Pedro Paulo-Desmob'!AE20</f>
        <v>0</v>
      </c>
      <c r="M64" s="36">
        <f>'Pedro Paulo-Desmob'!AN20</f>
        <v>0</v>
      </c>
      <c r="O64" s="38" t="s">
        <v>34</v>
      </c>
      <c r="P64" s="46">
        <f>'Antonio Paixão - Desmob'!H19</f>
        <v>0</v>
      </c>
      <c r="Q64" s="43">
        <f t="shared" si="14"/>
        <v>5000</v>
      </c>
      <c r="R64" s="35">
        <f>'Antonio Paixão - Desmob'!U20</f>
        <v>0</v>
      </c>
      <c r="S64" s="35">
        <f>'Antonio Paixão - Desmob'!AE20</f>
        <v>0</v>
      </c>
      <c r="T64" s="36">
        <f>'Antonio Paixão - Desmob'!AN20</f>
        <v>0</v>
      </c>
      <c r="V64" s="38" t="s">
        <v>34</v>
      </c>
      <c r="W64" s="46">
        <f>'Charles-Desmob '!H19</f>
        <v>0</v>
      </c>
      <c r="X64" s="43">
        <f t="shared" si="15"/>
        <v>5000</v>
      </c>
      <c r="Y64" s="35">
        <f>'Charles-Desmob '!U20</f>
        <v>0</v>
      </c>
      <c r="Z64" s="35">
        <f>'Charles-Desmob '!AE20</f>
        <v>0</v>
      </c>
      <c r="AA64" s="36">
        <f>'Charles-Desmob '!AN20</f>
        <v>0</v>
      </c>
    </row>
    <row r="65" spans="1:27" x14ac:dyDescent="0.25">
      <c r="A65" s="38" t="s">
        <v>35</v>
      </c>
      <c r="B65" s="46">
        <f>'Claudio-Desmob'!H23</f>
        <v>0</v>
      </c>
      <c r="C65" s="43">
        <f t="shared" si="12"/>
        <v>5000</v>
      </c>
      <c r="D65" s="35">
        <f>'Claudio-Desmob'!U24</f>
        <v>0</v>
      </c>
      <c r="E65" s="35">
        <f>'Claudio-Desmob'!AE224</f>
        <v>0</v>
      </c>
      <c r="F65" s="36">
        <f>'Claudio-Desmob'!AN24</f>
        <v>0</v>
      </c>
      <c r="H65" s="38" t="s">
        <v>35</v>
      </c>
      <c r="I65" s="46">
        <f>'Pedro Paulo-Desmob'!H23</f>
        <v>0</v>
      </c>
      <c r="J65" s="43">
        <f t="shared" si="13"/>
        <v>5000</v>
      </c>
      <c r="K65" s="35">
        <f>'Pedro Paulo-Desmob'!U24</f>
        <v>0</v>
      </c>
      <c r="L65" s="35">
        <f>'Pedro Paulo-Desmob'!AE24</f>
        <v>0</v>
      </c>
      <c r="M65" s="36">
        <f>'Pedro Paulo-Desmob'!AN24</f>
        <v>0</v>
      </c>
      <c r="O65" s="38" t="s">
        <v>35</v>
      </c>
      <c r="P65" s="46">
        <f>'Antonio Paixão - Desmob'!H23</f>
        <v>0</v>
      </c>
      <c r="Q65" s="43">
        <f t="shared" si="14"/>
        <v>5000</v>
      </c>
      <c r="R65" s="35">
        <f>'Antonio Paixão - Desmob'!U24</f>
        <v>0</v>
      </c>
      <c r="S65" s="35">
        <f>'Antonio Paixão - Desmob'!AE24</f>
        <v>0</v>
      </c>
      <c r="T65" s="36">
        <f>'Antonio Paixão - Desmob'!AN24</f>
        <v>0</v>
      </c>
      <c r="V65" s="38" t="s">
        <v>35</v>
      </c>
      <c r="W65" s="46">
        <f>'Charles-Desmob '!H23</f>
        <v>0</v>
      </c>
      <c r="X65" s="43">
        <f t="shared" si="15"/>
        <v>5000</v>
      </c>
      <c r="Y65" s="35">
        <f>'Charles-Desmob '!U24</f>
        <v>0</v>
      </c>
      <c r="Z65" s="35">
        <f>'Charles-Desmob '!AE24</f>
        <v>0</v>
      </c>
      <c r="AA65" s="36">
        <f>'Charles-Desmob '!AN24</f>
        <v>0</v>
      </c>
    </row>
    <row r="66" spans="1:27" x14ac:dyDescent="0.25">
      <c r="A66" s="38" t="s">
        <v>36</v>
      </c>
      <c r="B66" s="46">
        <f>'Claudio-Desmob'!H27</f>
        <v>2612</v>
      </c>
      <c r="C66" s="43">
        <f t="shared" si="12"/>
        <v>2388</v>
      </c>
      <c r="D66" s="35">
        <f>'Claudio-Desmob'!U28</f>
        <v>987.16</v>
      </c>
      <c r="E66" s="35">
        <f>'Claudio-Desmob'!AE24</f>
        <v>0</v>
      </c>
      <c r="F66" s="36">
        <f>'Claudio-Desmob'!AN28</f>
        <v>0</v>
      </c>
      <c r="H66" s="38" t="s">
        <v>36</v>
      </c>
      <c r="I66" s="46">
        <f>'Pedro Paulo-Desmob'!H27</f>
        <v>0</v>
      </c>
      <c r="J66" s="43">
        <f t="shared" si="13"/>
        <v>5000</v>
      </c>
      <c r="K66" s="35">
        <f>'Pedro Paulo-Desmob'!U28</f>
        <v>0</v>
      </c>
      <c r="L66" s="35">
        <f>'Pedro Paulo-Desmob'!AE28</f>
        <v>0</v>
      </c>
      <c r="M66" s="36">
        <f>'Pedro Paulo-Desmob'!AN28</f>
        <v>0</v>
      </c>
      <c r="O66" s="38" t="s">
        <v>36</v>
      </c>
      <c r="P66" s="46">
        <f>'Antonio Paixão - Desmob'!H27</f>
        <v>0</v>
      </c>
      <c r="Q66" s="43">
        <f t="shared" si="14"/>
        <v>5000</v>
      </c>
      <c r="R66" s="35">
        <f>'Antonio Paixão - Desmob'!U28</f>
        <v>0</v>
      </c>
      <c r="S66" s="35">
        <f>'Antonio Paixão - Desmob'!AE28</f>
        <v>0</v>
      </c>
      <c r="T66" s="36">
        <f>'Antonio Paixão - Desmob'!AN28</f>
        <v>0</v>
      </c>
      <c r="V66" s="38" t="s">
        <v>36</v>
      </c>
      <c r="W66" s="46">
        <f>'Charles-Desmob '!H27</f>
        <v>0</v>
      </c>
      <c r="X66" s="43">
        <f t="shared" si="15"/>
        <v>5000</v>
      </c>
      <c r="Y66" s="35">
        <f>'Charles-Desmob '!U28</f>
        <v>0</v>
      </c>
      <c r="Z66" s="35">
        <f>'Charles-Desmob '!AE28</f>
        <v>0</v>
      </c>
      <c r="AA66" s="36">
        <f>'Charles-Desmob '!AN28</f>
        <v>0</v>
      </c>
    </row>
    <row r="67" spans="1:27" x14ac:dyDescent="0.25">
      <c r="A67" s="38" t="s">
        <v>37</v>
      </c>
      <c r="B67" s="46">
        <f>'Claudio-Desmob'!H31</f>
        <v>2821</v>
      </c>
      <c r="C67" s="43">
        <f t="shared" si="12"/>
        <v>2179</v>
      </c>
      <c r="D67" s="35">
        <f>'Claudio-Desmob'!U32</f>
        <v>1171.26</v>
      </c>
      <c r="E67" s="35">
        <f>'Claudio-Desmob'!AE32</f>
        <v>75</v>
      </c>
      <c r="F67" s="36">
        <f>'Claudio-Desmob'!AN32</f>
        <v>0</v>
      </c>
      <c r="H67" s="38" t="s">
        <v>37</v>
      </c>
      <c r="I67" s="46">
        <f>'Pedro Paulo-Desmob'!H31</f>
        <v>-12598</v>
      </c>
      <c r="J67" s="43">
        <f t="shared" si="13"/>
        <v>17598</v>
      </c>
      <c r="K67" s="35">
        <f>'Pedro Paulo-Desmob'!U32</f>
        <v>1990.26</v>
      </c>
      <c r="L67" s="35">
        <f>'Pedro Paulo-Desmob'!AE32</f>
        <v>0</v>
      </c>
      <c r="M67" s="36">
        <f>'Pedro Paulo-Desmob'!AN32</f>
        <v>0</v>
      </c>
      <c r="O67" s="38" t="s">
        <v>37</v>
      </c>
      <c r="P67" s="46">
        <f>'Antonio Paixão - Desmob'!H31</f>
        <v>2956</v>
      </c>
      <c r="Q67" s="43">
        <f t="shared" si="14"/>
        <v>2044</v>
      </c>
      <c r="R67" s="35">
        <f>'Antonio Paixão - Desmob'!U32</f>
        <v>1432.5</v>
      </c>
      <c r="S67" s="35">
        <f>'Antonio Paixão - Desmob'!AC32</f>
        <v>0</v>
      </c>
      <c r="T67" s="36">
        <f>'Antonio Paixão - Desmob'!AN32</f>
        <v>0</v>
      </c>
      <c r="V67" s="38" t="s">
        <v>37</v>
      </c>
      <c r="W67" s="46">
        <f>'Charles-Desmob '!H31</f>
        <v>0</v>
      </c>
      <c r="X67" s="43">
        <f t="shared" si="15"/>
        <v>5000</v>
      </c>
      <c r="Y67" s="35">
        <f>'Charles-Desmob '!U32</f>
        <v>0</v>
      </c>
      <c r="Z67" s="35">
        <f>'Charles-Desmob '!AE32</f>
        <v>0</v>
      </c>
      <c r="AA67" s="36">
        <f>'Charles-Desmob '!AN32</f>
        <v>0</v>
      </c>
    </row>
    <row r="68" spans="1:27" x14ac:dyDescent="0.25">
      <c r="A68" s="38" t="s">
        <v>38</v>
      </c>
      <c r="B68" s="46">
        <f>'Claudio-Desmob'!H35</f>
        <v>2596</v>
      </c>
      <c r="C68" s="43">
        <f t="shared" si="12"/>
        <v>2404</v>
      </c>
      <c r="D68" s="35">
        <f>'Claudio-Desmob'!U36</f>
        <v>1163.8</v>
      </c>
      <c r="E68" s="35">
        <f>'Claudio-Desmob'!AC36</f>
        <v>0</v>
      </c>
      <c r="F68" s="36">
        <f>'Claudio-Desmob'!AN36</f>
        <v>0</v>
      </c>
      <c r="H68" s="38" t="s">
        <v>38</v>
      </c>
      <c r="I68" s="46">
        <f>'Pedro Paulo-Desmob'!H35</f>
        <v>10886</v>
      </c>
      <c r="J68" s="43">
        <f t="shared" si="13"/>
        <v>-5886</v>
      </c>
      <c r="K68" s="35">
        <f>'Pedro Paulo-Desmob'!U36</f>
        <v>1621.32</v>
      </c>
      <c r="L68" s="35">
        <f>'Pedro Paulo-Desmob'!AE36</f>
        <v>75</v>
      </c>
      <c r="M68" s="36">
        <f>'Pedro Paulo-Desmob'!AN36</f>
        <v>0</v>
      </c>
      <c r="O68" s="38" t="s">
        <v>38</v>
      </c>
      <c r="P68" s="46">
        <f>'Antonio Paixão - Desmob'!H35</f>
        <v>3793</v>
      </c>
      <c r="Q68" s="43">
        <f t="shared" si="14"/>
        <v>1207</v>
      </c>
      <c r="R68" s="35">
        <f>'Antonio Paixão - Desmob'!U36</f>
        <v>1986.08</v>
      </c>
      <c r="S68" s="35">
        <f>'Antonio Paixão - Desmob'!AE36</f>
        <v>195</v>
      </c>
      <c r="T68" s="36">
        <f>'Antonio Paixão - Desmob'!AN36</f>
        <v>0</v>
      </c>
      <c r="V68" s="38" t="s">
        <v>38</v>
      </c>
      <c r="W68" s="46">
        <f>'Charles-Desmob '!H35</f>
        <v>953</v>
      </c>
      <c r="X68" s="43">
        <f t="shared" si="15"/>
        <v>4047</v>
      </c>
      <c r="Y68" s="35">
        <f>'Charles-Desmob '!U36</f>
        <v>462.19</v>
      </c>
      <c r="Z68" s="35">
        <f>'Charles-Desmob '!AE36</f>
        <v>60</v>
      </c>
      <c r="AA68" s="36">
        <f>'Charles-Desmob '!AN36</f>
        <v>0</v>
      </c>
    </row>
    <row r="69" spans="1:27" x14ac:dyDescent="0.25">
      <c r="A69" s="38" t="s">
        <v>39</v>
      </c>
      <c r="B69" s="46">
        <f>'Claudio-Desmob'!H39</f>
        <v>2790</v>
      </c>
      <c r="C69" s="43">
        <f t="shared" si="12"/>
        <v>2210</v>
      </c>
      <c r="D69" s="35">
        <f>'Claudio-Desmob'!U40</f>
        <v>1131.6100000000001</v>
      </c>
      <c r="E69" s="35">
        <f>'Claudio-Desmob'!AE40</f>
        <v>75</v>
      </c>
      <c r="F69" s="36">
        <f>'Claudio-Desmob'!AN400</f>
        <v>0</v>
      </c>
      <c r="H69" s="38" t="s">
        <v>39</v>
      </c>
      <c r="I69" s="46">
        <f>'Pedro Paulo-Desmob'!H39</f>
        <v>2947</v>
      </c>
      <c r="J69" s="43">
        <f t="shared" si="13"/>
        <v>2053</v>
      </c>
      <c r="K69" s="35">
        <f>'Pedro Paulo-Desmob'!U40</f>
        <v>1133.5900000000001</v>
      </c>
      <c r="L69" s="35">
        <f>'Pedro Paulo-Desmob'!AE40</f>
        <v>135</v>
      </c>
      <c r="M69" s="36">
        <f>'Pedro Paulo-Desmob'!AN40</f>
        <v>0</v>
      </c>
      <c r="O69" s="38" t="s">
        <v>39</v>
      </c>
      <c r="P69" s="46">
        <f>'Antonio Paixão - Desmob'!H39</f>
        <v>2480</v>
      </c>
      <c r="Q69" s="43">
        <f t="shared" si="14"/>
        <v>2520</v>
      </c>
      <c r="R69" s="35">
        <f>'Antonio Paixão - Desmob'!U40</f>
        <v>1232.6199999999999</v>
      </c>
      <c r="S69" s="35">
        <f>'Antonio Paixão - Desmob'!AE40</f>
        <v>60</v>
      </c>
      <c r="T69" s="36">
        <f>'Antonio Paixão - Desmob'!AN40</f>
        <v>0</v>
      </c>
      <c r="V69" s="38" t="s">
        <v>39</v>
      </c>
      <c r="W69" s="46">
        <f>'Charles-Desmob '!H39</f>
        <v>1581</v>
      </c>
      <c r="X69" s="43">
        <f t="shared" si="15"/>
        <v>3419</v>
      </c>
      <c r="Y69" s="35">
        <f>'Charles-Desmob '!U40</f>
        <v>781.95</v>
      </c>
      <c r="Z69" s="35">
        <f>'Charles-Desmob '!AE40</f>
        <v>200</v>
      </c>
      <c r="AA69" s="36">
        <f>'Charles-Desmob '!AN40</f>
        <v>0</v>
      </c>
    </row>
    <row r="70" spans="1:27" x14ac:dyDescent="0.25">
      <c r="A70" s="38" t="s">
        <v>40</v>
      </c>
      <c r="B70" s="46">
        <f>'Claudio-Desmob'!H43</f>
        <v>3094</v>
      </c>
      <c r="C70" s="43">
        <f t="shared" si="12"/>
        <v>1906</v>
      </c>
      <c r="D70" s="35">
        <f>'Claudio-Desmob'!U44</f>
        <v>1417.38</v>
      </c>
      <c r="E70" s="35">
        <f>'Claudio-Desmob'!AE44</f>
        <v>75</v>
      </c>
      <c r="F70" s="36">
        <f>'Claudio-Desmob'!AN44</f>
        <v>0</v>
      </c>
      <c r="H70" s="38" t="s">
        <v>40</v>
      </c>
      <c r="I70" s="46">
        <f>'Pedro Paulo-Desmob'!H43</f>
        <v>1783</v>
      </c>
      <c r="J70" s="43">
        <f t="shared" si="13"/>
        <v>3217</v>
      </c>
      <c r="K70" s="35">
        <f>'Pedro Paulo-Desmob'!U44</f>
        <v>1165.21</v>
      </c>
      <c r="L70" s="35">
        <f>'Pedro Paulo-Desmob'!AE44</f>
        <v>0</v>
      </c>
      <c r="M70" s="36">
        <f>'Pedro Paulo-Desmob'!AN44</f>
        <v>0</v>
      </c>
      <c r="O70" s="38" t="s">
        <v>40</v>
      </c>
      <c r="P70" s="46">
        <f>'Antonio Paixão - Desmob'!H43</f>
        <v>1674</v>
      </c>
      <c r="Q70" s="43">
        <f t="shared" si="14"/>
        <v>3326</v>
      </c>
      <c r="R70" s="35">
        <f>'Antonio Paixão - Desmob'!U44</f>
        <v>836.26</v>
      </c>
      <c r="S70" s="35">
        <f>'Antonio Paixão - Desmob'!AE44</f>
        <v>0</v>
      </c>
      <c r="T70" s="36">
        <f>'Antonio Paixão - Desmob'!AN44</f>
        <v>0</v>
      </c>
      <c r="V70" s="38" t="s">
        <v>40</v>
      </c>
      <c r="W70" s="46">
        <f>'Charles-Desmob '!H43</f>
        <v>2082</v>
      </c>
      <c r="X70" s="43">
        <f t="shared" si="15"/>
        <v>2918</v>
      </c>
      <c r="Y70" s="35">
        <f>'Charles-Desmob '!U44</f>
        <v>790.25</v>
      </c>
      <c r="Z70" s="35">
        <f>'Charles-Desmob '!AE44</f>
        <v>0</v>
      </c>
      <c r="AA70" s="36">
        <f>'Charles-Desmob '!AN44</f>
        <v>0</v>
      </c>
    </row>
    <row r="71" spans="1:27" x14ac:dyDescent="0.25">
      <c r="A71" s="38" t="s">
        <v>41</v>
      </c>
      <c r="B71" s="46">
        <f>'Claudio-Desmob'!H47</f>
        <v>0</v>
      </c>
      <c r="C71" s="43">
        <f t="shared" si="12"/>
        <v>5000</v>
      </c>
      <c r="D71" s="35">
        <f>'Claudio-Desmob'!U48</f>
        <v>505.36</v>
      </c>
      <c r="E71" s="35">
        <f>'Claudio-Desmob'!AE48</f>
        <v>0</v>
      </c>
      <c r="F71" s="36">
        <f>'Claudio-Desmob'!AN48</f>
        <v>0</v>
      </c>
      <c r="H71" s="38" t="s">
        <v>41</v>
      </c>
      <c r="I71" s="46">
        <f>'Pedro Paulo-Desmob'!H47</f>
        <v>1256</v>
      </c>
      <c r="J71" s="43">
        <f t="shared" si="13"/>
        <v>3744</v>
      </c>
      <c r="K71" s="35">
        <f>'Pedro Paulo-Desmob'!U48</f>
        <v>456.38</v>
      </c>
      <c r="L71" s="35">
        <f>'Pedro Paulo-Desmob'!AE48</f>
        <v>0</v>
      </c>
      <c r="M71" s="36">
        <f>'Pedro Paulo-Desmob'!AN48</f>
        <v>0</v>
      </c>
      <c r="O71" s="38" t="s">
        <v>41</v>
      </c>
      <c r="P71" s="46">
        <f>'Antonio Paixão - Desmob'!H47</f>
        <v>2442</v>
      </c>
      <c r="Q71" s="43">
        <f t="shared" si="14"/>
        <v>2558</v>
      </c>
      <c r="R71" s="35">
        <f>'Antonio Paixão - Desmob'!U48</f>
        <v>484.58000000000004</v>
      </c>
      <c r="S71" s="35">
        <f>'Antonio Paixão - Desmob'!AE48</f>
        <v>0</v>
      </c>
      <c r="T71" s="36">
        <f>'Antonio Paixão - Desmob'!AN48</f>
        <v>0</v>
      </c>
      <c r="V71" s="38" t="s">
        <v>41</v>
      </c>
      <c r="W71" s="46">
        <f>'Charles-Desmob '!H47</f>
        <v>0</v>
      </c>
      <c r="X71" s="43">
        <f t="shared" si="15"/>
        <v>5000</v>
      </c>
      <c r="Y71" s="35">
        <f>'Charles-Desmob '!U48</f>
        <v>366.14</v>
      </c>
      <c r="Z71" s="35">
        <f>'Charles-Desmob '!AE48</f>
        <v>0</v>
      </c>
      <c r="AA71" s="36">
        <f>'Charles-Desmob '!AN48</f>
        <v>0</v>
      </c>
    </row>
    <row r="72" spans="1:27" ht="15.75" thickBot="1" x14ac:dyDescent="0.3">
      <c r="A72" s="39" t="s">
        <v>42</v>
      </c>
      <c r="B72" s="47">
        <f>'Claudio-Desmob'!H51</f>
        <v>0</v>
      </c>
      <c r="C72" s="44">
        <f t="shared" si="12"/>
        <v>5000</v>
      </c>
      <c r="D72" s="11">
        <f>'Claudio-Desmob'!U52</f>
        <v>0</v>
      </c>
      <c r="E72" s="11">
        <f>'Claudio-Desmob'!AE52</f>
        <v>0</v>
      </c>
      <c r="F72" s="12">
        <f>'Claudio-Desmob'!AN52</f>
        <v>0</v>
      </c>
      <c r="H72" s="39" t="s">
        <v>42</v>
      </c>
      <c r="I72" s="47">
        <f>'Pedro Paulo-Desmob'!H51</f>
        <v>7002</v>
      </c>
      <c r="J72" s="44">
        <f t="shared" si="13"/>
        <v>-2002</v>
      </c>
      <c r="K72" s="11">
        <f>'Pedro Paulo-Desmob'!U52</f>
        <v>0</v>
      </c>
      <c r="L72" s="11">
        <f>'Pedro Paulo-Desmob'!AE52</f>
        <v>0</v>
      </c>
      <c r="M72" s="12">
        <f>'Pedro Paulo-Desmob'!AN52</f>
        <v>0</v>
      </c>
      <c r="O72" s="39" t="s">
        <v>42</v>
      </c>
      <c r="P72" s="47">
        <f>'Antonio Paixão - Desmob'!H51</f>
        <v>2083</v>
      </c>
      <c r="Q72" s="44">
        <f t="shared" si="14"/>
        <v>2917</v>
      </c>
      <c r="R72" s="11">
        <f>'Antonio Paixão - Desmob'!U52</f>
        <v>0</v>
      </c>
      <c r="S72" s="11">
        <f>'Antonio Paixão - Desmob'!AE52</f>
        <v>0</v>
      </c>
      <c r="T72" s="12">
        <f>'Antonio Paixão - Desmob'!AN52</f>
        <v>0</v>
      </c>
      <c r="V72" s="39" t="s">
        <v>42</v>
      </c>
      <c r="W72" s="47">
        <f>'Charles-Desmob '!H51</f>
        <v>0</v>
      </c>
      <c r="X72" s="44">
        <f t="shared" si="15"/>
        <v>5000</v>
      </c>
      <c r="Y72" s="11">
        <f>'Charles-Desmob '!U52</f>
        <v>0</v>
      </c>
      <c r="Z72" s="11">
        <f>'Charles-Desmob '!AE52</f>
        <v>0</v>
      </c>
      <c r="AA72" s="12">
        <f>'Charles-Desmob '!AN52</f>
        <v>0</v>
      </c>
    </row>
    <row r="73" spans="1:27" ht="15.75" thickBot="1" x14ac:dyDescent="0.3"/>
    <row r="74" spans="1:27" ht="15.75" thickBot="1" x14ac:dyDescent="0.3">
      <c r="A74" s="3" t="s">
        <v>23</v>
      </c>
      <c r="B74" s="52">
        <f>SUM(B61:B72)</f>
        <v>13913</v>
      </c>
      <c r="C74" s="51"/>
      <c r="D74" s="50">
        <f>SUM(D61:D72)</f>
        <v>6376.57</v>
      </c>
      <c r="E74" s="49">
        <f>SUM(E61:E72)</f>
        <v>225</v>
      </c>
      <c r="F74" s="48">
        <f>SUM(F61:F72)</f>
        <v>0</v>
      </c>
      <c r="H74" s="3" t="s">
        <v>23</v>
      </c>
      <c r="I74" s="52">
        <f>SUM(I61:I72)</f>
        <v>11276</v>
      </c>
      <c r="J74" s="51"/>
      <c r="K74" s="50">
        <f>SUM(K61:K72)</f>
        <v>6366.76</v>
      </c>
      <c r="L74" s="49">
        <f>SUM(L61:L72)</f>
        <v>210</v>
      </c>
      <c r="M74" s="48">
        <f>SUM(M61:M72)</f>
        <v>0</v>
      </c>
      <c r="O74" s="3" t="s">
        <v>23</v>
      </c>
      <c r="P74" s="52">
        <f>SUM(P61:P72)</f>
        <v>15428</v>
      </c>
      <c r="Q74" s="51"/>
      <c r="R74" s="50">
        <f>SUM(R61:R72)</f>
        <v>5972.04</v>
      </c>
      <c r="S74" s="49">
        <f>SUM(S61:S72)</f>
        <v>255</v>
      </c>
      <c r="T74" s="48">
        <f>SUM(T61:T72)</f>
        <v>0</v>
      </c>
      <c r="V74" s="3" t="s">
        <v>23</v>
      </c>
      <c r="W74" s="52">
        <f>SUM(W61:W72)</f>
        <v>4616</v>
      </c>
      <c r="X74" s="51"/>
      <c r="Y74" s="50">
        <f>SUM(Y61:Y72)</f>
        <v>2400.5300000000002</v>
      </c>
      <c r="Z74" s="49">
        <f>SUM(Z61:Z72)</f>
        <v>260</v>
      </c>
      <c r="AA74" s="48">
        <f>SUM(AA61:AA72)</f>
        <v>0</v>
      </c>
    </row>
    <row r="75" spans="1:27" ht="15.75" thickBot="1" x14ac:dyDescent="0.3">
      <c r="A75" s="3" t="s">
        <v>44</v>
      </c>
      <c r="B75" s="23">
        <f>SUM(60000-B74)</f>
        <v>46087</v>
      </c>
      <c r="H75" s="3" t="s">
        <v>44</v>
      </c>
      <c r="I75" s="23">
        <f>SUM(60000-I74)</f>
        <v>48724</v>
      </c>
      <c r="O75" s="3" t="s">
        <v>44</v>
      </c>
      <c r="P75" s="23">
        <f>SUM(60000-P74)</f>
        <v>44572</v>
      </c>
      <c r="V75" s="3" t="s">
        <v>44</v>
      </c>
      <c r="W75" s="23">
        <f>SUM(60000-W74)</f>
        <v>55384</v>
      </c>
    </row>
    <row r="78" spans="1:27" ht="15.75" thickBot="1" x14ac:dyDescent="0.3">
      <c r="B78" s="106" t="s">
        <v>127</v>
      </c>
      <c r="C78" s="106"/>
      <c r="D78" s="106"/>
      <c r="E78" s="106"/>
      <c r="F78" s="106"/>
      <c r="I78" s="106" t="s">
        <v>52</v>
      </c>
      <c r="J78" s="106"/>
      <c r="K78" s="106"/>
      <c r="L78" s="106"/>
      <c r="M78" s="106"/>
      <c r="P78" s="106" t="s">
        <v>53</v>
      </c>
      <c r="Q78" s="106"/>
      <c r="R78" s="106"/>
      <c r="S78" s="106"/>
      <c r="T78" s="106"/>
      <c r="W78" s="106" t="s">
        <v>54</v>
      </c>
      <c r="X78" s="106"/>
      <c r="Y78" s="106"/>
      <c r="Z78" s="106"/>
      <c r="AA78" s="106"/>
    </row>
    <row r="79" spans="1:27" ht="15.75" thickBot="1" x14ac:dyDescent="0.3">
      <c r="B79" s="22" t="s">
        <v>43</v>
      </c>
      <c r="C79" s="33" t="s">
        <v>30</v>
      </c>
      <c r="D79" s="23" t="s">
        <v>26</v>
      </c>
      <c r="E79" s="23" t="s">
        <v>25</v>
      </c>
      <c r="F79" s="25" t="s">
        <v>27</v>
      </c>
      <c r="I79" s="22" t="s">
        <v>43</v>
      </c>
      <c r="J79" s="33" t="s">
        <v>30</v>
      </c>
      <c r="K79" s="23" t="s">
        <v>26</v>
      </c>
      <c r="L79" s="23" t="s">
        <v>25</v>
      </c>
      <c r="M79" s="25" t="s">
        <v>27</v>
      </c>
      <c r="P79" s="22" t="s">
        <v>43</v>
      </c>
      <c r="Q79" s="33" t="s">
        <v>30</v>
      </c>
      <c r="R79" s="23" t="s">
        <v>26</v>
      </c>
      <c r="S79" s="23" t="s">
        <v>25</v>
      </c>
      <c r="T79" s="25" t="s">
        <v>27</v>
      </c>
      <c r="W79" s="22" t="s">
        <v>43</v>
      </c>
      <c r="X79" s="33" t="s">
        <v>30</v>
      </c>
      <c r="Y79" s="23" t="s">
        <v>26</v>
      </c>
      <c r="Z79" s="23" t="s">
        <v>25</v>
      </c>
      <c r="AA79" s="25" t="s">
        <v>27</v>
      </c>
    </row>
    <row r="80" spans="1:27" x14ac:dyDescent="0.25">
      <c r="A80" s="37" t="s">
        <v>31</v>
      </c>
      <c r="B80" s="58"/>
      <c r="C80" s="59"/>
      <c r="D80" s="60"/>
      <c r="E80" s="60"/>
      <c r="F80" s="61"/>
      <c r="H80" s="37" t="s">
        <v>31</v>
      </c>
      <c r="I80" s="58"/>
      <c r="J80" s="59"/>
      <c r="K80" s="60"/>
      <c r="L80" s="60"/>
      <c r="M80" s="61"/>
      <c r="O80" s="37" t="s">
        <v>31</v>
      </c>
      <c r="P80" s="58"/>
      <c r="Q80" s="59"/>
      <c r="R80" s="60"/>
      <c r="S80" s="60"/>
      <c r="T80" s="61"/>
      <c r="V80" s="37" t="s">
        <v>31</v>
      </c>
      <c r="W80" s="58"/>
      <c r="X80" s="59"/>
      <c r="Y80" s="60"/>
      <c r="Z80" s="60"/>
      <c r="AA80" s="61"/>
    </row>
    <row r="81" spans="1:27" x14ac:dyDescent="0.25">
      <c r="A81" s="38" t="s">
        <v>32</v>
      </c>
      <c r="B81" s="46">
        <f>'Wesley-Desmob'!H12</f>
        <v>0</v>
      </c>
      <c r="C81" s="43">
        <f>SUM(5000-B81)</f>
        <v>5000</v>
      </c>
      <c r="D81" s="35">
        <f>'Wesley-Desmob'!U13</f>
        <v>0</v>
      </c>
      <c r="E81" s="35">
        <f>'Wesley-Desmob'!AE13</f>
        <v>0</v>
      </c>
      <c r="F81" s="36">
        <f>'Wesley-Desmob'!AN13</f>
        <v>0</v>
      </c>
      <c r="H81" s="38" t="s">
        <v>32</v>
      </c>
      <c r="I81" s="46">
        <f>'Hericson - Desmob'!H11</f>
        <v>0</v>
      </c>
      <c r="J81" s="43">
        <f>SUM(5000-I81)</f>
        <v>5000</v>
      </c>
      <c r="K81" s="35">
        <f>'Hericson - Desmob'!U12</f>
        <v>0</v>
      </c>
      <c r="L81" s="35">
        <f>'Hericson - Desmob'!AE12</f>
        <v>0</v>
      </c>
      <c r="M81" s="36">
        <f>'Hericson - Desmob'!AE12</f>
        <v>0</v>
      </c>
      <c r="O81" s="38" t="s">
        <v>32</v>
      </c>
      <c r="P81" s="46" t="e">
        <f>#REF!</f>
        <v>#REF!</v>
      </c>
      <c r="Q81" s="43" t="e">
        <f>SUM(5000-P81)</f>
        <v>#REF!</v>
      </c>
      <c r="R81" s="35" t="e">
        <f>#REF!</f>
        <v>#REF!</v>
      </c>
      <c r="S81" s="35" t="e">
        <f>#REF!</f>
        <v>#REF!</v>
      </c>
      <c r="T81" s="36" t="e">
        <f>#REF!</f>
        <v>#REF!</v>
      </c>
      <c r="V81" s="38" t="s">
        <v>32</v>
      </c>
      <c r="W81" s="46">
        <f>'Devaldo-Desmobi'!H12</f>
        <v>2448</v>
      </c>
      <c r="X81" s="43">
        <f>SUM(5000-W81)</f>
        <v>2552</v>
      </c>
      <c r="Y81" s="35">
        <f>'Devaldo-Desmobi'!U13</f>
        <v>1192.28</v>
      </c>
      <c r="Z81" s="35">
        <f>'Devaldo-Desmobi'!AE13</f>
        <v>80</v>
      </c>
      <c r="AA81" s="36">
        <f>'Devaldo-Desmobi'!AE13</f>
        <v>80</v>
      </c>
    </row>
    <row r="82" spans="1:27" x14ac:dyDescent="0.25">
      <c r="A82" s="38" t="s">
        <v>33</v>
      </c>
      <c r="B82" s="46">
        <f>'Wesley-Desmob'!H16</f>
        <v>0</v>
      </c>
      <c r="C82" s="43">
        <f t="shared" ref="C82:C91" si="16">SUM(5000-B82)</f>
        <v>5000</v>
      </c>
      <c r="D82" s="35">
        <f>'Wesley-Desmob'!U17</f>
        <v>0</v>
      </c>
      <c r="E82" s="35">
        <f>'Wesley-Desmob'!AE17</f>
        <v>0</v>
      </c>
      <c r="F82" s="36">
        <f>'Wesley-Desmob'!AN17</f>
        <v>0</v>
      </c>
      <c r="H82" s="38" t="s">
        <v>33</v>
      </c>
      <c r="I82" s="46">
        <f>'Hericson - Desmob'!H15</f>
        <v>0</v>
      </c>
      <c r="J82" s="43">
        <f t="shared" ref="J82:J91" si="17">SUM(5000-I82)</f>
        <v>5000</v>
      </c>
      <c r="K82" s="35">
        <f>'Hericson - Desmob'!U16</f>
        <v>0</v>
      </c>
      <c r="L82" s="35">
        <f>'Hericson - Desmob'!AE16</f>
        <v>0</v>
      </c>
      <c r="M82" s="36">
        <f>'Hericson - Desmob'!AE16</f>
        <v>0</v>
      </c>
      <c r="O82" s="38" t="s">
        <v>33</v>
      </c>
      <c r="P82" s="46" t="e">
        <f>#REF!</f>
        <v>#REF!</v>
      </c>
      <c r="Q82" s="43" t="e">
        <f t="shared" ref="Q82:Q91" si="18">SUM(5000-P82)</f>
        <v>#REF!</v>
      </c>
      <c r="R82" s="35" t="e">
        <f>#REF!</f>
        <v>#REF!</v>
      </c>
      <c r="S82" s="35" t="e">
        <f>#REF!</f>
        <v>#REF!</v>
      </c>
      <c r="T82" s="36" t="e">
        <f>#REF!</f>
        <v>#REF!</v>
      </c>
      <c r="V82" s="38" t="s">
        <v>33</v>
      </c>
      <c r="W82" s="46">
        <f>'Devaldo-Desmobi'!H16</f>
        <v>2838</v>
      </c>
      <c r="X82" s="43">
        <f t="shared" ref="X82:X91" si="19">SUM(5000-W82)</f>
        <v>2162</v>
      </c>
      <c r="Y82" s="35">
        <f>'Devaldo-Desmobi'!U17</f>
        <v>1491.26</v>
      </c>
      <c r="Z82" s="35">
        <f>'Devaldo-Desmobi'!AE17</f>
        <v>80</v>
      </c>
      <c r="AA82" s="36">
        <f>'Devaldo-Desmobi'!AE17</f>
        <v>80</v>
      </c>
    </row>
    <row r="83" spans="1:27" x14ac:dyDescent="0.25">
      <c r="A83" s="38" t="s">
        <v>34</v>
      </c>
      <c r="B83" s="46">
        <f>'Wesley-Desmob'!H20</f>
        <v>0</v>
      </c>
      <c r="C83" s="43">
        <f t="shared" si="16"/>
        <v>5000</v>
      </c>
      <c r="D83" s="35">
        <f>'Wesley-Desmob'!U21</f>
        <v>0</v>
      </c>
      <c r="E83" s="35">
        <f>'Wesley-Desmob'!AE21</f>
        <v>0</v>
      </c>
      <c r="F83" s="36">
        <f>'Wesley-Desmob'!AN21</f>
        <v>0</v>
      </c>
      <c r="H83" s="38" t="s">
        <v>34</v>
      </c>
      <c r="I83" s="46">
        <f>'Hericson - Desmob'!H19</f>
        <v>0</v>
      </c>
      <c r="J83" s="43">
        <f t="shared" si="17"/>
        <v>5000</v>
      </c>
      <c r="K83" s="35">
        <f>'Hericson - Desmob'!U20</f>
        <v>0</v>
      </c>
      <c r="L83" s="35">
        <f>'Hericson - Desmob'!AE120</f>
        <v>0</v>
      </c>
      <c r="M83" s="36">
        <f>'Hericson - Desmob'!AE20</f>
        <v>0</v>
      </c>
      <c r="O83" s="38" t="s">
        <v>34</v>
      </c>
      <c r="P83" s="46" t="e">
        <f>#REF!</f>
        <v>#REF!</v>
      </c>
      <c r="Q83" s="43" t="e">
        <f t="shared" si="18"/>
        <v>#REF!</v>
      </c>
      <c r="R83" s="35" t="e">
        <f>#REF!</f>
        <v>#REF!</v>
      </c>
      <c r="S83" s="35" t="e">
        <f>#REF!</f>
        <v>#REF!</v>
      </c>
      <c r="T83" s="36" t="e">
        <f>#REF!</f>
        <v>#REF!</v>
      </c>
      <c r="V83" s="38" t="s">
        <v>34</v>
      </c>
      <c r="W83" s="46">
        <f>'Devaldo-Desmobi'!H20</f>
        <v>2908</v>
      </c>
      <c r="X83" s="43">
        <f t="shared" si="19"/>
        <v>2092</v>
      </c>
      <c r="Y83" s="35">
        <f>'Devaldo-Desmobi'!U21</f>
        <v>1145.6099999999999</v>
      </c>
      <c r="Z83" s="35">
        <f>'Devaldo-Desmobi'!AE21</f>
        <v>80</v>
      </c>
      <c r="AA83" s="36">
        <f>'Devaldo-Desmobi'!AE21</f>
        <v>80</v>
      </c>
    </row>
    <row r="84" spans="1:27" x14ac:dyDescent="0.25">
      <c r="A84" s="38" t="s">
        <v>35</v>
      </c>
      <c r="B84" s="46">
        <f>'Wesley-Desmob'!H24</f>
        <v>0</v>
      </c>
      <c r="C84" s="43">
        <f t="shared" si="16"/>
        <v>5000</v>
      </c>
      <c r="D84" s="35">
        <f>'Wesley-Desmob'!U25</f>
        <v>0</v>
      </c>
      <c r="E84" s="35">
        <f>'Wesley-Desmob'!AE25</f>
        <v>0</v>
      </c>
      <c r="F84" s="36">
        <f>'Wesley-Desmob'!AN25</f>
        <v>0</v>
      </c>
      <c r="H84" s="38" t="s">
        <v>35</v>
      </c>
      <c r="I84" s="46">
        <f>'Hericson - Desmob'!H23</f>
        <v>0</v>
      </c>
      <c r="J84" s="43">
        <f t="shared" si="17"/>
        <v>5000</v>
      </c>
      <c r="K84" s="35">
        <f>'Hericson - Desmob'!U24</f>
        <v>0</v>
      </c>
      <c r="L84" s="35">
        <f>'Hericson - Desmob'!AE24</f>
        <v>0</v>
      </c>
      <c r="M84" s="36">
        <f>'Hericson - Desmob'!AE24</f>
        <v>0</v>
      </c>
      <c r="O84" s="38" t="s">
        <v>35</v>
      </c>
      <c r="P84" s="46" t="e">
        <f>#REF!</f>
        <v>#REF!</v>
      </c>
      <c r="Q84" s="43" t="e">
        <f t="shared" si="18"/>
        <v>#REF!</v>
      </c>
      <c r="R84" s="35" t="e">
        <f>#REF!</f>
        <v>#REF!</v>
      </c>
      <c r="S84" s="35" t="e">
        <f>#REF!</f>
        <v>#REF!</v>
      </c>
      <c r="T84" s="36" t="e">
        <f>#REF!</f>
        <v>#REF!</v>
      </c>
      <c r="V84" s="38" t="s">
        <v>35</v>
      </c>
      <c r="W84" s="46">
        <f>'Devaldo-Desmobi'!H24</f>
        <v>1758</v>
      </c>
      <c r="X84" s="43">
        <f t="shared" si="19"/>
        <v>3242</v>
      </c>
      <c r="Y84" s="35">
        <f>'Devaldo-Desmobi'!U25</f>
        <v>1062.25</v>
      </c>
      <c r="Z84" s="35">
        <f>'Devaldo-Desmobi'!AE25</f>
        <v>0</v>
      </c>
      <c r="AA84" s="36">
        <f>'Devaldo-Desmobi'!AE25</f>
        <v>0</v>
      </c>
    </row>
    <row r="85" spans="1:27" x14ac:dyDescent="0.25">
      <c r="A85" s="38" t="s">
        <v>36</v>
      </c>
      <c r="B85" s="46">
        <f>'Wesley-Desmob'!H28</f>
        <v>0</v>
      </c>
      <c r="C85" s="43">
        <f t="shared" si="16"/>
        <v>5000</v>
      </c>
      <c r="D85" s="35">
        <f>'Wesley-Desmob'!U29</f>
        <v>0</v>
      </c>
      <c r="E85" s="35">
        <f>'Wesley-Desmob'!AE29</f>
        <v>0</v>
      </c>
      <c r="F85" s="36">
        <f>'Wesley-Desmob'!AN29</f>
        <v>0</v>
      </c>
      <c r="H85" s="38" t="s">
        <v>36</v>
      </c>
      <c r="I85" s="46">
        <f>'Hericson - Desmob'!H27</f>
        <v>0</v>
      </c>
      <c r="J85" s="43">
        <f t="shared" si="17"/>
        <v>5000</v>
      </c>
      <c r="K85" s="35">
        <f>'Hericson - Desmob'!U28</f>
        <v>0</v>
      </c>
      <c r="L85" s="35">
        <f>'Hericson - Desmob'!AE28</f>
        <v>0</v>
      </c>
      <c r="M85" s="36">
        <f>'Hericson - Desmob'!AE28</f>
        <v>0</v>
      </c>
      <c r="O85" s="38" t="s">
        <v>36</v>
      </c>
      <c r="P85" s="46" t="e">
        <f>#REF!</f>
        <v>#REF!</v>
      </c>
      <c r="Q85" s="43" t="e">
        <f t="shared" si="18"/>
        <v>#REF!</v>
      </c>
      <c r="R85" s="35" t="e">
        <f>#REF!</f>
        <v>#REF!</v>
      </c>
      <c r="S85" s="35" t="e">
        <f>#REF!</f>
        <v>#REF!</v>
      </c>
      <c r="T85" s="36" t="e">
        <f>#REF!</f>
        <v>#REF!</v>
      </c>
      <c r="V85" s="38" t="s">
        <v>36</v>
      </c>
      <c r="W85" s="46">
        <f>'Devaldo-Desmobi'!H28</f>
        <v>919</v>
      </c>
      <c r="X85" s="43">
        <f t="shared" si="19"/>
        <v>4081</v>
      </c>
      <c r="Y85" s="35">
        <f>'Devaldo-Desmobi'!U29</f>
        <v>441.11</v>
      </c>
      <c r="Z85" s="35">
        <f>'Devaldo-Desmobi'!AE29</f>
        <v>0</v>
      </c>
      <c r="AA85" s="36">
        <f>'Devaldo-Desmobi'!AE29</f>
        <v>0</v>
      </c>
    </row>
    <row r="86" spans="1:27" x14ac:dyDescent="0.25">
      <c r="A86" s="38" t="s">
        <v>37</v>
      </c>
      <c r="B86" s="46">
        <f>'Wesley-Desmob'!H32</f>
        <v>0</v>
      </c>
      <c r="C86" s="43">
        <f t="shared" si="16"/>
        <v>5000</v>
      </c>
      <c r="D86" s="35">
        <f>'Wesley-Desmob'!U33</f>
        <v>0</v>
      </c>
      <c r="E86" s="35">
        <f>'Wesley-Desmob'!AE33</f>
        <v>0</v>
      </c>
      <c r="F86" s="36">
        <f>'Wesley-Desmob'!AN33</f>
        <v>0</v>
      </c>
      <c r="H86" s="38" t="s">
        <v>37</v>
      </c>
      <c r="I86" s="46">
        <f>'Hericson - Desmob'!H31</f>
        <v>0</v>
      </c>
      <c r="J86" s="43">
        <f t="shared" si="17"/>
        <v>5000</v>
      </c>
      <c r="K86" s="35">
        <f>'Hericson - Desmob'!U32</f>
        <v>0</v>
      </c>
      <c r="L86" s="35">
        <f>'Hericson - Desmob'!AE32</f>
        <v>0</v>
      </c>
      <c r="M86" s="36">
        <f>'Hericson - Desmob'!AE32</f>
        <v>0</v>
      </c>
      <c r="O86" s="38" t="s">
        <v>37</v>
      </c>
      <c r="P86" s="46" t="e">
        <f>#REF!</f>
        <v>#REF!</v>
      </c>
      <c r="Q86" s="43" t="e">
        <f t="shared" si="18"/>
        <v>#REF!</v>
      </c>
      <c r="R86" s="35" t="e">
        <f>#REF!</f>
        <v>#REF!</v>
      </c>
      <c r="S86" s="35" t="e">
        <f>#REF!</f>
        <v>#REF!</v>
      </c>
      <c r="T86" s="36" t="e">
        <f>#REF!</f>
        <v>#REF!</v>
      </c>
      <c r="V86" s="38" t="s">
        <v>37</v>
      </c>
      <c r="W86" s="46">
        <f>'Devaldo-Desmobi'!H32</f>
        <v>1241</v>
      </c>
      <c r="X86" s="43">
        <f t="shared" si="19"/>
        <v>3759</v>
      </c>
      <c r="Y86" s="35">
        <f>'Devaldo-Desmobi'!U33</f>
        <v>353.8</v>
      </c>
      <c r="Z86" s="35">
        <f>'Devaldo-Desmobi'!AE33</f>
        <v>0</v>
      </c>
      <c r="AA86" s="36">
        <f>'Devaldo-Desmobi'!AE33</f>
        <v>0</v>
      </c>
    </row>
    <row r="87" spans="1:27" x14ac:dyDescent="0.25">
      <c r="A87" s="38" t="s">
        <v>38</v>
      </c>
      <c r="B87" s="46">
        <f>'Wesley-Desmob'!H36</f>
        <v>0</v>
      </c>
      <c r="C87" s="43">
        <f t="shared" si="16"/>
        <v>5000</v>
      </c>
      <c r="D87" s="35">
        <f>'Wesley-Desmob'!U37</f>
        <v>0</v>
      </c>
      <c r="E87" s="35">
        <f>'Wesley-Desmob'!AE37</f>
        <v>0</v>
      </c>
      <c r="F87" s="36">
        <f>'Wesley-Desmob'!AN37</f>
        <v>0</v>
      </c>
      <c r="H87" s="38" t="s">
        <v>38</v>
      </c>
      <c r="I87" s="46">
        <f>'Hericson - Desmob'!H35</f>
        <v>0</v>
      </c>
      <c r="J87" s="43">
        <f t="shared" si="17"/>
        <v>5000</v>
      </c>
      <c r="K87" s="35">
        <f>'Hericson - Desmob'!U36</f>
        <v>0</v>
      </c>
      <c r="L87" s="35">
        <f>'Hericson - Desmob'!AE36</f>
        <v>0</v>
      </c>
      <c r="M87" s="36">
        <f>'Hericson - Desmob'!AE36</f>
        <v>0</v>
      </c>
      <c r="O87" s="38" t="s">
        <v>38</v>
      </c>
      <c r="P87" s="46" t="e">
        <f>#REF!</f>
        <v>#REF!</v>
      </c>
      <c r="Q87" s="43" t="e">
        <f t="shared" si="18"/>
        <v>#REF!</v>
      </c>
      <c r="R87" s="35" t="e">
        <f>#REF!</f>
        <v>#REF!</v>
      </c>
      <c r="S87" s="35" t="e">
        <f>#REF!</f>
        <v>#REF!</v>
      </c>
      <c r="T87" s="36" t="e">
        <f>#REF!</f>
        <v>#REF!</v>
      </c>
      <c r="V87" s="38" t="s">
        <v>38</v>
      </c>
      <c r="W87" s="46">
        <f>'Devaldo-Desmobi'!H36</f>
        <v>0</v>
      </c>
      <c r="X87" s="43">
        <f t="shared" si="19"/>
        <v>5000</v>
      </c>
      <c r="Y87" s="35">
        <f>'Devaldo-Desmobi'!U37</f>
        <v>0</v>
      </c>
      <c r="Z87" s="35">
        <f>'Devaldo-Desmobi'!AE37</f>
        <v>0</v>
      </c>
      <c r="AA87" s="36">
        <f>'Devaldo-Desmobi'!AE37</f>
        <v>0</v>
      </c>
    </row>
    <row r="88" spans="1:27" x14ac:dyDescent="0.25">
      <c r="A88" s="38" t="s">
        <v>39</v>
      </c>
      <c r="B88" s="46">
        <f>'Wesley-Desmob'!H40</f>
        <v>2773</v>
      </c>
      <c r="C88" s="43">
        <f t="shared" si="16"/>
        <v>2227</v>
      </c>
      <c r="D88" s="35">
        <f>'Wesley-Desmob'!U41</f>
        <v>1349.06</v>
      </c>
      <c r="E88" s="35">
        <f>'Wesley-Desmob'!AE41</f>
        <v>0</v>
      </c>
      <c r="F88" s="36">
        <f>'Wesley-Desmob'!AN41</f>
        <v>0</v>
      </c>
      <c r="H88" s="38" t="s">
        <v>39</v>
      </c>
      <c r="I88" s="46">
        <f>'Hericson - Desmob'!H39</f>
        <v>0</v>
      </c>
      <c r="J88" s="43">
        <f t="shared" si="17"/>
        <v>5000</v>
      </c>
      <c r="K88" s="35">
        <f>'Hericson - Desmob'!U40</f>
        <v>0</v>
      </c>
      <c r="L88" s="35">
        <f>'Hericson - Desmob'!AE40</f>
        <v>0</v>
      </c>
      <c r="M88" s="36">
        <f>'Hericson - Desmob'!AE40</f>
        <v>0</v>
      </c>
      <c r="O88" s="38" t="s">
        <v>39</v>
      </c>
      <c r="P88" s="46" t="e">
        <f>#REF!</f>
        <v>#REF!</v>
      </c>
      <c r="Q88" s="43" t="e">
        <f t="shared" si="18"/>
        <v>#REF!</v>
      </c>
      <c r="R88" s="35" t="e">
        <f>#REF!</f>
        <v>#REF!</v>
      </c>
      <c r="S88" s="35" t="e">
        <f>#REF!</f>
        <v>#REF!</v>
      </c>
      <c r="T88" s="36" t="e">
        <f>#REF!</f>
        <v>#REF!</v>
      </c>
      <c r="V88" s="38" t="s">
        <v>39</v>
      </c>
      <c r="W88" s="46">
        <f>'Devaldo-Desmobi'!H40</f>
        <v>0</v>
      </c>
      <c r="X88" s="43">
        <f t="shared" si="19"/>
        <v>5000</v>
      </c>
      <c r="Y88" s="35">
        <f>'Devaldo-Desmobi'!U41</f>
        <v>0</v>
      </c>
      <c r="Z88" s="35">
        <f>'Devaldo-Desmobi'!AE41</f>
        <v>0</v>
      </c>
      <c r="AA88" s="36">
        <f>'Devaldo-Desmobi'!AE41</f>
        <v>0</v>
      </c>
    </row>
    <row r="89" spans="1:27" x14ac:dyDescent="0.25">
      <c r="A89" s="38" t="s">
        <v>40</v>
      </c>
      <c r="B89" s="46">
        <f>'Wesley-Desmob'!H44</f>
        <v>4637</v>
      </c>
      <c r="C89" s="43">
        <f t="shared" si="16"/>
        <v>363</v>
      </c>
      <c r="D89" s="35">
        <f>'Wesley-Desmob'!U45</f>
        <v>1876.8799999999999</v>
      </c>
      <c r="E89" s="35">
        <f>'Wesley-Desmob'!AE45</f>
        <v>75</v>
      </c>
      <c r="F89" s="36">
        <f>'Wesley-Desmob'!AN45</f>
        <v>0</v>
      </c>
      <c r="H89" s="38" t="s">
        <v>40</v>
      </c>
      <c r="I89" s="46">
        <f>'Hericson - Desmob'!H43</f>
        <v>0</v>
      </c>
      <c r="J89" s="43">
        <f t="shared" si="17"/>
        <v>5000</v>
      </c>
      <c r="K89" s="35">
        <f>'Hericson - Desmob'!U44</f>
        <v>0</v>
      </c>
      <c r="L89" s="35">
        <f>'Hericson - Desmob'!AE44</f>
        <v>0</v>
      </c>
      <c r="M89" s="36">
        <f>'Hericson - Desmob'!AE44</f>
        <v>0</v>
      </c>
      <c r="O89" s="38" t="s">
        <v>40</v>
      </c>
      <c r="P89" s="46" t="e">
        <f>#REF!</f>
        <v>#REF!</v>
      </c>
      <c r="Q89" s="43" t="e">
        <f t="shared" si="18"/>
        <v>#REF!</v>
      </c>
      <c r="R89" s="35" t="e">
        <f>#REF!</f>
        <v>#REF!</v>
      </c>
      <c r="S89" s="35" t="e">
        <f>#REF!</f>
        <v>#REF!</v>
      </c>
      <c r="T89" s="36" t="e">
        <f>#REF!</f>
        <v>#REF!</v>
      </c>
      <c r="V89" s="38" t="s">
        <v>40</v>
      </c>
      <c r="W89" s="46">
        <f>'Devaldo-Desmobi'!H44</f>
        <v>0</v>
      </c>
      <c r="X89" s="43">
        <f t="shared" si="19"/>
        <v>5000</v>
      </c>
      <c r="Y89" s="35">
        <f>'Devaldo-Desmobi'!U45</f>
        <v>0</v>
      </c>
      <c r="Z89" s="35">
        <f>'Devaldo-Desmobi'!AE45</f>
        <v>0</v>
      </c>
      <c r="AA89" s="36">
        <f>'Devaldo-Desmobi'!AE45</f>
        <v>0</v>
      </c>
    </row>
    <row r="90" spans="1:27" x14ac:dyDescent="0.25">
      <c r="A90" s="38" t="s">
        <v>41</v>
      </c>
      <c r="B90" s="46">
        <f>'Wesley-Desmob'!H48</f>
        <v>0</v>
      </c>
      <c r="C90" s="43">
        <f t="shared" si="16"/>
        <v>5000</v>
      </c>
      <c r="D90" s="35">
        <f>'Wesley-Desmob'!U49</f>
        <v>538.43000000000006</v>
      </c>
      <c r="E90" s="35">
        <f>'Wesley-Desmob'!AE49</f>
        <v>0</v>
      </c>
      <c r="F90" s="36">
        <f>'Wesley-Desmob'!AN49</f>
        <v>0</v>
      </c>
      <c r="H90" s="38" t="s">
        <v>41</v>
      </c>
      <c r="I90" s="46">
        <f>'Hericson - Desmob'!H47</f>
        <v>1873</v>
      </c>
      <c r="J90" s="43">
        <f t="shared" si="17"/>
        <v>3127</v>
      </c>
      <c r="K90" s="35">
        <f>'Hericson - Desmob'!U48</f>
        <v>0</v>
      </c>
      <c r="L90" s="35">
        <f>'Hericson - Desmob'!AE48</f>
        <v>0</v>
      </c>
      <c r="M90" s="36">
        <f>'Hericson - Desmob'!AE48</f>
        <v>0</v>
      </c>
      <c r="O90" s="38" t="s">
        <v>41</v>
      </c>
      <c r="P90" s="46" t="e">
        <f>#REF!</f>
        <v>#REF!</v>
      </c>
      <c r="Q90" s="43" t="e">
        <f t="shared" si="18"/>
        <v>#REF!</v>
      </c>
      <c r="R90" s="35" t="e">
        <f>#REF!</f>
        <v>#REF!</v>
      </c>
      <c r="S90" s="35" t="e">
        <f>#REF!</f>
        <v>#REF!</v>
      </c>
      <c r="T90" s="36" t="e">
        <f>#REF!</f>
        <v>#REF!</v>
      </c>
      <c r="V90" s="38" t="s">
        <v>41</v>
      </c>
      <c r="W90" s="46">
        <f>'Devaldo-Desmobi'!H48</f>
        <v>0</v>
      </c>
      <c r="X90" s="43">
        <f t="shared" si="19"/>
        <v>5000</v>
      </c>
      <c r="Y90" s="35">
        <f>'Devaldo-Desmobi'!U49</f>
        <v>0</v>
      </c>
      <c r="Z90" s="35">
        <f>'Devaldo-Desmobi'!AE49</f>
        <v>0</v>
      </c>
      <c r="AA90" s="36">
        <f>'Devaldo-Desmobi'!AE49</f>
        <v>0</v>
      </c>
    </row>
    <row r="91" spans="1:27" ht="15.75" thickBot="1" x14ac:dyDescent="0.3">
      <c r="A91" s="39" t="s">
        <v>42</v>
      </c>
      <c r="B91" s="47">
        <f>'Wesley-Desmob'!H52</f>
        <v>2302</v>
      </c>
      <c r="C91" s="44">
        <f t="shared" si="16"/>
        <v>2698</v>
      </c>
      <c r="D91" s="11">
        <f>'Wesley-Desmob'!U53</f>
        <v>0</v>
      </c>
      <c r="E91" s="11">
        <f>'Wesley-Desmob'!AE53</f>
        <v>0</v>
      </c>
      <c r="F91" s="12">
        <f>'Wesley-Desmob'!AN53</f>
        <v>0</v>
      </c>
      <c r="H91" s="39" t="s">
        <v>42</v>
      </c>
      <c r="I91" s="47">
        <f>'Hericson - Desmob'!H51</f>
        <v>3055</v>
      </c>
      <c r="J91" s="44">
        <f t="shared" si="17"/>
        <v>1945</v>
      </c>
      <c r="K91" s="11">
        <f>'Hericson - Desmob'!U52</f>
        <v>0</v>
      </c>
      <c r="L91" s="11">
        <f>'Hericson - Desmob'!AE52</f>
        <v>0</v>
      </c>
      <c r="M91" s="12">
        <f>'Hericson - Desmob'!AE52</f>
        <v>0</v>
      </c>
      <c r="O91" s="39" t="s">
        <v>42</v>
      </c>
      <c r="P91" s="47" t="e">
        <f>#REF!</f>
        <v>#REF!</v>
      </c>
      <c r="Q91" s="44" t="e">
        <f t="shared" si="18"/>
        <v>#REF!</v>
      </c>
      <c r="R91" s="11" t="e">
        <f>#REF!</f>
        <v>#REF!</v>
      </c>
      <c r="S91" s="11" t="e">
        <f>#REF!</f>
        <v>#REF!</v>
      </c>
      <c r="T91" s="12" t="e">
        <f>#REF!</f>
        <v>#REF!</v>
      </c>
      <c r="V91" s="39" t="s">
        <v>42</v>
      </c>
      <c r="W91" s="47">
        <f>'Devaldo-Desmobi'!H52</f>
        <v>0</v>
      </c>
      <c r="X91" s="44">
        <f t="shared" si="19"/>
        <v>5000</v>
      </c>
      <c r="Y91" s="11">
        <f>'Devaldo-Desmobi'!U53</f>
        <v>0</v>
      </c>
      <c r="Z91" s="11">
        <f>'Devaldo-Desmobi'!AE53</f>
        <v>0</v>
      </c>
      <c r="AA91" s="12">
        <f>'Devaldo-Desmobi'!AE53</f>
        <v>0</v>
      </c>
    </row>
    <row r="92" spans="1:27" ht="15.75" thickBot="1" x14ac:dyDescent="0.3"/>
    <row r="93" spans="1:27" ht="15.75" thickBot="1" x14ac:dyDescent="0.3">
      <c r="A93" s="3" t="s">
        <v>23</v>
      </c>
      <c r="B93" s="52">
        <f>SUM(B80:B91)</f>
        <v>9712</v>
      </c>
      <c r="C93" s="51"/>
      <c r="D93" s="50">
        <f>SUM(D80:D91)</f>
        <v>3764.37</v>
      </c>
      <c r="E93" s="49">
        <f>SUM(E80:E91)</f>
        <v>75</v>
      </c>
      <c r="F93" s="48">
        <f>SUM(F80:F91)</f>
        <v>0</v>
      </c>
      <c r="H93" s="3" t="s">
        <v>23</v>
      </c>
      <c r="I93" s="52">
        <f>SUM(I80:I91)</f>
        <v>4928</v>
      </c>
      <c r="J93" s="51"/>
      <c r="K93" s="50">
        <f>SUM(K80:K91)</f>
        <v>0</v>
      </c>
      <c r="L93" s="49">
        <f>SUM(L80:L91)</f>
        <v>0</v>
      </c>
      <c r="M93" s="48">
        <f>SUM(M80:M91)</f>
        <v>0</v>
      </c>
      <c r="O93" s="3" t="s">
        <v>23</v>
      </c>
      <c r="P93" s="52" t="e">
        <f>SUM(P80:P91)</f>
        <v>#REF!</v>
      </c>
      <c r="Q93" s="51"/>
      <c r="R93" s="50" t="e">
        <f>SUM(R80:R91)</f>
        <v>#REF!</v>
      </c>
      <c r="S93" s="49" t="e">
        <f>SUM(S80:S91)</f>
        <v>#REF!</v>
      </c>
      <c r="T93" s="48" t="e">
        <f>SUM(T80:T91)</f>
        <v>#REF!</v>
      </c>
      <c r="V93" s="3" t="s">
        <v>23</v>
      </c>
      <c r="W93" s="52">
        <f>SUM(W80:W91)</f>
        <v>12112</v>
      </c>
      <c r="X93" s="51"/>
      <c r="Y93" s="50">
        <f>SUM(Y80:Y91)</f>
        <v>5686.3099999999995</v>
      </c>
      <c r="Z93" s="49">
        <f>SUM(Z80:Z91)</f>
        <v>240</v>
      </c>
      <c r="AA93" s="48">
        <f>SUM(AA80:AA91)</f>
        <v>240</v>
      </c>
    </row>
    <row r="94" spans="1:27" ht="15.75" thickBot="1" x14ac:dyDescent="0.3">
      <c r="A94" s="3" t="s">
        <v>44</v>
      </c>
      <c r="B94" s="23">
        <f>SUM(60000-B93)</f>
        <v>50288</v>
      </c>
      <c r="H94" s="3" t="s">
        <v>44</v>
      </c>
      <c r="I94" s="23">
        <f>SUM(60000-I93)</f>
        <v>55072</v>
      </c>
      <c r="O94" s="3" t="s">
        <v>44</v>
      </c>
      <c r="P94" s="23" t="e">
        <f>SUM(60000-P93)</f>
        <v>#REF!</v>
      </c>
      <c r="V94" s="3" t="s">
        <v>44</v>
      </c>
      <c r="W94" s="23">
        <f>SUM(60000-W93)</f>
        <v>47888</v>
      </c>
    </row>
    <row r="96" spans="1:27" ht="15.75" thickBot="1" x14ac:dyDescent="0.3">
      <c r="B96" s="106" t="s">
        <v>55</v>
      </c>
      <c r="C96" s="106"/>
      <c r="D96" s="106"/>
      <c r="E96" s="106"/>
      <c r="F96" s="106"/>
      <c r="I96" s="106" t="s">
        <v>56</v>
      </c>
      <c r="J96" s="106"/>
      <c r="K96" s="106"/>
      <c r="L96" s="106"/>
      <c r="M96" s="106"/>
      <c r="P96" s="106" t="s">
        <v>57</v>
      </c>
      <c r="Q96" s="106"/>
      <c r="R96" s="106"/>
      <c r="S96" s="106"/>
      <c r="T96" s="106"/>
      <c r="W96" s="106" t="s">
        <v>58</v>
      </c>
      <c r="X96" s="106"/>
      <c r="Y96" s="106"/>
      <c r="Z96" s="106"/>
      <c r="AA96" s="106"/>
    </row>
    <row r="97" spans="1:27" ht="15.75" thickBot="1" x14ac:dyDescent="0.3">
      <c r="B97" s="22" t="s">
        <v>43</v>
      </c>
      <c r="C97" s="33" t="s">
        <v>30</v>
      </c>
      <c r="D97" s="23" t="s">
        <v>26</v>
      </c>
      <c r="E97" s="23" t="s">
        <v>25</v>
      </c>
      <c r="F97" s="25" t="s">
        <v>27</v>
      </c>
      <c r="I97" s="22" t="s">
        <v>43</v>
      </c>
      <c r="J97" s="33" t="s">
        <v>30</v>
      </c>
      <c r="K97" s="23" t="s">
        <v>26</v>
      </c>
      <c r="L97" s="23" t="s">
        <v>25</v>
      </c>
      <c r="M97" s="25" t="s">
        <v>27</v>
      </c>
      <c r="P97" s="22" t="s">
        <v>43</v>
      </c>
      <c r="Q97" s="33" t="s">
        <v>30</v>
      </c>
      <c r="R97" s="23" t="s">
        <v>26</v>
      </c>
      <c r="S97" s="23" t="s">
        <v>25</v>
      </c>
      <c r="T97" s="25" t="s">
        <v>27</v>
      </c>
      <c r="W97" s="22" t="s">
        <v>43</v>
      </c>
      <c r="X97" s="33" t="s">
        <v>30</v>
      </c>
      <c r="Y97" s="23" t="s">
        <v>26</v>
      </c>
      <c r="Z97" s="23" t="s">
        <v>25</v>
      </c>
      <c r="AA97" s="25" t="s">
        <v>27</v>
      </c>
    </row>
    <row r="98" spans="1:27" x14ac:dyDescent="0.25">
      <c r="A98" s="37" t="s">
        <v>31</v>
      </c>
      <c r="B98" s="58"/>
      <c r="C98" s="59"/>
      <c r="D98" s="60"/>
      <c r="E98" s="60"/>
      <c r="F98" s="61"/>
      <c r="H98" s="37" t="s">
        <v>31</v>
      </c>
      <c r="I98" s="58"/>
      <c r="J98" s="59"/>
      <c r="K98" s="60"/>
      <c r="L98" s="60"/>
      <c r="M98" s="61"/>
      <c r="O98" s="37" t="s">
        <v>31</v>
      </c>
      <c r="P98" s="58"/>
      <c r="Q98" s="59"/>
      <c r="R98" s="60"/>
      <c r="S98" s="60"/>
      <c r="T98" s="61"/>
      <c r="V98" s="37" t="s">
        <v>31</v>
      </c>
      <c r="W98" s="58"/>
      <c r="X98" s="59"/>
      <c r="Y98" s="60"/>
      <c r="Z98" s="60"/>
      <c r="AA98" s="61"/>
    </row>
    <row r="99" spans="1:27" x14ac:dyDescent="0.25">
      <c r="A99" s="38" t="s">
        <v>32</v>
      </c>
      <c r="B99" s="46">
        <f>'Robson.- Desmob'!H11</f>
        <v>0</v>
      </c>
      <c r="C99" s="43">
        <f>SUM(5000-B99)</f>
        <v>5000</v>
      </c>
      <c r="D99" s="35">
        <f>'Robson.- Desmob'!U12</f>
        <v>0</v>
      </c>
      <c r="E99" s="35">
        <f>'Robson.- Desmob'!AE12</f>
        <v>0</v>
      </c>
      <c r="F99" s="36">
        <f>'Robson.- Desmob'!AN12</f>
        <v>0</v>
      </c>
      <c r="H99" s="38" t="s">
        <v>32</v>
      </c>
      <c r="I99" s="46">
        <f>'Vitor-Desmob'!H11</f>
        <v>0</v>
      </c>
      <c r="J99" s="43">
        <f>SUM(5000-I99)</f>
        <v>5000</v>
      </c>
      <c r="K99" s="35">
        <f>'Vitor-Desmob'!U12</f>
        <v>0</v>
      </c>
      <c r="L99" s="35">
        <f>'Vitor-Desmob'!AC12</f>
        <v>0</v>
      </c>
      <c r="M99" s="36">
        <f>'Vitor-Desmob'!AK12</f>
        <v>0</v>
      </c>
      <c r="O99" s="38" t="s">
        <v>32</v>
      </c>
      <c r="P99" s="46">
        <f>'Robson-Desmob'!H13</f>
        <v>0</v>
      </c>
      <c r="Q99" s="43">
        <f>SUM(5000-P99)</f>
        <v>5000</v>
      </c>
      <c r="R99" s="35">
        <f>'Robson-Desmob'!U14</f>
        <v>0</v>
      </c>
      <c r="S99" s="35">
        <f>'Robson-Desmob'!AE14</f>
        <v>0</v>
      </c>
      <c r="T99" s="36">
        <f>'Robson-Desmob'!AN14</f>
        <v>0</v>
      </c>
      <c r="V99" s="38" t="s">
        <v>32</v>
      </c>
      <c r="W99" s="46">
        <f>'Antonio Flavio-Desmob.'!H11</f>
        <v>0</v>
      </c>
      <c r="X99" s="43">
        <f>SUM(5000-W99)</f>
        <v>5000</v>
      </c>
      <c r="Y99" s="35">
        <f>'Antonio Flavio-Desmob.'!U12</f>
        <v>0</v>
      </c>
      <c r="Z99" s="35">
        <f>'Antonio Flavio-Desmob.'!AE12</f>
        <v>0</v>
      </c>
      <c r="AA99" s="36">
        <f>'Antonio Flavio-Desmob.'!AN12</f>
        <v>0</v>
      </c>
    </row>
    <row r="100" spans="1:27" x14ac:dyDescent="0.25">
      <c r="A100" s="38" t="s">
        <v>33</v>
      </c>
      <c r="B100" s="46">
        <f>'Robson.- Desmob'!H15</f>
        <v>2826</v>
      </c>
      <c r="C100" s="43">
        <f t="shared" ref="C100:C109" si="20">SUM(5000-B100)</f>
        <v>2174</v>
      </c>
      <c r="D100" s="35">
        <f>'Robson.- Desmob'!U16</f>
        <v>880.16</v>
      </c>
      <c r="E100" s="35">
        <f>'Robson.- Desmob'!AE16</f>
        <v>160</v>
      </c>
      <c r="F100" s="36">
        <f>'Robson.- Desmob'!AN16</f>
        <v>0</v>
      </c>
      <c r="H100" s="38" t="s">
        <v>33</v>
      </c>
      <c r="I100" s="46">
        <f>'Vitor-Desmob'!H15</f>
        <v>0</v>
      </c>
      <c r="J100" s="43">
        <f t="shared" ref="J100:J109" si="21">SUM(5000-I100)</f>
        <v>5000</v>
      </c>
      <c r="K100" s="35">
        <f>'Vitor-Desmob'!U16</f>
        <v>0</v>
      </c>
      <c r="L100" s="35">
        <f>'Vitor-Desmob'!AC16</f>
        <v>0</v>
      </c>
      <c r="M100" s="36">
        <f>'Vitor-Desmob'!AK16</f>
        <v>0</v>
      </c>
      <c r="O100" s="38" t="s">
        <v>33</v>
      </c>
      <c r="P100" s="46">
        <f>'Robson-Desmob'!H21</f>
        <v>0</v>
      </c>
      <c r="Q100" s="43">
        <f t="shared" ref="Q100:Q109" si="22">SUM(5000-P100)</f>
        <v>5000</v>
      </c>
      <c r="R100" s="35">
        <f>'Robson-Desmob'!U18</f>
        <v>0</v>
      </c>
      <c r="S100" s="35">
        <f>'Robson-Desmob'!AE18</f>
        <v>0</v>
      </c>
      <c r="T100" s="36">
        <f>'Robson-Desmob'!AN18</f>
        <v>0</v>
      </c>
      <c r="V100" s="38" t="s">
        <v>33</v>
      </c>
      <c r="W100" s="46">
        <f>'Antonio Flavio-Desmob.'!H15</f>
        <v>0</v>
      </c>
      <c r="X100" s="43">
        <f t="shared" ref="X100:X109" si="23">SUM(5000-W100)</f>
        <v>5000</v>
      </c>
      <c r="Y100" s="35">
        <f>'Antonio Flavio-Desmob.'!U16</f>
        <v>0</v>
      </c>
      <c r="Z100" s="35">
        <f>'Antonio Flavio-Desmob.'!AE16</f>
        <v>0</v>
      </c>
      <c r="AA100" s="36">
        <f>'Antonio Flavio-Desmob.'!AN16</f>
        <v>0</v>
      </c>
    </row>
    <row r="101" spans="1:27" x14ac:dyDescent="0.25">
      <c r="A101" s="38" t="s">
        <v>34</v>
      </c>
      <c r="B101" s="46">
        <f>'Robson.- Desmob'!H19</f>
        <v>511</v>
      </c>
      <c r="C101" s="43">
        <f t="shared" si="20"/>
        <v>4489</v>
      </c>
      <c r="D101" s="35">
        <f>'Robson.- Desmob'!U20</f>
        <v>0</v>
      </c>
      <c r="E101" s="35">
        <f>'Robson.- Desmob'!AE20</f>
        <v>50</v>
      </c>
      <c r="F101" s="36">
        <f>'Robson.- Desmob'!AN220</f>
        <v>0</v>
      </c>
      <c r="H101" s="38" t="s">
        <v>34</v>
      </c>
      <c r="I101" s="46">
        <f>'Vitor-Desmob'!H19</f>
        <v>0</v>
      </c>
      <c r="J101" s="43">
        <f t="shared" si="21"/>
        <v>5000</v>
      </c>
      <c r="K101" s="35">
        <f>'Vitor-Desmob'!U20</f>
        <v>0</v>
      </c>
      <c r="L101" s="35">
        <f>'Vitor-Desmob'!AC20</f>
        <v>0</v>
      </c>
      <c r="M101" s="36">
        <f>'Vitor-Desmob'!AK20</f>
        <v>0</v>
      </c>
      <c r="O101" s="38" t="s">
        <v>34</v>
      </c>
      <c r="P101" s="46">
        <f>'Robson-Desmob'!H21</f>
        <v>0</v>
      </c>
      <c r="Q101" s="43">
        <f t="shared" si="22"/>
        <v>5000</v>
      </c>
      <c r="R101" s="35">
        <f>'Robson-Desmob'!U22</f>
        <v>0</v>
      </c>
      <c r="S101" s="35">
        <f>'Robson-Desmob'!AE22</f>
        <v>0</v>
      </c>
      <c r="T101" s="36">
        <f>'Robson-Desmob'!AN22</f>
        <v>0</v>
      </c>
      <c r="V101" s="38" t="s">
        <v>34</v>
      </c>
      <c r="W101" s="46">
        <f>'Antonio Flavio-Desmob.'!H19</f>
        <v>0</v>
      </c>
      <c r="X101" s="43">
        <f t="shared" si="23"/>
        <v>5000</v>
      </c>
      <c r="Y101" s="35">
        <f>'Antonio Flavio-Desmob.'!U20</f>
        <v>0</v>
      </c>
      <c r="Z101" s="35">
        <f>'Antonio Flavio-Desmob.'!AE20</f>
        <v>0</v>
      </c>
      <c r="AA101" s="36">
        <f>'Antonio Flavio-Desmob.'!AN20</f>
        <v>0</v>
      </c>
    </row>
    <row r="102" spans="1:27" x14ac:dyDescent="0.25">
      <c r="A102" s="38" t="s">
        <v>35</v>
      </c>
      <c r="B102" s="46">
        <f>'Robson.- Desmob'!H23</f>
        <v>0</v>
      </c>
      <c r="C102" s="43">
        <f t="shared" si="20"/>
        <v>5000</v>
      </c>
      <c r="D102" s="35">
        <f>'Robson.- Desmob'!U24</f>
        <v>0</v>
      </c>
      <c r="E102" s="35">
        <f>'Robson.- Desmob'!AE24</f>
        <v>0</v>
      </c>
      <c r="F102" s="36">
        <f>'Robson.- Desmob'!AN24</f>
        <v>0</v>
      </c>
      <c r="H102" s="38" t="s">
        <v>35</v>
      </c>
      <c r="I102" s="46">
        <f>'Vitor-Desmob'!H23</f>
        <v>0</v>
      </c>
      <c r="J102" s="43">
        <f t="shared" si="21"/>
        <v>5000</v>
      </c>
      <c r="K102" s="35">
        <f>'Vitor-Desmob'!U24</f>
        <v>0</v>
      </c>
      <c r="L102" s="35">
        <f>'Vitor-Desmob'!AC24</f>
        <v>0</v>
      </c>
      <c r="M102" s="36">
        <f>'Vitor-Desmob'!AK24</f>
        <v>0</v>
      </c>
      <c r="O102" s="38" t="s">
        <v>35</v>
      </c>
      <c r="P102" s="46">
        <f>'Robson-Desmob'!H25</f>
        <v>0</v>
      </c>
      <c r="Q102" s="43">
        <f t="shared" si="22"/>
        <v>5000</v>
      </c>
      <c r="R102" s="35">
        <f>'Robson-Desmob'!U26</f>
        <v>0</v>
      </c>
      <c r="S102" s="35">
        <f>'Robson-Desmob'!AE26</f>
        <v>0</v>
      </c>
      <c r="T102" s="36">
        <f>'Robson-Desmob'!AN26</f>
        <v>0</v>
      </c>
      <c r="V102" s="38" t="s">
        <v>35</v>
      </c>
      <c r="W102" s="46">
        <f>'Antonio Flavio-Desmob.'!H23</f>
        <v>0</v>
      </c>
      <c r="X102" s="43">
        <f t="shared" si="23"/>
        <v>5000</v>
      </c>
      <c r="Y102" s="35">
        <f>'Antonio Flavio-Desmob.'!U24</f>
        <v>0</v>
      </c>
      <c r="Z102" s="35">
        <f>'Antonio Flavio-Desmob.'!AE24</f>
        <v>0</v>
      </c>
      <c r="AA102" s="36">
        <f>'Antonio Flavio-Desmob.'!AN24</f>
        <v>0</v>
      </c>
    </row>
    <row r="103" spans="1:27" x14ac:dyDescent="0.25">
      <c r="A103" s="38" t="s">
        <v>36</v>
      </c>
      <c r="B103" s="46">
        <f>'Robson.- Desmob'!H27</f>
        <v>0</v>
      </c>
      <c r="C103" s="43">
        <f t="shared" si="20"/>
        <v>5000</v>
      </c>
      <c r="D103" s="35">
        <f>'Robson.- Desmob'!U28</f>
        <v>0</v>
      </c>
      <c r="E103" s="35">
        <f>'Robson.- Desmob'!AE28</f>
        <v>0</v>
      </c>
      <c r="F103" s="36">
        <f>'Robson.- Desmob'!AN28</f>
        <v>0</v>
      </c>
      <c r="H103" s="38" t="s">
        <v>36</v>
      </c>
      <c r="I103" s="46">
        <f>'Vitor-Desmob'!H27</f>
        <v>0</v>
      </c>
      <c r="J103" s="43">
        <f t="shared" si="21"/>
        <v>5000</v>
      </c>
      <c r="K103" s="35">
        <f>'Vitor-Desmob'!U28</f>
        <v>0</v>
      </c>
      <c r="L103" s="35">
        <f>'Vitor-Desmob'!AC28</f>
        <v>0</v>
      </c>
      <c r="M103" s="36">
        <f>'Vitor-Desmob'!AK28</f>
        <v>0</v>
      </c>
      <c r="O103" s="38" t="s">
        <v>36</v>
      </c>
      <c r="P103" s="46">
        <f>'Robson-Desmob'!H29</f>
        <v>0</v>
      </c>
      <c r="Q103" s="43">
        <f t="shared" si="22"/>
        <v>5000</v>
      </c>
      <c r="R103" s="35">
        <f>'Robson-Desmob'!U30</f>
        <v>0</v>
      </c>
      <c r="S103" s="35">
        <f>'Robson-Desmob'!AE30</f>
        <v>0</v>
      </c>
      <c r="T103" s="36">
        <f>'Robson-Desmob'!AN30</f>
        <v>0</v>
      </c>
      <c r="V103" s="38" t="s">
        <v>36</v>
      </c>
      <c r="W103" s="46">
        <f>'Antonio Flavio-Desmob.'!H27</f>
        <v>0</v>
      </c>
      <c r="X103" s="43">
        <f t="shared" si="23"/>
        <v>5000</v>
      </c>
      <c r="Y103" s="35">
        <f>'Antonio Flavio-Desmob.'!U28</f>
        <v>0</v>
      </c>
      <c r="Z103" s="35">
        <f>'Antonio Flavio-Desmob.'!AE28</f>
        <v>0</v>
      </c>
      <c r="AA103" s="36">
        <f>'Antonio Flavio-Desmob.'!AN28</f>
        <v>0</v>
      </c>
    </row>
    <row r="104" spans="1:27" x14ac:dyDescent="0.25">
      <c r="A104" s="38" t="s">
        <v>37</v>
      </c>
      <c r="B104" s="46">
        <f>'Robson.- Desmob'!H31</f>
        <v>0</v>
      </c>
      <c r="C104" s="43">
        <f t="shared" si="20"/>
        <v>5000</v>
      </c>
      <c r="D104" s="35">
        <f>'Robson.- Desmob'!U32</f>
        <v>0</v>
      </c>
      <c r="E104" s="35">
        <f>'Robson.- Desmob'!AE32</f>
        <v>0</v>
      </c>
      <c r="F104" s="36">
        <f>'Robson.- Desmob'!AN32</f>
        <v>0</v>
      </c>
      <c r="H104" s="38" t="s">
        <v>37</v>
      </c>
      <c r="I104" s="46">
        <f>'Vitor-Desmob'!H31</f>
        <v>2536</v>
      </c>
      <c r="J104" s="43">
        <f t="shared" si="21"/>
        <v>2464</v>
      </c>
      <c r="K104" s="35">
        <f>'Vitor-Desmob'!U32</f>
        <v>1291.79</v>
      </c>
      <c r="L104" s="35">
        <f>'Vitor-Desmob'!AC32</f>
        <v>140</v>
      </c>
      <c r="M104" s="36">
        <f>'Vitor-Desmob'!AK32</f>
        <v>0</v>
      </c>
      <c r="O104" s="38" t="s">
        <v>37</v>
      </c>
      <c r="P104" s="46">
        <f>'Robson-Desmob'!H29</f>
        <v>0</v>
      </c>
      <c r="Q104" s="43">
        <f t="shared" si="22"/>
        <v>5000</v>
      </c>
      <c r="R104" s="35">
        <f>'Robson-Desmob'!U34</f>
        <v>255.69</v>
      </c>
      <c r="S104" s="35">
        <f>'Robson-Desmob'!AE34</f>
        <v>0</v>
      </c>
      <c r="T104" s="36">
        <f>'Robson-Desmob'!AN34</f>
        <v>0</v>
      </c>
      <c r="V104" s="38" t="s">
        <v>37</v>
      </c>
      <c r="W104" s="46">
        <f>'Antonio Flavio-Desmob.'!H31</f>
        <v>0</v>
      </c>
      <c r="X104" s="43">
        <f t="shared" si="23"/>
        <v>5000</v>
      </c>
      <c r="Y104" s="35">
        <f>'Antonio Flavio-Desmob.'!U32</f>
        <v>0</v>
      </c>
      <c r="Z104" s="35">
        <f>'Antonio Flavio-Desmob.'!AE32</f>
        <v>0</v>
      </c>
      <c r="AA104" s="36">
        <f>'Antonio Flavio-Desmob.'!AN32</f>
        <v>0</v>
      </c>
    </row>
    <row r="105" spans="1:27" x14ac:dyDescent="0.25">
      <c r="A105" s="38" t="s">
        <v>38</v>
      </c>
      <c r="B105" s="46">
        <f>'Robson.- Desmob'!H35</f>
        <v>0</v>
      </c>
      <c r="C105" s="43">
        <f t="shared" si="20"/>
        <v>5000</v>
      </c>
      <c r="D105" s="35">
        <f>'Robson.- Desmob'!U36</f>
        <v>0</v>
      </c>
      <c r="E105" s="35">
        <f>'Robson.- Desmob'!AE36</f>
        <v>0</v>
      </c>
      <c r="F105" s="36">
        <f>'Robson.- Desmob'!AN36</f>
        <v>0</v>
      </c>
      <c r="H105" s="38" t="s">
        <v>38</v>
      </c>
      <c r="I105" s="46">
        <f>'Vitor-Desmob'!H35</f>
        <v>1918</v>
      </c>
      <c r="J105" s="43">
        <f t="shared" si="21"/>
        <v>3082</v>
      </c>
      <c r="K105" s="35">
        <f>'Vitor-Desmob'!U36</f>
        <v>900.19</v>
      </c>
      <c r="L105" s="35">
        <f>'Vitor-Desmob'!AC36</f>
        <v>80</v>
      </c>
      <c r="M105" s="36">
        <f>'Vitor-Desmob'!AK36</f>
        <v>0</v>
      </c>
      <c r="O105" s="38" t="s">
        <v>38</v>
      </c>
      <c r="P105" s="46">
        <f>'Robson-Desmob'!H37</f>
        <v>1004</v>
      </c>
      <c r="Q105" s="43">
        <f t="shared" si="22"/>
        <v>3996</v>
      </c>
      <c r="R105" s="35">
        <f>'Robson-Desmob'!U38</f>
        <v>403.95</v>
      </c>
      <c r="S105" s="35">
        <f>'Robson-Desmob'!AE38</f>
        <v>0</v>
      </c>
      <c r="T105" s="36">
        <f>'Robson-Desmob'!AN38</f>
        <v>0</v>
      </c>
      <c r="V105" s="38" t="s">
        <v>38</v>
      </c>
      <c r="W105" s="46">
        <f>'Antonio Flavio-Desmob.'!H35</f>
        <v>0</v>
      </c>
      <c r="X105" s="43">
        <f t="shared" si="23"/>
        <v>5000</v>
      </c>
      <c r="Y105" s="35">
        <f>'Antonio Flavio-Desmob.'!U36</f>
        <v>0</v>
      </c>
      <c r="Z105" s="35">
        <f>'Antonio Flavio-Desmob.'!AE36</f>
        <v>0</v>
      </c>
      <c r="AA105" s="36">
        <f>'Antonio Flavio-Desmob.'!AN36</f>
        <v>0</v>
      </c>
    </row>
    <row r="106" spans="1:27" x14ac:dyDescent="0.25">
      <c r="A106" s="38" t="s">
        <v>39</v>
      </c>
      <c r="B106" s="46">
        <f>'Robson.- Desmob'!H39</f>
        <v>0</v>
      </c>
      <c r="C106" s="43">
        <f t="shared" si="20"/>
        <v>5000</v>
      </c>
      <c r="D106" s="35">
        <f>'Robson.- Desmob'!U40</f>
        <v>0</v>
      </c>
      <c r="E106" s="35">
        <f>'Robson.- Desmob'!AE40</f>
        <v>0</v>
      </c>
      <c r="F106" s="36">
        <f>'Robson.- Desmob'!AN40</f>
        <v>0</v>
      </c>
      <c r="H106" s="38" t="s">
        <v>39</v>
      </c>
      <c r="I106" s="46">
        <f>'Vitor-Desmob'!H39</f>
        <v>0</v>
      </c>
      <c r="J106" s="43">
        <f t="shared" si="21"/>
        <v>5000</v>
      </c>
      <c r="K106" s="35">
        <f>'Vitor-Desmob'!U40</f>
        <v>0</v>
      </c>
      <c r="L106" s="35">
        <f>'Vitor-Desmob'!AC40</f>
        <v>0</v>
      </c>
      <c r="M106" s="36">
        <f>'Vitor-Desmob'!AK40</f>
        <v>0</v>
      </c>
      <c r="O106" s="38" t="s">
        <v>39</v>
      </c>
      <c r="P106" s="46">
        <f>'Robson-Desmob'!H41</f>
        <v>3251</v>
      </c>
      <c r="Q106" s="43">
        <f t="shared" si="22"/>
        <v>1749</v>
      </c>
      <c r="R106" s="35">
        <f>'Robson-Desmob'!U42</f>
        <v>924.3</v>
      </c>
      <c r="S106" s="35">
        <f>'Robson-Desmob'!AE42</f>
        <v>0</v>
      </c>
      <c r="T106" s="36">
        <f>'Robson-Desmob'!AN42</f>
        <v>0</v>
      </c>
      <c r="V106" s="38" t="s">
        <v>39</v>
      </c>
      <c r="W106" s="46">
        <f>'Antonio Flavio-Desmob.'!H39</f>
        <v>562</v>
      </c>
      <c r="X106" s="43">
        <f t="shared" si="23"/>
        <v>4438</v>
      </c>
      <c r="Y106" s="35">
        <f>'Antonio Flavio-Desmob.'!U40</f>
        <v>242.01</v>
      </c>
      <c r="Z106" s="35">
        <f>'Antonio Flavio-Desmob.'!AE40</f>
        <v>0</v>
      </c>
      <c r="AA106" s="36">
        <f>'Antonio Flavio-Desmob.'!AN40</f>
        <v>0</v>
      </c>
    </row>
    <row r="107" spans="1:27" x14ac:dyDescent="0.25">
      <c r="A107" s="38" t="s">
        <v>40</v>
      </c>
      <c r="B107" s="46">
        <f>'Robson.- Desmob'!H43</f>
        <v>0</v>
      </c>
      <c r="C107" s="43">
        <f t="shared" si="20"/>
        <v>5000</v>
      </c>
      <c r="D107" s="35">
        <f>'Robson.- Desmob'!U44</f>
        <v>0</v>
      </c>
      <c r="E107" s="35">
        <f>'Robson.- Desmob'!AE44</f>
        <v>0</v>
      </c>
      <c r="F107" s="36">
        <f>'Robson.- Desmob'!AN44</f>
        <v>0</v>
      </c>
      <c r="H107" s="38" t="s">
        <v>40</v>
      </c>
      <c r="I107" s="46">
        <f>'Vitor-Desmob'!H43</f>
        <v>0</v>
      </c>
      <c r="J107" s="43">
        <f t="shared" si="21"/>
        <v>5000</v>
      </c>
      <c r="K107" s="35">
        <f>'Vitor-Desmob'!U44</f>
        <v>0</v>
      </c>
      <c r="L107" s="35">
        <f>'Vitor-Desmob'!AC44</f>
        <v>0</v>
      </c>
      <c r="M107" s="36">
        <f>'Vitor-Desmob'!AK44</f>
        <v>0</v>
      </c>
      <c r="O107" s="38" t="s">
        <v>40</v>
      </c>
      <c r="P107" s="46">
        <f>'Robson-Desmob'!H45</f>
        <v>2886</v>
      </c>
      <c r="Q107" s="43">
        <f t="shared" si="22"/>
        <v>2114</v>
      </c>
      <c r="R107" s="35">
        <f>'Robson-Desmob'!U46</f>
        <v>1483</v>
      </c>
      <c r="S107" s="35">
        <f>'Robson-Desmob'!AE46</f>
        <v>70</v>
      </c>
      <c r="T107" s="36">
        <f>'Robson-Desmob'!AN46</f>
        <v>0</v>
      </c>
      <c r="V107" s="38" t="s">
        <v>40</v>
      </c>
      <c r="W107" s="46">
        <f>'Antonio Flavio-Desmob.'!H43</f>
        <v>2083</v>
      </c>
      <c r="X107" s="43">
        <f t="shared" si="23"/>
        <v>2917</v>
      </c>
      <c r="Y107" s="35">
        <f>'Antonio Flavio-Desmob.'!U44</f>
        <v>1229.5899999999999</v>
      </c>
      <c r="Z107" s="35">
        <f>'Antonio Flavio-Desmob.'!AE44</f>
        <v>0</v>
      </c>
      <c r="AA107" s="36">
        <f>'Antonio Flavio-Desmob.'!AN44</f>
        <v>0</v>
      </c>
    </row>
    <row r="108" spans="1:27" x14ac:dyDescent="0.25">
      <c r="A108" s="38" t="s">
        <v>41</v>
      </c>
      <c r="B108" s="46">
        <f>'Robson.- Desmob'!H47</f>
        <v>0</v>
      </c>
      <c r="C108" s="43">
        <f t="shared" si="20"/>
        <v>5000</v>
      </c>
      <c r="D108" s="35">
        <f>'Robson.- Desmob'!U48</f>
        <v>0</v>
      </c>
      <c r="E108" s="35">
        <f>'Robson.- Desmob'!AE48</f>
        <v>0</v>
      </c>
      <c r="F108" s="36">
        <f>'Robson.- Desmob'!AN48</f>
        <v>0</v>
      </c>
      <c r="H108" s="38" t="s">
        <v>41</v>
      </c>
      <c r="I108" s="46">
        <f>'Vitor-Desmob'!H47</f>
        <v>0</v>
      </c>
      <c r="J108" s="43">
        <f t="shared" si="21"/>
        <v>5000</v>
      </c>
      <c r="K108" s="35">
        <f>'Vitor-Desmob'!U48</f>
        <v>0</v>
      </c>
      <c r="L108" s="35">
        <f>'Vitor-Desmob'!AC48</f>
        <v>0</v>
      </c>
      <c r="M108" s="36">
        <f>'Vitor-Desmob'!AK48</f>
        <v>0</v>
      </c>
      <c r="O108" s="38" t="s">
        <v>41</v>
      </c>
      <c r="P108" s="46">
        <f>'Robson-Desmob'!H49</f>
        <v>1733</v>
      </c>
      <c r="Q108" s="43">
        <f t="shared" si="22"/>
        <v>3267</v>
      </c>
      <c r="R108" s="35">
        <f>'Robson-Desmob'!U50</f>
        <v>419.53</v>
      </c>
      <c r="S108" s="35">
        <f>'Robson-Desmob'!AE50</f>
        <v>0</v>
      </c>
      <c r="T108" s="36">
        <f>'Robson-Desmob'!AN50</f>
        <v>0</v>
      </c>
      <c r="V108" s="38" t="s">
        <v>41</v>
      </c>
      <c r="W108" s="46">
        <f>'Antonio Flavio-Desmob.'!H47</f>
        <v>1739</v>
      </c>
      <c r="X108" s="43">
        <f t="shared" si="23"/>
        <v>3261</v>
      </c>
      <c r="Y108" s="35">
        <f>'Antonio Flavio-Desmob.'!U48</f>
        <v>852.28</v>
      </c>
      <c r="Z108" s="35">
        <f>'Antonio Flavio-Desmob.'!AE48</f>
        <v>210</v>
      </c>
      <c r="AA108" s="36">
        <f>'Antonio Flavio-Desmob.'!AN48</f>
        <v>0</v>
      </c>
    </row>
    <row r="109" spans="1:27" ht="15.75" thickBot="1" x14ac:dyDescent="0.3">
      <c r="A109" s="39" t="s">
        <v>42</v>
      </c>
      <c r="B109" s="47">
        <f>'Robson.- Desmob'!H51</f>
        <v>0</v>
      </c>
      <c r="C109" s="44">
        <f t="shared" si="20"/>
        <v>5000</v>
      </c>
      <c r="D109" s="11">
        <f>'Robson.- Desmob'!U52</f>
        <v>0</v>
      </c>
      <c r="E109" s="11">
        <f>'Robson.- Desmob'!AE52</f>
        <v>0</v>
      </c>
      <c r="F109" s="12">
        <f>'Robson.- Desmob'!AN52</f>
        <v>0</v>
      </c>
      <c r="H109" s="39" t="s">
        <v>42</v>
      </c>
      <c r="I109" s="47">
        <f>'Vitor-Desmob'!H51</f>
        <v>0</v>
      </c>
      <c r="J109" s="44">
        <f t="shared" si="21"/>
        <v>5000</v>
      </c>
      <c r="K109" s="11">
        <f>'Vitor-Desmob'!U52</f>
        <v>0</v>
      </c>
      <c r="L109" s="11">
        <f>'Vitor-Desmob'!AC52</f>
        <v>0</v>
      </c>
      <c r="M109" s="12">
        <f>'Vitor-Desmob'!AK52</f>
        <v>0</v>
      </c>
      <c r="O109" s="39" t="s">
        <v>42</v>
      </c>
      <c r="P109" s="47">
        <f>'Robson-Desmob'!H53</f>
        <v>629</v>
      </c>
      <c r="Q109" s="44">
        <f t="shared" si="22"/>
        <v>4371</v>
      </c>
      <c r="R109" s="11">
        <f>'Robson-Desmob'!U54</f>
        <v>157</v>
      </c>
      <c r="S109" s="11">
        <f>'Robson-Desmob'!AE54</f>
        <v>50</v>
      </c>
      <c r="T109" s="12">
        <f>'Robson-Desmob'!AN54</f>
        <v>0</v>
      </c>
      <c r="V109" s="39" t="s">
        <v>42</v>
      </c>
      <c r="W109" s="47">
        <f>'Antonio Flavio-Desmob.'!H51</f>
        <v>1636</v>
      </c>
      <c r="X109" s="44">
        <f t="shared" si="23"/>
        <v>3364</v>
      </c>
      <c r="Y109" s="11">
        <f>'Antonio Flavio-Desmob.'!U52</f>
        <v>1138.6100000000001</v>
      </c>
      <c r="Z109" s="11">
        <f>'Antonio Flavio-Desmob.'!AE52</f>
        <v>190</v>
      </c>
      <c r="AA109" s="12">
        <f>'Antonio Flavio-Desmob.'!AN52</f>
        <v>0</v>
      </c>
    </row>
    <row r="110" spans="1:27" ht="15.75" thickBot="1" x14ac:dyDescent="0.3"/>
    <row r="111" spans="1:27" ht="15.75" thickBot="1" x14ac:dyDescent="0.3">
      <c r="A111" s="3" t="s">
        <v>23</v>
      </c>
      <c r="B111" s="52">
        <f>SUM(B98:B109)</f>
        <v>3337</v>
      </c>
      <c r="C111" s="51"/>
      <c r="D111" s="50">
        <f>SUM(D98:D109)</f>
        <v>880.16</v>
      </c>
      <c r="E111" s="49">
        <f>SUM(E98:E109)</f>
        <v>210</v>
      </c>
      <c r="F111" s="48">
        <f>SUM(F98:F109)</f>
        <v>0</v>
      </c>
      <c r="H111" s="3" t="s">
        <v>23</v>
      </c>
      <c r="I111" s="52">
        <f>SUM(I98:I109)</f>
        <v>4454</v>
      </c>
      <c r="J111" s="51"/>
      <c r="K111" s="50">
        <f>SUM(K98:K109)</f>
        <v>2191.98</v>
      </c>
      <c r="L111" s="49">
        <f>SUM(L98:L109)</f>
        <v>220</v>
      </c>
      <c r="M111" s="48">
        <f>SUM(M98:M109)</f>
        <v>0</v>
      </c>
      <c r="O111" s="3" t="s">
        <v>23</v>
      </c>
      <c r="P111" s="52">
        <f>SUM(P98:P109)</f>
        <v>9503</v>
      </c>
      <c r="Q111" s="51"/>
      <c r="R111" s="50">
        <f>SUM(R98:R109)</f>
        <v>3643.4700000000003</v>
      </c>
      <c r="S111" s="49">
        <f>SUM(S98:S109)</f>
        <v>120</v>
      </c>
      <c r="T111" s="48">
        <f>SUM(T98:T109)</f>
        <v>0</v>
      </c>
      <c r="V111" s="3" t="s">
        <v>23</v>
      </c>
      <c r="W111" s="52">
        <f>SUM(W98:W109)</f>
        <v>6020</v>
      </c>
      <c r="X111" s="51"/>
      <c r="Y111" s="50">
        <f>SUM(Y98:Y109)</f>
        <v>3462.4900000000002</v>
      </c>
      <c r="Z111" s="49">
        <f>SUM(Z98:Z109)</f>
        <v>400</v>
      </c>
      <c r="AA111" s="48">
        <f>SUM(AA98:AA109)</f>
        <v>0</v>
      </c>
    </row>
    <row r="112" spans="1:27" ht="15.75" thickBot="1" x14ac:dyDescent="0.3">
      <c r="A112" s="3" t="s">
        <v>44</v>
      </c>
      <c r="B112" s="23">
        <f>SUM(60000-B111)</f>
        <v>56663</v>
      </c>
      <c r="H112" s="3" t="s">
        <v>44</v>
      </c>
      <c r="I112" s="23">
        <f>SUM(60000-I111)</f>
        <v>55546</v>
      </c>
      <c r="O112" s="3" t="s">
        <v>44</v>
      </c>
      <c r="P112" s="23">
        <f>SUM(60000-P111)</f>
        <v>50497</v>
      </c>
      <c r="V112" s="3" t="s">
        <v>44</v>
      </c>
      <c r="W112" s="23">
        <f>SUM(60000-W111)</f>
        <v>53980</v>
      </c>
    </row>
    <row r="114" spans="1:27" ht="15.75" thickBot="1" x14ac:dyDescent="0.3">
      <c r="B114" s="106" t="s">
        <v>51</v>
      </c>
      <c r="C114" s="106"/>
      <c r="D114" s="106"/>
      <c r="E114" s="106"/>
      <c r="F114" s="106"/>
      <c r="I114" s="106" t="s">
        <v>50</v>
      </c>
      <c r="J114" s="106"/>
      <c r="K114" s="106"/>
      <c r="L114" s="106"/>
      <c r="M114" s="106"/>
      <c r="P114" s="106" t="s">
        <v>49</v>
      </c>
      <c r="Q114" s="106"/>
      <c r="R114" s="106"/>
      <c r="S114" s="106"/>
      <c r="T114" s="106"/>
      <c r="W114" s="106" t="s">
        <v>48</v>
      </c>
      <c r="X114" s="106"/>
      <c r="Y114" s="106"/>
      <c r="Z114" s="106"/>
      <c r="AA114" s="106"/>
    </row>
    <row r="115" spans="1:27" ht="15.75" thickBot="1" x14ac:dyDescent="0.3">
      <c r="B115" s="22" t="s">
        <v>43</v>
      </c>
      <c r="C115" s="33" t="s">
        <v>30</v>
      </c>
      <c r="D115" s="23" t="s">
        <v>26</v>
      </c>
      <c r="E115" s="23" t="s">
        <v>25</v>
      </c>
      <c r="F115" s="25" t="s">
        <v>27</v>
      </c>
      <c r="I115" s="22" t="s">
        <v>43</v>
      </c>
      <c r="J115" s="33" t="s">
        <v>30</v>
      </c>
      <c r="K115" s="23" t="s">
        <v>26</v>
      </c>
      <c r="L115" s="23" t="s">
        <v>25</v>
      </c>
      <c r="M115" s="25" t="s">
        <v>27</v>
      </c>
      <c r="P115" s="22" t="s">
        <v>43</v>
      </c>
      <c r="Q115" s="33" t="s">
        <v>30</v>
      </c>
      <c r="R115" s="23" t="s">
        <v>26</v>
      </c>
      <c r="S115" s="23" t="s">
        <v>25</v>
      </c>
      <c r="T115" s="25" t="s">
        <v>27</v>
      </c>
      <c r="W115" s="22" t="s">
        <v>43</v>
      </c>
      <c r="X115" s="33" t="s">
        <v>30</v>
      </c>
      <c r="Y115" s="23" t="s">
        <v>26</v>
      </c>
      <c r="Z115" s="23" t="s">
        <v>25</v>
      </c>
      <c r="AA115" s="25" t="s">
        <v>27</v>
      </c>
    </row>
    <row r="116" spans="1:27" x14ac:dyDescent="0.25">
      <c r="A116" s="37" t="s">
        <v>31</v>
      </c>
      <c r="B116" s="58"/>
      <c r="C116" s="59"/>
      <c r="D116" s="60"/>
      <c r="E116" s="60"/>
      <c r="F116" s="61"/>
      <c r="H116" s="37" t="s">
        <v>31</v>
      </c>
      <c r="I116" s="58"/>
      <c r="J116" s="59"/>
      <c r="K116" s="60"/>
      <c r="L116" s="60"/>
      <c r="M116" s="61"/>
      <c r="O116" s="37" t="s">
        <v>31</v>
      </c>
      <c r="P116" s="58"/>
      <c r="Q116" s="59"/>
      <c r="R116" s="60"/>
      <c r="S116" s="60"/>
      <c r="T116" s="61"/>
      <c r="V116" s="37" t="s">
        <v>31</v>
      </c>
      <c r="W116" s="58"/>
      <c r="X116" s="59"/>
      <c r="Y116" s="60"/>
      <c r="Z116" s="60"/>
      <c r="AA116" s="61"/>
    </row>
    <row r="117" spans="1:27" x14ac:dyDescent="0.25">
      <c r="A117" s="38" t="s">
        <v>32</v>
      </c>
      <c r="B117" s="46">
        <f>Leandro!H12</f>
        <v>0</v>
      </c>
      <c r="C117" s="43">
        <f>SUM(5000-B117)</f>
        <v>5000</v>
      </c>
      <c r="D117" s="35">
        <f>Leandro!U13</f>
        <v>0</v>
      </c>
      <c r="E117" s="35">
        <f>Leandro!AC13</f>
        <v>0</v>
      </c>
      <c r="F117" s="36">
        <f>Leandro!AL13</f>
        <v>0</v>
      </c>
      <c r="H117" s="38" t="s">
        <v>32</v>
      </c>
      <c r="I117" s="46">
        <f>Helen!H12</f>
        <v>0</v>
      </c>
      <c r="J117" s="43">
        <f>SUM(5000-I117)</f>
        <v>5000</v>
      </c>
      <c r="K117" s="35">
        <f>Helen!U13</f>
        <v>0</v>
      </c>
      <c r="L117" s="35">
        <f>Helen!AE13</f>
        <v>0</v>
      </c>
      <c r="M117" s="36">
        <f>Helen!AN13</f>
        <v>0</v>
      </c>
      <c r="O117" s="38" t="s">
        <v>32</v>
      </c>
      <c r="P117" s="46">
        <f>CAR_27!H11</f>
        <v>0</v>
      </c>
      <c r="Q117" s="43">
        <f>SUM(5000-P117)</f>
        <v>5000</v>
      </c>
      <c r="R117" s="35">
        <f>CAR_27!U12</f>
        <v>0</v>
      </c>
      <c r="S117" s="35">
        <f>CAR_27!AE12</f>
        <v>0</v>
      </c>
      <c r="T117" s="36">
        <f>CAR_27!AN12</f>
        <v>0</v>
      </c>
      <c r="V117" s="38" t="s">
        <v>32</v>
      </c>
      <c r="W117" s="46">
        <f>CAR_28!H11</f>
        <v>0</v>
      </c>
      <c r="X117" s="43">
        <f>SUM(5000-W117)</f>
        <v>5000</v>
      </c>
      <c r="Y117" s="35">
        <f>CAR_28!U12</f>
        <v>0</v>
      </c>
      <c r="Z117" s="35">
        <f>CAR_28!AE12</f>
        <v>0</v>
      </c>
      <c r="AA117" s="36">
        <f>CAR_28!AN12</f>
        <v>0</v>
      </c>
    </row>
    <row r="118" spans="1:27" x14ac:dyDescent="0.25">
      <c r="A118" s="38" t="s">
        <v>33</v>
      </c>
      <c r="B118" s="46">
        <f>Leandro!H16</f>
        <v>0</v>
      </c>
      <c r="C118" s="43">
        <f t="shared" ref="C118:C127" si="24">SUM(5000-B118)</f>
        <v>5000</v>
      </c>
      <c r="D118" s="35">
        <f>Leandro!U17</f>
        <v>0</v>
      </c>
      <c r="E118" s="35">
        <f>Leandro!AC17</f>
        <v>0</v>
      </c>
      <c r="F118" s="36">
        <f>Leandro!AL17</f>
        <v>0</v>
      </c>
      <c r="H118" s="38" t="s">
        <v>33</v>
      </c>
      <c r="I118" s="46">
        <f>Helen!H16</f>
        <v>0</v>
      </c>
      <c r="J118" s="43">
        <f t="shared" ref="J118:J127" si="25">SUM(5000-I118)</f>
        <v>5000</v>
      </c>
      <c r="K118" s="35">
        <f>Helen!U17</f>
        <v>0</v>
      </c>
      <c r="L118" s="35">
        <f>Helen!AE117</f>
        <v>0</v>
      </c>
      <c r="M118" s="36">
        <f>Helen!AN17</f>
        <v>0</v>
      </c>
      <c r="O118" s="38" t="s">
        <v>33</v>
      </c>
      <c r="P118" s="46">
        <f>CAR_27!H15</f>
        <v>0</v>
      </c>
      <c r="Q118" s="43">
        <f t="shared" ref="Q118:Q127" si="26">SUM(5000-P118)</f>
        <v>5000</v>
      </c>
      <c r="R118" s="35">
        <f>CAR_27!U16</f>
        <v>0</v>
      </c>
      <c r="S118" s="35">
        <f>CAR_27!AE16</f>
        <v>0</v>
      </c>
      <c r="T118" s="36">
        <f>CAR_27!AN16</f>
        <v>0</v>
      </c>
      <c r="V118" s="38" t="s">
        <v>33</v>
      </c>
      <c r="W118" s="46">
        <f>CAR_28!H15</f>
        <v>0</v>
      </c>
      <c r="X118" s="43">
        <f t="shared" ref="X118:X127" si="27">SUM(5000-W118)</f>
        <v>5000</v>
      </c>
      <c r="Y118" s="35">
        <f>CAR_28!U16</f>
        <v>0</v>
      </c>
      <c r="Z118" s="35">
        <f>CAR_28!AE6</f>
        <v>0</v>
      </c>
      <c r="AA118" s="36">
        <f>CAR_28!AN16</f>
        <v>0</v>
      </c>
    </row>
    <row r="119" spans="1:27" x14ac:dyDescent="0.25">
      <c r="A119" s="38" t="s">
        <v>34</v>
      </c>
      <c r="B119" s="46">
        <f>Leandro!H20</f>
        <v>1418</v>
      </c>
      <c r="C119" s="43">
        <f t="shared" si="24"/>
        <v>3582</v>
      </c>
      <c r="D119" s="35">
        <f>Leandro!U21</f>
        <v>0</v>
      </c>
      <c r="E119" s="35">
        <f>Leandro!AC21</f>
        <v>0</v>
      </c>
      <c r="F119" s="36">
        <f>Leandro!AL21</f>
        <v>0</v>
      </c>
      <c r="H119" s="38" t="s">
        <v>34</v>
      </c>
      <c r="I119" s="46">
        <f>Helen!H20</f>
        <v>0</v>
      </c>
      <c r="J119" s="43">
        <f t="shared" si="25"/>
        <v>5000</v>
      </c>
      <c r="K119" s="35">
        <f>Helen!U21</f>
        <v>0</v>
      </c>
      <c r="L119" s="35">
        <f>Helen!AE21</f>
        <v>0</v>
      </c>
      <c r="M119" s="36">
        <f>Helen!AN21</f>
        <v>0</v>
      </c>
      <c r="O119" s="38" t="s">
        <v>34</v>
      </c>
      <c r="P119" s="46">
        <f>CAR_27!H19</f>
        <v>0</v>
      </c>
      <c r="Q119" s="43">
        <f t="shared" si="26"/>
        <v>5000</v>
      </c>
      <c r="R119" s="35">
        <f>CAR_27!U20</f>
        <v>0</v>
      </c>
      <c r="S119" s="35">
        <f>CAR_27!AE20</f>
        <v>0</v>
      </c>
      <c r="T119" s="36">
        <f>CAR_27!AN20</f>
        <v>0</v>
      </c>
      <c r="V119" s="38" t="s">
        <v>34</v>
      </c>
      <c r="W119" s="46">
        <f>CAR_28!H19</f>
        <v>0</v>
      </c>
      <c r="X119" s="43">
        <f t="shared" si="27"/>
        <v>5000</v>
      </c>
      <c r="Y119" s="35">
        <f>CAR_28!U20</f>
        <v>0</v>
      </c>
      <c r="Z119" s="35">
        <f>CAR_28!AE20</f>
        <v>0</v>
      </c>
      <c r="AA119" s="36">
        <f>CAR_28!AN20</f>
        <v>0</v>
      </c>
    </row>
    <row r="120" spans="1:27" x14ac:dyDescent="0.25">
      <c r="A120" s="38" t="s">
        <v>35</v>
      </c>
      <c r="B120" s="46">
        <f>Leandro!H24</f>
        <v>3295</v>
      </c>
      <c r="C120" s="43">
        <f t="shared" si="24"/>
        <v>1705</v>
      </c>
      <c r="D120" s="35">
        <f>Leandro!U25</f>
        <v>0</v>
      </c>
      <c r="E120" s="35">
        <f>Leandro!AC25</f>
        <v>0</v>
      </c>
      <c r="F120" s="36">
        <f>Leandro!AL25</f>
        <v>0</v>
      </c>
      <c r="H120" s="38" t="s">
        <v>35</v>
      </c>
      <c r="I120" s="46">
        <f>Helen!H24</f>
        <v>0</v>
      </c>
      <c r="J120" s="43">
        <f t="shared" si="25"/>
        <v>5000</v>
      </c>
      <c r="K120" s="35">
        <f>Helen!U25</f>
        <v>0</v>
      </c>
      <c r="L120" s="35">
        <f>Helen!AE25</f>
        <v>0</v>
      </c>
      <c r="M120" s="36">
        <f>Helen!AN25</f>
        <v>0</v>
      </c>
      <c r="O120" s="38" t="s">
        <v>35</v>
      </c>
      <c r="P120" s="46">
        <f>CAR_27!H23</f>
        <v>0</v>
      </c>
      <c r="Q120" s="43">
        <f t="shared" si="26"/>
        <v>5000</v>
      </c>
      <c r="R120" s="35">
        <f>CAR_27!U24</f>
        <v>0</v>
      </c>
      <c r="S120" s="35">
        <f>CAR_27!AE24</f>
        <v>0</v>
      </c>
      <c r="T120" s="36">
        <f>CAR_27!AN24</f>
        <v>0</v>
      </c>
      <c r="V120" s="38" t="s">
        <v>35</v>
      </c>
      <c r="W120" s="46">
        <f>CAR_28!H23</f>
        <v>0</v>
      </c>
      <c r="X120" s="43">
        <f t="shared" si="27"/>
        <v>5000</v>
      </c>
      <c r="Y120" s="35">
        <f>CAR_28!U24</f>
        <v>0</v>
      </c>
      <c r="Z120" s="35">
        <f>CAR_28!AE24</f>
        <v>0</v>
      </c>
      <c r="AA120" s="36">
        <f>CAR_28!AN24</f>
        <v>0</v>
      </c>
    </row>
    <row r="121" spans="1:27" x14ac:dyDescent="0.25">
      <c r="A121" s="38" t="s">
        <v>36</v>
      </c>
      <c r="B121" s="46">
        <f>Leandro!H28</f>
        <v>0</v>
      </c>
      <c r="C121" s="43">
        <f t="shared" si="24"/>
        <v>5000</v>
      </c>
      <c r="D121" s="35">
        <f>Leandro!U29</f>
        <v>0</v>
      </c>
      <c r="E121" s="35">
        <f>Leandro!AC29</f>
        <v>0</v>
      </c>
      <c r="F121" s="36">
        <f>Leandro!AL29</f>
        <v>0</v>
      </c>
      <c r="H121" s="38" t="s">
        <v>36</v>
      </c>
      <c r="I121" s="46">
        <f>Helen!H28</f>
        <v>-20</v>
      </c>
      <c r="J121" s="43">
        <f t="shared" si="25"/>
        <v>5020</v>
      </c>
      <c r="K121" s="35">
        <f>Helen!U29</f>
        <v>0</v>
      </c>
      <c r="L121" s="35">
        <f>Helen!AE29</f>
        <v>0</v>
      </c>
      <c r="M121" s="36">
        <f>Helen!AN29</f>
        <v>0</v>
      </c>
      <c r="O121" s="38" t="s">
        <v>36</v>
      </c>
      <c r="P121" s="46">
        <f>CAR_27!H27</f>
        <v>0</v>
      </c>
      <c r="Q121" s="43">
        <f t="shared" si="26"/>
        <v>5000</v>
      </c>
      <c r="R121" s="35">
        <f>CAR_27!U28</f>
        <v>0</v>
      </c>
      <c r="S121" s="35">
        <f>CAR_27!AE28</f>
        <v>0</v>
      </c>
      <c r="T121" s="36">
        <f>CAR_27!AN28</f>
        <v>0</v>
      </c>
      <c r="V121" s="38" t="s">
        <v>36</v>
      </c>
      <c r="W121" s="46">
        <f>CAR_28!H27</f>
        <v>0</v>
      </c>
      <c r="X121" s="43">
        <f t="shared" si="27"/>
        <v>5000</v>
      </c>
      <c r="Y121" s="35">
        <f>CAR_28!U28</f>
        <v>0</v>
      </c>
      <c r="Z121" s="35">
        <f>CAR_28!AE28</f>
        <v>0</v>
      </c>
      <c r="AA121" s="36">
        <f>CAR_28!AN28</f>
        <v>0</v>
      </c>
    </row>
    <row r="122" spans="1:27" x14ac:dyDescent="0.25">
      <c r="A122" s="38" t="s">
        <v>37</v>
      </c>
      <c r="B122" s="46">
        <f>Leandro!H32</f>
        <v>0</v>
      </c>
      <c r="C122" s="43">
        <f t="shared" si="24"/>
        <v>5000</v>
      </c>
      <c r="D122" s="35">
        <f>Leandro!U33</f>
        <v>0</v>
      </c>
      <c r="E122" s="35">
        <f>Leandro!AC323</f>
        <v>0</v>
      </c>
      <c r="F122" s="36">
        <f>Leandro!AL33</f>
        <v>0</v>
      </c>
      <c r="H122" s="38" t="s">
        <v>37</v>
      </c>
      <c r="I122" s="46">
        <f>Helen!H32</f>
        <v>0</v>
      </c>
      <c r="J122" s="43">
        <f t="shared" si="25"/>
        <v>5000</v>
      </c>
      <c r="K122" s="35">
        <f>Helen!U33</f>
        <v>0</v>
      </c>
      <c r="L122" s="35">
        <f>Helen!AE33</f>
        <v>0</v>
      </c>
      <c r="M122" s="36">
        <f>Helen!AN33</f>
        <v>0</v>
      </c>
      <c r="O122" s="38" t="s">
        <v>37</v>
      </c>
      <c r="P122" s="46">
        <f>CAR_27!H31</f>
        <v>0</v>
      </c>
      <c r="Q122" s="43">
        <f t="shared" si="26"/>
        <v>5000</v>
      </c>
      <c r="R122" s="35">
        <f>CAR_27!U32</f>
        <v>0</v>
      </c>
      <c r="S122" s="35">
        <f>CAR_27!AE32</f>
        <v>0</v>
      </c>
      <c r="T122" s="36">
        <f>CAR_27!AN32</f>
        <v>0</v>
      </c>
      <c r="V122" s="38" t="s">
        <v>37</v>
      </c>
      <c r="W122" s="46">
        <f>CAR_28!H31</f>
        <v>0</v>
      </c>
      <c r="X122" s="43">
        <f t="shared" si="27"/>
        <v>5000</v>
      </c>
      <c r="Y122" s="35">
        <f>CAR_28!U32</f>
        <v>0</v>
      </c>
      <c r="Z122" s="35">
        <f>CAR_28!AE32</f>
        <v>0</v>
      </c>
      <c r="AA122" s="36">
        <f>CAR_28!AN32</f>
        <v>0</v>
      </c>
    </row>
    <row r="123" spans="1:27" x14ac:dyDescent="0.25">
      <c r="A123" s="38" t="s">
        <v>38</v>
      </c>
      <c r="B123" s="46">
        <f>Leandro!H36</f>
        <v>0</v>
      </c>
      <c r="C123" s="43">
        <f t="shared" si="24"/>
        <v>5000</v>
      </c>
      <c r="D123" s="35">
        <f>Leandro!U37</f>
        <v>0</v>
      </c>
      <c r="E123" s="35">
        <f>Leandro!AC37</f>
        <v>0</v>
      </c>
      <c r="F123" s="36">
        <f>Leandro!AL37</f>
        <v>0</v>
      </c>
      <c r="H123" s="38" t="s">
        <v>38</v>
      </c>
      <c r="I123" s="46">
        <f>Helen!H36</f>
        <v>0</v>
      </c>
      <c r="J123" s="43">
        <f t="shared" si="25"/>
        <v>5000</v>
      </c>
      <c r="K123" s="35">
        <f>Helen!U37</f>
        <v>0</v>
      </c>
      <c r="L123" s="35">
        <f>Helen!AE37</f>
        <v>0</v>
      </c>
      <c r="M123" s="36">
        <f>Helen!AN37</f>
        <v>0</v>
      </c>
      <c r="O123" s="38" t="s">
        <v>38</v>
      </c>
      <c r="P123" s="46">
        <f>CAR_27!H35</f>
        <v>0</v>
      </c>
      <c r="Q123" s="43">
        <f t="shared" si="26"/>
        <v>5000</v>
      </c>
      <c r="R123" s="35">
        <f>CAR_27!U36</f>
        <v>0</v>
      </c>
      <c r="S123" s="35">
        <f>CAR_27!AE36</f>
        <v>0</v>
      </c>
      <c r="T123" s="36">
        <f>CAR_27!AN36</f>
        <v>0</v>
      </c>
      <c r="V123" s="38" t="s">
        <v>38</v>
      </c>
      <c r="W123" s="46">
        <f>CAR_28!H35</f>
        <v>0</v>
      </c>
      <c r="X123" s="43">
        <f t="shared" si="27"/>
        <v>5000</v>
      </c>
      <c r="Y123" s="35">
        <f>CAR_28!U36</f>
        <v>0</v>
      </c>
      <c r="Z123" s="35">
        <f>CAR_28!AE36</f>
        <v>0</v>
      </c>
      <c r="AA123" s="36">
        <f>CAR_28!AN36</f>
        <v>0</v>
      </c>
    </row>
    <row r="124" spans="1:27" x14ac:dyDescent="0.25">
      <c r="A124" s="38" t="s">
        <v>39</v>
      </c>
      <c r="B124" s="46">
        <f>Leandro!H40</f>
        <v>0</v>
      </c>
      <c r="C124" s="43">
        <f t="shared" si="24"/>
        <v>5000</v>
      </c>
      <c r="D124" s="35">
        <f>Leandro!U41</f>
        <v>0</v>
      </c>
      <c r="E124" s="35">
        <f>Leandro!AC401</f>
        <v>0</v>
      </c>
      <c r="F124" s="36">
        <f>Leandro!AL41</f>
        <v>0</v>
      </c>
      <c r="H124" s="38" t="s">
        <v>39</v>
      </c>
      <c r="I124" s="46">
        <f>Helen!H40</f>
        <v>0</v>
      </c>
      <c r="J124" s="43">
        <f t="shared" si="25"/>
        <v>5000</v>
      </c>
      <c r="K124" s="35">
        <f>Helen!U41</f>
        <v>0</v>
      </c>
      <c r="L124" s="35">
        <f>Helen!AE41</f>
        <v>0</v>
      </c>
      <c r="M124" s="36">
        <f>Helen!AN41</f>
        <v>0</v>
      </c>
      <c r="O124" s="38" t="s">
        <v>39</v>
      </c>
      <c r="P124" s="46">
        <f>CAR_27!H39</f>
        <v>0</v>
      </c>
      <c r="Q124" s="43">
        <f t="shared" si="26"/>
        <v>5000</v>
      </c>
      <c r="R124" s="35">
        <f>CAR_27!U40</f>
        <v>0</v>
      </c>
      <c r="S124" s="35">
        <f>CAR_27!AE40</f>
        <v>0</v>
      </c>
      <c r="T124" s="36">
        <f>CAR_27!AN40</f>
        <v>0</v>
      </c>
      <c r="V124" s="38" t="s">
        <v>39</v>
      </c>
      <c r="W124" s="46">
        <f>CAR_28!H39</f>
        <v>0</v>
      </c>
      <c r="X124" s="43">
        <f t="shared" si="27"/>
        <v>5000</v>
      </c>
      <c r="Y124" s="35">
        <f>CAR_28!U40</f>
        <v>0</v>
      </c>
      <c r="Z124" s="35">
        <f>CAR_28!AE40</f>
        <v>0</v>
      </c>
      <c r="AA124" s="36">
        <f>CAR_28!AN40</f>
        <v>0</v>
      </c>
    </row>
    <row r="125" spans="1:27" x14ac:dyDescent="0.25">
      <c r="A125" s="38" t="s">
        <v>40</v>
      </c>
      <c r="B125" s="46">
        <f>Leandro!H44</f>
        <v>0</v>
      </c>
      <c r="C125" s="43">
        <f t="shared" si="24"/>
        <v>5000</v>
      </c>
      <c r="D125" s="35">
        <f>Leandro!U45</f>
        <v>0</v>
      </c>
      <c r="E125" s="35">
        <f>Leandro!AC45</f>
        <v>0</v>
      </c>
      <c r="F125" s="36">
        <f>Leandro!AL45</f>
        <v>0</v>
      </c>
      <c r="H125" s="38" t="s">
        <v>40</v>
      </c>
      <c r="I125" s="46">
        <f>Helen!H44</f>
        <v>0</v>
      </c>
      <c r="J125" s="43">
        <f t="shared" si="25"/>
        <v>5000</v>
      </c>
      <c r="K125" s="35">
        <f>Helen!U45</f>
        <v>0</v>
      </c>
      <c r="L125" s="35">
        <f>Helen!AE45</f>
        <v>0</v>
      </c>
      <c r="M125" s="36">
        <f>Helen!AN45</f>
        <v>0</v>
      </c>
      <c r="O125" s="38" t="s">
        <v>40</v>
      </c>
      <c r="P125" s="46">
        <f>CAR_27!H43</f>
        <v>0</v>
      </c>
      <c r="Q125" s="43">
        <f t="shared" si="26"/>
        <v>5000</v>
      </c>
      <c r="R125" s="35">
        <f>CAR_27!U44</f>
        <v>0</v>
      </c>
      <c r="S125" s="35">
        <f>CAR_27!AE44</f>
        <v>0</v>
      </c>
      <c r="T125" s="36">
        <f>CAR_27!AN44</f>
        <v>0</v>
      </c>
      <c r="V125" s="38" t="s">
        <v>40</v>
      </c>
      <c r="W125" s="46">
        <f>CAR_28!H43</f>
        <v>0</v>
      </c>
      <c r="X125" s="43">
        <f t="shared" si="27"/>
        <v>5000</v>
      </c>
      <c r="Y125" s="35">
        <f>CAR_28!U44</f>
        <v>0</v>
      </c>
      <c r="Z125" s="35">
        <f>CAR_28!AE44</f>
        <v>0</v>
      </c>
      <c r="AA125" s="36">
        <f>CAR_28!AN44</f>
        <v>0</v>
      </c>
    </row>
    <row r="126" spans="1:27" x14ac:dyDescent="0.25">
      <c r="A126" s="38" t="s">
        <v>41</v>
      </c>
      <c r="B126" s="46">
        <f>Leandro!H48</f>
        <v>0</v>
      </c>
      <c r="C126" s="43">
        <f t="shared" si="24"/>
        <v>5000</v>
      </c>
      <c r="D126" s="35">
        <f>Leandro!U49</f>
        <v>0</v>
      </c>
      <c r="E126" s="35">
        <f>Leandro!AC49</f>
        <v>0</v>
      </c>
      <c r="F126" s="36">
        <f>Leandro!AL49</f>
        <v>0</v>
      </c>
      <c r="H126" s="38" t="s">
        <v>41</v>
      </c>
      <c r="I126" s="46">
        <f>Helen!H48</f>
        <v>0</v>
      </c>
      <c r="J126" s="43">
        <f t="shared" si="25"/>
        <v>5000</v>
      </c>
      <c r="K126" s="35">
        <f>Helen!U49</f>
        <v>0</v>
      </c>
      <c r="L126" s="35">
        <f>Helen!AE49</f>
        <v>0</v>
      </c>
      <c r="M126" s="36">
        <f>Helen!AN49</f>
        <v>0</v>
      </c>
      <c r="O126" s="38" t="s">
        <v>41</v>
      </c>
      <c r="P126" s="46">
        <f>CAR_27!H47</f>
        <v>0</v>
      </c>
      <c r="Q126" s="43">
        <f t="shared" si="26"/>
        <v>5000</v>
      </c>
      <c r="R126" s="35">
        <f>CAR_27!U48</f>
        <v>0</v>
      </c>
      <c r="S126" s="35">
        <f>CAR_27!AE48</f>
        <v>0</v>
      </c>
      <c r="T126" s="36">
        <f>CAR_27!AN48</f>
        <v>0</v>
      </c>
      <c r="V126" s="38" t="s">
        <v>41</v>
      </c>
      <c r="W126" s="46">
        <f>CAR_28!H47</f>
        <v>0</v>
      </c>
      <c r="X126" s="43">
        <f t="shared" si="27"/>
        <v>5000</v>
      </c>
      <c r="Y126" s="35">
        <f>CAR_28!U48</f>
        <v>0</v>
      </c>
      <c r="Z126" s="35">
        <f>CAR_28!AE48</f>
        <v>0</v>
      </c>
      <c r="AA126" s="36">
        <f>CAR_28!AN48</f>
        <v>0</v>
      </c>
    </row>
    <row r="127" spans="1:27" ht="15.75" thickBot="1" x14ac:dyDescent="0.3">
      <c r="A127" s="39" t="s">
        <v>42</v>
      </c>
      <c r="B127" s="47">
        <f>Leandro!H52</f>
        <v>0</v>
      </c>
      <c r="C127" s="44">
        <f t="shared" si="24"/>
        <v>5000</v>
      </c>
      <c r="D127" s="11">
        <f>Leandro!U53</f>
        <v>0</v>
      </c>
      <c r="E127" s="11">
        <f>Leandro!AC53</f>
        <v>0</v>
      </c>
      <c r="F127" s="12">
        <f>Leandro!AL53</f>
        <v>0</v>
      </c>
      <c r="H127" s="39" t="s">
        <v>42</v>
      </c>
      <c r="I127" s="47">
        <f>Helen!H52</f>
        <v>0</v>
      </c>
      <c r="J127" s="44">
        <f t="shared" si="25"/>
        <v>5000</v>
      </c>
      <c r="K127" s="11">
        <f>Helen!U53</f>
        <v>0</v>
      </c>
      <c r="L127" s="11">
        <f>Helen!AE53</f>
        <v>0</v>
      </c>
      <c r="M127" s="12">
        <f>Helen!AN53</f>
        <v>0</v>
      </c>
      <c r="O127" s="39" t="s">
        <v>42</v>
      </c>
      <c r="P127" s="47">
        <f>CAR_27!H51</f>
        <v>0</v>
      </c>
      <c r="Q127" s="44">
        <f t="shared" si="26"/>
        <v>5000</v>
      </c>
      <c r="R127" s="11">
        <f>CAR_27!U52</f>
        <v>0</v>
      </c>
      <c r="S127" s="11">
        <f>CAR_27!AE52</f>
        <v>0</v>
      </c>
      <c r="T127" s="12">
        <f>CAR_27!AN52</f>
        <v>0</v>
      </c>
      <c r="V127" s="39" t="s">
        <v>42</v>
      </c>
      <c r="W127" s="47">
        <f>CAR_28!H51</f>
        <v>0</v>
      </c>
      <c r="X127" s="44">
        <f t="shared" si="27"/>
        <v>5000</v>
      </c>
      <c r="Y127" s="11">
        <f>CAR_28!U52</f>
        <v>0</v>
      </c>
      <c r="Z127" s="11">
        <f>CAR_28!AE52</f>
        <v>0</v>
      </c>
      <c r="AA127" s="12">
        <f>CAR_28!AN52</f>
        <v>0</v>
      </c>
    </row>
    <row r="128" spans="1:27" ht="15.75" thickBot="1" x14ac:dyDescent="0.3"/>
    <row r="129" spans="1:27" ht="15.75" thickBot="1" x14ac:dyDescent="0.3">
      <c r="A129" s="3" t="s">
        <v>23</v>
      </c>
      <c r="B129" s="52">
        <f>SUM(B116:B127)</f>
        <v>4713</v>
      </c>
      <c r="C129" s="51"/>
      <c r="D129" s="50">
        <f>SUM(D116:D127)</f>
        <v>0</v>
      </c>
      <c r="E129" s="49">
        <f>SUM(E116:E127)</f>
        <v>0</v>
      </c>
      <c r="F129" s="48">
        <f>SUM(F116:F127)</f>
        <v>0</v>
      </c>
      <c r="H129" s="3" t="s">
        <v>23</v>
      </c>
      <c r="I129" s="52">
        <f>SUM(I116:I127)</f>
        <v>-20</v>
      </c>
      <c r="J129" s="51"/>
      <c r="K129" s="50">
        <f>SUM(K116:K127)</f>
        <v>0</v>
      </c>
      <c r="L129" s="49">
        <f>SUM(L116:L127)</f>
        <v>0</v>
      </c>
      <c r="M129" s="48">
        <f>SUM(M116:M127)</f>
        <v>0</v>
      </c>
      <c r="O129" s="3" t="s">
        <v>23</v>
      </c>
      <c r="P129" s="52">
        <f>SUM(P116:P127)</f>
        <v>0</v>
      </c>
      <c r="Q129" s="51"/>
      <c r="R129" s="50">
        <f>SUM(R116:R127)</f>
        <v>0</v>
      </c>
      <c r="S129" s="49">
        <f>SUM(S116:S127)</f>
        <v>0</v>
      </c>
      <c r="T129" s="48">
        <f>SUM(T116:T127)</f>
        <v>0</v>
      </c>
      <c r="V129" s="3" t="s">
        <v>23</v>
      </c>
      <c r="W129" s="52">
        <f>SUM(W116:W127)</f>
        <v>0</v>
      </c>
      <c r="X129" s="51"/>
      <c r="Y129" s="50">
        <f>SUM(Y116:Y127)</f>
        <v>0</v>
      </c>
      <c r="Z129" s="49">
        <f>SUM(Z116:Z127)</f>
        <v>0</v>
      </c>
      <c r="AA129" s="48">
        <f>SUM(AA116:AA127)</f>
        <v>0</v>
      </c>
    </row>
    <row r="130" spans="1:27" ht="15.75" thickBot="1" x14ac:dyDescent="0.3">
      <c r="A130" s="3" t="s">
        <v>44</v>
      </c>
      <c r="B130" s="23">
        <f>SUM(60000-B129)</f>
        <v>55287</v>
      </c>
      <c r="H130" s="3" t="s">
        <v>44</v>
      </c>
      <c r="I130" s="23">
        <f>SUM(60000-I129)</f>
        <v>60020</v>
      </c>
      <c r="O130" s="3" t="s">
        <v>44</v>
      </c>
      <c r="P130" s="23">
        <f>SUM(60000-P129)</f>
        <v>60000</v>
      </c>
      <c r="V130" s="3" t="s">
        <v>44</v>
      </c>
      <c r="W130" s="23">
        <f>SUM(60000-W129)</f>
        <v>60000</v>
      </c>
    </row>
    <row r="132" spans="1:27" ht="15.75" thickBot="1" x14ac:dyDescent="0.3">
      <c r="B132" s="106" t="s">
        <v>47</v>
      </c>
      <c r="C132" s="106"/>
      <c r="D132" s="106"/>
      <c r="E132" s="106"/>
      <c r="F132" s="106"/>
      <c r="I132" s="106" t="s">
        <v>46</v>
      </c>
      <c r="J132" s="106"/>
      <c r="K132" s="106"/>
      <c r="L132" s="106"/>
      <c r="M132" s="106"/>
    </row>
    <row r="133" spans="1:27" ht="15.75" thickBot="1" x14ac:dyDescent="0.3">
      <c r="B133" s="22" t="s">
        <v>43</v>
      </c>
      <c r="C133" s="33" t="s">
        <v>30</v>
      </c>
      <c r="D133" s="23" t="s">
        <v>26</v>
      </c>
      <c r="E133" s="23" t="s">
        <v>25</v>
      </c>
      <c r="F133" s="25" t="s">
        <v>27</v>
      </c>
      <c r="I133" s="22" t="s">
        <v>43</v>
      </c>
      <c r="J133" s="33" t="s">
        <v>30</v>
      </c>
      <c r="K133" s="23" t="s">
        <v>26</v>
      </c>
      <c r="L133" s="23" t="s">
        <v>25</v>
      </c>
      <c r="M133" s="25" t="s">
        <v>27</v>
      </c>
    </row>
    <row r="134" spans="1:27" x14ac:dyDescent="0.25">
      <c r="A134" s="37" t="s">
        <v>31</v>
      </c>
      <c r="B134" s="45"/>
      <c r="C134" s="42"/>
      <c r="D134" s="40"/>
      <c r="E134" s="40"/>
      <c r="F134" s="41"/>
      <c r="H134" s="37" t="s">
        <v>31</v>
      </c>
      <c r="I134" s="58"/>
      <c r="J134" s="59"/>
      <c r="K134" s="60"/>
      <c r="L134" s="60"/>
      <c r="M134" s="61"/>
    </row>
    <row r="135" spans="1:27" x14ac:dyDescent="0.25">
      <c r="A135" s="38" t="s">
        <v>32</v>
      </c>
      <c r="B135" s="46">
        <f>CAR_29!H11</f>
        <v>0</v>
      </c>
      <c r="C135" s="43">
        <f>SUM(5000-B135)</f>
        <v>5000</v>
      </c>
      <c r="D135" s="35">
        <f>CAR_29!U12</f>
        <v>0</v>
      </c>
      <c r="E135" s="35">
        <f>CAR_29!AE12</f>
        <v>0</v>
      </c>
      <c r="F135" s="36">
        <f>CAR_29!AN12</f>
        <v>0</v>
      </c>
      <c r="H135" s="38" t="s">
        <v>32</v>
      </c>
      <c r="I135" s="46">
        <f>CAR_30!H11</f>
        <v>0</v>
      </c>
      <c r="J135" s="43">
        <f>SUM(5000-I135)</f>
        <v>5000</v>
      </c>
      <c r="K135" s="35">
        <f>CAR_30!U12</f>
        <v>0</v>
      </c>
      <c r="L135" s="35">
        <f>CAR_30!AE12</f>
        <v>0</v>
      </c>
      <c r="M135" s="36">
        <f>CAR_30!AN12</f>
        <v>0</v>
      </c>
    </row>
    <row r="136" spans="1:27" x14ac:dyDescent="0.25">
      <c r="A136" s="38" t="s">
        <v>33</v>
      </c>
      <c r="B136" s="46">
        <f>CAR_29!H15</f>
        <v>0</v>
      </c>
      <c r="C136" s="43">
        <f t="shared" ref="C136:C145" si="28">SUM(5000-B136)</f>
        <v>5000</v>
      </c>
      <c r="D136" s="35">
        <f>CAR_29!U16</f>
        <v>0</v>
      </c>
      <c r="E136" s="35">
        <f>CAR_29!AE16</f>
        <v>0</v>
      </c>
      <c r="F136" s="36">
        <f>CAR_29!AN16</f>
        <v>0</v>
      </c>
      <c r="H136" s="38" t="s">
        <v>33</v>
      </c>
      <c r="I136" s="46">
        <f>CAR_30!H15</f>
        <v>0</v>
      </c>
      <c r="J136" s="43">
        <f t="shared" ref="J136:J145" si="29">SUM(5000-I136)</f>
        <v>5000</v>
      </c>
      <c r="K136" s="35">
        <f>CAR_30!U16</f>
        <v>0</v>
      </c>
      <c r="L136" s="35">
        <f>CAR_30!AE16</f>
        <v>0</v>
      </c>
      <c r="M136" s="36">
        <f>CAR_30!AN16</f>
        <v>0</v>
      </c>
    </row>
    <row r="137" spans="1:27" x14ac:dyDescent="0.25">
      <c r="A137" s="38" t="s">
        <v>34</v>
      </c>
      <c r="B137" s="46">
        <f>CAR_29!H19</f>
        <v>0</v>
      </c>
      <c r="C137" s="43">
        <f t="shared" si="28"/>
        <v>5000</v>
      </c>
      <c r="D137" s="35">
        <f>CAR_29!U20</f>
        <v>0</v>
      </c>
      <c r="E137" s="35">
        <f>CAR_29!AE20</f>
        <v>0</v>
      </c>
      <c r="F137" s="36">
        <f>CAR_29!AN20</f>
        <v>0</v>
      </c>
      <c r="H137" s="38" t="s">
        <v>34</v>
      </c>
      <c r="I137" s="46">
        <f>CAR_30!H19</f>
        <v>0</v>
      </c>
      <c r="J137" s="43">
        <f t="shared" si="29"/>
        <v>5000</v>
      </c>
      <c r="K137" s="35">
        <f>CAR_30!U20</f>
        <v>0</v>
      </c>
      <c r="L137" s="35">
        <f>CAR_30!AE20</f>
        <v>0</v>
      </c>
      <c r="M137" s="36">
        <f>CAR_30!AN20</f>
        <v>0</v>
      </c>
    </row>
    <row r="138" spans="1:27" x14ac:dyDescent="0.25">
      <c r="A138" s="38" t="s">
        <v>35</v>
      </c>
      <c r="B138" s="46">
        <f>CAR_29!H23</f>
        <v>0</v>
      </c>
      <c r="C138" s="43">
        <f t="shared" si="28"/>
        <v>5000</v>
      </c>
      <c r="D138" s="35">
        <f>CAR_29!U24</f>
        <v>0</v>
      </c>
      <c r="E138" s="35">
        <f>CAR_29!AE24</f>
        <v>0</v>
      </c>
      <c r="F138" s="36">
        <f>CAR_29!AN24</f>
        <v>0</v>
      </c>
      <c r="H138" s="38" t="s">
        <v>35</v>
      </c>
      <c r="I138" s="46">
        <f>CAR_30!H23</f>
        <v>0</v>
      </c>
      <c r="J138" s="43">
        <f t="shared" si="29"/>
        <v>5000</v>
      </c>
      <c r="K138" s="35">
        <f>CAR_30!U24</f>
        <v>0</v>
      </c>
      <c r="L138" s="35">
        <f>CAR_30!AE24</f>
        <v>0</v>
      </c>
      <c r="M138" s="36">
        <f>CAR_30!AN24</f>
        <v>0</v>
      </c>
    </row>
    <row r="139" spans="1:27" x14ac:dyDescent="0.25">
      <c r="A139" s="38" t="s">
        <v>36</v>
      </c>
      <c r="B139" s="46">
        <f>CAR_29!H27</f>
        <v>0</v>
      </c>
      <c r="C139" s="43">
        <f t="shared" si="28"/>
        <v>5000</v>
      </c>
      <c r="D139" s="35">
        <f>CAR_29!U28</f>
        <v>0</v>
      </c>
      <c r="E139" s="35">
        <f>CAR_29!AE28</f>
        <v>0</v>
      </c>
      <c r="F139" s="36">
        <f>CAR_29!AN28</f>
        <v>0</v>
      </c>
      <c r="H139" s="38" t="s">
        <v>36</v>
      </c>
      <c r="I139" s="46">
        <f>CAR_30!H27</f>
        <v>0</v>
      </c>
      <c r="J139" s="43">
        <f t="shared" si="29"/>
        <v>5000</v>
      </c>
      <c r="K139" s="35">
        <f>CAR_30!U28</f>
        <v>0</v>
      </c>
      <c r="L139" s="35">
        <f>CAR_30!AE28</f>
        <v>0</v>
      </c>
      <c r="M139" s="36">
        <f>CAR_30!AN28</f>
        <v>0</v>
      </c>
    </row>
    <row r="140" spans="1:27" x14ac:dyDescent="0.25">
      <c r="A140" s="38" t="s">
        <v>37</v>
      </c>
      <c r="B140" s="46">
        <f>CAR_29!H31</f>
        <v>0</v>
      </c>
      <c r="C140" s="43">
        <f t="shared" si="28"/>
        <v>5000</v>
      </c>
      <c r="D140" s="35">
        <f>CAR_29!U32</f>
        <v>0</v>
      </c>
      <c r="E140" s="35">
        <f>CAR_29!AE32</f>
        <v>0</v>
      </c>
      <c r="F140" s="36">
        <f>CAR_29!AN32</f>
        <v>0</v>
      </c>
      <c r="H140" s="38" t="s">
        <v>37</v>
      </c>
      <c r="I140" s="46">
        <f>CAR_30!H31</f>
        <v>0</v>
      </c>
      <c r="J140" s="43">
        <f t="shared" si="29"/>
        <v>5000</v>
      </c>
      <c r="K140" s="35">
        <f>CAR_30!U32</f>
        <v>0</v>
      </c>
      <c r="L140" s="35">
        <f>CAR_30!AE32</f>
        <v>0</v>
      </c>
      <c r="M140" s="36">
        <f>CAR_30!AN32</f>
        <v>0</v>
      </c>
    </row>
    <row r="141" spans="1:27" x14ac:dyDescent="0.25">
      <c r="A141" s="38" t="s">
        <v>38</v>
      </c>
      <c r="B141" s="46">
        <f>CAR_29!H35</f>
        <v>0</v>
      </c>
      <c r="C141" s="43">
        <f t="shared" si="28"/>
        <v>5000</v>
      </c>
      <c r="D141" s="35">
        <f>CAR_29!U36</f>
        <v>0</v>
      </c>
      <c r="E141" s="35">
        <f>CAR_29!AE36</f>
        <v>0</v>
      </c>
      <c r="F141" s="36">
        <f>CAR_29!AN36</f>
        <v>0</v>
      </c>
      <c r="H141" s="38" t="s">
        <v>38</v>
      </c>
      <c r="I141" s="46">
        <f>CAR_30!H35</f>
        <v>0</v>
      </c>
      <c r="J141" s="43">
        <f t="shared" si="29"/>
        <v>5000</v>
      </c>
      <c r="K141" s="35">
        <f>CAR_30!U36</f>
        <v>0</v>
      </c>
      <c r="L141" s="35">
        <f>CAR_30!AE36</f>
        <v>0</v>
      </c>
      <c r="M141" s="36">
        <f>CAR_30!AN36</f>
        <v>0</v>
      </c>
    </row>
    <row r="142" spans="1:27" x14ac:dyDescent="0.25">
      <c r="A142" s="38" t="s">
        <v>39</v>
      </c>
      <c r="B142" s="46">
        <f>CAR_29!H39</f>
        <v>0</v>
      </c>
      <c r="C142" s="43">
        <f t="shared" si="28"/>
        <v>5000</v>
      </c>
      <c r="D142" s="35">
        <f>CAR_29!U40</f>
        <v>0</v>
      </c>
      <c r="E142" s="35">
        <f>CAR_29!AE40</f>
        <v>0</v>
      </c>
      <c r="F142" s="36">
        <f>CAR_29!AN40</f>
        <v>0</v>
      </c>
      <c r="H142" s="38" t="s">
        <v>39</v>
      </c>
      <c r="I142" s="46">
        <f>CAR_30!H39</f>
        <v>0</v>
      </c>
      <c r="J142" s="43">
        <f t="shared" si="29"/>
        <v>5000</v>
      </c>
      <c r="K142" s="35">
        <f>CAR_30!U40</f>
        <v>0</v>
      </c>
      <c r="L142" s="35">
        <f>CAR_30!AE40</f>
        <v>0</v>
      </c>
      <c r="M142" s="36">
        <f>CAR_30!AN40</f>
        <v>0</v>
      </c>
    </row>
    <row r="143" spans="1:27" x14ac:dyDescent="0.25">
      <c r="A143" s="38" t="s">
        <v>40</v>
      </c>
      <c r="B143" s="46">
        <f>CAR_29!H43</f>
        <v>0</v>
      </c>
      <c r="C143" s="43">
        <f t="shared" si="28"/>
        <v>5000</v>
      </c>
      <c r="D143" s="35">
        <f>CAR_29!U44</f>
        <v>0</v>
      </c>
      <c r="E143" s="35">
        <f>CAR_29!AE44</f>
        <v>0</v>
      </c>
      <c r="F143" s="36">
        <f>CAR_29!AN44</f>
        <v>0</v>
      </c>
      <c r="H143" s="38" t="s">
        <v>40</v>
      </c>
      <c r="I143" s="46">
        <f>CAR_30!H43</f>
        <v>0</v>
      </c>
      <c r="J143" s="43">
        <f t="shared" si="29"/>
        <v>5000</v>
      </c>
      <c r="K143" s="35">
        <f>CAR_30!U44</f>
        <v>0</v>
      </c>
      <c r="L143" s="35">
        <f>CAR_30!AE44</f>
        <v>0</v>
      </c>
      <c r="M143" s="36">
        <f>CAR_30!AN44</f>
        <v>0</v>
      </c>
    </row>
    <row r="144" spans="1:27" x14ac:dyDescent="0.25">
      <c r="A144" s="38" t="s">
        <v>41</v>
      </c>
      <c r="B144" s="46">
        <f>CAR_29!H47</f>
        <v>0</v>
      </c>
      <c r="C144" s="43">
        <f t="shared" si="28"/>
        <v>5000</v>
      </c>
      <c r="D144" s="35">
        <f>CAR_29!U48</f>
        <v>0</v>
      </c>
      <c r="E144" s="35">
        <f>CAR_29!AE48</f>
        <v>0</v>
      </c>
      <c r="F144" s="36">
        <f>CAR_29!AN48</f>
        <v>0</v>
      </c>
      <c r="H144" s="38" t="s">
        <v>41</v>
      </c>
      <c r="I144" s="46">
        <f>CAR_30!H47</f>
        <v>0</v>
      </c>
      <c r="J144" s="43">
        <f t="shared" si="29"/>
        <v>5000</v>
      </c>
      <c r="K144" s="35">
        <f>CAR_30!U48</f>
        <v>0</v>
      </c>
      <c r="L144" s="35">
        <f>CAR_30!AE48</f>
        <v>0</v>
      </c>
      <c r="M144" s="36">
        <f>CAR_30!AN48</f>
        <v>0</v>
      </c>
    </row>
    <row r="145" spans="1:13" ht="15.75" thickBot="1" x14ac:dyDescent="0.3">
      <c r="A145" s="39" t="s">
        <v>42</v>
      </c>
      <c r="B145" s="47">
        <f>CAR_29!H51</f>
        <v>0</v>
      </c>
      <c r="C145" s="44">
        <f t="shared" si="28"/>
        <v>5000</v>
      </c>
      <c r="D145" s="11">
        <f>CAR_29!U52</f>
        <v>0</v>
      </c>
      <c r="E145" s="11">
        <f>CAR_29!AE52</f>
        <v>0</v>
      </c>
      <c r="F145" s="12">
        <f>CAR_29!AN52</f>
        <v>0</v>
      </c>
      <c r="H145" s="39" t="s">
        <v>42</v>
      </c>
      <c r="I145" s="47">
        <f>CAR_30!H51</f>
        <v>0</v>
      </c>
      <c r="J145" s="44">
        <f t="shared" si="29"/>
        <v>5000</v>
      </c>
      <c r="K145" s="11">
        <f>CAR_30!U52</f>
        <v>0</v>
      </c>
      <c r="L145" s="11">
        <f>CAR_30!AE52</f>
        <v>0</v>
      </c>
      <c r="M145" s="12">
        <f>CAR_30!AN52</f>
        <v>0</v>
      </c>
    </row>
    <row r="146" spans="1:13" ht="15.75" thickBot="1" x14ac:dyDescent="0.3"/>
    <row r="147" spans="1:13" ht="15.75" thickBot="1" x14ac:dyDescent="0.3">
      <c r="A147" s="3" t="s">
        <v>23</v>
      </c>
      <c r="B147" s="52">
        <f>SUM(B134:B145)</f>
        <v>0</v>
      </c>
      <c r="C147" s="51"/>
      <c r="D147" s="50">
        <f>SUM(D134:D145)</f>
        <v>0</v>
      </c>
      <c r="E147" s="49">
        <f>SUM(E134:E145)</f>
        <v>0</v>
      </c>
      <c r="F147" s="48">
        <f>SUM(F134:F145)</f>
        <v>0</v>
      </c>
      <c r="H147" s="3" t="s">
        <v>23</v>
      </c>
      <c r="I147" s="52">
        <f>SUM(I134:I145)</f>
        <v>0</v>
      </c>
      <c r="J147" s="51"/>
      <c r="K147" s="50">
        <f>SUM(K134:K145)</f>
        <v>0</v>
      </c>
      <c r="L147" s="49">
        <f>SUM(L134:L145)</f>
        <v>0</v>
      </c>
      <c r="M147" s="48">
        <f>SUM(M134:M145)</f>
        <v>0</v>
      </c>
    </row>
    <row r="148" spans="1:13" ht="15.75" thickBot="1" x14ac:dyDescent="0.3">
      <c r="A148" s="3" t="s">
        <v>44</v>
      </c>
      <c r="B148" s="23">
        <f>SUM(60000-B147)</f>
        <v>60000</v>
      </c>
      <c r="H148" s="3" t="s">
        <v>44</v>
      </c>
      <c r="I148" s="23">
        <f>SUM(60000-I147)</f>
        <v>60000</v>
      </c>
    </row>
  </sheetData>
  <mergeCells count="30">
    <mergeCell ref="B2:F2"/>
    <mergeCell ref="I2:M2"/>
    <mergeCell ref="P2:T2"/>
    <mergeCell ref="W2:AA2"/>
    <mergeCell ref="B21:F21"/>
    <mergeCell ref="I21:M21"/>
    <mergeCell ref="P21:T21"/>
    <mergeCell ref="W21:AA21"/>
    <mergeCell ref="B40:F40"/>
    <mergeCell ref="I40:M40"/>
    <mergeCell ref="P40:T40"/>
    <mergeCell ref="W40:AA40"/>
    <mergeCell ref="B59:F59"/>
    <mergeCell ref="I59:M59"/>
    <mergeCell ref="P59:T59"/>
    <mergeCell ref="W59:AA59"/>
    <mergeCell ref="B78:F78"/>
    <mergeCell ref="I78:M78"/>
    <mergeCell ref="P78:T78"/>
    <mergeCell ref="W78:AA78"/>
    <mergeCell ref="B96:F96"/>
    <mergeCell ref="I96:M96"/>
    <mergeCell ref="P96:T96"/>
    <mergeCell ref="W96:AA96"/>
    <mergeCell ref="B114:F114"/>
    <mergeCell ref="I114:M114"/>
    <mergeCell ref="P114:T114"/>
    <mergeCell ref="W114:AA114"/>
    <mergeCell ref="B132:F132"/>
    <mergeCell ref="I132:M132"/>
  </mergeCells>
  <phoneticPr fontId="3" type="noConversion"/>
  <conditionalFormatting sqref="B18">
    <cfRule type="iconSet" priority="31">
      <iconSet>
        <cfvo type="percent" val="0"/>
        <cfvo type="num" val="-1"/>
        <cfvo type="num" val="0"/>
      </iconSet>
    </cfRule>
  </conditionalFormatting>
  <conditionalFormatting sqref="B37">
    <cfRule type="iconSet" priority="27">
      <iconSet>
        <cfvo type="percent" val="0"/>
        <cfvo type="num" val="-1"/>
        <cfvo type="num" val="0"/>
      </iconSet>
    </cfRule>
  </conditionalFormatting>
  <conditionalFormatting sqref="B56">
    <cfRule type="iconSet" priority="23">
      <iconSet>
        <cfvo type="percent" val="0"/>
        <cfvo type="num" val="-1"/>
        <cfvo type="num" val="0"/>
      </iconSet>
    </cfRule>
  </conditionalFormatting>
  <conditionalFormatting sqref="B75">
    <cfRule type="iconSet" priority="19">
      <iconSet>
        <cfvo type="percent" val="0"/>
        <cfvo type="num" val="-1"/>
        <cfvo type="num" val="0"/>
      </iconSet>
    </cfRule>
  </conditionalFormatting>
  <conditionalFormatting sqref="B94">
    <cfRule type="iconSet" priority="15">
      <iconSet>
        <cfvo type="percent" val="0"/>
        <cfvo type="num" val="-1"/>
        <cfvo type="num" val="0"/>
      </iconSet>
    </cfRule>
  </conditionalFormatting>
  <conditionalFormatting sqref="B112">
    <cfRule type="iconSet" priority="11">
      <iconSet>
        <cfvo type="percent" val="0"/>
        <cfvo type="num" val="-1"/>
        <cfvo type="num" val="0"/>
      </iconSet>
    </cfRule>
  </conditionalFormatting>
  <conditionalFormatting sqref="B130">
    <cfRule type="iconSet" priority="7">
      <iconSet>
        <cfvo type="percent" val="0"/>
        <cfvo type="num" val="-1"/>
        <cfvo type="num" val="0"/>
      </iconSet>
    </cfRule>
  </conditionalFormatting>
  <conditionalFormatting sqref="B148">
    <cfRule type="iconSet" priority="3">
      <iconSet>
        <cfvo type="percent" val="0"/>
        <cfvo type="num" val="-1"/>
        <cfvo type="num" val="0"/>
      </iconSet>
    </cfRule>
  </conditionalFormatting>
  <conditionalFormatting sqref="I18">
    <cfRule type="iconSet" priority="30">
      <iconSet>
        <cfvo type="percent" val="0"/>
        <cfvo type="num" val="-1"/>
        <cfvo type="num" val="0"/>
      </iconSet>
    </cfRule>
  </conditionalFormatting>
  <conditionalFormatting sqref="I37">
    <cfRule type="iconSet" priority="26">
      <iconSet>
        <cfvo type="percent" val="0"/>
        <cfvo type="num" val="-1"/>
        <cfvo type="num" val="0"/>
      </iconSet>
    </cfRule>
  </conditionalFormatting>
  <conditionalFormatting sqref="I56">
    <cfRule type="iconSet" priority="22">
      <iconSet>
        <cfvo type="percent" val="0"/>
        <cfvo type="num" val="-1"/>
        <cfvo type="num" val="0"/>
      </iconSet>
    </cfRule>
  </conditionalFormatting>
  <conditionalFormatting sqref="I75">
    <cfRule type="iconSet" priority="18">
      <iconSet>
        <cfvo type="percent" val="0"/>
        <cfvo type="num" val="-1"/>
        <cfvo type="num" val="0"/>
      </iconSet>
    </cfRule>
  </conditionalFormatting>
  <conditionalFormatting sqref="I94">
    <cfRule type="iconSet" priority="14">
      <iconSet>
        <cfvo type="percent" val="0"/>
        <cfvo type="num" val="-1"/>
        <cfvo type="num" val="0"/>
      </iconSet>
    </cfRule>
  </conditionalFormatting>
  <conditionalFormatting sqref="I112">
    <cfRule type="iconSet" priority="10">
      <iconSet>
        <cfvo type="percent" val="0"/>
        <cfvo type="num" val="-1"/>
        <cfvo type="num" val="0"/>
      </iconSet>
    </cfRule>
  </conditionalFormatting>
  <conditionalFormatting sqref="I130">
    <cfRule type="iconSet" priority="6">
      <iconSet>
        <cfvo type="percent" val="0"/>
        <cfvo type="num" val="-1"/>
        <cfvo type="num" val="0"/>
      </iconSet>
    </cfRule>
  </conditionalFormatting>
  <conditionalFormatting sqref="I148">
    <cfRule type="iconSet" priority="2">
      <iconSet>
        <cfvo type="percent" val="0"/>
        <cfvo type="num" val="-1"/>
        <cfvo type="num" val="0"/>
      </iconSet>
    </cfRule>
  </conditionalFormatting>
  <conditionalFormatting sqref="P18">
    <cfRule type="iconSet" priority="1">
      <iconSet>
        <cfvo type="percent" val="0"/>
        <cfvo type="num" val="-1"/>
        <cfvo type="num" val="0"/>
      </iconSet>
    </cfRule>
  </conditionalFormatting>
  <conditionalFormatting sqref="P37">
    <cfRule type="iconSet" priority="25">
      <iconSet>
        <cfvo type="percent" val="0"/>
        <cfvo type="num" val="-1"/>
        <cfvo type="num" val="0"/>
      </iconSet>
    </cfRule>
  </conditionalFormatting>
  <conditionalFormatting sqref="P56">
    <cfRule type="iconSet" priority="21">
      <iconSet>
        <cfvo type="percent" val="0"/>
        <cfvo type="num" val="-1"/>
        <cfvo type="num" val="0"/>
      </iconSet>
    </cfRule>
  </conditionalFormatting>
  <conditionalFormatting sqref="P75">
    <cfRule type="iconSet" priority="17">
      <iconSet>
        <cfvo type="percent" val="0"/>
        <cfvo type="num" val="-1"/>
        <cfvo type="num" val="0"/>
      </iconSet>
    </cfRule>
  </conditionalFormatting>
  <conditionalFormatting sqref="P94">
    <cfRule type="iconSet" priority="13">
      <iconSet>
        <cfvo type="percent" val="0"/>
        <cfvo type="num" val="-1"/>
        <cfvo type="num" val="0"/>
      </iconSet>
    </cfRule>
  </conditionalFormatting>
  <conditionalFormatting sqref="P112">
    <cfRule type="iconSet" priority="9">
      <iconSet>
        <cfvo type="percent" val="0"/>
        <cfvo type="num" val="-1"/>
        <cfvo type="num" val="0"/>
      </iconSet>
    </cfRule>
  </conditionalFormatting>
  <conditionalFormatting sqref="P130">
    <cfRule type="iconSet" priority="5">
      <iconSet>
        <cfvo type="percent" val="0"/>
        <cfvo type="num" val="-1"/>
        <cfvo type="num" val="0"/>
      </iconSet>
    </cfRule>
  </conditionalFormatting>
  <conditionalFormatting sqref="W18">
    <cfRule type="iconSet" priority="28">
      <iconSet>
        <cfvo type="percent" val="0"/>
        <cfvo type="num" val="-1"/>
        <cfvo type="num" val="0"/>
      </iconSet>
    </cfRule>
  </conditionalFormatting>
  <conditionalFormatting sqref="W37">
    <cfRule type="iconSet" priority="24">
      <iconSet>
        <cfvo type="percent" val="0"/>
        <cfvo type="num" val="-1"/>
        <cfvo type="num" val="0"/>
      </iconSet>
    </cfRule>
  </conditionalFormatting>
  <conditionalFormatting sqref="W56">
    <cfRule type="iconSet" priority="20">
      <iconSet>
        <cfvo type="percent" val="0"/>
        <cfvo type="num" val="-1"/>
        <cfvo type="num" val="0"/>
      </iconSet>
    </cfRule>
  </conditionalFormatting>
  <conditionalFormatting sqref="W75">
    <cfRule type="iconSet" priority="16">
      <iconSet>
        <cfvo type="percent" val="0"/>
        <cfvo type="num" val="-1"/>
        <cfvo type="num" val="0"/>
      </iconSet>
    </cfRule>
  </conditionalFormatting>
  <conditionalFormatting sqref="W94">
    <cfRule type="iconSet" priority="12">
      <iconSet>
        <cfvo type="percent" val="0"/>
        <cfvo type="num" val="-1"/>
        <cfvo type="num" val="0"/>
      </iconSet>
    </cfRule>
  </conditionalFormatting>
  <conditionalFormatting sqref="W112">
    <cfRule type="iconSet" priority="8">
      <iconSet>
        <cfvo type="percent" val="0"/>
        <cfvo type="num" val="-1"/>
        <cfvo type="num" val="0"/>
      </iconSet>
    </cfRule>
  </conditionalFormatting>
  <conditionalFormatting sqref="W130">
    <cfRule type="iconSet" priority="4">
      <iconSet>
        <cfvo type="percent" val="0"/>
        <cfvo type="num" val="-1"/>
        <cfvo type="num" val="0"/>
      </iconSet>
    </cfRule>
  </conditionalFormatting>
  <pageMargins left="0.511811024" right="0.511811024" top="0.78740157499999996" bottom="0.78740157499999996" header="0.31496062000000002" footer="0.31496062000000002"/>
  <ignoredErrors>
    <ignoredError sqref="D4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AL53"/>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4.7109375" customWidth="1"/>
    <col min="9" max="9" width="27.7109375" customWidth="1"/>
    <col min="10" max="10" width="13.42578125" bestFit="1" customWidth="1"/>
    <col min="11" max="11" width="10.140625" bestFit="1" customWidth="1"/>
    <col min="35" max="37" width="10.140625" bestFit="1" customWidth="1"/>
  </cols>
  <sheetData>
    <row r="2" spans="1:38" x14ac:dyDescent="0.25">
      <c r="A2" t="s">
        <v>0</v>
      </c>
      <c r="B2" s="107" t="s">
        <v>200</v>
      </c>
      <c r="C2" s="107"/>
      <c r="D2" s="1" t="s">
        <v>1</v>
      </c>
      <c r="E2" s="107" t="s">
        <v>199</v>
      </c>
      <c r="F2" s="107"/>
      <c r="H2" t="s">
        <v>201</v>
      </c>
      <c r="I2" s="96">
        <v>3000</v>
      </c>
    </row>
    <row r="3" spans="1:38" x14ac:dyDescent="0.25">
      <c r="A3" t="s">
        <v>194</v>
      </c>
      <c r="B3" s="87">
        <v>46167</v>
      </c>
      <c r="C3" s="84"/>
      <c r="D3" s="1" t="s">
        <v>1</v>
      </c>
      <c r="E3" s="107" t="s">
        <v>199</v>
      </c>
      <c r="F3" s="107"/>
      <c r="H3" t="s">
        <v>203</v>
      </c>
      <c r="I3" s="96" t="s">
        <v>204</v>
      </c>
    </row>
    <row r="4" spans="1:38" x14ac:dyDescent="0.25">
      <c r="A4" t="s">
        <v>198</v>
      </c>
      <c r="B4" s="110"/>
      <c r="C4" s="107"/>
      <c r="D4" s="1" t="s">
        <v>1</v>
      </c>
      <c r="E4" s="107"/>
      <c r="F4" s="107"/>
      <c r="H4" t="s">
        <v>184</v>
      </c>
      <c r="I4" s="96"/>
    </row>
    <row r="5" spans="1:38" x14ac:dyDescent="0.25">
      <c r="A5" t="s">
        <v>2</v>
      </c>
      <c r="B5" s="108">
        <v>2484</v>
      </c>
      <c r="C5" s="108"/>
      <c r="D5" s="1" t="s">
        <v>29</v>
      </c>
      <c r="E5" s="107" t="s">
        <v>202</v>
      </c>
      <c r="F5" s="107"/>
      <c r="H5" t="s">
        <v>197</v>
      </c>
      <c r="I5" s="95">
        <v>46131</v>
      </c>
    </row>
    <row r="8" spans="1:38" ht="21" x14ac:dyDescent="0.35">
      <c r="A8" s="109" t="s">
        <v>28</v>
      </c>
      <c r="B8" s="109"/>
      <c r="C8" s="109"/>
      <c r="D8" s="109"/>
      <c r="E8" s="109"/>
      <c r="F8" s="109"/>
      <c r="G8" s="109"/>
      <c r="H8" s="109"/>
      <c r="J8" s="106" t="s">
        <v>26</v>
      </c>
      <c r="K8" s="106"/>
      <c r="L8" s="106"/>
      <c r="M8" s="106"/>
      <c r="N8" s="106"/>
      <c r="O8" s="106"/>
      <c r="P8" s="106"/>
      <c r="Q8" s="106"/>
      <c r="R8" s="106"/>
      <c r="S8" s="106"/>
      <c r="T8" s="106"/>
      <c r="U8" s="106"/>
      <c r="V8" s="2"/>
      <c r="W8" s="105" t="s">
        <v>25</v>
      </c>
      <c r="X8" s="105"/>
      <c r="Y8" s="105"/>
      <c r="Z8" s="105"/>
      <c r="AA8" s="105"/>
      <c r="AB8" s="105"/>
      <c r="AC8" s="105"/>
      <c r="AD8" s="2"/>
      <c r="AE8" s="2"/>
      <c r="AF8" s="105" t="s">
        <v>27</v>
      </c>
      <c r="AG8" s="105"/>
      <c r="AH8" s="105"/>
      <c r="AI8" s="105"/>
      <c r="AJ8" s="105"/>
      <c r="AK8" s="105"/>
      <c r="AL8" s="105"/>
    </row>
    <row r="9" spans="1:38" s="15" customFormat="1" ht="21" x14ac:dyDescent="0.35">
      <c r="A9" s="14"/>
      <c r="B9" s="14"/>
      <c r="C9" s="14"/>
      <c r="D9" s="14"/>
      <c r="E9" s="14"/>
      <c r="F9" s="14"/>
      <c r="G9" s="14"/>
      <c r="H9" s="14"/>
      <c r="J9" s="16"/>
      <c r="K9" s="16"/>
      <c r="L9" s="16"/>
      <c r="M9" s="16"/>
      <c r="N9" s="16"/>
      <c r="O9" s="16"/>
      <c r="P9" s="16"/>
      <c r="Q9" s="16"/>
      <c r="R9" s="16"/>
      <c r="S9" s="16"/>
      <c r="T9" s="16"/>
      <c r="U9" s="16"/>
      <c r="V9" s="17"/>
      <c r="W9" s="18"/>
      <c r="X9" s="18"/>
      <c r="Y9" s="18"/>
      <c r="Z9" s="18"/>
      <c r="AA9" s="18"/>
      <c r="AB9" s="18"/>
      <c r="AC9" s="18"/>
      <c r="AD9" s="17"/>
      <c r="AE9" s="17"/>
      <c r="AF9" s="18"/>
      <c r="AG9" s="18"/>
      <c r="AH9" s="18"/>
      <c r="AI9" s="18"/>
      <c r="AJ9" s="18"/>
      <c r="AK9" s="18"/>
      <c r="AL9" s="18"/>
    </row>
    <row r="10" spans="1:38" ht="15.75" thickBot="1" x14ac:dyDescent="0.3">
      <c r="A10" s="19"/>
      <c r="B10" s="101" t="s">
        <v>3</v>
      </c>
      <c r="C10" s="101"/>
      <c r="D10" s="101"/>
      <c r="E10" s="101"/>
      <c r="F10" s="101"/>
      <c r="G10" s="101"/>
      <c r="H10" s="101"/>
      <c r="J10" s="102" t="s">
        <v>3</v>
      </c>
      <c r="K10" s="102"/>
      <c r="L10" s="102"/>
      <c r="M10" s="102"/>
      <c r="N10" s="102"/>
      <c r="O10" s="102"/>
      <c r="P10" s="102"/>
      <c r="Q10" s="102"/>
      <c r="R10" s="102"/>
      <c r="S10" s="102"/>
      <c r="T10" s="102"/>
      <c r="U10" s="102"/>
      <c r="W10" s="103" t="s">
        <v>3</v>
      </c>
      <c r="X10" s="103"/>
      <c r="Y10" s="103"/>
      <c r="Z10" s="103"/>
      <c r="AA10" s="103"/>
      <c r="AB10" s="103"/>
      <c r="AC10" s="103"/>
      <c r="AF10" s="104" t="s">
        <v>3</v>
      </c>
      <c r="AG10" s="104"/>
      <c r="AH10" s="104"/>
      <c r="AI10" s="104"/>
      <c r="AJ10" s="104"/>
      <c r="AK10" s="104"/>
      <c r="AL10" s="104"/>
    </row>
    <row r="11" spans="1:38" ht="15.75" thickBot="1" x14ac:dyDescent="0.3">
      <c r="A11" s="100" t="s">
        <v>5</v>
      </c>
      <c r="B11" s="34" t="s">
        <v>6</v>
      </c>
      <c r="C11" s="22" t="s">
        <v>7</v>
      </c>
      <c r="D11" s="33" t="s">
        <v>8</v>
      </c>
      <c r="E11" s="22" t="s">
        <v>9</v>
      </c>
      <c r="F11" s="24" t="s">
        <v>10</v>
      </c>
      <c r="G11" s="23" t="s">
        <v>11</v>
      </c>
      <c r="H11" s="25" t="s">
        <v>12</v>
      </c>
      <c r="J11" s="28" t="s">
        <v>4</v>
      </c>
      <c r="K11" s="9"/>
      <c r="L11" s="4"/>
      <c r="M11" s="4"/>
      <c r="N11" s="4"/>
      <c r="O11" s="4"/>
      <c r="P11" s="4"/>
      <c r="Q11" s="4"/>
      <c r="R11" s="4"/>
      <c r="S11" s="4"/>
      <c r="T11" s="4"/>
      <c r="U11" s="5"/>
      <c r="W11" s="6" t="s">
        <v>4</v>
      </c>
      <c r="X11" s="9"/>
      <c r="Y11" s="4"/>
      <c r="Z11" s="4"/>
      <c r="AA11" s="4"/>
      <c r="AB11" s="4"/>
      <c r="AC11" s="5"/>
      <c r="AF11" s="6" t="s">
        <v>4</v>
      </c>
      <c r="AG11" s="9"/>
      <c r="AH11" s="4"/>
      <c r="AI11" s="4"/>
      <c r="AJ11" s="4"/>
      <c r="AK11" s="4"/>
      <c r="AL11" s="5"/>
    </row>
    <row r="12" spans="1:38" ht="15.75" thickBot="1" x14ac:dyDescent="0.3">
      <c r="A12" s="100"/>
      <c r="B12" s="26"/>
      <c r="C12" s="27"/>
      <c r="D12" s="27"/>
      <c r="E12" s="27"/>
      <c r="F12" s="27">
        <f>SUM(C12-B12)</f>
        <v>0</v>
      </c>
      <c r="G12" s="20">
        <f>SUM(E12-D12)</f>
        <v>0</v>
      </c>
      <c r="H12" s="21">
        <f>SUM(F12:G12)</f>
        <v>0</v>
      </c>
      <c r="J12" s="29" t="s">
        <v>22</v>
      </c>
      <c r="K12" s="10"/>
      <c r="L12" s="11"/>
      <c r="M12" s="11"/>
      <c r="N12" s="11"/>
      <c r="O12" s="11"/>
      <c r="P12" s="11"/>
      <c r="Q12" s="11"/>
      <c r="R12" s="11"/>
      <c r="S12" s="11"/>
      <c r="T12" s="11"/>
      <c r="U12" s="12"/>
      <c r="W12" s="7" t="s">
        <v>22</v>
      </c>
      <c r="X12" s="10"/>
      <c r="Y12" s="11"/>
      <c r="Z12" s="11"/>
      <c r="AA12" s="11"/>
      <c r="AB12" s="11"/>
      <c r="AC12" s="12"/>
      <c r="AF12" s="7" t="s">
        <v>22</v>
      </c>
      <c r="AG12" s="10"/>
      <c r="AH12" s="11"/>
      <c r="AI12" s="11"/>
      <c r="AJ12" s="11"/>
      <c r="AK12" s="11"/>
      <c r="AL12" s="12"/>
    </row>
    <row r="13" spans="1:38" x14ac:dyDescent="0.25">
      <c r="J13" s="8"/>
      <c r="T13" s="8" t="s">
        <v>23</v>
      </c>
      <c r="U13" s="13">
        <f>SUM(K12:U12)</f>
        <v>0</v>
      </c>
      <c r="AB13" s="8" t="s">
        <v>23</v>
      </c>
      <c r="AC13" s="13">
        <f>SUM(X12:AC12)</f>
        <v>0</v>
      </c>
      <c r="AK13" s="8" t="s">
        <v>23</v>
      </c>
      <c r="AL13" s="13">
        <f>SUM(AG12:AL12)</f>
        <v>0</v>
      </c>
    </row>
    <row r="14" spans="1:38" ht="15.75" thickBot="1" x14ac:dyDescent="0.3">
      <c r="A14" s="19"/>
      <c r="B14" s="101" t="s">
        <v>13</v>
      </c>
      <c r="C14" s="101"/>
      <c r="D14" s="101"/>
      <c r="E14" s="101"/>
      <c r="F14" s="101"/>
      <c r="G14" s="101"/>
      <c r="H14" s="101"/>
      <c r="J14" s="102" t="s">
        <v>13</v>
      </c>
      <c r="K14" s="102"/>
      <c r="L14" s="102"/>
      <c r="M14" s="102"/>
      <c r="N14" s="102"/>
      <c r="O14" s="102"/>
      <c r="P14" s="102"/>
      <c r="Q14" s="102"/>
      <c r="R14" s="102"/>
      <c r="S14" s="102"/>
      <c r="T14" s="102"/>
      <c r="U14" s="102"/>
      <c r="W14" s="103" t="str">
        <f>J14</f>
        <v>Março</v>
      </c>
      <c r="X14" s="103"/>
      <c r="Y14" s="103"/>
      <c r="Z14" s="103"/>
      <c r="AA14" s="103"/>
      <c r="AB14" s="103"/>
      <c r="AC14" s="103"/>
      <c r="AF14" s="104" t="str">
        <f>W14</f>
        <v>Março</v>
      </c>
      <c r="AG14" s="104"/>
      <c r="AH14" s="104"/>
      <c r="AI14" s="104"/>
      <c r="AJ14" s="104"/>
      <c r="AK14" s="104"/>
      <c r="AL14" s="104"/>
    </row>
    <row r="15" spans="1:38" ht="15.75" thickBot="1" x14ac:dyDescent="0.3">
      <c r="A15" s="100" t="s">
        <v>5</v>
      </c>
      <c r="B15" s="34" t="s">
        <v>6</v>
      </c>
      <c r="C15" s="22" t="s">
        <v>7</v>
      </c>
      <c r="D15" s="33" t="s">
        <v>8</v>
      </c>
      <c r="E15" s="22" t="s">
        <v>9</v>
      </c>
      <c r="F15" s="24" t="s">
        <v>10</v>
      </c>
      <c r="G15" s="23" t="s">
        <v>11</v>
      </c>
      <c r="H15" s="25" t="s">
        <v>12</v>
      </c>
      <c r="J15" s="6" t="s">
        <v>4</v>
      </c>
      <c r="K15" s="9"/>
      <c r="L15" s="4"/>
      <c r="M15" s="4"/>
      <c r="N15" s="4"/>
      <c r="O15" s="4"/>
      <c r="P15" s="4"/>
      <c r="Q15" s="4"/>
      <c r="R15" s="4"/>
      <c r="S15" s="4"/>
      <c r="T15" s="4"/>
      <c r="U15" s="5"/>
      <c r="W15" s="6" t="s">
        <v>4</v>
      </c>
      <c r="X15" s="9"/>
      <c r="Y15" s="4"/>
      <c r="Z15" s="4"/>
      <c r="AA15" s="4"/>
      <c r="AB15" s="4"/>
      <c r="AC15" s="5"/>
      <c r="AF15" s="6" t="s">
        <v>4</v>
      </c>
      <c r="AG15" s="9"/>
      <c r="AH15" s="4"/>
      <c r="AI15" s="4"/>
      <c r="AJ15" s="4"/>
      <c r="AK15" s="4"/>
      <c r="AL15" s="5"/>
    </row>
    <row r="16" spans="1:38" ht="15.75" thickBot="1" x14ac:dyDescent="0.3">
      <c r="A16" s="100"/>
      <c r="B16" s="26"/>
      <c r="C16" s="27"/>
      <c r="D16" s="27"/>
      <c r="E16" s="27"/>
      <c r="F16" s="27">
        <f>SUM(C16-B16)</f>
        <v>0</v>
      </c>
      <c r="G16" s="20">
        <f>SUM(E16-D16)</f>
        <v>0</v>
      </c>
      <c r="H16" s="21">
        <f>SUM(F16:G16)</f>
        <v>0</v>
      </c>
      <c r="J16" s="7" t="s">
        <v>22</v>
      </c>
      <c r="K16" s="10"/>
      <c r="L16" s="11"/>
      <c r="M16" s="11"/>
      <c r="N16" s="11"/>
      <c r="O16" s="11"/>
      <c r="P16" s="11"/>
      <c r="Q16" s="11"/>
      <c r="R16" s="11"/>
      <c r="S16" s="11"/>
      <c r="T16" s="11"/>
      <c r="U16" s="12"/>
      <c r="W16" s="7" t="s">
        <v>22</v>
      </c>
      <c r="X16" s="10"/>
      <c r="Y16" s="11"/>
      <c r="Z16" s="11"/>
      <c r="AA16" s="11"/>
      <c r="AB16" s="11"/>
      <c r="AC16" s="12"/>
      <c r="AF16" s="7" t="s">
        <v>22</v>
      </c>
      <c r="AG16" s="10"/>
      <c r="AH16" s="11"/>
      <c r="AI16" s="11"/>
      <c r="AJ16" s="11"/>
      <c r="AK16" s="11"/>
      <c r="AL16" s="12"/>
    </row>
    <row r="17" spans="1:38" x14ac:dyDescent="0.25">
      <c r="J17" s="8"/>
      <c r="T17" s="8" t="s">
        <v>23</v>
      </c>
      <c r="U17" s="13">
        <f>SUM(K16:U16)</f>
        <v>0</v>
      </c>
      <c r="AB17" s="8" t="s">
        <v>23</v>
      </c>
      <c r="AC17" s="13">
        <f>SUM(X16:AC16)</f>
        <v>0</v>
      </c>
      <c r="AK17" s="8" t="s">
        <v>23</v>
      </c>
      <c r="AL17" s="13">
        <f>SUM(AG16:AL16)</f>
        <v>0</v>
      </c>
    </row>
    <row r="18" spans="1:38" ht="15.75" thickBot="1" x14ac:dyDescent="0.3">
      <c r="A18" s="19"/>
      <c r="B18" s="101" t="s">
        <v>14</v>
      </c>
      <c r="C18" s="101"/>
      <c r="D18" s="101"/>
      <c r="E18" s="101"/>
      <c r="F18" s="101"/>
      <c r="G18" s="101"/>
      <c r="H18" s="101"/>
      <c r="J18" s="102" t="s">
        <v>14</v>
      </c>
      <c r="K18" s="102"/>
      <c r="L18" s="102"/>
      <c r="M18" s="102"/>
      <c r="N18" s="102"/>
      <c r="O18" s="102"/>
      <c r="P18" s="102"/>
      <c r="Q18" s="102"/>
      <c r="R18" s="102"/>
      <c r="S18" s="102"/>
      <c r="T18" s="102"/>
      <c r="U18" s="102"/>
      <c r="W18" s="103" t="str">
        <f>J18</f>
        <v>Abril</v>
      </c>
      <c r="X18" s="103"/>
      <c r="Y18" s="103"/>
      <c r="Z18" s="103"/>
      <c r="AA18" s="103"/>
      <c r="AB18" s="103"/>
      <c r="AC18" s="103"/>
      <c r="AF18" s="104" t="str">
        <f>W18</f>
        <v>Abril</v>
      </c>
      <c r="AG18" s="104"/>
      <c r="AH18" s="104"/>
      <c r="AI18" s="104"/>
      <c r="AJ18" s="104"/>
      <c r="AK18" s="104"/>
      <c r="AL18" s="104"/>
    </row>
    <row r="19" spans="1:38" ht="15.75" thickBot="1" x14ac:dyDescent="0.3">
      <c r="A19" s="100" t="s">
        <v>5</v>
      </c>
      <c r="B19" s="34" t="s">
        <v>6</v>
      </c>
      <c r="C19" s="22" t="s">
        <v>7</v>
      </c>
      <c r="D19" s="33" t="s">
        <v>8</v>
      </c>
      <c r="E19" s="22" t="s">
        <v>9</v>
      </c>
      <c r="F19" s="24" t="s">
        <v>10</v>
      </c>
      <c r="G19" s="23" t="s">
        <v>11</v>
      </c>
      <c r="H19" s="25" t="s">
        <v>12</v>
      </c>
      <c r="J19" s="6" t="s">
        <v>4</v>
      </c>
      <c r="K19" s="9"/>
      <c r="L19" s="4"/>
      <c r="M19" s="4"/>
      <c r="N19" s="4"/>
      <c r="O19" s="4"/>
      <c r="P19" s="4"/>
      <c r="Q19" s="4"/>
      <c r="R19" s="4"/>
      <c r="S19" s="4"/>
      <c r="T19" s="4"/>
      <c r="U19" s="5"/>
      <c r="W19" s="6" t="s">
        <v>4</v>
      </c>
      <c r="X19" s="9"/>
      <c r="Y19" s="4"/>
      <c r="Z19" s="4"/>
      <c r="AA19" s="4"/>
      <c r="AB19" s="4"/>
      <c r="AC19" s="5"/>
      <c r="AF19" s="6" t="s">
        <v>4</v>
      </c>
      <c r="AG19" s="9"/>
      <c r="AH19" s="4"/>
      <c r="AI19" s="4"/>
      <c r="AJ19" s="4"/>
      <c r="AK19" s="4"/>
      <c r="AL19" s="5"/>
    </row>
    <row r="20" spans="1:38" ht="15.75" thickBot="1" x14ac:dyDescent="0.3">
      <c r="A20" s="100"/>
      <c r="B20" s="26"/>
      <c r="C20" s="27"/>
      <c r="D20" s="27">
        <v>51696</v>
      </c>
      <c r="E20" s="27">
        <v>53114</v>
      </c>
      <c r="F20" s="27">
        <f>SUM(C20-B20)</f>
        <v>0</v>
      </c>
      <c r="G20" s="20">
        <f>SUM(E20-D20)</f>
        <v>1418</v>
      </c>
      <c r="H20" s="21">
        <f>SUM(F20:G20)</f>
        <v>1418</v>
      </c>
      <c r="J20" s="7" t="s">
        <v>22</v>
      </c>
      <c r="K20" s="30"/>
      <c r="L20" s="31"/>
      <c r="M20" s="31"/>
      <c r="N20" s="31"/>
      <c r="O20" s="31"/>
      <c r="P20" s="31"/>
      <c r="Q20" s="31"/>
      <c r="R20" s="31"/>
      <c r="S20" s="31"/>
      <c r="T20" s="31"/>
      <c r="U20" s="32"/>
      <c r="W20" s="7" t="s">
        <v>22</v>
      </c>
      <c r="X20" s="10"/>
      <c r="Y20" s="11"/>
      <c r="Z20" s="11"/>
      <c r="AA20" s="11"/>
      <c r="AB20" s="11"/>
      <c r="AC20" s="12"/>
      <c r="AF20" s="7" t="s">
        <v>22</v>
      </c>
      <c r="AG20" s="10"/>
      <c r="AH20" s="11"/>
      <c r="AI20" s="11"/>
      <c r="AJ20" s="11"/>
      <c r="AK20" s="11"/>
      <c r="AL20" s="12"/>
    </row>
    <row r="21" spans="1:38" x14ac:dyDescent="0.25">
      <c r="J21" s="8"/>
      <c r="T21" s="8" t="s">
        <v>23</v>
      </c>
      <c r="U21" s="13">
        <f>SUM(K20:U20)</f>
        <v>0</v>
      </c>
      <c r="AB21" s="8" t="s">
        <v>23</v>
      </c>
      <c r="AC21" s="13">
        <f>SUM(X20:AC20)</f>
        <v>0</v>
      </c>
      <c r="AK21" s="8" t="s">
        <v>23</v>
      </c>
      <c r="AL21" s="13">
        <f>SUM(AG20:AL20)</f>
        <v>0</v>
      </c>
    </row>
    <row r="22" spans="1:38" ht="15.75" thickBot="1" x14ac:dyDescent="0.3">
      <c r="A22" s="19"/>
      <c r="B22" s="101" t="s">
        <v>15</v>
      </c>
      <c r="C22" s="101"/>
      <c r="D22" s="101"/>
      <c r="E22" s="101"/>
      <c r="F22" s="101"/>
      <c r="G22" s="101"/>
      <c r="H22" s="101"/>
      <c r="J22" s="102" t="s">
        <v>15</v>
      </c>
      <c r="K22" s="102"/>
      <c r="L22" s="102"/>
      <c r="M22" s="102"/>
      <c r="N22" s="102"/>
      <c r="O22" s="102"/>
      <c r="P22" s="102"/>
      <c r="Q22" s="102"/>
      <c r="R22" s="102"/>
      <c r="S22" s="102"/>
      <c r="T22" s="102"/>
      <c r="U22" s="102"/>
      <c r="W22" s="103" t="str">
        <f>J22</f>
        <v>Maio</v>
      </c>
      <c r="X22" s="103"/>
      <c r="Y22" s="103"/>
      <c r="Z22" s="103"/>
      <c r="AA22" s="103"/>
      <c r="AB22" s="103"/>
      <c r="AC22" s="103"/>
      <c r="AF22" s="104" t="str">
        <f>W22</f>
        <v>Maio</v>
      </c>
      <c r="AG22" s="104"/>
      <c r="AH22" s="104"/>
      <c r="AI22" s="104"/>
      <c r="AJ22" s="104"/>
      <c r="AK22" s="104"/>
      <c r="AL22" s="104"/>
    </row>
    <row r="23" spans="1:38" ht="15.75" thickBot="1" x14ac:dyDescent="0.3">
      <c r="A23" s="100" t="s">
        <v>5</v>
      </c>
      <c r="B23" s="34" t="s">
        <v>6</v>
      </c>
      <c r="C23" s="22" t="s">
        <v>7</v>
      </c>
      <c r="D23" s="33" t="s">
        <v>8</v>
      </c>
      <c r="E23" s="22" t="s">
        <v>9</v>
      </c>
      <c r="F23" s="24" t="s">
        <v>10</v>
      </c>
      <c r="G23" s="23" t="s">
        <v>11</v>
      </c>
      <c r="H23" s="25" t="s">
        <v>12</v>
      </c>
      <c r="J23" s="6" t="s">
        <v>4</v>
      </c>
      <c r="K23" s="9"/>
      <c r="L23" s="4"/>
      <c r="M23" s="4"/>
      <c r="N23" s="4"/>
      <c r="O23" s="4"/>
      <c r="P23" s="4"/>
      <c r="Q23" s="4"/>
      <c r="R23" s="4"/>
      <c r="S23" s="4"/>
      <c r="T23" s="4"/>
      <c r="U23" s="5"/>
      <c r="W23" s="6" t="s">
        <v>4</v>
      </c>
      <c r="X23" s="9"/>
      <c r="Y23" s="4"/>
      <c r="Z23" s="4"/>
      <c r="AA23" s="4"/>
      <c r="AB23" s="4"/>
      <c r="AC23" s="5"/>
      <c r="AF23" s="6" t="s">
        <v>4</v>
      </c>
      <c r="AG23" s="9"/>
      <c r="AH23" s="4"/>
      <c r="AI23" s="4"/>
      <c r="AJ23" s="4"/>
      <c r="AK23" s="4"/>
      <c r="AL23" s="5"/>
    </row>
    <row r="24" spans="1:38" ht="15.75" thickBot="1" x14ac:dyDescent="0.3">
      <c r="A24" s="100"/>
      <c r="B24" s="27">
        <v>53114</v>
      </c>
      <c r="C24" s="27"/>
      <c r="D24" s="27"/>
      <c r="E24" s="27">
        <v>56409</v>
      </c>
      <c r="F24" s="27">
        <f>SUM(C24-B24)</f>
        <v>-53114</v>
      </c>
      <c r="G24" s="20">
        <f>SUM(E24-D24)</f>
        <v>56409</v>
      </c>
      <c r="H24" s="21">
        <f>SUM(F24:G24)</f>
        <v>3295</v>
      </c>
      <c r="J24" s="7" t="s">
        <v>22</v>
      </c>
      <c r="K24" s="10"/>
      <c r="L24" s="11"/>
      <c r="M24" s="11"/>
      <c r="N24" s="11"/>
      <c r="O24" s="11"/>
      <c r="P24" s="11"/>
      <c r="Q24" s="11"/>
      <c r="R24" s="11"/>
      <c r="S24" s="11"/>
      <c r="T24" s="11"/>
      <c r="U24" s="12"/>
      <c r="W24" s="7" t="s">
        <v>22</v>
      </c>
      <c r="X24" s="10"/>
      <c r="Y24" s="11"/>
      <c r="Z24" s="11"/>
      <c r="AA24" s="11"/>
      <c r="AB24" s="11"/>
      <c r="AC24" s="12"/>
      <c r="AF24" s="7" t="s">
        <v>22</v>
      </c>
      <c r="AG24" s="10"/>
      <c r="AH24" s="11"/>
      <c r="AI24" s="11"/>
      <c r="AJ24" s="11"/>
      <c r="AK24" s="11"/>
      <c r="AL24" s="12"/>
    </row>
    <row r="25" spans="1:38" x14ac:dyDescent="0.25">
      <c r="J25" s="8"/>
      <c r="T25" s="8" t="s">
        <v>23</v>
      </c>
      <c r="U25" s="13">
        <f>SUM(K24:U24)</f>
        <v>0</v>
      </c>
      <c r="AB25" s="8" t="s">
        <v>23</v>
      </c>
      <c r="AC25" s="13">
        <f>SUM(X24:AC24)</f>
        <v>0</v>
      </c>
      <c r="AK25" s="8" t="s">
        <v>23</v>
      </c>
      <c r="AL25" s="13">
        <f>SUM(AG24:AL24)</f>
        <v>0</v>
      </c>
    </row>
    <row r="26" spans="1:38" ht="15.75" thickBot="1" x14ac:dyDescent="0.3">
      <c r="A26" s="19"/>
      <c r="B26" s="101" t="s">
        <v>24</v>
      </c>
      <c r="C26" s="101"/>
      <c r="D26" s="101"/>
      <c r="E26" s="101"/>
      <c r="F26" s="101"/>
      <c r="G26" s="101"/>
      <c r="H26" s="101"/>
      <c r="J26" s="102" t="s">
        <v>24</v>
      </c>
      <c r="K26" s="102"/>
      <c r="L26" s="102"/>
      <c r="M26" s="102"/>
      <c r="N26" s="102"/>
      <c r="O26" s="102"/>
      <c r="P26" s="102"/>
      <c r="Q26" s="102"/>
      <c r="R26" s="102"/>
      <c r="S26" s="102"/>
      <c r="T26" s="102"/>
      <c r="U26" s="102"/>
      <c r="W26" s="103" t="str">
        <f>J26</f>
        <v>Junho</v>
      </c>
      <c r="X26" s="103"/>
      <c r="Y26" s="103"/>
      <c r="Z26" s="103"/>
      <c r="AA26" s="103"/>
      <c r="AB26" s="103"/>
      <c r="AC26" s="103"/>
      <c r="AF26" s="104" t="str">
        <f>W26</f>
        <v>Junho</v>
      </c>
      <c r="AG26" s="104"/>
      <c r="AH26" s="104"/>
      <c r="AI26" s="104"/>
      <c r="AJ26" s="104"/>
      <c r="AK26" s="104"/>
      <c r="AL26" s="104"/>
    </row>
    <row r="27" spans="1:38" ht="15.75" thickBot="1" x14ac:dyDescent="0.3">
      <c r="A27" s="100" t="s">
        <v>5</v>
      </c>
      <c r="B27" s="34" t="s">
        <v>6</v>
      </c>
      <c r="C27" s="22" t="s">
        <v>7</v>
      </c>
      <c r="D27" s="33" t="s">
        <v>8</v>
      </c>
      <c r="E27" s="22" t="s">
        <v>9</v>
      </c>
      <c r="F27" s="24" t="s">
        <v>10</v>
      </c>
      <c r="G27" s="23" t="s">
        <v>11</v>
      </c>
      <c r="H27" s="25" t="s">
        <v>12</v>
      </c>
      <c r="J27" s="6" t="s">
        <v>4</v>
      </c>
      <c r="K27" s="9"/>
      <c r="L27" s="4"/>
      <c r="M27" s="4"/>
      <c r="N27" s="4"/>
      <c r="O27" s="4"/>
      <c r="P27" s="4"/>
      <c r="Q27" s="4"/>
      <c r="R27" s="4"/>
      <c r="S27" s="4"/>
      <c r="T27" s="4"/>
      <c r="U27" s="5"/>
      <c r="W27" s="6" t="s">
        <v>4</v>
      </c>
      <c r="X27" s="9"/>
      <c r="Y27" s="4"/>
      <c r="Z27" s="4"/>
      <c r="AA27" s="4"/>
      <c r="AB27" s="4"/>
      <c r="AC27" s="5"/>
      <c r="AF27" s="6" t="s">
        <v>4</v>
      </c>
      <c r="AG27" s="9"/>
      <c r="AH27" s="4"/>
      <c r="AI27" s="4"/>
      <c r="AJ27" s="4"/>
      <c r="AK27" s="4"/>
      <c r="AL27" s="5"/>
    </row>
    <row r="28" spans="1:38" ht="15.75" thickBot="1" x14ac:dyDescent="0.3">
      <c r="A28" s="100"/>
      <c r="B28" s="26"/>
      <c r="C28" s="27"/>
      <c r="D28" s="27"/>
      <c r="E28" s="27"/>
      <c r="F28" s="27">
        <f>SUM(C28-B28)</f>
        <v>0</v>
      </c>
      <c r="G28" s="20">
        <f>SUM(E28-D28)</f>
        <v>0</v>
      </c>
      <c r="H28" s="21">
        <f>SUM(F28:G28)</f>
        <v>0</v>
      </c>
      <c r="J28" s="7" t="s">
        <v>22</v>
      </c>
      <c r="K28" s="10"/>
      <c r="L28" s="11"/>
      <c r="M28" s="11"/>
      <c r="N28" s="11"/>
      <c r="O28" s="11"/>
      <c r="P28" s="11"/>
      <c r="Q28" s="11"/>
      <c r="R28" s="11"/>
      <c r="S28" s="11"/>
      <c r="T28" s="11"/>
      <c r="U28" s="12"/>
      <c r="W28" s="7" t="s">
        <v>22</v>
      </c>
      <c r="X28" s="10"/>
      <c r="Y28" s="11"/>
      <c r="Z28" s="11"/>
      <c r="AA28" s="11"/>
      <c r="AB28" s="11"/>
      <c r="AC28" s="12"/>
      <c r="AF28" s="7" t="s">
        <v>22</v>
      </c>
      <c r="AG28" s="10"/>
      <c r="AH28" s="11"/>
      <c r="AI28" s="11"/>
      <c r="AJ28" s="11"/>
      <c r="AK28" s="11"/>
      <c r="AL28" s="12"/>
    </row>
    <row r="29" spans="1:38" x14ac:dyDescent="0.25">
      <c r="J29" s="8"/>
      <c r="T29" s="8" t="s">
        <v>23</v>
      </c>
      <c r="U29" s="13">
        <f>SUM(K28:U28)</f>
        <v>0</v>
      </c>
      <c r="AB29" s="8" t="s">
        <v>23</v>
      </c>
      <c r="AC29" s="13">
        <f>SUM(X28:AC28)</f>
        <v>0</v>
      </c>
      <c r="AK29" s="8" t="s">
        <v>23</v>
      </c>
      <c r="AL29" s="13">
        <f>SUM(AG28:AL28)</f>
        <v>0</v>
      </c>
    </row>
    <row r="30" spans="1:38" ht="15.75" thickBot="1" x14ac:dyDescent="0.3">
      <c r="A30" s="19"/>
      <c r="B30" s="101" t="s">
        <v>16</v>
      </c>
      <c r="C30" s="101"/>
      <c r="D30" s="101"/>
      <c r="E30" s="101"/>
      <c r="F30" s="101"/>
      <c r="G30" s="101"/>
      <c r="H30" s="101"/>
      <c r="J30" s="102" t="s">
        <v>16</v>
      </c>
      <c r="K30" s="102"/>
      <c r="L30" s="102"/>
      <c r="M30" s="102"/>
      <c r="N30" s="102"/>
      <c r="O30" s="102"/>
      <c r="P30" s="102"/>
      <c r="Q30" s="102"/>
      <c r="R30" s="102"/>
      <c r="S30" s="102"/>
      <c r="T30" s="102"/>
      <c r="U30" s="102"/>
      <c r="W30" s="103" t="str">
        <f>J30</f>
        <v>Julho</v>
      </c>
      <c r="X30" s="103"/>
      <c r="Y30" s="103"/>
      <c r="Z30" s="103"/>
      <c r="AA30" s="103"/>
      <c r="AB30" s="103"/>
      <c r="AC30" s="103"/>
      <c r="AF30" s="104" t="str">
        <f>W30</f>
        <v>Julho</v>
      </c>
      <c r="AG30" s="104"/>
      <c r="AH30" s="104"/>
      <c r="AI30" s="104"/>
      <c r="AJ30" s="104"/>
      <c r="AK30" s="104"/>
      <c r="AL30" s="104"/>
    </row>
    <row r="31" spans="1:38" ht="15.75" thickBot="1" x14ac:dyDescent="0.3">
      <c r="A31" s="100" t="s">
        <v>5</v>
      </c>
      <c r="B31" s="34" t="s">
        <v>6</v>
      </c>
      <c r="C31" s="22" t="s">
        <v>7</v>
      </c>
      <c r="D31" s="33" t="s">
        <v>8</v>
      </c>
      <c r="E31" s="22" t="s">
        <v>9</v>
      </c>
      <c r="F31" s="24" t="s">
        <v>10</v>
      </c>
      <c r="G31" s="23" t="s">
        <v>11</v>
      </c>
      <c r="H31" s="25" t="s">
        <v>12</v>
      </c>
      <c r="J31" s="6" t="s">
        <v>4</v>
      </c>
      <c r="K31" s="9"/>
      <c r="L31" s="4"/>
      <c r="M31" s="4"/>
      <c r="N31" s="4"/>
      <c r="O31" s="4"/>
      <c r="P31" s="4"/>
      <c r="Q31" s="4"/>
      <c r="R31" s="4"/>
      <c r="S31" s="4"/>
      <c r="T31" s="4"/>
      <c r="U31" s="5"/>
      <c r="W31" s="6" t="s">
        <v>4</v>
      </c>
      <c r="X31" s="9"/>
      <c r="Y31" s="4"/>
      <c r="Z31" s="4"/>
      <c r="AA31" s="4"/>
      <c r="AB31" s="4"/>
      <c r="AC31" s="5"/>
      <c r="AF31" s="6" t="s">
        <v>4</v>
      </c>
      <c r="AG31" s="9"/>
      <c r="AH31" s="4"/>
      <c r="AI31" s="4"/>
      <c r="AJ31" s="4"/>
      <c r="AK31" s="4"/>
      <c r="AL31" s="5"/>
    </row>
    <row r="32" spans="1:38" ht="15.75" thickBot="1" x14ac:dyDescent="0.3">
      <c r="A32" s="100"/>
      <c r="B32" s="26"/>
      <c r="C32" s="27"/>
      <c r="D32" s="27"/>
      <c r="E32" s="27"/>
      <c r="F32" s="27">
        <f>SUM(C32-B32)</f>
        <v>0</v>
      </c>
      <c r="G32" s="20">
        <f>SUM(E32-D32)</f>
        <v>0</v>
      </c>
      <c r="H32" s="21">
        <f>SUM(F32:G32)</f>
        <v>0</v>
      </c>
      <c r="J32" s="7" t="s">
        <v>22</v>
      </c>
      <c r="K32" s="10"/>
      <c r="L32" s="11"/>
      <c r="M32" s="11"/>
      <c r="N32" s="11"/>
      <c r="O32" s="11"/>
      <c r="P32" s="11"/>
      <c r="Q32" s="11"/>
      <c r="R32" s="11"/>
      <c r="S32" s="11"/>
      <c r="T32" s="11"/>
      <c r="U32" s="12"/>
      <c r="W32" s="7" t="s">
        <v>22</v>
      </c>
      <c r="X32" s="10"/>
      <c r="Y32" s="11"/>
      <c r="Z32" s="11"/>
      <c r="AA32" s="11"/>
      <c r="AB32" s="11"/>
      <c r="AC32" s="12"/>
      <c r="AF32" s="7" t="s">
        <v>22</v>
      </c>
      <c r="AG32" s="10"/>
      <c r="AH32" s="11"/>
      <c r="AI32" s="11"/>
      <c r="AJ32" s="11"/>
      <c r="AK32" s="11"/>
      <c r="AL32" s="12"/>
    </row>
    <row r="33" spans="1:38" x14ac:dyDescent="0.25">
      <c r="J33" s="8"/>
      <c r="T33" s="8" t="s">
        <v>23</v>
      </c>
      <c r="U33" s="13">
        <f>SUM(K32:U32)</f>
        <v>0</v>
      </c>
      <c r="AB33" s="8" t="s">
        <v>23</v>
      </c>
      <c r="AC33" s="13">
        <f>SUM(X32:AC32)</f>
        <v>0</v>
      </c>
      <c r="AK33" s="8" t="s">
        <v>23</v>
      </c>
      <c r="AL33" s="13">
        <f>SUM(AG32:AL32)</f>
        <v>0</v>
      </c>
    </row>
    <row r="34" spans="1:38" ht="15.75" thickBot="1" x14ac:dyDescent="0.3">
      <c r="A34" s="19"/>
      <c r="B34" s="101" t="s">
        <v>17</v>
      </c>
      <c r="C34" s="101"/>
      <c r="D34" s="101"/>
      <c r="E34" s="101"/>
      <c r="F34" s="101"/>
      <c r="G34" s="101"/>
      <c r="H34" s="101"/>
      <c r="J34" s="102" t="s">
        <v>17</v>
      </c>
      <c r="K34" s="102"/>
      <c r="L34" s="102"/>
      <c r="M34" s="102"/>
      <c r="N34" s="102"/>
      <c r="O34" s="102"/>
      <c r="P34" s="102"/>
      <c r="Q34" s="102"/>
      <c r="R34" s="102"/>
      <c r="S34" s="102"/>
      <c r="T34" s="102"/>
      <c r="U34" s="102"/>
      <c r="W34" s="103" t="str">
        <f>J34</f>
        <v>Agosto</v>
      </c>
      <c r="X34" s="103"/>
      <c r="Y34" s="103"/>
      <c r="Z34" s="103"/>
      <c r="AA34" s="103"/>
      <c r="AB34" s="103"/>
      <c r="AC34" s="103"/>
      <c r="AF34" s="104" t="str">
        <f>W34</f>
        <v>Agosto</v>
      </c>
      <c r="AG34" s="104"/>
      <c r="AH34" s="104"/>
      <c r="AI34" s="104"/>
      <c r="AJ34" s="104"/>
      <c r="AK34" s="104"/>
      <c r="AL34" s="104"/>
    </row>
    <row r="35" spans="1:38" ht="15.75" thickBot="1" x14ac:dyDescent="0.3">
      <c r="A35" s="100" t="s">
        <v>5</v>
      </c>
      <c r="B35" s="34" t="s">
        <v>6</v>
      </c>
      <c r="C35" s="22" t="s">
        <v>7</v>
      </c>
      <c r="D35" s="33" t="s">
        <v>8</v>
      </c>
      <c r="E35" s="22" t="s">
        <v>9</v>
      </c>
      <c r="F35" s="24" t="s">
        <v>10</v>
      </c>
      <c r="G35" s="23" t="s">
        <v>11</v>
      </c>
      <c r="H35" s="25" t="s">
        <v>12</v>
      </c>
      <c r="J35" s="6" t="s">
        <v>4</v>
      </c>
      <c r="K35" s="9"/>
      <c r="L35" s="4"/>
      <c r="M35" s="4"/>
      <c r="N35" s="4"/>
      <c r="O35" s="4"/>
      <c r="P35" s="4"/>
      <c r="Q35" s="4"/>
      <c r="R35" s="4"/>
      <c r="S35" s="4"/>
      <c r="T35" s="4"/>
      <c r="U35" s="5"/>
      <c r="W35" s="6" t="s">
        <v>4</v>
      </c>
      <c r="X35" s="9"/>
      <c r="Y35" s="4"/>
      <c r="Z35" s="4"/>
      <c r="AA35" s="4"/>
      <c r="AB35" s="4"/>
      <c r="AC35" s="5"/>
      <c r="AF35" s="6" t="s">
        <v>4</v>
      </c>
      <c r="AG35" s="9"/>
      <c r="AH35" s="4"/>
      <c r="AI35" s="4"/>
      <c r="AJ35" s="4"/>
      <c r="AK35" s="4"/>
      <c r="AL35" s="5"/>
    </row>
    <row r="36" spans="1:38" ht="15.75" thickBot="1" x14ac:dyDescent="0.3">
      <c r="A36" s="100"/>
      <c r="B36" s="26"/>
      <c r="C36" s="27"/>
      <c r="D36" s="27"/>
      <c r="E36" s="27"/>
      <c r="F36" s="27">
        <f>SUM(C36-B36)</f>
        <v>0</v>
      </c>
      <c r="G36" s="20">
        <f>SUM(E36-D36)</f>
        <v>0</v>
      </c>
      <c r="H36" s="21">
        <f>SUM(F36:G36)</f>
        <v>0</v>
      </c>
      <c r="J36" s="7" t="s">
        <v>22</v>
      </c>
      <c r="K36" s="10"/>
      <c r="L36" s="11"/>
      <c r="M36" s="11"/>
      <c r="N36" s="11"/>
      <c r="O36" s="11"/>
      <c r="P36" s="11"/>
      <c r="Q36" s="11"/>
      <c r="R36" s="11"/>
      <c r="S36" s="11"/>
      <c r="T36" s="11"/>
      <c r="U36" s="12"/>
      <c r="W36" s="7" t="s">
        <v>22</v>
      </c>
      <c r="X36" s="10"/>
      <c r="Y36" s="11"/>
      <c r="Z36" s="11"/>
      <c r="AA36" s="11"/>
      <c r="AB36" s="11"/>
      <c r="AC36" s="12"/>
      <c r="AF36" s="7" t="s">
        <v>22</v>
      </c>
      <c r="AG36" s="10"/>
      <c r="AH36" s="11"/>
      <c r="AI36" s="11"/>
      <c r="AJ36" s="11"/>
      <c r="AK36" s="11"/>
      <c r="AL36" s="12"/>
    </row>
    <row r="37" spans="1:38" x14ac:dyDescent="0.25">
      <c r="J37" s="8"/>
      <c r="T37" s="8" t="s">
        <v>23</v>
      </c>
      <c r="U37" s="13">
        <f>SUM(K36:U36)</f>
        <v>0</v>
      </c>
      <c r="AB37" s="8" t="s">
        <v>23</v>
      </c>
      <c r="AC37" s="13">
        <f>SUM(X36:AC36)</f>
        <v>0</v>
      </c>
      <c r="AK37" s="8" t="s">
        <v>23</v>
      </c>
      <c r="AL37" s="13">
        <f>SUM(AG36:AL36)</f>
        <v>0</v>
      </c>
    </row>
    <row r="38" spans="1:38" ht="15.75" thickBot="1" x14ac:dyDescent="0.3">
      <c r="A38" s="19"/>
      <c r="B38" s="101" t="s">
        <v>18</v>
      </c>
      <c r="C38" s="101"/>
      <c r="D38" s="101"/>
      <c r="E38" s="101"/>
      <c r="F38" s="101"/>
      <c r="G38" s="101"/>
      <c r="H38" s="101"/>
      <c r="J38" s="102" t="s">
        <v>18</v>
      </c>
      <c r="K38" s="102"/>
      <c r="L38" s="102"/>
      <c r="M38" s="102"/>
      <c r="N38" s="102"/>
      <c r="O38" s="102"/>
      <c r="P38" s="102"/>
      <c r="Q38" s="102"/>
      <c r="R38" s="102"/>
      <c r="S38" s="102"/>
      <c r="T38" s="102"/>
      <c r="U38" s="102"/>
      <c r="W38" s="103" t="str">
        <f>J38</f>
        <v>Setembro</v>
      </c>
      <c r="X38" s="103"/>
      <c r="Y38" s="103"/>
      <c r="Z38" s="103"/>
      <c r="AA38" s="103"/>
      <c r="AB38" s="103"/>
      <c r="AC38" s="103"/>
      <c r="AF38" s="104" t="str">
        <f>W38</f>
        <v>Setembro</v>
      </c>
      <c r="AG38" s="104"/>
      <c r="AH38" s="104"/>
      <c r="AI38" s="104"/>
      <c r="AJ38" s="104"/>
      <c r="AK38" s="104"/>
      <c r="AL38" s="104"/>
    </row>
    <row r="39" spans="1:38" ht="15.75" thickBot="1" x14ac:dyDescent="0.3">
      <c r="A39" s="100" t="s">
        <v>5</v>
      </c>
      <c r="B39" s="34" t="s">
        <v>6</v>
      </c>
      <c r="C39" s="22" t="s">
        <v>7</v>
      </c>
      <c r="D39" s="33" t="s">
        <v>8</v>
      </c>
      <c r="E39" s="22" t="s">
        <v>9</v>
      </c>
      <c r="F39" s="24" t="s">
        <v>10</v>
      </c>
      <c r="G39" s="23" t="s">
        <v>11</v>
      </c>
      <c r="H39" s="25" t="s">
        <v>12</v>
      </c>
      <c r="J39" s="6" t="s">
        <v>4</v>
      </c>
      <c r="K39" s="9"/>
      <c r="L39" s="4"/>
      <c r="M39" s="4"/>
      <c r="N39" s="4"/>
      <c r="O39" s="4"/>
      <c r="P39" s="4"/>
      <c r="Q39" s="4"/>
      <c r="R39" s="4"/>
      <c r="S39" s="4"/>
      <c r="T39" s="4"/>
      <c r="U39" s="5"/>
      <c r="W39" s="6" t="s">
        <v>4</v>
      </c>
      <c r="X39" s="9"/>
      <c r="Y39" s="4"/>
      <c r="Z39" s="4"/>
      <c r="AA39" s="4"/>
      <c r="AB39" s="4"/>
      <c r="AC39" s="5"/>
      <c r="AF39" s="6" t="s">
        <v>4</v>
      </c>
      <c r="AG39" s="9"/>
      <c r="AH39" s="4"/>
      <c r="AI39" s="4"/>
      <c r="AJ39" s="4"/>
      <c r="AK39" s="4"/>
      <c r="AL39" s="5"/>
    </row>
    <row r="40" spans="1:38" ht="15.75" thickBot="1" x14ac:dyDescent="0.3">
      <c r="A40" s="100"/>
      <c r="B40" s="26"/>
      <c r="C40" s="27"/>
      <c r="D40" s="27"/>
      <c r="E40" s="27"/>
      <c r="F40" s="27">
        <f>SUM(C40-B40)</f>
        <v>0</v>
      </c>
      <c r="G40" s="20">
        <f>SUM(E40-D40)</f>
        <v>0</v>
      </c>
      <c r="H40" s="21">
        <f>SUM(F40:G40)</f>
        <v>0</v>
      </c>
      <c r="J40" s="7" t="s">
        <v>22</v>
      </c>
      <c r="K40" s="10"/>
      <c r="L40" s="11"/>
      <c r="M40" s="11"/>
      <c r="N40" s="11"/>
      <c r="O40" s="11"/>
      <c r="P40" s="11"/>
      <c r="Q40" s="11"/>
      <c r="R40" s="11"/>
      <c r="S40" s="11"/>
      <c r="T40" s="11"/>
      <c r="U40" s="12"/>
      <c r="W40" s="7" t="s">
        <v>22</v>
      </c>
      <c r="X40" s="10"/>
      <c r="Y40" s="11"/>
      <c r="Z40" s="11"/>
      <c r="AA40" s="11"/>
      <c r="AB40" s="11"/>
      <c r="AC40" s="12"/>
      <c r="AF40" s="7" t="s">
        <v>22</v>
      </c>
      <c r="AG40" s="10"/>
      <c r="AH40" s="11"/>
      <c r="AI40" s="11"/>
      <c r="AJ40" s="11"/>
      <c r="AK40" s="11"/>
      <c r="AL40" s="12"/>
    </row>
    <row r="41" spans="1:38" x14ac:dyDescent="0.25">
      <c r="J41" s="8"/>
      <c r="T41" s="8" t="s">
        <v>23</v>
      </c>
      <c r="U41" s="13">
        <f>SUM(K40:U40)</f>
        <v>0</v>
      </c>
      <c r="AB41" s="8" t="s">
        <v>23</v>
      </c>
      <c r="AC41" s="13">
        <f>SUM(X40:AC40)</f>
        <v>0</v>
      </c>
      <c r="AK41" s="8" t="s">
        <v>23</v>
      </c>
      <c r="AL41" s="13">
        <f>SUM(AG40:AL40)</f>
        <v>0</v>
      </c>
    </row>
    <row r="42" spans="1:38" ht="15.75" thickBot="1" x14ac:dyDescent="0.3">
      <c r="A42" s="19"/>
      <c r="B42" s="101" t="s">
        <v>19</v>
      </c>
      <c r="C42" s="101"/>
      <c r="D42" s="101"/>
      <c r="E42" s="101"/>
      <c r="F42" s="101"/>
      <c r="G42" s="101"/>
      <c r="H42" s="101"/>
      <c r="J42" s="102" t="s">
        <v>19</v>
      </c>
      <c r="K42" s="102"/>
      <c r="L42" s="102"/>
      <c r="M42" s="102"/>
      <c r="N42" s="102"/>
      <c r="O42" s="102"/>
      <c r="P42" s="102"/>
      <c r="Q42" s="102"/>
      <c r="R42" s="102"/>
      <c r="S42" s="102"/>
      <c r="T42" s="102"/>
      <c r="U42" s="102"/>
      <c r="W42" s="103" t="str">
        <f>J42</f>
        <v>Outubro</v>
      </c>
      <c r="X42" s="103"/>
      <c r="Y42" s="103"/>
      <c r="Z42" s="103"/>
      <c r="AA42" s="103"/>
      <c r="AB42" s="103"/>
      <c r="AC42" s="103"/>
      <c r="AF42" s="104" t="str">
        <f>W42</f>
        <v>Outubro</v>
      </c>
      <c r="AG42" s="104"/>
      <c r="AH42" s="104"/>
      <c r="AI42" s="104"/>
      <c r="AJ42" s="104"/>
      <c r="AK42" s="104"/>
      <c r="AL42" s="104"/>
    </row>
    <row r="43" spans="1:38" ht="15.75" thickBot="1" x14ac:dyDescent="0.3">
      <c r="A43" s="100" t="s">
        <v>5</v>
      </c>
      <c r="B43" s="34" t="s">
        <v>6</v>
      </c>
      <c r="C43" s="22" t="s">
        <v>7</v>
      </c>
      <c r="D43" s="33" t="s">
        <v>8</v>
      </c>
      <c r="E43" s="22" t="s">
        <v>9</v>
      </c>
      <c r="F43" s="24" t="s">
        <v>10</v>
      </c>
      <c r="G43" s="23" t="s">
        <v>11</v>
      </c>
      <c r="H43" s="25" t="s">
        <v>12</v>
      </c>
      <c r="J43" s="6" t="s">
        <v>4</v>
      </c>
      <c r="K43" s="9"/>
      <c r="L43" s="4"/>
      <c r="M43" s="4"/>
      <c r="N43" s="4"/>
      <c r="O43" s="4"/>
      <c r="P43" s="4"/>
      <c r="Q43" s="4"/>
      <c r="R43" s="4"/>
      <c r="S43" s="4"/>
      <c r="T43" s="4"/>
      <c r="U43" s="5"/>
      <c r="W43" s="6" t="s">
        <v>4</v>
      </c>
      <c r="X43" s="9"/>
      <c r="Y43" s="4"/>
      <c r="Z43" s="4"/>
      <c r="AA43" s="4"/>
      <c r="AB43" s="4"/>
      <c r="AC43" s="5"/>
      <c r="AF43" s="6" t="s">
        <v>4</v>
      </c>
      <c r="AG43" s="9"/>
      <c r="AH43" s="4"/>
      <c r="AI43" s="4"/>
      <c r="AJ43" s="4"/>
      <c r="AK43" s="4"/>
      <c r="AL43" s="5"/>
    </row>
    <row r="44" spans="1:38" ht="15.75" thickBot="1" x14ac:dyDescent="0.3">
      <c r="A44" s="100"/>
      <c r="B44" s="26"/>
      <c r="C44" s="27"/>
      <c r="D44" s="27"/>
      <c r="E44" s="27"/>
      <c r="F44" s="27">
        <f>SUM(C44-B44)</f>
        <v>0</v>
      </c>
      <c r="G44" s="20">
        <f>SUM(E44-D44)</f>
        <v>0</v>
      </c>
      <c r="H44" s="21">
        <f>SUM(F44:G44)</f>
        <v>0</v>
      </c>
      <c r="J44" s="7" t="s">
        <v>22</v>
      </c>
      <c r="K44" s="10"/>
      <c r="L44" s="11"/>
      <c r="M44" s="11"/>
      <c r="N44" s="11"/>
      <c r="O44" s="11"/>
      <c r="P44" s="11"/>
      <c r="Q44" s="11"/>
      <c r="R44" s="11"/>
      <c r="S44" s="11"/>
      <c r="T44" s="11"/>
      <c r="U44" s="12"/>
      <c r="W44" s="7" t="s">
        <v>22</v>
      </c>
      <c r="X44" s="10"/>
      <c r="Y44" s="11"/>
      <c r="Z44" s="11"/>
      <c r="AA44" s="11"/>
      <c r="AB44" s="11"/>
      <c r="AC44" s="12"/>
      <c r="AF44" s="7" t="s">
        <v>22</v>
      </c>
      <c r="AG44" s="10"/>
      <c r="AH44" s="11"/>
      <c r="AI44" s="11"/>
      <c r="AJ44" s="11"/>
      <c r="AK44" s="11"/>
      <c r="AL44" s="12"/>
    </row>
    <row r="45" spans="1:38" x14ac:dyDescent="0.25">
      <c r="J45" s="8"/>
      <c r="T45" s="8" t="s">
        <v>23</v>
      </c>
      <c r="U45" s="13">
        <f>SUM(K44:U44)</f>
        <v>0</v>
      </c>
      <c r="AB45" s="8" t="s">
        <v>23</v>
      </c>
      <c r="AC45" s="13">
        <f>SUM(X44:AC44)</f>
        <v>0</v>
      </c>
      <c r="AK45" s="8" t="s">
        <v>23</v>
      </c>
      <c r="AL45" s="13">
        <f>SUM(AG44:AL44)</f>
        <v>0</v>
      </c>
    </row>
    <row r="46" spans="1:38" ht="15.75" thickBot="1" x14ac:dyDescent="0.3">
      <c r="A46" s="19"/>
      <c r="B46" s="101" t="s">
        <v>20</v>
      </c>
      <c r="C46" s="101"/>
      <c r="D46" s="101"/>
      <c r="E46" s="101"/>
      <c r="F46" s="101"/>
      <c r="G46" s="101"/>
      <c r="H46" s="101"/>
      <c r="J46" s="102" t="s">
        <v>20</v>
      </c>
      <c r="K46" s="102"/>
      <c r="L46" s="102"/>
      <c r="M46" s="102"/>
      <c r="N46" s="102"/>
      <c r="O46" s="102"/>
      <c r="P46" s="102"/>
      <c r="Q46" s="102"/>
      <c r="R46" s="102"/>
      <c r="S46" s="102"/>
      <c r="T46" s="102"/>
      <c r="U46" s="102"/>
      <c r="W46" s="103" t="str">
        <f>J46</f>
        <v>Novembro</v>
      </c>
      <c r="X46" s="103"/>
      <c r="Y46" s="103"/>
      <c r="Z46" s="103"/>
      <c r="AA46" s="103"/>
      <c r="AB46" s="103"/>
      <c r="AC46" s="103"/>
      <c r="AF46" s="104" t="str">
        <f>W46</f>
        <v>Novembro</v>
      </c>
      <c r="AG46" s="104"/>
      <c r="AH46" s="104"/>
      <c r="AI46" s="104"/>
      <c r="AJ46" s="104"/>
      <c r="AK46" s="104"/>
      <c r="AL46" s="104"/>
    </row>
    <row r="47" spans="1:38" ht="15.75" thickBot="1" x14ac:dyDescent="0.3">
      <c r="A47" s="100" t="s">
        <v>5</v>
      </c>
      <c r="B47" s="34" t="s">
        <v>6</v>
      </c>
      <c r="C47" s="22" t="s">
        <v>7</v>
      </c>
      <c r="D47" s="33" t="s">
        <v>8</v>
      </c>
      <c r="E47" s="22" t="s">
        <v>9</v>
      </c>
      <c r="F47" s="24" t="s">
        <v>10</v>
      </c>
      <c r="G47" s="23" t="s">
        <v>11</v>
      </c>
      <c r="H47" s="25" t="s">
        <v>12</v>
      </c>
      <c r="J47" s="6" t="s">
        <v>4</v>
      </c>
      <c r="K47" s="9"/>
      <c r="L47" s="4"/>
      <c r="M47" s="4"/>
      <c r="N47" s="4"/>
      <c r="O47" s="4"/>
      <c r="P47" s="4"/>
      <c r="Q47" s="4"/>
      <c r="R47" s="4"/>
      <c r="S47" s="4"/>
      <c r="T47" s="4"/>
      <c r="U47" s="5"/>
      <c r="W47" s="6" t="s">
        <v>4</v>
      </c>
      <c r="X47" s="9"/>
      <c r="Y47" s="4"/>
      <c r="Z47" s="4"/>
      <c r="AA47" s="4"/>
      <c r="AB47" s="4"/>
      <c r="AC47" s="5"/>
      <c r="AF47" s="6" t="s">
        <v>4</v>
      </c>
      <c r="AG47" s="9"/>
      <c r="AH47" s="4"/>
      <c r="AI47" s="4"/>
      <c r="AJ47" s="4"/>
      <c r="AK47" s="4"/>
      <c r="AL47" s="5"/>
    </row>
    <row r="48" spans="1:38" ht="15.75" thickBot="1" x14ac:dyDescent="0.3">
      <c r="A48" s="100"/>
      <c r="B48" s="26"/>
      <c r="C48" s="27"/>
      <c r="D48" s="27"/>
      <c r="E48" s="27"/>
      <c r="F48" s="27">
        <f>SUM(C48-B48)</f>
        <v>0</v>
      </c>
      <c r="G48" s="20">
        <f>SUM(E48-D48)</f>
        <v>0</v>
      </c>
      <c r="H48" s="21">
        <f>SUM(F48:G48)</f>
        <v>0</v>
      </c>
      <c r="J48" s="7" t="s">
        <v>22</v>
      </c>
      <c r="K48" s="10"/>
      <c r="L48" s="11"/>
      <c r="M48" s="11"/>
      <c r="N48" s="11"/>
      <c r="O48" s="11"/>
      <c r="P48" s="11"/>
      <c r="Q48" s="11"/>
      <c r="R48" s="11"/>
      <c r="S48" s="11"/>
      <c r="T48" s="11"/>
      <c r="U48" s="12"/>
      <c r="W48" s="7" t="s">
        <v>22</v>
      </c>
      <c r="X48" s="10"/>
      <c r="Y48" s="11"/>
      <c r="Z48" s="11"/>
      <c r="AA48" s="11"/>
      <c r="AB48" s="11"/>
      <c r="AC48" s="12"/>
      <c r="AF48" s="7" t="s">
        <v>22</v>
      </c>
      <c r="AG48" s="10"/>
      <c r="AH48" s="11"/>
      <c r="AI48" s="11"/>
      <c r="AJ48" s="11"/>
      <c r="AK48" s="11"/>
      <c r="AL48" s="12"/>
    </row>
    <row r="49" spans="1:38" x14ac:dyDescent="0.25">
      <c r="J49" s="8"/>
      <c r="T49" s="8" t="s">
        <v>23</v>
      </c>
      <c r="U49" s="13">
        <f>SUM(K48:U48)</f>
        <v>0</v>
      </c>
      <c r="AB49" s="8" t="s">
        <v>23</v>
      </c>
      <c r="AC49" s="13">
        <f>SUM(X48:AC48)</f>
        <v>0</v>
      </c>
      <c r="AK49" s="8" t="s">
        <v>23</v>
      </c>
      <c r="AL49" s="13">
        <f>SUM(AG48:AL48)</f>
        <v>0</v>
      </c>
    </row>
    <row r="50" spans="1:38" ht="15.75" thickBot="1" x14ac:dyDescent="0.3">
      <c r="A50" s="19"/>
      <c r="B50" s="101" t="s">
        <v>21</v>
      </c>
      <c r="C50" s="101"/>
      <c r="D50" s="101"/>
      <c r="E50" s="101"/>
      <c r="F50" s="101"/>
      <c r="G50" s="101"/>
      <c r="H50" s="101"/>
      <c r="J50" s="102" t="s">
        <v>21</v>
      </c>
      <c r="K50" s="102"/>
      <c r="L50" s="102"/>
      <c r="M50" s="102"/>
      <c r="N50" s="102"/>
      <c r="O50" s="102"/>
      <c r="P50" s="102"/>
      <c r="Q50" s="102"/>
      <c r="R50" s="102"/>
      <c r="S50" s="102"/>
      <c r="T50" s="102"/>
      <c r="U50" s="102"/>
      <c r="W50" s="103" t="str">
        <f>J50</f>
        <v>Dezembro</v>
      </c>
      <c r="X50" s="103"/>
      <c r="Y50" s="103"/>
      <c r="Z50" s="103"/>
      <c r="AA50" s="103"/>
      <c r="AB50" s="103"/>
      <c r="AC50" s="103"/>
      <c r="AF50" s="104" t="str">
        <f>W50</f>
        <v>Dezembro</v>
      </c>
      <c r="AG50" s="104"/>
      <c r="AH50" s="104"/>
      <c r="AI50" s="104"/>
      <c r="AJ50" s="104"/>
      <c r="AK50" s="104"/>
      <c r="AL50" s="104"/>
    </row>
    <row r="51" spans="1:38" ht="15.75" thickBot="1" x14ac:dyDescent="0.3">
      <c r="A51" s="100" t="s">
        <v>5</v>
      </c>
      <c r="B51" s="34" t="s">
        <v>6</v>
      </c>
      <c r="C51" s="22" t="s">
        <v>7</v>
      </c>
      <c r="D51" s="33" t="s">
        <v>8</v>
      </c>
      <c r="E51" s="22" t="s">
        <v>9</v>
      </c>
      <c r="F51" s="24" t="s">
        <v>10</v>
      </c>
      <c r="G51" s="23" t="s">
        <v>11</v>
      </c>
      <c r="H51" s="25" t="s">
        <v>12</v>
      </c>
      <c r="J51" s="6" t="s">
        <v>4</v>
      </c>
      <c r="K51" s="9"/>
      <c r="L51" s="4"/>
      <c r="M51" s="4"/>
      <c r="N51" s="4"/>
      <c r="O51" s="4"/>
      <c r="P51" s="4"/>
      <c r="Q51" s="4"/>
      <c r="R51" s="4"/>
      <c r="S51" s="4"/>
      <c r="T51" s="4"/>
      <c r="U51" s="5"/>
      <c r="W51" s="6" t="s">
        <v>4</v>
      </c>
      <c r="X51" s="9"/>
      <c r="Y51" s="4"/>
      <c r="Z51" s="4"/>
      <c r="AA51" s="4"/>
      <c r="AB51" s="4"/>
      <c r="AC51" s="5"/>
      <c r="AF51" s="6" t="s">
        <v>4</v>
      </c>
      <c r="AG51" s="9"/>
      <c r="AH51" s="4"/>
      <c r="AI51" s="4"/>
      <c r="AJ51" s="4"/>
      <c r="AK51" s="4"/>
      <c r="AL51" s="5"/>
    </row>
    <row r="52" spans="1:38" ht="15.75" thickBot="1" x14ac:dyDescent="0.3">
      <c r="A52" s="100"/>
      <c r="B52" s="26"/>
      <c r="C52" s="27"/>
      <c r="D52" s="27"/>
      <c r="E52" s="27"/>
      <c r="F52" s="27">
        <f>SUM(C52-B52)</f>
        <v>0</v>
      </c>
      <c r="G52" s="20">
        <f>SUM(E52-D52)</f>
        <v>0</v>
      </c>
      <c r="H52" s="21">
        <f>SUM(F52:G52)</f>
        <v>0</v>
      </c>
      <c r="J52" s="7" t="s">
        <v>22</v>
      </c>
      <c r="K52" s="10"/>
      <c r="L52" s="11"/>
      <c r="M52" s="11"/>
      <c r="N52" s="11"/>
      <c r="O52" s="11"/>
      <c r="P52" s="11"/>
      <c r="Q52" s="11"/>
      <c r="R52" s="11"/>
      <c r="S52" s="11"/>
      <c r="T52" s="11"/>
      <c r="U52" s="12"/>
      <c r="W52" s="7" t="s">
        <v>22</v>
      </c>
      <c r="X52" s="10"/>
      <c r="Y52" s="11"/>
      <c r="Z52" s="11"/>
      <c r="AA52" s="11"/>
      <c r="AB52" s="11"/>
      <c r="AC52" s="12"/>
      <c r="AF52" s="7" t="s">
        <v>22</v>
      </c>
      <c r="AG52" s="10"/>
      <c r="AH52" s="11"/>
      <c r="AI52" s="11"/>
      <c r="AJ52" s="11"/>
      <c r="AK52" s="11"/>
      <c r="AL52" s="12"/>
    </row>
    <row r="53" spans="1:38" x14ac:dyDescent="0.25">
      <c r="J53" s="8"/>
      <c r="T53" s="8" t="s">
        <v>23</v>
      </c>
      <c r="U53" s="13">
        <f>SUM(K52:U52)</f>
        <v>0</v>
      </c>
      <c r="AB53" s="8" t="s">
        <v>23</v>
      </c>
      <c r="AC53" s="13">
        <f>SUM(X52:AC52)</f>
        <v>0</v>
      </c>
      <c r="AK53" s="8" t="s">
        <v>23</v>
      </c>
      <c r="AL53" s="13">
        <f>SUM(AG52:AL52)</f>
        <v>0</v>
      </c>
    </row>
  </sheetData>
  <mergeCells count="66">
    <mergeCell ref="B2:C2"/>
    <mergeCell ref="E2:F2"/>
    <mergeCell ref="B5:C5"/>
    <mergeCell ref="E5:F5"/>
    <mergeCell ref="A8:H8"/>
    <mergeCell ref="B4:C4"/>
    <mergeCell ref="E4:F4"/>
    <mergeCell ref="E3:F3"/>
    <mergeCell ref="A15:A16"/>
    <mergeCell ref="W8:AC8"/>
    <mergeCell ref="AF8:AL8"/>
    <mergeCell ref="B10:H10"/>
    <mergeCell ref="J10:U10"/>
    <mergeCell ref="W10:AC10"/>
    <mergeCell ref="AF10:AL10"/>
    <mergeCell ref="J8:U8"/>
    <mergeCell ref="A11:A12"/>
    <mergeCell ref="B14:H14"/>
    <mergeCell ref="J14:U14"/>
    <mergeCell ref="W14:AC14"/>
    <mergeCell ref="AF14:AL14"/>
    <mergeCell ref="A27:A28"/>
    <mergeCell ref="B18:H18"/>
    <mergeCell ref="J18:U18"/>
    <mergeCell ref="W18:AC18"/>
    <mergeCell ref="AF18:AL18"/>
    <mergeCell ref="A19:A20"/>
    <mergeCell ref="B22:H22"/>
    <mergeCell ref="J22:U22"/>
    <mergeCell ref="W22:AC22"/>
    <mergeCell ref="AF22:AL22"/>
    <mergeCell ref="A23:A24"/>
    <mergeCell ref="B26:H26"/>
    <mergeCell ref="J26:U26"/>
    <mergeCell ref="W26:AC26"/>
    <mergeCell ref="AF26:AL26"/>
    <mergeCell ref="A39:A40"/>
    <mergeCell ref="B30:H30"/>
    <mergeCell ref="J30:U30"/>
    <mergeCell ref="W30:AC30"/>
    <mergeCell ref="AF30:AL30"/>
    <mergeCell ref="A31:A32"/>
    <mergeCell ref="B34:H34"/>
    <mergeCell ref="J34:U34"/>
    <mergeCell ref="W34:AC34"/>
    <mergeCell ref="AF34:AL34"/>
    <mergeCell ref="A35:A36"/>
    <mergeCell ref="B38:H38"/>
    <mergeCell ref="J38:U38"/>
    <mergeCell ref="W38:AC38"/>
    <mergeCell ref="AF38:AL38"/>
    <mergeCell ref="A51:A52"/>
    <mergeCell ref="B42:H42"/>
    <mergeCell ref="J42:U42"/>
    <mergeCell ref="W42:AC42"/>
    <mergeCell ref="AF42:AL42"/>
    <mergeCell ref="A43:A44"/>
    <mergeCell ref="B46:H46"/>
    <mergeCell ref="J46:U46"/>
    <mergeCell ref="W46:AC46"/>
    <mergeCell ref="AF46:AL46"/>
    <mergeCell ref="A47:A48"/>
    <mergeCell ref="B50:H50"/>
    <mergeCell ref="J50:U50"/>
    <mergeCell ref="W50:AC50"/>
    <mergeCell ref="AF50:AL50"/>
  </mergeCells>
  <phoneticPr fontId="3" type="noConversion"/>
  <pageMargins left="0.511811024" right="0.511811024" top="0.78740157499999996" bottom="0.78740157499999996" header="0.31496062000000002" footer="0.31496062000000002"/>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53"/>
  <sheetViews>
    <sheetView showGridLines="0" tabSelected="1" workbookViewId="0">
      <selection activeCell="I8" sqref="I8"/>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3.140625"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7" t="s">
        <v>151</v>
      </c>
      <c r="C2" s="107"/>
      <c r="D2" s="1" t="s">
        <v>1</v>
      </c>
      <c r="E2" s="107" t="s">
        <v>205</v>
      </c>
      <c r="F2" s="107"/>
      <c r="H2" t="s">
        <v>201</v>
      </c>
      <c r="I2" s="96">
        <v>3000</v>
      </c>
    </row>
    <row r="3" spans="1:40" x14ac:dyDescent="0.25">
      <c r="A3" t="s">
        <v>194</v>
      </c>
      <c r="B3" s="87">
        <v>46182</v>
      </c>
      <c r="C3" s="84"/>
      <c r="D3" s="1" t="s">
        <v>1</v>
      </c>
      <c r="E3" s="107" t="s">
        <v>205</v>
      </c>
      <c r="F3" s="107"/>
      <c r="H3" t="s">
        <v>203</v>
      </c>
      <c r="I3" s="96" t="s">
        <v>207</v>
      </c>
    </row>
    <row r="4" spans="1:40" x14ac:dyDescent="0.25">
      <c r="F4" s="1"/>
    </row>
    <row r="5" spans="1:40" x14ac:dyDescent="0.25">
      <c r="A5" t="s">
        <v>2</v>
      </c>
      <c r="B5" s="108">
        <v>2606.08</v>
      </c>
      <c r="C5" s="108"/>
      <c r="D5" s="1" t="s">
        <v>29</v>
      </c>
      <c r="E5" s="107" t="s">
        <v>206</v>
      </c>
      <c r="F5" s="107"/>
      <c r="H5" t="s">
        <v>197</v>
      </c>
      <c r="I5" s="95">
        <v>46179</v>
      </c>
    </row>
    <row r="8" spans="1:40" ht="21" x14ac:dyDescent="0.35">
      <c r="A8" s="109" t="s">
        <v>28</v>
      </c>
      <c r="B8" s="109"/>
      <c r="C8" s="109"/>
      <c r="D8" s="109"/>
      <c r="E8" s="109"/>
      <c r="F8" s="109"/>
      <c r="G8" s="109"/>
      <c r="H8" s="109"/>
      <c r="J8" s="106" t="s">
        <v>26</v>
      </c>
      <c r="K8" s="106"/>
      <c r="L8" s="106"/>
      <c r="M8" s="106"/>
      <c r="N8" s="106"/>
      <c r="O8" s="106"/>
      <c r="P8" s="106"/>
      <c r="Q8" s="106"/>
      <c r="R8" s="106"/>
      <c r="S8" s="106"/>
      <c r="T8" s="106"/>
      <c r="U8" s="106"/>
      <c r="V8" s="2"/>
      <c r="W8" s="2"/>
      <c r="X8" s="2"/>
      <c r="Y8" s="105" t="s">
        <v>25</v>
      </c>
      <c r="Z8" s="105"/>
      <c r="AA8" s="105"/>
      <c r="AB8" s="105"/>
      <c r="AC8" s="105"/>
      <c r="AD8" s="105"/>
      <c r="AE8" s="105"/>
      <c r="AF8" s="2"/>
      <c r="AG8" s="2"/>
      <c r="AH8" s="105" t="s">
        <v>27</v>
      </c>
      <c r="AI8" s="105"/>
      <c r="AJ8" s="105"/>
      <c r="AK8" s="105"/>
      <c r="AL8" s="105"/>
      <c r="AM8" s="105"/>
      <c r="AN8" s="105"/>
    </row>
    <row r="9" spans="1:40" s="15" customFormat="1" ht="21" x14ac:dyDescent="0.35">
      <c r="A9" s="14"/>
      <c r="B9" s="14"/>
      <c r="C9" s="14"/>
      <c r="D9" s="14"/>
      <c r="E9" s="14"/>
      <c r="F9" s="14"/>
      <c r="G9" s="14"/>
      <c r="H9" s="14"/>
      <c r="J9" s="16"/>
      <c r="K9" s="16"/>
      <c r="L9" s="16"/>
      <c r="M9" s="16"/>
      <c r="N9" s="16"/>
      <c r="O9" s="16"/>
      <c r="P9" s="16"/>
      <c r="Q9" s="16"/>
      <c r="R9" s="16"/>
      <c r="S9" s="16"/>
      <c r="T9" s="16"/>
      <c r="U9" s="16"/>
      <c r="V9" s="17"/>
      <c r="W9" s="17"/>
      <c r="X9" s="17"/>
      <c r="Y9" s="18"/>
      <c r="Z9" s="18"/>
      <c r="AA9" s="18"/>
      <c r="AB9" s="18"/>
      <c r="AC9" s="18"/>
      <c r="AD9" s="18"/>
      <c r="AE9" s="18"/>
      <c r="AF9" s="17"/>
      <c r="AG9" s="17"/>
      <c r="AH9" s="18"/>
      <c r="AI9" s="18"/>
      <c r="AJ9" s="18"/>
      <c r="AK9" s="18"/>
      <c r="AL9" s="18"/>
      <c r="AM9" s="18"/>
      <c r="AN9" s="18"/>
    </row>
    <row r="10" spans="1:40" ht="15.75" thickBot="1" x14ac:dyDescent="0.3">
      <c r="A10" s="19"/>
      <c r="B10" s="101" t="s">
        <v>3</v>
      </c>
      <c r="C10" s="101"/>
      <c r="D10" s="101"/>
      <c r="E10" s="101"/>
      <c r="F10" s="101"/>
      <c r="G10" s="101"/>
      <c r="H10" s="101"/>
      <c r="J10" s="102" t="s">
        <v>3</v>
      </c>
      <c r="K10" s="102"/>
      <c r="L10" s="102"/>
      <c r="M10" s="102"/>
      <c r="N10" s="102"/>
      <c r="O10" s="102"/>
      <c r="P10" s="102"/>
      <c r="Q10" s="102"/>
      <c r="R10" s="102"/>
      <c r="S10" s="102"/>
      <c r="T10" s="102"/>
      <c r="U10" s="102"/>
      <c r="Y10" s="103" t="s">
        <v>3</v>
      </c>
      <c r="Z10" s="103"/>
      <c r="AA10" s="103"/>
      <c r="AB10" s="103"/>
      <c r="AC10" s="103"/>
      <c r="AD10" s="103"/>
      <c r="AE10" s="103"/>
      <c r="AH10" s="104" t="s">
        <v>3</v>
      </c>
      <c r="AI10" s="104"/>
      <c r="AJ10" s="104"/>
      <c r="AK10" s="104"/>
      <c r="AL10" s="104"/>
      <c r="AM10" s="104"/>
      <c r="AN10" s="104"/>
    </row>
    <row r="11" spans="1:40" ht="15.75" thickBot="1" x14ac:dyDescent="0.3">
      <c r="A11" s="100" t="s">
        <v>5</v>
      </c>
      <c r="B11" s="34" t="s">
        <v>6</v>
      </c>
      <c r="C11" s="22" t="s">
        <v>7</v>
      </c>
      <c r="D11" s="33" t="s">
        <v>8</v>
      </c>
      <c r="E11" s="22" t="s">
        <v>9</v>
      </c>
      <c r="F11" s="24" t="s">
        <v>10</v>
      </c>
      <c r="G11" s="23" t="s">
        <v>11</v>
      </c>
      <c r="H11" s="25" t="s">
        <v>12</v>
      </c>
      <c r="J11" s="28" t="s">
        <v>4</v>
      </c>
      <c r="K11" s="9"/>
      <c r="L11" s="4"/>
      <c r="M11" s="4"/>
      <c r="N11" s="4"/>
      <c r="O11" s="4"/>
      <c r="P11" s="4"/>
      <c r="Q11" s="4"/>
      <c r="R11" s="4"/>
      <c r="S11" s="4"/>
      <c r="T11" s="4"/>
      <c r="U11" s="5"/>
      <c r="Y11" s="6" t="s">
        <v>4</v>
      </c>
      <c r="Z11" s="9"/>
      <c r="AA11" s="4"/>
      <c r="AB11" s="4"/>
      <c r="AC11" s="4"/>
      <c r="AD11" s="4"/>
      <c r="AE11" s="5"/>
      <c r="AH11" s="6" t="s">
        <v>4</v>
      </c>
      <c r="AI11" s="9"/>
      <c r="AJ11" s="4"/>
      <c r="AK11" s="4"/>
      <c r="AL11" s="4"/>
      <c r="AM11" s="4"/>
      <c r="AN11" s="5"/>
    </row>
    <row r="12" spans="1:40" ht="15.75" thickBot="1" x14ac:dyDescent="0.3">
      <c r="A12" s="100"/>
      <c r="B12" s="26"/>
      <c r="C12" s="27"/>
      <c r="D12" s="27"/>
      <c r="E12" s="27"/>
      <c r="F12" s="27">
        <f>SUM(C12-B12)</f>
        <v>0</v>
      </c>
      <c r="G12" s="20">
        <f>SUM(E12-D12)</f>
        <v>0</v>
      </c>
      <c r="H12" s="21">
        <f>SUM(F12:G12)</f>
        <v>0</v>
      </c>
      <c r="J12" s="29" t="s">
        <v>22</v>
      </c>
      <c r="K12" s="10"/>
      <c r="L12" s="11"/>
      <c r="M12" s="11"/>
      <c r="N12" s="11"/>
      <c r="O12" s="11"/>
      <c r="P12" s="11"/>
      <c r="Q12" s="11"/>
      <c r="R12" s="11"/>
      <c r="S12" s="11"/>
      <c r="T12" s="11"/>
      <c r="U12" s="12"/>
      <c r="Y12" s="7" t="s">
        <v>22</v>
      </c>
      <c r="Z12" s="10"/>
      <c r="AA12" s="11"/>
      <c r="AB12" s="11"/>
      <c r="AC12" s="11"/>
      <c r="AD12" s="11"/>
      <c r="AE12" s="12"/>
      <c r="AH12" s="7" t="s">
        <v>22</v>
      </c>
      <c r="AI12" s="10"/>
      <c r="AJ12" s="11"/>
      <c r="AK12" s="11"/>
      <c r="AL12" s="11"/>
      <c r="AM12" s="11"/>
      <c r="AN12" s="12"/>
    </row>
    <row r="13" spans="1:40" x14ac:dyDescent="0.25">
      <c r="J13" s="8"/>
      <c r="T13" s="8" t="s">
        <v>23</v>
      </c>
      <c r="U13" s="13">
        <f>SUM(K12:U12)</f>
        <v>0</v>
      </c>
      <c r="AD13" s="8" t="s">
        <v>23</v>
      </c>
      <c r="AE13" s="13">
        <f>SUM(Z12:AE12)</f>
        <v>0</v>
      </c>
      <c r="AM13" s="8" t="s">
        <v>23</v>
      </c>
      <c r="AN13" s="13">
        <f>SUM(AI12:AN12)</f>
        <v>0</v>
      </c>
    </row>
    <row r="14" spans="1:40" ht="15.75" thickBot="1" x14ac:dyDescent="0.3">
      <c r="A14" s="19"/>
      <c r="B14" s="101" t="s">
        <v>13</v>
      </c>
      <c r="C14" s="101"/>
      <c r="D14" s="101"/>
      <c r="E14" s="101"/>
      <c r="F14" s="101"/>
      <c r="G14" s="101"/>
      <c r="H14" s="101"/>
      <c r="J14" s="102" t="s">
        <v>13</v>
      </c>
      <c r="K14" s="102"/>
      <c r="L14" s="102"/>
      <c r="M14" s="102"/>
      <c r="N14" s="102"/>
      <c r="O14" s="102"/>
      <c r="P14" s="102"/>
      <c r="Q14" s="102"/>
      <c r="R14" s="102"/>
      <c r="S14" s="102"/>
      <c r="T14" s="102"/>
      <c r="U14" s="102"/>
      <c r="Y14" s="103" t="str">
        <f>J14</f>
        <v>Março</v>
      </c>
      <c r="Z14" s="103"/>
      <c r="AA14" s="103"/>
      <c r="AB14" s="103"/>
      <c r="AC14" s="103"/>
      <c r="AD14" s="103"/>
      <c r="AE14" s="103"/>
      <c r="AH14" s="104" t="str">
        <f>Y14</f>
        <v>Março</v>
      </c>
      <c r="AI14" s="104"/>
      <c r="AJ14" s="104"/>
      <c r="AK14" s="104"/>
      <c r="AL14" s="104"/>
      <c r="AM14" s="104"/>
      <c r="AN14" s="104"/>
    </row>
    <row r="15" spans="1:40" ht="15.75" thickBot="1" x14ac:dyDescent="0.3">
      <c r="A15" s="100" t="s">
        <v>5</v>
      </c>
      <c r="B15" s="34" t="s">
        <v>6</v>
      </c>
      <c r="C15" s="22" t="s">
        <v>7</v>
      </c>
      <c r="D15" s="33" t="s">
        <v>8</v>
      </c>
      <c r="E15" s="22" t="s">
        <v>9</v>
      </c>
      <c r="F15" s="24" t="s">
        <v>10</v>
      </c>
      <c r="G15" s="23" t="s">
        <v>11</v>
      </c>
      <c r="H15" s="25" t="s">
        <v>12</v>
      </c>
      <c r="J15" s="6" t="s">
        <v>4</v>
      </c>
      <c r="K15" s="9"/>
      <c r="L15" s="4"/>
      <c r="M15" s="4"/>
      <c r="N15" s="4"/>
      <c r="O15" s="4"/>
      <c r="P15" s="4"/>
      <c r="Q15" s="4"/>
      <c r="R15" s="4"/>
      <c r="S15" s="4"/>
      <c r="T15" s="4"/>
      <c r="U15" s="5"/>
      <c r="Y15" s="6" t="s">
        <v>4</v>
      </c>
      <c r="Z15" s="9"/>
      <c r="AA15" s="4"/>
      <c r="AB15" s="4"/>
      <c r="AC15" s="4"/>
      <c r="AD15" s="4"/>
      <c r="AE15" s="5"/>
      <c r="AH15" s="6" t="s">
        <v>4</v>
      </c>
      <c r="AI15" s="9"/>
      <c r="AJ15" s="4"/>
      <c r="AK15" s="4"/>
      <c r="AL15" s="4"/>
      <c r="AM15" s="4"/>
      <c r="AN15" s="5"/>
    </row>
    <row r="16" spans="1:40" ht="15.75" thickBot="1" x14ac:dyDescent="0.3">
      <c r="A16" s="100"/>
      <c r="B16" s="26"/>
      <c r="C16" s="27"/>
      <c r="D16" s="27"/>
      <c r="E16" s="27"/>
      <c r="F16" s="27">
        <f>SUM(C16-B16)</f>
        <v>0</v>
      </c>
      <c r="G16" s="20">
        <f>SUM(E16-D16)</f>
        <v>0</v>
      </c>
      <c r="H16" s="21">
        <f>SUM(F16:G16)</f>
        <v>0</v>
      </c>
      <c r="J16" s="7" t="s">
        <v>22</v>
      </c>
      <c r="K16" s="10"/>
      <c r="L16" s="11"/>
      <c r="M16" s="11"/>
      <c r="N16" s="11"/>
      <c r="O16" s="11"/>
      <c r="P16" s="11"/>
      <c r="Q16" s="11"/>
      <c r="R16" s="11"/>
      <c r="S16" s="11"/>
      <c r="T16" s="11"/>
      <c r="U16" s="12"/>
      <c r="Y16" s="7" t="s">
        <v>22</v>
      </c>
      <c r="Z16" s="10"/>
      <c r="AA16" s="11"/>
      <c r="AB16" s="11"/>
      <c r="AC16" s="11"/>
      <c r="AD16" s="11"/>
      <c r="AE16" s="12"/>
      <c r="AH16" s="7" t="s">
        <v>22</v>
      </c>
      <c r="AI16" s="10"/>
      <c r="AJ16" s="11"/>
      <c r="AK16" s="11"/>
      <c r="AL16" s="11"/>
      <c r="AM16" s="11"/>
      <c r="AN16" s="12"/>
    </row>
    <row r="17" spans="1:40" x14ac:dyDescent="0.25">
      <c r="J17" s="8"/>
      <c r="T17" s="8" t="s">
        <v>23</v>
      </c>
      <c r="U17" s="13">
        <f>SUM(K16:U16)</f>
        <v>0</v>
      </c>
      <c r="AD17" s="8" t="s">
        <v>23</v>
      </c>
      <c r="AE17" s="13">
        <f>SUM(Z16:AE16)</f>
        <v>0</v>
      </c>
      <c r="AM17" s="8" t="s">
        <v>23</v>
      </c>
      <c r="AN17" s="13">
        <f>SUM(AI16:AN16)</f>
        <v>0</v>
      </c>
    </row>
    <row r="18" spans="1:40" ht="15.75" thickBot="1" x14ac:dyDescent="0.3">
      <c r="A18" s="19"/>
      <c r="B18" s="101" t="s">
        <v>14</v>
      </c>
      <c r="C18" s="101"/>
      <c r="D18" s="101"/>
      <c r="E18" s="101"/>
      <c r="F18" s="101"/>
      <c r="G18" s="101"/>
      <c r="H18" s="101"/>
      <c r="J18" s="102" t="s">
        <v>14</v>
      </c>
      <c r="K18" s="102"/>
      <c r="L18" s="102"/>
      <c r="M18" s="102"/>
      <c r="N18" s="102"/>
      <c r="O18" s="102"/>
      <c r="P18" s="102"/>
      <c r="Q18" s="102"/>
      <c r="R18" s="102"/>
      <c r="S18" s="102"/>
      <c r="T18" s="102"/>
      <c r="U18" s="102"/>
      <c r="Y18" s="103" t="str">
        <f>J18</f>
        <v>Abril</v>
      </c>
      <c r="Z18" s="103"/>
      <c r="AA18" s="103"/>
      <c r="AB18" s="103"/>
      <c r="AC18" s="103"/>
      <c r="AD18" s="103"/>
      <c r="AE18" s="103"/>
      <c r="AH18" s="104" t="str">
        <f>Y18</f>
        <v>Abril</v>
      </c>
      <c r="AI18" s="104"/>
      <c r="AJ18" s="104"/>
      <c r="AK18" s="104"/>
      <c r="AL18" s="104"/>
      <c r="AM18" s="104"/>
      <c r="AN18" s="104"/>
    </row>
    <row r="19" spans="1:40" ht="15.75" thickBot="1" x14ac:dyDescent="0.3">
      <c r="A19" s="100" t="s">
        <v>5</v>
      </c>
      <c r="B19" s="34" t="s">
        <v>6</v>
      </c>
      <c r="C19" s="22" t="s">
        <v>7</v>
      </c>
      <c r="D19" s="33" t="s">
        <v>8</v>
      </c>
      <c r="E19" s="22" t="s">
        <v>9</v>
      </c>
      <c r="F19" s="24" t="s">
        <v>10</v>
      </c>
      <c r="G19" s="23" t="s">
        <v>11</v>
      </c>
      <c r="H19" s="25" t="s">
        <v>12</v>
      </c>
      <c r="J19" s="6" t="s">
        <v>4</v>
      </c>
      <c r="K19" s="9"/>
      <c r="L19" s="4"/>
      <c r="M19" s="4"/>
      <c r="N19" s="4"/>
      <c r="O19" s="4"/>
      <c r="P19" s="4"/>
      <c r="Q19" s="4"/>
      <c r="R19" s="4"/>
      <c r="S19" s="4"/>
      <c r="T19" s="4"/>
      <c r="U19" s="5"/>
      <c r="Y19" s="6" t="s">
        <v>4</v>
      </c>
      <c r="Z19" s="9"/>
      <c r="AA19" s="4"/>
      <c r="AB19" s="4"/>
      <c r="AC19" s="4"/>
      <c r="AD19" s="4"/>
      <c r="AE19" s="5"/>
      <c r="AH19" s="6" t="s">
        <v>4</v>
      </c>
      <c r="AI19" s="9"/>
      <c r="AJ19" s="4"/>
      <c r="AK19" s="4"/>
      <c r="AL19" s="4"/>
      <c r="AM19" s="4"/>
      <c r="AN19" s="5"/>
    </row>
    <row r="20" spans="1:40" ht="15.75" thickBot="1" x14ac:dyDescent="0.3">
      <c r="A20" s="100"/>
      <c r="B20" s="26"/>
      <c r="C20" s="27"/>
      <c r="D20" s="27"/>
      <c r="E20" s="27"/>
      <c r="F20" s="27">
        <f>SUM(C20-B20)</f>
        <v>0</v>
      </c>
      <c r="G20" s="20">
        <f>SUM(E20-D20)</f>
        <v>0</v>
      </c>
      <c r="H20" s="21">
        <f>SUM(F20:G20)</f>
        <v>0</v>
      </c>
      <c r="J20" s="7" t="s">
        <v>22</v>
      </c>
      <c r="K20" s="30"/>
      <c r="L20" s="31"/>
      <c r="M20" s="31"/>
      <c r="N20" s="31"/>
      <c r="O20" s="31"/>
      <c r="P20" s="31"/>
      <c r="Q20" s="31"/>
      <c r="R20" s="31"/>
      <c r="S20" s="31"/>
      <c r="T20" s="31"/>
      <c r="U20" s="32"/>
      <c r="Y20" s="7" t="s">
        <v>22</v>
      </c>
      <c r="Z20" s="10"/>
      <c r="AA20" s="11"/>
      <c r="AB20" s="11"/>
      <c r="AC20" s="11"/>
      <c r="AD20" s="11"/>
      <c r="AE20" s="12"/>
      <c r="AH20" s="7" t="s">
        <v>22</v>
      </c>
      <c r="AI20" s="10"/>
      <c r="AJ20" s="11"/>
      <c r="AK20" s="11"/>
      <c r="AL20" s="11"/>
      <c r="AM20" s="11"/>
      <c r="AN20" s="12"/>
    </row>
    <row r="21" spans="1:40" x14ac:dyDescent="0.25">
      <c r="J21" s="8"/>
      <c r="T21" s="8" t="s">
        <v>23</v>
      </c>
      <c r="U21" s="13">
        <f>SUM(K20:U20)</f>
        <v>0</v>
      </c>
      <c r="AD21" s="8" t="s">
        <v>23</v>
      </c>
      <c r="AE21" s="13">
        <f>SUM(Z20:AE20)</f>
        <v>0</v>
      </c>
      <c r="AM21" s="8" t="s">
        <v>23</v>
      </c>
      <c r="AN21" s="13">
        <f>SUM(AI20:AN20)</f>
        <v>0</v>
      </c>
    </row>
    <row r="22" spans="1:40" ht="15.75" thickBot="1" x14ac:dyDescent="0.3">
      <c r="A22" s="19"/>
      <c r="B22" s="101" t="s">
        <v>15</v>
      </c>
      <c r="C22" s="101"/>
      <c r="D22" s="101"/>
      <c r="E22" s="101"/>
      <c r="F22" s="101"/>
      <c r="G22" s="101"/>
      <c r="H22" s="101"/>
      <c r="J22" s="102" t="s">
        <v>15</v>
      </c>
      <c r="K22" s="102"/>
      <c r="L22" s="102"/>
      <c r="M22" s="102"/>
      <c r="N22" s="102"/>
      <c r="O22" s="102"/>
      <c r="P22" s="102"/>
      <c r="Q22" s="102"/>
      <c r="R22" s="102"/>
      <c r="S22" s="102"/>
      <c r="T22" s="102"/>
      <c r="U22" s="102"/>
      <c r="Y22" s="103" t="str">
        <f>J22</f>
        <v>Maio</v>
      </c>
      <c r="Z22" s="103"/>
      <c r="AA22" s="103"/>
      <c r="AB22" s="103"/>
      <c r="AC22" s="103"/>
      <c r="AD22" s="103"/>
      <c r="AE22" s="103"/>
      <c r="AH22" s="104" t="str">
        <f>Y22</f>
        <v>Maio</v>
      </c>
      <c r="AI22" s="104"/>
      <c r="AJ22" s="104"/>
      <c r="AK22" s="104"/>
      <c r="AL22" s="104"/>
      <c r="AM22" s="104"/>
      <c r="AN22" s="104"/>
    </row>
    <row r="23" spans="1:40" ht="15.75" thickBot="1" x14ac:dyDescent="0.3">
      <c r="A23" s="100" t="s">
        <v>5</v>
      </c>
      <c r="B23" s="34" t="s">
        <v>6</v>
      </c>
      <c r="C23" s="22" t="s">
        <v>7</v>
      </c>
      <c r="D23" s="33" t="s">
        <v>8</v>
      </c>
      <c r="E23" s="22" t="s">
        <v>9</v>
      </c>
      <c r="F23" s="24" t="s">
        <v>10</v>
      </c>
      <c r="G23" s="23" t="s">
        <v>11</v>
      </c>
      <c r="H23" s="25" t="s">
        <v>12</v>
      </c>
      <c r="J23" s="6" t="s">
        <v>4</v>
      </c>
      <c r="K23" s="9"/>
      <c r="L23" s="4"/>
      <c r="M23" s="4"/>
      <c r="N23" s="4"/>
      <c r="O23" s="4"/>
      <c r="P23" s="4"/>
      <c r="Q23" s="4"/>
      <c r="R23" s="4"/>
      <c r="S23" s="4"/>
      <c r="T23" s="4"/>
      <c r="U23" s="5"/>
      <c r="Y23" s="6" t="s">
        <v>4</v>
      </c>
      <c r="Z23" s="9"/>
      <c r="AA23" s="4"/>
      <c r="AB23" s="4"/>
      <c r="AC23" s="4"/>
      <c r="AD23" s="4"/>
      <c r="AE23" s="5"/>
      <c r="AH23" s="6" t="s">
        <v>4</v>
      </c>
      <c r="AI23" s="9"/>
      <c r="AJ23" s="4"/>
      <c r="AK23" s="4"/>
      <c r="AL23" s="4"/>
      <c r="AM23" s="4"/>
      <c r="AN23" s="5"/>
    </row>
    <row r="24" spans="1:40" ht="15.75" thickBot="1" x14ac:dyDescent="0.3">
      <c r="A24" s="100"/>
      <c r="B24" s="26"/>
      <c r="C24" s="27"/>
      <c r="D24" s="27"/>
      <c r="E24" s="27"/>
      <c r="F24" s="27">
        <f>SUM(C24-B24)</f>
        <v>0</v>
      </c>
      <c r="G24" s="20">
        <f>SUM(E24-D24)</f>
        <v>0</v>
      </c>
      <c r="H24" s="21">
        <f>SUM(F24:G24)</f>
        <v>0</v>
      </c>
      <c r="J24" s="7" t="s">
        <v>22</v>
      </c>
      <c r="K24" s="10"/>
      <c r="L24" s="11"/>
      <c r="M24" s="11"/>
      <c r="N24" s="11"/>
      <c r="O24" s="11"/>
      <c r="P24" s="11"/>
      <c r="Q24" s="11"/>
      <c r="R24" s="11"/>
      <c r="S24" s="11"/>
      <c r="T24" s="11"/>
      <c r="U24" s="12"/>
      <c r="Y24" s="7" t="s">
        <v>22</v>
      </c>
      <c r="Z24" s="10"/>
      <c r="AA24" s="11"/>
      <c r="AB24" s="11"/>
      <c r="AC24" s="11"/>
      <c r="AD24" s="11"/>
      <c r="AE24" s="12"/>
      <c r="AH24" s="7" t="s">
        <v>22</v>
      </c>
      <c r="AI24" s="10"/>
      <c r="AJ24" s="11"/>
      <c r="AK24" s="11"/>
      <c r="AL24" s="11"/>
      <c r="AM24" s="11"/>
      <c r="AN24" s="12"/>
    </row>
    <row r="25" spans="1:40" x14ac:dyDescent="0.25">
      <c r="J25" s="8"/>
      <c r="T25" s="8" t="s">
        <v>23</v>
      </c>
      <c r="U25" s="13">
        <f>SUM(K24:U24)</f>
        <v>0</v>
      </c>
      <c r="AD25" s="8" t="s">
        <v>23</v>
      </c>
      <c r="AE25" s="13">
        <f>SUM(Z24:AE24)</f>
        <v>0</v>
      </c>
      <c r="AM25" s="8" t="s">
        <v>23</v>
      </c>
      <c r="AN25" s="13">
        <f>SUM(AI24:AN24)</f>
        <v>0</v>
      </c>
    </row>
    <row r="26" spans="1:40" ht="15.75" thickBot="1" x14ac:dyDescent="0.3">
      <c r="A26" s="19"/>
      <c r="B26" s="101" t="s">
        <v>24</v>
      </c>
      <c r="C26" s="101"/>
      <c r="D26" s="101"/>
      <c r="E26" s="101"/>
      <c r="F26" s="101"/>
      <c r="G26" s="101"/>
      <c r="H26" s="101"/>
      <c r="J26" s="102" t="s">
        <v>24</v>
      </c>
      <c r="K26" s="102"/>
      <c r="L26" s="102"/>
      <c r="M26" s="102"/>
      <c r="N26" s="102"/>
      <c r="O26" s="102"/>
      <c r="P26" s="102"/>
      <c r="Q26" s="102"/>
      <c r="R26" s="102"/>
      <c r="S26" s="102"/>
      <c r="T26" s="102"/>
      <c r="U26" s="102"/>
      <c r="Y26" s="103" t="str">
        <f>J26</f>
        <v>Junho</v>
      </c>
      <c r="Z26" s="103"/>
      <c r="AA26" s="103"/>
      <c r="AB26" s="103"/>
      <c r="AC26" s="103"/>
      <c r="AD26" s="103"/>
      <c r="AE26" s="103"/>
      <c r="AH26" s="104" t="str">
        <f>Y26</f>
        <v>Junho</v>
      </c>
      <c r="AI26" s="104"/>
      <c r="AJ26" s="104"/>
      <c r="AK26" s="104"/>
      <c r="AL26" s="104"/>
      <c r="AM26" s="104"/>
      <c r="AN26" s="104"/>
    </row>
    <row r="27" spans="1:40" ht="15.75" thickBot="1" x14ac:dyDescent="0.3">
      <c r="A27" s="100" t="s">
        <v>5</v>
      </c>
      <c r="B27" s="34" t="s">
        <v>6</v>
      </c>
      <c r="C27" s="22" t="s">
        <v>7</v>
      </c>
      <c r="D27" s="33" t="s">
        <v>8</v>
      </c>
      <c r="E27" s="22" t="s">
        <v>9</v>
      </c>
      <c r="F27" s="24" t="s">
        <v>10</v>
      </c>
      <c r="G27" s="23" t="s">
        <v>11</v>
      </c>
      <c r="H27" s="25" t="s">
        <v>12</v>
      </c>
      <c r="J27" s="6" t="s">
        <v>4</v>
      </c>
      <c r="K27" s="9"/>
      <c r="L27" s="4"/>
      <c r="M27" s="4"/>
      <c r="N27" s="4"/>
      <c r="O27" s="4"/>
      <c r="P27" s="4"/>
      <c r="Q27" s="4"/>
      <c r="R27" s="4"/>
      <c r="S27" s="4"/>
      <c r="T27" s="4"/>
      <c r="U27" s="5"/>
      <c r="Y27" s="6" t="s">
        <v>4</v>
      </c>
      <c r="Z27" s="9"/>
      <c r="AA27" s="4"/>
      <c r="AB27" s="4"/>
      <c r="AC27" s="4"/>
      <c r="AD27" s="4"/>
      <c r="AE27" s="5"/>
      <c r="AH27" s="6" t="s">
        <v>4</v>
      </c>
      <c r="AI27" s="9"/>
      <c r="AJ27" s="4"/>
      <c r="AK27" s="4"/>
      <c r="AL27" s="4"/>
      <c r="AM27" s="4"/>
      <c r="AN27" s="5"/>
    </row>
    <row r="28" spans="1:40" ht="15.75" thickBot="1" x14ac:dyDescent="0.3">
      <c r="A28" s="100"/>
      <c r="B28" s="26">
        <v>20</v>
      </c>
      <c r="C28" s="27"/>
      <c r="D28" s="27"/>
      <c r="E28" s="27"/>
      <c r="F28" s="27">
        <f>SUM(C28-B28)</f>
        <v>-20</v>
      </c>
      <c r="G28" s="20">
        <f>SUM(E28-D28)</f>
        <v>0</v>
      </c>
      <c r="H28" s="21">
        <f>SUM(F28:G28)</f>
        <v>-20</v>
      </c>
      <c r="J28" s="7" t="s">
        <v>22</v>
      </c>
      <c r="K28" s="10"/>
      <c r="L28" s="11"/>
      <c r="M28" s="11"/>
      <c r="N28" s="11"/>
      <c r="O28" s="11"/>
      <c r="P28" s="11"/>
      <c r="Q28" s="11"/>
      <c r="R28" s="11"/>
      <c r="S28" s="11"/>
      <c r="T28" s="11"/>
      <c r="U28" s="12"/>
      <c r="Y28" s="7" t="s">
        <v>22</v>
      </c>
      <c r="Z28" s="10"/>
      <c r="AA28" s="11"/>
      <c r="AB28" s="11"/>
      <c r="AC28" s="11"/>
      <c r="AD28" s="11"/>
      <c r="AE28" s="12"/>
      <c r="AH28" s="7" t="s">
        <v>22</v>
      </c>
      <c r="AI28" s="10"/>
      <c r="AJ28" s="11"/>
      <c r="AK28" s="11"/>
      <c r="AL28" s="11"/>
      <c r="AM28" s="11"/>
      <c r="AN28" s="12"/>
    </row>
    <row r="29" spans="1:40" x14ac:dyDescent="0.25">
      <c r="J29" s="8"/>
      <c r="T29" s="8" t="s">
        <v>23</v>
      </c>
      <c r="U29" s="13">
        <f>SUM(K28:U28)</f>
        <v>0</v>
      </c>
      <c r="AD29" s="8" t="s">
        <v>23</v>
      </c>
      <c r="AE29" s="13">
        <f>SUM(Z28:AE28)</f>
        <v>0</v>
      </c>
      <c r="AM29" s="8" t="s">
        <v>23</v>
      </c>
      <c r="AN29" s="13">
        <f>SUM(AI28:AN28)</f>
        <v>0</v>
      </c>
    </row>
    <row r="30" spans="1:40" ht="15.75" thickBot="1" x14ac:dyDescent="0.3">
      <c r="A30" s="19"/>
      <c r="B30" s="101" t="s">
        <v>16</v>
      </c>
      <c r="C30" s="101"/>
      <c r="D30" s="101"/>
      <c r="E30" s="101"/>
      <c r="F30" s="101"/>
      <c r="G30" s="101"/>
      <c r="H30" s="101"/>
      <c r="J30" s="102" t="s">
        <v>16</v>
      </c>
      <c r="K30" s="102"/>
      <c r="L30" s="102"/>
      <c r="M30" s="102"/>
      <c r="N30" s="102"/>
      <c r="O30" s="102"/>
      <c r="P30" s="102"/>
      <c r="Q30" s="102"/>
      <c r="R30" s="102"/>
      <c r="S30" s="102"/>
      <c r="T30" s="102"/>
      <c r="U30" s="102"/>
      <c r="Y30" s="103" t="str">
        <f>J30</f>
        <v>Julho</v>
      </c>
      <c r="Z30" s="103"/>
      <c r="AA30" s="103"/>
      <c r="AB30" s="103"/>
      <c r="AC30" s="103"/>
      <c r="AD30" s="103"/>
      <c r="AE30" s="103"/>
      <c r="AH30" s="104" t="str">
        <f>Y30</f>
        <v>Julho</v>
      </c>
      <c r="AI30" s="104"/>
      <c r="AJ30" s="104"/>
      <c r="AK30" s="104"/>
      <c r="AL30" s="104"/>
      <c r="AM30" s="104"/>
      <c r="AN30" s="104"/>
    </row>
    <row r="31" spans="1:40" ht="15.75" thickBot="1" x14ac:dyDescent="0.3">
      <c r="A31" s="100" t="s">
        <v>5</v>
      </c>
      <c r="B31" s="34" t="s">
        <v>6</v>
      </c>
      <c r="C31" s="22" t="s">
        <v>7</v>
      </c>
      <c r="D31" s="33" t="s">
        <v>8</v>
      </c>
      <c r="E31" s="22" t="s">
        <v>9</v>
      </c>
      <c r="F31" s="24" t="s">
        <v>10</v>
      </c>
      <c r="G31" s="23" t="s">
        <v>11</v>
      </c>
      <c r="H31" s="25" t="s">
        <v>12</v>
      </c>
      <c r="J31" s="6" t="s">
        <v>4</v>
      </c>
      <c r="K31" s="9"/>
      <c r="L31" s="4"/>
      <c r="M31" s="4"/>
      <c r="N31" s="4"/>
      <c r="O31" s="4"/>
      <c r="P31" s="4"/>
      <c r="Q31" s="4"/>
      <c r="R31" s="4"/>
      <c r="S31" s="4"/>
      <c r="T31" s="4"/>
      <c r="U31" s="5"/>
      <c r="Y31" s="6" t="s">
        <v>4</v>
      </c>
      <c r="Z31" s="9"/>
      <c r="AA31" s="4"/>
      <c r="AB31" s="4"/>
      <c r="AC31" s="4"/>
      <c r="AD31" s="4"/>
      <c r="AE31" s="5"/>
      <c r="AH31" s="6" t="s">
        <v>4</v>
      </c>
      <c r="AI31" s="9"/>
      <c r="AJ31" s="4"/>
      <c r="AK31" s="4"/>
      <c r="AL31" s="4"/>
      <c r="AM31" s="4"/>
      <c r="AN31" s="5"/>
    </row>
    <row r="32" spans="1:40" ht="15.75" thickBot="1" x14ac:dyDescent="0.3">
      <c r="A32" s="100"/>
      <c r="B32" s="26"/>
      <c r="C32" s="27"/>
      <c r="D32" s="27"/>
      <c r="E32" s="27"/>
      <c r="F32" s="27">
        <f>SUM(C32-B32)</f>
        <v>0</v>
      </c>
      <c r="G32" s="20">
        <f>SUM(E32-D32)</f>
        <v>0</v>
      </c>
      <c r="H32" s="21">
        <f>SUM(F32:G32)</f>
        <v>0</v>
      </c>
      <c r="J32" s="7" t="s">
        <v>22</v>
      </c>
      <c r="K32" s="10"/>
      <c r="L32" s="11"/>
      <c r="M32" s="11"/>
      <c r="N32" s="11"/>
      <c r="O32" s="11"/>
      <c r="P32" s="11"/>
      <c r="Q32" s="11"/>
      <c r="R32" s="11"/>
      <c r="S32" s="11"/>
      <c r="T32" s="11"/>
      <c r="U32" s="12"/>
      <c r="Y32" s="7" t="s">
        <v>22</v>
      </c>
      <c r="Z32" s="10"/>
      <c r="AA32" s="11"/>
      <c r="AB32" s="11"/>
      <c r="AC32" s="11"/>
      <c r="AD32" s="11"/>
      <c r="AE32" s="12"/>
      <c r="AH32" s="7" t="s">
        <v>22</v>
      </c>
      <c r="AI32" s="10"/>
      <c r="AJ32" s="11"/>
      <c r="AK32" s="11"/>
      <c r="AL32" s="11"/>
      <c r="AM32" s="11"/>
      <c r="AN32" s="12"/>
    </row>
    <row r="33" spans="1:40" x14ac:dyDescent="0.25">
      <c r="J33" s="8"/>
      <c r="T33" s="8" t="s">
        <v>23</v>
      </c>
      <c r="U33" s="13">
        <f>SUM(K32:U32)</f>
        <v>0</v>
      </c>
      <c r="AD33" s="8" t="s">
        <v>23</v>
      </c>
      <c r="AE33" s="13">
        <f>SUM(Z32:AE32)</f>
        <v>0</v>
      </c>
      <c r="AM33" s="8" t="s">
        <v>23</v>
      </c>
      <c r="AN33" s="13">
        <f>SUM(AI32:AN32)</f>
        <v>0</v>
      </c>
    </row>
    <row r="34" spans="1:40" ht="15.75" thickBot="1" x14ac:dyDescent="0.3">
      <c r="A34" s="19"/>
      <c r="B34" s="101" t="s">
        <v>17</v>
      </c>
      <c r="C34" s="101"/>
      <c r="D34" s="101"/>
      <c r="E34" s="101"/>
      <c r="F34" s="101"/>
      <c r="G34" s="101"/>
      <c r="H34" s="101"/>
      <c r="J34" s="102" t="s">
        <v>17</v>
      </c>
      <c r="K34" s="102"/>
      <c r="L34" s="102"/>
      <c r="M34" s="102"/>
      <c r="N34" s="102"/>
      <c r="O34" s="102"/>
      <c r="P34" s="102"/>
      <c r="Q34" s="102"/>
      <c r="R34" s="102"/>
      <c r="S34" s="102"/>
      <c r="T34" s="102"/>
      <c r="U34" s="102"/>
      <c r="Y34" s="103" t="str">
        <f>J34</f>
        <v>Agosto</v>
      </c>
      <c r="Z34" s="103"/>
      <c r="AA34" s="103"/>
      <c r="AB34" s="103"/>
      <c r="AC34" s="103"/>
      <c r="AD34" s="103"/>
      <c r="AE34" s="103"/>
      <c r="AH34" s="104" t="str">
        <f>Y34</f>
        <v>Agosto</v>
      </c>
      <c r="AI34" s="104"/>
      <c r="AJ34" s="104"/>
      <c r="AK34" s="104"/>
      <c r="AL34" s="104"/>
      <c r="AM34" s="104"/>
      <c r="AN34" s="104"/>
    </row>
    <row r="35" spans="1:40" ht="15.75" thickBot="1" x14ac:dyDescent="0.3">
      <c r="A35" s="100" t="s">
        <v>5</v>
      </c>
      <c r="B35" s="34" t="s">
        <v>6</v>
      </c>
      <c r="C35" s="22" t="s">
        <v>7</v>
      </c>
      <c r="D35" s="33" t="s">
        <v>8</v>
      </c>
      <c r="E35" s="22" t="s">
        <v>9</v>
      </c>
      <c r="F35" s="24" t="s">
        <v>10</v>
      </c>
      <c r="G35" s="23" t="s">
        <v>11</v>
      </c>
      <c r="H35" s="25" t="s">
        <v>12</v>
      </c>
      <c r="J35" s="6" t="s">
        <v>4</v>
      </c>
      <c r="K35" s="9"/>
      <c r="L35" s="4"/>
      <c r="M35" s="4"/>
      <c r="N35" s="4"/>
      <c r="O35" s="4"/>
      <c r="P35" s="4"/>
      <c r="Q35" s="4"/>
      <c r="R35" s="4"/>
      <c r="S35" s="4"/>
      <c r="T35" s="4"/>
      <c r="U35" s="5"/>
      <c r="Y35" s="6" t="s">
        <v>4</v>
      </c>
      <c r="Z35" s="9"/>
      <c r="AA35" s="4"/>
      <c r="AB35" s="4"/>
      <c r="AC35" s="4"/>
      <c r="AD35" s="4"/>
      <c r="AE35" s="5"/>
      <c r="AH35" s="6" t="s">
        <v>4</v>
      </c>
      <c r="AI35" s="9"/>
      <c r="AJ35" s="4"/>
      <c r="AK35" s="4"/>
      <c r="AL35" s="4"/>
      <c r="AM35" s="4"/>
      <c r="AN35" s="5"/>
    </row>
    <row r="36" spans="1:40" ht="15.75" thickBot="1" x14ac:dyDescent="0.3">
      <c r="A36" s="100"/>
      <c r="B36" s="26"/>
      <c r="C36" s="27"/>
      <c r="D36" s="27"/>
      <c r="E36" s="27"/>
      <c r="F36" s="27">
        <f>SUM(C36-B36)</f>
        <v>0</v>
      </c>
      <c r="G36" s="20">
        <f>SUM(E36-D36)</f>
        <v>0</v>
      </c>
      <c r="H36" s="21">
        <f>SUM(F36:G36)</f>
        <v>0</v>
      </c>
      <c r="J36" s="7" t="s">
        <v>22</v>
      </c>
      <c r="K36" s="10"/>
      <c r="L36" s="11"/>
      <c r="M36" s="11"/>
      <c r="N36" s="11"/>
      <c r="O36" s="11"/>
      <c r="P36" s="11"/>
      <c r="Q36" s="11"/>
      <c r="R36" s="11"/>
      <c r="S36" s="11"/>
      <c r="T36" s="11"/>
      <c r="U36" s="12"/>
      <c r="Y36" s="7" t="s">
        <v>22</v>
      </c>
      <c r="Z36" s="10"/>
      <c r="AA36" s="11"/>
      <c r="AB36" s="11"/>
      <c r="AC36" s="11"/>
      <c r="AD36" s="11"/>
      <c r="AE36" s="12"/>
      <c r="AH36" s="7" t="s">
        <v>22</v>
      </c>
      <c r="AI36" s="10"/>
      <c r="AJ36" s="11"/>
      <c r="AK36" s="11"/>
      <c r="AL36" s="11"/>
      <c r="AM36" s="11"/>
      <c r="AN36" s="12"/>
    </row>
    <row r="37" spans="1:40" x14ac:dyDescent="0.25">
      <c r="J37" s="8"/>
      <c r="T37" s="8" t="s">
        <v>23</v>
      </c>
      <c r="U37" s="13">
        <f>SUM(K36:U36)</f>
        <v>0</v>
      </c>
      <c r="AD37" s="8" t="s">
        <v>23</v>
      </c>
      <c r="AE37" s="13">
        <f>SUM(Z36:AE36)</f>
        <v>0</v>
      </c>
      <c r="AM37" s="8" t="s">
        <v>23</v>
      </c>
      <c r="AN37" s="13">
        <f>SUM(AI36:AN36)</f>
        <v>0</v>
      </c>
    </row>
    <row r="38" spans="1:40" ht="15.75" thickBot="1" x14ac:dyDescent="0.3">
      <c r="A38" s="19"/>
      <c r="B38" s="101" t="s">
        <v>18</v>
      </c>
      <c r="C38" s="101"/>
      <c r="D38" s="101"/>
      <c r="E38" s="101"/>
      <c r="F38" s="101"/>
      <c r="G38" s="101"/>
      <c r="H38" s="101"/>
      <c r="J38" s="102" t="s">
        <v>18</v>
      </c>
      <c r="K38" s="102"/>
      <c r="L38" s="102"/>
      <c r="M38" s="102"/>
      <c r="N38" s="102"/>
      <c r="O38" s="102"/>
      <c r="P38" s="102"/>
      <c r="Q38" s="102"/>
      <c r="R38" s="102"/>
      <c r="S38" s="102"/>
      <c r="T38" s="102"/>
      <c r="U38" s="102"/>
      <c r="Y38" s="103" t="str">
        <f>J38</f>
        <v>Setembro</v>
      </c>
      <c r="Z38" s="103"/>
      <c r="AA38" s="103"/>
      <c r="AB38" s="103"/>
      <c r="AC38" s="103"/>
      <c r="AD38" s="103"/>
      <c r="AE38" s="103"/>
      <c r="AH38" s="104" t="str">
        <f>Y38</f>
        <v>Setembro</v>
      </c>
      <c r="AI38" s="104"/>
      <c r="AJ38" s="104"/>
      <c r="AK38" s="104"/>
      <c r="AL38" s="104"/>
      <c r="AM38" s="104"/>
      <c r="AN38" s="104"/>
    </row>
    <row r="39" spans="1:40" ht="15.75" thickBot="1" x14ac:dyDescent="0.3">
      <c r="A39" s="100" t="s">
        <v>5</v>
      </c>
      <c r="B39" s="34" t="s">
        <v>6</v>
      </c>
      <c r="C39" s="22" t="s">
        <v>7</v>
      </c>
      <c r="D39" s="33" t="s">
        <v>8</v>
      </c>
      <c r="E39" s="22" t="s">
        <v>9</v>
      </c>
      <c r="F39" s="24" t="s">
        <v>10</v>
      </c>
      <c r="G39" s="23" t="s">
        <v>11</v>
      </c>
      <c r="H39" s="25" t="s">
        <v>12</v>
      </c>
      <c r="J39" s="6" t="s">
        <v>4</v>
      </c>
      <c r="K39" s="9"/>
      <c r="L39" s="4"/>
      <c r="M39" s="4"/>
      <c r="N39" s="4"/>
      <c r="O39" s="4"/>
      <c r="P39" s="4"/>
      <c r="Q39" s="4"/>
      <c r="R39" s="4"/>
      <c r="S39" s="4"/>
      <c r="T39" s="4"/>
      <c r="U39" s="5"/>
      <c r="Y39" s="6" t="s">
        <v>4</v>
      </c>
      <c r="Z39" s="9"/>
      <c r="AA39" s="4"/>
      <c r="AB39" s="4"/>
      <c r="AC39" s="4"/>
      <c r="AD39" s="4"/>
      <c r="AE39" s="5"/>
      <c r="AH39" s="6" t="s">
        <v>4</v>
      </c>
      <c r="AI39" s="9"/>
      <c r="AJ39" s="4"/>
      <c r="AK39" s="4"/>
      <c r="AL39" s="4"/>
      <c r="AM39" s="4"/>
      <c r="AN39" s="5"/>
    </row>
    <row r="40" spans="1:40" ht="15.75" thickBot="1" x14ac:dyDescent="0.3">
      <c r="A40" s="100"/>
      <c r="B40" s="26"/>
      <c r="C40" s="27"/>
      <c r="D40" s="27"/>
      <c r="E40" s="27"/>
      <c r="F40" s="27">
        <f>SUM(C40-B40)</f>
        <v>0</v>
      </c>
      <c r="G40" s="20">
        <f>SUM(E40-D40)</f>
        <v>0</v>
      </c>
      <c r="H40" s="21">
        <f>SUM(F40:G40)</f>
        <v>0</v>
      </c>
      <c r="J40" s="7" t="s">
        <v>22</v>
      </c>
      <c r="K40" s="10"/>
      <c r="L40" s="11"/>
      <c r="M40" s="11"/>
      <c r="N40" s="11"/>
      <c r="O40" s="11"/>
      <c r="P40" s="11"/>
      <c r="Q40" s="11"/>
      <c r="R40" s="11"/>
      <c r="S40" s="11"/>
      <c r="T40" s="11"/>
      <c r="U40" s="12"/>
      <c r="Y40" s="7" t="s">
        <v>22</v>
      </c>
      <c r="Z40" s="10"/>
      <c r="AA40" s="11"/>
      <c r="AB40" s="11"/>
      <c r="AC40" s="11"/>
      <c r="AD40" s="11"/>
      <c r="AE40" s="12"/>
      <c r="AH40" s="7" t="s">
        <v>22</v>
      </c>
      <c r="AI40" s="10"/>
      <c r="AJ40" s="11"/>
      <c r="AK40" s="11"/>
      <c r="AL40" s="11"/>
      <c r="AM40" s="11"/>
      <c r="AN40" s="12"/>
    </row>
    <row r="41" spans="1:40" x14ac:dyDescent="0.25">
      <c r="J41" s="8"/>
      <c r="T41" s="8" t="s">
        <v>23</v>
      </c>
      <c r="U41" s="13">
        <f>SUM(K40:U40)</f>
        <v>0</v>
      </c>
      <c r="AD41" s="8" t="s">
        <v>23</v>
      </c>
      <c r="AE41" s="13">
        <f>SUM(Z40:AE40)</f>
        <v>0</v>
      </c>
      <c r="AM41" s="8" t="s">
        <v>23</v>
      </c>
      <c r="AN41" s="13">
        <f>SUM(AI40:AN40)</f>
        <v>0</v>
      </c>
    </row>
    <row r="42" spans="1:40" ht="15.75" thickBot="1" x14ac:dyDescent="0.3">
      <c r="A42" s="19"/>
      <c r="B42" s="101" t="s">
        <v>19</v>
      </c>
      <c r="C42" s="101"/>
      <c r="D42" s="101"/>
      <c r="E42" s="101"/>
      <c r="F42" s="101"/>
      <c r="G42" s="101"/>
      <c r="H42" s="101"/>
      <c r="J42" s="102" t="s">
        <v>19</v>
      </c>
      <c r="K42" s="102"/>
      <c r="L42" s="102"/>
      <c r="M42" s="102"/>
      <c r="N42" s="102"/>
      <c r="O42" s="102"/>
      <c r="P42" s="102"/>
      <c r="Q42" s="102"/>
      <c r="R42" s="102"/>
      <c r="S42" s="102"/>
      <c r="T42" s="102"/>
      <c r="U42" s="102"/>
      <c r="Y42" s="103" t="str">
        <f>J42</f>
        <v>Outubro</v>
      </c>
      <c r="Z42" s="103"/>
      <c r="AA42" s="103"/>
      <c r="AB42" s="103"/>
      <c r="AC42" s="103"/>
      <c r="AD42" s="103"/>
      <c r="AE42" s="103"/>
      <c r="AH42" s="104" t="str">
        <f>Y42</f>
        <v>Outubro</v>
      </c>
      <c r="AI42" s="104"/>
      <c r="AJ42" s="104"/>
      <c r="AK42" s="104"/>
      <c r="AL42" s="104"/>
      <c r="AM42" s="104"/>
      <c r="AN42" s="104"/>
    </row>
    <row r="43" spans="1:40" ht="15.75" thickBot="1" x14ac:dyDescent="0.3">
      <c r="A43" s="100" t="s">
        <v>5</v>
      </c>
      <c r="B43" s="34" t="s">
        <v>6</v>
      </c>
      <c r="C43" s="22" t="s">
        <v>7</v>
      </c>
      <c r="D43" s="33" t="s">
        <v>8</v>
      </c>
      <c r="E43" s="22" t="s">
        <v>9</v>
      </c>
      <c r="F43" s="24" t="s">
        <v>10</v>
      </c>
      <c r="G43" s="23" t="s">
        <v>11</v>
      </c>
      <c r="H43" s="25" t="s">
        <v>12</v>
      </c>
      <c r="J43" s="6" t="s">
        <v>4</v>
      </c>
      <c r="K43" s="9"/>
      <c r="L43" s="4"/>
      <c r="M43" s="4"/>
      <c r="N43" s="4"/>
      <c r="O43" s="4"/>
      <c r="P43" s="4"/>
      <c r="Q43" s="4"/>
      <c r="R43" s="4"/>
      <c r="S43" s="4"/>
      <c r="T43" s="4"/>
      <c r="U43" s="5"/>
      <c r="Y43" s="6" t="s">
        <v>4</v>
      </c>
      <c r="Z43" s="9"/>
      <c r="AA43" s="4"/>
      <c r="AB43" s="4"/>
      <c r="AC43" s="4"/>
      <c r="AD43" s="4"/>
      <c r="AE43" s="5"/>
      <c r="AH43" s="6" t="s">
        <v>4</v>
      </c>
      <c r="AI43" s="9"/>
      <c r="AJ43" s="4"/>
      <c r="AK43" s="4"/>
      <c r="AL43" s="4"/>
      <c r="AM43" s="4"/>
      <c r="AN43" s="5"/>
    </row>
    <row r="44" spans="1:40" ht="15.75" thickBot="1" x14ac:dyDescent="0.3">
      <c r="A44" s="100"/>
      <c r="B44" s="26"/>
      <c r="C44" s="27"/>
      <c r="D44" s="27"/>
      <c r="E44" s="27"/>
      <c r="F44" s="27">
        <f>SUM(C44-B44)</f>
        <v>0</v>
      </c>
      <c r="G44" s="20">
        <f>SUM(E44-D44)</f>
        <v>0</v>
      </c>
      <c r="H44" s="21">
        <f>SUM(F44:G44)</f>
        <v>0</v>
      </c>
      <c r="J44" s="7" t="s">
        <v>22</v>
      </c>
      <c r="K44" s="10"/>
      <c r="L44" s="11"/>
      <c r="M44" s="11"/>
      <c r="N44" s="11"/>
      <c r="O44" s="11"/>
      <c r="P44" s="11"/>
      <c r="Q44" s="11"/>
      <c r="R44" s="11"/>
      <c r="S44" s="11"/>
      <c r="T44" s="11"/>
      <c r="U44" s="12"/>
      <c r="Y44" s="7" t="s">
        <v>22</v>
      </c>
      <c r="Z44" s="10"/>
      <c r="AA44" s="11"/>
      <c r="AB44" s="11"/>
      <c r="AC44" s="11"/>
      <c r="AD44" s="11"/>
      <c r="AE44" s="12"/>
      <c r="AH44" s="7" t="s">
        <v>22</v>
      </c>
      <c r="AI44" s="10"/>
      <c r="AJ44" s="11"/>
      <c r="AK44" s="11"/>
      <c r="AL44" s="11"/>
      <c r="AM44" s="11"/>
      <c r="AN44" s="12"/>
    </row>
    <row r="45" spans="1:40" x14ac:dyDescent="0.25">
      <c r="J45" s="8"/>
      <c r="T45" s="8" t="s">
        <v>23</v>
      </c>
      <c r="U45" s="13">
        <f>SUM(K44:U44)</f>
        <v>0</v>
      </c>
      <c r="AD45" s="8" t="s">
        <v>23</v>
      </c>
      <c r="AE45" s="13">
        <f>SUM(Z44:AE44)</f>
        <v>0</v>
      </c>
      <c r="AM45" s="8" t="s">
        <v>23</v>
      </c>
      <c r="AN45" s="13">
        <f>SUM(AI44:AN44)</f>
        <v>0</v>
      </c>
    </row>
    <row r="46" spans="1:40" ht="15.75" thickBot="1" x14ac:dyDescent="0.3">
      <c r="A46" s="19"/>
      <c r="B46" s="101" t="s">
        <v>20</v>
      </c>
      <c r="C46" s="101"/>
      <c r="D46" s="101"/>
      <c r="E46" s="101"/>
      <c r="F46" s="101"/>
      <c r="G46" s="101"/>
      <c r="H46" s="101"/>
      <c r="J46" s="102" t="s">
        <v>20</v>
      </c>
      <c r="K46" s="102"/>
      <c r="L46" s="102"/>
      <c r="M46" s="102"/>
      <c r="N46" s="102"/>
      <c r="O46" s="102"/>
      <c r="P46" s="102"/>
      <c r="Q46" s="102"/>
      <c r="R46" s="102"/>
      <c r="S46" s="102"/>
      <c r="T46" s="102"/>
      <c r="U46" s="102"/>
      <c r="Y46" s="103" t="str">
        <f>J46</f>
        <v>Novembro</v>
      </c>
      <c r="Z46" s="103"/>
      <c r="AA46" s="103"/>
      <c r="AB46" s="103"/>
      <c r="AC46" s="103"/>
      <c r="AD46" s="103"/>
      <c r="AE46" s="103"/>
      <c r="AH46" s="104" t="str">
        <f>Y46</f>
        <v>Novembro</v>
      </c>
      <c r="AI46" s="104"/>
      <c r="AJ46" s="104"/>
      <c r="AK46" s="104"/>
      <c r="AL46" s="104"/>
      <c r="AM46" s="104"/>
      <c r="AN46" s="104"/>
    </row>
    <row r="47" spans="1:40" ht="15.75" thickBot="1" x14ac:dyDescent="0.3">
      <c r="A47" s="100" t="s">
        <v>5</v>
      </c>
      <c r="B47" s="34" t="s">
        <v>6</v>
      </c>
      <c r="C47" s="22" t="s">
        <v>7</v>
      </c>
      <c r="D47" s="33" t="s">
        <v>8</v>
      </c>
      <c r="E47" s="22" t="s">
        <v>9</v>
      </c>
      <c r="F47" s="24" t="s">
        <v>10</v>
      </c>
      <c r="G47" s="23" t="s">
        <v>11</v>
      </c>
      <c r="H47" s="25" t="s">
        <v>12</v>
      </c>
      <c r="J47" s="6" t="s">
        <v>4</v>
      </c>
      <c r="K47" s="9"/>
      <c r="L47" s="4"/>
      <c r="M47" s="4"/>
      <c r="N47" s="4"/>
      <c r="O47" s="4"/>
      <c r="P47" s="4"/>
      <c r="Q47" s="4"/>
      <c r="R47" s="4"/>
      <c r="S47" s="4"/>
      <c r="T47" s="4"/>
      <c r="U47" s="5"/>
      <c r="Y47" s="6" t="s">
        <v>4</v>
      </c>
      <c r="Z47" s="9"/>
      <c r="AA47" s="4"/>
      <c r="AB47" s="4"/>
      <c r="AC47" s="4"/>
      <c r="AD47" s="4"/>
      <c r="AE47" s="5"/>
      <c r="AH47" s="6" t="s">
        <v>4</v>
      </c>
      <c r="AI47" s="9"/>
      <c r="AJ47" s="4"/>
      <c r="AK47" s="4"/>
      <c r="AL47" s="4"/>
      <c r="AM47" s="4"/>
      <c r="AN47" s="5"/>
    </row>
    <row r="48" spans="1:40" ht="15.75" thickBot="1" x14ac:dyDescent="0.3">
      <c r="A48" s="100"/>
      <c r="B48" s="26"/>
      <c r="C48" s="27"/>
      <c r="D48" s="27"/>
      <c r="E48" s="27"/>
      <c r="F48" s="27">
        <f>SUM(C48-B48)</f>
        <v>0</v>
      </c>
      <c r="G48" s="20">
        <f>SUM(E48-D48)</f>
        <v>0</v>
      </c>
      <c r="H48" s="21">
        <f>SUM(F48:G48)</f>
        <v>0</v>
      </c>
      <c r="J48" s="7" t="s">
        <v>22</v>
      </c>
      <c r="K48" s="10"/>
      <c r="L48" s="11"/>
      <c r="M48" s="11"/>
      <c r="N48" s="11"/>
      <c r="O48" s="11"/>
      <c r="P48" s="11"/>
      <c r="Q48" s="11"/>
      <c r="R48" s="11"/>
      <c r="S48" s="11"/>
      <c r="T48" s="11"/>
      <c r="U48" s="12"/>
      <c r="Y48" s="7" t="s">
        <v>22</v>
      </c>
      <c r="Z48" s="10"/>
      <c r="AA48" s="11"/>
      <c r="AB48" s="11"/>
      <c r="AC48" s="11"/>
      <c r="AD48" s="11"/>
      <c r="AE48" s="12"/>
      <c r="AH48" s="7" t="s">
        <v>22</v>
      </c>
      <c r="AI48" s="10"/>
      <c r="AJ48" s="11"/>
      <c r="AK48" s="11"/>
      <c r="AL48" s="11"/>
      <c r="AM48" s="11"/>
      <c r="AN48" s="12"/>
    </row>
    <row r="49" spans="1:40" x14ac:dyDescent="0.25">
      <c r="J49" s="8"/>
      <c r="T49" s="8" t="s">
        <v>23</v>
      </c>
      <c r="U49" s="13">
        <f>SUM(K48:U48)</f>
        <v>0</v>
      </c>
      <c r="AD49" s="8" t="s">
        <v>23</v>
      </c>
      <c r="AE49" s="13">
        <f>SUM(Z48:AE48)</f>
        <v>0</v>
      </c>
      <c r="AM49" s="8" t="s">
        <v>23</v>
      </c>
      <c r="AN49" s="13">
        <f>SUM(AI48:AN48)</f>
        <v>0</v>
      </c>
    </row>
    <row r="50" spans="1:40" ht="15.75" thickBot="1" x14ac:dyDescent="0.3">
      <c r="A50" s="19"/>
      <c r="B50" s="101" t="s">
        <v>21</v>
      </c>
      <c r="C50" s="101"/>
      <c r="D50" s="101"/>
      <c r="E50" s="101"/>
      <c r="F50" s="101"/>
      <c r="G50" s="101"/>
      <c r="H50" s="101"/>
      <c r="J50" s="102" t="s">
        <v>21</v>
      </c>
      <c r="K50" s="102"/>
      <c r="L50" s="102"/>
      <c r="M50" s="102"/>
      <c r="N50" s="102"/>
      <c r="O50" s="102"/>
      <c r="P50" s="102"/>
      <c r="Q50" s="102"/>
      <c r="R50" s="102"/>
      <c r="S50" s="102"/>
      <c r="T50" s="102"/>
      <c r="U50" s="102"/>
      <c r="Y50" s="103" t="str">
        <f>J50</f>
        <v>Dezembro</v>
      </c>
      <c r="Z50" s="103"/>
      <c r="AA50" s="103"/>
      <c r="AB50" s="103"/>
      <c r="AC50" s="103"/>
      <c r="AD50" s="103"/>
      <c r="AE50" s="103"/>
      <c r="AH50" s="104" t="str">
        <f>Y50</f>
        <v>Dezembro</v>
      </c>
      <c r="AI50" s="104"/>
      <c r="AJ50" s="104"/>
      <c r="AK50" s="104"/>
      <c r="AL50" s="104"/>
      <c r="AM50" s="104"/>
      <c r="AN50" s="104"/>
    </row>
    <row r="51" spans="1:40" ht="15.75" thickBot="1" x14ac:dyDescent="0.3">
      <c r="A51" s="100" t="s">
        <v>5</v>
      </c>
      <c r="B51" s="34" t="s">
        <v>6</v>
      </c>
      <c r="C51" s="22" t="s">
        <v>7</v>
      </c>
      <c r="D51" s="33" t="s">
        <v>8</v>
      </c>
      <c r="E51" s="22" t="s">
        <v>9</v>
      </c>
      <c r="F51" s="24" t="s">
        <v>10</v>
      </c>
      <c r="G51" s="23" t="s">
        <v>11</v>
      </c>
      <c r="H51" s="25" t="s">
        <v>12</v>
      </c>
      <c r="J51" s="6" t="s">
        <v>4</v>
      </c>
      <c r="K51" s="9"/>
      <c r="L51" s="4"/>
      <c r="M51" s="4"/>
      <c r="N51" s="4"/>
      <c r="O51" s="4"/>
      <c r="P51" s="4"/>
      <c r="Q51" s="4"/>
      <c r="R51" s="4"/>
      <c r="S51" s="4"/>
      <c r="T51" s="4"/>
      <c r="U51" s="5"/>
      <c r="Y51" s="6" t="s">
        <v>4</v>
      </c>
      <c r="Z51" s="9"/>
      <c r="AA51" s="4"/>
      <c r="AB51" s="4"/>
      <c r="AC51" s="4"/>
      <c r="AD51" s="4"/>
      <c r="AE51" s="5"/>
      <c r="AH51" s="6" t="s">
        <v>4</v>
      </c>
      <c r="AI51" s="9"/>
      <c r="AJ51" s="4"/>
      <c r="AK51" s="4"/>
      <c r="AL51" s="4"/>
      <c r="AM51" s="4"/>
      <c r="AN51" s="5"/>
    </row>
    <row r="52" spans="1:40" ht="15.75" thickBot="1" x14ac:dyDescent="0.3">
      <c r="A52" s="100"/>
      <c r="B52" s="26"/>
      <c r="C52" s="27"/>
      <c r="D52" s="27"/>
      <c r="E52" s="27"/>
      <c r="F52" s="27">
        <f>SUM(C52-B52)</f>
        <v>0</v>
      </c>
      <c r="G52" s="20">
        <f>SUM(E52-D52)</f>
        <v>0</v>
      </c>
      <c r="H52" s="21">
        <f>SUM(F52:G52)</f>
        <v>0</v>
      </c>
      <c r="J52" s="7" t="s">
        <v>22</v>
      </c>
      <c r="K52" s="10"/>
      <c r="L52" s="11"/>
      <c r="M52" s="11"/>
      <c r="N52" s="11"/>
      <c r="O52" s="11"/>
      <c r="P52" s="11"/>
      <c r="Q52" s="11"/>
      <c r="R52" s="11"/>
      <c r="S52" s="11"/>
      <c r="T52" s="11"/>
      <c r="U52" s="12"/>
      <c r="Y52" s="7" t="s">
        <v>22</v>
      </c>
      <c r="Z52" s="10"/>
      <c r="AA52" s="11"/>
      <c r="AB52" s="11"/>
      <c r="AC52" s="11"/>
      <c r="AD52" s="11"/>
      <c r="AE52" s="12"/>
      <c r="AH52" s="7" t="s">
        <v>22</v>
      </c>
      <c r="AI52" s="10"/>
      <c r="AJ52" s="11"/>
      <c r="AK52" s="11"/>
      <c r="AL52" s="11"/>
      <c r="AM52" s="11"/>
      <c r="AN52" s="12"/>
    </row>
    <row r="53" spans="1:40" x14ac:dyDescent="0.25">
      <c r="J53" s="8"/>
      <c r="T53" s="8" t="s">
        <v>23</v>
      </c>
      <c r="U53" s="13">
        <f>SUM(K52:U52)</f>
        <v>0</v>
      </c>
      <c r="AD53" s="8" t="s">
        <v>23</v>
      </c>
      <c r="AE53" s="13">
        <f>SUM(Z52:AE52)</f>
        <v>0</v>
      </c>
      <c r="AM53" s="8" t="s">
        <v>23</v>
      </c>
      <c r="AN53" s="13">
        <f>SUM(AI52:AN52)</f>
        <v>0</v>
      </c>
    </row>
  </sheetData>
  <mergeCells count="64">
    <mergeCell ref="B2:C2"/>
    <mergeCell ref="E2:F2"/>
    <mergeCell ref="B5:C5"/>
    <mergeCell ref="E5:F5"/>
    <mergeCell ref="A8:H8"/>
    <mergeCell ref="E3:F3"/>
    <mergeCell ref="A15:A16"/>
    <mergeCell ref="Y8:AE8"/>
    <mergeCell ref="AH8:AN8"/>
    <mergeCell ref="B10:H10"/>
    <mergeCell ref="J10:U10"/>
    <mergeCell ref="Y10:AE10"/>
    <mergeCell ref="AH10:AN10"/>
    <mergeCell ref="J8:U8"/>
    <mergeCell ref="A11:A12"/>
    <mergeCell ref="B14:H14"/>
    <mergeCell ref="J14:U14"/>
    <mergeCell ref="Y14:AE14"/>
    <mergeCell ref="AH14:AN14"/>
    <mergeCell ref="A27:A28"/>
    <mergeCell ref="B18:H18"/>
    <mergeCell ref="J18:U18"/>
    <mergeCell ref="Y18:AE18"/>
    <mergeCell ref="AH18:AN18"/>
    <mergeCell ref="A19:A20"/>
    <mergeCell ref="B22:H22"/>
    <mergeCell ref="J22:U22"/>
    <mergeCell ref="Y22:AE22"/>
    <mergeCell ref="AH22:AN22"/>
    <mergeCell ref="A23:A24"/>
    <mergeCell ref="B26:H26"/>
    <mergeCell ref="J26:U26"/>
    <mergeCell ref="Y26:AE26"/>
    <mergeCell ref="AH26:AN26"/>
    <mergeCell ref="A39:A40"/>
    <mergeCell ref="B30:H30"/>
    <mergeCell ref="J30:U30"/>
    <mergeCell ref="Y30:AE30"/>
    <mergeCell ref="AH30:AN30"/>
    <mergeCell ref="A31:A32"/>
    <mergeCell ref="B34:H34"/>
    <mergeCell ref="J34:U34"/>
    <mergeCell ref="Y34:AE34"/>
    <mergeCell ref="AH34:AN34"/>
    <mergeCell ref="A35:A36"/>
    <mergeCell ref="B38:H38"/>
    <mergeCell ref="J38:U38"/>
    <mergeCell ref="Y38:AE38"/>
    <mergeCell ref="AH38:AN38"/>
    <mergeCell ref="A51:A52"/>
    <mergeCell ref="B42:H42"/>
    <mergeCell ref="J42:U42"/>
    <mergeCell ref="Y42:AE42"/>
    <mergeCell ref="AH42:AN42"/>
    <mergeCell ref="A43:A44"/>
    <mergeCell ref="B46:H46"/>
    <mergeCell ref="J46:U46"/>
    <mergeCell ref="Y46:AE46"/>
    <mergeCell ref="AH46:AN46"/>
    <mergeCell ref="A47:A48"/>
    <mergeCell ref="B50:H50"/>
    <mergeCell ref="J50:U50"/>
    <mergeCell ref="Y50:AE50"/>
    <mergeCell ref="AH50:AN50"/>
  </mergeCells>
  <phoneticPr fontId="3" type="noConversion"/>
  <pageMargins left="0.511811024" right="0.511811024" top="0.78740157499999996" bottom="0.78740157499999996" header="0.31496062000000002" footer="0.3149606200000000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N78"/>
  <sheetViews>
    <sheetView showGridLines="0" topLeftCell="A43" workbookViewId="0">
      <selection activeCell="A3" sqref="A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42578125" bestFit="1" customWidth="1"/>
    <col min="12" max="12" width="10.5703125" bestFit="1" customWidth="1"/>
    <col min="13" max="17" width="10.42578125" bestFit="1" customWidth="1"/>
    <col min="21" max="21" width="12.140625" bestFit="1" customWidth="1"/>
    <col min="26" max="26" width="10.42578125" bestFit="1" customWidth="1"/>
    <col min="31" max="31" width="9.5703125" bestFit="1" customWidth="1"/>
    <col min="37" max="39" width="10.140625" bestFit="1" customWidth="1"/>
  </cols>
  <sheetData>
    <row r="2" spans="1:40" x14ac:dyDescent="0.25">
      <c r="A2" t="s">
        <v>0</v>
      </c>
      <c r="B2" s="107" t="s">
        <v>151</v>
      </c>
      <c r="C2" s="107"/>
      <c r="D2" s="1" t="s">
        <v>1</v>
      </c>
      <c r="E2" s="107" t="s">
        <v>188</v>
      </c>
      <c r="F2" s="107"/>
      <c r="H2" t="s">
        <v>173</v>
      </c>
      <c r="I2" s="96">
        <v>3000</v>
      </c>
    </row>
    <row r="3" spans="1:40" x14ac:dyDescent="0.25">
      <c r="A3" t="s">
        <v>194</v>
      </c>
      <c r="B3" s="110">
        <v>46122</v>
      </c>
      <c r="C3" s="107"/>
      <c r="D3" s="1" t="s">
        <v>1</v>
      </c>
      <c r="E3" s="107" t="s">
        <v>188</v>
      </c>
      <c r="F3" s="107"/>
      <c r="H3" t="s">
        <v>195</v>
      </c>
      <c r="I3" s="96" t="s">
        <v>196</v>
      </c>
    </row>
    <row r="4" spans="1:40" x14ac:dyDescent="0.25">
      <c r="A4" t="s">
        <v>198</v>
      </c>
      <c r="B4" s="110"/>
      <c r="C4" s="107"/>
      <c r="D4" s="1" t="s">
        <v>1</v>
      </c>
      <c r="E4" s="107"/>
      <c r="F4" s="107"/>
      <c r="H4" t="s">
        <v>184</v>
      </c>
      <c r="I4" s="96"/>
    </row>
    <row r="5" spans="1:40" x14ac:dyDescent="0.25">
      <c r="A5" t="s">
        <v>194</v>
      </c>
      <c r="B5" s="110"/>
      <c r="C5" s="107"/>
      <c r="D5" s="1" t="s">
        <v>1</v>
      </c>
      <c r="E5" s="107"/>
      <c r="F5" s="107"/>
      <c r="H5" t="s">
        <v>195</v>
      </c>
      <c r="I5" s="96"/>
    </row>
    <row r="6" spans="1:40" x14ac:dyDescent="0.25">
      <c r="A6" t="s">
        <v>2</v>
      </c>
      <c r="B6" s="108">
        <v>2484</v>
      </c>
      <c r="C6" s="108"/>
      <c r="D6" s="1" t="s">
        <v>29</v>
      </c>
      <c r="E6" s="115">
        <v>40</v>
      </c>
      <c r="F6" s="115"/>
      <c r="H6" t="s">
        <v>189</v>
      </c>
      <c r="I6" s="95">
        <v>45861</v>
      </c>
      <c r="J6" t="s">
        <v>197</v>
      </c>
      <c r="K6" s="99">
        <v>46130</v>
      </c>
    </row>
    <row r="9" spans="1:40" ht="21" x14ac:dyDescent="0.35">
      <c r="A9" s="109" t="s">
        <v>28</v>
      </c>
      <c r="B9" s="109"/>
      <c r="C9" s="109"/>
      <c r="D9" s="109"/>
      <c r="E9" s="109"/>
      <c r="F9" s="109"/>
      <c r="G9" s="109"/>
      <c r="H9" s="109"/>
      <c r="J9" s="106" t="s">
        <v>26</v>
      </c>
      <c r="K9" s="106"/>
      <c r="L9" s="106"/>
      <c r="M9" s="106"/>
      <c r="N9" s="106"/>
      <c r="O9" s="106"/>
      <c r="P9" s="106"/>
      <c r="Q9" s="106"/>
      <c r="R9" s="106"/>
      <c r="S9" s="106"/>
      <c r="T9" s="106"/>
      <c r="U9" s="106"/>
      <c r="V9" s="2"/>
      <c r="W9" s="2"/>
      <c r="X9" s="2"/>
      <c r="Y9" s="105" t="s">
        <v>25</v>
      </c>
      <c r="Z9" s="105"/>
      <c r="AA9" s="105"/>
      <c r="AB9" s="105"/>
      <c r="AC9" s="105"/>
      <c r="AD9" s="105"/>
      <c r="AE9" s="105"/>
      <c r="AF9" s="2"/>
      <c r="AG9" s="2"/>
      <c r="AH9" s="105" t="s">
        <v>27</v>
      </c>
      <c r="AI9" s="105"/>
      <c r="AJ9" s="105"/>
      <c r="AK9" s="105"/>
      <c r="AL9" s="105"/>
      <c r="AM9" s="105"/>
      <c r="AN9" s="105"/>
    </row>
    <row r="10" spans="1:40" s="15" customFormat="1" ht="21" x14ac:dyDescent="0.35">
      <c r="A10" s="14"/>
      <c r="B10" s="14"/>
      <c r="C10" s="14"/>
      <c r="D10" s="14"/>
      <c r="E10" s="14"/>
      <c r="F10" s="14"/>
      <c r="G10" s="14"/>
      <c r="H10" s="14"/>
      <c r="J10" s="16"/>
      <c r="K10" s="16"/>
      <c r="L10" s="16"/>
      <c r="M10" s="16"/>
      <c r="N10" s="16"/>
      <c r="O10" s="16"/>
      <c r="P10" s="16"/>
      <c r="Q10" s="16"/>
      <c r="R10" s="16"/>
      <c r="S10" s="16"/>
      <c r="T10" s="16"/>
      <c r="U10" s="16"/>
      <c r="V10" s="17"/>
      <c r="W10" s="17"/>
      <c r="X10" s="17"/>
      <c r="Y10" s="18"/>
      <c r="Z10" s="18"/>
      <c r="AA10" s="18"/>
      <c r="AB10" s="18"/>
      <c r="AC10" s="18"/>
      <c r="AD10" s="18"/>
      <c r="AE10" s="18"/>
      <c r="AF10" s="17"/>
      <c r="AG10" s="17"/>
      <c r="AH10" s="18"/>
      <c r="AI10" s="18"/>
      <c r="AJ10" s="18"/>
      <c r="AK10" s="18"/>
      <c r="AL10" s="18"/>
      <c r="AM10" s="18"/>
      <c r="AN10" s="18"/>
    </row>
    <row r="11" spans="1:40" ht="15.75" thickBot="1" x14ac:dyDescent="0.3">
      <c r="A11" s="19"/>
      <c r="B11" s="101" t="s">
        <v>3</v>
      </c>
      <c r="C11" s="101"/>
      <c r="D11" s="101"/>
      <c r="E11" s="101"/>
      <c r="F11" s="101"/>
      <c r="G11" s="101"/>
      <c r="H11" s="101"/>
      <c r="J11" s="102" t="s">
        <v>3</v>
      </c>
      <c r="K11" s="102"/>
      <c r="L11" s="102"/>
      <c r="M11" s="102"/>
      <c r="N11" s="102"/>
      <c r="O11" s="102"/>
      <c r="P11" s="102"/>
      <c r="Q11" s="102"/>
      <c r="R11" s="102"/>
      <c r="S11" s="102"/>
      <c r="T11" s="102"/>
      <c r="U11" s="102"/>
      <c r="Y11" s="103" t="s">
        <v>3</v>
      </c>
      <c r="Z11" s="103"/>
      <c r="AA11" s="103"/>
      <c r="AB11" s="103"/>
      <c r="AC11" s="103"/>
      <c r="AD11" s="103"/>
      <c r="AE11" s="103"/>
      <c r="AH11" s="104" t="s">
        <v>3</v>
      </c>
      <c r="AI11" s="104"/>
      <c r="AJ11" s="104"/>
      <c r="AK11" s="104"/>
      <c r="AL11" s="104"/>
      <c r="AM11" s="104"/>
      <c r="AN11" s="104"/>
    </row>
    <row r="12" spans="1:40" ht="15.75" thickBot="1" x14ac:dyDescent="0.3">
      <c r="A12" s="100" t="s">
        <v>5</v>
      </c>
      <c r="B12" s="34" t="s">
        <v>6</v>
      </c>
      <c r="C12" s="22" t="s">
        <v>7</v>
      </c>
      <c r="D12" s="33" t="s">
        <v>8</v>
      </c>
      <c r="E12" s="22" t="s">
        <v>9</v>
      </c>
      <c r="F12" s="24" t="s">
        <v>10</v>
      </c>
      <c r="G12" s="23" t="s">
        <v>11</v>
      </c>
      <c r="H12" s="25" t="s">
        <v>12</v>
      </c>
      <c r="J12" s="28" t="s">
        <v>4</v>
      </c>
      <c r="K12" s="9"/>
      <c r="L12" s="4"/>
      <c r="M12" s="4"/>
      <c r="N12" s="4"/>
      <c r="O12" s="4"/>
      <c r="P12" s="4"/>
      <c r="Q12" s="4"/>
      <c r="R12" s="4"/>
      <c r="S12" s="4"/>
      <c r="T12" s="4"/>
      <c r="U12" s="5"/>
      <c r="Y12" s="6" t="s">
        <v>4</v>
      </c>
      <c r="Z12" s="9"/>
      <c r="AA12" s="4"/>
      <c r="AB12" s="4"/>
      <c r="AC12" s="4"/>
      <c r="AD12" s="4"/>
      <c r="AE12" s="5"/>
      <c r="AH12" s="6" t="s">
        <v>4</v>
      </c>
      <c r="AI12" s="9"/>
      <c r="AJ12" s="4"/>
      <c r="AK12" s="4"/>
      <c r="AL12" s="4"/>
      <c r="AM12" s="4"/>
      <c r="AN12" s="5"/>
    </row>
    <row r="13" spans="1:40" ht="15.75" thickBot="1" x14ac:dyDescent="0.3">
      <c r="A13" s="100"/>
      <c r="B13" s="26"/>
      <c r="C13" s="27"/>
      <c r="D13" s="27"/>
      <c r="E13" s="27"/>
      <c r="F13" s="27">
        <f>SUM(C13-B13)</f>
        <v>0</v>
      </c>
      <c r="G13" s="20">
        <f>SUM(E13-D13)</f>
        <v>0</v>
      </c>
      <c r="H13" s="21">
        <f>SUM(F13:G13)</f>
        <v>0</v>
      </c>
      <c r="J13" s="29" t="s">
        <v>22</v>
      </c>
      <c r="K13" s="10"/>
      <c r="L13" s="11"/>
      <c r="M13" s="11"/>
      <c r="N13" s="11"/>
      <c r="O13" s="11"/>
      <c r="P13" s="11"/>
      <c r="Q13" s="11"/>
      <c r="R13" s="11"/>
      <c r="S13" s="11"/>
      <c r="T13" s="11"/>
      <c r="U13" s="12"/>
      <c r="Y13" s="7" t="s">
        <v>22</v>
      </c>
      <c r="Z13" s="10"/>
      <c r="AA13" s="11"/>
      <c r="AB13" s="11"/>
      <c r="AC13" s="11"/>
      <c r="AD13" s="11"/>
      <c r="AE13" s="12"/>
      <c r="AH13" s="7" t="s">
        <v>22</v>
      </c>
      <c r="AI13" s="10"/>
      <c r="AJ13" s="11"/>
      <c r="AK13" s="11"/>
      <c r="AL13" s="11"/>
      <c r="AM13" s="11"/>
      <c r="AN13" s="12"/>
    </row>
    <row r="14" spans="1:40" x14ac:dyDescent="0.25">
      <c r="J14" s="8"/>
      <c r="T14" s="8" t="s">
        <v>23</v>
      </c>
      <c r="U14" s="13">
        <f>SUM(K13:U13)</f>
        <v>0</v>
      </c>
      <c r="AD14" s="8" t="s">
        <v>23</v>
      </c>
      <c r="AE14" s="13">
        <f>SUM(Z13:AE13)</f>
        <v>0</v>
      </c>
      <c r="AM14" s="8" t="s">
        <v>23</v>
      </c>
      <c r="AN14" s="13">
        <f>SUM(AI13:AN13)</f>
        <v>0</v>
      </c>
    </row>
    <row r="15" spans="1:40" ht="15.75" thickBot="1" x14ac:dyDescent="0.3">
      <c r="A15" s="19"/>
      <c r="B15" s="101" t="s">
        <v>13</v>
      </c>
      <c r="C15" s="101"/>
      <c r="D15" s="101"/>
      <c r="E15" s="101"/>
      <c r="F15" s="101"/>
      <c r="G15" s="101"/>
      <c r="H15" s="101"/>
      <c r="J15" s="102" t="s">
        <v>13</v>
      </c>
      <c r="K15" s="102"/>
      <c r="L15" s="102"/>
      <c r="M15" s="102"/>
      <c r="N15" s="102"/>
      <c r="O15" s="102"/>
      <c r="P15" s="102"/>
      <c r="Q15" s="102"/>
      <c r="R15" s="102"/>
      <c r="S15" s="102"/>
      <c r="T15" s="102"/>
      <c r="U15" s="102"/>
      <c r="Y15" s="103" t="str">
        <f>J15</f>
        <v>Março</v>
      </c>
      <c r="Z15" s="103"/>
      <c r="AA15" s="103"/>
      <c r="AB15" s="103"/>
      <c r="AC15" s="103"/>
      <c r="AD15" s="103"/>
      <c r="AE15" s="103"/>
      <c r="AH15" s="104" t="str">
        <f>Y15</f>
        <v>Março</v>
      </c>
      <c r="AI15" s="104"/>
      <c r="AJ15" s="104"/>
      <c r="AK15" s="104"/>
      <c r="AL15" s="104"/>
      <c r="AM15" s="104"/>
      <c r="AN15" s="104"/>
    </row>
    <row r="16" spans="1:40" ht="15.75" thickBot="1" x14ac:dyDescent="0.3">
      <c r="A16" s="100" t="s">
        <v>5</v>
      </c>
      <c r="B16" s="34" t="s">
        <v>6</v>
      </c>
      <c r="C16" s="22" t="s">
        <v>7</v>
      </c>
      <c r="D16" s="33" t="s">
        <v>8</v>
      </c>
      <c r="E16" s="22" t="s">
        <v>9</v>
      </c>
      <c r="F16" s="24" t="s">
        <v>10</v>
      </c>
      <c r="G16" s="23" t="s">
        <v>11</v>
      </c>
      <c r="H16" s="25" t="s">
        <v>12</v>
      </c>
      <c r="J16" s="6" t="s">
        <v>4</v>
      </c>
      <c r="K16" s="9"/>
      <c r="L16" s="4"/>
      <c r="M16" s="4"/>
      <c r="N16" s="4"/>
      <c r="O16" s="4"/>
      <c r="P16" s="4"/>
      <c r="Q16" s="4"/>
      <c r="R16" s="4"/>
      <c r="S16" s="4"/>
      <c r="T16" s="4"/>
      <c r="U16" s="5"/>
      <c r="Y16" s="6" t="s">
        <v>4</v>
      </c>
      <c r="Z16" s="9"/>
      <c r="AA16" s="4"/>
      <c r="AB16" s="4"/>
      <c r="AC16" s="4"/>
      <c r="AD16" s="4"/>
      <c r="AE16" s="5"/>
      <c r="AH16" s="6" t="s">
        <v>4</v>
      </c>
      <c r="AI16" s="9"/>
      <c r="AJ16" s="4"/>
      <c r="AK16" s="4"/>
      <c r="AL16" s="4"/>
      <c r="AM16" s="4"/>
      <c r="AN16" s="5"/>
    </row>
    <row r="17" spans="1:40" ht="15.75" thickBot="1" x14ac:dyDescent="0.3">
      <c r="A17" s="100"/>
      <c r="B17" s="26"/>
      <c r="C17" s="27"/>
      <c r="D17" s="27"/>
      <c r="E17" s="27"/>
      <c r="F17" s="27">
        <f>SUM(C17-B17)</f>
        <v>0</v>
      </c>
      <c r="G17" s="20">
        <f>SUM(E17-D17)</f>
        <v>0</v>
      </c>
      <c r="H17" s="21">
        <f>SUM(F17:G17)</f>
        <v>0</v>
      </c>
      <c r="J17" s="7" t="s">
        <v>22</v>
      </c>
      <c r="K17" s="10"/>
      <c r="L17" s="11"/>
      <c r="M17" s="11"/>
      <c r="N17" s="11"/>
      <c r="O17" s="11"/>
      <c r="P17" s="11"/>
      <c r="Q17" s="11"/>
      <c r="R17" s="11"/>
      <c r="S17" s="11"/>
      <c r="T17" s="11"/>
      <c r="U17" s="12"/>
      <c r="Y17" s="7" t="s">
        <v>22</v>
      </c>
      <c r="Z17" s="10"/>
      <c r="AA17" s="11"/>
      <c r="AB17" s="11"/>
      <c r="AC17" s="11"/>
      <c r="AD17" s="11"/>
      <c r="AE17" s="12"/>
      <c r="AH17" s="7" t="s">
        <v>22</v>
      </c>
      <c r="AI17" s="10"/>
      <c r="AJ17" s="11"/>
      <c r="AK17" s="11"/>
      <c r="AL17" s="11"/>
      <c r="AM17" s="11"/>
      <c r="AN17" s="12"/>
    </row>
    <row r="18" spans="1:40" x14ac:dyDescent="0.25">
      <c r="J18" s="8"/>
      <c r="T18" s="8" t="s">
        <v>23</v>
      </c>
      <c r="U18" s="13">
        <f>SUM(K17:U17)</f>
        <v>0</v>
      </c>
      <c r="AD18" s="8" t="s">
        <v>23</v>
      </c>
      <c r="AE18" s="13">
        <f>SUM(Z17:AE17)</f>
        <v>0</v>
      </c>
      <c r="AM18" s="8" t="s">
        <v>23</v>
      </c>
      <c r="AN18" s="13">
        <f>SUM(AI17:AN17)</f>
        <v>0</v>
      </c>
    </row>
    <row r="19" spans="1:40" ht="15.75" thickBot="1" x14ac:dyDescent="0.3">
      <c r="A19" s="19"/>
      <c r="B19" s="101" t="s">
        <v>14</v>
      </c>
      <c r="C19" s="101"/>
      <c r="D19" s="101"/>
      <c r="E19" s="101"/>
      <c r="F19" s="101"/>
      <c r="G19" s="101"/>
      <c r="H19" s="101"/>
      <c r="J19" s="102" t="s">
        <v>14</v>
      </c>
      <c r="K19" s="102"/>
      <c r="L19" s="102"/>
      <c r="M19" s="102"/>
      <c r="N19" s="102"/>
      <c r="O19" s="102"/>
      <c r="P19" s="102"/>
      <c r="Q19" s="102"/>
      <c r="R19" s="102"/>
      <c r="S19" s="102"/>
      <c r="T19" s="102"/>
      <c r="U19" s="102"/>
      <c r="Y19" s="103" t="str">
        <f>J19</f>
        <v>Abril</v>
      </c>
      <c r="Z19" s="103"/>
      <c r="AA19" s="103"/>
      <c r="AB19" s="103"/>
      <c r="AC19" s="103"/>
      <c r="AD19" s="103"/>
      <c r="AE19" s="103"/>
      <c r="AH19" s="104" t="str">
        <f>Y19</f>
        <v>Abril</v>
      </c>
      <c r="AI19" s="104"/>
      <c r="AJ19" s="104"/>
      <c r="AK19" s="104"/>
      <c r="AL19" s="104"/>
      <c r="AM19" s="104"/>
      <c r="AN19" s="104"/>
    </row>
    <row r="20" spans="1:40" ht="15.75" thickBot="1" x14ac:dyDescent="0.3">
      <c r="A20" s="100" t="s">
        <v>5</v>
      </c>
      <c r="B20" s="34" t="s">
        <v>6</v>
      </c>
      <c r="C20" s="22" t="s">
        <v>7</v>
      </c>
      <c r="D20" s="33" t="s">
        <v>8</v>
      </c>
      <c r="E20" s="22" t="s">
        <v>9</v>
      </c>
      <c r="F20" s="24" t="s">
        <v>10</v>
      </c>
      <c r="G20" s="23" t="s">
        <v>11</v>
      </c>
      <c r="H20" s="25" t="s">
        <v>12</v>
      </c>
      <c r="J20" s="6" t="s">
        <v>4</v>
      </c>
      <c r="K20" s="9"/>
      <c r="L20" s="4"/>
      <c r="M20" s="4"/>
      <c r="N20" s="4"/>
      <c r="O20" s="4"/>
      <c r="P20" s="4"/>
      <c r="Q20" s="4"/>
      <c r="R20" s="4"/>
      <c r="S20" s="4"/>
      <c r="T20" s="4"/>
      <c r="U20" s="5"/>
      <c r="Y20" s="6" t="s">
        <v>4</v>
      </c>
      <c r="Z20" s="9"/>
      <c r="AA20" s="4"/>
      <c r="AB20" s="4"/>
      <c r="AC20" s="4"/>
      <c r="AD20" s="4"/>
      <c r="AE20" s="5"/>
      <c r="AH20" s="6" t="s">
        <v>4</v>
      </c>
      <c r="AI20" s="9"/>
      <c r="AJ20" s="4"/>
      <c r="AK20" s="4"/>
      <c r="AL20" s="4"/>
      <c r="AM20" s="4"/>
      <c r="AN20" s="5"/>
    </row>
    <row r="21" spans="1:40" ht="15.75" thickBot="1" x14ac:dyDescent="0.3">
      <c r="A21" s="100"/>
      <c r="B21" s="26"/>
      <c r="C21" s="27"/>
      <c r="D21" s="27"/>
      <c r="E21" s="27"/>
      <c r="F21" s="27">
        <f>SUM(C21-B21)</f>
        <v>0</v>
      </c>
      <c r="G21" s="20">
        <f>SUM(E21-D21)</f>
        <v>0</v>
      </c>
      <c r="H21" s="21">
        <f>SUM(F21:G21)</f>
        <v>0</v>
      </c>
      <c r="J21" s="7" t="s">
        <v>22</v>
      </c>
      <c r="K21" s="30"/>
      <c r="L21" s="31"/>
      <c r="M21" s="31"/>
      <c r="N21" s="31"/>
      <c r="O21" s="31"/>
      <c r="P21" s="31"/>
      <c r="Q21" s="31"/>
      <c r="R21" s="31"/>
      <c r="S21" s="31"/>
      <c r="T21" s="31"/>
      <c r="U21" s="32"/>
      <c r="Y21" s="7" t="s">
        <v>22</v>
      </c>
      <c r="Z21" s="10"/>
      <c r="AA21" s="11"/>
      <c r="AB21" s="11"/>
      <c r="AC21" s="11"/>
      <c r="AD21" s="11"/>
      <c r="AE21" s="12"/>
      <c r="AH21" s="7" t="s">
        <v>22</v>
      </c>
      <c r="AI21" s="10"/>
      <c r="AJ21" s="11"/>
      <c r="AK21" s="11"/>
      <c r="AL21" s="11"/>
      <c r="AM21" s="11"/>
      <c r="AN21" s="12"/>
    </row>
    <row r="22" spans="1:40" x14ac:dyDescent="0.25">
      <c r="J22" s="8"/>
      <c r="T22" s="8" t="s">
        <v>23</v>
      </c>
      <c r="U22" s="13">
        <f>SUM(K21:U21)</f>
        <v>0</v>
      </c>
      <c r="AD22" s="8" t="s">
        <v>23</v>
      </c>
      <c r="AE22" s="13">
        <f>SUM(Z21:AE21)</f>
        <v>0</v>
      </c>
      <c r="AM22" s="8" t="s">
        <v>23</v>
      </c>
      <c r="AN22" s="13">
        <f>SUM(AI21:AN21)</f>
        <v>0</v>
      </c>
    </row>
    <row r="23" spans="1:40" ht="15.75" thickBot="1" x14ac:dyDescent="0.3">
      <c r="A23" s="19"/>
      <c r="B23" s="101" t="s">
        <v>15</v>
      </c>
      <c r="C23" s="101"/>
      <c r="D23" s="101"/>
      <c r="E23" s="101"/>
      <c r="F23" s="101"/>
      <c r="G23" s="101"/>
      <c r="H23" s="101"/>
      <c r="J23" s="102" t="s">
        <v>15</v>
      </c>
      <c r="K23" s="102"/>
      <c r="L23" s="102"/>
      <c r="M23" s="102"/>
      <c r="N23" s="102"/>
      <c r="O23" s="102"/>
      <c r="P23" s="102"/>
      <c r="Q23" s="102"/>
      <c r="R23" s="102"/>
      <c r="S23" s="102"/>
      <c r="T23" s="102"/>
      <c r="U23" s="102"/>
      <c r="Y23" s="103" t="str">
        <f>J23</f>
        <v>Maio</v>
      </c>
      <c r="Z23" s="103"/>
      <c r="AA23" s="103"/>
      <c r="AB23" s="103"/>
      <c r="AC23" s="103"/>
      <c r="AD23" s="103"/>
      <c r="AE23" s="103"/>
      <c r="AH23" s="104" t="str">
        <f>Y23</f>
        <v>Maio</v>
      </c>
      <c r="AI23" s="104"/>
      <c r="AJ23" s="104"/>
      <c r="AK23" s="104"/>
      <c r="AL23" s="104"/>
      <c r="AM23" s="104"/>
      <c r="AN23" s="104"/>
    </row>
    <row r="24" spans="1:40" ht="15.75" thickBot="1" x14ac:dyDescent="0.3">
      <c r="A24" s="100" t="s">
        <v>5</v>
      </c>
      <c r="B24" s="34" t="s">
        <v>6</v>
      </c>
      <c r="C24" s="22" t="s">
        <v>7</v>
      </c>
      <c r="D24" s="33" t="s">
        <v>8</v>
      </c>
      <c r="E24" s="22" t="s">
        <v>9</v>
      </c>
      <c r="F24" s="24" t="s">
        <v>10</v>
      </c>
      <c r="G24" s="23" t="s">
        <v>11</v>
      </c>
      <c r="H24" s="25" t="s">
        <v>12</v>
      </c>
      <c r="J24" s="6" t="s">
        <v>4</v>
      </c>
      <c r="K24" s="9"/>
      <c r="L24" s="4"/>
      <c r="M24" s="4"/>
      <c r="N24" s="4"/>
      <c r="O24" s="4"/>
      <c r="P24" s="4"/>
      <c r="Q24" s="4"/>
      <c r="R24" s="4"/>
      <c r="S24" s="4"/>
      <c r="T24" s="4"/>
      <c r="U24" s="5"/>
      <c r="Y24" s="6" t="s">
        <v>4</v>
      </c>
      <c r="Z24" s="9"/>
      <c r="AA24" s="4"/>
      <c r="AB24" s="4"/>
      <c r="AC24" s="4"/>
      <c r="AD24" s="4"/>
      <c r="AE24" s="5"/>
      <c r="AH24" s="6" t="s">
        <v>4</v>
      </c>
      <c r="AI24" s="9"/>
      <c r="AJ24" s="4"/>
      <c r="AK24" s="4"/>
      <c r="AL24" s="4"/>
      <c r="AM24" s="4"/>
      <c r="AN24" s="5"/>
    </row>
    <row r="25" spans="1:40" ht="15.75" thickBot="1" x14ac:dyDescent="0.3">
      <c r="A25" s="100"/>
      <c r="B25" s="26"/>
      <c r="C25" s="27"/>
      <c r="D25" s="27"/>
      <c r="E25" s="27"/>
      <c r="F25" s="27">
        <f>SUM(C25-B25)</f>
        <v>0</v>
      </c>
      <c r="G25" s="20">
        <f>SUM(E25-D25)</f>
        <v>0</v>
      </c>
      <c r="H25" s="21">
        <f>SUM(F25:G25)</f>
        <v>0</v>
      </c>
      <c r="J25" s="7" t="s">
        <v>22</v>
      </c>
      <c r="K25" s="10"/>
      <c r="L25" s="11"/>
      <c r="M25" s="11"/>
      <c r="N25" s="11"/>
      <c r="O25" s="11"/>
      <c r="P25" s="11"/>
      <c r="Q25" s="11"/>
      <c r="R25" s="11"/>
      <c r="S25" s="11"/>
      <c r="T25" s="11"/>
      <c r="U25" s="12"/>
      <c r="Y25" s="7" t="s">
        <v>22</v>
      </c>
      <c r="Z25" s="10"/>
      <c r="AA25" s="11"/>
      <c r="AB25" s="11"/>
      <c r="AC25" s="11"/>
      <c r="AD25" s="11"/>
      <c r="AE25" s="12"/>
      <c r="AH25" s="7" t="s">
        <v>22</v>
      </c>
      <c r="AI25" s="10"/>
      <c r="AJ25" s="11"/>
      <c r="AK25" s="11"/>
      <c r="AL25" s="11"/>
      <c r="AM25" s="11"/>
      <c r="AN25" s="12"/>
    </row>
    <row r="26" spans="1:40" x14ac:dyDescent="0.25">
      <c r="J26" s="8"/>
      <c r="T26" s="8" t="s">
        <v>23</v>
      </c>
      <c r="U26" s="13">
        <f>SUM(K25:U25)</f>
        <v>0</v>
      </c>
      <c r="AD26" s="8" t="s">
        <v>23</v>
      </c>
      <c r="AE26" s="13">
        <f>SUM(Z25:AE25)</f>
        <v>0</v>
      </c>
      <c r="AM26" s="8" t="s">
        <v>23</v>
      </c>
      <c r="AN26" s="13">
        <f>SUM(AI25:AN25)</f>
        <v>0</v>
      </c>
    </row>
    <row r="27" spans="1:40" ht="15.75" thickBot="1" x14ac:dyDescent="0.3">
      <c r="A27" s="19"/>
      <c r="B27" s="101" t="s">
        <v>24</v>
      </c>
      <c r="C27" s="101"/>
      <c r="D27" s="101"/>
      <c r="E27" s="101"/>
      <c r="F27" s="101"/>
      <c r="G27" s="101"/>
      <c r="H27" s="101"/>
      <c r="J27" s="102" t="s">
        <v>24</v>
      </c>
      <c r="K27" s="102"/>
      <c r="L27" s="102"/>
      <c r="M27" s="102"/>
      <c r="N27" s="102"/>
      <c r="O27" s="102"/>
      <c r="P27" s="102"/>
      <c r="Q27" s="102"/>
      <c r="R27" s="102"/>
      <c r="S27" s="102"/>
      <c r="T27" s="102"/>
      <c r="U27" s="102"/>
      <c r="Y27" s="103" t="str">
        <f>J27</f>
        <v>Junho</v>
      </c>
      <c r="Z27" s="103"/>
      <c r="AA27" s="103"/>
      <c r="AB27" s="103"/>
      <c r="AC27" s="103"/>
      <c r="AD27" s="103"/>
      <c r="AE27" s="103"/>
      <c r="AH27" s="104" t="str">
        <f>Y27</f>
        <v>Junho</v>
      </c>
      <c r="AI27" s="104"/>
      <c r="AJ27" s="104"/>
      <c r="AK27" s="104"/>
      <c r="AL27" s="104"/>
      <c r="AM27" s="104"/>
      <c r="AN27" s="104"/>
    </row>
    <row r="28" spans="1:40" ht="15.75" thickBot="1" x14ac:dyDescent="0.3">
      <c r="A28" s="100" t="s">
        <v>5</v>
      </c>
      <c r="B28" s="34" t="s">
        <v>6</v>
      </c>
      <c r="C28" s="22" t="s">
        <v>7</v>
      </c>
      <c r="D28" s="33" t="s">
        <v>8</v>
      </c>
      <c r="E28" s="22" t="s">
        <v>9</v>
      </c>
      <c r="F28" s="24" t="s">
        <v>10</v>
      </c>
      <c r="G28" s="23" t="s">
        <v>11</v>
      </c>
      <c r="H28" s="25" t="s">
        <v>12</v>
      </c>
      <c r="J28" s="6" t="s">
        <v>4</v>
      </c>
      <c r="K28" s="9"/>
      <c r="L28" s="4"/>
      <c r="M28" s="4"/>
      <c r="N28" s="4"/>
      <c r="O28" s="4"/>
      <c r="P28" s="4"/>
      <c r="Q28" s="4"/>
      <c r="R28" s="4"/>
      <c r="S28" s="4"/>
      <c r="T28" s="4"/>
      <c r="U28" s="5"/>
      <c r="Y28" s="6" t="s">
        <v>4</v>
      </c>
      <c r="Z28" s="9"/>
      <c r="AA28" s="4"/>
      <c r="AB28" s="4"/>
      <c r="AC28" s="4"/>
      <c r="AD28" s="4"/>
      <c r="AE28" s="5"/>
      <c r="AH28" s="6" t="s">
        <v>4</v>
      </c>
      <c r="AI28" s="9"/>
      <c r="AJ28" s="4"/>
      <c r="AK28" s="4"/>
      <c r="AL28" s="4"/>
      <c r="AM28" s="4"/>
      <c r="AN28" s="5"/>
    </row>
    <row r="29" spans="1:40" ht="15.75" thickBot="1" x14ac:dyDescent="0.3">
      <c r="A29" s="100"/>
      <c r="B29" s="26"/>
      <c r="C29" s="27"/>
      <c r="D29" s="27"/>
      <c r="E29" s="27"/>
      <c r="F29" s="27">
        <f>SUM(C29-B29)</f>
        <v>0</v>
      </c>
      <c r="G29" s="20">
        <f>SUM(E29-D29)</f>
        <v>0</v>
      </c>
      <c r="H29" s="21">
        <f>SUM(F29:G29)</f>
        <v>0</v>
      </c>
      <c r="J29" s="7" t="s">
        <v>22</v>
      </c>
      <c r="K29" s="10"/>
      <c r="L29" s="11"/>
      <c r="M29" s="11"/>
      <c r="N29" s="11"/>
      <c r="O29" s="11"/>
      <c r="P29" s="11"/>
      <c r="Q29" s="11"/>
      <c r="R29" s="11"/>
      <c r="S29" s="11"/>
      <c r="T29" s="11"/>
      <c r="U29" s="12"/>
      <c r="Y29" s="7" t="s">
        <v>22</v>
      </c>
      <c r="Z29" s="10"/>
      <c r="AA29" s="11"/>
      <c r="AB29" s="11"/>
      <c r="AC29" s="11"/>
      <c r="AD29" s="11"/>
      <c r="AE29" s="12"/>
      <c r="AH29" s="7" t="s">
        <v>22</v>
      </c>
      <c r="AI29" s="10"/>
      <c r="AJ29" s="11"/>
      <c r="AK29" s="11"/>
      <c r="AL29" s="11"/>
      <c r="AM29" s="11"/>
      <c r="AN29" s="12"/>
    </row>
    <row r="30" spans="1:40" x14ac:dyDescent="0.25">
      <c r="J30" s="8"/>
      <c r="T30" s="8" t="s">
        <v>23</v>
      </c>
      <c r="U30" s="13">
        <f>SUM(K29:U29)</f>
        <v>0</v>
      </c>
      <c r="AD30" s="8" t="s">
        <v>23</v>
      </c>
      <c r="AE30" s="13">
        <f>SUM(Z29:AE29)</f>
        <v>0</v>
      </c>
      <c r="AM30" s="8" t="s">
        <v>23</v>
      </c>
      <c r="AN30" s="13">
        <f>SUM(AI29:AN29)</f>
        <v>0</v>
      </c>
    </row>
    <row r="31" spans="1:40" ht="15.75" thickBot="1" x14ac:dyDescent="0.3">
      <c r="A31" s="19"/>
      <c r="B31" s="101" t="s">
        <v>16</v>
      </c>
      <c r="C31" s="101"/>
      <c r="D31" s="101"/>
      <c r="E31" s="101"/>
      <c r="F31" s="101"/>
      <c r="G31" s="101"/>
      <c r="H31" s="101"/>
      <c r="J31" s="102" t="s">
        <v>16</v>
      </c>
      <c r="K31" s="102"/>
      <c r="L31" s="102"/>
      <c r="M31" s="102"/>
      <c r="N31" s="102"/>
      <c r="O31" s="102"/>
      <c r="P31" s="102"/>
      <c r="Q31" s="102"/>
      <c r="R31" s="102"/>
      <c r="S31" s="102"/>
      <c r="T31" s="102"/>
      <c r="U31" s="102"/>
      <c r="Y31" s="103" t="str">
        <f>J31</f>
        <v>Julho</v>
      </c>
      <c r="Z31" s="103"/>
      <c r="AA31" s="103"/>
      <c r="AB31" s="103"/>
      <c r="AC31" s="103"/>
      <c r="AD31" s="103"/>
      <c r="AE31" s="103"/>
      <c r="AH31" s="104" t="str">
        <f>Y31</f>
        <v>Julho</v>
      </c>
      <c r="AI31" s="104"/>
      <c r="AJ31" s="104"/>
      <c r="AK31" s="104"/>
      <c r="AL31" s="104"/>
      <c r="AM31" s="104"/>
      <c r="AN31" s="104"/>
    </row>
    <row r="32" spans="1:40" ht="15.75" thickBot="1" x14ac:dyDescent="0.3">
      <c r="A32" s="100" t="s">
        <v>5</v>
      </c>
      <c r="B32" s="34" t="s">
        <v>6</v>
      </c>
      <c r="C32" s="22" t="s">
        <v>7</v>
      </c>
      <c r="D32" s="33" t="s">
        <v>8</v>
      </c>
      <c r="E32" s="22" t="s">
        <v>9</v>
      </c>
      <c r="F32" s="24" t="s">
        <v>10</v>
      </c>
      <c r="G32" s="23" t="s">
        <v>11</v>
      </c>
      <c r="H32" s="25" t="s">
        <v>12</v>
      </c>
      <c r="J32" s="6" t="s">
        <v>4</v>
      </c>
      <c r="K32" s="9">
        <v>45868</v>
      </c>
      <c r="L32" s="4"/>
      <c r="M32" s="4"/>
      <c r="N32" s="4"/>
      <c r="O32" s="4"/>
      <c r="P32" s="4"/>
      <c r="Q32" s="4"/>
      <c r="R32" s="4"/>
      <c r="S32" s="4"/>
      <c r="T32" s="4"/>
      <c r="U32" s="5"/>
      <c r="Y32" s="6" t="s">
        <v>4</v>
      </c>
      <c r="Z32" s="9"/>
      <c r="AA32" s="4"/>
      <c r="AB32" s="4"/>
      <c r="AC32" s="4"/>
      <c r="AD32" s="4"/>
      <c r="AE32" s="5"/>
      <c r="AH32" s="6" t="s">
        <v>4</v>
      </c>
      <c r="AI32" s="9"/>
      <c r="AJ32" s="4"/>
      <c r="AK32" s="4"/>
      <c r="AL32" s="4"/>
      <c r="AM32" s="4"/>
      <c r="AN32" s="5"/>
    </row>
    <row r="33" spans="1:40" ht="15.75" thickBot="1" x14ac:dyDescent="0.3">
      <c r="A33" s="100"/>
      <c r="B33" s="26"/>
      <c r="C33" s="27"/>
      <c r="D33" s="27">
        <v>32089</v>
      </c>
      <c r="E33" s="27">
        <v>32609</v>
      </c>
      <c r="F33" s="27">
        <f>SUM(C33-B33)</f>
        <v>0</v>
      </c>
      <c r="G33" s="20">
        <f>SUM(E33-D33)</f>
        <v>520</v>
      </c>
      <c r="H33" s="21">
        <f>SUM(F33:G33)</f>
        <v>520</v>
      </c>
      <c r="J33" s="7" t="s">
        <v>22</v>
      </c>
      <c r="K33" s="10">
        <v>255.69</v>
      </c>
      <c r="L33" s="11"/>
      <c r="M33" s="11"/>
      <c r="N33" s="11"/>
      <c r="O33" s="11"/>
      <c r="P33" s="11"/>
      <c r="Q33" s="11"/>
      <c r="R33" s="11"/>
      <c r="S33" s="11"/>
      <c r="T33" s="11"/>
      <c r="U33" s="12"/>
      <c r="Y33" s="7" t="s">
        <v>22</v>
      </c>
      <c r="Z33" s="10"/>
      <c r="AA33" s="11"/>
      <c r="AB33" s="11"/>
      <c r="AC33" s="11"/>
      <c r="AD33" s="11"/>
      <c r="AE33" s="12"/>
      <c r="AH33" s="7" t="s">
        <v>22</v>
      </c>
      <c r="AI33" s="10"/>
      <c r="AJ33" s="11"/>
      <c r="AK33" s="11"/>
      <c r="AL33" s="11"/>
      <c r="AM33" s="11"/>
      <c r="AN33" s="12"/>
    </row>
    <row r="34" spans="1:40" x14ac:dyDescent="0.25">
      <c r="J34" s="8"/>
      <c r="T34" s="8" t="s">
        <v>23</v>
      </c>
      <c r="U34" s="13">
        <f>SUM(K33:U33)</f>
        <v>255.69</v>
      </c>
      <c r="AD34" s="8" t="s">
        <v>23</v>
      </c>
      <c r="AE34" s="13">
        <f>SUM(Z33:AE33)</f>
        <v>0</v>
      </c>
      <c r="AM34" s="8" t="s">
        <v>23</v>
      </c>
      <c r="AN34" s="13">
        <f>SUM(AI33:AN33)</f>
        <v>0</v>
      </c>
    </row>
    <row r="35" spans="1:40" ht="15.75" thickBot="1" x14ac:dyDescent="0.3">
      <c r="A35" s="19"/>
      <c r="B35" s="101" t="s">
        <v>17</v>
      </c>
      <c r="C35" s="101"/>
      <c r="D35" s="101"/>
      <c r="E35" s="101"/>
      <c r="F35" s="101"/>
      <c r="G35" s="101"/>
      <c r="H35" s="101"/>
      <c r="J35" s="102" t="s">
        <v>17</v>
      </c>
      <c r="K35" s="102"/>
      <c r="L35" s="102"/>
      <c r="M35" s="102"/>
      <c r="N35" s="102"/>
      <c r="O35" s="102"/>
      <c r="P35" s="102"/>
      <c r="Q35" s="102"/>
      <c r="R35" s="102"/>
      <c r="S35" s="102"/>
      <c r="T35" s="102"/>
      <c r="U35" s="102"/>
      <c r="Y35" s="103" t="str">
        <f>J35</f>
        <v>Agosto</v>
      </c>
      <c r="Z35" s="103"/>
      <c r="AA35" s="103"/>
      <c r="AB35" s="103"/>
      <c r="AC35" s="103"/>
      <c r="AD35" s="103"/>
      <c r="AE35" s="103"/>
      <c r="AH35" s="104" t="str">
        <f>Y35</f>
        <v>Agosto</v>
      </c>
      <c r="AI35" s="104"/>
      <c r="AJ35" s="104"/>
      <c r="AK35" s="104"/>
      <c r="AL35" s="104"/>
      <c r="AM35" s="104"/>
      <c r="AN35" s="104"/>
    </row>
    <row r="36" spans="1:40" ht="15.75" thickBot="1" x14ac:dyDescent="0.3">
      <c r="A36" s="100" t="s">
        <v>5</v>
      </c>
      <c r="B36" s="34" t="s">
        <v>6</v>
      </c>
      <c r="C36" s="22" t="s">
        <v>7</v>
      </c>
      <c r="D36" s="33" t="s">
        <v>8</v>
      </c>
      <c r="E36" s="22" t="s">
        <v>9</v>
      </c>
      <c r="F36" s="24" t="s">
        <v>10</v>
      </c>
      <c r="G36" s="23" t="s">
        <v>11</v>
      </c>
      <c r="H36" s="25" t="s">
        <v>12</v>
      </c>
      <c r="J36" s="6" t="s">
        <v>4</v>
      </c>
      <c r="K36" s="9">
        <v>45877</v>
      </c>
      <c r="L36" s="66">
        <v>45881</v>
      </c>
      <c r="M36" s="4"/>
      <c r="N36" s="4"/>
      <c r="O36" s="4"/>
      <c r="P36" s="4"/>
      <c r="Q36" s="4"/>
      <c r="R36" s="4"/>
      <c r="S36" s="4"/>
      <c r="T36" s="4"/>
      <c r="U36" s="5"/>
      <c r="Y36" s="6" t="s">
        <v>4</v>
      </c>
      <c r="Z36" s="9"/>
      <c r="AA36" s="4"/>
      <c r="AB36" s="4"/>
      <c r="AC36" s="4"/>
      <c r="AD36" s="4"/>
      <c r="AE36" s="5"/>
      <c r="AH36" s="6" t="s">
        <v>4</v>
      </c>
      <c r="AI36" s="9"/>
      <c r="AJ36" s="4"/>
      <c r="AK36" s="4"/>
      <c r="AL36" s="4"/>
      <c r="AM36" s="4"/>
      <c r="AN36" s="5"/>
    </row>
    <row r="37" spans="1:40" ht="15.75" thickBot="1" x14ac:dyDescent="0.3">
      <c r="A37" s="100"/>
      <c r="B37" s="26">
        <v>32609</v>
      </c>
      <c r="C37" s="27">
        <v>33613</v>
      </c>
      <c r="D37" s="27">
        <v>33613</v>
      </c>
      <c r="E37" s="27">
        <v>33613</v>
      </c>
      <c r="F37" s="27">
        <f>SUM(C37-B37)</f>
        <v>1004</v>
      </c>
      <c r="G37" s="20">
        <f>SUM(E37-D37)</f>
        <v>0</v>
      </c>
      <c r="H37" s="21">
        <f>SUM(F37:G37)</f>
        <v>1004</v>
      </c>
      <c r="J37" s="7" t="s">
        <v>22</v>
      </c>
      <c r="K37" s="10">
        <v>194</v>
      </c>
      <c r="L37" s="11">
        <v>209.95</v>
      </c>
      <c r="M37" s="11"/>
      <c r="N37" s="11"/>
      <c r="O37" s="11"/>
      <c r="P37" s="11"/>
      <c r="Q37" s="11"/>
      <c r="R37" s="11"/>
      <c r="S37" s="11"/>
      <c r="T37" s="11"/>
      <c r="U37" s="12"/>
      <c r="Y37" s="7" t="s">
        <v>22</v>
      </c>
      <c r="Z37" s="10"/>
      <c r="AA37" s="11"/>
      <c r="AB37" s="11"/>
      <c r="AC37" s="11"/>
      <c r="AD37" s="11"/>
      <c r="AE37" s="12"/>
      <c r="AH37" s="7" t="s">
        <v>22</v>
      </c>
      <c r="AI37" s="10"/>
      <c r="AJ37" s="11"/>
      <c r="AK37" s="11"/>
      <c r="AL37" s="11"/>
      <c r="AM37" s="11"/>
      <c r="AN37" s="12"/>
    </row>
    <row r="38" spans="1:40" x14ac:dyDescent="0.25">
      <c r="J38" s="8"/>
      <c r="T38" s="8" t="s">
        <v>23</v>
      </c>
      <c r="U38" s="13">
        <f>SUM(K37:U37)</f>
        <v>403.95</v>
      </c>
      <c r="AD38" s="8" t="s">
        <v>23</v>
      </c>
      <c r="AE38" s="13">
        <f>SUM(Z37:AE37)</f>
        <v>0</v>
      </c>
      <c r="AM38" s="8" t="s">
        <v>23</v>
      </c>
      <c r="AN38" s="13">
        <f>SUM(AI37:AN37)</f>
        <v>0</v>
      </c>
    </row>
    <row r="39" spans="1:40" ht="15.75" thickBot="1" x14ac:dyDescent="0.3">
      <c r="A39" s="19"/>
      <c r="B39" s="101" t="s">
        <v>18</v>
      </c>
      <c r="C39" s="101"/>
      <c r="D39" s="101"/>
      <c r="E39" s="101"/>
      <c r="F39" s="101"/>
      <c r="G39" s="101"/>
      <c r="H39" s="101"/>
      <c r="J39" s="102" t="s">
        <v>18</v>
      </c>
      <c r="K39" s="102"/>
      <c r="L39" s="102"/>
      <c r="M39" s="102"/>
      <c r="N39" s="102"/>
      <c r="O39" s="102"/>
      <c r="P39" s="102"/>
      <c r="Q39" s="102"/>
      <c r="R39" s="102"/>
      <c r="S39" s="102"/>
      <c r="T39" s="102"/>
      <c r="U39" s="102"/>
      <c r="Y39" s="103" t="str">
        <f>J39</f>
        <v>Setembro</v>
      </c>
      <c r="Z39" s="103"/>
      <c r="AA39" s="103"/>
      <c r="AB39" s="103"/>
      <c r="AC39" s="103"/>
      <c r="AD39" s="103"/>
      <c r="AE39" s="103"/>
      <c r="AH39" s="104" t="str">
        <f>Y39</f>
        <v>Setembro</v>
      </c>
      <c r="AI39" s="104"/>
      <c r="AJ39" s="104"/>
      <c r="AK39" s="104"/>
      <c r="AL39" s="104"/>
      <c r="AM39" s="104"/>
      <c r="AN39" s="104"/>
    </row>
    <row r="40" spans="1:40" ht="15.75" thickBot="1" x14ac:dyDescent="0.3">
      <c r="A40" s="100" t="s">
        <v>5</v>
      </c>
      <c r="B40" s="34" t="s">
        <v>6</v>
      </c>
      <c r="C40" s="22" t="s">
        <v>7</v>
      </c>
      <c r="D40" s="33" t="s">
        <v>8</v>
      </c>
      <c r="E40" s="22" t="s">
        <v>9</v>
      </c>
      <c r="F40" s="24" t="s">
        <v>10</v>
      </c>
      <c r="G40" s="23" t="s">
        <v>11</v>
      </c>
      <c r="H40" s="25" t="s">
        <v>12</v>
      </c>
      <c r="J40" s="6" t="s">
        <v>4</v>
      </c>
      <c r="K40" s="9">
        <v>45902</v>
      </c>
      <c r="L40" s="66">
        <v>45908</v>
      </c>
      <c r="M40" s="66">
        <v>45911</v>
      </c>
      <c r="N40" s="66">
        <v>45916</v>
      </c>
      <c r="O40" s="66">
        <v>45919</v>
      </c>
      <c r="P40" s="66">
        <v>45923</v>
      </c>
      <c r="Q40" s="4"/>
      <c r="R40" s="4"/>
      <c r="S40" s="4"/>
      <c r="T40" s="4"/>
      <c r="U40" s="5"/>
      <c r="Y40" s="6" t="s">
        <v>4</v>
      </c>
      <c r="Z40" s="9"/>
      <c r="AA40" s="4"/>
      <c r="AB40" s="4"/>
      <c r="AC40" s="4"/>
      <c r="AD40" s="4"/>
      <c r="AE40" s="5"/>
      <c r="AH40" s="6" t="s">
        <v>4</v>
      </c>
      <c r="AI40" s="9"/>
      <c r="AJ40" s="4"/>
      <c r="AK40" s="4"/>
      <c r="AL40" s="4"/>
      <c r="AM40" s="4"/>
      <c r="AN40" s="5"/>
    </row>
    <row r="41" spans="1:40" ht="15.75" thickBot="1" x14ac:dyDescent="0.3">
      <c r="A41" s="100"/>
      <c r="B41" s="27">
        <v>33613</v>
      </c>
      <c r="C41" s="27">
        <v>35334</v>
      </c>
      <c r="D41" s="27">
        <v>35334</v>
      </c>
      <c r="E41" s="27">
        <v>36864</v>
      </c>
      <c r="F41" s="27">
        <f>SUM(C41-B41)</f>
        <v>1721</v>
      </c>
      <c r="G41" s="20">
        <f>SUM(E41-D41)</f>
        <v>1530</v>
      </c>
      <c r="H41" s="21">
        <f>SUM(F41:G41)</f>
        <v>3251</v>
      </c>
      <c r="J41" s="7" t="s">
        <v>22</v>
      </c>
      <c r="K41" s="10">
        <v>236.62</v>
      </c>
      <c r="L41" s="11">
        <v>254.03</v>
      </c>
      <c r="M41" s="11">
        <v>208.4</v>
      </c>
      <c r="N41" s="11">
        <v>225.25</v>
      </c>
      <c r="O41" s="11" t="s">
        <v>191</v>
      </c>
      <c r="P41" s="11" t="s">
        <v>192</v>
      </c>
      <c r="Q41" s="11"/>
      <c r="R41" s="11"/>
      <c r="S41" s="11"/>
      <c r="T41" s="11"/>
      <c r="U41" s="12"/>
      <c r="Y41" s="7" t="s">
        <v>22</v>
      </c>
      <c r="Z41" s="10"/>
      <c r="AA41" s="11"/>
      <c r="AB41" s="11"/>
      <c r="AC41" s="11"/>
      <c r="AD41" s="11"/>
      <c r="AE41" s="12"/>
      <c r="AH41" s="7" t="s">
        <v>22</v>
      </c>
      <c r="AI41" s="10"/>
      <c r="AJ41" s="11"/>
      <c r="AK41" s="11"/>
      <c r="AL41" s="11"/>
      <c r="AM41" s="11"/>
      <c r="AN41" s="12"/>
    </row>
    <row r="42" spans="1:40" x14ac:dyDescent="0.25">
      <c r="J42" s="8"/>
      <c r="T42" s="8" t="s">
        <v>23</v>
      </c>
      <c r="U42" s="13">
        <f>SUM(K41:U41)</f>
        <v>924.3</v>
      </c>
      <c r="AD42" s="8" t="s">
        <v>23</v>
      </c>
      <c r="AE42" s="13">
        <f>SUM(Z41:AE41)</f>
        <v>0</v>
      </c>
      <c r="AM42" s="8" t="s">
        <v>23</v>
      </c>
      <c r="AN42" s="13">
        <f>SUM(AI41:AN41)</f>
        <v>0</v>
      </c>
    </row>
    <row r="43" spans="1:40" ht="15.75" thickBot="1" x14ac:dyDescent="0.3">
      <c r="A43" s="19"/>
      <c r="B43" s="101" t="s">
        <v>19</v>
      </c>
      <c r="C43" s="101"/>
      <c r="D43" s="101"/>
      <c r="E43" s="101"/>
      <c r="F43" s="101"/>
      <c r="G43" s="101"/>
      <c r="H43" s="101"/>
      <c r="J43" s="102" t="s">
        <v>19</v>
      </c>
      <c r="K43" s="102"/>
      <c r="L43" s="102"/>
      <c r="M43" s="102"/>
      <c r="N43" s="102"/>
      <c r="O43" s="102"/>
      <c r="P43" s="102"/>
      <c r="Q43" s="102"/>
      <c r="R43" s="102"/>
      <c r="S43" s="102"/>
      <c r="T43" s="102"/>
      <c r="U43" s="102"/>
      <c r="Y43" s="103" t="str">
        <f>J43</f>
        <v>Outubro</v>
      </c>
      <c r="Z43" s="103"/>
      <c r="AA43" s="103"/>
      <c r="AB43" s="103"/>
      <c r="AC43" s="103"/>
      <c r="AD43" s="103"/>
      <c r="AE43" s="103"/>
      <c r="AH43" s="104" t="str">
        <f>Y43</f>
        <v>Outubro</v>
      </c>
      <c r="AI43" s="104"/>
      <c r="AJ43" s="104"/>
      <c r="AK43" s="104"/>
      <c r="AL43" s="104"/>
      <c r="AM43" s="104"/>
      <c r="AN43" s="104"/>
    </row>
    <row r="44" spans="1:40" ht="15.75" thickBot="1" x14ac:dyDescent="0.3">
      <c r="A44" s="100" t="s">
        <v>5</v>
      </c>
      <c r="B44" s="34" t="s">
        <v>6</v>
      </c>
      <c r="C44" s="22" t="s">
        <v>7</v>
      </c>
      <c r="D44" s="33" t="s">
        <v>8</v>
      </c>
      <c r="E44" s="22" t="s">
        <v>9</v>
      </c>
      <c r="F44" s="24" t="s">
        <v>10</v>
      </c>
      <c r="G44" s="23" t="s">
        <v>11</v>
      </c>
      <c r="H44" s="25" t="s">
        <v>12</v>
      </c>
      <c r="J44" s="6" t="s">
        <v>4</v>
      </c>
      <c r="K44" s="9">
        <v>45932</v>
      </c>
      <c r="L44" s="66">
        <v>45937</v>
      </c>
      <c r="M44" s="66">
        <v>45940</v>
      </c>
      <c r="N44" s="66">
        <v>45945</v>
      </c>
      <c r="O44" s="66">
        <v>45947</v>
      </c>
      <c r="P44" s="66">
        <v>45951</v>
      </c>
      <c r="Q44" s="66">
        <v>45960</v>
      </c>
      <c r="R44" s="4"/>
      <c r="S44" s="4"/>
      <c r="T44" s="4"/>
      <c r="U44" s="5"/>
      <c r="Y44" s="6" t="s">
        <v>4</v>
      </c>
      <c r="Z44" s="9">
        <v>45955</v>
      </c>
      <c r="AA44" s="4"/>
      <c r="AB44" s="4"/>
      <c r="AC44" s="4"/>
      <c r="AD44" s="4"/>
      <c r="AE44" s="5"/>
      <c r="AH44" s="6" t="s">
        <v>4</v>
      </c>
      <c r="AI44" s="9"/>
      <c r="AJ44" s="4"/>
      <c r="AK44" s="4"/>
      <c r="AL44" s="4"/>
      <c r="AM44" s="4"/>
      <c r="AN44" s="5"/>
    </row>
    <row r="45" spans="1:40" ht="15.75" thickBot="1" x14ac:dyDescent="0.3">
      <c r="A45" s="100"/>
      <c r="B45" s="27">
        <v>36864</v>
      </c>
      <c r="C45" s="27">
        <v>38567</v>
      </c>
      <c r="D45" s="27">
        <v>38567</v>
      </c>
      <c r="E45" s="27">
        <v>39750</v>
      </c>
      <c r="F45" s="27">
        <f>SUM(C45-B45)</f>
        <v>1703</v>
      </c>
      <c r="G45" s="20">
        <f>SUM(E45-D45)</f>
        <v>1183</v>
      </c>
      <c r="H45" s="21">
        <f>SUM(F45:G45)</f>
        <v>2886</v>
      </c>
      <c r="J45" s="7" t="s">
        <v>22</v>
      </c>
      <c r="K45" s="10">
        <v>208</v>
      </c>
      <c r="L45" s="11">
        <v>225</v>
      </c>
      <c r="M45" s="11">
        <v>250</v>
      </c>
      <c r="N45" s="11">
        <v>180</v>
      </c>
      <c r="O45" s="11">
        <v>225</v>
      </c>
      <c r="P45" s="11">
        <v>215</v>
      </c>
      <c r="Q45" s="11">
        <v>180</v>
      </c>
      <c r="R45" s="11"/>
      <c r="S45" s="11"/>
      <c r="T45" s="11"/>
      <c r="U45" s="12"/>
      <c r="Y45" s="7" t="s">
        <v>22</v>
      </c>
      <c r="Z45" s="10">
        <v>70</v>
      </c>
      <c r="AA45" s="11"/>
      <c r="AB45" s="11"/>
      <c r="AC45" s="11"/>
      <c r="AD45" s="11"/>
      <c r="AE45" s="12"/>
      <c r="AH45" s="7" t="s">
        <v>22</v>
      </c>
      <c r="AI45" s="10"/>
      <c r="AJ45" s="11"/>
      <c r="AK45" s="11"/>
      <c r="AL45" s="11"/>
      <c r="AM45" s="11"/>
      <c r="AN45" s="12"/>
    </row>
    <row r="46" spans="1:40" x14ac:dyDescent="0.25">
      <c r="J46" s="8"/>
      <c r="T46" s="8" t="s">
        <v>23</v>
      </c>
      <c r="U46" s="13">
        <f>SUM(K45:U45)</f>
        <v>1483</v>
      </c>
      <c r="AD46" s="8" t="s">
        <v>23</v>
      </c>
      <c r="AE46" s="13">
        <f>SUM(Z45:AE45)</f>
        <v>70</v>
      </c>
      <c r="AM46" s="8" t="s">
        <v>23</v>
      </c>
      <c r="AN46" s="13">
        <f>SUM(AI45:AN45)</f>
        <v>0</v>
      </c>
    </row>
    <row r="47" spans="1:40" ht="15.75" thickBot="1" x14ac:dyDescent="0.3">
      <c r="A47" s="19"/>
      <c r="B47" s="101" t="s">
        <v>20</v>
      </c>
      <c r="C47" s="101"/>
      <c r="D47" s="101"/>
      <c r="E47" s="101"/>
      <c r="F47" s="101"/>
      <c r="G47" s="101"/>
      <c r="H47" s="101"/>
      <c r="J47" s="102" t="s">
        <v>20</v>
      </c>
      <c r="K47" s="102"/>
      <c r="L47" s="102"/>
      <c r="M47" s="102"/>
      <c r="N47" s="102"/>
      <c r="O47" s="102"/>
      <c r="P47" s="102"/>
      <c r="Q47" s="102"/>
      <c r="R47" s="102"/>
      <c r="S47" s="102"/>
      <c r="T47" s="102"/>
      <c r="U47" s="102"/>
      <c r="Y47" s="103" t="str">
        <f>J47</f>
        <v>Novembro</v>
      </c>
      <c r="Z47" s="103"/>
      <c r="AA47" s="103"/>
      <c r="AB47" s="103"/>
      <c r="AC47" s="103"/>
      <c r="AD47" s="103"/>
      <c r="AE47" s="103"/>
      <c r="AH47" s="104" t="str">
        <f>Y47</f>
        <v>Novembro</v>
      </c>
      <c r="AI47" s="104"/>
      <c r="AJ47" s="104"/>
      <c r="AK47" s="104"/>
      <c r="AL47" s="104"/>
      <c r="AM47" s="104"/>
      <c r="AN47" s="104"/>
    </row>
    <row r="48" spans="1:40" ht="15.75" thickBot="1" x14ac:dyDescent="0.3">
      <c r="A48" s="100" t="s">
        <v>5</v>
      </c>
      <c r="B48" s="34" t="s">
        <v>6</v>
      </c>
      <c r="C48" s="22" t="s">
        <v>7</v>
      </c>
      <c r="D48" s="33" t="s">
        <v>8</v>
      </c>
      <c r="E48" s="22" t="s">
        <v>9</v>
      </c>
      <c r="F48" s="24" t="s">
        <v>10</v>
      </c>
      <c r="G48" s="23" t="s">
        <v>11</v>
      </c>
      <c r="H48" s="25" t="s">
        <v>12</v>
      </c>
      <c r="J48" s="6" t="s">
        <v>4</v>
      </c>
      <c r="K48" s="9">
        <v>45967</v>
      </c>
      <c r="L48" s="66">
        <v>45972</v>
      </c>
      <c r="M48" s="4"/>
      <c r="N48" s="4"/>
      <c r="O48" s="4"/>
      <c r="P48" s="4"/>
      <c r="Q48" s="4"/>
      <c r="R48" s="4"/>
      <c r="S48" s="4"/>
      <c r="T48" s="4"/>
      <c r="U48" s="5"/>
      <c r="Y48" s="6" t="s">
        <v>4</v>
      </c>
      <c r="Z48" s="9"/>
      <c r="AA48" s="4"/>
      <c r="AB48" s="4"/>
      <c r="AC48" s="4"/>
      <c r="AD48" s="4"/>
      <c r="AE48" s="5"/>
      <c r="AH48" s="6" t="s">
        <v>4</v>
      </c>
      <c r="AI48" s="9"/>
      <c r="AJ48" s="4"/>
      <c r="AK48" s="4"/>
      <c r="AL48" s="4"/>
      <c r="AM48" s="4"/>
      <c r="AN48" s="5"/>
    </row>
    <row r="49" spans="1:40" ht="15.75" thickBot="1" x14ac:dyDescent="0.3">
      <c r="A49" s="100"/>
      <c r="B49" s="27">
        <v>39750</v>
      </c>
      <c r="C49" s="27">
        <v>40996</v>
      </c>
      <c r="D49" s="27">
        <v>40996</v>
      </c>
      <c r="E49" s="27">
        <v>41483</v>
      </c>
      <c r="F49" s="27">
        <f>SUM(C49-B49)</f>
        <v>1246</v>
      </c>
      <c r="G49" s="20">
        <f>SUM(E49-D49)</f>
        <v>487</v>
      </c>
      <c r="H49" s="21">
        <f>SUM(F49:G49)</f>
        <v>1733</v>
      </c>
      <c r="J49" s="7" t="s">
        <v>22</v>
      </c>
      <c r="K49" s="10">
        <v>210</v>
      </c>
      <c r="L49" s="11">
        <v>209.53</v>
      </c>
      <c r="M49" s="11"/>
      <c r="N49" s="11"/>
      <c r="O49" s="11"/>
      <c r="P49" s="11"/>
      <c r="Q49" s="11"/>
      <c r="R49" s="11"/>
      <c r="S49" s="11"/>
      <c r="T49" s="11"/>
      <c r="U49" s="12"/>
      <c r="Y49" s="7" t="s">
        <v>22</v>
      </c>
      <c r="Z49" s="10"/>
      <c r="AA49" s="11"/>
      <c r="AB49" s="11"/>
      <c r="AC49" s="11"/>
      <c r="AD49" s="11"/>
      <c r="AE49" s="12"/>
      <c r="AH49" s="7" t="s">
        <v>22</v>
      </c>
      <c r="AI49" s="10"/>
      <c r="AJ49" s="11"/>
      <c r="AK49" s="11"/>
      <c r="AL49" s="11"/>
      <c r="AM49" s="11"/>
      <c r="AN49" s="12"/>
    </row>
    <row r="50" spans="1:40" x14ac:dyDescent="0.25">
      <c r="J50" s="8"/>
      <c r="T50" s="8" t="s">
        <v>23</v>
      </c>
      <c r="U50" s="13">
        <f>SUM(K49:U49)</f>
        <v>419.53</v>
      </c>
      <c r="AD50" s="8" t="s">
        <v>23</v>
      </c>
      <c r="AE50" s="13">
        <f>SUM(Z49:AE49)</f>
        <v>0</v>
      </c>
      <c r="AM50" s="8" t="s">
        <v>23</v>
      </c>
      <c r="AN50" s="13">
        <f>SUM(AI49:AN49)</f>
        <v>0</v>
      </c>
    </row>
    <row r="51" spans="1:40" ht="15.75" thickBot="1" x14ac:dyDescent="0.3">
      <c r="A51" s="19"/>
      <c r="B51" s="101" t="s">
        <v>21</v>
      </c>
      <c r="C51" s="101"/>
      <c r="D51" s="101"/>
      <c r="E51" s="101"/>
      <c r="F51" s="101"/>
      <c r="G51" s="101"/>
      <c r="H51" s="101"/>
      <c r="J51" s="102" t="s">
        <v>21</v>
      </c>
      <c r="K51" s="102"/>
      <c r="L51" s="102"/>
      <c r="M51" s="102"/>
      <c r="N51" s="102"/>
      <c r="O51" s="102"/>
      <c r="P51" s="102"/>
      <c r="Q51" s="102"/>
      <c r="R51" s="102"/>
      <c r="S51" s="102"/>
      <c r="T51" s="102"/>
      <c r="U51" s="102"/>
      <c r="Y51" s="103" t="str">
        <f>J51</f>
        <v>Dezembro</v>
      </c>
      <c r="Z51" s="103"/>
      <c r="AA51" s="103"/>
      <c r="AB51" s="103"/>
      <c r="AC51" s="103"/>
      <c r="AD51" s="103"/>
      <c r="AE51" s="103"/>
      <c r="AH51" s="104" t="str">
        <f>Y51</f>
        <v>Dezembro</v>
      </c>
      <c r="AI51" s="104"/>
      <c r="AJ51" s="104"/>
      <c r="AK51" s="104"/>
      <c r="AL51" s="104"/>
      <c r="AM51" s="104"/>
      <c r="AN51" s="104"/>
    </row>
    <row r="52" spans="1:40" ht="15.75" thickBot="1" x14ac:dyDescent="0.3">
      <c r="A52" s="100" t="s">
        <v>5</v>
      </c>
      <c r="B52" s="34" t="s">
        <v>6</v>
      </c>
      <c r="C52" s="22" t="s">
        <v>7</v>
      </c>
      <c r="D52" s="33" t="s">
        <v>8</v>
      </c>
      <c r="E52" s="22" t="s">
        <v>9</v>
      </c>
      <c r="F52" s="24" t="s">
        <v>10</v>
      </c>
      <c r="G52" s="23" t="s">
        <v>11</v>
      </c>
      <c r="H52" s="25" t="s">
        <v>12</v>
      </c>
      <c r="J52" s="6" t="s">
        <v>4</v>
      </c>
      <c r="K52" s="9">
        <v>46002</v>
      </c>
      <c r="L52" s="4"/>
      <c r="M52" s="4"/>
      <c r="N52" s="4"/>
      <c r="O52" s="4"/>
      <c r="P52" s="4"/>
      <c r="Q52" s="4"/>
      <c r="R52" s="4"/>
      <c r="S52" s="4"/>
      <c r="T52" s="4"/>
      <c r="U52" s="5"/>
      <c r="Y52" s="6" t="s">
        <v>4</v>
      </c>
      <c r="Z52" s="9">
        <v>45993</v>
      </c>
      <c r="AA52" s="4"/>
      <c r="AB52" s="4"/>
      <c r="AC52" s="4"/>
      <c r="AD52" s="4"/>
      <c r="AE52" s="5"/>
      <c r="AH52" s="6" t="s">
        <v>4</v>
      </c>
      <c r="AI52" s="9"/>
      <c r="AJ52" s="4"/>
      <c r="AK52" s="4"/>
      <c r="AL52" s="4"/>
      <c r="AM52" s="4"/>
      <c r="AN52" s="5"/>
    </row>
    <row r="53" spans="1:40" ht="15.75" thickBot="1" x14ac:dyDescent="0.3">
      <c r="A53" s="100"/>
      <c r="B53" s="27">
        <v>41483</v>
      </c>
      <c r="C53" s="27">
        <v>42011</v>
      </c>
      <c r="D53" s="27">
        <v>42011</v>
      </c>
      <c r="E53" s="27">
        <v>42112</v>
      </c>
      <c r="F53" s="27">
        <f>SUM(C53-B53)</f>
        <v>528</v>
      </c>
      <c r="G53" s="20">
        <f>SUM(E53-D53)</f>
        <v>101</v>
      </c>
      <c r="H53" s="21">
        <f>SUM(F53:G53)</f>
        <v>629</v>
      </c>
      <c r="J53" s="7" t="s">
        <v>22</v>
      </c>
      <c r="K53" s="10">
        <v>157</v>
      </c>
      <c r="L53" s="11"/>
      <c r="M53" s="11"/>
      <c r="N53" s="11"/>
      <c r="O53" s="11"/>
      <c r="P53" s="11"/>
      <c r="Q53" s="11"/>
      <c r="R53" s="11"/>
      <c r="S53" s="11"/>
      <c r="T53" s="11"/>
      <c r="U53" s="12"/>
      <c r="Y53" s="7" t="s">
        <v>22</v>
      </c>
      <c r="Z53" s="10">
        <v>50</v>
      </c>
      <c r="AA53" s="11"/>
      <c r="AB53" s="11"/>
      <c r="AC53" s="11"/>
      <c r="AD53" s="11"/>
      <c r="AE53" s="12"/>
      <c r="AH53" s="7" t="s">
        <v>22</v>
      </c>
      <c r="AI53" s="10"/>
      <c r="AJ53" s="11"/>
      <c r="AK53" s="11"/>
      <c r="AL53" s="11"/>
      <c r="AM53" s="11"/>
      <c r="AN53" s="12"/>
    </row>
    <row r="54" spans="1:40" x14ac:dyDescent="0.25">
      <c r="J54" s="8"/>
      <c r="T54" s="8" t="s">
        <v>23</v>
      </c>
      <c r="U54" s="13">
        <f>SUM(K53:U53)</f>
        <v>157</v>
      </c>
      <c r="AD54" s="8" t="s">
        <v>23</v>
      </c>
      <c r="AE54" s="13">
        <f>SUM(Z53:AE53)</f>
        <v>50</v>
      </c>
      <c r="AM54" s="8" t="s">
        <v>23</v>
      </c>
      <c r="AN54" s="13">
        <f>SUM(AI53:AN53)</f>
        <v>0</v>
      </c>
    </row>
    <row r="55" spans="1:40" ht="15.75" thickBot="1" x14ac:dyDescent="0.3">
      <c r="A55" s="19">
        <v>2026</v>
      </c>
      <c r="B55" s="101" t="s">
        <v>141</v>
      </c>
      <c r="C55" s="101"/>
      <c r="D55" s="101"/>
      <c r="E55" s="101"/>
      <c r="F55" s="101"/>
      <c r="G55" s="101"/>
      <c r="H55" s="101"/>
      <c r="J55" s="102" t="s">
        <v>141</v>
      </c>
      <c r="K55" s="102"/>
      <c r="L55" s="102"/>
      <c r="M55" s="102"/>
      <c r="N55" s="102"/>
      <c r="O55" s="102"/>
      <c r="P55" s="102"/>
      <c r="Q55" s="102"/>
      <c r="R55" s="102"/>
      <c r="S55" s="102"/>
      <c r="T55" s="102"/>
      <c r="U55" s="102"/>
      <c r="Y55" s="103" t="s">
        <v>141</v>
      </c>
      <c r="Z55" s="103"/>
      <c r="AA55" s="103"/>
      <c r="AB55" s="103"/>
      <c r="AC55" s="103"/>
      <c r="AD55" s="103"/>
      <c r="AE55" s="103"/>
      <c r="AH55" s="104" t="s">
        <v>141</v>
      </c>
      <c r="AI55" s="104"/>
      <c r="AJ55" s="104"/>
      <c r="AK55" s="104"/>
      <c r="AL55" s="104"/>
      <c r="AM55" s="104"/>
      <c r="AN55" s="104"/>
    </row>
    <row r="56" spans="1:40" ht="15.75" thickBot="1" x14ac:dyDescent="0.3">
      <c r="A56" s="100" t="s">
        <v>5</v>
      </c>
      <c r="B56" s="34" t="s">
        <v>6</v>
      </c>
      <c r="C56" s="22" t="s">
        <v>7</v>
      </c>
      <c r="D56" s="33" t="s">
        <v>8</v>
      </c>
      <c r="E56" s="22" t="s">
        <v>9</v>
      </c>
      <c r="F56" s="24" t="s">
        <v>10</v>
      </c>
      <c r="G56" s="23" t="s">
        <v>11</v>
      </c>
      <c r="H56" s="25" t="s">
        <v>12</v>
      </c>
      <c r="J56" s="28" t="s">
        <v>4</v>
      </c>
      <c r="K56" s="9"/>
      <c r="L56" s="4"/>
      <c r="M56" s="4"/>
      <c r="N56" s="4"/>
      <c r="O56" s="4"/>
      <c r="P56" s="4"/>
      <c r="Q56" s="4"/>
      <c r="R56" s="4"/>
      <c r="S56" s="4"/>
      <c r="T56" s="4"/>
      <c r="U56" s="5"/>
      <c r="Y56" s="6" t="s">
        <v>4</v>
      </c>
      <c r="Z56" s="9"/>
      <c r="AA56" s="4"/>
      <c r="AB56" s="4"/>
      <c r="AC56" s="4"/>
      <c r="AD56" s="4"/>
      <c r="AE56" s="5"/>
      <c r="AH56" s="6" t="s">
        <v>4</v>
      </c>
      <c r="AI56" s="9"/>
      <c r="AJ56" s="4"/>
      <c r="AK56" s="4"/>
      <c r="AL56" s="4"/>
      <c r="AM56" s="4"/>
      <c r="AN56" s="5"/>
    </row>
    <row r="57" spans="1:40" ht="15.75" thickBot="1" x14ac:dyDescent="0.3">
      <c r="A57" s="100"/>
      <c r="B57" s="27">
        <v>42112</v>
      </c>
      <c r="C57" s="27"/>
      <c r="D57" s="27"/>
      <c r="E57" s="27">
        <v>44333</v>
      </c>
      <c r="F57" s="27">
        <f>SUM(C57-B57)</f>
        <v>-42112</v>
      </c>
      <c r="G57" s="20">
        <f>SUM(E57-D57)</f>
        <v>44333</v>
      </c>
      <c r="H57" s="21">
        <f>SUM(F57:G57)</f>
        <v>2221</v>
      </c>
      <c r="J57" s="29" t="s">
        <v>22</v>
      </c>
      <c r="K57" s="10"/>
      <c r="L57" s="11"/>
      <c r="M57" s="11"/>
      <c r="N57" s="11"/>
      <c r="O57" s="11"/>
      <c r="P57" s="11"/>
      <c r="Q57" s="11"/>
      <c r="R57" s="11"/>
      <c r="S57" s="11"/>
      <c r="T57" s="11"/>
      <c r="U57" s="12"/>
      <c r="Y57" s="7" t="s">
        <v>22</v>
      </c>
      <c r="Z57" s="10"/>
      <c r="AA57" s="11"/>
      <c r="AB57" s="11"/>
      <c r="AC57" s="11"/>
      <c r="AD57" s="11"/>
      <c r="AE57" s="12"/>
      <c r="AH57" s="7" t="s">
        <v>22</v>
      </c>
      <c r="AI57" s="10"/>
      <c r="AJ57" s="11"/>
      <c r="AK57" s="11"/>
      <c r="AL57" s="11"/>
      <c r="AM57" s="11"/>
      <c r="AN57" s="12"/>
    </row>
    <row r="58" spans="1:40" x14ac:dyDescent="0.25">
      <c r="J58" s="8"/>
      <c r="T58" s="8" t="s">
        <v>23</v>
      </c>
      <c r="U58" s="13">
        <f>SUM(K57:U57)</f>
        <v>0</v>
      </c>
      <c r="AD58" s="8" t="s">
        <v>23</v>
      </c>
      <c r="AE58" s="13">
        <f>SUM(Z57:AE57)</f>
        <v>0</v>
      </c>
      <c r="AM58" s="8" t="s">
        <v>23</v>
      </c>
      <c r="AN58" s="13">
        <f>SUM(AI57:AN57)</f>
        <v>0</v>
      </c>
    </row>
    <row r="59" spans="1:40" ht="15.75" thickBot="1" x14ac:dyDescent="0.3">
      <c r="A59" s="19"/>
      <c r="B59" s="101" t="s">
        <v>3</v>
      </c>
      <c r="C59" s="101"/>
      <c r="D59" s="101"/>
      <c r="E59" s="101"/>
      <c r="F59" s="101"/>
      <c r="G59" s="101"/>
      <c r="H59" s="101"/>
      <c r="J59" s="102" t="s">
        <v>3</v>
      </c>
      <c r="K59" s="102"/>
      <c r="L59" s="102"/>
      <c r="M59" s="102"/>
      <c r="N59" s="102"/>
      <c r="O59" s="102"/>
      <c r="P59" s="102"/>
      <c r="Q59" s="102"/>
      <c r="R59" s="102"/>
      <c r="S59" s="102"/>
      <c r="T59" s="102"/>
      <c r="U59" s="102"/>
      <c r="Y59" s="103" t="s">
        <v>3</v>
      </c>
      <c r="Z59" s="103"/>
      <c r="AA59" s="103"/>
      <c r="AB59" s="103"/>
      <c r="AC59" s="103"/>
      <c r="AD59" s="103"/>
      <c r="AE59" s="103"/>
      <c r="AH59" s="104" t="s">
        <v>3</v>
      </c>
      <c r="AI59" s="104"/>
      <c r="AJ59" s="104"/>
      <c r="AK59" s="104"/>
      <c r="AL59" s="104"/>
      <c r="AM59" s="104"/>
      <c r="AN59" s="104"/>
    </row>
    <row r="60" spans="1:40" ht="15.75" thickBot="1" x14ac:dyDescent="0.3">
      <c r="A60" s="100" t="s">
        <v>5</v>
      </c>
      <c r="B60" s="34" t="s">
        <v>6</v>
      </c>
      <c r="C60" s="22" t="s">
        <v>7</v>
      </c>
      <c r="D60" s="33" t="s">
        <v>8</v>
      </c>
      <c r="E60" s="22" t="s">
        <v>9</v>
      </c>
      <c r="F60" s="24" t="s">
        <v>10</v>
      </c>
      <c r="G60" s="23" t="s">
        <v>11</v>
      </c>
      <c r="H60" s="25" t="s">
        <v>12</v>
      </c>
      <c r="J60" s="28" t="s">
        <v>4</v>
      </c>
      <c r="K60" s="9"/>
      <c r="L60" s="4"/>
      <c r="M60" s="4"/>
      <c r="N60" s="4"/>
      <c r="O60" s="4"/>
      <c r="P60" s="4"/>
      <c r="Q60" s="4"/>
      <c r="R60" s="4"/>
      <c r="S60" s="4"/>
      <c r="T60" s="4"/>
      <c r="U60" s="5"/>
      <c r="Y60" s="6" t="s">
        <v>4</v>
      </c>
      <c r="Z60" s="9"/>
      <c r="AA60" s="4"/>
      <c r="AB60" s="4"/>
      <c r="AC60" s="4"/>
      <c r="AD60" s="4"/>
      <c r="AE60" s="5"/>
      <c r="AH60" s="6" t="s">
        <v>4</v>
      </c>
      <c r="AI60" s="9"/>
      <c r="AJ60" s="4"/>
      <c r="AK60" s="4"/>
      <c r="AL60" s="4"/>
      <c r="AM60" s="4"/>
      <c r="AN60" s="5"/>
    </row>
    <row r="61" spans="1:40" ht="15.75" thickBot="1" x14ac:dyDescent="0.3">
      <c r="A61" s="100"/>
      <c r="B61" s="27">
        <v>44333</v>
      </c>
      <c r="C61" s="27"/>
      <c r="D61" s="27"/>
      <c r="E61" s="27">
        <v>46144</v>
      </c>
      <c r="F61" s="27">
        <f>SUM(C61-B61)</f>
        <v>-44333</v>
      </c>
      <c r="G61" s="20">
        <f>SUM(E61-D61)</f>
        <v>46144</v>
      </c>
      <c r="H61" s="21">
        <f>SUM(F61:G61)</f>
        <v>1811</v>
      </c>
      <c r="J61" s="29" t="s">
        <v>22</v>
      </c>
      <c r="K61" s="10"/>
      <c r="L61" s="11"/>
      <c r="M61" s="11"/>
      <c r="N61" s="11"/>
      <c r="O61" s="11"/>
      <c r="P61" s="11"/>
      <c r="Q61" s="11"/>
      <c r="R61" s="11"/>
      <c r="S61" s="11"/>
      <c r="T61" s="11"/>
      <c r="U61" s="12"/>
      <c r="Y61" s="7" t="s">
        <v>22</v>
      </c>
      <c r="Z61" s="10"/>
      <c r="AA61" s="11"/>
      <c r="AB61" s="11"/>
      <c r="AC61" s="11"/>
      <c r="AD61" s="11"/>
      <c r="AE61" s="12"/>
      <c r="AH61" s="7" t="s">
        <v>22</v>
      </c>
      <c r="AI61" s="10"/>
      <c r="AJ61" s="11"/>
      <c r="AK61" s="11"/>
      <c r="AL61" s="11"/>
      <c r="AM61" s="11"/>
      <c r="AN61" s="12"/>
    </row>
    <row r="62" spans="1:40" x14ac:dyDescent="0.25">
      <c r="J62" s="8"/>
      <c r="T62" s="8" t="s">
        <v>23</v>
      </c>
      <c r="U62" s="13">
        <f>SUM(K61:U61)</f>
        <v>0</v>
      </c>
      <c r="AD62" s="8" t="s">
        <v>23</v>
      </c>
      <c r="AE62" s="13">
        <f>SUM(Z61:AE61)</f>
        <v>0</v>
      </c>
      <c r="AM62" s="8" t="s">
        <v>23</v>
      </c>
      <c r="AN62" s="13">
        <f>SUM(AI61:AN61)</f>
        <v>0</v>
      </c>
    </row>
    <row r="63" spans="1:40" ht="15.75" thickBot="1" x14ac:dyDescent="0.3">
      <c r="A63" s="19"/>
      <c r="B63" s="101" t="s">
        <v>13</v>
      </c>
      <c r="C63" s="101"/>
      <c r="D63" s="101"/>
      <c r="E63" s="101"/>
      <c r="F63" s="101"/>
      <c r="G63" s="101"/>
      <c r="H63" s="101"/>
      <c r="J63" s="102" t="s">
        <v>13</v>
      </c>
      <c r="K63" s="102"/>
      <c r="L63" s="102"/>
      <c r="M63" s="102"/>
      <c r="N63" s="102"/>
      <c r="O63" s="102"/>
      <c r="P63" s="102"/>
      <c r="Q63" s="102"/>
      <c r="R63" s="102"/>
      <c r="S63" s="102"/>
      <c r="T63" s="102"/>
      <c r="U63" s="102"/>
      <c r="Y63" s="103" t="str">
        <f>J63</f>
        <v>Março</v>
      </c>
      <c r="Z63" s="103"/>
      <c r="AA63" s="103"/>
      <c r="AB63" s="103"/>
      <c r="AC63" s="103"/>
      <c r="AD63" s="103"/>
      <c r="AE63" s="103"/>
      <c r="AH63" s="104" t="str">
        <f>Y63</f>
        <v>Março</v>
      </c>
      <c r="AI63" s="104"/>
      <c r="AJ63" s="104"/>
      <c r="AK63" s="104"/>
      <c r="AL63" s="104"/>
      <c r="AM63" s="104"/>
      <c r="AN63" s="104"/>
    </row>
    <row r="64" spans="1:40" ht="15.75" thickBot="1" x14ac:dyDescent="0.3">
      <c r="A64" s="100" t="s">
        <v>5</v>
      </c>
      <c r="B64" s="34" t="s">
        <v>6</v>
      </c>
      <c r="C64" s="22" t="s">
        <v>7</v>
      </c>
      <c r="D64" s="33" t="s">
        <v>8</v>
      </c>
      <c r="E64" s="22" t="s">
        <v>9</v>
      </c>
      <c r="F64" s="24" t="s">
        <v>10</v>
      </c>
      <c r="G64" s="23" t="s">
        <v>11</v>
      </c>
      <c r="H64" s="25" t="s">
        <v>12</v>
      </c>
      <c r="J64" s="6" t="s">
        <v>4</v>
      </c>
      <c r="K64" s="9"/>
      <c r="L64" s="4"/>
      <c r="M64" s="4"/>
      <c r="N64" s="4"/>
      <c r="O64" s="4"/>
      <c r="P64" s="4"/>
      <c r="Q64" s="4"/>
      <c r="R64" s="4"/>
      <c r="S64" s="4"/>
      <c r="T64" s="4"/>
      <c r="U64" s="5"/>
      <c r="Y64" s="6" t="s">
        <v>4</v>
      </c>
      <c r="Z64" s="9"/>
      <c r="AA64" s="4"/>
      <c r="AB64" s="4"/>
      <c r="AC64" s="4"/>
      <c r="AD64" s="4"/>
      <c r="AE64" s="5"/>
      <c r="AH64" s="6" t="s">
        <v>4</v>
      </c>
      <c r="AI64" s="9"/>
      <c r="AJ64" s="4"/>
      <c r="AK64" s="4"/>
      <c r="AL64" s="4"/>
      <c r="AM64" s="4"/>
      <c r="AN64" s="5"/>
    </row>
    <row r="65" spans="1:40" ht="15.75" thickBot="1" x14ac:dyDescent="0.3">
      <c r="A65" s="100"/>
      <c r="B65" s="26">
        <v>46144</v>
      </c>
      <c r="C65" s="27"/>
      <c r="D65" s="27"/>
      <c r="E65" s="27">
        <v>48811</v>
      </c>
      <c r="F65" s="27">
        <f>SUM(C65-B65)</f>
        <v>-46144</v>
      </c>
      <c r="G65" s="20">
        <f>SUM(E65-D65)</f>
        <v>48811</v>
      </c>
      <c r="H65" s="21">
        <f>SUM(F65:G65)</f>
        <v>2667</v>
      </c>
      <c r="J65" s="7" t="s">
        <v>22</v>
      </c>
      <c r="K65" s="10"/>
      <c r="L65" s="11"/>
      <c r="M65" s="11"/>
      <c r="N65" s="11"/>
      <c r="O65" s="11"/>
      <c r="P65" s="11"/>
      <c r="Q65" s="11"/>
      <c r="R65" s="11"/>
      <c r="S65" s="11"/>
      <c r="T65" s="11"/>
      <c r="U65" s="12"/>
      <c r="Y65" s="7" t="s">
        <v>22</v>
      </c>
      <c r="Z65" s="10"/>
      <c r="AA65" s="11"/>
      <c r="AB65" s="11"/>
      <c r="AC65" s="11"/>
      <c r="AD65" s="11"/>
      <c r="AE65" s="12"/>
      <c r="AH65" s="7" t="s">
        <v>22</v>
      </c>
      <c r="AI65" s="10"/>
      <c r="AJ65" s="11"/>
      <c r="AK65" s="11"/>
      <c r="AL65" s="11"/>
      <c r="AM65" s="11"/>
      <c r="AN65" s="12"/>
    </row>
    <row r="66" spans="1:40" x14ac:dyDescent="0.25">
      <c r="J66" s="8"/>
      <c r="T66" s="8" t="s">
        <v>23</v>
      </c>
      <c r="U66" s="13">
        <f>SUM(K65:U65)</f>
        <v>0</v>
      </c>
      <c r="AD66" s="8" t="s">
        <v>23</v>
      </c>
      <c r="AE66" s="13">
        <f>SUM(Z65:AE65)</f>
        <v>0</v>
      </c>
      <c r="AM66" s="8" t="s">
        <v>23</v>
      </c>
      <c r="AN66" s="13">
        <f>SUM(AI65:AN65)</f>
        <v>0</v>
      </c>
    </row>
    <row r="67" spans="1:40" ht="15.75" thickBot="1" x14ac:dyDescent="0.3">
      <c r="A67" s="19" t="s">
        <v>188</v>
      </c>
      <c r="B67" s="101" t="s">
        <v>14</v>
      </c>
      <c r="C67" s="101"/>
      <c r="D67" s="101"/>
      <c r="E67" s="101"/>
      <c r="F67" s="101"/>
      <c r="G67" s="101"/>
      <c r="H67" s="101"/>
      <c r="J67" s="102" t="s">
        <v>14</v>
      </c>
      <c r="K67" s="102"/>
      <c r="L67" s="102"/>
      <c r="M67" s="102"/>
      <c r="N67" s="102"/>
      <c r="O67" s="102"/>
      <c r="P67" s="102"/>
      <c r="Q67" s="102"/>
      <c r="R67" s="102"/>
      <c r="S67" s="102"/>
      <c r="T67" s="102"/>
      <c r="U67" s="102"/>
      <c r="Y67" s="103" t="str">
        <f>J67</f>
        <v>Abril</v>
      </c>
      <c r="Z67" s="103"/>
      <c r="AA67" s="103"/>
      <c r="AB67" s="103"/>
      <c r="AC67" s="103"/>
      <c r="AD67" s="103"/>
      <c r="AE67" s="103"/>
      <c r="AH67" s="104" t="str">
        <f>Y67</f>
        <v>Abril</v>
      </c>
      <c r="AI67" s="104"/>
      <c r="AJ67" s="104"/>
      <c r="AK67" s="104"/>
      <c r="AL67" s="104"/>
      <c r="AM67" s="104"/>
      <c r="AN67" s="104"/>
    </row>
    <row r="68" spans="1:40" ht="15.75" thickBot="1" x14ac:dyDescent="0.3">
      <c r="A68" s="100" t="s">
        <v>5</v>
      </c>
      <c r="B68" s="34" t="s">
        <v>6</v>
      </c>
      <c r="C68" s="22" t="s">
        <v>7</v>
      </c>
      <c r="D68" s="33" t="s">
        <v>8</v>
      </c>
      <c r="E68" s="22" t="s">
        <v>9</v>
      </c>
      <c r="F68" s="24" t="s">
        <v>10</v>
      </c>
      <c r="G68" s="23" t="s">
        <v>11</v>
      </c>
      <c r="H68" s="25" t="s">
        <v>12</v>
      </c>
      <c r="J68" s="6" t="s">
        <v>4</v>
      </c>
      <c r="K68" s="9"/>
      <c r="L68" s="4"/>
      <c r="M68" s="4"/>
      <c r="N68" s="4"/>
      <c r="O68" s="4"/>
      <c r="P68" s="4"/>
      <c r="Q68" s="4"/>
      <c r="R68" s="4"/>
      <c r="S68" s="4"/>
      <c r="T68" s="4"/>
      <c r="U68" s="5"/>
      <c r="Y68" s="6" t="s">
        <v>4</v>
      </c>
      <c r="Z68" s="9"/>
      <c r="AA68" s="4"/>
      <c r="AB68" s="4"/>
      <c r="AC68" s="4"/>
      <c r="AD68" s="4"/>
      <c r="AE68" s="5"/>
      <c r="AH68" s="6" t="s">
        <v>4</v>
      </c>
      <c r="AI68" s="9"/>
      <c r="AJ68" s="4"/>
      <c r="AK68" s="4"/>
      <c r="AL68" s="4"/>
      <c r="AM68" s="4"/>
      <c r="AN68" s="5"/>
    </row>
    <row r="69" spans="1:40" ht="15.75" thickBot="1" x14ac:dyDescent="0.3">
      <c r="A69" s="100"/>
      <c r="B69" s="26">
        <v>48811</v>
      </c>
      <c r="C69" s="27"/>
      <c r="D69" s="27"/>
      <c r="E69" s="27">
        <v>49452</v>
      </c>
      <c r="F69" s="27">
        <f>SUM(C69-B69)</f>
        <v>-48811</v>
      </c>
      <c r="G69" s="20">
        <f>SUM(E69-D69)</f>
        <v>49452</v>
      </c>
      <c r="H69" s="21">
        <f>SUM(F69:G69)</f>
        <v>641</v>
      </c>
      <c r="J69" s="7" t="s">
        <v>22</v>
      </c>
      <c r="K69" s="30"/>
      <c r="L69" s="31"/>
      <c r="M69" s="31"/>
      <c r="N69" s="31"/>
      <c r="O69" s="31"/>
      <c r="P69" s="31"/>
      <c r="Q69" s="31"/>
      <c r="R69" s="31"/>
      <c r="S69" s="31"/>
      <c r="T69" s="31"/>
      <c r="U69" s="32"/>
      <c r="Y69" s="7" t="s">
        <v>22</v>
      </c>
      <c r="Z69" s="10"/>
      <c r="AA69" s="11"/>
      <c r="AB69" s="11"/>
      <c r="AC69" s="11"/>
      <c r="AD69" s="11"/>
      <c r="AE69" s="12"/>
      <c r="AH69" s="7" t="s">
        <v>22</v>
      </c>
      <c r="AI69" s="10"/>
      <c r="AJ69" s="11"/>
      <c r="AK69" s="11"/>
      <c r="AL69" s="11"/>
      <c r="AM69" s="11"/>
      <c r="AN69" s="12"/>
    </row>
    <row r="70" spans="1:40" x14ac:dyDescent="0.25">
      <c r="A70" s="98"/>
      <c r="F70" s="1"/>
      <c r="J70" s="8"/>
      <c r="K70" s="70"/>
      <c r="L70" s="70"/>
      <c r="M70" s="70"/>
      <c r="N70" s="70"/>
      <c r="O70" s="70"/>
      <c r="P70" s="70"/>
      <c r="Q70" s="70"/>
      <c r="R70" s="70"/>
      <c r="S70" s="70"/>
      <c r="T70" s="70"/>
      <c r="U70" s="70"/>
      <c r="Y70" s="8"/>
      <c r="Z70" s="13"/>
      <c r="AA70" s="13"/>
      <c r="AB70" s="13"/>
      <c r="AC70" s="13"/>
      <c r="AD70" s="13"/>
      <c r="AE70" s="13"/>
      <c r="AH70" s="8"/>
      <c r="AI70" s="13"/>
      <c r="AJ70" s="13"/>
      <c r="AK70" s="13"/>
      <c r="AL70" s="13"/>
      <c r="AM70" s="13"/>
      <c r="AN70" s="13"/>
    </row>
    <row r="71" spans="1:40" ht="15.75" thickBot="1" x14ac:dyDescent="0.3">
      <c r="A71" s="19"/>
      <c r="B71" s="101" t="s">
        <v>15</v>
      </c>
      <c r="C71" s="101"/>
      <c r="D71" s="101"/>
      <c r="E71" s="101"/>
      <c r="F71" s="101"/>
      <c r="G71" s="101"/>
      <c r="H71" s="101"/>
      <c r="J71" s="102" t="s">
        <v>15</v>
      </c>
      <c r="K71" s="102"/>
      <c r="L71" s="102"/>
      <c r="M71" s="102"/>
      <c r="N71" s="102"/>
      <c r="O71" s="102"/>
      <c r="P71" s="102"/>
      <c r="Q71" s="102"/>
      <c r="R71" s="102"/>
      <c r="S71" s="102"/>
      <c r="T71" s="102"/>
      <c r="U71" s="102"/>
      <c r="Y71" s="103" t="str">
        <f>J71</f>
        <v>Maio</v>
      </c>
      <c r="Z71" s="103"/>
      <c r="AA71" s="103"/>
      <c r="AB71" s="103"/>
      <c r="AC71" s="103"/>
      <c r="AD71" s="103"/>
      <c r="AE71" s="103"/>
      <c r="AH71" s="104" t="str">
        <f>Y71</f>
        <v>Maio</v>
      </c>
      <c r="AI71" s="104"/>
      <c r="AJ71" s="104"/>
      <c r="AK71" s="104"/>
      <c r="AL71" s="104"/>
      <c r="AM71" s="104"/>
      <c r="AN71" s="104"/>
    </row>
    <row r="72" spans="1:40" ht="15.75" thickBot="1" x14ac:dyDescent="0.3">
      <c r="A72" s="100" t="s">
        <v>5</v>
      </c>
      <c r="B72" s="34" t="s">
        <v>6</v>
      </c>
      <c r="C72" s="22" t="s">
        <v>7</v>
      </c>
      <c r="D72" s="33" t="s">
        <v>8</v>
      </c>
      <c r="E72" s="22" t="s">
        <v>9</v>
      </c>
      <c r="F72" s="24" t="s">
        <v>10</v>
      </c>
      <c r="G72" s="23" t="s">
        <v>11</v>
      </c>
      <c r="H72" s="25" t="s">
        <v>12</v>
      </c>
      <c r="J72" s="6" t="s">
        <v>4</v>
      </c>
      <c r="K72" s="9"/>
      <c r="L72" s="4"/>
      <c r="M72" s="4"/>
      <c r="N72" s="4"/>
      <c r="O72" s="4"/>
      <c r="P72" s="4"/>
      <c r="Q72" s="4"/>
      <c r="R72" s="4"/>
      <c r="S72" s="4"/>
      <c r="T72" s="4"/>
      <c r="U72" s="5"/>
      <c r="Y72" s="6" t="s">
        <v>4</v>
      </c>
      <c r="Z72" s="9"/>
      <c r="AA72" s="4"/>
      <c r="AB72" s="4"/>
      <c r="AC72" s="4"/>
      <c r="AD72" s="4"/>
      <c r="AE72" s="5"/>
      <c r="AH72" s="6" t="s">
        <v>4</v>
      </c>
      <c r="AI72" s="9"/>
      <c r="AJ72" s="4"/>
      <c r="AK72" s="4"/>
      <c r="AL72" s="4"/>
      <c r="AM72" s="4"/>
      <c r="AN72" s="5"/>
    </row>
    <row r="73" spans="1:40" ht="15.75" thickBot="1" x14ac:dyDescent="0.3">
      <c r="A73" s="100"/>
      <c r="B73" s="26"/>
      <c r="C73" s="27"/>
      <c r="D73" s="27"/>
      <c r="E73" s="27"/>
      <c r="F73" s="27">
        <f>SUM(C73-B73)</f>
        <v>0</v>
      </c>
      <c r="G73" s="20">
        <f>SUM(E73-D73)</f>
        <v>0</v>
      </c>
      <c r="H73" s="21">
        <f>SUM(F73:G73)</f>
        <v>0</v>
      </c>
      <c r="J73" s="7" t="s">
        <v>22</v>
      </c>
      <c r="K73" s="10"/>
      <c r="L73" s="11"/>
      <c r="M73" s="11"/>
      <c r="N73" s="11"/>
      <c r="O73" s="11"/>
      <c r="P73" s="11"/>
      <c r="Q73" s="11"/>
      <c r="R73" s="11"/>
      <c r="S73" s="11"/>
      <c r="T73" s="11"/>
      <c r="U73" s="12"/>
      <c r="Y73" s="7" t="s">
        <v>22</v>
      </c>
      <c r="Z73" s="10"/>
      <c r="AA73" s="11"/>
      <c r="AB73" s="11"/>
      <c r="AC73" s="11"/>
      <c r="AD73" s="11"/>
      <c r="AE73" s="12"/>
      <c r="AH73" s="7" t="s">
        <v>22</v>
      </c>
      <c r="AI73" s="10"/>
      <c r="AJ73" s="11"/>
      <c r="AK73" s="11"/>
      <c r="AL73" s="11"/>
      <c r="AM73" s="11"/>
      <c r="AN73" s="12"/>
    </row>
    <row r="74" spans="1:40" x14ac:dyDescent="0.25">
      <c r="J74" s="8"/>
      <c r="T74" s="8" t="s">
        <v>23</v>
      </c>
      <c r="U74" s="13">
        <f>SUM(K73:U73)</f>
        <v>0</v>
      </c>
      <c r="AD74" s="8" t="s">
        <v>23</v>
      </c>
      <c r="AE74" s="13">
        <f>SUM(Z73:AE73)</f>
        <v>0</v>
      </c>
      <c r="AM74" s="8" t="s">
        <v>23</v>
      </c>
      <c r="AN74" s="13">
        <f>SUM(AI73:AN73)</f>
        <v>0</v>
      </c>
    </row>
    <row r="75" spans="1:40" ht="15.75" thickBot="1" x14ac:dyDescent="0.3">
      <c r="A75" s="19"/>
      <c r="B75" s="101" t="s">
        <v>24</v>
      </c>
      <c r="C75" s="101"/>
      <c r="D75" s="101"/>
      <c r="E75" s="101"/>
      <c r="F75" s="101"/>
      <c r="G75" s="101"/>
      <c r="H75" s="101"/>
      <c r="J75" s="102" t="s">
        <v>24</v>
      </c>
      <c r="K75" s="102"/>
      <c r="L75" s="102"/>
      <c r="M75" s="102"/>
      <c r="N75" s="102"/>
      <c r="O75" s="102"/>
      <c r="P75" s="102"/>
      <c r="Q75" s="102"/>
      <c r="R75" s="102"/>
      <c r="S75" s="102"/>
      <c r="T75" s="102"/>
      <c r="U75" s="102"/>
      <c r="Y75" s="103" t="str">
        <f>J75</f>
        <v>Junho</v>
      </c>
      <c r="Z75" s="103"/>
      <c r="AA75" s="103"/>
      <c r="AB75" s="103"/>
      <c r="AC75" s="103"/>
      <c r="AD75" s="103"/>
      <c r="AE75" s="103"/>
      <c r="AH75" s="104" t="str">
        <f>Y75</f>
        <v>Junho</v>
      </c>
      <c r="AI75" s="104"/>
      <c r="AJ75" s="104"/>
      <c r="AK75" s="104"/>
      <c r="AL75" s="104"/>
      <c r="AM75" s="104"/>
      <c r="AN75" s="104"/>
    </row>
    <row r="76" spans="1:40" ht="15.75" thickBot="1" x14ac:dyDescent="0.3">
      <c r="A76" s="100" t="s">
        <v>5</v>
      </c>
      <c r="B76" s="34" t="s">
        <v>6</v>
      </c>
      <c r="C76" s="22" t="s">
        <v>7</v>
      </c>
      <c r="D76" s="33" t="s">
        <v>8</v>
      </c>
      <c r="E76" s="22" t="s">
        <v>9</v>
      </c>
      <c r="F76" s="24" t="s">
        <v>10</v>
      </c>
      <c r="G76" s="23" t="s">
        <v>11</v>
      </c>
      <c r="H76" s="25" t="s">
        <v>12</v>
      </c>
      <c r="J76" s="6" t="s">
        <v>4</v>
      </c>
      <c r="K76" s="9"/>
      <c r="L76" s="4"/>
      <c r="M76" s="4"/>
      <c r="N76" s="4"/>
      <c r="O76" s="4"/>
      <c r="P76" s="4"/>
      <c r="Q76" s="4"/>
      <c r="R76" s="4"/>
      <c r="S76" s="4"/>
      <c r="T76" s="4"/>
      <c r="U76" s="5"/>
      <c r="Y76" s="6" t="s">
        <v>4</v>
      </c>
      <c r="Z76" s="9"/>
      <c r="AA76" s="4"/>
      <c r="AB76" s="4"/>
      <c r="AC76" s="4"/>
      <c r="AD76" s="4"/>
      <c r="AE76" s="5"/>
      <c r="AH76" s="6" t="s">
        <v>4</v>
      </c>
      <c r="AI76" s="9"/>
      <c r="AJ76" s="4"/>
      <c r="AK76" s="4"/>
      <c r="AL76" s="4"/>
      <c r="AM76" s="4"/>
      <c r="AN76" s="5"/>
    </row>
    <row r="77" spans="1:40" ht="15.75" thickBot="1" x14ac:dyDescent="0.3">
      <c r="A77" s="100"/>
      <c r="B77" s="26"/>
      <c r="C77" s="27"/>
      <c r="D77" s="27"/>
      <c r="E77" s="27"/>
      <c r="F77" s="27">
        <f>SUM(C77-B77)</f>
        <v>0</v>
      </c>
      <c r="G77" s="20">
        <f>SUM(E77-D77)</f>
        <v>0</v>
      </c>
      <c r="H77" s="21">
        <f>SUM(F77:G77)</f>
        <v>0</v>
      </c>
      <c r="J77" s="7" t="s">
        <v>22</v>
      </c>
      <c r="K77" s="10"/>
      <c r="L77" s="11"/>
      <c r="M77" s="11"/>
      <c r="N77" s="11"/>
      <c r="O77" s="11"/>
      <c r="P77" s="11"/>
      <c r="Q77" s="11"/>
      <c r="R77" s="11"/>
      <c r="S77" s="11"/>
      <c r="T77" s="11"/>
      <c r="U77" s="12"/>
      <c r="Y77" s="7" t="s">
        <v>22</v>
      </c>
      <c r="Z77" s="10"/>
      <c r="AA77" s="11"/>
      <c r="AB77" s="11"/>
      <c r="AC77" s="11"/>
      <c r="AD77" s="11"/>
      <c r="AE77" s="12"/>
      <c r="AH77" s="7" t="s">
        <v>22</v>
      </c>
      <c r="AI77" s="10"/>
      <c r="AJ77" s="11"/>
      <c r="AK77" s="11"/>
      <c r="AL77" s="11"/>
      <c r="AM77" s="11"/>
      <c r="AN77" s="12"/>
    </row>
    <row r="78" spans="1:40" x14ac:dyDescent="0.25">
      <c r="J78" s="8"/>
      <c r="T78" s="8" t="s">
        <v>23</v>
      </c>
      <c r="U78" s="13">
        <f>SUM(K77:U77)</f>
        <v>0</v>
      </c>
      <c r="AD78" s="8" t="s">
        <v>23</v>
      </c>
      <c r="AE78" s="13">
        <f>SUM(Z77:AE77)</f>
        <v>0</v>
      </c>
      <c r="AM78" s="8" t="s">
        <v>23</v>
      </c>
      <c r="AN78" s="13">
        <f>SUM(AI77:AN77)</f>
        <v>0</v>
      </c>
    </row>
  </sheetData>
  <mergeCells count="99">
    <mergeCell ref="B2:C2"/>
    <mergeCell ref="E2:F2"/>
    <mergeCell ref="B6:C6"/>
    <mergeCell ref="E6:F6"/>
    <mergeCell ref="A9:H9"/>
    <mergeCell ref="E3:F3"/>
    <mergeCell ref="B3:C3"/>
    <mergeCell ref="B5:C5"/>
    <mergeCell ref="E5:F5"/>
    <mergeCell ref="B4:C4"/>
    <mergeCell ref="E4:F4"/>
    <mergeCell ref="A16:A17"/>
    <mergeCell ref="Y9:AE9"/>
    <mergeCell ref="AH9:AN9"/>
    <mergeCell ref="B11:H11"/>
    <mergeCell ref="J11:U11"/>
    <mergeCell ref="Y11:AE11"/>
    <mergeCell ref="AH11:AN11"/>
    <mergeCell ref="J9:U9"/>
    <mergeCell ref="A12:A13"/>
    <mergeCell ref="B15:H15"/>
    <mergeCell ref="J15:U15"/>
    <mergeCell ref="Y15:AE15"/>
    <mergeCell ref="AH15:AN15"/>
    <mergeCell ref="A28:A29"/>
    <mergeCell ref="B19:H19"/>
    <mergeCell ref="J19:U19"/>
    <mergeCell ref="Y19:AE19"/>
    <mergeCell ref="AH19:AN19"/>
    <mergeCell ref="A20:A21"/>
    <mergeCell ref="B23:H23"/>
    <mergeCell ref="J23:U23"/>
    <mergeCell ref="Y23:AE23"/>
    <mergeCell ref="AH23:AN23"/>
    <mergeCell ref="A24:A25"/>
    <mergeCell ref="B27:H27"/>
    <mergeCell ref="J27:U27"/>
    <mergeCell ref="Y27:AE27"/>
    <mergeCell ref="AH27:AN27"/>
    <mergeCell ref="A40:A41"/>
    <mergeCell ref="B31:H31"/>
    <mergeCell ref="J31:U31"/>
    <mergeCell ref="Y31:AE31"/>
    <mergeCell ref="AH31:AN31"/>
    <mergeCell ref="A32:A33"/>
    <mergeCell ref="B35:H35"/>
    <mergeCell ref="J35:U35"/>
    <mergeCell ref="Y35:AE35"/>
    <mergeCell ref="AH35:AN35"/>
    <mergeCell ref="A36:A37"/>
    <mergeCell ref="B39:H39"/>
    <mergeCell ref="J39:U39"/>
    <mergeCell ref="Y39:AE39"/>
    <mergeCell ref="AH39:AN39"/>
    <mergeCell ref="A52:A53"/>
    <mergeCell ref="B43:H43"/>
    <mergeCell ref="J43:U43"/>
    <mergeCell ref="Y43:AE43"/>
    <mergeCell ref="AH43:AN43"/>
    <mergeCell ref="A44:A45"/>
    <mergeCell ref="B47:H47"/>
    <mergeCell ref="J47:U47"/>
    <mergeCell ref="Y47:AE47"/>
    <mergeCell ref="AH47:AN47"/>
    <mergeCell ref="A48:A49"/>
    <mergeCell ref="B51:H51"/>
    <mergeCell ref="J51:U51"/>
    <mergeCell ref="Y51:AE51"/>
    <mergeCell ref="AH51:AN51"/>
    <mergeCell ref="B55:H55"/>
    <mergeCell ref="J55:U55"/>
    <mergeCell ref="Y55:AE55"/>
    <mergeCell ref="AH55:AN55"/>
    <mergeCell ref="A56:A57"/>
    <mergeCell ref="B59:H59"/>
    <mergeCell ref="J59:U59"/>
    <mergeCell ref="Y59:AE59"/>
    <mergeCell ref="AH59:AN59"/>
    <mergeCell ref="A60:A61"/>
    <mergeCell ref="B63:H63"/>
    <mergeCell ref="J63:U63"/>
    <mergeCell ref="Y63:AE63"/>
    <mergeCell ref="AH63:AN63"/>
    <mergeCell ref="A64:A65"/>
    <mergeCell ref="B67:H67"/>
    <mergeCell ref="J67:U67"/>
    <mergeCell ref="Y67:AE67"/>
    <mergeCell ref="AH67:AN67"/>
    <mergeCell ref="A68:A69"/>
    <mergeCell ref="B71:H71"/>
    <mergeCell ref="J71:U71"/>
    <mergeCell ref="Y71:AE71"/>
    <mergeCell ref="AH71:AN71"/>
    <mergeCell ref="A72:A73"/>
    <mergeCell ref="B75:H75"/>
    <mergeCell ref="J75:U75"/>
    <mergeCell ref="Y75:AE75"/>
    <mergeCell ref="AH75:AN75"/>
    <mergeCell ref="A76:A77"/>
  </mergeCells>
  <phoneticPr fontId="3" type="noConversion"/>
  <pageMargins left="0.511811024" right="0.511811024" top="0.78740157499999996" bottom="0.78740157499999996" header="0.31496062000000002" footer="0.31496062000000002"/>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N52"/>
  <sheetViews>
    <sheetView showGridLines="0" workbookViewId="0">
      <selection activeCell="A9" sqref="A9:XFD1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7" width="10.42578125" bestFit="1" customWidth="1"/>
    <col min="21" max="21" width="12.140625" bestFit="1" customWidth="1"/>
    <col min="26" max="28" width="10.42578125" bestFit="1" customWidth="1"/>
    <col min="37" max="39" width="10.140625" bestFit="1" customWidth="1"/>
  </cols>
  <sheetData>
    <row r="2" spans="1:40" x14ac:dyDescent="0.25">
      <c r="A2" t="s">
        <v>0</v>
      </c>
      <c r="B2" s="107" t="s">
        <v>60</v>
      </c>
      <c r="C2" s="107"/>
      <c r="D2" s="1" t="s">
        <v>1</v>
      </c>
      <c r="E2" s="107" t="s">
        <v>193</v>
      </c>
      <c r="F2" s="107"/>
      <c r="H2" t="s">
        <v>173</v>
      </c>
      <c r="I2" s="96">
        <v>3000</v>
      </c>
    </row>
    <row r="3" spans="1:40" x14ac:dyDescent="0.25">
      <c r="A3" t="s">
        <v>155</v>
      </c>
      <c r="B3" s="107"/>
      <c r="C3" s="107"/>
      <c r="D3" s="1" t="s">
        <v>1</v>
      </c>
      <c r="E3" s="107"/>
      <c r="F3" s="107"/>
      <c r="H3" t="s">
        <v>184</v>
      </c>
      <c r="I3" s="92"/>
    </row>
    <row r="4" spans="1:40" x14ac:dyDescent="0.25">
      <c r="A4" t="s">
        <v>2</v>
      </c>
      <c r="B4" s="108">
        <v>2484</v>
      </c>
      <c r="C4" s="108"/>
      <c r="D4" s="1" t="s">
        <v>29</v>
      </c>
      <c r="E4" s="115">
        <v>40</v>
      </c>
      <c r="F4" s="115"/>
      <c r="H4" t="s">
        <v>189</v>
      </c>
      <c r="I4" s="95">
        <v>45922</v>
      </c>
      <c r="J4" s="1" t="s">
        <v>190</v>
      </c>
      <c r="K4" s="67">
        <v>46015</v>
      </c>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10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10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10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10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v>45925</v>
      </c>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100"/>
      <c r="B39" s="26"/>
      <c r="C39" s="27"/>
      <c r="D39" s="27">
        <v>18646</v>
      </c>
      <c r="E39" s="27">
        <v>19208</v>
      </c>
      <c r="F39" s="27">
        <f>SUM(C39-B39)</f>
        <v>0</v>
      </c>
      <c r="G39" s="20">
        <f>SUM(E39-D39)</f>
        <v>562</v>
      </c>
      <c r="H39" s="21">
        <f>SUM(F39:G39)</f>
        <v>562</v>
      </c>
      <c r="J39" s="7" t="s">
        <v>22</v>
      </c>
      <c r="K39" s="11">
        <v>242.01</v>
      </c>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242.01</v>
      </c>
      <c r="AD40" s="8" t="s">
        <v>23</v>
      </c>
      <c r="AE40" s="13">
        <f>SUM(Z39:AE39)</f>
        <v>0</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34" t="s">
        <v>6</v>
      </c>
      <c r="C42" s="22" t="s">
        <v>7</v>
      </c>
      <c r="D42" s="33" t="s">
        <v>8</v>
      </c>
      <c r="E42" s="22" t="s">
        <v>9</v>
      </c>
      <c r="F42" s="24" t="s">
        <v>10</v>
      </c>
      <c r="G42" s="23" t="s">
        <v>11</v>
      </c>
      <c r="H42" s="25" t="s">
        <v>12</v>
      </c>
      <c r="J42" s="6" t="s">
        <v>4</v>
      </c>
      <c r="K42" s="9">
        <v>45933</v>
      </c>
      <c r="L42" s="66">
        <v>45940</v>
      </c>
      <c r="M42" s="66">
        <v>45946</v>
      </c>
      <c r="N42" s="66">
        <v>45951</v>
      </c>
      <c r="O42" s="66">
        <v>45958</v>
      </c>
      <c r="P42" s="66">
        <v>45960</v>
      </c>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100"/>
      <c r="B43" s="27">
        <v>19208</v>
      </c>
      <c r="C43" s="27">
        <v>20185</v>
      </c>
      <c r="D43" s="27">
        <v>20185</v>
      </c>
      <c r="E43" s="27">
        <v>21291</v>
      </c>
      <c r="F43" s="27">
        <f>SUM(C43-B43)</f>
        <v>977</v>
      </c>
      <c r="G43" s="20">
        <f>SUM(E43-D43)</f>
        <v>1106</v>
      </c>
      <c r="H43" s="21">
        <f>SUM(F43:G43)</f>
        <v>2083</v>
      </c>
      <c r="J43" s="7" t="s">
        <v>22</v>
      </c>
      <c r="K43" s="10">
        <v>211.24</v>
      </c>
      <c r="L43" s="11">
        <v>224.5</v>
      </c>
      <c r="M43" s="11">
        <v>230</v>
      </c>
      <c r="N43" s="11">
        <v>143</v>
      </c>
      <c r="O43" s="11">
        <v>248.03</v>
      </c>
      <c r="P43" s="11">
        <v>172.82</v>
      </c>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1229.5899999999999</v>
      </c>
      <c r="AD44" s="8" t="s">
        <v>23</v>
      </c>
      <c r="AE44" s="13">
        <f>SUM(Z43:AE43)</f>
        <v>0</v>
      </c>
      <c r="AM44" s="8" t="s">
        <v>23</v>
      </c>
      <c r="AN44" s="13">
        <f>SUM(AI43:AN43)</f>
        <v>0</v>
      </c>
    </row>
    <row r="45" spans="1:40"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v>45967</v>
      </c>
      <c r="L46" s="66">
        <v>45974</v>
      </c>
      <c r="M46" s="66">
        <v>45979</v>
      </c>
      <c r="N46" s="66">
        <v>45986</v>
      </c>
      <c r="O46" s="4"/>
      <c r="P46" s="4"/>
      <c r="Q46" s="4"/>
      <c r="R46" s="4"/>
      <c r="S46" s="4"/>
      <c r="T46" s="4"/>
      <c r="U46" s="5"/>
      <c r="Y46" s="6" t="s">
        <v>4</v>
      </c>
      <c r="Z46" s="9">
        <v>45968</v>
      </c>
      <c r="AA46" s="66">
        <v>45976</v>
      </c>
      <c r="AB46" s="66">
        <v>45990</v>
      </c>
      <c r="AC46" s="4"/>
      <c r="AD46" s="4"/>
      <c r="AE46" s="5"/>
      <c r="AH46" s="6" t="s">
        <v>4</v>
      </c>
      <c r="AI46" s="9"/>
      <c r="AJ46" s="4"/>
      <c r="AK46" s="4"/>
      <c r="AL46" s="4"/>
      <c r="AM46" s="4"/>
      <c r="AN46" s="5"/>
    </row>
    <row r="47" spans="1:40" ht="15.75" thickBot="1" x14ac:dyDescent="0.3">
      <c r="A47" s="100"/>
      <c r="B47" s="27">
        <v>21291</v>
      </c>
      <c r="C47" s="27">
        <v>22236</v>
      </c>
      <c r="D47" s="27">
        <v>22236</v>
      </c>
      <c r="E47" s="27">
        <v>23030</v>
      </c>
      <c r="F47" s="27">
        <f>SUM(C47-B47)</f>
        <v>945</v>
      </c>
      <c r="G47" s="20">
        <f>SUM(E47-D47)</f>
        <v>794</v>
      </c>
      <c r="H47" s="21">
        <f>SUM(F47:G47)</f>
        <v>1739</v>
      </c>
      <c r="J47" s="7" t="s">
        <v>22</v>
      </c>
      <c r="K47" s="10">
        <v>228</v>
      </c>
      <c r="L47" s="11">
        <v>221.28</v>
      </c>
      <c r="M47" s="11">
        <v>203</v>
      </c>
      <c r="N47" s="11">
        <v>200</v>
      </c>
      <c r="O47" s="11"/>
      <c r="P47" s="11"/>
      <c r="Q47" s="11"/>
      <c r="R47" s="11"/>
      <c r="S47" s="11"/>
      <c r="T47" s="11"/>
      <c r="U47" s="12"/>
      <c r="Y47" s="7" t="s">
        <v>22</v>
      </c>
      <c r="Z47" s="10">
        <v>70</v>
      </c>
      <c r="AA47" s="11">
        <v>70</v>
      </c>
      <c r="AB47" s="11">
        <v>70</v>
      </c>
      <c r="AC47" s="11"/>
      <c r="AD47" s="11"/>
      <c r="AE47" s="12"/>
      <c r="AH47" s="7" t="s">
        <v>22</v>
      </c>
      <c r="AI47" s="10"/>
      <c r="AJ47" s="11"/>
      <c r="AK47" s="11"/>
      <c r="AL47" s="11"/>
      <c r="AM47" s="11"/>
      <c r="AN47" s="12"/>
    </row>
    <row r="48" spans="1:40" x14ac:dyDescent="0.25">
      <c r="J48" s="8"/>
      <c r="T48" s="8" t="s">
        <v>23</v>
      </c>
      <c r="U48" s="13">
        <f>SUM(K47:U47)</f>
        <v>852.28</v>
      </c>
      <c r="AD48" s="8" t="s">
        <v>23</v>
      </c>
      <c r="AE48" s="13">
        <f>SUM(Z47:AE47)</f>
        <v>210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v>45993</v>
      </c>
      <c r="L50" s="66">
        <v>46000</v>
      </c>
      <c r="M50" s="66">
        <v>46002</v>
      </c>
      <c r="N50" s="66">
        <v>46007</v>
      </c>
      <c r="O50" s="66">
        <v>46009</v>
      </c>
      <c r="P50" s="66">
        <v>46014</v>
      </c>
      <c r="Q50" s="66">
        <v>46015</v>
      </c>
      <c r="R50" s="4"/>
      <c r="S50" s="4"/>
      <c r="T50" s="4"/>
      <c r="U50" s="5"/>
      <c r="Y50" s="6" t="s">
        <v>4</v>
      </c>
      <c r="Z50" s="9">
        <v>46014</v>
      </c>
      <c r="AA50" s="4"/>
      <c r="AB50" s="4"/>
      <c r="AC50" s="4"/>
      <c r="AD50" s="4"/>
      <c r="AE50" s="5"/>
      <c r="AH50" s="6" t="s">
        <v>4</v>
      </c>
      <c r="AI50" s="9"/>
      <c r="AJ50" s="4"/>
      <c r="AK50" s="4"/>
      <c r="AL50" s="4"/>
      <c r="AM50" s="4"/>
      <c r="AN50" s="5"/>
    </row>
    <row r="51" spans="1:40" ht="15.75" thickBot="1" x14ac:dyDescent="0.3">
      <c r="A51" s="100"/>
      <c r="B51" s="27">
        <v>23030</v>
      </c>
      <c r="C51" s="27">
        <v>23953</v>
      </c>
      <c r="D51" s="27">
        <v>23953</v>
      </c>
      <c r="E51" s="97">
        <v>24666</v>
      </c>
      <c r="F51" s="27">
        <f>SUM(C51-B51)</f>
        <v>923</v>
      </c>
      <c r="G51" s="20">
        <f>SUM(E51-D51)</f>
        <v>713</v>
      </c>
      <c r="H51" s="21">
        <f>SUM(F51:G51)</f>
        <v>1636</v>
      </c>
      <c r="J51" s="7" t="s">
        <v>22</v>
      </c>
      <c r="K51" s="10">
        <v>243.05</v>
      </c>
      <c r="L51" s="11">
        <v>212.05</v>
      </c>
      <c r="M51" s="11">
        <v>110</v>
      </c>
      <c r="N51" s="11">
        <v>157.01</v>
      </c>
      <c r="O51" s="11">
        <v>127</v>
      </c>
      <c r="P51" s="11">
        <v>220</v>
      </c>
      <c r="Q51" s="11">
        <v>69.5</v>
      </c>
      <c r="R51" s="11"/>
      <c r="S51" s="11"/>
      <c r="T51" s="11"/>
      <c r="U51" s="12"/>
      <c r="Y51" s="7" t="s">
        <v>22</v>
      </c>
      <c r="Z51" s="10">
        <v>190</v>
      </c>
      <c r="AA51" s="11"/>
      <c r="AB51" s="11"/>
      <c r="AC51" s="11"/>
      <c r="AD51" s="11"/>
      <c r="AE51" s="12"/>
      <c r="AH51" s="7" t="s">
        <v>22</v>
      </c>
      <c r="AI51" s="10"/>
      <c r="AJ51" s="11"/>
      <c r="AK51" s="11"/>
      <c r="AL51" s="11"/>
      <c r="AM51" s="11"/>
      <c r="AN51" s="12"/>
    </row>
    <row r="52" spans="1:40" x14ac:dyDescent="0.25">
      <c r="J52" s="8"/>
      <c r="T52" s="8" t="s">
        <v>23</v>
      </c>
      <c r="U52" s="13">
        <f>SUM(K51:U51)</f>
        <v>1138.6100000000001</v>
      </c>
      <c r="AD52" s="8" t="s">
        <v>23</v>
      </c>
      <c r="AE52" s="13">
        <f>SUM(Z51:AE51)</f>
        <v>190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pageSetup paperSize="9"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AK52"/>
  <sheetViews>
    <sheetView showGridLines="0" workbookViewId="0">
      <selection activeCell="H4" sqref="H4:I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5703125" bestFit="1" customWidth="1"/>
    <col min="12" max="12" width="13.28515625" bestFit="1" customWidth="1"/>
    <col min="13" max="16" width="10.5703125" bestFit="1" customWidth="1"/>
    <col min="21" max="21" width="12.140625" bestFit="1" customWidth="1"/>
    <col min="24" max="25" width="10.42578125" bestFit="1" customWidth="1"/>
    <col min="29" max="29" width="10.5703125" bestFit="1" customWidth="1"/>
    <col min="34" max="36" width="10.140625" bestFit="1" customWidth="1"/>
  </cols>
  <sheetData>
    <row r="2" spans="1:37" x14ac:dyDescent="0.25">
      <c r="A2" t="s">
        <v>0</v>
      </c>
      <c r="B2" s="107" t="s">
        <v>151</v>
      </c>
      <c r="C2" s="107"/>
      <c r="D2" s="1" t="s">
        <v>1</v>
      </c>
      <c r="E2" s="107" t="s">
        <v>152</v>
      </c>
      <c r="F2" s="107"/>
      <c r="H2" t="s">
        <v>186</v>
      </c>
      <c r="I2" s="67">
        <v>45839</v>
      </c>
    </row>
    <row r="3" spans="1:37" x14ac:dyDescent="0.25">
      <c r="F3" s="1"/>
    </row>
    <row r="4" spans="1:37" x14ac:dyDescent="0.25">
      <c r="A4" t="s">
        <v>2</v>
      </c>
      <c r="B4" s="108">
        <v>2484</v>
      </c>
      <c r="C4" s="108"/>
      <c r="D4" s="1" t="s">
        <v>29</v>
      </c>
      <c r="E4" s="115">
        <v>45</v>
      </c>
      <c r="F4" s="115"/>
      <c r="H4" t="s">
        <v>190</v>
      </c>
      <c r="I4" s="67">
        <v>45895</v>
      </c>
    </row>
    <row r="7" spans="1:37"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105" t="s">
        <v>25</v>
      </c>
      <c r="X7" s="105"/>
      <c r="Y7" s="105"/>
      <c r="Z7" s="105"/>
      <c r="AA7" s="105"/>
      <c r="AB7" s="105"/>
      <c r="AC7" s="105"/>
      <c r="AD7" s="2"/>
      <c r="AE7" s="105" t="s">
        <v>27</v>
      </c>
      <c r="AF7" s="105"/>
      <c r="AG7" s="105"/>
      <c r="AH7" s="105"/>
      <c r="AI7" s="105"/>
      <c r="AJ7" s="105"/>
      <c r="AK7" s="105"/>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101" t="s">
        <v>3</v>
      </c>
      <c r="C9" s="101"/>
      <c r="D9" s="101"/>
      <c r="E9" s="101"/>
      <c r="F9" s="101"/>
      <c r="G9" s="101"/>
      <c r="H9" s="101"/>
      <c r="J9" s="102" t="s">
        <v>3</v>
      </c>
      <c r="K9" s="102"/>
      <c r="L9" s="102"/>
      <c r="M9" s="102"/>
      <c r="N9" s="102"/>
      <c r="O9" s="102"/>
      <c r="P9" s="102"/>
      <c r="Q9" s="102"/>
      <c r="R9" s="102"/>
      <c r="S9" s="102"/>
      <c r="T9" s="102"/>
      <c r="U9" s="102"/>
      <c r="W9" s="103" t="s">
        <v>3</v>
      </c>
      <c r="X9" s="103"/>
      <c r="Y9" s="103"/>
      <c r="Z9" s="103"/>
      <c r="AA9" s="103"/>
      <c r="AB9" s="103"/>
      <c r="AC9" s="103"/>
      <c r="AE9" s="104" t="s">
        <v>3</v>
      </c>
      <c r="AF9" s="104"/>
      <c r="AG9" s="104"/>
      <c r="AH9" s="104"/>
      <c r="AI9" s="104"/>
      <c r="AJ9" s="104"/>
      <c r="AK9" s="104"/>
    </row>
    <row r="10" spans="1:37"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W13" s="103" t="str">
        <f>J13</f>
        <v>Março</v>
      </c>
      <c r="X13" s="103"/>
      <c r="Y13" s="103"/>
      <c r="Z13" s="103"/>
      <c r="AA13" s="103"/>
      <c r="AB13" s="103"/>
      <c r="AC13" s="103"/>
      <c r="AE13" s="104" t="str">
        <f>W13</f>
        <v>Março</v>
      </c>
      <c r="AF13" s="104"/>
      <c r="AG13" s="104"/>
      <c r="AH13" s="104"/>
      <c r="AI13" s="104"/>
      <c r="AJ13" s="104"/>
      <c r="AK13" s="104"/>
    </row>
    <row r="14" spans="1:37"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W17" s="103" t="str">
        <f>J17</f>
        <v>Abril</v>
      </c>
      <c r="X17" s="103"/>
      <c r="Y17" s="103"/>
      <c r="Z17" s="103"/>
      <c r="AA17" s="103"/>
      <c r="AB17" s="103"/>
      <c r="AC17" s="103"/>
      <c r="AE17" s="104" t="str">
        <f>W17</f>
        <v>Abril</v>
      </c>
      <c r="AF17" s="104"/>
      <c r="AG17" s="104"/>
      <c r="AH17" s="104"/>
      <c r="AI17" s="104"/>
      <c r="AJ17" s="104"/>
      <c r="AK17" s="104"/>
    </row>
    <row r="18" spans="1:37"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100"/>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W21" s="103" t="str">
        <f>J21</f>
        <v>Maio</v>
      </c>
      <c r="X21" s="103"/>
      <c r="Y21" s="103"/>
      <c r="Z21" s="103"/>
      <c r="AA21" s="103"/>
      <c r="AB21" s="103"/>
      <c r="AC21" s="103"/>
      <c r="AE21" s="104" t="str">
        <f>W21</f>
        <v>Maio</v>
      </c>
      <c r="AF21" s="104"/>
      <c r="AG21" s="104"/>
      <c r="AH21" s="104"/>
      <c r="AI21" s="104"/>
      <c r="AJ21" s="104"/>
      <c r="AK21" s="104"/>
    </row>
    <row r="22" spans="1:37" ht="15.75" thickBot="1" x14ac:dyDescent="0.3">
      <c r="A22" s="10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100"/>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W25" s="103" t="str">
        <f>J25</f>
        <v>Junho</v>
      </c>
      <c r="X25" s="103"/>
      <c r="Y25" s="103"/>
      <c r="Z25" s="103"/>
      <c r="AA25" s="103"/>
      <c r="AB25" s="103"/>
      <c r="AC25" s="103"/>
      <c r="AE25" s="104" t="str">
        <f>W25</f>
        <v>Junho</v>
      </c>
      <c r="AF25" s="104"/>
      <c r="AG25" s="104"/>
      <c r="AH25" s="104"/>
      <c r="AI25" s="104"/>
      <c r="AJ25" s="104"/>
      <c r="AK25" s="104"/>
    </row>
    <row r="26" spans="1:37" ht="15.75" thickBot="1" x14ac:dyDescent="0.3">
      <c r="A26" s="10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100"/>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W29" s="103" t="str">
        <f>J29</f>
        <v>Julho</v>
      </c>
      <c r="X29" s="103"/>
      <c r="Y29" s="103"/>
      <c r="Z29" s="103"/>
      <c r="AA29" s="103"/>
      <c r="AB29" s="103"/>
      <c r="AC29" s="103"/>
      <c r="AE29" s="104" t="str">
        <f>W29</f>
        <v>Julho</v>
      </c>
      <c r="AF29" s="104"/>
      <c r="AG29" s="104"/>
      <c r="AH29" s="104"/>
      <c r="AI29" s="104"/>
      <c r="AJ29" s="104"/>
      <c r="AK29" s="104"/>
    </row>
    <row r="30" spans="1:37" ht="15.75" thickBot="1" x14ac:dyDescent="0.3">
      <c r="A30" s="100" t="s">
        <v>5</v>
      </c>
      <c r="B30" s="34" t="s">
        <v>6</v>
      </c>
      <c r="C30" s="22" t="s">
        <v>7</v>
      </c>
      <c r="D30" s="33" t="s">
        <v>8</v>
      </c>
      <c r="E30" s="22" t="s">
        <v>9</v>
      </c>
      <c r="F30" s="24" t="s">
        <v>10</v>
      </c>
      <c r="G30" s="23" t="s">
        <v>11</v>
      </c>
      <c r="H30" s="25" t="s">
        <v>12</v>
      </c>
      <c r="J30" s="6" t="s">
        <v>4</v>
      </c>
      <c r="K30" s="9">
        <v>45840</v>
      </c>
      <c r="L30" s="66">
        <v>45845</v>
      </c>
      <c r="M30" s="66">
        <v>45848</v>
      </c>
      <c r="N30" s="66">
        <v>45853</v>
      </c>
      <c r="O30" s="66">
        <v>45860</v>
      </c>
      <c r="P30" s="66">
        <v>45867</v>
      </c>
      <c r="Q30" s="4"/>
      <c r="R30" s="4"/>
      <c r="S30" s="4"/>
      <c r="T30" s="4"/>
      <c r="U30" s="5"/>
      <c r="W30" s="6" t="s">
        <v>4</v>
      </c>
      <c r="X30" s="9">
        <v>45849</v>
      </c>
      <c r="Y30" s="66">
        <v>45867</v>
      </c>
      <c r="Z30" s="4"/>
      <c r="AA30" s="4"/>
      <c r="AB30" s="4"/>
      <c r="AC30" s="5"/>
      <c r="AE30" s="6" t="s">
        <v>4</v>
      </c>
      <c r="AF30" s="9"/>
      <c r="AG30" s="4"/>
      <c r="AH30" s="4"/>
      <c r="AI30" s="4"/>
      <c r="AJ30" s="4"/>
      <c r="AK30" s="5"/>
    </row>
    <row r="31" spans="1:37" ht="15.75" thickBot="1" x14ac:dyDescent="0.3">
      <c r="A31" s="100"/>
      <c r="B31" s="26">
        <v>19347</v>
      </c>
      <c r="C31" s="27">
        <v>20867</v>
      </c>
      <c r="D31" s="27">
        <v>20867</v>
      </c>
      <c r="E31" s="27">
        <v>21883</v>
      </c>
      <c r="F31" s="27">
        <f>SUM(C31-B31)</f>
        <v>1520</v>
      </c>
      <c r="G31" s="20">
        <f>SUM(E31-D31)</f>
        <v>1016</v>
      </c>
      <c r="H31" s="21">
        <f>SUM(F31:G31)</f>
        <v>2536</v>
      </c>
      <c r="J31" s="7" t="s">
        <v>22</v>
      </c>
      <c r="K31" s="10">
        <v>174.11</v>
      </c>
      <c r="L31" s="11">
        <v>266.06</v>
      </c>
      <c r="M31" s="11">
        <v>145.09</v>
      </c>
      <c r="N31" s="11">
        <v>220.29</v>
      </c>
      <c r="O31" s="11">
        <v>246.24</v>
      </c>
      <c r="P31" s="11">
        <v>240</v>
      </c>
      <c r="Q31" s="11"/>
      <c r="R31" s="11"/>
      <c r="S31" s="11"/>
      <c r="T31" s="11"/>
      <c r="U31" s="12"/>
      <c r="W31" s="7" t="s">
        <v>22</v>
      </c>
      <c r="X31" s="10">
        <v>70</v>
      </c>
      <c r="Y31" s="11">
        <v>70</v>
      </c>
      <c r="Z31" s="11"/>
      <c r="AA31" s="11"/>
      <c r="AB31" s="11"/>
      <c r="AC31" s="12"/>
      <c r="AE31" s="7" t="s">
        <v>22</v>
      </c>
      <c r="AF31" s="10"/>
      <c r="AG31" s="11"/>
      <c r="AH31" s="11"/>
      <c r="AI31" s="11"/>
      <c r="AJ31" s="11"/>
      <c r="AK31" s="12"/>
    </row>
    <row r="32" spans="1:37" x14ac:dyDescent="0.25">
      <c r="J32" s="8"/>
      <c r="T32" s="8" t="s">
        <v>23</v>
      </c>
      <c r="U32" s="13">
        <f>SUM(K31:U31)</f>
        <v>1291.79</v>
      </c>
      <c r="AB32" s="8" t="s">
        <v>23</v>
      </c>
      <c r="AC32" s="13">
        <f>SUM(X31:AC31)</f>
        <v>140</v>
      </c>
      <c r="AJ32" s="8" t="s">
        <v>23</v>
      </c>
      <c r="AK32" s="13">
        <f>SUM(AF31:AK31)</f>
        <v>0</v>
      </c>
    </row>
    <row r="33" spans="1:37"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W33" s="103" t="str">
        <f>J33</f>
        <v>Agosto</v>
      </c>
      <c r="X33" s="103"/>
      <c r="Y33" s="103"/>
      <c r="Z33" s="103"/>
      <c r="AA33" s="103"/>
      <c r="AB33" s="103"/>
      <c r="AC33" s="103"/>
      <c r="AE33" s="104" t="str">
        <f>W33</f>
        <v>Agosto</v>
      </c>
      <c r="AF33" s="104"/>
      <c r="AG33" s="104"/>
      <c r="AH33" s="104"/>
      <c r="AI33" s="104"/>
      <c r="AJ33" s="104"/>
      <c r="AK33" s="104"/>
    </row>
    <row r="34" spans="1:37" ht="15.75" thickBot="1" x14ac:dyDescent="0.3">
      <c r="A34" s="100" t="s">
        <v>5</v>
      </c>
      <c r="B34" s="34" t="s">
        <v>6</v>
      </c>
      <c r="C34" s="22" t="s">
        <v>7</v>
      </c>
      <c r="D34" s="33" t="s">
        <v>8</v>
      </c>
      <c r="E34" s="22" t="s">
        <v>9</v>
      </c>
      <c r="F34" s="24" t="s">
        <v>10</v>
      </c>
      <c r="G34" s="23" t="s">
        <v>11</v>
      </c>
      <c r="H34" s="25" t="s">
        <v>12</v>
      </c>
      <c r="J34" s="6" t="s">
        <v>4</v>
      </c>
      <c r="K34" s="9">
        <v>45876</v>
      </c>
      <c r="L34" s="66">
        <v>45882</v>
      </c>
      <c r="M34" s="66">
        <v>45888</v>
      </c>
      <c r="N34" s="66">
        <v>45895</v>
      </c>
      <c r="O34" s="66">
        <v>45895</v>
      </c>
      <c r="P34" s="4"/>
      <c r="Q34" s="4"/>
      <c r="R34" s="4"/>
      <c r="S34" s="4"/>
      <c r="T34" s="4"/>
      <c r="U34" s="5"/>
      <c r="W34" s="6" t="s">
        <v>4</v>
      </c>
      <c r="X34" s="9">
        <v>45884</v>
      </c>
      <c r="Y34" s="4"/>
      <c r="Z34" s="4"/>
      <c r="AA34" s="4"/>
      <c r="AB34" s="4"/>
      <c r="AC34" s="5"/>
      <c r="AE34" s="6" t="s">
        <v>4</v>
      </c>
      <c r="AF34" s="9"/>
      <c r="AG34" s="4"/>
      <c r="AH34" s="4"/>
      <c r="AI34" s="4"/>
      <c r="AJ34" s="4"/>
      <c r="AK34" s="5"/>
    </row>
    <row r="35" spans="1:37" ht="15.75" thickBot="1" x14ac:dyDescent="0.3">
      <c r="A35" s="100"/>
      <c r="B35" s="27">
        <v>21883</v>
      </c>
      <c r="C35" s="27">
        <v>23142</v>
      </c>
      <c r="D35" s="27">
        <v>23142</v>
      </c>
      <c r="E35" s="27">
        <v>23801</v>
      </c>
      <c r="F35" s="27">
        <f>SUM(C35-B35)</f>
        <v>1259</v>
      </c>
      <c r="G35" s="20">
        <f>SUM(E35-D35)</f>
        <v>659</v>
      </c>
      <c r="H35" s="21">
        <f>SUM(F35:G35)</f>
        <v>1918</v>
      </c>
      <c r="J35" s="7" t="s">
        <v>22</v>
      </c>
      <c r="K35" s="10">
        <v>213.84</v>
      </c>
      <c r="L35" s="11">
        <v>240</v>
      </c>
      <c r="M35" s="11">
        <v>241</v>
      </c>
      <c r="N35" s="11">
        <v>165.32</v>
      </c>
      <c r="O35" s="11">
        <v>40.03</v>
      </c>
      <c r="P35" s="11"/>
      <c r="Q35" s="11"/>
      <c r="R35" s="11"/>
      <c r="S35" s="11"/>
      <c r="T35" s="11"/>
      <c r="U35" s="12"/>
      <c r="W35" s="7" t="s">
        <v>22</v>
      </c>
      <c r="X35" s="10">
        <v>80</v>
      </c>
      <c r="Y35" s="11"/>
      <c r="Z35" s="11"/>
      <c r="AA35" s="11"/>
      <c r="AB35" s="11"/>
      <c r="AC35" s="12"/>
      <c r="AE35" s="7" t="s">
        <v>22</v>
      </c>
      <c r="AF35" s="10"/>
      <c r="AG35" s="11"/>
      <c r="AH35" s="11"/>
      <c r="AI35" s="11"/>
      <c r="AJ35" s="11"/>
      <c r="AK35" s="12"/>
    </row>
    <row r="36" spans="1:37" x14ac:dyDescent="0.25">
      <c r="J36" s="8"/>
      <c r="T36" s="8" t="s">
        <v>23</v>
      </c>
      <c r="U36" s="13">
        <f>SUM(K35:U35)</f>
        <v>900.19</v>
      </c>
      <c r="AB36" s="8" t="s">
        <v>23</v>
      </c>
      <c r="AC36" s="13">
        <f>SUM(X35:AC35)</f>
        <v>80</v>
      </c>
      <c r="AJ36" s="8" t="s">
        <v>23</v>
      </c>
      <c r="AK36" s="13">
        <f>SUM(AF35:AK35)</f>
        <v>0</v>
      </c>
    </row>
    <row r="37" spans="1:37"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W37" s="103" t="str">
        <f>J37</f>
        <v>Setembro</v>
      </c>
      <c r="X37" s="103"/>
      <c r="Y37" s="103"/>
      <c r="Z37" s="103"/>
      <c r="AA37" s="103"/>
      <c r="AB37" s="103"/>
      <c r="AC37" s="103"/>
      <c r="AE37" s="104" t="str">
        <f>W37</f>
        <v>Setembro</v>
      </c>
      <c r="AF37" s="104"/>
      <c r="AG37" s="104"/>
      <c r="AH37" s="104"/>
      <c r="AI37" s="104"/>
      <c r="AJ37" s="104"/>
      <c r="AK37" s="104"/>
    </row>
    <row r="38" spans="1:37" ht="15.75" thickBot="1" x14ac:dyDescent="0.3">
      <c r="A38" s="10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100"/>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W41" s="103" t="str">
        <f>J41</f>
        <v>Outubro</v>
      </c>
      <c r="X41" s="103"/>
      <c r="Y41" s="103"/>
      <c r="Z41" s="103"/>
      <c r="AA41" s="103"/>
      <c r="AB41" s="103"/>
      <c r="AC41" s="103"/>
      <c r="AE41" s="104" t="str">
        <f>W41</f>
        <v>Outubro</v>
      </c>
      <c r="AF41" s="104"/>
      <c r="AG41" s="104"/>
      <c r="AH41" s="104"/>
      <c r="AI41" s="104"/>
      <c r="AJ41" s="104"/>
      <c r="AK41" s="104"/>
    </row>
    <row r="42" spans="1:37" ht="15.75" thickBot="1" x14ac:dyDescent="0.3">
      <c r="A42" s="10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100"/>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W45" s="103" t="str">
        <f>J45</f>
        <v>Novembro</v>
      </c>
      <c r="X45" s="103"/>
      <c r="Y45" s="103"/>
      <c r="Z45" s="103"/>
      <c r="AA45" s="103"/>
      <c r="AB45" s="103"/>
      <c r="AC45" s="103"/>
      <c r="AE45" s="104" t="str">
        <f>W45</f>
        <v>Novembro</v>
      </c>
      <c r="AF45" s="104"/>
      <c r="AG45" s="104"/>
      <c r="AH45" s="104"/>
      <c r="AI45" s="104"/>
      <c r="AJ45" s="104"/>
      <c r="AK45" s="104"/>
    </row>
    <row r="46" spans="1:37" ht="15.75" thickBot="1" x14ac:dyDescent="0.3">
      <c r="A46" s="10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100"/>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W49" s="103" t="str">
        <f>J49</f>
        <v>Dezembro</v>
      </c>
      <c r="X49" s="103"/>
      <c r="Y49" s="103"/>
      <c r="Z49" s="103"/>
      <c r="AA49" s="103"/>
      <c r="AB49" s="103"/>
      <c r="AC49" s="103"/>
      <c r="AE49" s="104" t="str">
        <f>W49</f>
        <v>Dezembro</v>
      </c>
      <c r="AF49" s="104"/>
      <c r="AG49" s="104"/>
      <c r="AH49" s="104"/>
      <c r="AI49" s="104"/>
      <c r="AJ49" s="104"/>
      <c r="AK49" s="104"/>
    </row>
    <row r="50" spans="1:37"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100"/>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3">
    <mergeCell ref="B2:C2"/>
    <mergeCell ref="E2:F2"/>
    <mergeCell ref="B4:C4"/>
    <mergeCell ref="E4:F4"/>
    <mergeCell ref="A7:H7"/>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N68"/>
  <sheetViews>
    <sheetView showGridLines="0" topLeftCell="G34" workbookViewId="0">
      <selection activeCell="AA55" sqref="AA5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4" width="10.42578125" bestFit="1" customWidth="1"/>
    <col min="15" max="15" width="10.7109375" bestFit="1" customWidth="1"/>
    <col min="16" max="16" width="10.42578125" bestFit="1" customWidth="1"/>
    <col min="21" max="21" width="13.28515625" bestFit="1" customWidth="1"/>
    <col min="24" max="27" width="10.42578125" bestFit="1" customWidth="1"/>
    <col min="29" max="29" width="10.5703125" bestFit="1" customWidth="1"/>
    <col min="31" max="31" width="10.5703125" bestFit="1" customWidth="1"/>
    <col min="32" max="32" width="10.42578125" bestFit="1" customWidth="1"/>
    <col min="34" max="36" width="10.140625" bestFit="1" customWidth="1"/>
    <col min="37" max="37" width="9.5703125" bestFit="1" customWidth="1"/>
  </cols>
  <sheetData>
    <row r="2" spans="1:37" x14ac:dyDescent="0.25">
      <c r="A2" t="s">
        <v>0</v>
      </c>
      <c r="B2" s="107" t="s">
        <v>65</v>
      </c>
      <c r="C2" s="107"/>
      <c r="D2" s="1" t="s">
        <v>1</v>
      </c>
      <c r="E2" s="107" t="s">
        <v>66</v>
      </c>
      <c r="F2" s="107"/>
      <c r="H2" t="s">
        <v>45</v>
      </c>
      <c r="I2" s="54">
        <v>5200</v>
      </c>
    </row>
    <row r="3" spans="1:37" x14ac:dyDescent="0.25">
      <c r="F3" s="1"/>
    </row>
    <row r="4" spans="1:37" x14ac:dyDescent="0.25">
      <c r="A4" t="s">
        <v>2</v>
      </c>
      <c r="B4" s="108">
        <v>2363</v>
      </c>
      <c r="C4" s="108"/>
      <c r="D4" s="1" t="s">
        <v>29</v>
      </c>
      <c r="E4" s="107">
        <v>40</v>
      </c>
      <c r="F4" s="107"/>
      <c r="H4" t="s">
        <v>64</v>
      </c>
      <c r="I4" s="67">
        <v>45340</v>
      </c>
      <c r="J4" s="90" t="s">
        <v>178</v>
      </c>
      <c r="K4" s="67">
        <v>45752</v>
      </c>
    </row>
    <row r="6" spans="1:37" x14ac:dyDescent="0.25">
      <c r="D6" s="1" t="s">
        <v>86</v>
      </c>
    </row>
    <row r="7" spans="1:37"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105" t="s">
        <v>25</v>
      </c>
      <c r="X7" s="105"/>
      <c r="Y7" s="105"/>
      <c r="Z7" s="105"/>
      <c r="AA7" s="105"/>
      <c r="AB7" s="105"/>
      <c r="AC7" s="105"/>
      <c r="AD7" s="2"/>
      <c r="AE7" s="105" t="s">
        <v>27</v>
      </c>
      <c r="AF7" s="105"/>
      <c r="AG7" s="105"/>
      <c r="AH7" s="105"/>
      <c r="AI7" s="105"/>
      <c r="AJ7" s="105"/>
      <c r="AK7" s="105"/>
    </row>
    <row r="8" spans="1:37" s="15" customFormat="1" ht="21" x14ac:dyDescent="0.35">
      <c r="A8" s="14"/>
      <c r="B8" s="14"/>
      <c r="C8" s="14"/>
      <c r="D8" s="107" t="s">
        <v>77</v>
      </c>
      <c r="E8" s="107"/>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101" t="s">
        <v>3</v>
      </c>
      <c r="C9" s="101"/>
      <c r="D9" s="101"/>
      <c r="E9" s="101"/>
      <c r="F9" s="101"/>
      <c r="G9" s="101"/>
      <c r="H9" s="101"/>
      <c r="J9" s="102" t="s">
        <v>3</v>
      </c>
      <c r="K9" s="102"/>
      <c r="L9" s="102"/>
      <c r="M9" s="102"/>
      <c r="N9" s="102"/>
      <c r="O9" s="102"/>
      <c r="P9" s="102"/>
      <c r="Q9" s="102"/>
      <c r="R9" s="102"/>
      <c r="S9" s="102"/>
      <c r="T9" s="102"/>
      <c r="U9" s="102"/>
      <c r="W9" s="103" t="s">
        <v>3</v>
      </c>
      <c r="X9" s="103"/>
      <c r="Y9" s="103"/>
      <c r="Z9" s="103"/>
      <c r="AA9" s="103"/>
      <c r="AB9" s="103"/>
      <c r="AC9" s="103"/>
      <c r="AE9" s="104" t="s">
        <v>3</v>
      </c>
      <c r="AF9" s="104"/>
      <c r="AG9" s="104"/>
      <c r="AH9" s="104"/>
      <c r="AI9" s="104"/>
      <c r="AJ9" s="104"/>
      <c r="AK9" s="104"/>
    </row>
    <row r="10" spans="1:37" ht="15.75" thickBot="1" x14ac:dyDescent="0.3">
      <c r="A10" s="100" t="s">
        <v>5</v>
      </c>
      <c r="B10" s="34" t="s">
        <v>6</v>
      </c>
      <c r="C10" s="22" t="s">
        <v>7</v>
      </c>
      <c r="D10" s="33" t="s">
        <v>8</v>
      </c>
      <c r="E10" s="22" t="s">
        <v>9</v>
      </c>
      <c r="F10" s="24" t="s">
        <v>10</v>
      </c>
      <c r="G10" s="23" t="s">
        <v>11</v>
      </c>
      <c r="H10" s="25" t="s">
        <v>12</v>
      </c>
      <c r="J10" s="28" t="s">
        <v>4</v>
      </c>
      <c r="K10" s="9">
        <v>45342</v>
      </c>
      <c r="L10" s="66"/>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100"/>
      <c r="B11" s="26">
        <v>8256</v>
      </c>
      <c r="C11" s="27"/>
      <c r="D11" s="27"/>
      <c r="E11" s="27">
        <v>9181</v>
      </c>
      <c r="F11" s="27">
        <f>SUM(C11-B11)</f>
        <v>-8256</v>
      </c>
      <c r="G11" s="20">
        <f>SUM(E11-D11)</f>
        <v>9181</v>
      </c>
      <c r="H11" s="21">
        <f>SUM(F11:G11)</f>
        <v>925</v>
      </c>
      <c r="J11" s="29" t="s">
        <v>22</v>
      </c>
      <c r="K11" s="10">
        <v>207.61</v>
      </c>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207.61</v>
      </c>
      <c r="AB12" s="8" t="s">
        <v>23</v>
      </c>
      <c r="AC12" s="13">
        <f>SUM(X11:AC11)</f>
        <v>0</v>
      </c>
      <c r="AJ12" s="8" t="s">
        <v>23</v>
      </c>
      <c r="AK12" s="13">
        <f>SUM(AF11:AK11)</f>
        <v>0</v>
      </c>
    </row>
    <row r="13" spans="1:37"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W13" s="103" t="str">
        <f>J13</f>
        <v>Março</v>
      </c>
      <c r="X13" s="103"/>
      <c r="Y13" s="103"/>
      <c r="Z13" s="103"/>
      <c r="AA13" s="103"/>
      <c r="AB13" s="103"/>
      <c r="AC13" s="103"/>
      <c r="AE13" s="104" t="str">
        <f>W13</f>
        <v>Março</v>
      </c>
      <c r="AF13" s="104"/>
      <c r="AG13" s="104"/>
      <c r="AH13" s="104"/>
      <c r="AI13" s="104"/>
      <c r="AJ13" s="104"/>
      <c r="AK13" s="104"/>
    </row>
    <row r="14" spans="1:37" ht="15.75" thickBot="1" x14ac:dyDescent="0.3">
      <c r="A14" s="100" t="s">
        <v>5</v>
      </c>
      <c r="B14" s="34" t="s">
        <v>6</v>
      </c>
      <c r="C14" s="22" t="s">
        <v>7</v>
      </c>
      <c r="D14" s="33" t="s">
        <v>8</v>
      </c>
      <c r="E14" s="22" t="s">
        <v>9</v>
      </c>
      <c r="F14" s="24" t="s">
        <v>10</v>
      </c>
      <c r="G14" s="23" t="s">
        <v>11</v>
      </c>
      <c r="H14" s="25" t="s">
        <v>12</v>
      </c>
      <c r="J14" s="6" t="s">
        <v>4</v>
      </c>
      <c r="K14" s="66">
        <v>45352</v>
      </c>
      <c r="L14" s="66">
        <v>45356</v>
      </c>
      <c r="M14" s="66">
        <v>45363</v>
      </c>
      <c r="N14" s="66">
        <v>45370</v>
      </c>
      <c r="O14" s="66">
        <v>45377</v>
      </c>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100"/>
      <c r="B15" s="26">
        <v>5575</v>
      </c>
      <c r="C15" s="27"/>
      <c r="D15" s="27"/>
      <c r="E15" s="27">
        <v>8260</v>
      </c>
      <c r="F15" s="27">
        <f>SUM(C15-B15)</f>
        <v>-5575</v>
      </c>
      <c r="G15" s="20">
        <f>SUM(E15-D15)</f>
        <v>8260</v>
      </c>
      <c r="H15" s="21">
        <f>SUM(F15:G15)</f>
        <v>2685</v>
      </c>
      <c r="J15" s="7" t="s">
        <v>22</v>
      </c>
      <c r="K15" s="11">
        <v>244.99</v>
      </c>
      <c r="L15" s="11">
        <v>267.93</v>
      </c>
      <c r="M15" s="11">
        <v>278.42</v>
      </c>
      <c r="N15" s="11">
        <v>246.67</v>
      </c>
      <c r="O15" s="11">
        <v>271.29000000000002</v>
      </c>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1309.3000000000002</v>
      </c>
      <c r="AB16" s="8" t="s">
        <v>23</v>
      </c>
      <c r="AC16" s="13">
        <f>SUM(X15:AC15)</f>
        <v>0</v>
      </c>
      <c r="AJ16" s="8" t="s">
        <v>23</v>
      </c>
      <c r="AK16" s="13">
        <f>SUM(AF15:AK15)</f>
        <v>0</v>
      </c>
    </row>
    <row r="17" spans="1:37"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W17" s="103" t="str">
        <f>J17</f>
        <v>Abril</v>
      </c>
      <c r="X17" s="103"/>
      <c r="Y17" s="103"/>
      <c r="Z17" s="103"/>
      <c r="AA17" s="103"/>
      <c r="AB17" s="103"/>
      <c r="AC17" s="103"/>
      <c r="AE17" s="104" t="str">
        <f>W17</f>
        <v>Abril</v>
      </c>
      <c r="AF17" s="104"/>
      <c r="AG17" s="104"/>
      <c r="AH17" s="104"/>
      <c r="AI17" s="104"/>
      <c r="AJ17" s="104"/>
      <c r="AK17" s="104"/>
    </row>
    <row r="18" spans="1:37" ht="15.75" thickBot="1" x14ac:dyDescent="0.3">
      <c r="A18" s="100" t="s">
        <v>5</v>
      </c>
      <c r="B18" s="34" t="s">
        <v>6</v>
      </c>
      <c r="C18" s="22" t="s">
        <v>7</v>
      </c>
      <c r="D18" s="33" t="s">
        <v>8</v>
      </c>
      <c r="E18" s="22" t="s">
        <v>9</v>
      </c>
      <c r="F18" s="24" t="s">
        <v>10</v>
      </c>
      <c r="G18" s="23" t="s">
        <v>11</v>
      </c>
      <c r="H18" s="25" t="s">
        <v>12</v>
      </c>
      <c r="J18" s="6" t="s">
        <v>4</v>
      </c>
      <c r="K18" s="9">
        <v>45386</v>
      </c>
      <c r="L18" s="66">
        <v>45392</v>
      </c>
      <c r="M18" s="66">
        <v>45398</v>
      </c>
      <c r="N18" s="66">
        <v>45409</v>
      </c>
      <c r="O18" s="66">
        <v>45405</v>
      </c>
      <c r="P18" s="4"/>
      <c r="Q18" s="4"/>
      <c r="R18" s="4"/>
      <c r="S18" s="4"/>
      <c r="T18" s="4"/>
      <c r="U18" s="5"/>
      <c r="W18" s="6" t="s">
        <v>4</v>
      </c>
      <c r="X18" s="9">
        <v>45402</v>
      </c>
      <c r="Y18" s="66">
        <v>45395</v>
      </c>
      <c r="Z18" s="4"/>
      <c r="AA18" s="4"/>
      <c r="AB18" s="4"/>
      <c r="AC18" s="5"/>
      <c r="AE18" s="6" t="s">
        <v>4</v>
      </c>
      <c r="AF18" s="9">
        <v>45394</v>
      </c>
      <c r="AG18" s="4"/>
      <c r="AH18" s="4"/>
      <c r="AI18" s="4"/>
      <c r="AJ18" s="4"/>
      <c r="AK18" s="5"/>
    </row>
    <row r="19" spans="1:37" ht="15.75" thickBot="1" x14ac:dyDescent="0.3">
      <c r="A19" s="100"/>
      <c r="B19" s="26">
        <v>8260</v>
      </c>
      <c r="C19" s="27"/>
      <c r="D19" s="27"/>
      <c r="E19" s="27">
        <v>11354</v>
      </c>
      <c r="F19" s="27">
        <f>SUM(C19-B19)</f>
        <v>-8260</v>
      </c>
      <c r="G19" s="20">
        <f>SUM(E19-D19)</f>
        <v>11354</v>
      </c>
      <c r="H19" s="21">
        <f>SUM(F19:G19)</f>
        <v>3094</v>
      </c>
      <c r="J19" s="7" t="s">
        <v>22</v>
      </c>
      <c r="K19" s="30">
        <v>293.02999999999997</v>
      </c>
      <c r="L19" s="31">
        <v>270.39</v>
      </c>
      <c r="M19" s="31">
        <v>239.66</v>
      </c>
      <c r="N19" s="31">
        <v>251.22</v>
      </c>
      <c r="O19" s="31">
        <v>172.45</v>
      </c>
      <c r="P19" s="31"/>
      <c r="Q19" s="31"/>
      <c r="R19" s="31"/>
      <c r="S19" s="31"/>
      <c r="T19" s="31"/>
      <c r="U19" s="32"/>
      <c r="W19" s="7" t="s">
        <v>22</v>
      </c>
      <c r="X19" s="10">
        <v>80</v>
      </c>
      <c r="Y19" s="11">
        <v>80</v>
      </c>
      <c r="Z19" s="11"/>
      <c r="AA19" s="11"/>
      <c r="AB19" s="11"/>
      <c r="AC19" s="12"/>
      <c r="AE19" s="7" t="s">
        <v>22</v>
      </c>
      <c r="AF19" s="10">
        <v>30</v>
      </c>
      <c r="AG19" s="11"/>
      <c r="AH19" s="11"/>
      <c r="AI19" s="11"/>
      <c r="AJ19" s="11"/>
      <c r="AK19" s="12"/>
    </row>
    <row r="20" spans="1:37" x14ac:dyDescent="0.25">
      <c r="J20" s="8"/>
      <c r="T20" s="8" t="s">
        <v>23</v>
      </c>
      <c r="U20" s="13">
        <f>SUM(K19:U19)</f>
        <v>1226.75</v>
      </c>
      <c r="AB20" s="8" t="s">
        <v>23</v>
      </c>
      <c r="AC20" s="13">
        <f>SUM(X19:AC19)</f>
        <v>160</v>
      </c>
      <c r="AJ20" s="8" t="s">
        <v>23</v>
      </c>
      <c r="AK20" s="13">
        <f>SUM(AF19:AK19)</f>
        <v>30</v>
      </c>
    </row>
    <row r="21" spans="1:37"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W21" s="103" t="str">
        <f>J21</f>
        <v>Maio</v>
      </c>
      <c r="X21" s="103"/>
      <c r="Y21" s="103"/>
      <c r="Z21" s="103"/>
      <c r="AA21" s="103"/>
      <c r="AB21" s="103"/>
      <c r="AC21" s="103"/>
      <c r="AE21" s="104" t="str">
        <f>W21</f>
        <v>Maio</v>
      </c>
      <c r="AF21" s="104"/>
      <c r="AG21" s="104"/>
      <c r="AH21" s="104"/>
      <c r="AI21" s="104"/>
      <c r="AJ21" s="104"/>
      <c r="AK21" s="104"/>
    </row>
    <row r="22" spans="1:37" ht="15.75" thickBot="1" x14ac:dyDescent="0.3">
      <c r="A22" s="100" t="s">
        <v>5</v>
      </c>
      <c r="B22" s="34" t="s">
        <v>6</v>
      </c>
      <c r="C22" s="22" t="s">
        <v>7</v>
      </c>
      <c r="D22" s="33" t="s">
        <v>8</v>
      </c>
      <c r="E22" s="22" t="s">
        <v>9</v>
      </c>
      <c r="F22" s="24" t="s">
        <v>10</v>
      </c>
      <c r="G22" s="23" t="s">
        <v>11</v>
      </c>
      <c r="H22" s="25" t="s">
        <v>12</v>
      </c>
      <c r="J22" s="6" t="s">
        <v>4</v>
      </c>
      <c r="K22" s="9">
        <v>45416</v>
      </c>
      <c r="L22" s="66">
        <v>45423</v>
      </c>
      <c r="M22" s="66">
        <v>45428</v>
      </c>
      <c r="N22" s="66">
        <v>45433</v>
      </c>
      <c r="O22" s="66">
        <v>45440</v>
      </c>
      <c r="P22" s="4"/>
      <c r="Q22" s="4"/>
      <c r="R22" s="4"/>
      <c r="S22" s="4"/>
      <c r="T22" s="4"/>
      <c r="U22" s="5"/>
      <c r="W22" s="6" t="s">
        <v>4</v>
      </c>
      <c r="X22" s="9">
        <v>45430</v>
      </c>
      <c r="Y22" s="66">
        <v>45437</v>
      </c>
      <c r="Z22" s="4"/>
      <c r="AA22" s="4"/>
      <c r="AB22" s="4"/>
      <c r="AC22" s="5"/>
      <c r="AE22" s="6" t="s">
        <v>4</v>
      </c>
      <c r="AF22" s="9"/>
      <c r="AG22" s="4"/>
      <c r="AH22" s="4"/>
      <c r="AI22" s="4"/>
      <c r="AJ22" s="4"/>
      <c r="AK22" s="5"/>
    </row>
    <row r="23" spans="1:37" ht="15.75" thickBot="1" x14ac:dyDescent="0.3">
      <c r="A23" s="100"/>
      <c r="B23" s="26">
        <v>11354</v>
      </c>
      <c r="C23" s="27"/>
      <c r="D23" s="27"/>
      <c r="E23" s="27">
        <v>14236</v>
      </c>
      <c r="F23" s="27">
        <f>SUM(C23-B23)</f>
        <v>-11354</v>
      </c>
      <c r="G23" s="20">
        <f>SUM(E23-D23)</f>
        <v>14236</v>
      </c>
      <c r="H23" s="21">
        <f>SUM(F23:G23)</f>
        <v>2882</v>
      </c>
      <c r="J23" s="7" t="s">
        <v>22</v>
      </c>
      <c r="K23" s="10">
        <v>192.04</v>
      </c>
      <c r="L23" s="11">
        <v>150.65</v>
      </c>
      <c r="M23" s="11">
        <v>217.26</v>
      </c>
      <c r="N23" s="11">
        <v>254.04</v>
      </c>
      <c r="O23" s="11">
        <v>145.72999999999999</v>
      </c>
      <c r="P23" s="11"/>
      <c r="Q23" s="11"/>
      <c r="R23" s="11"/>
      <c r="S23" s="11"/>
      <c r="T23" s="11"/>
      <c r="U23" s="12"/>
      <c r="W23" s="7" t="s">
        <v>22</v>
      </c>
      <c r="X23" s="10">
        <v>80</v>
      </c>
      <c r="Y23" s="11">
        <v>50</v>
      </c>
      <c r="Z23" s="11"/>
      <c r="AA23" s="11"/>
      <c r="AB23" s="11"/>
      <c r="AC23" s="12"/>
      <c r="AE23" s="7" t="s">
        <v>22</v>
      </c>
      <c r="AF23" s="10"/>
      <c r="AG23" s="11"/>
      <c r="AH23" s="11"/>
      <c r="AI23" s="11"/>
      <c r="AJ23" s="11"/>
      <c r="AK23" s="12"/>
    </row>
    <row r="24" spans="1:37" x14ac:dyDescent="0.25">
      <c r="J24" s="8"/>
      <c r="T24" s="8" t="s">
        <v>23</v>
      </c>
      <c r="U24" s="13">
        <f>SUM(K23:U23)</f>
        <v>959.72</v>
      </c>
      <c r="AB24" s="8" t="s">
        <v>23</v>
      </c>
      <c r="AC24" s="13">
        <f>SUM(X23:AC23)</f>
        <v>130</v>
      </c>
      <c r="AJ24" s="8" t="s">
        <v>23</v>
      </c>
      <c r="AK24" s="13">
        <f>SUM(AF23:AK23)</f>
        <v>0</v>
      </c>
    </row>
    <row r="25" spans="1:37"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W25" s="103" t="str">
        <f>J25</f>
        <v>Junho</v>
      </c>
      <c r="X25" s="103"/>
      <c r="Y25" s="103"/>
      <c r="Z25" s="103"/>
      <c r="AA25" s="103"/>
      <c r="AB25" s="103"/>
      <c r="AC25" s="103"/>
      <c r="AE25" s="104" t="str">
        <f>W25</f>
        <v>Junho</v>
      </c>
      <c r="AF25" s="104"/>
      <c r="AG25" s="104"/>
      <c r="AH25" s="104"/>
      <c r="AI25" s="104"/>
      <c r="AJ25" s="104"/>
      <c r="AK25" s="104"/>
    </row>
    <row r="26" spans="1:37" ht="15.75" thickBot="1" x14ac:dyDescent="0.3">
      <c r="A26" s="100" t="s">
        <v>5</v>
      </c>
      <c r="B26" s="34" t="s">
        <v>6</v>
      </c>
      <c r="C26" s="22" t="s">
        <v>7</v>
      </c>
      <c r="D26" s="33" t="s">
        <v>8</v>
      </c>
      <c r="E26" s="22" t="s">
        <v>9</v>
      </c>
      <c r="F26" s="24" t="s">
        <v>10</v>
      </c>
      <c r="G26" s="23" t="s">
        <v>11</v>
      </c>
      <c r="H26" s="25" t="s">
        <v>12</v>
      </c>
      <c r="J26" s="6" t="s">
        <v>4</v>
      </c>
      <c r="K26" s="9">
        <v>45449</v>
      </c>
      <c r="L26" s="66">
        <v>45455</v>
      </c>
      <c r="M26" s="66">
        <v>45461</v>
      </c>
      <c r="N26" s="66">
        <v>45465</v>
      </c>
      <c r="O26" s="66">
        <v>45472</v>
      </c>
      <c r="P26" s="66">
        <v>45444</v>
      </c>
      <c r="Q26" s="4"/>
      <c r="R26" s="4"/>
      <c r="S26" s="4"/>
      <c r="T26" s="4"/>
      <c r="U26" s="5"/>
      <c r="W26" s="6" t="s">
        <v>4</v>
      </c>
      <c r="X26" s="9">
        <v>45444</v>
      </c>
      <c r="Y26" s="66">
        <v>45451</v>
      </c>
      <c r="Z26" s="4"/>
      <c r="AA26" s="4"/>
      <c r="AB26" s="4"/>
      <c r="AC26" s="5"/>
      <c r="AE26" s="6" t="s">
        <v>4</v>
      </c>
      <c r="AF26" s="9"/>
      <c r="AG26" s="4"/>
      <c r="AH26" s="4"/>
      <c r="AI26" s="4"/>
      <c r="AJ26" s="4"/>
      <c r="AK26" s="5"/>
    </row>
    <row r="27" spans="1:37" ht="15.75" thickBot="1" x14ac:dyDescent="0.3">
      <c r="A27" s="100"/>
      <c r="B27" s="26">
        <v>14236</v>
      </c>
      <c r="C27" s="27"/>
      <c r="D27" s="27"/>
      <c r="E27" s="27">
        <v>16958</v>
      </c>
      <c r="F27" s="27">
        <f>SUM(C27-B27)</f>
        <v>-14236</v>
      </c>
      <c r="G27" s="20">
        <f>SUM(E27-D27)</f>
        <v>16958</v>
      </c>
      <c r="H27" s="21">
        <f>SUM(F27:G27)</f>
        <v>2722</v>
      </c>
      <c r="J27" s="7" t="s">
        <v>22</v>
      </c>
      <c r="K27" s="10">
        <v>254.53</v>
      </c>
      <c r="L27" s="11">
        <v>254.41</v>
      </c>
      <c r="M27" s="11">
        <v>173.69</v>
      </c>
      <c r="N27" s="11">
        <v>153.19999999999999</v>
      </c>
      <c r="O27" s="11">
        <v>251.19</v>
      </c>
      <c r="P27" s="11">
        <v>157.84</v>
      </c>
      <c r="Q27" s="11"/>
      <c r="R27" s="11"/>
      <c r="S27" s="11"/>
      <c r="T27" s="11"/>
      <c r="U27" s="12"/>
      <c r="W27" s="7" t="s">
        <v>22</v>
      </c>
      <c r="X27" s="10">
        <v>80</v>
      </c>
      <c r="Y27" s="11">
        <v>80</v>
      </c>
      <c r="Z27" s="11"/>
      <c r="AA27" s="11"/>
      <c r="AB27" s="11"/>
      <c r="AC27" s="12"/>
      <c r="AE27" s="7" t="s">
        <v>22</v>
      </c>
      <c r="AF27" s="10"/>
      <c r="AG27" s="11"/>
      <c r="AH27" s="11"/>
      <c r="AI27" s="11"/>
      <c r="AJ27" s="11"/>
      <c r="AK27" s="12"/>
    </row>
    <row r="28" spans="1:37" x14ac:dyDescent="0.25">
      <c r="J28" s="8"/>
      <c r="T28" s="8" t="s">
        <v>23</v>
      </c>
      <c r="U28" s="13">
        <f>SUM(K27:U27)</f>
        <v>1244.8599999999999</v>
      </c>
      <c r="AB28" s="8" t="s">
        <v>23</v>
      </c>
      <c r="AC28" s="13">
        <f>SUM(X27:AC27)</f>
        <v>160</v>
      </c>
      <c r="AJ28" s="8" t="s">
        <v>23</v>
      </c>
      <c r="AK28" s="13">
        <f>SUM(AF27:AK27)</f>
        <v>0</v>
      </c>
    </row>
    <row r="29" spans="1:37"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W29" s="103" t="str">
        <f>J29</f>
        <v>Julho</v>
      </c>
      <c r="X29" s="103"/>
      <c r="Y29" s="103"/>
      <c r="Z29" s="103"/>
      <c r="AA29" s="103"/>
      <c r="AB29" s="103"/>
      <c r="AC29" s="103"/>
      <c r="AE29" s="104" t="str">
        <f>W29</f>
        <v>Julho</v>
      </c>
      <c r="AF29" s="104"/>
      <c r="AG29" s="104"/>
      <c r="AH29" s="104"/>
      <c r="AI29" s="104"/>
      <c r="AJ29" s="104"/>
      <c r="AK29" s="104"/>
    </row>
    <row r="30" spans="1:37" ht="15.75" thickBot="1" x14ac:dyDescent="0.3">
      <c r="A30" s="100" t="s">
        <v>5</v>
      </c>
      <c r="B30" s="34" t="s">
        <v>6</v>
      </c>
      <c r="C30" s="22" t="s">
        <v>7</v>
      </c>
      <c r="D30" s="33" t="s">
        <v>8</v>
      </c>
      <c r="E30" s="22" t="s">
        <v>9</v>
      </c>
      <c r="F30" s="24" t="s">
        <v>10</v>
      </c>
      <c r="G30" s="23" t="s">
        <v>11</v>
      </c>
      <c r="H30" s="25" t="s">
        <v>12</v>
      </c>
      <c r="J30" s="6" t="s">
        <v>4</v>
      </c>
      <c r="K30" s="9">
        <v>45477</v>
      </c>
      <c r="L30" s="66">
        <v>45482</v>
      </c>
      <c r="M30" s="66">
        <v>45487</v>
      </c>
      <c r="N30" s="66">
        <v>45492</v>
      </c>
      <c r="O30" s="66">
        <v>45498</v>
      </c>
      <c r="P30" s="66">
        <v>45503</v>
      </c>
      <c r="Q30" s="4"/>
      <c r="R30" s="4"/>
      <c r="S30" s="4"/>
      <c r="T30" s="4"/>
      <c r="U30" s="5"/>
      <c r="W30" s="6" t="s">
        <v>4</v>
      </c>
      <c r="X30" s="9">
        <v>45479</v>
      </c>
      <c r="Y30" s="66">
        <v>45497</v>
      </c>
      <c r="Z30" s="66">
        <v>45486</v>
      </c>
      <c r="AA30" s="4"/>
      <c r="AB30" s="4"/>
      <c r="AC30" s="5"/>
      <c r="AE30" s="6" t="s">
        <v>4</v>
      </c>
      <c r="AF30" s="9"/>
      <c r="AG30" s="4"/>
      <c r="AH30" s="4"/>
      <c r="AI30" s="4"/>
      <c r="AJ30" s="4"/>
      <c r="AK30" s="5"/>
    </row>
    <row r="31" spans="1:37" ht="15.75" thickBot="1" x14ac:dyDescent="0.3">
      <c r="A31" s="100"/>
      <c r="B31" s="26">
        <v>16958</v>
      </c>
      <c r="C31" s="27"/>
      <c r="D31" s="27"/>
      <c r="E31" s="27">
        <v>20204</v>
      </c>
      <c r="F31" s="27">
        <f>SUM(C31-B31)</f>
        <v>-16958</v>
      </c>
      <c r="G31" s="20">
        <f>SUM(E31-D31)</f>
        <v>20204</v>
      </c>
      <c r="H31" s="21">
        <f>SUM(F31:G31)</f>
        <v>3246</v>
      </c>
      <c r="J31" s="7" t="s">
        <v>22</v>
      </c>
      <c r="K31" s="10">
        <v>255.28</v>
      </c>
      <c r="L31" s="11">
        <v>212.21</v>
      </c>
      <c r="M31" s="11">
        <v>236.43</v>
      </c>
      <c r="N31" s="11">
        <v>230.04</v>
      </c>
      <c r="O31" s="11">
        <v>199.82</v>
      </c>
      <c r="P31" s="11">
        <v>204.54</v>
      </c>
      <c r="Q31" s="11"/>
      <c r="R31" s="11"/>
      <c r="S31" s="11"/>
      <c r="T31" s="11"/>
      <c r="U31" s="12"/>
      <c r="W31" s="7" t="s">
        <v>22</v>
      </c>
      <c r="X31" s="10">
        <v>80</v>
      </c>
      <c r="Y31" s="11">
        <v>60</v>
      </c>
      <c r="Z31" s="11">
        <v>80</v>
      </c>
      <c r="AA31" s="11"/>
      <c r="AB31" s="11"/>
      <c r="AC31" s="12"/>
      <c r="AE31" s="7" t="s">
        <v>22</v>
      </c>
      <c r="AF31" s="10"/>
      <c r="AG31" s="11"/>
      <c r="AH31" s="11"/>
      <c r="AI31" s="11"/>
      <c r="AJ31" s="11"/>
      <c r="AK31" s="12"/>
    </row>
    <row r="32" spans="1:37" x14ac:dyDescent="0.25">
      <c r="J32" s="8"/>
      <c r="T32" s="8" t="s">
        <v>23</v>
      </c>
      <c r="U32" s="13">
        <f>SUM(K31:U31)</f>
        <v>1338.32</v>
      </c>
      <c r="AB32" s="8" t="s">
        <v>23</v>
      </c>
      <c r="AC32" s="13">
        <f>SUM(X31:AC31)</f>
        <v>220</v>
      </c>
      <c r="AJ32" s="8" t="s">
        <v>23</v>
      </c>
      <c r="AK32" s="13">
        <f>SUM(AF31:AK31)</f>
        <v>0</v>
      </c>
    </row>
    <row r="33" spans="1:37"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W33" s="103" t="str">
        <f>J33</f>
        <v>Agosto</v>
      </c>
      <c r="X33" s="103"/>
      <c r="Y33" s="103"/>
      <c r="Z33" s="103"/>
      <c r="AA33" s="103"/>
      <c r="AB33" s="103"/>
      <c r="AC33" s="103"/>
      <c r="AE33" s="104" t="str">
        <f>W33</f>
        <v>Agosto</v>
      </c>
      <c r="AF33" s="104"/>
      <c r="AG33" s="104"/>
      <c r="AH33" s="104"/>
      <c r="AI33" s="104"/>
      <c r="AJ33" s="104"/>
      <c r="AK33" s="104"/>
    </row>
    <row r="34" spans="1:37" ht="15.75" thickBot="1" x14ac:dyDescent="0.3">
      <c r="A34" s="100" t="s">
        <v>5</v>
      </c>
      <c r="B34" s="34" t="s">
        <v>6</v>
      </c>
      <c r="C34" s="22" t="s">
        <v>7</v>
      </c>
      <c r="D34" s="33" t="s">
        <v>8</v>
      </c>
      <c r="E34" s="22" t="s">
        <v>9</v>
      </c>
      <c r="F34" s="24" t="s">
        <v>10</v>
      </c>
      <c r="G34" s="23" t="s">
        <v>11</v>
      </c>
      <c r="H34" s="25" t="s">
        <v>12</v>
      </c>
      <c r="J34" s="6" t="s">
        <v>4</v>
      </c>
      <c r="K34" s="9">
        <v>45510</v>
      </c>
      <c r="L34" s="66">
        <v>45514</v>
      </c>
      <c r="M34" s="66">
        <v>45519</v>
      </c>
      <c r="N34" s="66">
        <v>45525</v>
      </c>
      <c r="O34" s="66">
        <v>45532</v>
      </c>
      <c r="P34" s="4"/>
      <c r="Q34" s="4"/>
      <c r="R34" s="4"/>
      <c r="S34" s="4"/>
      <c r="T34" s="4"/>
      <c r="U34" s="5"/>
      <c r="W34" s="6" t="s">
        <v>4</v>
      </c>
      <c r="X34" s="9">
        <v>45513</v>
      </c>
      <c r="Y34" s="66">
        <v>45506</v>
      </c>
      <c r="Z34" s="66">
        <v>45519</v>
      </c>
      <c r="AA34" s="66">
        <v>45530</v>
      </c>
      <c r="AB34" s="4"/>
      <c r="AC34" s="5"/>
      <c r="AE34" s="6" t="s">
        <v>4</v>
      </c>
      <c r="AF34" s="9"/>
      <c r="AG34" s="4"/>
      <c r="AH34" s="4"/>
      <c r="AI34" s="4"/>
      <c r="AJ34" s="4"/>
      <c r="AK34" s="5"/>
    </row>
    <row r="35" spans="1:37" ht="15.75" thickBot="1" x14ac:dyDescent="0.3">
      <c r="A35" s="100"/>
      <c r="B35" s="26">
        <v>20204</v>
      </c>
      <c r="C35" s="27"/>
      <c r="D35" s="27"/>
      <c r="E35" s="27">
        <v>23047</v>
      </c>
      <c r="F35" s="27">
        <f>SUM(C35-B35)</f>
        <v>-20204</v>
      </c>
      <c r="G35" s="20">
        <f>SUM(E35-D35)</f>
        <v>23047</v>
      </c>
      <c r="H35" s="21">
        <f>SUM(F35:G35)</f>
        <v>2843</v>
      </c>
      <c r="J35" s="7" t="s">
        <v>22</v>
      </c>
      <c r="K35" s="10">
        <v>300.01</v>
      </c>
      <c r="L35" s="11">
        <v>191.7</v>
      </c>
      <c r="M35" s="11">
        <v>246.53</v>
      </c>
      <c r="N35" s="11">
        <v>202.82</v>
      </c>
      <c r="O35" s="11">
        <v>225.69</v>
      </c>
      <c r="P35" s="11"/>
      <c r="Q35" s="11"/>
      <c r="R35" s="11"/>
      <c r="S35" s="11"/>
      <c r="T35" s="11"/>
      <c r="U35" s="12"/>
      <c r="W35" s="7" t="s">
        <v>22</v>
      </c>
      <c r="X35" s="10">
        <v>60</v>
      </c>
      <c r="Y35" s="11">
        <v>60</v>
      </c>
      <c r="Z35" s="11">
        <v>60</v>
      </c>
      <c r="AA35" s="11">
        <v>60</v>
      </c>
      <c r="AB35" s="11"/>
      <c r="AC35" s="12"/>
      <c r="AE35" s="7" t="s">
        <v>22</v>
      </c>
      <c r="AF35" s="10"/>
      <c r="AG35" s="11"/>
      <c r="AH35" s="11"/>
      <c r="AI35" s="11"/>
      <c r="AJ35" s="11"/>
      <c r="AK35" s="12"/>
    </row>
    <row r="36" spans="1:37" x14ac:dyDescent="0.25">
      <c r="J36" s="8"/>
      <c r="T36" s="8" t="s">
        <v>23</v>
      </c>
      <c r="U36" s="13">
        <f>SUM(K35:U35)</f>
        <v>1166.75</v>
      </c>
      <c r="AB36" s="8" t="s">
        <v>23</v>
      </c>
      <c r="AC36" s="13">
        <f>SUM(X35:AC35)</f>
        <v>240</v>
      </c>
      <c r="AJ36" s="8" t="s">
        <v>23</v>
      </c>
      <c r="AK36" s="13">
        <f>SUM(AF35:AK35)</f>
        <v>0</v>
      </c>
    </row>
    <row r="37" spans="1:37"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W37" s="103" t="str">
        <f>J37</f>
        <v>Setembro</v>
      </c>
      <c r="X37" s="103"/>
      <c r="Y37" s="103"/>
      <c r="Z37" s="103"/>
      <c r="AA37" s="103"/>
      <c r="AB37" s="103"/>
      <c r="AC37" s="103"/>
      <c r="AE37" s="104" t="str">
        <f>W37</f>
        <v>Setembro</v>
      </c>
      <c r="AF37" s="104"/>
      <c r="AG37" s="104"/>
      <c r="AH37" s="104"/>
      <c r="AI37" s="104"/>
      <c r="AJ37" s="104"/>
      <c r="AK37" s="104"/>
    </row>
    <row r="38" spans="1:37" ht="15.75" thickBot="1" x14ac:dyDescent="0.3">
      <c r="A38" s="100" t="s">
        <v>5</v>
      </c>
      <c r="B38" s="34" t="s">
        <v>6</v>
      </c>
      <c r="C38" s="22" t="s">
        <v>7</v>
      </c>
      <c r="D38" s="33" t="s">
        <v>8</v>
      </c>
      <c r="E38" s="22" t="s">
        <v>9</v>
      </c>
      <c r="F38" s="24" t="s">
        <v>10</v>
      </c>
      <c r="G38" s="23" t="s">
        <v>11</v>
      </c>
      <c r="H38" s="25" t="s">
        <v>12</v>
      </c>
      <c r="J38" s="6" t="s">
        <v>4</v>
      </c>
      <c r="K38" s="9">
        <v>45538</v>
      </c>
      <c r="L38" s="66">
        <v>45541</v>
      </c>
      <c r="M38" s="66">
        <v>45548</v>
      </c>
      <c r="N38" s="66">
        <v>45560</v>
      </c>
      <c r="O38" s="66">
        <v>45553</v>
      </c>
      <c r="P38" s="4"/>
      <c r="Q38" s="4"/>
      <c r="R38" s="4"/>
      <c r="S38" s="4"/>
      <c r="T38" s="4"/>
      <c r="U38" s="5"/>
      <c r="W38" s="6" t="s">
        <v>4</v>
      </c>
      <c r="X38" s="9">
        <v>45556</v>
      </c>
      <c r="Y38" s="66">
        <v>45563</v>
      </c>
      <c r="Z38" s="4"/>
      <c r="AA38" s="4"/>
      <c r="AB38" s="4"/>
      <c r="AC38" s="5"/>
      <c r="AE38" s="6" t="s">
        <v>4</v>
      </c>
      <c r="AF38" s="9"/>
      <c r="AG38" s="4"/>
      <c r="AH38" s="4"/>
      <c r="AI38" s="4"/>
      <c r="AJ38" s="4"/>
      <c r="AK38" s="5"/>
    </row>
    <row r="39" spans="1:37" ht="15.75" thickBot="1" x14ac:dyDescent="0.3">
      <c r="A39" s="100"/>
      <c r="B39" s="26">
        <v>23047</v>
      </c>
      <c r="C39" s="27"/>
      <c r="D39" s="27"/>
      <c r="E39" s="27">
        <v>25794</v>
      </c>
      <c r="F39" s="27">
        <f>SUM(C39-B39)</f>
        <v>-23047</v>
      </c>
      <c r="G39" s="20">
        <f>SUM(E39-D39)</f>
        <v>25794</v>
      </c>
      <c r="H39" s="21">
        <f>SUM(F39:G39)</f>
        <v>2747</v>
      </c>
      <c r="J39" s="7" t="s">
        <v>22</v>
      </c>
      <c r="K39" s="10">
        <v>219.43</v>
      </c>
      <c r="L39" s="11">
        <v>232.15</v>
      </c>
      <c r="M39" s="11">
        <v>186.33</v>
      </c>
      <c r="N39" s="11">
        <v>192.85</v>
      </c>
      <c r="O39" s="11">
        <v>197.71</v>
      </c>
      <c r="P39" s="11"/>
      <c r="Q39" s="11"/>
      <c r="R39" s="11"/>
      <c r="S39" s="11"/>
      <c r="T39" s="11"/>
      <c r="U39" s="12"/>
      <c r="W39" s="7" t="s">
        <v>22</v>
      </c>
      <c r="X39" s="10">
        <v>80</v>
      </c>
      <c r="Y39" s="11">
        <v>50</v>
      </c>
      <c r="Z39" s="11"/>
      <c r="AA39" s="11"/>
      <c r="AB39" s="11"/>
      <c r="AC39" s="12"/>
      <c r="AE39" s="7" t="s">
        <v>22</v>
      </c>
      <c r="AF39" s="10"/>
      <c r="AG39" s="11"/>
      <c r="AH39" s="11"/>
      <c r="AI39" s="11"/>
      <c r="AJ39" s="11"/>
      <c r="AK39" s="12"/>
    </row>
    <row r="40" spans="1:37" x14ac:dyDescent="0.25">
      <c r="J40" s="8"/>
      <c r="T40" s="8" t="s">
        <v>23</v>
      </c>
      <c r="U40" s="13">
        <f>SUM(K39:U39)</f>
        <v>1028.47</v>
      </c>
      <c r="AB40" s="8" t="s">
        <v>23</v>
      </c>
      <c r="AC40" s="13">
        <f>SUM(X39:AC39)</f>
        <v>130</v>
      </c>
      <c r="AJ40" s="8" t="s">
        <v>23</v>
      </c>
      <c r="AK40" s="13">
        <f>SUM(AF39:AK39)</f>
        <v>0</v>
      </c>
    </row>
    <row r="41" spans="1:37"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W41" s="103" t="str">
        <f>J41</f>
        <v>Outubro</v>
      </c>
      <c r="X41" s="103"/>
      <c r="Y41" s="103"/>
      <c r="Z41" s="103"/>
      <c r="AA41" s="103"/>
      <c r="AB41" s="103"/>
      <c r="AC41" s="103"/>
      <c r="AE41" s="104" t="str">
        <f>W41</f>
        <v>Outubro</v>
      </c>
      <c r="AF41" s="104"/>
      <c r="AG41" s="104"/>
      <c r="AH41" s="104"/>
      <c r="AI41" s="104"/>
      <c r="AJ41" s="104"/>
      <c r="AK41" s="104"/>
    </row>
    <row r="42" spans="1:37" ht="15.75" thickBot="1" x14ac:dyDescent="0.3">
      <c r="A42" s="100" t="s">
        <v>5</v>
      </c>
      <c r="B42" s="34" t="s">
        <v>6</v>
      </c>
      <c r="C42" s="22" t="s">
        <v>7</v>
      </c>
      <c r="D42" s="33" t="s">
        <v>8</v>
      </c>
      <c r="E42" s="22" t="s">
        <v>9</v>
      </c>
      <c r="F42" s="24" t="s">
        <v>10</v>
      </c>
      <c r="G42" s="23" t="s">
        <v>11</v>
      </c>
      <c r="H42" s="25" t="s">
        <v>12</v>
      </c>
      <c r="J42" s="6" t="s">
        <v>4</v>
      </c>
      <c r="K42" s="9">
        <v>45566</v>
      </c>
      <c r="L42" s="66">
        <v>45570</v>
      </c>
      <c r="M42" s="66">
        <v>45577</v>
      </c>
      <c r="N42" s="66">
        <v>45595</v>
      </c>
      <c r="O42" s="66">
        <v>45589</v>
      </c>
      <c r="P42" s="66">
        <v>45583</v>
      </c>
      <c r="Q42" s="4"/>
      <c r="R42" s="4"/>
      <c r="S42" s="4"/>
      <c r="T42" s="4"/>
      <c r="U42" s="5"/>
      <c r="W42" s="6" t="s">
        <v>4</v>
      </c>
      <c r="X42" s="9">
        <v>45569</v>
      </c>
      <c r="Y42" s="4"/>
      <c r="Z42" s="4"/>
      <c r="AA42" s="4"/>
      <c r="AB42" s="4"/>
      <c r="AC42" s="5"/>
      <c r="AE42" s="6" t="s">
        <v>4</v>
      </c>
      <c r="AF42" s="9"/>
      <c r="AG42" s="4"/>
      <c r="AH42" s="4"/>
      <c r="AI42" s="4"/>
      <c r="AJ42" s="4"/>
      <c r="AK42" s="5"/>
    </row>
    <row r="43" spans="1:37" ht="15.75" thickBot="1" x14ac:dyDescent="0.3">
      <c r="A43" s="100"/>
      <c r="B43" s="26">
        <v>25794</v>
      </c>
      <c r="C43" s="27"/>
      <c r="D43" s="27"/>
      <c r="E43" s="27">
        <v>28857</v>
      </c>
      <c r="F43" s="27">
        <f>SUM(C43-B43)</f>
        <v>-25794</v>
      </c>
      <c r="G43" s="20">
        <f>SUM(E43-D43)</f>
        <v>28857</v>
      </c>
      <c r="H43" s="21">
        <f>SUM(F43:G43)</f>
        <v>3063</v>
      </c>
      <c r="J43" s="7" t="s">
        <v>22</v>
      </c>
      <c r="K43" s="10">
        <v>193.62</v>
      </c>
      <c r="L43" s="11">
        <v>161.91999999999999</v>
      </c>
      <c r="M43" s="11">
        <v>269.33999999999997</v>
      </c>
      <c r="N43" s="11">
        <v>233.36</v>
      </c>
      <c r="O43" s="11">
        <v>256.62</v>
      </c>
      <c r="P43" s="11">
        <v>236.43</v>
      </c>
      <c r="Q43" s="11"/>
      <c r="R43" s="11"/>
      <c r="S43" s="11"/>
      <c r="T43" s="11"/>
      <c r="U43" s="12"/>
      <c r="W43" s="7" t="s">
        <v>22</v>
      </c>
      <c r="X43" s="10">
        <v>60</v>
      </c>
      <c r="Y43" s="11"/>
      <c r="Z43" s="11"/>
      <c r="AA43" s="11"/>
      <c r="AB43" s="11"/>
      <c r="AC43" s="12"/>
      <c r="AE43" s="7" t="s">
        <v>22</v>
      </c>
      <c r="AF43" s="10"/>
      <c r="AG43" s="11"/>
      <c r="AH43" s="11"/>
      <c r="AI43" s="11"/>
      <c r="AJ43" s="11"/>
      <c r="AK43" s="12"/>
    </row>
    <row r="44" spans="1:37" x14ac:dyDescent="0.25">
      <c r="J44" s="8"/>
      <c r="T44" s="8" t="s">
        <v>23</v>
      </c>
      <c r="U44" s="13">
        <f>SUM(K43:U43)</f>
        <v>1351.29</v>
      </c>
      <c r="AB44" s="8" t="s">
        <v>23</v>
      </c>
      <c r="AC44" s="13">
        <f>SUM(X43:AC43)</f>
        <v>60</v>
      </c>
      <c r="AJ44" s="8" t="s">
        <v>23</v>
      </c>
      <c r="AK44" s="13">
        <f>SUM(AF43:AK43)</f>
        <v>0</v>
      </c>
    </row>
    <row r="45" spans="1:37"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W45" s="103" t="str">
        <f>J45</f>
        <v>Novembro</v>
      </c>
      <c r="X45" s="103"/>
      <c r="Y45" s="103"/>
      <c r="Z45" s="103"/>
      <c r="AA45" s="103"/>
      <c r="AB45" s="103"/>
      <c r="AC45" s="103"/>
      <c r="AE45" s="104" t="str">
        <f>W45</f>
        <v>Novembro</v>
      </c>
      <c r="AF45" s="104"/>
      <c r="AG45" s="104"/>
      <c r="AH45" s="104"/>
      <c r="AI45" s="104"/>
      <c r="AJ45" s="104"/>
      <c r="AK45" s="104"/>
    </row>
    <row r="46" spans="1:37" ht="15.75" thickBot="1" x14ac:dyDescent="0.3">
      <c r="A46" s="100" t="s">
        <v>5</v>
      </c>
      <c r="B46" s="34" t="s">
        <v>6</v>
      </c>
      <c r="C46" s="22" t="s">
        <v>7</v>
      </c>
      <c r="D46" s="33" t="s">
        <v>8</v>
      </c>
      <c r="E46" s="22" t="s">
        <v>9</v>
      </c>
      <c r="F46" s="24" t="s">
        <v>10</v>
      </c>
      <c r="G46" s="23" t="s">
        <v>11</v>
      </c>
      <c r="H46" s="25" t="s">
        <v>12</v>
      </c>
      <c r="J46" s="6" t="s">
        <v>4</v>
      </c>
      <c r="K46" s="9">
        <v>45602</v>
      </c>
      <c r="L46" s="66">
        <v>45605</v>
      </c>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100"/>
      <c r="B47" s="26"/>
      <c r="C47" s="27"/>
      <c r="D47" s="27">
        <v>29959</v>
      </c>
      <c r="E47" s="27">
        <v>31027</v>
      </c>
      <c r="F47" s="27">
        <f>SUM(C47-B47)</f>
        <v>0</v>
      </c>
      <c r="G47" s="20">
        <f>SUM(E47-D47)</f>
        <v>1068</v>
      </c>
      <c r="H47" s="21">
        <f>SUM(F47:G47)</f>
        <v>1068</v>
      </c>
      <c r="J47" s="7" t="s">
        <v>22</v>
      </c>
      <c r="K47" s="10">
        <v>220.65</v>
      </c>
      <c r="L47" s="11">
        <v>151.83000000000001</v>
      </c>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372.48</v>
      </c>
      <c r="AB48" s="8" t="s">
        <v>23</v>
      </c>
      <c r="AC48" s="13">
        <f>SUM(X47:AC47)</f>
        <v>0</v>
      </c>
      <c r="AJ48" s="8" t="s">
        <v>23</v>
      </c>
      <c r="AK48" s="13">
        <f>SUM(AF47:AK47)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W49" s="103" t="str">
        <f>J49</f>
        <v>Dezembro</v>
      </c>
      <c r="X49" s="103"/>
      <c r="Y49" s="103"/>
      <c r="Z49" s="103"/>
      <c r="AA49" s="103"/>
      <c r="AB49" s="103"/>
      <c r="AC49" s="103"/>
      <c r="AE49" s="104" t="str">
        <f>W49</f>
        <v>Dezembro</v>
      </c>
      <c r="AF49" s="104"/>
      <c r="AG49" s="104"/>
      <c r="AH49" s="104"/>
      <c r="AI49" s="104"/>
      <c r="AJ49" s="104"/>
      <c r="AK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40" ht="15.75" thickBot="1" x14ac:dyDescent="0.3">
      <c r="A51" s="100"/>
      <c r="B51" s="26">
        <v>31027</v>
      </c>
      <c r="C51" s="27">
        <v>32301</v>
      </c>
      <c r="D51" s="27">
        <v>32402</v>
      </c>
      <c r="E51" s="27">
        <v>32643</v>
      </c>
      <c r="F51" s="27">
        <f>SUM(C51-B51)</f>
        <v>1274</v>
      </c>
      <c r="G51" s="20">
        <f>SUM(E51-D51)</f>
        <v>241</v>
      </c>
      <c r="H51" s="21">
        <f>SUM(F51:G51)</f>
        <v>1515</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40" x14ac:dyDescent="0.25">
      <c r="J52" s="8"/>
      <c r="T52" s="8" t="s">
        <v>23</v>
      </c>
      <c r="U52" s="13">
        <f>SUM(K51:U51)</f>
        <v>0</v>
      </c>
      <c r="AB52" s="8" t="s">
        <v>23</v>
      </c>
      <c r="AC52" s="13">
        <f>SUM(X51:AC51)</f>
        <v>0</v>
      </c>
      <c r="AJ52" s="8" t="s">
        <v>23</v>
      </c>
      <c r="AK52" s="13">
        <f>SUM(AF51:AK51)</f>
        <v>0</v>
      </c>
    </row>
    <row r="53" spans="1:40" ht="15.75" thickBot="1" x14ac:dyDescent="0.3">
      <c r="A53" s="83">
        <v>2025</v>
      </c>
      <c r="B53" s="101" t="s">
        <v>142</v>
      </c>
      <c r="C53" s="101"/>
      <c r="D53" s="101"/>
      <c r="E53" s="101"/>
      <c r="F53" s="101"/>
      <c r="G53" s="101"/>
      <c r="H53" s="101"/>
      <c r="J53" s="102" t="s">
        <v>141</v>
      </c>
      <c r="K53" s="102"/>
      <c r="L53" s="102"/>
      <c r="M53" s="102"/>
      <c r="N53" s="102"/>
      <c r="O53" s="102"/>
      <c r="P53" s="102"/>
      <c r="Q53" s="102"/>
      <c r="R53" s="102"/>
      <c r="S53" s="102"/>
      <c r="T53" s="102"/>
      <c r="U53" s="102"/>
      <c r="W53" s="103" t="str">
        <f>J53</f>
        <v>Janeiro</v>
      </c>
      <c r="X53" s="103"/>
      <c r="Y53" s="103"/>
      <c r="Z53" s="103"/>
      <c r="AA53" s="103"/>
      <c r="AB53" s="103"/>
      <c r="AC53" s="103"/>
      <c r="AE53" s="104" t="str">
        <f>W53</f>
        <v>Janeiro</v>
      </c>
      <c r="AF53" s="104"/>
      <c r="AG53" s="104"/>
      <c r="AH53" s="104"/>
      <c r="AI53" s="104"/>
      <c r="AJ53" s="104"/>
      <c r="AK53" s="104"/>
    </row>
    <row r="54" spans="1:40" ht="15.75" thickBot="1" x14ac:dyDescent="0.3">
      <c r="A54" s="100" t="s">
        <v>5</v>
      </c>
      <c r="B54" s="34" t="s">
        <v>6</v>
      </c>
      <c r="C54" s="22" t="s">
        <v>7</v>
      </c>
      <c r="D54" s="33" t="s">
        <v>8</v>
      </c>
      <c r="E54" s="22" t="s">
        <v>9</v>
      </c>
      <c r="F54" s="24" t="s">
        <v>10</v>
      </c>
      <c r="G54" s="23" t="s">
        <v>11</v>
      </c>
      <c r="H54" s="25" t="s">
        <v>12</v>
      </c>
      <c r="J54" s="6" t="s">
        <v>4</v>
      </c>
      <c r="K54" s="9">
        <v>45665</v>
      </c>
      <c r="L54" s="66">
        <v>45668</v>
      </c>
      <c r="M54" s="4"/>
      <c r="N54" s="4"/>
      <c r="O54" s="4"/>
      <c r="P54" s="4"/>
      <c r="Q54" s="4"/>
      <c r="R54" s="4"/>
      <c r="S54" s="4"/>
      <c r="T54" s="4"/>
      <c r="U54" s="5"/>
      <c r="W54" s="6" t="s">
        <v>4</v>
      </c>
      <c r="X54" s="9">
        <v>45668</v>
      </c>
      <c r="Y54" s="66">
        <v>45675</v>
      </c>
      <c r="Z54" s="66">
        <v>45682</v>
      </c>
      <c r="AA54" s="4"/>
      <c r="AB54" s="4"/>
      <c r="AC54" s="5"/>
      <c r="AE54" s="6" t="s">
        <v>4</v>
      </c>
      <c r="AF54" s="9"/>
      <c r="AG54" s="4"/>
      <c r="AH54" s="4"/>
      <c r="AI54" s="4"/>
      <c r="AJ54" s="4"/>
      <c r="AK54" s="5"/>
    </row>
    <row r="55" spans="1:40" ht="15.75" thickBot="1" x14ac:dyDescent="0.3">
      <c r="A55" s="100"/>
      <c r="B55" s="26">
        <v>32643</v>
      </c>
      <c r="C55" s="27">
        <v>33113</v>
      </c>
      <c r="D55" s="27">
        <v>33113</v>
      </c>
      <c r="E55" s="27">
        <v>34172</v>
      </c>
      <c r="F55" s="27">
        <f>SUM(C55-B55)</f>
        <v>470</v>
      </c>
      <c r="G55" s="20">
        <f>SUM(E55-D55)</f>
        <v>1059</v>
      </c>
      <c r="H55" s="21">
        <f>SUM(F55:G55)</f>
        <v>1529</v>
      </c>
      <c r="J55" s="7" t="s">
        <v>22</v>
      </c>
      <c r="K55" s="10">
        <v>234.39</v>
      </c>
      <c r="L55" s="11">
        <v>153.41999999999999</v>
      </c>
      <c r="M55" s="11"/>
      <c r="N55" s="11"/>
      <c r="O55" s="11"/>
      <c r="P55" s="11"/>
      <c r="Q55" s="11"/>
      <c r="R55" s="11"/>
      <c r="S55" s="11"/>
      <c r="T55" s="11"/>
      <c r="U55" s="12"/>
      <c r="W55" s="7" t="s">
        <v>22</v>
      </c>
      <c r="X55" s="10">
        <v>80</v>
      </c>
      <c r="Y55" s="11">
        <v>80</v>
      </c>
      <c r="Z55" s="11">
        <v>80</v>
      </c>
      <c r="AA55" s="11"/>
      <c r="AB55" s="11"/>
      <c r="AC55" s="12"/>
      <c r="AE55" s="7" t="s">
        <v>22</v>
      </c>
      <c r="AF55" s="10"/>
      <c r="AG55" s="11"/>
      <c r="AH55" s="11"/>
      <c r="AI55" s="11"/>
      <c r="AJ55" s="11"/>
      <c r="AK55" s="12"/>
    </row>
    <row r="56" spans="1:40" x14ac:dyDescent="0.25">
      <c r="J56" s="8"/>
      <c r="T56" s="8" t="s">
        <v>23</v>
      </c>
      <c r="U56" s="13">
        <f>SUM(K55:U55)</f>
        <v>387.80999999999995</v>
      </c>
      <c r="AB56" s="8" t="s">
        <v>23</v>
      </c>
      <c r="AC56" s="13">
        <f>SUM(X55:AC55)</f>
        <v>240</v>
      </c>
      <c r="AJ56" s="8" t="s">
        <v>23</v>
      </c>
      <c r="AK56" s="13">
        <f>SUM(AF55:AK55)</f>
        <v>0</v>
      </c>
    </row>
    <row r="57" spans="1:40" ht="15.75" thickBot="1" x14ac:dyDescent="0.3">
      <c r="A57" s="83"/>
      <c r="B57" s="101" t="s">
        <v>3</v>
      </c>
      <c r="C57" s="101"/>
      <c r="D57" s="101"/>
      <c r="E57" s="101"/>
      <c r="F57" s="101"/>
      <c r="G57" s="101"/>
      <c r="H57" s="101"/>
      <c r="J57" s="102" t="s">
        <v>3</v>
      </c>
      <c r="K57" s="102"/>
      <c r="L57" s="102"/>
      <c r="M57" s="102"/>
      <c r="N57" s="102"/>
      <c r="O57" s="102"/>
      <c r="P57" s="102"/>
      <c r="Q57" s="102"/>
      <c r="R57" s="102"/>
      <c r="S57" s="102"/>
      <c r="T57" s="102"/>
      <c r="U57" s="102"/>
      <c r="W57" s="103" t="str">
        <f>J57</f>
        <v>Fevereiro</v>
      </c>
      <c r="X57" s="103"/>
      <c r="Y57" s="103"/>
      <c r="Z57" s="103"/>
      <c r="AA57" s="103"/>
      <c r="AB57" s="103"/>
      <c r="AC57" s="103"/>
    </row>
    <row r="58" spans="1:40" ht="15.75" thickBot="1" x14ac:dyDescent="0.3">
      <c r="A58" s="100" t="s">
        <v>5</v>
      </c>
      <c r="B58" s="34" t="s">
        <v>6</v>
      </c>
      <c r="C58" s="22" t="s">
        <v>7</v>
      </c>
      <c r="D58" s="33" t="s">
        <v>8</v>
      </c>
      <c r="E58" s="22" t="s">
        <v>9</v>
      </c>
      <c r="F58" s="24" t="s">
        <v>10</v>
      </c>
      <c r="G58" s="23" t="s">
        <v>11</v>
      </c>
      <c r="H58" s="25" t="s">
        <v>12</v>
      </c>
      <c r="J58" s="6" t="s">
        <v>4</v>
      </c>
      <c r="K58" s="9">
        <v>45689</v>
      </c>
      <c r="L58" s="66"/>
      <c r="M58" s="4"/>
      <c r="N58" s="4"/>
      <c r="O58" s="4"/>
      <c r="P58" s="4"/>
      <c r="Q58" s="4"/>
      <c r="R58" s="4"/>
      <c r="S58" s="4"/>
      <c r="T58" s="4"/>
      <c r="U58" s="5"/>
      <c r="W58" s="6" t="s">
        <v>4</v>
      </c>
      <c r="X58" s="9"/>
      <c r="Y58" s="4"/>
      <c r="Z58" s="4"/>
      <c r="AA58" s="4"/>
      <c r="AB58" s="4"/>
      <c r="AC58" s="5"/>
    </row>
    <row r="59" spans="1:40" ht="15.75" thickBot="1" x14ac:dyDescent="0.3">
      <c r="A59" s="100"/>
      <c r="B59" s="26">
        <v>34172</v>
      </c>
      <c r="C59" s="27">
        <v>34723</v>
      </c>
      <c r="D59" s="27">
        <v>34723</v>
      </c>
      <c r="E59" s="27">
        <v>34862</v>
      </c>
      <c r="F59" s="27">
        <f>SUM(C59-B59)</f>
        <v>551</v>
      </c>
      <c r="G59" s="20">
        <f>SUM(E59-D59)</f>
        <v>139</v>
      </c>
      <c r="H59" s="21">
        <f>SUM(F59:G59)</f>
        <v>690</v>
      </c>
      <c r="J59" s="7" t="s">
        <v>22</v>
      </c>
      <c r="K59" s="10">
        <v>159.05000000000001</v>
      </c>
      <c r="L59" s="11"/>
      <c r="M59" s="11"/>
      <c r="N59" s="11"/>
      <c r="O59" s="11"/>
      <c r="P59" s="11"/>
      <c r="Q59" s="11"/>
      <c r="R59" s="11"/>
      <c r="S59" s="11"/>
      <c r="T59" s="11"/>
      <c r="U59" s="12"/>
      <c r="W59" s="7" t="s">
        <v>22</v>
      </c>
      <c r="X59" s="10"/>
      <c r="Y59" s="11"/>
      <c r="Z59" s="11"/>
      <c r="AA59" s="11"/>
      <c r="AB59" s="11"/>
      <c r="AC59" s="12"/>
    </row>
    <row r="60" spans="1:40" x14ac:dyDescent="0.25">
      <c r="J60" s="8"/>
      <c r="T60" s="8" t="s">
        <v>23</v>
      </c>
      <c r="U60" s="13">
        <f>SUM(K59:U59)</f>
        <v>159.05000000000001</v>
      </c>
      <c r="AB60" s="8" t="s">
        <v>23</v>
      </c>
      <c r="AC60" s="13">
        <f>SUM(X59:AC59)</f>
        <v>0</v>
      </c>
    </row>
    <row r="61" spans="1:40" ht="15.75" thickBot="1" x14ac:dyDescent="0.3">
      <c r="A61" s="19"/>
      <c r="B61" s="101" t="s">
        <v>13</v>
      </c>
      <c r="C61" s="101"/>
      <c r="D61" s="101"/>
      <c r="E61" s="101"/>
      <c r="F61" s="101"/>
      <c r="G61" s="101"/>
      <c r="H61" s="101"/>
      <c r="J61" s="102" t="s">
        <v>13</v>
      </c>
      <c r="K61" s="102"/>
      <c r="L61" s="102"/>
      <c r="M61" s="102"/>
      <c r="N61" s="102"/>
      <c r="O61" s="102"/>
      <c r="P61" s="102"/>
      <c r="Q61" s="102"/>
      <c r="R61" s="102"/>
      <c r="S61" s="102"/>
      <c r="T61" s="102"/>
      <c r="U61" s="102"/>
      <c r="W61" s="103" t="str">
        <f>J61</f>
        <v>Março</v>
      </c>
      <c r="X61" s="103"/>
      <c r="Y61" s="103"/>
      <c r="Z61" s="103"/>
      <c r="AA61" s="103"/>
      <c r="AB61" s="103"/>
      <c r="AC61" s="103"/>
      <c r="AH61" s="104" t="str">
        <f>W61</f>
        <v>Março</v>
      </c>
      <c r="AI61" s="104"/>
      <c r="AJ61" s="104"/>
      <c r="AK61" s="104"/>
      <c r="AL61" s="104"/>
      <c r="AM61" s="104"/>
      <c r="AN61" s="104"/>
    </row>
    <row r="62" spans="1:40" ht="15.75" thickBot="1" x14ac:dyDescent="0.3">
      <c r="A62" s="100" t="s">
        <v>5</v>
      </c>
      <c r="B62" s="34" t="s">
        <v>6</v>
      </c>
      <c r="C62" s="22" t="s">
        <v>7</v>
      </c>
      <c r="D62" s="33" t="s">
        <v>8</v>
      </c>
      <c r="E62" s="22" t="s">
        <v>9</v>
      </c>
      <c r="F62" s="24" t="s">
        <v>10</v>
      </c>
      <c r="G62" s="23" t="s">
        <v>11</v>
      </c>
      <c r="H62" s="25" t="s">
        <v>12</v>
      </c>
      <c r="J62" s="6" t="s">
        <v>4</v>
      </c>
      <c r="K62" s="9"/>
      <c r="L62" s="4"/>
      <c r="M62" s="4"/>
      <c r="N62" s="4"/>
      <c r="O62" s="4"/>
      <c r="P62" s="4"/>
      <c r="Q62" s="4"/>
      <c r="R62" s="4"/>
      <c r="S62" s="4"/>
      <c r="T62" s="4"/>
      <c r="U62" s="5"/>
      <c r="W62" s="6" t="s">
        <v>4</v>
      </c>
      <c r="X62" s="9">
        <v>45731</v>
      </c>
      <c r="Y62" s="66">
        <v>45737</v>
      </c>
      <c r="Z62" s="4"/>
      <c r="AA62" s="4"/>
      <c r="AB62" s="4"/>
      <c r="AC62" s="5"/>
      <c r="AH62" s="6" t="s">
        <v>4</v>
      </c>
      <c r="AI62" s="9"/>
      <c r="AJ62" s="4"/>
      <c r="AK62" s="4"/>
      <c r="AL62" s="4"/>
      <c r="AM62" s="4"/>
      <c r="AN62" s="5"/>
    </row>
    <row r="63" spans="1:40" ht="15.75" thickBot="1" x14ac:dyDescent="0.3">
      <c r="A63" s="100"/>
      <c r="B63" s="27">
        <v>34862</v>
      </c>
      <c r="C63" s="27">
        <v>36225</v>
      </c>
      <c r="D63" s="27">
        <v>36225</v>
      </c>
      <c r="E63" s="27">
        <v>36461</v>
      </c>
      <c r="F63" s="27">
        <f>SUM(C63-B63)</f>
        <v>1363</v>
      </c>
      <c r="G63" s="20">
        <f>SUM(E63-D63)</f>
        <v>236</v>
      </c>
      <c r="H63" s="21">
        <f>SUM(F63:G63)</f>
        <v>1599</v>
      </c>
      <c r="J63" s="7" t="s">
        <v>22</v>
      </c>
      <c r="K63" s="10"/>
      <c r="L63" s="11"/>
      <c r="M63" s="11"/>
      <c r="N63" s="11"/>
      <c r="O63" s="11"/>
      <c r="P63" s="11"/>
      <c r="Q63" s="11"/>
      <c r="R63" s="11"/>
      <c r="S63" s="11"/>
      <c r="T63" s="11"/>
      <c r="U63" s="12"/>
      <c r="W63" s="7" t="s">
        <v>22</v>
      </c>
      <c r="X63" s="10">
        <v>80</v>
      </c>
      <c r="Y63" s="11">
        <v>80</v>
      </c>
      <c r="Z63" s="11"/>
      <c r="AA63" s="11"/>
      <c r="AB63" s="11"/>
      <c r="AC63" s="12"/>
      <c r="AH63" s="7" t="s">
        <v>22</v>
      </c>
      <c r="AI63" s="10"/>
      <c r="AJ63" s="11"/>
      <c r="AK63" s="11"/>
      <c r="AL63" s="11"/>
      <c r="AM63" s="11"/>
      <c r="AN63" s="12"/>
    </row>
    <row r="64" spans="1:40" x14ac:dyDescent="0.25">
      <c r="J64" s="8"/>
      <c r="T64" s="8" t="s">
        <v>23</v>
      </c>
      <c r="U64" s="13">
        <f>SUM(K63:U63)</f>
        <v>0</v>
      </c>
      <c r="AB64" s="8" t="s">
        <v>23</v>
      </c>
      <c r="AC64" s="13">
        <f>SUM(X63:AC63)</f>
        <v>160</v>
      </c>
      <c r="AM64" s="8" t="s">
        <v>23</v>
      </c>
      <c r="AN64" s="13">
        <f>SUM(AI63:AN63)</f>
        <v>0</v>
      </c>
    </row>
    <row r="65" spans="1:40" ht="15.75" thickBot="1" x14ac:dyDescent="0.3">
      <c r="A65" s="19" t="s">
        <v>181</v>
      </c>
      <c r="B65" s="101" t="s">
        <v>14</v>
      </c>
      <c r="C65" s="101"/>
      <c r="D65" s="101"/>
      <c r="E65" s="101"/>
      <c r="F65" s="101"/>
      <c r="G65" s="101"/>
      <c r="H65" s="101"/>
      <c r="J65" s="102" t="s">
        <v>14</v>
      </c>
      <c r="K65" s="102"/>
      <c r="L65" s="102"/>
      <c r="M65" s="102"/>
      <c r="N65" s="102"/>
      <c r="O65" s="102"/>
      <c r="P65" s="102"/>
      <c r="Q65" s="102"/>
      <c r="R65" s="102"/>
      <c r="S65" s="102"/>
      <c r="T65" s="102"/>
      <c r="U65" s="102"/>
      <c r="W65" s="103" t="str">
        <f>J65</f>
        <v>Abril</v>
      </c>
      <c r="X65" s="103"/>
      <c r="Y65" s="103"/>
      <c r="Z65" s="103"/>
      <c r="AA65" s="103"/>
      <c r="AB65" s="103"/>
      <c r="AC65" s="103"/>
      <c r="AH65" s="104" t="str">
        <f>W65</f>
        <v>Abril</v>
      </c>
      <c r="AI65" s="104"/>
      <c r="AJ65" s="104"/>
      <c r="AK65" s="104"/>
      <c r="AL65" s="104"/>
      <c r="AM65" s="104"/>
      <c r="AN65" s="104"/>
    </row>
    <row r="66" spans="1:40" ht="15.75" thickBot="1" x14ac:dyDescent="0.3">
      <c r="A66" s="100"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W66" s="6" t="s">
        <v>4</v>
      </c>
      <c r="X66" s="9">
        <v>45751</v>
      </c>
      <c r="Y66" s="4"/>
      <c r="Z66" s="4"/>
      <c r="AA66" s="4"/>
      <c r="AB66" s="4"/>
      <c r="AC66" s="5"/>
      <c r="AH66" s="6" t="s">
        <v>4</v>
      </c>
      <c r="AI66" s="9"/>
      <c r="AJ66" s="4"/>
      <c r="AK66" s="4"/>
      <c r="AL66" s="4"/>
      <c r="AM66" s="4"/>
      <c r="AN66" s="5"/>
    </row>
    <row r="67" spans="1:40" ht="15.75" thickBot="1" x14ac:dyDescent="0.3">
      <c r="A67" s="100"/>
      <c r="B67" s="27">
        <v>36461</v>
      </c>
      <c r="C67" s="27">
        <v>36626</v>
      </c>
      <c r="D67" s="27"/>
      <c r="E67" s="27"/>
      <c r="F67" s="27">
        <f>SUM(C67-B67)</f>
        <v>165</v>
      </c>
      <c r="G67" s="20">
        <f>SUM(E67-D67)</f>
        <v>0</v>
      </c>
      <c r="H67" s="21">
        <f>SUM(F67:G67)</f>
        <v>165</v>
      </c>
      <c r="J67" s="7" t="s">
        <v>22</v>
      </c>
      <c r="K67" s="30"/>
      <c r="L67" s="31"/>
      <c r="M67" s="31"/>
      <c r="N67" s="31"/>
      <c r="O67" s="31"/>
      <c r="P67" s="31"/>
      <c r="Q67" s="31"/>
      <c r="R67" s="31"/>
      <c r="S67" s="31"/>
      <c r="T67" s="31"/>
      <c r="U67" s="32"/>
      <c r="W67" s="7" t="s">
        <v>22</v>
      </c>
      <c r="X67" s="10">
        <v>180</v>
      </c>
      <c r="Y67" s="11"/>
      <c r="Z67" s="11"/>
      <c r="AA67" s="11"/>
      <c r="AB67" s="11"/>
      <c r="AC67" s="12"/>
      <c r="AH67" s="7" t="s">
        <v>22</v>
      </c>
      <c r="AI67" s="10"/>
      <c r="AJ67" s="11"/>
      <c r="AK67" s="11"/>
      <c r="AL67" s="11"/>
      <c r="AM67" s="11"/>
      <c r="AN67" s="12"/>
    </row>
    <row r="68" spans="1:40" x14ac:dyDescent="0.25">
      <c r="J68" s="8"/>
      <c r="T68" s="8" t="s">
        <v>23</v>
      </c>
      <c r="U68" s="13">
        <f>SUM(K67:U67)</f>
        <v>0</v>
      </c>
      <c r="AB68" s="8" t="s">
        <v>23</v>
      </c>
      <c r="AC68" s="13">
        <f>SUM(X67:AC67)</f>
        <v>180</v>
      </c>
      <c r="AM68" s="8" t="s">
        <v>23</v>
      </c>
      <c r="AN68" s="13">
        <f>SUM(AI67:AN67)</f>
        <v>0</v>
      </c>
    </row>
  </sheetData>
  <mergeCells count="83">
    <mergeCell ref="B2:C2"/>
    <mergeCell ref="E2:F2"/>
    <mergeCell ref="B4:C4"/>
    <mergeCell ref="E4:F4"/>
    <mergeCell ref="A7:H7"/>
    <mergeCell ref="A14:A15"/>
    <mergeCell ref="W7:AC7"/>
    <mergeCell ref="AE7:AK7"/>
    <mergeCell ref="B9:H9"/>
    <mergeCell ref="J9:U9"/>
    <mergeCell ref="W9:AC9"/>
    <mergeCell ref="AE9:AK9"/>
    <mergeCell ref="J7:U7"/>
    <mergeCell ref="A10:A11"/>
    <mergeCell ref="B13:H13"/>
    <mergeCell ref="J13:U13"/>
    <mergeCell ref="W13:AC13"/>
    <mergeCell ref="AE13:AK13"/>
    <mergeCell ref="D8:E8"/>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E53:AK53"/>
    <mergeCell ref="A54:A5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B57:H57"/>
    <mergeCell ref="J57:U57"/>
    <mergeCell ref="W57:AC57"/>
    <mergeCell ref="A58:A59"/>
    <mergeCell ref="B53:H53"/>
    <mergeCell ref="J53:U53"/>
    <mergeCell ref="W53:AC53"/>
    <mergeCell ref="B61:H61"/>
    <mergeCell ref="J61:U61"/>
    <mergeCell ref="W61:AC61"/>
    <mergeCell ref="AH61:AN61"/>
    <mergeCell ref="A62:A63"/>
    <mergeCell ref="B65:H65"/>
    <mergeCell ref="J65:U65"/>
    <mergeCell ref="W65:AC65"/>
    <mergeCell ref="AH65:AN65"/>
    <mergeCell ref="A66:A67"/>
  </mergeCells>
  <pageMargins left="0.511811024" right="0.511811024" top="0.78740157499999996" bottom="0.78740157499999996" header="0.31496062000000002" footer="0.31496062000000002"/>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53"/>
  <sheetViews>
    <sheetView showGridLines="0" topLeftCell="A16" zoomScaleNormal="100" workbookViewId="0">
      <selection activeCell="I48" sqref="I48"/>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6" width="10.5703125" bestFit="1" customWidth="1"/>
    <col min="21" max="21" width="12.140625" bestFit="1" customWidth="1"/>
    <col min="26" max="26" width="10.42578125" bestFit="1" customWidth="1"/>
    <col min="31" max="31" width="9.5703125" bestFit="1" customWidth="1"/>
    <col min="35" max="35" width="10.42578125" bestFit="1" customWidth="1"/>
    <col min="37" max="39" width="10.140625" bestFit="1" customWidth="1"/>
    <col min="40" max="40" width="10.5703125" bestFit="1" customWidth="1"/>
  </cols>
  <sheetData>
    <row r="2" spans="1:40" x14ac:dyDescent="0.25">
      <c r="A2" t="s">
        <v>0</v>
      </c>
      <c r="B2" s="107" t="s">
        <v>151</v>
      </c>
      <c r="C2" s="107"/>
      <c r="D2" s="1" t="s">
        <v>1</v>
      </c>
      <c r="E2" s="107" t="s">
        <v>152</v>
      </c>
      <c r="F2" s="107"/>
      <c r="H2" t="s">
        <v>173</v>
      </c>
      <c r="I2" s="54" t="s">
        <v>153</v>
      </c>
    </row>
    <row r="3" spans="1:40" x14ac:dyDescent="0.25">
      <c r="A3" t="s">
        <v>148</v>
      </c>
      <c r="B3" s="110">
        <v>45780</v>
      </c>
      <c r="C3" s="107"/>
      <c r="D3" s="1" t="s">
        <v>1</v>
      </c>
      <c r="E3" s="107" t="s">
        <v>185</v>
      </c>
      <c r="F3" s="107"/>
      <c r="H3" t="s">
        <v>184</v>
      </c>
      <c r="I3" s="54" t="s">
        <v>151</v>
      </c>
    </row>
    <row r="4" spans="1:40" x14ac:dyDescent="0.25">
      <c r="F4" s="1"/>
    </row>
    <row r="5" spans="1:40" x14ac:dyDescent="0.25">
      <c r="A5" t="s">
        <v>2</v>
      </c>
      <c r="B5" s="108">
        <v>2512.16</v>
      </c>
      <c r="C5" s="108"/>
      <c r="D5" s="1" t="s">
        <v>29</v>
      </c>
      <c r="E5" s="118">
        <v>40</v>
      </c>
      <c r="F5" s="107"/>
      <c r="H5" s="1" t="s">
        <v>186</v>
      </c>
      <c r="I5" s="116" t="s">
        <v>187</v>
      </c>
      <c r="J5" s="117"/>
    </row>
    <row r="8" spans="1:40" ht="21" x14ac:dyDescent="0.35">
      <c r="A8" s="109" t="s">
        <v>28</v>
      </c>
      <c r="B8" s="109"/>
      <c r="C8" s="109"/>
      <c r="D8" s="109"/>
      <c r="E8" s="109"/>
      <c r="F8" s="109"/>
      <c r="G8" s="109"/>
      <c r="H8" s="109"/>
      <c r="J8" s="106" t="s">
        <v>26</v>
      </c>
      <c r="K8" s="106"/>
      <c r="L8" s="106"/>
      <c r="M8" s="106"/>
      <c r="N8" s="106"/>
      <c r="O8" s="106"/>
      <c r="P8" s="106"/>
      <c r="Q8" s="106"/>
      <c r="R8" s="106"/>
      <c r="S8" s="106"/>
      <c r="T8" s="106"/>
      <c r="U8" s="106"/>
      <c r="V8" s="2"/>
      <c r="W8" s="2"/>
      <c r="X8" s="2"/>
      <c r="Y8" s="105" t="s">
        <v>25</v>
      </c>
      <c r="Z8" s="105"/>
      <c r="AA8" s="105"/>
      <c r="AB8" s="105"/>
      <c r="AC8" s="105"/>
      <c r="AD8" s="105"/>
      <c r="AE8" s="105"/>
      <c r="AF8" s="2"/>
      <c r="AG8" s="2"/>
      <c r="AH8" s="105" t="s">
        <v>27</v>
      </c>
      <c r="AI8" s="105"/>
      <c r="AJ8" s="105"/>
      <c r="AK8" s="105"/>
      <c r="AL8" s="105"/>
      <c r="AM8" s="105"/>
      <c r="AN8" s="105"/>
    </row>
    <row r="9" spans="1:40" s="15" customFormat="1" ht="21" x14ac:dyDescent="0.35">
      <c r="A9" s="14"/>
      <c r="B9" s="14"/>
      <c r="C9" s="14"/>
      <c r="D9" s="14"/>
      <c r="E9" s="14"/>
      <c r="F9" s="14"/>
      <c r="G9" s="14"/>
      <c r="H9" s="14"/>
      <c r="J9" s="16"/>
      <c r="K9" s="16"/>
      <c r="L9" s="16"/>
      <c r="M9" s="16"/>
      <c r="N9" s="16"/>
      <c r="O9" s="16"/>
      <c r="P9" s="16"/>
      <c r="Q9" s="16"/>
      <c r="R9" s="16"/>
      <c r="S9" s="16"/>
      <c r="T9" s="16"/>
      <c r="U9" s="16"/>
      <c r="V9" s="17"/>
      <c r="W9" s="17"/>
      <c r="X9" s="17"/>
      <c r="Y9" s="18"/>
      <c r="Z9" s="18"/>
      <c r="AA9" s="18"/>
      <c r="AB9" s="18"/>
      <c r="AC9" s="18"/>
      <c r="AD9" s="18"/>
      <c r="AE9" s="18"/>
      <c r="AF9" s="17"/>
      <c r="AG9" s="17"/>
      <c r="AH9" s="18"/>
      <c r="AI9" s="18"/>
      <c r="AJ9" s="18"/>
      <c r="AK9" s="18"/>
      <c r="AL9" s="18"/>
      <c r="AM9" s="18"/>
      <c r="AN9" s="18"/>
    </row>
    <row r="10" spans="1:40" ht="15.75" thickBot="1" x14ac:dyDescent="0.3">
      <c r="A10" s="19"/>
      <c r="B10" s="101" t="s">
        <v>3</v>
      </c>
      <c r="C10" s="101"/>
      <c r="D10" s="101"/>
      <c r="E10" s="101"/>
      <c r="F10" s="101"/>
      <c r="G10" s="101"/>
      <c r="H10" s="101"/>
      <c r="J10" s="102" t="s">
        <v>3</v>
      </c>
      <c r="K10" s="102"/>
      <c r="L10" s="102"/>
      <c r="M10" s="102"/>
      <c r="N10" s="102"/>
      <c r="O10" s="102"/>
      <c r="P10" s="102"/>
      <c r="Q10" s="102"/>
      <c r="R10" s="102"/>
      <c r="S10" s="102"/>
      <c r="T10" s="102"/>
      <c r="U10" s="102"/>
      <c r="Y10" s="103" t="s">
        <v>3</v>
      </c>
      <c r="Z10" s="103"/>
      <c r="AA10" s="103"/>
      <c r="AB10" s="103"/>
      <c r="AC10" s="103"/>
      <c r="AD10" s="103"/>
      <c r="AE10" s="103"/>
      <c r="AH10" s="104" t="s">
        <v>3</v>
      </c>
      <c r="AI10" s="104"/>
      <c r="AJ10" s="104"/>
      <c r="AK10" s="104"/>
      <c r="AL10" s="104"/>
      <c r="AM10" s="104"/>
      <c r="AN10" s="104"/>
    </row>
    <row r="11" spans="1:40" ht="15.75" thickBot="1" x14ac:dyDescent="0.3">
      <c r="A11" s="100" t="s">
        <v>5</v>
      </c>
      <c r="B11" s="34" t="s">
        <v>6</v>
      </c>
      <c r="C11" s="22" t="s">
        <v>7</v>
      </c>
      <c r="D11" s="33" t="s">
        <v>8</v>
      </c>
      <c r="E11" s="22" t="s">
        <v>9</v>
      </c>
      <c r="F11" s="24" t="s">
        <v>10</v>
      </c>
      <c r="G11" s="23" t="s">
        <v>11</v>
      </c>
      <c r="H11" s="25" t="s">
        <v>12</v>
      </c>
      <c r="J11" s="28" t="s">
        <v>4</v>
      </c>
      <c r="K11" s="9">
        <v>45691</v>
      </c>
      <c r="L11" s="66">
        <v>45696</v>
      </c>
      <c r="M11" s="66">
        <v>45702</v>
      </c>
      <c r="N11" s="66">
        <v>45709</v>
      </c>
      <c r="O11" s="66">
        <v>45714</v>
      </c>
      <c r="P11" s="4"/>
      <c r="Q11" s="4"/>
      <c r="R11" s="4"/>
      <c r="S11" s="4"/>
      <c r="T11" s="4"/>
      <c r="U11" s="5"/>
      <c r="Y11" s="6" t="s">
        <v>4</v>
      </c>
      <c r="Z11" s="9">
        <v>45695</v>
      </c>
      <c r="AA11" s="4"/>
      <c r="AB11" s="4"/>
      <c r="AC11" s="4"/>
      <c r="AD11" s="4"/>
      <c r="AE11" s="5"/>
      <c r="AH11" s="6" t="s">
        <v>4</v>
      </c>
      <c r="AI11" s="9"/>
      <c r="AJ11" s="4"/>
      <c r="AK11" s="4"/>
      <c r="AL11" s="4"/>
      <c r="AM11" s="4"/>
      <c r="AN11" s="5"/>
    </row>
    <row r="12" spans="1:40" ht="15.75" thickBot="1" x14ac:dyDescent="0.3">
      <c r="A12" s="100"/>
      <c r="B12" s="26">
        <v>8081</v>
      </c>
      <c r="C12" s="27">
        <v>9470</v>
      </c>
      <c r="D12" s="27">
        <v>9470</v>
      </c>
      <c r="E12" s="27">
        <v>10529</v>
      </c>
      <c r="F12" s="27">
        <f>SUM(C12-B12)</f>
        <v>1389</v>
      </c>
      <c r="G12" s="20">
        <f>SUM(E12-D12)</f>
        <v>1059</v>
      </c>
      <c r="H12" s="21">
        <f>SUM(F12:G12)</f>
        <v>2448</v>
      </c>
      <c r="J12" s="29" t="s">
        <v>22</v>
      </c>
      <c r="K12" s="10">
        <v>239.88</v>
      </c>
      <c r="L12" s="11">
        <v>263.67</v>
      </c>
      <c r="M12" s="11">
        <v>231.05</v>
      </c>
      <c r="N12" s="11">
        <v>225.18</v>
      </c>
      <c r="O12" s="11">
        <v>232.5</v>
      </c>
      <c r="P12" s="11"/>
      <c r="Q12" s="11"/>
      <c r="R12" s="11"/>
      <c r="S12" s="11"/>
      <c r="T12" s="11"/>
      <c r="U12" s="12"/>
      <c r="Y12" s="7" t="s">
        <v>22</v>
      </c>
      <c r="Z12" s="10">
        <v>80</v>
      </c>
      <c r="AA12" s="11"/>
      <c r="AB12" s="11"/>
      <c r="AC12" s="11"/>
      <c r="AD12" s="11"/>
      <c r="AE12" s="12"/>
      <c r="AH12" s="7" t="s">
        <v>22</v>
      </c>
      <c r="AI12" s="10"/>
      <c r="AJ12" s="11"/>
      <c r="AK12" s="11"/>
      <c r="AL12" s="11"/>
      <c r="AM12" s="11"/>
      <c r="AN12" s="12"/>
    </row>
    <row r="13" spans="1:40" x14ac:dyDescent="0.25">
      <c r="J13" s="8"/>
      <c r="T13" s="8" t="s">
        <v>23</v>
      </c>
      <c r="U13" s="13">
        <f>SUM(K12:U12)</f>
        <v>1192.28</v>
      </c>
      <c r="AD13" s="8" t="s">
        <v>23</v>
      </c>
      <c r="AE13" s="13">
        <f>SUM(Z12:AE12)</f>
        <v>80</v>
      </c>
      <c r="AM13" s="8" t="s">
        <v>23</v>
      </c>
      <c r="AN13" s="13">
        <f>SUM(AI12:AN12)</f>
        <v>0</v>
      </c>
    </row>
    <row r="14" spans="1:40" ht="15.75" thickBot="1" x14ac:dyDescent="0.3">
      <c r="A14" s="19"/>
      <c r="B14" s="101" t="s">
        <v>13</v>
      </c>
      <c r="C14" s="101"/>
      <c r="D14" s="101"/>
      <c r="E14" s="101"/>
      <c r="F14" s="101"/>
      <c r="G14" s="101"/>
      <c r="H14" s="101"/>
      <c r="J14" s="102" t="s">
        <v>13</v>
      </c>
      <c r="K14" s="102"/>
      <c r="L14" s="102"/>
      <c r="M14" s="102"/>
      <c r="N14" s="102"/>
      <c r="O14" s="102"/>
      <c r="P14" s="102"/>
      <c r="Q14" s="102"/>
      <c r="R14" s="102"/>
      <c r="S14" s="102"/>
      <c r="T14" s="102"/>
      <c r="U14" s="102"/>
      <c r="Y14" s="103" t="str">
        <f>J14</f>
        <v>Março</v>
      </c>
      <c r="Z14" s="103"/>
      <c r="AA14" s="103"/>
      <c r="AB14" s="103"/>
      <c r="AC14" s="103"/>
      <c r="AD14" s="103"/>
      <c r="AE14" s="103"/>
      <c r="AH14" s="104" t="str">
        <f>Y14</f>
        <v>Março</v>
      </c>
      <c r="AI14" s="104"/>
      <c r="AJ14" s="104"/>
      <c r="AK14" s="104"/>
      <c r="AL14" s="104"/>
      <c r="AM14" s="104"/>
      <c r="AN14" s="104"/>
    </row>
    <row r="15" spans="1:40" ht="15.75" thickBot="1" x14ac:dyDescent="0.3">
      <c r="A15" s="100" t="s">
        <v>5</v>
      </c>
      <c r="B15" s="34" t="s">
        <v>6</v>
      </c>
      <c r="C15" s="22" t="s">
        <v>7</v>
      </c>
      <c r="D15" s="33" t="s">
        <v>8</v>
      </c>
      <c r="E15" s="22" t="s">
        <v>9</v>
      </c>
      <c r="F15" s="24" t="s">
        <v>10</v>
      </c>
      <c r="G15" s="23" t="s">
        <v>11</v>
      </c>
      <c r="H15" s="25" t="s">
        <v>12</v>
      </c>
      <c r="J15" s="6" t="s">
        <v>4</v>
      </c>
      <c r="K15" s="9">
        <v>45717</v>
      </c>
      <c r="L15" s="66">
        <v>45721</v>
      </c>
      <c r="M15" s="66">
        <v>45727</v>
      </c>
      <c r="N15" s="66">
        <v>45730</v>
      </c>
      <c r="O15" s="66">
        <v>45736</v>
      </c>
      <c r="P15" s="66">
        <v>45744</v>
      </c>
      <c r="Q15" s="4"/>
      <c r="R15" s="4"/>
      <c r="S15" s="4"/>
      <c r="T15" s="4"/>
      <c r="U15" s="5"/>
      <c r="Y15" s="6" t="s">
        <v>4</v>
      </c>
      <c r="Z15" s="9">
        <v>45738</v>
      </c>
      <c r="AA15" s="4"/>
      <c r="AB15" s="4"/>
      <c r="AC15" s="4"/>
      <c r="AD15" s="4"/>
      <c r="AE15" s="5"/>
      <c r="AH15" s="6" t="s">
        <v>4</v>
      </c>
      <c r="AI15" s="9">
        <v>45722</v>
      </c>
      <c r="AJ15" s="4"/>
      <c r="AK15" s="4"/>
      <c r="AL15" s="4"/>
      <c r="AM15" s="4"/>
      <c r="AN15" s="5"/>
    </row>
    <row r="16" spans="1:40" ht="15.75" thickBot="1" x14ac:dyDescent="0.3">
      <c r="A16" s="100"/>
      <c r="B16" s="27">
        <v>10529</v>
      </c>
      <c r="C16" s="27">
        <v>12028</v>
      </c>
      <c r="D16" s="27">
        <v>12028</v>
      </c>
      <c r="E16" s="27">
        <v>13367</v>
      </c>
      <c r="F16" s="27">
        <f>SUM(C16-B16)</f>
        <v>1499</v>
      </c>
      <c r="G16" s="20">
        <f>SUM(E16-D16)</f>
        <v>1339</v>
      </c>
      <c r="H16" s="21">
        <f>SUM(F16:G16)</f>
        <v>2838</v>
      </c>
      <c r="J16" s="7" t="s">
        <v>22</v>
      </c>
      <c r="K16" s="10">
        <v>216.75</v>
      </c>
      <c r="L16" s="11">
        <v>270.19</v>
      </c>
      <c r="M16" s="11">
        <v>268.74</v>
      </c>
      <c r="N16" s="11">
        <v>235.79</v>
      </c>
      <c r="O16" s="11">
        <v>252.86</v>
      </c>
      <c r="P16" s="11">
        <v>246.93</v>
      </c>
      <c r="Q16" s="11"/>
      <c r="R16" s="11"/>
      <c r="S16" s="11"/>
      <c r="T16" s="11"/>
      <c r="U16" s="12"/>
      <c r="Y16" s="7" t="s">
        <v>22</v>
      </c>
      <c r="Z16" s="10">
        <v>80</v>
      </c>
      <c r="AA16" s="11"/>
      <c r="AB16" s="11"/>
      <c r="AC16" s="11"/>
      <c r="AD16" s="11"/>
      <c r="AE16" s="12"/>
      <c r="AH16" s="7" t="s">
        <v>22</v>
      </c>
      <c r="AI16" s="10">
        <v>140</v>
      </c>
      <c r="AJ16" s="11"/>
      <c r="AK16" s="11"/>
      <c r="AL16" s="11"/>
      <c r="AM16" s="11"/>
      <c r="AN16" s="12"/>
    </row>
    <row r="17" spans="1:40" x14ac:dyDescent="0.25">
      <c r="J17" s="8"/>
      <c r="T17" s="8" t="s">
        <v>23</v>
      </c>
      <c r="U17" s="13">
        <f>SUM(K16:U16)</f>
        <v>1491.26</v>
      </c>
      <c r="AD17" s="8" t="s">
        <v>23</v>
      </c>
      <c r="AE17" s="13">
        <f>SUM(Z16:AE16)</f>
        <v>80</v>
      </c>
      <c r="AM17" s="8" t="s">
        <v>23</v>
      </c>
      <c r="AN17" s="13">
        <f>SUM(AI16:AN16)</f>
        <v>140</v>
      </c>
    </row>
    <row r="18" spans="1:40" ht="15.75" thickBot="1" x14ac:dyDescent="0.3">
      <c r="A18" s="19"/>
      <c r="B18" s="101" t="s">
        <v>14</v>
      </c>
      <c r="C18" s="101"/>
      <c r="D18" s="101"/>
      <c r="E18" s="101"/>
      <c r="F18" s="101"/>
      <c r="G18" s="101"/>
      <c r="H18" s="101"/>
      <c r="J18" s="102" t="s">
        <v>14</v>
      </c>
      <c r="K18" s="102"/>
      <c r="L18" s="102"/>
      <c r="M18" s="102"/>
      <c r="N18" s="102"/>
      <c r="O18" s="102"/>
      <c r="P18" s="102"/>
      <c r="Q18" s="102"/>
      <c r="R18" s="102"/>
      <c r="S18" s="102"/>
      <c r="T18" s="102"/>
      <c r="U18" s="102"/>
      <c r="Y18" s="103" t="str">
        <f>J18</f>
        <v>Abril</v>
      </c>
      <c r="Z18" s="103"/>
      <c r="AA18" s="103"/>
      <c r="AB18" s="103"/>
      <c r="AC18" s="103"/>
      <c r="AD18" s="103"/>
      <c r="AE18" s="103"/>
      <c r="AH18" s="104" t="str">
        <f>Y18</f>
        <v>Abril</v>
      </c>
      <c r="AI18" s="104"/>
      <c r="AJ18" s="104"/>
      <c r="AK18" s="104"/>
      <c r="AL18" s="104"/>
      <c r="AM18" s="104"/>
      <c r="AN18" s="104"/>
    </row>
    <row r="19" spans="1:40" ht="15.75" thickBot="1" x14ac:dyDescent="0.3">
      <c r="A19" s="100" t="s">
        <v>5</v>
      </c>
      <c r="B19" s="34" t="s">
        <v>6</v>
      </c>
      <c r="C19" s="22" t="s">
        <v>7</v>
      </c>
      <c r="D19" s="33" t="s">
        <v>8</v>
      </c>
      <c r="E19" s="22" t="s">
        <v>9</v>
      </c>
      <c r="F19" s="24" t="s">
        <v>10</v>
      </c>
      <c r="G19" s="23" t="s">
        <v>11</v>
      </c>
      <c r="H19" s="25" t="s">
        <v>12</v>
      </c>
      <c r="J19" s="6" t="s">
        <v>4</v>
      </c>
      <c r="K19" s="9">
        <v>45752</v>
      </c>
      <c r="L19" s="66">
        <v>45756</v>
      </c>
      <c r="M19" s="66">
        <v>45761</v>
      </c>
      <c r="N19" s="66">
        <v>45771</v>
      </c>
      <c r="O19" s="66">
        <v>45776</v>
      </c>
      <c r="P19" s="4"/>
      <c r="Q19" s="4"/>
      <c r="R19" s="4"/>
      <c r="S19" s="4"/>
      <c r="T19" s="4"/>
      <c r="U19" s="5"/>
      <c r="Y19" s="6" t="s">
        <v>4</v>
      </c>
      <c r="Z19" s="9">
        <v>45749</v>
      </c>
      <c r="AA19" s="4"/>
      <c r="AB19" s="4"/>
      <c r="AC19" s="4"/>
      <c r="AD19" s="4"/>
      <c r="AE19" s="5"/>
      <c r="AH19" s="6" t="s">
        <v>4</v>
      </c>
      <c r="AI19" s="9"/>
      <c r="AJ19" s="4"/>
      <c r="AK19" s="4"/>
      <c r="AL19" s="4"/>
      <c r="AM19" s="4"/>
      <c r="AN19" s="5"/>
    </row>
    <row r="20" spans="1:40" ht="15.75" thickBot="1" x14ac:dyDescent="0.3">
      <c r="A20" s="100"/>
      <c r="B20" s="27">
        <v>13367</v>
      </c>
      <c r="C20" s="27">
        <v>14792</v>
      </c>
      <c r="D20" s="27">
        <v>14792</v>
      </c>
      <c r="E20" s="27">
        <v>16275</v>
      </c>
      <c r="F20" s="27">
        <f>SUM(C20-B20)</f>
        <v>1425</v>
      </c>
      <c r="G20" s="20">
        <f>SUM(E20-D20)</f>
        <v>1483</v>
      </c>
      <c r="H20" s="21">
        <f>SUM(F20:G20)</f>
        <v>2908</v>
      </c>
      <c r="J20" s="7" t="s">
        <v>22</v>
      </c>
      <c r="K20" s="30">
        <v>263.86</v>
      </c>
      <c r="L20" s="31">
        <v>240.54</v>
      </c>
      <c r="M20" s="31">
        <v>233.29</v>
      </c>
      <c r="N20" s="31">
        <v>205.38</v>
      </c>
      <c r="O20" s="31">
        <v>202.54</v>
      </c>
      <c r="P20" s="31"/>
      <c r="Q20" s="31"/>
      <c r="R20" s="31"/>
      <c r="S20" s="31"/>
      <c r="T20" s="31"/>
      <c r="U20" s="32"/>
      <c r="Y20" s="7" t="s">
        <v>22</v>
      </c>
      <c r="Z20" s="10">
        <v>80</v>
      </c>
      <c r="AA20" s="11"/>
      <c r="AB20" s="11"/>
      <c r="AC20" s="11"/>
      <c r="AD20" s="11"/>
      <c r="AE20" s="12"/>
      <c r="AH20" s="7" t="s">
        <v>22</v>
      </c>
      <c r="AI20" s="10"/>
      <c r="AJ20" s="11"/>
      <c r="AK20" s="11"/>
      <c r="AL20" s="11"/>
      <c r="AM20" s="11"/>
      <c r="AN20" s="12"/>
    </row>
    <row r="21" spans="1:40" x14ac:dyDescent="0.25">
      <c r="J21" s="8"/>
      <c r="T21" s="8" t="s">
        <v>23</v>
      </c>
      <c r="U21" s="13">
        <f>SUM(K20:U20)</f>
        <v>1145.6099999999999</v>
      </c>
      <c r="AD21" s="8" t="s">
        <v>23</v>
      </c>
      <c r="AE21" s="13">
        <f>SUM(Z20:AE20)</f>
        <v>80</v>
      </c>
      <c r="AM21" s="8" t="s">
        <v>23</v>
      </c>
      <c r="AN21" s="13">
        <f>SUM(AI20:AN20)</f>
        <v>0</v>
      </c>
    </row>
    <row r="22" spans="1:40" ht="15.75" thickBot="1" x14ac:dyDescent="0.3">
      <c r="A22" s="19"/>
      <c r="B22" s="101" t="s">
        <v>15</v>
      </c>
      <c r="C22" s="101"/>
      <c r="D22" s="101"/>
      <c r="E22" s="101"/>
      <c r="F22" s="101"/>
      <c r="G22" s="101"/>
      <c r="H22" s="101"/>
      <c r="J22" s="102" t="s">
        <v>15</v>
      </c>
      <c r="K22" s="102"/>
      <c r="L22" s="102"/>
      <c r="M22" s="102"/>
      <c r="N22" s="102"/>
      <c r="O22" s="102"/>
      <c r="P22" s="102"/>
      <c r="Q22" s="102"/>
      <c r="R22" s="102"/>
      <c r="S22" s="102"/>
      <c r="T22" s="102"/>
      <c r="U22" s="102"/>
      <c r="Y22" s="103" t="str">
        <f>J22</f>
        <v>Maio</v>
      </c>
      <c r="Z22" s="103"/>
      <c r="AA22" s="103"/>
      <c r="AB22" s="103"/>
      <c r="AC22" s="103"/>
      <c r="AD22" s="103"/>
      <c r="AE22" s="103"/>
      <c r="AH22" s="104" t="str">
        <f>Y22</f>
        <v>Maio</v>
      </c>
      <c r="AI22" s="104"/>
      <c r="AJ22" s="104"/>
      <c r="AK22" s="104"/>
      <c r="AL22" s="104"/>
      <c r="AM22" s="104"/>
      <c r="AN22" s="104"/>
    </row>
    <row r="23" spans="1:40" ht="15.75" thickBot="1" x14ac:dyDescent="0.3">
      <c r="A23" s="100" t="s">
        <v>5</v>
      </c>
      <c r="B23" s="34" t="s">
        <v>6</v>
      </c>
      <c r="C23" s="22" t="s">
        <v>7</v>
      </c>
      <c r="D23" s="33" t="s">
        <v>8</v>
      </c>
      <c r="E23" s="22" t="s">
        <v>9</v>
      </c>
      <c r="F23" s="24" t="s">
        <v>10</v>
      </c>
      <c r="G23" s="23" t="s">
        <v>11</v>
      </c>
      <c r="H23" s="25" t="s">
        <v>12</v>
      </c>
      <c r="J23" s="6" t="s">
        <v>4</v>
      </c>
      <c r="K23" s="9">
        <v>45778</v>
      </c>
      <c r="L23" s="66">
        <v>45780</v>
      </c>
      <c r="M23" s="66">
        <v>45783</v>
      </c>
      <c r="N23" s="66">
        <v>45787</v>
      </c>
      <c r="O23" s="66">
        <v>45793</v>
      </c>
      <c r="P23" s="66">
        <v>45806</v>
      </c>
      <c r="Q23" s="4"/>
      <c r="R23" s="4"/>
      <c r="S23" s="4"/>
      <c r="T23" s="4"/>
      <c r="U23" s="5"/>
      <c r="Y23" s="6" t="s">
        <v>4</v>
      </c>
      <c r="Z23" s="9"/>
      <c r="AA23" s="4"/>
      <c r="AB23" s="4"/>
      <c r="AC23" s="4"/>
      <c r="AD23" s="4"/>
      <c r="AE23" s="5"/>
      <c r="AH23" s="6" t="s">
        <v>4</v>
      </c>
      <c r="AI23" s="9"/>
      <c r="AJ23" s="4"/>
      <c r="AK23" s="4"/>
      <c r="AL23" s="4"/>
      <c r="AM23" s="4"/>
      <c r="AN23" s="5"/>
    </row>
    <row r="24" spans="1:40" ht="15.75" thickBot="1" x14ac:dyDescent="0.3">
      <c r="A24" s="100"/>
      <c r="B24" s="26">
        <v>14793</v>
      </c>
      <c r="C24" s="27">
        <v>15911</v>
      </c>
      <c r="D24" s="27">
        <v>15911</v>
      </c>
      <c r="E24" s="27">
        <v>16551</v>
      </c>
      <c r="F24" s="27">
        <f>SUM(C24-B24)</f>
        <v>1118</v>
      </c>
      <c r="G24" s="20">
        <f>SUM(E24-D24)</f>
        <v>640</v>
      </c>
      <c r="H24" s="21">
        <f>SUM(F24:G24)</f>
        <v>1758</v>
      </c>
      <c r="J24" s="7" t="s">
        <v>22</v>
      </c>
      <c r="K24" s="10">
        <v>185.15</v>
      </c>
      <c r="L24" s="11">
        <v>52.17</v>
      </c>
      <c r="M24" s="11">
        <v>205.06</v>
      </c>
      <c r="N24" s="11">
        <v>210.65</v>
      </c>
      <c r="O24" s="11">
        <v>183.22</v>
      </c>
      <c r="P24" s="11">
        <v>226</v>
      </c>
      <c r="Q24" s="11"/>
      <c r="R24" s="11"/>
      <c r="S24" s="11"/>
      <c r="T24" s="11"/>
      <c r="U24" s="12"/>
      <c r="Y24" s="7" t="s">
        <v>22</v>
      </c>
      <c r="Z24" s="10"/>
      <c r="AA24" s="11"/>
      <c r="AB24" s="11"/>
      <c r="AC24" s="11"/>
      <c r="AD24" s="11"/>
      <c r="AE24" s="12"/>
      <c r="AH24" s="7" t="s">
        <v>22</v>
      </c>
      <c r="AI24" s="10"/>
      <c r="AJ24" s="11"/>
      <c r="AK24" s="11"/>
      <c r="AL24" s="11"/>
      <c r="AM24" s="11"/>
      <c r="AN24" s="12"/>
    </row>
    <row r="25" spans="1:40" x14ac:dyDescent="0.25">
      <c r="J25" s="8"/>
      <c r="T25" s="8" t="s">
        <v>23</v>
      </c>
      <c r="U25" s="13">
        <f>SUM(K24:U24)</f>
        <v>1062.25</v>
      </c>
      <c r="V25" s="93">
        <v>1062.19</v>
      </c>
      <c r="AD25" s="8" t="s">
        <v>23</v>
      </c>
      <c r="AE25" s="13">
        <f>SUM(Z24:AE24)</f>
        <v>0</v>
      </c>
      <c r="AM25" s="8" t="s">
        <v>23</v>
      </c>
      <c r="AN25" s="13">
        <f>SUM(AI24:AN24)</f>
        <v>0</v>
      </c>
    </row>
    <row r="26" spans="1:40" ht="15.75" thickBot="1" x14ac:dyDescent="0.3">
      <c r="A26" s="19"/>
      <c r="B26" s="101" t="s">
        <v>24</v>
      </c>
      <c r="C26" s="101"/>
      <c r="D26" s="101"/>
      <c r="E26" s="101"/>
      <c r="F26" s="101"/>
      <c r="G26" s="101"/>
      <c r="H26" s="101"/>
      <c r="J26" s="102" t="s">
        <v>24</v>
      </c>
      <c r="K26" s="102"/>
      <c r="L26" s="102"/>
      <c r="M26" s="102"/>
      <c r="N26" s="102"/>
      <c r="O26" s="102"/>
      <c r="P26" s="102"/>
      <c r="Q26" s="102"/>
      <c r="R26" s="102"/>
      <c r="S26" s="102"/>
      <c r="T26" s="102"/>
      <c r="U26" s="102"/>
      <c r="Y26" s="103" t="str">
        <f>J26</f>
        <v>Junho</v>
      </c>
      <c r="Z26" s="103"/>
      <c r="AA26" s="103"/>
      <c r="AB26" s="103"/>
      <c r="AC26" s="103"/>
      <c r="AD26" s="103"/>
      <c r="AE26" s="103"/>
      <c r="AH26" s="104" t="str">
        <f>Y26</f>
        <v>Junho</v>
      </c>
      <c r="AI26" s="104"/>
      <c r="AJ26" s="104"/>
      <c r="AK26" s="104"/>
      <c r="AL26" s="104"/>
      <c r="AM26" s="104"/>
      <c r="AN26" s="104"/>
    </row>
    <row r="27" spans="1:40" ht="15.75" thickBot="1" x14ac:dyDescent="0.3">
      <c r="A27" s="100" t="s">
        <v>5</v>
      </c>
      <c r="B27" s="34" t="s">
        <v>6</v>
      </c>
      <c r="C27" s="22" t="s">
        <v>7</v>
      </c>
      <c r="D27" s="33" t="s">
        <v>8</v>
      </c>
      <c r="E27" s="22" t="s">
        <v>9</v>
      </c>
      <c r="F27" s="24" t="s">
        <v>10</v>
      </c>
      <c r="G27" s="23" t="s">
        <v>11</v>
      </c>
      <c r="H27" s="25" t="s">
        <v>12</v>
      </c>
      <c r="J27" s="6" t="s">
        <v>4</v>
      </c>
      <c r="K27" s="9">
        <v>45818</v>
      </c>
      <c r="L27" s="66">
        <v>45832</v>
      </c>
      <c r="M27" s="4"/>
      <c r="N27" s="4"/>
      <c r="O27" s="4"/>
      <c r="P27" s="4"/>
      <c r="Q27" s="4"/>
      <c r="R27" s="4"/>
      <c r="S27" s="4"/>
      <c r="T27" s="4"/>
      <c r="U27" s="5"/>
      <c r="Y27" s="6" t="s">
        <v>4</v>
      </c>
      <c r="Z27" s="9"/>
      <c r="AA27" s="4"/>
      <c r="AB27" s="4"/>
      <c r="AC27" s="4"/>
      <c r="AD27" s="4"/>
      <c r="AE27" s="5"/>
      <c r="AH27" s="6" t="s">
        <v>4</v>
      </c>
      <c r="AI27" s="9"/>
      <c r="AJ27" s="4"/>
      <c r="AK27" s="4"/>
      <c r="AL27" s="4"/>
      <c r="AM27" s="4"/>
      <c r="AN27" s="5"/>
    </row>
    <row r="28" spans="1:40" ht="15.75" thickBot="1" x14ac:dyDescent="0.3">
      <c r="A28" s="100"/>
      <c r="B28" s="27">
        <v>16551</v>
      </c>
      <c r="C28" s="27">
        <v>16944</v>
      </c>
      <c r="D28" s="27">
        <v>16944</v>
      </c>
      <c r="E28" s="27">
        <v>17470</v>
      </c>
      <c r="F28" s="27">
        <f>SUM(C28-B28)</f>
        <v>393</v>
      </c>
      <c r="G28" s="20">
        <f>SUM(E28-D28)</f>
        <v>526</v>
      </c>
      <c r="H28" s="21">
        <f>SUM(F28:G28)</f>
        <v>919</v>
      </c>
      <c r="J28" s="7" t="s">
        <v>22</v>
      </c>
      <c r="K28" s="10">
        <v>197.05</v>
      </c>
      <c r="L28" s="11">
        <v>244.06</v>
      </c>
      <c r="M28" s="11"/>
      <c r="N28" s="11"/>
      <c r="O28" s="11"/>
      <c r="P28" s="11"/>
      <c r="Q28" s="11"/>
      <c r="R28" s="11"/>
      <c r="S28" s="11"/>
      <c r="T28" s="11"/>
      <c r="U28" s="12"/>
      <c r="Y28" s="7" t="s">
        <v>22</v>
      </c>
      <c r="Z28" s="10"/>
      <c r="AA28" s="11"/>
      <c r="AB28" s="11"/>
      <c r="AC28" s="11"/>
      <c r="AD28" s="11"/>
      <c r="AE28" s="12"/>
      <c r="AH28" s="7" t="s">
        <v>22</v>
      </c>
      <c r="AI28" s="10"/>
      <c r="AJ28" s="11"/>
      <c r="AK28" s="11"/>
      <c r="AL28" s="11"/>
      <c r="AM28" s="11"/>
      <c r="AN28" s="12"/>
    </row>
    <row r="29" spans="1:40" x14ac:dyDescent="0.25">
      <c r="J29" s="8"/>
      <c r="T29" s="8" t="s">
        <v>23</v>
      </c>
      <c r="U29" s="13">
        <f>SUM(K28:U28)</f>
        <v>441.11</v>
      </c>
      <c r="V29" s="94">
        <v>441</v>
      </c>
      <c r="AD29" s="8" t="s">
        <v>23</v>
      </c>
      <c r="AE29" s="13">
        <f>SUM(Z28:AE28)</f>
        <v>0</v>
      </c>
      <c r="AM29" s="8" t="s">
        <v>23</v>
      </c>
      <c r="AN29" s="13">
        <f>SUM(AI28:AN28)</f>
        <v>0</v>
      </c>
    </row>
    <row r="30" spans="1:40" ht="15.75" thickBot="1" x14ac:dyDescent="0.3">
      <c r="A30" s="19"/>
      <c r="B30" s="101" t="s">
        <v>16</v>
      </c>
      <c r="C30" s="101"/>
      <c r="D30" s="101"/>
      <c r="E30" s="101"/>
      <c r="F30" s="101"/>
      <c r="G30" s="101"/>
      <c r="H30" s="101"/>
      <c r="J30" s="102" t="s">
        <v>16</v>
      </c>
      <c r="K30" s="102"/>
      <c r="L30" s="102"/>
      <c r="M30" s="102"/>
      <c r="N30" s="102"/>
      <c r="O30" s="102"/>
      <c r="P30" s="102"/>
      <c r="Q30" s="102"/>
      <c r="R30" s="102"/>
      <c r="S30" s="102"/>
      <c r="T30" s="102"/>
      <c r="U30" s="102"/>
      <c r="Y30" s="103" t="str">
        <f>J30</f>
        <v>Julho</v>
      </c>
      <c r="Z30" s="103"/>
      <c r="AA30" s="103"/>
      <c r="AB30" s="103"/>
      <c r="AC30" s="103"/>
      <c r="AD30" s="103"/>
      <c r="AE30" s="103"/>
      <c r="AH30" s="104" t="str">
        <f>Y30</f>
        <v>Julho</v>
      </c>
      <c r="AI30" s="104"/>
      <c r="AJ30" s="104"/>
      <c r="AK30" s="104"/>
      <c r="AL30" s="104"/>
      <c r="AM30" s="104"/>
      <c r="AN30" s="104"/>
    </row>
    <row r="31" spans="1:40" ht="15.75" thickBot="1" x14ac:dyDescent="0.3">
      <c r="A31" s="100" t="s">
        <v>5</v>
      </c>
      <c r="B31" s="34" t="s">
        <v>6</v>
      </c>
      <c r="C31" s="22" t="s">
        <v>7</v>
      </c>
      <c r="D31" s="33" t="s">
        <v>8</v>
      </c>
      <c r="E31" s="22" t="s">
        <v>9</v>
      </c>
      <c r="F31" s="24" t="s">
        <v>10</v>
      </c>
      <c r="G31" s="23" t="s">
        <v>11</v>
      </c>
      <c r="H31" s="25" t="s">
        <v>12</v>
      </c>
      <c r="J31" s="6" t="s">
        <v>4</v>
      </c>
      <c r="K31" s="9">
        <v>45853</v>
      </c>
      <c r="L31" s="66">
        <v>45861</v>
      </c>
      <c r="M31" s="4"/>
      <c r="N31" s="4"/>
      <c r="O31" s="4"/>
      <c r="P31" s="4"/>
      <c r="Q31" s="4"/>
      <c r="R31" s="4"/>
      <c r="S31" s="4"/>
      <c r="T31" s="4"/>
      <c r="U31" s="5"/>
      <c r="Y31" s="6" t="s">
        <v>4</v>
      </c>
      <c r="Z31" s="9"/>
      <c r="AA31" s="4"/>
      <c r="AB31" s="4"/>
      <c r="AC31" s="4"/>
      <c r="AD31" s="4"/>
      <c r="AE31" s="5"/>
      <c r="AH31" s="6" t="s">
        <v>4</v>
      </c>
      <c r="AI31" s="9"/>
      <c r="AJ31" s="4"/>
      <c r="AK31" s="4"/>
      <c r="AL31" s="4"/>
      <c r="AM31" s="4"/>
      <c r="AN31" s="5"/>
    </row>
    <row r="32" spans="1:40" ht="15.75" thickBot="1" x14ac:dyDescent="0.3">
      <c r="A32" s="100"/>
      <c r="B32" s="27">
        <v>17470</v>
      </c>
      <c r="C32" s="27">
        <v>18282</v>
      </c>
      <c r="D32" s="27">
        <v>18282</v>
      </c>
      <c r="E32" s="27">
        <v>18711</v>
      </c>
      <c r="F32" s="27">
        <f>SUM(C32-B32)</f>
        <v>812</v>
      </c>
      <c r="G32" s="20">
        <f>SUM(E32-D32)</f>
        <v>429</v>
      </c>
      <c r="H32" s="21">
        <f>SUM(F32:G32)</f>
        <v>1241</v>
      </c>
      <c r="J32" s="7" t="s">
        <v>22</v>
      </c>
      <c r="K32" s="10">
        <v>236</v>
      </c>
      <c r="L32" s="11">
        <v>117.8</v>
      </c>
      <c r="M32" s="11"/>
      <c r="N32" s="11"/>
      <c r="O32" s="11"/>
      <c r="P32" s="11"/>
      <c r="Q32" s="11"/>
      <c r="R32" s="11"/>
      <c r="S32" s="11"/>
      <c r="T32" s="11"/>
      <c r="U32" s="12"/>
      <c r="Y32" s="7" t="s">
        <v>22</v>
      </c>
      <c r="Z32" s="10"/>
      <c r="AA32" s="11"/>
      <c r="AB32" s="11"/>
      <c r="AC32" s="11"/>
      <c r="AD32" s="11"/>
      <c r="AE32" s="12"/>
      <c r="AH32" s="7" t="s">
        <v>22</v>
      </c>
      <c r="AI32" s="10"/>
      <c r="AJ32" s="11"/>
      <c r="AK32" s="11"/>
      <c r="AL32" s="11"/>
      <c r="AM32" s="11"/>
      <c r="AN32" s="12"/>
    </row>
    <row r="33" spans="1:40" x14ac:dyDescent="0.25">
      <c r="J33" s="8"/>
      <c r="T33" s="8" t="s">
        <v>23</v>
      </c>
      <c r="U33" s="13">
        <f>SUM(K32:U32)</f>
        <v>353.8</v>
      </c>
      <c r="AD33" s="8" t="s">
        <v>23</v>
      </c>
      <c r="AE33" s="13">
        <f>SUM(Z32:AE32)</f>
        <v>0</v>
      </c>
      <c r="AM33" s="8" t="s">
        <v>23</v>
      </c>
      <c r="AN33" s="13">
        <f>SUM(AI32:AN32)</f>
        <v>0</v>
      </c>
    </row>
    <row r="34" spans="1:40" ht="15.75" thickBot="1" x14ac:dyDescent="0.3">
      <c r="A34" s="19"/>
      <c r="B34" s="101" t="s">
        <v>17</v>
      </c>
      <c r="C34" s="101"/>
      <c r="D34" s="101"/>
      <c r="E34" s="101"/>
      <c r="F34" s="101"/>
      <c r="G34" s="101"/>
      <c r="H34" s="101"/>
      <c r="J34" s="102" t="s">
        <v>17</v>
      </c>
      <c r="K34" s="102"/>
      <c r="L34" s="102"/>
      <c r="M34" s="102"/>
      <c r="N34" s="102"/>
      <c r="O34" s="102"/>
      <c r="P34" s="102"/>
      <c r="Q34" s="102"/>
      <c r="R34" s="102"/>
      <c r="S34" s="102"/>
      <c r="T34" s="102"/>
      <c r="U34" s="102"/>
      <c r="Y34" s="103" t="str">
        <f>J34</f>
        <v>Agosto</v>
      </c>
      <c r="Z34" s="103"/>
      <c r="AA34" s="103"/>
      <c r="AB34" s="103"/>
      <c r="AC34" s="103"/>
      <c r="AD34" s="103"/>
      <c r="AE34" s="103"/>
      <c r="AH34" s="104" t="str">
        <f>Y34</f>
        <v>Agosto</v>
      </c>
      <c r="AI34" s="104"/>
      <c r="AJ34" s="104"/>
      <c r="AK34" s="104"/>
      <c r="AL34" s="104"/>
      <c r="AM34" s="104"/>
      <c r="AN34" s="104"/>
    </row>
    <row r="35" spans="1:40" ht="15.75" thickBot="1" x14ac:dyDescent="0.3">
      <c r="A35" s="100" t="s">
        <v>5</v>
      </c>
      <c r="B35" s="34" t="s">
        <v>6</v>
      </c>
      <c r="C35" s="22" t="s">
        <v>7</v>
      </c>
      <c r="D35" s="33" t="s">
        <v>8</v>
      </c>
      <c r="E35" s="22" t="s">
        <v>9</v>
      </c>
      <c r="F35" s="24" t="s">
        <v>10</v>
      </c>
      <c r="G35" s="23" t="s">
        <v>11</v>
      </c>
      <c r="H35" s="25" t="s">
        <v>12</v>
      </c>
      <c r="J35" s="6" t="s">
        <v>4</v>
      </c>
      <c r="K35" s="9"/>
      <c r="L35" s="4"/>
      <c r="M35" s="4"/>
      <c r="N35" s="4"/>
      <c r="O35" s="4"/>
      <c r="P35" s="4"/>
      <c r="Q35" s="4"/>
      <c r="R35" s="4"/>
      <c r="S35" s="4"/>
      <c r="T35" s="4"/>
      <c r="U35" s="5"/>
      <c r="Y35" s="6" t="s">
        <v>4</v>
      </c>
      <c r="Z35" s="9"/>
      <c r="AA35" s="4"/>
      <c r="AB35" s="4"/>
      <c r="AC35" s="4"/>
      <c r="AD35" s="4"/>
      <c r="AE35" s="5"/>
      <c r="AH35" s="6" t="s">
        <v>4</v>
      </c>
      <c r="AI35" s="9"/>
      <c r="AJ35" s="4"/>
      <c r="AK35" s="4"/>
      <c r="AL35" s="4"/>
      <c r="AM35" s="4"/>
      <c r="AN35" s="5"/>
    </row>
    <row r="36" spans="1:40" ht="15.75" thickBot="1" x14ac:dyDescent="0.3">
      <c r="A36" s="100"/>
      <c r="B36" s="26"/>
      <c r="C36" s="27"/>
      <c r="D36" s="27"/>
      <c r="E36" s="27"/>
      <c r="F36" s="27">
        <f>SUM(C36-B36)</f>
        <v>0</v>
      </c>
      <c r="G36" s="20">
        <f>SUM(E36-D36)</f>
        <v>0</v>
      </c>
      <c r="H36" s="21">
        <f>SUM(F36:G36)</f>
        <v>0</v>
      </c>
      <c r="J36" s="7" t="s">
        <v>22</v>
      </c>
      <c r="K36" s="10"/>
      <c r="L36" s="11"/>
      <c r="M36" s="11"/>
      <c r="N36" s="11"/>
      <c r="O36" s="11"/>
      <c r="P36" s="11"/>
      <c r="Q36" s="11"/>
      <c r="R36" s="11"/>
      <c r="S36" s="11"/>
      <c r="T36" s="11"/>
      <c r="U36" s="12"/>
      <c r="Y36" s="7" t="s">
        <v>22</v>
      </c>
      <c r="Z36" s="10"/>
      <c r="AA36" s="11"/>
      <c r="AB36" s="11"/>
      <c r="AC36" s="11"/>
      <c r="AD36" s="11"/>
      <c r="AE36" s="12"/>
      <c r="AH36" s="7" t="s">
        <v>22</v>
      </c>
      <c r="AI36" s="10"/>
      <c r="AJ36" s="11"/>
      <c r="AK36" s="11"/>
      <c r="AL36" s="11"/>
      <c r="AM36" s="11"/>
      <c r="AN36" s="12"/>
    </row>
    <row r="37" spans="1:40" x14ac:dyDescent="0.25">
      <c r="J37" s="8"/>
      <c r="T37" s="8" t="s">
        <v>23</v>
      </c>
      <c r="U37" s="13">
        <f>SUM(K36:U36)</f>
        <v>0</v>
      </c>
      <c r="AD37" s="8" t="s">
        <v>23</v>
      </c>
      <c r="AE37" s="13">
        <f>SUM(Z36:AE36)</f>
        <v>0</v>
      </c>
      <c r="AM37" s="8" t="s">
        <v>23</v>
      </c>
      <c r="AN37" s="13">
        <f>SUM(AI36:AN36)</f>
        <v>0</v>
      </c>
    </row>
    <row r="38" spans="1:40" ht="15.75" thickBot="1" x14ac:dyDescent="0.3">
      <c r="A38" s="19"/>
      <c r="B38" s="101" t="s">
        <v>18</v>
      </c>
      <c r="C38" s="101"/>
      <c r="D38" s="101"/>
      <c r="E38" s="101"/>
      <c r="F38" s="101"/>
      <c r="G38" s="101"/>
      <c r="H38" s="101"/>
      <c r="J38" s="102" t="s">
        <v>18</v>
      </c>
      <c r="K38" s="102"/>
      <c r="L38" s="102"/>
      <c r="M38" s="102"/>
      <c r="N38" s="102"/>
      <c r="O38" s="102"/>
      <c r="P38" s="102"/>
      <c r="Q38" s="102"/>
      <c r="R38" s="102"/>
      <c r="S38" s="102"/>
      <c r="T38" s="102"/>
      <c r="U38" s="102"/>
      <c r="Y38" s="103" t="str">
        <f>J38</f>
        <v>Setembro</v>
      </c>
      <c r="Z38" s="103"/>
      <c r="AA38" s="103"/>
      <c r="AB38" s="103"/>
      <c r="AC38" s="103"/>
      <c r="AD38" s="103"/>
      <c r="AE38" s="103"/>
      <c r="AH38" s="104" t="str">
        <f>Y38</f>
        <v>Setembro</v>
      </c>
      <c r="AI38" s="104"/>
      <c r="AJ38" s="104"/>
      <c r="AK38" s="104"/>
      <c r="AL38" s="104"/>
      <c r="AM38" s="104"/>
      <c r="AN38" s="104"/>
    </row>
    <row r="39" spans="1:40" ht="15.75" thickBot="1" x14ac:dyDescent="0.3">
      <c r="A39" s="100" t="s">
        <v>5</v>
      </c>
      <c r="B39" s="34" t="s">
        <v>6</v>
      </c>
      <c r="C39" s="22" t="s">
        <v>7</v>
      </c>
      <c r="D39" s="33" t="s">
        <v>8</v>
      </c>
      <c r="E39" s="22" t="s">
        <v>9</v>
      </c>
      <c r="F39" s="24" t="s">
        <v>10</v>
      </c>
      <c r="G39" s="23" t="s">
        <v>11</v>
      </c>
      <c r="H39" s="25" t="s">
        <v>12</v>
      </c>
      <c r="J39" s="6" t="s">
        <v>4</v>
      </c>
      <c r="K39" s="9"/>
      <c r="L39" s="4"/>
      <c r="M39" s="4"/>
      <c r="N39" s="4"/>
      <c r="O39" s="4"/>
      <c r="P39" s="4"/>
      <c r="Q39" s="4"/>
      <c r="R39" s="4"/>
      <c r="S39" s="4"/>
      <c r="T39" s="4"/>
      <c r="U39" s="5"/>
      <c r="Y39" s="6" t="s">
        <v>4</v>
      </c>
      <c r="Z39" s="9"/>
      <c r="AA39" s="4"/>
      <c r="AB39" s="4"/>
      <c r="AC39" s="4"/>
      <c r="AD39" s="4"/>
      <c r="AE39" s="5"/>
      <c r="AH39" s="6" t="s">
        <v>4</v>
      </c>
      <c r="AI39" s="9"/>
      <c r="AJ39" s="4"/>
      <c r="AK39" s="4"/>
      <c r="AL39" s="4"/>
      <c r="AM39" s="4"/>
      <c r="AN39" s="5"/>
    </row>
    <row r="40" spans="1:40" ht="15.75" thickBot="1" x14ac:dyDescent="0.3">
      <c r="A40" s="100"/>
      <c r="B40" s="26"/>
      <c r="C40" s="27"/>
      <c r="D40" s="27"/>
      <c r="E40" s="27"/>
      <c r="F40" s="27">
        <f>SUM(C40-B40)</f>
        <v>0</v>
      </c>
      <c r="G40" s="20">
        <f>SUM(E40-D40)</f>
        <v>0</v>
      </c>
      <c r="H40" s="21">
        <f>SUM(F40:G40)</f>
        <v>0</v>
      </c>
      <c r="J40" s="7" t="s">
        <v>22</v>
      </c>
      <c r="K40" s="10"/>
      <c r="L40" s="11"/>
      <c r="M40" s="11"/>
      <c r="N40" s="11"/>
      <c r="O40" s="11"/>
      <c r="P40" s="11"/>
      <c r="Q40" s="11"/>
      <c r="R40" s="11"/>
      <c r="S40" s="11"/>
      <c r="T40" s="11"/>
      <c r="U40" s="12"/>
      <c r="Y40" s="7" t="s">
        <v>22</v>
      </c>
      <c r="Z40" s="10"/>
      <c r="AA40" s="11"/>
      <c r="AB40" s="11"/>
      <c r="AC40" s="11"/>
      <c r="AD40" s="11"/>
      <c r="AE40" s="12"/>
      <c r="AH40" s="7" t="s">
        <v>22</v>
      </c>
      <c r="AI40" s="10"/>
      <c r="AJ40" s="11"/>
      <c r="AK40" s="11"/>
      <c r="AL40" s="11"/>
      <c r="AM40" s="11"/>
      <c r="AN40" s="12"/>
    </row>
    <row r="41" spans="1:40" x14ac:dyDescent="0.25">
      <c r="J41" s="8"/>
      <c r="T41" s="8" t="s">
        <v>23</v>
      </c>
      <c r="U41" s="13">
        <f>SUM(K40:U40)</f>
        <v>0</v>
      </c>
      <c r="AD41" s="8" t="s">
        <v>23</v>
      </c>
      <c r="AE41" s="13">
        <f>SUM(Z40:AE40)</f>
        <v>0</v>
      </c>
      <c r="AM41" s="8" t="s">
        <v>23</v>
      </c>
      <c r="AN41" s="13">
        <f>SUM(AI40:AN40)</f>
        <v>0</v>
      </c>
    </row>
    <row r="42" spans="1:40" ht="15.75" thickBot="1" x14ac:dyDescent="0.3">
      <c r="A42" s="19"/>
      <c r="B42" s="101" t="s">
        <v>19</v>
      </c>
      <c r="C42" s="101"/>
      <c r="D42" s="101"/>
      <c r="E42" s="101"/>
      <c r="F42" s="101"/>
      <c r="G42" s="101"/>
      <c r="H42" s="101"/>
      <c r="J42" s="102" t="s">
        <v>19</v>
      </c>
      <c r="K42" s="102"/>
      <c r="L42" s="102"/>
      <c r="M42" s="102"/>
      <c r="N42" s="102"/>
      <c r="O42" s="102"/>
      <c r="P42" s="102"/>
      <c r="Q42" s="102"/>
      <c r="R42" s="102"/>
      <c r="S42" s="102"/>
      <c r="T42" s="102"/>
      <c r="U42" s="102"/>
      <c r="Y42" s="103" t="str">
        <f>J42</f>
        <v>Outubro</v>
      </c>
      <c r="Z42" s="103"/>
      <c r="AA42" s="103"/>
      <c r="AB42" s="103"/>
      <c r="AC42" s="103"/>
      <c r="AD42" s="103"/>
      <c r="AE42" s="103"/>
      <c r="AH42" s="104" t="str">
        <f>Y42</f>
        <v>Outubro</v>
      </c>
      <c r="AI42" s="104"/>
      <c r="AJ42" s="104"/>
      <c r="AK42" s="104"/>
      <c r="AL42" s="104"/>
      <c r="AM42" s="104"/>
      <c r="AN42" s="104"/>
    </row>
    <row r="43" spans="1:40" ht="15.75" thickBot="1" x14ac:dyDescent="0.3">
      <c r="A43" s="100" t="s">
        <v>5</v>
      </c>
      <c r="B43" s="34" t="s">
        <v>6</v>
      </c>
      <c r="C43" s="22" t="s">
        <v>7</v>
      </c>
      <c r="D43" s="33" t="s">
        <v>8</v>
      </c>
      <c r="E43" s="22" t="s">
        <v>9</v>
      </c>
      <c r="F43" s="24" t="s">
        <v>10</v>
      </c>
      <c r="G43" s="23" t="s">
        <v>11</v>
      </c>
      <c r="H43" s="25" t="s">
        <v>12</v>
      </c>
      <c r="J43" s="6" t="s">
        <v>4</v>
      </c>
      <c r="K43" s="9"/>
      <c r="L43" s="4"/>
      <c r="M43" s="4"/>
      <c r="N43" s="4"/>
      <c r="O43" s="4"/>
      <c r="P43" s="4"/>
      <c r="Q43" s="4"/>
      <c r="R43" s="4"/>
      <c r="S43" s="4"/>
      <c r="T43" s="4"/>
      <c r="U43" s="5"/>
      <c r="Y43" s="6" t="s">
        <v>4</v>
      </c>
      <c r="Z43" s="9"/>
      <c r="AA43" s="4"/>
      <c r="AB43" s="4"/>
      <c r="AC43" s="4"/>
      <c r="AD43" s="4"/>
      <c r="AE43" s="5"/>
      <c r="AH43" s="6" t="s">
        <v>4</v>
      </c>
      <c r="AI43" s="9"/>
      <c r="AJ43" s="4"/>
      <c r="AK43" s="4"/>
      <c r="AL43" s="4"/>
      <c r="AM43" s="4"/>
      <c r="AN43" s="5"/>
    </row>
    <row r="44" spans="1:40" ht="15.75" thickBot="1" x14ac:dyDescent="0.3">
      <c r="A44" s="100"/>
      <c r="B44" s="26"/>
      <c r="C44" s="27"/>
      <c r="D44" s="27"/>
      <c r="E44" s="27"/>
      <c r="F44" s="27">
        <f>SUM(C44-B44)</f>
        <v>0</v>
      </c>
      <c r="G44" s="20">
        <f>SUM(E44-D44)</f>
        <v>0</v>
      </c>
      <c r="H44" s="21">
        <f>SUM(F44:G44)</f>
        <v>0</v>
      </c>
      <c r="J44" s="7" t="s">
        <v>22</v>
      </c>
      <c r="K44" s="10"/>
      <c r="L44" s="11"/>
      <c r="M44" s="11"/>
      <c r="N44" s="11"/>
      <c r="O44" s="11"/>
      <c r="P44" s="11"/>
      <c r="Q44" s="11"/>
      <c r="R44" s="11"/>
      <c r="S44" s="11"/>
      <c r="T44" s="11"/>
      <c r="U44" s="12"/>
      <c r="Y44" s="7" t="s">
        <v>22</v>
      </c>
      <c r="Z44" s="10"/>
      <c r="AA44" s="11"/>
      <c r="AB44" s="11"/>
      <c r="AC44" s="11"/>
      <c r="AD44" s="11"/>
      <c r="AE44" s="12"/>
      <c r="AH44" s="7" t="s">
        <v>22</v>
      </c>
      <c r="AI44" s="10"/>
      <c r="AJ44" s="11"/>
      <c r="AK44" s="11"/>
      <c r="AL44" s="11"/>
      <c r="AM44" s="11"/>
      <c r="AN44" s="12"/>
    </row>
    <row r="45" spans="1:40" x14ac:dyDescent="0.25">
      <c r="J45" s="8"/>
      <c r="T45" s="8" t="s">
        <v>23</v>
      </c>
      <c r="U45" s="13">
        <f>SUM(K44:U44)</f>
        <v>0</v>
      </c>
      <c r="AD45" s="8" t="s">
        <v>23</v>
      </c>
      <c r="AE45" s="13">
        <f>SUM(Z44:AE44)</f>
        <v>0</v>
      </c>
      <c r="AM45" s="8" t="s">
        <v>23</v>
      </c>
      <c r="AN45" s="13">
        <f>SUM(AI44:AN44)</f>
        <v>0</v>
      </c>
    </row>
    <row r="46" spans="1:40" ht="15.75" thickBot="1" x14ac:dyDescent="0.3">
      <c r="A46" s="19"/>
      <c r="B46" s="101" t="s">
        <v>20</v>
      </c>
      <c r="C46" s="101"/>
      <c r="D46" s="101"/>
      <c r="E46" s="101"/>
      <c r="F46" s="101"/>
      <c r="G46" s="101"/>
      <c r="H46" s="101"/>
      <c r="J46" s="102" t="s">
        <v>20</v>
      </c>
      <c r="K46" s="102"/>
      <c r="L46" s="102"/>
      <c r="M46" s="102"/>
      <c r="N46" s="102"/>
      <c r="O46" s="102"/>
      <c r="P46" s="102"/>
      <c r="Q46" s="102"/>
      <c r="R46" s="102"/>
      <c r="S46" s="102"/>
      <c r="T46" s="102"/>
      <c r="U46" s="102"/>
      <c r="Y46" s="103" t="str">
        <f>J46</f>
        <v>Novembro</v>
      </c>
      <c r="Z46" s="103"/>
      <c r="AA46" s="103"/>
      <c r="AB46" s="103"/>
      <c r="AC46" s="103"/>
      <c r="AD46" s="103"/>
      <c r="AE46" s="103"/>
      <c r="AH46" s="104" t="str">
        <f>Y46</f>
        <v>Novembro</v>
      </c>
      <c r="AI46" s="104"/>
      <c r="AJ46" s="104"/>
      <c r="AK46" s="104"/>
      <c r="AL46" s="104"/>
      <c r="AM46" s="104"/>
      <c r="AN46" s="104"/>
    </row>
    <row r="47" spans="1:40" ht="15.75" thickBot="1" x14ac:dyDescent="0.3">
      <c r="A47" s="100" t="s">
        <v>5</v>
      </c>
      <c r="B47" s="34" t="s">
        <v>6</v>
      </c>
      <c r="C47" s="22" t="s">
        <v>7</v>
      </c>
      <c r="D47" s="33" t="s">
        <v>8</v>
      </c>
      <c r="E47" s="22" t="s">
        <v>9</v>
      </c>
      <c r="F47" s="24" t="s">
        <v>10</v>
      </c>
      <c r="G47" s="23" t="s">
        <v>11</v>
      </c>
      <c r="H47" s="25" t="s">
        <v>12</v>
      </c>
      <c r="J47" s="6" t="s">
        <v>4</v>
      </c>
      <c r="K47" s="9"/>
      <c r="L47" s="4"/>
      <c r="M47" s="4"/>
      <c r="N47" s="4"/>
      <c r="O47" s="4"/>
      <c r="P47" s="4"/>
      <c r="Q47" s="4"/>
      <c r="R47" s="4"/>
      <c r="S47" s="4"/>
      <c r="T47" s="4"/>
      <c r="U47" s="5"/>
      <c r="Y47" s="6" t="s">
        <v>4</v>
      </c>
      <c r="Z47" s="9"/>
      <c r="AA47" s="4"/>
      <c r="AB47" s="4"/>
      <c r="AC47" s="4"/>
      <c r="AD47" s="4"/>
      <c r="AE47" s="5"/>
      <c r="AH47" s="6" t="s">
        <v>4</v>
      </c>
      <c r="AI47" s="9"/>
      <c r="AJ47" s="4"/>
      <c r="AK47" s="4"/>
      <c r="AL47" s="4"/>
      <c r="AM47" s="4"/>
      <c r="AN47" s="5"/>
    </row>
    <row r="48" spans="1:40" ht="15.75" thickBot="1" x14ac:dyDescent="0.3">
      <c r="A48" s="100"/>
      <c r="B48" s="26"/>
      <c r="C48" s="27"/>
      <c r="D48" s="27"/>
      <c r="E48" s="27"/>
      <c r="F48" s="27">
        <f>SUM(C48-B48)</f>
        <v>0</v>
      </c>
      <c r="G48" s="20">
        <f>SUM(E48-D48)</f>
        <v>0</v>
      </c>
      <c r="H48" s="21">
        <f>SUM(F48:G48)</f>
        <v>0</v>
      </c>
      <c r="J48" s="7" t="s">
        <v>22</v>
      </c>
      <c r="K48" s="10"/>
      <c r="L48" s="11"/>
      <c r="M48" s="11"/>
      <c r="N48" s="11"/>
      <c r="O48" s="11"/>
      <c r="P48" s="11"/>
      <c r="Q48" s="11"/>
      <c r="R48" s="11"/>
      <c r="S48" s="11"/>
      <c r="T48" s="11"/>
      <c r="U48" s="12"/>
      <c r="Y48" s="7" t="s">
        <v>22</v>
      </c>
      <c r="Z48" s="10"/>
      <c r="AA48" s="11"/>
      <c r="AB48" s="11"/>
      <c r="AC48" s="11"/>
      <c r="AD48" s="11"/>
      <c r="AE48" s="12"/>
      <c r="AH48" s="7" t="s">
        <v>22</v>
      </c>
      <c r="AI48" s="10"/>
      <c r="AJ48" s="11"/>
      <c r="AK48" s="11"/>
      <c r="AL48" s="11"/>
      <c r="AM48" s="11"/>
      <c r="AN48" s="12"/>
    </row>
    <row r="49" spans="1:40" x14ac:dyDescent="0.25">
      <c r="J49" s="8"/>
      <c r="T49" s="8" t="s">
        <v>23</v>
      </c>
      <c r="U49" s="13">
        <f>SUM(K48:U48)</f>
        <v>0</v>
      </c>
      <c r="AD49" s="8" t="s">
        <v>23</v>
      </c>
      <c r="AE49" s="13">
        <f>SUM(Z48:AE48)</f>
        <v>0</v>
      </c>
      <c r="AM49" s="8" t="s">
        <v>23</v>
      </c>
      <c r="AN49" s="13">
        <f>SUM(AI48:AN48)</f>
        <v>0</v>
      </c>
    </row>
    <row r="50" spans="1:40" ht="15.75" thickBot="1" x14ac:dyDescent="0.3">
      <c r="A50" s="19"/>
      <c r="B50" s="101" t="s">
        <v>21</v>
      </c>
      <c r="C50" s="101"/>
      <c r="D50" s="101"/>
      <c r="E50" s="101"/>
      <c r="F50" s="101"/>
      <c r="G50" s="101"/>
      <c r="H50" s="101"/>
      <c r="J50" s="102" t="s">
        <v>21</v>
      </c>
      <c r="K50" s="102"/>
      <c r="L50" s="102"/>
      <c r="M50" s="102"/>
      <c r="N50" s="102"/>
      <c r="O50" s="102"/>
      <c r="P50" s="102"/>
      <c r="Q50" s="102"/>
      <c r="R50" s="102"/>
      <c r="S50" s="102"/>
      <c r="T50" s="102"/>
      <c r="U50" s="102"/>
      <c r="Y50" s="103" t="str">
        <f>J50</f>
        <v>Dezembro</v>
      </c>
      <c r="Z50" s="103"/>
      <c r="AA50" s="103"/>
      <c r="AB50" s="103"/>
      <c r="AC50" s="103"/>
      <c r="AD50" s="103"/>
      <c r="AE50" s="103"/>
      <c r="AH50" s="104" t="str">
        <f>Y50</f>
        <v>Dezembro</v>
      </c>
      <c r="AI50" s="104"/>
      <c r="AJ50" s="104"/>
      <c r="AK50" s="104"/>
      <c r="AL50" s="104"/>
      <c r="AM50" s="104"/>
      <c r="AN50" s="104"/>
    </row>
    <row r="51" spans="1:40" ht="15.75" thickBot="1" x14ac:dyDescent="0.3">
      <c r="A51" s="100" t="s">
        <v>5</v>
      </c>
      <c r="B51" s="34" t="s">
        <v>6</v>
      </c>
      <c r="C51" s="22" t="s">
        <v>7</v>
      </c>
      <c r="D51" s="33" t="s">
        <v>8</v>
      </c>
      <c r="E51" s="22" t="s">
        <v>9</v>
      </c>
      <c r="F51" s="24" t="s">
        <v>10</v>
      </c>
      <c r="G51" s="23" t="s">
        <v>11</v>
      </c>
      <c r="H51" s="25" t="s">
        <v>12</v>
      </c>
      <c r="J51" s="6" t="s">
        <v>4</v>
      </c>
      <c r="K51" s="9"/>
      <c r="L51" s="4"/>
      <c r="M51" s="4"/>
      <c r="N51" s="4"/>
      <c r="O51" s="4"/>
      <c r="P51" s="4"/>
      <c r="Q51" s="4"/>
      <c r="R51" s="4"/>
      <c r="S51" s="4"/>
      <c r="T51" s="4"/>
      <c r="U51" s="5"/>
      <c r="Y51" s="6" t="s">
        <v>4</v>
      </c>
      <c r="Z51" s="9"/>
      <c r="AA51" s="4"/>
      <c r="AB51" s="4"/>
      <c r="AC51" s="4"/>
      <c r="AD51" s="4"/>
      <c r="AE51" s="5"/>
      <c r="AH51" s="6" t="s">
        <v>4</v>
      </c>
      <c r="AI51" s="9"/>
      <c r="AJ51" s="4"/>
      <c r="AK51" s="4"/>
      <c r="AL51" s="4"/>
      <c r="AM51" s="4"/>
      <c r="AN51" s="5"/>
    </row>
    <row r="52" spans="1:40" ht="15.75" thickBot="1" x14ac:dyDescent="0.3">
      <c r="A52" s="100"/>
      <c r="B52" s="26"/>
      <c r="C52" s="27"/>
      <c r="D52" s="27"/>
      <c r="E52" s="27"/>
      <c r="F52" s="27">
        <f>SUM(C52-B52)</f>
        <v>0</v>
      </c>
      <c r="G52" s="20">
        <f>SUM(E52-D52)</f>
        <v>0</v>
      </c>
      <c r="H52" s="21">
        <f>SUM(F52:G52)</f>
        <v>0</v>
      </c>
      <c r="J52" s="7" t="s">
        <v>22</v>
      </c>
      <c r="K52" s="10"/>
      <c r="L52" s="11"/>
      <c r="M52" s="11"/>
      <c r="N52" s="11"/>
      <c r="O52" s="11"/>
      <c r="P52" s="11"/>
      <c r="Q52" s="11"/>
      <c r="R52" s="11"/>
      <c r="S52" s="11"/>
      <c r="T52" s="11"/>
      <c r="U52" s="12"/>
      <c r="Y52" s="7" t="s">
        <v>22</v>
      </c>
      <c r="Z52" s="10"/>
      <c r="AA52" s="11"/>
      <c r="AB52" s="11"/>
      <c r="AC52" s="11"/>
      <c r="AD52" s="11"/>
      <c r="AE52" s="12"/>
      <c r="AH52" s="7" t="s">
        <v>22</v>
      </c>
      <c r="AI52" s="10"/>
      <c r="AJ52" s="11"/>
      <c r="AK52" s="11"/>
      <c r="AL52" s="11"/>
      <c r="AM52" s="11"/>
      <c r="AN52" s="12"/>
    </row>
    <row r="53" spans="1:40" x14ac:dyDescent="0.25">
      <c r="J53" s="8"/>
      <c r="T53" s="8" t="s">
        <v>23</v>
      </c>
      <c r="U53" s="13">
        <f>SUM(K52:U52)</f>
        <v>0</v>
      </c>
      <c r="AD53" s="8" t="s">
        <v>23</v>
      </c>
      <c r="AE53" s="13">
        <f>SUM(Z52:AE52)</f>
        <v>0</v>
      </c>
      <c r="AM53" s="8" t="s">
        <v>23</v>
      </c>
      <c r="AN53" s="13">
        <f>SUM(AI52:AN52)</f>
        <v>0</v>
      </c>
    </row>
  </sheetData>
  <mergeCells count="66">
    <mergeCell ref="B2:C2"/>
    <mergeCell ref="E2:F2"/>
    <mergeCell ref="B5:C5"/>
    <mergeCell ref="E5:F5"/>
    <mergeCell ref="A8:H8"/>
    <mergeCell ref="B3:C3"/>
    <mergeCell ref="E3:F3"/>
    <mergeCell ref="Y26:AE26"/>
    <mergeCell ref="AH26:AN26"/>
    <mergeCell ref="A15:A16"/>
    <mergeCell ref="Y8:AE8"/>
    <mergeCell ref="AH8:AN8"/>
    <mergeCell ref="B10:H10"/>
    <mergeCell ref="J10:U10"/>
    <mergeCell ref="Y10:AE10"/>
    <mergeCell ref="AH10:AN10"/>
    <mergeCell ref="J8:U8"/>
    <mergeCell ref="A11:A12"/>
    <mergeCell ref="B14:H14"/>
    <mergeCell ref="J14:U14"/>
    <mergeCell ref="Y14:AE14"/>
    <mergeCell ref="AH14:AN14"/>
    <mergeCell ref="AH18:AN18"/>
    <mergeCell ref="A19:A20"/>
    <mergeCell ref="B22:H22"/>
    <mergeCell ref="J22:U22"/>
    <mergeCell ref="Y22:AE22"/>
    <mergeCell ref="AH22:AN22"/>
    <mergeCell ref="AH50:AN50"/>
    <mergeCell ref="A39:A40"/>
    <mergeCell ref="B30:H30"/>
    <mergeCell ref="J30:U30"/>
    <mergeCell ref="Y30:AE30"/>
    <mergeCell ref="AH30:AN30"/>
    <mergeCell ref="A31:A32"/>
    <mergeCell ref="B34:H34"/>
    <mergeCell ref="J34:U34"/>
    <mergeCell ref="Y34:AE34"/>
    <mergeCell ref="AH34:AN34"/>
    <mergeCell ref="A35:A36"/>
    <mergeCell ref="B38:H38"/>
    <mergeCell ref="J38:U38"/>
    <mergeCell ref="Y38:AE38"/>
    <mergeCell ref="AH38:AN38"/>
    <mergeCell ref="AH42:AN42"/>
    <mergeCell ref="A43:A44"/>
    <mergeCell ref="B46:H46"/>
    <mergeCell ref="J46:U46"/>
    <mergeCell ref="Y46:AE46"/>
    <mergeCell ref="AH46:AN46"/>
    <mergeCell ref="I5:J5"/>
    <mergeCell ref="A51:A52"/>
    <mergeCell ref="B42:H42"/>
    <mergeCell ref="J42:U42"/>
    <mergeCell ref="Y42:AE42"/>
    <mergeCell ref="A47:A48"/>
    <mergeCell ref="B50:H50"/>
    <mergeCell ref="J50:U50"/>
    <mergeCell ref="Y50:AE50"/>
    <mergeCell ref="A27:A28"/>
    <mergeCell ref="B18:H18"/>
    <mergeCell ref="J18:U18"/>
    <mergeCell ref="Y18:AE18"/>
    <mergeCell ref="A23:A24"/>
    <mergeCell ref="B26:H26"/>
    <mergeCell ref="J26:U26"/>
  </mergeCells>
  <phoneticPr fontId="3" type="noConversion"/>
  <pageMargins left="0.511811024" right="0.511811024" top="0.78740157499999996" bottom="0.78740157499999996" header="0.31496062000000002" footer="0.31496062000000002"/>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N79"/>
  <sheetViews>
    <sheetView showGridLines="0" topLeftCell="A73" workbookViewId="0">
      <selection activeCell="G83" sqref="G8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6" width="10.42578125" bestFit="1" customWidth="1"/>
    <col min="21" max="21" width="12.140625" bestFit="1" customWidth="1"/>
    <col min="26" max="30" width="10.42578125" bestFit="1" customWidth="1"/>
    <col min="31" max="31" width="10.5703125" bestFit="1" customWidth="1"/>
    <col min="35" max="35" width="10.42578125" bestFit="1" customWidth="1"/>
    <col min="37" max="39" width="10.140625" bestFit="1" customWidth="1"/>
  </cols>
  <sheetData>
    <row r="2" spans="1:40" x14ac:dyDescent="0.25">
      <c r="A2" t="s">
        <v>0</v>
      </c>
      <c r="B2" s="107" t="s">
        <v>65</v>
      </c>
      <c r="C2" s="107"/>
      <c r="D2" s="1" t="s">
        <v>1</v>
      </c>
      <c r="E2" s="107" t="s">
        <v>101</v>
      </c>
      <c r="F2" s="107"/>
      <c r="H2" t="s">
        <v>45</v>
      </c>
      <c r="I2" s="54">
        <v>5325</v>
      </c>
    </row>
    <row r="3" spans="1:40" x14ac:dyDescent="0.25">
      <c r="A3" t="s">
        <v>155</v>
      </c>
      <c r="B3" s="87">
        <v>45619</v>
      </c>
      <c r="C3" s="84"/>
      <c r="D3" s="1" t="s">
        <v>1</v>
      </c>
      <c r="E3" s="84"/>
      <c r="F3" s="84" t="s">
        <v>157</v>
      </c>
      <c r="I3" s="54"/>
    </row>
    <row r="4" spans="1:40" x14ac:dyDescent="0.25">
      <c r="A4" t="s">
        <v>158</v>
      </c>
      <c r="B4" s="110">
        <v>45640</v>
      </c>
      <c r="C4" s="107"/>
      <c r="D4" s="1" t="s">
        <v>1</v>
      </c>
      <c r="E4" s="107" t="s">
        <v>159</v>
      </c>
      <c r="F4" s="107"/>
      <c r="H4" t="s">
        <v>149</v>
      </c>
      <c r="I4" s="67">
        <v>45653</v>
      </c>
    </row>
    <row r="5" spans="1:40" x14ac:dyDescent="0.25">
      <c r="A5" t="s">
        <v>155</v>
      </c>
      <c r="B5" s="110">
        <v>45653</v>
      </c>
      <c r="C5" s="107"/>
      <c r="D5" s="1" t="s">
        <v>1</v>
      </c>
      <c r="E5" s="107" t="s">
        <v>156</v>
      </c>
      <c r="F5" s="107"/>
      <c r="H5" t="s">
        <v>149</v>
      </c>
      <c r="I5" s="67">
        <v>45712</v>
      </c>
    </row>
    <row r="6" spans="1:40" x14ac:dyDescent="0.25">
      <c r="A6" t="s">
        <v>161</v>
      </c>
      <c r="B6" s="119">
        <v>45712</v>
      </c>
      <c r="C6" s="120"/>
      <c r="D6" s="1" t="s">
        <v>1</v>
      </c>
      <c r="E6" s="120" t="s">
        <v>160</v>
      </c>
      <c r="F6" s="120"/>
      <c r="H6" t="s">
        <v>149</v>
      </c>
      <c r="I6" s="67">
        <v>45762</v>
      </c>
    </row>
    <row r="7" spans="1:40" x14ac:dyDescent="0.25">
      <c r="A7" t="s">
        <v>2</v>
      </c>
      <c r="B7" s="108">
        <v>2363</v>
      </c>
      <c r="C7" s="108"/>
      <c r="D7" s="1" t="s">
        <v>29</v>
      </c>
      <c r="E7" s="118">
        <v>40</v>
      </c>
      <c r="F7" s="107"/>
      <c r="H7" t="s">
        <v>64</v>
      </c>
      <c r="I7" s="67">
        <v>45439</v>
      </c>
    </row>
    <row r="10" spans="1:40" ht="21" x14ac:dyDescent="0.35">
      <c r="A10" s="109" t="s">
        <v>28</v>
      </c>
      <c r="B10" s="109"/>
      <c r="C10" s="109"/>
      <c r="D10" s="109"/>
      <c r="E10" s="109"/>
      <c r="F10" s="109"/>
      <c r="G10" s="109"/>
      <c r="H10" s="109"/>
      <c r="J10" s="106" t="s">
        <v>26</v>
      </c>
      <c r="K10" s="106"/>
      <c r="L10" s="106"/>
      <c r="M10" s="106"/>
      <c r="N10" s="106"/>
      <c r="O10" s="106"/>
      <c r="P10" s="106"/>
      <c r="Q10" s="106"/>
      <c r="R10" s="106"/>
      <c r="S10" s="106"/>
      <c r="T10" s="106"/>
      <c r="U10" s="106"/>
      <c r="V10" s="2"/>
      <c r="W10" s="2"/>
      <c r="X10" s="2"/>
      <c r="Y10" s="105" t="s">
        <v>25</v>
      </c>
      <c r="Z10" s="105"/>
      <c r="AA10" s="105"/>
      <c r="AB10" s="105"/>
      <c r="AC10" s="105"/>
      <c r="AD10" s="105"/>
      <c r="AE10" s="105"/>
      <c r="AF10" s="2"/>
      <c r="AG10" s="2"/>
      <c r="AH10" s="105" t="s">
        <v>27</v>
      </c>
      <c r="AI10" s="105"/>
      <c r="AJ10" s="105"/>
      <c r="AK10" s="105"/>
      <c r="AL10" s="105"/>
      <c r="AM10" s="105"/>
      <c r="AN10" s="105"/>
    </row>
    <row r="11" spans="1:40" s="15" customFormat="1" ht="21" x14ac:dyDescent="0.35">
      <c r="A11" s="14"/>
      <c r="B11" s="14"/>
      <c r="C11" s="14"/>
      <c r="D11" s="14"/>
      <c r="E11" s="14"/>
      <c r="F11" s="14"/>
      <c r="G11" s="14"/>
      <c r="H11" s="14"/>
      <c r="J11" s="16"/>
      <c r="K11" s="16"/>
      <c r="L11" s="16"/>
      <c r="M11" s="16"/>
      <c r="N11" s="16"/>
      <c r="O11" s="16"/>
      <c r="P11" s="16"/>
      <c r="Q11" s="16"/>
      <c r="R11" s="16"/>
      <c r="S11" s="16"/>
      <c r="T11" s="16"/>
      <c r="U11" s="16"/>
      <c r="V11" s="17"/>
      <c r="W11" s="17"/>
      <c r="X11" s="17"/>
      <c r="Y11" s="18"/>
      <c r="Z11" s="18"/>
      <c r="AA11" s="18"/>
      <c r="AB11" s="18"/>
      <c r="AC11" s="18"/>
      <c r="AD11" s="18"/>
      <c r="AE11" s="18"/>
      <c r="AF11" s="17"/>
      <c r="AG11" s="17"/>
      <c r="AH11" s="18"/>
      <c r="AI11" s="18"/>
      <c r="AJ11" s="18"/>
      <c r="AK11" s="18"/>
      <c r="AL11" s="18"/>
      <c r="AM11" s="18"/>
      <c r="AN11" s="18"/>
    </row>
    <row r="12" spans="1:40" ht="15.75" thickBot="1" x14ac:dyDescent="0.3">
      <c r="A12" s="19"/>
      <c r="B12" s="101" t="s">
        <v>3</v>
      </c>
      <c r="C12" s="101"/>
      <c r="D12" s="101"/>
      <c r="E12" s="101"/>
      <c r="F12" s="101"/>
      <c r="G12" s="101"/>
      <c r="H12" s="101"/>
      <c r="J12" s="102" t="s">
        <v>3</v>
      </c>
      <c r="K12" s="102"/>
      <c r="L12" s="102"/>
      <c r="M12" s="102"/>
      <c r="N12" s="102"/>
      <c r="O12" s="102"/>
      <c r="P12" s="102"/>
      <c r="Q12" s="102"/>
      <c r="R12" s="102"/>
      <c r="S12" s="102"/>
      <c r="T12" s="102"/>
      <c r="U12" s="102"/>
      <c r="Y12" s="103" t="s">
        <v>3</v>
      </c>
      <c r="Z12" s="103"/>
      <c r="AA12" s="103"/>
      <c r="AB12" s="103"/>
      <c r="AC12" s="103"/>
      <c r="AD12" s="103"/>
      <c r="AE12" s="103"/>
      <c r="AH12" s="104" t="s">
        <v>3</v>
      </c>
      <c r="AI12" s="104"/>
      <c r="AJ12" s="104"/>
      <c r="AK12" s="104"/>
      <c r="AL12" s="104"/>
      <c r="AM12" s="104"/>
      <c r="AN12" s="104"/>
    </row>
    <row r="13" spans="1:40" ht="15.75" thickBot="1" x14ac:dyDescent="0.3">
      <c r="A13" s="100" t="s">
        <v>5</v>
      </c>
      <c r="B13" s="34" t="s">
        <v>6</v>
      </c>
      <c r="C13" s="22" t="s">
        <v>7</v>
      </c>
      <c r="D13" s="33" t="s">
        <v>8</v>
      </c>
      <c r="E13" s="22" t="s">
        <v>9</v>
      </c>
      <c r="F13" s="24" t="s">
        <v>10</v>
      </c>
      <c r="G13" s="23" t="s">
        <v>11</v>
      </c>
      <c r="H13" s="25" t="s">
        <v>12</v>
      </c>
      <c r="J13" s="28" t="s">
        <v>4</v>
      </c>
      <c r="K13" s="9"/>
      <c r="L13" s="4"/>
      <c r="M13" s="4"/>
      <c r="N13" s="4"/>
      <c r="O13" s="4"/>
      <c r="P13" s="4"/>
      <c r="Q13" s="4"/>
      <c r="R13" s="4"/>
      <c r="S13" s="4"/>
      <c r="T13" s="4"/>
      <c r="U13" s="5"/>
      <c r="Y13" s="6" t="s">
        <v>4</v>
      </c>
      <c r="Z13" s="9"/>
      <c r="AA13" s="4"/>
      <c r="AB13" s="4"/>
      <c r="AC13" s="4"/>
      <c r="AD13" s="4"/>
      <c r="AE13" s="5"/>
      <c r="AH13" s="6" t="s">
        <v>4</v>
      </c>
      <c r="AI13" s="9"/>
      <c r="AJ13" s="4"/>
      <c r="AK13" s="4"/>
      <c r="AL13" s="4"/>
      <c r="AM13" s="4"/>
      <c r="AN13" s="5"/>
    </row>
    <row r="14" spans="1:40" ht="15.75" thickBot="1" x14ac:dyDescent="0.3">
      <c r="A14" s="100"/>
      <c r="B14" s="26"/>
      <c r="C14" s="27"/>
      <c r="D14" s="27"/>
      <c r="E14" s="27"/>
      <c r="F14" s="27">
        <f>SUM(C14-B14)</f>
        <v>0</v>
      </c>
      <c r="G14" s="20">
        <f>SUM(E14-D14)</f>
        <v>0</v>
      </c>
      <c r="H14" s="21">
        <f>SUM(F14:G14)</f>
        <v>0</v>
      </c>
      <c r="J14" s="29" t="s">
        <v>22</v>
      </c>
      <c r="K14" s="10"/>
      <c r="L14" s="11"/>
      <c r="M14" s="11"/>
      <c r="N14" s="11"/>
      <c r="O14" s="11"/>
      <c r="P14" s="11"/>
      <c r="Q14" s="11"/>
      <c r="R14" s="11"/>
      <c r="S14" s="11"/>
      <c r="T14" s="11"/>
      <c r="U14" s="12"/>
      <c r="Y14" s="7" t="s">
        <v>22</v>
      </c>
      <c r="Z14" s="10"/>
      <c r="AA14" s="11"/>
      <c r="AB14" s="11"/>
      <c r="AC14" s="11"/>
      <c r="AD14" s="11"/>
      <c r="AE14" s="12"/>
      <c r="AH14" s="7" t="s">
        <v>22</v>
      </c>
      <c r="AI14" s="10"/>
      <c r="AJ14" s="11"/>
      <c r="AK14" s="11"/>
      <c r="AL14" s="11"/>
      <c r="AM14" s="11"/>
      <c r="AN14" s="12"/>
    </row>
    <row r="15" spans="1:40" x14ac:dyDescent="0.25">
      <c r="J15" s="8"/>
      <c r="T15" s="8" t="s">
        <v>23</v>
      </c>
      <c r="U15" s="13">
        <f>SUM(K14:U14)</f>
        <v>0</v>
      </c>
      <c r="AD15" s="8" t="s">
        <v>23</v>
      </c>
      <c r="AE15" s="13">
        <f>SUM(Z14:AE14)</f>
        <v>0</v>
      </c>
      <c r="AM15" s="8" t="s">
        <v>23</v>
      </c>
      <c r="AN15" s="13">
        <f>SUM(AI14:AN14)</f>
        <v>0</v>
      </c>
    </row>
    <row r="16" spans="1:40" ht="15.75" thickBot="1" x14ac:dyDescent="0.3">
      <c r="A16" s="19"/>
      <c r="B16" s="101" t="s">
        <v>13</v>
      </c>
      <c r="C16" s="101"/>
      <c r="D16" s="101"/>
      <c r="E16" s="101"/>
      <c r="F16" s="101"/>
      <c r="G16" s="101"/>
      <c r="H16" s="101"/>
      <c r="J16" s="102" t="s">
        <v>13</v>
      </c>
      <c r="K16" s="102"/>
      <c r="L16" s="102"/>
      <c r="M16" s="102"/>
      <c r="N16" s="102"/>
      <c r="O16" s="102"/>
      <c r="P16" s="102"/>
      <c r="Q16" s="102"/>
      <c r="R16" s="102"/>
      <c r="S16" s="102"/>
      <c r="T16" s="102"/>
      <c r="U16" s="102"/>
      <c r="Y16" s="103" t="str">
        <f>J16</f>
        <v>Março</v>
      </c>
      <c r="Z16" s="103"/>
      <c r="AA16" s="103"/>
      <c r="AB16" s="103"/>
      <c r="AC16" s="103"/>
      <c r="AD16" s="103"/>
      <c r="AE16" s="103"/>
      <c r="AH16" s="104" t="str">
        <f>Y16</f>
        <v>Março</v>
      </c>
      <c r="AI16" s="104"/>
      <c r="AJ16" s="104"/>
      <c r="AK16" s="104"/>
      <c r="AL16" s="104"/>
      <c r="AM16" s="104"/>
      <c r="AN16" s="104"/>
    </row>
    <row r="17" spans="1:40" ht="15.75" thickBot="1" x14ac:dyDescent="0.3">
      <c r="A17" s="100" t="s">
        <v>5</v>
      </c>
      <c r="B17" s="34" t="s">
        <v>6</v>
      </c>
      <c r="C17" s="22" t="s">
        <v>7</v>
      </c>
      <c r="D17" s="33" t="s">
        <v>8</v>
      </c>
      <c r="E17" s="22" t="s">
        <v>9</v>
      </c>
      <c r="F17" s="24" t="s">
        <v>10</v>
      </c>
      <c r="G17" s="23" t="s">
        <v>11</v>
      </c>
      <c r="H17" s="25" t="s">
        <v>12</v>
      </c>
      <c r="J17" s="6" t="s">
        <v>4</v>
      </c>
      <c r="K17" s="9"/>
      <c r="L17" s="4"/>
      <c r="M17" s="4"/>
      <c r="N17" s="4"/>
      <c r="O17" s="4"/>
      <c r="P17" s="4"/>
      <c r="Q17" s="4"/>
      <c r="R17" s="4"/>
      <c r="S17" s="4"/>
      <c r="T17" s="4"/>
      <c r="U17" s="5"/>
      <c r="Y17" s="6" t="s">
        <v>4</v>
      </c>
      <c r="Z17" s="9"/>
      <c r="AA17" s="4"/>
      <c r="AB17" s="4"/>
      <c r="AC17" s="4"/>
      <c r="AD17" s="4"/>
      <c r="AE17" s="5"/>
      <c r="AH17" s="6" t="s">
        <v>4</v>
      </c>
      <c r="AI17" s="9"/>
      <c r="AJ17" s="4"/>
      <c r="AK17" s="4"/>
      <c r="AL17" s="4"/>
      <c r="AM17" s="4"/>
      <c r="AN17" s="5"/>
    </row>
    <row r="18" spans="1:40" ht="15.75" thickBot="1" x14ac:dyDescent="0.3">
      <c r="A18" s="100"/>
      <c r="B18" s="26"/>
      <c r="C18" s="27"/>
      <c r="D18" s="27"/>
      <c r="E18" s="27"/>
      <c r="F18" s="27">
        <f>SUM(C18-B18)</f>
        <v>0</v>
      </c>
      <c r="G18" s="20">
        <f>SUM(E18-D18)</f>
        <v>0</v>
      </c>
      <c r="H18" s="21">
        <f>SUM(F18:G18)</f>
        <v>0</v>
      </c>
      <c r="J18" s="7" t="s">
        <v>22</v>
      </c>
      <c r="K18" s="10"/>
      <c r="L18" s="11"/>
      <c r="M18" s="11"/>
      <c r="N18" s="11"/>
      <c r="O18" s="11"/>
      <c r="P18" s="11"/>
      <c r="Q18" s="11"/>
      <c r="R18" s="11"/>
      <c r="S18" s="11"/>
      <c r="T18" s="11"/>
      <c r="U18" s="12"/>
      <c r="Y18" s="7" t="s">
        <v>22</v>
      </c>
      <c r="Z18" s="10"/>
      <c r="AA18" s="11"/>
      <c r="AB18" s="11"/>
      <c r="AC18" s="11"/>
      <c r="AD18" s="11"/>
      <c r="AE18" s="12"/>
      <c r="AH18" s="7" t="s">
        <v>22</v>
      </c>
      <c r="AI18" s="10"/>
      <c r="AJ18" s="11"/>
      <c r="AK18" s="11"/>
      <c r="AL18" s="11"/>
      <c r="AM18" s="11"/>
      <c r="AN18" s="12"/>
    </row>
    <row r="19" spans="1:40" x14ac:dyDescent="0.25">
      <c r="J19" s="8"/>
      <c r="T19" s="8" t="s">
        <v>23</v>
      </c>
      <c r="U19" s="13">
        <f>SUM(K18:U18)</f>
        <v>0</v>
      </c>
      <c r="AD19" s="8" t="s">
        <v>23</v>
      </c>
      <c r="AE19" s="13">
        <f>SUM(Z18:AE18)</f>
        <v>0</v>
      </c>
      <c r="AM19" s="8" t="s">
        <v>23</v>
      </c>
      <c r="AN19" s="13">
        <f>SUM(AI18:AN18)</f>
        <v>0</v>
      </c>
    </row>
    <row r="20" spans="1:40" ht="15.75" thickBot="1" x14ac:dyDescent="0.3">
      <c r="A20" s="19"/>
      <c r="B20" s="101" t="s">
        <v>14</v>
      </c>
      <c r="C20" s="101"/>
      <c r="D20" s="101"/>
      <c r="E20" s="101"/>
      <c r="F20" s="101"/>
      <c r="G20" s="101"/>
      <c r="H20" s="101"/>
      <c r="J20" s="102" t="s">
        <v>14</v>
      </c>
      <c r="K20" s="102"/>
      <c r="L20" s="102"/>
      <c r="M20" s="102"/>
      <c r="N20" s="102"/>
      <c r="O20" s="102"/>
      <c r="P20" s="102"/>
      <c r="Q20" s="102"/>
      <c r="R20" s="102"/>
      <c r="S20" s="102"/>
      <c r="T20" s="102"/>
      <c r="U20" s="102"/>
      <c r="Y20" s="103" t="str">
        <f>J20</f>
        <v>Abril</v>
      </c>
      <c r="Z20" s="103"/>
      <c r="AA20" s="103"/>
      <c r="AB20" s="103"/>
      <c r="AC20" s="103"/>
      <c r="AD20" s="103"/>
      <c r="AE20" s="103"/>
      <c r="AH20" s="104" t="str">
        <f>Y20</f>
        <v>Abril</v>
      </c>
      <c r="AI20" s="104"/>
      <c r="AJ20" s="104"/>
      <c r="AK20" s="104"/>
      <c r="AL20" s="104"/>
      <c r="AM20" s="104"/>
      <c r="AN20" s="104"/>
    </row>
    <row r="21" spans="1:40" ht="15.75" thickBot="1" x14ac:dyDescent="0.3">
      <c r="A21" s="100" t="s">
        <v>5</v>
      </c>
      <c r="B21" s="34" t="s">
        <v>6</v>
      </c>
      <c r="C21" s="22" t="s">
        <v>7</v>
      </c>
      <c r="D21" s="33" t="s">
        <v>8</v>
      </c>
      <c r="E21" s="22" t="s">
        <v>9</v>
      </c>
      <c r="F21" s="24" t="s">
        <v>10</v>
      </c>
      <c r="G21" s="23" t="s">
        <v>11</v>
      </c>
      <c r="H21" s="25" t="s">
        <v>12</v>
      </c>
      <c r="J21" s="6" t="s">
        <v>4</v>
      </c>
      <c r="K21" s="9"/>
      <c r="L21" s="4"/>
      <c r="M21" s="4"/>
      <c r="N21" s="4"/>
      <c r="O21" s="4"/>
      <c r="P21" s="4"/>
      <c r="Q21" s="4"/>
      <c r="R21" s="4"/>
      <c r="S21" s="4"/>
      <c r="T21" s="4"/>
      <c r="U21" s="5"/>
      <c r="Y21" s="6" t="s">
        <v>4</v>
      </c>
      <c r="Z21" s="9"/>
      <c r="AA21" s="4"/>
      <c r="AB21" s="4"/>
      <c r="AC21" s="4"/>
      <c r="AD21" s="4"/>
      <c r="AE21" s="5"/>
      <c r="AH21" s="6" t="s">
        <v>4</v>
      </c>
      <c r="AI21" s="9"/>
      <c r="AJ21" s="4"/>
      <c r="AK21" s="4"/>
      <c r="AL21" s="4"/>
      <c r="AM21" s="4"/>
      <c r="AN21" s="5"/>
    </row>
    <row r="22" spans="1:40" ht="15.75" thickBot="1" x14ac:dyDescent="0.3">
      <c r="A22" s="100"/>
      <c r="B22" s="26"/>
      <c r="C22" s="27"/>
      <c r="D22" s="27"/>
      <c r="E22" s="27"/>
      <c r="F22" s="27">
        <f>SUM(C22-B22)</f>
        <v>0</v>
      </c>
      <c r="G22" s="20">
        <f>SUM(E22-D22)</f>
        <v>0</v>
      </c>
      <c r="H22" s="21">
        <f>SUM(F22:G22)</f>
        <v>0</v>
      </c>
      <c r="J22" s="7" t="s">
        <v>22</v>
      </c>
      <c r="K22" s="30"/>
      <c r="L22" s="31"/>
      <c r="M22" s="31"/>
      <c r="N22" s="31"/>
      <c r="O22" s="31"/>
      <c r="P22" s="31"/>
      <c r="Q22" s="31"/>
      <c r="R22" s="31"/>
      <c r="S22" s="31"/>
      <c r="T22" s="31"/>
      <c r="U22" s="32"/>
      <c r="Y22" s="7" t="s">
        <v>22</v>
      </c>
      <c r="Z22" s="10"/>
      <c r="AA22" s="11"/>
      <c r="AB22" s="11"/>
      <c r="AC22" s="11"/>
      <c r="AD22" s="11"/>
      <c r="AE22" s="12"/>
      <c r="AH22" s="7" t="s">
        <v>22</v>
      </c>
      <c r="AI22" s="10"/>
      <c r="AJ22" s="11"/>
      <c r="AK22" s="11"/>
      <c r="AL22" s="11"/>
      <c r="AM22" s="11"/>
      <c r="AN22" s="12"/>
    </row>
    <row r="23" spans="1:40" x14ac:dyDescent="0.25">
      <c r="J23" s="8"/>
      <c r="T23" s="8" t="s">
        <v>23</v>
      </c>
      <c r="U23" s="13">
        <f>SUM(K22:U22)</f>
        <v>0</v>
      </c>
      <c r="AD23" s="8" t="s">
        <v>23</v>
      </c>
      <c r="AE23" s="13">
        <f>SUM(Z22:AE22)</f>
        <v>0</v>
      </c>
      <c r="AM23" s="8" t="s">
        <v>23</v>
      </c>
      <c r="AN23" s="13">
        <f>SUM(AI22:AN22)</f>
        <v>0</v>
      </c>
    </row>
    <row r="24" spans="1:40" ht="15.75" thickBot="1" x14ac:dyDescent="0.3">
      <c r="A24" s="19"/>
      <c r="B24" s="101" t="s">
        <v>15</v>
      </c>
      <c r="C24" s="101"/>
      <c r="D24" s="101"/>
      <c r="E24" s="101"/>
      <c r="F24" s="101"/>
      <c r="G24" s="101"/>
      <c r="H24" s="101"/>
      <c r="J24" s="102" t="s">
        <v>15</v>
      </c>
      <c r="K24" s="102"/>
      <c r="L24" s="102"/>
      <c r="M24" s="102"/>
      <c r="N24" s="102"/>
      <c r="O24" s="102"/>
      <c r="P24" s="102"/>
      <c r="Q24" s="102"/>
      <c r="R24" s="102"/>
      <c r="S24" s="102"/>
      <c r="T24" s="102"/>
      <c r="U24" s="102"/>
      <c r="Y24" s="103" t="str">
        <f>J24</f>
        <v>Maio</v>
      </c>
      <c r="Z24" s="103"/>
      <c r="AA24" s="103"/>
      <c r="AB24" s="103"/>
      <c r="AC24" s="103"/>
      <c r="AD24" s="103"/>
      <c r="AE24" s="103"/>
      <c r="AH24" s="104" t="str">
        <f>Y24</f>
        <v>Maio</v>
      </c>
      <c r="AI24" s="104"/>
      <c r="AJ24" s="104"/>
      <c r="AK24" s="104"/>
      <c r="AL24" s="104"/>
      <c r="AM24" s="104"/>
      <c r="AN24" s="104"/>
    </row>
    <row r="25" spans="1:40" ht="15.75" thickBot="1" x14ac:dyDescent="0.3">
      <c r="A25" s="100" t="s">
        <v>5</v>
      </c>
      <c r="B25" s="34" t="s">
        <v>6</v>
      </c>
      <c r="C25" s="22" t="s">
        <v>7</v>
      </c>
      <c r="D25" s="33" t="s">
        <v>8</v>
      </c>
      <c r="E25" s="22" t="s">
        <v>9</v>
      </c>
      <c r="F25" s="24" t="s">
        <v>10</v>
      </c>
      <c r="G25" s="23" t="s">
        <v>11</v>
      </c>
      <c r="H25" s="25" t="s">
        <v>12</v>
      </c>
      <c r="J25" s="6" t="s">
        <v>4</v>
      </c>
      <c r="K25" s="9">
        <v>45442</v>
      </c>
      <c r="L25" s="4"/>
      <c r="M25" s="4"/>
      <c r="N25" s="4"/>
      <c r="O25" s="4"/>
      <c r="P25" s="4"/>
      <c r="Q25" s="4"/>
      <c r="R25" s="4"/>
      <c r="S25" s="4"/>
      <c r="T25" s="4"/>
      <c r="U25" s="5"/>
      <c r="Y25" s="6" t="s">
        <v>4</v>
      </c>
      <c r="Z25" s="9"/>
      <c r="AA25" s="4"/>
      <c r="AB25" s="4"/>
      <c r="AC25" s="4"/>
      <c r="AD25" s="4"/>
      <c r="AE25" s="5"/>
      <c r="AH25" s="6" t="s">
        <v>4</v>
      </c>
      <c r="AI25" s="9"/>
      <c r="AJ25" s="4"/>
      <c r="AK25" s="4"/>
      <c r="AL25" s="4"/>
      <c r="AM25" s="4"/>
      <c r="AN25" s="5"/>
    </row>
    <row r="26" spans="1:40" ht="15.75" thickBot="1" x14ac:dyDescent="0.3">
      <c r="A26" s="100"/>
      <c r="B26" s="26">
        <v>1110</v>
      </c>
      <c r="C26" s="27"/>
      <c r="D26" s="27"/>
      <c r="E26" s="27">
        <v>1683</v>
      </c>
      <c r="F26" s="27">
        <f>SUM(C26-B26)</f>
        <v>-1110</v>
      </c>
      <c r="G26" s="20">
        <f>SUM(E26-D26)</f>
        <v>1683</v>
      </c>
      <c r="H26" s="21">
        <f>SUM(F26:G26)</f>
        <v>573</v>
      </c>
      <c r="J26" s="7" t="s">
        <v>22</v>
      </c>
      <c r="K26" s="10">
        <v>192.14</v>
      </c>
      <c r="L26" s="11"/>
      <c r="M26" s="11"/>
      <c r="N26" s="11"/>
      <c r="O26" s="11"/>
      <c r="P26" s="11"/>
      <c r="Q26" s="11"/>
      <c r="R26" s="11"/>
      <c r="S26" s="11"/>
      <c r="T26" s="11"/>
      <c r="U26" s="12"/>
      <c r="Y26" s="7" t="s">
        <v>22</v>
      </c>
      <c r="Z26" s="10"/>
      <c r="AA26" s="11"/>
      <c r="AB26" s="11"/>
      <c r="AC26" s="11"/>
      <c r="AD26" s="11"/>
      <c r="AE26" s="12"/>
      <c r="AH26" s="7" t="s">
        <v>22</v>
      </c>
      <c r="AI26" s="10"/>
      <c r="AJ26" s="11"/>
      <c r="AK26" s="11"/>
      <c r="AL26" s="11"/>
      <c r="AM26" s="11"/>
      <c r="AN26" s="12"/>
    </row>
    <row r="27" spans="1:40" x14ac:dyDescent="0.25">
      <c r="J27" s="8"/>
      <c r="T27" s="8" t="s">
        <v>23</v>
      </c>
      <c r="U27" s="13">
        <f>SUM(K26:U26)</f>
        <v>192.14</v>
      </c>
      <c r="AD27" s="8" t="s">
        <v>23</v>
      </c>
      <c r="AE27" s="13">
        <f>SUM(Z26:AE26)</f>
        <v>0</v>
      </c>
      <c r="AM27" s="8" t="s">
        <v>23</v>
      </c>
      <c r="AN27" s="13">
        <f>SUM(AI26:AN26)</f>
        <v>0</v>
      </c>
    </row>
    <row r="28" spans="1:40" ht="15.75" thickBot="1" x14ac:dyDescent="0.3">
      <c r="A28" s="19"/>
      <c r="B28" s="101" t="s">
        <v>24</v>
      </c>
      <c r="C28" s="101"/>
      <c r="D28" s="101"/>
      <c r="E28" s="101"/>
      <c r="F28" s="101"/>
      <c r="G28" s="101"/>
      <c r="H28" s="101"/>
      <c r="J28" s="102" t="s">
        <v>24</v>
      </c>
      <c r="K28" s="102"/>
      <c r="L28" s="102"/>
      <c r="M28" s="102"/>
      <c r="N28" s="102"/>
      <c r="O28" s="102"/>
      <c r="P28" s="102"/>
      <c r="Q28" s="102"/>
      <c r="R28" s="102"/>
      <c r="S28" s="102"/>
      <c r="T28" s="102"/>
      <c r="U28" s="102"/>
      <c r="Y28" s="103" t="str">
        <f>J28</f>
        <v>Junho</v>
      </c>
      <c r="Z28" s="103"/>
      <c r="AA28" s="103"/>
      <c r="AB28" s="103"/>
      <c r="AC28" s="103"/>
      <c r="AD28" s="103"/>
      <c r="AE28" s="103"/>
      <c r="AH28" s="104" t="str">
        <f>Y28</f>
        <v>Junho</v>
      </c>
      <c r="AI28" s="104"/>
      <c r="AJ28" s="104"/>
      <c r="AK28" s="104"/>
      <c r="AL28" s="104"/>
      <c r="AM28" s="104"/>
      <c r="AN28" s="104"/>
    </row>
    <row r="29" spans="1:40" ht="15.75" thickBot="1" x14ac:dyDescent="0.3">
      <c r="A29" s="100" t="s">
        <v>5</v>
      </c>
      <c r="B29" s="34" t="s">
        <v>6</v>
      </c>
      <c r="C29" s="22" t="s">
        <v>7</v>
      </c>
      <c r="D29" s="33" t="s">
        <v>8</v>
      </c>
      <c r="E29" s="22" t="s">
        <v>9</v>
      </c>
      <c r="F29" s="24" t="s">
        <v>10</v>
      </c>
      <c r="G29" s="23" t="s">
        <v>11</v>
      </c>
      <c r="H29" s="25" t="s">
        <v>12</v>
      </c>
      <c r="J29" s="6" t="s">
        <v>4</v>
      </c>
      <c r="K29" s="9">
        <v>45448</v>
      </c>
      <c r="L29" s="66">
        <v>45456</v>
      </c>
      <c r="M29" s="66">
        <v>45458</v>
      </c>
      <c r="N29" s="66">
        <v>45463</v>
      </c>
      <c r="O29" s="66">
        <v>45469</v>
      </c>
      <c r="P29" s="66">
        <v>45472</v>
      </c>
      <c r="Q29" s="4"/>
      <c r="R29" s="4"/>
      <c r="S29" s="4"/>
      <c r="T29" s="4"/>
      <c r="U29" s="5"/>
      <c r="Y29" s="6" t="s">
        <v>4</v>
      </c>
      <c r="Z29" s="9">
        <v>45458</v>
      </c>
      <c r="AA29" s="66">
        <v>45472</v>
      </c>
      <c r="AB29" s="4"/>
      <c r="AC29" s="4"/>
      <c r="AD29" s="4"/>
      <c r="AE29" s="5"/>
      <c r="AH29" s="6" t="s">
        <v>4</v>
      </c>
      <c r="AI29" s="9"/>
      <c r="AJ29" s="4"/>
      <c r="AK29" s="4"/>
      <c r="AL29" s="4"/>
      <c r="AM29" s="4"/>
      <c r="AN29" s="5"/>
    </row>
    <row r="30" spans="1:40" ht="15.75" thickBot="1" x14ac:dyDescent="0.3">
      <c r="A30" s="100"/>
      <c r="B30" s="26">
        <v>1683</v>
      </c>
      <c r="C30" s="27"/>
      <c r="D30" s="27"/>
      <c r="E30" s="27">
        <v>3497</v>
      </c>
      <c r="F30" s="27">
        <f>SUM(C30-B30)</f>
        <v>-1683</v>
      </c>
      <c r="G30" s="20">
        <f>SUM(E30-D30)</f>
        <v>3497</v>
      </c>
      <c r="H30" s="21">
        <f>SUM(F30:G30)</f>
        <v>1814</v>
      </c>
      <c r="J30" s="7" t="s">
        <v>22</v>
      </c>
      <c r="K30" s="10">
        <v>185.7</v>
      </c>
      <c r="L30" s="11">
        <v>179.57</v>
      </c>
      <c r="M30" s="11">
        <v>71.180000000000007</v>
      </c>
      <c r="N30" s="11">
        <v>166.2</v>
      </c>
      <c r="O30" s="11">
        <v>175.67</v>
      </c>
      <c r="P30" s="11">
        <v>179.2</v>
      </c>
      <c r="Q30" s="11"/>
      <c r="R30" s="11"/>
      <c r="S30" s="11"/>
      <c r="T30" s="11"/>
      <c r="U30" s="12"/>
      <c r="Y30" s="7" t="s">
        <v>22</v>
      </c>
      <c r="Z30" s="10">
        <v>80</v>
      </c>
      <c r="AA30" s="11">
        <v>80</v>
      </c>
      <c r="AB30" s="11"/>
      <c r="AC30" s="11"/>
      <c r="AD30" s="11"/>
      <c r="AE30" s="12"/>
      <c r="AH30" s="7" t="s">
        <v>22</v>
      </c>
      <c r="AI30" s="10"/>
      <c r="AJ30" s="11"/>
      <c r="AK30" s="11"/>
      <c r="AL30" s="11"/>
      <c r="AM30" s="11"/>
      <c r="AN30" s="12"/>
    </row>
    <row r="31" spans="1:40" x14ac:dyDescent="0.25">
      <c r="J31" s="8"/>
      <c r="T31" s="8" t="s">
        <v>23</v>
      </c>
      <c r="U31" s="13">
        <f>SUM(K30:U30)</f>
        <v>957.52</v>
      </c>
      <c r="AD31" s="8" t="s">
        <v>23</v>
      </c>
      <c r="AE31" s="13">
        <f>SUM(Z30:AE30)</f>
        <v>160</v>
      </c>
      <c r="AM31" s="8" t="s">
        <v>23</v>
      </c>
      <c r="AN31" s="13">
        <f>SUM(AI30:AN30)</f>
        <v>0</v>
      </c>
    </row>
    <row r="32" spans="1:40" ht="15.75" thickBot="1" x14ac:dyDescent="0.3">
      <c r="A32" s="19"/>
      <c r="B32" s="101" t="s">
        <v>16</v>
      </c>
      <c r="C32" s="101"/>
      <c r="D32" s="101"/>
      <c r="E32" s="101"/>
      <c r="F32" s="101"/>
      <c r="G32" s="101"/>
      <c r="H32" s="101"/>
      <c r="J32" s="102" t="s">
        <v>16</v>
      </c>
      <c r="K32" s="102"/>
      <c r="L32" s="102"/>
      <c r="M32" s="102"/>
      <c r="N32" s="102"/>
      <c r="O32" s="102"/>
      <c r="P32" s="102"/>
      <c r="Q32" s="102"/>
      <c r="R32" s="102"/>
      <c r="S32" s="102"/>
      <c r="T32" s="102"/>
      <c r="U32" s="102"/>
      <c r="Y32" s="103" t="str">
        <f>J32</f>
        <v>Julho</v>
      </c>
      <c r="Z32" s="103"/>
      <c r="AA32" s="103"/>
      <c r="AB32" s="103"/>
      <c r="AC32" s="103"/>
      <c r="AD32" s="103"/>
      <c r="AE32" s="103"/>
      <c r="AH32" s="104" t="str">
        <f>Y32</f>
        <v>Julho</v>
      </c>
      <c r="AI32" s="104"/>
      <c r="AJ32" s="104"/>
      <c r="AK32" s="104"/>
      <c r="AL32" s="104"/>
      <c r="AM32" s="104"/>
      <c r="AN32" s="104"/>
    </row>
    <row r="33" spans="1:40" ht="15.75" thickBot="1" x14ac:dyDescent="0.3">
      <c r="A33" s="100" t="s">
        <v>5</v>
      </c>
      <c r="B33" s="34" t="s">
        <v>6</v>
      </c>
      <c r="C33" s="22" t="s">
        <v>7</v>
      </c>
      <c r="D33" s="33" t="s">
        <v>8</v>
      </c>
      <c r="E33" s="22" t="s">
        <v>9</v>
      </c>
      <c r="F33" s="24" t="s">
        <v>10</v>
      </c>
      <c r="G33" s="23" t="s">
        <v>11</v>
      </c>
      <c r="H33" s="25" t="s">
        <v>12</v>
      </c>
      <c r="J33" s="6" t="s">
        <v>4</v>
      </c>
      <c r="K33" s="9">
        <v>45477</v>
      </c>
      <c r="L33" s="66">
        <v>45484</v>
      </c>
      <c r="M33" s="66">
        <v>45490</v>
      </c>
      <c r="N33" s="66">
        <v>45496</v>
      </c>
      <c r="O33" s="66">
        <v>45504</v>
      </c>
      <c r="P33" s="4"/>
      <c r="Q33" s="4"/>
      <c r="R33" s="4"/>
      <c r="S33" s="4"/>
      <c r="T33" s="4"/>
      <c r="U33" s="5"/>
      <c r="Y33" s="6" t="s">
        <v>4</v>
      </c>
      <c r="Z33" s="9">
        <v>45500</v>
      </c>
      <c r="AA33" s="66">
        <v>45495</v>
      </c>
      <c r="AB33" s="66">
        <v>45502</v>
      </c>
      <c r="AC33" s="4"/>
      <c r="AD33" s="4"/>
      <c r="AE33" s="5"/>
      <c r="AH33" s="6" t="s">
        <v>4</v>
      </c>
      <c r="AI33" s="9"/>
      <c r="AJ33" s="4"/>
      <c r="AK33" s="4"/>
      <c r="AL33" s="4"/>
      <c r="AM33" s="4"/>
      <c r="AN33" s="5"/>
    </row>
    <row r="34" spans="1:40" ht="15.75" thickBot="1" x14ac:dyDescent="0.3">
      <c r="A34" s="100"/>
      <c r="B34" s="26">
        <v>3497</v>
      </c>
      <c r="C34" s="27"/>
      <c r="D34" s="27"/>
      <c r="E34" s="27">
        <v>5367</v>
      </c>
      <c r="F34" s="27">
        <f>SUM(C34-B34)</f>
        <v>-3497</v>
      </c>
      <c r="G34" s="20">
        <f>SUM(E34-D34)</f>
        <v>5367</v>
      </c>
      <c r="H34" s="21">
        <f>SUM(F34:G34)</f>
        <v>1870</v>
      </c>
      <c r="J34" s="7" t="s">
        <v>22</v>
      </c>
      <c r="K34" s="10">
        <v>175.49</v>
      </c>
      <c r="L34" s="11">
        <v>204.29</v>
      </c>
      <c r="M34" s="11">
        <v>178.92</v>
      </c>
      <c r="N34" s="11">
        <v>192.91</v>
      </c>
      <c r="O34" s="11">
        <v>225.12</v>
      </c>
      <c r="P34" s="11"/>
      <c r="Q34" s="11"/>
      <c r="R34" s="11"/>
      <c r="S34" s="11"/>
      <c r="T34" s="11"/>
      <c r="U34" s="12"/>
      <c r="Y34" s="7" t="s">
        <v>22</v>
      </c>
      <c r="Z34" s="10">
        <v>60</v>
      </c>
      <c r="AA34" s="11">
        <v>75</v>
      </c>
      <c r="AB34" s="11">
        <v>60</v>
      </c>
      <c r="AC34" s="11"/>
      <c r="AD34" s="11"/>
      <c r="AE34" s="12"/>
      <c r="AH34" s="7" t="s">
        <v>22</v>
      </c>
      <c r="AI34" s="10"/>
      <c r="AJ34" s="11"/>
      <c r="AK34" s="11"/>
      <c r="AL34" s="11"/>
      <c r="AM34" s="11"/>
      <c r="AN34" s="12"/>
    </row>
    <row r="35" spans="1:40" x14ac:dyDescent="0.25">
      <c r="J35" s="8"/>
      <c r="T35" s="8" t="s">
        <v>23</v>
      </c>
      <c r="U35" s="13">
        <f>SUM(K34:U34)</f>
        <v>976.7299999999999</v>
      </c>
      <c r="AD35" s="8" t="s">
        <v>23</v>
      </c>
      <c r="AE35" s="13">
        <f>SUM(Z34:AE34)</f>
        <v>195</v>
      </c>
      <c r="AM35" s="8" t="s">
        <v>23</v>
      </c>
      <c r="AN35" s="13">
        <f>SUM(AI34:AN34)</f>
        <v>0</v>
      </c>
    </row>
    <row r="36" spans="1:40" ht="15.75" thickBot="1" x14ac:dyDescent="0.3">
      <c r="A36" s="19"/>
      <c r="B36" s="101" t="s">
        <v>17</v>
      </c>
      <c r="C36" s="101"/>
      <c r="D36" s="101"/>
      <c r="E36" s="101"/>
      <c r="F36" s="101"/>
      <c r="G36" s="101"/>
      <c r="H36" s="101"/>
      <c r="J36" s="102" t="s">
        <v>17</v>
      </c>
      <c r="K36" s="102"/>
      <c r="L36" s="102"/>
      <c r="M36" s="102"/>
      <c r="N36" s="102"/>
      <c r="O36" s="102"/>
      <c r="P36" s="102"/>
      <c r="Q36" s="102"/>
      <c r="R36" s="102"/>
      <c r="S36" s="102"/>
      <c r="T36" s="102"/>
      <c r="U36" s="102"/>
      <c r="Y36" s="103" t="str">
        <f>J36</f>
        <v>Agosto</v>
      </c>
      <c r="Z36" s="103"/>
      <c r="AA36" s="103"/>
      <c r="AB36" s="103"/>
      <c r="AC36" s="103"/>
      <c r="AD36" s="103"/>
      <c r="AE36" s="103"/>
      <c r="AH36" s="104" t="str">
        <f>Y36</f>
        <v>Agosto</v>
      </c>
      <c r="AI36" s="104"/>
      <c r="AJ36" s="104"/>
      <c r="AK36" s="104"/>
      <c r="AL36" s="104"/>
      <c r="AM36" s="104"/>
      <c r="AN36" s="104"/>
    </row>
    <row r="37" spans="1:40" ht="15.75" thickBot="1" x14ac:dyDescent="0.3">
      <c r="A37" s="100" t="s">
        <v>5</v>
      </c>
      <c r="B37" s="34" t="s">
        <v>6</v>
      </c>
      <c r="C37" s="22" t="s">
        <v>7</v>
      </c>
      <c r="D37" s="33" t="s">
        <v>8</v>
      </c>
      <c r="E37" s="22" t="s">
        <v>9</v>
      </c>
      <c r="F37" s="24" t="s">
        <v>10</v>
      </c>
      <c r="G37" s="23" t="s">
        <v>11</v>
      </c>
      <c r="H37" s="25" t="s">
        <v>12</v>
      </c>
      <c r="J37" s="6" t="s">
        <v>4</v>
      </c>
      <c r="K37" s="9">
        <v>45510</v>
      </c>
      <c r="L37" s="66">
        <v>45521</v>
      </c>
      <c r="M37" s="66">
        <v>45528</v>
      </c>
      <c r="N37" s="66">
        <v>45535</v>
      </c>
      <c r="O37" s="66">
        <v>45517</v>
      </c>
      <c r="P37" s="4"/>
      <c r="Q37" s="4"/>
      <c r="R37" s="4"/>
      <c r="S37" s="4"/>
      <c r="T37" s="4"/>
      <c r="U37" s="5"/>
      <c r="Y37" s="6" t="s">
        <v>4</v>
      </c>
      <c r="Z37" s="9">
        <v>45514</v>
      </c>
      <c r="AA37" s="66">
        <v>45507</v>
      </c>
      <c r="AB37" s="66">
        <v>45527</v>
      </c>
      <c r="AC37" s="66">
        <v>45521</v>
      </c>
      <c r="AD37" s="66">
        <v>45535</v>
      </c>
      <c r="AE37" s="5"/>
      <c r="AH37" s="6" t="s">
        <v>4</v>
      </c>
      <c r="AI37" s="9"/>
      <c r="AJ37" s="4"/>
      <c r="AK37" s="4"/>
      <c r="AL37" s="4"/>
      <c r="AM37" s="4"/>
      <c r="AN37" s="5"/>
    </row>
    <row r="38" spans="1:40" ht="15.75" thickBot="1" x14ac:dyDescent="0.3">
      <c r="A38" s="100"/>
      <c r="B38" s="26">
        <v>5367</v>
      </c>
      <c r="C38" s="27"/>
      <c r="D38" s="27"/>
      <c r="E38" s="27">
        <v>7191</v>
      </c>
      <c r="F38" s="27">
        <f>SUM(C38-B38)</f>
        <v>-5367</v>
      </c>
      <c r="G38" s="20">
        <f>SUM(E38-D38)</f>
        <v>7191</v>
      </c>
      <c r="H38" s="21">
        <f>SUM(F38:G38)</f>
        <v>1824</v>
      </c>
      <c r="J38" s="7" t="s">
        <v>22</v>
      </c>
      <c r="K38" s="10">
        <v>199.18</v>
      </c>
      <c r="L38" s="11">
        <v>141.54</v>
      </c>
      <c r="M38" s="11">
        <v>226.77</v>
      </c>
      <c r="N38" s="11">
        <v>168.18</v>
      </c>
      <c r="O38" s="11">
        <v>224.74</v>
      </c>
      <c r="P38" s="11"/>
      <c r="Q38" s="11"/>
      <c r="R38" s="11"/>
      <c r="S38" s="11"/>
      <c r="T38" s="11"/>
      <c r="U38" s="12"/>
      <c r="Y38" s="7" t="s">
        <v>22</v>
      </c>
      <c r="Z38" s="10">
        <v>60</v>
      </c>
      <c r="AA38" s="11">
        <v>60</v>
      </c>
      <c r="AB38" s="11">
        <v>60</v>
      </c>
      <c r="AC38" s="11">
        <v>80</v>
      </c>
      <c r="AD38" s="11">
        <v>80</v>
      </c>
      <c r="AE38" s="12"/>
      <c r="AH38" s="7" t="s">
        <v>22</v>
      </c>
      <c r="AI38" s="10"/>
      <c r="AJ38" s="11"/>
      <c r="AK38" s="11"/>
      <c r="AL38" s="11"/>
      <c r="AM38" s="11"/>
      <c r="AN38" s="12"/>
    </row>
    <row r="39" spans="1:40" x14ac:dyDescent="0.25">
      <c r="J39" s="8"/>
      <c r="T39" s="8" t="s">
        <v>23</v>
      </c>
      <c r="U39" s="13">
        <f>SUM(K38:U38)</f>
        <v>960.41000000000008</v>
      </c>
      <c r="AD39" s="8" t="s">
        <v>23</v>
      </c>
      <c r="AE39" s="13">
        <f>SUM(Z38:AE38)</f>
        <v>340</v>
      </c>
      <c r="AM39" s="8" t="s">
        <v>23</v>
      </c>
      <c r="AN39" s="13">
        <f>SUM(AI38:AN38)</f>
        <v>0</v>
      </c>
    </row>
    <row r="40" spans="1:40" ht="15.75" thickBot="1" x14ac:dyDescent="0.3">
      <c r="A40" s="19"/>
      <c r="B40" s="101" t="s">
        <v>18</v>
      </c>
      <c r="C40" s="101"/>
      <c r="D40" s="101"/>
      <c r="E40" s="101"/>
      <c r="F40" s="101"/>
      <c r="G40" s="101"/>
      <c r="H40" s="101"/>
      <c r="J40" s="102" t="s">
        <v>18</v>
      </c>
      <c r="K40" s="102"/>
      <c r="L40" s="102"/>
      <c r="M40" s="102"/>
      <c r="N40" s="102"/>
      <c r="O40" s="102"/>
      <c r="P40" s="102"/>
      <c r="Q40" s="102"/>
      <c r="R40" s="102"/>
      <c r="S40" s="102"/>
      <c r="T40" s="102"/>
      <c r="U40" s="102"/>
      <c r="Y40" s="103" t="str">
        <f>J40</f>
        <v>Setembro</v>
      </c>
      <c r="Z40" s="103"/>
      <c r="AA40" s="103"/>
      <c r="AB40" s="103"/>
      <c r="AC40" s="103"/>
      <c r="AD40" s="103"/>
      <c r="AE40" s="103"/>
      <c r="AH40" s="104" t="str">
        <f>Y40</f>
        <v>Setembro</v>
      </c>
      <c r="AI40" s="104"/>
      <c r="AJ40" s="104"/>
      <c r="AK40" s="104"/>
      <c r="AL40" s="104"/>
      <c r="AM40" s="104"/>
      <c r="AN40" s="104"/>
    </row>
    <row r="41" spans="1:40" ht="15.75" thickBot="1" x14ac:dyDescent="0.3">
      <c r="A41" s="100" t="s">
        <v>5</v>
      </c>
      <c r="B41" s="34" t="s">
        <v>6</v>
      </c>
      <c r="C41" s="22" t="s">
        <v>7</v>
      </c>
      <c r="D41" s="33" t="s">
        <v>8</v>
      </c>
      <c r="E41" s="22" t="s">
        <v>9</v>
      </c>
      <c r="F41" s="24" t="s">
        <v>10</v>
      </c>
      <c r="G41" s="23" t="s">
        <v>11</v>
      </c>
      <c r="H41" s="25" t="s">
        <v>12</v>
      </c>
      <c r="J41" s="6" t="s">
        <v>4</v>
      </c>
      <c r="K41" s="9">
        <v>45542</v>
      </c>
      <c r="L41" s="66">
        <v>45549</v>
      </c>
      <c r="M41" s="66">
        <v>45556</v>
      </c>
      <c r="N41" s="66">
        <v>45563</v>
      </c>
      <c r="O41" s="4"/>
      <c r="P41" s="4"/>
      <c r="Q41" s="4"/>
      <c r="R41" s="4"/>
      <c r="S41" s="4"/>
      <c r="T41" s="4"/>
      <c r="U41" s="5"/>
      <c r="Y41" s="6" t="s">
        <v>4</v>
      </c>
      <c r="Z41" s="9">
        <v>45541</v>
      </c>
      <c r="AA41" s="66">
        <v>45555</v>
      </c>
      <c r="AB41" s="66">
        <v>45561</v>
      </c>
      <c r="AC41" s="4"/>
      <c r="AD41" s="4"/>
      <c r="AE41" s="5"/>
      <c r="AH41" s="6" t="s">
        <v>4</v>
      </c>
      <c r="AI41" s="9">
        <v>45551</v>
      </c>
      <c r="AJ41" s="4"/>
      <c r="AK41" s="4"/>
      <c r="AL41" s="4"/>
      <c r="AM41" s="4"/>
      <c r="AN41" s="5"/>
    </row>
    <row r="42" spans="1:40" ht="15.75" thickBot="1" x14ac:dyDescent="0.3">
      <c r="A42" s="100"/>
      <c r="B42" s="26">
        <v>7191</v>
      </c>
      <c r="C42" s="27"/>
      <c r="D42" s="27"/>
      <c r="E42" s="27">
        <v>8508</v>
      </c>
      <c r="F42" s="27">
        <f>SUM(C42-B42)</f>
        <v>-7191</v>
      </c>
      <c r="G42" s="20">
        <f>SUM(E42-D42)</f>
        <v>8508</v>
      </c>
      <c r="H42" s="21">
        <f>SUM(F42:G42)</f>
        <v>1317</v>
      </c>
      <c r="J42" s="7" t="s">
        <v>22</v>
      </c>
      <c r="K42" s="10">
        <v>155.28</v>
      </c>
      <c r="L42" s="11">
        <v>168.57</v>
      </c>
      <c r="M42" s="11">
        <v>197.45</v>
      </c>
      <c r="N42" s="11">
        <v>231.96</v>
      </c>
      <c r="O42" s="11"/>
      <c r="P42" s="11"/>
      <c r="Q42" s="11"/>
      <c r="R42" s="11"/>
      <c r="S42" s="11"/>
      <c r="T42" s="11"/>
      <c r="U42" s="12"/>
      <c r="Y42" s="7" t="s">
        <v>22</v>
      </c>
      <c r="Z42" s="10">
        <v>60</v>
      </c>
      <c r="AA42" s="11">
        <v>75</v>
      </c>
      <c r="AB42" s="11">
        <v>75</v>
      </c>
      <c r="AC42" s="11"/>
      <c r="AD42" s="11"/>
      <c r="AE42" s="12"/>
      <c r="AH42" s="7" t="s">
        <v>22</v>
      </c>
      <c r="AI42" s="10">
        <v>50</v>
      </c>
      <c r="AJ42" s="11"/>
      <c r="AK42" s="11"/>
      <c r="AL42" s="11"/>
      <c r="AM42" s="11"/>
      <c r="AN42" s="12"/>
    </row>
    <row r="43" spans="1:40" x14ac:dyDescent="0.25">
      <c r="J43" s="8"/>
      <c r="T43" s="8" t="s">
        <v>23</v>
      </c>
      <c r="U43" s="13">
        <f>SUM(K42:U42)</f>
        <v>753.26</v>
      </c>
      <c r="AD43" s="8" t="s">
        <v>23</v>
      </c>
      <c r="AE43" s="13">
        <f>SUM(Z42:AE42)</f>
        <v>210</v>
      </c>
      <c r="AM43" s="8" t="s">
        <v>23</v>
      </c>
      <c r="AN43" s="13">
        <f>SUM(AI42:AN42)</f>
        <v>50</v>
      </c>
    </row>
    <row r="44" spans="1:40" ht="15.75" thickBot="1" x14ac:dyDescent="0.3">
      <c r="A44" s="19"/>
      <c r="B44" s="101" t="s">
        <v>19</v>
      </c>
      <c r="C44" s="101"/>
      <c r="D44" s="101"/>
      <c r="E44" s="101"/>
      <c r="F44" s="101"/>
      <c r="G44" s="101"/>
      <c r="H44" s="101"/>
      <c r="J44" s="102" t="s">
        <v>19</v>
      </c>
      <c r="K44" s="102"/>
      <c r="L44" s="102"/>
      <c r="M44" s="102"/>
      <c r="N44" s="102"/>
      <c r="O44" s="102"/>
      <c r="P44" s="102"/>
      <c r="Q44" s="102"/>
      <c r="R44" s="102"/>
      <c r="S44" s="102"/>
      <c r="T44" s="102"/>
      <c r="U44" s="102"/>
      <c r="Y44" s="103" t="str">
        <f>J44</f>
        <v>Outubro</v>
      </c>
      <c r="Z44" s="103"/>
      <c r="AA44" s="103"/>
      <c r="AB44" s="103"/>
      <c r="AC44" s="103"/>
      <c r="AD44" s="103"/>
      <c r="AE44" s="103"/>
      <c r="AH44" s="104" t="str">
        <f>Y44</f>
        <v>Outubro</v>
      </c>
      <c r="AI44" s="104"/>
      <c r="AJ44" s="104"/>
      <c r="AK44" s="104"/>
      <c r="AL44" s="104"/>
      <c r="AM44" s="104"/>
      <c r="AN44" s="104"/>
    </row>
    <row r="45" spans="1:40" ht="15.75" thickBot="1" x14ac:dyDescent="0.3">
      <c r="A45" s="100" t="s">
        <v>5</v>
      </c>
      <c r="B45" s="34" t="s">
        <v>6</v>
      </c>
      <c r="C45" s="22" t="s">
        <v>7</v>
      </c>
      <c r="D45" s="33" t="s">
        <v>8</v>
      </c>
      <c r="E45" s="22" t="s">
        <v>9</v>
      </c>
      <c r="F45" s="24" t="s">
        <v>10</v>
      </c>
      <c r="G45" s="23" t="s">
        <v>11</v>
      </c>
      <c r="H45" s="25" t="s">
        <v>12</v>
      </c>
      <c r="J45" s="6" t="s">
        <v>4</v>
      </c>
      <c r="K45" s="9">
        <v>45570</v>
      </c>
      <c r="L45" s="66">
        <v>45577</v>
      </c>
      <c r="M45" s="66">
        <v>45591</v>
      </c>
      <c r="N45" s="66">
        <v>45584</v>
      </c>
      <c r="O45" s="4"/>
      <c r="P45" s="4"/>
      <c r="Q45" s="4"/>
      <c r="R45" s="4"/>
      <c r="S45" s="4"/>
      <c r="T45" s="4"/>
      <c r="U45" s="5"/>
      <c r="Y45" s="6" t="s">
        <v>4</v>
      </c>
      <c r="Z45" s="9">
        <v>45570</v>
      </c>
      <c r="AA45" s="4"/>
      <c r="AB45" s="4"/>
      <c r="AC45" s="4"/>
      <c r="AD45" s="4"/>
      <c r="AE45" s="5"/>
      <c r="AH45" s="6" t="s">
        <v>4</v>
      </c>
      <c r="AI45" s="9"/>
      <c r="AJ45" s="4"/>
      <c r="AK45" s="4"/>
      <c r="AL45" s="4"/>
      <c r="AM45" s="4"/>
      <c r="AN45" s="5"/>
    </row>
    <row r="46" spans="1:40" ht="15.75" thickBot="1" x14ac:dyDescent="0.3">
      <c r="A46" s="100"/>
      <c r="B46" s="26">
        <v>8508</v>
      </c>
      <c r="C46" s="27"/>
      <c r="D46" s="27"/>
      <c r="E46" s="27">
        <v>10137</v>
      </c>
      <c r="F46" s="27">
        <f>SUM(C46-B46)</f>
        <v>-8508</v>
      </c>
      <c r="G46" s="20">
        <f>SUM(E46-D46)</f>
        <v>10137</v>
      </c>
      <c r="H46" s="21">
        <f>SUM(F46:G46)</f>
        <v>1629</v>
      </c>
      <c r="J46" s="7" t="s">
        <v>22</v>
      </c>
      <c r="K46" s="10">
        <v>173.74</v>
      </c>
      <c r="L46" s="11">
        <v>199.62</v>
      </c>
      <c r="M46" s="11">
        <v>178.15</v>
      </c>
      <c r="N46" s="11">
        <v>208.06</v>
      </c>
      <c r="O46" s="11"/>
      <c r="P46" s="11"/>
      <c r="Q46" s="11"/>
      <c r="R46" s="11"/>
      <c r="S46" s="11"/>
      <c r="T46" s="11"/>
      <c r="U46" s="12"/>
      <c r="Y46" s="7" t="s">
        <v>22</v>
      </c>
      <c r="Z46" s="10">
        <v>75</v>
      </c>
      <c r="AA46" s="11"/>
      <c r="AB46" s="11"/>
      <c r="AC46" s="11"/>
      <c r="AD46" s="11"/>
      <c r="AE46" s="12"/>
      <c r="AH46" s="7" t="s">
        <v>22</v>
      </c>
      <c r="AI46" s="10"/>
      <c r="AJ46" s="11"/>
      <c r="AK46" s="11"/>
      <c r="AL46" s="11"/>
      <c r="AM46" s="11"/>
      <c r="AN46" s="12"/>
    </row>
    <row r="47" spans="1:40" x14ac:dyDescent="0.25">
      <c r="J47" s="8"/>
      <c r="T47" s="8" t="s">
        <v>23</v>
      </c>
      <c r="U47" s="13">
        <f>SUM(K46:U46)</f>
        <v>759.56999999999994</v>
      </c>
      <c r="AD47" s="8" t="s">
        <v>23</v>
      </c>
      <c r="AE47" s="13">
        <f>SUM(Z46:AE46)</f>
        <v>75</v>
      </c>
      <c r="AM47" s="8" t="s">
        <v>23</v>
      </c>
      <c r="AN47" s="13">
        <f>SUM(AI46:AN46)</f>
        <v>0</v>
      </c>
    </row>
    <row r="48" spans="1:40" ht="15.75" thickBot="1" x14ac:dyDescent="0.3">
      <c r="A48" s="19"/>
      <c r="B48" s="101" t="s">
        <v>20</v>
      </c>
      <c r="C48" s="101"/>
      <c r="D48" s="101"/>
      <c r="E48" s="101"/>
      <c r="F48" s="101"/>
      <c r="G48" s="101"/>
      <c r="H48" s="101"/>
      <c r="J48" s="102" t="s">
        <v>20</v>
      </c>
      <c r="K48" s="102"/>
      <c r="L48" s="102"/>
      <c r="M48" s="102"/>
      <c r="N48" s="102"/>
      <c r="O48" s="102"/>
      <c r="P48" s="102"/>
      <c r="Q48" s="102"/>
      <c r="R48" s="102"/>
      <c r="S48" s="102"/>
      <c r="T48" s="102"/>
      <c r="U48" s="102"/>
      <c r="Y48" s="103" t="str">
        <f>J48</f>
        <v>Novembro</v>
      </c>
      <c r="Z48" s="103"/>
      <c r="AA48" s="103"/>
      <c r="AB48" s="103"/>
      <c r="AC48" s="103"/>
      <c r="AD48" s="103"/>
      <c r="AE48" s="103"/>
      <c r="AH48" s="104" t="str">
        <f>Y48</f>
        <v>Novembro</v>
      </c>
      <c r="AI48" s="104"/>
      <c r="AJ48" s="104"/>
      <c r="AK48" s="104"/>
      <c r="AL48" s="104"/>
      <c r="AM48" s="104"/>
      <c r="AN48" s="104"/>
    </row>
    <row r="49" spans="1:40" ht="15.75" thickBot="1" x14ac:dyDescent="0.3">
      <c r="A49" s="100" t="s">
        <v>5</v>
      </c>
      <c r="B49" s="34" t="s">
        <v>6</v>
      </c>
      <c r="C49" s="22" t="s">
        <v>7</v>
      </c>
      <c r="D49" s="33" t="s">
        <v>8</v>
      </c>
      <c r="E49" s="22" t="s">
        <v>9</v>
      </c>
      <c r="F49" s="24" t="s">
        <v>10</v>
      </c>
      <c r="G49" s="23" t="s">
        <v>11</v>
      </c>
      <c r="H49" s="25" t="s">
        <v>12</v>
      </c>
      <c r="J49" s="6" t="s">
        <v>4</v>
      </c>
      <c r="K49" s="9">
        <v>45597</v>
      </c>
      <c r="L49" s="66">
        <v>45605</v>
      </c>
      <c r="M49" s="4"/>
      <c r="N49" s="4"/>
      <c r="O49" s="4"/>
      <c r="P49" s="4"/>
      <c r="Q49" s="4"/>
      <c r="R49" s="4"/>
      <c r="S49" s="4"/>
      <c r="T49" s="4"/>
      <c r="U49" s="5"/>
      <c r="Y49" s="6" t="s">
        <v>4</v>
      </c>
      <c r="Z49" s="9"/>
      <c r="AA49" s="4"/>
      <c r="AB49" s="4"/>
      <c r="AC49" s="4"/>
      <c r="AD49" s="4"/>
      <c r="AE49" s="5"/>
      <c r="AH49" s="6" t="s">
        <v>4</v>
      </c>
      <c r="AI49" s="9"/>
      <c r="AJ49" s="4"/>
      <c r="AK49" s="4"/>
      <c r="AL49" s="4"/>
      <c r="AM49" s="4"/>
      <c r="AN49" s="5"/>
    </row>
    <row r="50" spans="1:40" ht="15.75" thickBot="1" x14ac:dyDescent="0.3">
      <c r="A50" s="100"/>
      <c r="B50" s="26"/>
      <c r="C50" s="27"/>
      <c r="D50" s="27"/>
      <c r="E50" s="27"/>
      <c r="F50" s="27">
        <f>SUM(C50-B50)</f>
        <v>0</v>
      </c>
      <c r="G50" s="20">
        <f>SUM(E50-D50)</f>
        <v>0</v>
      </c>
      <c r="H50" s="21">
        <f>SUM(F50:G50)</f>
        <v>0</v>
      </c>
      <c r="J50" s="7" t="s">
        <v>22</v>
      </c>
      <c r="K50" s="10">
        <v>166.59</v>
      </c>
      <c r="L50" s="11">
        <v>146.97</v>
      </c>
      <c r="M50" s="11"/>
      <c r="N50" s="11"/>
      <c r="O50" s="11"/>
      <c r="P50" s="11"/>
      <c r="Q50" s="11"/>
      <c r="R50" s="11"/>
      <c r="S50" s="11"/>
      <c r="T50" s="11"/>
      <c r="U50" s="12"/>
      <c r="Y50" s="7" t="s">
        <v>22</v>
      </c>
      <c r="Z50" s="10"/>
      <c r="AA50" s="11"/>
      <c r="AB50" s="11"/>
      <c r="AC50" s="11"/>
      <c r="AD50" s="11"/>
      <c r="AE50" s="12"/>
      <c r="AH50" s="7" t="s">
        <v>22</v>
      </c>
      <c r="AI50" s="10"/>
      <c r="AJ50" s="11"/>
      <c r="AK50" s="11"/>
      <c r="AL50" s="11"/>
      <c r="AM50" s="11"/>
      <c r="AN50" s="12"/>
    </row>
    <row r="51" spans="1:40" x14ac:dyDescent="0.25">
      <c r="J51" s="8"/>
      <c r="T51" s="8" t="s">
        <v>23</v>
      </c>
      <c r="U51" s="13">
        <f>SUM(K50:U50)</f>
        <v>313.56</v>
      </c>
      <c r="AD51" s="8" t="s">
        <v>23</v>
      </c>
      <c r="AE51" s="13">
        <f>SUM(Z50:AE50)</f>
        <v>0</v>
      </c>
      <c r="AM51" s="8" t="s">
        <v>23</v>
      </c>
      <c r="AN51" s="13">
        <f>SUM(AI50:AN50)</f>
        <v>0</v>
      </c>
    </row>
    <row r="52" spans="1:40" ht="15.75" thickBot="1" x14ac:dyDescent="0.3">
      <c r="A52" s="83" t="s">
        <v>145</v>
      </c>
      <c r="B52" s="101" t="s">
        <v>21</v>
      </c>
      <c r="C52" s="101"/>
      <c r="D52" s="101"/>
      <c r="E52" s="101"/>
      <c r="F52" s="101"/>
      <c r="G52" s="101"/>
      <c r="H52" s="101"/>
      <c r="J52" s="102" t="s">
        <v>21</v>
      </c>
      <c r="K52" s="102"/>
      <c r="L52" s="102"/>
      <c r="M52" s="102"/>
      <c r="N52" s="102"/>
      <c r="O52" s="102"/>
      <c r="P52" s="102"/>
      <c r="Q52" s="102"/>
      <c r="R52" s="102"/>
      <c r="S52" s="102"/>
      <c r="T52" s="102"/>
      <c r="U52" s="102"/>
      <c r="Y52" s="103" t="str">
        <f>J52</f>
        <v>Dezembro</v>
      </c>
      <c r="Z52" s="103"/>
      <c r="AA52" s="103"/>
      <c r="AB52" s="103"/>
      <c r="AC52" s="103"/>
      <c r="AD52" s="103"/>
      <c r="AE52" s="103"/>
      <c r="AH52" s="104" t="str">
        <f>Y52</f>
        <v>Dezembro</v>
      </c>
      <c r="AI52" s="104"/>
      <c r="AJ52" s="104"/>
      <c r="AK52" s="104"/>
      <c r="AL52" s="104"/>
      <c r="AM52" s="104"/>
      <c r="AN52" s="104"/>
    </row>
    <row r="53" spans="1:40" ht="15.75" thickBot="1" x14ac:dyDescent="0.3">
      <c r="A53" s="100" t="s">
        <v>5</v>
      </c>
      <c r="B53" s="34" t="s">
        <v>6</v>
      </c>
      <c r="C53" s="22" t="s">
        <v>7</v>
      </c>
      <c r="D53" s="33" t="s">
        <v>8</v>
      </c>
      <c r="E53" s="22" t="s">
        <v>9</v>
      </c>
      <c r="F53" s="24" t="s">
        <v>10</v>
      </c>
      <c r="G53" s="23" t="s">
        <v>11</v>
      </c>
      <c r="H53" s="25" t="s">
        <v>12</v>
      </c>
      <c r="J53" s="6" t="s">
        <v>4</v>
      </c>
      <c r="K53" s="9"/>
      <c r="L53" s="4"/>
      <c r="M53" s="4"/>
      <c r="N53" s="4"/>
      <c r="O53" s="4"/>
      <c r="P53" s="4"/>
      <c r="Q53" s="4"/>
      <c r="R53" s="4"/>
      <c r="S53" s="4"/>
      <c r="T53" s="4"/>
      <c r="U53" s="5"/>
      <c r="Y53" s="6" t="s">
        <v>4</v>
      </c>
      <c r="Z53" s="9"/>
      <c r="AA53" s="4"/>
      <c r="AB53" s="4"/>
      <c r="AC53" s="4"/>
      <c r="AD53" s="4"/>
      <c r="AE53" s="5"/>
      <c r="AH53" s="6" t="s">
        <v>4</v>
      </c>
      <c r="AI53" s="9"/>
      <c r="AJ53" s="4"/>
      <c r="AK53" s="4"/>
      <c r="AL53" s="4"/>
      <c r="AM53" s="4"/>
      <c r="AN53" s="5"/>
    </row>
    <row r="54" spans="1:40" ht="15.75" thickBot="1" x14ac:dyDescent="0.3">
      <c r="A54" s="100"/>
      <c r="B54" s="26"/>
      <c r="C54" s="27"/>
      <c r="D54" s="27">
        <v>30</v>
      </c>
      <c r="E54" s="27">
        <v>297</v>
      </c>
      <c r="F54" s="27">
        <f>SUM(C54-B54)</f>
        <v>0</v>
      </c>
      <c r="G54" s="20">
        <f>SUM(E54-D54)</f>
        <v>267</v>
      </c>
      <c r="H54" s="21">
        <f>SUM(F54:G54)</f>
        <v>267</v>
      </c>
      <c r="J54" s="7" t="s">
        <v>22</v>
      </c>
      <c r="K54" s="10"/>
      <c r="L54" s="11"/>
      <c r="M54" s="11"/>
      <c r="N54" s="11"/>
      <c r="O54" s="11"/>
      <c r="P54" s="11"/>
      <c r="Q54" s="11"/>
      <c r="R54" s="11"/>
      <c r="S54" s="11"/>
      <c r="T54" s="11"/>
      <c r="U54" s="12"/>
      <c r="Y54" s="7" t="s">
        <v>22</v>
      </c>
      <c r="Z54" s="10"/>
      <c r="AA54" s="11"/>
      <c r="AB54" s="11"/>
      <c r="AC54" s="11"/>
      <c r="AD54" s="11"/>
      <c r="AE54" s="12"/>
      <c r="AH54" s="7" t="s">
        <v>22</v>
      </c>
      <c r="AI54" s="10"/>
      <c r="AJ54" s="11"/>
      <c r="AK54" s="11"/>
      <c r="AL54" s="11"/>
      <c r="AM54" s="11"/>
      <c r="AN54" s="12"/>
    </row>
    <row r="55" spans="1:40" x14ac:dyDescent="0.25">
      <c r="J55" s="8"/>
      <c r="T55" s="8" t="s">
        <v>23</v>
      </c>
      <c r="U55" s="13">
        <f>SUM(K54:U54)</f>
        <v>0</v>
      </c>
      <c r="AD55" s="8" t="s">
        <v>23</v>
      </c>
      <c r="AE55" s="13">
        <f>SUM(Z54:AE54)</f>
        <v>0</v>
      </c>
      <c r="AM55" s="8" t="s">
        <v>23</v>
      </c>
      <c r="AN55" s="13">
        <f>SUM(AI54:AN54)</f>
        <v>0</v>
      </c>
    </row>
    <row r="56" spans="1:40" ht="15.75" thickBot="1" x14ac:dyDescent="0.3">
      <c r="A56" s="19"/>
      <c r="B56" s="101" t="s">
        <v>141</v>
      </c>
      <c r="C56" s="101"/>
      <c r="D56" s="101"/>
      <c r="E56" s="101"/>
      <c r="F56" s="101"/>
      <c r="G56" s="101"/>
      <c r="H56" s="101"/>
      <c r="J56" s="102" t="s">
        <v>141</v>
      </c>
      <c r="K56" s="102"/>
      <c r="L56" s="102"/>
      <c r="M56" s="102"/>
      <c r="N56" s="102"/>
      <c r="O56" s="102"/>
      <c r="P56" s="102"/>
      <c r="Q56" s="102"/>
      <c r="R56" s="102"/>
      <c r="S56" s="102"/>
      <c r="T56" s="102"/>
      <c r="U56" s="102"/>
      <c r="Y56" s="103" t="str">
        <f>J56</f>
        <v>Janeiro</v>
      </c>
      <c r="Z56" s="103"/>
      <c r="AA56" s="103"/>
      <c r="AB56" s="103"/>
      <c r="AC56" s="103"/>
      <c r="AD56" s="103"/>
      <c r="AE56" s="103"/>
      <c r="AH56" s="104" t="str">
        <f>Y56</f>
        <v>Janeiro</v>
      </c>
      <c r="AI56" s="104"/>
      <c r="AJ56" s="104"/>
      <c r="AK56" s="104"/>
      <c r="AL56" s="104"/>
      <c r="AM56" s="104"/>
      <c r="AN56" s="104"/>
    </row>
    <row r="57" spans="1:40" ht="15.75" thickBot="1" x14ac:dyDescent="0.3">
      <c r="A57" s="100" t="s">
        <v>5</v>
      </c>
      <c r="B57" s="34" t="s">
        <v>6</v>
      </c>
      <c r="C57" s="22" t="s">
        <v>7</v>
      </c>
      <c r="D57" s="33" t="s">
        <v>8</v>
      </c>
      <c r="E57" s="22" t="s">
        <v>9</v>
      </c>
      <c r="F57" s="24" t="s">
        <v>10</v>
      </c>
      <c r="G57" s="23" t="s">
        <v>11</v>
      </c>
      <c r="H57" s="25" t="s">
        <v>12</v>
      </c>
      <c r="J57" s="6" t="s">
        <v>4</v>
      </c>
      <c r="K57" s="9">
        <v>45667</v>
      </c>
      <c r="L57" s="66">
        <v>45675</v>
      </c>
      <c r="M57" s="9"/>
      <c r="N57" s="91"/>
      <c r="O57" s="66"/>
      <c r="P57" s="4"/>
      <c r="Q57" s="4"/>
      <c r="R57" s="4"/>
      <c r="S57" s="4"/>
      <c r="T57" s="4"/>
      <c r="U57" s="5"/>
      <c r="Y57" s="6" t="s">
        <v>4</v>
      </c>
      <c r="Z57" s="9">
        <v>45668</v>
      </c>
      <c r="AA57" s="66">
        <v>45675</v>
      </c>
      <c r="AB57" s="66">
        <v>45682</v>
      </c>
      <c r="AC57" s="4"/>
      <c r="AD57" s="4"/>
      <c r="AE57" s="5"/>
      <c r="AH57" s="6" t="s">
        <v>4</v>
      </c>
      <c r="AI57" s="9"/>
      <c r="AJ57" s="4"/>
      <c r="AK57" s="4"/>
      <c r="AL57" s="4"/>
      <c r="AM57" s="4"/>
      <c r="AN57" s="5"/>
    </row>
    <row r="58" spans="1:40" ht="15.75" thickBot="1" x14ac:dyDescent="0.3">
      <c r="A58" s="100"/>
      <c r="B58" s="26">
        <v>297</v>
      </c>
      <c r="C58" s="27">
        <v>895</v>
      </c>
      <c r="D58" s="27">
        <v>895</v>
      </c>
      <c r="E58" s="27">
        <v>1931</v>
      </c>
      <c r="F58" s="27">
        <f>SUM(C58-B58)</f>
        <v>598</v>
      </c>
      <c r="G58" s="20">
        <f>SUM(E58-D58)</f>
        <v>1036</v>
      </c>
      <c r="H58" s="21">
        <f>SUM(F58:G58)</f>
        <v>1634</v>
      </c>
      <c r="J58" s="7" t="s">
        <v>22</v>
      </c>
      <c r="K58" s="10">
        <v>474.21</v>
      </c>
      <c r="L58" s="11">
        <v>223.8</v>
      </c>
      <c r="M58" s="10"/>
      <c r="N58" s="11"/>
      <c r="O58" s="11"/>
      <c r="P58" s="11"/>
      <c r="Q58" s="11"/>
      <c r="R58" s="11"/>
      <c r="S58" s="11"/>
      <c r="T58" s="11"/>
      <c r="U58" s="12"/>
      <c r="Y58" s="7" t="s">
        <v>22</v>
      </c>
      <c r="Z58" s="10">
        <v>130</v>
      </c>
      <c r="AA58" s="11">
        <v>130</v>
      </c>
      <c r="AB58" s="11">
        <v>130</v>
      </c>
      <c r="AC58" s="11"/>
      <c r="AD58" s="11"/>
      <c r="AE58" s="12"/>
      <c r="AH58" s="7" t="s">
        <v>22</v>
      </c>
      <c r="AI58" s="10"/>
      <c r="AJ58" s="11"/>
      <c r="AK58" s="11"/>
      <c r="AL58" s="11"/>
      <c r="AM58" s="11"/>
      <c r="AN58" s="12"/>
    </row>
    <row r="59" spans="1:40" x14ac:dyDescent="0.25">
      <c r="J59" s="8"/>
      <c r="T59" s="8" t="s">
        <v>23</v>
      </c>
      <c r="U59" s="13">
        <f>SUM(K58:U58)</f>
        <v>698.01</v>
      </c>
      <c r="AD59" s="8" t="s">
        <v>23</v>
      </c>
      <c r="AE59" s="13">
        <f>SUM(Z58:AE58)</f>
        <v>390</v>
      </c>
      <c r="AM59" s="8" t="s">
        <v>23</v>
      </c>
      <c r="AN59" s="13">
        <f>SUM(AI58:AN58)</f>
        <v>0</v>
      </c>
    </row>
    <row r="60" spans="1:40" ht="15.75" thickBot="1" x14ac:dyDescent="0.3">
      <c r="A60" s="83" t="s">
        <v>154</v>
      </c>
      <c r="B60" s="101" t="s">
        <v>3</v>
      </c>
      <c r="C60" s="101"/>
      <c r="D60" s="101"/>
      <c r="E60" s="101"/>
      <c r="F60" s="101"/>
      <c r="G60" s="101"/>
      <c r="H60" s="101"/>
      <c r="J60" s="102" t="s">
        <v>3</v>
      </c>
      <c r="K60" s="102"/>
      <c r="L60" s="102"/>
      <c r="M60" s="102"/>
      <c r="N60" s="102"/>
      <c r="O60" s="102"/>
      <c r="P60" s="102"/>
      <c r="Q60" s="102"/>
      <c r="R60" s="102"/>
      <c r="S60" s="102"/>
      <c r="T60" s="102"/>
      <c r="U60" s="102"/>
      <c r="Y60" s="103" t="str">
        <f>J60</f>
        <v>Fevereiro</v>
      </c>
      <c r="Z60" s="103"/>
      <c r="AA60" s="103"/>
      <c r="AB60" s="103"/>
      <c r="AC60" s="103"/>
      <c r="AD60" s="103"/>
      <c r="AE60" s="103"/>
      <c r="AH60" s="104" t="str">
        <f>Y60</f>
        <v>Fevereiro</v>
      </c>
      <c r="AI60" s="104"/>
      <c r="AJ60" s="104"/>
      <c r="AK60" s="104"/>
      <c r="AL60" s="104"/>
      <c r="AM60" s="104"/>
      <c r="AN60" s="104"/>
    </row>
    <row r="61" spans="1:40" ht="15.75" thickBot="1" x14ac:dyDescent="0.3">
      <c r="A61" s="100" t="s">
        <v>5</v>
      </c>
      <c r="B61" s="34" t="s">
        <v>6</v>
      </c>
      <c r="C61" s="22" t="s">
        <v>7</v>
      </c>
      <c r="D61" s="33" t="s">
        <v>8</v>
      </c>
      <c r="E61" s="22" t="s">
        <v>9</v>
      </c>
      <c r="F61" s="24" t="s">
        <v>10</v>
      </c>
      <c r="G61" s="23" t="s">
        <v>11</v>
      </c>
      <c r="H61" s="25" t="s">
        <v>12</v>
      </c>
      <c r="J61" s="6" t="s">
        <v>4</v>
      </c>
      <c r="K61" s="9">
        <v>45689</v>
      </c>
      <c r="L61" s="66">
        <v>45696</v>
      </c>
      <c r="M61" s="66">
        <v>45703</v>
      </c>
      <c r="N61" s="66">
        <v>45709</v>
      </c>
      <c r="O61" s="66">
        <v>45713</v>
      </c>
      <c r="P61" s="4"/>
      <c r="Q61" s="4"/>
      <c r="R61" s="4"/>
      <c r="S61" s="4"/>
      <c r="T61" s="4"/>
      <c r="U61" s="5"/>
      <c r="Y61" s="6" t="s">
        <v>4</v>
      </c>
      <c r="Z61" s="9">
        <v>45689</v>
      </c>
      <c r="AA61" s="66">
        <v>45696</v>
      </c>
      <c r="AB61" s="4"/>
      <c r="AC61" s="4"/>
      <c r="AD61" s="4"/>
      <c r="AE61" s="5"/>
      <c r="AH61" s="6" t="s">
        <v>4</v>
      </c>
      <c r="AI61" s="9"/>
      <c r="AJ61" s="4"/>
      <c r="AK61" s="4"/>
      <c r="AL61" s="4"/>
      <c r="AM61" s="4"/>
      <c r="AN61" s="5"/>
    </row>
    <row r="62" spans="1:40" ht="15.75" thickBot="1" x14ac:dyDescent="0.3">
      <c r="A62" s="100"/>
      <c r="B62" s="26">
        <v>1931</v>
      </c>
      <c r="C62" s="27">
        <v>2880</v>
      </c>
      <c r="D62" s="27">
        <v>2880</v>
      </c>
      <c r="E62" s="27">
        <v>3625</v>
      </c>
      <c r="F62" s="27">
        <f>SUM(C62-B62)</f>
        <v>949</v>
      </c>
      <c r="G62" s="20">
        <f>SUM(E62-D62)</f>
        <v>745</v>
      </c>
      <c r="H62" s="21">
        <f>SUM(F62:G62)</f>
        <v>1694</v>
      </c>
      <c r="J62" s="7" t="s">
        <v>22</v>
      </c>
      <c r="K62" s="10">
        <v>411.54</v>
      </c>
      <c r="L62" s="11">
        <v>396.27</v>
      </c>
      <c r="M62" s="11">
        <v>302.58999999999997</v>
      </c>
      <c r="N62" s="11">
        <v>154.44</v>
      </c>
      <c r="O62" s="11">
        <v>161.78</v>
      </c>
      <c r="P62" s="11"/>
      <c r="Q62" s="11"/>
      <c r="R62" s="11"/>
      <c r="S62" s="11"/>
      <c r="T62" s="11"/>
      <c r="U62" s="12"/>
      <c r="Y62" s="7" t="s">
        <v>22</v>
      </c>
      <c r="Z62" s="10">
        <v>130</v>
      </c>
      <c r="AA62" s="11">
        <v>130</v>
      </c>
      <c r="AB62" s="11"/>
      <c r="AC62" s="11"/>
      <c r="AD62" s="11"/>
      <c r="AE62" s="12"/>
      <c r="AH62" s="7" t="s">
        <v>22</v>
      </c>
      <c r="AI62" s="10"/>
      <c r="AJ62" s="11"/>
      <c r="AK62" s="11"/>
      <c r="AL62" s="11"/>
      <c r="AM62" s="11"/>
      <c r="AN62" s="12"/>
    </row>
    <row r="63" spans="1:40" x14ac:dyDescent="0.25">
      <c r="J63" s="8"/>
      <c r="T63" s="8" t="s">
        <v>23</v>
      </c>
      <c r="U63" s="13">
        <f>SUM(K62:U62)</f>
        <v>1426.62</v>
      </c>
      <c r="AD63" s="8" t="s">
        <v>23</v>
      </c>
      <c r="AE63" s="13">
        <f>SUM(Z62:AE62)</f>
        <v>260</v>
      </c>
      <c r="AM63" s="8" t="s">
        <v>23</v>
      </c>
      <c r="AN63" s="13">
        <f>SUM(AI62:AN62)</f>
        <v>0</v>
      </c>
    </row>
    <row r="64" spans="1:40" ht="15.75" thickBot="1" x14ac:dyDescent="0.3">
      <c r="A64" s="83" t="s">
        <v>180</v>
      </c>
      <c r="B64" s="101" t="s">
        <v>13</v>
      </c>
      <c r="C64" s="101"/>
      <c r="D64" s="101"/>
      <c r="E64" s="101"/>
      <c r="F64" s="101"/>
      <c r="G64" s="101"/>
      <c r="H64" s="101"/>
      <c r="J64" s="102" t="s">
        <v>13</v>
      </c>
      <c r="K64" s="102"/>
      <c r="L64" s="102"/>
      <c r="M64" s="102"/>
      <c r="N64" s="102"/>
      <c r="O64" s="102"/>
      <c r="P64" s="102"/>
      <c r="Q64" s="102"/>
      <c r="R64" s="102"/>
      <c r="S64" s="102"/>
      <c r="T64" s="102"/>
      <c r="U64" s="102"/>
      <c r="Y64" s="103" t="str">
        <f>J64</f>
        <v>Março</v>
      </c>
      <c r="Z64" s="103"/>
      <c r="AA64" s="103"/>
      <c r="AB64" s="103"/>
      <c r="AC64" s="103"/>
      <c r="AD64" s="103"/>
      <c r="AE64" s="103"/>
      <c r="AH64" s="104" t="str">
        <f>Y64</f>
        <v>Março</v>
      </c>
      <c r="AI64" s="104"/>
      <c r="AJ64" s="104"/>
      <c r="AK64" s="104"/>
      <c r="AL64" s="104"/>
      <c r="AM64" s="104"/>
      <c r="AN64" s="104"/>
    </row>
    <row r="65" spans="1:40" ht="15.75" thickBot="1" x14ac:dyDescent="0.3">
      <c r="A65" s="100" t="s">
        <v>5</v>
      </c>
      <c r="B65" s="34" t="s">
        <v>6</v>
      </c>
      <c r="C65" s="22" t="s">
        <v>7</v>
      </c>
      <c r="D65" s="33" t="s">
        <v>8</v>
      </c>
      <c r="E65" s="22" t="s">
        <v>9</v>
      </c>
      <c r="F65" s="24" t="s">
        <v>10</v>
      </c>
      <c r="G65" s="23" t="s">
        <v>11</v>
      </c>
      <c r="H65" s="25" t="s">
        <v>12</v>
      </c>
      <c r="J65" s="6" t="s">
        <v>4</v>
      </c>
      <c r="K65" s="9">
        <v>45720</v>
      </c>
      <c r="L65" s="66">
        <v>45724</v>
      </c>
      <c r="M65" s="66">
        <v>45731</v>
      </c>
      <c r="N65" s="66">
        <v>45735</v>
      </c>
      <c r="O65" s="66">
        <v>45738</v>
      </c>
      <c r="P65" s="66">
        <v>45745</v>
      </c>
      <c r="Q65" s="4"/>
      <c r="R65" s="4"/>
      <c r="S65" s="4"/>
      <c r="T65" s="4"/>
      <c r="U65" s="5"/>
      <c r="Y65" s="6" t="s">
        <v>4</v>
      </c>
      <c r="Z65" s="9">
        <v>45731</v>
      </c>
      <c r="AA65" s="66">
        <v>45738</v>
      </c>
      <c r="AB65" s="66">
        <v>45745</v>
      </c>
      <c r="AC65" s="4"/>
      <c r="AD65" s="4"/>
      <c r="AE65" s="5"/>
      <c r="AH65" s="6" t="s">
        <v>4</v>
      </c>
      <c r="AI65" s="9"/>
      <c r="AJ65" s="4"/>
      <c r="AK65" s="4"/>
      <c r="AL65" s="4"/>
      <c r="AM65" s="4"/>
      <c r="AN65" s="5"/>
    </row>
    <row r="66" spans="1:40" ht="15.75" thickBot="1" x14ac:dyDescent="0.3">
      <c r="A66" s="100"/>
      <c r="B66" s="26">
        <v>2804</v>
      </c>
      <c r="C66" s="27">
        <v>4056</v>
      </c>
      <c r="D66" s="27">
        <v>4056</v>
      </c>
      <c r="E66" s="27">
        <v>4885</v>
      </c>
      <c r="F66" s="27">
        <f>SUM(C66-B66)</f>
        <v>1252</v>
      </c>
      <c r="G66" s="20">
        <f>SUM(E66-D66)</f>
        <v>829</v>
      </c>
      <c r="H66" s="21">
        <f>SUM(F66:G66)</f>
        <v>2081</v>
      </c>
      <c r="J66" s="7" t="s">
        <v>22</v>
      </c>
      <c r="K66" s="10">
        <v>219.97</v>
      </c>
      <c r="L66" s="11">
        <v>213.45</v>
      </c>
      <c r="M66" s="11">
        <v>258.72000000000003</v>
      </c>
      <c r="N66" s="11">
        <v>244.88</v>
      </c>
      <c r="O66" s="11">
        <v>146.5</v>
      </c>
      <c r="P66" s="11">
        <v>224.32</v>
      </c>
      <c r="Q66" s="11"/>
      <c r="R66" s="11"/>
      <c r="S66" s="11"/>
      <c r="T66" s="11"/>
      <c r="U66" s="12"/>
      <c r="Y66" s="7" t="s">
        <v>22</v>
      </c>
      <c r="Z66" s="10">
        <v>80</v>
      </c>
      <c r="AA66" s="10">
        <v>80</v>
      </c>
      <c r="AB66" s="10">
        <v>80</v>
      </c>
      <c r="AC66" s="11"/>
      <c r="AD66" s="11"/>
      <c r="AE66" s="12"/>
      <c r="AH66" s="7" t="s">
        <v>22</v>
      </c>
      <c r="AI66" s="10"/>
      <c r="AJ66" s="11"/>
      <c r="AK66" s="11"/>
      <c r="AL66" s="11"/>
      <c r="AM66" s="11"/>
      <c r="AN66" s="12"/>
    </row>
    <row r="67" spans="1:40" x14ac:dyDescent="0.25">
      <c r="J67" s="8"/>
      <c r="T67" s="8" t="s">
        <v>23</v>
      </c>
      <c r="U67" s="13">
        <f>SUM(K66:U66)</f>
        <v>1307.8399999999999</v>
      </c>
      <c r="AD67" s="8" t="s">
        <v>23</v>
      </c>
      <c r="AE67" s="13">
        <f>SUM(Z66:AE66)</f>
        <v>240</v>
      </c>
      <c r="AM67" s="8" t="s">
        <v>23</v>
      </c>
      <c r="AN67" s="13">
        <f>SUM(AI66:AN66)</f>
        <v>0</v>
      </c>
    </row>
    <row r="68" spans="1:40" ht="15.75" thickBot="1" x14ac:dyDescent="0.3">
      <c r="A68" s="19"/>
      <c r="B68" s="101" t="s">
        <v>14</v>
      </c>
      <c r="C68" s="101"/>
      <c r="D68" s="101"/>
      <c r="E68" s="101"/>
      <c r="F68" s="101"/>
      <c r="G68" s="101"/>
      <c r="H68" s="101"/>
      <c r="J68" s="102" t="s">
        <v>14</v>
      </c>
      <c r="K68" s="102"/>
      <c r="L68" s="102"/>
      <c r="M68" s="102"/>
      <c r="N68" s="102"/>
      <c r="O68" s="102"/>
      <c r="P68" s="102"/>
      <c r="Q68" s="102"/>
      <c r="R68" s="102"/>
      <c r="S68" s="102"/>
      <c r="T68" s="102"/>
      <c r="U68" s="102"/>
      <c r="Y68" s="103" t="str">
        <f>J68</f>
        <v>Abril</v>
      </c>
      <c r="Z68" s="103"/>
      <c r="AA68" s="103"/>
      <c r="AB68" s="103"/>
      <c r="AC68" s="103"/>
      <c r="AD68" s="103"/>
      <c r="AE68" s="103"/>
      <c r="AH68" s="104" t="str">
        <f>Y68</f>
        <v>Abril</v>
      </c>
      <c r="AI68" s="104"/>
      <c r="AJ68" s="104"/>
      <c r="AK68" s="104"/>
      <c r="AL68" s="104"/>
      <c r="AM68" s="104"/>
      <c r="AN68" s="104"/>
    </row>
    <row r="69" spans="1:40" ht="15.75" thickBot="1" x14ac:dyDescent="0.3">
      <c r="A69" s="100" t="s">
        <v>5</v>
      </c>
      <c r="B69" s="34" t="s">
        <v>6</v>
      </c>
      <c r="C69" s="22" t="s">
        <v>7</v>
      </c>
      <c r="D69" s="33" t="s">
        <v>8</v>
      </c>
      <c r="E69" s="22" t="s">
        <v>9</v>
      </c>
      <c r="F69" s="24" t="s">
        <v>10</v>
      </c>
      <c r="G69" s="23" t="s">
        <v>11</v>
      </c>
      <c r="H69" s="25" t="s">
        <v>12</v>
      </c>
      <c r="J69" s="6" t="s">
        <v>4</v>
      </c>
      <c r="K69" s="9">
        <v>45759</v>
      </c>
      <c r="L69" s="66">
        <v>45762</v>
      </c>
      <c r="M69" s="4"/>
      <c r="N69" s="4"/>
      <c r="O69" s="4"/>
      <c r="P69" s="4"/>
      <c r="Q69" s="4"/>
      <c r="R69" s="4"/>
      <c r="S69" s="4"/>
      <c r="T69" s="4"/>
      <c r="U69" s="5"/>
      <c r="Y69" s="6" t="s">
        <v>4</v>
      </c>
      <c r="Z69" s="9"/>
      <c r="AA69" s="4"/>
      <c r="AB69" s="4"/>
      <c r="AC69" s="4"/>
      <c r="AD69" s="4"/>
      <c r="AE69" s="5"/>
      <c r="AH69" s="6" t="s">
        <v>4</v>
      </c>
      <c r="AI69" s="9"/>
      <c r="AJ69" s="4"/>
      <c r="AK69" s="4"/>
      <c r="AL69" s="4"/>
      <c r="AM69" s="4"/>
      <c r="AN69" s="5"/>
    </row>
    <row r="70" spans="1:40" ht="15.75" thickBot="1" x14ac:dyDescent="0.3">
      <c r="A70" s="100"/>
      <c r="B70" s="27">
        <v>4885</v>
      </c>
      <c r="C70" s="27">
        <v>5575</v>
      </c>
      <c r="D70" s="27"/>
      <c r="E70" s="27"/>
      <c r="F70" s="27">
        <f>SUM(C70-B70)</f>
        <v>690</v>
      </c>
      <c r="G70" s="20">
        <f>SUM(E70-D70)</f>
        <v>0</v>
      </c>
      <c r="H70" s="21">
        <f>SUM(F70:G70)</f>
        <v>690</v>
      </c>
      <c r="J70" s="7" t="s">
        <v>22</v>
      </c>
      <c r="K70" s="30">
        <v>206.99</v>
      </c>
      <c r="L70" s="31">
        <v>72.290000000000006</v>
      </c>
      <c r="M70" s="31"/>
      <c r="N70" s="31"/>
      <c r="O70" s="31"/>
      <c r="P70" s="31"/>
      <c r="Q70" s="31"/>
      <c r="R70" s="31"/>
      <c r="S70" s="31"/>
      <c r="T70" s="31"/>
      <c r="U70" s="32"/>
      <c r="Y70" s="7" t="s">
        <v>22</v>
      </c>
      <c r="Z70" s="10"/>
      <c r="AA70" s="11"/>
      <c r="AB70" s="11"/>
      <c r="AC70" s="11"/>
      <c r="AD70" s="11"/>
      <c r="AE70" s="12"/>
      <c r="AH70" s="7" t="s">
        <v>22</v>
      </c>
      <c r="AI70" s="10"/>
      <c r="AJ70" s="11"/>
      <c r="AK70" s="11"/>
      <c r="AL70" s="11"/>
      <c r="AM70" s="11"/>
      <c r="AN70" s="12"/>
    </row>
    <row r="71" spans="1:40" x14ac:dyDescent="0.25">
      <c r="J71" s="8"/>
      <c r="T71" s="8" t="s">
        <v>23</v>
      </c>
      <c r="U71" s="13">
        <f>SUM(K70:U70)</f>
        <v>279.28000000000003</v>
      </c>
      <c r="AD71" s="8" t="s">
        <v>23</v>
      </c>
      <c r="AE71" s="13">
        <f>SUM(Z70:AE70)</f>
        <v>0</v>
      </c>
      <c r="AM71" s="8" t="s">
        <v>23</v>
      </c>
      <c r="AN71" s="13">
        <f>SUM(AI70:AN70)</f>
        <v>0</v>
      </c>
    </row>
    <row r="72" spans="1:40" ht="15.75" thickBot="1" x14ac:dyDescent="0.3">
      <c r="A72" s="19"/>
      <c r="B72" s="101" t="s">
        <v>15</v>
      </c>
      <c r="C72" s="101"/>
      <c r="D72" s="101"/>
      <c r="E72" s="101"/>
      <c r="F72" s="101"/>
      <c r="G72" s="101"/>
      <c r="H72" s="101"/>
      <c r="J72" s="102" t="s">
        <v>15</v>
      </c>
      <c r="K72" s="102"/>
      <c r="L72" s="102"/>
      <c r="M72" s="102"/>
      <c r="N72" s="102"/>
      <c r="O72" s="102"/>
      <c r="P72" s="102"/>
      <c r="Q72" s="102"/>
      <c r="R72" s="102"/>
      <c r="S72" s="102"/>
      <c r="T72" s="102"/>
      <c r="U72" s="102"/>
      <c r="Y72" s="103" t="str">
        <f>J72</f>
        <v>Maio</v>
      </c>
      <c r="Z72" s="103"/>
      <c r="AA72" s="103"/>
      <c r="AB72" s="103"/>
      <c r="AC72" s="103"/>
      <c r="AD72" s="103"/>
      <c r="AE72" s="103"/>
      <c r="AH72" s="104" t="str">
        <f>Y72</f>
        <v>Maio</v>
      </c>
      <c r="AI72" s="104"/>
      <c r="AJ72" s="104"/>
      <c r="AK72" s="104"/>
      <c r="AL72" s="104"/>
      <c r="AM72" s="104"/>
      <c r="AN72" s="104"/>
    </row>
    <row r="73" spans="1:40" ht="15.75" thickBot="1" x14ac:dyDescent="0.3">
      <c r="A73" s="100" t="s">
        <v>5</v>
      </c>
      <c r="B73" s="34" t="s">
        <v>6</v>
      </c>
      <c r="C73" s="22" t="s">
        <v>7</v>
      </c>
      <c r="D73" s="33" t="s">
        <v>8</v>
      </c>
      <c r="E73" s="22" t="s">
        <v>9</v>
      </c>
      <c r="F73" s="24" t="s">
        <v>10</v>
      </c>
      <c r="G73" s="23" t="s">
        <v>11</v>
      </c>
      <c r="H73" s="25" t="s">
        <v>12</v>
      </c>
      <c r="J73" s="6" t="s">
        <v>4</v>
      </c>
      <c r="K73" s="9"/>
      <c r="L73" s="4"/>
      <c r="M73" s="4"/>
      <c r="N73" s="4"/>
      <c r="O73" s="4"/>
      <c r="P73" s="4"/>
      <c r="Q73" s="4"/>
      <c r="R73" s="4"/>
      <c r="S73" s="4"/>
      <c r="T73" s="4"/>
      <c r="U73" s="5"/>
      <c r="Y73" s="6" t="s">
        <v>4</v>
      </c>
      <c r="Z73" s="9"/>
      <c r="AA73" s="4"/>
      <c r="AB73" s="4"/>
      <c r="AC73" s="4"/>
      <c r="AD73" s="4"/>
      <c r="AE73" s="5"/>
      <c r="AH73" s="6" t="s">
        <v>4</v>
      </c>
      <c r="AI73" s="9"/>
      <c r="AJ73" s="4"/>
      <c r="AK73" s="4"/>
      <c r="AL73" s="4"/>
      <c r="AM73" s="4"/>
      <c r="AN73" s="5"/>
    </row>
    <row r="74" spans="1:40" ht="15.75" thickBot="1" x14ac:dyDescent="0.3">
      <c r="A74" s="100"/>
      <c r="B74" s="26"/>
      <c r="C74" s="27"/>
      <c r="D74" s="27"/>
      <c r="E74" s="27"/>
      <c r="F74" s="27">
        <f>SUM(C74-B74)</f>
        <v>0</v>
      </c>
      <c r="G74" s="20">
        <f>SUM(E74-D74)</f>
        <v>0</v>
      </c>
      <c r="H74" s="21">
        <f>SUM(F74:G74)</f>
        <v>0</v>
      </c>
      <c r="J74" s="7" t="s">
        <v>22</v>
      </c>
      <c r="K74" s="10"/>
      <c r="L74" s="11"/>
      <c r="M74" s="11"/>
      <c r="N74" s="11"/>
      <c r="O74" s="11"/>
      <c r="P74" s="11"/>
      <c r="Q74" s="11"/>
      <c r="R74" s="11"/>
      <c r="S74" s="11"/>
      <c r="T74" s="11"/>
      <c r="U74" s="12"/>
      <c r="Y74" s="7" t="s">
        <v>22</v>
      </c>
      <c r="Z74" s="10"/>
      <c r="AA74" s="11"/>
      <c r="AB74" s="11"/>
      <c r="AC74" s="11"/>
      <c r="AD74" s="11"/>
      <c r="AE74" s="12"/>
      <c r="AH74" s="7" t="s">
        <v>22</v>
      </c>
      <c r="AI74" s="10"/>
      <c r="AJ74" s="11"/>
      <c r="AK74" s="11"/>
      <c r="AL74" s="11"/>
      <c r="AM74" s="11"/>
      <c r="AN74" s="12"/>
    </row>
    <row r="75" spans="1:40" x14ac:dyDescent="0.25">
      <c r="J75" s="8"/>
      <c r="T75" s="8" t="s">
        <v>23</v>
      </c>
      <c r="U75" s="13">
        <f>SUM(K74:U74)</f>
        <v>0</v>
      </c>
      <c r="AD75" s="8" t="s">
        <v>23</v>
      </c>
      <c r="AE75" s="13">
        <f>SUM(Z74:AE74)</f>
        <v>0</v>
      </c>
      <c r="AM75" s="8" t="s">
        <v>23</v>
      </c>
      <c r="AN75" s="13">
        <f>SUM(AI74:AN74)</f>
        <v>0</v>
      </c>
    </row>
    <row r="76" spans="1:40" ht="15.75" thickBot="1" x14ac:dyDescent="0.3">
      <c r="A76" s="19"/>
      <c r="B76" s="101" t="s">
        <v>24</v>
      </c>
      <c r="C76" s="101"/>
      <c r="D76" s="101"/>
      <c r="E76" s="101"/>
      <c r="F76" s="101"/>
      <c r="G76" s="101"/>
      <c r="H76" s="101"/>
      <c r="J76" s="102" t="s">
        <v>24</v>
      </c>
      <c r="K76" s="102"/>
      <c r="L76" s="102"/>
      <c r="M76" s="102"/>
      <c r="N76" s="102"/>
      <c r="O76" s="102"/>
      <c r="P76" s="102"/>
      <c r="Q76" s="102"/>
      <c r="R76" s="102"/>
      <c r="S76" s="102"/>
      <c r="T76" s="102"/>
      <c r="U76" s="102"/>
      <c r="Y76" s="103" t="str">
        <f>J76</f>
        <v>Junho</v>
      </c>
      <c r="Z76" s="103"/>
      <c r="AA76" s="103"/>
      <c r="AB76" s="103"/>
      <c r="AC76" s="103"/>
      <c r="AD76" s="103"/>
      <c r="AE76" s="103"/>
      <c r="AH76" s="104" t="str">
        <f>Y76</f>
        <v>Junho</v>
      </c>
      <c r="AI76" s="104"/>
      <c r="AJ76" s="104"/>
      <c r="AK76" s="104"/>
      <c r="AL76" s="104"/>
      <c r="AM76" s="104"/>
      <c r="AN76" s="104"/>
    </row>
    <row r="77" spans="1:40" ht="15.75" thickBot="1" x14ac:dyDescent="0.3">
      <c r="A77" s="100" t="s">
        <v>5</v>
      </c>
      <c r="B77" s="34" t="s">
        <v>6</v>
      </c>
      <c r="C77" s="22" t="s">
        <v>7</v>
      </c>
      <c r="D77" s="33" t="s">
        <v>8</v>
      </c>
      <c r="E77" s="22" t="s">
        <v>9</v>
      </c>
      <c r="F77" s="24" t="s">
        <v>10</v>
      </c>
      <c r="G77" s="23" t="s">
        <v>11</v>
      </c>
      <c r="H77" s="25" t="s">
        <v>12</v>
      </c>
      <c r="J77" s="6" t="s">
        <v>4</v>
      </c>
      <c r="K77" s="9"/>
      <c r="L77" s="4"/>
      <c r="M77" s="4"/>
      <c r="N77" s="4"/>
      <c r="O77" s="4"/>
      <c r="P77" s="4"/>
      <c r="Q77" s="4"/>
      <c r="R77" s="4"/>
      <c r="S77" s="4"/>
      <c r="T77" s="4"/>
      <c r="U77" s="5"/>
      <c r="Y77" s="6" t="s">
        <v>4</v>
      </c>
      <c r="Z77" s="9"/>
      <c r="AA77" s="4"/>
      <c r="AB77" s="4"/>
      <c r="AC77" s="4"/>
      <c r="AD77" s="4"/>
      <c r="AE77" s="5"/>
      <c r="AH77" s="6" t="s">
        <v>4</v>
      </c>
      <c r="AI77" s="9"/>
      <c r="AJ77" s="4"/>
      <c r="AK77" s="4"/>
      <c r="AL77" s="4"/>
      <c r="AM77" s="4"/>
      <c r="AN77" s="5"/>
    </row>
    <row r="78" spans="1:40" ht="15.75" thickBot="1" x14ac:dyDescent="0.3">
      <c r="A78" s="100"/>
      <c r="B78" s="26"/>
      <c r="C78" s="27"/>
      <c r="D78" s="27"/>
      <c r="E78" s="27"/>
      <c r="F78" s="27">
        <f>SUM(C78-B78)</f>
        <v>0</v>
      </c>
      <c r="G78" s="20">
        <f>SUM(E78-D78)</f>
        <v>0</v>
      </c>
      <c r="H78" s="21">
        <f>SUM(F78:G78)</f>
        <v>0</v>
      </c>
      <c r="J78" s="7" t="s">
        <v>22</v>
      </c>
      <c r="K78" s="10"/>
      <c r="L78" s="11"/>
      <c r="M78" s="11"/>
      <c r="N78" s="11"/>
      <c r="O78" s="11"/>
      <c r="P78" s="11"/>
      <c r="Q78" s="11"/>
      <c r="R78" s="11"/>
      <c r="S78" s="11"/>
      <c r="T78" s="11"/>
      <c r="U78" s="12"/>
      <c r="Y78" s="7" t="s">
        <v>22</v>
      </c>
      <c r="Z78" s="10"/>
      <c r="AA78" s="11"/>
      <c r="AB78" s="11"/>
      <c r="AC78" s="11"/>
      <c r="AD78" s="11"/>
      <c r="AE78" s="12"/>
      <c r="AH78" s="7" t="s">
        <v>22</v>
      </c>
      <c r="AI78" s="10"/>
      <c r="AJ78" s="11"/>
      <c r="AK78" s="11"/>
      <c r="AL78" s="11"/>
      <c r="AM78" s="11"/>
      <c r="AN78" s="12"/>
    </row>
    <row r="79" spans="1:40" x14ac:dyDescent="0.25">
      <c r="J79" s="8"/>
      <c r="T79" s="8" t="s">
        <v>23</v>
      </c>
      <c r="U79" s="13">
        <f>SUM(K78:U78)</f>
        <v>0</v>
      </c>
      <c r="AD79" s="8" t="s">
        <v>23</v>
      </c>
      <c r="AE79" s="13">
        <f>SUM(Z78:AE78)</f>
        <v>0</v>
      </c>
      <c r="AM79" s="8" t="s">
        <v>23</v>
      </c>
      <c r="AN79" s="13">
        <f>SUM(AI78:AN78)</f>
        <v>0</v>
      </c>
    </row>
  </sheetData>
  <mergeCells count="99">
    <mergeCell ref="B60:H60"/>
    <mergeCell ref="J60:U60"/>
    <mergeCell ref="Y60:AE60"/>
    <mergeCell ref="AH60:AN60"/>
    <mergeCell ref="A61:A62"/>
    <mergeCell ref="B56:H56"/>
    <mergeCell ref="J56:U56"/>
    <mergeCell ref="Y56:AE56"/>
    <mergeCell ref="AH56:AN56"/>
    <mergeCell ref="A57:A58"/>
    <mergeCell ref="B2:C2"/>
    <mergeCell ref="E2:F2"/>
    <mergeCell ref="B7:C7"/>
    <mergeCell ref="E7:F7"/>
    <mergeCell ref="A10:H10"/>
    <mergeCell ref="B4:C4"/>
    <mergeCell ref="E4:F4"/>
    <mergeCell ref="B5:C5"/>
    <mergeCell ref="E5:F5"/>
    <mergeCell ref="B6:C6"/>
    <mergeCell ref="E6:F6"/>
    <mergeCell ref="A17:A18"/>
    <mergeCell ref="Y10:AE10"/>
    <mergeCell ref="AH10:AN10"/>
    <mergeCell ref="B12:H12"/>
    <mergeCell ref="J12:U12"/>
    <mergeCell ref="Y12:AE12"/>
    <mergeCell ref="AH12:AN12"/>
    <mergeCell ref="J10:U10"/>
    <mergeCell ref="A13:A14"/>
    <mergeCell ref="B16:H16"/>
    <mergeCell ref="J16:U16"/>
    <mergeCell ref="Y16:AE16"/>
    <mergeCell ref="AH16:AN16"/>
    <mergeCell ref="A29:A30"/>
    <mergeCell ref="B20:H20"/>
    <mergeCell ref="J20:U20"/>
    <mergeCell ref="Y20:AE20"/>
    <mergeCell ref="AH20:AN20"/>
    <mergeCell ref="A21:A22"/>
    <mergeCell ref="B24:H24"/>
    <mergeCell ref="J24:U24"/>
    <mergeCell ref="Y24:AE24"/>
    <mergeCell ref="AH24:AN24"/>
    <mergeCell ref="A25:A26"/>
    <mergeCell ref="B28:H28"/>
    <mergeCell ref="J28:U28"/>
    <mergeCell ref="Y28:AE28"/>
    <mergeCell ref="AH28:AN28"/>
    <mergeCell ref="A41:A42"/>
    <mergeCell ref="B32:H32"/>
    <mergeCell ref="J32:U32"/>
    <mergeCell ref="Y32:AE32"/>
    <mergeCell ref="AH32:AN32"/>
    <mergeCell ref="A33:A34"/>
    <mergeCell ref="B36:H36"/>
    <mergeCell ref="J36:U36"/>
    <mergeCell ref="Y36:AE36"/>
    <mergeCell ref="AH36:AN36"/>
    <mergeCell ref="A37:A38"/>
    <mergeCell ref="B40:H40"/>
    <mergeCell ref="J40:U40"/>
    <mergeCell ref="Y40:AE40"/>
    <mergeCell ref="AH40:AN40"/>
    <mergeCell ref="A53:A54"/>
    <mergeCell ref="B44:H44"/>
    <mergeCell ref="J44:U44"/>
    <mergeCell ref="Y44:AE44"/>
    <mergeCell ref="AH44:AN44"/>
    <mergeCell ref="A45:A46"/>
    <mergeCell ref="B48:H48"/>
    <mergeCell ref="J48:U48"/>
    <mergeCell ref="Y48:AE48"/>
    <mergeCell ref="AH48:AN48"/>
    <mergeCell ref="A49:A50"/>
    <mergeCell ref="B52:H52"/>
    <mergeCell ref="J52:U52"/>
    <mergeCell ref="Y52:AE52"/>
    <mergeCell ref="AH52:AN52"/>
    <mergeCell ref="B64:H64"/>
    <mergeCell ref="J64:U64"/>
    <mergeCell ref="Y64:AE64"/>
    <mergeCell ref="AH64:AN64"/>
    <mergeCell ref="A65:A66"/>
    <mergeCell ref="B68:H68"/>
    <mergeCell ref="J68:U68"/>
    <mergeCell ref="Y68:AE68"/>
    <mergeCell ref="AH68:AN68"/>
    <mergeCell ref="A69:A70"/>
    <mergeCell ref="B72:H72"/>
    <mergeCell ref="J72:U72"/>
    <mergeCell ref="Y72:AE72"/>
    <mergeCell ref="AH72:AN72"/>
    <mergeCell ref="A73:A74"/>
    <mergeCell ref="B76:H76"/>
    <mergeCell ref="J76:U76"/>
    <mergeCell ref="Y76:AE76"/>
    <mergeCell ref="AH76:AN76"/>
    <mergeCell ref="A77:A78"/>
  </mergeCells>
  <phoneticPr fontId="3" type="noConversion"/>
  <pageMargins left="0.511811024" right="0.511811024" top="0.78740157499999996" bottom="0.78740157499999996" header="0.31496062000000002" footer="0.31496062000000002"/>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K68"/>
  <sheetViews>
    <sheetView showGridLines="0" topLeftCell="A57" workbookViewId="0">
      <selection activeCell="G76" sqref="G7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0.42578125" customWidth="1"/>
    <col min="10" max="10" width="13.42578125" bestFit="1" customWidth="1"/>
    <col min="11" max="12" width="10.42578125" bestFit="1" customWidth="1"/>
    <col min="13" max="13" width="10.5703125" bestFit="1" customWidth="1"/>
    <col min="14" max="20" width="10.42578125" bestFit="1" customWidth="1"/>
    <col min="21" max="21" width="12.85546875" customWidth="1"/>
    <col min="24" max="27" width="10.42578125" bestFit="1" customWidth="1"/>
    <col min="29" max="29" width="10.5703125" bestFit="1" customWidth="1"/>
    <col min="34" max="36" width="10.140625" bestFit="1" customWidth="1"/>
  </cols>
  <sheetData>
    <row r="2" spans="1:37" x14ac:dyDescent="0.25">
      <c r="A2" t="s">
        <v>0</v>
      </c>
      <c r="B2" s="107" t="s">
        <v>69</v>
      </c>
      <c r="C2" s="107"/>
      <c r="D2" s="1" t="s">
        <v>1</v>
      </c>
      <c r="E2" s="107" t="s">
        <v>140</v>
      </c>
      <c r="F2" s="107"/>
      <c r="H2" t="s">
        <v>45</v>
      </c>
      <c r="I2" s="54">
        <v>5200</v>
      </c>
    </row>
    <row r="3" spans="1:37" x14ac:dyDescent="0.25">
      <c r="A3" t="s">
        <v>148</v>
      </c>
      <c r="B3" s="110">
        <v>45636</v>
      </c>
      <c r="C3" s="107"/>
      <c r="D3" s="1" t="s">
        <v>1</v>
      </c>
      <c r="E3" s="107" t="s">
        <v>183</v>
      </c>
      <c r="F3" s="107"/>
      <c r="H3" t="s">
        <v>184</v>
      </c>
      <c r="I3" s="54" t="s">
        <v>151</v>
      </c>
      <c r="J3" t="s">
        <v>149</v>
      </c>
      <c r="K3" s="67">
        <v>45762</v>
      </c>
    </row>
    <row r="4" spans="1:37" x14ac:dyDescent="0.25">
      <c r="A4" t="s">
        <v>2</v>
      </c>
      <c r="B4" s="108">
        <v>2363</v>
      </c>
      <c r="C4" s="108"/>
      <c r="D4" s="1" t="s">
        <v>29</v>
      </c>
      <c r="E4" s="108">
        <v>40</v>
      </c>
      <c r="F4" s="108"/>
      <c r="H4" t="s">
        <v>64</v>
      </c>
      <c r="I4" s="67">
        <v>45354</v>
      </c>
    </row>
    <row r="7" spans="1:37"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105" t="s">
        <v>25</v>
      </c>
      <c r="X7" s="105"/>
      <c r="Y7" s="105"/>
      <c r="Z7" s="105"/>
      <c r="AA7" s="105"/>
      <c r="AB7" s="105"/>
      <c r="AC7" s="105"/>
      <c r="AD7" s="2"/>
      <c r="AE7" s="105" t="s">
        <v>27</v>
      </c>
      <c r="AF7" s="105"/>
      <c r="AG7" s="105"/>
      <c r="AH7" s="105"/>
      <c r="AI7" s="105"/>
      <c r="AJ7" s="105"/>
      <c r="AK7" s="105"/>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101" t="s">
        <v>3</v>
      </c>
      <c r="C9" s="101"/>
      <c r="D9" s="101"/>
      <c r="E9" s="101"/>
      <c r="F9" s="101"/>
      <c r="G9" s="101"/>
      <c r="H9" s="101"/>
      <c r="J9" s="102" t="s">
        <v>3</v>
      </c>
      <c r="K9" s="102"/>
      <c r="L9" s="102"/>
      <c r="M9" s="102"/>
      <c r="N9" s="102"/>
      <c r="O9" s="102"/>
      <c r="P9" s="102"/>
      <c r="Q9" s="102"/>
      <c r="R9" s="102"/>
      <c r="S9" s="102"/>
      <c r="T9" s="102"/>
      <c r="U9" s="102"/>
      <c r="W9" s="103" t="s">
        <v>3</v>
      </c>
      <c r="X9" s="103"/>
      <c r="Y9" s="103"/>
      <c r="Z9" s="103"/>
      <c r="AA9" s="103"/>
      <c r="AB9" s="103"/>
      <c r="AC9" s="103"/>
      <c r="AE9" s="104" t="s">
        <v>3</v>
      </c>
      <c r="AF9" s="104"/>
      <c r="AG9" s="104"/>
      <c r="AH9" s="104"/>
      <c r="AI9" s="104"/>
      <c r="AJ9" s="104"/>
      <c r="AK9" s="104"/>
    </row>
    <row r="10" spans="1:37"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W13" s="103" t="str">
        <f>J13</f>
        <v>Março</v>
      </c>
      <c r="X13" s="103"/>
      <c r="Y13" s="103"/>
      <c r="Z13" s="103"/>
      <c r="AA13" s="103"/>
      <c r="AB13" s="103"/>
      <c r="AC13" s="103"/>
      <c r="AE13" s="104" t="str">
        <f>W13</f>
        <v>Março</v>
      </c>
      <c r="AF13" s="104"/>
      <c r="AG13" s="104"/>
      <c r="AH13" s="104"/>
      <c r="AI13" s="104"/>
      <c r="AJ13" s="104"/>
      <c r="AK13" s="104"/>
    </row>
    <row r="14" spans="1:37" ht="15.75" thickBot="1" x14ac:dyDescent="0.3">
      <c r="A14" s="100" t="s">
        <v>5</v>
      </c>
      <c r="B14" s="34" t="s">
        <v>6</v>
      </c>
      <c r="C14" s="22" t="s">
        <v>7</v>
      </c>
      <c r="D14" s="33" t="s">
        <v>8</v>
      </c>
      <c r="E14" s="22" t="s">
        <v>9</v>
      </c>
      <c r="F14" s="24" t="s">
        <v>10</v>
      </c>
      <c r="G14" s="23" t="s">
        <v>11</v>
      </c>
      <c r="H14" s="25" t="s">
        <v>12</v>
      </c>
      <c r="J14" s="6" t="s">
        <v>4</v>
      </c>
      <c r="K14" s="9">
        <v>45356</v>
      </c>
      <c r="L14" s="66">
        <v>45363</v>
      </c>
      <c r="M14" s="66">
        <v>45365</v>
      </c>
      <c r="N14" s="66">
        <v>45370</v>
      </c>
      <c r="O14" s="66">
        <v>45372</v>
      </c>
      <c r="P14" s="66">
        <v>45374</v>
      </c>
      <c r="Q14" s="66">
        <v>45378</v>
      </c>
      <c r="R14" s="4"/>
      <c r="S14" s="4"/>
      <c r="T14" s="4"/>
      <c r="U14" s="5"/>
      <c r="W14" s="6" t="s">
        <v>4</v>
      </c>
      <c r="X14" s="9"/>
      <c r="Y14" s="4"/>
      <c r="Z14" s="4"/>
      <c r="AA14" s="4"/>
      <c r="AB14" s="4"/>
      <c r="AC14" s="5"/>
      <c r="AE14" s="6" t="s">
        <v>4</v>
      </c>
      <c r="AF14" s="9"/>
      <c r="AG14" s="4"/>
      <c r="AH14" s="4"/>
      <c r="AI14" s="4"/>
      <c r="AJ14" s="4"/>
      <c r="AK14" s="5"/>
    </row>
    <row r="15" spans="1:37" ht="15.75" thickBot="1" x14ac:dyDescent="0.3">
      <c r="A15" s="100"/>
      <c r="B15" s="26">
        <v>21</v>
      </c>
      <c r="C15" s="27"/>
      <c r="D15" s="27"/>
      <c r="E15" s="27">
        <v>3833</v>
      </c>
      <c r="F15" s="27">
        <f>SUM(C15-B15)</f>
        <v>-21</v>
      </c>
      <c r="G15" s="20">
        <f>SUM(E15-D15)</f>
        <v>3833</v>
      </c>
      <c r="H15" s="21">
        <f>SUM(F15:G15)</f>
        <v>3812</v>
      </c>
      <c r="J15" s="7" t="s">
        <v>22</v>
      </c>
      <c r="K15" s="10">
        <v>260.20999999999998</v>
      </c>
      <c r="L15" s="11">
        <v>251.1</v>
      </c>
      <c r="M15" s="11">
        <v>229.9</v>
      </c>
      <c r="N15" s="11">
        <v>252.78</v>
      </c>
      <c r="O15" s="11">
        <v>243.19</v>
      </c>
      <c r="P15" s="11">
        <v>261.58</v>
      </c>
      <c r="Q15" s="11">
        <v>255.59</v>
      </c>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1754.3499999999997</v>
      </c>
      <c r="AB16" s="8" t="s">
        <v>23</v>
      </c>
      <c r="AC16" s="13">
        <f>SUM(X15:AC15)</f>
        <v>0</v>
      </c>
      <c r="AJ16" s="8" t="s">
        <v>23</v>
      </c>
      <c r="AK16" s="13">
        <f>SUM(AF15:AK15)</f>
        <v>0</v>
      </c>
    </row>
    <row r="17" spans="1:37"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W17" s="103" t="str">
        <f>J17</f>
        <v>Abril</v>
      </c>
      <c r="X17" s="103"/>
      <c r="Y17" s="103"/>
      <c r="Z17" s="103"/>
      <c r="AA17" s="103"/>
      <c r="AB17" s="103"/>
      <c r="AC17" s="103"/>
      <c r="AE17" s="104" t="str">
        <f>W17</f>
        <v>Abril</v>
      </c>
      <c r="AF17" s="104"/>
      <c r="AG17" s="104"/>
      <c r="AH17" s="104"/>
      <c r="AI17" s="104"/>
      <c r="AJ17" s="104"/>
      <c r="AK17" s="104"/>
    </row>
    <row r="18" spans="1:37" ht="15.75" thickBot="1" x14ac:dyDescent="0.3">
      <c r="A18" s="100" t="s">
        <v>5</v>
      </c>
      <c r="B18" s="34" t="s">
        <v>6</v>
      </c>
      <c r="C18" s="22" t="s">
        <v>7</v>
      </c>
      <c r="D18" s="33" t="s">
        <v>8</v>
      </c>
      <c r="E18" s="22" t="s">
        <v>9</v>
      </c>
      <c r="F18" s="24" t="s">
        <v>10</v>
      </c>
      <c r="G18" s="23" t="s">
        <v>11</v>
      </c>
      <c r="H18" s="25" t="s">
        <v>12</v>
      </c>
      <c r="J18" s="6" t="s">
        <v>4</v>
      </c>
      <c r="K18" s="9">
        <v>45384</v>
      </c>
      <c r="L18" s="66">
        <v>45386</v>
      </c>
      <c r="M18" s="66">
        <v>45391</v>
      </c>
      <c r="N18" s="66">
        <v>45395</v>
      </c>
      <c r="O18" s="66">
        <v>45400</v>
      </c>
      <c r="P18" s="66">
        <v>45405</v>
      </c>
      <c r="Q18" s="66">
        <v>45409</v>
      </c>
      <c r="R18" s="4"/>
      <c r="S18" s="4"/>
      <c r="T18" s="4"/>
      <c r="U18" s="5"/>
      <c r="W18" s="6" t="s">
        <v>4</v>
      </c>
      <c r="X18" s="9"/>
      <c r="Y18" s="4"/>
      <c r="Z18" s="4"/>
      <c r="AA18" s="4"/>
      <c r="AB18" s="4"/>
      <c r="AC18" s="5"/>
      <c r="AE18" s="6" t="s">
        <v>4</v>
      </c>
      <c r="AF18" s="9"/>
      <c r="AG18" s="4"/>
      <c r="AH18" s="4"/>
      <c r="AI18" s="4"/>
      <c r="AJ18" s="4"/>
      <c r="AK18" s="5"/>
    </row>
    <row r="19" spans="1:37" ht="15.75" thickBot="1" x14ac:dyDescent="0.3">
      <c r="A19" s="100"/>
      <c r="B19" s="26">
        <v>3833</v>
      </c>
      <c r="C19" s="27"/>
      <c r="D19" s="27"/>
      <c r="E19" s="27">
        <v>7277</v>
      </c>
      <c r="F19" s="27">
        <f>SUM(C19-B19)</f>
        <v>-3833</v>
      </c>
      <c r="G19" s="20">
        <f>SUM(E19-D19)</f>
        <v>7277</v>
      </c>
      <c r="H19" s="21">
        <f>SUM(F19:G19)</f>
        <v>3444</v>
      </c>
      <c r="J19" s="7" t="s">
        <v>22</v>
      </c>
      <c r="K19" s="30">
        <v>265.60000000000002</v>
      </c>
      <c r="L19" s="31">
        <v>222.41</v>
      </c>
      <c r="M19" s="31">
        <v>258.52999999999997</v>
      </c>
      <c r="N19" s="31">
        <v>230.85</v>
      </c>
      <c r="O19" s="31">
        <v>246.85</v>
      </c>
      <c r="P19" s="31">
        <v>263.92</v>
      </c>
      <c r="Q19" s="31">
        <v>246.91</v>
      </c>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1735.0700000000002</v>
      </c>
      <c r="AB20" s="8" t="s">
        <v>23</v>
      </c>
      <c r="AC20" s="13">
        <f>SUM(X19:AC19)</f>
        <v>0</v>
      </c>
      <c r="AJ20" s="8" t="s">
        <v>23</v>
      </c>
      <c r="AK20" s="13">
        <f>SUM(AF19:AK19)</f>
        <v>0</v>
      </c>
    </row>
    <row r="21" spans="1:37"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W21" s="103" t="str">
        <f>J21</f>
        <v>Maio</v>
      </c>
      <c r="X21" s="103"/>
      <c r="Y21" s="103"/>
      <c r="Z21" s="103"/>
      <c r="AA21" s="103"/>
      <c r="AB21" s="103"/>
      <c r="AC21" s="103"/>
      <c r="AE21" s="104" t="str">
        <f>W21</f>
        <v>Maio</v>
      </c>
      <c r="AF21" s="104"/>
      <c r="AG21" s="104"/>
      <c r="AH21" s="104"/>
      <c r="AI21" s="104"/>
      <c r="AJ21" s="104"/>
      <c r="AK21" s="104"/>
    </row>
    <row r="22" spans="1:37" ht="15.75" thickBot="1" x14ac:dyDescent="0.3">
      <c r="A22" s="100" t="s">
        <v>5</v>
      </c>
      <c r="B22" s="34" t="s">
        <v>6</v>
      </c>
      <c r="C22" s="22" t="s">
        <v>7</v>
      </c>
      <c r="D22" s="33" t="s">
        <v>8</v>
      </c>
      <c r="E22" s="22" t="s">
        <v>9</v>
      </c>
      <c r="F22" s="24" t="s">
        <v>10</v>
      </c>
      <c r="G22" s="23" t="s">
        <v>11</v>
      </c>
      <c r="H22" s="25" t="s">
        <v>12</v>
      </c>
      <c r="J22" s="6" t="s">
        <v>4</v>
      </c>
      <c r="K22" s="9">
        <v>45415</v>
      </c>
      <c r="L22" s="66">
        <v>45421</v>
      </c>
      <c r="M22" s="66">
        <v>45427</v>
      </c>
      <c r="N22" s="66">
        <v>45430</v>
      </c>
      <c r="O22" s="66">
        <v>45437</v>
      </c>
      <c r="P22" s="66">
        <v>45442</v>
      </c>
      <c r="Q22" s="4"/>
      <c r="R22" s="4"/>
      <c r="S22" s="4"/>
      <c r="T22" s="4"/>
      <c r="U22" s="5"/>
      <c r="W22" s="6" t="s">
        <v>4</v>
      </c>
      <c r="X22" s="9">
        <v>45423</v>
      </c>
      <c r="Y22" s="66">
        <v>45430</v>
      </c>
      <c r="Z22" s="66">
        <v>45436</v>
      </c>
      <c r="AA22" s="66">
        <v>45415</v>
      </c>
      <c r="AB22" s="4"/>
      <c r="AC22" s="5"/>
      <c r="AE22" s="6" t="s">
        <v>4</v>
      </c>
      <c r="AF22" s="9"/>
      <c r="AG22" s="4"/>
      <c r="AH22" s="4"/>
      <c r="AI22" s="4"/>
      <c r="AJ22" s="4"/>
      <c r="AK22" s="5"/>
    </row>
    <row r="23" spans="1:37" ht="15.75" thickBot="1" x14ac:dyDescent="0.3">
      <c r="A23" s="100"/>
      <c r="B23" s="26">
        <v>7277</v>
      </c>
      <c r="C23" s="27"/>
      <c r="D23" s="27"/>
      <c r="E23" s="27">
        <v>10216</v>
      </c>
      <c r="F23" s="27">
        <f>SUM(C23-B23)</f>
        <v>-7277</v>
      </c>
      <c r="G23" s="20">
        <f>SUM(E23-D23)</f>
        <v>10216</v>
      </c>
      <c r="H23" s="21">
        <f>SUM(F23:G23)</f>
        <v>2939</v>
      </c>
      <c r="J23" s="7" t="s">
        <v>22</v>
      </c>
      <c r="K23" s="10">
        <v>257.93</v>
      </c>
      <c r="L23" s="11">
        <v>259.55</v>
      </c>
      <c r="M23" s="11">
        <v>217.08</v>
      </c>
      <c r="N23" s="11">
        <v>231.21</v>
      </c>
      <c r="O23" s="11">
        <v>234.03</v>
      </c>
      <c r="P23" s="11">
        <v>270.13</v>
      </c>
      <c r="Q23" s="11"/>
      <c r="R23" s="11"/>
      <c r="S23" s="11"/>
      <c r="T23" s="11"/>
      <c r="U23" s="12"/>
      <c r="W23" s="7" t="s">
        <v>22</v>
      </c>
      <c r="X23" s="10">
        <v>80</v>
      </c>
      <c r="Y23" s="11">
        <v>80</v>
      </c>
      <c r="Z23" s="11">
        <v>50</v>
      </c>
      <c r="AA23" s="11">
        <v>80</v>
      </c>
      <c r="AB23" s="11"/>
      <c r="AC23" s="12"/>
      <c r="AE23" s="7" t="s">
        <v>22</v>
      </c>
      <c r="AF23" s="10"/>
      <c r="AG23" s="11"/>
      <c r="AH23" s="11"/>
      <c r="AI23" s="11"/>
      <c r="AJ23" s="11"/>
      <c r="AK23" s="12"/>
    </row>
    <row r="24" spans="1:37" x14ac:dyDescent="0.25">
      <c r="J24" s="8"/>
      <c r="T24" s="8" t="s">
        <v>23</v>
      </c>
      <c r="U24" s="13">
        <f>SUM(K23:U23)</f>
        <v>1469.9300000000003</v>
      </c>
      <c r="AB24" s="8" t="s">
        <v>23</v>
      </c>
      <c r="AC24" s="13">
        <f>SUM(X23:AC23)</f>
        <v>290</v>
      </c>
      <c r="AJ24" s="8" t="s">
        <v>23</v>
      </c>
      <c r="AK24" s="13">
        <f>SUM(AF23:AK23)</f>
        <v>0</v>
      </c>
    </row>
    <row r="25" spans="1:37"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W25" s="103" t="str">
        <f>J25</f>
        <v>Junho</v>
      </c>
      <c r="X25" s="103"/>
      <c r="Y25" s="103"/>
      <c r="Z25" s="103"/>
      <c r="AA25" s="103"/>
      <c r="AB25" s="103"/>
      <c r="AC25" s="103"/>
      <c r="AE25" s="104" t="str">
        <f>W25</f>
        <v>Junho</v>
      </c>
      <c r="AF25" s="104"/>
      <c r="AG25" s="104"/>
      <c r="AH25" s="104"/>
      <c r="AI25" s="104"/>
      <c r="AJ25" s="104"/>
      <c r="AK25" s="104"/>
    </row>
    <row r="26" spans="1:37" ht="15.75" thickBot="1" x14ac:dyDescent="0.3">
      <c r="A26" s="100" t="s">
        <v>5</v>
      </c>
      <c r="B26" s="34" t="s">
        <v>6</v>
      </c>
      <c r="C26" s="22" t="s">
        <v>7</v>
      </c>
      <c r="D26" s="33" t="s">
        <v>8</v>
      </c>
      <c r="E26" s="22" t="s">
        <v>9</v>
      </c>
      <c r="F26" s="24" t="s">
        <v>10</v>
      </c>
      <c r="G26" s="23" t="s">
        <v>11</v>
      </c>
      <c r="H26" s="25" t="s">
        <v>12</v>
      </c>
      <c r="J26" s="6" t="s">
        <v>4</v>
      </c>
      <c r="K26" s="9">
        <v>45447</v>
      </c>
      <c r="L26" s="66">
        <v>45451</v>
      </c>
      <c r="M26" s="66">
        <v>45455</v>
      </c>
      <c r="N26" s="66">
        <v>45458</v>
      </c>
      <c r="O26" s="66"/>
      <c r="P26" s="66">
        <v>45462</v>
      </c>
      <c r="Q26" s="66">
        <v>45469</v>
      </c>
      <c r="R26" s="66">
        <v>45472</v>
      </c>
      <c r="S26" s="4"/>
      <c r="T26" s="4"/>
      <c r="U26" s="5"/>
      <c r="W26" s="6" t="s">
        <v>4</v>
      </c>
      <c r="X26" s="9"/>
      <c r="Y26" s="4"/>
      <c r="Z26" s="4"/>
      <c r="AA26" s="4"/>
      <c r="AB26" s="4"/>
      <c r="AC26" s="5"/>
      <c r="AE26" s="6" t="s">
        <v>4</v>
      </c>
      <c r="AF26" s="9"/>
      <c r="AG26" s="4"/>
      <c r="AH26" s="4"/>
      <c r="AI26" s="4"/>
      <c r="AJ26" s="4"/>
      <c r="AK26" s="5"/>
    </row>
    <row r="27" spans="1:37" ht="15.75" thickBot="1" x14ac:dyDescent="0.3">
      <c r="A27" s="100"/>
      <c r="B27" s="26">
        <v>10216</v>
      </c>
      <c r="C27" s="27"/>
      <c r="D27" s="27"/>
      <c r="E27" s="27">
        <v>13298</v>
      </c>
      <c r="F27" s="27">
        <f>SUM(C27-B27)</f>
        <v>-10216</v>
      </c>
      <c r="G27" s="20">
        <f>SUM(E27-D27)</f>
        <v>13298</v>
      </c>
      <c r="H27" s="21">
        <f>SUM(F27:G27)</f>
        <v>3082</v>
      </c>
      <c r="J27" s="7" t="s">
        <v>22</v>
      </c>
      <c r="K27" s="10">
        <v>240.61</v>
      </c>
      <c r="L27" s="11">
        <v>235.78</v>
      </c>
      <c r="M27" s="11">
        <v>237.02</v>
      </c>
      <c r="N27" s="11">
        <v>219.37</v>
      </c>
      <c r="O27" s="11"/>
      <c r="P27" s="11">
        <v>219.74</v>
      </c>
      <c r="Q27" s="11">
        <v>256.2</v>
      </c>
      <c r="R27" s="11">
        <v>249.02</v>
      </c>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1657.74</v>
      </c>
      <c r="AB28" s="8" t="s">
        <v>23</v>
      </c>
      <c r="AC28" s="13">
        <f>SUM(X27:AC27)</f>
        <v>0</v>
      </c>
      <c r="AJ28" s="8" t="s">
        <v>23</v>
      </c>
      <c r="AK28" s="13">
        <f>SUM(AF27:AK27)</f>
        <v>0</v>
      </c>
    </row>
    <row r="29" spans="1:37"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W29" s="103" t="str">
        <f>J29</f>
        <v>Julho</v>
      </c>
      <c r="X29" s="103"/>
      <c r="Y29" s="103"/>
      <c r="Z29" s="103"/>
      <c r="AA29" s="103"/>
      <c r="AB29" s="103"/>
      <c r="AC29" s="103"/>
      <c r="AE29" s="104" t="str">
        <f>W29</f>
        <v>Julho</v>
      </c>
      <c r="AF29" s="104"/>
      <c r="AG29" s="104"/>
      <c r="AH29" s="104"/>
      <c r="AI29" s="104"/>
      <c r="AJ29" s="104"/>
      <c r="AK29" s="104"/>
    </row>
    <row r="30" spans="1:37" ht="15.75" thickBot="1" x14ac:dyDescent="0.3">
      <c r="A30" s="100" t="s">
        <v>5</v>
      </c>
      <c r="B30" s="34" t="s">
        <v>6</v>
      </c>
      <c r="C30" s="22" t="s">
        <v>7</v>
      </c>
      <c r="D30" s="33" t="s">
        <v>8</v>
      </c>
      <c r="E30" s="22" t="s">
        <v>9</v>
      </c>
      <c r="F30" s="24" t="s">
        <v>10</v>
      </c>
      <c r="G30" s="23" t="s">
        <v>11</v>
      </c>
      <c r="H30" s="25" t="s">
        <v>12</v>
      </c>
      <c r="J30" s="6" t="s">
        <v>4</v>
      </c>
      <c r="K30" s="9">
        <v>45478</v>
      </c>
      <c r="L30" s="66">
        <v>45482</v>
      </c>
      <c r="M30" s="66">
        <v>45486</v>
      </c>
      <c r="N30" s="66">
        <v>45491</v>
      </c>
      <c r="O30" s="66">
        <v>45496</v>
      </c>
      <c r="P30" s="66">
        <v>45503</v>
      </c>
      <c r="Q30" s="66">
        <v>45499</v>
      </c>
      <c r="R30" s="4"/>
      <c r="S30" s="4"/>
      <c r="T30" s="4"/>
      <c r="U30" s="5"/>
      <c r="W30" s="6" t="s">
        <v>4</v>
      </c>
      <c r="X30" s="9">
        <v>45479</v>
      </c>
      <c r="Y30" s="66">
        <v>45497</v>
      </c>
      <c r="Z30" s="66">
        <v>45490</v>
      </c>
      <c r="AA30" s="66">
        <v>45502</v>
      </c>
      <c r="AB30" s="4"/>
      <c r="AC30" s="5"/>
      <c r="AE30" s="6" t="s">
        <v>4</v>
      </c>
      <c r="AF30" s="9"/>
      <c r="AG30" s="4"/>
      <c r="AH30" s="4"/>
      <c r="AI30" s="4"/>
      <c r="AJ30" s="4"/>
      <c r="AK30" s="5"/>
    </row>
    <row r="31" spans="1:37" ht="15.75" thickBot="1" x14ac:dyDescent="0.3">
      <c r="A31" s="100"/>
      <c r="B31" s="26">
        <v>13298</v>
      </c>
      <c r="C31" s="27"/>
      <c r="D31" s="27"/>
      <c r="E31" s="27">
        <v>17171</v>
      </c>
      <c r="F31" s="27">
        <f>SUM(C31-B31)</f>
        <v>-13298</v>
      </c>
      <c r="G31" s="20">
        <f>SUM(E31-D31)</f>
        <v>17171</v>
      </c>
      <c r="H31" s="21">
        <f>SUM(F31:G31)</f>
        <v>3873</v>
      </c>
      <c r="J31" s="7" t="s">
        <v>22</v>
      </c>
      <c r="K31" s="10">
        <v>262.52</v>
      </c>
      <c r="L31" s="11">
        <v>251.7</v>
      </c>
      <c r="M31" s="11">
        <v>255.6</v>
      </c>
      <c r="N31" s="11">
        <v>215.98</v>
      </c>
      <c r="O31" s="11">
        <v>240.9</v>
      </c>
      <c r="P31" s="11">
        <v>223.84</v>
      </c>
      <c r="Q31" s="11">
        <v>238.47</v>
      </c>
      <c r="R31" s="11"/>
      <c r="S31" s="11"/>
      <c r="T31" s="11"/>
      <c r="U31" s="12"/>
      <c r="W31" s="7" t="s">
        <v>22</v>
      </c>
      <c r="X31" s="10">
        <v>80</v>
      </c>
      <c r="Y31" s="11">
        <v>80</v>
      </c>
      <c r="Z31" s="11">
        <v>60</v>
      </c>
      <c r="AA31" s="11">
        <v>75</v>
      </c>
      <c r="AB31" s="11"/>
      <c r="AC31" s="12"/>
      <c r="AE31" s="7" t="s">
        <v>22</v>
      </c>
      <c r="AF31" s="10"/>
      <c r="AG31" s="11"/>
      <c r="AH31" s="11"/>
      <c r="AI31" s="11"/>
      <c r="AJ31" s="11"/>
      <c r="AK31" s="12"/>
    </row>
    <row r="32" spans="1:37" x14ac:dyDescent="0.25">
      <c r="J32" s="8"/>
      <c r="T32" s="8" t="s">
        <v>23</v>
      </c>
      <c r="U32" s="13">
        <f>SUM(K31:U31)</f>
        <v>1689.01</v>
      </c>
      <c r="AB32" s="8" t="s">
        <v>23</v>
      </c>
      <c r="AC32" s="13">
        <f>SUM(X31:AC31)</f>
        <v>295</v>
      </c>
      <c r="AJ32" s="8" t="s">
        <v>23</v>
      </c>
      <c r="AK32" s="13">
        <f>SUM(AF31:AK31)</f>
        <v>0</v>
      </c>
    </row>
    <row r="33" spans="1:37"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W33" s="103" t="str">
        <f>J33</f>
        <v>Agosto</v>
      </c>
      <c r="X33" s="103"/>
      <c r="Y33" s="103"/>
      <c r="Z33" s="103"/>
      <c r="AA33" s="103"/>
      <c r="AB33" s="103"/>
      <c r="AC33" s="103"/>
      <c r="AE33" s="104" t="str">
        <f>W33</f>
        <v>Agosto</v>
      </c>
      <c r="AF33" s="104"/>
      <c r="AG33" s="104"/>
      <c r="AH33" s="104"/>
      <c r="AI33" s="104"/>
      <c r="AJ33" s="104"/>
      <c r="AK33" s="104"/>
    </row>
    <row r="34" spans="1:37" ht="15.75" thickBot="1" x14ac:dyDescent="0.3">
      <c r="A34" s="100" t="s">
        <v>5</v>
      </c>
      <c r="B34" s="34" t="s">
        <v>6</v>
      </c>
      <c r="C34" s="22" t="s">
        <v>7</v>
      </c>
      <c r="D34" s="33" t="s">
        <v>8</v>
      </c>
      <c r="E34" s="22" t="s">
        <v>9</v>
      </c>
      <c r="F34" s="24" t="s">
        <v>10</v>
      </c>
      <c r="G34" s="23" t="s">
        <v>11</v>
      </c>
      <c r="H34" s="25" t="s">
        <v>12</v>
      </c>
      <c r="J34" s="6" t="s">
        <v>4</v>
      </c>
      <c r="K34" s="9">
        <v>45506</v>
      </c>
      <c r="L34" s="66">
        <v>45510</v>
      </c>
      <c r="M34" s="66">
        <v>45513</v>
      </c>
      <c r="N34" s="66">
        <v>45517</v>
      </c>
      <c r="O34" s="66">
        <v>45520</v>
      </c>
      <c r="P34" s="66">
        <v>45525</v>
      </c>
      <c r="Q34" s="66">
        <v>45531</v>
      </c>
      <c r="R34" s="66">
        <v>45534</v>
      </c>
      <c r="S34" s="4"/>
      <c r="T34" s="4"/>
      <c r="U34" s="5"/>
      <c r="W34" s="6" t="s">
        <v>4</v>
      </c>
      <c r="X34" s="9">
        <v>45505</v>
      </c>
      <c r="Y34" s="66">
        <v>45511</v>
      </c>
      <c r="Z34" s="66">
        <v>45523</v>
      </c>
      <c r="AA34" s="4"/>
      <c r="AB34" s="4"/>
      <c r="AC34" s="5"/>
      <c r="AE34" s="6" t="s">
        <v>4</v>
      </c>
      <c r="AF34" s="9"/>
      <c r="AG34" s="4"/>
      <c r="AH34" s="4"/>
      <c r="AI34" s="4"/>
      <c r="AJ34" s="4"/>
      <c r="AK34" s="5"/>
    </row>
    <row r="35" spans="1:37" ht="15.75" thickBot="1" x14ac:dyDescent="0.3">
      <c r="A35" s="100"/>
      <c r="B35" s="26">
        <v>17171</v>
      </c>
      <c r="C35" s="27"/>
      <c r="D35" s="27"/>
      <c r="E35" s="27">
        <v>21719</v>
      </c>
      <c r="F35" s="27">
        <f>SUM(C35-B35)</f>
        <v>-17171</v>
      </c>
      <c r="G35" s="20">
        <f>SUM(E35-D35)</f>
        <v>21719</v>
      </c>
      <c r="H35" s="21">
        <f>SUM(F35:G35)</f>
        <v>4548</v>
      </c>
      <c r="J35" s="7" t="s">
        <v>22</v>
      </c>
      <c r="K35" s="10">
        <v>257.64</v>
      </c>
      <c r="L35" s="11">
        <v>246.27</v>
      </c>
      <c r="M35" s="11">
        <v>256.88</v>
      </c>
      <c r="N35" s="11">
        <v>255.79</v>
      </c>
      <c r="O35" s="11">
        <v>268.44</v>
      </c>
      <c r="P35" s="11">
        <v>237.96</v>
      </c>
      <c r="Q35" s="11">
        <v>270.11</v>
      </c>
      <c r="R35" s="11">
        <v>244.1</v>
      </c>
      <c r="S35" s="11"/>
      <c r="T35" s="11"/>
      <c r="U35" s="12"/>
      <c r="W35" s="7" t="s">
        <v>22</v>
      </c>
      <c r="X35" s="10">
        <v>60</v>
      </c>
      <c r="Y35" s="11">
        <v>80</v>
      </c>
      <c r="Z35" s="11">
        <v>75</v>
      </c>
      <c r="AA35" s="11"/>
      <c r="AB35" s="11"/>
      <c r="AC35" s="12"/>
      <c r="AE35" s="7" t="s">
        <v>22</v>
      </c>
      <c r="AF35" s="10"/>
      <c r="AG35" s="11"/>
      <c r="AH35" s="11"/>
      <c r="AI35" s="11"/>
      <c r="AJ35" s="11"/>
      <c r="AK35" s="12"/>
    </row>
    <row r="36" spans="1:37" x14ac:dyDescent="0.25">
      <c r="J36" s="8"/>
      <c r="T36" s="8" t="s">
        <v>23</v>
      </c>
      <c r="U36" s="13">
        <f>SUM(K35:U35)</f>
        <v>2037.19</v>
      </c>
      <c r="AB36" s="8" t="s">
        <v>23</v>
      </c>
      <c r="AC36" s="13">
        <f>SUM(X35:AC35)</f>
        <v>215</v>
      </c>
      <c r="AJ36" s="8" t="s">
        <v>23</v>
      </c>
      <c r="AK36" s="13">
        <f>SUM(AF35:AK35)</f>
        <v>0</v>
      </c>
    </row>
    <row r="37" spans="1:37"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W37" s="103" t="str">
        <f>J37</f>
        <v>Setembro</v>
      </c>
      <c r="X37" s="103"/>
      <c r="Y37" s="103"/>
      <c r="Z37" s="103"/>
      <c r="AA37" s="103"/>
      <c r="AB37" s="103"/>
      <c r="AC37" s="103"/>
      <c r="AE37" s="104" t="str">
        <f>W37</f>
        <v>Setembro</v>
      </c>
      <c r="AF37" s="104"/>
      <c r="AG37" s="104"/>
      <c r="AH37" s="104"/>
      <c r="AI37" s="104"/>
      <c r="AJ37" s="104"/>
      <c r="AK37" s="104"/>
    </row>
    <row r="38" spans="1:37" ht="15.75" thickBot="1" x14ac:dyDescent="0.3">
      <c r="A38" s="100" t="s">
        <v>5</v>
      </c>
      <c r="B38" s="34" t="s">
        <v>6</v>
      </c>
      <c r="C38" s="22" t="s">
        <v>7</v>
      </c>
      <c r="D38" s="33" t="s">
        <v>8</v>
      </c>
      <c r="E38" s="22" t="s">
        <v>9</v>
      </c>
      <c r="F38" s="24" t="s">
        <v>10</v>
      </c>
      <c r="G38" s="23" t="s">
        <v>11</v>
      </c>
      <c r="H38" s="25" t="s">
        <v>12</v>
      </c>
      <c r="J38" s="6" t="s">
        <v>4</v>
      </c>
      <c r="K38" s="9">
        <v>45538</v>
      </c>
      <c r="L38" s="66">
        <v>45541</v>
      </c>
      <c r="M38" s="66">
        <v>45547</v>
      </c>
      <c r="N38" s="66">
        <v>45548</v>
      </c>
      <c r="O38" s="66">
        <v>45554</v>
      </c>
      <c r="P38" s="66">
        <v>45555</v>
      </c>
      <c r="Q38" s="66">
        <v>45559</v>
      </c>
      <c r="R38" s="66">
        <v>45562</v>
      </c>
      <c r="S38" s="4"/>
      <c r="T38" s="4"/>
      <c r="U38" s="5"/>
      <c r="W38" s="6" t="s">
        <v>4</v>
      </c>
      <c r="X38" s="9">
        <v>45537</v>
      </c>
      <c r="Y38" s="66">
        <v>45549</v>
      </c>
      <c r="Z38" s="4"/>
      <c r="AA38" s="4"/>
      <c r="AB38" s="4"/>
      <c r="AC38" s="5"/>
      <c r="AE38" s="6" t="s">
        <v>4</v>
      </c>
      <c r="AF38" s="9"/>
      <c r="AG38" s="4"/>
      <c r="AH38" s="4"/>
      <c r="AI38" s="4"/>
      <c r="AJ38" s="4"/>
      <c r="AK38" s="5"/>
    </row>
    <row r="39" spans="1:37" ht="15.75" thickBot="1" x14ac:dyDescent="0.3">
      <c r="A39" s="100"/>
      <c r="B39" s="26">
        <v>21719</v>
      </c>
      <c r="C39" s="27"/>
      <c r="D39" s="27"/>
      <c r="E39" s="27">
        <v>25450</v>
      </c>
      <c r="F39" s="27">
        <f>SUM(C39-B39)</f>
        <v>-21719</v>
      </c>
      <c r="G39" s="20">
        <f>SUM(E39-D39)</f>
        <v>25450</v>
      </c>
      <c r="H39" s="21">
        <f>SUM(F39:G39)</f>
        <v>3731</v>
      </c>
      <c r="J39" s="7" t="s">
        <v>22</v>
      </c>
      <c r="K39" s="10">
        <v>240.33</v>
      </c>
      <c r="L39" s="11">
        <v>304.68</v>
      </c>
      <c r="M39" s="11">
        <v>230.93</v>
      </c>
      <c r="N39" s="11">
        <v>250.17</v>
      </c>
      <c r="O39" s="11">
        <v>248.44</v>
      </c>
      <c r="P39" s="11">
        <v>194.9</v>
      </c>
      <c r="Q39" s="11">
        <v>259.5</v>
      </c>
      <c r="R39" s="11">
        <v>210.87</v>
      </c>
      <c r="S39" s="11"/>
      <c r="T39" s="11"/>
      <c r="U39" s="12"/>
      <c r="W39" s="7" t="s">
        <v>22</v>
      </c>
      <c r="X39" s="10">
        <v>75</v>
      </c>
      <c r="Y39" s="11">
        <v>80</v>
      </c>
      <c r="Z39" s="11"/>
      <c r="AA39" s="11"/>
      <c r="AB39" s="11"/>
      <c r="AC39" s="12"/>
      <c r="AE39" s="7" t="s">
        <v>22</v>
      </c>
      <c r="AF39" s="10"/>
      <c r="AG39" s="11"/>
      <c r="AH39" s="11"/>
      <c r="AI39" s="11"/>
      <c r="AJ39" s="11"/>
      <c r="AK39" s="12"/>
    </row>
    <row r="40" spans="1:37" x14ac:dyDescent="0.25">
      <c r="J40" s="8"/>
      <c r="T40" s="8" t="s">
        <v>23</v>
      </c>
      <c r="U40" s="13">
        <f>SUM(K39:U39)</f>
        <v>1939.8200000000002</v>
      </c>
      <c r="AB40" s="8" t="s">
        <v>23</v>
      </c>
      <c r="AC40" s="13">
        <f>SUM(X39:AC39)</f>
        <v>155</v>
      </c>
      <c r="AJ40" s="8" t="s">
        <v>23</v>
      </c>
      <c r="AK40" s="13">
        <f>SUM(AF39:AK39)</f>
        <v>0</v>
      </c>
    </row>
    <row r="41" spans="1:37"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W41" s="103" t="str">
        <f>J41</f>
        <v>Outubro</v>
      </c>
      <c r="X41" s="103"/>
      <c r="Y41" s="103"/>
      <c r="Z41" s="103"/>
      <c r="AA41" s="103"/>
      <c r="AB41" s="103"/>
      <c r="AC41" s="103"/>
      <c r="AE41" s="104" t="str">
        <f>W41</f>
        <v>Outubro</v>
      </c>
      <c r="AF41" s="104"/>
      <c r="AG41" s="104"/>
      <c r="AH41" s="104"/>
      <c r="AI41" s="104"/>
      <c r="AJ41" s="104"/>
      <c r="AK41" s="104"/>
    </row>
    <row r="42" spans="1:37" ht="15.75" thickBot="1" x14ac:dyDescent="0.3">
      <c r="A42" s="100" t="s">
        <v>5</v>
      </c>
      <c r="B42" s="34" t="s">
        <v>6</v>
      </c>
      <c r="C42" s="22" t="s">
        <v>7</v>
      </c>
      <c r="D42" s="33" t="s">
        <v>8</v>
      </c>
      <c r="E42" s="22" t="s">
        <v>9</v>
      </c>
      <c r="F42" s="24" t="s">
        <v>10</v>
      </c>
      <c r="G42" s="23" t="s">
        <v>11</v>
      </c>
      <c r="H42" s="25" t="s">
        <v>12</v>
      </c>
      <c r="J42" s="6" t="s">
        <v>4</v>
      </c>
      <c r="K42" s="9">
        <v>45566</v>
      </c>
      <c r="L42" s="66">
        <v>45569</v>
      </c>
      <c r="M42" s="66">
        <v>45573</v>
      </c>
      <c r="N42" s="66">
        <v>45575</v>
      </c>
      <c r="O42" s="66">
        <v>45580</v>
      </c>
      <c r="P42" s="66">
        <v>45595</v>
      </c>
      <c r="Q42" s="66">
        <v>45591</v>
      </c>
      <c r="R42" s="66">
        <v>45589</v>
      </c>
      <c r="S42" s="66">
        <v>45587</v>
      </c>
      <c r="T42" s="66">
        <v>45583</v>
      </c>
      <c r="U42" s="5"/>
      <c r="W42" s="6" t="s">
        <v>4</v>
      </c>
      <c r="X42" s="9">
        <v>45567</v>
      </c>
      <c r="Y42" s="66">
        <v>45568</v>
      </c>
      <c r="Z42" s="4"/>
      <c r="AA42" s="4"/>
      <c r="AB42" s="4"/>
      <c r="AC42" s="5"/>
      <c r="AE42" s="6" t="s">
        <v>4</v>
      </c>
      <c r="AF42" s="9"/>
      <c r="AG42" s="4"/>
      <c r="AH42" s="4"/>
      <c r="AI42" s="4"/>
      <c r="AJ42" s="4"/>
      <c r="AK42" s="5"/>
    </row>
    <row r="43" spans="1:37" ht="15.75" thickBot="1" x14ac:dyDescent="0.3">
      <c r="A43" s="100"/>
      <c r="B43" s="26">
        <v>25570</v>
      </c>
      <c r="C43" s="27">
        <v>27642</v>
      </c>
      <c r="D43" s="27">
        <v>27642</v>
      </c>
      <c r="E43" s="27">
        <v>29943</v>
      </c>
      <c r="F43" s="27">
        <f>SUM(C43-B43)</f>
        <v>2072</v>
      </c>
      <c r="G43" s="20">
        <f>SUM(E43-D43)</f>
        <v>2301</v>
      </c>
      <c r="H43" s="21">
        <f>SUM(F43:G43)</f>
        <v>4373</v>
      </c>
      <c r="J43" s="7" t="s">
        <v>22</v>
      </c>
      <c r="K43" s="10">
        <v>285.51</v>
      </c>
      <c r="L43" s="11">
        <v>276.24</v>
      </c>
      <c r="M43" s="11">
        <v>232.92</v>
      </c>
      <c r="N43" s="11">
        <v>215.02</v>
      </c>
      <c r="O43" s="11">
        <v>242.82</v>
      </c>
      <c r="P43" s="11">
        <v>228.12</v>
      </c>
      <c r="Q43" s="11">
        <v>210.87</v>
      </c>
      <c r="R43" s="11">
        <v>223.65</v>
      </c>
      <c r="S43" s="11">
        <v>214.83</v>
      </c>
      <c r="T43" s="11">
        <v>205.25</v>
      </c>
      <c r="U43" s="12"/>
      <c r="W43" s="7" t="s">
        <v>22</v>
      </c>
      <c r="X43" s="10">
        <v>75</v>
      </c>
      <c r="Y43" s="11">
        <v>75</v>
      </c>
      <c r="Z43" s="11"/>
      <c r="AA43" s="11"/>
      <c r="AB43" s="11"/>
      <c r="AC43" s="12"/>
      <c r="AE43" s="7" t="s">
        <v>22</v>
      </c>
      <c r="AF43" s="10"/>
      <c r="AG43" s="11"/>
      <c r="AH43" s="11"/>
      <c r="AI43" s="11"/>
      <c r="AJ43" s="11"/>
      <c r="AK43" s="12"/>
    </row>
    <row r="44" spans="1:37" x14ac:dyDescent="0.25">
      <c r="J44" s="8"/>
      <c r="T44" s="8" t="s">
        <v>23</v>
      </c>
      <c r="U44" s="13">
        <f>SUM(K43:U43)</f>
        <v>2335.23</v>
      </c>
      <c r="AB44" s="8" t="s">
        <v>23</v>
      </c>
      <c r="AC44" s="13">
        <f>SUM(X43:AC43)</f>
        <v>150</v>
      </c>
      <c r="AJ44" s="8" t="s">
        <v>23</v>
      </c>
      <c r="AK44" s="13">
        <f>SUM(AF43:AK43)</f>
        <v>0</v>
      </c>
    </row>
    <row r="45" spans="1:37"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W45" s="103" t="str">
        <f>J45</f>
        <v>Novembro</v>
      </c>
      <c r="X45" s="103"/>
      <c r="Y45" s="103"/>
      <c r="Z45" s="103"/>
      <c r="AA45" s="103"/>
      <c r="AB45" s="103"/>
      <c r="AC45" s="103"/>
      <c r="AE45" s="104" t="str">
        <f>W45</f>
        <v>Novembro</v>
      </c>
      <c r="AF45" s="104"/>
      <c r="AG45" s="104"/>
      <c r="AH45" s="104"/>
      <c r="AI45" s="104"/>
      <c r="AJ45" s="104"/>
      <c r="AK45" s="104"/>
    </row>
    <row r="46" spans="1:37" ht="15.75" thickBot="1" x14ac:dyDescent="0.3">
      <c r="A46" s="100" t="s">
        <v>5</v>
      </c>
      <c r="B46" s="34" t="s">
        <v>6</v>
      </c>
      <c r="C46" s="22" t="s">
        <v>7</v>
      </c>
      <c r="D46" s="33" t="s">
        <v>8</v>
      </c>
      <c r="E46" s="22" t="s">
        <v>9</v>
      </c>
      <c r="F46" s="24" t="s">
        <v>10</v>
      </c>
      <c r="G46" s="23" t="s">
        <v>11</v>
      </c>
      <c r="H46" s="25" t="s">
        <v>12</v>
      </c>
      <c r="J46" s="6" t="s">
        <v>4</v>
      </c>
      <c r="K46" s="9">
        <v>45597</v>
      </c>
      <c r="L46" s="66">
        <v>45603</v>
      </c>
      <c r="M46" s="66">
        <v>45605</v>
      </c>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100"/>
      <c r="B47" s="26">
        <v>29943</v>
      </c>
      <c r="C47" s="27">
        <v>31770</v>
      </c>
      <c r="D47" s="27">
        <v>31770</v>
      </c>
      <c r="E47" s="27">
        <v>33475</v>
      </c>
      <c r="F47" s="27">
        <f>SUM(C47-B47)</f>
        <v>1827</v>
      </c>
      <c r="G47" s="20">
        <f>SUM(E47-D47)</f>
        <v>1705</v>
      </c>
      <c r="H47" s="21">
        <f>SUM(F47:G47)</f>
        <v>3532</v>
      </c>
      <c r="J47" s="7" t="s">
        <v>22</v>
      </c>
      <c r="K47" s="10">
        <v>276.18</v>
      </c>
      <c r="L47" s="11">
        <v>256.24</v>
      </c>
      <c r="M47" s="11">
        <v>220.52</v>
      </c>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A48" s="82" t="s">
        <v>139</v>
      </c>
      <c r="J48" s="8"/>
      <c r="T48" s="8" t="s">
        <v>23</v>
      </c>
      <c r="U48" s="13">
        <f>SUM(K47:U47)</f>
        <v>752.94</v>
      </c>
      <c r="AB48" s="8" t="s">
        <v>23</v>
      </c>
      <c r="AC48" s="13">
        <f>SUM(X47:AC47)</f>
        <v>0</v>
      </c>
      <c r="AJ48" s="8" t="s">
        <v>23</v>
      </c>
      <c r="AK48" s="13">
        <f>SUM(AF47:AK47)</f>
        <v>0</v>
      </c>
    </row>
    <row r="49" spans="1:37"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W49" s="103" t="str">
        <f>J49</f>
        <v>Dezembro</v>
      </c>
      <c r="X49" s="103"/>
      <c r="Y49" s="103"/>
      <c r="Z49" s="103"/>
      <c r="AA49" s="103"/>
      <c r="AB49" s="103"/>
      <c r="AC49" s="103"/>
      <c r="AE49" s="104" t="str">
        <f>W49</f>
        <v>Dezembro</v>
      </c>
      <c r="AF49" s="104"/>
      <c r="AG49" s="104"/>
      <c r="AH49" s="104"/>
      <c r="AI49" s="104"/>
      <c r="AJ49" s="104"/>
      <c r="AK49" s="104"/>
    </row>
    <row r="50" spans="1:37"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100"/>
      <c r="B51" s="26">
        <v>1983</v>
      </c>
      <c r="C51" s="27">
        <v>2747</v>
      </c>
      <c r="D51" s="27"/>
      <c r="E51" s="27"/>
      <c r="F51" s="27">
        <f>SUM(C51-B51)</f>
        <v>764</v>
      </c>
      <c r="G51" s="20">
        <f>SUM(E51-D51)</f>
        <v>0</v>
      </c>
      <c r="H51" s="21">
        <f>SUM(F51:G51)</f>
        <v>764</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row r="53" spans="1:37" ht="15.75" thickBot="1" x14ac:dyDescent="0.3">
      <c r="A53" s="19"/>
      <c r="B53" s="101" t="s">
        <v>141</v>
      </c>
      <c r="C53" s="101"/>
      <c r="D53" s="101"/>
      <c r="E53" s="101"/>
      <c r="F53" s="101"/>
      <c r="G53" s="101"/>
      <c r="H53" s="101"/>
      <c r="J53" s="102" t="s">
        <v>141</v>
      </c>
      <c r="K53" s="102"/>
      <c r="L53" s="102"/>
      <c r="M53" s="102"/>
      <c r="N53" s="102"/>
      <c r="O53" s="102"/>
      <c r="P53" s="102"/>
      <c r="Q53" s="102"/>
      <c r="R53" s="102"/>
      <c r="S53" s="102"/>
      <c r="T53" s="102"/>
      <c r="U53" s="102"/>
      <c r="W53" s="103" t="str">
        <f>J53</f>
        <v>Janeiro</v>
      </c>
      <c r="X53" s="103"/>
      <c r="Y53" s="103"/>
      <c r="Z53" s="103"/>
      <c r="AA53" s="103"/>
      <c r="AB53" s="103"/>
      <c r="AC53" s="103"/>
      <c r="AE53" s="104" t="str">
        <f>W53</f>
        <v>Janeiro</v>
      </c>
      <c r="AF53" s="104"/>
      <c r="AG53" s="104"/>
      <c r="AH53" s="104"/>
      <c r="AI53" s="104"/>
      <c r="AJ53" s="104"/>
      <c r="AK53" s="104"/>
    </row>
    <row r="54" spans="1:37" ht="15.75" thickBot="1" x14ac:dyDescent="0.3">
      <c r="A54" s="100" t="s">
        <v>5</v>
      </c>
      <c r="B54" s="34" t="s">
        <v>6</v>
      </c>
      <c r="C54" s="22" t="s">
        <v>7</v>
      </c>
      <c r="D54" s="33" t="s">
        <v>8</v>
      </c>
      <c r="E54" s="22" t="s">
        <v>9</v>
      </c>
      <c r="F54" s="24" t="s">
        <v>10</v>
      </c>
      <c r="G54" s="23" t="s">
        <v>11</v>
      </c>
      <c r="H54" s="25" t="s">
        <v>12</v>
      </c>
      <c r="J54" s="6" t="s">
        <v>4</v>
      </c>
      <c r="K54" s="9">
        <v>45664</v>
      </c>
      <c r="L54" s="66">
        <v>45673</v>
      </c>
      <c r="M54" s="4"/>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100"/>
      <c r="B55" s="26">
        <v>4156</v>
      </c>
      <c r="C55" s="27">
        <v>5203</v>
      </c>
      <c r="D55" s="27">
        <v>5203</v>
      </c>
      <c r="E55" s="27">
        <v>7252</v>
      </c>
      <c r="F55" s="27">
        <f>SUM(C55-B55)</f>
        <v>1047</v>
      </c>
      <c r="G55" s="20">
        <f>SUM(E55-D55)</f>
        <v>2049</v>
      </c>
      <c r="H55" s="21">
        <f>SUM(F55:G55)</f>
        <v>3096</v>
      </c>
      <c r="J55" s="7" t="s">
        <v>22</v>
      </c>
      <c r="K55" s="10">
        <v>290.87</v>
      </c>
      <c r="L55" s="11">
        <v>237.45</v>
      </c>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528.31999999999994</v>
      </c>
      <c r="AB56" s="8" t="s">
        <v>23</v>
      </c>
      <c r="AC56" s="13">
        <f>SUM(X55:AC55)</f>
        <v>0</v>
      </c>
      <c r="AJ56" s="8" t="s">
        <v>23</v>
      </c>
      <c r="AK56" s="13">
        <f>SUM(AF55:AK55)</f>
        <v>0</v>
      </c>
    </row>
    <row r="57" spans="1:37" ht="15.75" thickBot="1" x14ac:dyDescent="0.3">
      <c r="A57" s="19"/>
      <c r="B57" s="101" t="s">
        <v>3</v>
      </c>
      <c r="C57" s="101"/>
      <c r="D57" s="101"/>
      <c r="E57" s="101"/>
      <c r="F57" s="101"/>
      <c r="G57" s="101"/>
      <c r="H57" s="101"/>
      <c r="J57" s="102" t="s">
        <v>3</v>
      </c>
      <c r="K57" s="102"/>
      <c r="L57" s="102"/>
      <c r="M57" s="102"/>
      <c r="N57" s="102"/>
      <c r="O57" s="102"/>
      <c r="P57" s="102"/>
      <c r="Q57" s="102"/>
      <c r="R57" s="102"/>
      <c r="S57" s="102"/>
      <c r="T57" s="102"/>
      <c r="U57" s="102"/>
      <c r="W57" s="103" t="str">
        <f>J57</f>
        <v>Fevereiro</v>
      </c>
      <c r="X57" s="103"/>
      <c r="Y57" s="103"/>
      <c r="Z57" s="103"/>
      <c r="AA57" s="103"/>
      <c r="AB57" s="103"/>
      <c r="AC57" s="103"/>
      <c r="AE57" s="104" t="str">
        <f>W57</f>
        <v>Fevereiro</v>
      </c>
      <c r="AF57" s="104"/>
      <c r="AG57" s="104"/>
      <c r="AH57" s="104"/>
      <c r="AI57" s="104"/>
      <c r="AJ57" s="104"/>
      <c r="AK57" s="104"/>
    </row>
    <row r="58" spans="1:37" ht="15.75" thickBot="1" x14ac:dyDescent="0.3">
      <c r="A58" s="100" t="s">
        <v>5</v>
      </c>
      <c r="B58" s="34" t="s">
        <v>6</v>
      </c>
      <c r="C58" s="22" t="s">
        <v>7</v>
      </c>
      <c r="D58" s="33" t="s">
        <v>8</v>
      </c>
      <c r="E58" s="22" t="s">
        <v>9</v>
      </c>
      <c r="F58" s="24" t="s">
        <v>10</v>
      </c>
      <c r="G58" s="23" t="s">
        <v>11</v>
      </c>
      <c r="H58" s="25" t="s">
        <v>12</v>
      </c>
      <c r="J58" s="6" t="s">
        <v>4</v>
      </c>
      <c r="K58" s="9"/>
      <c r="L58" s="4"/>
      <c r="M58" s="4"/>
      <c r="N58" s="4"/>
      <c r="O58" s="4"/>
      <c r="P58" s="4"/>
      <c r="Q58" s="4"/>
      <c r="R58" s="4"/>
      <c r="S58" s="4"/>
      <c r="T58" s="4"/>
      <c r="U58" s="5"/>
      <c r="W58" s="6" t="s">
        <v>4</v>
      </c>
      <c r="X58" s="9"/>
      <c r="Y58" s="4"/>
      <c r="Z58" s="4"/>
      <c r="AA58" s="4"/>
      <c r="AB58" s="4"/>
      <c r="AC58" s="5"/>
      <c r="AE58" s="6" t="s">
        <v>4</v>
      </c>
      <c r="AF58" s="9"/>
      <c r="AG58" s="4"/>
      <c r="AH58" s="4"/>
      <c r="AI58" s="4"/>
      <c r="AJ58" s="4"/>
      <c r="AK58" s="5"/>
    </row>
    <row r="59" spans="1:37" ht="15.75" thickBot="1" x14ac:dyDescent="0.3">
      <c r="A59" s="100"/>
      <c r="B59" s="26">
        <v>7252</v>
      </c>
      <c r="C59" s="27">
        <v>8798</v>
      </c>
      <c r="D59" s="27">
        <v>8798</v>
      </c>
      <c r="E59" s="27">
        <v>9108</v>
      </c>
      <c r="F59" s="27">
        <f>SUM(C59-B59)</f>
        <v>1546</v>
      </c>
      <c r="G59" s="20">
        <f>SUM(E59-D59)</f>
        <v>310</v>
      </c>
      <c r="H59" s="21">
        <f>SUM(F59:G59)</f>
        <v>1856</v>
      </c>
      <c r="J59" s="7" t="s">
        <v>22</v>
      </c>
      <c r="K59" s="10"/>
      <c r="L59" s="11"/>
      <c r="M59" s="11"/>
      <c r="N59" s="11"/>
      <c r="O59" s="11"/>
      <c r="P59" s="11"/>
      <c r="Q59" s="11"/>
      <c r="R59" s="11"/>
      <c r="S59" s="11"/>
      <c r="T59" s="11"/>
      <c r="U59" s="12"/>
      <c r="W59" s="7" t="s">
        <v>22</v>
      </c>
      <c r="X59" s="10"/>
      <c r="Y59" s="11"/>
      <c r="Z59" s="11"/>
      <c r="AA59" s="11"/>
      <c r="AB59" s="11"/>
      <c r="AC59" s="12"/>
      <c r="AE59" s="7" t="s">
        <v>22</v>
      </c>
      <c r="AF59" s="10"/>
      <c r="AG59" s="11"/>
      <c r="AH59" s="11"/>
      <c r="AI59" s="11"/>
      <c r="AJ59" s="11"/>
      <c r="AK59" s="12"/>
    </row>
    <row r="60" spans="1:37" x14ac:dyDescent="0.25">
      <c r="J60" s="8"/>
      <c r="T60" s="8" t="s">
        <v>23</v>
      </c>
      <c r="U60" s="13">
        <f>SUM(K59:U59)</f>
        <v>0</v>
      </c>
      <c r="AB60" s="8" t="s">
        <v>23</v>
      </c>
      <c r="AC60" s="13">
        <f>SUM(X59:AC59)</f>
        <v>0</v>
      </c>
      <c r="AJ60" s="8" t="s">
        <v>23</v>
      </c>
      <c r="AK60" s="13">
        <f>SUM(AF59:AK59)</f>
        <v>0</v>
      </c>
    </row>
    <row r="61" spans="1:37" ht="15.75" thickBot="1" x14ac:dyDescent="0.3">
      <c r="A61" s="19"/>
      <c r="B61" s="101" t="s">
        <v>13</v>
      </c>
      <c r="C61" s="101"/>
      <c r="D61" s="101"/>
      <c r="E61" s="101"/>
      <c r="F61" s="101"/>
      <c r="G61" s="101"/>
      <c r="H61" s="101"/>
      <c r="J61" s="102" t="s">
        <v>13</v>
      </c>
      <c r="K61" s="102"/>
      <c r="L61" s="102"/>
      <c r="M61" s="102"/>
      <c r="N61" s="102"/>
      <c r="O61" s="102"/>
      <c r="P61" s="102"/>
      <c r="Q61" s="102"/>
      <c r="R61" s="102"/>
      <c r="S61" s="102"/>
      <c r="T61" s="102"/>
      <c r="U61" s="102"/>
      <c r="W61" s="103" t="str">
        <f>J61</f>
        <v>Março</v>
      </c>
      <c r="X61" s="103"/>
      <c r="Y61" s="103"/>
      <c r="Z61" s="103"/>
      <c r="AA61" s="103"/>
      <c r="AB61" s="103"/>
      <c r="AC61" s="103"/>
      <c r="AE61" s="104" t="str">
        <f>W61</f>
        <v>Março</v>
      </c>
      <c r="AF61" s="104"/>
      <c r="AG61" s="104"/>
      <c r="AH61" s="104"/>
      <c r="AI61" s="104"/>
      <c r="AJ61" s="104"/>
      <c r="AK61" s="104"/>
    </row>
    <row r="62" spans="1:37" ht="15.75" thickBot="1" x14ac:dyDescent="0.3">
      <c r="A62" s="100" t="s">
        <v>5</v>
      </c>
      <c r="B62" s="34" t="s">
        <v>6</v>
      </c>
      <c r="C62" s="22" t="s">
        <v>7</v>
      </c>
      <c r="D62" s="33" t="s">
        <v>8</v>
      </c>
      <c r="E62" s="22" t="s">
        <v>9</v>
      </c>
      <c r="F62" s="24" t="s">
        <v>10</v>
      </c>
      <c r="G62" s="23" t="s">
        <v>11</v>
      </c>
      <c r="H62" s="25" t="s">
        <v>12</v>
      </c>
      <c r="J62" s="6" t="s">
        <v>4</v>
      </c>
      <c r="K62" s="9"/>
      <c r="L62" s="4"/>
      <c r="M62" s="4"/>
      <c r="N62" s="4"/>
      <c r="O62" s="4"/>
      <c r="P62" s="4"/>
      <c r="Q62" s="4"/>
      <c r="R62" s="4"/>
      <c r="S62" s="4"/>
      <c r="T62" s="4"/>
      <c r="U62" s="5"/>
      <c r="W62" s="6" t="s">
        <v>4</v>
      </c>
      <c r="X62" s="9"/>
      <c r="Y62" s="4"/>
      <c r="Z62" s="4"/>
      <c r="AA62" s="4"/>
      <c r="AB62" s="4"/>
      <c r="AC62" s="5"/>
      <c r="AE62" s="6" t="s">
        <v>4</v>
      </c>
      <c r="AF62" s="9"/>
      <c r="AG62" s="4"/>
      <c r="AH62" s="4"/>
      <c r="AI62" s="4"/>
      <c r="AJ62" s="4"/>
      <c r="AK62" s="5"/>
    </row>
    <row r="63" spans="1:37" ht="15.75" thickBot="1" x14ac:dyDescent="0.3">
      <c r="A63" s="100"/>
      <c r="B63" s="27">
        <v>9108</v>
      </c>
      <c r="C63" s="27">
        <v>10468</v>
      </c>
      <c r="D63" s="27">
        <v>10468</v>
      </c>
      <c r="E63" s="27">
        <v>11988</v>
      </c>
      <c r="F63" s="27">
        <f>SUM(C63-B63)</f>
        <v>1360</v>
      </c>
      <c r="G63" s="20">
        <f>SUM(E63-D63)</f>
        <v>1520</v>
      </c>
      <c r="H63" s="21">
        <f>SUM(F63:G63)</f>
        <v>2880</v>
      </c>
      <c r="J63" s="7" t="s">
        <v>22</v>
      </c>
      <c r="K63" s="10"/>
      <c r="L63" s="11"/>
      <c r="M63" s="11"/>
      <c r="N63" s="11"/>
      <c r="O63" s="11"/>
      <c r="P63" s="11"/>
      <c r="Q63" s="11"/>
      <c r="R63" s="11"/>
      <c r="S63" s="11"/>
      <c r="T63" s="11"/>
      <c r="U63" s="12"/>
      <c r="W63" s="7" t="s">
        <v>22</v>
      </c>
      <c r="X63" s="10"/>
      <c r="Y63" s="11"/>
      <c r="Z63" s="11"/>
      <c r="AA63" s="11"/>
      <c r="AB63" s="11"/>
      <c r="AC63" s="12"/>
      <c r="AE63" s="7" t="s">
        <v>22</v>
      </c>
      <c r="AF63" s="10"/>
      <c r="AG63" s="11"/>
      <c r="AH63" s="11"/>
      <c r="AI63" s="11"/>
      <c r="AJ63" s="11"/>
      <c r="AK63" s="12"/>
    </row>
    <row r="64" spans="1:37" x14ac:dyDescent="0.25">
      <c r="J64" s="8"/>
      <c r="T64" s="8" t="s">
        <v>23</v>
      </c>
      <c r="U64" s="13">
        <f>SUM(K63:U63)</f>
        <v>0</v>
      </c>
      <c r="AB64" s="8" t="s">
        <v>23</v>
      </c>
      <c r="AC64" s="13">
        <f>SUM(X63:AC63)</f>
        <v>0</v>
      </c>
      <c r="AJ64" s="8" t="s">
        <v>23</v>
      </c>
      <c r="AK64" s="13">
        <f>SUM(AF63:AK63)</f>
        <v>0</v>
      </c>
    </row>
    <row r="65" spans="1:37" ht="15.75" thickBot="1" x14ac:dyDescent="0.3">
      <c r="A65" s="19"/>
      <c r="B65" s="101" t="s">
        <v>14</v>
      </c>
      <c r="C65" s="101"/>
      <c r="D65" s="101"/>
      <c r="E65" s="101"/>
      <c r="F65" s="101"/>
      <c r="G65" s="101"/>
      <c r="H65" s="101"/>
      <c r="J65" s="102" t="s">
        <v>14</v>
      </c>
      <c r="K65" s="102"/>
      <c r="L65" s="102"/>
      <c r="M65" s="102"/>
      <c r="N65" s="102"/>
      <c r="O65" s="102"/>
      <c r="P65" s="102"/>
      <c r="Q65" s="102"/>
      <c r="R65" s="102"/>
      <c r="S65" s="102"/>
      <c r="T65" s="102"/>
      <c r="U65" s="102"/>
      <c r="W65" s="103" t="str">
        <f>J65</f>
        <v>Abril</v>
      </c>
      <c r="X65" s="103"/>
      <c r="Y65" s="103"/>
      <c r="Z65" s="103"/>
      <c r="AA65" s="103"/>
      <c r="AB65" s="103"/>
      <c r="AC65" s="103"/>
      <c r="AE65" s="104" t="str">
        <f>W65</f>
        <v>Abril</v>
      </c>
      <c r="AF65" s="104"/>
      <c r="AG65" s="104"/>
      <c r="AH65" s="104"/>
      <c r="AI65" s="104"/>
      <c r="AJ65" s="104"/>
      <c r="AK65" s="104"/>
    </row>
    <row r="66" spans="1:37" ht="15.75" thickBot="1" x14ac:dyDescent="0.3">
      <c r="A66" s="100"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W66" s="6" t="s">
        <v>4</v>
      </c>
      <c r="X66" s="9">
        <v>45751</v>
      </c>
      <c r="Y66" s="4"/>
      <c r="Z66" s="4"/>
      <c r="AA66" s="4"/>
      <c r="AB66" s="4"/>
      <c r="AC66" s="5"/>
      <c r="AE66" s="6" t="s">
        <v>4</v>
      </c>
      <c r="AF66" s="9"/>
      <c r="AG66" s="4"/>
      <c r="AH66" s="4"/>
      <c r="AI66" s="4"/>
      <c r="AJ66" s="4"/>
      <c r="AK66" s="5"/>
    </row>
    <row r="67" spans="1:37" ht="15.75" thickBot="1" x14ac:dyDescent="0.3">
      <c r="A67" s="100"/>
      <c r="B67" s="26">
        <v>11988</v>
      </c>
      <c r="C67" s="27">
        <v>13703</v>
      </c>
      <c r="D67" s="27"/>
      <c r="E67" s="27"/>
      <c r="F67" s="27">
        <f>SUM(C67-B67)</f>
        <v>1715</v>
      </c>
      <c r="G67" s="20">
        <f>SUM(E67-D67)</f>
        <v>0</v>
      </c>
      <c r="H67" s="21">
        <f>SUM(F67:G67)</f>
        <v>1715</v>
      </c>
      <c r="J67" s="7" t="s">
        <v>22</v>
      </c>
      <c r="K67" s="30"/>
      <c r="L67" s="31"/>
      <c r="M67" s="31"/>
      <c r="N67" s="31"/>
      <c r="O67" s="31"/>
      <c r="P67" s="31"/>
      <c r="Q67" s="31"/>
      <c r="R67" s="31"/>
      <c r="S67" s="31"/>
      <c r="T67" s="31"/>
      <c r="U67" s="32"/>
      <c r="W67" s="7" t="s">
        <v>22</v>
      </c>
      <c r="X67" s="10">
        <v>80</v>
      </c>
      <c r="Y67" s="11"/>
      <c r="Z67" s="11"/>
      <c r="AA67" s="11"/>
      <c r="AB67" s="11"/>
      <c r="AC67" s="12"/>
      <c r="AE67" s="7" t="s">
        <v>22</v>
      </c>
      <c r="AF67" s="10"/>
      <c r="AG67" s="11"/>
      <c r="AH67" s="11"/>
      <c r="AI67" s="11"/>
      <c r="AJ67" s="11"/>
      <c r="AK67" s="12"/>
    </row>
    <row r="68" spans="1:37" x14ac:dyDescent="0.25">
      <c r="J68" s="8"/>
      <c r="T68" s="8" t="s">
        <v>23</v>
      </c>
      <c r="U68" s="13">
        <f>SUM(K67:U67)</f>
        <v>0</v>
      </c>
      <c r="AB68" s="8" t="s">
        <v>23</v>
      </c>
      <c r="AC68" s="13">
        <f>SUM(X67:AC67)</f>
        <v>80</v>
      </c>
      <c r="AJ68" s="8" t="s">
        <v>23</v>
      </c>
      <c r="AK68" s="13">
        <f>SUM(AF67:AK67)</f>
        <v>0</v>
      </c>
    </row>
  </sheetData>
  <mergeCells count="8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B53:H53"/>
    <mergeCell ref="J53:U53"/>
    <mergeCell ref="W53:AC53"/>
    <mergeCell ref="AE53:AK53"/>
    <mergeCell ref="A54:A55"/>
    <mergeCell ref="B57:H57"/>
    <mergeCell ref="J57:U57"/>
    <mergeCell ref="W57:AC57"/>
    <mergeCell ref="AE57:AK57"/>
    <mergeCell ref="A58:A59"/>
    <mergeCell ref="B61:H61"/>
    <mergeCell ref="J61:U61"/>
    <mergeCell ref="W61:AC61"/>
    <mergeCell ref="AE61:AK61"/>
    <mergeCell ref="A62:A63"/>
    <mergeCell ref="B65:H65"/>
    <mergeCell ref="J65:U65"/>
    <mergeCell ref="W65:AC65"/>
    <mergeCell ref="AE65:AK65"/>
    <mergeCell ref="A66:A67"/>
  </mergeCells>
  <pageMargins left="0.511811024" right="0.511811024" top="0.78740157499999996" bottom="0.78740157499999996" header="0.31496062000000002" footer="0.31496062000000002"/>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K59"/>
  <sheetViews>
    <sheetView showGridLines="0" topLeftCell="H28" workbookViewId="0">
      <selection activeCell="Y55" sqref="Y55"/>
    </sheetView>
  </sheetViews>
  <sheetFormatPr defaultRowHeight="15" x14ac:dyDescent="0.25"/>
  <cols>
    <col min="1" max="1" width="19.5703125" bestFit="1" customWidth="1"/>
    <col min="2" max="2" width="11.7109375" style="1" bestFit="1" customWidth="1"/>
    <col min="3" max="3" width="9.28515625" style="1" bestFit="1" customWidth="1"/>
    <col min="4" max="4" width="18" style="1" bestFit="1" customWidth="1"/>
    <col min="5" max="5" width="9.28515625" style="1" bestFit="1" customWidth="1"/>
    <col min="6" max="6" width="26" customWidth="1"/>
    <col min="7" max="7" width="15.28515625" bestFit="1" customWidth="1"/>
    <col min="8" max="8" width="11.85546875" bestFit="1" customWidth="1"/>
    <col min="9" max="9" width="19.5703125" customWidth="1"/>
    <col min="10" max="10" width="13.42578125" bestFit="1" customWidth="1"/>
    <col min="11" max="11" width="10.42578125" bestFit="1" customWidth="1"/>
    <col min="12" max="12" width="10.5703125" bestFit="1" customWidth="1"/>
    <col min="13" max="18" width="10.42578125" bestFit="1" customWidth="1"/>
    <col min="21" max="21" width="12.140625" bestFit="1" customWidth="1"/>
    <col min="24" max="26" width="10.42578125" bestFit="1" customWidth="1"/>
    <col min="29" max="29" width="10.5703125" bestFit="1" customWidth="1"/>
    <col min="34" max="36" width="10.140625" bestFit="1" customWidth="1"/>
  </cols>
  <sheetData>
    <row r="2" spans="1:37" x14ac:dyDescent="0.25">
      <c r="A2" t="s">
        <v>0</v>
      </c>
      <c r="B2" s="107" t="s">
        <v>110</v>
      </c>
      <c r="C2" s="107"/>
      <c r="D2" s="1" t="s">
        <v>1</v>
      </c>
      <c r="E2" s="107" t="s">
        <v>133</v>
      </c>
      <c r="F2" s="107"/>
      <c r="H2" t="s">
        <v>45</v>
      </c>
      <c r="I2" s="54">
        <v>5200</v>
      </c>
    </row>
    <row r="3" spans="1:37" x14ac:dyDescent="0.25">
      <c r="A3" t="s">
        <v>177</v>
      </c>
      <c r="D3" s="1" t="s">
        <v>175</v>
      </c>
      <c r="E3" s="107" t="s">
        <v>176</v>
      </c>
      <c r="F3" s="107"/>
      <c r="H3" t="s">
        <v>149</v>
      </c>
      <c r="I3" s="67">
        <v>45713</v>
      </c>
    </row>
    <row r="4" spans="1:37" x14ac:dyDescent="0.25">
      <c r="A4" t="s">
        <v>2</v>
      </c>
      <c r="B4" s="108">
        <v>2363</v>
      </c>
      <c r="C4" s="108"/>
      <c r="D4" s="1" t="s">
        <v>29</v>
      </c>
      <c r="E4" s="107">
        <v>40</v>
      </c>
      <c r="F4" s="107"/>
      <c r="H4" t="s">
        <v>64</v>
      </c>
      <c r="I4" s="67">
        <v>45380</v>
      </c>
    </row>
    <row r="7" spans="1:37"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105" t="s">
        <v>25</v>
      </c>
      <c r="X7" s="105"/>
      <c r="Y7" s="105"/>
      <c r="Z7" s="105"/>
      <c r="AA7" s="105"/>
      <c r="AB7" s="105"/>
      <c r="AC7" s="105"/>
      <c r="AD7" s="2"/>
      <c r="AE7" s="105" t="s">
        <v>27</v>
      </c>
      <c r="AF7" s="105"/>
      <c r="AG7" s="105"/>
      <c r="AH7" s="105"/>
      <c r="AI7" s="105"/>
      <c r="AJ7" s="105"/>
      <c r="AK7" s="105"/>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101" t="s">
        <v>3</v>
      </c>
      <c r="C9" s="101"/>
      <c r="D9" s="101"/>
      <c r="E9" s="101"/>
      <c r="F9" s="101"/>
      <c r="G9" s="101"/>
      <c r="H9" s="101"/>
      <c r="J9" s="102" t="s">
        <v>3</v>
      </c>
      <c r="K9" s="102"/>
      <c r="L9" s="102"/>
      <c r="M9" s="102"/>
      <c r="N9" s="102"/>
      <c r="O9" s="102"/>
      <c r="P9" s="102"/>
      <c r="Q9" s="102"/>
      <c r="R9" s="102"/>
      <c r="S9" s="102"/>
      <c r="T9" s="102"/>
      <c r="U9" s="102"/>
      <c r="W9" s="103" t="s">
        <v>3</v>
      </c>
      <c r="X9" s="103"/>
      <c r="Y9" s="103"/>
      <c r="Z9" s="103"/>
      <c r="AA9" s="103"/>
      <c r="AB9" s="103"/>
      <c r="AC9" s="103"/>
      <c r="AE9" s="104" t="s">
        <v>3</v>
      </c>
      <c r="AF9" s="104"/>
      <c r="AG9" s="104"/>
      <c r="AH9" s="104"/>
      <c r="AI9" s="104"/>
      <c r="AJ9" s="104"/>
      <c r="AK9" s="104"/>
    </row>
    <row r="10" spans="1:37"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W13" s="103" t="str">
        <f>J13</f>
        <v>Março</v>
      </c>
      <c r="X13" s="103"/>
      <c r="Y13" s="103"/>
      <c r="Z13" s="103"/>
      <c r="AA13" s="103"/>
      <c r="AB13" s="103"/>
      <c r="AC13" s="103"/>
      <c r="AE13" s="104" t="str">
        <f>W13</f>
        <v>Março</v>
      </c>
      <c r="AF13" s="104"/>
      <c r="AG13" s="104"/>
      <c r="AH13" s="104"/>
      <c r="AI13" s="104"/>
      <c r="AJ13" s="104"/>
      <c r="AK13" s="104"/>
    </row>
    <row r="14" spans="1:37"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100"/>
      <c r="B15" s="26">
        <v>35025</v>
      </c>
      <c r="C15" s="27"/>
      <c r="D15" s="27"/>
      <c r="E15" s="27">
        <v>35174</v>
      </c>
      <c r="F15" s="27">
        <f>SUM(C15-B15)</f>
        <v>-35025</v>
      </c>
      <c r="G15" s="20">
        <f>SUM(E15-D15)</f>
        <v>35174</v>
      </c>
      <c r="H15" s="21">
        <f>SUM(F15:G15)</f>
        <v>149</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W17" s="103" t="str">
        <f>J17</f>
        <v>Abril</v>
      </c>
      <c r="X17" s="103"/>
      <c r="Y17" s="103"/>
      <c r="Z17" s="103"/>
      <c r="AA17" s="103"/>
      <c r="AB17" s="103"/>
      <c r="AC17" s="103"/>
      <c r="AE17" s="104" t="str">
        <f>W17</f>
        <v>Abril</v>
      </c>
      <c r="AF17" s="104"/>
      <c r="AG17" s="104"/>
      <c r="AH17" s="104"/>
      <c r="AI17" s="104"/>
      <c r="AJ17" s="104"/>
      <c r="AK17" s="104"/>
    </row>
    <row r="18" spans="1:37" ht="15.75" thickBot="1" x14ac:dyDescent="0.3">
      <c r="A18" s="100" t="s">
        <v>5</v>
      </c>
      <c r="B18" s="34" t="s">
        <v>6</v>
      </c>
      <c r="C18" s="22" t="s">
        <v>7</v>
      </c>
      <c r="D18" s="33" t="s">
        <v>8</v>
      </c>
      <c r="E18" s="22" t="s">
        <v>9</v>
      </c>
      <c r="F18" s="24" t="s">
        <v>10</v>
      </c>
      <c r="G18" s="23" t="s">
        <v>11</v>
      </c>
      <c r="H18" s="25" t="s">
        <v>12</v>
      </c>
      <c r="J18" s="6" t="s">
        <v>4</v>
      </c>
      <c r="K18" s="9">
        <v>45384</v>
      </c>
      <c r="L18" s="4" t="s">
        <v>84</v>
      </c>
      <c r="M18" s="66">
        <v>45388</v>
      </c>
      <c r="N18" s="66">
        <v>45393</v>
      </c>
      <c r="O18" s="66">
        <v>45399</v>
      </c>
      <c r="P18" s="66">
        <v>45402</v>
      </c>
      <c r="Q18" s="66">
        <v>45040</v>
      </c>
      <c r="R18" s="66">
        <v>45409</v>
      </c>
      <c r="S18" s="4"/>
      <c r="T18" s="4"/>
      <c r="U18" s="5"/>
      <c r="W18" s="6" t="s">
        <v>4</v>
      </c>
      <c r="X18" s="9">
        <v>45395</v>
      </c>
      <c r="Y18" s="4"/>
      <c r="Z18" s="4"/>
      <c r="AA18" s="4"/>
      <c r="AB18" s="4"/>
      <c r="AC18" s="5"/>
      <c r="AE18" s="6" t="s">
        <v>4</v>
      </c>
      <c r="AF18" s="9"/>
      <c r="AG18" s="4"/>
      <c r="AH18" s="4"/>
      <c r="AI18" s="4"/>
      <c r="AJ18" s="4"/>
      <c r="AK18" s="5"/>
    </row>
    <row r="19" spans="1:37" ht="15.75" thickBot="1" x14ac:dyDescent="0.3">
      <c r="A19" s="100"/>
      <c r="B19" s="26">
        <v>35174</v>
      </c>
      <c r="C19" s="27"/>
      <c r="D19" s="27"/>
      <c r="E19" s="27">
        <v>38509</v>
      </c>
      <c r="F19" s="27">
        <f>SUM(C19-B19)</f>
        <v>-35174</v>
      </c>
      <c r="G19" s="20">
        <f>SUM(E19-D19)</f>
        <v>38509</v>
      </c>
      <c r="H19" s="21">
        <f>SUM(F19:G19)</f>
        <v>3335</v>
      </c>
      <c r="J19" s="7" t="s">
        <v>22</v>
      </c>
      <c r="K19" s="30">
        <v>121.16</v>
      </c>
      <c r="L19" s="31">
        <v>123.56</v>
      </c>
      <c r="M19" s="31">
        <v>259.85000000000002</v>
      </c>
      <c r="N19" s="31">
        <v>157.72</v>
      </c>
      <c r="O19" s="31">
        <v>212.53</v>
      </c>
      <c r="P19" s="31">
        <v>174.61</v>
      </c>
      <c r="Q19" s="31">
        <v>194.5</v>
      </c>
      <c r="R19" s="31">
        <v>225.34</v>
      </c>
      <c r="S19" s="31"/>
      <c r="T19" s="31"/>
      <c r="U19" s="32"/>
      <c r="W19" s="7" t="s">
        <v>22</v>
      </c>
      <c r="X19" s="10">
        <v>80</v>
      </c>
      <c r="Y19" s="11"/>
      <c r="Z19" s="11"/>
      <c r="AA19" s="11"/>
      <c r="AB19" s="11"/>
      <c r="AC19" s="12"/>
      <c r="AE19" s="7" t="s">
        <v>22</v>
      </c>
      <c r="AF19" s="10"/>
      <c r="AG19" s="11"/>
      <c r="AH19" s="11"/>
      <c r="AI19" s="11"/>
      <c r="AJ19" s="11"/>
      <c r="AK19" s="12"/>
    </row>
    <row r="20" spans="1:37" x14ac:dyDescent="0.25">
      <c r="J20" s="8"/>
      <c r="T20" s="8" t="s">
        <v>23</v>
      </c>
      <c r="U20" s="13">
        <f>SUM(K19:U19)</f>
        <v>1469.27</v>
      </c>
      <c r="AB20" s="8" t="s">
        <v>23</v>
      </c>
      <c r="AC20" s="13">
        <f>SUM(X19:AC19)</f>
        <v>80</v>
      </c>
      <c r="AJ20" s="8" t="s">
        <v>23</v>
      </c>
      <c r="AK20" s="13">
        <f>SUM(AF19:AK19)</f>
        <v>0</v>
      </c>
    </row>
    <row r="21" spans="1:37"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W21" s="103" t="str">
        <f>J21</f>
        <v>Maio</v>
      </c>
      <c r="X21" s="103"/>
      <c r="Y21" s="103"/>
      <c r="Z21" s="103"/>
      <c r="AA21" s="103"/>
      <c r="AB21" s="103"/>
      <c r="AC21" s="103"/>
      <c r="AE21" s="104" t="str">
        <f>W21</f>
        <v>Maio</v>
      </c>
      <c r="AF21" s="104"/>
      <c r="AG21" s="104"/>
      <c r="AH21" s="104"/>
      <c r="AI21" s="104"/>
      <c r="AJ21" s="104"/>
      <c r="AK21" s="104"/>
    </row>
    <row r="22" spans="1:37" ht="15.75" thickBot="1" x14ac:dyDescent="0.3">
      <c r="A22" s="100" t="s">
        <v>5</v>
      </c>
      <c r="B22" s="34" t="s">
        <v>6</v>
      </c>
      <c r="C22" s="22" t="s">
        <v>7</v>
      </c>
      <c r="D22" s="33" t="s">
        <v>8</v>
      </c>
      <c r="E22" s="22" t="s">
        <v>9</v>
      </c>
      <c r="F22" s="24" t="s">
        <v>10</v>
      </c>
      <c r="G22" s="23" t="s">
        <v>11</v>
      </c>
      <c r="H22" s="25" t="s">
        <v>12</v>
      </c>
      <c r="J22" s="6" t="s">
        <v>4</v>
      </c>
      <c r="K22" s="9">
        <v>45415</v>
      </c>
      <c r="L22" s="66">
        <v>45420</v>
      </c>
      <c r="M22" s="66">
        <v>45423</v>
      </c>
      <c r="N22" s="66">
        <v>45428</v>
      </c>
      <c r="O22" s="66">
        <v>45441</v>
      </c>
      <c r="P22" s="4"/>
      <c r="Q22" s="4"/>
      <c r="R22" s="4"/>
      <c r="S22" s="4"/>
      <c r="T22" s="4"/>
      <c r="U22" s="5"/>
      <c r="W22" s="6" t="s">
        <v>4</v>
      </c>
      <c r="X22" s="9">
        <v>45429</v>
      </c>
      <c r="Y22" s="66">
        <v>45418</v>
      </c>
      <c r="Z22" s="4"/>
      <c r="AA22" s="4"/>
      <c r="AB22" s="4"/>
      <c r="AC22" s="5"/>
      <c r="AE22" s="6" t="s">
        <v>4</v>
      </c>
      <c r="AF22" s="9"/>
      <c r="AG22" s="4"/>
      <c r="AH22" s="4"/>
      <c r="AI22" s="4"/>
      <c r="AJ22" s="4"/>
      <c r="AK22" s="5"/>
    </row>
    <row r="23" spans="1:37" ht="15.75" thickBot="1" x14ac:dyDescent="0.3">
      <c r="A23" s="100"/>
      <c r="B23" s="26">
        <v>38509</v>
      </c>
      <c r="C23" s="27"/>
      <c r="D23" s="27"/>
      <c r="E23" s="27">
        <v>41027</v>
      </c>
      <c r="F23" s="27">
        <f>SUM(C23-B23)</f>
        <v>-38509</v>
      </c>
      <c r="G23" s="20">
        <f>SUM(E23-D23)</f>
        <v>41027</v>
      </c>
      <c r="H23" s="21">
        <f>SUM(F23:G23)</f>
        <v>2518</v>
      </c>
      <c r="J23" s="7" t="s">
        <v>22</v>
      </c>
      <c r="K23" s="10">
        <v>231.87</v>
      </c>
      <c r="L23" s="11">
        <v>223.37</v>
      </c>
      <c r="M23" s="11">
        <v>188.09</v>
      </c>
      <c r="N23" s="11">
        <v>198.33</v>
      </c>
      <c r="O23" s="11">
        <v>187.06</v>
      </c>
      <c r="P23" s="11"/>
      <c r="Q23" s="11"/>
      <c r="R23" s="11"/>
      <c r="S23" s="11"/>
      <c r="T23" s="11"/>
      <c r="U23" s="12"/>
      <c r="W23" s="7" t="s">
        <v>22</v>
      </c>
      <c r="X23" s="10">
        <v>80</v>
      </c>
      <c r="Y23" s="11">
        <v>80</v>
      </c>
      <c r="Z23" s="11"/>
      <c r="AA23" s="11"/>
      <c r="AB23" s="11"/>
      <c r="AC23" s="12"/>
      <c r="AE23" s="7" t="s">
        <v>22</v>
      </c>
      <c r="AF23" s="10"/>
      <c r="AG23" s="11"/>
      <c r="AH23" s="11"/>
      <c r="AI23" s="11"/>
      <c r="AJ23" s="11"/>
      <c r="AK23" s="12"/>
    </row>
    <row r="24" spans="1:37" x14ac:dyDescent="0.25">
      <c r="J24" s="8"/>
      <c r="T24" s="8" t="s">
        <v>23</v>
      </c>
      <c r="U24" s="13">
        <f>SUM(K23:U23)</f>
        <v>1028.72</v>
      </c>
      <c r="AB24" s="8" t="s">
        <v>23</v>
      </c>
      <c r="AC24" s="13">
        <f>SUM(X23:AC23)</f>
        <v>160</v>
      </c>
      <c r="AJ24" s="8" t="s">
        <v>23</v>
      </c>
      <c r="AK24" s="13">
        <f>SUM(AF23:AK23)</f>
        <v>0</v>
      </c>
    </row>
    <row r="25" spans="1:37"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W25" s="103" t="str">
        <f>J25</f>
        <v>Junho</v>
      </c>
      <c r="X25" s="103"/>
      <c r="Y25" s="103"/>
      <c r="Z25" s="103"/>
      <c r="AA25" s="103"/>
      <c r="AB25" s="103"/>
      <c r="AC25" s="103"/>
      <c r="AE25" s="104" t="str">
        <f>W25</f>
        <v>Junho</v>
      </c>
      <c r="AF25" s="104"/>
      <c r="AG25" s="104"/>
      <c r="AH25" s="104"/>
      <c r="AI25" s="104"/>
      <c r="AJ25" s="104"/>
      <c r="AK25" s="104"/>
    </row>
    <row r="26" spans="1:37" ht="15.75" thickBot="1" x14ac:dyDescent="0.3">
      <c r="A26" s="100" t="s">
        <v>5</v>
      </c>
      <c r="B26" s="34" t="s">
        <v>6</v>
      </c>
      <c r="C26" s="22" t="s">
        <v>7</v>
      </c>
      <c r="D26" s="33" t="s">
        <v>8</v>
      </c>
      <c r="E26" s="22" t="s">
        <v>9</v>
      </c>
      <c r="F26" s="24" t="s">
        <v>10</v>
      </c>
      <c r="G26" s="23" t="s">
        <v>11</v>
      </c>
      <c r="H26" s="25" t="s">
        <v>12</v>
      </c>
      <c r="J26" s="6" t="s">
        <v>4</v>
      </c>
      <c r="K26" s="9">
        <v>45444</v>
      </c>
      <c r="L26" s="66">
        <v>45450</v>
      </c>
      <c r="M26" s="66">
        <v>45455</v>
      </c>
      <c r="N26" s="66">
        <v>45458</v>
      </c>
      <c r="O26" s="4"/>
      <c r="P26" s="4"/>
      <c r="Q26" s="4"/>
      <c r="R26" s="4"/>
      <c r="S26" s="4"/>
      <c r="T26" s="4"/>
      <c r="U26" s="5"/>
      <c r="W26" s="6" t="s">
        <v>4</v>
      </c>
      <c r="X26" s="9">
        <v>45451</v>
      </c>
      <c r="Y26" s="4"/>
      <c r="Z26" s="4"/>
      <c r="AA26" s="4"/>
      <c r="AB26" s="4"/>
      <c r="AC26" s="5"/>
      <c r="AE26" s="6" t="s">
        <v>4</v>
      </c>
      <c r="AF26" s="9"/>
      <c r="AG26" s="4"/>
      <c r="AH26" s="4"/>
      <c r="AI26" s="4"/>
      <c r="AJ26" s="4"/>
      <c r="AK26" s="5"/>
    </row>
    <row r="27" spans="1:37" ht="15.75" thickBot="1" x14ac:dyDescent="0.3">
      <c r="A27" s="100"/>
      <c r="B27" s="26"/>
      <c r="C27" s="27"/>
      <c r="D27" s="27"/>
      <c r="E27" s="27"/>
      <c r="F27" s="27">
        <f>SUM(C27-B27)</f>
        <v>0</v>
      </c>
      <c r="G27" s="20">
        <f>SUM(E27-D27)</f>
        <v>0</v>
      </c>
      <c r="H27" s="21">
        <f>SUM(F27:G27)</f>
        <v>0</v>
      </c>
      <c r="J27" s="7" t="s">
        <v>22</v>
      </c>
      <c r="K27" s="10">
        <v>229.03</v>
      </c>
      <c r="L27" s="11">
        <v>231.82</v>
      </c>
      <c r="M27" s="11">
        <v>203.59</v>
      </c>
      <c r="N27" s="11">
        <v>269.57</v>
      </c>
      <c r="O27" s="11"/>
      <c r="P27" s="11"/>
      <c r="Q27" s="11"/>
      <c r="R27" s="11"/>
      <c r="S27" s="11"/>
      <c r="T27" s="11"/>
      <c r="U27" s="12"/>
      <c r="W27" s="7" t="s">
        <v>22</v>
      </c>
      <c r="X27" s="10">
        <v>80</v>
      </c>
      <c r="Y27" s="11"/>
      <c r="Z27" s="11"/>
      <c r="AA27" s="11"/>
      <c r="AB27" s="11"/>
      <c r="AC27" s="12"/>
      <c r="AE27" s="7" t="s">
        <v>22</v>
      </c>
      <c r="AF27" s="10"/>
      <c r="AG27" s="11"/>
      <c r="AH27" s="11"/>
      <c r="AI27" s="11"/>
      <c r="AJ27" s="11"/>
      <c r="AK27" s="12"/>
    </row>
    <row r="28" spans="1:37" x14ac:dyDescent="0.25">
      <c r="J28" s="8"/>
      <c r="T28" s="8" t="s">
        <v>23</v>
      </c>
      <c r="U28" s="13">
        <f>SUM(K27:U27)</f>
        <v>934.01</v>
      </c>
      <c r="AB28" s="8" t="s">
        <v>23</v>
      </c>
      <c r="AC28" s="13">
        <f>SUM(X27:AC27)</f>
        <v>80</v>
      </c>
      <c r="AJ28" s="8" t="s">
        <v>23</v>
      </c>
      <c r="AK28" s="13">
        <f>SUM(AF27:AK27)</f>
        <v>0</v>
      </c>
    </row>
    <row r="29" spans="1:37"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W29" s="103" t="str">
        <f>J29</f>
        <v>Julho</v>
      </c>
      <c r="X29" s="103"/>
      <c r="Y29" s="103"/>
      <c r="Z29" s="103"/>
      <c r="AA29" s="103"/>
      <c r="AB29" s="103"/>
      <c r="AC29" s="103"/>
      <c r="AE29" s="104" t="str">
        <f>W29</f>
        <v>Julho</v>
      </c>
      <c r="AF29" s="104"/>
      <c r="AG29" s="104"/>
      <c r="AH29" s="104"/>
      <c r="AI29" s="104"/>
      <c r="AJ29" s="104"/>
      <c r="AK29" s="104"/>
    </row>
    <row r="30" spans="1:37" ht="15.75" thickBot="1" x14ac:dyDescent="0.3">
      <c r="A30" s="100" t="s">
        <v>5</v>
      </c>
      <c r="B30" s="34" t="s">
        <v>6</v>
      </c>
      <c r="C30" s="22" t="s">
        <v>7</v>
      </c>
      <c r="D30" s="33" t="s">
        <v>8</v>
      </c>
      <c r="E30" s="22" t="s">
        <v>9</v>
      </c>
      <c r="F30" s="24" t="s">
        <v>10</v>
      </c>
      <c r="G30" s="23" t="s">
        <v>11</v>
      </c>
      <c r="H30" s="25" t="s">
        <v>12</v>
      </c>
      <c r="J30" s="6" t="s">
        <v>4</v>
      </c>
      <c r="K30" s="9">
        <v>45493</v>
      </c>
      <c r="L30" s="4"/>
      <c r="M30" s="4"/>
      <c r="N30" s="4"/>
      <c r="O30" s="4"/>
      <c r="P30" s="4"/>
      <c r="Q30" s="4"/>
      <c r="R30" s="4"/>
      <c r="S30" s="4"/>
      <c r="T30" s="4"/>
      <c r="U30" s="5"/>
      <c r="W30" s="6" t="s">
        <v>4</v>
      </c>
      <c r="X30" s="9">
        <v>45493</v>
      </c>
      <c r="Y30" s="4"/>
      <c r="Z30" s="4"/>
      <c r="AA30" s="4"/>
      <c r="AB30" s="4"/>
      <c r="AC30" s="5"/>
      <c r="AE30" s="6" t="s">
        <v>4</v>
      </c>
      <c r="AF30" s="9"/>
      <c r="AG30" s="4"/>
      <c r="AH30" s="4"/>
      <c r="AI30" s="4"/>
      <c r="AJ30" s="4"/>
      <c r="AK30" s="5"/>
    </row>
    <row r="31" spans="1:37" ht="15.75" thickBot="1" x14ac:dyDescent="0.3">
      <c r="A31" s="100"/>
      <c r="B31" s="26"/>
      <c r="C31" s="27"/>
      <c r="D31" s="27"/>
      <c r="E31" s="27"/>
      <c r="F31" s="27">
        <f>SUM(C31-B31)</f>
        <v>0</v>
      </c>
      <c r="G31" s="20">
        <f>SUM(E31-D31)</f>
        <v>0</v>
      </c>
      <c r="H31" s="21">
        <f>SUM(F31:G31)</f>
        <v>0</v>
      </c>
      <c r="J31" s="7" t="s">
        <v>22</v>
      </c>
      <c r="K31" s="10">
        <v>166.82</v>
      </c>
      <c r="L31" s="11"/>
      <c r="M31" s="11"/>
      <c r="N31" s="11"/>
      <c r="O31" s="11"/>
      <c r="P31" s="11"/>
      <c r="Q31" s="11"/>
      <c r="R31" s="11"/>
      <c r="S31" s="11"/>
      <c r="T31" s="11"/>
      <c r="U31" s="12"/>
      <c r="W31" s="7" t="s">
        <v>22</v>
      </c>
      <c r="X31" s="10">
        <v>80</v>
      </c>
      <c r="Y31" s="11"/>
      <c r="Z31" s="11"/>
      <c r="AA31" s="11"/>
      <c r="AB31" s="11"/>
      <c r="AC31" s="12"/>
      <c r="AE31" s="7" t="s">
        <v>22</v>
      </c>
      <c r="AF31" s="10"/>
      <c r="AG31" s="11"/>
      <c r="AH31" s="11"/>
      <c r="AI31" s="11"/>
      <c r="AJ31" s="11"/>
      <c r="AK31" s="12"/>
    </row>
    <row r="32" spans="1:37" x14ac:dyDescent="0.25">
      <c r="J32" s="8"/>
      <c r="T32" s="8" t="s">
        <v>23</v>
      </c>
      <c r="U32" s="13">
        <f>SUM(K31:U31)</f>
        <v>166.82</v>
      </c>
      <c r="AB32" s="8" t="s">
        <v>23</v>
      </c>
      <c r="AC32" s="13">
        <f>SUM(X31:AC31)</f>
        <v>80</v>
      </c>
      <c r="AJ32" s="8" t="s">
        <v>23</v>
      </c>
      <c r="AK32" s="13">
        <f>SUM(AF31:AK31)</f>
        <v>0</v>
      </c>
    </row>
    <row r="33" spans="1:37"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W33" s="103" t="str">
        <f>J33</f>
        <v>Agosto</v>
      </c>
      <c r="X33" s="103"/>
      <c r="Y33" s="103"/>
      <c r="Z33" s="103"/>
      <c r="AA33" s="103"/>
      <c r="AB33" s="103"/>
      <c r="AC33" s="103"/>
      <c r="AE33" s="104" t="str">
        <f>W33</f>
        <v>Agosto</v>
      </c>
      <c r="AF33" s="104"/>
      <c r="AG33" s="104"/>
      <c r="AH33" s="104"/>
      <c r="AI33" s="104"/>
      <c r="AJ33" s="104"/>
      <c r="AK33" s="104"/>
    </row>
    <row r="34" spans="1:37" ht="15.75" thickBot="1" x14ac:dyDescent="0.3">
      <c r="A34" s="100" t="s">
        <v>5</v>
      </c>
      <c r="B34" s="34" t="s">
        <v>6</v>
      </c>
      <c r="C34" s="22" t="s">
        <v>7</v>
      </c>
      <c r="D34" s="33" t="s">
        <v>8</v>
      </c>
      <c r="E34" s="22" t="s">
        <v>9</v>
      </c>
      <c r="F34" s="24" t="s">
        <v>10</v>
      </c>
      <c r="G34" s="23" t="s">
        <v>11</v>
      </c>
      <c r="H34" s="25" t="s">
        <v>12</v>
      </c>
      <c r="J34" s="6" t="s">
        <v>4</v>
      </c>
      <c r="K34" s="9">
        <v>45505</v>
      </c>
      <c r="L34" s="66">
        <v>45511</v>
      </c>
      <c r="M34" s="66">
        <v>45517</v>
      </c>
      <c r="N34" s="66">
        <v>45520</v>
      </c>
      <c r="O34" s="66">
        <v>45526</v>
      </c>
      <c r="P34" s="66">
        <v>45524</v>
      </c>
      <c r="Q34" s="66">
        <v>45532</v>
      </c>
      <c r="R34" s="66">
        <v>45535</v>
      </c>
      <c r="S34" s="4"/>
      <c r="T34" s="4"/>
      <c r="U34" s="5"/>
      <c r="W34" s="6" t="s">
        <v>4</v>
      </c>
      <c r="X34" s="9">
        <v>45510</v>
      </c>
      <c r="Y34" s="66">
        <v>45516</v>
      </c>
      <c r="Z34" s="66">
        <v>45524</v>
      </c>
      <c r="AA34" s="4"/>
      <c r="AB34" s="4"/>
      <c r="AC34" s="5"/>
      <c r="AE34" s="6" t="s">
        <v>4</v>
      </c>
      <c r="AF34" s="9"/>
      <c r="AG34" s="4"/>
      <c r="AH34" s="4"/>
      <c r="AI34" s="4"/>
      <c r="AJ34" s="4"/>
      <c r="AK34" s="5"/>
    </row>
    <row r="35" spans="1:37" ht="15.75" thickBot="1" x14ac:dyDescent="0.3">
      <c r="A35" s="100"/>
      <c r="B35" s="26">
        <v>43742</v>
      </c>
      <c r="C35" s="27"/>
      <c r="D35" s="27"/>
      <c r="E35" s="27">
        <v>45834</v>
      </c>
      <c r="F35" s="27">
        <f>SUM(C35-B35)</f>
        <v>-43742</v>
      </c>
      <c r="G35" s="20">
        <f>SUM(E35-D35)</f>
        <v>45834</v>
      </c>
      <c r="H35" s="21">
        <f>SUM(F35:G35)</f>
        <v>2092</v>
      </c>
      <c r="J35" s="7" t="s">
        <v>22</v>
      </c>
      <c r="K35" s="10">
        <v>319.5</v>
      </c>
      <c r="L35" s="11">
        <v>261.8</v>
      </c>
      <c r="M35" s="11">
        <v>220.39</v>
      </c>
      <c r="N35" s="11">
        <v>254.84</v>
      </c>
      <c r="O35" s="11">
        <v>220.76</v>
      </c>
      <c r="P35" s="11">
        <v>138.46</v>
      </c>
      <c r="Q35" s="11">
        <v>248.19</v>
      </c>
      <c r="R35" s="11">
        <v>195.47</v>
      </c>
      <c r="S35" s="11"/>
      <c r="T35" s="11"/>
      <c r="U35" s="12"/>
      <c r="W35" s="7" t="s">
        <v>22</v>
      </c>
      <c r="X35" s="10">
        <v>60</v>
      </c>
      <c r="Y35" s="11">
        <v>80</v>
      </c>
      <c r="Z35" s="11">
        <v>60</v>
      </c>
      <c r="AA35" s="11"/>
      <c r="AB35" s="11"/>
      <c r="AC35" s="12"/>
      <c r="AE35" s="7" t="s">
        <v>22</v>
      </c>
      <c r="AF35" s="10"/>
      <c r="AG35" s="11"/>
      <c r="AH35" s="11"/>
      <c r="AI35" s="11"/>
      <c r="AJ35" s="11"/>
      <c r="AK35" s="12"/>
    </row>
    <row r="36" spans="1:37" x14ac:dyDescent="0.25">
      <c r="A36" t="s">
        <v>123</v>
      </c>
      <c r="B36" s="1">
        <v>5209</v>
      </c>
      <c r="E36" s="1">
        <v>6495</v>
      </c>
      <c r="H36" s="78">
        <v>1286</v>
      </c>
      <c r="J36" s="8"/>
      <c r="T36" s="8" t="s">
        <v>23</v>
      </c>
      <c r="U36" s="13">
        <f>SUM(K35:U35)</f>
        <v>1859.41</v>
      </c>
      <c r="AB36" s="8" t="s">
        <v>23</v>
      </c>
      <c r="AC36" s="13">
        <f>SUM(X35:AC35)</f>
        <v>200</v>
      </c>
      <c r="AJ36" s="8" t="s">
        <v>23</v>
      </c>
      <c r="AK36" s="13">
        <f>SUM(AF35:AK35)</f>
        <v>0</v>
      </c>
    </row>
    <row r="37" spans="1:37"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W37" s="103" t="str">
        <f>J37</f>
        <v>Setembro</v>
      </c>
      <c r="X37" s="103"/>
      <c r="Y37" s="103"/>
      <c r="Z37" s="103"/>
      <c r="AA37" s="103"/>
      <c r="AB37" s="103"/>
      <c r="AC37" s="103"/>
      <c r="AE37" s="104" t="str">
        <f>W37</f>
        <v>Setembro</v>
      </c>
      <c r="AF37" s="104"/>
      <c r="AG37" s="104"/>
      <c r="AH37" s="104"/>
      <c r="AI37" s="104"/>
      <c r="AJ37" s="104"/>
      <c r="AK37" s="104"/>
    </row>
    <row r="38" spans="1:37" ht="15.75" thickBot="1" x14ac:dyDescent="0.3">
      <c r="A38" s="100" t="s">
        <v>5</v>
      </c>
      <c r="B38" s="34" t="s">
        <v>6</v>
      </c>
      <c r="C38" s="22" t="s">
        <v>7</v>
      </c>
      <c r="D38" s="33" t="s">
        <v>8</v>
      </c>
      <c r="E38" s="22" t="s">
        <v>9</v>
      </c>
      <c r="F38" s="24" t="s">
        <v>10</v>
      </c>
      <c r="G38" s="23" t="s">
        <v>11</v>
      </c>
      <c r="H38" s="25" t="s">
        <v>12</v>
      </c>
      <c r="J38" s="6" t="s">
        <v>4</v>
      </c>
      <c r="K38" s="9">
        <v>45539</v>
      </c>
      <c r="L38" s="66">
        <v>45541</v>
      </c>
      <c r="M38" s="66">
        <v>45546</v>
      </c>
      <c r="N38" s="66">
        <v>45549</v>
      </c>
      <c r="O38" s="66">
        <v>45556</v>
      </c>
      <c r="P38" s="66">
        <v>45563</v>
      </c>
      <c r="Q38" s="4"/>
      <c r="R38" s="4"/>
      <c r="S38" s="4"/>
      <c r="T38" s="4"/>
      <c r="U38" s="5"/>
      <c r="W38" s="6" t="s">
        <v>4</v>
      </c>
      <c r="X38" s="9">
        <v>45537</v>
      </c>
      <c r="Y38" s="66">
        <v>45545</v>
      </c>
      <c r="Z38" s="66">
        <v>45549</v>
      </c>
      <c r="AA38" s="4"/>
      <c r="AB38" s="4"/>
      <c r="AC38" s="5"/>
      <c r="AE38" s="6" t="s">
        <v>4</v>
      </c>
      <c r="AF38" s="9"/>
      <c r="AG38" s="4"/>
      <c r="AH38" s="4"/>
      <c r="AI38" s="4"/>
      <c r="AJ38" s="4"/>
      <c r="AK38" s="5"/>
    </row>
    <row r="39" spans="1:37" ht="15.75" thickBot="1" x14ac:dyDescent="0.3">
      <c r="A39" s="100"/>
      <c r="B39" s="26">
        <v>6495</v>
      </c>
      <c r="C39" s="27"/>
      <c r="D39" s="27"/>
      <c r="E39" s="27">
        <v>9256</v>
      </c>
      <c r="F39" s="27">
        <f>SUM(C39-B39)</f>
        <v>-6495</v>
      </c>
      <c r="G39" s="20">
        <f>SUM(E39-D39)</f>
        <v>9256</v>
      </c>
      <c r="H39" s="21">
        <f>SUM(F39:G39)</f>
        <v>2761</v>
      </c>
      <c r="J39" s="7" t="s">
        <v>22</v>
      </c>
      <c r="K39" s="10">
        <v>212.79</v>
      </c>
      <c r="L39" s="11">
        <v>211.76</v>
      </c>
      <c r="M39" s="11">
        <v>155.79</v>
      </c>
      <c r="N39" s="11">
        <v>168.38</v>
      </c>
      <c r="O39" s="11">
        <v>203.52</v>
      </c>
      <c r="P39" s="11">
        <v>188.95</v>
      </c>
      <c r="Q39" s="11"/>
      <c r="R39" s="11"/>
      <c r="S39" s="11"/>
      <c r="T39" s="11"/>
      <c r="U39" s="12"/>
      <c r="W39" s="7" t="s">
        <v>22</v>
      </c>
      <c r="X39" s="10">
        <v>60</v>
      </c>
      <c r="Y39" s="11">
        <v>60</v>
      </c>
      <c r="Z39" s="11">
        <v>80</v>
      </c>
      <c r="AA39" s="11"/>
      <c r="AB39" s="11"/>
      <c r="AC39" s="12"/>
      <c r="AE39" s="7" t="s">
        <v>22</v>
      </c>
      <c r="AF39" s="10"/>
      <c r="AG39" s="11"/>
      <c r="AH39" s="11"/>
      <c r="AI39" s="11"/>
      <c r="AJ39" s="11"/>
      <c r="AK39" s="12"/>
    </row>
    <row r="40" spans="1:37" x14ac:dyDescent="0.25">
      <c r="J40" s="8"/>
      <c r="T40" s="8" t="s">
        <v>23</v>
      </c>
      <c r="U40" s="13">
        <f>SUM(K39:U39)</f>
        <v>1141.1899999999998</v>
      </c>
      <c r="AB40" s="8" t="s">
        <v>23</v>
      </c>
      <c r="AC40" s="13">
        <f>SUM(X39:AC39)</f>
        <v>200</v>
      </c>
      <c r="AJ40" s="8" t="s">
        <v>23</v>
      </c>
      <c r="AK40" s="13">
        <f>SUM(AF39:AK39)</f>
        <v>0</v>
      </c>
    </row>
    <row r="41" spans="1:37"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W41" s="103" t="str">
        <f>J41</f>
        <v>Outubro</v>
      </c>
      <c r="X41" s="103"/>
      <c r="Y41" s="103"/>
      <c r="Z41" s="103"/>
      <c r="AA41" s="103"/>
      <c r="AB41" s="103"/>
      <c r="AC41" s="103"/>
      <c r="AE41" s="104" t="str">
        <f>W41</f>
        <v>Outubro</v>
      </c>
      <c r="AF41" s="104"/>
      <c r="AG41" s="104"/>
      <c r="AH41" s="104"/>
      <c r="AI41" s="104"/>
      <c r="AJ41" s="104"/>
      <c r="AK41" s="104"/>
    </row>
    <row r="42" spans="1:37" ht="15.75" thickBot="1" x14ac:dyDescent="0.3">
      <c r="A42" s="100" t="s">
        <v>5</v>
      </c>
      <c r="B42" s="34" t="s">
        <v>6</v>
      </c>
      <c r="C42" s="22" t="s">
        <v>7</v>
      </c>
      <c r="D42" s="33" t="s">
        <v>8</v>
      </c>
      <c r="E42" s="22" t="s">
        <v>9</v>
      </c>
      <c r="F42" s="24" t="s">
        <v>10</v>
      </c>
      <c r="G42" s="23" t="s">
        <v>11</v>
      </c>
      <c r="H42" s="25" t="s">
        <v>12</v>
      </c>
      <c r="J42" s="6" t="s">
        <v>4</v>
      </c>
      <c r="K42" s="9">
        <v>45567</v>
      </c>
      <c r="L42" s="66">
        <v>45569</v>
      </c>
      <c r="M42" s="66">
        <v>45573</v>
      </c>
      <c r="N42" s="66">
        <v>45577</v>
      </c>
      <c r="O42" s="66">
        <v>45595</v>
      </c>
      <c r="P42" s="66">
        <v>45589</v>
      </c>
      <c r="Q42" s="66">
        <v>45584</v>
      </c>
      <c r="R42" s="66">
        <v>45582</v>
      </c>
      <c r="S42" s="4"/>
      <c r="T42" s="4"/>
      <c r="U42" s="5"/>
      <c r="W42" s="6" t="s">
        <v>4</v>
      </c>
      <c r="X42" s="9">
        <v>45569</v>
      </c>
      <c r="Y42" s="4"/>
      <c r="Z42" s="4"/>
      <c r="AA42" s="4"/>
      <c r="AB42" s="4"/>
      <c r="AC42" s="5"/>
      <c r="AE42" s="6" t="s">
        <v>4</v>
      </c>
      <c r="AF42" s="9"/>
      <c r="AG42" s="4"/>
      <c r="AH42" s="4"/>
      <c r="AI42" s="4"/>
      <c r="AJ42" s="4"/>
      <c r="AK42" s="5"/>
    </row>
    <row r="43" spans="1:37" ht="15.75" thickBot="1" x14ac:dyDescent="0.3">
      <c r="A43" s="100"/>
      <c r="B43" s="26">
        <v>9256</v>
      </c>
      <c r="C43" s="27"/>
      <c r="D43" s="27"/>
      <c r="E43" s="27">
        <v>12400</v>
      </c>
      <c r="F43" s="27">
        <f>SUM(C43-B43)</f>
        <v>-9256</v>
      </c>
      <c r="G43" s="20">
        <f>SUM(E43-D43)</f>
        <v>12400</v>
      </c>
      <c r="H43" s="21">
        <f>SUM(F43:G43)</f>
        <v>3144</v>
      </c>
      <c r="J43" s="7" t="s">
        <v>22</v>
      </c>
      <c r="K43" s="10">
        <v>184.48</v>
      </c>
      <c r="L43" s="11">
        <v>178.92</v>
      </c>
      <c r="M43" s="11">
        <v>188.5</v>
      </c>
      <c r="N43" s="11">
        <v>183.38399999999999</v>
      </c>
      <c r="O43" s="11">
        <v>227.87</v>
      </c>
      <c r="P43" s="11">
        <v>251.83</v>
      </c>
      <c r="Q43" s="11">
        <v>191.7</v>
      </c>
      <c r="R43" s="11">
        <v>197.26</v>
      </c>
      <c r="S43" s="11"/>
      <c r="T43" s="11"/>
      <c r="U43" s="12"/>
      <c r="W43" s="7" t="s">
        <v>22</v>
      </c>
      <c r="X43" s="10">
        <v>75</v>
      </c>
      <c r="Y43" s="11"/>
      <c r="Z43" s="11"/>
      <c r="AA43" s="11"/>
      <c r="AB43" s="11"/>
      <c r="AC43" s="12"/>
      <c r="AE43" s="7" t="s">
        <v>22</v>
      </c>
      <c r="AF43" s="10"/>
      <c r="AG43" s="11"/>
      <c r="AH43" s="11"/>
      <c r="AI43" s="11"/>
      <c r="AJ43" s="11"/>
      <c r="AK43" s="12"/>
    </row>
    <row r="44" spans="1:37" x14ac:dyDescent="0.25">
      <c r="J44" s="8"/>
      <c r="T44" s="8" t="s">
        <v>23</v>
      </c>
      <c r="U44" s="13">
        <f>SUM(K43:U43)</f>
        <v>1603.944</v>
      </c>
      <c r="AB44" s="8" t="s">
        <v>23</v>
      </c>
      <c r="AC44" s="13">
        <f>SUM(X43:AC43)</f>
        <v>75</v>
      </c>
      <c r="AJ44" s="8" t="s">
        <v>23</v>
      </c>
      <c r="AK44" s="13">
        <f>SUM(AF43:AK43)</f>
        <v>0</v>
      </c>
    </row>
    <row r="45" spans="1:37" ht="15.75" thickBot="1" x14ac:dyDescent="0.3">
      <c r="A45" s="19"/>
      <c r="B45" s="101" t="s">
        <v>134</v>
      </c>
      <c r="C45" s="101"/>
      <c r="D45" s="101"/>
      <c r="E45" s="101"/>
      <c r="F45" s="101"/>
      <c r="G45" s="101"/>
      <c r="H45" s="101"/>
      <c r="J45" s="102" t="s">
        <v>20</v>
      </c>
      <c r="K45" s="102"/>
      <c r="L45" s="102"/>
      <c r="M45" s="102"/>
      <c r="N45" s="102"/>
      <c r="O45" s="102"/>
      <c r="P45" s="102"/>
      <c r="Q45" s="102"/>
      <c r="R45" s="102"/>
      <c r="S45" s="102"/>
      <c r="T45" s="102"/>
      <c r="U45" s="102"/>
      <c r="W45" s="103" t="str">
        <f>J45</f>
        <v>Novembro</v>
      </c>
      <c r="X45" s="103"/>
      <c r="Y45" s="103"/>
      <c r="Z45" s="103"/>
      <c r="AA45" s="103"/>
      <c r="AB45" s="103"/>
      <c r="AC45" s="103"/>
      <c r="AE45" s="104" t="str">
        <f>W45</f>
        <v>Novembro</v>
      </c>
      <c r="AF45" s="104"/>
      <c r="AG45" s="104"/>
      <c r="AH45" s="104"/>
      <c r="AI45" s="104"/>
      <c r="AJ45" s="104"/>
      <c r="AK45" s="104"/>
    </row>
    <row r="46" spans="1:37" ht="15.75" thickBot="1" x14ac:dyDescent="0.3">
      <c r="A46" s="100" t="s">
        <v>5</v>
      </c>
      <c r="B46" s="34" t="s">
        <v>6</v>
      </c>
      <c r="C46" s="22" t="s">
        <v>7</v>
      </c>
      <c r="D46" s="33" t="s">
        <v>8</v>
      </c>
      <c r="E46" s="22" t="s">
        <v>9</v>
      </c>
      <c r="F46" s="24" t="s">
        <v>10</v>
      </c>
      <c r="G46" s="23" t="s">
        <v>11</v>
      </c>
      <c r="H46" s="25" t="s">
        <v>12</v>
      </c>
      <c r="J46" s="6" t="s">
        <v>4</v>
      </c>
      <c r="K46" s="9">
        <v>45598</v>
      </c>
      <c r="L46" s="66">
        <v>45605</v>
      </c>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100"/>
      <c r="B47" s="26"/>
      <c r="C47" s="27"/>
      <c r="D47" s="27">
        <v>31</v>
      </c>
      <c r="E47" s="27">
        <v>2215</v>
      </c>
      <c r="F47" s="27">
        <f>SUM(C47-B47)</f>
        <v>0</v>
      </c>
      <c r="G47" s="20">
        <f>SUM(E47-D47)</f>
        <v>2184</v>
      </c>
      <c r="H47" s="21">
        <f>SUM(F47:G47)</f>
        <v>2184</v>
      </c>
      <c r="J47" s="7" t="s">
        <v>22</v>
      </c>
      <c r="K47" s="10">
        <v>224.35</v>
      </c>
      <c r="L47" s="11">
        <v>177.39</v>
      </c>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401.74</v>
      </c>
      <c r="AB48" s="8" t="s">
        <v>23</v>
      </c>
      <c r="AC48" s="13">
        <f>SUM(X47:AC47)</f>
        <v>0</v>
      </c>
      <c r="AJ48" s="8" t="s">
        <v>23</v>
      </c>
      <c r="AK48" s="13">
        <f>SUM(AF47:AK47)</f>
        <v>0</v>
      </c>
    </row>
    <row r="49" spans="1:37"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W49" s="103" t="str">
        <f>J49</f>
        <v>Dezembro</v>
      </c>
      <c r="X49" s="103"/>
      <c r="Y49" s="103"/>
      <c r="Z49" s="103"/>
      <c r="AA49" s="103"/>
      <c r="AB49" s="103"/>
      <c r="AC49" s="103"/>
      <c r="AE49" s="104" t="str">
        <f>W49</f>
        <v>Dezembro</v>
      </c>
      <c r="AF49" s="104"/>
      <c r="AG49" s="104"/>
      <c r="AH49" s="104"/>
      <c r="AI49" s="104"/>
      <c r="AJ49" s="104"/>
      <c r="AK49" s="104"/>
    </row>
    <row r="50" spans="1:37"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100"/>
      <c r="B51" s="26">
        <v>2215</v>
      </c>
      <c r="C51" s="27">
        <v>4424</v>
      </c>
      <c r="D51" s="27">
        <v>4572</v>
      </c>
      <c r="E51" s="27">
        <v>5330</v>
      </c>
      <c r="F51" s="27">
        <f>SUM(C51-B51)</f>
        <v>2209</v>
      </c>
      <c r="G51" s="20">
        <f>SUM(E51-D51)</f>
        <v>758</v>
      </c>
      <c r="H51" s="21">
        <f>SUM(F51:G51)</f>
        <v>2967</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row r="53" spans="1:37" ht="15.75" thickBot="1" x14ac:dyDescent="0.3">
      <c r="A53" s="19">
        <v>2025</v>
      </c>
      <c r="B53" s="101" t="s">
        <v>141</v>
      </c>
      <c r="C53" s="101"/>
      <c r="D53" s="101"/>
      <c r="E53" s="101"/>
      <c r="F53" s="101"/>
      <c r="G53" s="101"/>
      <c r="H53" s="101"/>
      <c r="J53" s="102" t="s">
        <v>141</v>
      </c>
      <c r="K53" s="102"/>
      <c r="L53" s="102"/>
      <c r="M53" s="102"/>
      <c r="N53" s="102"/>
      <c r="O53" s="102"/>
      <c r="P53" s="102"/>
      <c r="Q53" s="102"/>
      <c r="R53" s="102"/>
      <c r="S53" s="102"/>
      <c r="T53" s="102"/>
      <c r="U53" s="102"/>
      <c r="W53" s="103" t="str">
        <f>J53</f>
        <v>Janeiro</v>
      </c>
      <c r="X53" s="103"/>
      <c r="Y53" s="103"/>
      <c r="Z53" s="103"/>
      <c r="AA53" s="103"/>
      <c r="AB53" s="103"/>
      <c r="AC53" s="103"/>
      <c r="AE53" s="104" t="str">
        <f>W53</f>
        <v>Janeiro</v>
      </c>
      <c r="AF53" s="104"/>
      <c r="AG53" s="104"/>
      <c r="AH53" s="104"/>
      <c r="AI53" s="104"/>
      <c r="AJ53" s="104"/>
      <c r="AK53" s="104"/>
    </row>
    <row r="54" spans="1:37" ht="15.75" thickBot="1" x14ac:dyDescent="0.3">
      <c r="A54" s="100" t="s">
        <v>5</v>
      </c>
      <c r="B54" s="34" t="s">
        <v>6</v>
      </c>
      <c r="C54" s="22" t="s">
        <v>7</v>
      </c>
      <c r="D54" s="33" t="s">
        <v>8</v>
      </c>
      <c r="E54" s="22" t="s">
        <v>9</v>
      </c>
      <c r="F54" s="24" t="s">
        <v>10</v>
      </c>
      <c r="G54" s="23" t="s">
        <v>11</v>
      </c>
      <c r="H54" s="25" t="s">
        <v>12</v>
      </c>
      <c r="J54" s="6" t="s">
        <v>4</v>
      </c>
      <c r="K54" s="9">
        <v>45664</v>
      </c>
      <c r="L54" s="66">
        <v>45668</v>
      </c>
      <c r="M54" s="66">
        <v>45675</v>
      </c>
      <c r="N54" s="4"/>
      <c r="O54" s="4"/>
      <c r="P54" s="4"/>
      <c r="Q54" s="4"/>
      <c r="R54" s="4"/>
      <c r="S54" s="4"/>
      <c r="T54" s="4"/>
      <c r="U54" s="5"/>
      <c r="W54" s="6" t="s">
        <v>4</v>
      </c>
      <c r="X54" s="9">
        <v>45687</v>
      </c>
      <c r="Y54" s="4"/>
      <c r="Z54" s="4"/>
      <c r="AA54" s="4"/>
      <c r="AB54" s="4"/>
      <c r="AC54" s="5"/>
      <c r="AE54" s="6" t="s">
        <v>4</v>
      </c>
      <c r="AF54" s="9"/>
      <c r="AG54" s="4"/>
      <c r="AH54" s="4"/>
      <c r="AI54" s="4"/>
      <c r="AJ54" s="4"/>
      <c r="AK54" s="5"/>
    </row>
    <row r="55" spans="1:37" ht="15.75" thickBot="1" x14ac:dyDescent="0.3">
      <c r="A55" s="100"/>
      <c r="B55" s="26">
        <v>5330</v>
      </c>
      <c r="C55" s="27">
        <v>6732</v>
      </c>
      <c r="D55" s="27">
        <v>6732</v>
      </c>
      <c r="E55" s="27">
        <v>8269</v>
      </c>
      <c r="F55" s="27">
        <f>SUM(C55-B55)</f>
        <v>1402</v>
      </c>
      <c r="G55" s="20">
        <f>SUM(E55-D55)</f>
        <v>1537</v>
      </c>
      <c r="H55" s="21">
        <f>SUM(F55:G55)</f>
        <v>2939</v>
      </c>
      <c r="J55" s="7" t="s">
        <v>22</v>
      </c>
      <c r="K55" s="10">
        <v>464.5</v>
      </c>
      <c r="L55" s="11">
        <v>325.92</v>
      </c>
      <c r="M55" s="11">
        <v>461.74</v>
      </c>
      <c r="N55" s="11"/>
      <c r="O55" s="11"/>
      <c r="P55" s="11"/>
      <c r="Q55" s="11"/>
      <c r="R55" s="11"/>
      <c r="S55" s="11"/>
      <c r="T55" s="11"/>
      <c r="U55" s="12"/>
      <c r="W55" s="7" t="s">
        <v>22</v>
      </c>
      <c r="X55" s="10">
        <v>100</v>
      </c>
      <c r="Y55" s="11"/>
      <c r="Z55" s="11"/>
      <c r="AA55" s="11"/>
      <c r="AB55" s="11"/>
      <c r="AC55" s="12"/>
      <c r="AE55" s="7" t="s">
        <v>22</v>
      </c>
      <c r="AF55" s="10"/>
      <c r="AG55" s="11"/>
      <c r="AH55" s="11"/>
      <c r="AI55" s="11"/>
      <c r="AJ55" s="11"/>
      <c r="AK55" s="12"/>
    </row>
    <row r="56" spans="1:37" x14ac:dyDescent="0.25">
      <c r="J56" s="8"/>
      <c r="T56" s="8" t="s">
        <v>23</v>
      </c>
      <c r="U56" s="13">
        <f>SUM(K55:U55)</f>
        <v>1252.1600000000001</v>
      </c>
      <c r="AB56" s="8" t="s">
        <v>23</v>
      </c>
      <c r="AC56" s="13">
        <f>SUM(X55:AC55)</f>
        <v>100</v>
      </c>
      <c r="AJ56" s="8" t="s">
        <v>23</v>
      </c>
      <c r="AK56" s="13">
        <f>SUM(AF55:AK55)</f>
        <v>0</v>
      </c>
    </row>
    <row r="57" spans="1:37" ht="15.75" thickBot="1" x14ac:dyDescent="0.3">
      <c r="A57" s="19">
        <v>2026</v>
      </c>
      <c r="B57" s="101" t="s">
        <v>3</v>
      </c>
      <c r="C57" s="101"/>
      <c r="D57" s="101"/>
      <c r="E57" s="101"/>
      <c r="F57" s="101"/>
      <c r="G57" s="101"/>
      <c r="H57" s="101"/>
      <c r="J57" s="102" t="s">
        <v>141</v>
      </c>
      <c r="K57" s="102"/>
      <c r="L57" s="102"/>
      <c r="M57" s="102"/>
      <c r="N57" s="102"/>
      <c r="O57" s="102"/>
      <c r="P57" s="102"/>
      <c r="Q57" s="102"/>
      <c r="R57" s="102"/>
      <c r="S57" s="102"/>
      <c r="T57" s="102"/>
      <c r="U57" s="102"/>
      <c r="W57" s="103" t="str">
        <f>J57</f>
        <v>Janeiro</v>
      </c>
      <c r="X57" s="103"/>
      <c r="Y57" s="103"/>
      <c r="Z57" s="103"/>
      <c r="AA57" s="103"/>
      <c r="AB57" s="103"/>
      <c r="AC57" s="103"/>
      <c r="AE57" s="104" t="str">
        <f>W57</f>
        <v>Janeiro</v>
      </c>
      <c r="AF57" s="104"/>
      <c r="AG57" s="104"/>
      <c r="AH57" s="104"/>
      <c r="AI57" s="104"/>
      <c r="AJ57" s="104"/>
      <c r="AK57" s="104"/>
    </row>
    <row r="58" spans="1:37" ht="15.75" thickBot="1" x14ac:dyDescent="0.3">
      <c r="A58" s="100" t="s">
        <v>5</v>
      </c>
      <c r="B58" s="34" t="s">
        <v>6</v>
      </c>
      <c r="C58" s="22" t="s">
        <v>7</v>
      </c>
      <c r="D58" s="33" t="s">
        <v>8</v>
      </c>
      <c r="E58" s="22" t="s">
        <v>9</v>
      </c>
      <c r="F58" s="24" t="s">
        <v>10</v>
      </c>
      <c r="G58" s="23" t="s">
        <v>11</v>
      </c>
      <c r="H58" s="25" t="s">
        <v>12</v>
      </c>
      <c r="J58" s="6" t="s">
        <v>4</v>
      </c>
      <c r="K58" s="9">
        <v>45693</v>
      </c>
      <c r="L58" s="66">
        <v>45700</v>
      </c>
      <c r="M58" s="66">
        <v>45708</v>
      </c>
      <c r="N58" s="66">
        <v>45713</v>
      </c>
      <c r="O58" s="4"/>
      <c r="P58" s="4"/>
      <c r="Q58" s="4"/>
      <c r="R58" s="4"/>
      <c r="S58" s="4"/>
      <c r="T58" s="4"/>
      <c r="U58" s="5"/>
      <c r="W58" s="6" t="s">
        <v>4</v>
      </c>
      <c r="X58" s="9"/>
      <c r="Y58" s="4"/>
      <c r="Z58" s="4"/>
      <c r="AA58" s="4"/>
      <c r="AB58" s="4"/>
      <c r="AC58" s="5"/>
      <c r="AE58" s="6" t="s">
        <v>4</v>
      </c>
      <c r="AF58" s="9"/>
      <c r="AG58" s="4"/>
      <c r="AH58" s="4"/>
      <c r="AI58" s="4"/>
      <c r="AJ58" s="4"/>
      <c r="AK58" s="5"/>
    </row>
    <row r="59" spans="1:37" ht="15.75" thickBot="1" x14ac:dyDescent="0.3">
      <c r="A59" s="100"/>
      <c r="B59" s="26"/>
      <c r="C59" s="27"/>
      <c r="D59" s="27"/>
      <c r="E59" s="27"/>
      <c r="F59" s="27"/>
      <c r="G59" s="20"/>
      <c r="H59" s="21"/>
      <c r="J59" s="7" t="s">
        <v>22</v>
      </c>
      <c r="K59" s="10">
        <v>395.93</v>
      </c>
      <c r="L59" s="11">
        <v>459.79</v>
      </c>
      <c r="M59" s="11">
        <v>431.25</v>
      </c>
      <c r="N59" s="11">
        <v>150.51</v>
      </c>
      <c r="O59" s="11"/>
      <c r="P59" s="11"/>
      <c r="Q59" s="11"/>
      <c r="R59" s="11"/>
      <c r="S59" s="11"/>
      <c r="T59" s="11"/>
      <c r="U59" s="12"/>
      <c r="W59" s="7" t="s">
        <v>22</v>
      </c>
      <c r="X59" s="10"/>
      <c r="Y59" s="11"/>
      <c r="Z59" s="11"/>
      <c r="AA59" s="11"/>
      <c r="AB59" s="11"/>
      <c r="AC59" s="12"/>
      <c r="AE59" s="7" t="s">
        <v>22</v>
      </c>
      <c r="AF59" s="10"/>
      <c r="AG59" s="11"/>
      <c r="AH59" s="11"/>
      <c r="AI59" s="11"/>
      <c r="AJ59" s="11"/>
      <c r="AK59" s="12"/>
    </row>
  </sheetData>
  <mergeCells count="74">
    <mergeCell ref="B57:H57"/>
    <mergeCell ref="J57:U57"/>
    <mergeCell ref="W57:AC57"/>
    <mergeCell ref="AE57:AK57"/>
    <mergeCell ref="A58:A59"/>
    <mergeCell ref="B53:H53"/>
    <mergeCell ref="J53:U53"/>
    <mergeCell ref="W53:AC53"/>
    <mergeCell ref="AE53:AK53"/>
    <mergeCell ref="A54:A55"/>
    <mergeCell ref="B2:C2"/>
    <mergeCell ref="E2:F2"/>
    <mergeCell ref="B4:C4"/>
    <mergeCell ref="E4:F4"/>
    <mergeCell ref="A7:H7"/>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N52"/>
  <sheetViews>
    <sheetView showGridLines="0" workbookViewId="0">
      <selection activeCell="K10" sqref="K10"/>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42578125" bestFit="1" customWidth="1"/>
    <col min="12" max="13" width="10.5703125" bestFit="1" customWidth="1"/>
    <col min="26" max="27" width="10.42578125" bestFit="1" customWidth="1"/>
    <col min="31" max="31" width="10.5703125" bestFit="1" customWidth="1"/>
    <col min="37" max="39" width="10.140625" bestFit="1" customWidth="1"/>
  </cols>
  <sheetData>
    <row r="2" spans="1:40" x14ac:dyDescent="0.25">
      <c r="A2" t="s">
        <v>0</v>
      </c>
      <c r="B2" s="107" t="s">
        <v>163</v>
      </c>
      <c r="C2" s="107"/>
      <c r="D2" s="1" t="s">
        <v>1</v>
      </c>
      <c r="E2" s="107" t="s">
        <v>162</v>
      </c>
      <c r="F2" s="107"/>
      <c r="H2" t="s">
        <v>45</v>
      </c>
      <c r="I2" s="54">
        <v>5325</v>
      </c>
    </row>
    <row r="3" spans="1:40" x14ac:dyDescent="0.25">
      <c r="F3" s="1"/>
    </row>
    <row r="4" spans="1:40" x14ac:dyDescent="0.25">
      <c r="A4" t="s">
        <v>2</v>
      </c>
      <c r="B4" s="108">
        <v>2592.8000000000002</v>
      </c>
      <c r="C4" s="108"/>
      <c r="D4" s="1" t="s">
        <v>29</v>
      </c>
      <c r="E4" s="118">
        <v>40</v>
      </c>
      <c r="F4" s="107"/>
      <c r="H4" t="s">
        <v>149</v>
      </c>
      <c r="I4" s="110">
        <v>45753</v>
      </c>
      <c r="J4" s="107"/>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83" t="s">
        <v>164</v>
      </c>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v>45734</v>
      </c>
      <c r="L14" s="66">
        <v>45738</v>
      </c>
      <c r="M14" s="66">
        <v>45742</v>
      </c>
      <c r="N14" s="4"/>
      <c r="O14" s="4"/>
      <c r="P14" s="4"/>
      <c r="Q14" s="4"/>
      <c r="R14" s="4"/>
      <c r="S14" s="4"/>
      <c r="T14" s="4"/>
      <c r="U14" s="5"/>
      <c r="Y14" s="6" t="s">
        <v>4</v>
      </c>
      <c r="Z14" s="9">
        <v>45731</v>
      </c>
      <c r="AA14" s="66">
        <v>45745</v>
      </c>
      <c r="AB14" s="4"/>
      <c r="AC14" s="4"/>
      <c r="AD14" s="4"/>
      <c r="AE14" s="5"/>
      <c r="AH14" s="6" t="s">
        <v>4</v>
      </c>
      <c r="AI14" s="9"/>
      <c r="AJ14" s="4"/>
      <c r="AK14" s="4"/>
      <c r="AL14" s="4"/>
      <c r="AM14" s="4"/>
      <c r="AN14" s="5"/>
    </row>
    <row r="15" spans="1:40" ht="15.75" thickBot="1" x14ac:dyDescent="0.3">
      <c r="A15" s="100"/>
      <c r="B15" s="26">
        <v>21951</v>
      </c>
      <c r="C15" s="27">
        <v>23121</v>
      </c>
      <c r="D15" s="27">
        <v>23174</v>
      </c>
      <c r="E15" s="27">
        <v>24830</v>
      </c>
      <c r="F15" s="27">
        <f>SUM(C15-B15)</f>
        <v>1170</v>
      </c>
      <c r="G15" s="20">
        <f>SUM(E15-D15)</f>
        <v>1656</v>
      </c>
      <c r="H15" s="21">
        <f>SUM(F15:G15)</f>
        <v>2826</v>
      </c>
      <c r="J15" s="7" t="s">
        <v>22</v>
      </c>
      <c r="K15" s="10">
        <v>280.73</v>
      </c>
      <c r="L15" s="11">
        <v>311.58</v>
      </c>
      <c r="M15" s="11">
        <v>287.85000000000002</v>
      </c>
      <c r="N15" s="11"/>
      <c r="O15" s="11"/>
      <c r="P15" s="11"/>
      <c r="Q15" s="11"/>
      <c r="R15" s="11"/>
      <c r="S15" s="11"/>
      <c r="T15" s="11"/>
      <c r="U15" s="12"/>
      <c r="Y15" s="7" t="s">
        <v>22</v>
      </c>
      <c r="Z15" s="10">
        <v>80</v>
      </c>
      <c r="AA15" s="11">
        <v>80</v>
      </c>
      <c r="AB15" s="11"/>
      <c r="AC15" s="11"/>
      <c r="AD15" s="11"/>
      <c r="AE15" s="12"/>
      <c r="AH15" s="7" t="s">
        <v>22</v>
      </c>
      <c r="AI15" s="10"/>
      <c r="AJ15" s="11"/>
      <c r="AK15" s="11"/>
      <c r="AL15" s="11"/>
      <c r="AM15" s="11"/>
      <c r="AN15" s="12"/>
    </row>
    <row r="16" spans="1:40" x14ac:dyDescent="0.25">
      <c r="J16" s="8"/>
      <c r="T16" s="8" t="s">
        <v>23</v>
      </c>
      <c r="U16" s="13">
        <f>SUM(K15:U15)</f>
        <v>880.16</v>
      </c>
      <c r="AD16" s="8" t="s">
        <v>23</v>
      </c>
      <c r="AE16" s="13">
        <f>SUM(Z15:AE15)</f>
        <v>160</v>
      </c>
      <c r="AM16" s="8" t="s">
        <v>23</v>
      </c>
      <c r="AN16" s="13">
        <f>SUM(AI15:AN15)</f>
        <v>0</v>
      </c>
    </row>
    <row r="17" spans="1:40" ht="15.75" thickBot="1" x14ac:dyDescent="0.3">
      <c r="A17" s="83" t="s">
        <v>179</v>
      </c>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v>45751</v>
      </c>
      <c r="AA18" s="4"/>
      <c r="AB18" s="4"/>
      <c r="AC18" s="4"/>
      <c r="AD18" s="4"/>
      <c r="AE18" s="5"/>
      <c r="AH18" s="6" t="s">
        <v>4</v>
      </c>
      <c r="AI18" s="9"/>
      <c r="AJ18" s="4"/>
      <c r="AK18" s="4"/>
      <c r="AL18" s="4"/>
      <c r="AM18" s="4"/>
      <c r="AN18" s="5"/>
    </row>
    <row r="19" spans="1:40" ht="15.75" thickBot="1" x14ac:dyDescent="0.3">
      <c r="A19" s="100"/>
      <c r="B19" s="26">
        <v>24830</v>
      </c>
      <c r="C19" s="27">
        <v>25341</v>
      </c>
      <c r="D19" s="27"/>
      <c r="E19" s="27"/>
      <c r="F19" s="27">
        <f>SUM(C19-B19)</f>
        <v>511</v>
      </c>
      <c r="G19" s="20">
        <f>SUM(E19-D19)</f>
        <v>0</v>
      </c>
      <c r="H19" s="21">
        <f>SUM(F19:G19)</f>
        <v>511</v>
      </c>
      <c r="J19" s="7" t="s">
        <v>22</v>
      </c>
      <c r="K19" s="30"/>
      <c r="L19" s="31"/>
      <c r="M19" s="31"/>
      <c r="N19" s="31"/>
      <c r="O19" s="31"/>
      <c r="P19" s="31"/>
      <c r="Q19" s="31"/>
      <c r="R19" s="31"/>
      <c r="S19" s="31"/>
      <c r="T19" s="31"/>
      <c r="U19" s="32"/>
      <c r="Y19" s="7" t="s">
        <v>22</v>
      </c>
      <c r="Z19" s="10">
        <v>50</v>
      </c>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50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10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10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10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10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10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10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10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4">
    <mergeCell ref="B2:C2"/>
    <mergeCell ref="E2:F2"/>
    <mergeCell ref="B4:C4"/>
    <mergeCell ref="E4:F4"/>
    <mergeCell ref="A7:H7"/>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AH17:AN17"/>
    <mergeCell ref="A18:A19"/>
    <mergeCell ref="B21:H21"/>
    <mergeCell ref="J21:U21"/>
    <mergeCell ref="Y21:AE21"/>
    <mergeCell ref="AH21:AN21"/>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H41:AN41"/>
    <mergeCell ref="A42:A43"/>
    <mergeCell ref="B45:H45"/>
    <mergeCell ref="J45:U45"/>
    <mergeCell ref="Y45:AE45"/>
    <mergeCell ref="AH45:AN45"/>
    <mergeCell ref="I4:J4"/>
    <mergeCell ref="A50:A51"/>
    <mergeCell ref="B41:H41"/>
    <mergeCell ref="J41:U41"/>
    <mergeCell ref="Y41:AE41"/>
    <mergeCell ref="A46:A47"/>
    <mergeCell ref="B49:H49"/>
    <mergeCell ref="J49:U49"/>
    <mergeCell ref="Y49:AE49"/>
    <mergeCell ref="A26:A27"/>
    <mergeCell ref="B17:H17"/>
    <mergeCell ref="J17:U17"/>
    <mergeCell ref="Y17:AE17"/>
    <mergeCell ref="A22:A23"/>
    <mergeCell ref="B25:H25"/>
    <mergeCell ref="J25:U25"/>
  </mergeCells>
  <pageMargins left="0.511811024" right="0.511811024" top="0.78740157499999996" bottom="0.78740157499999996" header="0.31496062000000002" footer="0.31496062000000002"/>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52"/>
  <sheetViews>
    <sheetView showGridLines="0" workbookViewId="0">
      <selection activeCell="A17" sqref="A17:AN20"/>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42578125" bestFit="1" customWidth="1"/>
    <col min="12" max="12" width="10.7109375" bestFit="1" customWidth="1"/>
    <col min="13" max="19" width="10.42578125" bestFit="1" customWidth="1"/>
    <col min="21" max="21" width="12.140625" bestFit="1" customWidth="1"/>
    <col min="26" max="30" width="10.42578125" bestFit="1" customWidth="1"/>
    <col min="31" max="31" width="10.5703125" bestFit="1" customWidth="1"/>
    <col min="37" max="39" width="10.140625" bestFit="1" customWidth="1"/>
  </cols>
  <sheetData>
    <row r="2" spans="1:40" x14ac:dyDescent="0.25">
      <c r="A2" t="s">
        <v>0</v>
      </c>
      <c r="B2" s="107" t="s">
        <v>80</v>
      </c>
      <c r="C2" s="107"/>
      <c r="D2" s="1" t="s">
        <v>1</v>
      </c>
      <c r="E2" s="107" t="s">
        <v>106</v>
      </c>
      <c r="F2" s="107"/>
      <c r="H2" t="s">
        <v>45</v>
      </c>
      <c r="I2" s="54">
        <v>5325</v>
      </c>
    </row>
    <row r="3" spans="1:40" x14ac:dyDescent="0.25">
      <c r="F3" s="1"/>
    </row>
    <row r="4" spans="1:40" x14ac:dyDescent="0.25">
      <c r="A4" t="s">
        <v>2</v>
      </c>
      <c r="B4" s="108">
        <v>2363</v>
      </c>
      <c r="C4" s="108"/>
      <c r="D4" s="1" t="s">
        <v>29</v>
      </c>
      <c r="E4" s="107">
        <v>45</v>
      </c>
      <c r="F4" s="107"/>
      <c r="H4" t="s">
        <v>64</v>
      </c>
      <c r="I4" s="67">
        <v>45410</v>
      </c>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v>45412</v>
      </c>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100"/>
      <c r="B19" s="26"/>
      <c r="C19" s="27"/>
      <c r="D19" s="27"/>
      <c r="E19" s="27"/>
      <c r="F19" s="27">
        <f>SUM(C19-B19)</f>
        <v>0</v>
      </c>
      <c r="G19" s="20">
        <f>SUM(E19-D19)</f>
        <v>0</v>
      </c>
      <c r="H19" s="21">
        <f>SUM(F19:G19)</f>
        <v>0</v>
      </c>
      <c r="J19" s="7" t="s">
        <v>22</v>
      </c>
      <c r="K19" s="30">
        <v>186.41</v>
      </c>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186.41</v>
      </c>
      <c r="AD20" s="8" t="s">
        <v>23</v>
      </c>
      <c r="AE20" s="13">
        <f>SUM(Z19:AE19)</f>
        <v>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v>45415</v>
      </c>
      <c r="L22" s="66">
        <v>45419</v>
      </c>
      <c r="M22" s="66">
        <v>45422</v>
      </c>
      <c r="N22" s="66">
        <v>45430</v>
      </c>
      <c r="O22" s="66">
        <v>45434</v>
      </c>
      <c r="P22" s="66">
        <v>45440</v>
      </c>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v>12</v>
      </c>
      <c r="C23" s="27"/>
      <c r="D23" s="27"/>
      <c r="E23" s="27">
        <v>3430</v>
      </c>
      <c r="F23" s="27">
        <f>SUM(C23-B23)</f>
        <v>-12</v>
      </c>
      <c r="G23" s="20">
        <f>SUM(E23-D23)</f>
        <v>3430</v>
      </c>
      <c r="H23" s="21">
        <f>SUM(F23:G23)</f>
        <v>3418</v>
      </c>
      <c r="J23" s="7" t="s">
        <v>22</v>
      </c>
      <c r="K23" s="10">
        <v>149.75</v>
      </c>
      <c r="L23" s="11">
        <v>168.38</v>
      </c>
      <c r="M23" s="11">
        <v>164.55</v>
      </c>
      <c r="N23" s="11">
        <v>220.07</v>
      </c>
      <c r="O23" s="11">
        <v>165.38</v>
      </c>
      <c r="P23" s="11">
        <v>168.14</v>
      </c>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1036.27</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v>45444</v>
      </c>
      <c r="L26" s="66">
        <v>45449</v>
      </c>
      <c r="M26" s="66">
        <v>45451</v>
      </c>
      <c r="N26" s="66">
        <v>45454</v>
      </c>
      <c r="O26" s="66">
        <v>45458</v>
      </c>
      <c r="P26" s="66">
        <v>45462</v>
      </c>
      <c r="Q26" s="66">
        <v>45468</v>
      </c>
      <c r="R26" s="66">
        <v>45472</v>
      </c>
      <c r="S26" s="4"/>
      <c r="T26" s="4"/>
      <c r="U26" s="5"/>
      <c r="Y26" s="6" t="s">
        <v>4</v>
      </c>
      <c r="Z26" s="9">
        <v>45444</v>
      </c>
      <c r="AA26" s="66">
        <v>45451</v>
      </c>
      <c r="AB26" s="66">
        <v>45472</v>
      </c>
      <c r="AC26" s="66">
        <v>45465</v>
      </c>
      <c r="AD26" s="4"/>
      <c r="AE26" s="5"/>
      <c r="AH26" s="6" t="s">
        <v>4</v>
      </c>
      <c r="AI26" s="9"/>
      <c r="AJ26" s="4"/>
      <c r="AK26" s="4"/>
      <c r="AL26" s="4"/>
      <c r="AM26" s="4"/>
      <c r="AN26" s="5"/>
    </row>
    <row r="27" spans="1:40" ht="15.75" thickBot="1" x14ac:dyDescent="0.3">
      <c r="A27" s="100"/>
      <c r="B27" s="26">
        <v>3430</v>
      </c>
      <c r="C27" s="27"/>
      <c r="D27" s="27"/>
      <c r="E27" s="27">
        <v>6849</v>
      </c>
      <c r="F27" s="27">
        <f>SUM(C27-B27)</f>
        <v>-3430</v>
      </c>
      <c r="G27" s="20">
        <f>SUM(E27-D27)</f>
        <v>6849</v>
      </c>
      <c r="H27" s="21">
        <f>SUM(F27:G27)</f>
        <v>3419</v>
      </c>
      <c r="J27" s="7" t="s">
        <v>22</v>
      </c>
      <c r="K27" s="10">
        <v>204.95</v>
      </c>
      <c r="L27" s="11">
        <v>199.13</v>
      </c>
      <c r="M27" s="11">
        <v>188.11</v>
      </c>
      <c r="N27" s="11">
        <v>174.74</v>
      </c>
      <c r="O27" s="11">
        <v>190.4</v>
      </c>
      <c r="P27" s="11">
        <v>186.75</v>
      </c>
      <c r="Q27" s="11">
        <v>193.62</v>
      </c>
      <c r="R27" s="11">
        <v>235.1</v>
      </c>
      <c r="S27" s="11"/>
      <c r="T27" s="11"/>
      <c r="U27" s="12"/>
      <c r="Y27" s="7" t="s">
        <v>22</v>
      </c>
      <c r="Z27" s="10">
        <v>80</v>
      </c>
      <c r="AA27" s="11">
        <v>80</v>
      </c>
      <c r="AB27" s="11">
        <v>80</v>
      </c>
      <c r="AC27" s="11">
        <v>80</v>
      </c>
      <c r="AD27" s="11"/>
      <c r="AE27" s="12"/>
      <c r="AH27" s="7" t="s">
        <v>22</v>
      </c>
      <c r="AI27" s="10"/>
      <c r="AJ27" s="11"/>
      <c r="AK27" s="11"/>
      <c r="AL27" s="11"/>
      <c r="AM27" s="11"/>
      <c r="AN27" s="12"/>
    </row>
    <row r="28" spans="1:40" x14ac:dyDescent="0.25">
      <c r="J28" s="8"/>
      <c r="T28" s="8" t="s">
        <v>23</v>
      </c>
      <c r="U28" s="13">
        <f>SUM(K27:U27)</f>
        <v>1572.7999999999997</v>
      </c>
      <c r="AD28" s="8" t="s">
        <v>23</v>
      </c>
      <c r="AE28" s="13">
        <f>SUM(Z27:AE27)</f>
        <v>320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v>45475</v>
      </c>
      <c r="L30" s="66">
        <v>45479</v>
      </c>
      <c r="M30" s="66">
        <v>45483</v>
      </c>
      <c r="N30" s="66">
        <v>45485</v>
      </c>
      <c r="O30" s="66">
        <v>45486</v>
      </c>
      <c r="P30" s="66">
        <v>45490</v>
      </c>
      <c r="Q30" s="66">
        <v>45492</v>
      </c>
      <c r="R30" s="66">
        <v>45497</v>
      </c>
      <c r="S30" s="66">
        <v>45503</v>
      </c>
      <c r="T30" s="4"/>
      <c r="U30" s="5"/>
      <c r="Y30" s="6" t="s">
        <v>4</v>
      </c>
      <c r="Z30" s="9">
        <v>45479</v>
      </c>
      <c r="AA30" s="66">
        <v>45494</v>
      </c>
      <c r="AB30" s="4"/>
      <c r="AC30" s="4"/>
      <c r="AD30" s="4"/>
      <c r="AE30" s="5"/>
      <c r="AH30" s="6" t="s">
        <v>4</v>
      </c>
      <c r="AI30" s="9"/>
      <c r="AJ30" s="4"/>
      <c r="AK30" s="4"/>
      <c r="AL30" s="4"/>
      <c r="AM30" s="4"/>
      <c r="AN30" s="5"/>
    </row>
    <row r="31" spans="1:40" ht="15.75" thickBot="1" x14ac:dyDescent="0.3">
      <c r="A31" s="100"/>
      <c r="B31" s="26">
        <v>699</v>
      </c>
      <c r="C31" s="27"/>
      <c r="D31" s="27"/>
      <c r="E31" s="27">
        <v>1908</v>
      </c>
      <c r="F31" s="27">
        <f>SUM(C31-B31)</f>
        <v>-699</v>
      </c>
      <c r="G31" s="20">
        <f>SUM(E31-D31)</f>
        <v>1908</v>
      </c>
      <c r="H31" s="21">
        <f>SUM(F31:G31)</f>
        <v>1209</v>
      </c>
      <c r="J31" s="7" t="s">
        <v>22</v>
      </c>
      <c r="K31" s="10">
        <v>184.09</v>
      </c>
      <c r="L31" s="11">
        <v>210.4</v>
      </c>
      <c r="M31" s="11">
        <v>206.27</v>
      </c>
      <c r="N31" s="11">
        <v>181.16</v>
      </c>
      <c r="O31" s="11">
        <v>174.96</v>
      </c>
      <c r="P31" s="11">
        <v>174.83</v>
      </c>
      <c r="Q31" s="11">
        <v>150.22999999999999</v>
      </c>
      <c r="R31" s="11">
        <v>255.6</v>
      </c>
      <c r="S31" s="11">
        <v>249.15</v>
      </c>
      <c r="T31" s="11"/>
      <c r="U31" s="12"/>
      <c r="Y31" s="7" t="s">
        <v>22</v>
      </c>
      <c r="Z31" s="10">
        <v>80</v>
      </c>
      <c r="AA31" s="11">
        <v>80</v>
      </c>
      <c r="AB31" s="11"/>
      <c r="AC31" s="11"/>
      <c r="AD31" s="11"/>
      <c r="AE31" s="12"/>
      <c r="AH31" s="7" t="s">
        <v>22</v>
      </c>
      <c r="AI31" s="10"/>
      <c r="AJ31" s="11"/>
      <c r="AK31" s="11"/>
      <c r="AL31" s="11"/>
      <c r="AM31" s="11"/>
      <c r="AN31" s="12"/>
    </row>
    <row r="32" spans="1:40" x14ac:dyDescent="0.25">
      <c r="J32" s="8"/>
      <c r="T32" s="8" t="s">
        <v>23</v>
      </c>
      <c r="U32" s="13">
        <f>SUM(K31:U31)</f>
        <v>1786.69</v>
      </c>
      <c r="AD32" s="8" t="s">
        <v>23</v>
      </c>
      <c r="AE32" s="13">
        <f>SUM(Z31:AE31)</f>
        <v>160</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v>45506</v>
      </c>
      <c r="L34" s="66">
        <v>45510</v>
      </c>
      <c r="M34" s="66">
        <v>45514</v>
      </c>
      <c r="N34" s="66">
        <v>45521</v>
      </c>
      <c r="O34" s="66">
        <v>45528</v>
      </c>
      <c r="P34" s="4"/>
      <c r="Q34" s="4"/>
      <c r="R34" s="4"/>
      <c r="S34" s="4"/>
      <c r="T34" s="4"/>
      <c r="U34" s="5"/>
      <c r="Y34" s="6" t="s">
        <v>4</v>
      </c>
      <c r="Z34" s="9">
        <v>45514</v>
      </c>
      <c r="AA34" s="66">
        <v>45507</v>
      </c>
      <c r="AB34" s="66">
        <v>45520</v>
      </c>
      <c r="AC34" s="66">
        <v>45527</v>
      </c>
      <c r="AD34" s="66">
        <v>45535</v>
      </c>
      <c r="AE34" s="5"/>
      <c r="AH34" s="6" t="s">
        <v>4</v>
      </c>
      <c r="AI34" s="9"/>
      <c r="AJ34" s="4"/>
      <c r="AK34" s="4"/>
      <c r="AL34" s="4"/>
      <c r="AM34" s="4"/>
      <c r="AN34" s="5"/>
    </row>
    <row r="35" spans="1:40" ht="15.75" thickBot="1" x14ac:dyDescent="0.3">
      <c r="A35" s="100"/>
      <c r="B35" s="26">
        <v>1908</v>
      </c>
      <c r="C35" s="27"/>
      <c r="D35" s="27"/>
      <c r="E35" s="27">
        <v>4519</v>
      </c>
      <c r="F35" s="27">
        <f>SUM(C35-B35)</f>
        <v>-1908</v>
      </c>
      <c r="G35" s="20">
        <f>SUM(E35-D35)</f>
        <v>4519</v>
      </c>
      <c r="H35" s="21">
        <f>SUM(F35:G35)</f>
        <v>2611</v>
      </c>
      <c r="J35" s="7" t="s">
        <v>22</v>
      </c>
      <c r="K35" s="10">
        <v>209.72</v>
      </c>
      <c r="L35" s="11">
        <v>192.08</v>
      </c>
      <c r="M35" s="11">
        <v>209.66</v>
      </c>
      <c r="N35" s="11">
        <v>247.61</v>
      </c>
      <c r="O35" s="11">
        <v>239.43</v>
      </c>
      <c r="P35" s="11"/>
      <c r="Q35" s="11"/>
      <c r="R35" s="11"/>
      <c r="S35" s="11"/>
      <c r="T35" s="11"/>
      <c r="U35" s="12"/>
      <c r="Y35" s="7" t="s">
        <v>22</v>
      </c>
      <c r="Z35" s="10">
        <v>60</v>
      </c>
      <c r="AA35" s="11">
        <v>80</v>
      </c>
      <c r="AB35" s="11">
        <v>60</v>
      </c>
      <c r="AC35" s="11">
        <v>60</v>
      </c>
      <c r="AD35" s="11">
        <v>80</v>
      </c>
      <c r="AE35" s="12"/>
      <c r="AH35" s="7" t="s">
        <v>22</v>
      </c>
      <c r="AI35" s="10"/>
      <c r="AJ35" s="11"/>
      <c r="AK35" s="11"/>
      <c r="AL35" s="11"/>
      <c r="AM35" s="11"/>
      <c r="AN35" s="12"/>
    </row>
    <row r="36" spans="1:40" x14ac:dyDescent="0.25">
      <c r="J36" s="8"/>
      <c r="T36" s="8" t="s">
        <v>23</v>
      </c>
      <c r="U36" s="13">
        <f>SUM(K35:U35)</f>
        <v>1098.5</v>
      </c>
      <c r="AD36" s="8" t="s">
        <v>23</v>
      </c>
      <c r="AE36" s="13">
        <f>SUM(Z35:AE35)</f>
        <v>340</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v>45537</v>
      </c>
      <c r="L38" s="66">
        <v>45542</v>
      </c>
      <c r="M38" s="66">
        <v>45549</v>
      </c>
      <c r="N38" s="66">
        <v>45556</v>
      </c>
      <c r="O38" s="66">
        <v>45562</v>
      </c>
      <c r="P38" s="4"/>
      <c r="Q38" s="4"/>
      <c r="R38" s="4"/>
      <c r="S38" s="4"/>
      <c r="T38" s="4"/>
      <c r="U38" s="5"/>
      <c r="Y38" s="6" t="s">
        <v>4</v>
      </c>
      <c r="Z38" s="9">
        <v>45563</v>
      </c>
      <c r="AA38" s="66">
        <v>45549</v>
      </c>
      <c r="AB38" s="66">
        <v>45556</v>
      </c>
      <c r="AC38" s="4"/>
      <c r="AD38" s="4"/>
      <c r="AE38" s="5"/>
      <c r="AH38" s="6" t="s">
        <v>4</v>
      </c>
      <c r="AI38" s="9"/>
      <c r="AJ38" s="4"/>
      <c r="AK38" s="4"/>
      <c r="AL38" s="4"/>
      <c r="AM38" s="4"/>
      <c r="AN38" s="5"/>
    </row>
    <row r="39" spans="1:40" ht="15.75" thickBot="1" x14ac:dyDescent="0.3">
      <c r="A39" s="100"/>
      <c r="B39" s="26">
        <v>4519</v>
      </c>
      <c r="C39" s="27"/>
      <c r="D39" s="27"/>
      <c r="E39" s="27">
        <v>7221</v>
      </c>
      <c r="F39" s="27">
        <f>SUM(C39-B39)</f>
        <v>-4519</v>
      </c>
      <c r="G39" s="20">
        <f>SUM(E39-D39)</f>
        <v>7221</v>
      </c>
      <c r="H39" s="21">
        <f>SUM(F39:G39)</f>
        <v>2702</v>
      </c>
      <c r="J39" s="7" t="s">
        <v>22</v>
      </c>
      <c r="K39" s="10">
        <v>240.97</v>
      </c>
      <c r="L39" s="11">
        <v>226.53</v>
      </c>
      <c r="M39" s="11">
        <v>245.82</v>
      </c>
      <c r="N39" s="11">
        <v>237.26</v>
      </c>
      <c r="O39" s="11">
        <v>228.06</v>
      </c>
      <c r="P39" s="11"/>
      <c r="Q39" s="11"/>
      <c r="R39" s="11"/>
      <c r="S39" s="11"/>
      <c r="T39" s="11"/>
      <c r="U39" s="12"/>
      <c r="Y39" s="7" t="s">
        <v>22</v>
      </c>
      <c r="Z39" s="10">
        <v>80</v>
      </c>
      <c r="AA39" s="11">
        <v>80</v>
      </c>
      <c r="AB39" s="11">
        <v>75</v>
      </c>
      <c r="AC39" s="11"/>
      <c r="AD39" s="11"/>
      <c r="AE39" s="12"/>
      <c r="AH39" s="7" t="s">
        <v>22</v>
      </c>
      <c r="AI39" s="10"/>
      <c r="AJ39" s="11"/>
      <c r="AK39" s="11"/>
      <c r="AL39" s="11"/>
      <c r="AM39" s="11"/>
      <c r="AN39" s="12"/>
    </row>
    <row r="40" spans="1:40" x14ac:dyDescent="0.25">
      <c r="J40" s="8"/>
      <c r="T40" s="8" t="s">
        <v>23</v>
      </c>
      <c r="U40" s="13">
        <f>SUM(K39:U39)</f>
        <v>1178.6399999999999</v>
      </c>
      <c r="AD40" s="8" t="s">
        <v>23</v>
      </c>
      <c r="AE40" s="13">
        <f>SUM(Z39:AE39)</f>
        <v>235</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34" t="s">
        <v>6</v>
      </c>
      <c r="C42" s="22" t="s">
        <v>7</v>
      </c>
      <c r="D42" s="33" t="s">
        <v>8</v>
      </c>
      <c r="E42" s="22" t="s">
        <v>9</v>
      </c>
      <c r="F42" s="24" t="s">
        <v>10</v>
      </c>
      <c r="G42" s="23" t="s">
        <v>11</v>
      </c>
      <c r="H42" s="25" t="s">
        <v>12</v>
      </c>
      <c r="J42" s="6" t="s">
        <v>4</v>
      </c>
      <c r="K42" s="9">
        <v>45569</v>
      </c>
      <c r="L42" s="66">
        <v>45574</v>
      </c>
      <c r="M42" s="66">
        <v>45579</v>
      </c>
      <c r="N42" s="66">
        <v>45595</v>
      </c>
      <c r="O42" s="66">
        <v>45589</v>
      </c>
      <c r="P42" s="66">
        <v>45584</v>
      </c>
      <c r="Q42" s="4"/>
      <c r="R42" s="4"/>
      <c r="S42" s="4"/>
      <c r="T42" s="4"/>
      <c r="U42" s="5"/>
      <c r="Y42" s="6" t="s">
        <v>4</v>
      </c>
      <c r="Z42" s="9">
        <v>45570</v>
      </c>
      <c r="AA42" s="4"/>
      <c r="AB42" s="4"/>
      <c r="AC42" s="4"/>
      <c r="AD42" s="4"/>
      <c r="AE42" s="5"/>
      <c r="AH42" s="6" t="s">
        <v>4</v>
      </c>
      <c r="AI42" s="9"/>
      <c r="AJ42" s="4"/>
      <c r="AK42" s="4"/>
      <c r="AL42" s="4"/>
      <c r="AM42" s="4"/>
      <c r="AN42" s="5"/>
    </row>
    <row r="43" spans="1:40" ht="15.75" thickBot="1" x14ac:dyDescent="0.3">
      <c r="A43" s="100"/>
      <c r="B43" s="26">
        <v>7221</v>
      </c>
      <c r="C43" s="27"/>
      <c r="D43" s="27"/>
      <c r="E43" s="27">
        <v>10419</v>
      </c>
      <c r="F43" s="27">
        <f>SUM(C43-B43)</f>
        <v>-7221</v>
      </c>
      <c r="G43" s="20">
        <f>SUM(E43-D43)</f>
        <v>10419</v>
      </c>
      <c r="H43" s="21">
        <f>SUM(F43:G43)</f>
        <v>3198</v>
      </c>
      <c r="J43" s="7" t="s">
        <v>22</v>
      </c>
      <c r="K43" s="10">
        <v>254.51</v>
      </c>
      <c r="L43" s="11">
        <v>231.7</v>
      </c>
      <c r="M43" s="11">
        <v>234.39</v>
      </c>
      <c r="N43" s="11">
        <v>238.16</v>
      </c>
      <c r="O43" s="11">
        <v>244.67</v>
      </c>
      <c r="P43" s="11">
        <v>248.12</v>
      </c>
      <c r="Q43" s="11"/>
      <c r="R43" s="11"/>
      <c r="S43" s="11"/>
      <c r="T43" s="11"/>
      <c r="U43" s="12"/>
      <c r="Y43" s="7" t="s">
        <v>22</v>
      </c>
      <c r="Z43" s="10">
        <v>75</v>
      </c>
      <c r="AA43" s="11"/>
      <c r="AB43" s="11"/>
      <c r="AC43" s="11"/>
      <c r="AD43" s="11"/>
      <c r="AE43" s="12"/>
      <c r="AH43" s="7" t="s">
        <v>22</v>
      </c>
      <c r="AI43" s="10"/>
      <c r="AJ43" s="11"/>
      <c r="AK43" s="11"/>
      <c r="AL43" s="11"/>
      <c r="AM43" s="11"/>
      <c r="AN43" s="12"/>
    </row>
    <row r="44" spans="1:40" x14ac:dyDescent="0.25">
      <c r="J44" s="8"/>
      <c r="T44" s="8" t="s">
        <v>23</v>
      </c>
      <c r="U44" s="13">
        <f>SUM(K43:U43)</f>
        <v>1451.5499999999997</v>
      </c>
      <c r="AD44" s="8" t="s">
        <v>23</v>
      </c>
      <c r="AE44" s="13">
        <f>SUM(Z43:AE43)</f>
        <v>75</v>
      </c>
      <c r="AM44" s="8" t="s">
        <v>23</v>
      </c>
      <c r="AN44" s="13">
        <f>SUM(AI43:AN43)</f>
        <v>0</v>
      </c>
    </row>
    <row r="45" spans="1:40"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v>45597</v>
      </c>
      <c r="L46" s="66">
        <v>45603</v>
      </c>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100"/>
      <c r="B47" s="26"/>
      <c r="C47" s="27"/>
      <c r="D47" s="27">
        <v>12400</v>
      </c>
      <c r="E47" s="27">
        <v>13676</v>
      </c>
      <c r="F47" s="27">
        <f>SUM(C47-B47)</f>
        <v>0</v>
      </c>
      <c r="G47" s="20">
        <f>SUM(E47-D47)</f>
        <v>1276</v>
      </c>
      <c r="H47" s="21">
        <f>SUM(F47:G47)</f>
        <v>1276</v>
      </c>
      <c r="J47" s="7" t="s">
        <v>22</v>
      </c>
      <c r="K47" s="10">
        <v>156.81</v>
      </c>
      <c r="L47" s="11">
        <v>223.27</v>
      </c>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380.08000000000004</v>
      </c>
      <c r="AD48" s="8" t="s">
        <v>23</v>
      </c>
      <c r="AE48" s="13">
        <f>SUM(Z47:AE47)</f>
        <v>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100"/>
      <c r="B51" s="26">
        <v>13676</v>
      </c>
      <c r="C51" s="27">
        <v>14759</v>
      </c>
      <c r="D51" s="27">
        <v>14759</v>
      </c>
      <c r="E51" s="27">
        <v>15130</v>
      </c>
      <c r="F51" s="27">
        <f>SUM(C51-B51)</f>
        <v>1083</v>
      </c>
      <c r="G51" s="20">
        <f>SUM(E51-D51)</f>
        <v>371</v>
      </c>
      <c r="H51" s="21">
        <f>SUM(F51:G51)</f>
        <v>1454</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B2:C2"/>
    <mergeCell ref="E2:F2"/>
    <mergeCell ref="B4:C4"/>
    <mergeCell ref="E4:F4"/>
    <mergeCell ref="A7:H7"/>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K56"/>
  <sheetViews>
    <sheetView showGridLines="0" topLeftCell="G29" workbookViewId="0">
      <selection activeCell="X56" sqref="X5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9.140625" customWidth="1"/>
    <col min="10" max="10" width="13.42578125" bestFit="1" customWidth="1"/>
    <col min="11" max="11" width="10.42578125" bestFit="1" customWidth="1"/>
    <col min="12" max="13" width="10.7109375" bestFit="1" customWidth="1"/>
    <col min="14" max="14" width="10.42578125" bestFit="1" customWidth="1"/>
    <col min="15" max="15" width="10.7109375" bestFit="1" customWidth="1"/>
    <col min="16" max="16" width="10.42578125" bestFit="1" customWidth="1"/>
    <col min="21" max="21" width="12.140625" bestFit="1" customWidth="1"/>
    <col min="24" max="26" width="10.42578125" bestFit="1" customWidth="1"/>
    <col min="29" max="29" width="10.5703125" bestFit="1" customWidth="1"/>
    <col min="32" max="32" width="10.42578125" bestFit="1" customWidth="1"/>
    <col min="34" max="36" width="10.140625" bestFit="1" customWidth="1"/>
  </cols>
  <sheetData>
    <row r="2" spans="1:37" x14ac:dyDescent="0.25">
      <c r="A2" t="s">
        <v>0</v>
      </c>
      <c r="B2" s="107" t="s">
        <v>67</v>
      </c>
      <c r="C2" s="107"/>
      <c r="D2" s="1" t="s">
        <v>1</v>
      </c>
      <c r="E2" s="107" t="s">
        <v>68</v>
      </c>
      <c r="F2" s="107"/>
      <c r="H2" t="s">
        <v>45</v>
      </c>
      <c r="I2" s="54">
        <v>5200</v>
      </c>
    </row>
    <row r="3" spans="1:37" x14ac:dyDescent="0.25">
      <c r="A3" t="s">
        <v>132</v>
      </c>
      <c r="F3" s="1"/>
    </row>
    <row r="4" spans="1:37" x14ac:dyDescent="0.25">
      <c r="A4" t="s">
        <v>2</v>
      </c>
      <c r="B4" s="108">
        <v>2363</v>
      </c>
      <c r="C4" s="108"/>
      <c r="D4" s="1" t="s">
        <v>29</v>
      </c>
      <c r="E4" s="107">
        <v>40</v>
      </c>
      <c r="F4" s="107"/>
      <c r="H4" t="s">
        <v>64</v>
      </c>
      <c r="I4" s="67">
        <v>45353</v>
      </c>
    </row>
    <row r="7" spans="1:37"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105" t="s">
        <v>25</v>
      </c>
      <c r="X7" s="105"/>
      <c r="Y7" s="105"/>
      <c r="Z7" s="105"/>
      <c r="AA7" s="105"/>
      <c r="AB7" s="105"/>
      <c r="AC7" s="105"/>
      <c r="AD7" s="2"/>
      <c r="AE7" s="105" t="s">
        <v>27</v>
      </c>
      <c r="AF7" s="105"/>
      <c r="AG7" s="105"/>
      <c r="AH7" s="105"/>
      <c r="AI7" s="105"/>
      <c r="AJ7" s="105"/>
      <c r="AK7" s="105"/>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101" t="s">
        <v>3</v>
      </c>
      <c r="C9" s="101"/>
      <c r="D9" s="101"/>
      <c r="E9" s="101"/>
      <c r="F9" s="101"/>
      <c r="G9" s="101"/>
      <c r="H9" s="101"/>
      <c r="J9" s="102" t="s">
        <v>3</v>
      </c>
      <c r="K9" s="102"/>
      <c r="L9" s="102"/>
      <c r="M9" s="102"/>
      <c r="N9" s="102"/>
      <c r="O9" s="102"/>
      <c r="P9" s="102"/>
      <c r="Q9" s="102"/>
      <c r="R9" s="102"/>
      <c r="S9" s="102"/>
      <c r="T9" s="102"/>
      <c r="U9" s="102"/>
      <c r="W9" s="103" t="s">
        <v>3</v>
      </c>
      <c r="X9" s="103"/>
      <c r="Y9" s="103"/>
      <c r="Z9" s="103"/>
      <c r="AA9" s="103"/>
      <c r="AB9" s="103"/>
      <c r="AC9" s="103"/>
      <c r="AE9" s="104" t="s">
        <v>3</v>
      </c>
      <c r="AF9" s="104"/>
      <c r="AG9" s="104"/>
      <c r="AH9" s="104"/>
      <c r="AI9" s="104"/>
      <c r="AJ9" s="104"/>
      <c r="AK9" s="104"/>
    </row>
    <row r="10" spans="1:37"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W13" s="103" t="str">
        <f>J13</f>
        <v>Março</v>
      </c>
      <c r="X13" s="103"/>
      <c r="Y13" s="103"/>
      <c r="Z13" s="103"/>
      <c r="AA13" s="103"/>
      <c r="AB13" s="103"/>
      <c r="AC13" s="103"/>
      <c r="AE13" s="104" t="str">
        <f>W13</f>
        <v>Março</v>
      </c>
      <c r="AF13" s="104"/>
      <c r="AG13" s="104"/>
      <c r="AH13" s="104"/>
      <c r="AI13" s="104"/>
      <c r="AJ13" s="104"/>
      <c r="AK13" s="104"/>
    </row>
    <row r="14" spans="1:37" ht="15.75" thickBot="1" x14ac:dyDescent="0.3">
      <c r="A14" s="100" t="s">
        <v>5</v>
      </c>
      <c r="B14" s="34" t="s">
        <v>6</v>
      </c>
      <c r="C14" s="22" t="s">
        <v>7</v>
      </c>
      <c r="D14" s="33" t="s">
        <v>8</v>
      </c>
      <c r="E14" s="22" t="s">
        <v>9</v>
      </c>
      <c r="F14" s="24" t="s">
        <v>10</v>
      </c>
      <c r="G14" s="23" t="s">
        <v>11</v>
      </c>
      <c r="H14" s="25" t="s">
        <v>12</v>
      </c>
      <c r="J14" s="6" t="s">
        <v>4</v>
      </c>
      <c r="K14" s="9">
        <v>45357</v>
      </c>
      <c r="L14" s="66">
        <v>45363</v>
      </c>
      <c r="M14" s="66">
        <v>45364</v>
      </c>
      <c r="N14" s="66">
        <v>45370</v>
      </c>
      <c r="O14" s="66">
        <v>45377</v>
      </c>
      <c r="P14" s="66">
        <v>45381</v>
      </c>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100"/>
      <c r="B15" s="26">
        <v>33264</v>
      </c>
      <c r="C15" s="27"/>
      <c r="D15" s="27"/>
      <c r="E15" s="27">
        <v>35973</v>
      </c>
      <c r="F15" s="27">
        <f>SUM(C15-B15)</f>
        <v>-33264</v>
      </c>
      <c r="G15" s="20">
        <f>SUM(E15-D15)</f>
        <v>35973</v>
      </c>
      <c r="H15" s="21">
        <f>SUM(F15:G15)</f>
        <v>2709</v>
      </c>
      <c r="J15" s="7" t="s">
        <v>22</v>
      </c>
      <c r="K15" s="10">
        <v>279.13</v>
      </c>
      <c r="L15" s="11">
        <v>217.02</v>
      </c>
      <c r="M15" s="11">
        <v>59.9</v>
      </c>
      <c r="N15" s="11">
        <v>225.4</v>
      </c>
      <c r="O15" s="11">
        <v>239.6</v>
      </c>
      <c r="P15" s="11">
        <v>174.43</v>
      </c>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1195.48</v>
      </c>
      <c r="AB16" s="8" t="s">
        <v>23</v>
      </c>
      <c r="AC16" s="13">
        <f>SUM(X15:AC15)</f>
        <v>0</v>
      </c>
      <c r="AJ16" s="8" t="s">
        <v>23</v>
      </c>
      <c r="AK16" s="13">
        <f>SUM(AF15:AK15)</f>
        <v>0</v>
      </c>
    </row>
    <row r="17" spans="1:37"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W17" s="103" t="str">
        <f>J17</f>
        <v>Abril</v>
      </c>
      <c r="X17" s="103"/>
      <c r="Y17" s="103"/>
      <c r="Z17" s="103"/>
      <c r="AA17" s="103"/>
      <c r="AB17" s="103"/>
      <c r="AC17" s="103"/>
      <c r="AE17" s="104" t="str">
        <f>W17</f>
        <v>Abril</v>
      </c>
      <c r="AF17" s="104"/>
      <c r="AG17" s="104"/>
      <c r="AH17" s="104"/>
      <c r="AI17" s="104"/>
      <c r="AJ17" s="104"/>
      <c r="AK17" s="104"/>
    </row>
    <row r="18" spans="1:37" ht="15.75" thickBot="1" x14ac:dyDescent="0.3">
      <c r="A18" s="100" t="s">
        <v>5</v>
      </c>
      <c r="B18" s="34" t="s">
        <v>6</v>
      </c>
      <c r="C18" s="22" t="s">
        <v>7</v>
      </c>
      <c r="D18" s="33" t="s">
        <v>8</v>
      </c>
      <c r="E18" s="22" t="s">
        <v>9</v>
      </c>
      <c r="F18" s="24" t="s">
        <v>10</v>
      </c>
      <c r="G18" s="23" t="s">
        <v>11</v>
      </c>
      <c r="H18" s="25" t="s">
        <v>12</v>
      </c>
      <c r="J18" s="6" t="s">
        <v>4</v>
      </c>
      <c r="K18" s="9">
        <v>45385</v>
      </c>
      <c r="L18" s="66">
        <v>45391</v>
      </c>
      <c r="M18" s="66">
        <v>45394</v>
      </c>
      <c r="N18" s="66">
        <v>45399</v>
      </c>
      <c r="O18" s="66">
        <v>45405</v>
      </c>
      <c r="P18" s="4"/>
      <c r="Q18" s="4"/>
      <c r="R18" s="4"/>
      <c r="S18" s="4"/>
      <c r="T18" s="4"/>
      <c r="U18" s="5"/>
      <c r="W18" s="6" t="s">
        <v>4</v>
      </c>
      <c r="X18" s="9">
        <v>45399</v>
      </c>
      <c r="Y18" s="4"/>
      <c r="Z18" s="4"/>
      <c r="AA18" s="4"/>
      <c r="AB18" s="4"/>
      <c r="AC18" s="5"/>
      <c r="AE18" s="6" t="s">
        <v>4</v>
      </c>
      <c r="AF18" s="9"/>
      <c r="AG18" s="4"/>
      <c r="AH18" s="4"/>
      <c r="AI18" s="4"/>
      <c r="AJ18" s="4"/>
      <c r="AK18" s="5"/>
    </row>
    <row r="19" spans="1:37" ht="15.75" thickBot="1" x14ac:dyDescent="0.3">
      <c r="A19" s="100"/>
      <c r="B19" s="26">
        <v>35973</v>
      </c>
      <c r="C19" s="27"/>
      <c r="D19" s="27"/>
      <c r="E19" s="27">
        <v>38719</v>
      </c>
      <c r="F19" s="27">
        <f>SUM(C19-B19)</f>
        <v>-35973</v>
      </c>
      <c r="G19" s="20">
        <f>SUM(E19-D19)</f>
        <v>38719</v>
      </c>
      <c r="H19" s="21">
        <f>SUM(F19:G19)</f>
        <v>2746</v>
      </c>
      <c r="J19" s="7" t="s">
        <v>22</v>
      </c>
      <c r="K19" s="30">
        <v>242</v>
      </c>
      <c r="L19" s="31">
        <v>214.5</v>
      </c>
      <c r="M19" s="31">
        <v>233.13</v>
      </c>
      <c r="N19" s="31">
        <v>248.94</v>
      </c>
      <c r="O19" s="31">
        <v>239.66</v>
      </c>
      <c r="P19" s="31"/>
      <c r="Q19" s="31"/>
      <c r="R19" s="31"/>
      <c r="S19" s="31"/>
      <c r="T19" s="31"/>
      <c r="U19" s="32"/>
      <c r="W19" s="7" t="s">
        <v>22</v>
      </c>
      <c r="X19" s="10">
        <v>80</v>
      </c>
      <c r="Y19" s="11"/>
      <c r="Z19" s="11"/>
      <c r="AA19" s="11"/>
      <c r="AB19" s="11"/>
      <c r="AC19" s="12"/>
      <c r="AE19" s="7" t="s">
        <v>22</v>
      </c>
      <c r="AF19" s="10"/>
      <c r="AG19" s="11"/>
      <c r="AH19" s="11"/>
      <c r="AI19" s="11"/>
      <c r="AJ19" s="11"/>
      <c r="AK19" s="12"/>
    </row>
    <row r="20" spans="1:37" x14ac:dyDescent="0.25">
      <c r="J20" s="8"/>
      <c r="T20" s="8" t="s">
        <v>23</v>
      </c>
      <c r="U20" s="13">
        <f>SUM(K19:U19)</f>
        <v>1178.23</v>
      </c>
      <c r="AB20" s="8" t="s">
        <v>23</v>
      </c>
      <c r="AC20" s="13">
        <f>SUM(X19:AC19)</f>
        <v>80</v>
      </c>
      <c r="AJ20" s="8" t="s">
        <v>23</v>
      </c>
      <c r="AK20" s="13">
        <f>SUM(AF19:AK19)</f>
        <v>0</v>
      </c>
    </row>
    <row r="21" spans="1:37"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W21" s="103" t="str">
        <f>J21</f>
        <v>Maio</v>
      </c>
      <c r="X21" s="103"/>
      <c r="Y21" s="103"/>
      <c r="Z21" s="103"/>
      <c r="AA21" s="103"/>
      <c r="AB21" s="103"/>
      <c r="AC21" s="103"/>
      <c r="AE21" s="104" t="str">
        <f>W21</f>
        <v>Maio</v>
      </c>
      <c r="AF21" s="104"/>
      <c r="AG21" s="104"/>
      <c r="AH21" s="104"/>
      <c r="AI21" s="104"/>
      <c r="AJ21" s="104"/>
      <c r="AK21" s="104"/>
    </row>
    <row r="22" spans="1:37" ht="15.75" thickBot="1" x14ac:dyDescent="0.3">
      <c r="A22" s="100" t="s">
        <v>5</v>
      </c>
      <c r="B22" s="34" t="s">
        <v>6</v>
      </c>
      <c r="C22" s="22" t="s">
        <v>7</v>
      </c>
      <c r="D22" s="33" t="s">
        <v>8</v>
      </c>
      <c r="E22" s="22" t="s">
        <v>9</v>
      </c>
      <c r="F22" s="24" t="s">
        <v>10</v>
      </c>
      <c r="G22" s="23" t="s">
        <v>11</v>
      </c>
      <c r="H22" s="25" t="s">
        <v>12</v>
      </c>
      <c r="J22" s="6" t="s">
        <v>4</v>
      </c>
      <c r="K22" s="9">
        <v>45413</v>
      </c>
      <c r="L22" s="66">
        <v>45419</v>
      </c>
      <c r="M22" s="66">
        <v>45427</v>
      </c>
      <c r="N22" s="66">
        <v>45433</v>
      </c>
      <c r="O22" s="66">
        <v>45436</v>
      </c>
      <c r="P22" s="66">
        <v>45441</v>
      </c>
      <c r="Q22" s="4"/>
      <c r="R22" s="4"/>
      <c r="S22" s="4"/>
      <c r="T22" s="4"/>
      <c r="U22" s="5"/>
      <c r="W22" s="6" t="s">
        <v>4</v>
      </c>
      <c r="X22" s="9">
        <v>45421</v>
      </c>
      <c r="Y22" s="4"/>
      <c r="Z22" s="4"/>
      <c r="AA22" s="4"/>
      <c r="AB22" s="4"/>
      <c r="AC22" s="5"/>
      <c r="AE22" s="6" t="s">
        <v>4</v>
      </c>
      <c r="AF22" s="9"/>
      <c r="AG22" s="4"/>
      <c r="AH22" s="4"/>
      <c r="AI22" s="4"/>
      <c r="AJ22" s="4"/>
      <c r="AK22" s="5"/>
    </row>
    <row r="23" spans="1:37" ht="15.75" thickBot="1" x14ac:dyDescent="0.3">
      <c r="A23" s="100"/>
      <c r="B23" s="26">
        <v>38719</v>
      </c>
      <c r="C23" s="27"/>
      <c r="D23" s="27"/>
      <c r="E23" s="27">
        <v>41296</v>
      </c>
      <c r="F23" s="27">
        <f>SUM(C23-B23)</f>
        <v>-38719</v>
      </c>
      <c r="G23" s="20">
        <f>SUM(E23-D23)</f>
        <v>41296</v>
      </c>
      <c r="H23" s="21">
        <f>SUM(F23:G23)</f>
        <v>2577</v>
      </c>
      <c r="J23" s="7" t="s">
        <v>22</v>
      </c>
      <c r="K23" s="10">
        <v>236.49</v>
      </c>
      <c r="L23" s="11">
        <v>228.04</v>
      </c>
      <c r="M23" s="11">
        <v>227.44</v>
      </c>
      <c r="N23" s="11">
        <v>190.78</v>
      </c>
      <c r="O23" s="11">
        <v>213.12</v>
      </c>
      <c r="P23" s="11">
        <v>200.12</v>
      </c>
      <c r="Q23" s="11"/>
      <c r="R23" s="11"/>
      <c r="S23" s="11"/>
      <c r="T23" s="11"/>
      <c r="U23" s="12"/>
      <c r="W23" s="7" t="s">
        <v>22</v>
      </c>
      <c r="X23" s="10">
        <v>80</v>
      </c>
      <c r="Y23" s="11"/>
      <c r="Z23" s="11"/>
      <c r="AA23" s="11"/>
      <c r="AB23" s="11"/>
      <c r="AC23" s="12"/>
      <c r="AE23" s="7" t="s">
        <v>22</v>
      </c>
      <c r="AF23" s="10"/>
      <c r="AG23" s="11"/>
      <c r="AH23" s="11"/>
      <c r="AI23" s="11"/>
      <c r="AJ23" s="11"/>
      <c r="AK23" s="12"/>
    </row>
    <row r="24" spans="1:37" x14ac:dyDescent="0.25">
      <c r="J24" s="8"/>
      <c r="T24" s="8" t="s">
        <v>23</v>
      </c>
      <c r="U24" s="13">
        <f>SUM(K23:U23)</f>
        <v>1295.9899999999998</v>
      </c>
      <c r="AB24" s="8" t="s">
        <v>23</v>
      </c>
      <c r="AC24" s="13">
        <f>SUM(X23:AC23)</f>
        <v>80</v>
      </c>
      <c r="AJ24" s="8" t="s">
        <v>23</v>
      </c>
      <c r="AK24" s="13">
        <f>SUM(AF23:AK23)</f>
        <v>0</v>
      </c>
    </row>
    <row r="25" spans="1:37"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W25" s="103" t="str">
        <f>J25</f>
        <v>Junho</v>
      </c>
      <c r="X25" s="103"/>
      <c r="Y25" s="103"/>
      <c r="Z25" s="103"/>
      <c r="AA25" s="103"/>
      <c r="AB25" s="103"/>
      <c r="AC25" s="103"/>
      <c r="AE25" s="104" t="str">
        <f>W25</f>
        <v>Junho</v>
      </c>
      <c r="AF25" s="104"/>
      <c r="AG25" s="104"/>
      <c r="AH25" s="104"/>
      <c r="AI25" s="104"/>
      <c r="AJ25" s="104"/>
      <c r="AK25" s="104"/>
    </row>
    <row r="26" spans="1:37" ht="15.75" thickBot="1" x14ac:dyDescent="0.3">
      <c r="A26" s="100" t="s">
        <v>5</v>
      </c>
      <c r="B26" s="34" t="s">
        <v>6</v>
      </c>
      <c r="C26" s="22" t="s">
        <v>7</v>
      </c>
      <c r="D26" s="33" t="s">
        <v>8</v>
      </c>
      <c r="E26" s="22" t="s">
        <v>9</v>
      </c>
      <c r="F26" s="24" t="s">
        <v>10</v>
      </c>
      <c r="G26" s="23" t="s">
        <v>11</v>
      </c>
      <c r="H26" s="25" t="s">
        <v>12</v>
      </c>
      <c r="J26" s="6" t="s">
        <v>4</v>
      </c>
      <c r="K26" s="9">
        <v>45447</v>
      </c>
      <c r="L26" s="66">
        <v>45450</v>
      </c>
      <c r="M26" s="66">
        <v>45461</v>
      </c>
      <c r="N26" s="66">
        <v>45465</v>
      </c>
      <c r="O26" s="66">
        <v>45471</v>
      </c>
      <c r="P26" s="66">
        <v>45456</v>
      </c>
      <c r="Q26" s="4"/>
      <c r="R26" s="4"/>
      <c r="S26" s="4"/>
      <c r="T26" s="4"/>
      <c r="U26" s="5"/>
      <c r="W26" s="6" t="s">
        <v>4</v>
      </c>
      <c r="X26" s="9">
        <v>45447</v>
      </c>
      <c r="Y26" s="4"/>
      <c r="Z26" s="4"/>
      <c r="AA26" s="4"/>
      <c r="AB26" s="4"/>
      <c r="AC26" s="5"/>
      <c r="AE26" s="6" t="s">
        <v>4</v>
      </c>
      <c r="AF26" s="9"/>
      <c r="AG26" s="4"/>
      <c r="AH26" s="4"/>
      <c r="AI26" s="4"/>
      <c r="AJ26" s="4"/>
      <c r="AK26" s="5"/>
    </row>
    <row r="27" spans="1:37" ht="15.75" thickBot="1" x14ac:dyDescent="0.3">
      <c r="A27" s="100"/>
      <c r="B27" s="26">
        <v>41296</v>
      </c>
      <c r="C27" s="27"/>
      <c r="D27" s="27"/>
      <c r="E27" s="27">
        <v>43417</v>
      </c>
      <c r="F27" s="27">
        <f>SUM(C27-B27)</f>
        <v>-41296</v>
      </c>
      <c r="G27" s="20">
        <f>SUM(E27-D27)</f>
        <v>43417</v>
      </c>
      <c r="H27" s="21">
        <f>SUM(F27:G27)</f>
        <v>2121</v>
      </c>
      <c r="J27" s="7" t="s">
        <v>22</v>
      </c>
      <c r="K27" s="10">
        <v>176.23</v>
      </c>
      <c r="L27" s="11">
        <v>187.37</v>
      </c>
      <c r="M27" s="11">
        <v>224.76</v>
      </c>
      <c r="N27" s="11">
        <v>226.06</v>
      </c>
      <c r="O27" s="11">
        <v>191.21</v>
      </c>
      <c r="P27" s="11">
        <v>235.22</v>
      </c>
      <c r="Q27" s="11"/>
      <c r="R27" s="11"/>
      <c r="S27" s="11"/>
      <c r="T27" s="11"/>
      <c r="U27" s="12"/>
      <c r="W27" s="7" t="s">
        <v>22</v>
      </c>
      <c r="X27" s="10">
        <v>80</v>
      </c>
      <c r="Y27" s="11"/>
      <c r="Z27" s="11"/>
      <c r="AA27" s="11"/>
      <c r="AB27" s="11"/>
      <c r="AC27" s="12"/>
      <c r="AE27" s="7" t="s">
        <v>22</v>
      </c>
      <c r="AF27" s="10"/>
      <c r="AG27" s="11"/>
      <c r="AH27" s="11"/>
      <c r="AI27" s="11"/>
      <c r="AJ27" s="11"/>
      <c r="AK27" s="12"/>
    </row>
    <row r="28" spans="1:37" x14ac:dyDescent="0.25">
      <c r="J28" s="8"/>
      <c r="T28" s="8" t="s">
        <v>23</v>
      </c>
      <c r="U28" s="13">
        <f>SUM(K27:U27)</f>
        <v>1240.8500000000001</v>
      </c>
      <c r="AB28" s="8" t="s">
        <v>23</v>
      </c>
      <c r="AC28" s="13">
        <f>SUM(X27:AC27)</f>
        <v>80</v>
      </c>
      <c r="AJ28" s="8" t="s">
        <v>23</v>
      </c>
      <c r="AK28" s="13">
        <f>SUM(AF27:AK27)</f>
        <v>0</v>
      </c>
    </row>
    <row r="29" spans="1:37"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W29" s="103" t="str">
        <f>J29</f>
        <v>Julho</v>
      </c>
      <c r="X29" s="103"/>
      <c r="Y29" s="103"/>
      <c r="Z29" s="103"/>
      <c r="AA29" s="103"/>
      <c r="AB29" s="103"/>
      <c r="AC29" s="103"/>
      <c r="AE29" s="104" t="str">
        <f>W29</f>
        <v>Julho</v>
      </c>
      <c r="AF29" s="104"/>
      <c r="AG29" s="104"/>
      <c r="AH29" s="104"/>
      <c r="AI29" s="104"/>
      <c r="AJ29" s="104"/>
      <c r="AK29" s="104"/>
    </row>
    <row r="30" spans="1:37" ht="15.75" thickBot="1" x14ac:dyDescent="0.3">
      <c r="A30" s="100" t="s">
        <v>5</v>
      </c>
      <c r="B30" s="34" t="s">
        <v>6</v>
      </c>
      <c r="C30" s="22" t="s">
        <v>7</v>
      </c>
      <c r="D30" s="33" t="s">
        <v>8</v>
      </c>
      <c r="E30" s="22" t="s">
        <v>9</v>
      </c>
      <c r="F30" s="24" t="s">
        <v>10</v>
      </c>
      <c r="G30" s="23" t="s">
        <v>11</v>
      </c>
      <c r="H30" s="25" t="s">
        <v>12</v>
      </c>
      <c r="J30" s="6" t="s">
        <v>4</v>
      </c>
      <c r="K30" s="9">
        <v>45478</v>
      </c>
      <c r="L30" s="66">
        <v>45484</v>
      </c>
      <c r="M30" s="66">
        <v>45490</v>
      </c>
      <c r="N30" s="66">
        <v>45493</v>
      </c>
      <c r="O30" s="66">
        <v>45498</v>
      </c>
      <c r="P30" s="66">
        <v>45504</v>
      </c>
      <c r="Q30" s="4"/>
      <c r="R30" s="4"/>
      <c r="S30" s="4"/>
      <c r="T30" s="4"/>
      <c r="U30" s="5"/>
      <c r="W30" s="6" t="s">
        <v>4</v>
      </c>
      <c r="X30" s="9">
        <v>45479</v>
      </c>
      <c r="Y30" s="66">
        <v>45489</v>
      </c>
      <c r="Z30" s="66">
        <v>45498</v>
      </c>
      <c r="AA30" s="4"/>
      <c r="AB30" s="4"/>
      <c r="AC30" s="5"/>
      <c r="AE30" s="6" t="s">
        <v>4</v>
      </c>
      <c r="AF30" s="9"/>
      <c r="AG30" s="4"/>
      <c r="AH30" s="4"/>
      <c r="AI30" s="4"/>
      <c r="AJ30" s="4"/>
      <c r="AK30" s="5"/>
    </row>
    <row r="31" spans="1:37" ht="15.75" thickBot="1" x14ac:dyDescent="0.3">
      <c r="A31" s="100"/>
      <c r="B31" s="26">
        <v>43417</v>
      </c>
      <c r="C31" s="27"/>
      <c r="D31" s="27"/>
      <c r="E31" s="27">
        <v>45952</v>
      </c>
      <c r="F31" s="27">
        <f>SUM(C31-B31)</f>
        <v>-43417</v>
      </c>
      <c r="G31" s="20">
        <f>SUM(E31-D31)</f>
        <v>45952</v>
      </c>
      <c r="H31" s="21">
        <f>SUM(F31:G31)</f>
        <v>2535</v>
      </c>
      <c r="J31" s="7" t="s">
        <v>22</v>
      </c>
      <c r="K31" s="10">
        <v>244.26</v>
      </c>
      <c r="L31" s="11">
        <v>249.21</v>
      </c>
      <c r="M31" s="11">
        <v>238.99</v>
      </c>
      <c r="N31" s="11">
        <v>220.9</v>
      </c>
      <c r="O31" s="11">
        <v>223.65</v>
      </c>
      <c r="P31" s="11">
        <v>226.14</v>
      </c>
      <c r="Q31" s="11"/>
      <c r="R31" s="11"/>
      <c r="S31" s="11"/>
      <c r="T31" s="11"/>
      <c r="U31" s="12"/>
      <c r="W31" s="7" t="s">
        <v>22</v>
      </c>
      <c r="X31" s="10">
        <v>80</v>
      </c>
      <c r="Y31" s="11">
        <v>75</v>
      </c>
      <c r="Z31" s="11">
        <v>60</v>
      </c>
      <c r="AA31" s="11"/>
      <c r="AB31" s="11"/>
      <c r="AC31" s="12"/>
      <c r="AE31" s="7" t="s">
        <v>22</v>
      </c>
      <c r="AF31" s="10"/>
      <c r="AG31" s="11"/>
      <c r="AH31" s="11"/>
      <c r="AI31" s="11"/>
      <c r="AJ31" s="11"/>
      <c r="AK31" s="12"/>
    </row>
    <row r="32" spans="1:37" x14ac:dyDescent="0.25">
      <c r="J32" s="8"/>
      <c r="T32" s="8" t="s">
        <v>23</v>
      </c>
      <c r="U32" s="13">
        <f>SUM(K31:U31)</f>
        <v>1403.15</v>
      </c>
      <c r="AB32" s="8" t="s">
        <v>23</v>
      </c>
      <c r="AC32" s="13">
        <f>SUM(X31:AC31)</f>
        <v>215</v>
      </c>
      <c r="AJ32" s="8" t="s">
        <v>23</v>
      </c>
      <c r="AK32" s="13">
        <f>SUM(AF31:AK31)</f>
        <v>0</v>
      </c>
    </row>
    <row r="33" spans="1:37"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W33" s="103" t="str">
        <f>J33</f>
        <v>Agosto</v>
      </c>
      <c r="X33" s="103"/>
      <c r="Y33" s="103"/>
      <c r="Z33" s="103"/>
      <c r="AA33" s="103"/>
      <c r="AB33" s="103"/>
      <c r="AC33" s="103"/>
      <c r="AE33" s="104" t="str">
        <f>W33</f>
        <v>Agosto</v>
      </c>
      <c r="AF33" s="104"/>
      <c r="AG33" s="104"/>
      <c r="AH33" s="104"/>
      <c r="AI33" s="104"/>
      <c r="AJ33" s="104"/>
      <c r="AK33" s="104"/>
    </row>
    <row r="34" spans="1:37" ht="15.75" thickBot="1" x14ac:dyDescent="0.3">
      <c r="A34" s="100" t="s">
        <v>5</v>
      </c>
      <c r="B34" s="34" t="s">
        <v>6</v>
      </c>
      <c r="C34" s="22" t="s">
        <v>7</v>
      </c>
      <c r="D34" s="33" t="s">
        <v>8</v>
      </c>
      <c r="E34" s="22" t="s">
        <v>9</v>
      </c>
      <c r="F34" s="24" t="s">
        <v>10</v>
      </c>
      <c r="G34" s="23" t="s">
        <v>11</v>
      </c>
      <c r="H34" s="25" t="s">
        <v>12</v>
      </c>
      <c r="J34" s="6" t="s">
        <v>4</v>
      </c>
      <c r="K34" s="9">
        <v>45510</v>
      </c>
      <c r="L34" s="66">
        <v>45520</v>
      </c>
      <c r="M34" s="66">
        <v>45527</v>
      </c>
      <c r="N34" s="66">
        <v>45532</v>
      </c>
      <c r="O34" s="66">
        <v>45517</v>
      </c>
      <c r="P34" s="4"/>
      <c r="Q34" s="4"/>
      <c r="R34" s="4"/>
      <c r="S34" s="4"/>
      <c r="T34" s="4"/>
      <c r="U34" s="5"/>
      <c r="W34" s="6" t="s">
        <v>4</v>
      </c>
      <c r="X34" s="9">
        <v>45509</v>
      </c>
      <c r="Y34" s="66">
        <v>45520</v>
      </c>
      <c r="Z34" s="66">
        <v>45535</v>
      </c>
      <c r="AA34" s="4"/>
      <c r="AB34" s="4"/>
      <c r="AC34" s="5"/>
      <c r="AE34" s="6" t="s">
        <v>4</v>
      </c>
      <c r="AF34" s="9"/>
      <c r="AG34" s="4"/>
      <c r="AH34" s="4"/>
      <c r="AI34" s="4"/>
      <c r="AJ34" s="4"/>
      <c r="AK34" s="5"/>
    </row>
    <row r="35" spans="1:37" ht="15.75" thickBot="1" x14ac:dyDescent="0.3">
      <c r="A35" s="100"/>
      <c r="B35" s="26">
        <v>45952</v>
      </c>
      <c r="C35" s="27"/>
      <c r="D35" s="27"/>
      <c r="E35" s="27">
        <v>48279</v>
      </c>
      <c r="F35" s="27">
        <f>SUM(C35-B35)</f>
        <v>-45952</v>
      </c>
      <c r="G35" s="20">
        <f>SUM(E35-D35)</f>
        <v>48279</v>
      </c>
      <c r="H35" s="21">
        <f>SUM(F35:G35)</f>
        <v>2327</v>
      </c>
      <c r="J35" s="7" t="s">
        <v>22</v>
      </c>
      <c r="K35" s="10">
        <v>249.15</v>
      </c>
      <c r="L35" s="11">
        <v>183.52</v>
      </c>
      <c r="M35" s="11">
        <v>242.24</v>
      </c>
      <c r="N35" s="11">
        <v>230.23</v>
      </c>
      <c r="O35" s="11">
        <v>224.61</v>
      </c>
      <c r="P35" s="11"/>
      <c r="Q35" s="11"/>
      <c r="R35" s="11"/>
      <c r="S35" s="11"/>
      <c r="T35" s="11"/>
      <c r="U35" s="12"/>
      <c r="W35" s="7" t="s">
        <v>22</v>
      </c>
      <c r="X35" s="10">
        <v>60</v>
      </c>
      <c r="Y35" s="11">
        <v>60</v>
      </c>
      <c r="Z35" s="11">
        <v>80</v>
      </c>
      <c r="AA35" s="11"/>
      <c r="AB35" s="11"/>
      <c r="AC35" s="12"/>
      <c r="AE35" s="7" t="s">
        <v>22</v>
      </c>
      <c r="AF35" s="10"/>
      <c r="AG35" s="11"/>
      <c r="AH35" s="11"/>
      <c r="AI35" s="11"/>
      <c r="AJ35" s="11"/>
      <c r="AK35" s="12"/>
    </row>
    <row r="36" spans="1:37" x14ac:dyDescent="0.25">
      <c r="J36" s="8"/>
      <c r="T36" s="8" t="s">
        <v>23</v>
      </c>
      <c r="U36" s="13">
        <f>SUM(K35:U35)</f>
        <v>1129.75</v>
      </c>
      <c r="AB36" s="8" t="s">
        <v>23</v>
      </c>
      <c r="AC36" s="13">
        <f>SUM(X35:AC35)</f>
        <v>200</v>
      </c>
      <c r="AJ36" s="8" t="s">
        <v>23</v>
      </c>
      <c r="AK36" s="13">
        <f>SUM(AF35:AK35)</f>
        <v>0</v>
      </c>
    </row>
    <row r="37" spans="1:37"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W37" s="103" t="str">
        <f>J37</f>
        <v>Setembro</v>
      </c>
      <c r="X37" s="103"/>
      <c r="Y37" s="103"/>
      <c r="Z37" s="103"/>
      <c r="AA37" s="103"/>
      <c r="AB37" s="103"/>
      <c r="AC37" s="103"/>
      <c r="AE37" s="104" t="str">
        <f>W37</f>
        <v>Setembro</v>
      </c>
      <c r="AF37" s="104"/>
      <c r="AG37" s="104"/>
      <c r="AH37" s="104"/>
      <c r="AI37" s="104"/>
      <c r="AJ37" s="104"/>
      <c r="AK37" s="104"/>
    </row>
    <row r="38" spans="1:37" ht="15.75" thickBot="1" x14ac:dyDescent="0.3">
      <c r="A38" s="100" t="s">
        <v>5</v>
      </c>
      <c r="B38" s="34" t="s">
        <v>6</v>
      </c>
      <c r="C38" s="22" t="s">
        <v>7</v>
      </c>
      <c r="D38" s="33" t="s">
        <v>8</v>
      </c>
      <c r="E38" s="22" t="s">
        <v>9</v>
      </c>
      <c r="F38" s="24" t="s">
        <v>10</v>
      </c>
      <c r="G38" s="23" t="s">
        <v>11</v>
      </c>
      <c r="H38" s="25" t="s">
        <v>12</v>
      </c>
      <c r="J38" s="6" t="s">
        <v>4</v>
      </c>
      <c r="K38" s="9">
        <v>45538</v>
      </c>
      <c r="L38" s="66">
        <v>45542</v>
      </c>
      <c r="M38" s="66">
        <v>45548</v>
      </c>
      <c r="N38" s="66">
        <v>45555</v>
      </c>
      <c r="O38" s="4"/>
      <c r="P38" s="4"/>
      <c r="Q38" s="4"/>
      <c r="R38" s="4"/>
      <c r="S38" s="4"/>
      <c r="T38" s="4"/>
      <c r="U38" s="5"/>
      <c r="W38" s="6" t="s">
        <v>4</v>
      </c>
      <c r="X38" s="9">
        <v>45549</v>
      </c>
      <c r="Y38" s="66">
        <v>45558</v>
      </c>
      <c r="Z38" s="4"/>
      <c r="AA38" s="4"/>
      <c r="AB38" s="4"/>
      <c r="AC38" s="5"/>
      <c r="AE38" s="6" t="s">
        <v>4</v>
      </c>
      <c r="AF38" s="9">
        <v>45549</v>
      </c>
      <c r="AG38" s="4"/>
      <c r="AH38" s="4"/>
      <c r="AI38" s="4"/>
      <c r="AJ38" s="4"/>
      <c r="AK38" s="5"/>
    </row>
    <row r="39" spans="1:37" ht="15.75" thickBot="1" x14ac:dyDescent="0.3">
      <c r="A39" s="100"/>
      <c r="B39" s="26">
        <v>48279</v>
      </c>
      <c r="C39" s="27"/>
      <c r="D39" s="27"/>
      <c r="E39" s="27">
        <v>50567</v>
      </c>
      <c r="F39" s="27">
        <f>SUM(C39-B39)</f>
        <v>-48279</v>
      </c>
      <c r="G39" s="20">
        <f>SUM(E39-D39)</f>
        <v>50567</v>
      </c>
      <c r="H39" s="21">
        <f>SUM(F39:G39)</f>
        <v>2288</v>
      </c>
      <c r="J39" s="7" t="s">
        <v>22</v>
      </c>
      <c r="K39" s="10">
        <v>255.6</v>
      </c>
      <c r="L39" s="11">
        <v>166.14</v>
      </c>
      <c r="M39" s="11">
        <v>255.28</v>
      </c>
      <c r="N39" s="11">
        <v>276.18</v>
      </c>
      <c r="O39" s="11"/>
      <c r="P39" s="11"/>
      <c r="Q39" s="11"/>
      <c r="R39" s="11"/>
      <c r="S39" s="11"/>
      <c r="T39" s="11"/>
      <c r="U39" s="12"/>
      <c r="W39" s="7" t="s">
        <v>22</v>
      </c>
      <c r="X39" s="10">
        <v>80</v>
      </c>
      <c r="Y39" s="11">
        <v>75</v>
      </c>
      <c r="Z39" s="11"/>
      <c r="AA39" s="11"/>
      <c r="AB39" s="11"/>
      <c r="AC39" s="12"/>
      <c r="AE39" s="7" t="s">
        <v>22</v>
      </c>
      <c r="AF39" s="10">
        <v>50</v>
      </c>
      <c r="AG39" s="11"/>
      <c r="AH39" s="11"/>
      <c r="AI39" s="11"/>
      <c r="AJ39" s="11"/>
      <c r="AK39" s="12"/>
    </row>
    <row r="40" spans="1:37" x14ac:dyDescent="0.25">
      <c r="J40" s="8"/>
      <c r="T40" s="8" t="s">
        <v>23</v>
      </c>
      <c r="U40" s="13">
        <f>SUM(K39:U39)</f>
        <v>953.2</v>
      </c>
      <c r="AB40" s="8" t="s">
        <v>23</v>
      </c>
      <c r="AC40" s="13">
        <f>SUM(X39:AC39)</f>
        <v>155</v>
      </c>
      <c r="AJ40" s="8" t="s">
        <v>23</v>
      </c>
      <c r="AK40" s="13">
        <f>SUM(AF39:AK39)</f>
        <v>50</v>
      </c>
    </row>
    <row r="41" spans="1:37"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W41" s="103" t="str">
        <f>J41</f>
        <v>Outubro</v>
      </c>
      <c r="X41" s="103"/>
      <c r="Y41" s="103"/>
      <c r="Z41" s="103"/>
      <c r="AA41" s="103"/>
      <c r="AB41" s="103"/>
      <c r="AC41" s="103"/>
      <c r="AE41" s="104" t="str">
        <f>W41</f>
        <v>Outubro</v>
      </c>
      <c r="AF41" s="104"/>
      <c r="AG41" s="104"/>
      <c r="AH41" s="104"/>
      <c r="AI41" s="104"/>
      <c r="AJ41" s="104"/>
      <c r="AK41" s="104"/>
    </row>
    <row r="42" spans="1:37" ht="15.75" thickBot="1" x14ac:dyDescent="0.3">
      <c r="A42" s="100" t="s">
        <v>5</v>
      </c>
      <c r="B42" s="34" t="s">
        <v>6</v>
      </c>
      <c r="C42" s="22" t="s">
        <v>7</v>
      </c>
      <c r="D42" s="33" t="s">
        <v>8</v>
      </c>
      <c r="E42" s="22" t="s">
        <v>9</v>
      </c>
      <c r="F42" s="24" t="s">
        <v>10</v>
      </c>
      <c r="G42" s="23" t="s">
        <v>11</v>
      </c>
      <c r="H42" s="25" t="s">
        <v>12</v>
      </c>
      <c r="J42" s="6" t="s">
        <v>4</v>
      </c>
      <c r="K42" s="9">
        <v>45568</v>
      </c>
      <c r="L42" s="66">
        <v>45577</v>
      </c>
      <c r="M42" s="66">
        <v>45588</v>
      </c>
      <c r="N42" s="66">
        <v>45583</v>
      </c>
      <c r="O42" s="66">
        <v>45596</v>
      </c>
      <c r="P42" s="4"/>
      <c r="Q42" s="4"/>
      <c r="R42" s="4"/>
      <c r="S42" s="4"/>
      <c r="T42" s="4"/>
      <c r="U42" s="5"/>
      <c r="W42" s="6" t="s">
        <v>4</v>
      </c>
      <c r="X42" s="9">
        <v>45575</v>
      </c>
      <c r="Y42" s="4"/>
      <c r="Z42" s="4"/>
      <c r="AA42" s="4"/>
      <c r="AB42" s="4"/>
      <c r="AC42" s="5"/>
      <c r="AE42" s="6" t="s">
        <v>4</v>
      </c>
      <c r="AF42" s="9"/>
      <c r="AG42" s="4"/>
      <c r="AH42" s="4"/>
      <c r="AI42" s="4"/>
      <c r="AJ42" s="4"/>
      <c r="AK42" s="5"/>
    </row>
    <row r="43" spans="1:37" ht="15.75" thickBot="1" x14ac:dyDescent="0.3">
      <c r="A43" s="100"/>
      <c r="B43" s="26">
        <v>50567</v>
      </c>
      <c r="C43" s="27"/>
      <c r="D43" s="27"/>
      <c r="E43" s="27">
        <v>51971</v>
      </c>
      <c r="F43" s="27">
        <f>SUM(C43-B43)</f>
        <v>-50567</v>
      </c>
      <c r="G43" s="20">
        <f>SUM(E43-D43)</f>
        <v>51971</v>
      </c>
      <c r="H43" s="21">
        <f>SUM(F43:G43)</f>
        <v>1404</v>
      </c>
      <c r="J43" s="7" t="s">
        <v>22</v>
      </c>
      <c r="K43" s="10">
        <v>242.82</v>
      </c>
      <c r="L43" s="11">
        <v>253.3</v>
      </c>
      <c r="M43" s="11">
        <v>240.97</v>
      </c>
      <c r="N43" s="11">
        <v>238.22</v>
      </c>
      <c r="O43" s="11">
        <v>237.58</v>
      </c>
      <c r="P43" s="11"/>
      <c r="Q43" s="11"/>
      <c r="R43" s="11"/>
      <c r="S43" s="11"/>
      <c r="T43" s="11"/>
      <c r="U43" s="12"/>
      <c r="W43" s="7" t="s">
        <v>22</v>
      </c>
      <c r="X43" s="10">
        <v>75</v>
      </c>
      <c r="Y43" s="11"/>
      <c r="Z43" s="11"/>
      <c r="AA43" s="11"/>
      <c r="AB43" s="11"/>
      <c r="AC43" s="12"/>
      <c r="AE43" s="7" t="s">
        <v>22</v>
      </c>
      <c r="AF43" s="10"/>
      <c r="AG43" s="11"/>
      <c r="AH43" s="11"/>
      <c r="AI43" s="11"/>
      <c r="AJ43" s="11"/>
      <c r="AK43" s="12"/>
    </row>
    <row r="44" spans="1:37" x14ac:dyDescent="0.25">
      <c r="J44" s="8"/>
      <c r="T44" s="8" t="s">
        <v>23</v>
      </c>
      <c r="U44" s="13">
        <f>SUM(K43:U43)</f>
        <v>1212.8900000000001</v>
      </c>
      <c r="AB44" s="8" t="s">
        <v>23</v>
      </c>
      <c r="AC44" s="13">
        <f>SUM(X43:AC43)</f>
        <v>75</v>
      </c>
      <c r="AJ44" s="8" t="s">
        <v>23</v>
      </c>
      <c r="AK44" s="13">
        <f>SUM(AF43:AK43)</f>
        <v>0</v>
      </c>
    </row>
    <row r="45" spans="1:37"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W45" s="103" t="str">
        <f>J45</f>
        <v>Novembro</v>
      </c>
      <c r="X45" s="103"/>
      <c r="Y45" s="103"/>
      <c r="Z45" s="103"/>
      <c r="AA45" s="103"/>
      <c r="AB45" s="103"/>
      <c r="AC45" s="103"/>
      <c r="AE45" s="104" t="str">
        <f>W45</f>
        <v>Novembro</v>
      </c>
      <c r="AF45" s="104"/>
      <c r="AG45" s="104"/>
      <c r="AH45" s="104"/>
      <c r="AI45" s="104"/>
      <c r="AJ45" s="104"/>
      <c r="AK45" s="104"/>
    </row>
    <row r="46" spans="1:37" ht="15.75" thickBot="1" x14ac:dyDescent="0.3">
      <c r="A46" s="100" t="s">
        <v>5</v>
      </c>
      <c r="B46" s="34" t="s">
        <v>6</v>
      </c>
      <c r="C46" s="22" t="s">
        <v>7</v>
      </c>
      <c r="D46" s="33" t="s">
        <v>8</v>
      </c>
      <c r="E46" s="22" t="s">
        <v>9</v>
      </c>
      <c r="F46" s="24" t="s">
        <v>10</v>
      </c>
      <c r="G46" s="23" t="s">
        <v>11</v>
      </c>
      <c r="H46" s="25" t="s">
        <v>12</v>
      </c>
      <c r="J46" s="6" t="s">
        <v>4</v>
      </c>
      <c r="K46" s="9">
        <v>45601</v>
      </c>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100"/>
      <c r="B47" s="26">
        <v>51971</v>
      </c>
      <c r="C47" s="27">
        <v>53258</v>
      </c>
      <c r="D47" s="27">
        <v>53258</v>
      </c>
      <c r="E47" s="27">
        <v>55300</v>
      </c>
      <c r="F47" s="27">
        <f>SUM(C47-B47)</f>
        <v>1287</v>
      </c>
      <c r="G47" s="20">
        <f>SUM(E47-D47)</f>
        <v>2042</v>
      </c>
      <c r="H47" s="21">
        <f>SUM(F47:G47)</f>
        <v>3329</v>
      </c>
      <c r="J47" s="7" t="s">
        <v>22</v>
      </c>
      <c r="K47" s="10">
        <v>242.5</v>
      </c>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242.5</v>
      </c>
      <c r="AB48" s="8" t="s">
        <v>23</v>
      </c>
      <c r="AC48" s="13">
        <f>SUM(X47:AC47)</f>
        <v>0</v>
      </c>
      <c r="AJ48" s="8" t="s">
        <v>23</v>
      </c>
      <c r="AK48" s="13">
        <f>SUM(AF47:AK47)</f>
        <v>0</v>
      </c>
    </row>
    <row r="49" spans="1:37"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W49" s="103" t="str">
        <f>J49</f>
        <v>Dezembro</v>
      </c>
      <c r="X49" s="103"/>
      <c r="Y49" s="103"/>
      <c r="Z49" s="103"/>
      <c r="AA49" s="103"/>
      <c r="AB49" s="103"/>
      <c r="AC49" s="103"/>
      <c r="AE49" s="104" t="str">
        <f>W49</f>
        <v>Dezembro</v>
      </c>
      <c r="AF49" s="104"/>
      <c r="AG49" s="104"/>
      <c r="AH49" s="104"/>
      <c r="AI49" s="104"/>
      <c r="AJ49" s="104"/>
      <c r="AK49" s="104"/>
    </row>
    <row r="50" spans="1:37" ht="15.75" thickBot="1" x14ac:dyDescent="0.3">
      <c r="A50" s="100" t="s">
        <v>5</v>
      </c>
      <c r="B50" s="34" t="s">
        <v>6</v>
      </c>
      <c r="C50" s="22" t="s">
        <v>7</v>
      </c>
      <c r="D50" s="33" t="s">
        <v>8</v>
      </c>
      <c r="E50" s="22" t="s">
        <v>9</v>
      </c>
      <c r="F50" s="24" t="s">
        <v>10</v>
      </c>
      <c r="G50" s="23" t="s">
        <v>11</v>
      </c>
      <c r="H50" s="25" t="s">
        <v>12</v>
      </c>
      <c r="J50" s="6" t="s">
        <v>4</v>
      </c>
      <c r="K50" s="9">
        <v>45629</v>
      </c>
      <c r="L50" s="66">
        <v>45633</v>
      </c>
      <c r="M50" s="66">
        <v>45636</v>
      </c>
      <c r="N50" s="66">
        <v>45640</v>
      </c>
      <c r="O50" s="66">
        <v>45643</v>
      </c>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100"/>
      <c r="B51" s="26">
        <v>55300</v>
      </c>
      <c r="C51" s="27">
        <v>56737</v>
      </c>
      <c r="D51" s="27">
        <v>56805</v>
      </c>
      <c r="E51" s="27">
        <v>57074</v>
      </c>
      <c r="F51" s="27">
        <f>SUM(C51-B51)</f>
        <v>1437</v>
      </c>
      <c r="G51" s="20">
        <f>SUM(E51-D51)</f>
        <v>269</v>
      </c>
      <c r="H51" s="21">
        <f>SUM(F51:G51)</f>
        <v>1706</v>
      </c>
      <c r="J51" s="7" t="s">
        <v>22</v>
      </c>
      <c r="K51" s="10">
        <v>204.54</v>
      </c>
      <c r="L51" s="11">
        <v>110.04</v>
      </c>
      <c r="M51" s="11">
        <v>190.29</v>
      </c>
      <c r="N51" s="11">
        <v>215.41</v>
      </c>
      <c r="O51" s="11">
        <v>104.67</v>
      </c>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824.94999999999993</v>
      </c>
      <c r="AB52" s="8" t="s">
        <v>23</v>
      </c>
      <c r="AC52" s="13">
        <f>SUM(X51:AC51)</f>
        <v>0</v>
      </c>
      <c r="AJ52" s="8" t="s">
        <v>23</v>
      </c>
      <c r="AK52" s="13">
        <f>SUM(AF51:AK51)</f>
        <v>0</v>
      </c>
    </row>
    <row r="53" spans="1:37" ht="15.75" thickBot="1" x14ac:dyDescent="0.3">
      <c r="A53" s="83">
        <v>2025</v>
      </c>
      <c r="B53" s="101" t="s">
        <v>141</v>
      </c>
      <c r="C53" s="101"/>
      <c r="D53" s="101"/>
      <c r="E53" s="101"/>
      <c r="F53" s="101"/>
      <c r="G53" s="101"/>
      <c r="H53" s="101"/>
      <c r="J53" s="102" t="s">
        <v>141</v>
      </c>
      <c r="K53" s="102"/>
      <c r="L53" s="102"/>
      <c r="M53" s="102"/>
      <c r="N53" s="102"/>
      <c r="O53" s="102"/>
      <c r="P53" s="102"/>
      <c r="Q53" s="102"/>
      <c r="R53" s="102"/>
      <c r="S53" s="102"/>
      <c r="T53" s="102"/>
      <c r="U53" s="102"/>
      <c r="W53" s="103" t="str">
        <f>J53</f>
        <v>Janeiro</v>
      </c>
      <c r="X53" s="103"/>
      <c r="Y53" s="103"/>
      <c r="Z53" s="103"/>
      <c r="AA53" s="103"/>
      <c r="AB53" s="103"/>
      <c r="AC53" s="103"/>
      <c r="AE53" s="104" t="str">
        <f>W53</f>
        <v>Janeiro</v>
      </c>
      <c r="AF53" s="104"/>
      <c r="AG53" s="104"/>
      <c r="AH53" s="104"/>
      <c r="AI53" s="104"/>
      <c r="AJ53" s="104"/>
      <c r="AK53" s="104"/>
    </row>
    <row r="54" spans="1:37" ht="15.75" thickBot="1" x14ac:dyDescent="0.3">
      <c r="A54" s="100" t="s">
        <v>5</v>
      </c>
      <c r="B54" s="34" t="s">
        <v>6</v>
      </c>
      <c r="C54" s="22" t="s">
        <v>7</v>
      </c>
      <c r="D54" s="33" t="s">
        <v>8</v>
      </c>
      <c r="E54" s="22" t="s">
        <v>9</v>
      </c>
      <c r="F54" s="24" t="s">
        <v>10</v>
      </c>
      <c r="G54" s="23" t="s">
        <v>11</v>
      </c>
      <c r="H54" s="25" t="s">
        <v>12</v>
      </c>
      <c r="J54" s="6" t="s">
        <v>4</v>
      </c>
      <c r="K54" s="9">
        <v>45664</v>
      </c>
      <c r="L54" s="66">
        <v>45668</v>
      </c>
      <c r="M54" s="66"/>
      <c r="N54" s="66"/>
      <c r="O54" s="66"/>
      <c r="P54" s="4"/>
      <c r="Q54" s="4"/>
      <c r="R54" s="4"/>
      <c r="S54" s="4"/>
      <c r="T54" s="4"/>
      <c r="U54" s="5"/>
      <c r="W54" s="6" t="s">
        <v>4</v>
      </c>
      <c r="X54" s="9">
        <v>45668</v>
      </c>
      <c r="Y54" s="4"/>
      <c r="Z54" s="4"/>
      <c r="AA54" s="4"/>
      <c r="AB54" s="4"/>
      <c r="AC54" s="5"/>
      <c r="AE54" s="6" t="s">
        <v>4</v>
      </c>
      <c r="AF54" s="9"/>
      <c r="AG54" s="4"/>
      <c r="AH54" s="4"/>
      <c r="AI54" s="4"/>
      <c r="AJ54" s="4"/>
      <c r="AK54" s="5"/>
    </row>
    <row r="55" spans="1:37" ht="15.75" thickBot="1" x14ac:dyDescent="0.3">
      <c r="A55" s="100"/>
      <c r="B55" s="26">
        <v>57074</v>
      </c>
      <c r="C55" s="27">
        <v>57559</v>
      </c>
      <c r="D55" s="27">
        <v>57074</v>
      </c>
      <c r="E55" s="27">
        <v>57559</v>
      </c>
      <c r="F55" s="27">
        <f>SUM(C55-B55)</f>
        <v>485</v>
      </c>
      <c r="G55" s="20">
        <f>SUM(E55-D55)</f>
        <v>485</v>
      </c>
      <c r="H55" s="21">
        <f>SUM(F55:G55)</f>
        <v>970</v>
      </c>
      <c r="J55" s="7" t="s">
        <v>22</v>
      </c>
      <c r="K55" s="10">
        <v>204.48</v>
      </c>
      <c r="L55" s="11">
        <v>127.8</v>
      </c>
      <c r="M55" s="11"/>
      <c r="N55" s="11"/>
      <c r="O55" s="11"/>
      <c r="P55" s="11"/>
      <c r="Q55" s="11"/>
      <c r="R55" s="11"/>
      <c r="S55" s="11"/>
      <c r="T55" s="11"/>
      <c r="U55" s="12"/>
      <c r="W55" s="7" t="s">
        <v>22</v>
      </c>
      <c r="X55" s="10">
        <v>80</v>
      </c>
      <c r="Y55" s="11"/>
      <c r="Z55" s="11"/>
      <c r="AA55" s="11"/>
      <c r="AB55" s="11"/>
      <c r="AC55" s="12"/>
      <c r="AE55" s="7" t="s">
        <v>22</v>
      </c>
      <c r="AF55" s="10"/>
      <c r="AG55" s="11"/>
      <c r="AH55" s="11"/>
      <c r="AI55" s="11"/>
      <c r="AJ55" s="11"/>
      <c r="AK55" s="12"/>
    </row>
    <row r="56" spans="1:37" x14ac:dyDescent="0.25">
      <c r="J56" s="8"/>
      <c r="T56" s="8" t="s">
        <v>23</v>
      </c>
      <c r="U56" s="13">
        <f>SUM(K55:U55)</f>
        <v>332.28</v>
      </c>
      <c r="AB56" s="8" t="s">
        <v>23</v>
      </c>
      <c r="AC56" s="13">
        <f>SUM(X55:AC55)</f>
        <v>80</v>
      </c>
      <c r="AJ56" s="8" t="s">
        <v>23</v>
      </c>
      <c r="AK56" s="13">
        <f>SUM(AF55:AK55)</f>
        <v>0</v>
      </c>
    </row>
  </sheetData>
  <mergeCells count="68">
    <mergeCell ref="B2:C2"/>
    <mergeCell ref="E2:F2"/>
    <mergeCell ref="B4:C4"/>
    <mergeCell ref="E4:F4"/>
    <mergeCell ref="A7:H7"/>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B53:H53"/>
    <mergeCell ref="J53:U53"/>
    <mergeCell ref="W53:AC53"/>
    <mergeCell ref="AE53:AK53"/>
    <mergeCell ref="A54:A55"/>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N76"/>
  <sheetViews>
    <sheetView showGridLines="0" workbookViewId="0">
      <selection activeCell="I9" sqref="I9"/>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10.42578125" style="1" bestFit="1" customWidth="1"/>
    <col min="6" max="7" width="15.28515625" bestFit="1" customWidth="1"/>
    <col min="8" max="8" width="11.85546875" bestFit="1" customWidth="1"/>
    <col min="9" max="9" width="27.7109375" customWidth="1"/>
    <col min="10" max="10" width="13.42578125" bestFit="1" customWidth="1"/>
    <col min="11" max="20" width="10.42578125" bestFit="1" customWidth="1"/>
    <col min="21" max="21" width="12.140625" bestFit="1" customWidth="1"/>
    <col min="26" max="28" width="10.42578125" bestFit="1" customWidth="1"/>
    <col min="31" max="31" width="10.5703125" bestFit="1" customWidth="1"/>
    <col min="37" max="39" width="10.140625" bestFit="1" customWidth="1"/>
  </cols>
  <sheetData>
    <row r="2" spans="1:40" x14ac:dyDescent="0.25">
      <c r="A2" t="s">
        <v>0</v>
      </c>
      <c r="B2" s="107" t="s">
        <v>80</v>
      </c>
      <c r="C2" s="107"/>
      <c r="D2" s="1" t="s">
        <v>1</v>
      </c>
      <c r="E2" s="107" t="s">
        <v>105</v>
      </c>
      <c r="F2" s="107"/>
      <c r="H2" t="s">
        <v>45</v>
      </c>
      <c r="I2" s="54">
        <v>5325</v>
      </c>
    </row>
    <row r="3" spans="1:40" x14ac:dyDescent="0.25">
      <c r="A3" t="s">
        <v>135</v>
      </c>
      <c r="D3" s="1" t="s">
        <v>174</v>
      </c>
      <c r="E3" s="89">
        <v>45745</v>
      </c>
      <c r="F3" s="1"/>
    </row>
    <row r="4" spans="1:40" x14ac:dyDescent="0.25">
      <c r="A4" t="s">
        <v>2</v>
      </c>
      <c r="B4" s="108">
        <v>2363</v>
      </c>
      <c r="C4" s="108"/>
      <c r="D4" s="1" t="s">
        <v>29</v>
      </c>
      <c r="E4" s="118">
        <v>40</v>
      </c>
      <c r="F4" s="107"/>
      <c r="H4" t="s">
        <v>64</v>
      </c>
      <c r="I4" s="67">
        <v>45471</v>
      </c>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10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10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v>45475</v>
      </c>
      <c r="L30" s="66">
        <v>45477</v>
      </c>
      <c r="M30" s="66">
        <v>45479</v>
      </c>
      <c r="N30" s="66">
        <v>45482</v>
      </c>
      <c r="O30" s="66">
        <v>45484</v>
      </c>
      <c r="P30" s="66">
        <v>45489</v>
      </c>
      <c r="Q30" s="66">
        <v>45491</v>
      </c>
      <c r="R30" s="66">
        <v>45493</v>
      </c>
      <c r="S30" s="66">
        <v>45497</v>
      </c>
      <c r="T30" s="66">
        <v>45503</v>
      </c>
      <c r="U30" s="75">
        <v>45504</v>
      </c>
      <c r="Y30" s="6" t="s">
        <v>4</v>
      </c>
      <c r="Z30" s="9"/>
      <c r="AA30" s="4"/>
      <c r="AB30" s="4"/>
      <c r="AC30" s="4"/>
      <c r="AD30" s="4"/>
      <c r="AE30" s="5"/>
      <c r="AH30" s="6" t="s">
        <v>4</v>
      </c>
      <c r="AI30" s="9"/>
      <c r="AJ30" s="4"/>
      <c r="AK30" s="4"/>
      <c r="AL30" s="4"/>
      <c r="AM30" s="4"/>
      <c r="AN30" s="5"/>
    </row>
    <row r="31" spans="1:40" ht="15.75" thickBot="1" x14ac:dyDescent="0.3">
      <c r="A31" s="100"/>
      <c r="B31" s="26">
        <v>12598</v>
      </c>
      <c r="C31" s="27"/>
      <c r="D31" s="27"/>
      <c r="E31" s="27"/>
      <c r="F31" s="27">
        <f>SUM(C31-B31)</f>
        <v>-12598</v>
      </c>
      <c r="G31" s="20">
        <f>SUM(E31-D31)</f>
        <v>0</v>
      </c>
      <c r="H31" s="21">
        <f>SUM(F31:G31)</f>
        <v>-12598</v>
      </c>
      <c r="J31" s="7" t="s">
        <v>22</v>
      </c>
      <c r="K31" s="10">
        <v>223.64</v>
      </c>
      <c r="L31" s="11">
        <v>159.56</v>
      </c>
      <c r="M31" s="11">
        <v>95.7</v>
      </c>
      <c r="N31" s="11">
        <v>209.34</v>
      </c>
      <c r="O31" s="11">
        <v>176.68</v>
      </c>
      <c r="P31" s="11">
        <v>200.97</v>
      </c>
      <c r="Q31" s="11">
        <v>209.59</v>
      </c>
      <c r="R31" s="11">
        <v>168.12</v>
      </c>
      <c r="S31" s="11">
        <v>151.57</v>
      </c>
      <c r="T31" s="11">
        <v>232.15</v>
      </c>
      <c r="U31" s="12">
        <v>162.94</v>
      </c>
      <c r="Y31" s="7" t="s">
        <v>22</v>
      </c>
      <c r="Z31" s="10"/>
      <c r="AA31" s="11"/>
      <c r="AB31" s="11"/>
      <c r="AC31" s="11"/>
      <c r="AD31" s="11"/>
      <c r="AE31" s="12"/>
      <c r="AH31" s="7" t="s">
        <v>22</v>
      </c>
      <c r="AI31" s="10"/>
      <c r="AJ31" s="11"/>
      <c r="AK31" s="11"/>
      <c r="AL31" s="11"/>
      <c r="AM31" s="11"/>
      <c r="AN31" s="12"/>
    </row>
    <row r="32" spans="1:40" x14ac:dyDescent="0.25">
      <c r="J32" s="8"/>
      <c r="T32" s="8" t="s">
        <v>23</v>
      </c>
      <c r="U32" s="13">
        <f>SUM(K31:U31)</f>
        <v>1990.26</v>
      </c>
      <c r="AD32" s="8" t="s">
        <v>23</v>
      </c>
      <c r="AE32" s="13">
        <f>SUM(Z31:AE31)</f>
        <v>0</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c r="L34" s="66">
        <v>45507</v>
      </c>
      <c r="M34" s="66">
        <v>45510</v>
      </c>
      <c r="N34" s="66">
        <v>45514</v>
      </c>
      <c r="O34" s="66">
        <v>45519</v>
      </c>
      <c r="P34" s="66">
        <v>45521</v>
      </c>
      <c r="Q34" s="66">
        <v>45525</v>
      </c>
      <c r="R34" s="66">
        <v>45527</v>
      </c>
      <c r="S34" s="66">
        <v>45528</v>
      </c>
      <c r="T34" s="66">
        <v>45532</v>
      </c>
      <c r="U34" s="75">
        <v>45535</v>
      </c>
      <c r="Y34" s="6" t="s">
        <v>4</v>
      </c>
      <c r="Z34" s="9">
        <v>45511</v>
      </c>
      <c r="AA34" s="4"/>
      <c r="AB34" s="4"/>
      <c r="AC34" s="4"/>
      <c r="AD34" s="4"/>
      <c r="AE34" s="5"/>
      <c r="AH34" s="6" t="s">
        <v>4</v>
      </c>
      <c r="AI34" s="9"/>
      <c r="AJ34" s="4"/>
      <c r="AK34" s="4"/>
      <c r="AL34" s="4"/>
      <c r="AM34" s="4"/>
      <c r="AN34" s="5"/>
    </row>
    <row r="35" spans="1:40" ht="15.75" thickBot="1" x14ac:dyDescent="0.3">
      <c r="A35" s="100"/>
      <c r="B35" s="26"/>
      <c r="C35" s="27"/>
      <c r="D35" s="27"/>
      <c r="E35" s="27">
        <v>10886</v>
      </c>
      <c r="F35" s="27">
        <f>SUM(C35-B35)</f>
        <v>0</v>
      </c>
      <c r="G35" s="20">
        <f>SUM(E35-D35)</f>
        <v>10886</v>
      </c>
      <c r="H35" s="21">
        <f>SUM(F35:G35)</f>
        <v>10886</v>
      </c>
      <c r="J35" s="7" t="s">
        <v>22</v>
      </c>
      <c r="K35" s="10"/>
      <c r="L35" s="11">
        <v>164.86</v>
      </c>
      <c r="M35" s="11">
        <v>161.35</v>
      </c>
      <c r="N35" s="11">
        <v>218.79</v>
      </c>
      <c r="O35" s="11">
        <v>187.67</v>
      </c>
      <c r="P35" s="11">
        <v>145.31</v>
      </c>
      <c r="Q35" s="11">
        <v>178.98</v>
      </c>
      <c r="R35" s="11">
        <v>73.61</v>
      </c>
      <c r="S35" s="11">
        <v>118.22</v>
      </c>
      <c r="T35" s="11">
        <v>165.05</v>
      </c>
      <c r="U35" s="12">
        <v>207.48</v>
      </c>
      <c r="Y35" s="7" t="s">
        <v>22</v>
      </c>
      <c r="Z35" s="10">
        <v>75</v>
      </c>
      <c r="AA35" s="11"/>
      <c r="AB35" s="11"/>
      <c r="AC35" s="11"/>
      <c r="AD35" s="11"/>
      <c r="AE35" s="12"/>
      <c r="AH35" s="7" t="s">
        <v>22</v>
      </c>
      <c r="AI35" s="10"/>
      <c r="AJ35" s="11"/>
      <c r="AK35" s="11"/>
      <c r="AL35" s="11"/>
      <c r="AM35" s="11"/>
      <c r="AN35" s="12"/>
    </row>
    <row r="36" spans="1:40" x14ac:dyDescent="0.25">
      <c r="J36" s="8"/>
      <c r="T36" s="8" t="s">
        <v>23</v>
      </c>
      <c r="U36" s="13">
        <f>SUM(K35:U35)</f>
        <v>1621.32</v>
      </c>
      <c r="AD36" s="8" t="s">
        <v>23</v>
      </c>
      <c r="AE36" s="13">
        <f>SUM(Z35:AE35)</f>
        <v>75</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v>45540</v>
      </c>
      <c r="L38" s="66">
        <v>45544</v>
      </c>
      <c r="M38" s="66">
        <v>45546</v>
      </c>
      <c r="N38" s="66">
        <v>45549</v>
      </c>
      <c r="O38" s="66">
        <v>45552</v>
      </c>
      <c r="P38" s="66">
        <v>45556</v>
      </c>
      <c r="Q38" s="66">
        <v>45563</v>
      </c>
      <c r="R38" s="4"/>
      <c r="S38" s="4"/>
      <c r="T38" s="4"/>
      <c r="U38" s="5"/>
      <c r="Y38" s="6" t="s">
        <v>4</v>
      </c>
      <c r="Z38" s="9">
        <v>45540</v>
      </c>
      <c r="AA38" s="66">
        <v>45551</v>
      </c>
      <c r="AB38" s="4"/>
      <c r="AC38" s="4"/>
      <c r="AD38" s="4"/>
      <c r="AE38" s="5"/>
      <c r="AH38" s="6" t="s">
        <v>4</v>
      </c>
      <c r="AI38" s="9"/>
      <c r="AJ38" s="4"/>
      <c r="AK38" s="4"/>
      <c r="AL38" s="4"/>
      <c r="AM38" s="4"/>
      <c r="AN38" s="5"/>
    </row>
    <row r="39" spans="1:40" ht="15.75" thickBot="1" x14ac:dyDescent="0.3">
      <c r="A39" s="100"/>
      <c r="B39" s="26">
        <v>10886</v>
      </c>
      <c r="C39" s="27"/>
      <c r="D39" s="27"/>
      <c r="E39" s="27">
        <v>13833</v>
      </c>
      <c r="F39" s="27">
        <f>SUM(C39-B39)</f>
        <v>-10886</v>
      </c>
      <c r="G39" s="20">
        <f>SUM(E39-D39)</f>
        <v>13833</v>
      </c>
      <c r="H39" s="21">
        <f>SUM(F39:G39)</f>
        <v>2947</v>
      </c>
      <c r="J39" s="7" t="s">
        <v>22</v>
      </c>
      <c r="K39" s="10">
        <v>118.22</v>
      </c>
      <c r="L39" s="11">
        <v>146.97</v>
      </c>
      <c r="M39" s="11">
        <v>164.8</v>
      </c>
      <c r="N39" s="11">
        <v>219.43</v>
      </c>
      <c r="O39" s="11">
        <v>195.85</v>
      </c>
      <c r="P39" s="11">
        <v>201.03</v>
      </c>
      <c r="Q39" s="11">
        <v>87.29</v>
      </c>
      <c r="R39" s="11"/>
      <c r="S39" s="11"/>
      <c r="T39" s="11"/>
      <c r="U39" s="12"/>
      <c r="Y39" s="7" t="s">
        <v>22</v>
      </c>
      <c r="Z39" s="10">
        <v>60</v>
      </c>
      <c r="AA39" s="11">
        <v>75</v>
      </c>
      <c r="AB39" s="11"/>
      <c r="AC39" s="11"/>
      <c r="AD39" s="11"/>
      <c r="AE39" s="12"/>
      <c r="AH39" s="7" t="s">
        <v>22</v>
      </c>
      <c r="AI39" s="10"/>
      <c r="AJ39" s="11"/>
      <c r="AK39" s="11"/>
      <c r="AL39" s="11"/>
      <c r="AM39" s="11"/>
      <c r="AN39" s="12"/>
    </row>
    <row r="40" spans="1:40" x14ac:dyDescent="0.25">
      <c r="J40" s="8"/>
      <c r="T40" s="8" t="s">
        <v>23</v>
      </c>
      <c r="U40" s="13">
        <f>SUM(K39:U39)</f>
        <v>1133.5900000000001</v>
      </c>
      <c r="AD40" s="8" t="s">
        <v>23</v>
      </c>
      <c r="AE40" s="13">
        <f>SUM(Z39:AE39)</f>
        <v>135</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34" t="s">
        <v>6</v>
      </c>
      <c r="C42" s="22" t="s">
        <v>7</v>
      </c>
      <c r="D42" s="33" t="s">
        <v>8</v>
      </c>
      <c r="E42" s="22" t="s">
        <v>9</v>
      </c>
      <c r="F42" s="24" t="s">
        <v>10</v>
      </c>
      <c r="G42" s="23" t="s">
        <v>11</v>
      </c>
      <c r="H42" s="25" t="s">
        <v>12</v>
      </c>
      <c r="J42" s="6" t="s">
        <v>4</v>
      </c>
      <c r="K42" s="9">
        <v>45594</v>
      </c>
      <c r="L42" s="66">
        <v>45590</v>
      </c>
      <c r="M42" s="66">
        <v>45587</v>
      </c>
      <c r="N42" s="66">
        <v>45584</v>
      </c>
      <c r="O42" s="66">
        <v>45580</v>
      </c>
      <c r="P42" s="66">
        <v>45596</v>
      </c>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100"/>
      <c r="B43" s="26">
        <v>13833</v>
      </c>
      <c r="C43" s="27"/>
      <c r="D43" s="27"/>
      <c r="E43" s="27">
        <v>15616</v>
      </c>
      <c r="F43" s="27">
        <f>SUM(C43-B43)</f>
        <v>-13833</v>
      </c>
      <c r="G43" s="20">
        <f>SUM(E43-D43)</f>
        <v>15616</v>
      </c>
      <c r="H43" s="21">
        <f>SUM(F43:G43)</f>
        <v>1783</v>
      </c>
      <c r="J43" s="7" t="s">
        <v>22</v>
      </c>
      <c r="K43" s="10">
        <v>227.1</v>
      </c>
      <c r="L43" s="11">
        <v>235.02</v>
      </c>
      <c r="M43" s="11">
        <v>140.9</v>
      </c>
      <c r="N43" s="11">
        <v>172.53</v>
      </c>
      <c r="O43" s="11">
        <v>108.63</v>
      </c>
      <c r="P43" s="11">
        <v>281.02999999999997</v>
      </c>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1165.21</v>
      </c>
      <c r="AD44" s="8" t="s">
        <v>23</v>
      </c>
      <c r="AE44" s="13">
        <f>SUM(Z43:AE43)</f>
        <v>0</v>
      </c>
      <c r="AM44" s="8" t="s">
        <v>23</v>
      </c>
      <c r="AN44" s="13">
        <f>SUM(AI43:AN43)</f>
        <v>0</v>
      </c>
    </row>
    <row r="45" spans="1:40" ht="15.75" thickBot="1" x14ac:dyDescent="0.3">
      <c r="A45" s="19"/>
      <c r="B45" s="101" t="s">
        <v>136</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v>45601</v>
      </c>
      <c r="L46" s="66">
        <v>45603</v>
      </c>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100"/>
      <c r="B47" s="26"/>
      <c r="C47" s="27"/>
      <c r="D47" s="27">
        <v>35</v>
      </c>
      <c r="E47" s="27">
        <v>1291</v>
      </c>
      <c r="F47" s="27">
        <f>SUM(C47-B47)</f>
        <v>0</v>
      </c>
      <c r="G47" s="20">
        <f>SUM(E47-D47)</f>
        <v>1256</v>
      </c>
      <c r="H47" s="21">
        <f>SUM(F47:G47)</f>
        <v>1256</v>
      </c>
      <c r="J47" s="7" t="s">
        <v>22</v>
      </c>
      <c r="K47" s="10">
        <v>222.31</v>
      </c>
      <c r="L47" s="11">
        <v>234.07</v>
      </c>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456.38</v>
      </c>
      <c r="AD48" s="8" t="s">
        <v>23</v>
      </c>
      <c r="AE48" s="13">
        <f>SUM(Z47:AE47)</f>
        <v>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100"/>
      <c r="B51" s="26">
        <v>1291</v>
      </c>
      <c r="C51" s="27"/>
      <c r="D51" s="27"/>
      <c r="E51" s="27">
        <v>8293</v>
      </c>
      <c r="F51" s="27">
        <f>SUM(C51-B51)</f>
        <v>-1291</v>
      </c>
      <c r="G51" s="20">
        <f>SUM(E51-D51)</f>
        <v>8293</v>
      </c>
      <c r="H51" s="21">
        <f>SUM(F51:G51)</f>
        <v>7002</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row r="53" spans="1:40" ht="15.75" thickBot="1" x14ac:dyDescent="0.3">
      <c r="A53" s="19">
        <v>2025</v>
      </c>
      <c r="B53" s="121" t="s">
        <v>141</v>
      </c>
      <c r="C53" s="101"/>
      <c r="D53" s="101"/>
      <c r="E53" s="101"/>
      <c r="F53" s="101"/>
      <c r="G53" s="101"/>
      <c r="H53" s="101"/>
      <c r="J53" s="102" t="s">
        <v>142</v>
      </c>
      <c r="K53" s="102"/>
      <c r="L53" s="102"/>
      <c r="M53" s="102"/>
      <c r="N53" s="102"/>
      <c r="O53" s="102"/>
      <c r="P53" s="102"/>
      <c r="Q53" s="102"/>
      <c r="R53" s="102"/>
      <c r="S53" s="102"/>
      <c r="T53" s="102"/>
      <c r="U53" s="102"/>
      <c r="Y53" s="103" t="s">
        <v>141</v>
      </c>
      <c r="Z53" s="103"/>
      <c r="AA53" s="103"/>
      <c r="AB53" s="103"/>
      <c r="AC53" s="103"/>
      <c r="AD53" s="103"/>
      <c r="AE53" s="103"/>
      <c r="AH53" s="104" t="s">
        <v>141</v>
      </c>
      <c r="AI53" s="104"/>
      <c r="AJ53" s="104"/>
      <c r="AK53" s="104"/>
      <c r="AL53" s="104"/>
      <c r="AM53" s="104"/>
      <c r="AN53" s="104"/>
    </row>
    <row r="54" spans="1:40" ht="15.75" thickBot="1" x14ac:dyDescent="0.3">
      <c r="A54" s="100" t="s">
        <v>5</v>
      </c>
      <c r="B54" s="34" t="s">
        <v>6</v>
      </c>
      <c r="C54" s="22" t="s">
        <v>7</v>
      </c>
      <c r="D54" s="33" t="s">
        <v>8</v>
      </c>
      <c r="E54" s="22" t="s">
        <v>9</v>
      </c>
      <c r="F54" s="24" t="s">
        <v>10</v>
      </c>
      <c r="G54" s="23" t="s">
        <v>11</v>
      </c>
      <c r="H54" s="25" t="s">
        <v>12</v>
      </c>
      <c r="J54" s="6" t="s">
        <v>4</v>
      </c>
      <c r="K54" s="9">
        <v>45659</v>
      </c>
      <c r="L54" s="66">
        <v>45667</v>
      </c>
      <c r="M54" s="66">
        <v>45673</v>
      </c>
      <c r="N54" s="4"/>
      <c r="O54" s="4"/>
      <c r="P54" s="4"/>
      <c r="Q54" s="4"/>
      <c r="R54" s="4"/>
      <c r="S54" s="4"/>
      <c r="T54" s="4"/>
      <c r="U54" s="5"/>
      <c r="Y54" s="6" t="s">
        <v>4</v>
      </c>
      <c r="Z54" s="9">
        <v>45668</v>
      </c>
      <c r="AA54" s="66">
        <v>45682</v>
      </c>
      <c r="AB54" s="66">
        <v>45686</v>
      </c>
      <c r="AC54" s="4"/>
      <c r="AD54" s="4"/>
      <c r="AE54" s="5"/>
      <c r="AH54" s="6" t="s">
        <v>4</v>
      </c>
      <c r="AI54" s="9"/>
      <c r="AJ54" s="4"/>
      <c r="AK54" s="4"/>
      <c r="AL54" s="4"/>
      <c r="AM54" s="4"/>
      <c r="AN54" s="5"/>
    </row>
    <row r="55" spans="1:40" ht="15.75" thickBot="1" x14ac:dyDescent="0.3">
      <c r="A55" s="100"/>
      <c r="B55" s="26">
        <v>8293</v>
      </c>
      <c r="C55" s="27">
        <v>9559</v>
      </c>
      <c r="D55" s="27">
        <v>9559</v>
      </c>
      <c r="E55" s="27">
        <v>11670</v>
      </c>
      <c r="F55" s="27">
        <f>SUM(C55-B55)</f>
        <v>1266</v>
      </c>
      <c r="G55" s="20">
        <f>SUM(E55-D55)</f>
        <v>2111</v>
      </c>
      <c r="H55" s="21">
        <f>SUM(F55:G55)</f>
        <v>3377</v>
      </c>
      <c r="J55" s="7" t="s">
        <v>22</v>
      </c>
      <c r="K55" s="10">
        <v>502.5</v>
      </c>
      <c r="L55" s="11">
        <v>508.12</v>
      </c>
      <c r="M55" s="11">
        <v>409.3</v>
      </c>
      <c r="N55" s="11"/>
      <c r="O55" s="11"/>
      <c r="P55" s="11"/>
      <c r="Q55" s="11"/>
      <c r="R55" s="11"/>
      <c r="S55" s="11"/>
      <c r="T55" s="11"/>
      <c r="U55" s="12"/>
      <c r="Y55" s="7" t="s">
        <v>22</v>
      </c>
      <c r="Z55" s="10">
        <v>80</v>
      </c>
      <c r="AA55" s="11">
        <v>80</v>
      </c>
      <c r="AB55" s="11">
        <v>80</v>
      </c>
      <c r="AC55" s="11"/>
      <c r="AD55" s="11"/>
      <c r="AE55" s="12"/>
      <c r="AH55" s="7" t="s">
        <v>22</v>
      </c>
      <c r="AI55" s="10"/>
      <c r="AJ55" s="11"/>
      <c r="AK55" s="11"/>
      <c r="AL55" s="11"/>
      <c r="AM55" s="11"/>
      <c r="AN55" s="12"/>
    </row>
    <row r="56" spans="1:40" x14ac:dyDescent="0.25">
      <c r="J56" s="8"/>
      <c r="T56" s="8" t="s">
        <v>23</v>
      </c>
      <c r="U56" s="13">
        <f>SUM(K55:U55)</f>
        <v>1419.92</v>
      </c>
      <c r="AD56" s="8" t="s">
        <v>23</v>
      </c>
      <c r="AE56" s="13">
        <f>SUM(Z55:AE55)</f>
        <v>240</v>
      </c>
      <c r="AM56" s="8" t="s">
        <v>23</v>
      </c>
      <c r="AN56" s="13">
        <f>SUM(AI55:AN55)</f>
        <v>0</v>
      </c>
    </row>
    <row r="57" spans="1:40" ht="15.75" thickBot="1" x14ac:dyDescent="0.3">
      <c r="A57" s="19">
        <v>2026</v>
      </c>
      <c r="B57" s="121" t="s">
        <v>3</v>
      </c>
      <c r="C57" s="101"/>
      <c r="D57" s="101"/>
      <c r="E57" s="101"/>
      <c r="F57" s="101"/>
      <c r="G57" s="101"/>
      <c r="H57" s="101"/>
      <c r="J57" s="102" t="s">
        <v>3</v>
      </c>
      <c r="K57" s="102"/>
      <c r="L57" s="102"/>
      <c r="M57" s="102"/>
      <c r="N57" s="102"/>
      <c r="O57" s="102"/>
      <c r="P57" s="102"/>
      <c r="Q57" s="102"/>
      <c r="R57" s="102"/>
      <c r="S57" s="102"/>
      <c r="T57" s="102"/>
      <c r="U57" s="102"/>
      <c r="Y57" s="103" t="s">
        <v>141</v>
      </c>
      <c r="Z57" s="103"/>
      <c r="AA57" s="103"/>
      <c r="AB57" s="103"/>
      <c r="AC57" s="103"/>
      <c r="AD57" s="103"/>
      <c r="AE57" s="103"/>
      <c r="AH57" s="104" t="s">
        <v>141</v>
      </c>
      <c r="AI57" s="104"/>
      <c r="AJ57" s="104"/>
      <c r="AK57" s="104"/>
      <c r="AL57" s="104"/>
      <c r="AM57" s="104"/>
      <c r="AN57" s="104"/>
    </row>
    <row r="58" spans="1:40" ht="15.75" thickBot="1" x14ac:dyDescent="0.3">
      <c r="A58" s="100" t="s">
        <v>5</v>
      </c>
      <c r="B58" s="34" t="s">
        <v>6</v>
      </c>
      <c r="C58" s="22" t="s">
        <v>7</v>
      </c>
      <c r="D58" s="33" t="s">
        <v>8</v>
      </c>
      <c r="E58" s="22" t="s">
        <v>9</v>
      </c>
      <c r="F58" s="24" t="s">
        <v>10</v>
      </c>
      <c r="G58" s="23" t="s">
        <v>11</v>
      </c>
      <c r="H58" s="25" t="s">
        <v>12</v>
      </c>
      <c r="J58" s="6" t="s">
        <v>4</v>
      </c>
      <c r="K58" s="9">
        <v>45689</v>
      </c>
      <c r="L58" s="66">
        <v>45693</v>
      </c>
      <c r="M58" s="66">
        <v>45694</v>
      </c>
      <c r="N58" s="66">
        <v>45699</v>
      </c>
      <c r="O58" s="66">
        <v>45702</v>
      </c>
      <c r="P58" s="66">
        <v>45708</v>
      </c>
      <c r="Q58" s="66">
        <v>45713</v>
      </c>
      <c r="R58" s="66">
        <v>45715</v>
      </c>
      <c r="S58" s="4"/>
      <c r="T58" s="4"/>
      <c r="U58" s="5"/>
      <c r="Y58" s="6" t="s">
        <v>4</v>
      </c>
      <c r="Z58" s="9"/>
      <c r="AA58" s="4"/>
      <c r="AB58" s="4"/>
      <c r="AC58" s="4"/>
      <c r="AD58" s="4"/>
      <c r="AE58" s="5"/>
      <c r="AH58" s="6" t="s">
        <v>4</v>
      </c>
      <c r="AI58" s="9"/>
      <c r="AJ58" s="4"/>
      <c r="AK58" s="4"/>
      <c r="AL58" s="4"/>
      <c r="AM58" s="4"/>
      <c r="AN58" s="5"/>
    </row>
    <row r="59" spans="1:40" ht="15.75" thickBot="1" x14ac:dyDescent="0.3">
      <c r="A59" s="100"/>
      <c r="B59" s="26">
        <v>11726</v>
      </c>
      <c r="C59" s="27">
        <v>14798</v>
      </c>
      <c r="D59" s="27">
        <v>14798</v>
      </c>
      <c r="E59" s="27">
        <v>16752</v>
      </c>
      <c r="F59" s="27">
        <f>SUM(C59-B59)</f>
        <v>3072</v>
      </c>
      <c r="G59" s="20">
        <f>SUM(E59-D59)</f>
        <v>1954</v>
      </c>
      <c r="H59" s="21">
        <f>SUM(F59:G59)</f>
        <v>5026</v>
      </c>
      <c r="J59" s="7" t="s">
        <v>22</v>
      </c>
      <c r="K59" s="10">
        <v>435.65</v>
      </c>
      <c r="L59" s="11">
        <v>427.84</v>
      </c>
      <c r="M59" s="11">
        <v>216.26</v>
      </c>
      <c r="N59" s="11">
        <v>551.82000000000005</v>
      </c>
      <c r="O59" s="11">
        <v>446.84</v>
      </c>
      <c r="P59" s="11">
        <v>478.42</v>
      </c>
      <c r="Q59" s="11">
        <v>545.57000000000005</v>
      </c>
      <c r="R59" s="11">
        <v>428.4</v>
      </c>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3530.8000000000006</v>
      </c>
      <c r="AD60" s="8" t="s">
        <v>23</v>
      </c>
      <c r="AE60" s="13">
        <f>SUM(Z59:AE59)</f>
        <v>0</v>
      </c>
      <c r="AM60" s="8" t="s">
        <v>23</v>
      </c>
      <c r="AN60" s="13">
        <f>SUM(AI59:AN59)</f>
        <v>0</v>
      </c>
    </row>
    <row r="61" spans="1:40" ht="15.75" thickBot="1" x14ac:dyDescent="0.3">
      <c r="A61" s="19" t="s">
        <v>182</v>
      </c>
      <c r="B61" s="101" t="s">
        <v>13</v>
      </c>
      <c r="C61" s="101"/>
      <c r="D61" s="101"/>
      <c r="E61" s="101"/>
      <c r="F61" s="101"/>
      <c r="G61" s="101"/>
      <c r="H61" s="101"/>
      <c r="J61" s="102" t="s">
        <v>13</v>
      </c>
      <c r="K61" s="102"/>
      <c r="L61" s="102"/>
      <c r="M61" s="102"/>
      <c r="N61" s="102"/>
      <c r="O61" s="102"/>
      <c r="P61" s="102"/>
      <c r="Q61" s="102"/>
      <c r="R61" s="102"/>
      <c r="S61" s="102"/>
      <c r="T61" s="102"/>
      <c r="U61" s="102"/>
      <c r="Y61" s="103" t="str">
        <f>J61</f>
        <v>Março</v>
      </c>
      <c r="Z61" s="103"/>
      <c r="AA61" s="103"/>
      <c r="AB61" s="103"/>
      <c r="AC61" s="103"/>
      <c r="AD61" s="103"/>
      <c r="AE61" s="103"/>
      <c r="AH61" s="104" t="str">
        <f>Y61</f>
        <v>Março</v>
      </c>
      <c r="AI61" s="104"/>
      <c r="AJ61" s="104"/>
      <c r="AK61" s="104"/>
      <c r="AL61" s="104"/>
      <c r="AM61" s="104"/>
      <c r="AN61" s="104"/>
    </row>
    <row r="62" spans="1:40" ht="15.75" thickBot="1" x14ac:dyDescent="0.3">
      <c r="A62" s="100" t="s">
        <v>5</v>
      </c>
      <c r="B62" s="34" t="s">
        <v>6</v>
      </c>
      <c r="C62" s="22" t="s">
        <v>7</v>
      </c>
      <c r="D62" s="33" t="s">
        <v>8</v>
      </c>
      <c r="E62" s="22" t="s">
        <v>9</v>
      </c>
      <c r="F62" s="24" t="s">
        <v>10</v>
      </c>
      <c r="G62" s="23" t="s">
        <v>11</v>
      </c>
      <c r="H62" s="25" t="s">
        <v>12</v>
      </c>
      <c r="J62" s="6" t="s">
        <v>4</v>
      </c>
      <c r="K62" s="9"/>
      <c r="L62" s="4"/>
      <c r="M62" s="4"/>
      <c r="N62" s="4"/>
      <c r="O62" s="4"/>
      <c r="P62" s="4"/>
      <c r="Q62" s="4"/>
      <c r="R62" s="4"/>
      <c r="S62" s="4"/>
      <c r="T62" s="4"/>
      <c r="U62" s="5"/>
      <c r="Y62" s="6" t="s">
        <v>4</v>
      </c>
      <c r="Z62" s="9">
        <v>45731</v>
      </c>
      <c r="AA62" s="66">
        <v>45744</v>
      </c>
      <c r="AB62" s="4"/>
      <c r="AC62" s="4"/>
      <c r="AD62" s="4"/>
      <c r="AE62" s="5"/>
      <c r="AH62" s="6" t="s">
        <v>4</v>
      </c>
      <c r="AI62" s="9"/>
      <c r="AJ62" s="4"/>
      <c r="AK62" s="4"/>
      <c r="AL62" s="4"/>
      <c r="AM62" s="4"/>
      <c r="AN62" s="5"/>
    </row>
    <row r="63" spans="1:40" ht="15.75" thickBot="1" x14ac:dyDescent="0.3">
      <c r="A63" s="100"/>
      <c r="B63" s="26">
        <v>16752</v>
      </c>
      <c r="C63" s="27">
        <v>17661</v>
      </c>
      <c r="D63" s="27">
        <v>18868</v>
      </c>
      <c r="E63" s="27">
        <v>19067</v>
      </c>
      <c r="F63" s="27">
        <f>SUM(C63-B63)</f>
        <v>909</v>
      </c>
      <c r="G63" s="20">
        <f>SUM(E63-D63)</f>
        <v>199</v>
      </c>
      <c r="H63" s="21">
        <f>SUM(F63:G63)</f>
        <v>1108</v>
      </c>
      <c r="J63" s="7" t="s">
        <v>22</v>
      </c>
      <c r="K63" s="10"/>
      <c r="L63" s="11"/>
      <c r="M63" s="11"/>
      <c r="N63" s="11"/>
      <c r="O63" s="11"/>
      <c r="P63" s="11"/>
      <c r="Q63" s="11"/>
      <c r="R63" s="11"/>
      <c r="S63" s="11"/>
      <c r="T63" s="11"/>
      <c r="U63" s="12"/>
      <c r="Y63" s="7" t="s">
        <v>22</v>
      </c>
      <c r="Z63" s="10">
        <v>80</v>
      </c>
      <c r="AA63" s="11">
        <v>610</v>
      </c>
      <c r="AB63" s="11"/>
      <c r="AC63" s="11"/>
      <c r="AD63" s="11"/>
      <c r="AE63" s="12"/>
      <c r="AH63" s="7" t="s">
        <v>22</v>
      </c>
      <c r="AI63" s="10"/>
      <c r="AJ63" s="11"/>
      <c r="AK63" s="11"/>
      <c r="AL63" s="11"/>
      <c r="AM63" s="11"/>
      <c r="AN63" s="12"/>
    </row>
    <row r="64" spans="1:40" x14ac:dyDescent="0.25">
      <c r="J64" s="8"/>
      <c r="T64" s="8" t="s">
        <v>23</v>
      </c>
      <c r="U64" s="13">
        <f>SUM(K63:U63)</f>
        <v>0</v>
      </c>
      <c r="AD64" s="8" t="s">
        <v>23</v>
      </c>
      <c r="AE64" s="13">
        <f>SUM(Z63:AE63)</f>
        <v>690</v>
      </c>
      <c r="AM64" s="8" t="s">
        <v>23</v>
      </c>
      <c r="AN64" s="13">
        <f>SUM(AI63:AN63)</f>
        <v>0</v>
      </c>
    </row>
    <row r="65" spans="1:40" ht="15.75" thickBot="1" x14ac:dyDescent="0.3">
      <c r="A65" s="19"/>
      <c r="B65" s="101" t="s">
        <v>14</v>
      </c>
      <c r="C65" s="101"/>
      <c r="D65" s="101"/>
      <c r="E65" s="101"/>
      <c r="F65" s="101"/>
      <c r="G65" s="101"/>
      <c r="H65" s="101"/>
      <c r="J65" s="102" t="s">
        <v>14</v>
      </c>
      <c r="K65" s="102"/>
      <c r="L65" s="102"/>
      <c r="M65" s="102"/>
      <c r="N65" s="102"/>
      <c r="O65" s="102"/>
      <c r="P65" s="102"/>
      <c r="Q65" s="102"/>
      <c r="R65" s="102"/>
      <c r="S65" s="102"/>
      <c r="T65" s="102"/>
      <c r="U65" s="102"/>
      <c r="Y65" s="103" t="str">
        <f>J65</f>
        <v>Abril</v>
      </c>
      <c r="Z65" s="103"/>
      <c r="AA65" s="103"/>
      <c r="AB65" s="103"/>
      <c r="AC65" s="103"/>
      <c r="AD65" s="103"/>
      <c r="AE65" s="103"/>
      <c r="AH65" s="104" t="str">
        <f>Y65</f>
        <v>Abril</v>
      </c>
      <c r="AI65" s="104"/>
      <c r="AJ65" s="104"/>
      <c r="AK65" s="104"/>
      <c r="AL65" s="104"/>
      <c r="AM65" s="104"/>
      <c r="AN65" s="104"/>
    </row>
    <row r="66" spans="1:40" ht="15.75" thickBot="1" x14ac:dyDescent="0.3">
      <c r="A66" s="100"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100"/>
      <c r="B67" s="26"/>
      <c r="C67" s="27"/>
      <c r="D67" s="27"/>
      <c r="E67" s="27"/>
      <c r="F67" s="27">
        <f>SUM(C67-B67)</f>
        <v>0</v>
      </c>
      <c r="G67" s="20">
        <f>SUM(E67-D67)</f>
        <v>0</v>
      </c>
      <c r="H67" s="21">
        <f>SUM(F67:G67)</f>
        <v>0</v>
      </c>
      <c r="J67" s="7" t="s">
        <v>22</v>
      </c>
      <c r="K67" s="30"/>
      <c r="L67" s="31"/>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0</v>
      </c>
      <c r="AD68" s="8" t="s">
        <v>23</v>
      </c>
      <c r="AE68" s="13">
        <f>SUM(Z67:AE67)</f>
        <v>0</v>
      </c>
      <c r="AM68" s="8" t="s">
        <v>23</v>
      </c>
      <c r="AN68" s="13">
        <f>SUM(AI67:AN67)</f>
        <v>0</v>
      </c>
    </row>
    <row r="69" spans="1:40" ht="15.75" thickBot="1" x14ac:dyDescent="0.3">
      <c r="A69" s="19"/>
      <c r="B69" s="101" t="s">
        <v>15</v>
      </c>
      <c r="C69" s="101"/>
      <c r="D69" s="101"/>
      <c r="E69" s="101"/>
      <c r="F69" s="101"/>
      <c r="G69" s="101"/>
      <c r="H69" s="101"/>
      <c r="J69" s="102" t="s">
        <v>15</v>
      </c>
      <c r="K69" s="102"/>
      <c r="L69" s="102"/>
      <c r="M69" s="102"/>
      <c r="N69" s="102"/>
      <c r="O69" s="102"/>
      <c r="P69" s="102"/>
      <c r="Q69" s="102"/>
      <c r="R69" s="102"/>
      <c r="S69" s="102"/>
      <c r="T69" s="102"/>
      <c r="U69" s="102"/>
      <c r="Y69" s="103" t="str">
        <f>J69</f>
        <v>Maio</v>
      </c>
      <c r="Z69" s="103"/>
      <c r="AA69" s="103"/>
      <c r="AB69" s="103"/>
      <c r="AC69" s="103"/>
      <c r="AD69" s="103"/>
      <c r="AE69" s="103"/>
      <c r="AH69" s="104" t="str">
        <f>Y69</f>
        <v>Maio</v>
      </c>
      <c r="AI69" s="104"/>
      <c r="AJ69" s="104"/>
      <c r="AK69" s="104"/>
      <c r="AL69" s="104"/>
      <c r="AM69" s="104"/>
      <c r="AN69" s="104"/>
    </row>
    <row r="70" spans="1:40" ht="15.75" thickBot="1" x14ac:dyDescent="0.3">
      <c r="A70" s="100"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100"/>
      <c r="B71" s="26"/>
      <c r="C71" s="27"/>
      <c r="D71" s="27"/>
      <c r="E71" s="27"/>
      <c r="F71" s="27">
        <f>SUM(C71-B71)</f>
        <v>0</v>
      </c>
      <c r="G71" s="20">
        <f>SUM(E71-D71)</f>
        <v>0</v>
      </c>
      <c r="H71" s="21">
        <f>SUM(F71:G71)</f>
        <v>0</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101" t="s">
        <v>24</v>
      </c>
      <c r="C73" s="101"/>
      <c r="D73" s="101"/>
      <c r="E73" s="101"/>
      <c r="F73" s="101"/>
      <c r="G73" s="101"/>
      <c r="H73" s="101"/>
      <c r="J73" s="102" t="s">
        <v>24</v>
      </c>
      <c r="K73" s="102"/>
      <c r="L73" s="102"/>
      <c r="M73" s="102"/>
      <c r="N73" s="102"/>
      <c r="O73" s="102"/>
      <c r="P73" s="102"/>
      <c r="Q73" s="102"/>
      <c r="R73" s="102"/>
      <c r="S73" s="102"/>
      <c r="T73" s="102"/>
      <c r="U73" s="102"/>
      <c r="Y73" s="103" t="str">
        <f>J73</f>
        <v>Junho</v>
      </c>
      <c r="Z73" s="103"/>
      <c r="AA73" s="103"/>
      <c r="AB73" s="103"/>
      <c r="AC73" s="103"/>
      <c r="AD73" s="103"/>
      <c r="AE73" s="103"/>
      <c r="AH73" s="104" t="str">
        <f>Y73</f>
        <v>Junho</v>
      </c>
      <c r="AI73" s="104"/>
      <c r="AJ73" s="104"/>
      <c r="AK73" s="104"/>
      <c r="AL73" s="104"/>
      <c r="AM73" s="104"/>
      <c r="AN73" s="104"/>
    </row>
    <row r="74" spans="1:40" ht="15.75" thickBot="1" x14ac:dyDescent="0.3">
      <c r="A74" s="100"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100"/>
      <c r="B75" s="26"/>
      <c r="C75" s="27"/>
      <c r="D75" s="27"/>
      <c r="E75" s="27"/>
      <c r="F75" s="27">
        <f>SUM(C75-B75)</f>
        <v>0</v>
      </c>
      <c r="G75" s="20">
        <f>SUM(E75-D75)</f>
        <v>0</v>
      </c>
      <c r="H75" s="21">
        <f>SUM(F75:G75)</f>
        <v>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sheetData>
  <mergeCells count="93">
    <mergeCell ref="B57:H57"/>
    <mergeCell ref="J57:U57"/>
    <mergeCell ref="Y57:AE57"/>
    <mergeCell ref="AH57:AN57"/>
    <mergeCell ref="A58:A59"/>
    <mergeCell ref="B2:C2"/>
    <mergeCell ref="E2:F2"/>
    <mergeCell ref="B4:C4"/>
    <mergeCell ref="E4:F4"/>
    <mergeCell ref="A7:H7"/>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J53:U53"/>
    <mergeCell ref="Y53:AE53"/>
    <mergeCell ref="AH53:AN53"/>
    <mergeCell ref="A54:A55"/>
    <mergeCell ref="B53:H53"/>
    <mergeCell ref="B61:H61"/>
    <mergeCell ref="J61:U61"/>
    <mergeCell ref="Y61:AE61"/>
    <mergeCell ref="AH61:AN61"/>
    <mergeCell ref="A62:A63"/>
    <mergeCell ref="B65:H65"/>
    <mergeCell ref="J65:U65"/>
    <mergeCell ref="Y65:AE65"/>
    <mergeCell ref="AH65:AN65"/>
    <mergeCell ref="A66:A67"/>
    <mergeCell ref="B69:H69"/>
    <mergeCell ref="J69:U69"/>
    <mergeCell ref="Y69:AE69"/>
    <mergeCell ref="AH69:AN69"/>
    <mergeCell ref="A70:A71"/>
    <mergeCell ref="B73:H73"/>
    <mergeCell ref="J73:U73"/>
    <mergeCell ref="Y73:AE73"/>
    <mergeCell ref="AH73:AN73"/>
    <mergeCell ref="A74:A75"/>
  </mergeCells>
  <phoneticPr fontId="3" type="noConversion"/>
  <pageMargins left="0.511811024" right="0.511811024" top="0.78740157499999996" bottom="0.78740157499999996" header="0.31496062000000002" footer="0.31496062000000002"/>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K61"/>
  <sheetViews>
    <sheetView showGridLines="0" topLeftCell="C37" workbookViewId="0">
      <selection activeCell="X61" sqref="X6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140625" customWidth="1"/>
    <col min="10" max="10" width="13.42578125" bestFit="1" customWidth="1"/>
    <col min="11" max="13" width="10.42578125" bestFit="1" customWidth="1"/>
    <col min="14" max="14" width="10.42578125" customWidth="1"/>
    <col min="15" max="17" width="10.42578125" bestFit="1" customWidth="1"/>
    <col min="21" max="21" width="12.140625" bestFit="1" customWidth="1"/>
    <col min="24" max="26" width="10.42578125" bestFit="1" customWidth="1"/>
    <col min="27" max="27" width="10.5703125" bestFit="1" customWidth="1"/>
    <col min="29" max="29" width="12.140625" bestFit="1" customWidth="1"/>
    <col min="34" max="34" width="10.140625" bestFit="1" customWidth="1"/>
    <col min="35" max="35" width="13.28515625" bestFit="1" customWidth="1"/>
    <col min="36" max="36" width="10.140625" bestFit="1" customWidth="1"/>
    <col min="37" max="37" width="13.28515625" bestFit="1" customWidth="1"/>
  </cols>
  <sheetData>
    <row r="2" spans="1:37" x14ac:dyDescent="0.25">
      <c r="A2" t="s">
        <v>0</v>
      </c>
      <c r="B2" s="107" t="s">
        <v>112</v>
      </c>
      <c r="C2" s="107"/>
      <c r="D2" s="1" t="s">
        <v>1</v>
      </c>
      <c r="E2" s="107" t="s">
        <v>113</v>
      </c>
      <c r="F2" s="107"/>
      <c r="H2" t="s">
        <v>45</v>
      </c>
      <c r="I2" s="54">
        <v>5200</v>
      </c>
    </row>
    <row r="4" spans="1:37" x14ac:dyDescent="0.25">
      <c r="A4" t="s">
        <v>148</v>
      </c>
      <c r="B4" s="119">
        <v>45660</v>
      </c>
      <c r="C4" s="120"/>
      <c r="D4" s="1" t="s">
        <v>1</v>
      </c>
      <c r="E4" s="120" t="s">
        <v>150</v>
      </c>
      <c r="F4" s="120"/>
      <c r="H4" t="s">
        <v>149</v>
      </c>
      <c r="I4" s="86">
        <v>45712</v>
      </c>
    </row>
    <row r="5" spans="1:37" x14ac:dyDescent="0.25">
      <c r="A5" t="s">
        <v>2</v>
      </c>
      <c r="B5" s="108">
        <v>2363</v>
      </c>
      <c r="C5" s="108"/>
      <c r="D5" s="1" t="s">
        <v>29</v>
      </c>
      <c r="E5" s="107">
        <v>40</v>
      </c>
      <c r="F5" s="107"/>
      <c r="H5" t="s">
        <v>64</v>
      </c>
      <c r="I5" s="67">
        <v>45335</v>
      </c>
    </row>
    <row r="8" spans="1:37" ht="21" x14ac:dyDescent="0.35">
      <c r="A8" s="109" t="s">
        <v>28</v>
      </c>
      <c r="B8" s="109"/>
      <c r="C8" s="109"/>
      <c r="D8" s="109"/>
      <c r="E8" s="109"/>
      <c r="F8" s="109"/>
      <c r="G8" s="109"/>
      <c r="H8" s="109"/>
      <c r="J8" s="106" t="s">
        <v>26</v>
      </c>
      <c r="K8" s="106"/>
      <c r="L8" s="106"/>
      <c r="M8" s="106"/>
      <c r="N8" s="106"/>
      <c r="O8" s="106"/>
      <c r="P8" s="106"/>
      <c r="Q8" s="106"/>
      <c r="R8" s="106"/>
      <c r="S8" s="106"/>
      <c r="T8" s="106"/>
      <c r="U8" s="106"/>
      <c r="V8" s="2"/>
      <c r="W8" s="105" t="s">
        <v>25</v>
      </c>
      <c r="X8" s="105"/>
      <c r="Y8" s="105"/>
      <c r="Z8" s="105"/>
      <c r="AA8" s="105"/>
      <c r="AB8" s="105"/>
      <c r="AC8" s="105"/>
      <c r="AD8" s="2"/>
      <c r="AE8" s="105" t="s">
        <v>27</v>
      </c>
      <c r="AF8" s="105"/>
      <c r="AG8" s="105"/>
      <c r="AH8" s="105"/>
      <c r="AI8" s="105"/>
      <c r="AJ8" s="105"/>
      <c r="AK8" s="105"/>
    </row>
    <row r="9" spans="1:37" s="15" customFormat="1" ht="21" x14ac:dyDescent="0.35">
      <c r="A9" s="14"/>
      <c r="B9" s="14"/>
      <c r="C9" s="14"/>
      <c r="D9" s="14"/>
      <c r="E9" s="14"/>
      <c r="F9" s="14"/>
      <c r="G9" s="14"/>
      <c r="H9" s="14"/>
      <c r="J9" s="16"/>
      <c r="K9" s="16"/>
      <c r="L9" s="16"/>
      <c r="M9" s="16"/>
      <c r="N9" s="16"/>
      <c r="O9" s="16"/>
      <c r="P9" s="16"/>
      <c r="Q9" s="16"/>
      <c r="R9" s="16"/>
      <c r="S9" s="16"/>
      <c r="T9" s="16"/>
      <c r="U9" s="16"/>
      <c r="V9" s="17"/>
      <c r="W9" s="18"/>
      <c r="X9" s="18"/>
      <c r="Y9" s="18"/>
      <c r="Z9" s="18"/>
      <c r="AA9" s="18"/>
      <c r="AB9" s="18"/>
      <c r="AC9" s="18"/>
      <c r="AD9" s="17"/>
      <c r="AE9" s="18"/>
      <c r="AF9" s="18"/>
      <c r="AG9" s="18"/>
      <c r="AH9" s="18"/>
      <c r="AI9" s="18"/>
      <c r="AJ9" s="18"/>
      <c r="AK9" s="18"/>
    </row>
    <row r="10" spans="1:37" ht="15.75" thickBot="1" x14ac:dyDescent="0.3">
      <c r="A10" s="19"/>
      <c r="B10" s="101" t="s">
        <v>3</v>
      </c>
      <c r="C10" s="101"/>
      <c r="D10" s="101"/>
      <c r="E10" s="101"/>
      <c r="F10" s="101"/>
      <c r="G10" s="101"/>
      <c r="H10" s="101"/>
      <c r="J10" s="102" t="s">
        <v>3</v>
      </c>
      <c r="K10" s="102"/>
      <c r="L10" s="102"/>
      <c r="M10" s="102"/>
      <c r="N10" s="102"/>
      <c r="O10" s="102"/>
      <c r="P10" s="102"/>
      <c r="Q10" s="102"/>
      <c r="R10" s="102"/>
      <c r="S10" s="102"/>
      <c r="T10" s="102"/>
      <c r="U10" s="102"/>
      <c r="W10" s="103" t="s">
        <v>3</v>
      </c>
      <c r="X10" s="103"/>
      <c r="Y10" s="103"/>
      <c r="Z10" s="103"/>
      <c r="AA10" s="103"/>
      <c r="AB10" s="103"/>
      <c r="AC10" s="103"/>
      <c r="AE10" s="104" t="s">
        <v>3</v>
      </c>
      <c r="AF10" s="104"/>
      <c r="AG10" s="104"/>
      <c r="AH10" s="104"/>
      <c r="AI10" s="104"/>
      <c r="AJ10" s="104"/>
      <c r="AK10" s="104"/>
    </row>
    <row r="11" spans="1:37" ht="15.75" thickBot="1" x14ac:dyDescent="0.3">
      <c r="A11" s="100" t="s">
        <v>5</v>
      </c>
      <c r="B11" s="34" t="s">
        <v>6</v>
      </c>
      <c r="C11" s="22" t="s">
        <v>7</v>
      </c>
      <c r="D11" s="33" t="s">
        <v>8</v>
      </c>
      <c r="E11" s="22" t="s">
        <v>9</v>
      </c>
      <c r="F11" s="24" t="s">
        <v>10</v>
      </c>
      <c r="G11" s="23" t="s">
        <v>11</v>
      </c>
      <c r="H11" s="25" t="s">
        <v>12</v>
      </c>
      <c r="J11" s="28" t="s">
        <v>4</v>
      </c>
      <c r="K11" s="9">
        <v>45337</v>
      </c>
      <c r="L11" s="66">
        <v>45346</v>
      </c>
      <c r="M11" s="66">
        <v>45351</v>
      </c>
      <c r="N11" s="4"/>
      <c r="O11" s="4"/>
      <c r="P11" s="4"/>
      <c r="Q11" s="4"/>
      <c r="R11" s="4"/>
      <c r="S11" s="4"/>
      <c r="T11" s="4"/>
      <c r="U11" s="5"/>
      <c r="W11" s="6" t="s">
        <v>4</v>
      </c>
      <c r="X11" s="9"/>
      <c r="Y11" s="4"/>
      <c r="Z11" s="4"/>
      <c r="AA11" s="4"/>
      <c r="AB11" s="4"/>
      <c r="AC11" s="5"/>
      <c r="AE11" s="6" t="s">
        <v>4</v>
      </c>
      <c r="AF11" s="9"/>
      <c r="AG11" s="4"/>
      <c r="AH11" s="4"/>
      <c r="AI11" s="4"/>
      <c r="AJ11" s="4"/>
      <c r="AK11" s="5"/>
    </row>
    <row r="12" spans="1:37" ht="15.75" thickBot="1" x14ac:dyDescent="0.3">
      <c r="A12" s="100"/>
      <c r="B12" s="26">
        <v>21492</v>
      </c>
      <c r="C12" s="27"/>
      <c r="D12" s="27"/>
      <c r="E12" s="27">
        <v>22806</v>
      </c>
      <c r="F12" s="27">
        <f>SUM(C12-B12)</f>
        <v>-21492</v>
      </c>
      <c r="G12" s="20">
        <f>SUM(E12-D12)</f>
        <v>22806</v>
      </c>
      <c r="H12" s="21">
        <f>SUM(F12:G12)</f>
        <v>1314</v>
      </c>
      <c r="J12" s="29" t="s">
        <v>22</v>
      </c>
      <c r="K12" s="10">
        <v>228.1</v>
      </c>
      <c r="L12" s="11">
        <v>230.79</v>
      </c>
      <c r="M12" s="11">
        <v>229.03</v>
      </c>
      <c r="N12" s="11"/>
      <c r="O12" s="11"/>
      <c r="P12" s="11"/>
      <c r="Q12" s="11"/>
      <c r="R12" s="11"/>
      <c r="S12" s="11"/>
      <c r="T12" s="11"/>
      <c r="U12" s="12"/>
      <c r="W12" s="7" t="s">
        <v>22</v>
      </c>
      <c r="X12" s="10"/>
      <c r="Y12" s="11"/>
      <c r="Z12" s="11"/>
      <c r="AA12" s="11"/>
      <c r="AB12" s="11"/>
      <c r="AC12" s="12"/>
      <c r="AE12" s="7" t="s">
        <v>22</v>
      </c>
      <c r="AF12" s="10"/>
      <c r="AG12" s="11"/>
      <c r="AH12" s="11"/>
      <c r="AI12" s="11"/>
      <c r="AJ12" s="11"/>
      <c r="AK12" s="12"/>
    </row>
    <row r="13" spans="1:37" x14ac:dyDescent="0.25">
      <c r="J13" s="8"/>
      <c r="T13" s="8" t="s">
        <v>23</v>
      </c>
      <c r="U13" s="13">
        <f>SUM(K12:U12)</f>
        <v>687.92</v>
      </c>
      <c r="AB13" s="8" t="s">
        <v>23</v>
      </c>
      <c r="AC13" s="13">
        <f>SUM(X12:AC12)</f>
        <v>0</v>
      </c>
      <c r="AJ13" s="8" t="s">
        <v>23</v>
      </c>
      <c r="AK13" s="13">
        <f>SUM(AF12:AK12)</f>
        <v>0</v>
      </c>
    </row>
    <row r="14" spans="1:37" ht="15.75" thickBot="1" x14ac:dyDescent="0.3">
      <c r="A14" s="19"/>
      <c r="B14" s="101" t="s">
        <v>13</v>
      </c>
      <c r="C14" s="101"/>
      <c r="D14" s="101"/>
      <c r="E14" s="101"/>
      <c r="F14" s="101"/>
      <c r="G14" s="101"/>
      <c r="H14" s="101"/>
      <c r="J14" s="102" t="s">
        <v>13</v>
      </c>
      <c r="K14" s="102"/>
      <c r="L14" s="102"/>
      <c r="M14" s="102"/>
      <c r="N14" s="102"/>
      <c r="O14" s="102"/>
      <c r="P14" s="102"/>
      <c r="Q14" s="102"/>
      <c r="R14" s="102"/>
      <c r="S14" s="102"/>
      <c r="T14" s="102"/>
      <c r="U14" s="102"/>
      <c r="W14" s="103" t="str">
        <f>J14</f>
        <v>Março</v>
      </c>
      <c r="X14" s="103"/>
      <c r="Y14" s="103"/>
      <c r="Z14" s="103"/>
      <c r="AA14" s="103"/>
      <c r="AB14" s="103"/>
      <c r="AC14" s="103"/>
      <c r="AE14" s="104" t="str">
        <f>W14</f>
        <v>Março</v>
      </c>
      <c r="AF14" s="104"/>
      <c r="AG14" s="104"/>
      <c r="AH14" s="104"/>
      <c r="AI14" s="104"/>
      <c r="AJ14" s="104"/>
      <c r="AK14" s="104"/>
    </row>
    <row r="15" spans="1:37" ht="15.75" thickBot="1" x14ac:dyDescent="0.3">
      <c r="A15" s="100" t="s">
        <v>5</v>
      </c>
      <c r="B15" s="34" t="s">
        <v>6</v>
      </c>
      <c r="C15" s="22" t="s">
        <v>7</v>
      </c>
      <c r="D15" s="33" t="s">
        <v>8</v>
      </c>
      <c r="E15" s="22" t="s">
        <v>9</v>
      </c>
      <c r="F15" s="24" t="s">
        <v>10</v>
      </c>
      <c r="G15" s="23" t="s">
        <v>11</v>
      </c>
      <c r="H15" s="25" t="s">
        <v>12</v>
      </c>
      <c r="J15" s="6" t="s">
        <v>4</v>
      </c>
      <c r="K15" s="9">
        <v>45355</v>
      </c>
      <c r="L15" s="66">
        <v>45359</v>
      </c>
      <c r="M15" s="66">
        <v>45364</v>
      </c>
      <c r="N15" s="66">
        <v>45370</v>
      </c>
      <c r="O15" s="66">
        <v>45374</v>
      </c>
      <c r="P15" s="66">
        <v>45379</v>
      </c>
      <c r="Q15" s="4"/>
      <c r="R15" s="4"/>
      <c r="S15" s="4"/>
      <c r="T15" s="4"/>
      <c r="U15" s="5"/>
      <c r="W15" s="6" t="s">
        <v>4</v>
      </c>
      <c r="X15" s="9"/>
      <c r="Y15" s="4"/>
      <c r="Z15" s="4"/>
      <c r="AA15" s="4"/>
      <c r="AB15" s="4"/>
      <c r="AC15" s="5"/>
      <c r="AE15" s="6" t="s">
        <v>4</v>
      </c>
      <c r="AF15" s="9"/>
      <c r="AG15" s="4"/>
      <c r="AH15" s="4"/>
      <c r="AI15" s="4"/>
      <c r="AJ15" s="4"/>
      <c r="AK15" s="5"/>
    </row>
    <row r="16" spans="1:37" ht="15.75" thickBot="1" x14ac:dyDescent="0.3">
      <c r="A16" s="100"/>
      <c r="B16" s="26">
        <v>22806</v>
      </c>
      <c r="C16" s="27"/>
      <c r="D16" s="27"/>
      <c r="E16" s="27">
        <v>25800</v>
      </c>
      <c r="F16" s="27">
        <f>SUM(C16-B16)</f>
        <v>-22806</v>
      </c>
      <c r="G16" s="20">
        <f>SUM(E16-D16)</f>
        <v>25800</v>
      </c>
      <c r="H16" s="21">
        <f>SUM(F16:G16)</f>
        <v>2994</v>
      </c>
      <c r="J16" s="7" t="s">
        <v>22</v>
      </c>
      <c r="K16" s="10">
        <v>223.13</v>
      </c>
      <c r="L16" s="11">
        <v>226.12</v>
      </c>
      <c r="M16" s="11">
        <v>211.93</v>
      </c>
      <c r="N16" s="11">
        <v>220.91</v>
      </c>
      <c r="O16" s="11">
        <v>229.84</v>
      </c>
      <c r="P16" s="11">
        <v>234.81</v>
      </c>
      <c r="Q16" s="11"/>
      <c r="R16" s="11"/>
      <c r="S16" s="11"/>
      <c r="T16" s="11"/>
      <c r="U16" s="12"/>
      <c r="W16" s="7" t="s">
        <v>22</v>
      </c>
      <c r="X16" s="10"/>
      <c r="Y16" s="11"/>
      <c r="Z16" s="11"/>
      <c r="AA16" s="11"/>
      <c r="AB16" s="11"/>
      <c r="AC16" s="12"/>
      <c r="AE16" s="7" t="s">
        <v>22</v>
      </c>
      <c r="AF16" s="10"/>
      <c r="AG16" s="11"/>
      <c r="AH16" s="11"/>
      <c r="AI16" s="11"/>
      <c r="AJ16" s="11"/>
      <c r="AK16" s="12"/>
    </row>
    <row r="17" spans="1:37" x14ac:dyDescent="0.25">
      <c r="J17" s="8"/>
      <c r="T17" s="8" t="s">
        <v>23</v>
      </c>
      <c r="U17" s="13">
        <f>SUM(K16:U16)</f>
        <v>1346.74</v>
      </c>
      <c r="AB17" s="8" t="s">
        <v>23</v>
      </c>
      <c r="AC17" s="13">
        <f>SUM(X16:AC16)</f>
        <v>0</v>
      </c>
      <c r="AJ17" s="8" t="s">
        <v>23</v>
      </c>
      <c r="AK17" s="13">
        <f>SUM(AF16:AK16)</f>
        <v>0</v>
      </c>
    </row>
    <row r="18" spans="1:37" ht="15.75" thickBot="1" x14ac:dyDescent="0.3">
      <c r="A18" s="19"/>
      <c r="B18" s="101" t="s">
        <v>14</v>
      </c>
      <c r="C18" s="101"/>
      <c r="D18" s="101"/>
      <c r="E18" s="101"/>
      <c r="F18" s="101"/>
      <c r="G18" s="101"/>
      <c r="H18" s="101"/>
      <c r="J18" s="102" t="s">
        <v>14</v>
      </c>
      <c r="K18" s="102"/>
      <c r="L18" s="102"/>
      <c r="M18" s="102"/>
      <c r="N18" s="102"/>
      <c r="O18" s="102"/>
      <c r="P18" s="102"/>
      <c r="Q18" s="102"/>
      <c r="R18" s="102"/>
      <c r="S18" s="102"/>
      <c r="T18" s="102"/>
      <c r="U18" s="102"/>
      <c r="W18" s="103" t="str">
        <f>J18</f>
        <v>Abril</v>
      </c>
      <c r="X18" s="103"/>
      <c r="Y18" s="103"/>
      <c r="Z18" s="103"/>
      <c r="AA18" s="103"/>
      <c r="AB18" s="103"/>
      <c r="AC18" s="103"/>
      <c r="AE18" s="104" t="str">
        <f>W18</f>
        <v>Abril</v>
      </c>
      <c r="AF18" s="104"/>
      <c r="AG18" s="104"/>
      <c r="AH18" s="104"/>
      <c r="AI18" s="104"/>
      <c r="AJ18" s="104"/>
      <c r="AK18" s="104"/>
    </row>
    <row r="19" spans="1:37" ht="15.75" thickBot="1" x14ac:dyDescent="0.3">
      <c r="A19" s="100" t="s">
        <v>5</v>
      </c>
      <c r="B19" s="34" t="s">
        <v>6</v>
      </c>
      <c r="C19" s="22" t="s">
        <v>7</v>
      </c>
      <c r="D19" s="33" t="s">
        <v>8</v>
      </c>
      <c r="E19" s="22" t="s">
        <v>9</v>
      </c>
      <c r="F19" s="24" t="s">
        <v>10</v>
      </c>
      <c r="G19" s="23" t="s">
        <v>11</v>
      </c>
      <c r="H19" s="25" t="s">
        <v>12</v>
      </c>
      <c r="J19" s="6" t="s">
        <v>4</v>
      </c>
      <c r="K19" s="9">
        <v>45386</v>
      </c>
      <c r="L19" s="66">
        <v>45391</v>
      </c>
      <c r="M19" s="66">
        <v>45395</v>
      </c>
      <c r="N19" s="66">
        <v>45400</v>
      </c>
      <c r="O19" s="66">
        <v>45407</v>
      </c>
      <c r="P19" s="66">
        <v>45412</v>
      </c>
      <c r="Q19" s="4"/>
      <c r="R19" s="4"/>
      <c r="S19" s="4"/>
      <c r="T19" s="4"/>
      <c r="U19" s="5"/>
      <c r="W19" s="6" t="s">
        <v>4</v>
      </c>
      <c r="X19" s="9">
        <v>45398</v>
      </c>
      <c r="Y19" s="4"/>
      <c r="Z19" s="4"/>
      <c r="AA19" s="4"/>
      <c r="AB19" s="4"/>
      <c r="AC19" s="5"/>
      <c r="AE19" s="6" t="s">
        <v>4</v>
      </c>
      <c r="AF19" s="9"/>
      <c r="AG19" s="4"/>
      <c r="AH19" s="4"/>
      <c r="AI19" s="4"/>
      <c r="AJ19" s="4"/>
      <c r="AK19" s="5"/>
    </row>
    <row r="20" spans="1:37" ht="15.75" thickBot="1" x14ac:dyDescent="0.3">
      <c r="A20" s="100"/>
      <c r="B20" s="26">
        <v>25800</v>
      </c>
      <c r="C20" s="27"/>
      <c r="D20" s="27"/>
      <c r="E20" s="27">
        <v>28886</v>
      </c>
      <c r="F20" s="27">
        <f>SUM(C20-B20)</f>
        <v>-25800</v>
      </c>
      <c r="G20" s="20">
        <f>SUM(E20-D20)</f>
        <v>28886</v>
      </c>
      <c r="H20" s="21">
        <f>SUM(F20:G20)</f>
        <v>3086</v>
      </c>
      <c r="J20" s="7" t="s">
        <v>22</v>
      </c>
      <c r="K20" s="30">
        <v>227.92</v>
      </c>
      <c r="L20" s="31">
        <v>231.57</v>
      </c>
      <c r="M20" s="31">
        <v>185.69</v>
      </c>
      <c r="N20" s="31">
        <v>212.53</v>
      </c>
      <c r="O20" s="31">
        <v>182.52</v>
      </c>
      <c r="P20" s="31">
        <v>228.34</v>
      </c>
      <c r="Q20" s="31"/>
      <c r="R20" s="31"/>
      <c r="S20" s="31"/>
      <c r="T20" s="31"/>
      <c r="U20" s="32"/>
      <c r="W20" s="7" t="s">
        <v>22</v>
      </c>
      <c r="X20" s="10">
        <v>80</v>
      </c>
      <c r="Y20" s="11"/>
      <c r="Z20" s="11"/>
      <c r="AA20" s="11"/>
      <c r="AB20" s="11"/>
      <c r="AC20" s="12"/>
      <c r="AE20" s="7" t="s">
        <v>22</v>
      </c>
      <c r="AF20" s="10"/>
      <c r="AG20" s="11"/>
      <c r="AH20" s="11"/>
      <c r="AI20" s="11"/>
      <c r="AJ20" s="11"/>
      <c r="AK20" s="12"/>
    </row>
    <row r="21" spans="1:37" x14ac:dyDescent="0.25">
      <c r="J21" s="8"/>
      <c r="T21" s="8" t="s">
        <v>23</v>
      </c>
      <c r="U21" s="13">
        <f>SUM(K20:U20)</f>
        <v>1268.57</v>
      </c>
      <c r="AB21" s="8" t="s">
        <v>23</v>
      </c>
      <c r="AC21" s="13">
        <f>SUM(X20:AC20)</f>
        <v>80</v>
      </c>
      <c r="AJ21" s="8" t="s">
        <v>23</v>
      </c>
      <c r="AK21" s="13">
        <f>SUM(AF20:AK20)</f>
        <v>0</v>
      </c>
    </row>
    <row r="22" spans="1:37" ht="15.75" thickBot="1" x14ac:dyDescent="0.3">
      <c r="A22" s="19"/>
      <c r="B22" s="101" t="s">
        <v>15</v>
      </c>
      <c r="C22" s="101"/>
      <c r="D22" s="101"/>
      <c r="E22" s="101"/>
      <c r="F22" s="101"/>
      <c r="G22" s="101"/>
      <c r="H22" s="101"/>
      <c r="J22" s="102" t="s">
        <v>15</v>
      </c>
      <c r="K22" s="102"/>
      <c r="L22" s="102"/>
      <c r="M22" s="102"/>
      <c r="N22" s="102"/>
      <c r="O22" s="102"/>
      <c r="P22" s="102"/>
      <c r="Q22" s="102"/>
      <c r="R22" s="102"/>
      <c r="S22" s="102"/>
      <c r="T22" s="102"/>
      <c r="U22" s="102"/>
      <c r="W22" s="103" t="str">
        <f>J22</f>
        <v>Maio</v>
      </c>
      <c r="X22" s="103"/>
      <c r="Y22" s="103"/>
      <c r="Z22" s="103"/>
      <c r="AA22" s="103"/>
      <c r="AB22" s="103"/>
      <c r="AC22" s="103"/>
      <c r="AE22" s="104" t="str">
        <f>W22</f>
        <v>Maio</v>
      </c>
      <c r="AF22" s="104"/>
      <c r="AG22" s="104"/>
      <c r="AH22" s="104"/>
      <c r="AI22" s="104"/>
      <c r="AJ22" s="104"/>
      <c r="AK22" s="104"/>
    </row>
    <row r="23" spans="1:37" ht="15.75" thickBot="1" x14ac:dyDescent="0.3">
      <c r="A23" s="100" t="s">
        <v>5</v>
      </c>
      <c r="B23" s="34" t="s">
        <v>6</v>
      </c>
      <c r="C23" s="22" t="s">
        <v>7</v>
      </c>
      <c r="D23" s="33" t="s">
        <v>8</v>
      </c>
      <c r="E23" s="22" t="s">
        <v>9</v>
      </c>
      <c r="F23" s="24" t="s">
        <v>10</v>
      </c>
      <c r="G23" s="23" t="s">
        <v>11</v>
      </c>
      <c r="H23" s="25" t="s">
        <v>12</v>
      </c>
      <c r="J23" s="6" t="s">
        <v>4</v>
      </c>
      <c r="K23" s="9">
        <v>45421</v>
      </c>
      <c r="L23" s="66">
        <v>45427</v>
      </c>
      <c r="M23" s="66">
        <v>45433</v>
      </c>
      <c r="N23" s="66">
        <v>45440</v>
      </c>
      <c r="O23" s="4"/>
      <c r="P23" s="4"/>
      <c r="Q23" s="4"/>
      <c r="R23" s="4"/>
      <c r="S23" s="4"/>
      <c r="T23" s="4"/>
      <c r="U23" s="5"/>
      <c r="W23" s="6" t="s">
        <v>4</v>
      </c>
      <c r="X23" s="9">
        <v>45420</v>
      </c>
      <c r="Y23" s="4"/>
      <c r="Z23" s="4"/>
      <c r="AA23" s="4"/>
      <c r="AB23" s="4"/>
      <c r="AC23" s="5"/>
      <c r="AE23" s="6" t="s">
        <v>4</v>
      </c>
      <c r="AF23" s="9"/>
      <c r="AG23" s="4"/>
      <c r="AH23" s="4"/>
      <c r="AI23" s="4"/>
      <c r="AJ23" s="4"/>
      <c r="AK23" s="5"/>
    </row>
    <row r="24" spans="1:37" ht="15.75" thickBot="1" x14ac:dyDescent="0.3">
      <c r="A24" s="100"/>
      <c r="B24" s="26">
        <v>28886</v>
      </c>
      <c r="C24" s="27"/>
      <c r="D24" s="27"/>
      <c r="E24" s="27">
        <v>31384</v>
      </c>
      <c r="F24" s="27">
        <f>SUM(C24-B24)</f>
        <v>-28886</v>
      </c>
      <c r="G24" s="20">
        <f>SUM(E24-D24)</f>
        <v>31384</v>
      </c>
      <c r="H24" s="21">
        <f>SUM(F24:G24)</f>
        <v>2498</v>
      </c>
      <c r="J24" s="7" t="s">
        <v>22</v>
      </c>
      <c r="K24" s="10">
        <v>237.68</v>
      </c>
      <c r="L24" s="11">
        <v>221.63</v>
      </c>
      <c r="M24" s="11">
        <v>191.32</v>
      </c>
      <c r="N24" s="11">
        <v>219.89</v>
      </c>
      <c r="O24" s="11"/>
      <c r="P24" s="11"/>
      <c r="Q24" s="11"/>
      <c r="R24" s="11"/>
      <c r="S24" s="11"/>
      <c r="T24" s="11"/>
      <c r="U24" s="12"/>
      <c r="W24" s="7" t="s">
        <v>22</v>
      </c>
      <c r="X24" s="10">
        <v>80</v>
      </c>
      <c r="Y24" s="11"/>
      <c r="Z24" s="11"/>
      <c r="AA24" s="11"/>
      <c r="AB24" s="11"/>
      <c r="AC24" s="12"/>
      <c r="AE24" s="7" t="s">
        <v>22</v>
      </c>
      <c r="AF24" s="10"/>
      <c r="AG24" s="11"/>
      <c r="AH24" s="11"/>
      <c r="AI24" s="11"/>
      <c r="AJ24" s="11"/>
      <c r="AK24" s="12"/>
    </row>
    <row r="25" spans="1:37" x14ac:dyDescent="0.25">
      <c r="J25" s="8"/>
      <c r="T25" s="8" t="s">
        <v>23</v>
      </c>
      <c r="U25" s="13">
        <f>SUM(K24:U24)</f>
        <v>870.52</v>
      </c>
      <c r="AB25" s="8" t="s">
        <v>23</v>
      </c>
      <c r="AC25" s="13">
        <f>SUM(X24:AC24)</f>
        <v>80</v>
      </c>
      <c r="AJ25" s="8" t="s">
        <v>23</v>
      </c>
      <c r="AK25" s="13">
        <f>SUM(AF24:AK24)</f>
        <v>0</v>
      </c>
    </row>
    <row r="26" spans="1:37" ht="15.75" thickBot="1" x14ac:dyDescent="0.3">
      <c r="A26" s="19"/>
      <c r="B26" s="101" t="s">
        <v>24</v>
      </c>
      <c r="C26" s="101"/>
      <c r="D26" s="101"/>
      <c r="E26" s="101"/>
      <c r="F26" s="101"/>
      <c r="G26" s="101"/>
      <c r="H26" s="101"/>
      <c r="J26" s="102" t="s">
        <v>24</v>
      </c>
      <c r="K26" s="102"/>
      <c r="L26" s="102"/>
      <c r="M26" s="102"/>
      <c r="N26" s="102"/>
      <c r="O26" s="102"/>
      <c r="P26" s="102"/>
      <c r="Q26" s="102"/>
      <c r="R26" s="102"/>
      <c r="S26" s="102"/>
      <c r="T26" s="102"/>
      <c r="U26" s="102"/>
      <c r="W26" s="103" t="str">
        <f>J26</f>
        <v>Junho</v>
      </c>
      <c r="X26" s="103"/>
      <c r="Y26" s="103"/>
      <c r="Z26" s="103"/>
      <c r="AA26" s="103"/>
      <c r="AB26" s="103"/>
      <c r="AC26" s="103"/>
      <c r="AE26" s="104" t="str">
        <f>W26</f>
        <v>Junho</v>
      </c>
      <c r="AF26" s="104"/>
      <c r="AG26" s="104"/>
      <c r="AH26" s="104"/>
      <c r="AI26" s="104"/>
      <c r="AJ26" s="104"/>
      <c r="AK26" s="104"/>
    </row>
    <row r="27" spans="1:37" ht="15.75" thickBot="1" x14ac:dyDescent="0.3">
      <c r="A27" s="100" t="s">
        <v>5</v>
      </c>
      <c r="B27" s="34" t="s">
        <v>6</v>
      </c>
      <c r="C27" s="22" t="s">
        <v>7</v>
      </c>
      <c r="D27" s="33" t="s">
        <v>8</v>
      </c>
      <c r="E27" s="22" t="s">
        <v>9</v>
      </c>
      <c r="F27" s="24" t="s">
        <v>10</v>
      </c>
      <c r="G27" s="23" t="s">
        <v>11</v>
      </c>
      <c r="H27" s="25" t="s">
        <v>12</v>
      </c>
      <c r="J27" s="6" t="s">
        <v>4</v>
      </c>
      <c r="K27" s="9">
        <v>45444</v>
      </c>
      <c r="L27" s="66">
        <v>45449</v>
      </c>
      <c r="M27" s="66">
        <v>45454</v>
      </c>
      <c r="N27" s="66">
        <v>45465</v>
      </c>
      <c r="O27" s="66">
        <v>45470</v>
      </c>
      <c r="P27" s="66">
        <v>45460</v>
      </c>
      <c r="Q27" s="4"/>
      <c r="R27" s="4"/>
      <c r="S27" s="4"/>
      <c r="T27" s="4"/>
      <c r="U27" s="5"/>
      <c r="W27" s="6" t="s">
        <v>4</v>
      </c>
      <c r="X27" s="9">
        <v>45444</v>
      </c>
      <c r="Y27" s="9">
        <v>45465</v>
      </c>
      <c r="Z27" s="4"/>
      <c r="AA27" s="4"/>
      <c r="AB27" s="4"/>
      <c r="AC27" s="5"/>
      <c r="AE27" s="6" t="s">
        <v>4</v>
      </c>
      <c r="AF27" s="9"/>
      <c r="AG27" s="4"/>
      <c r="AH27" s="4"/>
      <c r="AI27" s="4"/>
      <c r="AJ27" s="4"/>
      <c r="AK27" s="5"/>
    </row>
    <row r="28" spans="1:37" ht="15.75" thickBot="1" x14ac:dyDescent="0.3">
      <c r="A28" s="100"/>
      <c r="B28" s="26">
        <v>31384</v>
      </c>
      <c r="C28" s="27"/>
      <c r="D28" s="27"/>
      <c r="E28" s="27">
        <v>34113</v>
      </c>
      <c r="F28" s="27">
        <f>SUM(C28-B28)</f>
        <v>-31384</v>
      </c>
      <c r="G28" s="20">
        <f>SUM(E28-D28)</f>
        <v>34113</v>
      </c>
      <c r="H28" s="21">
        <f>SUM(F28:G28)</f>
        <v>2729</v>
      </c>
      <c r="J28" s="7" t="s">
        <v>22</v>
      </c>
      <c r="K28" s="10">
        <v>216.65</v>
      </c>
      <c r="L28" s="11">
        <v>228.6</v>
      </c>
      <c r="M28" s="11">
        <v>214.05</v>
      </c>
      <c r="N28" s="11">
        <v>211.02</v>
      </c>
      <c r="O28" s="11">
        <v>237.63</v>
      </c>
      <c r="P28" s="11">
        <v>204.64</v>
      </c>
      <c r="Q28" s="11"/>
      <c r="R28" s="11"/>
      <c r="S28" s="11"/>
      <c r="T28" s="11"/>
      <c r="U28" s="12"/>
      <c r="W28" s="7" t="s">
        <v>22</v>
      </c>
      <c r="X28" s="10">
        <v>80</v>
      </c>
      <c r="Y28" s="11">
        <v>80</v>
      </c>
      <c r="Z28" s="11"/>
      <c r="AA28" s="11"/>
      <c r="AB28" s="11"/>
      <c r="AC28" s="12"/>
      <c r="AE28" s="7" t="s">
        <v>22</v>
      </c>
      <c r="AF28" s="10"/>
      <c r="AG28" s="11"/>
      <c r="AH28" s="11"/>
      <c r="AI28" s="11"/>
      <c r="AJ28" s="11"/>
      <c r="AK28" s="12"/>
    </row>
    <row r="29" spans="1:37" x14ac:dyDescent="0.25">
      <c r="J29" s="8"/>
      <c r="T29" s="8" t="s">
        <v>23</v>
      </c>
      <c r="U29" s="13">
        <f>SUM(K28:U28)</f>
        <v>1312.5899999999997</v>
      </c>
      <c r="AB29" s="8" t="s">
        <v>23</v>
      </c>
      <c r="AC29" s="13">
        <f>SUM(X28:AC28)</f>
        <v>160</v>
      </c>
      <c r="AJ29" s="8" t="s">
        <v>23</v>
      </c>
      <c r="AK29" s="13">
        <f>SUM(AF28:AK28)</f>
        <v>0</v>
      </c>
    </row>
    <row r="30" spans="1:37" ht="15.75" thickBot="1" x14ac:dyDescent="0.3">
      <c r="A30" s="19"/>
      <c r="B30" s="101" t="s">
        <v>16</v>
      </c>
      <c r="C30" s="101"/>
      <c r="D30" s="101"/>
      <c r="E30" s="101"/>
      <c r="F30" s="101"/>
      <c r="G30" s="101"/>
      <c r="H30" s="101"/>
      <c r="J30" s="102" t="s">
        <v>16</v>
      </c>
      <c r="K30" s="102"/>
      <c r="L30" s="102"/>
      <c r="M30" s="102"/>
      <c r="N30" s="102"/>
      <c r="O30" s="102"/>
      <c r="P30" s="102"/>
      <c r="Q30" s="102"/>
      <c r="R30" s="102"/>
      <c r="S30" s="102"/>
      <c r="T30" s="102"/>
      <c r="U30" s="102"/>
      <c r="W30" s="103" t="str">
        <f>J30</f>
        <v>Julho</v>
      </c>
      <c r="X30" s="103"/>
      <c r="Y30" s="103"/>
      <c r="Z30" s="103"/>
      <c r="AA30" s="103"/>
      <c r="AB30" s="103"/>
      <c r="AC30" s="103"/>
      <c r="AE30" s="104" t="str">
        <f>W30</f>
        <v>Julho</v>
      </c>
      <c r="AF30" s="104"/>
      <c r="AG30" s="104"/>
      <c r="AH30" s="104"/>
      <c r="AI30" s="104"/>
      <c r="AJ30" s="104"/>
      <c r="AK30" s="104"/>
    </row>
    <row r="31" spans="1:37" ht="15.75" thickBot="1" x14ac:dyDescent="0.3">
      <c r="A31" s="100" t="s">
        <v>5</v>
      </c>
      <c r="B31" s="34" t="s">
        <v>6</v>
      </c>
      <c r="C31" s="22" t="s">
        <v>7</v>
      </c>
      <c r="D31" s="33" t="s">
        <v>8</v>
      </c>
      <c r="E31" s="22" t="s">
        <v>9</v>
      </c>
      <c r="F31" s="24" t="s">
        <v>10</v>
      </c>
      <c r="G31" s="23" t="s">
        <v>11</v>
      </c>
      <c r="H31" s="25" t="s">
        <v>12</v>
      </c>
      <c r="J31" s="6" t="s">
        <v>4</v>
      </c>
      <c r="K31" s="9">
        <v>45476</v>
      </c>
      <c r="L31" s="66">
        <v>45482</v>
      </c>
      <c r="M31" s="66">
        <v>45485</v>
      </c>
      <c r="N31" s="66">
        <v>45489</v>
      </c>
      <c r="O31" s="66">
        <v>45493</v>
      </c>
      <c r="P31" s="66">
        <v>45498</v>
      </c>
      <c r="Q31" s="66">
        <v>45503</v>
      </c>
      <c r="R31" s="4"/>
      <c r="S31" s="4"/>
      <c r="T31" s="4"/>
      <c r="U31" s="5"/>
      <c r="W31" s="6" t="s">
        <v>4</v>
      </c>
      <c r="X31" s="9">
        <v>45497</v>
      </c>
      <c r="Y31" s="66">
        <v>45488</v>
      </c>
      <c r="Z31" s="66"/>
      <c r="AA31" s="4"/>
      <c r="AB31" s="4"/>
      <c r="AC31" s="5"/>
      <c r="AE31" s="6" t="s">
        <v>4</v>
      </c>
      <c r="AF31" s="9"/>
      <c r="AG31" s="4"/>
      <c r="AH31" s="4"/>
      <c r="AI31" s="4"/>
      <c r="AJ31" s="4"/>
      <c r="AK31" s="5"/>
    </row>
    <row r="32" spans="1:37" ht="15.75" thickBot="1" x14ac:dyDescent="0.3">
      <c r="A32" s="100"/>
      <c r="B32" s="26">
        <v>34113</v>
      </c>
      <c r="C32" s="27"/>
      <c r="D32" s="27"/>
      <c r="E32" s="27">
        <v>36780</v>
      </c>
      <c r="F32" s="27">
        <f>SUM(C32-B32)</f>
        <v>-34113</v>
      </c>
      <c r="G32" s="20">
        <f>SUM(E32-D32)</f>
        <v>36780</v>
      </c>
      <c r="H32" s="21">
        <f>SUM(F32:G32)</f>
        <v>2667</v>
      </c>
      <c r="J32" s="7" t="s">
        <v>22</v>
      </c>
      <c r="K32" s="10">
        <v>236.09</v>
      </c>
      <c r="L32" s="11">
        <v>244.07</v>
      </c>
      <c r="M32" s="11">
        <v>212.02</v>
      </c>
      <c r="N32" s="11">
        <v>192.72</v>
      </c>
      <c r="O32" s="11">
        <v>230.04</v>
      </c>
      <c r="P32" s="11">
        <v>210.23</v>
      </c>
      <c r="Q32" s="11">
        <v>239.05</v>
      </c>
      <c r="R32" s="11"/>
      <c r="S32" s="11"/>
      <c r="T32" s="11"/>
      <c r="U32" s="12"/>
      <c r="W32" s="7" t="s">
        <v>22</v>
      </c>
      <c r="X32" s="10">
        <v>60</v>
      </c>
      <c r="Y32" s="11">
        <v>75</v>
      </c>
      <c r="Z32" s="11"/>
      <c r="AA32" s="11"/>
      <c r="AB32" s="11"/>
      <c r="AC32" s="12"/>
      <c r="AE32" s="7" t="s">
        <v>22</v>
      </c>
      <c r="AF32" s="10"/>
      <c r="AG32" s="11"/>
      <c r="AH32" s="11"/>
      <c r="AI32" s="11"/>
      <c r="AJ32" s="11"/>
      <c r="AK32" s="12"/>
    </row>
    <row r="33" spans="1:37" x14ac:dyDescent="0.25">
      <c r="J33" s="8"/>
      <c r="T33" s="8" t="s">
        <v>23</v>
      </c>
      <c r="U33" s="13">
        <f>SUM(K32:U32)</f>
        <v>1564.22</v>
      </c>
      <c r="AB33" s="8" t="s">
        <v>23</v>
      </c>
      <c r="AC33" s="13">
        <f>SUM(X32:AC32)</f>
        <v>135</v>
      </c>
      <c r="AJ33" s="8" t="s">
        <v>23</v>
      </c>
      <c r="AK33" s="13">
        <f>SUM(AF32:AK32)</f>
        <v>0</v>
      </c>
    </row>
    <row r="34" spans="1:37" ht="15.75" thickBot="1" x14ac:dyDescent="0.3">
      <c r="A34" s="19"/>
      <c r="B34" s="101" t="s">
        <v>17</v>
      </c>
      <c r="C34" s="101"/>
      <c r="D34" s="101"/>
      <c r="E34" s="101"/>
      <c r="F34" s="101"/>
      <c r="G34" s="101"/>
      <c r="H34" s="101"/>
      <c r="J34" s="102" t="s">
        <v>17</v>
      </c>
      <c r="K34" s="102"/>
      <c r="L34" s="102"/>
      <c r="M34" s="102"/>
      <c r="N34" s="102"/>
      <c r="O34" s="102"/>
      <c r="P34" s="102"/>
      <c r="Q34" s="102"/>
      <c r="R34" s="102"/>
      <c r="S34" s="102"/>
      <c r="T34" s="102"/>
      <c r="U34" s="102"/>
      <c r="W34" s="103" t="str">
        <f>J34</f>
        <v>Agosto</v>
      </c>
      <c r="X34" s="103"/>
      <c r="Y34" s="103"/>
      <c r="Z34" s="103"/>
      <c r="AA34" s="103"/>
      <c r="AB34" s="103"/>
      <c r="AC34" s="103"/>
      <c r="AE34" s="104" t="str">
        <f>W34</f>
        <v>Agosto</v>
      </c>
      <c r="AF34" s="104"/>
      <c r="AG34" s="104"/>
      <c r="AH34" s="104"/>
      <c r="AI34" s="104"/>
      <c r="AJ34" s="104"/>
      <c r="AK34" s="104"/>
    </row>
    <row r="35" spans="1:37" ht="15.75" thickBot="1" x14ac:dyDescent="0.3">
      <c r="A35" s="100" t="s">
        <v>5</v>
      </c>
      <c r="B35" s="34" t="s">
        <v>6</v>
      </c>
      <c r="C35" s="22" t="s">
        <v>7</v>
      </c>
      <c r="D35" s="33" t="s">
        <v>8</v>
      </c>
      <c r="E35" s="22" t="s">
        <v>9</v>
      </c>
      <c r="F35" s="24" t="s">
        <v>10</v>
      </c>
      <c r="G35" s="23" t="s">
        <v>11</v>
      </c>
      <c r="H35" s="25" t="s">
        <v>12</v>
      </c>
      <c r="J35" s="6" t="s">
        <v>4</v>
      </c>
      <c r="K35" s="9">
        <v>45510</v>
      </c>
      <c r="L35" s="66">
        <v>45512</v>
      </c>
      <c r="M35" s="66">
        <v>45519</v>
      </c>
      <c r="N35" s="66">
        <v>45521</v>
      </c>
      <c r="O35" s="66">
        <v>45526</v>
      </c>
      <c r="P35" s="66">
        <v>45532</v>
      </c>
      <c r="Q35" s="4"/>
      <c r="R35" s="4"/>
      <c r="S35" s="4"/>
      <c r="T35" s="4"/>
      <c r="U35" s="5"/>
      <c r="W35" s="6" t="s">
        <v>4</v>
      </c>
      <c r="X35" s="9">
        <v>45508</v>
      </c>
      <c r="Y35" s="66">
        <v>45516</v>
      </c>
      <c r="Z35" s="66">
        <v>45528</v>
      </c>
      <c r="AA35" s="4"/>
      <c r="AB35" s="4"/>
      <c r="AC35" s="5"/>
      <c r="AE35" s="6" t="s">
        <v>4</v>
      </c>
      <c r="AF35" s="9"/>
      <c r="AG35" s="4"/>
      <c r="AH35" s="4"/>
      <c r="AI35" s="4"/>
      <c r="AJ35" s="4"/>
      <c r="AK35" s="5"/>
    </row>
    <row r="36" spans="1:37" ht="15.75" thickBot="1" x14ac:dyDescent="0.3">
      <c r="A36" s="100"/>
      <c r="B36" s="26">
        <v>2562</v>
      </c>
      <c r="C36" s="27"/>
      <c r="D36" s="27"/>
      <c r="E36" s="27">
        <v>4045</v>
      </c>
      <c r="F36" s="27">
        <f>SUM(C36-B36)</f>
        <v>-2562</v>
      </c>
      <c r="G36" s="20">
        <f>SUM(E36-D36)</f>
        <v>4045</v>
      </c>
      <c r="H36" s="21">
        <f>SUM(F36:G36)</f>
        <v>1483</v>
      </c>
      <c r="J36" s="7" t="s">
        <v>22</v>
      </c>
      <c r="K36" s="10">
        <v>234.9</v>
      </c>
      <c r="L36" s="11">
        <v>178.03</v>
      </c>
      <c r="M36" s="11">
        <v>221.03</v>
      </c>
      <c r="N36" s="11">
        <v>259.69</v>
      </c>
      <c r="O36" s="11">
        <v>245.7</v>
      </c>
      <c r="P36" s="11">
        <v>203.59</v>
      </c>
      <c r="Q36" s="11"/>
      <c r="R36" s="11"/>
      <c r="S36" s="11"/>
      <c r="T36" s="11"/>
      <c r="U36" s="12"/>
      <c r="W36" s="7" t="s">
        <v>22</v>
      </c>
      <c r="X36" s="10">
        <v>75</v>
      </c>
      <c r="Y36" s="11">
        <v>60</v>
      </c>
      <c r="Z36" s="11">
        <v>80</v>
      </c>
      <c r="AA36" s="11"/>
      <c r="AB36" s="11"/>
      <c r="AC36" s="12"/>
      <c r="AE36" s="7" t="s">
        <v>22</v>
      </c>
      <c r="AF36" s="10"/>
      <c r="AG36" s="11"/>
      <c r="AH36" s="11"/>
      <c r="AI36" s="11"/>
      <c r="AJ36" s="11"/>
      <c r="AK36" s="12"/>
    </row>
    <row r="37" spans="1:37" x14ac:dyDescent="0.25">
      <c r="J37" s="8"/>
      <c r="T37" s="8" t="s">
        <v>23</v>
      </c>
      <c r="U37" s="13">
        <f>SUM(K36:U36)</f>
        <v>1342.94</v>
      </c>
      <c r="AB37" s="8" t="s">
        <v>23</v>
      </c>
      <c r="AC37" s="13">
        <f>SUM(X36:AC36)</f>
        <v>215</v>
      </c>
      <c r="AJ37" s="8" t="s">
        <v>23</v>
      </c>
      <c r="AK37" s="13">
        <f>SUM(AF36:AK36)</f>
        <v>0</v>
      </c>
    </row>
    <row r="38" spans="1:37" ht="15.75" thickBot="1" x14ac:dyDescent="0.3">
      <c r="A38" s="19"/>
      <c r="B38" s="101" t="s">
        <v>18</v>
      </c>
      <c r="C38" s="101"/>
      <c r="D38" s="101"/>
      <c r="E38" s="101"/>
      <c r="F38" s="101"/>
      <c r="G38" s="101"/>
      <c r="H38" s="101"/>
      <c r="J38" s="102" t="s">
        <v>18</v>
      </c>
      <c r="K38" s="102"/>
      <c r="L38" s="102"/>
      <c r="M38" s="102"/>
      <c r="N38" s="102"/>
      <c r="O38" s="102"/>
      <c r="P38" s="102"/>
      <c r="Q38" s="102"/>
      <c r="R38" s="102"/>
      <c r="S38" s="102"/>
      <c r="T38" s="102"/>
      <c r="U38" s="102"/>
      <c r="W38" s="103" t="str">
        <f>J38</f>
        <v>Setembro</v>
      </c>
      <c r="X38" s="103"/>
      <c r="Y38" s="103"/>
      <c r="Z38" s="103"/>
      <c r="AA38" s="103"/>
      <c r="AB38" s="103"/>
      <c r="AC38" s="103"/>
      <c r="AE38" s="104" t="str">
        <f>W38</f>
        <v>Setembro</v>
      </c>
      <c r="AF38" s="104"/>
      <c r="AG38" s="104"/>
      <c r="AH38" s="104"/>
      <c r="AI38" s="104"/>
      <c r="AJ38" s="104"/>
      <c r="AK38" s="104"/>
    </row>
    <row r="39" spans="1:37" ht="15.75" thickBot="1" x14ac:dyDescent="0.3">
      <c r="A39" s="100" t="s">
        <v>5</v>
      </c>
      <c r="B39" s="34" t="s">
        <v>6</v>
      </c>
      <c r="C39" s="22" t="s">
        <v>7</v>
      </c>
      <c r="D39" s="33" t="s">
        <v>8</v>
      </c>
      <c r="E39" s="22" t="s">
        <v>9</v>
      </c>
      <c r="F39" s="24" t="s">
        <v>10</v>
      </c>
      <c r="G39" s="23" t="s">
        <v>11</v>
      </c>
      <c r="H39" s="25" t="s">
        <v>12</v>
      </c>
      <c r="J39" s="6" t="s">
        <v>4</v>
      </c>
      <c r="K39" s="9">
        <v>45539</v>
      </c>
      <c r="L39" s="66">
        <v>45545</v>
      </c>
      <c r="M39" s="66">
        <v>45548</v>
      </c>
      <c r="N39" s="66">
        <v>45555</v>
      </c>
      <c r="O39" s="66">
        <v>45561</v>
      </c>
      <c r="P39" s="4"/>
      <c r="Q39" s="4"/>
      <c r="R39" s="4"/>
      <c r="S39" s="4"/>
      <c r="T39" s="4"/>
      <c r="U39" s="5"/>
      <c r="W39" s="6" t="s">
        <v>4</v>
      </c>
      <c r="X39" s="9">
        <v>45556</v>
      </c>
      <c r="Y39" s="4"/>
      <c r="Z39" s="4"/>
      <c r="AA39" s="4"/>
      <c r="AB39" s="4"/>
      <c r="AC39" s="5"/>
      <c r="AE39" s="6" t="s">
        <v>4</v>
      </c>
      <c r="AF39" s="9"/>
      <c r="AG39" s="4"/>
      <c r="AH39" s="4"/>
      <c r="AI39" s="4"/>
      <c r="AJ39" s="4"/>
      <c r="AK39" s="5"/>
    </row>
    <row r="40" spans="1:37" ht="15.75" thickBot="1" x14ac:dyDescent="0.3">
      <c r="A40" s="100"/>
      <c r="B40" s="26">
        <v>4045</v>
      </c>
      <c r="C40" s="27"/>
      <c r="D40" s="27"/>
      <c r="E40" s="27">
        <v>6931</v>
      </c>
      <c r="F40" s="27">
        <f>SUM(C40-B40)</f>
        <v>-4045</v>
      </c>
      <c r="G40" s="20">
        <f>SUM(E40-D40)</f>
        <v>6931</v>
      </c>
      <c r="H40" s="21">
        <f>SUM(F40:G40)</f>
        <v>2886</v>
      </c>
      <c r="J40" s="7" t="s">
        <v>22</v>
      </c>
      <c r="K40" s="10">
        <v>247.93</v>
      </c>
      <c r="L40" s="11">
        <v>226.78</v>
      </c>
      <c r="M40" s="11">
        <v>259.11</v>
      </c>
      <c r="N40" s="11">
        <v>247.36</v>
      </c>
      <c r="O40" s="11">
        <v>262.5</v>
      </c>
      <c r="P40" s="11"/>
      <c r="Q40" s="11"/>
      <c r="R40" s="11"/>
      <c r="S40" s="11"/>
      <c r="T40" s="11"/>
      <c r="U40" s="12"/>
      <c r="W40" s="7" t="s">
        <v>22</v>
      </c>
      <c r="X40" s="10">
        <v>75</v>
      </c>
      <c r="Y40" s="11"/>
      <c r="Z40" s="11"/>
      <c r="AA40" s="11"/>
      <c r="AB40" s="11"/>
      <c r="AC40" s="12"/>
      <c r="AE40" s="7" t="s">
        <v>22</v>
      </c>
      <c r="AF40" s="10"/>
      <c r="AG40" s="11"/>
      <c r="AH40" s="11"/>
      <c r="AI40" s="11"/>
      <c r="AJ40" s="11"/>
      <c r="AK40" s="12"/>
    </row>
    <row r="41" spans="1:37" x14ac:dyDescent="0.25">
      <c r="J41" s="8"/>
      <c r="T41" s="8" t="s">
        <v>23</v>
      </c>
      <c r="U41" s="13">
        <f>SUM(K40:U40)</f>
        <v>1243.68</v>
      </c>
      <c r="AB41" s="8" t="s">
        <v>23</v>
      </c>
      <c r="AC41" s="13">
        <f>SUM(X40:AC40)</f>
        <v>75</v>
      </c>
      <c r="AJ41" s="8" t="s">
        <v>23</v>
      </c>
      <c r="AK41" s="13">
        <f>SUM(AF40:AK40)</f>
        <v>0</v>
      </c>
    </row>
    <row r="42" spans="1:37" ht="15.75" thickBot="1" x14ac:dyDescent="0.3">
      <c r="A42" s="19"/>
      <c r="B42" s="101" t="s">
        <v>19</v>
      </c>
      <c r="C42" s="101"/>
      <c r="D42" s="101"/>
      <c r="E42" s="101"/>
      <c r="F42" s="101"/>
      <c r="G42" s="101"/>
      <c r="H42" s="101"/>
      <c r="J42" s="102" t="s">
        <v>19</v>
      </c>
      <c r="K42" s="102"/>
      <c r="L42" s="102"/>
      <c r="M42" s="102"/>
      <c r="N42" s="102"/>
      <c r="O42" s="102"/>
      <c r="P42" s="102"/>
      <c r="Q42" s="102"/>
      <c r="R42" s="102"/>
      <c r="S42" s="102"/>
      <c r="T42" s="102"/>
      <c r="U42" s="102"/>
      <c r="W42" s="103" t="str">
        <f>J42</f>
        <v>Outubro</v>
      </c>
      <c r="X42" s="103"/>
      <c r="Y42" s="103"/>
      <c r="Z42" s="103"/>
      <c r="AA42" s="103"/>
      <c r="AB42" s="103"/>
      <c r="AC42" s="103"/>
      <c r="AE42" s="104" t="str">
        <f>W42</f>
        <v>Outubro</v>
      </c>
      <c r="AF42" s="104"/>
      <c r="AG42" s="104"/>
      <c r="AH42" s="104"/>
      <c r="AI42" s="104"/>
      <c r="AJ42" s="104"/>
      <c r="AK42" s="104"/>
    </row>
    <row r="43" spans="1:37" ht="15.75" thickBot="1" x14ac:dyDescent="0.3">
      <c r="A43" s="100" t="s">
        <v>5</v>
      </c>
      <c r="B43" s="34" t="s">
        <v>6</v>
      </c>
      <c r="C43" s="22" t="s">
        <v>7</v>
      </c>
      <c r="D43" s="33" t="s">
        <v>8</v>
      </c>
      <c r="E43" s="22" t="s">
        <v>9</v>
      </c>
      <c r="F43" s="24" t="s">
        <v>10</v>
      </c>
      <c r="G43" s="23" t="s">
        <v>11</v>
      </c>
      <c r="H43" s="25" t="s">
        <v>12</v>
      </c>
      <c r="J43" s="6" t="s">
        <v>4</v>
      </c>
      <c r="K43" s="9">
        <v>45566</v>
      </c>
      <c r="L43" s="66">
        <v>45570</v>
      </c>
      <c r="M43" s="66">
        <v>45575</v>
      </c>
      <c r="N43" s="66">
        <v>45595</v>
      </c>
      <c r="O43" s="66">
        <v>45591</v>
      </c>
      <c r="P43" s="66">
        <v>45587</v>
      </c>
      <c r="Q43" s="66">
        <v>45582</v>
      </c>
      <c r="R43" s="4"/>
      <c r="S43" s="4"/>
      <c r="T43" s="4"/>
      <c r="U43" s="5"/>
      <c r="W43" s="6" t="s">
        <v>4</v>
      </c>
      <c r="X43" s="9">
        <v>45572</v>
      </c>
      <c r="Y43" s="4"/>
      <c r="Z43" s="4"/>
      <c r="AA43" s="4"/>
      <c r="AB43" s="4"/>
      <c r="AC43" s="5"/>
      <c r="AE43" s="6" t="s">
        <v>4</v>
      </c>
      <c r="AF43" s="9"/>
      <c r="AG43" s="4"/>
      <c r="AH43" s="4"/>
      <c r="AI43" s="4"/>
      <c r="AJ43" s="4"/>
      <c r="AK43" s="5"/>
    </row>
    <row r="44" spans="1:37" ht="15.75" thickBot="1" x14ac:dyDescent="0.3">
      <c r="A44" s="100"/>
      <c r="B44" s="26"/>
      <c r="C44" s="27"/>
      <c r="D44" s="27"/>
      <c r="E44" s="27"/>
      <c r="F44" s="27">
        <f>SUM(C44-B44)</f>
        <v>0</v>
      </c>
      <c r="G44" s="20">
        <f>SUM(E44-D44)</f>
        <v>0</v>
      </c>
      <c r="H44" s="21">
        <f>SUM(F44:G44)</f>
        <v>0</v>
      </c>
      <c r="J44" s="7" t="s">
        <v>22</v>
      </c>
      <c r="K44" s="10">
        <v>224.61</v>
      </c>
      <c r="L44" s="11">
        <v>239.24</v>
      </c>
      <c r="M44" s="11">
        <v>259.24</v>
      </c>
      <c r="N44" s="11">
        <v>259.31</v>
      </c>
      <c r="O44" s="11">
        <v>267.04000000000002</v>
      </c>
      <c r="P44" s="11">
        <v>219.37</v>
      </c>
      <c r="Q44" s="11">
        <v>241.93</v>
      </c>
      <c r="R44" s="11"/>
      <c r="S44" s="11"/>
      <c r="T44" s="11"/>
      <c r="U44" s="12"/>
      <c r="W44" s="7" t="s">
        <v>22</v>
      </c>
      <c r="X44" s="10">
        <v>75</v>
      </c>
      <c r="Y44" s="11"/>
      <c r="Z44" s="11"/>
      <c r="AA44" s="11"/>
      <c r="AB44" s="11"/>
      <c r="AC44" s="12"/>
      <c r="AE44" s="7" t="s">
        <v>22</v>
      </c>
      <c r="AF44" s="10"/>
      <c r="AG44" s="11"/>
      <c r="AH44" s="11"/>
      <c r="AI44" s="11"/>
      <c r="AJ44" s="11"/>
      <c r="AK44" s="12"/>
    </row>
    <row r="45" spans="1:37" x14ac:dyDescent="0.25">
      <c r="J45" s="8"/>
      <c r="T45" s="8" t="s">
        <v>23</v>
      </c>
      <c r="U45" s="13">
        <f>SUM(K44:U44)</f>
        <v>1710.74</v>
      </c>
      <c r="AB45" s="8" t="s">
        <v>23</v>
      </c>
      <c r="AC45" s="13">
        <f>SUM(X44:AC44)</f>
        <v>75</v>
      </c>
      <c r="AJ45" s="8" t="s">
        <v>23</v>
      </c>
      <c r="AK45" s="13">
        <f>SUM(AF44:AK44)</f>
        <v>0</v>
      </c>
    </row>
    <row r="46" spans="1:37" ht="15.75" thickBot="1" x14ac:dyDescent="0.3">
      <c r="A46" s="19"/>
      <c r="B46" s="101" t="s">
        <v>20</v>
      </c>
      <c r="C46" s="101"/>
      <c r="D46" s="101"/>
      <c r="E46" s="101"/>
      <c r="F46" s="101"/>
      <c r="G46" s="101"/>
      <c r="H46" s="101"/>
      <c r="J46" s="102" t="s">
        <v>20</v>
      </c>
      <c r="K46" s="102"/>
      <c r="L46" s="102"/>
      <c r="M46" s="102"/>
      <c r="N46" s="102"/>
      <c r="O46" s="102"/>
      <c r="P46" s="102"/>
      <c r="Q46" s="102"/>
      <c r="R46" s="102"/>
      <c r="S46" s="102"/>
      <c r="T46" s="102"/>
      <c r="U46" s="102"/>
      <c r="W46" s="103" t="str">
        <f>J46</f>
        <v>Novembro</v>
      </c>
      <c r="X46" s="103"/>
      <c r="Y46" s="103"/>
      <c r="Z46" s="103"/>
      <c r="AA46" s="103"/>
      <c r="AB46" s="103"/>
      <c r="AC46" s="103"/>
      <c r="AE46" s="104" t="str">
        <f>W46</f>
        <v>Novembro</v>
      </c>
      <c r="AF46" s="104"/>
      <c r="AG46" s="104"/>
      <c r="AH46" s="104"/>
      <c r="AI46" s="104"/>
      <c r="AJ46" s="104"/>
      <c r="AK46" s="104"/>
    </row>
    <row r="47" spans="1:37" ht="15.75" thickBot="1" x14ac:dyDescent="0.3">
      <c r="A47" s="100" t="s">
        <v>5</v>
      </c>
      <c r="B47" s="34" t="s">
        <v>6</v>
      </c>
      <c r="C47" s="22" t="s">
        <v>7</v>
      </c>
      <c r="D47" s="33" t="s">
        <v>8</v>
      </c>
      <c r="E47" s="22" t="s">
        <v>9</v>
      </c>
      <c r="F47" s="24" t="s">
        <v>10</v>
      </c>
      <c r="G47" s="23" t="s">
        <v>11</v>
      </c>
      <c r="H47" s="25" t="s">
        <v>12</v>
      </c>
      <c r="J47" s="6" t="s">
        <v>4</v>
      </c>
      <c r="K47" s="9">
        <v>45601</v>
      </c>
      <c r="L47" s="66">
        <v>45605</v>
      </c>
      <c r="M47" s="4"/>
      <c r="N47" s="4"/>
      <c r="O47" s="4"/>
      <c r="P47" s="4"/>
      <c r="Q47" s="4"/>
      <c r="R47" s="4"/>
      <c r="S47" s="4"/>
      <c r="T47" s="4"/>
      <c r="U47" s="5"/>
      <c r="W47" s="6" t="s">
        <v>4</v>
      </c>
      <c r="X47" s="9"/>
      <c r="Y47" s="4"/>
      <c r="Z47" s="4"/>
      <c r="AA47" s="4"/>
      <c r="AB47" s="4"/>
      <c r="AC47" s="5"/>
      <c r="AE47" s="6" t="s">
        <v>4</v>
      </c>
      <c r="AF47" s="9"/>
      <c r="AG47" s="4"/>
      <c r="AH47" s="4"/>
      <c r="AI47" s="4"/>
      <c r="AJ47" s="4"/>
      <c r="AK47" s="5"/>
    </row>
    <row r="48" spans="1:37" ht="15.75" thickBot="1" x14ac:dyDescent="0.3">
      <c r="A48" s="100"/>
      <c r="B48" s="26"/>
      <c r="C48" s="27"/>
      <c r="D48" s="27">
        <v>32655</v>
      </c>
      <c r="E48" s="27">
        <v>34048</v>
      </c>
      <c r="F48" s="27">
        <f>SUM(C48-B48)</f>
        <v>0</v>
      </c>
      <c r="G48" s="20">
        <f>SUM(E48-D48)</f>
        <v>1393</v>
      </c>
      <c r="H48" s="21">
        <f>SUM(F48:G48)</f>
        <v>1393</v>
      </c>
      <c r="J48" s="7" t="s">
        <v>22</v>
      </c>
      <c r="K48" s="10">
        <v>205.76</v>
      </c>
      <c r="L48" s="11">
        <v>203.14</v>
      </c>
      <c r="M48" s="11"/>
      <c r="N48" s="11"/>
      <c r="O48" s="11"/>
      <c r="P48" s="11"/>
      <c r="Q48" s="11"/>
      <c r="R48" s="11"/>
      <c r="S48" s="11"/>
      <c r="T48" s="11"/>
      <c r="U48" s="12"/>
      <c r="W48" s="7" t="s">
        <v>22</v>
      </c>
      <c r="X48" s="10"/>
      <c r="Y48" s="11"/>
      <c r="Z48" s="11"/>
      <c r="AA48" s="11"/>
      <c r="AB48" s="11"/>
      <c r="AC48" s="12"/>
      <c r="AE48" s="7" t="s">
        <v>22</v>
      </c>
      <c r="AF48" s="10"/>
      <c r="AG48" s="11"/>
      <c r="AH48" s="11"/>
      <c r="AI48" s="11"/>
      <c r="AJ48" s="11"/>
      <c r="AK48" s="12"/>
    </row>
    <row r="49" spans="1:37" x14ac:dyDescent="0.25">
      <c r="J49" s="8"/>
      <c r="T49" s="8" t="s">
        <v>23</v>
      </c>
      <c r="U49" s="13">
        <f>SUM(K48:U48)</f>
        <v>408.9</v>
      </c>
      <c r="AB49" s="8" t="s">
        <v>23</v>
      </c>
      <c r="AC49" s="13">
        <f>SUM(X48:AC48)</f>
        <v>0</v>
      </c>
      <c r="AJ49" s="8" t="s">
        <v>23</v>
      </c>
      <c r="AK49" s="13">
        <f>SUM(AF48:AK48)</f>
        <v>0</v>
      </c>
    </row>
    <row r="50" spans="1:37" ht="15.75" thickBot="1" x14ac:dyDescent="0.3">
      <c r="A50" s="19"/>
      <c r="B50" s="101" t="s">
        <v>21</v>
      </c>
      <c r="C50" s="101"/>
      <c r="D50" s="101"/>
      <c r="E50" s="101"/>
      <c r="F50" s="101"/>
      <c r="G50" s="101"/>
      <c r="H50" s="101"/>
      <c r="J50" s="102" t="s">
        <v>21</v>
      </c>
      <c r="K50" s="102"/>
      <c r="L50" s="102"/>
      <c r="M50" s="102"/>
      <c r="N50" s="102"/>
      <c r="O50" s="102"/>
      <c r="P50" s="102"/>
      <c r="Q50" s="102"/>
      <c r="R50" s="102"/>
      <c r="S50" s="102"/>
      <c r="T50" s="102"/>
      <c r="U50" s="102"/>
      <c r="W50" s="103" t="str">
        <f>J50</f>
        <v>Dezembro</v>
      </c>
      <c r="X50" s="103"/>
      <c r="Y50" s="103"/>
      <c r="Z50" s="103"/>
      <c r="AA50" s="103"/>
      <c r="AB50" s="103"/>
      <c r="AC50" s="103"/>
      <c r="AE50" s="104" t="str">
        <f>W50</f>
        <v>Dezembro</v>
      </c>
      <c r="AF50" s="104"/>
      <c r="AG50" s="104"/>
      <c r="AH50" s="104"/>
      <c r="AI50" s="104"/>
      <c r="AJ50" s="104"/>
      <c r="AK50" s="104"/>
    </row>
    <row r="51" spans="1:37" ht="15.75" thickBot="1" x14ac:dyDescent="0.3">
      <c r="A51" s="100" t="s">
        <v>5</v>
      </c>
      <c r="B51" s="34" t="s">
        <v>6</v>
      </c>
      <c r="C51" s="22" t="s">
        <v>7</v>
      </c>
      <c r="D51" s="33" t="s">
        <v>8</v>
      </c>
      <c r="E51" s="22" t="s">
        <v>9</v>
      </c>
      <c r="F51" s="24" t="s">
        <v>10</v>
      </c>
      <c r="G51" s="23" t="s">
        <v>11</v>
      </c>
      <c r="H51" s="25" t="s">
        <v>12</v>
      </c>
      <c r="J51" s="6" t="s">
        <v>4</v>
      </c>
      <c r="K51" s="9"/>
      <c r="L51" s="4"/>
      <c r="M51" s="4"/>
      <c r="N51" s="4"/>
      <c r="O51" s="4"/>
      <c r="P51" s="4"/>
      <c r="Q51" s="4"/>
      <c r="R51" s="4"/>
      <c r="S51" s="4"/>
      <c r="T51" s="4"/>
      <c r="U51" s="5"/>
      <c r="W51" s="6" t="s">
        <v>4</v>
      </c>
      <c r="X51" s="9"/>
      <c r="Y51" s="4"/>
      <c r="Z51" s="4"/>
      <c r="AA51" s="4"/>
      <c r="AB51" s="4"/>
      <c r="AC51" s="5"/>
      <c r="AE51" s="6" t="s">
        <v>4</v>
      </c>
      <c r="AF51" s="9"/>
      <c r="AG51" s="4"/>
      <c r="AH51" s="4"/>
      <c r="AI51" s="4"/>
      <c r="AJ51" s="4"/>
      <c r="AK51" s="5"/>
    </row>
    <row r="52" spans="1:37" ht="15.75" thickBot="1" x14ac:dyDescent="0.3">
      <c r="A52" s="100"/>
      <c r="B52" s="26">
        <v>34048</v>
      </c>
      <c r="C52" s="27">
        <v>36744</v>
      </c>
      <c r="D52" s="27"/>
      <c r="E52" s="27"/>
      <c r="F52" s="27">
        <f>SUM(C52-B52)</f>
        <v>2696</v>
      </c>
      <c r="G52" s="20">
        <f>SUM(E52-D52)</f>
        <v>0</v>
      </c>
      <c r="H52" s="21">
        <f>SUM(F52:G52)</f>
        <v>2696</v>
      </c>
      <c r="J52" s="7" t="s">
        <v>22</v>
      </c>
      <c r="K52" s="10"/>
      <c r="L52" s="11"/>
      <c r="M52" s="11"/>
      <c r="N52" s="11"/>
      <c r="O52" s="11"/>
      <c r="P52" s="11"/>
      <c r="Q52" s="11"/>
      <c r="R52" s="11"/>
      <c r="S52" s="11"/>
      <c r="T52" s="11"/>
      <c r="U52" s="12"/>
      <c r="W52" s="7" t="s">
        <v>22</v>
      </c>
      <c r="X52" s="10"/>
      <c r="Y52" s="11"/>
      <c r="Z52" s="11"/>
      <c r="AA52" s="11"/>
      <c r="AB52" s="11"/>
      <c r="AC52" s="12"/>
      <c r="AE52" s="7" t="s">
        <v>22</v>
      </c>
      <c r="AF52" s="10"/>
      <c r="AG52" s="11"/>
      <c r="AH52" s="11"/>
      <c r="AI52" s="11"/>
      <c r="AJ52" s="11"/>
      <c r="AK52" s="12"/>
    </row>
    <row r="53" spans="1:37" x14ac:dyDescent="0.25">
      <c r="A53" s="82" t="s">
        <v>144</v>
      </c>
      <c r="J53" s="8"/>
      <c r="T53" s="8" t="s">
        <v>23</v>
      </c>
      <c r="U53" s="13">
        <f>SUM(K52:U52)</f>
        <v>0</v>
      </c>
      <c r="AB53" s="8" t="s">
        <v>23</v>
      </c>
      <c r="AC53" s="13">
        <f>SUM(X52:AC52)</f>
        <v>0</v>
      </c>
      <c r="AJ53" s="8" t="s">
        <v>23</v>
      </c>
      <c r="AK53" s="13">
        <f>SUM(AF52:AK52)</f>
        <v>0</v>
      </c>
    </row>
    <row r="54" spans="1:37" ht="15.75" thickBot="1" x14ac:dyDescent="0.3">
      <c r="A54" s="19"/>
      <c r="B54" s="121" t="s">
        <v>141</v>
      </c>
      <c r="C54" s="101"/>
      <c r="D54" s="101"/>
      <c r="E54" s="101"/>
      <c r="F54" s="101"/>
      <c r="G54" s="101"/>
      <c r="H54" s="101"/>
      <c r="J54" s="102" t="s">
        <v>141</v>
      </c>
      <c r="K54" s="102"/>
      <c r="L54" s="102"/>
      <c r="M54" s="102"/>
      <c r="N54" s="102"/>
      <c r="O54" s="102"/>
      <c r="P54" s="102"/>
      <c r="Q54" s="102"/>
      <c r="R54" s="102"/>
      <c r="S54" s="102"/>
      <c r="T54" s="102"/>
      <c r="U54" s="102"/>
      <c r="W54" s="103" t="str">
        <f>J54</f>
        <v>Janeiro</v>
      </c>
      <c r="X54" s="103"/>
      <c r="Y54" s="103"/>
      <c r="Z54" s="103"/>
      <c r="AA54" s="103"/>
      <c r="AB54" s="103"/>
      <c r="AC54" s="103"/>
      <c r="AE54" s="104" t="str">
        <f>W54</f>
        <v>Janeiro</v>
      </c>
      <c r="AF54" s="104"/>
      <c r="AG54" s="104"/>
      <c r="AH54" s="104"/>
      <c r="AI54" s="104"/>
      <c r="AJ54" s="104"/>
      <c r="AK54" s="104"/>
    </row>
    <row r="55" spans="1:37" ht="15.75" thickBot="1" x14ac:dyDescent="0.3">
      <c r="A55" s="100" t="s">
        <v>5</v>
      </c>
      <c r="B55" s="34" t="s">
        <v>6</v>
      </c>
      <c r="C55" s="22" t="s">
        <v>7</v>
      </c>
      <c r="D55" s="33" t="s">
        <v>8</v>
      </c>
      <c r="E55" s="22" t="s">
        <v>9</v>
      </c>
      <c r="F55" s="24" t="s">
        <v>10</v>
      </c>
      <c r="G55" s="23" t="s">
        <v>11</v>
      </c>
      <c r="H55" s="25" t="s">
        <v>12</v>
      </c>
      <c r="J55" s="6" t="s">
        <v>4</v>
      </c>
      <c r="K55" s="9">
        <v>45664</v>
      </c>
      <c r="L55" s="66">
        <v>45667</v>
      </c>
      <c r="M55" s="66">
        <v>45671</v>
      </c>
      <c r="N55" s="66">
        <v>45674</v>
      </c>
      <c r="O55" s="4"/>
      <c r="P55" s="4"/>
      <c r="Q55" s="4"/>
      <c r="R55" s="4"/>
      <c r="S55" s="4"/>
      <c r="T55" s="4"/>
      <c r="U55" s="5"/>
      <c r="W55" s="6" t="s">
        <v>4</v>
      </c>
      <c r="X55" s="9">
        <v>45675</v>
      </c>
      <c r="Y55" s="4"/>
      <c r="Z55" s="4"/>
      <c r="AA55" s="4"/>
      <c r="AB55" s="4"/>
      <c r="AC55" s="5"/>
      <c r="AE55" s="6" t="s">
        <v>4</v>
      </c>
      <c r="AF55" s="9"/>
      <c r="AG55" s="4"/>
      <c r="AH55" s="4"/>
      <c r="AI55" s="4"/>
      <c r="AJ55" s="4"/>
      <c r="AK55" s="5"/>
    </row>
    <row r="56" spans="1:37" ht="15.75" thickBot="1" x14ac:dyDescent="0.3">
      <c r="A56" s="100"/>
      <c r="B56" s="26">
        <v>15750</v>
      </c>
      <c r="C56" s="27">
        <v>18791</v>
      </c>
      <c r="D56" s="27">
        <v>18791</v>
      </c>
      <c r="E56" s="27">
        <v>21037</v>
      </c>
      <c r="F56" s="27">
        <f>SUM(C56-B56)</f>
        <v>3041</v>
      </c>
      <c r="G56" s="20">
        <f>SUM(E56-D56)</f>
        <v>2246</v>
      </c>
      <c r="H56" s="21">
        <f>SUM(F56:G56)</f>
        <v>5287</v>
      </c>
      <c r="J56" s="7" t="s">
        <v>22</v>
      </c>
      <c r="K56" s="10">
        <v>319.5</v>
      </c>
      <c r="L56" s="11">
        <v>310.17</v>
      </c>
      <c r="M56" s="11">
        <v>281.16000000000003</v>
      </c>
      <c r="N56" s="11">
        <v>259.88</v>
      </c>
      <c r="O56" s="11"/>
      <c r="P56" s="11"/>
      <c r="Q56" s="11"/>
      <c r="R56" s="11"/>
      <c r="S56" s="11"/>
      <c r="T56" s="11"/>
      <c r="U56" s="12"/>
      <c r="W56" s="7" t="s">
        <v>22</v>
      </c>
      <c r="X56" s="10">
        <v>130</v>
      </c>
      <c r="Y56" s="11"/>
      <c r="Z56" s="11"/>
      <c r="AA56" s="11"/>
      <c r="AB56" s="11"/>
      <c r="AC56" s="12"/>
      <c r="AE56" s="7" t="s">
        <v>22</v>
      </c>
      <c r="AF56" s="10"/>
      <c r="AG56" s="11"/>
      <c r="AH56" s="11"/>
      <c r="AI56" s="11"/>
      <c r="AJ56" s="11"/>
      <c r="AK56" s="12"/>
    </row>
    <row r="57" spans="1:37" x14ac:dyDescent="0.25">
      <c r="J57" s="8"/>
      <c r="T57" s="8" t="s">
        <v>23</v>
      </c>
      <c r="U57" s="13">
        <f>SUM(K56:U56)</f>
        <v>1170.71</v>
      </c>
      <c r="AB57" s="8" t="s">
        <v>23</v>
      </c>
      <c r="AC57" s="13">
        <f>SUM(X56:AC56)</f>
        <v>130</v>
      </c>
      <c r="AJ57" s="8" t="s">
        <v>23</v>
      </c>
      <c r="AK57" s="13">
        <f>SUM(AF56:AK56)</f>
        <v>0</v>
      </c>
    </row>
    <row r="58" spans="1:37" ht="15.75" thickBot="1" x14ac:dyDescent="0.3">
      <c r="A58" s="85" t="s">
        <v>147</v>
      </c>
      <c r="B58" s="121" t="s">
        <v>3</v>
      </c>
      <c r="C58" s="101"/>
      <c r="D58" s="101"/>
      <c r="E58" s="101"/>
      <c r="F58" s="101"/>
      <c r="G58" s="101"/>
      <c r="H58" s="101"/>
      <c r="J58" s="102" t="s">
        <v>3</v>
      </c>
      <c r="K58" s="102"/>
      <c r="L58" s="102"/>
      <c r="M58" s="102"/>
      <c r="N58" s="102"/>
      <c r="O58" s="102"/>
      <c r="P58" s="102"/>
      <c r="Q58" s="102"/>
      <c r="R58" s="102"/>
      <c r="S58" s="102"/>
      <c r="T58" s="102"/>
      <c r="U58" s="102"/>
      <c r="W58" s="103" t="str">
        <f>J58</f>
        <v>Fevereiro</v>
      </c>
      <c r="X58" s="103"/>
      <c r="Y58" s="103"/>
      <c r="Z58" s="103"/>
      <c r="AA58" s="103"/>
      <c r="AB58" s="103"/>
      <c r="AC58" s="103"/>
      <c r="AE58" s="104" t="str">
        <f>W58</f>
        <v>Fevereiro</v>
      </c>
      <c r="AF58" s="104"/>
      <c r="AG58" s="104"/>
      <c r="AH58" s="104"/>
      <c r="AI58" s="104"/>
      <c r="AJ58" s="104"/>
      <c r="AK58" s="104"/>
    </row>
    <row r="59" spans="1:37" ht="15.75" thickBot="1" x14ac:dyDescent="0.3">
      <c r="A59" s="100" t="s">
        <v>5</v>
      </c>
      <c r="B59" s="34" t="s">
        <v>6</v>
      </c>
      <c r="C59" s="22" t="s">
        <v>7</v>
      </c>
      <c r="D59" s="33" t="s">
        <v>8</v>
      </c>
      <c r="E59" s="22" t="s">
        <v>9</v>
      </c>
      <c r="F59" s="24" t="s">
        <v>10</v>
      </c>
      <c r="G59" s="23" t="s">
        <v>11</v>
      </c>
      <c r="H59" s="25" t="s">
        <v>12</v>
      </c>
      <c r="J59" s="6" t="s">
        <v>4</v>
      </c>
      <c r="K59" s="9">
        <v>45689</v>
      </c>
      <c r="L59" s="66">
        <v>45692</v>
      </c>
      <c r="M59" s="66">
        <v>45695</v>
      </c>
      <c r="N59" s="66">
        <v>45699</v>
      </c>
      <c r="O59" s="66">
        <v>45702</v>
      </c>
      <c r="P59" s="66">
        <v>45706</v>
      </c>
      <c r="Q59" s="66">
        <v>45708</v>
      </c>
      <c r="R59" s="4"/>
      <c r="S59" s="4"/>
      <c r="T59" s="4"/>
      <c r="U59" s="5"/>
      <c r="W59" s="6" t="s">
        <v>4</v>
      </c>
      <c r="X59" s="9">
        <v>45696</v>
      </c>
      <c r="Y59" s="4"/>
      <c r="Z59" s="4"/>
      <c r="AA59" s="4"/>
      <c r="AB59" s="4"/>
      <c r="AC59" s="5"/>
      <c r="AE59" s="6" t="s">
        <v>4</v>
      </c>
      <c r="AF59" s="9"/>
      <c r="AG59" s="4"/>
      <c r="AH59" s="4"/>
      <c r="AI59" s="4"/>
      <c r="AJ59" s="4"/>
      <c r="AK59" s="5"/>
    </row>
    <row r="60" spans="1:37" ht="15.75" thickBot="1" x14ac:dyDescent="0.3">
      <c r="A60" s="100"/>
      <c r="B60" s="26">
        <v>21037</v>
      </c>
      <c r="C60" s="27"/>
      <c r="D60" s="27"/>
      <c r="E60" s="27">
        <v>25543</v>
      </c>
      <c r="F60" s="27">
        <f>SUM(C60-B60)</f>
        <v>-21037</v>
      </c>
      <c r="G60" s="20">
        <f>SUM(E60-D60)</f>
        <v>25543</v>
      </c>
      <c r="H60" s="21">
        <f>SUM(F60:G60)</f>
        <v>4506</v>
      </c>
      <c r="J60" s="7" t="s">
        <v>22</v>
      </c>
      <c r="K60" s="10">
        <v>300.33</v>
      </c>
      <c r="L60" s="11">
        <v>323.01</v>
      </c>
      <c r="M60" s="11">
        <v>263.67</v>
      </c>
      <c r="N60" s="11">
        <v>276.77999999999997</v>
      </c>
      <c r="O60" s="11">
        <v>325.14999999999998</v>
      </c>
      <c r="P60" s="11">
        <v>311.51</v>
      </c>
      <c r="Q60" s="11">
        <v>282.05</v>
      </c>
      <c r="R60" s="11"/>
      <c r="S60" s="11"/>
      <c r="T60" s="11"/>
      <c r="U60" s="12"/>
      <c r="W60" s="7" t="s">
        <v>22</v>
      </c>
      <c r="X60" s="10">
        <v>130</v>
      </c>
      <c r="Y60" s="11"/>
      <c r="Z60" s="11"/>
      <c r="AA60" s="11"/>
      <c r="AB60" s="11"/>
      <c r="AC60" s="12"/>
      <c r="AE60" s="7" t="s">
        <v>22</v>
      </c>
      <c r="AF60" s="10"/>
      <c r="AG60" s="11"/>
      <c r="AH60" s="11"/>
      <c r="AI60" s="11"/>
      <c r="AJ60" s="11"/>
      <c r="AK60" s="12"/>
    </row>
    <row r="61" spans="1:37" x14ac:dyDescent="0.25">
      <c r="J61" s="8"/>
      <c r="T61" s="8" t="s">
        <v>23</v>
      </c>
      <c r="U61" s="13">
        <f>SUM(K60:U60)</f>
        <v>2082.5</v>
      </c>
      <c r="AB61" s="8" t="s">
        <v>23</v>
      </c>
      <c r="AC61" s="13">
        <f>SUM(X60:AC60)</f>
        <v>130</v>
      </c>
      <c r="AJ61" s="8" t="s">
        <v>23</v>
      </c>
      <c r="AK61" s="13">
        <f>SUM(AF60:AK60)</f>
        <v>0</v>
      </c>
    </row>
  </sheetData>
  <mergeCells count="75">
    <mergeCell ref="A55:A56"/>
    <mergeCell ref="B4:C4"/>
    <mergeCell ref="B54:H54"/>
    <mergeCell ref="J54:U54"/>
    <mergeCell ref="W54:AC54"/>
    <mergeCell ref="A23:A24"/>
    <mergeCell ref="W26:AC26"/>
    <mergeCell ref="J46:U46"/>
    <mergeCell ref="J50:U50"/>
    <mergeCell ref="W10:AC10"/>
    <mergeCell ref="J14:U14"/>
    <mergeCell ref="J18:U18"/>
    <mergeCell ref="J22:U22"/>
    <mergeCell ref="J26:U26"/>
    <mergeCell ref="J30:U30"/>
    <mergeCell ref="J34:U34"/>
    <mergeCell ref="AE54:AK54"/>
    <mergeCell ref="W46:AC46"/>
    <mergeCell ref="B2:C2"/>
    <mergeCell ref="E2:F2"/>
    <mergeCell ref="B5:C5"/>
    <mergeCell ref="J38:U38"/>
    <mergeCell ref="J42:U42"/>
    <mergeCell ref="J8:U8"/>
    <mergeCell ref="A8:H8"/>
    <mergeCell ref="A11:A12"/>
    <mergeCell ref="A15:A16"/>
    <mergeCell ref="A19:A20"/>
    <mergeCell ref="B10:H10"/>
    <mergeCell ref="B14:H14"/>
    <mergeCell ref="B18:H18"/>
    <mergeCell ref="B22:H22"/>
    <mergeCell ref="J10:U10"/>
    <mergeCell ref="W50:AC50"/>
    <mergeCell ref="W30:AC30"/>
    <mergeCell ref="W34:AC34"/>
    <mergeCell ref="W38:AC38"/>
    <mergeCell ref="W42:AC42"/>
    <mergeCell ref="AE22:AK22"/>
    <mergeCell ref="W8:AC8"/>
    <mergeCell ref="W14:AC14"/>
    <mergeCell ref="W18:AC18"/>
    <mergeCell ref="W22:AC22"/>
    <mergeCell ref="A59:A60"/>
    <mergeCell ref="A51:A52"/>
    <mergeCell ref="E5:F5"/>
    <mergeCell ref="A39:A40"/>
    <mergeCell ref="B42:H42"/>
    <mergeCell ref="A43:A44"/>
    <mergeCell ref="B46:H46"/>
    <mergeCell ref="A47:A48"/>
    <mergeCell ref="B50:H50"/>
    <mergeCell ref="A27:A28"/>
    <mergeCell ref="B30:H30"/>
    <mergeCell ref="A31:A32"/>
    <mergeCell ref="B34:H34"/>
    <mergeCell ref="A35:A36"/>
    <mergeCell ref="B38:H38"/>
    <mergeCell ref="B26:H26"/>
    <mergeCell ref="E4:F4"/>
    <mergeCell ref="B58:H58"/>
    <mergeCell ref="J58:U58"/>
    <mergeCell ref="W58:AC58"/>
    <mergeCell ref="AE58:AK58"/>
    <mergeCell ref="AE8:AK8"/>
    <mergeCell ref="AE10:AK10"/>
    <mergeCell ref="AE14:AK14"/>
    <mergeCell ref="AE18:AK18"/>
    <mergeCell ref="AE50:AK50"/>
    <mergeCell ref="AE26:AK26"/>
    <mergeCell ref="AE30:AK30"/>
    <mergeCell ref="AE34:AK34"/>
    <mergeCell ref="AE38:AK38"/>
    <mergeCell ref="AE42:AK42"/>
    <mergeCell ref="AE46:AK46"/>
  </mergeCells>
  <phoneticPr fontId="3" type="noConversion"/>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K60"/>
  <sheetViews>
    <sheetView showGridLines="0" topLeftCell="G34" workbookViewId="0">
      <selection activeCell="Y59" sqref="Y59"/>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1" width="10.42578125" bestFit="1" customWidth="1"/>
    <col min="12" max="12" width="10.7109375" bestFit="1" customWidth="1"/>
    <col min="13" max="15" width="10.42578125" bestFit="1" customWidth="1"/>
    <col min="16" max="16" width="10.42578125" customWidth="1"/>
    <col min="17" max="17" width="10.7109375" bestFit="1" customWidth="1"/>
    <col min="18" max="18" width="10.42578125" bestFit="1" customWidth="1"/>
    <col min="21" max="21" width="12.140625" bestFit="1" customWidth="1"/>
    <col min="24" max="26" width="10.42578125" bestFit="1" customWidth="1"/>
    <col min="29" max="29" width="10.5703125" bestFit="1" customWidth="1"/>
    <col min="32" max="32" width="10.42578125" bestFit="1" customWidth="1"/>
    <col min="34" max="36" width="10.140625" bestFit="1" customWidth="1"/>
  </cols>
  <sheetData>
    <row r="2" spans="1:37" x14ac:dyDescent="0.25">
      <c r="A2" t="s">
        <v>0</v>
      </c>
      <c r="B2" s="107" t="s">
        <v>121</v>
      </c>
      <c r="C2" s="107"/>
      <c r="D2" s="1" t="s">
        <v>1</v>
      </c>
      <c r="E2" s="107" t="s">
        <v>122</v>
      </c>
      <c r="F2" s="107"/>
      <c r="H2" t="s">
        <v>45</v>
      </c>
      <c r="I2" s="54">
        <v>5200</v>
      </c>
    </row>
    <row r="3" spans="1:37" x14ac:dyDescent="0.25">
      <c r="F3" s="1"/>
    </row>
    <row r="4" spans="1:37" x14ac:dyDescent="0.25">
      <c r="A4" t="s">
        <v>2</v>
      </c>
      <c r="B4" s="108">
        <v>2363</v>
      </c>
      <c r="C4" s="108"/>
      <c r="D4" s="1" t="s">
        <v>29</v>
      </c>
      <c r="E4" s="107">
        <v>40</v>
      </c>
      <c r="F4" s="107"/>
      <c r="H4" t="s">
        <v>64</v>
      </c>
      <c r="I4" s="67">
        <v>45353</v>
      </c>
    </row>
    <row r="7" spans="1:37"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105" t="s">
        <v>25</v>
      </c>
      <c r="X7" s="105"/>
      <c r="Y7" s="105"/>
      <c r="Z7" s="105"/>
      <c r="AA7" s="105"/>
      <c r="AB7" s="105"/>
      <c r="AC7" s="105"/>
      <c r="AD7" s="2"/>
      <c r="AE7" s="105" t="s">
        <v>27</v>
      </c>
      <c r="AF7" s="105"/>
      <c r="AG7" s="105"/>
      <c r="AH7" s="105"/>
      <c r="AI7" s="105"/>
      <c r="AJ7" s="105"/>
      <c r="AK7" s="105"/>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101" t="s">
        <v>3</v>
      </c>
      <c r="C9" s="101"/>
      <c r="D9" s="101"/>
      <c r="E9" s="101"/>
      <c r="F9" s="101"/>
      <c r="G9" s="101"/>
      <c r="H9" s="101"/>
      <c r="J9" s="102" t="s">
        <v>3</v>
      </c>
      <c r="K9" s="102"/>
      <c r="L9" s="102"/>
      <c r="M9" s="102"/>
      <c r="N9" s="102"/>
      <c r="O9" s="102"/>
      <c r="P9" s="102"/>
      <c r="Q9" s="102"/>
      <c r="R9" s="102"/>
      <c r="S9" s="102"/>
      <c r="T9" s="102"/>
      <c r="U9" s="102"/>
      <c r="W9" s="103" t="s">
        <v>3</v>
      </c>
      <c r="X9" s="103"/>
      <c r="Y9" s="103"/>
      <c r="Z9" s="103"/>
      <c r="AA9" s="103"/>
      <c r="AB9" s="103"/>
      <c r="AC9" s="103"/>
      <c r="AE9" s="104" t="s">
        <v>3</v>
      </c>
      <c r="AF9" s="104"/>
      <c r="AG9" s="104"/>
      <c r="AH9" s="104"/>
      <c r="AI9" s="104"/>
      <c r="AJ9" s="104"/>
      <c r="AK9" s="104"/>
    </row>
    <row r="10" spans="1:37"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E12" s="1" t="s">
        <v>82</v>
      </c>
      <c r="J12" s="8"/>
      <c r="T12" s="8" t="s">
        <v>23</v>
      </c>
      <c r="U12" s="13">
        <f>SUM(K11:U11)</f>
        <v>0</v>
      </c>
      <c r="AB12" s="8" t="s">
        <v>23</v>
      </c>
      <c r="AC12" s="13">
        <f>SUM(X11:AC11)</f>
        <v>0</v>
      </c>
      <c r="AJ12" s="8" t="s">
        <v>23</v>
      </c>
      <c r="AK12" s="13">
        <f>SUM(AF11:AK11)</f>
        <v>0</v>
      </c>
    </row>
    <row r="13" spans="1:37"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W13" s="103" t="str">
        <f>J13</f>
        <v>Março</v>
      </c>
      <c r="X13" s="103"/>
      <c r="Y13" s="103"/>
      <c r="Z13" s="103"/>
      <c r="AA13" s="103"/>
      <c r="AB13" s="103"/>
      <c r="AC13" s="103"/>
      <c r="AE13" s="104" t="str">
        <f>W13</f>
        <v>Março</v>
      </c>
      <c r="AF13" s="104"/>
      <c r="AG13" s="104"/>
      <c r="AH13" s="104"/>
      <c r="AI13" s="104"/>
      <c r="AJ13" s="104"/>
      <c r="AK13" s="104"/>
    </row>
    <row r="14" spans="1:37" ht="15.75" thickBot="1" x14ac:dyDescent="0.3">
      <c r="A14" s="100" t="s">
        <v>5</v>
      </c>
      <c r="B14" s="34" t="s">
        <v>6</v>
      </c>
      <c r="C14" s="22" t="s">
        <v>7</v>
      </c>
      <c r="D14" s="33" t="s">
        <v>8</v>
      </c>
      <c r="E14" s="22" t="s">
        <v>9</v>
      </c>
      <c r="F14" s="24" t="s">
        <v>10</v>
      </c>
      <c r="G14" s="23" t="s">
        <v>11</v>
      </c>
      <c r="H14" s="25" t="s">
        <v>12</v>
      </c>
      <c r="J14" s="6" t="s">
        <v>4</v>
      </c>
      <c r="K14" s="9">
        <v>45356</v>
      </c>
      <c r="L14" s="66">
        <v>45357</v>
      </c>
      <c r="M14" s="66">
        <v>45363</v>
      </c>
      <c r="N14" s="66">
        <v>45366</v>
      </c>
      <c r="O14" s="66">
        <v>45370</v>
      </c>
      <c r="P14" s="66">
        <v>45371</v>
      </c>
      <c r="Q14" s="66">
        <v>45377</v>
      </c>
      <c r="R14" s="66">
        <v>45379</v>
      </c>
      <c r="S14" s="4"/>
      <c r="T14" s="4"/>
      <c r="U14" s="5"/>
      <c r="W14" s="6" t="s">
        <v>4</v>
      </c>
      <c r="X14" s="9"/>
      <c r="Y14" s="4"/>
      <c r="Z14" s="4"/>
      <c r="AA14" s="4"/>
      <c r="AB14" s="4"/>
      <c r="AC14" s="5"/>
      <c r="AE14" s="6" t="s">
        <v>4</v>
      </c>
      <c r="AF14" s="9"/>
      <c r="AG14" s="4"/>
      <c r="AH14" s="4"/>
      <c r="AI14" s="4"/>
      <c r="AJ14" s="4"/>
      <c r="AK14" s="5"/>
    </row>
    <row r="15" spans="1:37" ht="15.75" thickBot="1" x14ac:dyDescent="0.3">
      <c r="A15" s="100"/>
      <c r="B15" s="26">
        <v>41923</v>
      </c>
      <c r="C15" s="27"/>
      <c r="D15" s="27"/>
      <c r="E15" s="27">
        <v>44925</v>
      </c>
      <c r="F15" s="27">
        <f>SUM(C15-B15)</f>
        <v>-41923</v>
      </c>
      <c r="G15" s="20">
        <f>SUM(E15-D15)</f>
        <v>44925</v>
      </c>
      <c r="H15" s="21">
        <f>SUM(F15:G15)</f>
        <v>3002</v>
      </c>
      <c r="J15" s="7" t="s">
        <v>22</v>
      </c>
      <c r="K15" s="10">
        <v>122.5</v>
      </c>
      <c r="L15" s="11">
        <v>110.71</v>
      </c>
      <c r="M15" s="11">
        <v>242.77</v>
      </c>
      <c r="N15" s="11">
        <v>181.38</v>
      </c>
      <c r="O15" s="11">
        <v>147.34</v>
      </c>
      <c r="P15" s="11">
        <v>134.16999999999999</v>
      </c>
      <c r="Q15" s="11">
        <v>83.91</v>
      </c>
      <c r="R15" s="11">
        <v>175.95</v>
      </c>
      <c r="S15" s="11"/>
      <c r="T15" s="11"/>
      <c r="U15" s="12"/>
      <c r="W15" s="7" t="s">
        <v>22</v>
      </c>
      <c r="X15" s="10"/>
      <c r="Y15" s="11"/>
      <c r="Z15" s="11"/>
      <c r="AA15" s="11"/>
      <c r="AB15" s="11"/>
      <c r="AC15" s="12"/>
      <c r="AE15" s="7" t="s">
        <v>22</v>
      </c>
      <c r="AF15" s="10"/>
      <c r="AG15" s="11"/>
      <c r="AH15" s="11"/>
      <c r="AI15" s="11"/>
      <c r="AJ15" s="11"/>
      <c r="AK15" s="12"/>
    </row>
    <row r="16" spans="1:37" x14ac:dyDescent="0.25">
      <c r="E16" s="1" t="s">
        <v>83</v>
      </c>
      <c r="J16" s="8"/>
      <c r="T16" s="8" t="s">
        <v>23</v>
      </c>
      <c r="U16" s="13">
        <f>SUM(K15:U15)</f>
        <v>1198.73</v>
      </c>
      <c r="AB16" s="8" t="s">
        <v>23</v>
      </c>
      <c r="AC16" s="13">
        <f>SUM(X15:AC15)</f>
        <v>0</v>
      </c>
      <c r="AJ16" s="8" t="s">
        <v>23</v>
      </c>
      <c r="AK16" s="13">
        <f>SUM(AF15:AK15)</f>
        <v>0</v>
      </c>
    </row>
    <row r="17" spans="1:37"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W17" s="103" t="str">
        <f>J17</f>
        <v>Abril</v>
      </c>
      <c r="X17" s="103"/>
      <c r="Y17" s="103"/>
      <c r="Z17" s="103"/>
      <c r="AA17" s="103"/>
      <c r="AB17" s="103"/>
      <c r="AC17" s="103"/>
      <c r="AE17" s="104" t="str">
        <f>W17</f>
        <v>Abril</v>
      </c>
      <c r="AF17" s="104"/>
      <c r="AG17" s="104"/>
      <c r="AH17" s="104"/>
      <c r="AI17" s="104"/>
      <c r="AJ17" s="104"/>
      <c r="AK17" s="104"/>
    </row>
    <row r="18" spans="1:37" ht="15.75" thickBot="1" x14ac:dyDescent="0.3">
      <c r="A18" s="100" t="s">
        <v>5</v>
      </c>
      <c r="B18" s="34" t="s">
        <v>6</v>
      </c>
      <c r="C18" s="22" t="s">
        <v>7</v>
      </c>
      <c r="D18" s="33" t="s">
        <v>8</v>
      </c>
      <c r="E18" s="22" t="s">
        <v>9</v>
      </c>
      <c r="F18" s="24" t="s">
        <v>10</v>
      </c>
      <c r="G18" s="23" t="s">
        <v>11</v>
      </c>
      <c r="H18" s="25" t="s">
        <v>12</v>
      </c>
      <c r="J18" s="6" t="s">
        <v>4</v>
      </c>
      <c r="K18" s="9">
        <v>45384</v>
      </c>
      <c r="L18" s="66">
        <v>45387</v>
      </c>
      <c r="M18" s="66">
        <v>45405</v>
      </c>
      <c r="N18" s="66">
        <v>45393</v>
      </c>
      <c r="O18" s="66">
        <v>45398</v>
      </c>
      <c r="P18" s="66">
        <v>45402</v>
      </c>
      <c r="Q18" s="66">
        <v>45412</v>
      </c>
      <c r="R18" s="66">
        <v>45391</v>
      </c>
      <c r="S18" s="4"/>
      <c r="T18" s="4"/>
      <c r="U18" s="5"/>
      <c r="W18" s="6" t="s">
        <v>4</v>
      </c>
      <c r="X18" s="9">
        <v>45400</v>
      </c>
      <c r="Y18" s="66">
        <v>45409</v>
      </c>
      <c r="Z18" s="4"/>
      <c r="AA18" s="4"/>
      <c r="AB18" s="4"/>
      <c r="AC18" s="5"/>
      <c r="AE18" s="6" t="s">
        <v>4</v>
      </c>
      <c r="AF18" s="9"/>
      <c r="AG18" s="4"/>
      <c r="AH18" s="4"/>
      <c r="AI18" s="4"/>
      <c r="AJ18" s="4"/>
      <c r="AK18" s="5"/>
    </row>
    <row r="19" spans="1:37" ht="15.75" thickBot="1" x14ac:dyDescent="0.3">
      <c r="A19" s="100"/>
      <c r="B19" s="26">
        <v>1550</v>
      </c>
      <c r="C19" s="27"/>
      <c r="D19" s="27"/>
      <c r="E19" s="27">
        <v>4632</v>
      </c>
      <c r="F19" s="27">
        <f>SUM(C19-B19)</f>
        <v>-1550</v>
      </c>
      <c r="G19" s="20">
        <f>SUM(E19-D19)</f>
        <v>4632</v>
      </c>
      <c r="H19" s="21">
        <f>SUM(F19:G19)</f>
        <v>3082</v>
      </c>
      <c r="J19" s="7" t="s">
        <v>22</v>
      </c>
      <c r="K19" s="30">
        <v>159.75</v>
      </c>
      <c r="L19" s="31">
        <v>170.13</v>
      </c>
      <c r="M19" s="31">
        <v>185.27</v>
      </c>
      <c r="N19" s="31">
        <v>288.83999999999997</v>
      </c>
      <c r="O19" s="31">
        <v>252.84</v>
      </c>
      <c r="P19" s="31">
        <v>209.71</v>
      </c>
      <c r="Q19" s="31">
        <v>276.86</v>
      </c>
      <c r="R19" s="31">
        <v>169.89</v>
      </c>
      <c r="S19" s="31"/>
      <c r="T19" s="31"/>
      <c r="U19" s="32"/>
      <c r="W19" s="7" t="s">
        <v>22</v>
      </c>
      <c r="X19" s="10">
        <v>80</v>
      </c>
      <c r="Y19" s="11">
        <v>80</v>
      </c>
      <c r="Z19" s="11"/>
      <c r="AA19" s="11"/>
      <c r="AB19" s="11"/>
      <c r="AC19" s="12"/>
      <c r="AE19" s="7" t="s">
        <v>22</v>
      </c>
      <c r="AF19" s="10"/>
      <c r="AG19" s="11"/>
      <c r="AH19" s="11"/>
      <c r="AI19" s="11"/>
      <c r="AJ19" s="11"/>
      <c r="AK19" s="12"/>
    </row>
    <row r="20" spans="1:37" x14ac:dyDescent="0.25">
      <c r="J20" s="8"/>
      <c r="T20" s="8" t="s">
        <v>23</v>
      </c>
      <c r="U20" s="13">
        <f>SUM(K19:U19)</f>
        <v>1713.29</v>
      </c>
      <c r="AB20" s="8" t="s">
        <v>23</v>
      </c>
      <c r="AC20" s="13">
        <f>SUM(X19:AC19)</f>
        <v>160</v>
      </c>
      <c r="AJ20" s="8" t="s">
        <v>23</v>
      </c>
      <c r="AK20" s="13">
        <f>SUM(AF19:AK19)</f>
        <v>0</v>
      </c>
    </row>
    <row r="21" spans="1:37"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W21" s="103" t="str">
        <f>J21</f>
        <v>Maio</v>
      </c>
      <c r="X21" s="103"/>
      <c r="Y21" s="103"/>
      <c r="Z21" s="103"/>
      <c r="AA21" s="103"/>
      <c r="AB21" s="103"/>
      <c r="AC21" s="103"/>
      <c r="AE21" s="104" t="str">
        <f>W21</f>
        <v>Maio</v>
      </c>
      <c r="AF21" s="104"/>
      <c r="AG21" s="104"/>
      <c r="AH21" s="104"/>
      <c r="AI21" s="104"/>
      <c r="AJ21" s="104"/>
      <c r="AK21" s="104"/>
    </row>
    <row r="22" spans="1:37" ht="15.75" thickBot="1" x14ac:dyDescent="0.3">
      <c r="A22" s="100" t="s">
        <v>5</v>
      </c>
      <c r="B22" s="34" t="s">
        <v>6</v>
      </c>
      <c r="C22" s="22" t="s">
        <v>7</v>
      </c>
      <c r="D22" s="33" t="s">
        <v>8</v>
      </c>
      <c r="E22" s="22" t="s">
        <v>9</v>
      </c>
      <c r="F22" s="24" t="s">
        <v>10</v>
      </c>
      <c r="G22" s="23" t="s">
        <v>11</v>
      </c>
      <c r="H22" s="25" t="s">
        <v>12</v>
      </c>
      <c r="J22" s="6" t="s">
        <v>4</v>
      </c>
      <c r="K22" s="9">
        <v>45415</v>
      </c>
      <c r="L22" s="66">
        <v>45419</v>
      </c>
      <c r="M22" s="66">
        <v>45433</v>
      </c>
      <c r="N22" s="66">
        <v>45437</v>
      </c>
      <c r="O22" s="66">
        <v>45441</v>
      </c>
      <c r="P22" s="66">
        <v>45427</v>
      </c>
      <c r="Q22" s="4"/>
      <c r="R22" s="4"/>
      <c r="S22" s="4"/>
      <c r="T22" s="4"/>
      <c r="U22" s="5"/>
      <c r="W22" s="6" t="s">
        <v>4</v>
      </c>
      <c r="X22" s="9">
        <v>45423</v>
      </c>
      <c r="Y22" s="66">
        <v>45416</v>
      </c>
      <c r="Z22" s="4"/>
      <c r="AA22" s="4"/>
      <c r="AB22" s="4"/>
      <c r="AC22" s="5"/>
      <c r="AE22" s="6" t="s">
        <v>4</v>
      </c>
      <c r="AF22" s="9"/>
      <c r="AG22" s="4"/>
      <c r="AH22" s="4"/>
      <c r="AI22" s="4"/>
      <c r="AJ22" s="4"/>
      <c r="AK22" s="5"/>
    </row>
    <row r="23" spans="1:37" ht="15.75" thickBot="1" x14ac:dyDescent="0.3">
      <c r="A23" s="100"/>
      <c r="B23" s="26">
        <v>4632</v>
      </c>
      <c r="C23" s="27"/>
      <c r="D23" s="27"/>
      <c r="E23" s="27">
        <v>7355</v>
      </c>
      <c r="F23" s="27">
        <f>SUM(C23-B23)</f>
        <v>-4632</v>
      </c>
      <c r="G23" s="20">
        <f>SUM(E23-D23)</f>
        <v>7355</v>
      </c>
      <c r="H23" s="21">
        <f>SUM(F23:G23)</f>
        <v>2723</v>
      </c>
      <c r="J23" s="7" t="s">
        <v>22</v>
      </c>
      <c r="K23" s="10">
        <v>174.97</v>
      </c>
      <c r="L23" s="11">
        <v>248.82</v>
      </c>
      <c r="M23" s="11">
        <v>214.5</v>
      </c>
      <c r="N23" s="11">
        <v>248.76</v>
      </c>
      <c r="O23" s="11">
        <v>221.17</v>
      </c>
      <c r="P23" s="11">
        <v>239.72</v>
      </c>
      <c r="Q23" s="11"/>
      <c r="R23" s="11"/>
      <c r="S23" s="11"/>
      <c r="T23" s="11"/>
      <c r="U23" s="12"/>
      <c r="W23" s="7" t="s">
        <v>22</v>
      </c>
      <c r="X23" s="10">
        <v>80</v>
      </c>
      <c r="Y23" s="11">
        <v>80</v>
      </c>
      <c r="Z23" s="11"/>
      <c r="AA23" s="11"/>
      <c r="AB23" s="11"/>
      <c r="AC23" s="12"/>
      <c r="AE23" s="7" t="s">
        <v>22</v>
      </c>
      <c r="AF23" s="10"/>
      <c r="AG23" s="11"/>
      <c r="AH23" s="11"/>
      <c r="AI23" s="11"/>
      <c r="AJ23" s="11"/>
      <c r="AK23" s="12"/>
    </row>
    <row r="24" spans="1:37" x14ac:dyDescent="0.25">
      <c r="J24" s="8"/>
      <c r="T24" s="8" t="s">
        <v>23</v>
      </c>
      <c r="U24" s="13">
        <f>SUM(K23:U23)</f>
        <v>1347.94</v>
      </c>
      <c r="AB24" s="8" t="s">
        <v>23</v>
      </c>
      <c r="AC24" s="13">
        <f>SUM(X23:AC23)</f>
        <v>160</v>
      </c>
      <c r="AJ24" s="8" t="s">
        <v>23</v>
      </c>
      <c r="AK24" s="13">
        <f>SUM(AF23:AK23)</f>
        <v>0</v>
      </c>
    </row>
    <row r="25" spans="1:37"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W25" s="103" t="str">
        <f>J25</f>
        <v>Junho</v>
      </c>
      <c r="X25" s="103"/>
      <c r="Y25" s="103"/>
      <c r="Z25" s="103"/>
      <c r="AA25" s="103"/>
      <c r="AB25" s="103"/>
      <c r="AC25" s="103"/>
      <c r="AE25" s="104" t="str">
        <f>W25</f>
        <v>Junho</v>
      </c>
      <c r="AF25" s="104"/>
      <c r="AG25" s="104"/>
      <c r="AH25" s="104"/>
      <c r="AI25" s="104"/>
      <c r="AJ25" s="104"/>
      <c r="AK25" s="104"/>
    </row>
    <row r="26" spans="1:37" ht="15.75" thickBot="1" x14ac:dyDescent="0.3">
      <c r="A26" s="100" t="s">
        <v>5</v>
      </c>
      <c r="B26" s="34" t="s">
        <v>6</v>
      </c>
      <c r="C26" s="22" t="s">
        <v>7</v>
      </c>
      <c r="D26" s="33" t="s">
        <v>8</v>
      </c>
      <c r="E26" s="22" t="s">
        <v>9</v>
      </c>
      <c r="F26" s="24" t="s">
        <v>10</v>
      </c>
      <c r="G26" s="23" t="s">
        <v>11</v>
      </c>
      <c r="H26" s="25" t="s">
        <v>12</v>
      </c>
      <c r="J26" s="6" t="s">
        <v>4</v>
      </c>
      <c r="K26" s="9">
        <v>45447</v>
      </c>
      <c r="L26" s="66">
        <v>45454</v>
      </c>
      <c r="M26" s="66">
        <v>45457</v>
      </c>
      <c r="N26" s="66">
        <v>45462</v>
      </c>
      <c r="O26" s="66">
        <v>45468</v>
      </c>
      <c r="P26" s="66">
        <v>45472</v>
      </c>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100"/>
      <c r="B27" s="26">
        <v>7355</v>
      </c>
      <c r="C27" s="27"/>
      <c r="D27" s="27"/>
      <c r="E27" s="27">
        <v>10407</v>
      </c>
      <c r="F27" s="27">
        <f>SUM(C27-B27)</f>
        <v>-7355</v>
      </c>
      <c r="G27" s="20">
        <f>SUM(E27-D27)</f>
        <v>10407</v>
      </c>
      <c r="H27" s="21">
        <f>SUM(F27:G27)</f>
        <v>3052</v>
      </c>
      <c r="J27" s="7" t="s">
        <v>22</v>
      </c>
      <c r="K27" s="10">
        <v>256.95</v>
      </c>
      <c r="L27" s="11">
        <v>232.43</v>
      </c>
      <c r="M27" s="11">
        <v>278.55</v>
      </c>
      <c r="N27" s="11">
        <v>272.11</v>
      </c>
      <c r="O27" s="11">
        <v>216.53</v>
      </c>
      <c r="P27" s="11">
        <v>230.33</v>
      </c>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1486.8999999999999</v>
      </c>
      <c r="AB28" s="8" t="s">
        <v>23</v>
      </c>
      <c r="AC28" s="13">
        <f>SUM(X27:AC27)</f>
        <v>0</v>
      </c>
      <c r="AJ28" s="8" t="s">
        <v>23</v>
      </c>
      <c r="AK28" s="13">
        <f>SUM(AF27:AK27)</f>
        <v>0</v>
      </c>
    </row>
    <row r="29" spans="1:37"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W29" s="103" t="str">
        <f>J29</f>
        <v>Julho</v>
      </c>
      <c r="X29" s="103"/>
      <c r="Y29" s="103"/>
      <c r="Z29" s="103"/>
      <c r="AA29" s="103"/>
      <c r="AB29" s="103"/>
      <c r="AC29" s="103"/>
      <c r="AE29" s="104" t="str">
        <f>W29</f>
        <v>Julho</v>
      </c>
      <c r="AF29" s="104"/>
      <c r="AG29" s="104"/>
      <c r="AH29" s="104"/>
      <c r="AI29" s="104"/>
      <c r="AJ29" s="104"/>
      <c r="AK29" s="104"/>
    </row>
    <row r="30" spans="1:37" ht="15.75" thickBot="1" x14ac:dyDescent="0.3">
      <c r="A30" s="100" t="s">
        <v>5</v>
      </c>
      <c r="B30" s="34" t="s">
        <v>6</v>
      </c>
      <c r="C30" s="22" t="s">
        <v>7</v>
      </c>
      <c r="D30" s="33" t="s">
        <v>8</v>
      </c>
      <c r="E30" s="22" t="s">
        <v>9</v>
      </c>
      <c r="F30" s="24" t="s">
        <v>10</v>
      </c>
      <c r="G30" s="23" t="s">
        <v>11</v>
      </c>
      <c r="H30" s="25" t="s">
        <v>12</v>
      </c>
      <c r="J30" s="6" t="s">
        <v>4</v>
      </c>
      <c r="K30" s="9">
        <v>45475</v>
      </c>
      <c r="L30" s="66">
        <v>45479</v>
      </c>
      <c r="M30" s="66">
        <v>45483</v>
      </c>
      <c r="N30" s="66">
        <v>45490</v>
      </c>
      <c r="O30" s="66">
        <v>45498</v>
      </c>
      <c r="P30" s="66">
        <v>45500</v>
      </c>
      <c r="Q30" s="66">
        <v>45504</v>
      </c>
      <c r="R30" s="4"/>
      <c r="S30" s="4"/>
      <c r="T30" s="4"/>
      <c r="U30" s="5"/>
      <c r="W30" s="6" t="s">
        <v>4</v>
      </c>
      <c r="X30" s="9">
        <v>45486</v>
      </c>
      <c r="Y30" s="66">
        <v>45498</v>
      </c>
      <c r="Z30" s="4"/>
      <c r="AA30" s="4"/>
      <c r="AB30" s="4"/>
      <c r="AC30" s="5"/>
      <c r="AE30" s="6" t="s">
        <v>4</v>
      </c>
      <c r="AF30" s="9"/>
      <c r="AG30" s="4"/>
      <c r="AH30" s="4"/>
      <c r="AI30" s="4"/>
      <c r="AJ30" s="4"/>
      <c r="AK30" s="5"/>
    </row>
    <row r="31" spans="1:37" ht="15.75" thickBot="1" x14ac:dyDescent="0.3">
      <c r="A31" s="100"/>
      <c r="B31" s="26">
        <v>10407</v>
      </c>
      <c r="C31" s="27"/>
      <c r="D31" s="27"/>
      <c r="E31" s="27">
        <v>13018</v>
      </c>
      <c r="F31" s="27">
        <f>SUM(C31-B31)</f>
        <v>-10407</v>
      </c>
      <c r="G31" s="20">
        <f>SUM(E31-D31)</f>
        <v>13018</v>
      </c>
      <c r="H31" s="21">
        <f>SUM(F31:G31)</f>
        <v>2611</v>
      </c>
      <c r="J31" s="7" t="s">
        <v>22</v>
      </c>
      <c r="K31" s="10">
        <v>255.34</v>
      </c>
      <c r="L31" s="11">
        <v>269.2</v>
      </c>
      <c r="M31" s="11">
        <v>255.6</v>
      </c>
      <c r="N31" s="11">
        <v>274.39</v>
      </c>
      <c r="O31" s="11">
        <v>263.64999999999998</v>
      </c>
      <c r="P31" s="11">
        <v>185.12</v>
      </c>
      <c r="Q31" s="11">
        <v>276.18</v>
      </c>
      <c r="R31" s="11"/>
      <c r="S31" s="11"/>
      <c r="T31" s="11"/>
      <c r="U31" s="12"/>
      <c r="W31" s="7" t="s">
        <v>22</v>
      </c>
      <c r="X31" s="10">
        <v>80</v>
      </c>
      <c r="Y31" s="11">
        <v>80</v>
      </c>
      <c r="Z31" s="11"/>
      <c r="AA31" s="11"/>
      <c r="AB31" s="11"/>
      <c r="AC31" s="12"/>
      <c r="AE31" s="7" t="s">
        <v>22</v>
      </c>
      <c r="AF31" s="10"/>
      <c r="AG31" s="11"/>
      <c r="AH31" s="11"/>
      <c r="AI31" s="11"/>
      <c r="AJ31" s="11"/>
      <c r="AK31" s="12"/>
    </row>
    <row r="32" spans="1:37" x14ac:dyDescent="0.25">
      <c r="J32" s="8"/>
      <c r="T32" s="8" t="s">
        <v>23</v>
      </c>
      <c r="U32" s="13">
        <f>SUM(K31:U31)</f>
        <v>1779.4799999999998</v>
      </c>
      <c r="AB32" s="8" t="s">
        <v>23</v>
      </c>
      <c r="AC32" s="13">
        <f>SUM(X31:AC31)</f>
        <v>160</v>
      </c>
      <c r="AJ32" s="8" t="s">
        <v>23</v>
      </c>
      <c r="AK32" s="13">
        <f>SUM(AF31:AK31)</f>
        <v>0</v>
      </c>
    </row>
    <row r="33" spans="1:37"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W33" s="103" t="str">
        <f>J33</f>
        <v>Agosto</v>
      </c>
      <c r="X33" s="103"/>
      <c r="Y33" s="103"/>
      <c r="Z33" s="103"/>
      <c r="AA33" s="103"/>
      <c r="AB33" s="103"/>
      <c r="AC33" s="103"/>
      <c r="AE33" s="104" t="str">
        <f>W33</f>
        <v>Agosto</v>
      </c>
      <c r="AF33" s="104"/>
      <c r="AG33" s="104"/>
      <c r="AH33" s="104"/>
      <c r="AI33" s="104"/>
      <c r="AJ33" s="104"/>
      <c r="AK33" s="104"/>
    </row>
    <row r="34" spans="1:37" ht="15.75" thickBot="1" x14ac:dyDescent="0.3">
      <c r="A34" s="100" t="s">
        <v>5</v>
      </c>
      <c r="B34" s="34" t="s">
        <v>6</v>
      </c>
      <c r="C34" s="22" t="s">
        <v>7</v>
      </c>
      <c r="D34" s="33" t="s">
        <v>8</v>
      </c>
      <c r="E34" s="22" t="s">
        <v>9</v>
      </c>
      <c r="F34" s="24" t="s">
        <v>10</v>
      </c>
      <c r="G34" s="23" t="s">
        <v>11</v>
      </c>
      <c r="H34" s="25" t="s">
        <v>12</v>
      </c>
      <c r="J34" s="6" t="s">
        <v>4</v>
      </c>
      <c r="K34" s="9"/>
      <c r="L34" s="66">
        <v>45509</v>
      </c>
      <c r="M34" s="66">
        <v>45516</v>
      </c>
      <c r="N34" s="66">
        <v>45523</v>
      </c>
      <c r="O34" s="66">
        <v>45528</v>
      </c>
      <c r="P34" s="66">
        <v>45532</v>
      </c>
      <c r="Q34" s="66">
        <v>45535</v>
      </c>
      <c r="R34" s="4"/>
      <c r="S34" s="4"/>
      <c r="T34" s="4"/>
      <c r="U34" s="5"/>
      <c r="W34" s="6" t="s">
        <v>4</v>
      </c>
      <c r="X34" s="9">
        <v>45521</v>
      </c>
      <c r="Y34" s="66">
        <v>45528</v>
      </c>
      <c r="Z34" s="4"/>
      <c r="AA34" s="4"/>
      <c r="AB34" s="4"/>
      <c r="AC34" s="5"/>
      <c r="AE34" s="6" t="s">
        <v>4</v>
      </c>
      <c r="AF34" s="9"/>
      <c r="AG34" s="4"/>
      <c r="AH34" s="4"/>
      <c r="AI34" s="4"/>
      <c r="AJ34" s="4"/>
      <c r="AK34" s="5"/>
    </row>
    <row r="35" spans="1:37" ht="15.75" thickBot="1" x14ac:dyDescent="0.3">
      <c r="A35" s="100"/>
      <c r="B35" s="26">
        <v>13018</v>
      </c>
      <c r="C35" s="27"/>
      <c r="D35" s="27"/>
      <c r="E35" s="27">
        <v>15199</v>
      </c>
      <c r="F35" s="27">
        <f>SUM(C35-B35)</f>
        <v>-13018</v>
      </c>
      <c r="G35" s="20">
        <f>SUM(E35-D35)</f>
        <v>15199</v>
      </c>
      <c r="H35" s="21">
        <f>SUM(F35:G35)</f>
        <v>2181</v>
      </c>
      <c r="J35" s="7" t="s">
        <v>22</v>
      </c>
      <c r="K35" s="10"/>
      <c r="L35" s="11">
        <v>252.21</v>
      </c>
      <c r="M35" s="11">
        <v>249.02</v>
      </c>
      <c r="N35" s="11">
        <v>277.89999999999998</v>
      </c>
      <c r="O35" s="11">
        <v>256.56</v>
      </c>
      <c r="P35" s="11">
        <v>261.99</v>
      </c>
      <c r="Q35" s="11">
        <v>219.18</v>
      </c>
      <c r="R35" s="11"/>
      <c r="S35" s="11"/>
      <c r="T35" s="11"/>
      <c r="U35" s="12"/>
      <c r="W35" s="7" t="s">
        <v>22</v>
      </c>
      <c r="X35" s="10">
        <v>75</v>
      </c>
      <c r="Y35" s="11">
        <v>60</v>
      </c>
      <c r="Z35" s="11"/>
      <c r="AA35" s="11"/>
      <c r="AB35" s="11"/>
      <c r="AC35" s="12"/>
      <c r="AE35" s="7" t="s">
        <v>22</v>
      </c>
      <c r="AF35" s="10"/>
      <c r="AG35" s="11"/>
      <c r="AH35" s="11"/>
      <c r="AI35" s="11"/>
      <c r="AJ35" s="11"/>
      <c r="AK35" s="12"/>
    </row>
    <row r="36" spans="1:37" x14ac:dyDescent="0.25">
      <c r="J36" s="8"/>
      <c r="T36" s="8" t="s">
        <v>23</v>
      </c>
      <c r="U36" s="13">
        <f>SUM(K35:U35)</f>
        <v>1516.8600000000001</v>
      </c>
      <c r="AB36" s="8" t="s">
        <v>23</v>
      </c>
      <c r="AC36" s="13">
        <f>SUM(X35:AC35)</f>
        <v>135</v>
      </c>
      <c r="AJ36" s="8" t="s">
        <v>23</v>
      </c>
      <c r="AK36" s="13">
        <f>SUM(AF35:AK35)</f>
        <v>0</v>
      </c>
    </row>
    <row r="37" spans="1:37"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W37" s="103" t="str">
        <f>J37</f>
        <v>Setembro</v>
      </c>
      <c r="X37" s="103"/>
      <c r="Y37" s="103"/>
      <c r="Z37" s="103"/>
      <c r="AA37" s="103"/>
      <c r="AB37" s="103"/>
      <c r="AC37" s="103"/>
      <c r="AE37" s="104" t="str">
        <f>W37</f>
        <v>Setembro</v>
      </c>
      <c r="AF37" s="104"/>
      <c r="AG37" s="104"/>
      <c r="AH37" s="104"/>
      <c r="AI37" s="104"/>
      <c r="AJ37" s="104"/>
      <c r="AK37" s="104"/>
    </row>
    <row r="38" spans="1:37" ht="15.75" thickBot="1" x14ac:dyDescent="0.3">
      <c r="A38" s="100" t="s">
        <v>5</v>
      </c>
      <c r="B38" s="34" t="s">
        <v>6</v>
      </c>
      <c r="C38" s="22" t="s">
        <v>7</v>
      </c>
      <c r="D38" s="33" t="s">
        <v>8</v>
      </c>
      <c r="E38" s="22" t="s">
        <v>9</v>
      </c>
      <c r="F38" s="24" t="s">
        <v>10</v>
      </c>
      <c r="G38" s="23" t="s">
        <v>11</v>
      </c>
      <c r="H38" s="25" t="s">
        <v>12</v>
      </c>
      <c r="J38" s="6" t="s">
        <v>4</v>
      </c>
      <c r="K38" s="9">
        <v>45539</v>
      </c>
      <c r="L38" s="66">
        <v>45542</v>
      </c>
      <c r="M38" s="66">
        <v>45547</v>
      </c>
      <c r="N38" s="66">
        <v>45553</v>
      </c>
      <c r="O38" s="66">
        <v>45559</v>
      </c>
      <c r="P38" s="66">
        <v>45561</v>
      </c>
      <c r="Q38" s="4"/>
      <c r="R38" s="4"/>
      <c r="S38" s="4"/>
      <c r="T38" s="4"/>
      <c r="U38" s="5"/>
      <c r="W38" s="6" t="s">
        <v>4</v>
      </c>
      <c r="X38" s="9">
        <v>45541</v>
      </c>
      <c r="Y38" s="66">
        <v>45562</v>
      </c>
      <c r="Z38" s="66">
        <v>45548</v>
      </c>
      <c r="AA38" s="4"/>
      <c r="AB38" s="4"/>
      <c r="AC38" s="5"/>
      <c r="AE38" s="6" t="s">
        <v>4</v>
      </c>
      <c r="AF38" s="9">
        <v>45562</v>
      </c>
      <c r="AG38" s="4"/>
      <c r="AH38" s="4"/>
      <c r="AI38" s="4"/>
      <c r="AJ38" s="4"/>
      <c r="AK38" s="5"/>
    </row>
    <row r="39" spans="1:37" ht="15.75" thickBot="1" x14ac:dyDescent="0.3">
      <c r="A39" s="100"/>
      <c r="B39" s="26">
        <v>15199</v>
      </c>
      <c r="C39" s="27"/>
      <c r="D39" s="27"/>
      <c r="E39" s="27">
        <v>17853</v>
      </c>
      <c r="F39" s="27">
        <f>SUM(C39-B39)</f>
        <v>-15199</v>
      </c>
      <c r="G39" s="20">
        <f>SUM(E39-D39)</f>
        <v>17853</v>
      </c>
      <c r="H39" s="21">
        <f>SUM(F39:G39)</f>
        <v>2654</v>
      </c>
      <c r="J39" s="7" t="s">
        <v>22</v>
      </c>
      <c r="K39" s="10">
        <v>256.49</v>
      </c>
      <c r="L39" s="11">
        <v>239.62</v>
      </c>
      <c r="M39" s="11">
        <v>261.22000000000003</v>
      </c>
      <c r="N39" s="11">
        <v>274.45</v>
      </c>
      <c r="O39" s="11">
        <v>221.86</v>
      </c>
      <c r="P39" s="11">
        <v>237.65</v>
      </c>
      <c r="Q39" s="11"/>
      <c r="R39" s="11"/>
      <c r="S39" s="11"/>
      <c r="T39" s="11"/>
      <c r="U39" s="12"/>
      <c r="W39" s="7" t="s">
        <v>22</v>
      </c>
      <c r="X39" s="10">
        <v>60</v>
      </c>
      <c r="Y39" s="11">
        <v>75</v>
      </c>
      <c r="Z39" s="11">
        <v>75</v>
      </c>
      <c r="AA39" s="11"/>
      <c r="AB39" s="11"/>
      <c r="AC39" s="12"/>
      <c r="AE39" s="7" t="s">
        <v>22</v>
      </c>
      <c r="AF39" s="10">
        <v>50</v>
      </c>
      <c r="AG39" s="11"/>
      <c r="AH39" s="11"/>
      <c r="AI39" s="11"/>
      <c r="AJ39" s="11"/>
      <c r="AK39" s="12"/>
    </row>
    <row r="40" spans="1:37" x14ac:dyDescent="0.25">
      <c r="J40" s="8"/>
      <c r="T40" s="8" t="s">
        <v>23</v>
      </c>
      <c r="U40" s="13">
        <f>SUM(K39:U39)</f>
        <v>1491.29</v>
      </c>
      <c r="AB40" s="8" t="s">
        <v>23</v>
      </c>
      <c r="AC40" s="13">
        <f>SUM(X39:AC39)</f>
        <v>210</v>
      </c>
      <c r="AJ40" s="8" t="s">
        <v>23</v>
      </c>
      <c r="AK40" s="13">
        <f>SUM(AF39:AK39)</f>
        <v>50</v>
      </c>
    </row>
    <row r="41" spans="1:37" ht="15.75" thickBot="1" x14ac:dyDescent="0.3">
      <c r="A41" s="19" t="s">
        <v>80</v>
      </c>
      <c r="B41" s="101" t="s">
        <v>19</v>
      </c>
      <c r="C41" s="101"/>
      <c r="D41" s="101"/>
      <c r="E41" s="101"/>
      <c r="F41" s="101"/>
      <c r="G41" s="101"/>
      <c r="H41" s="101"/>
      <c r="J41" s="102" t="s">
        <v>19</v>
      </c>
      <c r="K41" s="102"/>
      <c r="L41" s="102"/>
      <c r="M41" s="102"/>
      <c r="N41" s="102"/>
      <c r="O41" s="102"/>
      <c r="P41" s="102"/>
      <c r="Q41" s="102"/>
      <c r="R41" s="102"/>
      <c r="S41" s="102"/>
      <c r="T41" s="102"/>
      <c r="U41" s="102"/>
      <c r="W41" s="103" t="str">
        <f>J41</f>
        <v>Outubro</v>
      </c>
      <c r="X41" s="103"/>
      <c r="Y41" s="103"/>
      <c r="Z41" s="103"/>
      <c r="AA41" s="103"/>
      <c r="AB41" s="103"/>
      <c r="AC41" s="103"/>
      <c r="AE41" s="104" t="str">
        <f>W41</f>
        <v>Outubro</v>
      </c>
      <c r="AF41" s="104"/>
      <c r="AG41" s="104"/>
      <c r="AH41" s="104"/>
      <c r="AI41" s="104"/>
      <c r="AJ41" s="104"/>
      <c r="AK41" s="104"/>
    </row>
    <row r="42" spans="1:37" ht="15.75" thickBot="1" x14ac:dyDescent="0.3">
      <c r="A42" s="100" t="s">
        <v>5</v>
      </c>
      <c r="B42" s="34" t="s">
        <v>6</v>
      </c>
      <c r="C42" s="22" t="s">
        <v>7</v>
      </c>
      <c r="D42" s="33" t="s">
        <v>8</v>
      </c>
      <c r="E42" s="22" t="s">
        <v>9</v>
      </c>
      <c r="F42" s="24" t="s">
        <v>10</v>
      </c>
      <c r="G42" s="23" t="s">
        <v>11</v>
      </c>
      <c r="H42" s="25" t="s">
        <v>12</v>
      </c>
      <c r="J42" s="6" t="s">
        <v>4</v>
      </c>
      <c r="K42" s="9">
        <v>45567</v>
      </c>
      <c r="L42" s="66">
        <v>45570</v>
      </c>
      <c r="M42" s="66">
        <v>45573</v>
      </c>
      <c r="N42" s="66">
        <v>45574</v>
      </c>
      <c r="O42" s="66">
        <v>45577</v>
      </c>
      <c r="P42" s="66">
        <v>45594</v>
      </c>
      <c r="Q42" s="66">
        <v>45590</v>
      </c>
      <c r="R42" s="66">
        <v>45586</v>
      </c>
      <c r="S42" s="4"/>
      <c r="T42" s="4"/>
      <c r="U42" s="5"/>
      <c r="W42" s="6" t="s">
        <v>4</v>
      </c>
      <c r="X42" s="9"/>
      <c r="Y42" s="4"/>
      <c r="Z42" s="4"/>
      <c r="AA42" s="4"/>
      <c r="AB42" s="4"/>
      <c r="AC42" s="5"/>
      <c r="AE42" s="6" t="s">
        <v>4</v>
      </c>
      <c r="AF42" s="9"/>
      <c r="AG42" s="4"/>
      <c r="AH42" s="4"/>
      <c r="AI42" s="4"/>
      <c r="AJ42" s="4"/>
      <c r="AK42" s="5"/>
    </row>
    <row r="43" spans="1:37" ht="15.75" thickBot="1" x14ac:dyDescent="0.3">
      <c r="A43" s="100"/>
      <c r="B43" s="26">
        <v>8031</v>
      </c>
      <c r="C43" s="27"/>
      <c r="D43" s="27"/>
      <c r="E43" s="27"/>
      <c r="F43" s="27">
        <f>SUM(C43-B43)</f>
        <v>-8031</v>
      </c>
      <c r="G43" s="20">
        <f>SUM(E43-D43)</f>
        <v>0</v>
      </c>
      <c r="H43" s="21">
        <f>SUM(F43:G43)</f>
        <v>-8031</v>
      </c>
      <c r="J43" s="7" t="s">
        <v>22</v>
      </c>
      <c r="K43" s="10">
        <v>220.97</v>
      </c>
      <c r="L43" s="11">
        <v>215.79</v>
      </c>
      <c r="M43" s="11">
        <v>194.64</v>
      </c>
      <c r="N43" s="11">
        <v>198.91</v>
      </c>
      <c r="O43" s="11">
        <v>201.99</v>
      </c>
      <c r="P43" s="11">
        <v>249.47</v>
      </c>
      <c r="Q43" s="11">
        <v>212.15</v>
      </c>
      <c r="R43" s="11">
        <v>218.73</v>
      </c>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1712.65</v>
      </c>
      <c r="AB44" s="8" t="s">
        <v>23</v>
      </c>
      <c r="AC44" s="13">
        <f>SUM(X43:AC43)</f>
        <v>0</v>
      </c>
      <c r="AJ44" s="8" t="s">
        <v>23</v>
      </c>
      <c r="AK44" s="13">
        <f>SUM(AF43:AK43)</f>
        <v>0</v>
      </c>
    </row>
    <row r="45" spans="1:37"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W45" s="103" t="str">
        <f>J45</f>
        <v>Novembro</v>
      </c>
      <c r="X45" s="103"/>
      <c r="Y45" s="103"/>
      <c r="Z45" s="103"/>
      <c r="AA45" s="103"/>
      <c r="AB45" s="103"/>
      <c r="AC45" s="103"/>
      <c r="AE45" s="104" t="str">
        <f>W45</f>
        <v>Novembro</v>
      </c>
      <c r="AF45" s="104"/>
      <c r="AG45" s="104"/>
      <c r="AH45" s="104"/>
      <c r="AI45" s="104"/>
      <c r="AJ45" s="104"/>
      <c r="AK45" s="104"/>
    </row>
    <row r="46" spans="1:37" ht="15.75" thickBot="1" x14ac:dyDescent="0.3">
      <c r="A46" s="100" t="s">
        <v>5</v>
      </c>
      <c r="B46" s="34" t="s">
        <v>6</v>
      </c>
      <c r="C46" s="22" t="s">
        <v>7</v>
      </c>
      <c r="D46" s="33" t="s">
        <v>8</v>
      </c>
      <c r="E46" s="22" t="s">
        <v>9</v>
      </c>
      <c r="F46" s="24" t="s">
        <v>10</v>
      </c>
      <c r="G46" s="23" t="s">
        <v>11</v>
      </c>
      <c r="H46" s="25" t="s">
        <v>12</v>
      </c>
      <c r="J46" s="6" t="s">
        <v>4</v>
      </c>
      <c r="K46" s="9">
        <v>45601</v>
      </c>
      <c r="L46" s="66">
        <v>45603</v>
      </c>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100"/>
      <c r="B47" s="26"/>
      <c r="C47" s="27"/>
      <c r="D47" s="27"/>
      <c r="E47" s="27"/>
      <c r="F47" s="27">
        <f>SUM(C47-B47)</f>
        <v>0</v>
      </c>
      <c r="G47" s="20">
        <f>SUM(E47-D47)</f>
        <v>0</v>
      </c>
      <c r="H47" s="21">
        <f>SUM(F47:G47)</f>
        <v>0</v>
      </c>
      <c r="J47" s="7" t="s">
        <v>22</v>
      </c>
      <c r="K47" s="10">
        <v>160.44999999999999</v>
      </c>
      <c r="L47" s="11">
        <v>176.75</v>
      </c>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337.2</v>
      </c>
      <c r="AB48" s="8" t="s">
        <v>23</v>
      </c>
      <c r="AC48" s="13">
        <f>SUM(X47:AC47)</f>
        <v>0</v>
      </c>
      <c r="AJ48" s="8" t="s">
        <v>23</v>
      </c>
      <c r="AK48" s="13">
        <f>SUM(AF47:AK47)</f>
        <v>0</v>
      </c>
    </row>
    <row r="49" spans="1:37"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W49" s="103" t="str">
        <f>J49</f>
        <v>Dezembro</v>
      </c>
      <c r="X49" s="103"/>
      <c r="Y49" s="103"/>
      <c r="Z49" s="103"/>
      <c r="AA49" s="103"/>
      <c r="AB49" s="103"/>
      <c r="AC49" s="103"/>
      <c r="AE49" s="104" t="str">
        <f>W49</f>
        <v>Dezembro</v>
      </c>
      <c r="AF49" s="104"/>
      <c r="AG49" s="104"/>
      <c r="AH49" s="104"/>
      <c r="AI49" s="104"/>
      <c r="AJ49" s="104"/>
      <c r="AK49" s="104"/>
    </row>
    <row r="50" spans="1:37"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100"/>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row r="53" spans="1:37" ht="15.75" thickBot="1" x14ac:dyDescent="0.3">
      <c r="A53" s="19"/>
      <c r="B53" s="101" t="s">
        <v>141</v>
      </c>
      <c r="C53" s="101"/>
      <c r="D53" s="101"/>
      <c r="E53" s="101"/>
      <c r="F53" s="101"/>
      <c r="G53" s="101"/>
      <c r="H53" s="101"/>
      <c r="J53" s="102" t="s">
        <v>141</v>
      </c>
      <c r="K53" s="102"/>
      <c r="L53" s="102"/>
      <c r="M53" s="102"/>
      <c r="N53" s="102"/>
      <c r="O53" s="102"/>
      <c r="P53" s="102"/>
      <c r="Q53" s="102"/>
      <c r="R53" s="102"/>
      <c r="S53" s="102"/>
      <c r="T53" s="102"/>
      <c r="U53" s="102"/>
      <c r="W53" s="103" t="str">
        <f>J53</f>
        <v>Janeiro</v>
      </c>
      <c r="X53" s="103"/>
      <c r="Y53" s="103"/>
      <c r="Z53" s="103"/>
      <c r="AA53" s="103"/>
      <c r="AB53" s="103"/>
      <c r="AC53" s="103"/>
      <c r="AE53" s="104" t="str">
        <f>W53</f>
        <v>Janeiro</v>
      </c>
      <c r="AF53" s="104"/>
      <c r="AG53" s="104"/>
      <c r="AH53" s="104"/>
      <c r="AI53" s="104"/>
      <c r="AJ53" s="104"/>
      <c r="AK53" s="104"/>
    </row>
    <row r="54" spans="1:37" ht="15.75" thickBot="1" x14ac:dyDescent="0.3">
      <c r="A54" s="100" t="s">
        <v>5</v>
      </c>
      <c r="B54" s="34" t="s">
        <v>6</v>
      </c>
      <c r="C54" s="22" t="s">
        <v>7</v>
      </c>
      <c r="D54" s="33" t="s">
        <v>8</v>
      </c>
      <c r="E54" s="22" t="s">
        <v>9</v>
      </c>
      <c r="F54" s="24" t="s">
        <v>10</v>
      </c>
      <c r="G54" s="23" t="s">
        <v>11</v>
      </c>
      <c r="H54" s="25" t="s">
        <v>12</v>
      </c>
      <c r="J54" s="6" t="s">
        <v>4</v>
      </c>
      <c r="K54" s="9">
        <v>45671</v>
      </c>
      <c r="L54" s="4"/>
      <c r="M54" s="4"/>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100"/>
      <c r="B55" s="26">
        <v>4482</v>
      </c>
      <c r="C55" s="27"/>
      <c r="D55" s="27"/>
      <c r="E55" s="27">
        <v>6725</v>
      </c>
      <c r="F55" s="27">
        <f>SUM(C55-B55)</f>
        <v>-4482</v>
      </c>
      <c r="G55" s="20">
        <f>SUM(E55-D55)</f>
        <v>6725</v>
      </c>
      <c r="H55" s="21">
        <f>SUM(F55:G55)</f>
        <v>2243</v>
      </c>
      <c r="J55" s="7" t="s">
        <v>22</v>
      </c>
      <c r="K55" s="10">
        <v>492.31</v>
      </c>
      <c r="L55" s="11"/>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492.31</v>
      </c>
      <c r="AB56" s="8" t="s">
        <v>23</v>
      </c>
      <c r="AC56" s="13">
        <f>SUM(X55:AC55)</f>
        <v>0</v>
      </c>
      <c r="AJ56" s="8" t="s">
        <v>23</v>
      </c>
      <c r="AK56" s="13">
        <f>SUM(AF55:AK55)</f>
        <v>0</v>
      </c>
    </row>
    <row r="57" spans="1:37" ht="15.75" thickBot="1" x14ac:dyDescent="0.3">
      <c r="A57" s="83" t="s">
        <v>146</v>
      </c>
      <c r="B57" s="101" t="s">
        <v>3</v>
      </c>
      <c r="C57" s="101"/>
      <c r="D57" s="101"/>
      <c r="E57" s="101"/>
      <c r="F57" s="101"/>
      <c r="G57" s="101"/>
      <c r="H57" s="101"/>
      <c r="J57" s="102" t="s">
        <v>3</v>
      </c>
      <c r="K57" s="102"/>
      <c r="L57" s="102"/>
      <c r="M57" s="102"/>
      <c r="N57" s="102"/>
      <c r="O57" s="102"/>
      <c r="P57" s="102"/>
      <c r="Q57" s="102"/>
      <c r="R57" s="102"/>
      <c r="S57" s="102"/>
      <c r="T57" s="102"/>
      <c r="U57" s="102"/>
      <c r="W57" s="103" t="str">
        <f>J57</f>
        <v>Fevereiro</v>
      </c>
      <c r="X57" s="103"/>
      <c r="Y57" s="103"/>
      <c r="Z57" s="103"/>
      <c r="AA57" s="103"/>
      <c r="AB57" s="103"/>
      <c r="AC57" s="103"/>
      <c r="AE57" s="104" t="str">
        <f>W57</f>
        <v>Fevereiro</v>
      </c>
      <c r="AF57" s="104"/>
      <c r="AG57" s="104"/>
      <c r="AH57" s="104"/>
      <c r="AI57" s="104"/>
      <c r="AJ57" s="104"/>
      <c r="AK57" s="104"/>
    </row>
    <row r="58" spans="1:37" ht="15.75" thickBot="1" x14ac:dyDescent="0.3">
      <c r="A58" s="100" t="s">
        <v>5</v>
      </c>
      <c r="B58" s="34" t="s">
        <v>6</v>
      </c>
      <c r="C58" s="22" t="s">
        <v>7</v>
      </c>
      <c r="D58" s="33" t="s">
        <v>8</v>
      </c>
      <c r="E58" s="22" t="s">
        <v>9</v>
      </c>
      <c r="F58" s="24" t="s">
        <v>10</v>
      </c>
      <c r="G58" s="23" t="s">
        <v>11</v>
      </c>
      <c r="H58" s="25" t="s">
        <v>12</v>
      </c>
      <c r="J58" s="6" t="s">
        <v>4</v>
      </c>
      <c r="K58" s="9">
        <v>45694</v>
      </c>
      <c r="L58" s="66">
        <v>45702</v>
      </c>
      <c r="M58" s="4"/>
      <c r="N58" s="4"/>
      <c r="O58" s="4"/>
      <c r="P58" s="4"/>
      <c r="Q58" s="4"/>
      <c r="R58" s="4"/>
      <c r="S58" s="4"/>
      <c r="T58" s="4"/>
      <c r="U58" s="5"/>
      <c r="W58" s="6" t="s">
        <v>4</v>
      </c>
      <c r="X58" s="9">
        <v>45689</v>
      </c>
      <c r="Y58" s="4"/>
      <c r="Z58" s="4"/>
      <c r="AA58" s="4"/>
      <c r="AB58" s="4"/>
      <c r="AC58" s="5"/>
      <c r="AE58" s="6" t="s">
        <v>4</v>
      </c>
      <c r="AF58" s="9"/>
      <c r="AG58" s="4"/>
      <c r="AH58" s="4"/>
      <c r="AI58" s="4"/>
      <c r="AJ58" s="4"/>
      <c r="AK58" s="5"/>
    </row>
    <row r="59" spans="1:37" ht="15.75" thickBot="1" x14ac:dyDescent="0.3">
      <c r="A59" s="100"/>
      <c r="B59" s="26">
        <v>6725</v>
      </c>
      <c r="C59" s="27">
        <v>7973</v>
      </c>
      <c r="D59" s="27"/>
      <c r="E59" s="27"/>
      <c r="F59" s="27">
        <f>SUM(C59-B59)</f>
        <v>1248</v>
      </c>
      <c r="G59" s="20">
        <f>SUM(E59-D59)</f>
        <v>0</v>
      </c>
      <c r="H59" s="21">
        <f>SUM(F59:G59)</f>
        <v>1248</v>
      </c>
      <c r="J59" s="7" t="s">
        <v>22</v>
      </c>
      <c r="K59" s="10">
        <v>522.83000000000004</v>
      </c>
      <c r="L59" s="11">
        <v>253.56</v>
      </c>
      <c r="M59" s="11"/>
      <c r="N59" s="11"/>
      <c r="O59" s="11"/>
      <c r="P59" s="11"/>
      <c r="Q59" s="11"/>
      <c r="R59" s="11"/>
      <c r="S59" s="11"/>
      <c r="T59" s="11"/>
      <c r="U59" s="12"/>
      <c r="W59" s="7" t="s">
        <v>22</v>
      </c>
      <c r="X59" s="10">
        <v>130</v>
      </c>
      <c r="Y59" s="11"/>
      <c r="Z59" s="11"/>
      <c r="AA59" s="11"/>
      <c r="AB59" s="11"/>
      <c r="AC59" s="12"/>
      <c r="AE59" s="7" t="s">
        <v>22</v>
      </c>
      <c r="AF59" s="10"/>
      <c r="AG59" s="11"/>
      <c r="AH59" s="11"/>
      <c r="AI59" s="11"/>
      <c r="AJ59" s="11"/>
      <c r="AK59" s="12"/>
    </row>
    <row r="60" spans="1:37" x14ac:dyDescent="0.25">
      <c r="J60" s="8"/>
      <c r="T60" s="8" t="s">
        <v>23</v>
      </c>
      <c r="U60" s="13">
        <f>SUM(K59:U59)</f>
        <v>776.3900000000001</v>
      </c>
      <c r="AB60" s="8" t="s">
        <v>23</v>
      </c>
      <c r="AC60" s="13">
        <f>SUM(X59:AC59)</f>
        <v>130</v>
      </c>
      <c r="AJ60" s="8" t="s">
        <v>23</v>
      </c>
      <c r="AK60" s="13">
        <f>SUM(AF59:AK59)</f>
        <v>0</v>
      </c>
    </row>
  </sheetData>
  <mergeCells count="73">
    <mergeCell ref="B53:H53"/>
    <mergeCell ref="J53:U53"/>
    <mergeCell ref="W53:AC53"/>
    <mergeCell ref="AE53:AK53"/>
    <mergeCell ref="A54:A55"/>
    <mergeCell ref="B2:C2"/>
    <mergeCell ref="E2:F2"/>
    <mergeCell ref="B4:C4"/>
    <mergeCell ref="E4:F4"/>
    <mergeCell ref="A7:H7"/>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B57:H57"/>
    <mergeCell ref="J57:U57"/>
    <mergeCell ref="W57:AC57"/>
    <mergeCell ref="AE57:AK57"/>
    <mergeCell ref="A58:A59"/>
  </mergeCells>
  <pageMargins left="0.511811024" right="0.511811024" top="0.78740157499999996" bottom="0.78740157499999996" header="0.31496062000000002" footer="0.31496062000000002"/>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K56"/>
  <sheetViews>
    <sheetView showGridLines="0" topLeftCell="B41" workbookViewId="0">
      <selection activeCell="M55" sqref="M5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5703125" customWidth="1"/>
    <col min="10" max="10" width="8.85546875" customWidth="1"/>
    <col min="11" max="11" width="12.140625" bestFit="1" customWidth="1"/>
    <col min="12" max="13" width="10.42578125" bestFit="1" customWidth="1"/>
    <col min="14" max="14" width="11.5703125" customWidth="1"/>
    <col min="15" max="16" width="10.42578125" bestFit="1" customWidth="1"/>
    <col min="17" max="17" width="10.7109375" bestFit="1" customWidth="1"/>
    <col min="18" max="20" width="10.42578125" bestFit="1" customWidth="1"/>
    <col min="21" max="21" width="13.28515625" bestFit="1" customWidth="1"/>
    <col min="24" max="25" width="10.42578125" bestFit="1" customWidth="1"/>
    <col min="26" max="26" width="10.5703125" bestFit="1" customWidth="1"/>
    <col min="27" max="27" width="12.140625" bestFit="1" customWidth="1"/>
    <col min="29" max="29" width="12.140625" bestFit="1" customWidth="1"/>
    <col min="34" max="36" width="10.140625" bestFit="1" customWidth="1"/>
    <col min="37" max="37" width="12.140625" bestFit="1" customWidth="1"/>
  </cols>
  <sheetData>
    <row r="2" spans="1:37" x14ac:dyDescent="0.25">
      <c r="A2" t="s">
        <v>0</v>
      </c>
      <c r="B2" s="107" t="s">
        <v>129</v>
      </c>
      <c r="C2" s="107"/>
      <c r="D2" s="1" t="s">
        <v>1</v>
      </c>
      <c r="E2" s="107" t="s">
        <v>61</v>
      </c>
      <c r="F2" s="107"/>
      <c r="H2" t="s">
        <v>45</v>
      </c>
      <c r="I2" s="54">
        <v>5200</v>
      </c>
    </row>
    <row r="3" spans="1:37" x14ac:dyDescent="0.25">
      <c r="A3" s="82" t="s">
        <v>138</v>
      </c>
      <c r="F3" s="1"/>
    </row>
    <row r="4" spans="1:37" x14ac:dyDescent="0.25">
      <c r="A4" t="s">
        <v>2</v>
      </c>
      <c r="B4" s="108">
        <v>2363</v>
      </c>
      <c r="C4" s="108"/>
      <c r="D4" s="1" t="s">
        <v>29</v>
      </c>
      <c r="E4" s="107">
        <v>40</v>
      </c>
      <c r="F4" s="107"/>
      <c r="H4" t="s">
        <v>64</v>
      </c>
      <c r="I4" s="67">
        <v>45335</v>
      </c>
    </row>
    <row r="7" spans="1:37"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105" t="s">
        <v>25</v>
      </c>
      <c r="X7" s="105"/>
      <c r="Y7" s="105"/>
      <c r="Z7" s="105"/>
      <c r="AA7" s="105"/>
      <c r="AB7" s="105"/>
      <c r="AC7" s="105"/>
      <c r="AD7" s="2"/>
      <c r="AE7" s="105" t="s">
        <v>27</v>
      </c>
      <c r="AF7" s="105"/>
      <c r="AG7" s="105"/>
      <c r="AH7" s="105"/>
      <c r="AI7" s="105"/>
      <c r="AJ7" s="105"/>
      <c r="AK7" s="105"/>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101" t="s">
        <v>3</v>
      </c>
      <c r="C9" s="101"/>
      <c r="D9" s="101"/>
      <c r="E9" s="101"/>
      <c r="F9" s="101"/>
      <c r="G9" s="101"/>
      <c r="H9" s="101"/>
      <c r="J9" s="102" t="s">
        <v>3</v>
      </c>
      <c r="K9" s="102"/>
      <c r="L9" s="102"/>
      <c r="M9" s="102"/>
      <c r="N9" s="102"/>
      <c r="O9" s="102"/>
      <c r="P9" s="102"/>
      <c r="Q9" s="102"/>
      <c r="R9" s="102"/>
      <c r="S9" s="102"/>
      <c r="T9" s="102"/>
      <c r="U9" s="102"/>
      <c r="W9" s="103" t="s">
        <v>3</v>
      </c>
      <c r="X9" s="103"/>
      <c r="Y9" s="103"/>
      <c r="Z9" s="103"/>
      <c r="AA9" s="103"/>
      <c r="AB9" s="103"/>
      <c r="AC9" s="103"/>
      <c r="AE9" s="104" t="s">
        <v>3</v>
      </c>
      <c r="AF9" s="104"/>
      <c r="AG9" s="104"/>
      <c r="AH9" s="104"/>
      <c r="AI9" s="104"/>
      <c r="AJ9" s="104"/>
      <c r="AK9" s="104"/>
    </row>
    <row r="10" spans="1:37" ht="15.75" thickBot="1" x14ac:dyDescent="0.3">
      <c r="A10" s="100" t="s">
        <v>5</v>
      </c>
      <c r="B10" s="34" t="s">
        <v>6</v>
      </c>
      <c r="C10" s="22" t="s">
        <v>7</v>
      </c>
      <c r="D10" s="33" t="s">
        <v>8</v>
      </c>
      <c r="E10" s="22" t="s">
        <v>9</v>
      </c>
      <c r="F10" s="24" t="s">
        <v>10</v>
      </c>
      <c r="G10" s="23" t="s">
        <v>11</v>
      </c>
      <c r="H10" s="25" t="s">
        <v>12</v>
      </c>
      <c r="J10" s="28" t="s">
        <v>4</v>
      </c>
      <c r="K10" s="9">
        <v>45342</v>
      </c>
      <c r="L10" s="66">
        <v>45343</v>
      </c>
      <c r="M10" s="66">
        <v>45348</v>
      </c>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100"/>
      <c r="B11" s="26">
        <v>6981</v>
      </c>
      <c r="C11" s="27"/>
      <c r="D11" s="27"/>
      <c r="E11" s="27">
        <v>8553</v>
      </c>
      <c r="F11" s="27">
        <f>SUM(C11-B11)</f>
        <v>-6981</v>
      </c>
      <c r="G11" s="20">
        <f>SUM(E11-D11)</f>
        <v>8553</v>
      </c>
      <c r="H11" s="21">
        <f>SUM(F11:G11)</f>
        <v>1572</v>
      </c>
      <c r="J11" s="29" t="s">
        <v>22</v>
      </c>
      <c r="K11" s="10">
        <v>219.77</v>
      </c>
      <c r="L11" s="11">
        <v>263.68</v>
      </c>
      <c r="M11" s="11">
        <v>220.97</v>
      </c>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704.42000000000007</v>
      </c>
      <c r="AB12" s="8" t="s">
        <v>23</v>
      </c>
      <c r="AC12" s="13">
        <f>SUM(X11:AC11)</f>
        <v>0</v>
      </c>
      <c r="AJ12" s="8" t="s">
        <v>23</v>
      </c>
      <c r="AK12" s="13">
        <f>SUM(AF11:AK11)</f>
        <v>0</v>
      </c>
    </row>
    <row r="13" spans="1:37"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W13" s="103" t="str">
        <f>J13</f>
        <v>Março</v>
      </c>
      <c r="X13" s="103"/>
      <c r="Y13" s="103"/>
      <c r="Z13" s="103"/>
      <c r="AA13" s="103"/>
      <c r="AB13" s="103"/>
      <c r="AC13" s="103"/>
      <c r="AE13" s="104" t="str">
        <f>W13</f>
        <v>Março</v>
      </c>
      <c r="AF13" s="104"/>
      <c r="AG13" s="104"/>
      <c r="AH13" s="104"/>
      <c r="AI13" s="104"/>
      <c r="AJ13" s="104"/>
      <c r="AK13" s="104"/>
    </row>
    <row r="14" spans="1:37" ht="15.75" thickBot="1" x14ac:dyDescent="0.3">
      <c r="A14" s="100" t="s">
        <v>5</v>
      </c>
      <c r="B14" s="34" t="s">
        <v>6</v>
      </c>
      <c r="C14" s="22" t="s">
        <v>7</v>
      </c>
      <c r="D14" s="33" t="s">
        <v>8</v>
      </c>
      <c r="E14" s="22" t="s">
        <v>9</v>
      </c>
      <c r="F14" s="24" t="s">
        <v>10</v>
      </c>
      <c r="G14" s="23" t="s">
        <v>11</v>
      </c>
      <c r="H14" s="25" t="s">
        <v>12</v>
      </c>
      <c r="J14" s="6" t="s">
        <v>4</v>
      </c>
      <c r="K14" s="9">
        <v>45355</v>
      </c>
      <c r="L14" s="66">
        <v>45358</v>
      </c>
      <c r="M14" s="66">
        <v>45362</v>
      </c>
      <c r="N14" s="68">
        <v>45366</v>
      </c>
      <c r="O14" s="66">
        <v>45371</v>
      </c>
      <c r="P14" s="66">
        <v>45374</v>
      </c>
      <c r="Q14" s="66">
        <v>45011</v>
      </c>
      <c r="R14" s="66">
        <v>45381</v>
      </c>
      <c r="S14" s="4"/>
      <c r="T14" s="4"/>
      <c r="U14" s="5"/>
      <c r="W14" s="6" t="s">
        <v>4</v>
      </c>
      <c r="X14" s="9"/>
      <c r="Y14" s="4"/>
      <c r="Z14" s="4"/>
      <c r="AA14" s="4"/>
      <c r="AB14" s="4"/>
      <c r="AC14" s="5"/>
      <c r="AE14" s="6" t="s">
        <v>4</v>
      </c>
      <c r="AF14" s="9"/>
      <c r="AG14" s="4"/>
      <c r="AH14" s="4"/>
      <c r="AI14" s="4"/>
      <c r="AJ14" s="4"/>
      <c r="AK14" s="5"/>
    </row>
    <row r="15" spans="1:37" ht="15.75" thickBot="1" x14ac:dyDescent="0.3">
      <c r="A15" s="100"/>
      <c r="B15" s="26">
        <v>8553</v>
      </c>
      <c r="C15" s="27"/>
      <c r="D15" s="27"/>
      <c r="E15" s="27">
        <v>12314</v>
      </c>
      <c r="F15" s="27">
        <f>SUM(C15-B15)</f>
        <v>-8553</v>
      </c>
      <c r="G15" s="20">
        <f>SUM(E15-D15)</f>
        <v>12314</v>
      </c>
      <c r="H15" s="21">
        <f>SUM(F15:G15)</f>
        <v>3761</v>
      </c>
      <c r="J15" s="7" t="s">
        <v>22</v>
      </c>
      <c r="K15" s="10">
        <v>270.69</v>
      </c>
      <c r="L15" s="11">
        <v>276.74</v>
      </c>
      <c r="M15" s="11">
        <v>207.43</v>
      </c>
      <c r="N15" s="11">
        <v>243.85</v>
      </c>
      <c r="O15" s="11">
        <v>256.19</v>
      </c>
      <c r="P15" s="11">
        <v>178.62</v>
      </c>
      <c r="Q15" s="11">
        <v>273.62</v>
      </c>
      <c r="R15" s="11">
        <v>252.42</v>
      </c>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1959.56</v>
      </c>
      <c r="AB16" s="8" t="s">
        <v>23</v>
      </c>
      <c r="AC16" s="13">
        <f>SUM(X15:AC15)</f>
        <v>0</v>
      </c>
      <c r="AJ16" s="8" t="s">
        <v>23</v>
      </c>
      <c r="AK16" s="13">
        <f>SUM(AF15:AK15)</f>
        <v>0</v>
      </c>
    </row>
    <row r="17" spans="1:37"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W17" s="103" t="str">
        <f>J17</f>
        <v>Abril</v>
      </c>
      <c r="X17" s="103"/>
      <c r="Y17" s="103"/>
      <c r="Z17" s="103"/>
      <c r="AA17" s="103"/>
      <c r="AB17" s="103"/>
      <c r="AC17" s="103"/>
      <c r="AE17" s="104" t="str">
        <f>W17</f>
        <v>Abril</v>
      </c>
      <c r="AF17" s="104"/>
      <c r="AG17" s="104"/>
      <c r="AH17" s="104"/>
      <c r="AI17" s="104"/>
      <c r="AJ17" s="104"/>
      <c r="AK17" s="104"/>
    </row>
    <row r="18" spans="1:37" ht="15.75" thickBot="1" x14ac:dyDescent="0.3">
      <c r="A18" s="100" t="s">
        <v>5</v>
      </c>
      <c r="B18" s="34" t="s">
        <v>6</v>
      </c>
      <c r="C18" s="22" t="s">
        <v>7</v>
      </c>
      <c r="D18" s="33" t="s">
        <v>8</v>
      </c>
      <c r="E18" s="22" t="s">
        <v>9</v>
      </c>
      <c r="F18" s="24" t="s">
        <v>10</v>
      </c>
      <c r="G18" s="23" t="s">
        <v>11</v>
      </c>
      <c r="H18" s="25" t="s">
        <v>12</v>
      </c>
      <c r="J18" s="6" t="s">
        <v>4</v>
      </c>
      <c r="K18" s="9">
        <v>45384</v>
      </c>
      <c r="L18" s="66">
        <v>45387</v>
      </c>
      <c r="M18" s="66">
        <v>45394</v>
      </c>
      <c r="N18" s="66">
        <v>45398</v>
      </c>
      <c r="O18" s="66">
        <v>45412</v>
      </c>
      <c r="P18" s="4"/>
      <c r="Q18" s="4"/>
      <c r="R18" s="4"/>
      <c r="S18" s="4"/>
      <c r="T18" s="4"/>
      <c r="U18" s="5"/>
      <c r="W18" s="6" t="s">
        <v>4</v>
      </c>
      <c r="X18" s="9">
        <v>45400</v>
      </c>
      <c r="Y18" s="4"/>
      <c r="Z18" s="4"/>
      <c r="AA18" s="4"/>
      <c r="AB18" s="4"/>
      <c r="AC18" s="5"/>
      <c r="AE18" s="6" t="s">
        <v>4</v>
      </c>
      <c r="AF18" s="9"/>
      <c r="AG18" s="4"/>
      <c r="AH18" s="4"/>
      <c r="AI18" s="4"/>
      <c r="AJ18" s="4"/>
      <c r="AK18" s="5"/>
    </row>
    <row r="19" spans="1:37" ht="15.75" thickBot="1" x14ac:dyDescent="0.3">
      <c r="A19" s="100"/>
      <c r="B19" s="26">
        <v>12314</v>
      </c>
      <c r="C19" s="27"/>
      <c r="D19" s="27"/>
      <c r="E19" s="27">
        <v>14499</v>
      </c>
      <c r="F19" s="27">
        <f>SUM(C19-B19)</f>
        <v>-12314</v>
      </c>
      <c r="G19" s="20">
        <f>SUM(E19-D19)</f>
        <v>14499</v>
      </c>
      <c r="H19" s="21">
        <f>SUM(F19:G19)</f>
        <v>2185</v>
      </c>
      <c r="J19" s="7" t="s">
        <v>22</v>
      </c>
      <c r="K19" s="30">
        <v>220.31</v>
      </c>
      <c r="L19" s="31">
        <v>238.7</v>
      </c>
      <c r="M19" s="31">
        <v>218.04</v>
      </c>
      <c r="N19" s="31">
        <v>238.22</v>
      </c>
      <c r="O19" s="31">
        <v>231.75</v>
      </c>
      <c r="P19" s="31"/>
      <c r="Q19" s="31"/>
      <c r="R19" s="31"/>
      <c r="S19" s="31"/>
      <c r="T19" s="31"/>
      <c r="U19" s="32"/>
      <c r="W19" s="7" t="s">
        <v>22</v>
      </c>
      <c r="X19" s="10">
        <v>80</v>
      </c>
      <c r="Y19" s="11"/>
      <c r="Z19" s="11"/>
      <c r="AA19" s="11"/>
      <c r="AB19" s="11"/>
      <c r="AC19" s="12"/>
      <c r="AE19" s="7" t="s">
        <v>22</v>
      </c>
      <c r="AF19" s="10"/>
      <c r="AG19" s="11"/>
      <c r="AH19" s="11"/>
      <c r="AI19" s="11"/>
      <c r="AJ19" s="11"/>
      <c r="AK19" s="12"/>
    </row>
    <row r="20" spans="1:37" x14ac:dyDescent="0.25">
      <c r="J20" s="8"/>
      <c r="T20" s="8" t="s">
        <v>23</v>
      </c>
      <c r="U20" s="13">
        <f>SUM(K19:U19)</f>
        <v>1147.02</v>
      </c>
      <c r="AB20" s="8" t="s">
        <v>23</v>
      </c>
      <c r="AC20" s="13">
        <f>SUM(X19:AC19)</f>
        <v>80</v>
      </c>
      <c r="AJ20" s="8" t="s">
        <v>23</v>
      </c>
      <c r="AK20" s="13">
        <f>SUM(AF19:AK19)</f>
        <v>0</v>
      </c>
    </row>
    <row r="21" spans="1:37"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W21" s="103" t="str">
        <f>J21</f>
        <v>Maio</v>
      </c>
      <c r="X21" s="103"/>
      <c r="Y21" s="103"/>
      <c r="Z21" s="103"/>
      <c r="AA21" s="103"/>
      <c r="AB21" s="103"/>
      <c r="AC21" s="103"/>
      <c r="AE21" s="104" t="str">
        <f>W21</f>
        <v>Maio</v>
      </c>
      <c r="AF21" s="104"/>
      <c r="AG21" s="104"/>
      <c r="AH21" s="104"/>
      <c r="AI21" s="104"/>
      <c r="AJ21" s="104"/>
      <c r="AK21" s="104"/>
    </row>
    <row r="22" spans="1:37" ht="15.75" thickBot="1" x14ac:dyDescent="0.3">
      <c r="A22" s="100" t="s">
        <v>5</v>
      </c>
      <c r="B22" s="34" t="s">
        <v>6</v>
      </c>
      <c r="C22" s="22" t="s">
        <v>7</v>
      </c>
      <c r="D22" s="33" t="s">
        <v>8</v>
      </c>
      <c r="E22" s="22" t="s">
        <v>9</v>
      </c>
      <c r="F22" s="24" t="s">
        <v>10</v>
      </c>
      <c r="G22" s="23" t="s">
        <v>11</v>
      </c>
      <c r="H22" s="25" t="s">
        <v>12</v>
      </c>
      <c r="J22" s="6" t="s">
        <v>4</v>
      </c>
      <c r="K22" s="9">
        <v>45415</v>
      </c>
      <c r="L22" s="66">
        <v>45419</v>
      </c>
      <c r="M22" s="66">
        <v>45422</v>
      </c>
      <c r="N22" s="66">
        <v>45427</v>
      </c>
      <c r="O22" s="66">
        <v>45433</v>
      </c>
      <c r="P22" s="66">
        <v>45436</v>
      </c>
      <c r="Q22" s="66">
        <v>45440</v>
      </c>
      <c r="R22" s="66">
        <v>45443</v>
      </c>
      <c r="S22" s="4"/>
      <c r="T22" s="4"/>
      <c r="U22" s="5"/>
      <c r="W22" s="6" t="s">
        <v>4</v>
      </c>
      <c r="X22" s="9">
        <v>45434</v>
      </c>
      <c r="Y22" s="4"/>
      <c r="Z22" s="4"/>
      <c r="AA22" s="4"/>
      <c r="AB22" s="4"/>
      <c r="AC22" s="5"/>
      <c r="AE22" s="6" t="s">
        <v>4</v>
      </c>
      <c r="AF22" s="9"/>
      <c r="AG22" s="4"/>
      <c r="AH22" s="4"/>
      <c r="AI22" s="4"/>
      <c r="AJ22" s="4"/>
      <c r="AK22" s="5"/>
    </row>
    <row r="23" spans="1:37" ht="15.75" thickBot="1" x14ac:dyDescent="0.3">
      <c r="A23" s="100"/>
      <c r="B23" s="26">
        <v>14499</v>
      </c>
      <c r="C23" s="27"/>
      <c r="D23" s="27"/>
      <c r="E23" s="27">
        <v>17514</v>
      </c>
      <c r="F23" s="27">
        <f>SUM(C23-B23)</f>
        <v>-14499</v>
      </c>
      <c r="G23" s="20">
        <f>SUM(E23-D23)</f>
        <v>17514</v>
      </c>
      <c r="H23" s="21">
        <f>SUM(F23:G23)</f>
        <v>3015</v>
      </c>
      <c r="J23" s="7" t="s">
        <v>22</v>
      </c>
      <c r="K23" s="10">
        <v>229.36</v>
      </c>
      <c r="L23" s="11">
        <v>220.37</v>
      </c>
      <c r="M23" s="11">
        <v>230.97</v>
      </c>
      <c r="N23" s="11">
        <v>257.81</v>
      </c>
      <c r="O23" s="11">
        <v>199.71</v>
      </c>
      <c r="P23" s="11">
        <v>248.11</v>
      </c>
      <c r="Q23" s="11">
        <v>191.08</v>
      </c>
      <c r="R23" s="11">
        <v>216.65</v>
      </c>
      <c r="S23" s="11"/>
      <c r="T23" s="11"/>
      <c r="U23" s="12"/>
      <c r="W23" s="7" t="s">
        <v>22</v>
      </c>
      <c r="X23" s="10">
        <v>80</v>
      </c>
      <c r="Y23" s="11"/>
      <c r="Z23" s="11"/>
      <c r="AA23" s="11"/>
      <c r="AB23" s="11"/>
      <c r="AC23" s="12"/>
      <c r="AE23" s="7" t="s">
        <v>22</v>
      </c>
      <c r="AF23" s="10"/>
      <c r="AG23" s="11"/>
      <c r="AH23" s="11"/>
      <c r="AI23" s="11"/>
      <c r="AJ23" s="11"/>
      <c r="AK23" s="12"/>
    </row>
    <row r="24" spans="1:37" x14ac:dyDescent="0.25">
      <c r="J24" s="8"/>
      <c r="T24" s="8" t="s">
        <v>23</v>
      </c>
      <c r="U24" s="13">
        <f>SUM(K23:U23)</f>
        <v>1794.06</v>
      </c>
      <c r="AB24" s="8" t="s">
        <v>23</v>
      </c>
      <c r="AC24" s="13">
        <f>SUM(X23:AC23)</f>
        <v>80</v>
      </c>
      <c r="AJ24" s="8" t="s">
        <v>23</v>
      </c>
      <c r="AK24" s="13">
        <f>SUM(AF23:AK23)</f>
        <v>0</v>
      </c>
    </row>
    <row r="25" spans="1:37"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W25" s="103" t="str">
        <f>J25</f>
        <v>Junho</v>
      </c>
      <c r="X25" s="103"/>
      <c r="Y25" s="103"/>
      <c r="Z25" s="103"/>
      <c r="AA25" s="103"/>
      <c r="AB25" s="103"/>
      <c r="AC25" s="103"/>
      <c r="AE25" s="104" t="str">
        <f>W25</f>
        <v>Junho</v>
      </c>
      <c r="AF25" s="104"/>
      <c r="AG25" s="104"/>
      <c r="AH25" s="104"/>
      <c r="AI25" s="104"/>
      <c r="AJ25" s="104"/>
      <c r="AK25" s="104"/>
    </row>
    <row r="26" spans="1:37" ht="15.75" thickBot="1" x14ac:dyDescent="0.3">
      <c r="A26" s="100" t="s">
        <v>5</v>
      </c>
      <c r="B26" s="34" t="s">
        <v>6</v>
      </c>
      <c r="C26" s="22" t="s">
        <v>7</v>
      </c>
      <c r="D26" s="33" t="s">
        <v>8</v>
      </c>
      <c r="E26" s="22" t="s">
        <v>9</v>
      </c>
      <c r="F26" s="24" t="s">
        <v>10</v>
      </c>
      <c r="G26" s="23" t="s">
        <v>11</v>
      </c>
      <c r="H26" s="25" t="s">
        <v>12</v>
      </c>
      <c r="J26" s="6" t="s">
        <v>4</v>
      </c>
      <c r="K26" s="9">
        <v>45447</v>
      </c>
      <c r="L26" s="66">
        <v>45450</v>
      </c>
      <c r="M26" s="66">
        <v>45454</v>
      </c>
      <c r="N26" s="66">
        <v>45457</v>
      </c>
      <c r="O26" s="66">
        <v>45461</v>
      </c>
      <c r="P26" s="66">
        <v>45464</v>
      </c>
      <c r="Q26" s="66">
        <v>45469</v>
      </c>
      <c r="R26" s="66">
        <v>45472</v>
      </c>
      <c r="S26" s="4"/>
      <c r="T26" s="4"/>
      <c r="U26" s="5"/>
      <c r="W26" s="6" t="s">
        <v>4</v>
      </c>
      <c r="X26" s="9">
        <v>45449</v>
      </c>
      <c r="Y26" s="66">
        <v>45465</v>
      </c>
      <c r="Z26" s="66">
        <v>45458</v>
      </c>
      <c r="AA26" s="4"/>
      <c r="AB26" s="4"/>
      <c r="AC26" s="5"/>
      <c r="AE26" s="6" t="s">
        <v>4</v>
      </c>
      <c r="AF26" s="9"/>
      <c r="AG26" s="4"/>
      <c r="AH26" s="4"/>
      <c r="AI26" s="4"/>
      <c r="AJ26" s="4"/>
      <c r="AK26" s="5"/>
    </row>
    <row r="27" spans="1:37" ht="15.75" thickBot="1" x14ac:dyDescent="0.3">
      <c r="A27" s="100"/>
      <c r="B27" s="26">
        <v>17514</v>
      </c>
      <c r="C27" s="27"/>
      <c r="D27" s="27"/>
      <c r="E27" s="27">
        <v>21966</v>
      </c>
      <c r="F27" s="27">
        <f>SUM(C27-B27)</f>
        <v>-17514</v>
      </c>
      <c r="G27" s="20">
        <f>SUM(E27-D27)</f>
        <v>21966</v>
      </c>
      <c r="H27" s="21">
        <f>SUM(F27:G27)</f>
        <v>4452</v>
      </c>
      <c r="J27" s="7" t="s">
        <v>22</v>
      </c>
      <c r="K27" s="10">
        <v>264.93</v>
      </c>
      <c r="L27" s="11">
        <v>251</v>
      </c>
      <c r="M27" s="11">
        <v>210.46</v>
      </c>
      <c r="N27" s="11">
        <v>258.56</v>
      </c>
      <c r="O27" s="11">
        <v>219.74</v>
      </c>
      <c r="P27" s="11">
        <v>222.84</v>
      </c>
      <c r="Q27" s="11">
        <v>212.19</v>
      </c>
      <c r="R27" s="11">
        <v>223.09</v>
      </c>
      <c r="S27" s="11"/>
      <c r="T27" s="11"/>
      <c r="U27" s="12"/>
      <c r="W27" s="7" t="s">
        <v>22</v>
      </c>
      <c r="X27" s="10">
        <v>80</v>
      </c>
      <c r="Y27" s="11">
        <v>80</v>
      </c>
      <c r="Z27" s="11">
        <v>80</v>
      </c>
      <c r="AA27" s="11"/>
      <c r="AB27" s="11"/>
      <c r="AC27" s="12"/>
      <c r="AE27" s="7" t="s">
        <v>22</v>
      </c>
      <c r="AF27" s="10"/>
      <c r="AG27" s="11"/>
      <c r="AH27" s="11"/>
      <c r="AI27" s="11"/>
      <c r="AJ27" s="11"/>
      <c r="AK27" s="12"/>
    </row>
    <row r="28" spans="1:37" x14ac:dyDescent="0.25">
      <c r="J28" s="8"/>
      <c r="T28" s="8" t="s">
        <v>23</v>
      </c>
      <c r="U28" s="13">
        <f>SUM(K27:U27)</f>
        <v>1862.81</v>
      </c>
      <c r="AB28" s="8" t="s">
        <v>23</v>
      </c>
      <c r="AC28" s="13">
        <f>SUM(X27:AC27)</f>
        <v>240</v>
      </c>
      <c r="AJ28" s="8" t="s">
        <v>23</v>
      </c>
      <c r="AK28" s="13">
        <f>SUM(AF27:AK27)</f>
        <v>0</v>
      </c>
    </row>
    <row r="29" spans="1:37"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W29" s="103" t="str">
        <f>J29</f>
        <v>Julho</v>
      </c>
      <c r="X29" s="103"/>
      <c r="Y29" s="103"/>
      <c r="Z29" s="103"/>
      <c r="AA29" s="103"/>
      <c r="AB29" s="103"/>
      <c r="AC29" s="103"/>
      <c r="AE29" s="104" t="str">
        <f>W29</f>
        <v>Julho</v>
      </c>
      <c r="AF29" s="104"/>
      <c r="AG29" s="104"/>
      <c r="AH29" s="104"/>
      <c r="AI29" s="104"/>
      <c r="AJ29" s="104"/>
      <c r="AK29" s="104"/>
    </row>
    <row r="30" spans="1:37" ht="15.75" thickBot="1" x14ac:dyDescent="0.3">
      <c r="A30" s="100" t="s">
        <v>5</v>
      </c>
      <c r="B30" s="34" t="s">
        <v>6</v>
      </c>
      <c r="C30" s="22" t="s">
        <v>7</v>
      </c>
      <c r="D30" s="33" t="s">
        <v>8</v>
      </c>
      <c r="E30" s="22" t="s">
        <v>9</v>
      </c>
      <c r="F30" s="24" t="s">
        <v>10</v>
      </c>
      <c r="G30" s="23" t="s">
        <v>11</v>
      </c>
      <c r="H30" s="25" t="s">
        <v>12</v>
      </c>
      <c r="J30" s="6" t="s">
        <v>4</v>
      </c>
      <c r="K30" s="9"/>
      <c r="L30" s="66">
        <v>45476</v>
      </c>
      <c r="M30" s="66">
        <v>45483</v>
      </c>
      <c r="N30" s="66">
        <v>45489</v>
      </c>
      <c r="O30" s="66">
        <v>45491</v>
      </c>
      <c r="P30" s="66">
        <v>45495</v>
      </c>
      <c r="Q30" s="4"/>
      <c r="R30" s="4"/>
      <c r="S30" s="4"/>
      <c r="T30" s="4"/>
      <c r="U30" s="5"/>
      <c r="W30" s="6" t="s">
        <v>4</v>
      </c>
      <c r="X30" s="9">
        <v>45474</v>
      </c>
      <c r="Y30" s="66">
        <v>45493</v>
      </c>
      <c r="Z30" s="4"/>
      <c r="AA30" s="4"/>
      <c r="AB30" s="4"/>
      <c r="AC30" s="5"/>
      <c r="AE30" s="6" t="s">
        <v>4</v>
      </c>
      <c r="AF30" s="9"/>
      <c r="AG30" s="4"/>
      <c r="AH30" s="4"/>
      <c r="AI30" s="4"/>
      <c r="AJ30" s="4"/>
      <c r="AK30" s="5"/>
    </row>
    <row r="31" spans="1:37" ht="15.75" thickBot="1" x14ac:dyDescent="0.3">
      <c r="A31" s="100"/>
      <c r="B31" s="26">
        <v>21966</v>
      </c>
      <c r="C31" s="27"/>
      <c r="D31" s="27"/>
      <c r="E31" s="27">
        <v>23997</v>
      </c>
      <c r="F31" s="27">
        <f>SUM(C31-B31)</f>
        <v>-21966</v>
      </c>
      <c r="G31" s="20">
        <f>SUM(E31-D31)</f>
        <v>23997</v>
      </c>
      <c r="H31" s="21">
        <f>SUM(F31:G31)</f>
        <v>2031</v>
      </c>
      <c r="J31" s="7" t="s">
        <v>22</v>
      </c>
      <c r="K31" s="10"/>
      <c r="L31" s="11">
        <v>243.08</v>
      </c>
      <c r="M31" s="11">
        <v>244.8</v>
      </c>
      <c r="N31" s="11">
        <v>238.86</v>
      </c>
      <c r="O31" s="11">
        <v>188.63</v>
      </c>
      <c r="P31" s="11">
        <v>254.26</v>
      </c>
      <c r="Q31" s="11"/>
      <c r="R31" s="11"/>
      <c r="S31" s="11"/>
      <c r="T31" s="11"/>
      <c r="U31" s="12"/>
      <c r="W31" s="7" t="s">
        <v>22</v>
      </c>
      <c r="X31" s="10">
        <v>80</v>
      </c>
      <c r="Y31" s="11">
        <v>80</v>
      </c>
      <c r="Z31" s="11"/>
      <c r="AA31" s="11"/>
      <c r="AB31" s="11"/>
      <c r="AC31" s="12"/>
      <c r="AE31" s="7" t="s">
        <v>22</v>
      </c>
      <c r="AF31" s="10"/>
      <c r="AG31" s="11"/>
      <c r="AH31" s="11"/>
      <c r="AI31" s="11"/>
      <c r="AJ31" s="11"/>
      <c r="AK31" s="12"/>
    </row>
    <row r="32" spans="1:37" x14ac:dyDescent="0.25">
      <c r="J32" s="8"/>
      <c r="T32" s="8" t="s">
        <v>23</v>
      </c>
      <c r="U32" s="13">
        <f>SUM(K31:U31)</f>
        <v>1169.6300000000001</v>
      </c>
      <c r="AB32" s="8" t="s">
        <v>23</v>
      </c>
      <c r="AC32" s="13">
        <f>SUM(X31:AC31)</f>
        <v>160</v>
      </c>
      <c r="AJ32" s="8" t="s">
        <v>23</v>
      </c>
      <c r="AK32" s="13">
        <f>SUM(AF31:AK31)</f>
        <v>0</v>
      </c>
    </row>
    <row r="33" spans="1:37"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W33" s="103" t="str">
        <f>J33</f>
        <v>Agosto</v>
      </c>
      <c r="X33" s="103"/>
      <c r="Y33" s="103"/>
      <c r="Z33" s="103"/>
      <c r="AA33" s="103"/>
      <c r="AB33" s="103"/>
      <c r="AC33" s="103"/>
      <c r="AE33" s="104" t="str">
        <f>W33</f>
        <v>Agosto</v>
      </c>
      <c r="AF33" s="104"/>
      <c r="AG33" s="104"/>
      <c r="AH33" s="104"/>
      <c r="AI33" s="104"/>
      <c r="AJ33" s="104"/>
      <c r="AK33" s="104"/>
    </row>
    <row r="34" spans="1:37" ht="15.75" thickBot="1" x14ac:dyDescent="0.3">
      <c r="A34" s="100" t="s">
        <v>5</v>
      </c>
      <c r="B34" s="34" t="s">
        <v>6</v>
      </c>
      <c r="C34" s="22" t="s">
        <v>7</v>
      </c>
      <c r="D34" s="33" t="s">
        <v>8</v>
      </c>
      <c r="E34" s="22" t="s">
        <v>9</v>
      </c>
      <c r="F34" s="24" t="s">
        <v>10</v>
      </c>
      <c r="G34" s="23" t="s">
        <v>11</v>
      </c>
      <c r="H34" s="25" t="s">
        <v>12</v>
      </c>
      <c r="J34" s="6" t="s">
        <v>4</v>
      </c>
      <c r="K34" s="9">
        <v>45510</v>
      </c>
      <c r="L34" s="66">
        <v>45512</v>
      </c>
      <c r="M34" s="66">
        <v>45517</v>
      </c>
      <c r="N34" s="66">
        <v>45514</v>
      </c>
      <c r="O34" s="66">
        <v>45519</v>
      </c>
      <c r="P34" s="66">
        <v>45524</v>
      </c>
      <c r="Q34" s="66">
        <v>45526</v>
      </c>
      <c r="R34" s="66">
        <v>45528</v>
      </c>
      <c r="S34" s="66">
        <v>45533</v>
      </c>
      <c r="T34" s="66">
        <v>45505</v>
      </c>
      <c r="U34" s="5"/>
      <c r="W34" s="6" t="s">
        <v>4</v>
      </c>
      <c r="X34" s="9">
        <v>45507</v>
      </c>
      <c r="Y34" s="66">
        <v>45521</v>
      </c>
      <c r="Z34" s="66">
        <v>45527</v>
      </c>
      <c r="AA34" s="4"/>
      <c r="AB34" s="4"/>
      <c r="AC34" s="5"/>
      <c r="AE34" s="6" t="s">
        <v>4</v>
      </c>
      <c r="AF34" s="9"/>
      <c r="AG34" s="4"/>
      <c r="AH34" s="4"/>
      <c r="AI34" s="4"/>
      <c r="AJ34" s="4"/>
      <c r="AK34" s="5"/>
    </row>
    <row r="35" spans="1:37" ht="15.75" thickBot="1" x14ac:dyDescent="0.3">
      <c r="A35" s="100"/>
      <c r="B35" s="26">
        <v>24070</v>
      </c>
      <c r="C35" s="27"/>
      <c r="D35" s="27"/>
      <c r="E35" s="27">
        <v>27995</v>
      </c>
      <c r="F35" s="27">
        <f>SUM(C35-B35)</f>
        <v>-24070</v>
      </c>
      <c r="G35" s="20">
        <f>SUM(E35-D35)</f>
        <v>27995</v>
      </c>
      <c r="H35" s="21">
        <f>SUM(F35:G35)</f>
        <v>3925</v>
      </c>
      <c r="J35" s="7" t="s">
        <v>22</v>
      </c>
      <c r="K35" s="10">
        <v>279.18</v>
      </c>
      <c r="L35" s="11">
        <v>190.23</v>
      </c>
      <c r="M35" s="11">
        <v>178.47</v>
      </c>
      <c r="N35" s="11">
        <v>192.72</v>
      </c>
      <c r="O35" s="11">
        <v>198.86</v>
      </c>
      <c r="P35" s="11">
        <v>281.02999999999997</v>
      </c>
      <c r="Q35" s="11">
        <v>180.45</v>
      </c>
      <c r="R35" s="11">
        <v>255.66</v>
      </c>
      <c r="S35" s="11">
        <v>255.79</v>
      </c>
      <c r="T35" s="11">
        <v>227.93</v>
      </c>
      <c r="U35" s="12"/>
      <c r="W35" s="7" t="s">
        <v>22</v>
      </c>
      <c r="X35" s="10">
        <v>80</v>
      </c>
      <c r="Y35" s="11">
        <v>80</v>
      </c>
      <c r="Z35" s="11">
        <v>80</v>
      </c>
      <c r="AA35" s="11"/>
      <c r="AB35" s="11"/>
      <c r="AC35" s="12"/>
      <c r="AE35" s="7" t="s">
        <v>22</v>
      </c>
      <c r="AF35" s="10"/>
      <c r="AG35" s="11"/>
      <c r="AH35" s="11"/>
      <c r="AI35" s="11"/>
      <c r="AJ35" s="11"/>
      <c r="AK35" s="12"/>
    </row>
    <row r="36" spans="1:37" x14ac:dyDescent="0.25">
      <c r="J36" s="8"/>
      <c r="T36" s="8" t="s">
        <v>23</v>
      </c>
      <c r="U36" s="13">
        <f>SUM(K35:U35)</f>
        <v>2240.3200000000002</v>
      </c>
      <c r="AB36" s="8" t="s">
        <v>23</v>
      </c>
      <c r="AC36" s="13">
        <f>SUM(X35:AC35)</f>
        <v>240</v>
      </c>
      <c r="AJ36" s="8" t="s">
        <v>23</v>
      </c>
      <c r="AK36" s="13">
        <f>SUM(AF35:AK35)</f>
        <v>0</v>
      </c>
    </row>
    <row r="37" spans="1:37"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W37" s="103" t="str">
        <f>J37</f>
        <v>Setembro</v>
      </c>
      <c r="X37" s="103"/>
      <c r="Y37" s="103"/>
      <c r="Z37" s="103"/>
      <c r="AA37" s="103"/>
      <c r="AB37" s="103"/>
      <c r="AC37" s="103"/>
      <c r="AE37" s="104" t="str">
        <f>W37</f>
        <v>Setembro</v>
      </c>
      <c r="AF37" s="104"/>
      <c r="AG37" s="104"/>
      <c r="AH37" s="104"/>
      <c r="AI37" s="104"/>
      <c r="AJ37" s="104"/>
      <c r="AK37" s="104"/>
    </row>
    <row r="38" spans="1:37" ht="15.75" thickBot="1" x14ac:dyDescent="0.3">
      <c r="A38" s="100" t="s">
        <v>5</v>
      </c>
      <c r="B38" s="34" t="s">
        <v>6</v>
      </c>
      <c r="C38" s="22" t="s">
        <v>7</v>
      </c>
      <c r="D38" s="33" t="s">
        <v>8</v>
      </c>
      <c r="E38" s="22" t="s">
        <v>9</v>
      </c>
      <c r="F38" s="24" t="s">
        <v>10</v>
      </c>
      <c r="G38" s="23" t="s">
        <v>11</v>
      </c>
      <c r="H38" s="25" t="s">
        <v>12</v>
      </c>
      <c r="J38" s="6" t="s">
        <v>4</v>
      </c>
      <c r="K38" s="9" t="s">
        <v>111</v>
      </c>
      <c r="L38" s="66">
        <v>45542</v>
      </c>
      <c r="M38" s="66">
        <v>45547</v>
      </c>
      <c r="N38" s="66">
        <v>45552</v>
      </c>
      <c r="O38" s="66">
        <v>45556</v>
      </c>
      <c r="P38" s="66">
        <v>45561</v>
      </c>
      <c r="Q38" s="66">
        <v>45565</v>
      </c>
      <c r="R38" s="4"/>
      <c r="S38" s="4"/>
      <c r="T38" s="4"/>
      <c r="U38" s="5"/>
      <c r="W38" s="6" t="s">
        <v>4</v>
      </c>
      <c r="X38" s="9">
        <v>45540</v>
      </c>
      <c r="Y38" s="4"/>
      <c r="Z38" s="4"/>
      <c r="AA38" s="4"/>
      <c r="AB38" s="4"/>
      <c r="AC38" s="5"/>
      <c r="AE38" s="6" t="s">
        <v>4</v>
      </c>
      <c r="AF38" s="9"/>
      <c r="AG38" s="4"/>
      <c r="AH38" s="4"/>
      <c r="AI38" s="4"/>
      <c r="AJ38" s="4"/>
      <c r="AK38" s="5"/>
    </row>
    <row r="39" spans="1:37" ht="15.75" thickBot="1" x14ac:dyDescent="0.3">
      <c r="A39" s="100"/>
      <c r="B39" s="26">
        <v>27995</v>
      </c>
      <c r="C39" s="27"/>
      <c r="D39" s="27"/>
      <c r="E39" s="27">
        <v>31279</v>
      </c>
      <c r="F39" s="27">
        <f>SUM(C39-B39)</f>
        <v>-27995</v>
      </c>
      <c r="G39" s="20">
        <f>SUM(E39-D39)</f>
        <v>31279</v>
      </c>
      <c r="H39" s="21">
        <f>SUM(F39:G39)</f>
        <v>3284</v>
      </c>
      <c r="J39" s="7" t="s">
        <v>22</v>
      </c>
      <c r="K39" s="10">
        <v>273.11</v>
      </c>
      <c r="L39" s="11">
        <v>168.57</v>
      </c>
      <c r="M39" s="11">
        <v>214.96</v>
      </c>
      <c r="N39" s="11">
        <v>280.97000000000003</v>
      </c>
      <c r="O39" s="11">
        <v>245.06</v>
      </c>
      <c r="P39" s="11">
        <v>266.33999999999997</v>
      </c>
      <c r="Q39" s="11">
        <v>249.72</v>
      </c>
      <c r="R39" s="11"/>
      <c r="S39" s="11"/>
      <c r="T39" s="11"/>
      <c r="U39" s="12"/>
      <c r="W39" s="7" t="s">
        <v>22</v>
      </c>
      <c r="X39" s="10">
        <v>75</v>
      </c>
      <c r="Y39" s="11"/>
      <c r="Z39" s="11"/>
      <c r="AA39" s="11"/>
      <c r="AB39" s="11"/>
      <c r="AC39" s="12"/>
      <c r="AE39" s="7" t="s">
        <v>22</v>
      </c>
      <c r="AF39" s="10"/>
      <c r="AG39" s="11"/>
      <c r="AH39" s="11"/>
      <c r="AI39" s="11"/>
      <c r="AJ39" s="11"/>
      <c r="AK39" s="12"/>
    </row>
    <row r="40" spans="1:37" x14ac:dyDescent="0.25">
      <c r="J40" s="8"/>
      <c r="T40" s="8" t="s">
        <v>23</v>
      </c>
      <c r="U40" s="13">
        <f>SUM(K39:U39)</f>
        <v>1698.73</v>
      </c>
      <c r="AB40" s="8" t="s">
        <v>23</v>
      </c>
      <c r="AC40" s="13">
        <f>SUM(X39:AC39)</f>
        <v>75</v>
      </c>
      <c r="AJ40" s="8" t="s">
        <v>23</v>
      </c>
      <c r="AK40" s="13">
        <f>SUM(AF39:AK39)</f>
        <v>0</v>
      </c>
    </row>
    <row r="41" spans="1:37"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W41" s="103" t="str">
        <f>J41</f>
        <v>Outubro</v>
      </c>
      <c r="X41" s="103"/>
      <c r="Y41" s="103"/>
      <c r="Z41" s="103"/>
      <c r="AA41" s="103"/>
      <c r="AB41" s="103"/>
      <c r="AC41" s="103"/>
      <c r="AE41" s="104" t="str">
        <f>W41</f>
        <v>Outubro</v>
      </c>
      <c r="AF41" s="104"/>
      <c r="AG41" s="104"/>
      <c r="AH41" s="104"/>
      <c r="AI41" s="104"/>
      <c r="AJ41" s="104"/>
      <c r="AK41" s="104"/>
    </row>
    <row r="42" spans="1:37" ht="15.75" thickBot="1" x14ac:dyDescent="0.3">
      <c r="A42" s="100" t="s">
        <v>5</v>
      </c>
      <c r="B42" s="34" t="s">
        <v>6</v>
      </c>
      <c r="C42" s="22" t="s">
        <v>7</v>
      </c>
      <c r="D42" s="33" t="s">
        <v>8</v>
      </c>
      <c r="E42" s="22" t="s">
        <v>9</v>
      </c>
      <c r="F42" s="24" t="s">
        <v>10</v>
      </c>
      <c r="G42" s="23" t="s">
        <v>11</v>
      </c>
      <c r="H42" s="25" t="s">
        <v>12</v>
      </c>
      <c r="J42" s="6" t="s">
        <v>4</v>
      </c>
      <c r="K42" s="9">
        <v>45568</v>
      </c>
      <c r="L42" s="66">
        <v>45570</v>
      </c>
      <c r="M42" s="66">
        <v>45575</v>
      </c>
      <c r="N42" s="66">
        <v>45577</v>
      </c>
      <c r="O42" s="66">
        <v>45594</v>
      </c>
      <c r="P42" s="66">
        <v>45588</v>
      </c>
      <c r="Q42" s="66">
        <v>45584</v>
      </c>
      <c r="R42" s="66">
        <v>45581</v>
      </c>
      <c r="S42" s="66">
        <v>45596</v>
      </c>
      <c r="T42" s="4"/>
      <c r="U42" s="5"/>
      <c r="W42" s="6" t="s">
        <v>4</v>
      </c>
      <c r="X42" s="9">
        <v>45570</v>
      </c>
      <c r="Y42" s="4"/>
      <c r="Z42" s="4"/>
      <c r="AA42" s="4"/>
      <c r="AB42" s="4"/>
      <c r="AC42" s="5"/>
      <c r="AE42" s="6" t="s">
        <v>4</v>
      </c>
      <c r="AF42" s="9"/>
      <c r="AG42" s="4"/>
      <c r="AH42" s="4"/>
      <c r="AI42" s="4"/>
      <c r="AJ42" s="4"/>
      <c r="AK42" s="5"/>
    </row>
    <row r="43" spans="1:37" ht="15.75" thickBot="1" x14ac:dyDescent="0.3">
      <c r="A43" s="100"/>
      <c r="B43" s="26">
        <v>4498</v>
      </c>
      <c r="C43" s="27"/>
      <c r="D43" s="27"/>
      <c r="E43" s="27">
        <v>5634</v>
      </c>
      <c r="F43" s="27">
        <f>SUM(C43-B43)</f>
        <v>-4498</v>
      </c>
      <c r="G43" s="20">
        <f>SUM(E43-D43)</f>
        <v>5634</v>
      </c>
      <c r="H43" s="21">
        <f>SUM(F43:G43)</f>
        <v>1136</v>
      </c>
      <c r="J43" s="7" t="s">
        <v>22</v>
      </c>
      <c r="K43" s="10">
        <v>210.49</v>
      </c>
      <c r="L43" s="11">
        <v>182.05</v>
      </c>
      <c r="M43" s="11">
        <v>216.24</v>
      </c>
      <c r="N43" s="11">
        <v>208.83</v>
      </c>
      <c r="O43" s="11">
        <v>237.26</v>
      </c>
      <c r="P43" s="11">
        <v>264.74</v>
      </c>
      <c r="Q43" s="11">
        <v>248.89</v>
      </c>
      <c r="R43" s="11">
        <v>233.49</v>
      </c>
      <c r="S43" s="11">
        <v>278.73</v>
      </c>
      <c r="T43" s="11"/>
      <c r="U43" s="12"/>
      <c r="W43" s="7" t="s">
        <v>22</v>
      </c>
      <c r="X43" s="10">
        <v>80</v>
      </c>
      <c r="Y43" s="11"/>
      <c r="Z43" s="11"/>
      <c r="AA43" s="11"/>
      <c r="AB43" s="11"/>
      <c r="AC43" s="12"/>
      <c r="AE43" s="7" t="s">
        <v>22</v>
      </c>
      <c r="AF43" s="10"/>
      <c r="AG43" s="11"/>
      <c r="AH43" s="11"/>
      <c r="AI43" s="11"/>
      <c r="AJ43" s="11"/>
      <c r="AK43" s="12"/>
    </row>
    <row r="44" spans="1:37" x14ac:dyDescent="0.25">
      <c r="B44" s="1" t="s">
        <v>137</v>
      </c>
      <c r="J44" s="8"/>
      <c r="T44" s="8" t="s">
        <v>23</v>
      </c>
      <c r="U44" s="13">
        <f>SUM(K43:U43)</f>
        <v>2080.7200000000003</v>
      </c>
      <c r="AB44" s="8" t="s">
        <v>23</v>
      </c>
      <c r="AC44" s="13">
        <f>SUM(X43:AC43)</f>
        <v>80</v>
      </c>
      <c r="AJ44" s="8" t="s">
        <v>23</v>
      </c>
      <c r="AK44" s="13">
        <f>SUM(AF43:AK43)</f>
        <v>0</v>
      </c>
    </row>
    <row r="45" spans="1:37"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W45" s="103" t="str">
        <f>J45</f>
        <v>Novembro</v>
      </c>
      <c r="X45" s="103"/>
      <c r="Y45" s="103"/>
      <c r="Z45" s="103"/>
      <c r="AA45" s="103"/>
      <c r="AB45" s="103"/>
      <c r="AC45" s="103"/>
      <c r="AE45" s="104" t="str">
        <f>W45</f>
        <v>Novembro</v>
      </c>
      <c r="AF45" s="104"/>
      <c r="AG45" s="104"/>
      <c r="AH45" s="104"/>
      <c r="AI45" s="104"/>
      <c r="AJ45" s="104"/>
      <c r="AK45" s="104"/>
    </row>
    <row r="46" spans="1:37" ht="15.75" thickBot="1" x14ac:dyDescent="0.3">
      <c r="A46" s="100" t="s">
        <v>5</v>
      </c>
      <c r="B46" s="34" t="s">
        <v>6</v>
      </c>
      <c r="C46" s="22" t="s">
        <v>7</v>
      </c>
      <c r="D46" s="33" t="s">
        <v>8</v>
      </c>
      <c r="E46" s="22" t="s">
        <v>9</v>
      </c>
      <c r="F46" s="24" t="s">
        <v>10</v>
      </c>
      <c r="G46" s="23" t="s">
        <v>11</v>
      </c>
      <c r="H46" s="25" t="s">
        <v>12</v>
      </c>
      <c r="J46" s="6" t="s">
        <v>4</v>
      </c>
      <c r="K46" s="9">
        <v>45598</v>
      </c>
      <c r="L46" s="66">
        <v>45601</v>
      </c>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100"/>
      <c r="B47" s="26">
        <v>5634</v>
      </c>
      <c r="C47" s="27">
        <v>6944</v>
      </c>
      <c r="D47" s="27">
        <v>6944</v>
      </c>
      <c r="E47" s="27">
        <v>8588</v>
      </c>
      <c r="F47" s="27">
        <f>SUM(C47-B47)</f>
        <v>1310</v>
      </c>
      <c r="G47" s="20">
        <f>SUM(E47-D47)</f>
        <v>1644</v>
      </c>
      <c r="H47" s="21">
        <f>SUM(F47:G47)</f>
        <v>2954</v>
      </c>
      <c r="J47" s="7" t="s">
        <v>22</v>
      </c>
      <c r="K47" s="10">
        <v>202.12</v>
      </c>
      <c r="L47" s="11">
        <v>262.12</v>
      </c>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464.24</v>
      </c>
      <c r="AB48" s="8" t="s">
        <v>23</v>
      </c>
      <c r="AC48" s="13">
        <f>SUM(X47:AC47)</f>
        <v>0</v>
      </c>
      <c r="AJ48" s="8" t="s">
        <v>23</v>
      </c>
      <c r="AK48" s="13">
        <f>SUM(AF47:AK47)</f>
        <v>0</v>
      </c>
    </row>
    <row r="49" spans="1:37"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W49" s="103" t="str">
        <f>J49</f>
        <v>Dezembro</v>
      </c>
      <c r="X49" s="103"/>
      <c r="Y49" s="103"/>
      <c r="Z49" s="103"/>
      <c r="AA49" s="103"/>
      <c r="AB49" s="103"/>
      <c r="AC49" s="103"/>
      <c r="AE49" s="104" t="str">
        <f>W49</f>
        <v>Dezembro</v>
      </c>
      <c r="AF49" s="104"/>
      <c r="AG49" s="104"/>
      <c r="AH49" s="104"/>
      <c r="AI49" s="104"/>
      <c r="AJ49" s="104"/>
      <c r="AK49" s="104"/>
    </row>
    <row r="50" spans="1:37"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100"/>
      <c r="B51" s="26">
        <v>8836</v>
      </c>
      <c r="C51" s="27">
        <v>10549</v>
      </c>
      <c r="D51" s="27">
        <v>10609</v>
      </c>
      <c r="E51" s="27">
        <v>10978</v>
      </c>
      <c r="F51" s="27">
        <f>SUM(C51-B51)</f>
        <v>1713</v>
      </c>
      <c r="G51" s="20">
        <f>SUM(E51-D51)</f>
        <v>369</v>
      </c>
      <c r="H51" s="21">
        <f>SUM(F51:G51)</f>
        <v>2082</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row r="53" spans="1:37" ht="15.75" thickBot="1" x14ac:dyDescent="0.3">
      <c r="A53" s="19"/>
      <c r="B53" s="101" t="s">
        <v>141</v>
      </c>
      <c r="C53" s="101"/>
      <c r="D53" s="101"/>
      <c r="E53" s="101"/>
      <c r="F53" s="101"/>
      <c r="G53" s="101"/>
      <c r="H53" s="101"/>
      <c r="J53" s="102" t="s">
        <v>141</v>
      </c>
      <c r="K53" s="102"/>
      <c r="L53" s="102"/>
      <c r="M53" s="102"/>
      <c r="N53" s="102"/>
      <c r="O53" s="102"/>
      <c r="P53" s="102"/>
      <c r="Q53" s="102"/>
      <c r="R53" s="102"/>
      <c r="S53" s="102"/>
      <c r="T53" s="102"/>
      <c r="U53" s="102"/>
      <c r="W53" s="103" t="str">
        <f>J53</f>
        <v>Janeiro</v>
      </c>
      <c r="X53" s="103"/>
      <c r="Y53" s="103"/>
      <c r="Z53" s="103"/>
      <c r="AA53" s="103"/>
      <c r="AB53" s="103"/>
      <c r="AC53" s="103"/>
      <c r="AE53" s="104" t="str">
        <f>W53</f>
        <v>Janeiro</v>
      </c>
      <c r="AF53" s="104"/>
      <c r="AG53" s="104"/>
      <c r="AH53" s="104"/>
      <c r="AI53" s="104"/>
      <c r="AJ53" s="104"/>
      <c r="AK53" s="104"/>
    </row>
    <row r="54" spans="1:37" ht="15.75" thickBot="1" x14ac:dyDescent="0.3">
      <c r="A54" s="100" t="s">
        <v>5</v>
      </c>
      <c r="B54" s="34" t="s">
        <v>6</v>
      </c>
      <c r="C54" s="22" t="s">
        <v>7</v>
      </c>
      <c r="D54" s="33" t="s">
        <v>8</v>
      </c>
      <c r="E54" s="22" t="s">
        <v>9</v>
      </c>
      <c r="F54" s="24" t="s">
        <v>10</v>
      </c>
      <c r="G54" s="23" t="s">
        <v>11</v>
      </c>
      <c r="H54" s="25" t="s">
        <v>12</v>
      </c>
      <c r="J54" s="6" t="s">
        <v>4</v>
      </c>
      <c r="K54" s="9">
        <v>45665</v>
      </c>
      <c r="L54" s="66">
        <v>45668</v>
      </c>
      <c r="M54" s="66">
        <v>45673</v>
      </c>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100"/>
      <c r="B55" s="26">
        <v>10978</v>
      </c>
      <c r="C55" s="27">
        <v>12138</v>
      </c>
      <c r="D55" s="27">
        <v>12138</v>
      </c>
      <c r="E55" s="27">
        <v>13831</v>
      </c>
      <c r="F55" s="27">
        <f>SUM(C55-B55)</f>
        <v>1160</v>
      </c>
      <c r="G55" s="20">
        <f>SUM(E55-D55)</f>
        <v>1693</v>
      </c>
      <c r="H55" s="21">
        <f>SUM(F55:G55)</f>
        <v>2853</v>
      </c>
      <c r="J55" s="7" t="s">
        <v>22</v>
      </c>
      <c r="K55" s="10">
        <v>269.47000000000003</v>
      </c>
      <c r="L55" s="11">
        <v>184.93</v>
      </c>
      <c r="M55" s="11">
        <v>191.12</v>
      </c>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645.52</v>
      </c>
      <c r="AB56" s="8" t="s">
        <v>23</v>
      </c>
      <c r="AC56" s="13">
        <f>SUM(X55:AC55)</f>
        <v>0</v>
      </c>
      <c r="AJ56" s="8" t="s">
        <v>23</v>
      </c>
      <c r="AK56" s="13">
        <f>SUM(AF55:AK55)</f>
        <v>0</v>
      </c>
    </row>
  </sheetData>
  <mergeCells count="68">
    <mergeCell ref="B2:C2"/>
    <mergeCell ref="E2:F2"/>
    <mergeCell ref="B4:C4"/>
    <mergeCell ref="E4:F4"/>
    <mergeCell ref="A7:H7"/>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B53:H53"/>
    <mergeCell ref="J53:U53"/>
    <mergeCell ref="W53:AC53"/>
    <mergeCell ref="AE53:AK53"/>
    <mergeCell ref="A54:A55"/>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N56"/>
  <sheetViews>
    <sheetView showGridLines="0" topLeftCell="H28" workbookViewId="0">
      <selection activeCell="AA55" sqref="AA5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20" width="10.42578125" bestFit="1" customWidth="1"/>
    <col min="21" max="21" width="12.140625" bestFit="1" customWidth="1"/>
    <col min="26" max="28" width="10.42578125" bestFit="1" customWidth="1"/>
    <col min="37" max="39" width="10.140625" bestFit="1" customWidth="1"/>
  </cols>
  <sheetData>
    <row r="2" spans="1:40" x14ac:dyDescent="0.25">
      <c r="A2" t="s">
        <v>0</v>
      </c>
      <c r="B2" s="107" t="s">
        <v>120</v>
      </c>
      <c r="C2" s="107"/>
      <c r="D2" s="1" t="s">
        <v>1</v>
      </c>
      <c r="E2" s="107" t="s">
        <v>119</v>
      </c>
      <c r="F2" s="107"/>
      <c r="H2" t="s">
        <v>45</v>
      </c>
      <c r="I2" s="54">
        <v>5325</v>
      </c>
    </row>
    <row r="3" spans="1:40" x14ac:dyDescent="0.25">
      <c r="F3" s="1"/>
    </row>
    <row r="4" spans="1:40" x14ac:dyDescent="0.25">
      <c r="A4" t="s">
        <v>2</v>
      </c>
      <c r="B4" s="108">
        <v>3500</v>
      </c>
      <c r="C4" s="108"/>
      <c r="D4" s="1" t="s">
        <v>29</v>
      </c>
      <c r="E4" s="107"/>
      <c r="F4" s="107"/>
      <c r="H4" t="s">
        <v>64</v>
      </c>
      <c r="I4" s="67">
        <v>45478</v>
      </c>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10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10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v>45481</v>
      </c>
      <c r="L30" s="66">
        <v>45483</v>
      </c>
      <c r="M30" s="66">
        <v>45486</v>
      </c>
      <c r="N30" s="66">
        <v>45490</v>
      </c>
      <c r="O30" s="66">
        <v>45493</v>
      </c>
      <c r="P30" s="66">
        <v>45497</v>
      </c>
      <c r="Q30" s="66">
        <v>45499</v>
      </c>
      <c r="R30" s="66">
        <v>45503</v>
      </c>
      <c r="S30" s="4"/>
      <c r="T30" s="4"/>
      <c r="U30" s="5"/>
      <c r="Y30" s="6" t="s">
        <v>4</v>
      </c>
      <c r="Z30" s="9"/>
      <c r="AA30" s="4"/>
      <c r="AB30" s="4"/>
      <c r="AC30" s="4"/>
      <c r="AD30" s="4"/>
      <c r="AE30" s="5"/>
      <c r="AH30" s="6" t="s">
        <v>4</v>
      </c>
      <c r="AI30" s="9"/>
      <c r="AJ30" s="4"/>
      <c r="AK30" s="4"/>
      <c r="AL30" s="4"/>
      <c r="AM30" s="4"/>
      <c r="AN30" s="5"/>
    </row>
    <row r="31" spans="1:40" ht="15.75" thickBot="1" x14ac:dyDescent="0.3">
      <c r="A31" s="100"/>
      <c r="B31" s="26">
        <v>61529</v>
      </c>
      <c r="C31" s="27"/>
      <c r="D31" s="27"/>
      <c r="E31" s="27">
        <v>64485</v>
      </c>
      <c r="F31" s="27">
        <f>SUM(C31-B31)</f>
        <v>-61529</v>
      </c>
      <c r="G31" s="20">
        <f>SUM(E31-D31)</f>
        <v>64485</v>
      </c>
      <c r="H31" s="21">
        <f>SUM(F31:G31)</f>
        <v>2956</v>
      </c>
      <c r="J31" s="7" t="s">
        <v>22</v>
      </c>
      <c r="K31" s="10">
        <v>191.89</v>
      </c>
      <c r="L31" s="11">
        <v>140.58000000000001</v>
      </c>
      <c r="M31" s="11">
        <v>170.29</v>
      </c>
      <c r="N31" s="11">
        <v>213.87</v>
      </c>
      <c r="O31" s="11">
        <v>160.52000000000001</v>
      </c>
      <c r="P31" s="11">
        <v>171.06</v>
      </c>
      <c r="Q31" s="11">
        <v>218.73</v>
      </c>
      <c r="R31" s="11">
        <v>165.56</v>
      </c>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1432.5</v>
      </c>
      <c r="AD32" s="8" t="s">
        <v>23</v>
      </c>
      <c r="AE32" s="13">
        <f>SUM(Z31:AE31)</f>
        <v>0</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v>45506</v>
      </c>
      <c r="L34" s="66">
        <v>45510</v>
      </c>
      <c r="M34" s="66">
        <v>45512</v>
      </c>
      <c r="N34" s="66">
        <v>45519</v>
      </c>
      <c r="O34" s="66">
        <v>45521</v>
      </c>
      <c r="P34" s="66">
        <v>45525</v>
      </c>
      <c r="Q34" s="66">
        <v>45531</v>
      </c>
      <c r="R34" s="66">
        <v>45532</v>
      </c>
      <c r="S34" s="66">
        <v>45535</v>
      </c>
      <c r="T34" s="66">
        <v>45517</v>
      </c>
      <c r="U34" s="5"/>
      <c r="Y34" s="6" t="s">
        <v>4</v>
      </c>
      <c r="Z34" s="9">
        <v>45506</v>
      </c>
      <c r="AA34" s="66">
        <v>45516</v>
      </c>
      <c r="AB34" s="66">
        <v>45530</v>
      </c>
      <c r="AC34" s="4"/>
      <c r="AD34" s="4"/>
      <c r="AE34" s="5"/>
      <c r="AH34" s="6" t="s">
        <v>4</v>
      </c>
      <c r="AI34" s="9"/>
      <c r="AJ34" s="4"/>
      <c r="AK34" s="4"/>
      <c r="AL34" s="4"/>
      <c r="AM34" s="4"/>
      <c r="AN34" s="5"/>
    </row>
    <row r="35" spans="1:40" ht="15.75" thickBot="1" x14ac:dyDescent="0.3">
      <c r="A35" s="100"/>
      <c r="B35" s="26">
        <v>64485</v>
      </c>
      <c r="C35" s="27"/>
      <c r="D35" s="76"/>
      <c r="E35" s="52">
        <v>68278</v>
      </c>
      <c r="F35" s="77">
        <f>SUM(C35-B35)</f>
        <v>-64485</v>
      </c>
      <c r="G35" s="20">
        <f>SUM(E35-D35)</f>
        <v>68278</v>
      </c>
      <c r="H35" s="21">
        <f>SUM(F35:G35)</f>
        <v>3793</v>
      </c>
      <c r="J35" s="7" t="s">
        <v>22</v>
      </c>
      <c r="K35" s="10">
        <v>191.7</v>
      </c>
      <c r="L35" s="11">
        <v>246.78</v>
      </c>
      <c r="M35" s="11">
        <v>176.88</v>
      </c>
      <c r="N35" s="11">
        <v>159.69</v>
      </c>
      <c r="O35" s="11">
        <v>172.53</v>
      </c>
      <c r="P35" s="11">
        <v>223.71</v>
      </c>
      <c r="Q35" s="11">
        <v>169.4</v>
      </c>
      <c r="R35" s="11">
        <v>186.59</v>
      </c>
      <c r="S35" s="11">
        <v>213.04</v>
      </c>
      <c r="T35" s="11">
        <v>245.76</v>
      </c>
      <c r="U35" s="12"/>
      <c r="Y35" s="7" t="s">
        <v>22</v>
      </c>
      <c r="Z35" s="10">
        <v>75</v>
      </c>
      <c r="AA35" s="11">
        <v>60</v>
      </c>
      <c r="AB35" s="11">
        <v>60</v>
      </c>
      <c r="AC35" s="11"/>
      <c r="AD35" s="11"/>
      <c r="AE35" s="12"/>
      <c r="AH35" s="7" t="s">
        <v>22</v>
      </c>
      <c r="AI35" s="10"/>
      <c r="AJ35" s="11"/>
      <c r="AK35" s="11"/>
      <c r="AL35" s="11"/>
      <c r="AM35" s="11"/>
      <c r="AN35" s="12"/>
    </row>
    <row r="36" spans="1:40" x14ac:dyDescent="0.25">
      <c r="J36" s="8"/>
      <c r="T36" s="8" t="s">
        <v>23</v>
      </c>
      <c r="U36" s="13">
        <f>SUM(K35:U35)</f>
        <v>1986.08</v>
      </c>
      <c r="AD36" s="8" t="s">
        <v>23</v>
      </c>
      <c r="AE36" s="13">
        <f>SUM(Z35:AE35)</f>
        <v>195</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v>45538</v>
      </c>
      <c r="L38" s="66">
        <v>45545</v>
      </c>
      <c r="M38" s="66">
        <v>45549</v>
      </c>
      <c r="N38" s="66">
        <v>45554</v>
      </c>
      <c r="O38" s="66">
        <v>45559</v>
      </c>
      <c r="P38" s="66">
        <v>45562</v>
      </c>
      <c r="Q38" s="4"/>
      <c r="R38" s="4"/>
      <c r="S38" s="4"/>
      <c r="T38" s="4"/>
      <c r="U38" s="5"/>
      <c r="Y38" s="6" t="s">
        <v>4</v>
      </c>
      <c r="Z38" s="9">
        <v>45545</v>
      </c>
      <c r="AA38" s="4"/>
      <c r="AB38" s="4"/>
      <c r="AC38" s="4"/>
      <c r="AD38" s="4"/>
      <c r="AE38" s="5"/>
      <c r="AH38" s="6" t="s">
        <v>4</v>
      </c>
      <c r="AI38" s="9"/>
      <c r="AJ38" s="4"/>
      <c r="AK38" s="4"/>
      <c r="AL38" s="4"/>
      <c r="AM38" s="4"/>
      <c r="AN38" s="5"/>
    </row>
    <row r="39" spans="1:40" ht="15.75" thickBot="1" x14ac:dyDescent="0.3">
      <c r="A39" s="100"/>
      <c r="B39" s="26">
        <v>68278</v>
      </c>
      <c r="C39" s="27"/>
      <c r="D39" s="27"/>
      <c r="E39" s="27">
        <v>70758</v>
      </c>
      <c r="F39" s="27">
        <f>SUM(C39-B39)</f>
        <v>-68278</v>
      </c>
      <c r="G39" s="20">
        <f>SUM(E39-D39)</f>
        <v>70758</v>
      </c>
      <c r="H39" s="21">
        <f>SUM(F39:G39)</f>
        <v>2480</v>
      </c>
      <c r="J39" s="7" t="s">
        <v>22</v>
      </c>
      <c r="K39" s="10">
        <v>168.7</v>
      </c>
      <c r="L39" s="11">
        <v>257.13</v>
      </c>
      <c r="M39" s="11">
        <v>259.04000000000002</v>
      </c>
      <c r="N39" s="11">
        <v>217.26</v>
      </c>
      <c r="O39" s="11">
        <v>194.13</v>
      </c>
      <c r="P39" s="11">
        <v>136.36000000000001</v>
      </c>
      <c r="Q39" s="11"/>
      <c r="R39" s="11"/>
      <c r="S39" s="11"/>
      <c r="T39" s="11"/>
      <c r="U39" s="12"/>
      <c r="Y39" s="7" t="s">
        <v>22</v>
      </c>
      <c r="Z39" s="10">
        <v>60</v>
      </c>
      <c r="AA39" s="11"/>
      <c r="AB39" s="11"/>
      <c r="AC39" s="11"/>
      <c r="AD39" s="11"/>
      <c r="AE39" s="12"/>
      <c r="AH39" s="7" t="s">
        <v>22</v>
      </c>
      <c r="AI39" s="10"/>
      <c r="AJ39" s="11"/>
      <c r="AK39" s="11"/>
      <c r="AL39" s="11"/>
      <c r="AM39" s="11"/>
      <c r="AN39" s="12"/>
    </row>
    <row r="40" spans="1:40" x14ac:dyDescent="0.25">
      <c r="A40" t="s">
        <v>124</v>
      </c>
      <c r="B40" s="1">
        <v>20302</v>
      </c>
      <c r="E40" s="1">
        <v>20816</v>
      </c>
      <c r="J40" s="8"/>
      <c r="T40" s="8" t="s">
        <v>23</v>
      </c>
      <c r="U40" s="13">
        <f>SUM(K39:U39)</f>
        <v>1232.6199999999999</v>
      </c>
      <c r="AD40" s="8" t="s">
        <v>23</v>
      </c>
      <c r="AE40" s="13">
        <f>SUM(Z39:AE39)</f>
        <v>60</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81" t="s">
        <v>6</v>
      </c>
      <c r="C42" s="22" t="s">
        <v>7</v>
      </c>
      <c r="D42" s="33" t="s">
        <v>8</v>
      </c>
      <c r="E42" s="22" t="s">
        <v>9</v>
      </c>
      <c r="F42" s="24" t="s">
        <v>10</v>
      </c>
      <c r="G42" s="23" t="s">
        <v>11</v>
      </c>
      <c r="H42" s="25" t="s">
        <v>12</v>
      </c>
      <c r="J42" s="6" t="s">
        <v>4</v>
      </c>
      <c r="K42" s="9">
        <v>45566</v>
      </c>
      <c r="L42" s="66">
        <v>45568</v>
      </c>
      <c r="M42" s="66">
        <v>45594</v>
      </c>
      <c r="N42" s="66">
        <v>45591</v>
      </c>
      <c r="O42" s="66">
        <v>45589</v>
      </c>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100"/>
      <c r="B43" s="43">
        <v>20816</v>
      </c>
      <c r="C43" s="27"/>
      <c r="D43" s="27"/>
      <c r="E43" s="27">
        <v>22490</v>
      </c>
      <c r="F43" s="27">
        <f>SUM(C43-B43)</f>
        <v>-20816</v>
      </c>
      <c r="G43" s="20">
        <f>SUM(E43-D43)</f>
        <v>22490</v>
      </c>
      <c r="H43" s="21">
        <f>SUM(F43:G43)</f>
        <v>1674</v>
      </c>
      <c r="J43" s="7" t="s">
        <v>22</v>
      </c>
      <c r="K43" s="10">
        <v>195.15</v>
      </c>
      <c r="L43" s="11">
        <v>166.14</v>
      </c>
      <c r="M43" s="11">
        <v>186.84</v>
      </c>
      <c r="N43" s="11">
        <v>160.33000000000001</v>
      </c>
      <c r="O43" s="11">
        <v>127.8</v>
      </c>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836.26</v>
      </c>
      <c r="AD44" s="8" t="s">
        <v>23</v>
      </c>
      <c r="AE44" s="13">
        <f>SUM(Z43:AE43)</f>
        <v>0</v>
      </c>
      <c r="AM44" s="8" t="s">
        <v>23</v>
      </c>
      <c r="AN44" s="13">
        <f>SUM(AI43:AN43)</f>
        <v>0</v>
      </c>
    </row>
    <row r="45" spans="1:40"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v>45597</v>
      </c>
      <c r="L46" s="66">
        <v>45601</v>
      </c>
      <c r="M46" s="66">
        <v>45604</v>
      </c>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100"/>
      <c r="B47" s="26">
        <v>22490</v>
      </c>
      <c r="C47" s="27">
        <v>24209</v>
      </c>
      <c r="D47" s="27">
        <v>24209</v>
      </c>
      <c r="E47" s="27">
        <v>24932</v>
      </c>
      <c r="F47" s="27">
        <f>SUM(C47-B47)</f>
        <v>1719</v>
      </c>
      <c r="G47" s="20">
        <f>SUM(E47-D47)</f>
        <v>723</v>
      </c>
      <c r="H47" s="21">
        <f>SUM(F47:G47)</f>
        <v>2442</v>
      </c>
      <c r="J47" s="7" t="s">
        <v>22</v>
      </c>
      <c r="K47" s="10">
        <v>168.85</v>
      </c>
      <c r="L47" s="11">
        <v>152.4</v>
      </c>
      <c r="M47" s="11">
        <v>163.33000000000001</v>
      </c>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484.58000000000004</v>
      </c>
      <c r="AD48" s="8" t="s">
        <v>23</v>
      </c>
      <c r="AE48" s="13">
        <f>SUM(Z47:AE47)</f>
        <v>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100"/>
      <c r="B51" s="26">
        <v>24932</v>
      </c>
      <c r="C51" s="27">
        <v>26294</v>
      </c>
      <c r="D51" s="27">
        <v>26448</v>
      </c>
      <c r="E51" s="27">
        <v>27169</v>
      </c>
      <c r="F51" s="27">
        <f>SUM(C51-B51)</f>
        <v>1362</v>
      </c>
      <c r="G51" s="20">
        <f>SUM(E51-D51)</f>
        <v>721</v>
      </c>
      <c r="H51" s="21">
        <f>SUM(F51:G51)</f>
        <v>2083</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row r="53" spans="1:40" ht="15.75" thickBot="1" x14ac:dyDescent="0.3">
      <c r="A53" s="19"/>
      <c r="B53" s="101" t="s">
        <v>141</v>
      </c>
      <c r="C53" s="101"/>
      <c r="D53" s="101"/>
      <c r="E53" s="101"/>
      <c r="F53" s="101"/>
      <c r="G53" s="101"/>
      <c r="H53" s="101"/>
      <c r="J53" s="102" t="s">
        <v>141</v>
      </c>
      <c r="K53" s="102"/>
      <c r="L53" s="102"/>
      <c r="M53" s="102"/>
      <c r="N53" s="102"/>
      <c r="O53" s="102"/>
      <c r="P53" s="102"/>
      <c r="Q53" s="102"/>
      <c r="R53" s="102"/>
      <c r="S53" s="102"/>
      <c r="T53" s="102"/>
      <c r="U53" s="102"/>
      <c r="Y53" s="103" t="str">
        <f>J53</f>
        <v>Janeiro</v>
      </c>
      <c r="Z53" s="103"/>
      <c r="AA53" s="103"/>
      <c r="AB53" s="103"/>
      <c r="AC53" s="103"/>
      <c r="AD53" s="103"/>
      <c r="AE53" s="103"/>
      <c r="AH53" s="104" t="str">
        <f>Y53</f>
        <v>Janeiro</v>
      </c>
      <c r="AI53" s="104"/>
      <c r="AJ53" s="104"/>
      <c r="AK53" s="104"/>
      <c r="AL53" s="104"/>
      <c r="AM53" s="104"/>
      <c r="AN53" s="104"/>
    </row>
    <row r="54" spans="1:40" ht="15.75" thickBot="1" x14ac:dyDescent="0.3">
      <c r="A54" s="100" t="s">
        <v>5</v>
      </c>
      <c r="B54" s="34" t="s">
        <v>6</v>
      </c>
      <c r="C54" s="22" t="s">
        <v>7</v>
      </c>
      <c r="D54" s="33" t="s">
        <v>8</v>
      </c>
      <c r="E54" s="22" t="s">
        <v>9</v>
      </c>
      <c r="F54" s="24" t="s">
        <v>10</v>
      </c>
      <c r="G54" s="23" t="s">
        <v>11</v>
      </c>
      <c r="H54" s="25" t="s">
        <v>12</v>
      </c>
      <c r="J54" s="6" t="s">
        <v>4</v>
      </c>
      <c r="K54" s="9">
        <v>45664</v>
      </c>
      <c r="L54" s="66">
        <v>45667</v>
      </c>
      <c r="M54" s="66">
        <v>45673</v>
      </c>
      <c r="N54" s="4"/>
      <c r="O54" s="4"/>
      <c r="P54" s="4"/>
      <c r="Q54" s="4"/>
      <c r="R54" s="4"/>
      <c r="S54" s="4"/>
      <c r="T54" s="4"/>
      <c r="U54" s="5"/>
      <c r="Y54" s="6" t="s">
        <v>4</v>
      </c>
      <c r="Z54" s="9">
        <v>45686</v>
      </c>
      <c r="AA54" s="66"/>
      <c r="AB54" s="4"/>
      <c r="AC54" s="4"/>
      <c r="AD54" s="4"/>
      <c r="AE54" s="5"/>
      <c r="AH54" s="6" t="s">
        <v>4</v>
      </c>
      <c r="AI54" s="9"/>
      <c r="AJ54" s="4"/>
      <c r="AK54" s="4"/>
      <c r="AL54" s="4"/>
      <c r="AM54" s="4"/>
      <c r="AN54" s="5"/>
    </row>
    <row r="55" spans="1:40" ht="15.75" thickBot="1" x14ac:dyDescent="0.3">
      <c r="A55" s="100"/>
      <c r="B55" s="26">
        <v>27169</v>
      </c>
      <c r="C55" s="27">
        <v>27896</v>
      </c>
      <c r="D55" s="27">
        <v>27896</v>
      </c>
      <c r="E55" s="27">
        <v>29245</v>
      </c>
      <c r="F55" s="27">
        <f>SUM(C55-B55)</f>
        <v>727</v>
      </c>
      <c r="G55" s="20">
        <f>SUM(E55-D55)</f>
        <v>1349</v>
      </c>
      <c r="H55" s="21">
        <f>SUM(F55:G55)</f>
        <v>2076</v>
      </c>
      <c r="J55" s="7" t="s">
        <v>22</v>
      </c>
      <c r="K55" s="10">
        <v>201.28</v>
      </c>
      <c r="L55" s="11">
        <v>187.99</v>
      </c>
      <c r="M55" s="11">
        <v>141.6</v>
      </c>
      <c r="N55" s="11"/>
      <c r="O55" s="11"/>
      <c r="P55" s="11"/>
      <c r="Q55" s="11"/>
      <c r="R55" s="11"/>
      <c r="S55" s="11"/>
      <c r="T55" s="11"/>
      <c r="U55" s="12"/>
      <c r="Y55" s="7" t="s">
        <v>22</v>
      </c>
      <c r="Z55" s="10">
        <v>80</v>
      </c>
      <c r="AA55" s="11"/>
      <c r="AB55" s="11"/>
      <c r="AC55" s="11"/>
      <c r="AD55" s="11"/>
      <c r="AE55" s="12"/>
      <c r="AH55" s="7" t="s">
        <v>22</v>
      </c>
      <c r="AI55" s="10"/>
      <c r="AJ55" s="11"/>
      <c r="AK55" s="11"/>
      <c r="AL55" s="11"/>
      <c r="AM55" s="11"/>
      <c r="AN55" s="12"/>
    </row>
    <row r="56" spans="1:40" x14ac:dyDescent="0.25">
      <c r="J56" s="8"/>
      <c r="T56" s="8" t="s">
        <v>23</v>
      </c>
      <c r="U56" s="13">
        <f>SUM(K55:U55)</f>
        <v>530.87</v>
      </c>
      <c r="AD56" s="8" t="s">
        <v>23</v>
      </c>
      <c r="AE56" s="13">
        <f>SUM(Z55:AE55)</f>
        <v>80</v>
      </c>
      <c r="AM56" s="8" t="s">
        <v>23</v>
      </c>
      <c r="AN56" s="13">
        <f>SUM(AI55:AN55)</f>
        <v>0</v>
      </c>
    </row>
  </sheetData>
  <mergeCells count="68">
    <mergeCell ref="B53:H53"/>
    <mergeCell ref="J53:U53"/>
    <mergeCell ref="Y53:AE53"/>
    <mergeCell ref="AH53:AN53"/>
    <mergeCell ref="A54:A55"/>
    <mergeCell ref="B2:C2"/>
    <mergeCell ref="E2:F2"/>
    <mergeCell ref="B4:C4"/>
    <mergeCell ref="E4:F4"/>
    <mergeCell ref="A7:H7"/>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N52"/>
  <sheetViews>
    <sheetView showGridLines="0" topLeftCell="A49" workbookViewId="0">
      <selection activeCell="E2" sqref="E2:F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6" width="15.5703125" bestFit="1" customWidth="1"/>
    <col min="7" max="7" width="15.28515625" bestFit="1" customWidth="1"/>
    <col min="8" max="8" width="11.85546875" bestFit="1" customWidth="1"/>
    <col min="9" max="9" width="17.85546875" customWidth="1"/>
    <col min="10" max="10" width="13.42578125" bestFit="1" customWidth="1"/>
    <col min="11" max="20" width="10.42578125" bestFit="1" customWidth="1"/>
    <col min="21" max="21" width="12.140625" bestFit="1" customWidth="1"/>
    <col min="26" max="28" width="10.42578125" bestFit="1" customWidth="1"/>
    <col min="31" max="31" width="10.5703125" bestFit="1" customWidth="1"/>
    <col min="37" max="39" width="10.140625" bestFit="1" customWidth="1"/>
  </cols>
  <sheetData>
    <row r="2" spans="1:40" x14ac:dyDescent="0.25">
      <c r="A2" t="s">
        <v>0</v>
      </c>
      <c r="B2" s="107" t="s">
        <v>80</v>
      </c>
      <c r="C2" s="107"/>
      <c r="D2" s="1" t="s">
        <v>1</v>
      </c>
      <c r="E2" s="107" t="s">
        <v>131</v>
      </c>
      <c r="F2" s="107"/>
      <c r="H2" t="s">
        <v>45</v>
      </c>
      <c r="I2" s="54">
        <v>5325</v>
      </c>
    </row>
    <row r="3" spans="1:40" x14ac:dyDescent="0.25">
      <c r="F3" s="1"/>
    </row>
    <row r="4" spans="1:40" x14ac:dyDescent="0.25">
      <c r="A4" t="s">
        <v>2</v>
      </c>
      <c r="B4" s="108">
        <v>2363</v>
      </c>
      <c r="C4" s="108"/>
      <c r="D4" s="1" t="s">
        <v>29</v>
      </c>
      <c r="E4" s="107">
        <v>40</v>
      </c>
      <c r="F4" s="107"/>
      <c r="H4" t="s">
        <v>64</v>
      </c>
      <c r="I4" s="67">
        <v>45417</v>
      </c>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10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v>45420</v>
      </c>
      <c r="L22" s="66">
        <v>45427</v>
      </c>
      <c r="M22" s="66">
        <v>45430</v>
      </c>
      <c r="N22" s="66">
        <v>45434</v>
      </c>
      <c r="O22" s="66">
        <v>45437</v>
      </c>
      <c r="P22" s="66">
        <v>45441</v>
      </c>
      <c r="Q22" s="66">
        <v>45423</v>
      </c>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v>1641</v>
      </c>
      <c r="C23" s="27"/>
      <c r="D23" s="27"/>
      <c r="E23" s="27">
        <v>4646</v>
      </c>
      <c r="F23" s="27">
        <f>SUM(C23-B23)</f>
        <v>-1641</v>
      </c>
      <c r="G23" s="20">
        <f>SUM(E23-D23)</f>
        <v>4646</v>
      </c>
      <c r="H23" s="21">
        <f>SUM(F23:G23)</f>
        <v>3005</v>
      </c>
      <c r="J23" s="7" t="s">
        <v>22</v>
      </c>
      <c r="K23" s="10">
        <v>249.18</v>
      </c>
      <c r="L23" s="11">
        <v>193.66</v>
      </c>
      <c r="M23" s="11">
        <v>197.67</v>
      </c>
      <c r="N23" s="11">
        <v>202.22</v>
      </c>
      <c r="O23" s="11">
        <v>157.96</v>
      </c>
      <c r="P23" s="11">
        <v>180.56</v>
      </c>
      <c r="Q23" s="11">
        <v>170.36</v>
      </c>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1351.6100000000001</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v>45444</v>
      </c>
      <c r="L26" s="66">
        <v>45449</v>
      </c>
      <c r="M26" s="66">
        <v>45454</v>
      </c>
      <c r="N26" s="66">
        <v>45457</v>
      </c>
      <c r="O26" s="66">
        <v>45461</v>
      </c>
      <c r="P26" s="66">
        <v>45465</v>
      </c>
      <c r="Q26" s="66">
        <v>45470</v>
      </c>
      <c r="R26" s="4"/>
      <c r="S26" s="4"/>
      <c r="T26" s="4"/>
      <c r="U26" s="5"/>
      <c r="Y26" s="6" t="s">
        <v>4</v>
      </c>
      <c r="Z26" s="9"/>
      <c r="AA26" s="4"/>
      <c r="AB26" s="4"/>
      <c r="AC26" s="4"/>
      <c r="AD26" s="4"/>
      <c r="AE26" s="5"/>
      <c r="AH26" s="6" t="s">
        <v>4</v>
      </c>
      <c r="AI26" s="9"/>
      <c r="AJ26" s="4"/>
      <c r="AK26" s="4"/>
      <c r="AL26" s="4"/>
      <c r="AM26" s="4"/>
      <c r="AN26" s="5"/>
    </row>
    <row r="27" spans="1:40" ht="15.75" thickBot="1" x14ac:dyDescent="0.3">
      <c r="A27" s="100"/>
      <c r="B27" s="26">
        <v>4646</v>
      </c>
      <c r="C27" s="27"/>
      <c r="D27" s="27"/>
      <c r="E27" s="27">
        <v>7230</v>
      </c>
      <c r="F27" s="27">
        <f>SUM(C27-B27)</f>
        <v>-4646</v>
      </c>
      <c r="G27" s="20">
        <f>SUM(E27-D27)</f>
        <v>7230</v>
      </c>
      <c r="H27" s="21">
        <f>SUM(F27:G27)</f>
        <v>2584</v>
      </c>
      <c r="J27" s="7" t="s">
        <v>22</v>
      </c>
      <c r="K27" s="10">
        <v>167.13</v>
      </c>
      <c r="L27" s="11">
        <v>185.89</v>
      </c>
      <c r="M27" s="11">
        <v>176.17</v>
      </c>
      <c r="N27" s="11">
        <v>209.41</v>
      </c>
      <c r="O27" s="11">
        <v>216.65</v>
      </c>
      <c r="P27" s="11">
        <v>207.98</v>
      </c>
      <c r="Q27" s="11">
        <v>203.34</v>
      </c>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1366.5699999999997</v>
      </c>
      <c r="AD28" s="8" t="s">
        <v>23</v>
      </c>
      <c r="AE28" s="13">
        <f>SUM(Z27:AE27)</f>
        <v>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v>45475</v>
      </c>
      <c r="L30" s="66">
        <v>45477</v>
      </c>
      <c r="M30" s="66">
        <v>45479</v>
      </c>
      <c r="N30" s="66">
        <v>45482</v>
      </c>
      <c r="O30" s="66">
        <v>45486</v>
      </c>
      <c r="P30" s="66">
        <v>45489</v>
      </c>
      <c r="Q30" s="66">
        <v>45492</v>
      </c>
      <c r="R30" s="4"/>
      <c r="S30" s="4"/>
      <c r="T30" s="4"/>
      <c r="U30" s="5"/>
      <c r="Y30" s="6" t="s">
        <v>4</v>
      </c>
      <c r="Z30" s="9">
        <v>45490</v>
      </c>
      <c r="AA30" s="4"/>
      <c r="AB30" s="4"/>
      <c r="AC30" s="4"/>
      <c r="AD30" s="4"/>
      <c r="AE30" s="5"/>
      <c r="AH30" s="6" t="s">
        <v>4</v>
      </c>
      <c r="AI30" s="9"/>
      <c r="AJ30" s="4"/>
      <c r="AK30" s="4"/>
      <c r="AL30" s="4"/>
      <c r="AM30" s="4"/>
      <c r="AN30" s="5"/>
    </row>
    <row r="31" spans="1:40" ht="15.75" thickBot="1" x14ac:dyDescent="0.3">
      <c r="A31" s="100"/>
      <c r="B31" s="26">
        <v>7230</v>
      </c>
      <c r="C31" s="27"/>
      <c r="D31" s="27"/>
      <c r="E31" s="27">
        <v>9683</v>
      </c>
      <c r="F31" s="27">
        <f>SUM(C31-B31)</f>
        <v>-7230</v>
      </c>
      <c r="G31" s="20">
        <f>SUM(E31-D31)</f>
        <v>9683</v>
      </c>
      <c r="H31" s="21">
        <f>SUM(F31:G31)</f>
        <v>2453</v>
      </c>
      <c r="J31" s="7" t="s">
        <v>22</v>
      </c>
      <c r="K31" s="10">
        <v>175.8</v>
      </c>
      <c r="L31" s="11">
        <v>212.44</v>
      </c>
      <c r="M31" s="11">
        <v>186.81</v>
      </c>
      <c r="N31" s="11">
        <v>191.7</v>
      </c>
      <c r="O31" s="11">
        <v>224.29</v>
      </c>
      <c r="P31" s="11">
        <v>187.04</v>
      </c>
      <c r="Q31" s="11">
        <v>225.76</v>
      </c>
      <c r="R31" s="11"/>
      <c r="S31" s="11"/>
      <c r="T31" s="11"/>
      <c r="U31" s="12"/>
      <c r="Y31" s="7" t="s">
        <v>22</v>
      </c>
      <c r="Z31" s="10">
        <v>75</v>
      </c>
      <c r="AA31" s="11"/>
      <c r="AB31" s="11"/>
      <c r="AC31" s="11"/>
      <c r="AD31" s="11"/>
      <c r="AE31" s="12"/>
      <c r="AH31" s="7" t="s">
        <v>22</v>
      </c>
      <c r="AI31" s="10"/>
      <c r="AJ31" s="11"/>
      <c r="AK31" s="11"/>
      <c r="AL31" s="11"/>
      <c r="AM31" s="11"/>
      <c r="AN31" s="12"/>
    </row>
    <row r="32" spans="1:40" x14ac:dyDescent="0.25">
      <c r="J32" s="8"/>
      <c r="T32" s="8" t="s">
        <v>23</v>
      </c>
      <c r="U32" s="13">
        <f>SUM(K31:U31)</f>
        <v>1403.84</v>
      </c>
      <c r="AD32" s="8" t="s">
        <v>23</v>
      </c>
      <c r="AE32" s="13">
        <f>SUM(Z31:AE31)</f>
        <v>75</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v>45511</v>
      </c>
      <c r="L34" s="66">
        <v>45513</v>
      </c>
      <c r="M34" s="66">
        <v>45513</v>
      </c>
      <c r="N34" s="66">
        <v>45517</v>
      </c>
      <c r="O34" s="66">
        <v>45521</v>
      </c>
      <c r="P34" s="66">
        <v>45525</v>
      </c>
      <c r="Q34" s="66">
        <v>45528</v>
      </c>
      <c r="R34" s="66">
        <v>45507</v>
      </c>
      <c r="S34" s="66">
        <v>45531</v>
      </c>
      <c r="T34" s="4"/>
      <c r="U34" s="5"/>
      <c r="Y34" s="6" t="s">
        <v>4</v>
      </c>
      <c r="Z34" s="9">
        <v>45520</v>
      </c>
      <c r="AA34" s="66">
        <v>45527</v>
      </c>
      <c r="AB34" s="4"/>
      <c r="AC34" s="4"/>
      <c r="AD34" s="4"/>
      <c r="AE34" s="5"/>
      <c r="AH34" s="6" t="s">
        <v>4</v>
      </c>
      <c r="AI34" s="9"/>
      <c r="AJ34" s="4"/>
      <c r="AK34" s="4"/>
      <c r="AL34" s="4"/>
      <c r="AM34" s="4"/>
      <c r="AN34" s="5"/>
    </row>
    <row r="35" spans="1:40" ht="15.75" thickBot="1" x14ac:dyDescent="0.3">
      <c r="A35" s="100"/>
      <c r="B35" s="26">
        <v>9683</v>
      </c>
      <c r="C35" s="27"/>
      <c r="D35" s="27"/>
      <c r="E35" s="80">
        <v>13447</v>
      </c>
      <c r="F35" s="27">
        <f>SUM(C35-B35)</f>
        <v>-9683</v>
      </c>
      <c r="G35" s="20">
        <f>SUM(E35-D35)</f>
        <v>13447</v>
      </c>
      <c r="H35" s="21">
        <f>SUM(F35:G35)</f>
        <v>3764</v>
      </c>
      <c r="J35" s="7" t="s">
        <v>22</v>
      </c>
      <c r="K35" s="10">
        <v>250.04</v>
      </c>
      <c r="L35" s="11">
        <v>85.24</v>
      </c>
      <c r="M35" s="11">
        <v>213.3</v>
      </c>
      <c r="N35" s="11">
        <v>187.35</v>
      </c>
      <c r="O35" s="11">
        <v>236.62</v>
      </c>
      <c r="P35" s="11">
        <v>223.65</v>
      </c>
      <c r="Q35" s="11">
        <v>151.57</v>
      </c>
      <c r="R35" s="11">
        <v>232.4</v>
      </c>
      <c r="S35" s="11">
        <v>190.93</v>
      </c>
      <c r="T35" s="11"/>
      <c r="U35" s="12"/>
      <c r="Y35" s="7" t="s">
        <v>22</v>
      </c>
      <c r="Z35" s="10">
        <v>75</v>
      </c>
      <c r="AA35" s="11">
        <v>75</v>
      </c>
      <c r="AB35" s="11"/>
      <c r="AC35" s="11"/>
      <c r="AD35" s="11"/>
      <c r="AE35" s="12"/>
      <c r="AH35" s="7" t="s">
        <v>22</v>
      </c>
      <c r="AI35" s="10"/>
      <c r="AJ35" s="11"/>
      <c r="AK35" s="11"/>
      <c r="AL35" s="11"/>
      <c r="AM35" s="11"/>
      <c r="AN35" s="12"/>
    </row>
    <row r="36" spans="1:40" x14ac:dyDescent="0.25">
      <c r="J36" s="8"/>
      <c r="T36" s="8" t="s">
        <v>23</v>
      </c>
      <c r="U36" s="13">
        <f>SUM(K35:U35)</f>
        <v>1771.1000000000001</v>
      </c>
      <c r="AD36" s="8" t="s">
        <v>23</v>
      </c>
      <c r="AE36" s="13">
        <f>SUM(Z35:AE35)</f>
        <v>150</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v>45538</v>
      </c>
      <c r="L38" s="66">
        <v>45541</v>
      </c>
      <c r="M38" s="66">
        <v>45545</v>
      </c>
      <c r="N38" s="66">
        <v>45547</v>
      </c>
      <c r="O38" s="66">
        <v>45552</v>
      </c>
      <c r="P38" s="66">
        <v>45556</v>
      </c>
      <c r="Q38" s="66">
        <v>45560</v>
      </c>
      <c r="R38" s="4"/>
      <c r="S38" s="4"/>
      <c r="T38" s="4"/>
      <c r="U38" s="5"/>
      <c r="Y38" s="6" t="s">
        <v>4</v>
      </c>
      <c r="Z38" s="9">
        <v>45541</v>
      </c>
      <c r="AA38" s="66">
        <v>45548</v>
      </c>
      <c r="AB38" s="66">
        <v>45558</v>
      </c>
      <c r="AC38" s="4"/>
      <c r="AD38" s="4"/>
      <c r="AE38" s="5"/>
      <c r="AH38" s="6" t="s">
        <v>4</v>
      </c>
      <c r="AI38" s="9"/>
      <c r="AJ38" s="4"/>
      <c r="AK38" s="4"/>
      <c r="AL38" s="4"/>
      <c r="AM38" s="4"/>
      <c r="AN38" s="5"/>
    </row>
    <row r="39" spans="1:40" ht="15.75" thickBot="1" x14ac:dyDescent="0.3">
      <c r="A39" s="100"/>
      <c r="B39" s="26">
        <v>13447</v>
      </c>
      <c r="C39" s="27"/>
      <c r="D39" s="27"/>
      <c r="E39" s="27">
        <v>15815</v>
      </c>
      <c r="F39" s="27">
        <f>SUM(C39-B39)</f>
        <v>-13447</v>
      </c>
      <c r="G39" s="20">
        <f>SUM(E39-D39)</f>
        <v>15815</v>
      </c>
      <c r="H39" s="21">
        <f>SUM(F39:G39)</f>
        <v>2368</v>
      </c>
      <c r="J39" s="7" t="s">
        <v>22</v>
      </c>
      <c r="K39" s="10">
        <v>205.5</v>
      </c>
      <c r="L39" s="11">
        <v>226.84</v>
      </c>
      <c r="M39" s="11">
        <v>172.02</v>
      </c>
      <c r="N39" s="11">
        <v>215.53</v>
      </c>
      <c r="O39" s="11">
        <v>229.4</v>
      </c>
      <c r="P39" s="11">
        <v>183.9</v>
      </c>
      <c r="Q39" s="11">
        <v>180.71</v>
      </c>
      <c r="R39" s="11"/>
      <c r="S39" s="11"/>
      <c r="T39" s="11"/>
      <c r="U39" s="12"/>
      <c r="Y39" s="7" t="s">
        <v>22</v>
      </c>
      <c r="Z39" s="10">
        <v>75</v>
      </c>
      <c r="AA39" s="11">
        <v>75</v>
      </c>
      <c r="AB39" s="11">
        <v>75</v>
      </c>
      <c r="AC39" s="11"/>
      <c r="AD39" s="11"/>
      <c r="AE39" s="12"/>
      <c r="AH39" s="7" t="s">
        <v>22</v>
      </c>
      <c r="AI39" s="10"/>
      <c r="AJ39" s="11"/>
      <c r="AK39" s="11"/>
      <c r="AL39" s="11"/>
      <c r="AM39" s="11"/>
      <c r="AN39" s="12"/>
    </row>
    <row r="40" spans="1:40" x14ac:dyDescent="0.25">
      <c r="B40" s="1">
        <v>15818</v>
      </c>
      <c r="E40" s="1">
        <v>15559</v>
      </c>
      <c r="J40" s="8"/>
      <c r="T40" s="8" t="s">
        <v>23</v>
      </c>
      <c r="U40" s="13">
        <f>SUM(K39:U39)</f>
        <v>1413.9</v>
      </c>
      <c r="AD40" s="8" t="s">
        <v>23</v>
      </c>
      <c r="AE40" s="13">
        <f>SUM(Z39:AE39)</f>
        <v>225</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34" t="s">
        <v>6</v>
      </c>
      <c r="C42" s="22" t="s">
        <v>7</v>
      </c>
      <c r="D42" s="33" t="s">
        <v>8</v>
      </c>
      <c r="E42" s="22" t="s">
        <v>9</v>
      </c>
      <c r="F42" s="24" t="s">
        <v>10</v>
      </c>
      <c r="G42" s="23" t="s">
        <v>11</v>
      </c>
      <c r="H42" s="25" t="s">
        <v>12</v>
      </c>
      <c r="J42" s="6" t="s">
        <v>4</v>
      </c>
      <c r="K42" s="9">
        <v>45566</v>
      </c>
      <c r="L42" s="66">
        <v>45569</v>
      </c>
      <c r="M42" s="66">
        <v>45573</v>
      </c>
      <c r="N42" s="66">
        <v>45568</v>
      </c>
      <c r="O42" s="66">
        <v>45576</v>
      </c>
      <c r="P42" s="66">
        <v>45577</v>
      </c>
      <c r="Q42" s="66">
        <v>45596</v>
      </c>
      <c r="R42" s="66">
        <v>45590</v>
      </c>
      <c r="S42" s="66">
        <v>45587</v>
      </c>
      <c r="T42" s="66">
        <v>45583</v>
      </c>
      <c r="U42" s="75">
        <v>45580</v>
      </c>
      <c r="Y42" s="6" t="s">
        <v>4</v>
      </c>
      <c r="Z42" s="9"/>
      <c r="AA42" s="4"/>
      <c r="AB42" s="4"/>
      <c r="AC42" s="4"/>
      <c r="AD42" s="4"/>
      <c r="AE42" s="5"/>
      <c r="AH42" s="6" t="s">
        <v>4</v>
      </c>
      <c r="AI42" s="9"/>
      <c r="AJ42" s="4"/>
      <c r="AK42" s="4"/>
      <c r="AL42" s="4"/>
      <c r="AM42" s="4"/>
      <c r="AN42" s="5"/>
    </row>
    <row r="43" spans="1:40" ht="15.75" thickBot="1" x14ac:dyDescent="0.3">
      <c r="A43" s="100"/>
      <c r="B43" s="26"/>
      <c r="C43" s="27"/>
      <c r="D43" s="27">
        <v>473</v>
      </c>
      <c r="E43" s="27">
        <v>795</v>
      </c>
      <c r="F43" s="27">
        <f>SUM(C43-B43)</f>
        <v>0</v>
      </c>
      <c r="G43" s="20">
        <f>SUM(E43-D43)</f>
        <v>322</v>
      </c>
      <c r="H43" s="21">
        <f>SUM(F43:G43)</f>
        <v>322</v>
      </c>
      <c r="J43" s="7" t="s">
        <v>22</v>
      </c>
      <c r="K43" s="10">
        <v>189.59</v>
      </c>
      <c r="L43" s="11">
        <v>184.86</v>
      </c>
      <c r="M43" s="11">
        <v>246.97</v>
      </c>
      <c r="N43" s="11">
        <v>200.58</v>
      </c>
      <c r="O43" s="11">
        <v>171.12</v>
      </c>
      <c r="P43" s="11">
        <v>87.1</v>
      </c>
      <c r="Q43" s="11">
        <v>247.55</v>
      </c>
      <c r="R43" s="11">
        <v>177.77</v>
      </c>
      <c r="S43" s="11">
        <v>101.47</v>
      </c>
      <c r="T43" s="11">
        <v>115.66</v>
      </c>
      <c r="U43" s="12">
        <v>173.23</v>
      </c>
      <c r="Y43" s="7" t="s">
        <v>22</v>
      </c>
      <c r="Z43" s="10"/>
      <c r="AA43" s="11"/>
      <c r="AB43" s="11"/>
      <c r="AC43" s="11"/>
      <c r="AD43" s="11"/>
      <c r="AE43" s="12"/>
      <c r="AH43" s="7" t="s">
        <v>22</v>
      </c>
      <c r="AI43" s="10"/>
      <c r="AJ43" s="11"/>
      <c r="AK43" s="11"/>
      <c r="AL43" s="11"/>
      <c r="AM43" s="11"/>
      <c r="AN43" s="12"/>
    </row>
    <row r="44" spans="1:40" x14ac:dyDescent="0.25">
      <c r="J44" s="8"/>
      <c r="T44" s="8" t="s">
        <v>23</v>
      </c>
      <c r="U44" s="13">
        <f>SUM(K43:U43)</f>
        <v>1895.9</v>
      </c>
      <c r="AD44" s="8" t="s">
        <v>23</v>
      </c>
      <c r="AE44" s="13">
        <f>SUM(Z43:AE43)</f>
        <v>0</v>
      </c>
      <c r="AM44" s="8" t="s">
        <v>23</v>
      </c>
      <c r="AN44" s="13">
        <f>SUM(AI43:AN43)</f>
        <v>0</v>
      </c>
    </row>
    <row r="45" spans="1:40"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v>45598</v>
      </c>
      <c r="L46" s="66">
        <v>45601</v>
      </c>
      <c r="M46" s="66">
        <v>45605</v>
      </c>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100"/>
      <c r="B47" s="26">
        <v>795</v>
      </c>
      <c r="C47" s="27">
        <v>2987</v>
      </c>
      <c r="D47" s="27">
        <v>2987</v>
      </c>
      <c r="E47" s="27">
        <v>4619</v>
      </c>
      <c r="F47" s="27">
        <f>SUM(C47-B47)</f>
        <v>2192</v>
      </c>
      <c r="G47" s="20">
        <f>SUM(E47-D47)</f>
        <v>1632</v>
      </c>
      <c r="H47" s="21">
        <f>SUM(F47:G47)</f>
        <v>3824</v>
      </c>
      <c r="J47" s="7" t="s">
        <v>22</v>
      </c>
      <c r="K47" s="10">
        <v>268.38</v>
      </c>
      <c r="L47" s="11">
        <v>216.11</v>
      </c>
      <c r="M47" s="11">
        <v>270.04000000000002</v>
      </c>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754.53</v>
      </c>
      <c r="AD48" s="8" t="s">
        <v>23</v>
      </c>
      <c r="AE48" s="13">
        <f>SUM(Z47:AE47)</f>
        <v>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10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B2:C2"/>
    <mergeCell ref="E2:F2"/>
    <mergeCell ref="B4:C4"/>
    <mergeCell ref="E4:F4"/>
    <mergeCell ref="A7:H7"/>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52"/>
  <sheetViews>
    <sheetView showGridLines="0" topLeftCell="A22" workbookViewId="0">
      <selection activeCell="L48" sqref="L48"/>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4" width="10.42578125" bestFit="1" customWidth="1"/>
    <col min="21" max="21" width="10.5703125" bestFit="1" customWidth="1"/>
    <col min="26" max="28" width="10.42578125" bestFit="1" customWidth="1"/>
    <col min="31" max="31" width="10.5703125" bestFit="1" customWidth="1"/>
    <col min="37" max="39" width="10.140625" bestFit="1" customWidth="1"/>
  </cols>
  <sheetData>
    <row r="2" spans="1:40" x14ac:dyDescent="0.25">
      <c r="A2" t="s">
        <v>0</v>
      </c>
      <c r="B2" s="107" t="s">
        <v>80</v>
      </c>
      <c r="C2" s="107"/>
      <c r="D2" s="1" t="s">
        <v>1</v>
      </c>
      <c r="E2" s="107" t="s">
        <v>109</v>
      </c>
      <c r="F2" s="107"/>
      <c r="H2" t="s">
        <v>45</v>
      </c>
      <c r="I2" s="54">
        <v>5325</v>
      </c>
    </row>
    <row r="3" spans="1:40" x14ac:dyDescent="0.25">
      <c r="F3" s="1"/>
    </row>
    <row r="4" spans="1:40" x14ac:dyDescent="0.25">
      <c r="A4" t="s">
        <v>2</v>
      </c>
      <c r="B4" s="108">
        <v>3500</v>
      </c>
      <c r="C4" s="108"/>
      <c r="D4" s="1" t="s">
        <v>29</v>
      </c>
      <c r="E4" s="107"/>
      <c r="F4" s="107"/>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10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10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10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v>45528</v>
      </c>
      <c r="L34" s="66">
        <v>45535</v>
      </c>
      <c r="M34" s="4"/>
      <c r="N34" s="4"/>
      <c r="O34" s="4"/>
      <c r="P34" s="4"/>
      <c r="Q34" s="4"/>
      <c r="R34" s="4"/>
      <c r="S34" s="4"/>
      <c r="T34" s="4"/>
      <c r="U34" s="5"/>
      <c r="Y34" s="6" t="s">
        <v>4</v>
      </c>
      <c r="Z34" s="9">
        <v>45532</v>
      </c>
      <c r="AA34" s="4"/>
      <c r="AB34" s="4"/>
      <c r="AC34" s="4"/>
      <c r="AD34" s="4"/>
      <c r="AE34" s="5"/>
      <c r="AH34" s="6" t="s">
        <v>4</v>
      </c>
      <c r="AI34" s="9"/>
      <c r="AJ34" s="4"/>
      <c r="AK34" s="4"/>
      <c r="AL34" s="4"/>
      <c r="AM34" s="4"/>
      <c r="AN34" s="5"/>
    </row>
    <row r="35" spans="1:40" ht="15.75" thickBot="1" x14ac:dyDescent="0.3">
      <c r="A35" s="100"/>
      <c r="B35" s="26">
        <v>21</v>
      </c>
      <c r="C35" s="27"/>
      <c r="D35" s="27"/>
      <c r="E35" s="27">
        <v>974</v>
      </c>
      <c r="F35" s="27">
        <f>SUM(C35-B35)</f>
        <v>-21</v>
      </c>
      <c r="G35" s="20">
        <f>SUM(E35-D35)</f>
        <v>974</v>
      </c>
      <c r="H35" s="21">
        <f>SUM(F35:G35)</f>
        <v>953</v>
      </c>
      <c r="J35" s="7" t="s">
        <v>22</v>
      </c>
      <c r="K35" s="10">
        <v>223.59</v>
      </c>
      <c r="L35" s="11">
        <v>238.6</v>
      </c>
      <c r="M35" s="11"/>
      <c r="N35" s="11"/>
      <c r="O35" s="11"/>
      <c r="P35" s="11"/>
      <c r="Q35" s="11"/>
      <c r="R35" s="11"/>
      <c r="S35" s="11"/>
      <c r="T35" s="11"/>
      <c r="U35" s="12"/>
      <c r="Y35" s="7" t="s">
        <v>22</v>
      </c>
      <c r="Z35" s="10">
        <v>60</v>
      </c>
      <c r="AA35" s="11"/>
      <c r="AB35" s="11"/>
      <c r="AC35" s="11"/>
      <c r="AD35" s="11"/>
      <c r="AE35" s="12"/>
      <c r="AH35" s="7" t="s">
        <v>22</v>
      </c>
      <c r="AI35" s="10"/>
      <c r="AJ35" s="11"/>
      <c r="AK35" s="11"/>
      <c r="AL35" s="11"/>
      <c r="AM35" s="11"/>
      <c r="AN35" s="12"/>
    </row>
    <row r="36" spans="1:40" x14ac:dyDescent="0.25">
      <c r="J36" s="8"/>
      <c r="T36" s="8" t="s">
        <v>23</v>
      </c>
      <c r="U36" s="13">
        <f>SUM(K35:U35)</f>
        <v>462.19</v>
      </c>
      <c r="AD36" s="8" t="s">
        <v>23</v>
      </c>
      <c r="AE36" s="13">
        <f>SUM(Z35:AE35)</f>
        <v>60</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v>45545</v>
      </c>
      <c r="L38" s="66">
        <v>45549</v>
      </c>
      <c r="M38" s="66">
        <v>45559</v>
      </c>
      <c r="N38" s="66">
        <v>45563</v>
      </c>
      <c r="O38" s="4"/>
      <c r="P38" s="4"/>
      <c r="Q38" s="4"/>
      <c r="R38" s="4"/>
      <c r="S38" s="4"/>
      <c r="T38" s="4"/>
      <c r="U38" s="5"/>
      <c r="Y38" s="6" t="s">
        <v>4</v>
      </c>
      <c r="Z38" s="9">
        <v>45537</v>
      </c>
      <c r="AA38" s="66">
        <v>45544</v>
      </c>
      <c r="AB38" s="66">
        <v>45563</v>
      </c>
      <c r="AC38" s="4"/>
      <c r="AD38" s="4"/>
      <c r="AE38" s="5"/>
      <c r="AH38" s="6" t="s">
        <v>4</v>
      </c>
      <c r="AI38" s="9"/>
      <c r="AJ38" s="4"/>
      <c r="AK38" s="4"/>
      <c r="AL38" s="4"/>
      <c r="AM38" s="4"/>
      <c r="AN38" s="5"/>
    </row>
    <row r="39" spans="1:40" ht="15.75" thickBot="1" x14ac:dyDescent="0.3">
      <c r="A39" s="100"/>
      <c r="B39" s="26">
        <v>974</v>
      </c>
      <c r="C39" s="27"/>
      <c r="D39" s="27"/>
      <c r="E39" s="27">
        <v>2555</v>
      </c>
      <c r="F39" s="27">
        <f>SUM(C39-B39)</f>
        <v>-974</v>
      </c>
      <c r="G39" s="20">
        <f>SUM(E39-D39)</f>
        <v>2555</v>
      </c>
      <c r="H39" s="21">
        <f>SUM(F39:G39)</f>
        <v>1581</v>
      </c>
      <c r="J39" s="7" t="s">
        <v>22</v>
      </c>
      <c r="K39" s="10">
        <v>174.45</v>
      </c>
      <c r="L39" s="11">
        <v>162.5</v>
      </c>
      <c r="M39" s="11">
        <v>216.3</v>
      </c>
      <c r="N39" s="11">
        <v>228.7</v>
      </c>
      <c r="O39" s="11"/>
      <c r="P39" s="11"/>
      <c r="Q39" s="11"/>
      <c r="R39" s="11"/>
      <c r="S39" s="11"/>
      <c r="T39" s="11"/>
      <c r="U39" s="12"/>
      <c r="Y39" s="7" t="s">
        <v>22</v>
      </c>
      <c r="Z39" s="10">
        <v>60</v>
      </c>
      <c r="AA39" s="11">
        <v>60</v>
      </c>
      <c r="AB39" s="11">
        <v>80</v>
      </c>
      <c r="AC39" s="11"/>
      <c r="AD39" s="11"/>
      <c r="AE39" s="12"/>
      <c r="AH39" s="7" t="s">
        <v>22</v>
      </c>
      <c r="AI39" s="10"/>
      <c r="AJ39" s="11"/>
      <c r="AK39" s="11"/>
      <c r="AL39" s="11"/>
      <c r="AM39" s="11"/>
      <c r="AN39" s="12"/>
    </row>
    <row r="40" spans="1:40" x14ac:dyDescent="0.25">
      <c r="J40" s="8"/>
      <c r="T40" s="8" t="s">
        <v>23</v>
      </c>
      <c r="U40" s="13">
        <f>SUM(K39:U39)</f>
        <v>781.95</v>
      </c>
      <c r="AD40" s="8" t="s">
        <v>23</v>
      </c>
      <c r="AE40" s="13">
        <f>SUM(Z39:AE39)</f>
        <v>200</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34" t="s">
        <v>6</v>
      </c>
      <c r="C42" s="22" t="s">
        <v>7</v>
      </c>
      <c r="D42" s="33" t="s">
        <v>8</v>
      </c>
      <c r="E42" s="22" t="s">
        <v>9</v>
      </c>
      <c r="F42" s="24" t="s">
        <v>10</v>
      </c>
      <c r="G42" s="23" t="s">
        <v>11</v>
      </c>
      <c r="H42" s="25" t="s">
        <v>12</v>
      </c>
      <c r="J42" s="6" t="s">
        <v>4</v>
      </c>
      <c r="K42" s="9">
        <v>45569</v>
      </c>
      <c r="L42" s="66">
        <v>45575</v>
      </c>
      <c r="M42" s="66">
        <v>45591</v>
      </c>
      <c r="N42" s="66">
        <v>45584</v>
      </c>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100"/>
      <c r="B43" s="26">
        <v>2555</v>
      </c>
      <c r="C43" s="27"/>
      <c r="D43" s="27"/>
      <c r="E43" s="27">
        <v>4637</v>
      </c>
      <c r="F43" s="27">
        <f>SUM(C43-B43)</f>
        <v>-2555</v>
      </c>
      <c r="G43" s="20">
        <f>SUM(E43-D43)</f>
        <v>4637</v>
      </c>
      <c r="H43" s="21">
        <f>SUM(F43:G43)</f>
        <v>2082</v>
      </c>
      <c r="J43" s="7" t="s">
        <v>22</v>
      </c>
      <c r="K43" s="10">
        <v>182.31</v>
      </c>
      <c r="L43" s="11">
        <v>181.6</v>
      </c>
      <c r="M43" s="11">
        <v>197.13</v>
      </c>
      <c r="N43" s="11">
        <v>229.21</v>
      </c>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790.25</v>
      </c>
      <c r="AD44" s="8" t="s">
        <v>23</v>
      </c>
      <c r="AE44" s="13">
        <f>SUM(Z43:AE43)</f>
        <v>0</v>
      </c>
      <c r="AM44" s="8" t="s">
        <v>23</v>
      </c>
      <c r="AN44" s="13">
        <f>SUM(AI43:AN43)</f>
        <v>0</v>
      </c>
    </row>
    <row r="45" spans="1:40"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v>45601</v>
      </c>
      <c r="L46" s="66">
        <v>45603</v>
      </c>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100"/>
      <c r="B47" s="26"/>
      <c r="C47" s="27"/>
      <c r="D47" s="27"/>
      <c r="E47" s="27"/>
      <c r="F47" s="27">
        <f>SUM(C47-B47)</f>
        <v>0</v>
      </c>
      <c r="G47" s="20">
        <f>SUM(E47-D47)</f>
        <v>0</v>
      </c>
      <c r="H47" s="21">
        <f>SUM(F47:G47)</f>
        <v>0</v>
      </c>
      <c r="J47" s="7" t="s">
        <v>22</v>
      </c>
      <c r="K47" s="10">
        <v>179.3</v>
      </c>
      <c r="L47" s="11">
        <v>186.84</v>
      </c>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366.14</v>
      </c>
      <c r="AD48" s="8" t="s">
        <v>23</v>
      </c>
      <c r="AE48" s="13">
        <f>SUM(Z47:AE47)</f>
        <v>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10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B2:C2"/>
    <mergeCell ref="E2:F2"/>
    <mergeCell ref="B4:C4"/>
    <mergeCell ref="E4:F4"/>
    <mergeCell ref="A7:H7"/>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AN57"/>
  <sheetViews>
    <sheetView showGridLines="0" topLeftCell="D1" workbookViewId="0">
      <selection activeCell="Z57" sqref="Z57"/>
    </sheetView>
  </sheetViews>
  <sheetFormatPr defaultRowHeight="15" x14ac:dyDescent="0.25"/>
  <cols>
    <col min="1" max="1" width="23.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7" width="10.42578125" bestFit="1" customWidth="1"/>
    <col min="21" max="21" width="12.140625" bestFit="1" customWidth="1"/>
    <col min="26" max="26" width="10.42578125" bestFit="1" customWidth="1"/>
    <col min="31" max="31" width="9.5703125" bestFit="1" customWidth="1"/>
    <col min="37" max="39" width="10.140625" bestFit="1" customWidth="1"/>
  </cols>
  <sheetData>
    <row r="2" spans="1:40" x14ac:dyDescent="0.25">
      <c r="A2" t="s">
        <v>0</v>
      </c>
      <c r="B2" s="107" t="s">
        <v>118</v>
      </c>
      <c r="C2" s="107"/>
      <c r="D2" s="1" t="s">
        <v>1</v>
      </c>
      <c r="E2" s="107" t="s">
        <v>117</v>
      </c>
      <c r="F2" s="107"/>
      <c r="H2" t="s">
        <v>45</v>
      </c>
      <c r="I2" s="54">
        <v>5325</v>
      </c>
      <c r="J2" t="s">
        <v>166</v>
      </c>
    </row>
    <row r="3" spans="1:40" x14ac:dyDescent="0.25">
      <c r="A3" s="2" t="s">
        <v>167</v>
      </c>
      <c r="B3" s="107" t="s">
        <v>168</v>
      </c>
      <c r="C3" s="107"/>
      <c r="D3" s="1" t="s">
        <v>1</v>
      </c>
      <c r="E3" s="107" t="s">
        <v>169</v>
      </c>
      <c r="F3" s="107"/>
      <c r="I3" s="67"/>
    </row>
    <row r="4" spans="1:40" x14ac:dyDescent="0.25">
      <c r="A4" s="2" t="s">
        <v>170</v>
      </c>
      <c r="B4" s="107" t="s">
        <v>171</v>
      </c>
      <c r="C4" s="107"/>
      <c r="D4" s="1" t="s">
        <v>1</v>
      </c>
      <c r="E4" s="107" t="s">
        <v>172</v>
      </c>
      <c r="F4" s="107"/>
      <c r="H4" t="s">
        <v>149</v>
      </c>
      <c r="I4" s="67">
        <v>45688</v>
      </c>
    </row>
    <row r="5" spans="1:40" x14ac:dyDescent="0.25">
      <c r="A5" t="s">
        <v>2</v>
      </c>
      <c r="B5" s="108">
        <v>3500</v>
      </c>
      <c r="C5" s="108"/>
      <c r="D5" s="1" t="s">
        <v>29</v>
      </c>
      <c r="E5" s="118">
        <v>40</v>
      </c>
      <c r="F5" s="107"/>
    </row>
    <row r="8" spans="1:40" ht="21" x14ac:dyDescent="0.35">
      <c r="A8" s="109" t="s">
        <v>28</v>
      </c>
      <c r="B8" s="109"/>
      <c r="C8" s="109"/>
      <c r="D8" s="109"/>
      <c r="E8" s="109"/>
      <c r="F8" s="109"/>
      <c r="G8" s="109"/>
      <c r="H8" s="109"/>
      <c r="J8" s="106" t="s">
        <v>26</v>
      </c>
      <c r="K8" s="106"/>
      <c r="L8" s="106"/>
      <c r="M8" s="106"/>
      <c r="N8" s="106"/>
      <c r="O8" s="106"/>
      <c r="P8" s="106"/>
      <c r="Q8" s="106"/>
      <c r="R8" s="106"/>
      <c r="S8" s="106"/>
      <c r="T8" s="106"/>
      <c r="U8" s="106"/>
      <c r="V8" s="2"/>
      <c r="W8" s="2"/>
      <c r="X8" s="2"/>
      <c r="Y8" s="105" t="s">
        <v>25</v>
      </c>
      <c r="Z8" s="105"/>
      <c r="AA8" s="105"/>
      <c r="AB8" s="105"/>
      <c r="AC8" s="105"/>
      <c r="AD8" s="105"/>
      <c r="AE8" s="105"/>
      <c r="AF8" s="2"/>
      <c r="AG8" s="2"/>
      <c r="AH8" s="105" t="s">
        <v>27</v>
      </c>
      <c r="AI8" s="105"/>
      <c r="AJ8" s="105"/>
      <c r="AK8" s="105"/>
      <c r="AL8" s="105"/>
      <c r="AM8" s="105"/>
      <c r="AN8" s="105"/>
    </row>
    <row r="9" spans="1:40" s="15" customFormat="1" ht="21" x14ac:dyDescent="0.35">
      <c r="A9" s="14"/>
      <c r="B9" s="14"/>
      <c r="C9" s="14"/>
      <c r="D9" s="14"/>
      <c r="E9" s="14"/>
      <c r="F9" s="14"/>
      <c r="G9" s="14"/>
      <c r="H9" s="14"/>
      <c r="J9" s="16"/>
      <c r="K9" s="16"/>
      <c r="L9" s="16"/>
      <c r="M9" s="16"/>
      <c r="N9" s="16"/>
      <c r="O9" s="16"/>
      <c r="P9" s="16"/>
      <c r="Q9" s="16"/>
      <c r="R9" s="16"/>
      <c r="S9" s="16"/>
      <c r="T9" s="16"/>
      <c r="U9" s="16"/>
      <c r="V9" s="17"/>
      <c r="W9" s="17"/>
      <c r="X9" s="17"/>
      <c r="Y9" s="18"/>
      <c r="Z9" s="18"/>
      <c r="AA9" s="18"/>
      <c r="AB9" s="18"/>
      <c r="AC9" s="18"/>
      <c r="AD9" s="18"/>
      <c r="AE9" s="18"/>
      <c r="AF9" s="17"/>
      <c r="AG9" s="17"/>
      <c r="AH9" s="18"/>
      <c r="AI9" s="18"/>
      <c r="AJ9" s="18"/>
      <c r="AK9" s="18"/>
      <c r="AL9" s="18"/>
      <c r="AM9" s="18"/>
      <c r="AN9" s="18"/>
    </row>
    <row r="10" spans="1:40" ht="15.75" thickBot="1" x14ac:dyDescent="0.3">
      <c r="A10" s="19"/>
      <c r="B10" s="101" t="s">
        <v>3</v>
      </c>
      <c r="C10" s="101"/>
      <c r="D10" s="101"/>
      <c r="E10" s="101"/>
      <c r="F10" s="101"/>
      <c r="G10" s="101"/>
      <c r="H10" s="101"/>
      <c r="J10" s="102" t="s">
        <v>3</v>
      </c>
      <c r="K10" s="102"/>
      <c r="L10" s="102"/>
      <c r="M10" s="102"/>
      <c r="N10" s="102"/>
      <c r="O10" s="102"/>
      <c r="P10" s="102"/>
      <c r="Q10" s="102"/>
      <c r="R10" s="102"/>
      <c r="S10" s="102"/>
      <c r="T10" s="102"/>
      <c r="U10" s="102"/>
      <c r="Y10" s="103" t="s">
        <v>3</v>
      </c>
      <c r="Z10" s="103"/>
      <c r="AA10" s="103"/>
      <c r="AB10" s="103"/>
      <c r="AC10" s="103"/>
      <c r="AD10" s="103"/>
      <c r="AE10" s="103"/>
      <c r="AH10" s="104" t="s">
        <v>3</v>
      </c>
      <c r="AI10" s="104"/>
      <c r="AJ10" s="104"/>
      <c r="AK10" s="104"/>
      <c r="AL10" s="104"/>
      <c r="AM10" s="104"/>
      <c r="AN10" s="104"/>
    </row>
    <row r="11" spans="1:40" ht="15.75" thickBot="1" x14ac:dyDescent="0.3">
      <c r="A11" s="100" t="s">
        <v>5</v>
      </c>
      <c r="B11" s="34" t="s">
        <v>6</v>
      </c>
      <c r="C11" s="22" t="s">
        <v>7</v>
      </c>
      <c r="D11" s="33" t="s">
        <v>8</v>
      </c>
      <c r="E11" s="22" t="s">
        <v>9</v>
      </c>
      <c r="F11" s="24" t="s">
        <v>10</v>
      </c>
      <c r="G11" s="23" t="s">
        <v>11</v>
      </c>
      <c r="H11" s="25" t="s">
        <v>12</v>
      </c>
      <c r="J11" s="28" t="s">
        <v>4</v>
      </c>
      <c r="K11" s="9"/>
      <c r="L11" s="4"/>
      <c r="M11" s="4"/>
      <c r="N11" s="4"/>
      <c r="O11" s="4"/>
      <c r="P11" s="4"/>
      <c r="Q11" s="4"/>
      <c r="R11" s="4"/>
      <c r="S11" s="4"/>
      <c r="T11" s="4"/>
      <c r="U11" s="5"/>
      <c r="Y11" s="6" t="s">
        <v>4</v>
      </c>
      <c r="Z11" s="9"/>
      <c r="AA11" s="4"/>
      <c r="AB11" s="4"/>
      <c r="AC11" s="4"/>
      <c r="AD11" s="4"/>
      <c r="AE11" s="5"/>
      <c r="AH11" s="6" t="s">
        <v>4</v>
      </c>
      <c r="AI11" s="9"/>
      <c r="AJ11" s="4"/>
      <c r="AK11" s="4"/>
      <c r="AL11" s="4"/>
      <c r="AM11" s="4"/>
      <c r="AN11" s="5"/>
    </row>
    <row r="12" spans="1:40" ht="15.75" thickBot="1" x14ac:dyDescent="0.3">
      <c r="A12" s="100"/>
      <c r="B12" s="26"/>
      <c r="C12" s="27"/>
      <c r="D12" s="27"/>
      <c r="E12" s="27"/>
      <c r="F12" s="27">
        <f>SUM(C12-B12)</f>
        <v>0</v>
      </c>
      <c r="G12" s="20">
        <f>SUM(E12-D12)</f>
        <v>0</v>
      </c>
      <c r="H12" s="21">
        <f>SUM(F12:G12)</f>
        <v>0</v>
      </c>
      <c r="J12" s="29" t="s">
        <v>22</v>
      </c>
      <c r="K12" s="10"/>
      <c r="L12" s="11"/>
      <c r="M12" s="11"/>
      <c r="N12" s="11"/>
      <c r="O12" s="11"/>
      <c r="P12" s="11"/>
      <c r="Q12" s="11"/>
      <c r="R12" s="11"/>
      <c r="S12" s="11"/>
      <c r="T12" s="11"/>
      <c r="U12" s="12"/>
      <c r="Y12" s="7" t="s">
        <v>22</v>
      </c>
      <c r="Z12" s="10"/>
      <c r="AA12" s="11"/>
      <c r="AB12" s="11"/>
      <c r="AC12" s="11"/>
      <c r="AD12" s="11"/>
      <c r="AE12" s="12"/>
      <c r="AH12" s="7" t="s">
        <v>22</v>
      </c>
      <c r="AI12" s="10"/>
      <c r="AJ12" s="11"/>
      <c r="AK12" s="11"/>
      <c r="AL12" s="11"/>
      <c r="AM12" s="11"/>
      <c r="AN12" s="12"/>
    </row>
    <row r="13" spans="1:40" x14ac:dyDescent="0.25">
      <c r="J13" s="8"/>
      <c r="T13" s="8" t="s">
        <v>23</v>
      </c>
      <c r="U13" s="13">
        <f>SUM(K12:U12)</f>
        <v>0</v>
      </c>
      <c r="AD13" s="8" t="s">
        <v>23</v>
      </c>
      <c r="AE13" s="13">
        <f>SUM(Z12:AE12)</f>
        <v>0</v>
      </c>
      <c r="AM13" s="8" t="s">
        <v>23</v>
      </c>
      <c r="AN13" s="13">
        <f>SUM(AI12:AN12)</f>
        <v>0</v>
      </c>
    </row>
    <row r="14" spans="1:40" ht="15.75" thickBot="1" x14ac:dyDescent="0.3">
      <c r="A14" s="19"/>
      <c r="B14" s="101" t="s">
        <v>13</v>
      </c>
      <c r="C14" s="101"/>
      <c r="D14" s="101"/>
      <c r="E14" s="101"/>
      <c r="F14" s="101"/>
      <c r="G14" s="101"/>
      <c r="H14" s="101"/>
      <c r="J14" s="102" t="s">
        <v>13</v>
      </c>
      <c r="K14" s="102"/>
      <c r="L14" s="102"/>
      <c r="M14" s="102"/>
      <c r="N14" s="102"/>
      <c r="O14" s="102"/>
      <c r="P14" s="102"/>
      <c r="Q14" s="102"/>
      <c r="R14" s="102"/>
      <c r="S14" s="102"/>
      <c r="T14" s="102"/>
      <c r="U14" s="102"/>
      <c r="Y14" s="103" t="str">
        <f>J14</f>
        <v>Março</v>
      </c>
      <c r="Z14" s="103"/>
      <c r="AA14" s="103"/>
      <c r="AB14" s="103"/>
      <c r="AC14" s="103"/>
      <c r="AD14" s="103"/>
      <c r="AE14" s="103"/>
      <c r="AH14" s="104" t="str">
        <f>Y14</f>
        <v>Março</v>
      </c>
      <c r="AI14" s="104"/>
      <c r="AJ14" s="104"/>
      <c r="AK14" s="104"/>
      <c r="AL14" s="104"/>
      <c r="AM14" s="104"/>
      <c r="AN14" s="104"/>
    </row>
    <row r="15" spans="1:40" ht="15.75" thickBot="1" x14ac:dyDescent="0.3">
      <c r="A15" s="100" t="s">
        <v>5</v>
      </c>
      <c r="B15" s="34" t="s">
        <v>6</v>
      </c>
      <c r="C15" s="22" t="s">
        <v>7</v>
      </c>
      <c r="D15" s="33" t="s">
        <v>8</v>
      </c>
      <c r="E15" s="22" t="s">
        <v>9</v>
      </c>
      <c r="F15" s="24" t="s">
        <v>10</v>
      </c>
      <c r="G15" s="23" t="s">
        <v>11</v>
      </c>
      <c r="H15" s="25" t="s">
        <v>12</v>
      </c>
      <c r="J15" s="6" t="s">
        <v>4</v>
      </c>
      <c r="K15" s="9"/>
      <c r="L15" s="4"/>
      <c r="M15" s="4"/>
      <c r="N15" s="4"/>
      <c r="O15" s="4"/>
      <c r="P15" s="4"/>
      <c r="Q15" s="4"/>
      <c r="R15" s="4"/>
      <c r="S15" s="4"/>
      <c r="T15" s="4"/>
      <c r="U15" s="5"/>
      <c r="Y15" s="6" t="s">
        <v>4</v>
      </c>
      <c r="Z15" s="9"/>
      <c r="AA15" s="4"/>
      <c r="AB15" s="4"/>
      <c r="AC15" s="4"/>
      <c r="AD15" s="4"/>
      <c r="AE15" s="5"/>
      <c r="AH15" s="6" t="s">
        <v>4</v>
      </c>
      <c r="AI15" s="9"/>
      <c r="AJ15" s="4"/>
      <c r="AK15" s="4"/>
      <c r="AL15" s="4"/>
      <c r="AM15" s="4"/>
      <c r="AN15" s="5"/>
    </row>
    <row r="16" spans="1:40" ht="15.75" thickBot="1" x14ac:dyDescent="0.3">
      <c r="A16" s="100"/>
      <c r="B16" s="26"/>
      <c r="C16" s="27"/>
      <c r="D16" s="27"/>
      <c r="E16" s="27"/>
      <c r="F16" s="27">
        <f>SUM(C16-B16)</f>
        <v>0</v>
      </c>
      <c r="G16" s="20">
        <f>SUM(E16-D16)</f>
        <v>0</v>
      </c>
      <c r="H16" s="21">
        <f>SUM(F16:G16)</f>
        <v>0</v>
      </c>
      <c r="J16" s="7" t="s">
        <v>22</v>
      </c>
      <c r="K16" s="10"/>
      <c r="L16" s="11"/>
      <c r="M16" s="11"/>
      <c r="N16" s="11"/>
      <c r="O16" s="11"/>
      <c r="P16" s="11"/>
      <c r="Q16" s="11"/>
      <c r="R16" s="11"/>
      <c r="S16" s="11"/>
      <c r="T16" s="11"/>
      <c r="U16" s="12"/>
      <c r="Y16" s="7" t="s">
        <v>22</v>
      </c>
      <c r="Z16" s="10"/>
      <c r="AA16" s="11"/>
      <c r="AB16" s="11"/>
      <c r="AC16" s="11"/>
      <c r="AD16" s="11"/>
      <c r="AE16" s="12"/>
      <c r="AH16" s="7" t="s">
        <v>22</v>
      </c>
      <c r="AI16" s="10"/>
      <c r="AJ16" s="11"/>
      <c r="AK16" s="11"/>
      <c r="AL16" s="11"/>
      <c r="AM16" s="11"/>
      <c r="AN16" s="12"/>
    </row>
    <row r="17" spans="1:40" x14ac:dyDescent="0.25">
      <c r="J17" s="8"/>
      <c r="T17" s="8" t="s">
        <v>23</v>
      </c>
      <c r="U17" s="13">
        <f>SUM(K16:U16)</f>
        <v>0</v>
      </c>
      <c r="AD17" s="8" t="s">
        <v>23</v>
      </c>
      <c r="AE17" s="13">
        <f>SUM(Z16:AE16)</f>
        <v>0</v>
      </c>
      <c r="AM17" s="8" t="s">
        <v>23</v>
      </c>
      <c r="AN17" s="13">
        <f>SUM(AI16:AN16)</f>
        <v>0</v>
      </c>
    </row>
    <row r="18" spans="1:40" ht="15.75" thickBot="1" x14ac:dyDescent="0.3">
      <c r="A18" s="19"/>
      <c r="B18" s="101" t="s">
        <v>14</v>
      </c>
      <c r="C18" s="101"/>
      <c r="D18" s="101"/>
      <c r="E18" s="101"/>
      <c r="F18" s="101"/>
      <c r="G18" s="101"/>
      <c r="H18" s="101"/>
      <c r="J18" s="102" t="s">
        <v>14</v>
      </c>
      <c r="K18" s="102"/>
      <c r="L18" s="102"/>
      <c r="M18" s="102"/>
      <c r="N18" s="102"/>
      <c r="O18" s="102"/>
      <c r="P18" s="102"/>
      <c r="Q18" s="102"/>
      <c r="R18" s="102"/>
      <c r="S18" s="102"/>
      <c r="T18" s="102"/>
      <c r="U18" s="102"/>
      <c r="Y18" s="103" t="str">
        <f>J18</f>
        <v>Abril</v>
      </c>
      <c r="Z18" s="103"/>
      <c r="AA18" s="103"/>
      <c r="AB18" s="103"/>
      <c r="AC18" s="103"/>
      <c r="AD18" s="103"/>
      <c r="AE18" s="103"/>
      <c r="AH18" s="104" t="str">
        <f>Y18</f>
        <v>Abril</v>
      </c>
      <c r="AI18" s="104"/>
      <c r="AJ18" s="104"/>
      <c r="AK18" s="104"/>
      <c r="AL18" s="104"/>
      <c r="AM18" s="104"/>
      <c r="AN18" s="104"/>
    </row>
    <row r="19" spans="1:40" ht="15.75" thickBot="1" x14ac:dyDescent="0.3">
      <c r="A19" s="100" t="s">
        <v>5</v>
      </c>
      <c r="B19" s="34" t="s">
        <v>6</v>
      </c>
      <c r="C19" s="22" t="s">
        <v>7</v>
      </c>
      <c r="D19" s="33" t="s">
        <v>8</v>
      </c>
      <c r="E19" s="22" t="s">
        <v>9</v>
      </c>
      <c r="F19" s="24" t="s">
        <v>10</v>
      </c>
      <c r="G19" s="23" t="s">
        <v>11</v>
      </c>
      <c r="H19" s="25" t="s">
        <v>12</v>
      </c>
      <c r="J19" s="6" t="s">
        <v>4</v>
      </c>
      <c r="K19" s="9"/>
      <c r="L19" s="4"/>
      <c r="M19" s="4"/>
      <c r="N19" s="4"/>
      <c r="O19" s="4"/>
      <c r="P19" s="4"/>
      <c r="Q19" s="4"/>
      <c r="R19" s="4"/>
      <c r="S19" s="4"/>
      <c r="T19" s="4"/>
      <c r="U19" s="5"/>
      <c r="Y19" s="6" t="s">
        <v>4</v>
      </c>
      <c r="Z19" s="9"/>
      <c r="AA19" s="4"/>
      <c r="AB19" s="4"/>
      <c r="AC19" s="4"/>
      <c r="AD19" s="4"/>
      <c r="AE19" s="5"/>
      <c r="AH19" s="6" t="s">
        <v>4</v>
      </c>
      <c r="AI19" s="9"/>
      <c r="AJ19" s="4"/>
      <c r="AK19" s="4"/>
      <c r="AL19" s="4"/>
      <c r="AM19" s="4"/>
      <c r="AN19" s="5"/>
    </row>
    <row r="20" spans="1:40" ht="15.75" thickBot="1" x14ac:dyDescent="0.3">
      <c r="A20" s="100"/>
      <c r="B20" s="26"/>
      <c r="C20" s="27"/>
      <c r="D20" s="27"/>
      <c r="E20" s="27"/>
      <c r="F20" s="27">
        <f>SUM(C20-B20)</f>
        <v>0</v>
      </c>
      <c r="G20" s="20">
        <f>SUM(E20-D20)</f>
        <v>0</v>
      </c>
      <c r="H20" s="21">
        <f>SUM(F20:G20)</f>
        <v>0</v>
      </c>
      <c r="J20" s="7" t="s">
        <v>22</v>
      </c>
      <c r="K20" s="30"/>
      <c r="L20" s="31"/>
      <c r="M20" s="31"/>
      <c r="N20" s="31"/>
      <c r="O20" s="31"/>
      <c r="P20" s="31"/>
      <c r="Q20" s="31"/>
      <c r="R20" s="31"/>
      <c r="S20" s="31"/>
      <c r="T20" s="31"/>
      <c r="U20" s="32"/>
      <c r="Y20" s="7" t="s">
        <v>22</v>
      </c>
      <c r="Z20" s="10"/>
      <c r="AA20" s="11"/>
      <c r="AB20" s="11"/>
      <c r="AC20" s="11"/>
      <c r="AD20" s="11"/>
      <c r="AE20" s="12"/>
      <c r="AH20" s="7" t="s">
        <v>22</v>
      </c>
      <c r="AI20" s="10"/>
      <c r="AJ20" s="11"/>
      <c r="AK20" s="11"/>
      <c r="AL20" s="11"/>
      <c r="AM20" s="11"/>
      <c r="AN20" s="12"/>
    </row>
    <row r="21" spans="1:40" x14ac:dyDescent="0.25">
      <c r="J21" s="8"/>
      <c r="T21" s="8" t="s">
        <v>23</v>
      </c>
      <c r="U21" s="13">
        <f>SUM(K20:U20)</f>
        <v>0</v>
      </c>
      <c r="AD21" s="8" t="s">
        <v>23</v>
      </c>
      <c r="AE21" s="13">
        <f>SUM(Z20:AE20)</f>
        <v>0</v>
      </c>
      <c r="AM21" s="8" t="s">
        <v>23</v>
      </c>
      <c r="AN21" s="13">
        <f>SUM(AI20:AN20)</f>
        <v>0</v>
      </c>
    </row>
    <row r="22" spans="1:40" ht="15.75" thickBot="1" x14ac:dyDescent="0.3">
      <c r="A22" s="19"/>
      <c r="B22" s="101" t="s">
        <v>15</v>
      </c>
      <c r="C22" s="101"/>
      <c r="D22" s="101"/>
      <c r="E22" s="101"/>
      <c r="F22" s="101"/>
      <c r="G22" s="101"/>
      <c r="H22" s="101"/>
      <c r="J22" s="102" t="s">
        <v>15</v>
      </c>
      <c r="K22" s="102"/>
      <c r="L22" s="102"/>
      <c r="M22" s="102"/>
      <c r="N22" s="102"/>
      <c r="O22" s="102"/>
      <c r="P22" s="102"/>
      <c r="Q22" s="102"/>
      <c r="R22" s="102"/>
      <c r="S22" s="102"/>
      <c r="T22" s="102"/>
      <c r="U22" s="102"/>
      <c r="Y22" s="103" t="str">
        <f>J22</f>
        <v>Maio</v>
      </c>
      <c r="Z22" s="103"/>
      <c r="AA22" s="103"/>
      <c r="AB22" s="103"/>
      <c r="AC22" s="103"/>
      <c r="AD22" s="103"/>
      <c r="AE22" s="103"/>
      <c r="AH22" s="104" t="str">
        <f>Y22</f>
        <v>Maio</v>
      </c>
      <c r="AI22" s="104"/>
      <c r="AJ22" s="104"/>
      <c r="AK22" s="104"/>
      <c r="AL22" s="104"/>
      <c r="AM22" s="104"/>
      <c r="AN22" s="104"/>
    </row>
    <row r="23" spans="1:40" ht="15.75" thickBot="1" x14ac:dyDescent="0.3">
      <c r="A23" s="100" t="s">
        <v>5</v>
      </c>
      <c r="B23" s="34" t="s">
        <v>6</v>
      </c>
      <c r="C23" s="22" t="s">
        <v>7</v>
      </c>
      <c r="D23" s="33" t="s">
        <v>8</v>
      </c>
      <c r="E23" s="22" t="s">
        <v>9</v>
      </c>
      <c r="F23" s="24" t="s">
        <v>10</v>
      </c>
      <c r="G23" s="23" t="s">
        <v>11</v>
      </c>
      <c r="H23" s="25" t="s">
        <v>12</v>
      </c>
      <c r="J23" s="6" t="s">
        <v>4</v>
      </c>
      <c r="K23" s="9"/>
      <c r="L23" s="4"/>
      <c r="M23" s="4"/>
      <c r="N23" s="4"/>
      <c r="O23" s="4"/>
      <c r="P23" s="4"/>
      <c r="Q23" s="4"/>
      <c r="R23" s="4"/>
      <c r="S23" s="4"/>
      <c r="T23" s="4"/>
      <c r="U23" s="5"/>
      <c r="Y23" s="6" t="s">
        <v>4</v>
      </c>
      <c r="Z23" s="9"/>
      <c r="AA23" s="4"/>
      <c r="AB23" s="4"/>
      <c r="AC23" s="4"/>
      <c r="AD23" s="4"/>
      <c r="AE23" s="5"/>
      <c r="AH23" s="6" t="s">
        <v>4</v>
      </c>
      <c r="AI23" s="9"/>
      <c r="AJ23" s="4"/>
      <c r="AK23" s="4"/>
      <c r="AL23" s="4"/>
      <c r="AM23" s="4"/>
      <c r="AN23" s="5"/>
    </row>
    <row r="24" spans="1:40" ht="15.75" thickBot="1" x14ac:dyDescent="0.3">
      <c r="A24" s="100"/>
      <c r="B24" s="26"/>
      <c r="C24" s="27"/>
      <c r="D24" s="27"/>
      <c r="E24" s="27"/>
      <c r="F24" s="27">
        <f>SUM(C24-B24)</f>
        <v>0</v>
      </c>
      <c r="G24" s="20">
        <f>SUM(E24-D24)</f>
        <v>0</v>
      </c>
      <c r="H24" s="21">
        <f>SUM(F24:G24)</f>
        <v>0</v>
      </c>
      <c r="J24" s="7" t="s">
        <v>22</v>
      </c>
      <c r="K24" s="10"/>
      <c r="L24" s="11"/>
      <c r="M24" s="11"/>
      <c r="N24" s="11"/>
      <c r="O24" s="11"/>
      <c r="P24" s="11"/>
      <c r="Q24" s="11"/>
      <c r="R24" s="11"/>
      <c r="S24" s="11"/>
      <c r="T24" s="11"/>
      <c r="U24" s="12"/>
      <c r="Y24" s="7" t="s">
        <v>22</v>
      </c>
      <c r="Z24" s="10"/>
      <c r="AA24" s="11"/>
      <c r="AB24" s="11"/>
      <c r="AC24" s="11"/>
      <c r="AD24" s="11"/>
      <c r="AE24" s="12"/>
      <c r="AH24" s="7" t="s">
        <v>22</v>
      </c>
      <c r="AI24" s="10"/>
      <c r="AJ24" s="11"/>
      <c r="AK24" s="11"/>
      <c r="AL24" s="11"/>
      <c r="AM24" s="11"/>
      <c r="AN24" s="12"/>
    </row>
    <row r="25" spans="1:40" x14ac:dyDescent="0.25">
      <c r="J25" s="8"/>
      <c r="T25" s="8" t="s">
        <v>23</v>
      </c>
      <c r="U25" s="13">
        <f>SUM(K24:U24)</f>
        <v>0</v>
      </c>
      <c r="AD25" s="8" t="s">
        <v>23</v>
      </c>
      <c r="AE25" s="13">
        <f>SUM(Z24:AE24)</f>
        <v>0</v>
      </c>
      <c r="AM25" s="8" t="s">
        <v>23</v>
      </c>
      <c r="AN25" s="13">
        <f>SUM(AI24:AN24)</f>
        <v>0</v>
      </c>
    </row>
    <row r="26" spans="1:40" ht="15.75" thickBot="1" x14ac:dyDescent="0.3">
      <c r="A26" s="19"/>
      <c r="B26" s="101" t="s">
        <v>24</v>
      </c>
      <c r="C26" s="101"/>
      <c r="D26" s="101"/>
      <c r="E26" s="101"/>
      <c r="F26" s="101"/>
      <c r="G26" s="101"/>
      <c r="H26" s="101"/>
      <c r="J26" s="102" t="s">
        <v>24</v>
      </c>
      <c r="K26" s="102"/>
      <c r="L26" s="102"/>
      <c r="M26" s="102"/>
      <c r="N26" s="102"/>
      <c r="O26" s="102"/>
      <c r="P26" s="102"/>
      <c r="Q26" s="102"/>
      <c r="R26" s="102"/>
      <c r="S26" s="102"/>
      <c r="T26" s="102"/>
      <c r="U26" s="102"/>
      <c r="Y26" s="103" t="str">
        <f>J26</f>
        <v>Junho</v>
      </c>
      <c r="Z26" s="103"/>
      <c r="AA26" s="103"/>
      <c r="AB26" s="103"/>
      <c r="AC26" s="103"/>
      <c r="AD26" s="103"/>
      <c r="AE26" s="103"/>
      <c r="AH26" s="104" t="str">
        <f>Y26</f>
        <v>Junho</v>
      </c>
      <c r="AI26" s="104"/>
      <c r="AJ26" s="104"/>
      <c r="AK26" s="104"/>
      <c r="AL26" s="104"/>
      <c r="AM26" s="104"/>
      <c r="AN26" s="104"/>
    </row>
    <row r="27" spans="1:40" ht="15.75" thickBot="1" x14ac:dyDescent="0.3">
      <c r="A27" s="100" t="s">
        <v>5</v>
      </c>
      <c r="B27" s="34" t="s">
        <v>6</v>
      </c>
      <c r="C27" s="22" t="s">
        <v>7</v>
      </c>
      <c r="D27" s="33" t="s">
        <v>8</v>
      </c>
      <c r="E27" s="22" t="s">
        <v>9</v>
      </c>
      <c r="F27" s="24" t="s">
        <v>10</v>
      </c>
      <c r="G27" s="23" t="s">
        <v>11</v>
      </c>
      <c r="H27" s="25" t="s">
        <v>12</v>
      </c>
      <c r="J27" s="6" t="s">
        <v>4</v>
      </c>
      <c r="K27" s="9"/>
      <c r="L27" s="4"/>
      <c r="M27" s="4"/>
      <c r="N27" s="4"/>
      <c r="O27" s="4"/>
      <c r="P27" s="4"/>
      <c r="Q27" s="4"/>
      <c r="R27" s="4"/>
      <c r="S27" s="4"/>
      <c r="T27" s="4"/>
      <c r="U27" s="5"/>
      <c r="Y27" s="6" t="s">
        <v>4</v>
      </c>
      <c r="Z27" s="9"/>
      <c r="AA27" s="4"/>
      <c r="AB27" s="4"/>
      <c r="AC27" s="4"/>
      <c r="AD27" s="4"/>
      <c r="AE27" s="5"/>
      <c r="AH27" s="6" t="s">
        <v>4</v>
      </c>
      <c r="AI27" s="9"/>
      <c r="AJ27" s="4"/>
      <c r="AK27" s="4"/>
      <c r="AL27" s="4"/>
      <c r="AM27" s="4"/>
      <c r="AN27" s="5"/>
    </row>
    <row r="28" spans="1:40" ht="15.75" thickBot="1" x14ac:dyDescent="0.3">
      <c r="A28" s="100"/>
      <c r="B28" s="26"/>
      <c r="C28" s="27"/>
      <c r="D28" s="27"/>
      <c r="E28" s="27"/>
      <c r="F28" s="27">
        <f>SUM(C28-B28)</f>
        <v>0</v>
      </c>
      <c r="G28" s="20">
        <f>SUM(E28-D28)</f>
        <v>0</v>
      </c>
      <c r="H28" s="21">
        <f>SUM(F28:G28)</f>
        <v>0</v>
      </c>
      <c r="J28" s="7" t="s">
        <v>22</v>
      </c>
      <c r="K28" s="10"/>
      <c r="L28" s="11"/>
      <c r="M28" s="11"/>
      <c r="N28" s="11"/>
      <c r="O28" s="11"/>
      <c r="P28" s="11"/>
      <c r="Q28" s="11"/>
      <c r="R28" s="11"/>
      <c r="S28" s="11"/>
      <c r="T28" s="11"/>
      <c r="U28" s="12"/>
      <c r="Y28" s="7" t="s">
        <v>22</v>
      </c>
      <c r="Z28" s="10"/>
      <c r="AA28" s="11"/>
      <c r="AB28" s="11"/>
      <c r="AC28" s="11"/>
      <c r="AD28" s="11"/>
      <c r="AE28" s="12"/>
      <c r="AH28" s="7" t="s">
        <v>22</v>
      </c>
      <c r="AI28" s="10"/>
      <c r="AJ28" s="11"/>
      <c r="AK28" s="11"/>
      <c r="AL28" s="11"/>
      <c r="AM28" s="11"/>
      <c r="AN28" s="12"/>
    </row>
    <row r="29" spans="1:40" x14ac:dyDescent="0.25">
      <c r="J29" s="8"/>
      <c r="T29" s="8" t="s">
        <v>23</v>
      </c>
      <c r="U29" s="13">
        <f>SUM(K28:U28)</f>
        <v>0</v>
      </c>
      <c r="AD29" s="8" t="s">
        <v>23</v>
      </c>
      <c r="AE29" s="13">
        <f>SUM(Z28:AE28)</f>
        <v>0</v>
      </c>
      <c r="AM29" s="8" t="s">
        <v>23</v>
      </c>
      <c r="AN29" s="13">
        <f>SUM(AI28:AN28)</f>
        <v>0</v>
      </c>
    </row>
    <row r="30" spans="1:40" ht="15.75" thickBot="1" x14ac:dyDescent="0.3">
      <c r="A30" s="19"/>
      <c r="B30" s="101" t="s">
        <v>16</v>
      </c>
      <c r="C30" s="101"/>
      <c r="D30" s="101"/>
      <c r="E30" s="101"/>
      <c r="F30" s="101"/>
      <c r="G30" s="101"/>
      <c r="H30" s="101"/>
      <c r="J30" s="102" t="s">
        <v>16</v>
      </c>
      <c r="K30" s="102"/>
      <c r="L30" s="102"/>
      <c r="M30" s="102"/>
      <c r="N30" s="102"/>
      <c r="O30" s="102"/>
      <c r="P30" s="102"/>
      <c r="Q30" s="102"/>
      <c r="R30" s="102"/>
      <c r="S30" s="102"/>
      <c r="T30" s="102"/>
      <c r="U30" s="102"/>
      <c r="Y30" s="103" t="str">
        <f>J30</f>
        <v>Julho</v>
      </c>
      <c r="Z30" s="103"/>
      <c r="AA30" s="103"/>
      <c r="AB30" s="103"/>
      <c r="AC30" s="103"/>
      <c r="AD30" s="103"/>
      <c r="AE30" s="103"/>
      <c r="AH30" s="104" t="str">
        <f>Y30</f>
        <v>Julho</v>
      </c>
      <c r="AI30" s="104"/>
      <c r="AJ30" s="104"/>
      <c r="AK30" s="104"/>
      <c r="AL30" s="104"/>
      <c r="AM30" s="104"/>
      <c r="AN30" s="104"/>
    </row>
    <row r="31" spans="1:40" ht="15.75" thickBot="1" x14ac:dyDescent="0.3">
      <c r="A31" s="100" t="s">
        <v>5</v>
      </c>
      <c r="B31" s="34" t="s">
        <v>6</v>
      </c>
      <c r="C31" s="22" t="s">
        <v>7</v>
      </c>
      <c r="D31" s="33" t="s">
        <v>8</v>
      </c>
      <c r="E31" s="22" t="s">
        <v>9</v>
      </c>
      <c r="F31" s="24" t="s">
        <v>10</v>
      </c>
      <c r="G31" s="23" t="s">
        <v>11</v>
      </c>
      <c r="H31" s="25" t="s">
        <v>12</v>
      </c>
      <c r="J31" s="6" t="s">
        <v>4</v>
      </c>
      <c r="K31" s="9"/>
      <c r="L31" s="4"/>
      <c r="M31" s="4"/>
      <c r="N31" s="4"/>
      <c r="O31" s="4"/>
      <c r="P31" s="4"/>
      <c r="Q31" s="4"/>
      <c r="R31" s="4"/>
      <c r="S31" s="4"/>
      <c r="T31" s="4"/>
      <c r="U31" s="5"/>
      <c r="Y31" s="6" t="s">
        <v>4</v>
      </c>
      <c r="Z31" s="9"/>
      <c r="AA31" s="4"/>
      <c r="AB31" s="4"/>
      <c r="AC31" s="4"/>
      <c r="AD31" s="4"/>
      <c r="AE31" s="5"/>
      <c r="AH31" s="6" t="s">
        <v>4</v>
      </c>
      <c r="AI31" s="9"/>
      <c r="AJ31" s="4"/>
      <c r="AK31" s="4"/>
      <c r="AL31" s="4"/>
      <c r="AM31" s="4"/>
      <c r="AN31" s="5"/>
    </row>
    <row r="32" spans="1:40" ht="15.75" thickBot="1" x14ac:dyDescent="0.3">
      <c r="A32" s="100"/>
      <c r="B32" s="26"/>
      <c r="C32" s="27"/>
      <c r="D32" s="27"/>
      <c r="E32" s="27"/>
      <c r="F32" s="27">
        <f>SUM(C32-B32)</f>
        <v>0</v>
      </c>
      <c r="G32" s="20">
        <f>SUM(E32-D32)</f>
        <v>0</v>
      </c>
      <c r="H32" s="21">
        <f>SUM(F32:G32)</f>
        <v>0</v>
      </c>
      <c r="J32" s="7" t="s">
        <v>22</v>
      </c>
      <c r="K32" s="10"/>
      <c r="L32" s="11"/>
      <c r="M32" s="11"/>
      <c r="N32" s="11"/>
      <c r="O32" s="11"/>
      <c r="P32" s="11"/>
      <c r="Q32" s="11"/>
      <c r="R32" s="11"/>
      <c r="S32" s="11"/>
      <c r="T32" s="11"/>
      <c r="U32" s="12"/>
      <c r="Y32" s="7" t="s">
        <v>22</v>
      </c>
      <c r="Z32" s="10"/>
      <c r="AA32" s="11"/>
      <c r="AB32" s="11"/>
      <c r="AC32" s="11"/>
      <c r="AD32" s="11"/>
      <c r="AE32" s="12"/>
      <c r="AH32" s="7" t="s">
        <v>22</v>
      </c>
      <c r="AI32" s="10"/>
      <c r="AJ32" s="11"/>
      <c r="AK32" s="11"/>
      <c r="AL32" s="11"/>
      <c r="AM32" s="11"/>
      <c r="AN32" s="12"/>
    </row>
    <row r="33" spans="1:40" x14ac:dyDescent="0.25">
      <c r="J33" s="8"/>
      <c r="T33" s="8" t="s">
        <v>23</v>
      </c>
      <c r="U33" s="13">
        <f>SUM(K32:U32)</f>
        <v>0</v>
      </c>
      <c r="AD33" s="8" t="s">
        <v>23</v>
      </c>
      <c r="AE33" s="13">
        <f>SUM(Z32:AE32)</f>
        <v>0</v>
      </c>
      <c r="AM33" s="8" t="s">
        <v>23</v>
      </c>
      <c r="AN33" s="13">
        <f>SUM(AI32:AN32)</f>
        <v>0</v>
      </c>
    </row>
    <row r="34" spans="1:40" ht="15.75" thickBot="1" x14ac:dyDescent="0.3">
      <c r="A34" s="19"/>
      <c r="B34" s="101" t="s">
        <v>17</v>
      </c>
      <c r="C34" s="101"/>
      <c r="D34" s="101"/>
      <c r="E34" s="101"/>
      <c r="F34" s="101"/>
      <c r="G34" s="101"/>
      <c r="H34" s="101"/>
      <c r="J34" s="102" t="s">
        <v>17</v>
      </c>
      <c r="K34" s="102"/>
      <c r="L34" s="102"/>
      <c r="M34" s="102"/>
      <c r="N34" s="102"/>
      <c r="O34" s="102"/>
      <c r="P34" s="102"/>
      <c r="Q34" s="102"/>
      <c r="R34" s="102"/>
      <c r="S34" s="102"/>
      <c r="T34" s="102"/>
      <c r="U34" s="102"/>
      <c r="Y34" s="103" t="str">
        <f>J34</f>
        <v>Agosto</v>
      </c>
      <c r="Z34" s="103"/>
      <c r="AA34" s="103"/>
      <c r="AB34" s="103"/>
      <c r="AC34" s="103"/>
      <c r="AD34" s="103"/>
      <c r="AE34" s="103"/>
      <c r="AH34" s="104" t="str">
        <f>Y34</f>
        <v>Agosto</v>
      </c>
      <c r="AI34" s="104"/>
      <c r="AJ34" s="104"/>
      <c r="AK34" s="104"/>
      <c r="AL34" s="104"/>
      <c r="AM34" s="104"/>
      <c r="AN34" s="104"/>
    </row>
    <row r="35" spans="1:40" ht="15.75" thickBot="1" x14ac:dyDescent="0.3">
      <c r="A35" s="100" t="s">
        <v>5</v>
      </c>
      <c r="B35" s="34" t="s">
        <v>6</v>
      </c>
      <c r="C35" s="22" t="s">
        <v>7</v>
      </c>
      <c r="D35" s="33" t="s">
        <v>8</v>
      </c>
      <c r="E35" s="22" t="s">
        <v>9</v>
      </c>
      <c r="F35" s="24" t="s">
        <v>10</v>
      </c>
      <c r="G35" s="23" t="s">
        <v>11</v>
      </c>
      <c r="H35" s="25" t="s">
        <v>12</v>
      </c>
      <c r="J35" s="6" t="s">
        <v>4</v>
      </c>
      <c r="K35" s="9"/>
      <c r="L35" s="4"/>
      <c r="M35" s="4"/>
      <c r="N35" s="4"/>
      <c r="O35" s="4"/>
      <c r="P35" s="4"/>
      <c r="Q35" s="4"/>
      <c r="R35" s="4"/>
      <c r="S35" s="4"/>
      <c r="T35" s="4"/>
      <c r="U35" s="5"/>
      <c r="Y35" s="6" t="s">
        <v>4</v>
      </c>
      <c r="Z35" s="9"/>
      <c r="AA35" s="4"/>
      <c r="AB35" s="4"/>
      <c r="AC35" s="4"/>
      <c r="AD35" s="4"/>
      <c r="AE35" s="5"/>
      <c r="AH35" s="6" t="s">
        <v>4</v>
      </c>
      <c r="AI35" s="9"/>
      <c r="AJ35" s="4"/>
      <c r="AK35" s="4"/>
      <c r="AL35" s="4"/>
      <c r="AM35" s="4"/>
      <c r="AN35" s="5"/>
    </row>
    <row r="36" spans="1:40" ht="15.75" thickBot="1" x14ac:dyDescent="0.3">
      <c r="A36" s="100"/>
      <c r="B36" s="26"/>
      <c r="C36" s="27"/>
      <c r="D36" s="27"/>
      <c r="E36" s="27"/>
      <c r="F36" s="27">
        <f>SUM(C36-B36)</f>
        <v>0</v>
      </c>
      <c r="G36" s="20">
        <f>SUM(E36-D36)</f>
        <v>0</v>
      </c>
      <c r="H36" s="21">
        <f>SUM(F36:G36)</f>
        <v>0</v>
      </c>
      <c r="J36" s="7" t="s">
        <v>22</v>
      </c>
      <c r="K36" s="10"/>
      <c r="L36" s="11"/>
      <c r="M36" s="11"/>
      <c r="N36" s="11"/>
      <c r="O36" s="11"/>
      <c r="P36" s="11"/>
      <c r="Q36" s="11"/>
      <c r="R36" s="11"/>
      <c r="S36" s="11"/>
      <c r="T36" s="11"/>
      <c r="U36" s="12"/>
      <c r="Y36" s="7" t="s">
        <v>22</v>
      </c>
      <c r="Z36" s="10"/>
      <c r="AA36" s="11"/>
      <c r="AB36" s="11"/>
      <c r="AC36" s="11"/>
      <c r="AD36" s="11"/>
      <c r="AE36" s="12"/>
      <c r="AH36" s="7" t="s">
        <v>22</v>
      </c>
      <c r="AI36" s="10"/>
      <c r="AJ36" s="11"/>
      <c r="AK36" s="11"/>
      <c r="AL36" s="11"/>
      <c r="AM36" s="11"/>
      <c r="AN36" s="12"/>
    </row>
    <row r="37" spans="1:40" x14ac:dyDescent="0.25">
      <c r="J37" s="8"/>
      <c r="T37" s="8" t="s">
        <v>23</v>
      </c>
      <c r="U37" s="13">
        <f>SUM(K36:U36)</f>
        <v>0</v>
      </c>
      <c r="AD37" s="8" t="s">
        <v>23</v>
      </c>
      <c r="AE37" s="13">
        <f>SUM(Z36:AE36)</f>
        <v>0</v>
      </c>
      <c r="AM37" s="8" t="s">
        <v>23</v>
      </c>
      <c r="AN37" s="13">
        <f>SUM(AI36:AN36)</f>
        <v>0</v>
      </c>
    </row>
    <row r="38" spans="1:40" ht="15.75" thickBot="1" x14ac:dyDescent="0.3">
      <c r="A38" s="19"/>
      <c r="B38" s="101" t="s">
        <v>18</v>
      </c>
      <c r="C38" s="101"/>
      <c r="D38" s="101"/>
      <c r="E38" s="101"/>
      <c r="F38" s="101"/>
      <c r="G38" s="101"/>
      <c r="H38" s="101"/>
      <c r="J38" s="102" t="s">
        <v>18</v>
      </c>
      <c r="K38" s="102"/>
      <c r="L38" s="102"/>
      <c r="M38" s="102"/>
      <c r="N38" s="102"/>
      <c r="O38" s="102"/>
      <c r="P38" s="102"/>
      <c r="Q38" s="102"/>
      <c r="R38" s="102"/>
      <c r="S38" s="102"/>
      <c r="T38" s="102"/>
      <c r="U38" s="102"/>
      <c r="Y38" s="103" t="str">
        <f>J38</f>
        <v>Setembro</v>
      </c>
      <c r="Z38" s="103"/>
      <c r="AA38" s="103"/>
      <c r="AB38" s="103"/>
      <c r="AC38" s="103"/>
      <c r="AD38" s="103"/>
      <c r="AE38" s="103"/>
      <c r="AH38" s="104" t="str">
        <f>Y38</f>
        <v>Setembro</v>
      </c>
      <c r="AI38" s="104"/>
      <c r="AJ38" s="104"/>
      <c r="AK38" s="104"/>
      <c r="AL38" s="104"/>
      <c r="AM38" s="104"/>
      <c r="AN38" s="104"/>
    </row>
    <row r="39" spans="1:40" ht="15.75" thickBot="1" x14ac:dyDescent="0.3">
      <c r="A39" s="100" t="s">
        <v>5</v>
      </c>
      <c r="B39" s="34" t="s">
        <v>6</v>
      </c>
      <c r="C39" s="22" t="s">
        <v>7</v>
      </c>
      <c r="D39" s="33" t="s">
        <v>8</v>
      </c>
      <c r="E39" s="22" t="s">
        <v>9</v>
      </c>
      <c r="F39" s="24" t="s">
        <v>10</v>
      </c>
      <c r="G39" s="23" t="s">
        <v>11</v>
      </c>
      <c r="H39" s="25" t="s">
        <v>12</v>
      </c>
      <c r="J39" s="6" t="s">
        <v>4</v>
      </c>
      <c r="K39" s="9">
        <v>45548</v>
      </c>
      <c r="L39" s="66">
        <v>45553</v>
      </c>
      <c r="M39" s="66">
        <v>45557</v>
      </c>
      <c r="N39" s="66">
        <v>45559</v>
      </c>
      <c r="O39" s="66">
        <v>45565</v>
      </c>
      <c r="P39" s="4"/>
      <c r="Q39" s="4"/>
      <c r="R39" s="4"/>
      <c r="S39" s="4"/>
      <c r="T39" s="4"/>
      <c r="U39" s="5"/>
      <c r="Y39" s="6" t="s">
        <v>4</v>
      </c>
      <c r="Z39" s="9"/>
      <c r="AA39" s="4"/>
      <c r="AB39" s="4"/>
      <c r="AC39" s="4"/>
      <c r="AD39" s="4"/>
      <c r="AE39" s="5"/>
      <c r="AH39" s="6" t="s">
        <v>4</v>
      </c>
      <c r="AI39" s="9"/>
      <c r="AJ39" s="4"/>
      <c r="AK39" s="4"/>
      <c r="AL39" s="4"/>
      <c r="AM39" s="4"/>
      <c r="AN39" s="5"/>
    </row>
    <row r="40" spans="1:40" ht="15.75" thickBot="1" x14ac:dyDescent="0.3">
      <c r="A40" s="100"/>
      <c r="B40" s="26">
        <v>33597</v>
      </c>
      <c r="C40" s="27"/>
      <c r="D40" s="27"/>
      <c r="E40" s="27">
        <v>36370</v>
      </c>
      <c r="F40" s="27">
        <f>SUM(C40-B40)</f>
        <v>-33597</v>
      </c>
      <c r="G40" s="20">
        <f>SUM(E40-D40)</f>
        <v>36370</v>
      </c>
      <c r="H40" s="21">
        <f>SUM(F40:G40)</f>
        <v>2773</v>
      </c>
      <c r="J40" s="7" t="s">
        <v>22</v>
      </c>
      <c r="K40" s="10">
        <v>259.82</v>
      </c>
      <c r="L40" s="11">
        <v>279.31</v>
      </c>
      <c r="M40" s="11">
        <v>261.48</v>
      </c>
      <c r="N40" s="11">
        <v>281.67</v>
      </c>
      <c r="O40" s="11">
        <v>266.77999999999997</v>
      </c>
      <c r="P40" s="11"/>
      <c r="Q40" s="11"/>
      <c r="R40" s="11"/>
      <c r="S40" s="11"/>
      <c r="T40" s="11"/>
      <c r="U40" s="12"/>
      <c r="Y40" s="7" t="s">
        <v>22</v>
      </c>
      <c r="Z40" s="10"/>
      <c r="AA40" s="11"/>
      <c r="AB40" s="11"/>
      <c r="AC40" s="11"/>
      <c r="AD40" s="11"/>
      <c r="AE40" s="12"/>
      <c r="AH40" s="7" t="s">
        <v>22</v>
      </c>
      <c r="AI40" s="10"/>
      <c r="AJ40" s="11"/>
      <c r="AK40" s="11"/>
      <c r="AL40" s="11"/>
      <c r="AM40" s="11"/>
      <c r="AN40" s="12"/>
    </row>
    <row r="41" spans="1:40" x14ac:dyDescent="0.25">
      <c r="J41" s="8"/>
      <c r="T41" s="8" t="s">
        <v>23</v>
      </c>
      <c r="U41" s="13">
        <f>SUM(K40:U40)</f>
        <v>1349.06</v>
      </c>
      <c r="AD41" s="8" t="s">
        <v>23</v>
      </c>
      <c r="AE41" s="13">
        <f>SUM(Z40:AE40)</f>
        <v>0</v>
      </c>
      <c r="AM41" s="8" t="s">
        <v>23</v>
      </c>
      <c r="AN41" s="13">
        <f>SUM(AI40:AN40)</f>
        <v>0</v>
      </c>
    </row>
    <row r="42" spans="1:40" ht="15.75" thickBot="1" x14ac:dyDescent="0.3">
      <c r="A42" s="19"/>
      <c r="B42" s="101" t="s">
        <v>19</v>
      </c>
      <c r="C42" s="101"/>
      <c r="D42" s="101"/>
      <c r="E42" s="101"/>
      <c r="F42" s="101"/>
      <c r="G42" s="101"/>
      <c r="H42" s="101"/>
      <c r="J42" s="102" t="s">
        <v>19</v>
      </c>
      <c r="K42" s="102"/>
      <c r="L42" s="102"/>
      <c r="M42" s="102"/>
      <c r="N42" s="102"/>
      <c r="O42" s="102"/>
      <c r="P42" s="102"/>
      <c r="Q42" s="102"/>
      <c r="R42" s="102"/>
      <c r="S42" s="102"/>
      <c r="T42" s="102"/>
      <c r="U42" s="102"/>
      <c r="Y42" s="103" t="str">
        <f>J42</f>
        <v>Outubro</v>
      </c>
      <c r="Z42" s="103"/>
      <c r="AA42" s="103"/>
      <c r="AB42" s="103"/>
      <c r="AC42" s="103"/>
      <c r="AD42" s="103"/>
      <c r="AE42" s="103"/>
      <c r="AH42" s="104" t="str">
        <f>Y42</f>
        <v>Outubro</v>
      </c>
      <c r="AI42" s="104"/>
      <c r="AJ42" s="104"/>
      <c r="AK42" s="104"/>
      <c r="AL42" s="104"/>
      <c r="AM42" s="104"/>
      <c r="AN42" s="104"/>
    </row>
    <row r="43" spans="1:40" ht="15.75" thickBot="1" x14ac:dyDescent="0.3">
      <c r="A43" s="100" t="s">
        <v>5</v>
      </c>
      <c r="B43" s="34" t="s">
        <v>6</v>
      </c>
      <c r="C43" s="22" t="s">
        <v>7</v>
      </c>
      <c r="D43" s="33" t="s">
        <v>8</v>
      </c>
      <c r="E43" s="22" t="s">
        <v>9</v>
      </c>
      <c r="F43" s="24" t="s">
        <v>10</v>
      </c>
      <c r="G43" s="23" t="s">
        <v>11</v>
      </c>
      <c r="H43" s="25" t="s">
        <v>12</v>
      </c>
      <c r="J43" s="6" t="s">
        <v>4</v>
      </c>
      <c r="K43" s="9">
        <v>45569</v>
      </c>
      <c r="L43" s="66">
        <v>45573</v>
      </c>
      <c r="M43" s="66">
        <v>45575</v>
      </c>
      <c r="N43" s="66">
        <v>45595</v>
      </c>
      <c r="O43" s="66">
        <v>45589</v>
      </c>
      <c r="P43" s="66">
        <v>45584</v>
      </c>
      <c r="Q43" s="66">
        <v>45581</v>
      </c>
      <c r="R43" s="4"/>
      <c r="S43" s="4"/>
      <c r="T43" s="4"/>
      <c r="U43" s="5"/>
      <c r="Y43" s="6" t="s">
        <v>4</v>
      </c>
      <c r="Z43" s="9">
        <v>45568</v>
      </c>
      <c r="AA43" s="4"/>
      <c r="AB43" s="4"/>
      <c r="AC43" s="4"/>
      <c r="AD43" s="4"/>
      <c r="AE43" s="5"/>
      <c r="AH43" s="6" t="s">
        <v>4</v>
      </c>
      <c r="AI43" s="9"/>
      <c r="AJ43" s="4"/>
      <c r="AK43" s="4"/>
      <c r="AL43" s="4"/>
      <c r="AM43" s="4"/>
      <c r="AN43" s="5"/>
    </row>
    <row r="44" spans="1:40" ht="15.75" thickBot="1" x14ac:dyDescent="0.3">
      <c r="A44" s="100"/>
      <c r="B44" s="26">
        <v>36370</v>
      </c>
      <c r="C44" s="27"/>
      <c r="D44" s="27"/>
      <c r="E44" s="27">
        <v>41007</v>
      </c>
      <c r="F44" s="27">
        <f>SUM(C44-B44)</f>
        <v>-36370</v>
      </c>
      <c r="G44" s="20">
        <f>SUM(E44-D44)</f>
        <v>41007</v>
      </c>
      <c r="H44" s="21">
        <f>SUM(F44:G44)</f>
        <v>4637</v>
      </c>
      <c r="J44" s="7" t="s">
        <v>22</v>
      </c>
      <c r="K44" s="10">
        <v>270.23</v>
      </c>
      <c r="L44" s="11">
        <v>271.64</v>
      </c>
      <c r="M44" s="11">
        <v>256.75</v>
      </c>
      <c r="N44" s="11">
        <v>244.23</v>
      </c>
      <c r="O44" s="11">
        <v>293.94</v>
      </c>
      <c r="P44" s="11">
        <v>289.79000000000002</v>
      </c>
      <c r="Q44" s="11">
        <v>250.3</v>
      </c>
      <c r="R44" s="11"/>
      <c r="S44" s="11"/>
      <c r="T44" s="11"/>
      <c r="U44" s="12"/>
      <c r="Y44" s="7" t="s">
        <v>22</v>
      </c>
      <c r="Z44" s="10">
        <v>75</v>
      </c>
      <c r="AA44" s="11"/>
      <c r="AB44" s="11"/>
      <c r="AC44" s="11"/>
      <c r="AD44" s="11"/>
      <c r="AE44" s="12"/>
      <c r="AH44" s="7" t="s">
        <v>22</v>
      </c>
      <c r="AI44" s="10"/>
      <c r="AJ44" s="11"/>
      <c r="AK44" s="11"/>
      <c r="AL44" s="11"/>
      <c r="AM44" s="11"/>
      <c r="AN44" s="12"/>
    </row>
    <row r="45" spans="1:40" x14ac:dyDescent="0.25">
      <c r="A45" s="82" t="s">
        <v>143</v>
      </c>
      <c r="J45" s="8"/>
      <c r="T45" s="8" t="s">
        <v>23</v>
      </c>
      <c r="U45" s="13">
        <f>SUM(K44:U44)</f>
        <v>1876.8799999999999</v>
      </c>
      <c r="AD45" s="8" t="s">
        <v>23</v>
      </c>
      <c r="AE45" s="13">
        <f>SUM(Z44:AE44)</f>
        <v>75</v>
      </c>
      <c r="AM45" s="8" t="s">
        <v>23</v>
      </c>
      <c r="AN45" s="13">
        <f>SUM(AI44:AN44)</f>
        <v>0</v>
      </c>
    </row>
    <row r="46" spans="1:40" ht="15.75" thickBot="1" x14ac:dyDescent="0.3">
      <c r="A46" s="19"/>
      <c r="B46" s="101" t="s">
        <v>20</v>
      </c>
      <c r="C46" s="101"/>
      <c r="D46" s="101"/>
      <c r="E46" s="101"/>
      <c r="F46" s="101"/>
      <c r="G46" s="101"/>
      <c r="H46" s="101"/>
      <c r="J46" s="102" t="s">
        <v>20</v>
      </c>
      <c r="K46" s="102"/>
      <c r="L46" s="102"/>
      <c r="M46" s="102"/>
      <c r="N46" s="102"/>
      <c r="O46" s="102"/>
      <c r="P46" s="102"/>
      <c r="Q46" s="102"/>
      <c r="R46" s="102"/>
      <c r="S46" s="102"/>
      <c r="T46" s="102"/>
      <c r="U46" s="102"/>
      <c r="Y46" s="103" t="str">
        <f>J46</f>
        <v>Novembro</v>
      </c>
      <c r="Z46" s="103"/>
      <c r="AA46" s="103"/>
      <c r="AB46" s="103"/>
      <c r="AC46" s="103"/>
      <c r="AD46" s="103"/>
      <c r="AE46" s="103"/>
      <c r="AH46" s="104" t="str">
        <f>Y46</f>
        <v>Novembro</v>
      </c>
      <c r="AI46" s="104"/>
      <c r="AJ46" s="104"/>
      <c r="AK46" s="104"/>
      <c r="AL46" s="104"/>
      <c r="AM46" s="104"/>
      <c r="AN46" s="104"/>
    </row>
    <row r="47" spans="1:40" ht="15.75" thickBot="1" x14ac:dyDescent="0.3">
      <c r="A47" s="100" t="s">
        <v>5</v>
      </c>
      <c r="B47" s="34" t="s">
        <v>6</v>
      </c>
      <c r="C47" s="22" t="s">
        <v>7</v>
      </c>
      <c r="D47" s="33" t="s">
        <v>8</v>
      </c>
      <c r="E47" s="22" t="s">
        <v>9</v>
      </c>
      <c r="F47" s="24" t="s">
        <v>10</v>
      </c>
      <c r="G47" s="23" t="s">
        <v>11</v>
      </c>
      <c r="H47" s="25" t="s">
        <v>12</v>
      </c>
      <c r="J47" s="6" t="s">
        <v>4</v>
      </c>
      <c r="K47" s="9">
        <v>45598</v>
      </c>
      <c r="L47" s="66">
        <v>45602</v>
      </c>
      <c r="M47" s="4"/>
      <c r="N47" s="4"/>
      <c r="O47" s="4"/>
      <c r="P47" s="4"/>
      <c r="Q47" s="4"/>
      <c r="R47" s="4"/>
      <c r="S47" s="4"/>
      <c r="T47" s="4"/>
      <c r="U47" s="5"/>
      <c r="Y47" s="6" t="s">
        <v>4</v>
      </c>
      <c r="Z47" s="9"/>
      <c r="AA47" s="4"/>
      <c r="AB47" s="4"/>
      <c r="AC47" s="4"/>
      <c r="AD47" s="4"/>
      <c r="AE47" s="5"/>
      <c r="AH47" s="6" t="s">
        <v>4</v>
      </c>
      <c r="AI47" s="9"/>
      <c r="AJ47" s="4"/>
      <c r="AK47" s="4"/>
      <c r="AL47" s="4"/>
      <c r="AM47" s="4"/>
      <c r="AN47" s="5"/>
    </row>
    <row r="48" spans="1:40" ht="15.75" thickBot="1" x14ac:dyDescent="0.3">
      <c r="A48" s="100"/>
      <c r="B48" s="26"/>
      <c r="C48" s="27"/>
      <c r="D48" s="27"/>
      <c r="E48" s="27"/>
      <c r="F48" s="27">
        <f>SUM(C48-B48)</f>
        <v>0</v>
      </c>
      <c r="G48" s="20">
        <f>SUM(E48-D48)</f>
        <v>0</v>
      </c>
      <c r="H48" s="21">
        <f>SUM(F48:G48)</f>
        <v>0</v>
      </c>
      <c r="J48" s="7" t="s">
        <v>22</v>
      </c>
      <c r="K48" s="10">
        <v>299.44</v>
      </c>
      <c r="L48" s="11">
        <v>238.99</v>
      </c>
      <c r="M48" s="11"/>
      <c r="N48" s="11"/>
      <c r="O48" s="11"/>
      <c r="P48" s="11"/>
      <c r="Q48" s="11"/>
      <c r="R48" s="11"/>
      <c r="S48" s="11"/>
      <c r="T48" s="11"/>
      <c r="U48" s="12"/>
      <c r="Y48" s="7" t="s">
        <v>22</v>
      </c>
      <c r="Z48" s="10"/>
      <c r="AA48" s="11"/>
      <c r="AB48" s="11"/>
      <c r="AC48" s="11"/>
      <c r="AD48" s="11"/>
      <c r="AE48" s="12"/>
      <c r="AH48" s="7" t="s">
        <v>22</v>
      </c>
      <c r="AI48" s="10"/>
      <c r="AJ48" s="11"/>
      <c r="AK48" s="11"/>
      <c r="AL48" s="11"/>
      <c r="AM48" s="11"/>
      <c r="AN48" s="12"/>
    </row>
    <row r="49" spans="1:40" x14ac:dyDescent="0.25">
      <c r="J49" s="8"/>
      <c r="T49" s="8" t="s">
        <v>23</v>
      </c>
      <c r="U49" s="13">
        <f>SUM(K48:U48)</f>
        <v>538.43000000000006</v>
      </c>
      <c r="AD49" s="8" t="s">
        <v>23</v>
      </c>
      <c r="AE49" s="13">
        <f>SUM(Z48:AE48)</f>
        <v>0</v>
      </c>
      <c r="AM49" s="8" t="s">
        <v>23</v>
      </c>
      <c r="AN49" s="13">
        <f>SUM(AI48:AN48)</f>
        <v>0</v>
      </c>
    </row>
    <row r="50" spans="1:40" ht="15.75" thickBot="1" x14ac:dyDescent="0.3">
      <c r="A50" s="19"/>
      <c r="B50" s="101" t="s">
        <v>21</v>
      </c>
      <c r="C50" s="101"/>
      <c r="D50" s="101"/>
      <c r="E50" s="101"/>
      <c r="F50" s="101"/>
      <c r="G50" s="101"/>
      <c r="H50" s="101"/>
      <c r="J50" s="102" t="s">
        <v>21</v>
      </c>
      <c r="K50" s="102"/>
      <c r="L50" s="102"/>
      <c r="M50" s="102"/>
      <c r="N50" s="102"/>
      <c r="O50" s="102"/>
      <c r="P50" s="102"/>
      <c r="Q50" s="102"/>
      <c r="R50" s="102"/>
      <c r="S50" s="102"/>
      <c r="T50" s="102"/>
      <c r="U50" s="102"/>
      <c r="Y50" s="103" t="str">
        <f>J50</f>
        <v>Dezembro</v>
      </c>
      <c r="Z50" s="103"/>
      <c r="AA50" s="103"/>
      <c r="AB50" s="103"/>
      <c r="AC50" s="103"/>
      <c r="AD50" s="103"/>
      <c r="AE50" s="103"/>
      <c r="AH50" s="104" t="str">
        <f>Y50</f>
        <v>Dezembro</v>
      </c>
      <c r="AI50" s="104"/>
      <c r="AJ50" s="104"/>
      <c r="AK50" s="104"/>
      <c r="AL50" s="104"/>
      <c r="AM50" s="104"/>
      <c r="AN50" s="104"/>
    </row>
    <row r="51" spans="1:40" ht="15.75" thickBot="1" x14ac:dyDescent="0.3">
      <c r="A51" s="100" t="s">
        <v>5</v>
      </c>
      <c r="B51" s="34" t="s">
        <v>6</v>
      </c>
      <c r="C51" s="22" t="s">
        <v>7</v>
      </c>
      <c r="D51" s="33" t="s">
        <v>8</v>
      </c>
      <c r="E51" s="22" t="s">
        <v>9</v>
      </c>
      <c r="F51" s="24" t="s">
        <v>10</v>
      </c>
      <c r="G51" s="23" t="s">
        <v>11</v>
      </c>
      <c r="H51" s="25" t="s">
        <v>12</v>
      </c>
      <c r="J51" s="6" t="s">
        <v>4</v>
      </c>
      <c r="K51" s="9"/>
      <c r="L51" s="4"/>
      <c r="M51" s="4"/>
      <c r="N51" s="4"/>
      <c r="O51" s="4"/>
      <c r="P51" s="4"/>
      <c r="Q51" s="4"/>
      <c r="R51" s="4"/>
      <c r="S51" s="4"/>
      <c r="T51" s="4"/>
      <c r="U51" s="5"/>
      <c r="Y51" s="6" t="s">
        <v>4</v>
      </c>
      <c r="Z51" s="9"/>
      <c r="AA51" s="4"/>
      <c r="AB51" s="4"/>
      <c r="AC51" s="4"/>
      <c r="AD51" s="4"/>
      <c r="AE51" s="5"/>
      <c r="AH51" s="6" t="s">
        <v>4</v>
      </c>
      <c r="AI51" s="9"/>
      <c r="AJ51" s="4"/>
      <c r="AK51" s="4"/>
      <c r="AL51" s="4"/>
      <c r="AM51" s="4"/>
      <c r="AN51" s="5"/>
    </row>
    <row r="52" spans="1:40" ht="15.75" thickBot="1" x14ac:dyDescent="0.3">
      <c r="A52" s="100"/>
      <c r="B52" s="26">
        <v>30888</v>
      </c>
      <c r="C52" s="27">
        <v>32441</v>
      </c>
      <c r="D52" s="27">
        <v>32441</v>
      </c>
      <c r="E52" s="27">
        <v>33190</v>
      </c>
      <c r="F52" s="27">
        <f>SUM(C52-B52)</f>
        <v>1553</v>
      </c>
      <c r="G52" s="20">
        <f>SUM(E52-D52)</f>
        <v>749</v>
      </c>
      <c r="H52" s="21">
        <f>SUM(F52:G52)</f>
        <v>2302</v>
      </c>
      <c r="J52" s="7" t="s">
        <v>22</v>
      </c>
      <c r="K52" s="10"/>
      <c r="L52" s="11"/>
      <c r="M52" s="11"/>
      <c r="N52" s="11"/>
      <c r="O52" s="11"/>
      <c r="P52" s="11"/>
      <c r="Q52" s="11"/>
      <c r="R52" s="11"/>
      <c r="S52" s="11"/>
      <c r="T52" s="11"/>
      <c r="U52" s="12"/>
      <c r="Y52" s="7" t="s">
        <v>22</v>
      </c>
      <c r="Z52" s="10"/>
      <c r="AA52" s="11"/>
      <c r="AB52" s="11"/>
      <c r="AC52" s="11"/>
      <c r="AD52" s="11"/>
      <c r="AE52" s="12"/>
      <c r="AH52" s="7" t="s">
        <v>22</v>
      </c>
      <c r="AI52" s="10"/>
      <c r="AJ52" s="11"/>
      <c r="AK52" s="11"/>
      <c r="AL52" s="11"/>
      <c r="AM52" s="11"/>
      <c r="AN52" s="12"/>
    </row>
    <row r="53" spans="1:40" x14ac:dyDescent="0.25">
      <c r="J53" s="8"/>
      <c r="T53" s="8" t="s">
        <v>23</v>
      </c>
      <c r="U53" s="13">
        <f>SUM(K52:U52)</f>
        <v>0</v>
      </c>
      <c r="AD53" s="8" t="s">
        <v>23</v>
      </c>
      <c r="AE53" s="13">
        <f>SUM(Z52:AE52)</f>
        <v>0</v>
      </c>
      <c r="AM53" s="8" t="s">
        <v>23</v>
      </c>
      <c r="AN53" s="13">
        <f>SUM(AI52:AN52)</f>
        <v>0</v>
      </c>
    </row>
    <row r="54" spans="1:40" ht="15.75" thickBot="1" x14ac:dyDescent="0.3">
      <c r="A54" s="83" t="s">
        <v>165</v>
      </c>
      <c r="B54" s="101" t="s">
        <v>141</v>
      </c>
      <c r="C54" s="101"/>
      <c r="D54" s="101"/>
      <c r="E54" s="101"/>
      <c r="F54" s="101"/>
      <c r="G54" s="101"/>
      <c r="H54" s="101"/>
      <c r="J54" s="102" t="s">
        <v>141</v>
      </c>
      <c r="K54" s="102"/>
      <c r="L54" s="102"/>
      <c r="M54" s="102"/>
      <c r="N54" s="102"/>
      <c r="O54" s="102"/>
      <c r="P54" s="102"/>
      <c r="Q54" s="102"/>
      <c r="R54" s="102"/>
      <c r="S54" s="102"/>
      <c r="T54" s="102"/>
      <c r="U54" s="102"/>
      <c r="Y54" s="103" t="str">
        <f>J54</f>
        <v>Janeiro</v>
      </c>
      <c r="Z54" s="103"/>
      <c r="AA54" s="103"/>
      <c r="AB54" s="103"/>
      <c r="AC54" s="103"/>
      <c r="AD54" s="103"/>
      <c r="AE54" s="103"/>
      <c r="AH54" s="104" t="str">
        <f>Y54</f>
        <v>Janeiro</v>
      </c>
      <c r="AI54" s="104"/>
      <c r="AJ54" s="104"/>
      <c r="AK54" s="104"/>
      <c r="AL54" s="104"/>
      <c r="AM54" s="104"/>
      <c r="AN54" s="104"/>
    </row>
    <row r="55" spans="1:40" ht="15.75" thickBot="1" x14ac:dyDescent="0.3">
      <c r="A55" s="100" t="s">
        <v>5</v>
      </c>
      <c r="B55" s="34" t="s">
        <v>6</v>
      </c>
      <c r="C55" s="22" t="s">
        <v>7</v>
      </c>
      <c r="D55" s="33" t="s">
        <v>8</v>
      </c>
      <c r="E55" s="22" t="s">
        <v>9</v>
      </c>
      <c r="F55" s="24" t="s">
        <v>10</v>
      </c>
      <c r="G55" s="23" t="s">
        <v>11</v>
      </c>
      <c r="H55" s="25" t="s">
        <v>12</v>
      </c>
      <c r="J55" s="6" t="s">
        <v>4</v>
      </c>
      <c r="K55" s="9">
        <v>45664</v>
      </c>
      <c r="L55" s="66">
        <v>45672</v>
      </c>
      <c r="M55" s="4"/>
      <c r="N55" s="4"/>
      <c r="O55" s="4"/>
      <c r="P55" s="4"/>
      <c r="Q55" s="4"/>
      <c r="R55" s="4"/>
      <c r="S55" s="4"/>
      <c r="T55" s="4"/>
      <c r="U55" s="5"/>
      <c r="Y55" s="6" t="s">
        <v>4</v>
      </c>
      <c r="Z55" s="9">
        <v>45688</v>
      </c>
      <c r="AA55" s="4"/>
      <c r="AB55" s="4"/>
      <c r="AC55" s="4"/>
      <c r="AD55" s="4"/>
      <c r="AE55" s="5"/>
      <c r="AH55" s="6" t="s">
        <v>4</v>
      </c>
      <c r="AI55" s="9"/>
      <c r="AJ55" s="4"/>
      <c r="AK55" s="4"/>
      <c r="AL55" s="4"/>
      <c r="AM55" s="4"/>
      <c r="AN55" s="5"/>
    </row>
    <row r="56" spans="1:40" ht="15.75" thickBot="1" x14ac:dyDescent="0.3">
      <c r="A56" s="100"/>
      <c r="B56" s="26">
        <v>33190</v>
      </c>
      <c r="C56" s="27">
        <v>35331</v>
      </c>
      <c r="D56" s="88">
        <v>24591</v>
      </c>
      <c r="E56" s="88">
        <v>25264</v>
      </c>
      <c r="F56" s="27">
        <f>SUM(C56-B56)</f>
        <v>2141</v>
      </c>
      <c r="G56" s="20">
        <f>SUM(E56-D56)</f>
        <v>673</v>
      </c>
      <c r="H56" s="21">
        <f>SUM(F56:G56)</f>
        <v>2814</v>
      </c>
      <c r="J56" s="7" t="s">
        <v>22</v>
      </c>
      <c r="K56" s="10">
        <v>434.63</v>
      </c>
      <c r="L56" s="11">
        <v>509.26</v>
      </c>
      <c r="M56" s="11"/>
      <c r="N56" s="11"/>
      <c r="O56" s="11"/>
      <c r="P56" s="11"/>
      <c r="Q56" s="11"/>
      <c r="R56" s="11"/>
      <c r="S56" s="11"/>
      <c r="T56" s="11"/>
      <c r="U56" s="12"/>
      <c r="Y56" s="7" t="s">
        <v>22</v>
      </c>
      <c r="Z56" s="10">
        <v>80</v>
      </c>
      <c r="AA56" s="11"/>
      <c r="AB56" s="11"/>
      <c r="AC56" s="11"/>
      <c r="AD56" s="11"/>
      <c r="AE56" s="12"/>
      <c r="AH56" s="7" t="s">
        <v>22</v>
      </c>
      <c r="AI56" s="10"/>
      <c r="AJ56" s="11"/>
      <c r="AK56" s="11"/>
      <c r="AL56" s="11"/>
      <c r="AM56" s="11"/>
      <c r="AN56" s="12"/>
    </row>
    <row r="57" spans="1:40" x14ac:dyDescent="0.25">
      <c r="J57" s="8"/>
      <c r="T57" s="8" t="s">
        <v>23</v>
      </c>
      <c r="U57" s="13">
        <f>SUM(K56:U56)</f>
        <v>943.89</v>
      </c>
      <c r="AD57" s="8" t="s">
        <v>23</v>
      </c>
      <c r="AE57" s="13">
        <f>SUM(Z56:AE56)</f>
        <v>80</v>
      </c>
      <c r="AM57" s="8" t="s">
        <v>23</v>
      </c>
      <c r="AN57" s="13">
        <f>SUM(AI56:AN56)</f>
        <v>0</v>
      </c>
    </row>
  </sheetData>
  <mergeCells count="72">
    <mergeCell ref="B54:H54"/>
    <mergeCell ref="J54:U54"/>
    <mergeCell ref="Y54:AE54"/>
    <mergeCell ref="AH54:AN54"/>
    <mergeCell ref="A55:A56"/>
    <mergeCell ref="B2:C2"/>
    <mergeCell ref="E2:F2"/>
    <mergeCell ref="B5:C5"/>
    <mergeCell ref="E5:F5"/>
    <mergeCell ref="A8:H8"/>
    <mergeCell ref="E3:F3"/>
    <mergeCell ref="B3:C3"/>
    <mergeCell ref="B4:C4"/>
    <mergeCell ref="E4:F4"/>
    <mergeCell ref="A15:A16"/>
    <mergeCell ref="Y8:AE8"/>
    <mergeCell ref="AH8:AN8"/>
    <mergeCell ref="B10:H10"/>
    <mergeCell ref="J10:U10"/>
    <mergeCell ref="Y10:AE10"/>
    <mergeCell ref="AH10:AN10"/>
    <mergeCell ref="J8:U8"/>
    <mergeCell ref="A11:A12"/>
    <mergeCell ref="B14:H14"/>
    <mergeCell ref="J14:U14"/>
    <mergeCell ref="Y14:AE14"/>
    <mergeCell ref="AH14:AN14"/>
    <mergeCell ref="A27:A28"/>
    <mergeCell ref="B18:H18"/>
    <mergeCell ref="J18:U18"/>
    <mergeCell ref="Y18:AE18"/>
    <mergeCell ref="AH18:AN18"/>
    <mergeCell ref="A19:A20"/>
    <mergeCell ref="B22:H22"/>
    <mergeCell ref="J22:U22"/>
    <mergeCell ref="Y22:AE22"/>
    <mergeCell ref="AH22:AN22"/>
    <mergeCell ref="A23:A24"/>
    <mergeCell ref="B26:H26"/>
    <mergeCell ref="J26:U26"/>
    <mergeCell ref="Y26:AE26"/>
    <mergeCell ref="AH26:AN26"/>
    <mergeCell ref="A39:A40"/>
    <mergeCell ref="B30:H30"/>
    <mergeCell ref="J30:U30"/>
    <mergeCell ref="Y30:AE30"/>
    <mergeCell ref="AH30:AN30"/>
    <mergeCell ref="A31:A32"/>
    <mergeCell ref="B34:H34"/>
    <mergeCell ref="J34:U34"/>
    <mergeCell ref="Y34:AE34"/>
    <mergeCell ref="AH34:AN34"/>
    <mergeCell ref="A35:A36"/>
    <mergeCell ref="B38:H38"/>
    <mergeCell ref="J38:U38"/>
    <mergeCell ref="Y38:AE38"/>
    <mergeCell ref="AH38:AN38"/>
    <mergeCell ref="A51:A52"/>
    <mergeCell ref="B42:H42"/>
    <mergeCell ref="J42:U42"/>
    <mergeCell ref="Y42:AE42"/>
    <mergeCell ref="AH42:AN42"/>
    <mergeCell ref="A43:A44"/>
    <mergeCell ref="B46:H46"/>
    <mergeCell ref="J46:U46"/>
    <mergeCell ref="Y46:AE46"/>
    <mergeCell ref="AH46:AN46"/>
    <mergeCell ref="A47:A48"/>
    <mergeCell ref="B50:H50"/>
    <mergeCell ref="J50:U50"/>
    <mergeCell ref="Y50:AE50"/>
    <mergeCell ref="AH50:AN50"/>
  </mergeCells>
  <phoneticPr fontId="3" type="noConversion"/>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AN56"/>
  <sheetViews>
    <sheetView showGridLines="0" topLeftCell="J25" workbookViewId="0">
      <selection activeCell="AB55" sqref="AB5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3" width="10.42578125" bestFit="1" customWidth="1"/>
    <col min="26" max="27" width="10.42578125" bestFit="1" customWidth="1"/>
    <col min="31" max="31" width="10.5703125" bestFit="1" customWidth="1"/>
    <col min="37" max="39" width="10.140625" bestFit="1" customWidth="1"/>
  </cols>
  <sheetData>
    <row r="2" spans="1:40" x14ac:dyDescent="0.25">
      <c r="A2" t="s">
        <v>0</v>
      </c>
      <c r="B2" s="107" t="s">
        <v>81</v>
      </c>
      <c r="C2" s="107"/>
      <c r="D2" s="1" t="s">
        <v>1</v>
      </c>
      <c r="E2" s="107" t="s">
        <v>130</v>
      </c>
      <c r="F2" s="107"/>
      <c r="H2" t="s">
        <v>45</v>
      </c>
      <c r="I2" s="54"/>
    </row>
    <row r="3" spans="1:40" x14ac:dyDescent="0.25">
      <c r="F3" s="1"/>
    </row>
    <row r="4" spans="1:40" x14ac:dyDescent="0.25">
      <c r="A4" t="s">
        <v>2</v>
      </c>
      <c r="B4" s="108"/>
      <c r="C4" s="108"/>
      <c r="D4" s="1" t="s">
        <v>29</v>
      </c>
      <c r="E4" s="107"/>
      <c r="F4" s="107"/>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10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10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10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10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10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10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100"/>
      <c r="B47" s="26">
        <v>8412</v>
      </c>
      <c r="C47" s="27">
        <v>9030</v>
      </c>
      <c r="D47" s="27">
        <v>9030</v>
      </c>
      <c r="E47" s="27">
        <v>10285</v>
      </c>
      <c r="F47" s="27">
        <f>SUM(C47-B47)</f>
        <v>618</v>
      </c>
      <c r="G47" s="20">
        <f>SUM(E47-D47)</f>
        <v>1255</v>
      </c>
      <c r="H47" s="21">
        <f>SUM(F47:G47)</f>
        <v>1873</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100"/>
      <c r="B51" s="26">
        <v>10285</v>
      </c>
      <c r="C51" s="27">
        <v>12886</v>
      </c>
      <c r="D51" s="27">
        <v>12941</v>
      </c>
      <c r="E51" s="27">
        <v>13395</v>
      </c>
      <c r="F51" s="27">
        <f>SUM(C51-B51)</f>
        <v>2601</v>
      </c>
      <c r="G51" s="20">
        <f>SUM(E51-D51)</f>
        <v>454</v>
      </c>
      <c r="H51" s="21">
        <f>SUM(F51:G51)</f>
        <v>3055</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row r="53" spans="1:40" ht="15.75" thickBot="1" x14ac:dyDescent="0.3">
      <c r="A53" s="19">
        <v>2025</v>
      </c>
      <c r="B53" s="101" t="s">
        <v>141</v>
      </c>
      <c r="C53" s="101"/>
      <c r="D53" s="101"/>
      <c r="E53" s="101"/>
      <c r="F53" s="101"/>
      <c r="G53" s="101"/>
      <c r="H53" s="101"/>
      <c r="J53" s="102" t="s">
        <v>141</v>
      </c>
      <c r="K53" s="102"/>
      <c r="L53" s="102"/>
      <c r="M53" s="102"/>
      <c r="N53" s="102"/>
      <c r="O53" s="102"/>
      <c r="P53" s="102"/>
      <c r="Q53" s="102"/>
      <c r="R53" s="102"/>
      <c r="S53" s="102"/>
      <c r="T53" s="102"/>
      <c r="U53" s="102"/>
      <c r="Y53" s="103" t="str">
        <f>J53</f>
        <v>Janeiro</v>
      </c>
      <c r="Z53" s="103"/>
      <c r="AA53" s="103"/>
      <c r="AB53" s="103"/>
      <c r="AC53" s="103"/>
      <c r="AD53" s="103"/>
      <c r="AE53" s="103"/>
      <c r="AH53" s="104" t="str">
        <f>Y53</f>
        <v>Janeiro</v>
      </c>
      <c r="AI53" s="104"/>
      <c r="AJ53" s="104"/>
      <c r="AK53" s="104"/>
      <c r="AL53" s="104"/>
      <c r="AM53" s="104"/>
      <c r="AN53" s="104"/>
    </row>
    <row r="54" spans="1:40" ht="15.75" thickBot="1" x14ac:dyDescent="0.3">
      <c r="A54" s="100" t="s">
        <v>5</v>
      </c>
      <c r="B54" s="34" t="s">
        <v>6</v>
      </c>
      <c r="C54" s="22" t="s">
        <v>7</v>
      </c>
      <c r="D54" s="33" t="s">
        <v>8</v>
      </c>
      <c r="E54" s="22" t="s">
        <v>9</v>
      </c>
      <c r="F54" s="24" t="s">
        <v>10</v>
      </c>
      <c r="G54" s="23" t="s">
        <v>11</v>
      </c>
      <c r="H54" s="25" t="s">
        <v>12</v>
      </c>
      <c r="J54" s="6" t="s">
        <v>4</v>
      </c>
      <c r="K54" s="9">
        <v>45665</v>
      </c>
      <c r="L54" s="66">
        <v>45668</v>
      </c>
      <c r="M54" s="66">
        <v>45672</v>
      </c>
      <c r="N54" s="4"/>
      <c r="O54" s="4"/>
      <c r="P54" s="4"/>
      <c r="Q54" s="4"/>
      <c r="R54" s="4"/>
      <c r="S54" s="4"/>
      <c r="T54" s="4"/>
      <c r="U54" s="5"/>
      <c r="Y54" s="6" t="s">
        <v>4</v>
      </c>
      <c r="Z54" s="9">
        <v>45675</v>
      </c>
      <c r="AA54" s="66">
        <v>45687</v>
      </c>
      <c r="AB54" s="4"/>
      <c r="AC54" s="4"/>
      <c r="AD54" s="4"/>
      <c r="AE54" s="5"/>
      <c r="AH54" s="6" t="s">
        <v>4</v>
      </c>
      <c r="AI54" s="9"/>
      <c r="AJ54" s="4"/>
      <c r="AK54" s="4"/>
      <c r="AL54" s="4"/>
      <c r="AM54" s="4"/>
      <c r="AN54" s="5"/>
    </row>
    <row r="55" spans="1:40" ht="15.75" thickBot="1" x14ac:dyDescent="0.3">
      <c r="A55" s="100"/>
      <c r="B55" s="26">
        <v>15308</v>
      </c>
      <c r="C55" s="27">
        <v>16482</v>
      </c>
      <c r="D55" s="27">
        <v>16482</v>
      </c>
      <c r="E55" s="27">
        <v>17856</v>
      </c>
      <c r="F55" s="27">
        <f>SUM(C55-B55)</f>
        <v>1174</v>
      </c>
      <c r="G55" s="20">
        <f>SUM(E55-D55)</f>
        <v>1374</v>
      </c>
      <c r="H55" s="21">
        <f>SUM(F55:G55)</f>
        <v>2548</v>
      </c>
      <c r="J55" s="7" t="s">
        <v>22</v>
      </c>
      <c r="K55" s="10">
        <v>227.61</v>
      </c>
      <c r="L55" s="11">
        <v>197.26</v>
      </c>
      <c r="M55" s="11">
        <v>245.76</v>
      </c>
      <c r="N55" s="11"/>
      <c r="O55" s="11"/>
      <c r="P55" s="11"/>
      <c r="Q55" s="11"/>
      <c r="R55" s="11"/>
      <c r="S55" s="11"/>
      <c r="T55" s="11"/>
      <c r="U55" s="12"/>
      <c r="Y55" s="7" t="s">
        <v>22</v>
      </c>
      <c r="Z55" s="10">
        <v>80</v>
      </c>
      <c r="AA55" s="11">
        <v>80</v>
      </c>
      <c r="AB55" s="11"/>
      <c r="AC55" s="11"/>
      <c r="AD55" s="11"/>
      <c r="AE55" s="12"/>
      <c r="AH55" s="7" t="s">
        <v>22</v>
      </c>
      <c r="AI55" s="10"/>
      <c r="AJ55" s="11"/>
      <c r="AK55" s="11"/>
      <c r="AL55" s="11"/>
      <c r="AM55" s="11"/>
      <c r="AN55" s="12"/>
    </row>
    <row r="56" spans="1:40" x14ac:dyDescent="0.25">
      <c r="J56" s="8"/>
      <c r="T56" s="8" t="s">
        <v>23</v>
      </c>
      <c r="U56" s="13">
        <f>SUM(K55:U55)</f>
        <v>670.63</v>
      </c>
      <c r="AD56" s="8" t="s">
        <v>23</v>
      </c>
      <c r="AE56" s="13">
        <f>SUM(Z55:AE55)</f>
        <v>160</v>
      </c>
      <c r="AM56" s="8" t="s">
        <v>23</v>
      </c>
      <c r="AN56" s="13">
        <f>SUM(AI55:AN55)</f>
        <v>0</v>
      </c>
    </row>
  </sheetData>
  <mergeCells count="68">
    <mergeCell ref="B53:H53"/>
    <mergeCell ref="J53:U53"/>
    <mergeCell ref="Y53:AE53"/>
    <mergeCell ref="AH53:AN53"/>
    <mergeCell ref="A54:A55"/>
    <mergeCell ref="B2:C2"/>
    <mergeCell ref="E2:F2"/>
    <mergeCell ref="B4:C4"/>
    <mergeCell ref="E4:F4"/>
    <mergeCell ref="A7:H7"/>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N52"/>
  <sheetViews>
    <sheetView showGridLines="0" topLeftCell="A34" workbookViewId="0">
      <selection activeCell="M48" sqref="M48"/>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8" width="10.42578125" bestFit="1" customWidth="1"/>
    <col min="21" max="21" width="12.140625" bestFit="1" customWidth="1"/>
    <col min="26" max="26" width="10.42578125" bestFit="1" customWidth="1"/>
    <col min="31" max="31" width="9.5703125" bestFit="1" customWidth="1"/>
    <col min="37" max="39" width="10.140625" bestFit="1" customWidth="1"/>
  </cols>
  <sheetData>
    <row r="2" spans="1:40" x14ac:dyDescent="0.25">
      <c r="A2" t="s">
        <v>0</v>
      </c>
      <c r="B2" s="107" t="s">
        <v>81</v>
      </c>
      <c r="C2" s="107"/>
      <c r="D2" s="1" t="s">
        <v>1</v>
      </c>
      <c r="E2" s="107" t="s">
        <v>90</v>
      </c>
      <c r="F2" s="107"/>
      <c r="H2" t="s">
        <v>45</v>
      </c>
      <c r="I2" s="54">
        <v>5325</v>
      </c>
    </row>
    <row r="3" spans="1:40" x14ac:dyDescent="0.25">
      <c r="F3" s="1"/>
    </row>
    <row r="4" spans="1:40" x14ac:dyDescent="0.25">
      <c r="A4" t="s">
        <v>2</v>
      </c>
      <c r="B4" s="108">
        <v>2363</v>
      </c>
      <c r="C4" s="108"/>
      <c r="D4" s="1" t="s">
        <v>29</v>
      </c>
      <c r="E4" s="107"/>
      <c r="F4" s="107"/>
      <c r="H4" t="s">
        <v>64</v>
      </c>
      <c r="I4" s="67">
        <v>45444</v>
      </c>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10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v>45447</v>
      </c>
      <c r="L26" s="66">
        <v>45450</v>
      </c>
      <c r="M26" s="66">
        <v>45455</v>
      </c>
      <c r="N26" s="66">
        <v>45461</v>
      </c>
      <c r="O26" s="66">
        <v>45464</v>
      </c>
      <c r="P26" s="66">
        <v>45469</v>
      </c>
      <c r="Q26" s="66">
        <v>45471</v>
      </c>
      <c r="R26" s="4"/>
      <c r="S26" s="4"/>
      <c r="T26" s="4"/>
      <c r="U26" s="5"/>
      <c r="Y26" s="6" t="s">
        <v>4</v>
      </c>
      <c r="Z26" s="9"/>
      <c r="AA26" s="4"/>
      <c r="AB26" s="4"/>
      <c r="AC26" s="4"/>
      <c r="AD26" s="4"/>
      <c r="AE26" s="5"/>
      <c r="AH26" s="6" t="s">
        <v>4</v>
      </c>
      <c r="AI26" s="9"/>
      <c r="AJ26" s="4"/>
      <c r="AK26" s="4"/>
      <c r="AL26" s="4"/>
      <c r="AM26" s="4"/>
      <c r="AN26" s="5"/>
    </row>
    <row r="27" spans="1:40" ht="15.75" thickBot="1" x14ac:dyDescent="0.3">
      <c r="A27" s="100"/>
      <c r="B27" s="26">
        <v>2586</v>
      </c>
      <c r="C27" s="27"/>
      <c r="D27" s="27"/>
      <c r="E27" s="27">
        <v>5198</v>
      </c>
      <c r="F27" s="27">
        <f>SUM(C27-B27)</f>
        <v>-2586</v>
      </c>
      <c r="G27" s="20">
        <f>SUM(E27-D27)</f>
        <v>5198</v>
      </c>
      <c r="H27" s="21">
        <f>SUM(F27:G27)</f>
        <v>2612</v>
      </c>
      <c r="J27" s="7" t="s">
        <v>22</v>
      </c>
      <c r="K27" s="10">
        <v>262.33</v>
      </c>
      <c r="L27" s="11">
        <v>106.84</v>
      </c>
      <c r="M27" s="11">
        <v>147.99</v>
      </c>
      <c r="N27" s="11">
        <v>100</v>
      </c>
      <c r="O27" s="11">
        <v>100</v>
      </c>
      <c r="P27" s="11">
        <v>150</v>
      </c>
      <c r="Q27" s="11">
        <v>120</v>
      </c>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987.16</v>
      </c>
      <c r="AD28" s="8" t="s">
        <v>23</v>
      </c>
      <c r="AE28" s="13">
        <f>SUM(Z27:AE27)</f>
        <v>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v>45475</v>
      </c>
      <c r="L30" s="66">
        <v>45478</v>
      </c>
      <c r="M30" s="66">
        <v>45483</v>
      </c>
      <c r="N30" s="66">
        <v>45489</v>
      </c>
      <c r="O30" s="66">
        <v>45494</v>
      </c>
      <c r="P30" s="66">
        <v>45499</v>
      </c>
      <c r="Q30" s="66">
        <v>45504</v>
      </c>
      <c r="R30" s="4"/>
      <c r="S30" s="4"/>
      <c r="T30" s="4"/>
      <c r="U30" s="5"/>
      <c r="Y30" s="6" t="s">
        <v>4</v>
      </c>
      <c r="Z30" s="9">
        <v>45485</v>
      </c>
      <c r="AA30" s="4"/>
      <c r="AB30" s="4"/>
      <c r="AC30" s="4"/>
      <c r="AD30" s="4"/>
      <c r="AE30" s="5"/>
      <c r="AH30" s="6" t="s">
        <v>4</v>
      </c>
      <c r="AI30" s="9"/>
      <c r="AJ30" s="4"/>
      <c r="AK30" s="4"/>
      <c r="AL30" s="4"/>
      <c r="AM30" s="4"/>
      <c r="AN30" s="5"/>
    </row>
    <row r="31" spans="1:40" ht="15.75" thickBot="1" x14ac:dyDescent="0.3">
      <c r="A31" s="100"/>
      <c r="B31" s="26">
        <v>5198</v>
      </c>
      <c r="C31" s="27"/>
      <c r="D31" s="27"/>
      <c r="E31" s="27">
        <v>8019</v>
      </c>
      <c r="F31" s="27">
        <f>SUM(C31-B31)</f>
        <v>-5198</v>
      </c>
      <c r="G31" s="20">
        <f>SUM(E31-D31)</f>
        <v>8019</v>
      </c>
      <c r="H31" s="21">
        <f>SUM(F31:G31)</f>
        <v>2821</v>
      </c>
      <c r="J31" s="7" t="s">
        <v>22</v>
      </c>
      <c r="K31" s="10">
        <v>171.5</v>
      </c>
      <c r="L31" s="11">
        <v>226.93</v>
      </c>
      <c r="M31" s="11">
        <v>179.33</v>
      </c>
      <c r="N31" s="11">
        <v>186.66</v>
      </c>
      <c r="O31" s="11">
        <v>180.74</v>
      </c>
      <c r="P31" s="11">
        <v>187.1</v>
      </c>
      <c r="Q31" s="11">
        <v>39</v>
      </c>
      <c r="R31" s="11"/>
      <c r="S31" s="11"/>
      <c r="T31" s="11"/>
      <c r="U31" s="12"/>
      <c r="Y31" s="7" t="s">
        <v>22</v>
      </c>
      <c r="Z31" s="10">
        <v>75</v>
      </c>
      <c r="AA31" s="11"/>
      <c r="AB31" s="11"/>
      <c r="AC31" s="11"/>
      <c r="AD31" s="11"/>
      <c r="AE31" s="12"/>
      <c r="AH31" s="7" t="s">
        <v>22</v>
      </c>
      <c r="AI31" s="10"/>
      <c r="AJ31" s="11"/>
      <c r="AK31" s="11"/>
      <c r="AL31" s="11"/>
      <c r="AM31" s="11"/>
      <c r="AN31" s="12"/>
    </row>
    <row r="32" spans="1:40" x14ac:dyDescent="0.25">
      <c r="J32" s="8"/>
      <c r="T32" s="8" t="s">
        <v>23</v>
      </c>
      <c r="U32" s="13">
        <f>SUM(K31:U31)</f>
        <v>1171.26</v>
      </c>
      <c r="AD32" s="8" t="s">
        <v>23</v>
      </c>
      <c r="AE32" s="13">
        <f>SUM(Z31:AE31)</f>
        <v>75</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v>45505</v>
      </c>
      <c r="L34" s="66">
        <v>45507</v>
      </c>
      <c r="M34" s="66">
        <v>45511</v>
      </c>
      <c r="N34" s="66">
        <v>45517</v>
      </c>
      <c r="O34" s="66">
        <v>45524</v>
      </c>
      <c r="P34" s="66">
        <v>45527</v>
      </c>
      <c r="Q34" s="66">
        <v>45534</v>
      </c>
      <c r="R34" s="4"/>
      <c r="S34" s="4"/>
      <c r="T34" s="4"/>
      <c r="U34" s="5"/>
      <c r="Y34" s="6" t="s">
        <v>4</v>
      </c>
      <c r="Z34" s="9">
        <v>45526</v>
      </c>
      <c r="AA34" s="4"/>
      <c r="AB34" s="4"/>
      <c r="AC34" s="4"/>
      <c r="AD34" s="4"/>
      <c r="AE34" s="5"/>
      <c r="AH34" s="6" t="s">
        <v>4</v>
      </c>
      <c r="AI34" s="9"/>
      <c r="AJ34" s="4"/>
      <c r="AK34" s="4"/>
      <c r="AL34" s="4"/>
      <c r="AM34" s="4"/>
      <c r="AN34" s="5"/>
    </row>
    <row r="35" spans="1:40" ht="15.75" thickBot="1" x14ac:dyDescent="0.3">
      <c r="A35" s="100"/>
      <c r="B35" s="26">
        <v>8019</v>
      </c>
      <c r="C35" s="27"/>
      <c r="D35" s="27"/>
      <c r="E35" s="27">
        <v>10615</v>
      </c>
      <c r="F35" s="27">
        <f>SUM(C35-B35)</f>
        <v>-8019</v>
      </c>
      <c r="G35" s="20">
        <f>SUM(E35-D35)</f>
        <v>10615</v>
      </c>
      <c r="H35" s="21">
        <f>SUM(F35:G35)</f>
        <v>2596</v>
      </c>
      <c r="J35" s="7" t="s">
        <v>22</v>
      </c>
      <c r="K35" s="10">
        <v>150.44999999999999</v>
      </c>
      <c r="L35" s="11">
        <v>135.26</v>
      </c>
      <c r="M35" s="11">
        <v>159.01</v>
      </c>
      <c r="N35" s="11">
        <v>182.67</v>
      </c>
      <c r="O35" s="11">
        <v>179.99</v>
      </c>
      <c r="P35" s="11">
        <v>175.64</v>
      </c>
      <c r="Q35" s="11">
        <v>180.78</v>
      </c>
      <c r="R35" s="11"/>
      <c r="S35" s="11"/>
      <c r="T35" s="11"/>
      <c r="U35" s="12"/>
      <c r="Y35" s="7" t="s">
        <v>22</v>
      </c>
      <c r="Z35" s="10">
        <v>75</v>
      </c>
      <c r="AA35" s="11"/>
      <c r="AB35" s="11"/>
      <c r="AC35" s="11"/>
      <c r="AD35" s="11"/>
      <c r="AE35" s="12"/>
      <c r="AH35" s="7" t="s">
        <v>22</v>
      </c>
      <c r="AI35" s="10"/>
      <c r="AJ35" s="11"/>
      <c r="AK35" s="11"/>
      <c r="AL35" s="11"/>
      <c r="AM35" s="11"/>
      <c r="AN35" s="12"/>
    </row>
    <row r="36" spans="1:40" x14ac:dyDescent="0.25">
      <c r="J36" s="8"/>
      <c r="T36" s="8" t="s">
        <v>23</v>
      </c>
      <c r="U36" s="13">
        <f>SUM(K35:U35)</f>
        <v>1163.8</v>
      </c>
      <c r="AD36" s="8" t="s">
        <v>23</v>
      </c>
      <c r="AE36" s="13">
        <f>SUM(Z35:AE35)</f>
        <v>75</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v>45538</v>
      </c>
      <c r="L38" s="66">
        <v>45541</v>
      </c>
      <c r="M38" s="66">
        <v>45545</v>
      </c>
      <c r="N38" s="66">
        <v>45549</v>
      </c>
      <c r="O38" s="66">
        <v>45554</v>
      </c>
      <c r="P38" s="66">
        <v>45560</v>
      </c>
      <c r="Q38" s="4"/>
      <c r="R38" s="4"/>
      <c r="S38" s="4"/>
      <c r="T38" s="4"/>
      <c r="U38" s="5"/>
      <c r="Y38" s="6" t="s">
        <v>4</v>
      </c>
      <c r="Z38" s="9">
        <v>45555</v>
      </c>
      <c r="AA38" s="4"/>
      <c r="AB38" s="4"/>
      <c r="AC38" s="4"/>
      <c r="AD38" s="4"/>
      <c r="AE38" s="5"/>
      <c r="AH38" s="6" t="s">
        <v>4</v>
      </c>
      <c r="AI38" s="9"/>
      <c r="AJ38" s="4"/>
      <c r="AK38" s="4"/>
      <c r="AL38" s="4"/>
      <c r="AM38" s="4"/>
      <c r="AN38" s="5"/>
    </row>
    <row r="39" spans="1:40" ht="15.75" thickBot="1" x14ac:dyDescent="0.3">
      <c r="A39" s="100"/>
      <c r="B39" s="26">
        <v>10615</v>
      </c>
      <c r="C39" s="27"/>
      <c r="D39" s="27"/>
      <c r="E39" s="27">
        <v>13405</v>
      </c>
      <c r="F39" s="27">
        <f>SUM(C39-B39)</f>
        <v>-10615</v>
      </c>
      <c r="G39" s="20">
        <f>SUM(E39-D39)</f>
        <v>13405</v>
      </c>
      <c r="H39" s="21">
        <f>SUM(F39:G39)</f>
        <v>2790</v>
      </c>
      <c r="J39" s="7" t="s">
        <v>22</v>
      </c>
      <c r="K39" s="10">
        <v>190.48</v>
      </c>
      <c r="L39" s="11">
        <v>199.88</v>
      </c>
      <c r="M39" s="11">
        <v>176.13</v>
      </c>
      <c r="N39" s="11">
        <v>191.14</v>
      </c>
      <c r="O39" s="11">
        <v>190.96</v>
      </c>
      <c r="P39" s="11">
        <v>183.02</v>
      </c>
      <c r="Q39" s="11"/>
      <c r="R39" s="11"/>
      <c r="S39" s="11"/>
      <c r="T39" s="11"/>
      <c r="U39" s="12"/>
      <c r="Y39" s="7" t="s">
        <v>22</v>
      </c>
      <c r="Z39" s="10">
        <v>75</v>
      </c>
      <c r="AA39" s="11"/>
      <c r="AB39" s="11"/>
      <c r="AC39" s="11"/>
      <c r="AD39" s="11"/>
      <c r="AE39" s="12"/>
      <c r="AH39" s="7" t="s">
        <v>22</v>
      </c>
      <c r="AI39" s="10"/>
      <c r="AJ39" s="11"/>
      <c r="AK39" s="11"/>
      <c r="AL39" s="11"/>
      <c r="AM39" s="11"/>
      <c r="AN39" s="12"/>
    </row>
    <row r="40" spans="1:40" x14ac:dyDescent="0.25">
      <c r="J40" s="8"/>
      <c r="T40" s="8" t="s">
        <v>23</v>
      </c>
      <c r="U40" s="13">
        <f>SUM(K39:U39)</f>
        <v>1131.6100000000001</v>
      </c>
      <c r="AD40" s="8" t="s">
        <v>23</v>
      </c>
      <c r="AE40" s="13">
        <f>SUM(Z39:AE39)</f>
        <v>75</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34" t="s">
        <v>6</v>
      </c>
      <c r="C42" s="22" t="s">
        <v>7</v>
      </c>
      <c r="D42" s="33" t="s">
        <v>8</v>
      </c>
      <c r="E42" s="22" t="s">
        <v>9</v>
      </c>
      <c r="F42" s="24" t="s">
        <v>10</v>
      </c>
      <c r="G42" s="23" t="s">
        <v>11</v>
      </c>
      <c r="H42" s="25" t="s">
        <v>12</v>
      </c>
      <c r="J42" s="6" t="s">
        <v>4</v>
      </c>
      <c r="K42" s="9">
        <v>45566</v>
      </c>
      <c r="L42" s="66">
        <v>45570</v>
      </c>
      <c r="M42" s="66">
        <v>45575</v>
      </c>
      <c r="N42" s="66">
        <v>45594</v>
      </c>
      <c r="O42" s="66">
        <v>45589</v>
      </c>
      <c r="P42" s="66">
        <v>45588</v>
      </c>
      <c r="Q42" s="66">
        <v>45584</v>
      </c>
      <c r="R42" s="66">
        <v>45580</v>
      </c>
      <c r="S42" s="4"/>
      <c r="T42" s="4"/>
      <c r="U42" s="5"/>
      <c r="Y42" s="6" t="s">
        <v>4</v>
      </c>
      <c r="Z42" s="9">
        <v>45573</v>
      </c>
      <c r="AA42" s="4"/>
      <c r="AB42" s="4"/>
      <c r="AC42" s="4"/>
      <c r="AD42" s="4"/>
      <c r="AE42" s="5"/>
      <c r="AH42" s="6" t="s">
        <v>4</v>
      </c>
      <c r="AI42" s="9"/>
      <c r="AJ42" s="4"/>
      <c r="AK42" s="4"/>
      <c r="AL42" s="4"/>
      <c r="AM42" s="4"/>
      <c r="AN42" s="5"/>
    </row>
    <row r="43" spans="1:40" ht="15.75" thickBot="1" x14ac:dyDescent="0.3">
      <c r="A43" s="100"/>
      <c r="B43" s="26">
        <v>13405</v>
      </c>
      <c r="C43" s="27"/>
      <c r="D43" s="27"/>
      <c r="E43" s="27">
        <v>16499</v>
      </c>
      <c r="F43" s="27">
        <f>SUM(C43-B43)</f>
        <v>-13405</v>
      </c>
      <c r="G43" s="20">
        <f>SUM(E43-D43)</f>
        <v>16499</v>
      </c>
      <c r="H43" s="21">
        <f>SUM(F43:G43)</f>
        <v>3094</v>
      </c>
      <c r="J43" s="7" t="s">
        <v>22</v>
      </c>
      <c r="K43" s="10">
        <v>185.7</v>
      </c>
      <c r="L43" s="11">
        <v>192.76</v>
      </c>
      <c r="M43" s="11">
        <v>196.5</v>
      </c>
      <c r="N43" s="11">
        <v>218.47</v>
      </c>
      <c r="O43" s="11">
        <v>144.87</v>
      </c>
      <c r="P43" s="11">
        <v>104.09</v>
      </c>
      <c r="Q43" s="11">
        <v>193.81</v>
      </c>
      <c r="R43" s="11">
        <v>181.18</v>
      </c>
      <c r="S43" s="11"/>
      <c r="T43" s="11"/>
      <c r="U43" s="12"/>
      <c r="Y43" s="7" t="s">
        <v>22</v>
      </c>
      <c r="Z43" s="10">
        <v>75</v>
      </c>
      <c r="AA43" s="11"/>
      <c r="AB43" s="11"/>
      <c r="AC43" s="11"/>
      <c r="AD43" s="11"/>
      <c r="AE43" s="12"/>
      <c r="AH43" s="7" t="s">
        <v>22</v>
      </c>
      <c r="AI43" s="10"/>
      <c r="AJ43" s="11"/>
      <c r="AK43" s="11"/>
      <c r="AL43" s="11"/>
      <c r="AM43" s="11"/>
      <c r="AN43" s="12"/>
    </row>
    <row r="44" spans="1:40" x14ac:dyDescent="0.25">
      <c r="J44" s="8"/>
      <c r="T44" s="8" t="s">
        <v>23</v>
      </c>
      <c r="U44" s="13">
        <f>SUM(K43:U43)</f>
        <v>1417.38</v>
      </c>
      <c r="AD44" s="8" t="s">
        <v>23</v>
      </c>
      <c r="AE44" s="13">
        <f>SUM(Z43:AE43)</f>
        <v>75</v>
      </c>
      <c r="AM44" s="8" t="s">
        <v>23</v>
      </c>
      <c r="AN44" s="13">
        <f>SUM(AI43:AN43)</f>
        <v>0</v>
      </c>
    </row>
    <row r="45" spans="1:40"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v>45597</v>
      </c>
      <c r="L46" s="66">
        <v>45603</v>
      </c>
      <c r="M46" s="66">
        <v>45604</v>
      </c>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100"/>
      <c r="B47" s="26"/>
      <c r="C47" s="27"/>
      <c r="D47" s="27"/>
      <c r="E47" s="27"/>
      <c r="F47" s="27">
        <f>SUM(C47-B47)</f>
        <v>0</v>
      </c>
      <c r="G47" s="20">
        <f>SUM(E47-D47)</f>
        <v>0</v>
      </c>
      <c r="H47" s="21">
        <f>SUM(F47:G47)</f>
        <v>0</v>
      </c>
      <c r="J47" s="7" t="s">
        <v>22</v>
      </c>
      <c r="K47" s="10">
        <v>161.11000000000001</v>
      </c>
      <c r="L47" s="11">
        <v>277.64999999999998</v>
      </c>
      <c r="M47" s="11">
        <v>66.599999999999994</v>
      </c>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505.36</v>
      </c>
      <c r="AD48" s="8" t="s">
        <v>23</v>
      </c>
      <c r="AE48" s="13">
        <f>SUM(Z47:AE47)</f>
        <v>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10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B2:C2"/>
    <mergeCell ref="E2:F2"/>
    <mergeCell ref="B4:C4"/>
    <mergeCell ref="E4:F4"/>
    <mergeCell ref="A7:H7"/>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K52"/>
  <sheetViews>
    <sheetView showGridLines="0" workbookViewId="0">
      <selection activeCell="U36" sqref="U3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7109375" customWidth="1"/>
    <col min="10" max="10" width="13.42578125" bestFit="1" customWidth="1"/>
    <col min="11" max="11" width="10.42578125" bestFit="1" customWidth="1"/>
    <col min="12" max="12" width="10.7109375" bestFit="1" customWidth="1"/>
    <col min="13" max="16" width="10.42578125" bestFit="1" customWidth="1"/>
    <col min="21" max="21" width="12.140625" bestFit="1" customWidth="1"/>
    <col min="24" max="25" width="10.42578125" bestFit="1" customWidth="1"/>
    <col min="29" max="29" width="15.85546875" bestFit="1" customWidth="1"/>
    <col min="32" max="32" width="10.42578125" bestFit="1" customWidth="1"/>
    <col min="34" max="36" width="10.140625" bestFit="1" customWidth="1"/>
    <col min="37" max="37" width="10.5703125" bestFit="1" customWidth="1"/>
  </cols>
  <sheetData>
    <row r="2" spans="1:37" x14ac:dyDescent="0.25">
      <c r="A2" t="s">
        <v>0</v>
      </c>
      <c r="B2" s="107" t="s">
        <v>60</v>
      </c>
      <c r="C2" s="107"/>
      <c r="D2" s="1" t="s">
        <v>1</v>
      </c>
      <c r="E2" s="107" t="s">
        <v>62</v>
      </c>
      <c r="F2" s="107"/>
      <c r="H2" t="s">
        <v>45</v>
      </c>
      <c r="I2" s="54">
        <v>5200</v>
      </c>
    </row>
    <row r="3" spans="1:37" x14ac:dyDescent="0.25">
      <c r="F3" s="1"/>
    </row>
    <row r="4" spans="1:37" x14ac:dyDescent="0.25">
      <c r="A4" t="s">
        <v>2</v>
      </c>
      <c r="B4" s="108">
        <v>2363</v>
      </c>
      <c r="C4" s="108"/>
      <c r="D4" s="1" t="s">
        <v>29</v>
      </c>
      <c r="E4" s="107">
        <v>40</v>
      </c>
      <c r="F4" s="107"/>
      <c r="H4" t="s">
        <v>64</v>
      </c>
      <c r="I4" s="67">
        <v>45337</v>
      </c>
    </row>
    <row r="7" spans="1:37"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105" t="s">
        <v>25</v>
      </c>
      <c r="X7" s="105"/>
      <c r="Y7" s="105"/>
      <c r="Z7" s="105"/>
      <c r="AA7" s="105"/>
      <c r="AB7" s="105"/>
      <c r="AC7" s="105"/>
      <c r="AD7" s="2"/>
      <c r="AE7" s="105" t="s">
        <v>27</v>
      </c>
      <c r="AF7" s="105"/>
      <c r="AG7" s="105"/>
      <c r="AH7" s="105"/>
      <c r="AI7" s="105"/>
      <c r="AJ7" s="105"/>
      <c r="AK7" s="105"/>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101" t="s">
        <v>3</v>
      </c>
      <c r="C9" s="101"/>
      <c r="D9" s="101"/>
      <c r="E9" s="101"/>
      <c r="F9" s="101"/>
      <c r="G9" s="101"/>
      <c r="H9" s="101"/>
      <c r="J9" s="102" t="s">
        <v>3</v>
      </c>
      <c r="K9" s="102"/>
      <c r="L9" s="102"/>
      <c r="M9" s="102"/>
      <c r="N9" s="102"/>
      <c r="O9" s="102"/>
      <c r="P9" s="102"/>
      <c r="Q9" s="102"/>
      <c r="R9" s="102"/>
      <c r="S9" s="102"/>
      <c r="T9" s="102"/>
      <c r="U9" s="102"/>
      <c r="W9" s="103" t="s">
        <v>3</v>
      </c>
      <c r="X9" s="103"/>
      <c r="Y9" s="103"/>
      <c r="Z9" s="103"/>
      <c r="AA9" s="103"/>
      <c r="AB9" s="103"/>
      <c r="AC9" s="103"/>
      <c r="AE9" s="104" t="s">
        <v>3</v>
      </c>
      <c r="AF9" s="104"/>
      <c r="AG9" s="104"/>
      <c r="AH9" s="104"/>
      <c r="AI9" s="104"/>
      <c r="AJ9" s="104"/>
      <c r="AK9" s="104"/>
    </row>
    <row r="10" spans="1:37" ht="15.75" thickBot="1" x14ac:dyDescent="0.3">
      <c r="A10" s="100" t="s">
        <v>5</v>
      </c>
      <c r="B10" s="34" t="s">
        <v>6</v>
      </c>
      <c r="C10" s="22" t="s">
        <v>7</v>
      </c>
      <c r="D10" s="33" t="s">
        <v>8</v>
      </c>
      <c r="E10" s="22" t="s">
        <v>9</v>
      </c>
      <c r="F10" s="24" t="s">
        <v>10</v>
      </c>
      <c r="G10" s="23" t="s">
        <v>11</v>
      </c>
      <c r="H10" s="25" t="s">
        <v>12</v>
      </c>
      <c r="J10" s="28" t="s">
        <v>4</v>
      </c>
      <c r="K10" s="9">
        <v>45342</v>
      </c>
      <c r="L10" s="66">
        <v>45346</v>
      </c>
      <c r="M10" s="66">
        <v>45351</v>
      </c>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100"/>
      <c r="B11" s="26">
        <v>6815</v>
      </c>
      <c r="C11" s="27"/>
      <c r="D11" s="27"/>
      <c r="E11" s="27">
        <v>8033</v>
      </c>
      <c r="F11" s="27">
        <f>SUM(C11-B11)</f>
        <v>-6815</v>
      </c>
      <c r="G11" s="20">
        <f>SUM(E11-D11)</f>
        <v>8033</v>
      </c>
      <c r="H11" s="21">
        <f>SUM(F11:G11)</f>
        <v>1218</v>
      </c>
      <c r="J11" s="29" t="s">
        <v>22</v>
      </c>
      <c r="K11" s="10">
        <v>212.88</v>
      </c>
      <c r="L11" s="11">
        <v>175.75</v>
      </c>
      <c r="M11" s="11">
        <v>222.11</v>
      </c>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610.74</v>
      </c>
      <c r="AB12" s="8" t="s">
        <v>23</v>
      </c>
      <c r="AC12" s="13">
        <f>SUM(X11:AC11)</f>
        <v>0</v>
      </c>
      <c r="AJ12" s="8" t="s">
        <v>23</v>
      </c>
      <c r="AK12" s="13">
        <f>SUM(AF11:AK11)</f>
        <v>0</v>
      </c>
    </row>
    <row r="13" spans="1:37"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W13" s="103" t="str">
        <f>J13</f>
        <v>Março</v>
      </c>
      <c r="X13" s="103"/>
      <c r="Y13" s="103"/>
      <c r="Z13" s="103"/>
      <c r="AA13" s="103"/>
      <c r="AB13" s="103"/>
      <c r="AC13" s="103"/>
      <c r="AE13" s="104" t="str">
        <f>W13</f>
        <v>Março</v>
      </c>
      <c r="AF13" s="104"/>
      <c r="AG13" s="104"/>
      <c r="AH13" s="104"/>
      <c r="AI13" s="104"/>
      <c r="AJ13" s="104"/>
      <c r="AK13" s="104"/>
    </row>
    <row r="14" spans="1:37" ht="15.75" thickBot="1" x14ac:dyDescent="0.3">
      <c r="A14" s="100" t="s">
        <v>5</v>
      </c>
      <c r="B14" s="34" t="s">
        <v>6</v>
      </c>
      <c r="C14" s="22" t="s">
        <v>7</v>
      </c>
      <c r="D14" s="33" t="s">
        <v>8</v>
      </c>
      <c r="E14" s="22" t="s">
        <v>9</v>
      </c>
      <c r="F14" s="24" t="s">
        <v>10</v>
      </c>
      <c r="G14" s="23" t="s">
        <v>11</v>
      </c>
      <c r="H14" s="25" t="s">
        <v>12</v>
      </c>
      <c r="J14" s="6" t="s">
        <v>4</v>
      </c>
      <c r="K14" s="9">
        <v>45358</v>
      </c>
      <c r="L14" s="66">
        <v>45366</v>
      </c>
      <c r="M14" s="66">
        <v>45372</v>
      </c>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100"/>
      <c r="B15" s="26">
        <v>8033</v>
      </c>
      <c r="C15" s="27"/>
      <c r="D15" s="27"/>
      <c r="E15" s="27">
        <v>10312</v>
      </c>
      <c r="F15" s="27">
        <f>SUM(C15-B15)</f>
        <v>-8033</v>
      </c>
      <c r="G15" s="20">
        <f>SUM(E15-D15)</f>
        <v>10312</v>
      </c>
      <c r="H15" s="21">
        <f>SUM(F15:G15)</f>
        <v>2279</v>
      </c>
      <c r="J15" s="7" t="s">
        <v>22</v>
      </c>
      <c r="K15" s="10">
        <v>228.58</v>
      </c>
      <c r="L15" s="11">
        <v>213.18</v>
      </c>
      <c r="M15" s="11">
        <v>264.7</v>
      </c>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706.46</v>
      </c>
      <c r="AB16" s="8" t="s">
        <v>23</v>
      </c>
      <c r="AC16" s="13">
        <f>SUM(X15:AC15)</f>
        <v>0</v>
      </c>
      <c r="AJ16" s="8" t="s">
        <v>23</v>
      </c>
      <c r="AK16" s="13">
        <f>SUM(AF15:AK15)</f>
        <v>0</v>
      </c>
    </row>
    <row r="17" spans="1:37"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W17" s="103" t="str">
        <f>J17</f>
        <v>Abril</v>
      </c>
      <c r="X17" s="103"/>
      <c r="Y17" s="103"/>
      <c r="Z17" s="103"/>
      <c r="AA17" s="103"/>
      <c r="AB17" s="103"/>
      <c r="AC17" s="103"/>
      <c r="AE17" s="104" t="str">
        <f>W17</f>
        <v>Abril</v>
      </c>
      <c r="AF17" s="104"/>
      <c r="AG17" s="104"/>
      <c r="AH17" s="104"/>
      <c r="AI17" s="104"/>
      <c r="AJ17" s="104"/>
      <c r="AK17" s="104"/>
    </row>
    <row r="18" spans="1:37" ht="15.75" thickBot="1" x14ac:dyDescent="0.3">
      <c r="A18" s="100" t="s">
        <v>5</v>
      </c>
      <c r="B18" s="34" t="s">
        <v>6</v>
      </c>
      <c r="C18" s="22" t="s">
        <v>7</v>
      </c>
      <c r="D18" s="33" t="s">
        <v>8</v>
      </c>
      <c r="E18" s="22" t="s">
        <v>9</v>
      </c>
      <c r="F18" s="24" t="s">
        <v>10</v>
      </c>
      <c r="G18" s="23" t="s">
        <v>11</v>
      </c>
      <c r="H18" s="25" t="s">
        <v>12</v>
      </c>
      <c r="J18" s="6" t="s">
        <v>4</v>
      </c>
      <c r="K18" s="9">
        <v>45387</v>
      </c>
      <c r="L18" s="66">
        <v>45394</v>
      </c>
      <c r="M18" s="66">
        <v>45399</v>
      </c>
      <c r="N18" s="66">
        <v>45402</v>
      </c>
      <c r="O18" s="66">
        <v>45409</v>
      </c>
      <c r="P18" s="66">
        <v>45383</v>
      </c>
      <c r="Q18" s="4"/>
      <c r="R18" s="4"/>
      <c r="S18" s="4"/>
      <c r="T18" s="4"/>
      <c r="U18" s="5"/>
      <c r="W18" s="6" t="s">
        <v>4</v>
      </c>
      <c r="X18" s="9">
        <v>45397</v>
      </c>
      <c r="Y18" s="4"/>
      <c r="Z18" s="4"/>
      <c r="AA18" s="4"/>
      <c r="AB18" s="4"/>
      <c r="AC18" s="5"/>
      <c r="AE18" s="6" t="s">
        <v>4</v>
      </c>
      <c r="AF18" s="9">
        <v>45391</v>
      </c>
      <c r="AG18" s="4"/>
      <c r="AH18" s="4"/>
      <c r="AI18" s="4"/>
      <c r="AJ18" s="4"/>
      <c r="AK18" s="5"/>
    </row>
    <row r="19" spans="1:37" ht="15.75" thickBot="1" x14ac:dyDescent="0.3">
      <c r="A19" s="100"/>
      <c r="B19" s="26">
        <v>10312</v>
      </c>
      <c r="C19" s="27"/>
      <c r="D19" s="27"/>
      <c r="E19" s="27">
        <v>12940</v>
      </c>
      <c r="F19" s="27">
        <f>SUM(C19-B19)</f>
        <v>-10312</v>
      </c>
      <c r="G19" s="20">
        <f>SUM(E19-D19)</f>
        <v>12940</v>
      </c>
      <c r="H19" s="21">
        <f>SUM(F19:G19)</f>
        <v>2628</v>
      </c>
      <c r="J19" s="7" t="s">
        <v>22</v>
      </c>
      <c r="K19" s="30">
        <v>190.9</v>
      </c>
      <c r="L19" s="31">
        <v>156.16</v>
      </c>
      <c r="M19" s="31">
        <v>220.01</v>
      </c>
      <c r="N19" s="31">
        <v>191.68</v>
      </c>
      <c r="O19" s="31">
        <v>241.46</v>
      </c>
      <c r="P19" s="31">
        <v>242.77</v>
      </c>
      <c r="Q19" s="31"/>
      <c r="R19" s="31"/>
      <c r="S19" s="31"/>
      <c r="T19" s="31"/>
      <c r="U19" s="32"/>
      <c r="W19" s="7" t="s">
        <v>22</v>
      </c>
      <c r="X19" s="10">
        <v>80</v>
      </c>
      <c r="Y19" s="11"/>
      <c r="Z19" s="11"/>
      <c r="AA19" s="11"/>
      <c r="AB19" s="11"/>
      <c r="AC19" s="12"/>
      <c r="AE19" s="7" t="s">
        <v>22</v>
      </c>
      <c r="AF19" s="10">
        <v>30</v>
      </c>
      <c r="AG19" s="11"/>
      <c r="AH19" s="11"/>
      <c r="AI19" s="11"/>
      <c r="AJ19" s="11"/>
      <c r="AK19" s="12"/>
    </row>
    <row r="20" spans="1:37" x14ac:dyDescent="0.25">
      <c r="J20" s="8"/>
      <c r="T20" s="8" t="s">
        <v>23</v>
      </c>
      <c r="U20" s="13">
        <f>SUM(K19:U19)</f>
        <v>1242.98</v>
      </c>
      <c r="AB20" s="8" t="s">
        <v>23</v>
      </c>
      <c r="AC20" s="13">
        <f>SUM(X19:AC19)</f>
        <v>80</v>
      </c>
      <c r="AJ20" s="8" t="s">
        <v>23</v>
      </c>
      <c r="AK20" s="13">
        <f>SUM(AF19:AK19)</f>
        <v>30</v>
      </c>
    </row>
    <row r="21" spans="1:37"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W21" s="103" t="str">
        <f>J21</f>
        <v>Maio</v>
      </c>
      <c r="X21" s="103"/>
      <c r="Y21" s="103"/>
      <c r="Z21" s="103"/>
      <c r="AA21" s="103"/>
      <c r="AB21" s="103"/>
      <c r="AC21" s="103"/>
      <c r="AE21" s="104" t="str">
        <f>W21</f>
        <v>Maio</v>
      </c>
      <c r="AF21" s="104"/>
      <c r="AG21" s="104"/>
      <c r="AH21" s="104"/>
      <c r="AI21" s="104"/>
      <c r="AJ21" s="104"/>
      <c r="AK21" s="104"/>
    </row>
    <row r="22" spans="1:37" ht="15.75" thickBot="1" x14ac:dyDescent="0.3">
      <c r="A22" s="100" t="s">
        <v>5</v>
      </c>
      <c r="B22" s="34" t="s">
        <v>6</v>
      </c>
      <c r="C22" s="22" t="s">
        <v>7</v>
      </c>
      <c r="D22" s="33" t="s">
        <v>8</v>
      </c>
      <c r="E22" s="22" t="s">
        <v>9</v>
      </c>
      <c r="F22" s="24" t="s">
        <v>10</v>
      </c>
      <c r="G22" s="23" t="s">
        <v>11</v>
      </c>
      <c r="H22" s="25" t="s">
        <v>12</v>
      </c>
      <c r="J22" s="6" t="s">
        <v>4</v>
      </c>
      <c r="K22" s="9">
        <v>45416</v>
      </c>
      <c r="L22" s="66">
        <v>45419</v>
      </c>
      <c r="M22" s="66">
        <v>45427</v>
      </c>
      <c r="N22" s="66">
        <v>45430</v>
      </c>
      <c r="O22" s="66">
        <v>45436</v>
      </c>
      <c r="P22" s="66">
        <v>45441</v>
      </c>
      <c r="Q22" s="4"/>
      <c r="R22" s="4"/>
      <c r="S22" s="4"/>
      <c r="T22" s="4"/>
      <c r="U22" s="5"/>
      <c r="W22" s="6" t="s">
        <v>4</v>
      </c>
      <c r="X22" s="9">
        <v>45430</v>
      </c>
      <c r="Y22" s="66">
        <v>45416</v>
      </c>
      <c r="Z22" s="4"/>
      <c r="AA22" s="4"/>
      <c r="AB22" s="4"/>
      <c r="AC22" s="5"/>
      <c r="AE22" s="6" t="s">
        <v>4</v>
      </c>
      <c r="AF22" s="9"/>
      <c r="AG22" s="4"/>
      <c r="AH22" s="4"/>
      <c r="AI22" s="4"/>
      <c r="AJ22" s="4"/>
      <c r="AK22" s="5"/>
    </row>
    <row r="23" spans="1:37" ht="15.75" thickBot="1" x14ac:dyDescent="0.3">
      <c r="A23" s="100"/>
      <c r="B23" s="26">
        <v>12940</v>
      </c>
      <c r="C23" s="27"/>
      <c r="D23" s="27"/>
      <c r="E23" s="27">
        <v>16110</v>
      </c>
      <c r="F23" s="27">
        <f>SUM(C23-B23)</f>
        <v>-12940</v>
      </c>
      <c r="G23" s="20">
        <f>SUM(E23-D23)</f>
        <v>16110</v>
      </c>
      <c r="H23" s="21">
        <f>SUM(F23:G23)</f>
        <v>3170</v>
      </c>
      <c r="J23" s="7" t="s">
        <v>22</v>
      </c>
      <c r="K23" s="10">
        <v>247.81</v>
      </c>
      <c r="L23" s="11">
        <v>227.62</v>
      </c>
      <c r="M23" s="11">
        <v>250.26</v>
      </c>
      <c r="N23" s="11">
        <v>144.66</v>
      </c>
      <c r="O23" s="11">
        <v>202.52</v>
      </c>
      <c r="P23" s="11">
        <v>228.04</v>
      </c>
      <c r="Q23" s="11"/>
      <c r="R23" s="11"/>
      <c r="S23" s="11"/>
      <c r="T23" s="11"/>
      <c r="U23" s="12"/>
      <c r="W23" s="7" t="s">
        <v>22</v>
      </c>
      <c r="X23" s="10">
        <v>80</v>
      </c>
      <c r="Y23" s="11">
        <v>80</v>
      </c>
      <c r="Z23" s="11"/>
      <c r="AA23" s="11"/>
      <c r="AB23" s="11"/>
      <c r="AC23" s="12"/>
      <c r="AE23" s="7" t="s">
        <v>22</v>
      </c>
      <c r="AF23" s="10"/>
      <c r="AG23" s="11"/>
      <c r="AH23" s="11"/>
      <c r="AI23" s="11"/>
      <c r="AJ23" s="11"/>
      <c r="AK23" s="12"/>
    </row>
    <row r="24" spans="1:37" x14ac:dyDescent="0.25">
      <c r="J24" s="8"/>
      <c r="T24" s="8" t="s">
        <v>23</v>
      </c>
      <c r="U24" s="13">
        <f>SUM(K23:U23)</f>
        <v>1300.9100000000001</v>
      </c>
      <c r="AB24" s="8" t="s">
        <v>23</v>
      </c>
      <c r="AC24" s="13">
        <f>SUM(X23:AC23)</f>
        <v>160</v>
      </c>
      <c r="AJ24" s="8" t="s">
        <v>23</v>
      </c>
      <c r="AK24" s="13">
        <f>SUM(AF23:AK23)</f>
        <v>0</v>
      </c>
    </row>
    <row r="25" spans="1:37"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W25" s="103" t="str">
        <f>J25</f>
        <v>Junho</v>
      </c>
      <c r="X25" s="103"/>
      <c r="Y25" s="103"/>
      <c r="Z25" s="103"/>
      <c r="AA25" s="103"/>
      <c r="AB25" s="103"/>
      <c r="AC25" s="103"/>
      <c r="AE25" s="104" t="str">
        <f>W25</f>
        <v>Junho</v>
      </c>
      <c r="AF25" s="104"/>
      <c r="AG25" s="104"/>
      <c r="AH25" s="104"/>
      <c r="AI25" s="104"/>
      <c r="AJ25" s="104"/>
      <c r="AK25" s="104"/>
    </row>
    <row r="26" spans="1:37" ht="15.75" thickBot="1" x14ac:dyDescent="0.3">
      <c r="A26" s="100" t="s">
        <v>5</v>
      </c>
      <c r="B26" s="34" t="s">
        <v>6</v>
      </c>
      <c r="C26" s="22" t="s">
        <v>7</v>
      </c>
      <c r="D26" s="33" t="s">
        <v>8</v>
      </c>
      <c r="E26" s="22" t="s">
        <v>9</v>
      </c>
      <c r="F26" s="24" t="s">
        <v>10</v>
      </c>
      <c r="G26" s="23" t="s">
        <v>11</v>
      </c>
      <c r="H26" s="25" t="s">
        <v>12</v>
      </c>
      <c r="J26" s="6" t="s">
        <v>4</v>
      </c>
      <c r="K26" s="9">
        <v>45447</v>
      </c>
      <c r="L26" s="66">
        <v>45454</v>
      </c>
      <c r="M26" s="66">
        <v>45457</v>
      </c>
      <c r="N26" s="66">
        <v>45461</v>
      </c>
      <c r="O26" s="66">
        <v>45470</v>
      </c>
      <c r="P26" s="4"/>
      <c r="Q26" s="4"/>
      <c r="R26" s="4"/>
      <c r="S26" s="4"/>
      <c r="T26" s="4"/>
      <c r="U26" s="5"/>
      <c r="W26" s="6" t="s">
        <v>4</v>
      </c>
      <c r="X26" s="9">
        <v>45461</v>
      </c>
      <c r="Y26" s="4"/>
      <c r="Z26" s="4"/>
      <c r="AA26" s="4"/>
      <c r="AB26" s="4"/>
      <c r="AC26" s="5"/>
      <c r="AE26" s="6" t="s">
        <v>4</v>
      </c>
      <c r="AF26" s="9"/>
      <c r="AG26" s="4"/>
      <c r="AH26" s="4"/>
      <c r="AI26" s="4"/>
      <c r="AJ26" s="4"/>
      <c r="AK26" s="5"/>
    </row>
    <row r="27" spans="1:37" ht="15.75" thickBot="1" x14ac:dyDescent="0.3">
      <c r="A27" s="100"/>
      <c r="B27" s="26">
        <v>16110</v>
      </c>
      <c r="C27" s="27"/>
      <c r="D27" s="27"/>
      <c r="E27" s="27">
        <v>19038</v>
      </c>
      <c r="F27" s="27">
        <f>SUM(C27-B27)</f>
        <v>-16110</v>
      </c>
      <c r="G27" s="20">
        <f>SUM(E27-D27)</f>
        <v>19038</v>
      </c>
      <c r="H27" s="21">
        <f>SUM(F27:G27)</f>
        <v>2928</v>
      </c>
      <c r="J27" s="7" t="s">
        <v>22</v>
      </c>
      <c r="K27" s="10">
        <v>233.3</v>
      </c>
      <c r="L27" s="11">
        <v>220.67</v>
      </c>
      <c r="M27" s="11">
        <v>140.13999999999999</v>
      </c>
      <c r="N27" s="11">
        <v>185.7</v>
      </c>
      <c r="O27" s="11">
        <v>241.41</v>
      </c>
      <c r="P27" s="11"/>
      <c r="Q27" s="11"/>
      <c r="R27" s="11"/>
      <c r="S27" s="11"/>
      <c r="T27" s="11"/>
      <c r="U27" s="12"/>
      <c r="W27" s="7" t="s">
        <v>22</v>
      </c>
      <c r="X27" s="10">
        <v>80</v>
      </c>
      <c r="Y27" s="11"/>
      <c r="Z27" s="11"/>
      <c r="AA27" s="11"/>
      <c r="AB27" s="11"/>
      <c r="AC27" s="12"/>
      <c r="AE27" s="7" t="s">
        <v>22</v>
      </c>
      <c r="AF27" s="10"/>
      <c r="AG27" s="11"/>
      <c r="AH27" s="11"/>
      <c r="AI27" s="11"/>
      <c r="AJ27" s="11"/>
      <c r="AK27" s="12"/>
    </row>
    <row r="28" spans="1:37" x14ac:dyDescent="0.25">
      <c r="J28" s="8"/>
      <c r="T28" s="8" t="s">
        <v>23</v>
      </c>
      <c r="U28" s="13">
        <f>SUM(K27:U27)</f>
        <v>1021.2199999999999</v>
      </c>
      <c r="AB28" s="8" t="s">
        <v>23</v>
      </c>
      <c r="AC28" s="13">
        <f>SUM(X27:AC27)</f>
        <v>80</v>
      </c>
      <c r="AJ28" s="8" t="s">
        <v>23</v>
      </c>
      <c r="AK28" s="13">
        <f>SUM(AF27:AK27)</f>
        <v>0</v>
      </c>
    </row>
    <row r="29" spans="1:37"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W29" s="103" t="str">
        <f>J29</f>
        <v>Julho</v>
      </c>
      <c r="X29" s="103"/>
      <c r="Y29" s="103"/>
      <c r="Z29" s="103"/>
      <c r="AA29" s="103"/>
      <c r="AB29" s="103"/>
      <c r="AC29" s="103"/>
      <c r="AE29" s="104" t="str">
        <f>W29</f>
        <v>Julho</v>
      </c>
      <c r="AF29" s="104"/>
      <c r="AG29" s="104"/>
      <c r="AH29" s="104"/>
      <c r="AI29" s="104"/>
      <c r="AJ29" s="104"/>
      <c r="AK29" s="104"/>
    </row>
    <row r="30" spans="1:37" ht="15.75" thickBot="1" x14ac:dyDescent="0.3">
      <c r="A30" s="100" t="s">
        <v>5</v>
      </c>
      <c r="B30" s="34" t="s">
        <v>6</v>
      </c>
      <c r="C30" s="22" t="s">
        <v>7</v>
      </c>
      <c r="D30" s="33" t="s">
        <v>8</v>
      </c>
      <c r="E30" s="22" t="s">
        <v>9</v>
      </c>
      <c r="F30" s="24" t="s">
        <v>10</v>
      </c>
      <c r="G30" s="23" t="s">
        <v>11</v>
      </c>
      <c r="H30" s="25" t="s">
        <v>12</v>
      </c>
      <c r="J30" s="6" t="s">
        <v>4</v>
      </c>
      <c r="K30" s="9">
        <v>45479</v>
      </c>
      <c r="L30" s="66">
        <v>45486</v>
      </c>
      <c r="M30" s="66">
        <v>45497</v>
      </c>
      <c r="N30" s="66">
        <v>45503</v>
      </c>
      <c r="O30" s="4"/>
      <c r="P30" s="4"/>
      <c r="Q30" s="4"/>
      <c r="R30" s="4"/>
      <c r="S30" s="4"/>
      <c r="T30" s="4"/>
      <c r="U30" s="5"/>
      <c r="W30" s="6" t="s">
        <v>4</v>
      </c>
      <c r="X30" s="9">
        <v>45485</v>
      </c>
      <c r="Y30" s="66">
        <v>45492</v>
      </c>
      <c r="Z30" s="4"/>
      <c r="AA30" s="4"/>
      <c r="AB30" s="4"/>
      <c r="AC30" s="5"/>
      <c r="AE30" s="6" t="s">
        <v>4</v>
      </c>
      <c r="AF30" s="9"/>
      <c r="AG30" s="4"/>
      <c r="AH30" s="4"/>
      <c r="AI30" s="4"/>
      <c r="AJ30" s="4"/>
      <c r="AK30" s="5"/>
    </row>
    <row r="31" spans="1:37" ht="15.75" thickBot="1" x14ac:dyDescent="0.3">
      <c r="A31" s="100"/>
      <c r="B31" s="26">
        <v>19038</v>
      </c>
      <c r="C31" s="27"/>
      <c r="D31" s="27"/>
      <c r="E31" s="27">
        <v>21289</v>
      </c>
      <c r="F31" s="27">
        <f>SUM(C31-B31)</f>
        <v>-19038</v>
      </c>
      <c r="G31" s="20">
        <f>SUM(E31-D31)</f>
        <v>21289</v>
      </c>
      <c r="H31" s="21">
        <f>SUM(F31:G31)</f>
        <v>2251</v>
      </c>
      <c r="J31" s="7" t="s">
        <v>22</v>
      </c>
      <c r="K31" s="10">
        <v>209.78</v>
      </c>
      <c r="L31" s="11">
        <v>249.21</v>
      </c>
      <c r="M31" s="11">
        <v>285.06</v>
      </c>
      <c r="N31" s="11">
        <v>218.28</v>
      </c>
      <c r="O31" s="11"/>
      <c r="P31" s="11"/>
      <c r="Q31" s="11"/>
      <c r="R31" s="11"/>
      <c r="S31" s="11"/>
      <c r="T31" s="11"/>
      <c r="U31" s="12"/>
      <c r="W31" s="7" t="s">
        <v>22</v>
      </c>
      <c r="X31" s="10">
        <v>60</v>
      </c>
      <c r="Y31" s="11">
        <v>80</v>
      </c>
      <c r="Z31" s="11"/>
      <c r="AA31" s="11"/>
      <c r="AB31" s="11"/>
      <c r="AC31" s="12"/>
      <c r="AE31" s="7" t="s">
        <v>22</v>
      </c>
      <c r="AF31" s="10"/>
      <c r="AG31" s="11"/>
      <c r="AH31" s="11"/>
      <c r="AI31" s="11"/>
      <c r="AJ31" s="11"/>
      <c r="AK31" s="12"/>
    </row>
    <row r="32" spans="1:37" x14ac:dyDescent="0.25">
      <c r="J32" s="8"/>
      <c r="T32" s="8" t="s">
        <v>23</v>
      </c>
      <c r="U32" s="13">
        <f>SUM(K31:U31)</f>
        <v>962.32999999999993</v>
      </c>
      <c r="AB32" s="8" t="s">
        <v>23</v>
      </c>
      <c r="AC32" s="13">
        <f>SUM(X31:AC31)</f>
        <v>140</v>
      </c>
      <c r="AJ32" s="8" t="s">
        <v>23</v>
      </c>
      <c r="AK32" s="13">
        <f>SUM(AF31:AK31)</f>
        <v>0</v>
      </c>
    </row>
    <row r="33" spans="1:37"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W33" s="103" t="str">
        <f>J33</f>
        <v>Agosto</v>
      </c>
      <c r="X33" s="103"/>
      <c r="Y33" s="103"/>
      <c r="Z33" s="103"/>
      <c r="AA33" s="103"/>
      <c r="AB33" s="103"/>
      <c r="AC33" s="103"/>
      <c r="AE33" s="104" t="str">
        <f>W33</f>
        <v>Agosto</v>
      </c>
      <c r="AF33" s="104"/>
      <c r="AG33" s="104"/>
      <c r="AH33" s="104"/>
      <c r="AI33" s="104"/>
      <c r="AJ33" s="104"/>
      <c r="AK33" s="104"/>
    </row>
    <row r="34" spans="1:37" ht="15.75" thickBot="1" x14ac:dyDescent="0.3">
      <c r="A34" s="100" t="s">
        <v>5</v>
      </c>
      <c r="B34" s="34" t="s">
        <v>6</v>
      </c>
      <c r="C34" s="22" t="s">
        <v>7</v>
      </c>
      <c r="D34" s="33" t="s">
        <v>8</v>
      </c>
      <c r="E34" s="22" t="s">
        <v>9</v>
      </c>
      <c r="F34" s="24" t="s">
        <v>10</v>
      </c>
      <c r="G34" s="23" t="s">
        <v>11</v>
      </c>
      <c r="H34" s="25" t="s">
        <v>12</v>
      </c>
      <c r="J34" s="6" t="s">
        <v>4</v>
      </c>
      <c r="K34" s="9">
        <v>45510</v>
      </c>
      <c r="L34" s="66">
        <v>45517</v>
      </c>
      <c r="M34" s="4"/>
      <c r="N34" s="4"/>
      <c r="O34" s="4"/>
      <c r="P34" s="4"/>
      <c r="Q34" s="4"/>
      <c r="R34" s="4"/>
      <c r="S34" s="4"/>
      <c r="T34" s="4"/>
      <c r="U34" s="5"/>
      <c r="W34" s="6" t="s">
        <v>4</v>
      </c>
      <c r="X34" s="9">
        <v>45516</v>
      </c>
      <c r="Y34" s="4"/>
      <c r="Z34" s="4"/>
      <c r="AA34" s="4"/>
      <c r="AB34" s="4"/>
      <c r="AC34" s="5"/>
      <c r="AE34" s="6" t="s">
        <v>4</v>
      </c>
      <c r="AF34" s="9"/>
      <c r="AG34" s="4"/>
      <c r="AH34" s="4"/>
      <c r="AI34" s="4"/>
      <c r="AJ34" s="4"/>
      <c r="AK34" s="5"/>
    </row>
    <row r="35" spans="1:37" ht="15.75" thickBot="1" x14ac:dyDescent="0.3">
      <c r="A35" s="100"/>
      <c r="B35" s="26"/>
      <c r="C35" s="27"/>
      <c r="D35" s="27"/>
      <c r="E35" s="27"/>
      <c r="F35" s="27">
        <f>SUM(C35-B35)</f>
        <v>0</v>
      </c>
      <c r="G35" s="20">
        <f>SUM(E35-D35)</f>
        <v>0</v>
      </c>
      <c r="H35" s="21">
        <f>SUM(F35:G35)</f>
        <v>0</v>
      </c>
      <c r="J35" s="7" t="s">
        <v>22</v>
      </c>
      <c r="K35" s="10">
        <v>229.53</v>
      </c>
      <c r="L35" s="11">
        <v>131.31</v>
      </c>
      <c r="M35" s="11"/>
      <c r="N35" s="11"/>
      <c r="O35" s="11"/>
      <c r="P35" s="11"/>
      <c r="Q35" s="11"/>
      <c r="R35" s="11"/>
      <c r="S35" s="11"/>
      <c r="T35" s="11"/>
      <c r="U35" s="12"/>
      <c r="W35" s="7" t="s">
        <v>22</v>
      </c>
      <c r="X35" s="10">
        <v>80</v>
      </c>
      <c r="Y35" s="11"/>
      <c r="Z35" s="11"/>
      <c r="AA35" s="11"/>
      <c r="AB35" s="11"/>
      <c r="AC35" s="12"/>
      <c r="AE35" s="7" t="s">
        <v>22</v>
      </c>
      <c r="AF35" s="10"/>
      <c r="AG35" s="11"/>
      <c r="AH35" s="11"/>
      <c r="AI35" s="11"/>
      <c r="AJ35" s="11"/>
      <c r="AK35" s="12"/>
    </row>
    <row r="36" spans="1:37" x14ac:dyDescent="0.25">
      <c r="J36" s="8"/>
      <c r="T36" s="8" t="s">
        <v>23</v>
      </c>
      <c r="U36" s="13">
        <f>SUM(K35:U35)</f>
        <v>360.84000000000003</v>
      </c>
      <c r="AB36" s="8" t="s">
        <v>23</v>
      </c>
      <c r="AC36" s="13">
        <f>SUM(X35:AC35)</f>
        <v>80</v>
      </c>
      <c r="AJ36" s="8" t="s">
        <v>23</v>
      </c>
      <c r="AK36" s="13">
        <f>SUM(AF35:AK35)</f>
        <v>0</v>
      </c>
    </row>
    <row r="37" spans="1:37"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W37" s="103" t="str">
        <f>J37</f>
        <v>Setembro</v>
      </c>
      <c r="X37" s="103"/>
      <c r="Y37" s="103"/>
      <c r="Z37" s="103"/>
      <c r="AA37" s="103"/>
      <c r="AB37" s="103"/>
      <c r="AC37" s="103"/>
      <c r="AE37" s="104" t="str">
        <f>W37</f>
        <v>Setembro</v>
      </c>
      <c r="AF37" s="104"/>
      <c r="AG37" s="104"/>
      <c r="AH37" s="104"/>
      <c r="AI37" s="104"/>
      <c r="AJ37" s="104"/>
      <c r="AK37" s="104"/>
    </row>
    <row r="38" spans="1:37" ht="15.75" thickBot="1" x14ac:dyDescent="0.3">
      <c r="A38" s="10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100"/>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W41" s="103" t="str">
        <f>J41</f>
        <v>Outubro</v>
      </c>
      <c r="X41" s="103"/>
      <c r="Y41" s="103"/>
      <c r="Z41" s="103"/>
      <c r="AA41" s="103"/>
      <c r="AB41" s="103"/>
      <c r="AC41" s="103"/>
      <c r="AE41" s="104" t="str">
        <f>W41</f>
        <v>Outubro</v>
      </c>
      <c r="AF41" s="104"/>
      <c r="AG41" s="104"/>
      <c r="AH41" s="104"/>
      <c r="AI41" s="104"/>
      <c r="AJ41" s="104"/>
      <c r="AK41" s="104"/>
    </row>
    <row r="42" spans="1:37" ht="15.75" thickBot="1" x14ac:dyDescent="0.3">
      <c r="A42" s="10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100"/>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W45" s="103" t="str">
        <f>J45</f>
        <v>Novembro</v>
      </c>
      <c r="X45" s="103"/>
      <c r="Y45" s="103"/>
      <c r="Z45" s="103"/>
      <c r="AA45" s="103"/>
      <c r="AB45" s="103"/>
      <c r="AC45" s="103"/>
      <c r="AE45" s="104" t="str">
        <f>W45</f>
        <v>Novembro</v>
      </c>
      <c r="AF45" s="104"/>
      <c r="AG45" s="104"/>
      <c r="AH45" s="104"/>
      <c r="AI45" s="104"/>
      <c r="AJ45" s="104"/>
      <c r="AK45" s="104"/>
    </row>
    <row r="46" spans="1:37" ht="15.75" thickBot="1" x14ac:dyDescent="0.3">
      <c r="A46" s="10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100"/>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W49" s="103" t="str">
        <f>J49</f>
        <v>Dezembro</v>
      </c>
      <c r="X49" s="103"/>
      <c r="Y49" s="103"/>
      <c r="Z49" s="103"/>
      <c r="AA49" s="103"/>
      <c r="AB49" s="103"/>
      <c r="AC49" s="103"/>
      <c r="AE49" s="104" t="str">
        <f>W49</f>
        <v>Dezembro</v>
      </c>
      <c r="AF49" s="104"/>
      <c r="AG49" s="104"/>
      <c r="AH49" s="104"/>
      <c r="AI49" s="104"/>
      <c r="AJ49" s="104"/>
      <c r="AK49" s="104"/>
    </row>
    <row r="50" spans="1:37"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100"/>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3">
    <mergeCell ref="B2:C2"/>
    <mergeCell ref="E2:F2"/>
    <mergeCell ref="B4:C4"/>
    <mergeCell ref="E4:F4"/>
    <mergeCell ref="A7:H7"/>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K52"/>
  <sheetViews>
    <sheetView showGridLines="0" topLeftCell="A10" workbookViewId="0">
      <selection activeCell="X24" sqref="X2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9.7109375" customWidth="1"/>
    <col min="10" max="10" width="13.42578125" bestFit="1" customWidth="1"/>
    <col min="11" max="11" width="13.5703125" customWidth="1"/>
    <col min="12" max="12" width="10.42578125" bestFit="1" customWidth="1"/>
    <col min="13" max="13" width="10.7109375" bestFit="1" customWidth="1"/>
    <col min="14" max="18" width="10.42578125" bestFit="1" customWidth="1"/>
    <col min="19" max="19" width="10.5703125" bestFit="1" customWidth="1"/>
    <col min="20" max="20" width="10.42578125" bestFit="1" customWidth="1"/>
    <col min="21" max="21" width="12.140625" bestFit="1" customWidth="1"/>
    <col min="24" max="24" width="10.42578125" bestFit="1" customWidth="1"/>
    <col min="29" max="29" width="9.5703125" bestFit="1" customWidth="1"/>
    <col min="32" max="32" width="10.42578125" bestFit="1" customWidth="1"/>
    <col min="34" max="36" width="10.140625" bestFit="1" customWidth="1"/>
    <col min="37" max="37" width="9.5703125" bestFit="1" customWidth="1"/>
  </cols>
  <sheetData>
    <row r="2" spans="1:37" x14ac:dyDescent="0.25">
      <c r="A2" t="s">
        <v>0</v>
      </c>
      <c r="B2" s="107" t="s">
        <v>80</v>
      </c>
      <c r="C2" s="107"/>
      <c r="D2" s="1" t="s">
        <v>1</v>
      </c>
      <c r="E2" s="107" t="s">
        <v>79</v>
      </c>
      <c r="F2" s="107"/>
      <c r="H2" t="s">
        <v>45</v>
      </c>
      <c r="I2" s="54">
        <v>5000</v>
      </c>
    </row>
    <row r="3" spans="1:37" x14ac:dyDescent="0.25">
      <c r="F3" s="1"/>
    </row>
    <row r="4" spans="1:37" x14ac:dyDescent="0.25">
      <c r="A4" t="s">
        <v>2</v>
      </c>
      <c r="B4" s="108">
        <v>3500</v>
      </c>
      <c r="C4" s="108"/>
      <c r="D4" s="1" t="s">
        <v>29</v>
      </c>
      <c r="E4" s="107">
        <v>40</v>
      </c>
      <c r="F4" s="107"/>
      <c r="H4" t="s">
        <v>64</v>
      </c>
      <c r="I4" s="67">
        <v>45370</v>
      </c>
      <c r="K4" t="s">
        <v>89</v>
      </c>
      <c r="L4" s="67"/>
    </row>
    <row r="7" spans="1:37"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105" t="s">
        <v>25</v>
      </c>
      <c r="X7" s="105"/>
      <c r="Y7" s="105"/>
      <c r="Z7" s="105"/>
      <c r="AA7" s="105"/>
      <c r="AB7" s="105"/>
      <c r="AC7" s="105"/>
      <c r="AD7" s="2"/>
      <c r="AE7" s="105" t="s">
        <v>27</v>
      </c>
      <c r="AF7" s="105"/>
      <c r="AG7" s="105"/>
      <c r="AH7" s="105"/>
      <c r="AI7" s="105"/>
      <c r="AJ7" s="105"/>
      <c r="AK7" s="105"/>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101" t="s">
        <v>3</v>
      </c>
      <c r="C9" s="101"/>
      <c r="D9" s="101"/>
      <c r="E9" s="101"/>
      <c r="F9" s="101"/>
      <c r="G9" s="101"/>
      <c r="H9" s="101"/>
      <c r="J9" s="102" t="s">
        <v>3</v>
      </c>
      <c r="K9" s="102"/>
      <c r="L9" s="102"/>
      <c r="M9" s="102"/>
      <c r="N9" s="102"/>
      <c r="O9" s="102"/>
      <c r="P9" s="102"/>
      <c r="Q9" s="102"/>
      <c r="R9" s="102"/>
      <c r="S9" s="102"/>
      <c r="T9" s="102"/>
      <c r="U9" s="102"/>
      <c r="W9" s="103" t="s">
        <v>3</v>
      </c>
      <c r="X9" s="103"/>
      <c r="Y9" s="103"/>
      <c r="Z9" s="103"/>
      <c r="AA9" s="103"/>
      <c r="AB9" s="103"/>
      <c r="AC9" s="103"/>
      <c r="AE9" s="104" t="s">
        <v>3</v>
      </c>
      <c r="AF9" s="104"/>
      <c r="AG9" s="104"/>
      <c r="AH9" s="104"/>
      <c r="AI9" s="104"/>
      <c r="AJ9" s="104"/>
      <c r="AK9" s="104"/>
    </row>
    <row r="10" spans="1:37"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W13" s="103" t="str">
        <f>J13</f>
        <v>Março</v>
      </c>
      <c r="X13" s="103"/>
      <c r="Y13" s="103"/>
      <c r="Z13" s="103"/>
      <c r="AA13" s="103"/>
      <c r="AB13" s="103"/>
      <c r="AC13" s="103"/>
      <c r="AE13" s="104" t="str">
        <f>W13</f>
        <v>Março</v>
      </c>
      <c r="AF13" s="104"/>
      <c r="AG13" s="104"/>
      <c r="AH13" s="104"/>
      <c r="AI13" s="104"/>
      <c r="AJ13" s="104"/>
      <c r="AK13" s="104"/>
    </row>
    <row r="14" spans="1:37" ht="15.75" thickBot="1" x14ac:dyDescent="0.3">
      <c r="A14" s="100" t="s">
        <v>5</v>
      </c>
      <c r="B14" s="34" t="s">
        <v>6</v>
      </c>
      <c r="C14" s="22" t="s">
        <v>7</v>
      </c>
      <c r="D14" s="33" t="s">
        <v>8</v>
      </c>
      <c r="E14" s="22" t="s">
        <v>9</v>
      </c>
      <c r="F14" s="24" t="s">
        <v>10</v>
      </c>
      <c r="G14" s="23" t="s">
        <v>11</v>
      </c>
      <c r="H14" s="25" t="s">
        <v>12</v>
      </c>
      <c r="J14" s="6" t="s">
        <v>4</v>
      </c>
      <c r="K14" s="9">
        <v>45372</v>
      </c>
      <c r="L14" s="66">
        <v>45374</v>
      </c>
      <c r="M14" s="66">
        <v>45377</v>
      </c>
      <c r="N14" s="66">
        <v>45380</v>
      </c>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100"/>
      <c r="B15" s="26">
        <v>12433</v>
      </c>
      <c r="C15" s="27"/>
      <c r="D15" s="27"/>
      <c r="E15" s="27">
        <v>14400</v>
      </c>
      <c r="F15" s="27">
        <f>SUM(C15-B15)</f>
        <v>-12433</v>
      </c>
      <c r="G15" s="20">
        <f>SUM(E15-D15)</f>
        <v>14400</v>
      </c>
      <c r="H15" s="21">
        <f>SUM(F15:G15)</f>
        <v>1967</v>
      </c>
      <c r="J15" s="7" t="s">
        <v>22</v>
      </c>
      <c r="K15" s="10">
        <v>130</v>
      </c>
      <c r="L15" s="11">
        <v>114.91</v>
      </c>
      <c r="M15" s="11">
        <v>196.35</v>
      </c>
      <c r="N15" s="11">
        <v>103.52</v>
      </c>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544.78</v>
      </c>
      <c r="AB16" s="8" t="s">
        <v>23</v>
      </c>
      <c r="AC16" s="13">
        <f>SUM(X15:AC15)</f>
        <v>0</v>
      </c>
      <c r="AJ16" s="8" t="s">
        <v>23</v>
      </c>
      <c r="AK16" s="13">
        <f>SUM(AF15:AK15)</f>
        <v>0</v>
      </c>
    </row>
    <row r="17" spans="1:37"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W17" s="103" t="str">
        <f>J17</f>
        <v>Abril</v>
      </c>
      <c r="X17" s="103"/>
      <c r="Y17" s="103"/>
      <c r="Z17" s="103"/>
      <c r="AA17" s="103"/>
      <c r="AB17" s="103"/>
      <c r="AC17" s="103"/>
      <c r="AE17" s="104" t="str">
        <f>W17</f>
        <v>Abril</v>
      </c>
      <c r="AF17" s="104"/>
      <c r="AG17" s="104"/>
      <c r="AH17" s="104"/>
      <c r="AI17" s="104"/>
      <c r="AJ17" s="104"/>
      <c r="AK17" s="104"/>
    </row>
    <row r="18" spans="1:37" ht="15.75" thickBot="1" x14ac:dyDescent="0.3">
      <c r="A18" s="100" t="s">
        <v>5</v>
      </c>
      <c r="B18" s="34" t="s">
        <v>6</v>
      </c>
      <c r="C18" s="22" t="s">
        <v>7</v>
      </c>
      <c r="D18" s="33" t="s">
        <v>8</v>
      </c>
      <c r="E18" s="22" t="s">
        <v>9</v>
      </c>
      <c r="F18" s="24" t="s">
        <v>10</v>
      </c>
      <c r="G18" s="23" t="s">
        <v>11</v>
      </c>
      <c r="H18" s="25" t="s">
        <v>12</v>
      </c>
      <c r="J18" s="6" t="s">
        <v>4</v>
      </c>
      <c r="K18" s="9">
        <v>45384</v>
      </c>
      <c r="L18" s="66">
        <v>45388</v>
      </c>
      <c r="M18" s="66">
        <v>45392</v>
      </c>
      <c r="N18" s="66">
        <v>45395</v>
      </c>
      <c r="O18" s="66">
        <v>45395</v>
      </c>
      <c r="P18" s="66">
        <v>45398</v>
      </c>
      <c r="Q18" s="66">
        <v>45402</v>
      </c>
      <c r="R18" s="66">
        <v>45405</v>
      </c>
      <c r="S18" s="66">
        <v>45408</v>
      </c>
      <c r="T18" s="66">
        <v>45409</v>
      </c>
      <c r="U18" s="5"/>
      <c r="W18" s="6" t="s">
        <v>4</v>
      </c>
      <c r="X18" s="9"/>
      <c r="Y18" s="4"/>
      <c r="Z18" s="4"/>
      <c r="AA18" s="4"/>
      <c r="AB18" s="4"/>
      <c r="AC18" s="5"/>
      <c r="AE18" s="6" t="s">
        <v>4</v>
      </c>
      <c r="AF18" s="9">
        <v>45412</v>
      </c>
      <c r="AG18" s="4"/>
      <c r="AH18" s="4"/>
      <c r="AI18" s="4"/>
      <c r="AJ18" s="4"/>
      <c r="AK18" s="5"/>
    </row>
    <row r="19" spans="1:37" ht="15.75" thickBot="1" x14ac:dyDescent="0.3">
      <c r="A19" s="100"/>
      <c r="B19" s="26">
        <v>2644</v>
      </c>
      <c r="C19" s="27"/>
      <c r="D19" s="27"/>
      <c r="E19" s="27">
        <v>6119</v>
      </c>
      <c r="F19" s="27">
        <f>SUM(C19-B19)</f>
        <v>-2644</v>
      </c>
      <c r="G19" s="20">
        <f>SUM(E19-D19)</f>
        <v>6119</v>
      </c>
      <c r="H19" s="21">
        <f>SUM(F19:G19)</f>
        <v>3475</v>
      </c>
      <c r="J19" s="7" t="s">
        <v>22</v>
      </c>
      <c r="K19" s="30">
        <v>130.47999999999999</v>
      </c>
      <c r="L19" s="31">
        <v>119.16</v>
      </c>
      <c r="M19" s="31">
        <v>131.34</v>
      </c>
      <c r="N19" s="31">
        <v>106.62</v>
      </c>
      <c r="O19" s="31">
        <v>54.82</v>
      </c>
      <c r="P19" s="31">
        <v>119.79</v>
      </c>
      <c r="Q19" s="31">
        <v>117.07</v>
      </c>
      <c r="R19" s="31">
        <v>187.55</v>
      </c>
      <c r="S19" s="31">
        <v>113.06</v>
      </c>
      <c r="T19" s="31">
        <v>90.69</v>
      </c>
      <c r="U19" s="32"/>
      <c r="W19" s="7" t="s">
        <v>22</v>
      </c>
      <c r="X19" s="10"/>
      <c r="Y19" s="11"/>
      <c r="Z19" s="11"/>
      <c r="AA19" s="11"/>
      <c r="AB19" s="11"/>
      <c r="AC19" s="12"/>
      <c r="AE19" s="7" t="s">
        <v>22</v>
      </c>
      <c r="AF19" s="10">
        <v>25</v>
      </c>
      <c r="AG19" s="11"/>
      <c r="AH19" s="11"/>
      <c r="AI19" s="11"/>
      <c r="AJ19" s="11"/>
      <c r="AK19" s="12"/>
    </row>
    <row r="20" spans="1:37" x14ac:dyDescent="0.25">
      <c r="J20" s="8"/>
      <c r="T20" s="8" t="s">
        <v>23</v>
      </c>
      <c r="U20" s="13">
        <f>SUM(K19:U19)</f>
        <v>1170.58</v>
      </c>
      <c r="AB20" s="8" t="s">
        <v>23</v>
      </c>
      <c r="AC20" s="13">
        <f>SUM(X19:AC19)</f>
        <v>0</v>
      </c>
      <c r="AJ20" s="8" t="s">
        <v>23</v>
      </c>
      <c r="AK20" s="13">
        <f>SUM(AF19:AK19)</f>
        <v>25</v>
      </c>
    </row>
    <row r="21" spans="1:37"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W21" s="103" t="str">
        <f>J21</f>
        <v>Maio</v>
      </c>
      <c r="X21" s="103"/>
      <c r="Y21" s="103"/>
      <c r="Z21" s="103"/>
      <c r="AA21" s="103"/>
      <c r="AB21" s="103"/>
      <c r="AC21" s="103"/>
      <c r="AE21" s="104" t="str">
        <f>W21</f>
        <v>Maio</v>
      </c>
      <c r="AF21" s="104"/>
      <c r="AG21" s="104"/>
      <c r="AH21" s="104"/>
      <c r="AI21" s="104"/>
      <c r="AJ21" s="104"/>
      <c r="AK21" s="104"/>
    </row>
    <row r="22" spans="1:37" ht="15.75" thickBot="1" x14ac:dyDescent="0.3">
      <c r="A22" s="100" t="s">
        <v>5</v>
      </c>
      <c r="B22" s="34" t="s">
        <v>6</v>
      </c>
      <c r="C22" s="22" t="s">
        <v>7</v>
      </c>
      <c r="D22" s="33" t="s">
        <v>8</v>
      </c>
      <c r="E22" s="22" t="s">
        <v>9</v>
      </c>
      <c r="F22" s="24" t="s">
        <v>10</v>
      </c>
      <c r="G22" s="23" t="s">
        <v>11</v>
      </c>
      <c r="H22" s="25" t="s">
        <v>12</v>
      </c>
      <c r="J22" s="6" t="s">
        <v>4</v>
      </c>
      <c r="K22" s="9">
        <v>45413</v>
      </c>
      <c r="L22" s="66">
        <v>45419</v>
      </c>
      <c r="M22" s="66">
        <v>45420</v>
      </c>
      <c r="N22" s="66">
        <v>45427</v>
      </c>
      <c r="O22" s="66">
        <v>45430</v>
      </c>
      <c r="P22" s="4"/>
      <c r="Q22" s="4"/>
      <c r="R22" s="4"/>
      <c r="S22" s="4"/>
      <c r="T22" s="4"/>
      <c r="U22" s="5"/>
      <c r="W22" s="6" t="s">
        <v>4</v>
      </c>
      <c r="X22" s="9">
        <v>45429</v>
      </c>
      <c r="Y22" s="4"/>
      <c r="Z22" s="4"/>
      <c r="AA22" s="4"/>
      <c r="AB22" s="4"/>
      <c r="AC22" s="5"/>
      <c r="AE22" s="6" t="s">
        <v>4</v>
      </c>
      <c r="AF22" s="9"/>
      <c r="AG22" s="4"/>
      <c r="AH22" s="4"/>
      <c r="AI22" s="4"/>
      <c r="AJ22" s="4"/>
      <c r="AK22" s="5"/>
    </row>
    <row r="23" spans="1:37" ht="15.75" thickBot="1" x14ac:dyDescent="0.3">
      <c r="A23" s="100"/>
      <c r="B23" s="26">
        <v>6119</v>
      </c>
      <c r="C23" s="27"/>
      <c r="D23" s="27"/>
      <c r="E23" s="27">
        <v>8925</v>
      </c>
      <c r="F23" s="27">
        <f>SUM(C23-B23)</f>
        <v>-6119</v>
      </c>
      <c r="G23" s="20">
        <f>SUM(E23-D23)</f>
        <v>8925</v>
      </c>
      <c r="H23" s="21">
        <f>SUM(F23:G23)</f>
        <v>2806</v>
      </c>
      <c r="J23" s="7" t="s">
        <v>22</v>
      </c>
      <c r="K23" s="10">
        <v>140.08000000000001</v>
      </c>
      <c r="L23" s="11">
        <v>212.53</v>
      </c>
      <c r="M23" s="11">
        <v>76.900000000000006</v>
      </c>
      <c r="N23" s="11">
        <v>143.19</v>
      </c>
      <c r="O23" s="11">
        <v>140.41</v>
      </c>
      <c r="P23" s="11"/>
      <c r="Q23" s="11"/>
      <c r="R23" s="11"/>
      <c r="S23" s="11"/>
      <c r="T23" s="11"/>
      <c r="U23" s="12"/>
      <c r="W23" s="7" t="s">
        <v>22</v>
      </c>
      <c r="X23" s="10">
        <v>80</v>
      </c>
      <c r="Y23" s="11"/>
      <c r="Z23" s="11"/>
      <c r="AA23" s="11"/>
      <c r="AB23" s="11"/>
      <c r="AC23" s="12"/>
      <c r="AE23" s="7" t="s">
        <v>22</v>
      </c>
      <c r="AF23" s="10"/>
      <c r="AG23" s="11"/>
      <c r="AH23" s="11"/>
      <c r="AI23" s="11"/>
      <c r="AJ23" s="11"/>
      <c r="AK23" s="12"/>
    </row>
    <row r="24" spans="1:37" x14ac:dyDescent="0.25">
      <c r="J24" s="8"/>
      <c r="T24" s="8" t="s">
        <v>23</v>
      </c>
      <c r="U24" s="13">
        <f>SUM(K23:U23)</f>
        <v>713.11</v>
      </c>
      <c r="AB24" s="8" t="s">
        <v>23</v>
      </c>
      <c r="AC24" s="13">
        <f>SUM(X23:AC23)</f>
        <v>80</v>
      </c>
      <c r="AJ24" s="8" t="s">
        <v>23</v>
      </c>
      <c r="AK24" s="13">
        <f>SUM(AF23:AK23)</f>
        <v>0</v>
      </c>
    </row>
    <row r="25" spans="1:37"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W25" s="103" t="str">
        <f>J25</f>
        <v>Junho</v>
      </c>
      <c r="X25" s="103"/>
      <c r="Y25" s="103"/>
      <c r="Z25" s="103"/>
      <c r="AA25" s="103"/>
      <c r="AB25" s="103"/>
      <c r="AC25" s="103"/>
      <c r="AE25" s="104" t="str">
        <f>W25</f>
        <v>Junho</v>
      </c>
      <c r="AF25" s="104"/>
      <c r="AG25" s="104"/>
      <c r="AH25" s="104"/>
      <c r="AI25" s="104"/>
      <c r="AJ25" s="104"/>
      <c r="AK25" s="104"/>
    </row>
    <row r="26" spans="1:37" ht="15.75" thickBot="1" x14ac:dyDescent="0.3">
      <c r="A26" s="10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100"/>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W29" s="103" t="str">
        <f>J29</f>
        <v>Julho</v>
      </c>
      <c r="X29" s="103"/>
      <c r="Y29" s="103"/>
      <c r="Z29" s="103"/>
      <c r="AA29" s="103"/>
      <c r="AB29" s="103"/>
      <c r="AC29" s="103"/>
      <c r="AE29" s="104" t="str">
        <f>W29</f>
        <v>Julho</v>
      </c>
      <c r="AF29" s="104"/>
      <c r="AG29" s="104"/>
      <c r="AH29" s="104"/>
      <c r="AI29" s="104"/>
      <c r="AJ29" s="104"/>
      <c r="AK29" s="104"/>
    </row>
    <row r="30" spans="1:37" ht="15.75" thickBot="1" x14ac:dyDescent="0.3">
      <c r="A30" s="10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100"/>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W33" s="103" t="str">
        <f>J33</f>
        <v>Agosto</v>
      </c>
      <c r="X33" s="103"/>
      <c r="Y33" s="103"/>
      <c r="Z33" s="103"/>
      <c r="AA33" s="103"/>
      <c r="AB33" s="103"/>
      <c r="AC33" s="103"/>
      <c r="AE33" s="104" t="str">
        <f>W33</f>
        <v>Agosto</v>
      </c>
      <c r="AF33" s="104"/>
      <c r="AG33" s="104"/>
      <c r="AH33" s="104"/>
      <c r="AI33" s="104"/>
      <c r="AJ33" s="104"/>
      <c r="AK33" s="104"/>
    </row>
    <row r="34" spans="1:37" ht="15.75" thickBot="1" x14ac:dyDescent="0.3">
      <c r="A34" s="10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100"/>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W37" s="103" t="str">
        <f>J37</f>
        <v>Setembro</v>
      </c>
      <c r="X37" s="103"/>
      <c r="Y37" s="103"/>
      <c r="Z37" s="103"/>
      <c r="AA37" s="103"/>
      <c r="AB37" s="103"/>
      <c r="AC37" s="103"/>
      <c r="AE37" s="104" t="str">
        <f>W37</f>
        <v>Setembro</v>
      </c>
      <c r="AF37" s="104"/>
      <c r="AG37" s="104"/>
      <c r="AH37" s="104"/>
      <c r="AI37" s="104"/>
      <c r="AJ37" s="104"/>
      <c r="AK37" s="104"/>
    </row>
    <row r="38" spans="1:37" ht="15.75" thickBot="1" x14ac:dyDescent="0.3">
      <c r="A38" s="10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100"/>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W41" s="103" t="str">
        <f>J41</f>
        <v>Outubro</v>
      </c>
      <c r="X41" s="103"/>
      <c r="Y41" s="103"/>
      <c r="Z41" s="103"/>
      <c r="AA41" s="103"/>
      <c r="AB41" s="103"/>
      <c r="AC41" s="103"/>
      <c r="AE41" s="104" t="str">
        <f>W41</f>
        <v>Outubro</v>
      </c>
      <c r="AF41" s="104"/>
      <c r="AG41" s="104"/>
      <c r="AH41" s="104"/>
      <c r="AI41" s="104"/>
      <c r="AJ41" s="104"/>
      <c r="AK41" s="104"/>
    </row>
    <row r="42" spans="1:37" ht="15.75" thickBot="1" x14ac:dyDescent="0.3">
      <c r="A42" s="10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100"/>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W45" s="103" t="str">
        <f>J45</f>
        <v>Novembro</v>
      </c>
      <c r="X45" s="103"/>
      <c r="Y45" s="103"/>
      <c r="Z45" s="103"/>
      <c r="AA45" s="103"/>
      <c r="AB45" s="103"/>
      <c r="AC45" s="103"/>
      <c r="AE45" s="104" t="str">
        <f>W45</f>
        <v>Novembro</v>
      </c>
      <c r="AF45" s="104"/>
      <c r="AG45" s="104"/>
      <c r="AH45" s="104"/>
      <c r="AI45" s="104"/>
      <c r="AJ45" s="104"/>
      <c r="AK45" s="104"/>
    </row>
    <row r="46" spans="1:37" ht="15.75" thickBot="1" x14ac:dyDescent="0.3">
      <c r="A46" s="10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100"/>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W49" s="103" t="str">
        <f>J49</f>
        <v>Dezembro</v>
      </c>
      <c r="X49" s="103"/>
      <c r="Y49" s="103"/>
      <c r="Z49" s="103"/>
      <c r="AA49" s="103"/>
      <c r="AB49" s="103"/>
      <c r="AC49" s="103"/>
      <c r="AE49" s="104" t="str">
        <f>W49</f>
        <v>Dezembro</v>
      </c>
      <c r="AF49" s="104"/>
      <c r="AG49" s="104"/>
      <c r="AH49" s="104"/>
      <c r="AI49" s="104"/>
      <c r="AJ49" s="104"/>
      <c r="AK49" s="104"/>
    </row>
    <row r="50" spans="1:37"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100"/>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3">
    <mergeCell ref="B2:C2"/>
    <mergeCell ref="E2:F2"/>
    <mergeCell ref="B4:C4"/>
    <mergeCell ref="E4:F4"/>
    <mergeCell ref="A7:H7"/>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AN52"/>
  <sheetViews>
    <sheetView showGridLines="0" topLeftCell="A28" workbookViewId="0">
      <selection activeCell="E51" sqref="B51:E5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7"/>
      <c r="C2" s="107"/>
      <c r="D2" s="1" t="s">
        <v>1</v>
      </c>
      <c r="E2" s="107"/>
      <c r="F2" s="107"/>
      <c r="H2" t="s">
        <v>45</v>
      </c>
      <c r="I2" s="54">
        <v>5325</v>
      </c>
    </row>
    <row r="3" spans="1:40" x14ac:dyDescent="0.25">
      <c r="F3" s="1"/>
    </row>
    <row r="4" spans="1:40" x14ac:dyDescent="0.25">
      <c r="A4" t="s">
        <v>2</v>
      </c>
      <c r="B4" s="108">
        <v>3500</v>
      </c>
      <c r="C4" s="108"/>
      <c r="D4" s="1" t="s">
        <v>29</v>
      </c>
      <c r="E4" s="107"/>
      <c r="F4" s="107"/>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10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10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10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10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10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10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10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10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B2:C2"/>
    <mergeCell ref="E2:F2"/>
    <mergeCell ref="B4:C4"/>
    <mergeCell ref="E4:F4"/>
    <mergeCell ref="A7:H7"/>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AN52"/>
  <sheetViews>
    <sheetView showGridLines="0" topLeftCell="A28" workbookViewId="0">
      <selection activeCell="E51" sqref="B51:E5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7"/>
      <c r="C2" s="107"/>
      <c r="D2" s="1" t="s">
        <v>1</v>
      </c>
      <c r="E2" s="107"/>
      <c r="F2" s="107"/>
      <c r="H2" t="s">
        <v>45</v>
      </c>
      <c r="I2" s="54">
        <v>5325</v>
      </c>
    </row>
    <row r="3" spans="1:40" x14ac:dyDescent="0.25">
      <c r="F3" s="1"/>
    </row>
    <row r="4" spans="1:40" x14ac:dyDescent="0.25">
      <c r="A4" t="s">
        <v>2</v>
      </c>
      <c r="B4" s="108">
        <v>3500</v>
      </c>
      <c r="C4" s="108"/>
      <c r="D4" s="1" t="s">
        <v>29</v>
      </c>
      <c r="E4" s="107"/>
      <c r="F4" s="107"/>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10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10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10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10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10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10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10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10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B2:C2"/>
    <mergeCell ref="E2:F2"/>
    <mergeCell ref="B4:C4"/>
    <mergeCell ref="E4:F4"/>
    <mergeCell ref="A7:H7"/>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N52"/>
  <sheetViews>
    <sheetView showGridLines="0" topLeftCell="A22"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7"/>
      <c r="C2" s="107"/>
      <c r="D2" s="1" t="s">
        <v>1</v>
      </c>
      <c r="E2" s="107"/>
      <c r="F2" s="107"/>
      <c r="H2" t="s">
        <v>45</v>
      </c>
      <c r="I2" s="54">
        <v>5325</v>
      </c>
    </row>
    <row r="3" spans="1:40" x14ac:dyDescent="0.25">
      <c r="F3" s="1"/>
    </row>
    <row r="4" spans="1:40" x14ac:dyDescent="0.25">
      <c r="A4" t="s">
        <v>2</v>
      </c>
      <c r="B4" s="108">
        <v>3500</v>
      </c>
      <c r="C4" s="108"/>
      <c r="D4" s="1" t="s">
        <v>29</v>
      </c>
      <c r="E4" s="107"/>
      <c r="F4" s="107"/>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10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10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10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10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10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10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10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10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B2:C2"/>
    <mergeCell ref="E2:F2"/>
    <mergeCell ref="B4:C4"/>
    <mergeCell ref="E4:F4"/>
    <mergeCell ref="A7:H7"/>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AN52"/>
  <sheetViews>
    <sheetView showGridLines="0" topLeftCell="A25" workbookViewId="0">
      <selection activeCell="E52" sqref="B51:E5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7"/>
      <c r="C2" s="107"/>
      <c r="D2" s="1" t="s">
        <v>1</v>
      </c>
      <c r="E2" s="107"/>
      <c r="F2" s="107"/>
      <c r="H2" t="s">
        <v>45</v>
      </c>
      <c r="I2" s="54">
        <v>5325</v>
      </c>
    </row>
    <row r="3" spans="1:40" x14ac:dyDescent="0.25">
      <c r="F3" s="1"/>
    </row>
    <row r="4" spans="1:40" x14ac:dyDescent="0.25">
      <c r="A4" t="s">
        <v>2</v>
      </c>
      <c r="B4" s="108">
        <v>3500</v>
      </c>
      <c r="C4" s="108"/>
      <c r="D4" s="1" t="s">
        <v>29</v>
      </c>
      <c r="E4" s="107"/>
      <c r="F4" s="107"/>
    </row>
    <row r="7" spans="1:40" ht="21" x14ac:dyDescent="0.35">
      <c r="A7" s="109" t="s">
        <v>28</v>
      </c>
      <c r="B7" s="109"/>
      <c r="C7" s="109"/>
      <c r="D7" s="109"/>
      <c r="E7" s="109"/>
      <c r="F7" s="109"/>
      <c r="G7" s="109"/>
      <c r="H7" s="109"/>
      <c r="J7" s="106" t="s">
        <v>26</v>
      </c>
      <c r="K7" s="106"/>
      <c r="L7" s="106"/>
      <c r="M7" s="106"/>
      <c r="N7" s="106"/>
      <c r="O7" s="106"/>
      <c r="P7" s="106"/>
      <c r="Q7" s="106"/>
      <c r="R7" s="106"/>
      <c r="S7" s="106"/>
      <c r="T7" s="106"/>
      <c r="U7" s="106"/>
      <c r="V7" s="2"/>
      <c r="W7" s="2"/>
      <c r="X7" s="2"/>
      <c r="Y7" s="105" t="s">
        <v>25</v>
      </c>
      <c r="Z7" s="105"/>
      <c r="AA7" s="105"/>
      <c r="AB7" s="105"/>
      <c r="AC7" s="105"/>
      <c r="AD7" s="105"/>
      <c r="AE7" s="105"/>
      <c r="AF7" s="2"/>
      <c r="AG7" s="2"/>
      <c r="AH7" s="105" t="s">
        <v>27</v>
      </c>
      <c r="AI7" s="105"/>
      <c r="AJ7" s="105"/>
      <c r="AK7" s="105"/>
      <c r="AL7" s="105"/>
      <c r="AM7" s="105"/>
      <c r="AN7" s="105"/>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101" t="s">
        <v>3</v>
      </c>
      <c r="C9" s="101"/>
      <c r="D9" s="101"/>
      <c r="E9" s="101"/>
      <c r="F9" s="101"/>
      <c r="G9" s="101"/>
      <c r="H9" s="101"/>
      <c r="J9" s="102" t="s">
        <v>3</v>
      </c>
      <c r="K9" s="102"/>
      <c r="L9" s="102"/>
      <c r="M9" s="102"/>
      <c r="N9" s="102"/>
      <c r="O9" s="102"/>
      <c r="P9" s="102"/>
      <c r="Q9" s="102"/>
      <c r="R9" s="102"/>
      <c r="S9" s="102"/>
      <c r="T9" s="102"/>
      <c r="U9" s="102"/>
      <c r="Y9" s="103" t="s">
        <v>3</v>
      </c>
      <c r="Z9" s="103"/>
      <c r="AA9" s="103"/>
      <c r="AB9" s="103"/>
      <c r="AC9" s="103"/>
      <c r="AD9" s="103"/>
      <c r="AE9" s="103"/>
      <c r="AH9" s="104" t="s">
        <v>3</v>
      </c>
      <c r="AI9" s="104"/>
      <c r="AJ9" s="104"/>
      <c r="AK9" s="104"/>
      <c r="AL9" s="104"/>
      <c r="AM9" s="104"/>
      <c r="AN9" s="104"/>
    </row>
    <row r="10" spans="1:40" ht="15.75" thickBot="1" x14ac:dyDescent="0.3">
      <c r="A10" s="100"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100"/>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101" t="s">
        <v>13</v>
      </c>
      <c r="C13" s="101"/>
      <c r="D13" s="101"/>
      <c r="E13" s="101"/>
      <c r="F13" s="101"/>
      <c r="G13" s="101"/>
      <c r="H13" s="101"/>
      <c r="J13" s="102" t="s">
        <v>13</v>
      </c>
      <c r="K13" s="102"/>
      <c r="L13" s="102"/>
      <c r="M13" s="102"/>
      <c r="N13" s="102"/>
      <c r="O13" s="102"/>
      <c r="P13" s="102"/>
      <c r="Q13" s="102"/>
      <c r="R13" s="102"/>
      <c r="S13" s="102"/>
      <c r="T13" s="102"/>
      <c r="U13" s="102"/>
      <c r="Y13" s="103" t="str">
        <f>J13</f>
        <v>Março</v>
      </c>
      <c r="Z13" s="103"/>
      <c r="AA13" s="103"/>
      <c r="AB13" s="103"/>
      <c r="AC13" s="103"/>
      <c r="AD13" s="103"/>
      <c r="AE13" s="103"/>
      <c r="AH13" s="104" t="str">
        <f>Y13</f>
        <v>Março</v>
      </c>
      <c r="AI13" s="104"/>
      <c r="AJ13" s="104"/>
      <c r="AK13" s="104"/>
      <c r="AL13" s="104"/>
      <c r="AM13" s="104"/>
      <c r="AN13" s="104"/>
    </row>
    <row r="14" spans="1:40" ht="15.75" thickBot="1" x14ac:dyDescent="0.3">
      <c r="A14" s="100"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100"/>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101" t="s">
        <v>14</v>
      </c>
      <c r="C17" s="101"/>
      <c r="D17" s="101"/>
      <c r="E17" s="101"/>
      <c r="F17" s="101"/>
      <c r="G17" s="101"/>
      <c r="H17" s="101"/>
      <c r="J17" s="102" t="s">
        <v>14</v>
      </c>
      <c r="K17" s="102"/>
      <c r="L17" s="102"/>
      <c r="M17" s="102"/>
      <c r="N17" s="102"/>
      <c r="O17" s="102"/>
      <c r="P17" s="102"/>
      <c r="Q17" s="102"/>
      <c r="R17" s="102"/>
      <c r="S17" s="102"/>
      <c r="T17" s="102"/>
      <c r="U17" s="102"/>
      <c r="Y17" s="103" t="str">
        <f>J17</f>
        <v>Abril</v>
      </c>
      <c r="Z17" s="103"/>
      <c r="AA17" s="103"/>
      <c r="AB17" s="103"/>
      <c r="AC17" s="103"/>
      <c r="AD17" s="103"/>
      <c r="AE17" s="103"/>
      <c r="AH17" s="104" t="str">
        <f>Y17</f>
        <v>Abril</v>
      </c>
      <c r="AI17" s="104"/>
      <c r="AJ17" s="104"/>
      <c r="AK17" s="104"/>
      <c r="AL17" s="104"/>
      <c r="AM17" s="104"/>
      <c r="AN17" s="104"/>
    </row>
    <row r="18" spans="1:40" ht="15.75" thickBot="1" x14ac:dyDescent="0.3">
      <c r="A18" s="100"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100"/>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101" t="s">
        <v>15</v>
      </c>
      <c r="C21" s="101"/>
      <c r="D21" s="101"/>
      <c r="E21" s="101"/>
      <c r="F21" s="101"/>
      <c r="G21" s="101"/>
      <c r="H21" s="101"/>
      <c r="J21" s="102" t="s">
        <v>15</v>
      </c>
      <c r="K21" s="102"/>
      <c r="L21" s="102"/>
      <c r="M21" s="102"/>
      <c r="N21" s="102"/>
      <c r="O21" s="102"/>
      <c r="P21" s="102"/>
      <c r="Q21" s="102"/>
      <c r="R21" s="102"/>
      <c r="S21" s="102"/>
      <c r="T21" s="102"/>
      <c r="U21" s="102"/>
      <c r="Y21" s="103" t="str">
        <f>J21</f>
        <v>Maio</v>
      </c>
      <c r="Z21" s="103"/>
      <c r="AA21" s="103"/>
      <c r="AB21" s="103"/>
      <c r="AC21" s="103"/>
      <c r="AD21" s="103"/>
      <c r="AE21" s="103"/>
      <c r="AH21" s="104" t="str">
        <f>Y21</f>
        <v>Maio</v>
      </c>
      <c r="AI21" s="104"/>
      <c r="AJ21" s="104"/>
      <c r="AK21" s="104"/>
      <c r="AL21" s="104"/>
      <c r="AM21" s="104"/>
      <c r="AN21" s="104"/>
    </row>
    <row r="22" spans="1:40" ht="15.75" thickBot="1" x14ac:dyDescent="0.3">
      <c r="A22" s="100"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100"/>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101" t="s">
        <v>24</v>
      </c>
      <c r="C25" s="101"/>
      <c r="D25" s="101"/>
      <c r="E25" s="101"/>
      <c r="F25" s="101"/>
      <c r="G25" s="101"/>
      <c r="H25" s="101"/>
      <c r="J25" s="102" t="s">
        <v>24</v>
      </c>
      <c r="K25" s="102"/>
      <c r="L25" s="102"/>
      <c r="M25" s="102"/>
      <c r="N25" s="102"/>
      <c r="O25" s="102"/>
      <c r="P25" s="102"/>
      <c r="Q25" s="102"/>
      <c r="R25" s="102"/>
      <c r="S25" s="102"/>
      <c r="T25" s="102"/>
      <c r="U25" s="102"/>
      <c r="Y25" s="103" t="str">
        <f>J25</f>
        <v>Junho</v>
      </c>
      <c r="Z25" s="103"/>
      <c r="AA25" s="103"/>
      <c r="AB25" s="103"/>
      <c r="AC25" s="103"/>
      <c r="AD25" s="103"/>
      <c r="AE25" s="103"/>
      <c r="AH25" s="104" t="str">
        <f>Y25</f>
        <v>Junho</v>
      </c>
      <c r="AI25" s="104"/>
      <c r="AJ25" s="104"/>
      <c r="AK25" s="104"/>
      <c r="AL25" s="104"/>
      <c r="AM25" s="104"/>
      <c r="AN25" s="104"/>
    </row>
    <row r="26" spans="1:40" ht="15.75" thickBot="1" x14ac:dyDescent="0.3">
      <c r="A26" s="100"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100"/>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101" t="s">
        <v>16</v>
      </c>
      <c r="C29" s="101"/>
      <c r="D29" s="101"/>
      <c r="E29" s="101"/>
      <c r="F29" s="101"/>
      <c r="G29" s="101"/>
      <c r="H29" s="101"/>
      <c r="J29" s="102" t="s">
        <v>16</v>
      </c>
      <c r="K29" s="102"/>
      <c r="L29" s="102"/>
      <c r="M29" s="102"/>
      <c r="N29" s="102"/>
      <c r="O29" s="102"/>
      <c r="P29" s="102"/>
      <c r="Q29" s="102"/>
      <c r="R29" s="102"/>
      <c r="S29" s="102"/>
      <c r="T29" s="102"/>
      <c r="U29" s="102"/>
      <c r="Y29" s="103" t="str">
        <f>J29</f>
        <v>Julho</v>
      </c>
      <c r="Z29" s="103"/>
      <c r="AA29" s="103"/>
      <c r="AB29" s="103"/>
      <c r="AC29" s="103"/>
      <c r="AD29" s="103"/>
      <c r="AE29" s="103"/>
      <c r="AH29" s="104" t="str">
        <f>Y29</f>
        <v>Julho</v>
      </c>
      <c r="AI29" s="104"/>
      <c r="AJ29" s="104"/>
      <c r="AK29" s="104"/>
      <c r="AL29" s="104"/>
      <c r="AM29" s="104"/>
      <c r="AN29" s="104"/>
    </row>
    <row r="30" spans="1:40" ht="15.75" thickBot="1" x14ac:dyDescent="0.3">
      <c r="A30" s="100"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100"/>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101" t="s">
        <v>17</v>
      </c>
      <c r="C33" s="101"/>
      <c r="D33" s="101"/>
      <c r="E33" s="101"/>
      <c r="F33" s="101"/>
      <c r="G33" s="101"/>
      <c r="H33" s="101"/>
      <c r="J33" s="102" t="s">
        <v>17</v>
      </c>
      <c r="K33" s="102"/>
      <c r="L33" s="102"/>
      <c r="M33" s="102"/>
      <c r="N33" s="102"/>
      <c r="O33" s="102"/>
      <c r="P33" s="102"/>
      <c r="Q33" s="102"/>
      <c r="R33" s="102"/>
      <c r="S33" s="102"/>
      <c r="T33" s="102"/>
      <c r="U33" s="102"/>
      <c r="Y33" s="103" t="str">
        <f>J33</f>
        <v>Agosto</v>
      </c>
      <c r="Z33" s="103"/>
      <c r="AA33" s="103"/>
      <c r="AB33" s="103"/>
      <c r="AC33" s="103"/>
      <c r="AD33" s="103"/>
      <c r="AE33" s="103"/>
      <c r="AH33" s="104" t="str">
        <f>Y33</f>
        <v>Agosto</v>
      </c>
      <c r="AI33" s="104"/>
      <c r="AJ33" s="104"/>
      <c r="AK33" s="104"/>
      <c r="AL33" s="104"/>
      <c r="AM33" s="104"/>
      <c r="AN33" s="104"/>
    </row>
    <row r="34" spans="1:40" ht="15.75" thickBot="1" x14ac:dyDescent="0.3">
      <c r="A34" s="100"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100"/>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101" t="s">
        <v>18</v>
      </c>
      <c r="C37" s="101"/>
      <c r="D37" s="101"/>
      <c r="E37" s="101"/>
      <c r="F37" s="101"/>
      <c r="G37" s="101"/>
      <c r="H37" s="101"/>
      <c r="J37" s="102" t="s">
        <v>18</v>
      </c>
      <c r="K37" s="102"/>
      <c r="L37" s="102"/>
      <c r="M37" s="102"/>
      <c r="N37" s="102"/>
      <c r="O37" s="102"/>
      <c r="P37" s="102"/>
      <c r="Q37" s="102"/>
      <c r="R37" s="102"/>
      <c r="S37" s="102"/>
      <c r="T37" s="102"/>
      <c r="U37" s="102"/>
      <c r="Y37" s="103" t="str">
        <f>J37</f>
        <v>Setembro</v>
      </c>
      <c r="Z37" s="103"/>
      <c r="AA37" s="103"/>
      <c r="AB37" s="103"/>
      <c r="AC37" s="103"/>
      <c r="AD37" s="103"/>
      <c r="AE37" s="103"/>
      <c r="AH37" s="104" t="str">
        <f>Y37</f>
        <v>Setembro</v>
      </c>
      <c r="AI37" s="104"/>
      <c r="AJ37" s="104"/>
      <c r="AK37" s="104"/>
      <c r="AL37" s="104"/>
      <c r="AM37" s="104"/>
      <c r="AN37" s="104"/>
    </row>
    <row r="38" spans="1:40" ht="15.75" thickBot="1" x14ac:dyDescent="0.3">
      <c r="A38" s="100"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100"/>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101" t="s">
        <v>19</v>
      </c>
      <c r="C41" s="101"/>
      <c r="D41" s="101"/>
      <c r="E41" s="101"/>
      <c r="F41" s="101"/>
      <c r="G41" s="101"/>
      <c r="H41" s="101"/>
      <c r="J41" s="102" t="s">
        <v>19</v>
      </c>
      <c r="K41" s="102"/>
      <c r="L41" s="102"/>
      <c r="M41" s="102"/>
      <c r="N41" s="102"/>
      <c r="O41" s="102"/>
      <c r="P41" s="102"/>
      <c r="Q41" s="102"/>
      <c r="R41" s="102"/>
      <c r="S41" s="102"/>
      <c r="T41" s="102"/>
      <c r="U41" s="102"/>
      <c r="Y41" s="103" t="str">
        <f>J41</f>
        <v>Outubro</v>
      </c>
      <c r="Z41" s="103"/>
      <c r="AA41" s="103"/>
      <c r="AB41" s="103"/>
      <c r="AC41" s="103"/>
      <c r="AD41" s="103"/>
      <c r="AE41" s="103"/>
      <c r="AH41" s="104" t="str">
        <f>Y41</f>
        <v>Outubro</v>
      </c>
      <c r="AI41" s="104"/>
      <c r="AJ41" s="104"/>
      <c r="AK41" s="104"/>
      <c r="AL41" s="104"/>
      <c r="AM41" s="104"/>
      <c r="AN41" s="104"/>
    </row>
    <row r="42" spans="1:40" ht="15.75" thickBot="1" x14ac:dyDescent="0.3">
      <c r="A42" s="100"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100"/>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101" t="s">
        <v>20</v>
      </c>
      <c r="C45" s="101"/>
      <c r="D45" s="101"/>
      <c r="E45" s="101"/>
      <c r="F45" s="101"/>
      <c r="G45" s="101"/>
      <c r="H45" s="101"/>
      <c r="J45" s="102" t="s">
        <v>20</v>
      </c>
      <c r="K45" s="102"/>
      <c r="L45" s="102"/>
      <c r="M45" s="102"/>
      <c r="N45" s="102"/>
      <c r="O45" s="102"/>
      <c r="P45" s="102"/>
      <c r="Q45" s="102"/>
      <c r="R45" s="102"/>
      <c r="S45" s="102"/>
      <c r="T45" s="102"/>
      <c r="U45" s="102"/>
      <c r="Y45" s="103" t="str">
        <f>J45</f>
        <v>Novembro</v>
      </c>
      <c r="Z45" s="103"/>
      <c r="AA45" s="103"/>
      <c r="AB45" s="103"/>
      <c r="AC45" s="103"/>
      <c r="AD45" s="103"/>
      <c r="AE45" s="103"/>
      <c r="AH45" s="104" t="str">
        <f>Y45</f>
        <v>Novembro</v>
      </c>
      <c r="AI45" s="104"/>
      <c r="AJ45" s="104"/>
      <c r="AK45" s="104"/>
      <c r="AL45" s="104"/>
      <c r="AM45" s="104"/>
      <c r="AN45" s="104"/>
    </row>
    <row r="46" spans="1:40" ht="15.75" thickBot="1" x14ac:dyDescent="0.3">
      <c r="A46" s="100"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100"/>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101" t="s">
        <v>21</v>
      </c>
      <c r="C49" s="101"/>
      <c r="D49" s="101"/>
      <c r="E49" s="101"/>
      <c r="F49" s="101"/>
      <c r="G49" s="101"/>
      <c r="H49" s="101"/>
      <c r="J49" s="102" t="s">
        <v>21</v>
      </c>
      <c r="K49" s="102"/>
      <c r="L49" s="102"/>
      <c r="M49" s="102"/>
      <c r="N49" s="102"/>
      <c r="O49" s="102"/>
      <c r="P49" s="102"/>
      <c r="Q49" s="102"/>
      <c r="R49" s="102"/>
      <c r="S49" s="102"/>
      <c r="T49" s="102"/>
      <c r="U49" s="102"/>
      <c r="Y49" s="103" t="str">
        <f>J49</f>
        <v>Dezembro</v>
      </c>
      <c r="Z49" s="103"/>
      <c r="AA49" s="103"/>
      <c r="AB49" s="103"/>
      <c r="AC49" s="103"/>
      <c r="AD49" s="103"/>
      <c r="AE49" s="103"/>
      <c r="AH49" s="104" t="str">
        <f>Y49</f>
        <v>Dezembro</v>
      </c>
      <c r="AI49" s="104"/>
      <c r="AJ49" s="104"/>
      <c r="AK49" s="104"/>
      <c r="AL49" s="104"/>
      <c r="AM49" s="104"/>
      <c r="AN49" s="104"/>
    </row>
    <row r="50" spans="1:40" ht="15.75" thickBot="1" x14ac:dyDescent="0.3">
      <c r="A50" s="100"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100"/>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B2:C2"/>
    <mergeCell ref="E2:F2"/>
    <mergeCell ref="B4:C4"/>
    <mergeCell ref="E4:F4"/>
    <mergeCell ref="A7:H7"/>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31</vt:i4>
      </vt:variant>
    </vt:vector>
  </HeadingPairs>
  <TitlesOfParts>
    <vt:vector size="31" baseType="lpstr">
      <vt:lpstr>RESUMO</vt:lpstr>
      <vt:lpstr>Controle Central</vt:lpstr>
      <vt:lpstr>Leandro</vt:lpstr>
      <vt:lpstr>Helen</vt:lpstr>
      <vt:lpstr>Robson-Desmob</vt:lpstr>
      <vt:lpstr>Antonio Flavio-Desmob.</vt:lpstr>
      <vt:lpstr>Vitor-Desmob</vt:lpstr>
      <vt:lpstr>Ivnna-Desmob</vt:lpstr>
      <vt:lpstr>Devaldo-Desmobi</vt:lpstr>
      <vt:lpstr>Antonio Flavio-Desmob</vt:lpstr>
      <vt:lpstr>Igor-Desmob</vt:lpstr>
      <vt:lpstr>Illichi_Wesley-Desmob</vt:lpstr>
      <vt:lpstr>Robson.- Desmob</vt:lpstr>
      <vt:lpstr>Wagner-Desmob</vt:lpstr>
      <vt:lpstr>Chris-Desmob</vt:lpstr>
      <vt:lpstr>Pedro Paulo-Desmob</vt:lpstr>
      <vt:lpstr>Robson-Devolv</vt:lpstr>
      <vt:lpstr>Rodolfo - Desmob</vt:lpstr>
      <vt:lpstr>Paulo - Desmob</vt:lpstr>
      <vt:lpstr>Antonio Paixão - Desmob</vt:lpstr>
      <vt:lpstr>Devaldo-Desmob</vt:lpstr>
      <vt:lpstr>Charles-Desmob </vt:lpstr>
      <vt:lpstr>Wesley-Desmob</vt:lpstr>
      <vt:lpstr>Hericson - Desmob</vt:lpstr>
      <vt:lpstr>Claudio-Desmob</vt:lpstr>
      <vt:lpstr>Marco - Desmob</vt:lpstr>
      <vt:lpstr>Jacques - desmob</vt:lpstr>
      <vt:lpstr>CAR_27</vt:lpstr>
      <vt:lpstr>CAR_28</vt:lpstr>
      <vt:lpstr>CAR_29</vt:lpstr>
      <vt:lpstr>CAR_30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PEREIRA MASCARENHAS</dc:creator>
  <cp:lastModifiedBy>Office 6</cp:lastModifiedBy>
  <dcterms:created xsi:type="dcterms:W3CDTF">2024-01-31T23:17:24Z</dcterms:created>
  <dcterms:modified xsi:type="dcterms:W3CDTF">2026-06-12T12:25:56Z</dcterms:modified>
</cp:coreProperties>
</file>