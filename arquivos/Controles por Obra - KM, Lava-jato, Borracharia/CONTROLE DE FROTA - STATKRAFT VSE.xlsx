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4.xml" ContentType="application/vnd.openxmlformats-officedocument.drawing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rawings/drawing5.xml" ContentType="application/vnd.openxmlformats-officedocument.drawing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drawings/drawing6.xml" ContentType="application/vnd.openxmlformats-officedocument.drawing+xml"/>
  <Override PartName="/xl/comments4.xml" ContentType="application/vnd.openxmlformats-officedocument.spreadsheetml.comments+xml"/>
  <Override PartName="/xl/threadedComments/threadedComment4.xml" ContentType="application/vnd.ms-excel.threadedcomments+xml"/>
  <Override PartName="/xl/drawings/drawing7.xml" ContentType="application/vnd.openxmlformats-officedocument.drawing+xml"/>
  <Override PartName="/xl/comments5.xml" ContentType="application/vnd.openxmlformats-officedocument.spreadsheetml.comments+xml"/>
  <Override PartName="/xl/threadedComments/threadedComment5.xml" ContentType="application/vnd.ms-excel.threadedcomments+xml"/>
  <Override PartName="/xl/comments6.xml" ContentType="application/vnd.openxmlformats-officedocument.spreadsheetml.comments+xml"/>
  <Override PartName="/xl/drawings/drawing8.xml" ContentType="application/vnd.openxmlformats-officedocument.drawing+xml"/>
  <Override PartName="/xl/comments7.xml" ContentType="application/vnd.openxmlformats-officedocument.spreadsheetml.comments+xml"/>
  <Override PartName="/xl/threadedComments/threadedComment6.xml" ContentType="application/vnd.ms-excel.threadedcomments+xml"/>
  <Override PartName="/xl/drawings/drawing9.xml" ContentType="application/vnd.openxmlformats-officedocument.drawing+xml"/>
  <Override PartName="/xl/comments8.xml" ContentType="application/vnd.openxmlformats-officedocument.spreadsheetml.comments+xml"/>
  <Override PartName="/xl/threadedComments/threadedComment7.xml" ContentType="application/vnd.ms-excel.threadedcomments+xml"/>
  <Override PartName="/xl/drawings/drawing10.xml" ContentType="application/vnd.openxmlformats-officedocument.drawing+xml"/>
  <Override PartName="/xl/comments9.xml" ContentType="application/vnd.openxmlformats-officedocument.spreadsheetml.comments+xml"/>
  <Override PartName="/xl/threadedComments/threadedComment8.xml" ContentType="application/vnd.ms-excel.threadedcomments+xml"/>
  <Override PartName="/xl/drawings/drawing11.xml" ContentType="application/vnd.openxmlformats-officedocument.drawing+xml"/>
  <Override PartName="/xl/comments10.xml" ContentType="application/vnd.openxmlformats-officedocument.spreadsheetml.comments+xml"/>
  <Override PartName="/xl/threadedComments/threadedComment9.xml" ContentType="application/vnd.ms-excel.threadedcomments+xml"/>
  <Override PartName="/xl/drawings/drawing12.xml" ContentType="application/vnd.openxmlformats-officedocument.drawing+xml"/>
  <Override PartName="/xl/comments11.xml" ContentType="application/vnd.openxmlformats-officedocument.spreadsheetml.comments+xml"/>
  <Override PartName="/xl/drawings/drawing13.xml" ContentType="application/vnd.openxmlformats-officedocument.drawing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threadedComments/threadedComment10.xml" ContentType="application/vnd.ms-excel.threadedcomments+xml"/>
  <Override PartName="/xl/drawings/drawing14.xml" ContentType="application/vnd.openxmlformats-officedocument.drawing+xml"/>
  <Override PartName="/xl/comments14.xml" ContentType="application/vnd.openxmlformats-officedocument.spreadsheetml.comments+xml"/>
  <Override PartName="/xl/threadedComments/threadedComment11.xml" ContentType="application/vnd.ms-excel.threadedcomments+xml"/>
  <Override PartName="/xl/drawings/drawing15.xml" ContentType="application/vnd.openxmlformats-officedocument.drawing+xml"/>
  <Override PartName="/xl/comments15.xml" ContentType="application/vnd.openxmlformats-officedocument.spreadsheetml.comments+xml"/>
  <Override PartName="/xl/drawings/drawing16.xml" ContentType="application/vnd.openxmlformats-officedocument.drawing+xml"/>
  <Override PartName="/xl/comments16.xml" ContentType="application/vnd.openxmlformats-officedocument.spreadsheetml.comments+xml"/>
  <Override PartName="/xl/drawings/drawing17.xml" ContentType="application/vnd.openxmlformats-officedocument.drawing+xml"/>
  <Override PartName="/xl/comments17.xml" ContentType="application/vnd.openxmlformats-officedocument.spreadsheetml.comments+xml"/>
  <Override PartName="/xl/drawings/drawing18.xml" ContentType="application/vnd.openxmlformats-officedocument.drawing+xml"/>
  <Override PartName="/xl/comments18.xml" ContentType="application/vnd.openxmlformats-officedocument.spreadsheetml.comments+xml"/>
  <Override PartName="/xl/drawings/drawing19.xml" ContentType="application/vnd.openxmlformats-officedocument.drawing+xml"/>
  <Override PartName="/xl/comments19.xml" ContentType="application/vnd.openxmlformats-officedocument.spreadsheetml.comments+xml"/>
  <Override PartName="/xl/drawings/drawing20.xml" ContentType="application/vnd.openxmlformats-officedocument.drawing+xml"/>
  <Override PartName="/xl/comments20.xml" ContentType="application/vnd.openxmlformats-officedocument.spreadsheetml.comments+xml"/>
  <Override PartName="/xl/drawings/drawing21.xml" ContentType="application/vnd.openxmlformats-officedocument.drawing+xml"/>
  <Override PartName="/xl/comments21.xml" ContentType="application/vnd.openxmlformats-officedocument.spreadsheetml.comments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P:\02 - Documentação Empresa\9.Veiculos\2. Locação Veicular\4. Planilhas de acompanhamento veicular\Controle Frota por obra\"/>
    </mc:Choice>
  </mc:AlternateContent>
  <xr:revisionPtr revIDLastSave="0" documentId="13_ncr:1_{B64CFB30-3CB5-40C2-B8D5-E9C2C2B5D3A4}" xr6:coauthVersionLast="47" xr6:coauthVersionMax="47" xr10:uidLastSave="{00000000-0000-0000-0000-000000000000}"/>
  <bookViews>
    <workbookView xWindow="-120" yWindow="-120" windowWidth="29040" windowHeight="15720" tabRatio="594" firstSheet="1" activeTab="7" xr2:uid="{00000000-000D-0000-FFFF-FFFF00000000}"/>
  </bookViews>
  <sheets>
    <sheet name="Resumo Geral" sheetId="3" r:id="rId1"/>
    <sheet name="Resumo Individual" sheetId="2" r:id="rId2"/>
    <sheet name="Luis Daladiuer" sheetId="53" r:id="rId3"/>
    <sheet name="Ronieri" sheetId="52" r:id="rId4"/>
    <sheet name="Francisco Augusto" sheetId="51" r:id="rId5"/>
    <sheet name="Francisco de Morais" sheetId="37" r:id="rId6"/>
    <sheet name="Ana Caroline" sheetId="50" r:id="rId7"/>
    <sheet name="Eric" sheetId="46" r:id="rId8"/>
    <sheet name="Nilberto-Desmob" sheetId="39" r:id="rId9"/>
    <sheet name="Jair-Desmob" sheetId="44" r:id="rId10"/>
    <sheet name="Francisco de Morais-Desmob" sheetId="35" r:id="rId11"/>
    <sheet name="Roniere-Desmob" sheetId="33" r:id="rId12"/>
    <sheet name="Jair - Desmob." sheetId="42" r:id="rId13"/>
    <sheet name="Ana Luiza - Desmob" sheetId="43" r:id="rId14"/>
    <sheet name="Francisco Augusto-Desmob" sheetId="47" r:id="rId15"/>
    <sheet name="Sávio-Desmob2" sheetId="49" r:id="rId16"/>
    <sheet name="Sávio-Desmob" sheetId="45" r:id="rId17"/>
    <sheet name="Eric-Desmob" sheetId="41" r:id="rId18"/>
    <sheet name="Washington - Desmob" sheetId="40" r:id="rId19"/>
    <sheet name="Jhonny-Desmob" sheetId="48" r:id="rId20"/>
    <sheet name="Washington-Devolvido" sheetId="36" r:id="rId21"/>
    <sheet name="Jhonny-Devol" sheetId="31" r:id="rId22"/>
    <sheet name="Rildson-Desmob" sheetId="38" r:id="rId23"/>
    <sheet name="Rute - Devolvido" sheetId="34" r:id="rId24"/>
    <sheet name="Planilha2" sheetId="54" r:id="rId25"/>
    <sheet name="Planilha3" sheetId="55" r:id="rId26"/>
    <sheet name="Planilha4" sheetId="56" r:id="rId27"/>
    <sheet name="Planilha5" sheetId="57" r:id="rId2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K58" i="57" l="1"/>
  <c r="AC58" i="57"/>
  <c r="U58" i="57"/>
  <c r="H57" i="57"/>
  <c r="G57" i="57"/>
  <c r="F57" i="57"/>
  <c r="W55" i="57"/>
  <c r="AE55" i="57" s="1"/>
  <c r="AK54" i="57"/>
  <c r="AC54" i="57"/>
  <c r="U54" i="57"/>
  <c r="H53" i="57"/>
  <c r="G53" i="57"/>
  <c r="F53" i="57"/>
  <c r="W51" i="57"/>
  <c r="AE51" i="57" s="1"/>
  <c r="AK50" i="57"/>
  <c r="AC50" i="57"/>
  <c r="U50" i="57"/>
  <c r="H49" i="57"/>
  <c r="G49" i="57"/>
  <c r="F49" i="57"/>
  <c r="W47" i="57"/>
  <c r="AE47" i="57" s="1"/>
  <c r="AK46" i="57"/>
  <c r="AC46" i="57"/>
  <c r="U46" i="57"/>
  <c r="H45" i="57"/>
  <c r="G45" i="57"/>
  <c r="F45" i="57"/>
  <c r="W43" i="57"/>
  <c r="AE43" i="57" s="1"/>
  <c r="AK42" i="57"/>
  <c r="AC42" i="57"/>
  <c r="U42" i="57"/>
  <c r="H41" i="57"/>
  <c r="G41" i="57"/>
  <c r="F41" i="57"/>
  <c r="W39" i="57"/>
  <c r="AE39" i="57" s="1"/>
  <c r="AK38" i="57"/>
  <c r="AC38" i="57"/>
  <c r="U38" i="57"/>
  <c r="H37" i="57"/>
  <c r="G37" i="57"/>
  <c r="F37" i="57"/>
  <c r="W35" i="57"/>
  <c r="AE35" i="57" s="1"/>
  <c r="AK34" i="57"/>
  <c r="AC34" i="57"/>
  <c r="U34" i="57"/>
  <c r="H33" i="57"/>
  <c r="G33" i="57"/>
  <c r="F33" i="57"/>
  <c r="W31" i="57"/>
  <c r="AE31" i="57" s="1"/>
  <c r="AK30" i="57"/>
  <c r="AC30" i="57"/>
  <c r="U30" i="57"/>
  <c r="H29" i="57"/>
  <c r="G29" i="57"/>
  <c r="F29" i="57"/>
  <c r="W27" i="57"/>
  <c r="AE27" i="57" s="1"/>
  <c r="AK26" i="57"/>
  <c r="AC26" i="57"/>
  <c r="U26" i="57"/>
  <c r="H25" i="57"/>
  <c r="G25" i="57"/>
  <c r="F25" i="57"/>
  <c r="W23" i="57"/>
  <c r="AE23" i="57" s="1"/>
  <c r="AK22" i="57"/>
  <c r="AC22" i="57"/>
  <c r="U22" i="57"/>
  <c r="H21" i="57"/>
  <c r="G21" i="57"/>
  <c r="F21" i="57"/>
  <c r="W19" i="57"/>
  <c r="AE19" i="57" s="1"/>
  <c r="AK18" i="57"/>
  <c r="AC18" i="57"/>
  <c r="U18" i="57"/>
  <c r="H17" i="57"/>
  <c r="G17" i="57"/>
  <c r="F17" i="57"/>
  <c r="AK14" i="57"/>
  <c r="AC14" i="57"/>
  <c r="U14" i="57"/>
  <c r="G13" i="57"/>
  <c r="F13" i="57"/>
  <c r="H13" i="57" s="1"/>
  <c r="AK58" i="56"/>
  <c r="AC58" i="56"/>
  <c r="U58" i="56"/>
  <c r="H57" i="56"/>
  <c r="G57" i="56"/>
  <c r="F57" i="56"/>
  <c r="W55" i="56"/>
  <c r="AE55" i="56" s="1"/>
  <c r="AK54" i="56"/>
  <c r="AC54" i="56"/>
  <c r="U54" i="56"/>
  <c r="H53" i="56"/>
  <c r="G53" i="56"/>
  <c r="F53" i="56"/>
  <c r="W51" i="56"/>
  <c r="AE51" i="56" s="1"/>
  <c r="AK50" i="56"/>
  <c r="AC50" i="56"/>
  <c r="U50" i="56"/>
  <c r="H49" i="56"/>
  <c r="G49" i="56"/>
  <c r="F49" i="56"/>
  <c r="W47" i="56"/>
  <c r="AE47" i="56" s="1"/>
  <c r="AK46" i="56"/>
  <c r="AC46" i="56"/>
  <c r="U46" i="56"/>
  <c r="H45" i="56"/>
  <c r="G45" i="56"/>
  <c r="F45" i="56"/>
  <c r="W43" i="56"/>
  <c r="AE43" i="56" s="1"/>
  <c r="AK42" i="56"/>
  <c r="AC42" i="56"/>
  <c r="U42" i="56"/>
  <c r="H41" i="56"/>
  <c r="G41" i="56"/>
  <c r="F41" i="56"/>
  <c r="W39" i="56"/>
  <c r="AE39" i="56" s="1"/>
  <c r="AK38" i="56"/>
  <c r="AC38" i="56"/>
  <c r="U38" i="56"/>
  <c r="H37" i="56"/>
  <c r="G37" i="56"/>
  <c r="F37" i="56"/>
  <c r="W35" i="56"/>
  <c r="AE35" i="56" s="1"/>
  <c r="AK34" i="56"/>
  <c r="AC34" i="56"/>
  <c r="U34" i="56"/>
  <c r="H33" i="56"/>
  <c r="G33" i="56"/>
  <c r="F33" i="56"/>
  <c r="W31" i="56"/>
  <c r="AE31" i="56" s="1"/>
  <c r="AK30" i="56"/>
  <c r="AC30" i="56"/>
  <c r="U30" i="56"/>
  <c r="H29" i="56"/>
  <c r="G29" i="56"/>
  <c r="F29" i="56"/>
  <c r="W27" i="56"/>
  <c r="AE27" i="56" s="1"/>
  <c r="AK26" i="56"/>
  <c r="AC26" i="56"/>
  <c r="U26" i="56"/>
  <c r="H25" i="56"/>
  <c r="G25" i="56"/>
  <c r="F25" i="56"/>
  <c r="W23" i="56"/>
  <c r="AE23" i="56" s="1"/>
  <c r="AK22" i="56"/>
  <c r="AC22" i="56"/>
  <c r="U22" i="56"/>
  <c r="H21" i="56"/>
  <c r="G21" i="56"/>
  <c r="F21" i="56"/>
  <c r="W19" i="56"/>
  <c r="AE19" i="56" s="1"/>
  <c r="AK18" i="56"/>
  <c r="AC18" i="56"/>
  <c r="U18" i="56"/>
  <c r="H17" i="56"/>
  <c r="G17" i="56"/>
  <c r="F17" i="56"/>
  <c r="AK14" i="56"/>
  <c r="AC14" i="56"/>
  <c r="U14" i="56"/>
  <c r="G13" i="56"/>
  <c r="F13" i="56"/>
  <c r="H13" i="56" s="1"/>
  <c r="AK58" i="55"/>
  <c r="AC58" i="55"/>
  <c r="U58" i="55"/>
  <c r="H57" i="55"/>
  <c r="G57" i="55"/>
  <c r="F57" i="55"/>
  <c r="W55" i="55"/>
  <c r="AE55" i="55" s="1"/>
  <c r="AK54" i="55"/>
  <c r="AC54" i="55"/>
  <c r="U54" i="55"/>
  <c r="H53" i="55"/>
  <c r="G53" i="55"/>
  <c r="F53" i="55"/>
  <c r="W51" i="55"/>
  <c r="AE51" i="55" s="1"/>
  <c r="AK50" i="55"/>
  <c r="AC50" i="55"/>
  <c r="U50" i="55"/>
  <c r="H49" i="55"/>
  <c r="G49" i="55"/>
  <c r="F49" i="55"/>
  <c r="W47" i="55"/>
  <c r="AE47" i="55" s="1"/>
  <c r="AK46" i="55"/>
  <c r="AC46" i="55"/>
  <c r="U46" i="55"/>
  <c r="H45" i="55"/>
  <c r="G45" i="55"/>
  <c r="F45" i="55"/>
  <c r="W43" i="55"/>
  <c r="AE43" i="55" s="1"/>
  <c r="AK42" i="55"/>
  <c r="AC42" i="55"/>
  <c r="U42" i="55"/>
  <c r="H41" i="55"/>
  <c r="G41" i="55"/>
  <c r="F41" i="55"/>
  <c r="W39" i="55"/>
  <c r="AE39" i="55" s="1"/>
  <c r="AK38" i="55"/>
  <c r="AC38" i="55"/>
  <c r="U38" i="55"/>
  <c r="H37" i="55"/>
  <c r="G37" i="55"/>
  <c r="F37" i="55"/>
  <c r="W35" i="55"/>
  <c r="AE35" i="55" s="1"/>
  <c r="AK34" i="55"/>
  <c r="AC34" i="55"/>
  <c r="U34" i="55"/>
  <c r="H33" i="55"/>
  <c r="G33" i="55"/>
  <c r="F33" i="55"/>
  <c r="W31" i="55"/>
  <c r="AE31" i="55" s="1"/>
  <c r="AK30" i="55"/>
  <c r="AC30" i="55"/>
  <c r="U30" i="55"/>
  <c r="H29" i="55"/>
  <c r="G29" i="55"/>
  <c r="F29" i="55"/>
  <c r="W27" i="55"/>
  <c r="AE27" i="55" s="1"/>
  <c r="AK26" i="55"/>
  <c r="AC26" i="55"/>
  <c r="U26" i="55"/>
  <c r="G25" i="55"/>
  <c r="F25" i="55"/>
  <c r="H25" i="55" s="1"/>
  <c r="W23" i="55"/>
  <c r="AE23" i="55" s="1"/>
  <c r="AK22" i="55"/>
  <c r="AC22" i="55"/>
  <c r="U22" i="55"/>
  <c r="H21" i="55"/>
  <c r="G21" i="55"/>
  <c r="F21" i="55"/>
  <c r="W19" i="55"/>
  <c r="AE19" i="55" s="1"/>
  <c r="AK18" i="55"/>
  <c r="AC18" i="55"/>
  <c r="U18" i="55"/>
  <c r="H17" i="55"/>
  <c r="G17" i="55"/>
  <c r="F17" i="55"/>
  <c r="AK14" i="55"/>
  <c r="AC14" i="55"/>
  <c r="U14" i="55"/>
  <c r="G13" i="55"/>
  <c r="F13" i="55"/>
  <c r="H13" i="55" s="1"/>
  <c r="AK58" i="54"/>
  <c r="AC58" i="54"/>
  <c r="U58" i="54"/>
  <c r="G57" i="54"/>
  <c r="F57" i="54"/>
  <c r="H57" i="54" s="1"/>
  <c r="W55" i="54"/>
  <c r="AE55" i="54" s="1"/>
  <c r="AK54" i="54"/>
  <c r="AC54" i="54"/>
  <c r="U54" i="54"/>
  <c r="H53" i="54"/>
  <c r="G53" i="54"/>
  <c r="F53" i="54"/>
  <c r="W51" i="54"/>
  <c r="AE51" i="54" s="1"/>
  <c r="AK50" i="54"/>
  <c r="AC50" i="54"/>
  <c r="U50" i="54"/>
  <c r="H49" i="54"/>
  <c r="G49" i="54"/>
  <c r="F49" i="54"/>
  <c r="W47" i="54"/>
  <c r="AE47" i="54" s="1"/>
  <c r="AK46" i="54"/>
  <c r="AC46" i="54"/>
  <c r="U46" i="54"/>
  <c r="H45" i="54"/>
  <c r="G45" i="54"/>
  <c r="F45" i="54"/>
  <c r="W43" i="54"/>
  <c r="AE43" i="54" s="1"/>
  <c r="AK42" i="54"/>
  <c r="AC42" i="54"/>
  <c r="U42" i="54"/>
  <c r="H41" i="54"/>
  <c r="G41" i="54"/>
  <c r="F41" i="54"/>
  <c r="W39" i="54"/>
  <c r="AE39" i="54" s="1"/>
  <c r="AK38" i="54"/>
  <c r="AC38" i="54"/>
  <c r="U38" i="54"/>
  <c r="H37" i="54"/>
  <c r="G37" i="54"/>
  <c r="F37" i="54"/>
  <c r="W35" i="54"/>
  <c r="AE35" i="54" s="1"/>
  <c r="AK34" i="54"/>
  <c r="AC34" i="54"/>
  <c r="U34" i="54"/>
  <c r="H33" i="54"/>
  <c r="G33" i="54"/>
  <c r="F33" i="54"/>
  <c r="W31" i="54"/>
  <c r="AE31" i="54" s="1"/>
  <c r="AK30" i="54"/>
  <c r="AC30" i="54"/>
  <c r="U30" i="54"/>
  <c r="H29" i="54"/>
  <c r="G29" i="54"/>
  <c r="F29" i="54"/>
  <c r="W27" i="54"/>
  <c r="AE27" i="54" s="1"/>
  <c r="AK26" i="54"/>
  <c r="AC26" i="54"/>
  <c r="U26" i="54"/>
  <c r="H25" i="54"/>
  <c r="G25" i="54"/>
  <c r="F25" i="54"/>
  <c r="W23" i="54"/>
  <c r="AE23" i="54" s="1"/>
  <c r="AK22" i="54"/>
  <c r="AC22" i="54"/>
  <c r="U22" i="54"/>
  <c r="H21" i="54"/>
  <c r="G21" i="54"/>
  <c r="F21" i="54"/>
  <c r="W19" i="54"/>
  <c r="AE19" i="54" s="1"/>
  <c r="AK18" i="54"/>
  <c r="AC18" i="54"/>
  <c r="U18" i="54"/>
  <c r="H17" i="54"/>
  <c r="G17" i="54"/>
  <c r="F17" i="54"/>
  <c r="AK14" i="54"/>
  <c r="AC14" i="54"/>
  <c r="U14" i="54"/>
  <c r="G13" i="54"/>
  <c r="F13" i="54"/>
  <c r="H13" i="54" s="1"/>
  <c r="AK58" i="53"/>
  <c r="AC58" i="53"/>
  <c r="U58" i="53"/>
  <c r="H57" i="53"/>
  <c r="G57" i="53"/>
  <c r="F57" i="53"/>
  <c r="W55" i="53"/>
  <c r="AE55" i="53" s="1"/>
  <c r="AK54" i="53"/>
  <c r="AC54" i="53"/>
  <c r="U54" i="53"/>
  <c r="H53" i="53"/>
  <c r="G53" i="53"/>
  <c r="F53" i="53"/>
  <c r="W51" i="53"/>
  <c r="AE51" i="53" s="1"/>
  <c r="AK50" i="53"/>
  <c r="AC50" i="53"/>
  <c r="U50" i="53"/>
  <c r="H49" i="53"/>
  <c r="G49" i="53"/>
  <c r="F49" i="53"/>
  <c r="W47" i="53"/>
  <c r="AE47" i="53" s="1"/>
  <c r="AK46" i="53"/>
  <c r="AC46" i="53"/>
  <c r="U46" i="53"/>
  <c r="H45" i="53"/>
  <c r="G45" i="53"/>
  <c r="F45" i="53"/>
  <c r="W43" i="53"/>
  <c r="AE43" i="53" s="1"/>
  <c r="AK42" i="53"/>
  <c r="AC42" i="53"/>
  <c r="U42" i="53"/>
  <c r="H41" i="53"/>
  <c r="G41" i="53"/>
  <c r="F41" i="53"/>
  <c r="W39" i="53"/>
  <c r="AE39" i="53" s="1"/>
  <c r="AK38" i="53"/>
  <c r="AC38" i="53"/>
  <c r="U38" i="53"/>
  <c r="H37" i="53"/>
  <c r="G37" i="53"/>
  <c r="F37" i="53"/>
  <c r="W35" i="53"/>
  <c r="AE35" i="53" s="1"/>
  <c r="AK34" i="53"/>
  <c r="AC34" i="53"/>
  <c r="U34" i="53"/>
  <c r="H33" i="53"/>
  <c r="G33" i="53"/>
  <c r="F33" i="53"/>
  <c r="W31" i="53"/>
  <c r="AE31" i="53" s="1"/>
  <c r="AK30" i="53"/>
  <c r="AC30" i="53"/>
  <c r="U30" i="53"/>
  <c r="G29" i="53"/>
  <c r="F29" i="53"/>
  <c r="W27" i="53"/>
  <c r="AE27" i="53" s="1"/>
  <c r="AK26" i="53"/>
  <c r="AC26" i="53"/>
  <c r="U26" i="53"/>
  <c r="G25" i="53"/>
  <c r="H25" i="53" s="1"/>
  <c r="F25" i="53"/>
  <c r="W23" i="53"/>
  <c r="AE23" i="53" s="1"/>
  <c r="AK22" i="53"/>
  <c r="AC22" i="53"/>
  <c r="U22" i="53"/>
  <c r="H21" i="53"/>
  <c r="G21" i="53"/>
  <c r="F21" i="53"/>
  <c r="W19" i="53"/>
  <c r="AE19" i="53" s="1"/>
  <c r="AK18" i="53"/>
  <c r="AC18" i="53"/>
  <c r="U18" i="53"/>
  <c r="H17" i="53"/>
  <c r="G17" i="53"/>
  <c r="F17" i="53"/>
  <c r="AK14" i="53"/>
  <c r="AC14" i="53"/>
  <c r="U14" i="53"/>
  <c r="G13" i="53"/>
  <c r="F13" i="53"/>
  <c r="H13" i="53" s="1"/>
  <c r="AK15" i="49"/>
  <c r="AC15" i="49"/>
  <c r="U15" i="49"/>
  <c r="G14" i="49"/>
  <c r="F14" i="49"/>
  <c r="W12" i="49"/>
  <c r="AE12" i="49" s="1"/>
  <c r="AK87" i="44"/>
  <c r="AC87" i="44"/>
  <c r="U87" i="44"/>
  <c r="G86" i="44"/>
  <c r="F86" i="44"/>
  <c r="H86" i="44" s="1"/>
  <c r="W84" i="44"/>
  <c r="AE84" i="44" s="1"/>
  <c r="AK83" i="44"/>
  <c r="AC83" i="44"/>
  <c r="U83" i="44"/>
  <c r="G82" i="44"/>
  <c r="F82" i="44"/>
  <c r="H82" i="44" s="1"/>
  <c r="W80" i="44"/>
  <c r="AE80" i="44" s="1"/>
  <c r="AK79" i="44"/>
  <c r="AC79" i="44"/>
  <c r="U79" i="44"/>
  <c r="H78" i="44"/>
  <c r="G78" i="44"/>
  <c r="F78" i="44"/>
  <c r="W76" i="44"/>
  <c r="AE76" i="44" s="1"/>
  <c r="AK75" i="44"/>
  <c r="AC75" i="44"/>
  <c r="U75" i="44"/>
  <c r="G74" i="44"/>
  <c r="H74" i="44" s="1"/>
  <c r="F74" i="44"/>
  <c r="W72" i="44"/>
  <c r="AE72" i="44" s="1"/>
  <c r="AK71" i="44"/>
  <c r="AC71" i="44"/>
  <c r="U71" i="44"/>
  <c r="G70" i="44"/>
  <c r="F70" i="44"/>
  <c r="H70" i="44" s="1"/>
  <c r="W68" i="44"/>
  <c r="AE68" i="44" s="1"/>
  <c r="AK67" i="44"/>
  <c r="AC67" i="44"/>
  <c r="U67" i="44"/>
  <c r="G66" i="44"/>
  <c r="F66" i="44"/>
  <c r="AK63" i="44"/>
  <c r="AC63" i="44"/>
  <c r="U63" i="44"/>
  <c r="G62" i="44"/>
  <c r="F62" i="44"/>
  <c r="H29" i="53" l="1"/>
  <c r="H66" i="44"/>
  <c r="H62" i="44"/>
  <c r="H14" i="49"/>
  <c r="AK128" i="47"/>
  <c r="AC128" i="47"/>
  <c r="U128" i="47"/>
  <c r="G127" i="47"/>
  <c r="F127" i="47"/>
  <c r="W125" i="47"/>
  <c r="AE125" i="47" s="1"/>
  <c r="AK124" i="47"/>
  <c r="AC124" i="47"/>
  <c r="U124" i="47"/>
  <c r="G123" i="47"/>
  <c r="F123" i="47"/>
  <c r="H123" i="47" s="1"/>
  <c r="W121" i="47"/>
  <c r="AE121" i="47" s="1"/>
  <c r="AK120" i="47"/>
  <c r="AC120" i="47"/>
  <c r="U120" i="47"/>
  <c r="G119" i="47"/>
  <c r="F119" i="47"/>
  <c r="H119" i="47" s="1"/>
  <c r="W117" i="47"/>
  <c r="AE117" i="47" s="1"/>
  <c r="AK116" i="47"/>
  <c r="AC116" i="47"/>
  <c r="U116" i="47"/>
  <c r="H115" i="47"/>
  <c r="G115" i="47"/>
  <c r="F115" i="47"/>
  <c r="W113" i="47"/>
  <c r="AE113" i="47" s="1"/>
  <c r="AK112" i="47"/>
  <c r="AC112" i="47"/>
  <c r="U112" i="47"/>
  <c r="H111" i="47"/>
  <c r="G111" i="47"/>
  <c r="F111" i="47"/>
  <c r="W109" i="47"/>
  <c r="AE109" i="47" s="1"/>
  <c r="AK108" i="47"/>
  <c r="AC108" i="47"/>
  <c r="U108" i="47"/>
  <c r="G107" i="47"/>
  <c r="H107" i="47" s="1"/>
  <c r="F107" i="47"/>
  <c r="AK104" i="47"/>
  <c r="AC104" i="47"/>
  <c r="U104" i="47"/>
  <c r="G103" i="47"/>
  <c r="F103" i="47"/>
  <c r="H103" i="47" s="1"/>
  <c r="AM100" i="47"/>
  <c r="AE100" i="47"/>
  <c r="U100" i="47"/>
  <c r="G99" i="47"/>
  <c r="F99" i="47"/>
  <c r="Y97" i="47"/>
  <c r="AG97" i="47" s="1"/>
  <c r="AK86" i="45"/>
  <c r="AC86" i="45"/>
  <c r="U86" i="45"/>
  <c r="H85" i="45"/>
  <c r="G85" i="45"/>
  <c r="F85" i="45"/>
  <c r="W83" i="45"/>
  <c r="AE83" i="45" s="1"/>
  <c r="AK82" i="45"/>
  <c r="AC82" i="45"/>
  <c r="U82" i="45"/>
  <c r="G81" i="45"/>
  <c r="H81" i="45" s="1"/>
  <c r="F81" i="45"/>
  <c r="W79" i="45"/>
  <c r="AE79" i="45" s="1"/>
  <c r="AK78" i="45"/>
  <c r="AC78" i="45"/>
  <c r="U78" i="45"/>
  <c r="G77" i="45"/>
  <c r="F77" i="45"/>
  <c r="H77" i="45" s="1"/>
  <c r="W75" i="45"/>
  <c r="AE75" i="45" s="1"/>
  <c r="AK74" i="45"/>
  <c r="AC74" i="45"/>
  <c r="U74" i="45"/>
  <c r="G73" i="45"/>
  <c r="F73" i="45"/>
  <c r="H73" i="45" s="1"/>
  <c r="W71" i="45"/>
  <c r="AE71" i="45" s="1"/>
  <c r="AK70" i="45"/>
  <c r="AC70" i="45"/>
  <c r="U70" i="45"/>
  <c r="G69" i="45"/>
  <c r="F69" i="45"/>
  <c r="H69" i="45" s="1"/>
  <c r="W67" i="45"/>
  <c r="AE67" i="45" s="1"/>
  <c r="AK66" i="45"/>
  <c r="AC66" i="45"/>
  <c r="U66" i="45"/>
  <c r="G65" i="45"/>
  <c r="F65" i="45"/>
  <c r="H65" i="45" s="1"/>
  <c r="AK62" i="45"/>
  <c r="AC62" i="45"/>
  <c r="U62" i="45"/>
  <c r="G61" i="45"/>
  <c r="F61" i="45"/>
  <c r="H61" i="45" s="1"/>
  <c r="AK87" i="43"/>
  <c r="AC87" i="43"/>
  <c r="U87" i="43"/>
  <c r="G86" i="43"/>
  <c r="F86" i="43"/>
  <c r="H86" i="43" s="1"/>
  <c r="W84" i="43"/>
  <c r="AE84" i="43" s="1"/>
  <c r="AK83" i="43"/>
  <c r="AC83" i="43"/>
  <c r="U83" i="43"/>
  <c r="G82" i="43"/>
  <c r="F82" i="43"/>
  <c r="H82" i="43" s="1"/>
  <c r="W80" i="43"/>
  <c r="AE80" i="43" s="1"/>
  <c r="AK79" i="43"/>
  <c r="AC79" i="43"/>
  <c r="U79" i="43"/>
  <c r="G78" i="43"/>
  <c r="F78" i="43"/>
  <c r="H78" i="43" s="1"/>
  <c r="W76" i="43"/>
  <c r="AE76" i="43" s="1"/>
  <c r="AK75" i="43"/>
  <c r="AC75" i="43"/>
  <c r="U75" i="43"/>
  <c r="G74" i="43"/>
  <c r="F74" i="43"/>
  <c r="H74" i="43" s="1"/>
  <c r="W72" i="43"/>
  <c r="AE72" i="43" s="1"/>
  <c r="AK71" i="43"/>
  <c r="AC71" i="43"/>
  <c r="U71" i="43"/>
  <c r="G70" i="43"/>
  <c r="F70" i="43"/>
  <c r="H70" i="43" s="1"/>
  <c r="W68" i="43"/>
  <c r="AE68" i="43" s="1"/>
  <c r="AK67" i="43"/>
  <c r="AC67" i="43"/>
  <c r="U67" i="43"/>
  <c r="H66" i="43"/>
  <c r="G66" i="43"/>
  <c r="F66" i="43"/>
  <c r="AK63" i="43"/>
  <c r="AC63" i="43"/>
  <c r="U63" i="43"/>
  <c r="G62" i="43"/>
  <c r="F62" i="43"/>
  <c r="AK90" i="39"/>
  <c r="AC90" i="39"/>
  <c r="U90" i="39"/>
  <c r="G89" i="39"/>
  <c r="F89" i="39"/>
  <c r="H89" i="39" s="1"/>
  <c r="W87" i="39"/>
  <c r="AE87" i="39" s="1"/>
  <c r="AK86" i="39"/>
  <c r="AC86" i="39"/>
  <c r="U86" i="39"/>
  <c r="G85" i="39"/>
  <c r="F85" i="39"/>
  <c r="H85" i="39" s="1"/>
  <c r="W83" i="39"/>
  <c r="AE83" i="39" s="1"/>
  <c r="AK82" i="39"/>
  <c r="AC82" i="39"/>
  <c r="U82" i="39"/>
  <c r="G81" i="39"/>
  <c r="F81" i="39"/>
  <c r="H81" i="39" s="1"/>
  <c r="W79" i="39"/>
  <c r="AE79" i="39" s="1"/>
  <c r="AK78" i="39"/>
  <c r="AC78" i="39"/>
  <c r="U78" i="39"/>
  <c r="G77" i="39"/>
  <c r="F77" i="39"/>
  <c r="W75" i="39"/>
  <c r="AE75" i="39" s="1"/>
  <c r="AK74" i="39"/>
  <c r="AC74" i="39"/>
  <c r="U74" i="39"/>
  <c r="G73" i="39"/>
  <c r="F73" i="39"/>
  <c r="W71" i="39"/>
  <c r="AE71" i="39" s="1"/>
  <c r="AK70" i="39"/>
  <c r="AC70" i="39"/>
  <c r="U70" i="39"/>
  <c r="G69" i="39"/>
  <c r="H69" i="39" s="1"/>
  <c r="F69" i="39"/>
  <c r="AK66" i="39"/>
  <c r="AC66" i="39"/>
  <c r="U66" i="39"/>
  <c r="G65" i="39"/>
  <c r="F65" i="39"/>
  <c r="AK135" i="35"/>
  <c r="AC135" i="35"/>
  <c r="U135" i="35"/>
  <c r="G134" i="35"/>
  <c r="F134" i="35"/>
  <c r="H134" i="35" s="1"/>
  <c r="W132" i="35"/>
  <c r="AE132" i="35" s="1"/>
  <c r="AK131" i="35"/>
  <c r="AC131" i="35"/>
  <c r="U131" i="35"/>
  <c r="G130" i="35"/>
  <c r="F130" i="35"/>
  <c r="H130" i="35" s="1"/>
  <c r="W128" i="35"/>
  <c r="AE128" i="35" s="1"/>
  <c r="AK127" i="35"/>
  <c r="AC127" i="35"/>
  <c r="U127" i="35"/>
  <c r="H126" i="35"/>
  <c r="G126" i="35"/>
  <c r="F126" i="35"/>
  <c r="W124" i="35"/>
  <c r="AE124" i="35" s="1"/>
  <c r="AK123" i="35"/>
  <c r="AC123" i="35"/>
  <c r="U123" i="35"/>
  <c r="G122" i="35"/>
  <c r="H122" i="35" s="1"/>
  <c r="F122" i="35"/>
  <c r="W120" i="35"/>
  <c r="AE120" i="35" s="1"/>
  <c r="AK119" i="35"/>
  <c r="AC119" i="35"/>
  <c r="U119" i="35"/>
  <c r="G118" i="35"/>
  <c r="F118" i="35"/>
  <c r="H118" i="35" s="1"/>
  <c r="W116" i="35"/>
  <c r="AE116" i="35" s="1"/>
  <c r="AK115" i="35"/>
  <c r="AC115" i="35"/>
  <c r="U115" i="35"/>
  <c r="G114" i="35"/>
  <c r="F114" i="35"/>
  <c r="AK111" i="35"/>
  <c r="AC111" i="35"/>
  <c r="U111" i="35"/>
  <c r="G110" i="35"/>
  <c r="F110" i="35"/>
  <c r="H110" i="35" s="1"/>
  <c r="AK134" i="33"/>
  <c r="AC134" i="33"/>
  <c r="U134" i="33"/>
  <c r="H133" i="33"/>
  <c r="G133" i="33"/>
  <c r="F133" i="33"/>
  <c r="W131" i="33"/>
  <c r="AE131" i="33" s="1"/>
  <c r="AK130" i="33"/>
  <c r="AC130" i="33"/>
  <c r="U130" i="33"/>
  <c r="G129" i="33"/>
  <c r="H129" i="33" s="1"/>
  <c r="F129" i="33"/>
  <c r="W127" i="33"/>
  <c r="AE127" i="33" s="1"/>
  <c r="AK126" i="33"/>
  <c r="AC126" i="33"/>
  <c r="U126" i="33"/>
  <c r="G125" i="33"/>
  <c r="F125" i="33"/>
  <c r="H125" i="33" s="1"/>
  <c r="W123" i="33"/>
  <c r="AE123" i="33" s="1"/>
  <c r="AK122" i="33"/>
  <c r="AC122" i="33"/>
  <c r="U122" i="33"/>
  <c r="G121" i="33"/>
  <c r="F121" i="33"/>
  <c r="H121" i="33" s="1"/>
  <c r="W119" i="33"/>
  <c r="AE119" i="33" s="1"/>
  <c r="AK118" i="33"/>
  <c r="AC118" i="33"/>
  <c r="U118" i="33"/>
  <c r="G117" i="33"/>
  <c r="F117" i="33"/>
  <c r="H117" i="33" s="1"/>
  <c r="W115" i="33"/>
  <c r="AE115" i="33" s="1"/>
  <c r="AK114" i="33"/>
  <c r="AC114" i="33"/>
  <c r="U114" i="33"/>
  <c r="G113" i="33"/>
  <c r="F113" i="33"/>
  <c r="H113" i="33" s="1"/>
  <c r="AK110" i="33"/>
  <c r="AC110" i="33"/>
  <c r="U110" i="33"/>
  <c r="G109" i="33"/>
  <c r="F109" i="33"/>
  <c r="U58" i="39"/>
  <c r="AK149" i="46"/>
  <c r="AC149" i="46"/>
  <c r="U149" i="46"/>
  <c r="G148" i="46"/>
  <c r="F148" i="46"/>
  <c r="H148" i="46" s="1"/>
  <c r="W146" i="46"/>
  <c r="AE146" i="46" s="1"/>
  <c r="AK145" i="46"/>
  <c r="AC145" i="46"/>
  <c r="U145" i="46"/>
  <c r="G144" i="46"/>
  <c r="F144" i="46"/>
  <c r="H144" i="46" s="1"/>
  <c r="W142" i="46"/>
  <c r="AE142" i="46" s="1"/>
  <c r="AK141" i="46"/>
  <c r="AC141" i="46"/>
  <c r="U141" i="46"/>
  <c r="H140" i="46"/>
  <c r="G140" i="46"/>
  <c r="F140" i="46"/>
  <c r="W138" i="46"/>
  <c r="AE138" i="46" s="1"/>
  <c r="AK137" i="46"/>
  <c r="AC137" i="46"/>
  <c r="U137" i="46"/>
  <c r="G136" i="46"/>
  <c r="F136" i="46"/>
  <c r="W134" i="46"/>
  <c r="AE134" i="46" s="1"/>
  <c r="AK133" i="46"/>
  <c r="AC133" i="46"/>
  <c r="U133" i="46"/>
  <c r="G132" i="46"/>
  <c r="F132" i="46"/>
  <c r="W130" i="46"/>
  <c r="AE130" i="46" s="1"/>
  <c r="AK129" i="46"/>
  <c r="AC129" i="46"/>
  <c r="U129" i="46"/>
  <c r="G128" i="46"/>
  <c r="F128" i="46"/>
  <c r="H128" i="46" s="1"/>
  <c r="W126" i="46"/>
  <c r="AE126" i="46" s="1"/>
  <c r="AK125" i="46"/>
  <c r="AC125" i="46"/>
  <c r="U125" i="46"/>
  <c r="G124" i="46"/>
  <c r="F124" i="46"/>
  <c r="H124" i="46" s="1"/>
  <c r="W122" i="46"/>
  <c r="AE122" i="46" s="1"/>
  <c r="AK121" i="46"/>
  <c r="AC121" i="46"/>
  <c r="U121" i="46"/>
  <c r="G120" i="46"/>
  <c r="F120" i="46"/>
  <c r="W118" i="46"/>
  <c r="AE118" i="46" s="1"/>
  <c r="AK117" i="46"/>
  <c r="AC117" i="46"/>
  <c r="U117" i="46"/>
  <c r="G116" i="46"/>
  <c r="F116" i="46"/>
  <c r="H116" i="46" s="1"/>
  <c r="W114" i="46"/>
  <c r="AE114" i="46" s="1"/>
  <c r="AK113" i="46"/>
  <c r="AC113" i="46"/>
  <c r="U113" i="46"/>
  <c r="G112" i="46"/>
  <c r="F112" i="46"/>
  <c r="H112" i="46" s="1"/>
  <c r="W110" i="46"/>
  <c r="AE110" i="46" s="1"/>
  <c r="AK109" i="46"/>
  <c r="AC109" i="46"/>
  <c r="U109" i="46"/>
  <c r="G108" i="46"/>
  <c r="F108" i="46"/>
  <c r="AK105" i="46"/>
  <c r="AC105" i="46"/>
  <c r="U105" i="46"/>
  <c r="G104" i="46"/>
  <c r="F104" i="46"/>
  <c r="AK101" i="46"/>
  <c r="AC101" i="46"/>
  <c r="U101" i="46"/>
  <c r="G100" i="46"/>
  <c r="F100" i="46"/>
  <c r="W98" i="46"/>
  <c r="AE98" i="46" s="1"/>
  <c r="U54" i="39"/>
  <c r="U51" i="44"/>
  <c r="H77" i="39" l="1"/>
  <c r="H73" i="39"/>
  <c r="H108" i="46"/>
  <c r="H114" i="35"/>
  <c r="H62" i="43"/>
  <c r="H65" i="39"/>
  <c r="H109" i="33"/>
  <c r="H99" i="47"/>
  <c r="H127" i="47"/>
  <c r="H104" i="46"/>
  <c r="H120" i="46"/>
  <c r="H136" i="46"/>
  <c r="H132" i="46"/>
  <c r="H100" i="46"/>
  <c r="AK97" i="46"/>
  <c r="AC97" i="46"/>
  <c r="U97" i="46"/>
  <c r="G96" i="46"/>
  <c r="F96" i="46"/>
  <c r="W94" i="46"/>
  <c r="AE94" i="46" s="1"/>
  <c r="AK93" i="46"/>
  <c r="AC93" i="46"/>
  <c r="U93" i="46"/>
  <c r="G92" i="46"/>
  <c r="F92" i="46"/>
  <c r="W90" i="46"/>
  <c r="AE90" i="46" s="1"/>
  <c r="H96" i="46" l="1"/>
  <c r="H92" i="46"/>
  <c r="W93" i="47"/>
  <c r="AE93" i="47" s="1"/>
  <c r="F95" i="47"/>
  <c r="G95" i="47"/>
  <c r="U96" i="47"/>
  <c r="AC96" i="47"/>
  <c r="AK96" i="47"/>
  <c r="W89" i="47"/>
  <c r="AE89" i="47" s="1"/>
  <c r="F91" i="47"/>
  <c r="G91" i="47"/>
  <c r="U92" i="47"/>
  <c r="AC92" i="47"/>
  <c r="AK92" i="47"/>
  <c r="H95" i="47" l="1"/>
  <c r="H91" i="47"/>
  <c r="U47" i="44"/>
  <c r="AL46" i="39" l="1"/>
  <c r="AD46" i="39"/>
  <c r="U46" i="39"/>
  <c r="G45" i="39"/>
  <c r="F45" i="39"/>
  <c r="X43" i="39"/>
  <c r="AF43" i="39" s="1"/>
  <c r="AK107" i="35"/>
  <c r="AC107" i="35"/>
  <c r="U107" i="35"/>
  <c r="G106" i="35"/>
  <c r="F106" i="35"/>
  <c r="W104" i="35"/>
  <c r="AE104" i="35" s="1"/>
  <c r="AK103" i="35"/>
  <c r="AC103" i="35"/>
  <c r="U103" i="35"/>
  <c r="G102" i="35"/>
  <c r="F102" i="35"/>
  <c r="W100" i="35"/>
  <c r="AE100" i="35" s="1"/>
  <c r="AK99" i="35"/>
  <c r="AC99" i="35"/>
  <c r="U99" i="35"/>
  <c r="G98" i="35"/>
  <c r="F98" i="35"/>
  <c r="H98" i="35" s="1"/>
  <c r="W96" i="35"/>
  <c r="AE96" i="35" s="1"/>
  <c r="AK95" i="35"/>
  <c r="AC95" i="35"/>
  <c r="U95" i="35"/>
  <c r="G94" i="35"/>
  <c r="F94" i="35"/>
  <c r="W92" i="35"/>
  <c r="AE92" i="35" s="1"/>
  <c r="AK91" i="35"/>
  <c r="AC91" i="35"/>
  <c r="U91" i="35"/>
  <c r="G90" i="35"/>
  <c r="F90" i="35"/>
  <c r="W88" i="35"/>
  <c r="AE88" i="35" s="1"/>
  <c r="AK106" i="33"/>
  <c r="AC106" i="33"/>
  <c r="U106" i="33"/>
  <c r="G105" i="33"/>
  <c r="F105" i="33"/>
  <c r="W103" i="33"/>
  <c r="AE103" i="33" s="1"/>
  <c r="AK102" i="33"/>
  <c r="AC102" i="33"/>
  <c r="U102" i="33"/>
  <c r="G101" i="33"/>
  <c r="F101" i="33"/>
  <c r="H101" i="33" s="1"/>
  <c r="W99" i="33"/>
  <c r="AE99" i="33" s="1"/>
  <c r="AK98" i="33"/>
  <c r="AC98" i="33"/>
  <c r="U98" i="33"/>
  <c r="G97" i="33"/>
  <c r="F97" i="33"/>
  <c r="H97" i="33" s="1"/>
  <c r="W95" i="33"/>
  <c r="AE95" i="33" s="1"/>
  <c r="AK94" i="33"/>
  <c r="AC94" i="33"/>
  <c r="U94" i="33"/>
  <c r="G93" i="33"/>
  <c r="F93" i="33"/>
  <c r="W91" i="33"/>
  <c r="AE91" i="33" s="1"/>
  <c r="AK90" i="33"/>
  <c r="AC90" i="33"/>
  <c r="U90" i="33"/>
  <c r="G89" i="33"/>
  <c r="F89" i="33"/>
  <c r="W87" i="33"/>
  <c r="AE87" i="33" s="1"/>
  <c r="AK107" i="31"/>
  <c r="AC107" i="31"/>
  <c r="U107" i="31"/>
  <c r="G106" i="31"/>
  <c r="F106" i="31"/>
  <c r="H106" i="31" s="1"/>
  <c r="W104" i="31"/>
  <c r="AE104" i="31" s="1"/>
  <c r="AK103" i="31"/>
  <c r="AC103" i="31"/>
  <c r="U103" i="31"/>
  <c r="H102" i="31"/>
  <c r="G102" i="31"/>
  <c r="F102" i="31"/>
  <c r="W100" i="31"/>
  <c r="AE100" i="31" s="1"/>
  <c r="AK99" i="31"/>
  <c r="AC99" i="31"/>
  <c r="U99" i="31"/>
  <c r="G98" i="31"/>
  <c r="H98" i="31" s="1"/>
  <c r="F98" i="31"/>
  <c r="W96" i="31"/>
  <c r="AE96" i="31" s="1"/>
  <c r="AK95" i="31"/>
  <c r="AC95" i="31"/>
  <c r="U95" i="31"/>
  <c r="G94" i="31"/>
  <c r="F94" i="31"/>
  <c r="H94" i="31" s="1"/>
  <c r="W92" i="31"/>
  <c r="AE92" i="31" s="1"/>
  <c r="AK91" i="31"/>
  <c r="AC91" i="31"/>
  <c r="U91" i="31"/>
  <c r="G90" i="31"/>
  <c r="F90" i="31"/>
  <c r="H90" i="31" s="1"/>
  <c r="W88" i="31"/>
  <c r="AE88" i="31" s="1"/>
  <c r="AK58" i="52"/>
  <c r="AC58" i="52"/>
  <c r="U58" i="52"/>
  <c r="G57" i="52"/>
  <c r="H57" i="52" s="1"/>
  <c r="F57" i="52"/>
  <c r="W55" i="52"/>
  <c r="AE55" i="52" s="1"/>
  <c r="AK54" i="52"/>
  <c r="AC54" i="52"/>
  <c r="U54" i="52"/>
  <c r="G53" i="52"/>
  <c r="F53" i="52"/>
  <c r="H53" i="52" s="1"/>
  <c r="W51" i="52"/>
  <c r="AE51" i="52" s="1"/>
  <c r="AK50" i="52"/>
  <c r="AC50" i="52"/>
  <c r="U50" i="52"/>
  <c r="H49" i="52"/>
  <c r="G49" i="52"/>
  <c r="F49" i="52"/>
  <c r="W47" i="52"/>
  <c r="AE47" i="52" s="1"/>
  <c r="AK46" i="52"/>
  <c r="AC46" i="52"/>
  <c r="U46" i="52"/>
  <c r="G45" i="52"/>
  <c r="H45" i="52" s="1"/>
  <c r="F45" i="52"/>
  <c r="W43" i="52"/>
  <c r="AE43" i="52" s="1"/>
  <c r="AK42" i="52"/>
  <c r="AC42" i="52"/>
  <c r="U42" i="52"/>
  <c r="G41" i="52"/>
  <c r="F41" i="52"/>
  <c r="H41" i="52" s="1"/>
  <c r="W39" i="52"/>
  <c r="AE39" i="52" s="1"/>
  <c r="AK38" i="52"/>
  <c r="AC38" i="52"/>
  <c r="U38" i="52"/>
  <c r="G37" i="52"/>
  <c r="F37" i="52"/>
  <c r="H37" i="52" s="1"/>
  <c r="W35" i="52"/>
  <c r="AE35" i="52" s="1"/>
  <c r="AK34" i="52"/>
  <c r="AC34" i="52"/>
  <c r="U34" i="52"/>
  <c r="G33" i="52"/>
  <c r="H33" i="52" s="1"/>
  <c r="F33" i="52"/>
  <c r="W31" i="52"/>
  <c r="AE31" i="52" s="1"/>
  <c r="AK30" i="52"/>
  <c r="AC30" i="52"/>
  <c r="U30" i="52"/>
  <c r="G29" i="52"/>
  <c r="F29" i="52"/>
  <c r="W27" i="52"/>
  <c r="AE27" i="52" s="1"/>
  <c r="AK26" i="52"/>
  <c r="AC26" i="52"/>
  <c r="U26" i="52"/>
  <c r="G25" i="52"/>
  <c r="F25" i="52"/>
  <c r="W23" i="52"/>
  <c r="AE23" i="52" s="1"/>
  <c r="AK22" i="52"/>
  <c r="AC22" i="52"/>
  <c r="U22" i="52"/>
  <c r="G21" i="52"/>
  <c r="F21" i="52"/>
  <c r="H21" i="52" s="1"/>
  <c r="W19" i="52"/>
  <c r="AE19" i="52" s="1"/>
  <c r="AK18" i="52"/>
  <c r="AC18" i="52"/>
  <c r="U18" i="52"/>
  <c r="G17" i="52"/>
  <c r="H17" i="52" s="1"/>
  <c r="F17" i="52"/>
  <c r="AK14" i="52"/>
  <c r="AC14" i="52"/>
  <c r="U14" i="52"/>
  <c r="G13" i="52"/>
  <c r="F13" i="52"/>
  <c r="H13" i="52" s="1"/>
  <c r="AK58" i="51"/>
  <c r="AC58" i="51"/>
  <c r="U58" i="51"/>
  <c r="H57" i="51"/>
  <c r="G57" i="51"/>
  <c r="F57" i="51"/>
  <c r="W55" i="51"/>
  <c r="AE55" i="51" s="1"/>
  <c r="AK54" i="51"/>
  <c r="AC54" i="51"/>
  <c r="U54" i="51"/>
  <c r="G53" i="51"/>
  <c r="H53" i="51" s="1"/>
  <c r="F53" i="51"/>
  <c r="W51" i="51"/>
  <c r="AE51" i="51" s="1"/>
  <c r="AK50" i="51"/>
  <c r="AC50" i="51"/>
  <c r="U50" i="51"/>
  <c r="G49" i="51"/>
  <c r="F49" i="51"/>
  <c r="H49" i="51" s="1"/>
  <c r="W47" i="51"/>
  <c r="AE47" i="51" s="1"/>
  <c r="AK46" i="51"/>
  <c r="AC46" i="51"/>
  <c r="U46" i="51"/>
  <c r="H45" i="51"/>
  <c r="G45" i="51"/>
  <c r="F45" i="51"/>
  <c r="W43" i="51"/>
  <c r="AE43" i="51" s="1"/>
  <c r="AK42" i="51"/>
  <c r="AC42" i="51"/>
  <c r="U42" i="51"/>
  <c r="G41" i="51"/>
  <c r="H41" i="51" s="1"/>
  <c r="F41" i="51"/>
  <c r="W39" i="51"/>
  <c r="AE39" i="51" s="1"/>
  <c r="AK38" i="51"/>
  <c r="AC38" i="51"/>
  <c r="U38" i="51"/>
  <c r="G37" i="51"/>
  <c r="F37" i="51"/>
  <c r="H37" i="51" s="1"/>
  <c r="W35" i="51"/>
  <c r="AE35" i="51" s="1"/>
  <c r="AK34" i="51"/>
  <c r="AC34" i="51"/>
  <c r="U34" i="51"/>
  <c r="G33" i="51"/>
  <c r="F33" i="51"/>
  <c r="H33" i="51" s="1"/>
  <c r="W31" i="51"/>
  <c r="AE31" i="51" s="1"/>
  <c r="AK30" i="51"/>
  <c r="AC30" i="51"/>
  <c r="U30" i="51"/>
  <c r="G29" i="51"/>
  <c r="F29" i="51"/>
  <c r="W27" i="51"/>
  <c r="AE27" i="51" s="1"/>
  <c r="AK26" i="51"/>
  <c r="AC26" i="51"/>
  <c r="U26" i="51"/>
  <c r="G25" i="51"/>
  <c r="F25" i="51"/>
  <c r="W23" i="51"/>
  <c r="AE23" i="51" s="1"/>
  <c r="AK22" i="51"/>
  <c r="AC22" i="51"/>
  <c r="U22" i="51"/>
  <c r="G21" i="51"/>
  <c r="H21" i="51" s="1"/>
  <c r="F21" i="51"/>
  <c r="W19" i="51"/>
  <c r="AE19" i="51" s="1"/>
  <c r="AK18" i="51"/>
  <c r="AC18" i="51"/>
  <c r="U18" i="51"/>
  <c r="G17" i="51"/>
  <c r="F17" i="51"/>
  <c r="AK14" i="51"/>
  <c r="AC14" i="51"/>
  <c r="U14" i="51"/>
  <c r="G13" i="51"/>
  <c r="F13" i="51"/>
  <c r="H13" i="51" s="1"/>
  <c r="AK58" i="50"/>
  <c r="AC58" i="50"/>
  <c r="U58" i="50"/>
  <c r="G57" i="50"/>
  <c r="F57" i="50"/>
  <c r="W55" i="50"/>
  <c r="AE55" i="50" s="1"/>
  <c r="AK54" i="50"/>
  <c r="AC54" i="50"/>
  <c r="U54" i="50"/>
  <c r="G53" i="50"/>
  <c r="F53" i="50"/>
  <c r="W51" i="50"/>
  <c r="AE51" i="50" s="1"/>
  <c r="AK50" i="50"/>
  <c r="AC50" i="50"/>
  <c r="U50" i="50"/>
  <c r="G49" i="50"/>
  <c r="H49" i="50" s="1"/>
  <c r="F49" i="50"/>
  <c r="W47" i="50"/>
  <c r="AE47" i="50" s="1"/>
  <c r="AK46" i="50"/>
  <c r="AC46" i="50"/>
  <c r="U46" i="50"/>
  <c r="G45" i="50"/>
  <c r="H45" i="50" s="1"/>
  <c r="F45" i="50"/>
  <c r="W43" i="50"/>
  <c r="AE43" i="50" s="1"/>
  <c r="AK42" i="50"/>
  <c r="AC42" i="50"/>
  <c r="U42" i="50"/>
  <c r="G41" i="50"/>
  <c r="H41" i="50" s="1"/>
  <c r="F41" i="50"/>
  <c r="W39" i="50"/>
  <c r="AE39" i="50" s="1"/>
  <c r="AK38" i="50"/>
  <c r="AC38" i="50"/>
  <c r="U38" i="50"/>
  <c r="G37" i="50"/>
  <c r="F37" i="50"/>
  <c r="W35" i="50"/>
  <c r="AE35" i="50" s="1"/>
  <c r="AK34" i="50"/>
  <c r="AC34" i="50"/>
  <c r="U34" i="50"/>
  <c r="G33" i="50"/>
  <c r="H33" i="50" s="1"/>
  <c r="F33" i="50"/>
  <c r="W31" i="50"/>
  <c r="AE31" i="50" s="1"/>
  <c r="AK30" i="50"/>
  <c r="AC30" i="50"/>
  <c r="U30" i="50"/>
  <c r="G29" i="50"/>
  <c r="F29" i="50"/>
  <c r="W27" i="50"/>
  <c r="AE27" i="50" s="1"/>
  <c r="AK26" i="50"/>
  <c r="AC26" i="50"/>
  <c r="U26" i="50"/>
  <c r="G25" i="50"/>
  <c r="F25" i="50"/>
  <c r="W23" i="50"/>
  <c r="AE23" i="50" s="1"/>
  <c r="AK22" i="50"/>
  <c r="AC22" i="50"/>
  <c r="U22" i="50"/>
  <c r="G21" i="50"/>
  <c r="F21" i="50"/>
  <c r="W19" i="50"/>
  <c r="AE19" i="50" s="1"/>
  <c r="AK18" i="50"/>
  <c r="AC18" i="50"/>
  <c r="U18" i="50"/>
  <c r="G17" i="50"/>
  <c r="F17" i="50"/>
  <c r="AK14" i="50"/>
  <c r="AC14" i="50"/>
  <c r="U14" i="50"/>
  <c r="G13" i="50"/>
  <c r="F13" i="50"/>
  <c r="AK63" i="49"/>
  <c r="AC63" i="49"/>
  <c r="U63" i="49"/>
  <c r="G62" i="49"/>
  <c r="F62" i="49"/>
  <c r="W60" i="49"/>
  <c r="AE60" i="49" s="1"/>
  <c r="AK59" i="49"/>
  <c r="AC59" i="49"/>
  <c r="U59" i="49"/>
  <c r="G58" i="49"/>
  <c r="F58" i="49"/>
  <c r="W56" i="49"/>
  <c r="AE56" i="49" s="1"/>
  <c r="AK55" i="49"/>
  <c r="AC55" i="49"/>
  <c r="U55" i="49"/>
  <c r="G54" i="49"/>
  <c r="F54" i="49"/>
  <c r="W52" i="49"/>
  <c r="AE52" i="49" s="1"/>
  <c r="AK51" i="49"/>
  <c r="AC51" i="49"/>
  <c r="U51" i="49"/>
  <c r="G50" i="49"/>
  <c r="F50" i="49"/>
  <c r="W48" i="49"/>
  <c r="AE48" i="49" s="1"/>
  <c r="AK47" i="49"/>
  <c r="AC47" i="49"/>
  <c r="U47" i="49"/>
  <c r="G46" i="49"/>
  <c r="F46" i="49"/>
  <c r="W44" i="49"/>
  <c r="AE44" i="49" s="1"/>
  <c r="AK43" i="49"/>
  <c r="AC43" i="49"/>
  <c r="U43" i="49"/>
  <c r="G42" i="49"/>
  <c r="F42" i="49"/>
  <c r="W40" i="49"/>
  <c r="AE40" i="49" s="1"/>
  <c r="AK39" i="49"/>
  <c r="AC39" i="49"/>
  <c r="U39" i="49"/>
  <c r="G38" i="49"/>
  <c r="F38" i="49"/>
  <c r="W36" i="49"/>
  <c r="AE36" i="49" s="1"/>
  <c r="AK35" i="49"/>
  <c r="AC35" i="49"/>
  <c r="U35" i="49"/>
  <c r="G34" i="49"/>
  <c r="F34" i="49"/>
  <c r="W32" i="49"/>
  <c r="AE32" i="49" s="1"/>
  <c r="AK31" i="49"/>
  <c r="AC31" i="49"/>
  <c r="U31" i="49"/>
  <c r="G30" i="49"/>
  <c r="F30" i="49"/>
  <c r="W28" i="49"/>
  <c r="AE28" i="49" s="1"/>
  <c r="AK27" i="49"/>
  <c r="AC27" i="49"/>
  <c r="U27" i="49"/>
  <c r="G26" i="49"/>
  <c r="F26" i="49"/>
  <c r="W24" i="49"/>
  <c r="AE24" i="49" s="1"/>
  <c r="AK23" i="49"/>
  <c r="AC23" i="49"/>
  <c r="U23" i="49"/>
  <c r="G22" i="49"/>
  <c r="F22" i="49"/>
  <c r="AK19" i="49"/>
  <c r="AC19" i="49"/>
  <c r="U19" i="49"/>
  <c r="G18" i="49"/>
  <c r="F18" i="49"/>
  <c r="AK58" i="48"/>
  <c r="AC58" i="48"/>
  <c r="U58" i="48"/>
  <c r="G57" i="48"/>
  <c r="F57" i="48"/>
  <c r="H57" i="48" s="1"/>
  <c r="W55" i="48"/>
  <c r="AE55" i="48" s="1"/>
  <c r="AK54" i="48"/>
  <c r="AC54" i="48"/>
  <c r="U54" i="48"/>
  <c r="G53" i="48"/>
  <c r="F53" i="48"/>
  <c r="H53" i="48" s="1"/>
  <c r="W51" i="48"/>
  <c r="AE51" i="48" s="1"/>
  <c r="AK50" i="48"/>
  <c r="AC50" i="48"/>
  <c r="U50" i="48"/>
  <c r="G49" i="48"/>
  <c r="F49" i="48"/>
  <c r="W47" i="48"/>
  <c r="AE47" i="48" s="1"/>
  <c r="AK46" i="48"/>
  <c r="AC46" i="48"/>
  <c r="U46" i="48"/>
  <c r="G45" i="48"/>
  <c r="F45" i="48"/>
  <c r="W43" i="48"/>
  <c r="AE43" i="48" s="1"/>
  <c r="AK42" i="48"/>
  <c r="AC42" i="48"/>
  <c r="U42" i="48"/>
  <c r="G41" i="48"/>
  <c r="H41" i="48" s="1"/>
  <c r="F41" i="48"/>
  <c r="W39" i="48"/>
  <c r="AE39" i="48" s="1"/>
  <c r="AK38" i="48"/>
  <c r="AC38" i="48"/>
  <c r="U38" i="48"/>
  <c r="G37" i="48"/>
  <c r="F37" i="48"/>
  <c r="W35" i="48"/>
  <c r="AE35" i="48" s="1"/>
  <c r="AK34" i="48"/>
  <c r="AC34" i="48"/>
  <c r="U34" i="48"/>
  <c r="G33" i="48"/>
  <c r="F33" i="48"/>
  <c r="W31" i="48"/>
  <c r="AE31" i="48" s="1"/>
  <c r="AK30" i="48"/>
  <c r="AC30" i="48"/>
  <c r="U30" i="48"/>
  <c r="G29" i="48"/>
  <c r="F29" i="48"/>
  <c r="W27" i="48"/>
  <c r="AE27" i="48" s="1"/>
  <c r="AK26" i="48"/>
  <c r="AC26" i="48"/>
  <c r="U26" i="48"/>
  <c r="G25" i="48"/>
  <c r="H25" i="48" s="1"/>
  <c r="F25" i="48"/>
  <c r="W23" i="48"/>
  <c r="AE23" i="48" s="1"/>
  <c r="AK22" i="48"/>
  <c r="AC22" i="48"/>
  <c r="U22" i="48"/>
  <c r="G21" i="48"/>
  <c r="F21" i="48"/>
  <c r="W19" i="48"/>
  <c r="AE19" i="48" s="1"/>
  <c r="AK18" i="48"/>
  <c r="AC18" i="48"/>
  <c r="U18" i="48"/>
  <c r="G17" i="48"/>
  <c r="F17" i="48"/>
  <c r="AK14" i="48"/>
  <c r="AC14" i="48"/>
  <c r="U14" i="48"/>
  <c r="G13" i="48"/>
  <c r="F13" i="48"/>
  <c r="H13" i="48" s="1"/>
  <c r="H29" i="52" l="1"/>
  <c r="H29" i="50"/>
  <c r="H29" i="51"/>
  <c r="H25" i="51"/>
  <c r="H25" i="52"/>
  <c r="H25" i="50"/>
  <c r="H17" i="51"/>
  <c r="H17" i="50"/>
  <c r="H13" i="50"/>
  <c r="H106" i="35"/>
  <c r="H21" i="50"/>
  <c r="H37" i="50"/>
  <c r="H53" i="50"/>
  <c r="H21" i="48"/>
  <c r="H37" i="48"/>
  <c r="H26" i="49"/>
  <c r="H17" i="48"/>
  <c r="H33" i="48"/>
  <c r="H29" i="48"/>
  <c r="H45" i="48"/>
  <c r="H18" i="49"/>
  <c r="H57" i="50"/>
  <c r="H89" i="33"/>
  <c r="H105" i="33"/>
  <c r="H38" i="49"/>
  <c r="H42" i="49"/>
  <c r="H54" i="49"/>
  <c r="H22" i="49"/>
  <c r="H30" i="49"/>
  <c r="H34" i="49"/>
  <c r="H50" i="49"/>
  <c r="H58" i="49"/>
  <c r="H46" i="49"/>
  <c r="H62" i="49"/>
  <c r="H102" i="35"/>
  <c r="H49" i="48"/>
  <c r="H93" i="33"/>
  <c r="H94" i="35"/>
  <c r="H90" i="35"/>
  <c r="H45" i="39"/>
  <c r="U31" i="36"/>
  <c r="AK88" i="47"/>
  <c r="AC88" i="47"/>
  <c r="U88" i="47"/>
  <c r="G87" i="47"/>
  <c r="F87" i="47"/>
  <c r="W85" i="47"/>
  <c r="AE85" i="47" s="1"/>
  <c r="AK84" i="47"/>
  <c r="AC84" i="47"/>
  <c r="U84" i="47"/>
  <c r="G83" i="47"/>
  <c r="F83" i="47"/>
  <c r="W81" i="47"/>
  <c r="AE81" i="47" s="1"/>
  <c r="AK80" i="47"/>
  <c r="AC80" i="47"/>
  <c r="U80" i="47"/>
  <c r="G79" i="47"/>
  <c r="F79" i="47"/>
  <c r="H79" i="47" s="1"/>
  <c r="W77" i="47"/>
  <c r="AE77" i="47" s="1"/>
  <c r="AK76" i="47"/>
  <c r="AC76" i="47"/>
  <c r="U76" i="47"/>
  <c r="G75" i="47"/>
  <c r="F75" i="47"/>
  <c r="W73" i="47"/>
  <c r="AE73" i="47" s="1"/>
  <c r="AK72" i="47"/>
  <c r="AC72" i="47"/>
  <c r="U72" i="47"/>
  <c r="G71" i="47"/>
  <c r="F71" i="47"/>
  <c r="W69" i="47"/>
  <c r="AE69" i="47" s="1"/>
  <c r="AK68" i="47"/>
  <c r="AC68" i="47"/>
  <c r="U68" i="47"/>
  <c r="G67" i="47"/>
  <c r="F67" i="47"/>
  <c r="H67" i="47" s="1"/>
  <c r="W65" i="47"/>
  <c r="AE65" i="47" s="1"/>
  <c r="AK64" i="47"/>
  <c r="AC64" i="47"/>
  <c r="U64" i="47"/>
  <c r="G63" i="47"/>
  <c r="H63" i="47" s="1"/>
  <c r="F63" i="47"/>
  <c r="W61" i="47"/>
  <c r="AE61" i="47" s="1"/>
  <c r="AK60" i="47"/>
  <c r="AC60" i="47"/>
  <c r="U60" i="47"/>
  <c r="G59" i="47"/>
  <c r="F59" i="47"/>
  <c r="H59" i="47" s="1"/>
  <c r="W57" i="47"/>
  <c r="AE57" i="47" s="1"/>
  <c r="AK56" i="47"/>
  <c r="AC56" i="47"/>
  <c r="U56" i="47"/>
  <c r="G55" i="47"/>
  <c r="F55" i="47"/>
  <c r="H55" i="47" s="1"/>
  <c r="W53" i="47"/>
  <c r="AE53" i="47" s="1"/>
  <c r="AK52" i="47"/>
  <c r="AC52" i="47"/>
  <c r="U52" i="47"/>
  <c r="G51" i="47"/>
  <c r="H51" i="47" s="1"/>
  <c r="F51" i="47"/>
  <c r="W49" i="47"/>
  <c r="AE49" i="47" s="1"/>
  <c r="AK48" i="47"/>
  <c r="AC48" i="47"/>
  <c r="U48" i="47"/>
  <c r="G47" i="47"/>
  <c r="F47" i="47"/>
  <c r="H47" i="47" s="1"/>
  <c r="W45" i="47"/>
  <c r="AE45" i="47" s="1"/>
  <c r="AK44" i="47"/>
  <c r="AC44" i="47"/>
  <c r="U44" i="47"/>
  <c r="G43" i="47"/>
  <c r="F43" i="47"/>
  <c r="W41" i="47"/>
  <c r="AE41" i="47" s="1"/>
  <c r="AK40" i="47"/>
  <c r="AC40" i="47"/>
  <c r="U40" i="47"/>
  <c r="G39" i="47"/>
  <c r="H39" i="47" s="1"/>
  <c r="F39" i="47"/>
  <c r="W37" i="47"/>
  <c r="AE37" i="47" s="1"/>
  <c r="AK36" i="47"/>
  <c r="AC36" i="47"/>
  <c r="U36" i="47"/>
  <c r="G35" i="47"/>
  <c r="F35" i="47"/>
  <c r="W33" i="47"/>
  <c r="AE33" i="47" s="1"/>
  <c r="AK32" i="47"/>
  <c r="AC32" i="47"/>
  <c r="U32" i="47"/>
  <c r="G31" i="47"/>
  <c r="F31" i="47"/>
  <c r="W29" i="47"/>
  <c r="AE29" i="47" s="1"/>
  <c r="AK28" i="47"/>
  <c r="AC28" i="47"/>
  <c r="U28" i="47"/>
  <c r="G27" i="47"/>
  <c r="H27" i="47" s="1"/>
  <c r="F27" i="47"/>
  <c r="W25" i="47"/>
  <c r="AE25" i="47" s="1"/>
  <c r="AK24" i="47"/>
  <c r="AC24" i="47"/>
  <c r="U24" i="47"/>
  <c r="G23" i="47"/>
  <c r="H23" i="47" s="1"/>
  <c r="F23" i="47"/>
  <c r="W21" i="47"/>
  <c r="AE21" i="47" s="1"/>
  <c r="AK20" i="47"/>
  <c r="AC20" i="47"/>
  <c r="U20" i="47"/>
  <c r="G19" i="47"/>
  <c r="F19" i="47"/>
  <c r="W17" i="47"/>
  <c r="AE17" i="47" s="1"/>
  <c r="AK16" i="47"/>
  <c r="AC16" i="47"/>
  <c r="U16" i="47"/>
  <c r="G15" i="47"/>
  <c r="F15" i="47"/>
  <c r="W13" i="47"/>
  <c r="AE13" i="47" s="1"/>
  <c r="AK12" i="47"/>
  <c r="AC12" i="47"/>
  <c r="U12" i="47"/>
  <c r="G11" i="47"/>
  <c r="H11" i="47" s="1"/>
  <c r="F11" i="47"/>
  <c r="H19" i="47" l="1"/>
  <c r="H35" i="47"/>
  <c r="H31" i="47"/>
  <c r="H43" i="47"/>
  <c r="H15" i="47"/>
  <c r="H87" i="47"/>
  <c r="H83" i="47"/>
  <c r="H75" i="47"/>
  <c r="H71" i="47"/>
  <c r="AK89" i="46"/>
  <c r="AC89" i="46"/>
  <c r="U89" i="46"/>
  <c r="G88" i="46"/>
  <c r="F88" i="46"/>
  <c r="W86" i="46"/>
  <c r="AE86" i="46" s="1"/>
  <c r="AK85" i="46"/>
  <c r="AC85" i="46"/>
  <c r="U85" i="46"/>
  <c r="G84" i="46"/>
  <c r="F84" i="46"/>
  <c r="W82" i="46"/>
  <c r="AE82" i="46" s="1"/>
  <c r="AK81" i="46"/>
  <c r="AC81" i="46"/>
  <c r="U81" i="46"/>
  <c r="G80" i="46"/>
  <c r="F80" i="46"/>
  <c r="W78" i="46"/>
  <c r="AE78" i="46" s="1"/>
  <c r="AK77" i="46"/>
  <c r="AC77" i="46"/>
  <c r="U77" i="46"/>
  <c r="G76" i="46"/>
  <c r="F76" i="46"/>
  <c r="W74" i="46"/>
  <c r="AE74" i="46" s="1"/>
  <c r="AK73" i="46"/>
  <c r="AC73" i="46"/>
  <c r="U73" i="46"/>
  <c r="G72" i="46"/>
  <c r="F72" i="46"/>
  <c r="W70" i="46"/>
  <c r="AE70" i="46" s="1"/>
  <c r="AK69" i="46"/>
  <c r="AC69" i="46"/>
  <c r="U69" i="46"/>
  <c r="G68" i="46"/>
  <c r="F68" i="46"/>
  <c r="W66" i="46"/>
  <c r="AE66" i="46" s="1"/>
  <c r="AK65" i="46"/>
  <c r="AC65" i="46"/>
  <c r="U65" i="46"/>
  <c r="G64" i="46"/>
  <c r="H64" i="46" s="1"/>
  <c r="F64" i="46"/>
  <c r="W62" i="46"/>
  <c r="AE62" i="46" s="1"/>
  <c r="AK61" i="46"/>
  <c r="AC61" i="46"/>
  <c r="U61" i="46"/>
  <c r="G60" i="46"/>
  <c r="F60" i="46"/>
  <c r="H60" i="46" s="1"/>
  <c r="W58" i="46"/>
  <c r="AE58" i="46" s="1"/>
  <c r="AK57" i="46"/>
  <c r="AC57" i="46"/>
  <c r="U57" i="46"/>
  <c r="G56" i="46"/>
  <c r="F56" i="46"/>
  <c r="H56" i="46" s="1"/>
  <c r="W54" i="46"/>
  <c r="AE54" i="46" s="1"/>
  <c r="AK53" i="46"/>
  <c r="AC53" i="46"/>
  <c r="U53" i="46"/>
  <c r="G52" i="46"/>
  <c r="F52" i="46"/>
  <c r="H52" i="46" s="1"/>
  <c r="W50" i="46"/>
  <c r="AE50" i="46" s="1"/>
  <c r="AK49" i="46"/>
  <c r="AC49" i="46"/>
  <c r="U49" i="46"/>
  <c r="G48" i="46"/>
  <c r="F48" i="46"/>
  <c r="W46" i="46"/>
  <c r="AE46" i="46" s="1"/>
  <c r="AK45" i="46"/>
  <c r="AC45" i="46"/>
  <c r="U45" i="46"/>
  <c r="G44" i="46"/>
  <c r="F44" i="46"/>
  <c r="W42" i="46"/>
  <c r="AE42" i="46" s="1"/>
  <c r="AK41" i="46"/>
  <c r="AC41" i="46"/>
  <c r="U41" i="46"/>
  <c r="G40" i="46"/>
  <c r="F40" i="46"/>
  <c r="H40" i="46" s="1"/>
  <c r="W38" i="46"/>
  <c r="AE38" i="46" s="1"/>
  <c r="AK37" i="46"/>
  <c r="AC37" i="46"/>
  <c r="U37" i="46"/>
  <c r="G36" i="46"/>
  <c r="F36" i="46"/>
  <c r="H36" i="46" s="1"/>
  <c r="W34" i="46"/>
  <c r="AE34" i="46" s="1"/>
  <c r="AK33" i="46"/>
  <c r="AC33" i="46"/>
  <c r="U33" i="46"/>
  <c r="G32" i="46"/>
  <c r="F32" i="46"/>
  <c r="W30" i="46"/>
  <c r="AE30" i="46" s="1"/>
  <c r="AK29" i="46"/>
  <c r="AC29" i="46"/>
  <c r="U29" i="46"/>
  <c r="G28" i="46"/>
  <c r="F28" i="46"/>
  <c r="H28" i="46" s="1"/>
  <c r="W26" i="46"/>
  <c r="AE26" i="46" s="1"/>
  <c r="AK25" i="46"/>
  <c r="AC25" i="46"/>
  <c r="U25" i="46"/>
  <c r="G24" i="46"/>
  <c r="F24" i="46"/>
  <c r="H24" i="46" s="1"/>
  <c r="W22" i="46"/>
  <c r="AE22" i="46" s="1"/>
  <c r="AK21" i="46"/>
  <c r="AC21" i="46"/>
  <c r="U21" i="46"/>
  <c r="G20" i="46"/>
  <c r="F20" i="46"/>
  <c r="H20" i="46" s="1"/>
  <c r="W18" i="46"/>
  <c r="AE18" i="46" s="1"/>
  <c r="AK17" i="46"/>
  <c r="AC17" i="46"/>
  <c r="U17" i="46"/>
  <c r="G16" i="46"/>
  <c r="F16" i="46"/>
  <c r="W14" i="46"/>
  <c r="AE14" i="46" s="1"/>
  <c r="AK13" i="46"/>
  <c r="AC13" i="46"/>
  <c r="U13" i="46"/>
  <c r="G12" i="46"/>
  <c r="F12" i="46"/>
  <c r="H12" i="46" s="1"/>
  <c r="H16" i="46" l="1"/>
  <c r="H32" i="46"/>
  <c r="H48" i="46"/>
  <c r="H44" i="46"/>
  <c r="H72" i="46"/>
  <c r="H80" i="46"/>
  <c r="H88" i="46"/>
  <c r="H84" i="46"/>
  <c r="H76" i="46"/>
  <c r="H68" i="46"/>
  <c r="AK87" i="35"/>
  <c r="AC87" i="35"/>
  <c r="U87" i="35"/>
  <c r="G86" i="35"/>
  <c r="F86" i="35"/>
  <c r="H86" i="35" s="1"/>
  <c r="W84" i="35"/>
  <c r="AE84" i="35" s="1"/>
  <c r="AK83" i="35"/>
  <c r="AC83" i="35"/>
  <c r="U83" i="35"/>
  <c r="G82" i="35"/>
  <c r="F82" i="35"/>
  <c r="W80" i="35"/>
  <c r="AE80" i="35" s="1"/>
  <c r="AK79" i="35"/>
  <c r="AC79" i="35"/>
  <c r="U79" i="35"/>
  <c r="G78" i="35"/>
  <c r="F78" i="35"/>
  <c r="H78" i="35" s="1"/>
  <c r="W76" i="35"/>
  <c r="AE76" i="35" s="1"/>
  <c r="AK75" i="35"/>
  <c r="AC75" i="35"/>
  <c r="U75" i="35"/>
  <c r="G74" i="35"/>
  <c r="F74" i="35"/>
  <c r="W72" i="35"/>
  <c r="AE72" i="35" s="1"/>
  <c r="AK86" i="33"/>
  <c r="AC86" i="33"/>
  <c r="U86" i="33"/>
  <c r="G85" i="33"/>
  <c r="F85" i="33"/>
  <c r="W83" i="33"/>
  <c r="AE83" i="33" s="1"/>
  <c r="AK82" i="33"/>
  <c r="AC82" i="33"/>
  <c r="U82" i="33"/>
  <c r="G81" i="33"/>
  <c r="F81" i="33"/>
  <c r="H81" i="33" s="1"/>
  <c r="W79" i="33"/>
  <c r="AE79" i="33" s="1"/>
  <c r="AK78" i="33"/>
  <c r="AC78" i="33"/>
  <c r="U78" i="33"/>
  <c r="G77" i="33"/>
  <c r="H77" i="33" s="1"/>
  <c r="F77" i="33"/>
  <c r="W75" i="33"/>
  <c r="AE75" i="33" s="1"/>
  <c r="AK74" i="33"/>
  <c r="AC74" i="33"/>
  <c r="U74" i="33"/>
  <c r="G73" i="33"/>
  <c r="F73" i="33"/>
  <c r="W71" i="33"/>
  <c r="AE71" i="33" s="1"/>
  <c r="AK70" i="33"/>
  <c r="AC70" i="33"/>
  <c r="U70" i="33"/>
  <c r="G69" i="33"/>
  <c r="F69" i="33"/>
  <c r="W67" i="33"/>
  <c r="AE67" i="33" s="1"/>
  <c r="AL87" i="31"/>
  <c r="AD87" i="31"/>
  <c r="U87" i="31"/>
  <c r="G86" i="31"/>
  <c r="F86" i="31"/>
  <c r="X84" i="31"/>
  <c r="AF84" i="31" s="1"/>
  <c r="AL83" i="31"/>
  <c r="AD83" i="31"/>
  <c r="U83" i="31"/>
  <c r="G82" i="31"/>
  <c r="F82" i="31"/>
  <c r="X80" i="31"/>
  <c r="AF80" i="31" s="1"/>
  <c r="AL79" i="31"/>
  <c r="AD79" i="31"/>
  <c r="U79" i="31"/>
  <c r="G78" i="31"/>
  <c r="F78" i="31"/>
  <c r="X76" i="31"/>
  <c r="AF76" i="31" s="1"/>
  <c r="AL75" i="31"/>
  <c r="AD75" i="31"/>
  <c r="U75" i="31"/>
  <c r="G74" i="31"/>
  <c r="F74" i="31"/>
  <c r="X72" i="31"/>
  <c r="AF72" i="31" s="1"/>
  <c r="AL71" i="31"/>
  <c r="AD71" i="31"/>
  <c r="U71" i="31"/>
  <c r="G70" i="31"/>
  <c r="F70" i="31"/>
  <c r="X68" i="31"/>
  <c r="AF68" i="31" s="1"/>
  <c r="W68" i="35"/>
  <c r="AE68" i="35" s="1"/>
  <c r="F70" i="35"/>
  <c r="G70" i="35"/>
  <c r="H70" i="35" s="1"/>
  <c r="U71" i="35"/>
  <c r="AC71" i="35"/>
  <c r="AK71" i="35"/>
  <c r="W67" i="34"/>
  <c r="AE67" i="34" s="1"/>
  <c r="F69" i="34"/>
  <c r="G69" i="34"/>
  <c r="U70" i="34"/>
  <c r="AC70" i="34"/>
  <c r="AK70" i="34"/>
  <c r="AK58" i="45"/>
  <c r="AC58" i="45"/>
  <c r="U58" i="45"/>
  <c r="G57" i="45"/>
  <c r="F57" i="45"/>
  <c r="H57" i="45" s="1"/>
  <c r="W55" i="45"/>
  <c r="AE55" i="45" s="1"/>
  <c r="AK54" i="45"/>
  <c r="AC54" i="45"/>
  <c r="U54" i="45"/>
  <c r="G53" i="45"/>
  <c r="F53" i="45"/>
  <c r="H53" i="45" s="1"/>
  <c r="W51" i="45"/>
  <c r="AE51" i="45" s="1"/>
  <c r="AK50" i="45"/>
  <c r="AC50" i="45"/>
  <c r="U50" i="45"/>
  <c r="G49" i="45"/>
  <c r="F49" i="45"/>
  <c r="W47" i="45"/>
  <c r="AE47" i="45" s="1"/>
  <c r="AK46" i="45"/>
  <c r="AC46" i="45"/>
  <c r="U46" i="45"/>
  <c r="G45" i="45"/>
  <c r="F45" i="45"/>
  <c r="W43" i="45"/>
  <c r="AE43" i="45" s="1"/>
  <c r="AK42" i="45"/>
  <c r="AC42" i="45"/>
  <c r="U42" i="45"/>
  <c r="G41" i="45"/>
  <c r="F41" i="45"/>
  <c r="W39" i="45"/>
  <c r="AE39" i="45" s="1"/>
  <c r="AK38" i="45"/>
  <c r="AC38" i="45"/>
  <c r="U38" i="45"/>
  <c r="G37" i="45"/>
  <c r="F37" i="45"/>
  <c r="H37" i="45" s="1"/>
  <c r="W35" i="45"/>
  <c r="AE35" i="45" s="1"/>
  <c r="AK34" i="45"/>
  <c r="AC34" i="45"/>
  <c r="U34" i="45"/>
  <c r="G33" i="45"/>
  <c r="F33" i="45"/>
  <c r="H33" i="45" s="1"/>
  <c r="W31" i="45"/>
  <c r="AE31" i="45" s="1"/>
  <c r="AK30" i="45"/>
  <c r="AC30" i="45"/>
  <c r="U30" i="45"/>
  <c r="G29" i="45"/>
  <c r="F29" i="45"/>
  <c r="H29" i="45" s="1"/>
  <c r="W27" i="45"/>
  <c r="AE27" i="45" s="1"/>
  <c r="AK26" i="45"/>
  <c r="AC26" i="45"/>
  <c r="U26" i="45"/>
  <c r="G25" i="45"/>
  <c r="F25" i="45"/>
  <c r="H25" i="45" s="1"/>
  <c r="W23" i="45"/>
  <c r="AE23" i="45" s="1"/>
  <c r="AK22" i="45"/>
  <c r="AC22" i="45"/>
  <c r="U22" i="45"/>
  <c r="G21" i="45"/>
  <c r="F21" i="45"/>
  <c r="H21" i="45" s="1"/>
  <c r="W19" i="45"/>
  <c r="AE19" i="45" s="1"/>
  <c r="AK18" i="45"/>
  <c r="AC18" i="45"/>
  <c r="U18" i="45"/>
  <c r="H17" i="45"/>
  <c r="G17" i="45"/>
  <c r="F17" i="45"/>
  <c r="AK14" i="45"/>
  <c r="AC14" i="45"/>
  <c r="U14" i="45"/>
  <c r="G13" i="45"/>
  <c r="F13" i="45"/>
  <c r="H13" i="45" s="1"/>
  <c r="AM59" i="44"/>
  <c r="AE59" i="44"/>
  <c r="U59" i="44"/>
  <c r="G58" i="44"/>
  <c r="F58" i="44"/>
  <c r="H58" i="44" s="1"/>
  <c r="Y56" i="44"/>
  <c r="AG56" i="44" s="1"/>
  <c r="AM55" i="44"/>
  <c r="AE55" i="44"/>
  <c r="U55" i="44"/>
  <c r="G54" i="44"/>
  <c r="F54" i="44"/>
  <c r="Y52" i="44"/>
  <c r="AG52" i="44" s="1"/>
  <c r="AM51" i="44"/>
  <c r="AE51" i="44"/>
  <c r="G50" i="44"/>
  <c r="F50" i="44"/>
  <c r="Y48" i="44"/>
  <c r="AG48" i="44" s="1"/>
  <c r="AM47" i="44"/>
  <c r="AE47" i="44"/>
  <c r="G46" i="44"/>
  <c r="F46" i="44"/>
  <c r="Y44" i="44"/>
  <c r="AG44" i="44" s="1"/>
  <c r="AM43" i="44"/>
  <c r="AE43" i="44"/>
  <c r="U43" i="44"/>
  <c r="G42" i="44"/>
  <c r="F42" i="44"/>
  <c r="Y40" i="44"/>
  <c r="AG40" i="44" s="1"/>
  <c r="AM39" i="44"/>
  <c r="AE39" i="44"/>
  <c r="U39" i="44"/>
  <c r="G38" i="44"/>
  <c r="F38" i="44"/>
  <c r="Y36" i="44"/>
  <c r="AG36" i="44" s="1"/>
  <c r="AM35" i="44"/>
  <c r="AE35" i="44"/>
  <c r="U35" i="44"/>
  <c r="G34" i="44"/>
  <c r="F34" i="44"/>
  <c r="Y32" i="44"/>
  <c r="AG32" i="44" s="1"/>
  <c r="AM31" i="44"/>
  <c r="AE31" i="44"/>
  <c r="U31" i="44"/>
  <c r="G30" i="44"/>
  <c r="F30" i="44"/>
  <c r="Y28" i="44"/>
  <c r="AG28" i="44" s="1"/>
  <c r="AM27" i="44"/>
  <c r="AE27" i="44"/>
  <c r="U27" i="44"/>
  <c r="G26" i="44"/>
  <c r="F26" i="44"/>
  <c r="H26" i="44" s="1"/>
  <c r="Y24" i="44"/>
  <c r="AG24" i="44" s="1"/>
  <c r="AM23" i="44"/>
  <c r="AE23" i="44"/>
  <c r="U23" i="44"/>
  <c r="G22" i="44"/>
  <c r="F22" i="44"/>
  <c r="Y20" i="44"/>
  <c r="AG20" i="44" s="1"/>
  <c r="AM19" i="44"/>
  <c r="AE19" i="44"/>
  <c r="U19" i="44"/>
  <c r="G18" i="44"/>
  <c r="F18" i="44"/>
  <c r="AM15" i="44"/>
  <c r="AE15" i="44"/>
  <c r="U15" i="44"/>
  <c r="G14" i="44"/>
  <c r="F14" i="44"/>
  <c r="AK59" i="43"/>
  <c r="AC59" i="43"/>
  <c r="U59" i="43"/>
  <c r="G58" i="43"/>
  <c r="F58" i="43"/>
  <c r="W56" i="43"/>
  <c r="AE56" i="43" s="1"/>
  <c r="AK55" i="43"/>
  <c r="AC55" i="43"/>
  <c r="U55" i="43"/>
  <c r="G54" i="43"/>
  <c r="F54" i="43"/>
  <c r="H54" i="43" s="1"/>
  <c r="W52" i="43"/>
  <c r="AE52" i="43" s="1"/>
  <c r="AK51" i="43"/>
  <c r="AC51" i="43"/>
  <c r="U51" i="43"/>
  <c r="G50" i="43"/>
  <c r="F50" i="43"/>
  <c r="W48" i="43"/>
  <c r="AE48" i="43" s="1"/>
  <c r="AK47" i="43"/>
  <c r="AC47" i="43"/>
  <c r="U47" i="43"/>
  <c r="G46" i="43"/>
  <c r="F46" i="43"/>
  <c r="W44" i="43"/>
  <c r="AE44" i="43" s="1"/>
  <c r="AK43" i="43"/>
  <c r="AC43" i="43"/>
  <c r="U43" i="43"/>
  <c r="G42" i="43"/>
  <c r="F42" i="43"/>
  <c r="W40" i="43"/>
  <c r="AE40" i="43" s="1"/>
  <c r="AK39" i="43"/>
  <c r="AC39" i="43"/>
  <c r="U39" i="43"/>
  <c r="G38" i="43"/>
  <c r="F38" i="43"/>
  <c r="W36" i="43"/>
  <c r="AE36" i="43" s="1"/>
  <c r="AK35" i="43"/>
  <c r="AC35" i="43"/>
  <c r="U35" i="43"/>
  <c r="G34" i="43"/>
  <c r="F34" i="43"/>
  <c r="W32" i="43"/>
  <c r="AE32" i="43" s="1"/>
  <c r="AK31" i="43"/>
  <c r="AC31" i="43"/>
  <c r="U31" i="43"/>
  <c r="H30" i="43"/>
  <c r="G30" i="43"/>
  <c r="F30" i="43"/>
  <c r="W28" i="43"/>
  <c r="AE28" i="43" s="1"/>
  <c r="AK27" i="43"/>
  <c r="AC27" i="43"/>
  <c r="U27" i="43"/>
  <c r="G26" i="43"/>
  <c r="F26" i="43"/>
  <c r="W24" i="43"/>
  <c r="AE24" i="43" s="1"/>
  <c r="AK23" i="43"/>
  <c r="AC23" i="43"/>
  <c r="U23" i="43"/>
  <c r="G22" i="43"/>
  <c r="F22" i="43"/>
  <c r="H22" i="43" s="1"/>
  <c r="W20" i="43"/>
  <c r="AE20" i="43" s="1"/>
  <c r="AK19" i="43"/>
  <c r="AC19" i="43"/>
  <c r="U19" i="43"/>
  <c r="G18" i="43"/>
  <c r="F18" i="43"/>
  <c r="H18" i="43" s="1"/>
  <c r="AK15" i="43"/>
  <c r="AC15" i="43"/>
  <c r="U15" i="43"/>
  <c r="G14" i="43"/>
  <c r="F14" i="43"/>
  <c r="AK59" i="42"/>
  <c r="AC59" i="42"/>
  <c r="U59" i="42"/>
  <c r="G58" i="42"/>
  <c r="F58" i="42"/>
  <c r="W56" i="42"/>
  <c r="AE56" i="42" s="1"/>
  <c r="AK55" i="42"/>
  <c r="AC55" i="42"/>
  <c r="U55" i="42"/>
  <c r="G54" i="42"/>
  <c r="F54" i="42"/>
  <c r="W52" i="42"/>
  <c r="AE52" i="42" s="1"/>
  <c r="AK51" i="42"/>
  <c r="AC51" i="42"/>
  <c r="U51" i="42"/>
  <c r="G50" i="42"/>
  <c r="F50" i="42"/>
  <c r="W48" i="42"/>
  <c r="AE48" i="42" s="1"/>
  <c r="AK47" i="42"/>
  <c r="AC47" i="42"/>
  <c r="U47" i="42"/>
  <c r="G46" i="42"/>
  <c r="F46" i="42"/>
  <c r="W44" i="42"/>
  <c r="AE44" i="42" s="1"/>
  <c r="AK43" i="42"/>
  <c r="AC43" i="42"/>
  <c r="U43" i="42"/>
  <c r="G42" i="42"/>
  <c r="F42" i="42"/>
  <c r="W40" i="42"/>
  <c r="AE40" i="42" s="1"/>
  <c r="AK39" i="42"/>
  <c r="AC39" i="42"/>
  <c r="U39" i="42"/>
  <c r="G38" i="42"/>
  <c r="F38" i="42"/>
  <c r="W36" i="42"/>
  <c r="AE36" i="42" s="1"/>
  <c r="AK35" i="42"/>
  <c r="AC35" i="42"/>
  <c r="U35" i="42"/>
  <c r="G34" i="42"/>
  <c r="F34" i="42"/>
  <c r="W32" i="42"/>
  <c r="AE32" i="42" s="1"/>
  <c r="AK31" i="42"/>
  <c r="AC31" i="42"/>
  <c r="U31" i="42"/>
  <c r="G30" i="42"/>
  <c r="F30" i="42"/>
  <c r="W28" i="42"/>
  <c r="AE28" i="42" s="1"/>
  <c r="AK27" i="42"/>
  <c r="AC27" i="42"/>
  <c r="U27" i="42"/>
  <c r="G26" i="42"/>
  <c r="F26" i="42"/>
  <c r="W24" i="42"/>
  <c r="AE24" i="42" s="1"/>
  <c r="AK23" i="42"/>
  <c r="AC23" i="42"/>
  <c r="U23" i="42"/>
  <c r="G22" i="42"/>
  <c r="F22" i="42"/>
  <c r="W20" i="42"/>
  <c r="AE20" i="42" s="1"/>
  <c r="AK19" i="42"/>
  <c r="AC19" i="42"/>
  <c r="U19" i="42"/>
  <c r="G18" i="42"/>
  <c r="F18" i="42"/>
  <c r="AK15" i="42"/>
  <c r="AC15" i="42"/>
  <c r="U15" i="42"/>
  <c r="G14" i="42"/>
  <c r="F14" i="42"/>
  <c r="AK60" i="41"/>
  <c r="AC60" i="41"/>
  <c r="U60" i="41"/>
  <c r="G59" i="41"/>
  <c r="F59" i="41"/>
  <c r="W57" i="41"/>
  <c r="AE57" i="41" s="1"/>
  <c r="AK56" i="41"/>
  <c r="AC56" i="41"/>
  <c r="U56" i="41"/>
  <c r="G55" i="41"/>
  <c r="F55" i="41"/>
  <c r="W53" i="41"/>
  <c r="AE53" i="41" s="1"/>
  <c r="AK52" i="41"/>
  <c r="AC52" i="41"/>
  <c r="U52" i="41"/>
  <c r="G51" i="41"/>
  <c r="F51" i="41"/>
  <c r="W49" i="41"/>
  <c r="AE49" i="41" s="1"/>
  <c r="AK48" i="41"/>
  <c r="AC48" i="41"/>
  <c r="U48" i="41"/>
  <c r="G47" i="41"/>
  <c r="F47" i="41"/>
  <c r="W45" i="41"/>
  <c r="AE45" i="41" s="1"/>
  <c r="AK44" i="41"/>
  <c r="AC44" i="41"/>
  <c r="U44" i="41"/>
  <c r="G43" i="41"/>
  <c r="F43" i="41"/>
  <c r="H43" i="41" s="1"/>
  <c r="W41" i="41"/>
  <c r="AE41" i="41" s="1"/>
  <c r="AK40" i="41"/>
  <c r="AC40" i="41"/>
  <c r="U40" i="41"/>
  <c r="G39" i="41"/>
  <c r="F39" i="41"/>
  <c r="W37" i="41"/>
  <c r="AE37" i="41" s="1"/>
  <c r="AK36" i="41"/>
  <c r="AC36" i="41"/>
  <c r="U36" i="41"/>
  <c r="G35" i="41"/>
  <c r="F35" i="41"/>
  <c r="W33" i="41"/>
  <c r="AE33" i="41" s="1"/>
  <c r="AK32" i="41"/>
  <c r="AC32" i="41"/>
  <c r="U32" i="41"/>
  <c r="G31" i="41"/>
  <c r="F31" i="41"/>
  <c r="W29" i="41"/>
  <c r="AE29" i="41" s="1"/>
  <c r="AK28" i="41"/>
  <c r="AC28" i="41"/>
  <c r="U28" i="41"/>
  <c r="G27" i="41"/>
  <c r="F27" i="41"/>
  <c r="H27" i="41" s="1"/>
  <c r="W25" i="41"/>
  <c r="AE25" i="41" s="1"/>
  <c r="AK24" i="41"/>
  <c r="AC24" i="41"/>
  <c r="U24" i="41"/>
  <c r="G23" i="41"/>
  <c r="F23" i="41"/>
  <c r="W21" i="41"/>
  <c r="AE21" i="41" s="1"/>
  <c r="AK20" i="41"/>
  <c r="AC20" i="41"/>
  <c r="U20" i="41"/>
  <c r="G19" i="41"/>
  <c r="F19" i="41"/>
  <c r="AK16" i="41"/>
  <c r="AC16" i="41"/>
  <c r="U16" i="41"/>
  <c r="G15" i="41"/>
  <c r="F15" i="41"/>
  <c r="H15" i="41" s="1"/>
  <c r="AK59" i="40"/>
  <c r="AC59" i="40"/>
  <c r="U59" i="40"/>
  <c r="G58" i="40"/>
  <c r="F58" i="40"/>
  <c r="H58" i="40" s="1"/>
  <c r="W56" i="40"/>
  <c r="AE56" i="40" s="1"/>
  <c r="AK55" i="40"/>
  <c r="AC55" i="40"/>
  <c r="U55" i="40"/>
  <c r="G54" i="40"/>
  <c r="F54" i="40"/>
  <c r="W52" i="40"/>
  <c r="AE52" i="40" s="1"/>
  <c r="AK51" i="40"/>
  <c r="AC51" i="40"/>
  <c r="U51" i="40"/>
  <c r="G50" i="40"/>
  <c r="F50" i="40"/>
  <c r="W48" i="40"/>
  <c r="AE48" i="40" s="1"/>
  <c r="AK47" i="40"/>
  <c r="AC47" i="40"/>
  <c r="U47" i="40"/>
  <c r="G46" i="40"/>
  <c r="F46" i="40"/>
  <c r="W44" i="40"/>
  <c r="AE44" i="40" s="1"/>
  <c r="AK43" i="40"/>
  <c r="AC43" i="40"/>
  <c r="U43" i="40"/>
  <c r="G42" i="40"/>
  <c r="F42" i="40"/>
  <c r="W40" i="40"/>
  <c r="AE40" i="40" s="1"/>
  <c r="AK39" i="40"/>
  <c r="AC39" i="40"/>
  <c r="U39" i="40"/>
  <c r="G38" i="40"/>
  <c r="F38" i="40"/>
  <c r="W36" i="40"/>
  <c r="AE36" i="40" s="1"/>
  <c r="AK35" i="40"/>
  <c r="AC35" i="40"/>
  <c r="U35" i="40"/>
  <c r="G34" i="40"/>
  <c r="F34" i="40"/>
  <c r="W32" i="40"/>
  <c r="AE32" i="40" s="1"/>
  <c r="AK31" i="40"/>
  <c r="AC31" i="40"/>
  <c r="U31" i="40"/>
  <c r="G30" i="40"/>
  <c r="F30" i="40"/>
  <c r="W28" i="40"/>
  <c r="AE28" i="40" s="1"/>
  <c r="AK27" i="40"/>
  <c r="AC27" i="40"/>
  <c r="U27" i="40"/>
  <c r="G26" i="40"/>
  <c r="F26" i="40"/>
  <c r="W24" i="40"/>
  <c r="AE24" i="40" s="1"/>
  <c r="AK23" i="40"/>
  <c r="AC23" i="40"/>
  <c r="U23" i="40"/>
  <c r="G22" i="40"/>
  <c r="F22" i="40"/>
  <c r="W20" i="40"/>
  <c r="AE20" i="40" s="1"/>
  <c r="AK19" i="40"/>
  <c r="AC19" i="40"/>
  <c r="U19" i="40"/>
  <c r="G18" i="40"/>
  <c r="F18" i="40"/>
  <c r="H18" i="40" s="1"/>
  <c r="AK15" i="40"/>
  <c r="AC15" i="40"/>
  <c r="U15" i="40"/>
  <c r="G14" i="40"/>
  <c r="F14" i="40"/>
  <c r="H14" i="40" s="1"/>
  <c r="AL62" i="39"/>
  <c r="AD62" i="39"/>
  <c r="U62" i="39"/>
  <c r="G61" i="39"/>
  <c r="F61" i="39"/>
  <c r="X59" i="39"/>
  <c r="AF59" i="39" s="1"/>
  <c r="AL58" i="39"/>
  <c r="AD58" i="39"/>
  <c r="G57" i="39"/>
  <c r="F57" i="39"/>
  <c r="X55" i="39"/>
  <c r="AF55" i="39" s="1"/>
  <c r="AL54" i="39"/>
  <c r="AD54" i="39"/>
  <c r="G53" i="39"/>
  <c r="F53" i="39"/>
  <c r="X51" i="39"/>
  <c r="AF51" i="39" s="1"/>
  <c r="AL50" i="39"/>
  <c r="AD50" i="39"/>
  <c r="U50" i="39"/>
  <c r="G49" i="39"/>
  <c r="F49" i="39"/>
  <c r="X47" i="39"/>
  <c r="AF47" i="39" s="1"/>
  <c r="AL42" i="39"/>
  <c r="AD42" i="39"/>
  <c r="U42" i="39"/>
  <c r="G41" i="39"/>
  <c r="F41" i="39"/>
  <c r="X39" i="39"/>
  <c r="AF39" i="39" s="1"/>
  <c r="AL38" i="39"/>
  <c r="AD38" i="39"/>
  <c r="U38" i="39"/>
  <c r="G37" i="39"/>
  <c r="F37" i="39"/>
  <c r="X35" i="39"/>
  <c r="AF35" i="39" s="1"/>
  <c r="AL34" i="39"/>
  <c r="AD34" i="39"/>
  <c r="U34" i="39"/>
  <c r="G33" i="39"/>
  <c r="F33" i="39"/>
  <c r="X31" i="39"/>
  <c r="AF31" i="39" s="1"/>
  <c r="AL30" i="39"/>
  <c r="AD30" i="39"/>
  <c r="U30" i="39"/>
  <c r="G29" i="39"/>
  <c r="F29" i="39"/>
  <c r="X27" i="39"/>
  <c r="AF27" i="39" s="1"/>
  <c r="AL26" i="39"/>
  <c r="AD26" i="39"/>
  <c r="U26" i="39"/>
  <c r="G25" i="39"/>
  <c r="F25" i="39"/>
  <c r="X23" i="39"/>
  <c r="AF23" i="39" s="1"/>
  <c r="AL22" i="39"/>
  <c r="AD22" i="39"/>
  <c r="U22" i="39"/>
  <c r="G21" i="39"/>
  <c r="F21" i="39"/>
  <c r="X19" i="39"/>
  <c r="AF19" i="39" s="1"/>
  <c r="AL18" i="39"/>
  <c r="AD18" i="39"/>
  <c r="U18" i="39"/>
  <c r="G17" i="39"/>
  <c r="F17" i="39"/>
  <c r="AL14" i="39"/>
  <c r="AD14" i="39"/>
  <c r="U14" i="39"/>
  <c r="G13" i="39"/>
  <c r="F13" i="39"/>
  <c r="AK58" i="38"/>
  <c r="AC58" i="38"/>
  <c r="U58" i="38"/>
  <c r="G57" i="38"/>
  <c r="H57" i="38" s="1"/>
  <c r="F57" i="38"/>
  <c r="W55" i="38"/>
  <c r="AE55" i="38" s="1"/>
  <c r="AK54" i="38"/>
  <c r="AC54" i="38"/>
  <c r="U54" i="38"/>
  <c r="G53" i="38"/>
  <c r="H53" i="38" s="1"/>
  <c r="F53" i="38"/>
  <c r="W51" i="38"/>
  <c r="AE51" i="38" s="1"/>
  <c r="AK50" i="38"/>
  <c r="AC50" i="38"/>
  <c r="U50" i="38"/>
  <c r="G49" i="38"/>
  <c r="H49" i="38" s="1"/>
  <c r="F49" i="38"/>
  <c r="W47" i="38"/>
  <c r="AE47" i="38" s="1"/>
  <c r="AK46" i="38"/>
  <c r="AC46" i="38"/>
  <c r="U46" i="38"/>
  <c r="G45" i="38"/>
  <c r="F45" i="38"/>
  <c r="W43" i="38"/>
  <c r="AE43" i="38" s="1"/>
  <c r="AK42" i="38"/>
  <c r="AC42" i="38"/>
  <c r="U42" i="38"/>
  <c r="G41" i="38"/>
  <c r="H41" i="38" s="1"/>
  <c r="F41" i="38"/>
  <c r="W39" i="38"/>
  <c r="AE39" i="38" s="1"/>
  <c r="AK38" i="38"/>
  <c r="AC38" i="38"/>
  <c r="U38" i="38"/>
  <c r="G37" i="38"/>
  <c r="F37" i="38"/>
  <c r="W35" i="38"/>
  <c r="AE35" i="38" s="1"/>
  <c r="AK34" i="38"/>
  <c r="AC34" i="38"/>
  <c r="U34" i="38"/>
  <c r="G33" i="38"/>
  <c r="F33" i="38"/>
  <c r="W31" i="38"/>
  <c r="AE31" i="38" s="1"/>
  <c r="AK30" i="38"/>
  <c r="AC30" i="38"/>
  <c r="U30" i="38"/>
  <c r="G29" i="38"/>
  <c r="F29" i="38"/>
  <c r="W27" i="38"/>
  <c r="AE27" i="38" s="1"/>
  <c r="AK26" i="38"/>
  <c r="AC26" i="38"/>
  <c r="U26" i="38"/>
  <c r="G25" i="38"/>
  <c r="F25" i="38"/>
  <c r="W23" i="38"/>
  <c r="AE23" i="38" s="1"/>
  <c r="AK22" i="38"/>
  <c r="AC22" i="38"/>
  <c r="U22" i="38"/>
  <c r="G21" i="38"/>
  <c r="H21" i="38" s="1"/>
  <c r="F21" i="38"/>
  <c r="W19" i="38"/>
  <c r="AE19" i="38" s="1"/>
  <c r="AK18" i="38"/>
  <c r="AC18" i="38"/>
  <c r="U18" i="38"/>
  <c r="G17" i="38"/>
  <c r="H17" i="38" s="1"/>
  <c r="F17" i="38"/>
  <c r="AK14" i="38"/>
  <c r="AC14" i="38"/>
  <c r="U14" i="38"/>
  <c r="G13" i="38"/>
  <c r="F13" i="38"/>
  <c r="H13" i="38" s="1"/>
  <c r="U67" i="31"/>
  <c r="W63" i="33"/>
  <c r="AE63" i="33" s="1"/>
  <c r="F65" i="33"/>
  <c r="G65" i="33"/>
  <c r="U66" i="33"/>
  <c r="AC66" i="33"/>
  <c r="AK66" i="33"/>
  <c r="W64" i="35"/>
  <c r="AE64" i="35"/>
  <c r="F66" i="35"/>
  <c r="G66" i="35"/>
  <c r="U67" i="35"/>
  <c r="AC67" i="35"/>
  <c r="AK67" i="35"/>
  <c r="X64" i="31"/>
  <c r="AF64" i="31" s="1"/>
  <c r="F66" i="31"/>
  <c r="G66" i="31"/>
  <c r="AD67" i="31"/>
  <c r="AL67" i="31"/>
  <c r="W63" i="34"/>
  <c r="AE63" i="34" s="1"/>
  <c r="F65" i="34"/>
  <c r="G65" i="34"/>
  <c r="U66" i="34"/>
  <c r="AC66" i="34"/>
  <c r="AK66" i="34"/>
  <c r="AC58" i="34"/>
  <c r="G61" i="33"/>
  <c r="F61" i="33"/>
  <c r="H61" i="33" s="1"/>
  <c r="G62" i="35"/>
  <c r="F62" i="35"/>
  <c r="H62" i="35" s="1"/>
  <c r="W59" i="34"/>
  <c r="AE59" i="34"/>
  <c r="F61" i="34"/>
  <c r="G61" i="34"/>
  <c r="U62" i="34"/>
  <c r="AC62" i="34"/>
  <c r="AK62" i="34"/>
  <c r="X60" i="31"/>
  <c r="AF60" i="31" s="1"/>
  <c r="F62" i="31"/>
  <c r="G62" i="31"/>
  <c r="U63" i="31"/>
  <c r="AD63" i="31"/>
  <c r="AL63" i="31"/>
  <c r="H82" i="35" l="1"/>
  <c r="H22" i="44"/>
  <c r="H26" i="40"/>
  <c r="H62" i="31"/>
  <c r="H45" i="38"/>
  <c r="H14" i="43"/>
  <c r="H66" i="35"/>
  <c r="H19" i="41"/>
  <c r="H59" i="41"/>
  <c r="H58" i="43"/>
  <c r="H54" i="40"/>
  <c r="H49" i="45"/>
  <c r="H61" i="39"/>
  <c r="H13" i="39"/>
  <c r="H50" i="44"/>
  <c r="H38" i="44"/>
  <c r="H18" i="44"/>
  <c r="H34" i="44"/>
  <c r="H42" i="44"/>
  <c r="H14" i="44"/>
  <c r="H30" i="44"/>
  <c r="H54" i="44"/>
  <c r="H50" i="43"/>
  <c r="H51" i="41"/>
  <c r="H55" i="41"/>
  <c r="H50" i="40"/>
  <c r="H47" i="41"/>
  <c r="H45" i="45"/>
  <c r="H49" i="39"/>
  <c r="H46" i="43"/>
  <c r="H46" i="40"/>
  <c r="H46" i="44"/>
  <c r="H41" i="45"/>
  <c r="H42" i="40"/>
  <c r="H42" i="43"/>
  <c r="H17" i="39"/>
  <c r="H53" i="39"/>
  <c r="H57" i="39"/>
  <c r="H21" i="39"/>
  <c r="H29" i="39"/>
  <c r="H25" i="39"/>
  <c r="H33" i="39"/>
  <c r="H41" i="39"/>
  <c r="H39" i="41"/>
  <c r="H38" i="40"/>
  <c r="H37" i="39"/>
  <c r="H85" i="33"/>
  <c r="H38" i="43"/>
  <c r="H37" i="38"/>
  <c r="H34" i="43"/>
  <c r="H33" i="38"/>
  <c r="H34" i="40"/>
  <c r="H31" i="41"/>
  <c r="H35" i="41"/>
  <c r="H29" i="38"/>
  <c r="H25" i="38"/>
  <c r="H30" i="40"/>
  <c r="H74" i="35"/>
  <c r="H73" i="33"/>
  <c r="H23" i="41"/>
  <c r="H78" i="31"/>
  <c r="H86" i="31"/>
  <c r="H74" i="31"/>
  <c r="H18" i="42"/>
  <c r="H26" i="42"/>
  <c r="H34" i="42"/>
  <c r="H42" i="42"/>
  <c r="H50" i="42"/>
  <c r="H58" i="42"/>
  <c r="H14" i="42"/>
  <c r="H22" i="42"/>
  <c r="H30" i="42"/>
  <c r="H38" i="42"/>
  <c r="H46" i="42"/>
  <c r="H54" i="42"/>
  <c r="H22" i="40"/>
  <c r="H26" i="43"/>
  <c r="H69" i="33"/>
  <c r="H65" i="33"/>
  <c r="H82" i="31"/>
  <c r="H70" i="31"/>
  <c r="H69" i="34"/>
  <c r="H65" i="34"/>
  <c r="H66" i="31"/>
  <c r="H61" i="34"/>
  <c r="W60" i="35"/>
  <c r="AE60" i="35" s="1"/>
  <c r="U63" i="35"/>
  <c r="AC63" i="35"/>
  <c r="AK63" i="35"/>
  <c r="W59" i="33"/>
  <c r="AE59" i="33" s="1"/>
  <c r="U62" i="33"/>
  <c r="AC62" i="33"/>
  <c r="AK62" i="33"/>
  <c r="U50" i="31"/>
  <c r="F14" i="31"/>
  <c r="AK58" i="37"/>
  <c r="M54" i="2" s="1"/>
  <c r="AC58" i="37"/>
  <c r="L54" i="2" s="1"/>
  <c r="U58" i="37"/>
  <c r="K54" i="2" s="1"/>
  <c r="G57" i="37"/>
  <c r="F57" i="37"/>
  <c r="W55" i="37"/>
  <c r="AE55" i="37" s="1"/>
  <c r="AK54" i="37"/>
  <c r="M53" i="2" s="1"/>
  <c r="AC54" i="37"/>
  <c r="L53" i="2" s="1"/>
  <c r="U54" i="37"/>
  <c r="K53" i="2" s="1"/>
  <c r="G53" i="37"/>
  <c r="F53" i="37"/>
  <c r="H53" i="37" s="1"/>
  <c r="I53" i="2" s="1"/>
  <c r="W51" i="37"/>
  <c r="AE51" i="37" s="1"/>
  <c r="AK50" i="37"/>
  <c r="M52" i="2" s="1"/>
  <c r="AC50" i="37"/>
  <c r="L52" i="2" s="1"/>
  <c r="U50" i="37"/>
  <c r="K52" i="2" s="1"/>
  <c r="G49" i="37"/>
  <c r="F49" i="37"/>
  <c r="H49" i="37" s="1"/>
  <c r="I52" i="2" s="1"/>
  <c r="W47" i="37"/>
  <c r="AE47" i="37" s="1"/>
  <c r="AK46" i="37"/>
  <c r="M51" i="2" s="1"/>
  <c r="AC46" i="37"/>
  <c r="L51" i="2" s="1"/>
  <c r="U46" i="37"/>
  <c r="K51" i="2" s="1"/>
  <c r="G45" i="37"/>
  <c r="F45" i="37"/>
  <c r="H45" i="37" s="1"/>
  <c r="I51" i="2" s="1"/>
  <c r="W43" i="37"/>
  <c r="AE43" i="37" s="1"/>
  <c r="AK42" i="37"/>
  <c r="M50" i="2" s="1"/>
  <c r="AC42" i="37"/>
  <c r="L50" i="2" s="1"/>
  <c r="U42" i="37"/>
  <c r="K50" i="2" s="1"/>
  <c r="G41" i="37"/>
  <c r="F41" i="37"/>
  <c r="W39" i="37"/>
  <c r="AE39" i="37" s="1"/>
  <c r="AK38" i="37"/>
  <c r="M49" i="2" s="1"/>
  <c r="AC38" i="37"/>
  <c r="L49" i="2" s="1"/>
  <c r="U38" i="37"/>
  <c r="K49" i="2" s="1"/>
  <c r="G37" i="37"/>
  <c r="F37" i="37"/>
  <c r="H37" i="37" s="1"/>
  <c r="I49" i="2" s="1"/>
  <c r="W35" i="37"/>
  <c r="AE35" i="37" s="1"/>
  <c r="AK34" i="37"/>
  <c r="M48" i="2" s="1"/>
  <c r="AC34" i="37"/>
  <c r="L48" i="2" s="1"/>
  <c r="U34" i="37"/>
  <c r="K48" i="2" s="1"/>
  <c r="G33" i="37"/>
  <c r="F33" i="37"/>
  <c r="H33" i="37" s="1"/>
  <c r="I48" i="2" s="1"/>
  <c r="W31" i="37"/>
  <c r="AE31" i="37" s="1"/>
  <c r="AK30" i="37"/>
  <c r="M47" i="2" s="1"/>
  <c r="AC30" i="37"/>
  <c r="L47" i="2" s="1"/>
  <c r="U30" i="37"/>
  <c r="K47" i="2" s="1"/>
  <c r="G29" i="37"/>
  <c r="F29" i="37"/>
  <c r="W27" i="37"/>
  <c r="AE27" i="37" s="1"/>
  <c r="AK26" i="37"/>
  <c r="M46" i="2" s="1"/>
  <c r="AC26" i="37"/>
  <c r="L46" i="2" s="1"/>
  <c r="U26" i="37"/>
  <c r="K46" i="2" s="1"/>
  <c r="G25" i="37"/>
  <c r="F25" i="37"/>
  <c r="W23" i="37"/>
  <c r="AE23" i="37" s="1"/>
  <c r="AK22" i="37"/>
  <c r="M45" i="2" s="1"/>
  <c r="AC22" i="37"/>
  <c r="L45" i="2" s="1"/>
  <c r="U22" i="37"/>
  <c r="K45" i="2" s="1"/>
  <c r="G21" i="37"/>
  <c r="F21" i="37"/>
  <c r="W19" i="37"/>
  <c r="AE19" i="37" s="1"/>
  <c r="AK18" i="37"/>
  <c r="M44" i="2" s="1"/>
  <c r="AC18" i="37"/>
  <c r="L44" i="2" s="1"/>
  <c r="U18" i="37"/>
  <c r="K44" i="2" s="1"/>
  <c r="G17" i="37"/>
  <c r="F17" i="37"/>
  <c r="H17" i="37" s="1"/>
  <c r="I44" i="2" s="1"/>
  <c r="AK14" i="37"/>
  <c r="M43" i="2" s="1"/>
  <c r="AC14" i="37"/>
  <c r="L43" i="2" s="1"/>
  <c r="U14" i="37"/>
  <c r="K43" i="2" s="1"/>
  <c r="G13" i="37"/>
  <c r="F13" i="37"/>
  <c r="AK59" i="36"/>
  <c r="F54" i="2" s="1"/>
  <c r="AC59" i="36"/>
  <c r="E54" i="2" s="1"/>
  <c r="U59" i="36"/>
  <c r="D54" i="2" s="1"/>
  <c r="G58" i="36"/>
  <c r="F58" i="36"/>
  <c r="W56" i="36"/>
  <c r="AE56" i="36" s="1"/>
  <c r="AK55" i="36"/>
  <c r="F53" i="2" s="1"/>
  <c r="AC55" i="36"/>
  <c r="E53" i="2" s="1"/>
  <c r="U55" i="36"/>
  <c r="D53" i="2" s="1"/>
  <c r="G54" i="36"/>
  <c r="F54" i="36"/>
  <c r="H54" i="36" s="1"/>
  <c r="B53" i="2" s="1"/>
  <c r="W52" i="36"/>
  <c r="AE52" i="36" s="1"/>
  <c r="AK51" i="36"/>
  <c r="F52" i="2" s="1"/>
  <c r="AC51" i="36"/>
  <c r="E52" i="2" s="1"/>
  <c r="U51" i="36"/>
  <c r="D52" i="2" s="1"/>
  <c r="G50" i="36"/>
  <c r="F50" i="36"/>
  <c r="W48" i="36"/>
  <c r="AE48" i="36" s="1"/>
  <c r="AK47" i="36"/>
  <c r="F51" i="2" s="1"/>
  <c r="AC47" i="36"/>
  <c r="E51" i="2" s="1"/>
  <c r="U47" i="36"/>
  <c r="D51" i="2" s="1"/>
  <c r="G46" i="36"/>
  <c r="F46" i="36"/>
  <c r="W44" i="36"/>
  <c r="AE44" i="36" s="1"/>
  <c r="AK43" i="36"/>
  <c r="F50" i="2" s="1"/>
  <c r="AC43" i="36"/>
  <c r="E50" i="2" s="1"/>
  <c r="U43" i="36"/>
  <c r="D50" i="2" s="1"/>
  <c r="G42" i="36"/>
  <c r="F42" i="36"/>
  <c r="W40" i="36"/>
  <c r="AE40" i="36" s="1"/>
  <c r="AK39" i="36"/>
  <c r="F49" i="2" s="1"/>
  <c r="AC39" i="36"/>
  <c r="E49" i="2" s="1"/>
  <c r="U39" i="36"/>
  <c r="D49" i="2" s="1"/>
  <c r="G38" i="36"/>
  <c r="F38" i="36"/>
  <c r="W36" i="36"/>
  <c r="AE36" i="36" s="1"/>
  <c r="AK35" i="36"/>
  <c r="F48" i="2" s="1"/>
  <c r="AC35" i="36"/>
  <c r="E48" i="2" s="1"/>
  <c r="U35" i="36"/>
  <c r="D48" i="2" s="1"/>
  <c r="G34" i="36"/>
  <c r="F34" i="36"/>
  <c r="W32" i="36"/>
  <c r="AE32" i="36" s="1"/>
  <c r="AK31" i="36"/>
  <c r="F47" i="2" s="1"/>
  <c r="AC31" i="36"/>
  <c r="E47" i="2" s="1"/>
  <c r="D47" i="2"/>
  <c r="G30" i="36"/>
  <c r="F30" i="36"/>
  <c r="W28" i="36"/>
  <c r="AE28" i="36" s="1"/>
  <c r="AK27" i="36"/>
  <c r="F46" i="2" s="1"/>
  <c r="AC27" i="36"/>
  <c r="E46" i="2" s="1"/>
  <c r="U27" i="36"/>
  <c r="D46" i="2" s="1"/>
  <c r="G26" i="36"/>
  <c r="F26" i="36"/>
  <c r="W24" i="36"/>
  <c r="AE24" i="36" s="1"/>
  <c r="AK23" i="36"/>
  <c r="F45" i="2" s="1"/>
  <c r="AC23" i="36"/>
  <c r="E45" i="2" s="1"/>
  <c r="U23" i="36"/>
  <c r="D45" i="2" s="1"/>
  <c r="G22" i="36"/>
  <c r="F22" i="36"/>
  <c r="W20" i="36"/>
  <c r="AE20" i="36" s="1"/>
  <c r="AK19" i="36"/>
  <c r="F44" i="2" s="1"/>
  <c r="AC19" i="36"/>
  <c r="E44" i="2" s="1"/>
  <c r="U19" i="36"/>
  <c r="D44" i="2" s="1"/>
  <c r="G18" i="36"/>
  <c r="F18" i="36"/>
  <c r="AK15" i="36"/>
  <c r="F43" i="2" s="1"/>
  <c r="AC15" i="36"/>
  <c r="E43" i="2" s="1"/>
  <c r="U15" i="36"/>
  <c r="D43" i="2" s="1"/>
  <c r="G14" i="36"/>
  <c r="F14" i="36"/>
  <c r="AK59" i="35"/>
  <c r="M35" i="2" s="1"/>
  <c r="AC59" i="35"/>
  <c r="L35" i="2" s="1"/>
  <c r="U59" i="35"/>
  <c r="K35" i="2" s="1"/>
  <c r="G58" i="35"/>
  <c r="F58" i="35"/>
  <c r="W56" i="35"/>
  <c r="AE56" i="35" s="1"/>
  <c r="AK55" i="35"/>
  <c r="M34" i="2" s="1"/>
  <c r="AC55" i="35"/>
  <c r="L34" i="2" s="1"/>
  <c r="U55" i="35"/>
  <c r="K34" i="2" s="1"/>
  <c r="G54" i="35"/>
  <c r="F54" i="35"/>
  <c r="W52" i="35"/>
  <c r="AE52" i="35" s="1"/>
  <c r="AK51" i="35"/>
  <c r="M33" i="2" s="1"/>
  <c r="AC51" i="35"/>
  <c r="L33" i="2" s="1"/>
  <c r="U51" i="35"/>
  <c r="K33" i="2" s="1"/>
  <c r="G50" i="35"/>
  <c r="F50" i="35"/>
  <c r="H50" i="35" s="1"/>
  <c r="W48" i="35"/>
  <c r="AE48" i="35" s="1"/>
  <c r="AK47" i="35"/>
  <c r="M32" i="2" s="1"/>
  <c r="AC47" i="35"/>
  <c r="L32" i="2" s="1"/>
  <c r="U47" i="35"/>
  <c r="K32" i="2" s="1"/>
  <c r="G46" i="35"/>
  <c r="F46" i="35"/>
  <c r="W44" i="35"/>
  <c r="AE44" i="35" s="1"/>
  <c r="AK43" i="35"/>
  <c r="M31" i="2" s="1"/>
  <c r="AC43" i="35"/>
  <c r="L31" i="2" s="1"/>
  <c r="U43" i="35"/>
  <c r="K31" i="2" s="1"/>
  <c r="G42" i="35"/>
  <c r="F42" i="35"/>
  <c r="H42" i="35" s="1"/>
  <c r="I31" i="2" s="1"/>
  <c r="W40" i="35"/>
  <c r="AE40" i="35" s="1"/>
  <c r="AK39" i="35"/>
  <c r="M30" i="2" s="1"/>
  <c r="AC39" i="35"/>
  <c r="L30" i="2" s="1"/>
  <c r="U39" i="35"/>
  <c r="K30" i="2" s="1"/>
  <c r="G38" i="35"/>
  <c r="F38" i="35"/>
  <c r="W36" i="35"/>
  <c r="AE36" i="35" s="1"/>
  <c r="AK35" i="35"/>
  <c r="M29" i="2" s="1"/>
  <c r="AC35" i="35"/>
  <c r="L29" i="2" s="1"/>
  <c r="U35" i="35"/>
  <c r="K29" i="2" s="1"/>
  <c r="G34" i="35"/>
  <c r="F34" i="35"/>
  <c r="W32" i="35"/>
  <c r="AE32" i="35" s="1"/>
  <c r="AK31" i="35"/>
  <c r="M28" i="2" s="1"/>
  <c r="AC31" i="35"/>
  <c r="L28" i="2" s="1"/>
  <c r="U31" i="35"/>
  <c r="K28" i="2" s="1"/>
  <c r="G30" i="35"/>
  <c r="F30" i="35"/>
  <c r="W28" i="35"/>
  <c r="AE28" i="35" s="1"/>
  <c r="AK27" i="35"/>
  <c r="M27" i="2" s="1"/>
  <c r="AC27" i="35"/>
  <c r="L27" i="2" s="1"/>
  <c r="U27" i="35"/>
  <c r="K27" i="2" s="1"/>
  <c r="G26" i="35"/>
  <c r="F26" i="35"/>
  <c r="H26" i="35" s="1"/>
  <c r="I27" i="2" s="1"/>
  <c r="J27" i="2" s="1"/>
  <c r="W24" i="35"/>
  <c r="AE24" i="35" s="1"/>
  <c r="AK23" i="35"/>
  <c r="M26" i="2" s="1"/>
  <c r="AC23" i="35"/>
  <c r="L26" i="2" s="1"/>
  <c r="U23" i="35"/>
  <c r="K26" i="2" s="1"/>
  <c r="G22" i="35"/>
  <c r="F22" i="35"/>
  <c r="W20" i="35"/>
  <c r="AE20" i="35" s="1"/>
  <c r="AK19" i="35"/>
  <c r="M25" i="2" s="1"/>
  <c r="AC19" i="35"/>
  <c r="L25" i="2" s="1"/>
  <c r="U19" i="35"/>
  <c r="K25" i="2" s="1"/>
  <c r="G18" i="35"/>
  <c r="F18" i="35"/>
  <c r="AK15" i="35"/>
  <c r="M24" i="2" s="1"/>
  <c r="AC15" i="35"/>
  <c r="L24" i="2" s="1"/>
  <c r="U15" i="35"/>
  <c r="K24" i="2" s="1"/>
  <c r="G14" i="35"/>
  <c r="F14" i="35"/>
  <c r="AK58" i="34"/>
  <c r="F35" i="2" s="1"/>
  <c r="E35" i="2"/>
  <c r="U58" i="34"/>
  <c r="D35" i="2" s="1"/>
  <c r="G57" i="34"/>
  <c r="F57" i="34"/>
  <c r="W55" i="34"/>
  <c r="AE55" i="34" s="1"/>
  <c r="AK54" i="34"/>
  <c r="F34" i="2" s="1"/>
  <c r="AC54" i="34"/>
  <c r="E34" i="2" s="1"/>
  <c r="U54" i="34"/>
  <c r="D34" i="2" s="1"/>
  <c r="G53" i="34"/>
  <c r="F53" i="34"/>
  <c r="W51" i="34"/>
  <c r="AE51" i="34" s="1"/>
  <c r="AK50" i="34"/>
  <c r="F33" i="2" s="1"/>
  <c r="AC50" i="34"/>
  <c r="E33" i="2" s="1"/>
  <c r="U50" i="34"/>
  <c r="D33" i="2" s="1"/>
  <c r="G49" i="34"/>
  <c r="F49" i="34"/>
  <c r="H49" i="34" s="1"/>
  <c r="B33" i="2" s="1"/>
  <c r="W47" i="34"/>
  <c r="AE47" i="34" s="1"/>
  <c r="AK46" i="34"/>
  <c r="F32" i="2" s="1"/>
  <c r="AC46" i="34"/>
  <c r="E32" i="2" s="1"/>
  <c r="U46" i="34"/>
  <c r="D32" i="2" s="1"/>
  <c r="G45" i="34"/>
  <c r="F45" i="34"/>
  <c r="H45" i="34" s="1"/>
  <c r="B32" i="2" s="1"/>
  <c r="W43" i="34"/>
  <c r="AE43" i="34" s="1"/>
  <c r="AK42" i="34"/>
  <c r="F31" i="2" s="1"/>
  <c r="AC42" i="34"/>
  <c r="E31" i="2" s="1"/>
  <c r="U42" i="34"/>
  <c r="D31" i="2" s="1"/>
  <c r="G41" i="34"/>
  <c r="F41" i="34"/>
  <c r="H41" i="34" s="1"/>
  <c r="B31" i="2" s="1"/>
  <c r="W39" i="34"/>
  <c r="AE39" i="34" s="1"/>
  <c r="AK38" i="34"/>
  <c r="F30" i="2" s="1"/>
  <c r="AC38" i="34"/>
  <c r="E30" i="2" s="1"/>
  <c r="U38" i="34"/>
  <c r="D30" i="2" s="1"/>
  <c r="G37" i="34"/>
  <c r="F37" i="34"/>
  <c r="W35" i="34"/>
  <c r="AE35" i="34" s="1"/>
  <c r="AK34" i="34"/>
  <c r="F29" i="2" s="1"/>
  <c r="AC34" i="34"/>
  <c r="E29" i="2" s="1"/>
  <c r="U34" i="34"/>
  <c r="D29" i="2" s="1"/>
  <c r="G33" i="34"/>
  <c r="F33" i="34"/>
  <c r="H33" i="34" s="1"/>
  <c r="B29" i="2" s="1"/>
  <c r="W31" i="34"/>
  <c r="AE31" i="34" s="1"/>
  <c r="AK30" i="34"/>
  <c r="F28" i="2" s="1"/>
  <c r="AC30" i="34"/>
  <c r="E28" i="2" s="1"/>
  <c r="U30" i="34"/>
  <c r="D28" i="2" s="1"/>
  <c r="G29" i="34"/>
  <c r="F29" i="34"/>
  <c r="H29" i="34" s="1"/>
  <c r="B28" i="2" s="1"/>
  <c r="W27" i="34"/>
  <c r="AE27" i="34" s="1"/>
  <c r="AK26" i="34"/>
  <c r="F27" i="2" s="1"/>
  <c r="AC26" i="34"/>
  <c r="E27" i="2" s="1"/>
  <c r="U26" i="34"/>
  <c r="D27" i="2" s="1"/>
  <c r="G25" i="34"/>
  <c r="F25" i="34"/>
  <c r="H25" i="34" s="1"/>
  <c r="B27" i="2" s="1"/>
  <c r="W23" i="34"/>
  <c r="AE23" i="34" s="1"/>
  <c r="AK22" i="34"/>
  <c r="F26" i="2" s="1"/>
  <c r="AC22" i="34"/>
  <c r="E26" i="2" s="1"/>
  <c r="U22" i="34"/>
  <c r="D26" i="2" s="1"/>
  <c r="G21" i="34"/>
  <c r="F21" i="34"/>
  <c r="W19" i="34"/>
  <c r="AE19" i="34" s="1"/>
  <c r="AK18" i="34"/>
  <c r="F25" i="2" s="1"/>
  <c r="AC18" i="34"/>
  <c r="E25" i="2" s="1"/>
  <c r="U18" i="34"/>
  <c r="D25" i="2" s="1"/>
  <c r="G17" i="34"/>
  <c r="F17" i="34"/>
  <c r="H17" i="34" s="1"/>
  <c r="B25" i="2" s="1"/>
  <c r="AK14" i="34"/>
  <c r="F24" i="2" s="1"/>
  <c r="AC14" i="34"/>
  <c r="E24" i="2" s="1"/>
  <c r="U14" i="34"/>
  <c r="D24" i="2" s="1"/>
  <c r="G13" i="34"/>
  <c r="F13" i="34"/>
  <c r="AK58" i="33"/>
  <c r="M16" i="2" s="1"/>
  <c r="AC58" i="33"/>
  <c r="L16" i="2" s="1"/>
  <c r="U58" i="33"/>
  <c r="K16" i="2" s="1"/>
  <c r="G57" i="33"/>
  <c r="F57" i="33"/>
  <c r="W55" i="33"/>
  <c r="AE55" i="33" s="1"/>
  <c r="AK54" i="33"/>
  <c r="M15" i="2" s="1"/>
  <c r="AC54" i="33"/>
  <c r="L15" i="2" s="1"/>
  <c r="U54" i="33"/>
  <c r="K15" i="2" s="1"/>
  <c r="G53" i="33"/>
  <c r="F53" i="33"/>
  <c r="W51" i="33"/>
  <c r="AE51" i="33" s="1"/>
  <c r="AK50" i="33"/>
  <c r="M14" i="2" s="1"/>
  <c r="AC50" i="33"/>
  <c r="L14" i="2" s="1"/>
  <c r="U50" i="33"/>
  <c r="K14" i="2" s="1"/>
  <c r="G49" i="33"/>
  <c r="F49" i="33"/>
  <c r="H49" i="33" s="1"/>
  <c r="I14" i="2" s="1"/>
  <c r="W47" i="33"/>
  <c r="AE47" i="33" s="1"/>
  <c r="AK46" i="33"/>
  <c r="M13" i="2" s="1"/>
  <c r="AC46" i="33"/>
  <c r="L13" i="2" s="1"/>
  <c r="U46" i="33"/>
  <c r="K13" i="2" s="1"/>
  <c r="G45" i="33"/>
  <c r="F45" i="33"/>
  <c r="H45" i="33" s="1"/>
  <c r="I13" i="2" s="1"/>
  <c r="W43" i="33"/>
  <c r="AE43" i="33" s="1"/>
  <c r="AK42" i="33"/>
  <c r="M12" i="2" s="1"/>
  <c r="AC42" i="33"/>
  <c r="L12" i="2" s="1"/>
  <c r="U42" i="33"/>
  <c r="K12" i="2" s="1"/>
  <c r="G41" i="33"/>
  <c r="F41" i="33"/>
  <c r="W39" i="33"/>
  <c r="AE39" i="33" s="1"/>
  <c r="AK38" i="33"/>
  <c r="M11" i="2" s="1"/>
  <c r="AC38" i="33"/>
  <c r="L11" i="2" s="1"/>
  <c r="U38" i="33"/>
  <c r="K11" i="2" s="1"/>
  <c r="G37" i="33"/>
  <c r="F37" i="33"/>
  <c r="H37" i="33" s="1"/>
  <c r="I11" i="2" s="1"/>
  <c r="W35" i="33"/>
  <c r="AE35" i="33" s="1"/>
  <c r="AK34" i="33"/>
  <c r="M10" i="2" s="1"/>
  <c r="AC34" i="33"/>
  <c r="L10" i="2" s="1"/>
  <c r="U34" i="33"/>
  <c r="K10" i="2" s="1"/>
  <c r="G33" i="33"/>
  <c r="F33" i="33"/>
  <c r="H33" i="33" s="1"/>
  <c r="I10" i="2" s="1"/>
  <c r="W31" i="33"/>
  <c r="AE31" i="33" s="1"/>
  <c r="AK30" i="33"/>
  <c r="M9" i="2" s="1"/>
  <c r="AC30" i="33"/>
  <c r="L9" i="2" s="1"/>
  <c r="U30" i="33"/>
  <c r="K9" i="2" s="1"/>
  <c r="G29" i="33"/>
  <c r="F29" i="33"/>
  <c r="H29" i="33" s="1"/>
  <c r="I9" i="2" s="1"/>
  <c r="W27" i="33"/>
  <c r="AE27" i="33" s="1"/>
  <c r="AK26" i="33"/>
  <c r="M8" i="2" s="1"/>
  <c r="AC26" i="33"/>
  <c r="L8" i="2" s="1"/>
  <c r="U26" i="33"/>
  <c r="K8" i="2" s="1"/>
  <c r="G25" i="33"/>
  <c r="F25" i="33"/>
  <c r="W23" i="33"/>
  <c r="AE23" i="33" s="1"/>
  <c r="AK22" i="33"/>
  <c r="M7" i="2" s="1"/>
  <c r="AC22" i="33"/>
  <c r="L7" i="2" s="1"/>
  <c r="U22" i="33"/>
  <c r="K7" i="2" s="1"/>
  <c r="G21" i="33"/>
  <c r="F21" i="33"/>
  <c r="H21" i="33" s="1"/>
  <c r="I7" i="2" s="1"/>
  <c r="W19" i="33"/>
  <c r="AE19" i="33" s="1"/>
  <c r="AK18" i="33"/>
  <c r="M6" i="2" s="1"/>
  <c r="AC18" i="33"/>
  <c r="L6" i="2" s="1"/>
  <c r="U18" i="33"/>
  <c r="K6" i="2" s="1"/>
  <c r="G17" i="33"/>
  <c r="F17" i="33"/>
  <c r="H17" i="33" s="1"/>
  <c r="I6" i="2" s="1"/>
  <c r="AK14" i="33"/>
  <c r="M5" i="2" s="1"/>
  <c r="AC14" i="33"/>
  <c r="L5" i="2" s="1"/>
  <c r="U14" i="33"/>
  <c r="K5" i="2" s="1"/>
  <c r="G13" i="33"/>
  <c r="F13" i="33"/>
  <c r="AL15" i="31"/>
  <c r="F5" i="2" s="1"/>
  <c r="AD15" i="31"/>
  <c r="E5" i="2" s="1"/>
  <c r="U15" i="31"/>
  <c r="D5" i="2" s="1"/>
  <c r="G14" i="31"/>
  <c r="H29" i="37" l="1"/>
  <c r="I47" i="2" s="1"/>
  <c r="J47" i="2" s="1"/>
  <c r="H21" i="37"/>
  <c r="I45" i="2" s="1"/>
  <c r="H38" i="36"/>
  <c r="B49" i="2" s="1"/>
  <c r="H22" i="36"/>
  <c r="B45" i="2" s="1"/>
  <c r="H14" i="31"/>
  <c r="B5" i="2" s="1"/>
  <c r="C5" i="2" s="1"/>
  <c r="H57" i="34"/>
  <c r="B35" i="2" s="1"/>
  <c r="H14" i="36"/>
  <c r="B43" i="2" s="1"/>
  <c r="C43" i="2" s="1"/>
  <c r="H18" i="36"/>
  <c r="B44" i="2" s="1"/>
  <c r="H26" i="36"/>
  <c r="B46" i="2" s="1"/>
  <c r="H34" i="36"/>
  <c r="B48" i="2" s="1"/>
  <c r="H42" i="36"/>
  <c r="B50" i="2" s="1"/>
  <c r="H50" i="36"/>
  <c r="B52" i="2" s="1"/>
  <c r="H58" i="36"/>
  <c r="B54" i="2" s="1"/>
  <c r="H22" i="35"/>
  <c r="I26" i="2" s="1"/>
  <c r="H30" i="35"/>
  <c r="I28" i="2" s="1"/>
  <c r="J28" i="2" s="1"/>
  <c r="H38" i="35"/>
  <c r="I30" i="2" s="1"/>
  <c r="H46" i="35"/>
  <c r="I32" i="2" s="1"/>
  <c r="H54" i="35"/>
  <c r="I34" i="2" s="1"/>
  <c r="H58" i="35"/>
  <c r="I35" i="2" s="1"/>
  <c r="H14" i="35"/>
  <c r="I24" i="2" s="1"/>
  <c r="J24" i="2" s="1"/>
  <c r="H53" i="33"/>
  <c r="I15" i="2" s="1"/>
  <c r="B10" i="3"/>
  <c r="H13" i="33"/>
  <c r="I5" i="2" s="1"/>
  <c r="J5" i="2" s="1"/>
  <c r="H13" i="37"/>
  <c r="I43" i="2" s="1"/>
  <c r="J43" i="2" s="1"/>
  <c r="H41" i="33"/>
  <c r="I12" i="2" s="1"/>
  <c r="H57" i="33"/>
  <c r="I16" i="2" s="1"/>
  <c r="H21" i="34"/>
  <c r="B26" i="2" s="1"/>
  <c r="H37" i="34"/>
  <c r="B30" i="2" s="1"/>
  <c r="H53" i="34"/>
  <c r="B34" i="2" s="1"/>
  <c r="H18" i="35"/>
  <c r="I25" i="2" s="1"/>
  <c r="H34" i="35"/>
  <c r="I29" i="2" s="1"/>
  <c r="I33" i="2"/>
  <c r="H30" i="36"/>
  <c r="B47" i="2" s="1"/>
  <c r="H46" i="36"/>
  <c r="B51" i="2" s="1"/>
  <c r="H25" i="37"/>
  <c r="I46" i="2" s="1"/>
  <c r="H41" i="37"/>
  <c r="I50" i="2" s="1"/>
  <c r="H57" i="37"/>
  <c r="I54" i="2" s="1"/>
  <c r="H25" i="33"/>
  <c r="I8" i="2" s="1"/>
  <c r="B6" i="3"/>
  <c r="B8" i="3"/>
  <c r="H13" i="34"/>
  <c r="B24" i="2" s="1"/>
  <c r="C24" i="2" s="1"/>
  <c r="H19" i="3"/>
  <c r="I19" i="3"/>
  <c r="J19" i="3"/>
  <c r="K19" i="3"/>
  <c r="L19" i="3"/>
  <c r="M19" i="3"/>
  <c r="G19" i="3"/>
  <c r="D19" i="3"/>
  <c r="E19" i="3"/>
  <c r="F19" i="3"/>
  <c r="C19" i="3"/>
  <c r="B19" i="3"/>
  <c r="AL59" i="31"/>
  <c r="F16" i="2" s="1"/>
  <c r="M10" i="3" s="1"/>
  <c r="AD59" i="31"/>
  <c r="E16" i="2" s="1"/>
  <c r="M8" i="3" s="1"/>
  <c r="U59" i="31"/>
  <c r="D16" i="2" s="1"/>
  <c r="M6" i="3" s="1"/>
  <c r="G58" i="31"/>
  <c r="F58" i="31"/>
  <c r="X56" i="31"/>
  <c r="AF56" i="31" s="1"/>
  <c r="AL55" i="31"/>
  <c r="F15" i="2" s="1"/>
  <c r="L10" i="3" s="1"/>
  <c r="AD55" i="31"/>
  <c r="E15" i="2" s="1"/>
  <c r="L8" i="3" s="1"/>
  <c r="U55" i="31"/>
  <c r="D15" i="2" s="1"/>
  <c r="L6" i="3" s="1"/>
  <c r="G54" i="31"/>
  <c r="F54" i="31"/>
  <c r="X52" i="31"/>
  <c r="AF52" i="31" s="1"/>
  <c r="AL51" i="31"/>
  <c r="F14" i="2" s="1"/>
  <c r="K10" i="3" s="1"/>
  <c r="AD51" i="31"/>
  <c r="E14" i="2" s="1"/>
  <c r="K8" i="3" s="1"/>
  <c r="U51" i="31"/>
  <c r="D14" i="2" s="1"/>
  <c r="K6" i="3" s="1"/>
  <c r="G50" i="31"/>
  <c r="F50" i="31"/>
  <c r="X48" i="31"/>
  <c r="AF48" i="31" s="1"/>
  <c r="AL47" i="31"/>
  <c r="F13" i="2" s="1"/>
  <c r="J10" i="3" s="1"/>
  <c r="AD47" i="31"/>
  <c r="E13" i="2" s="1"/>
  <c r="J8" i="3" s="1"/>
  <c r="U47" i="31"/>
  <c r="D13" i="2" s="1"/>
  <c r="J6" i="3" s="1"/>
  <c r="G46" i="31"/>
  <c r="F46" i="31"/>
  <c r="X44" i="31"/>
  <c r="AF44" i="31" s="1"/>
  <c r="AL43" i="31"/>
  <c r="F12" i="2" s="1"/>
  <c r="I10" i="3" s="1"/>
  <c r="AD43" i="31"/>
  <c r="E12" i="2" s="1"/>
  <c r="I8" i="3" s="1"/>
  <c r="U43" i="31"/>
  <c r="D12" i="2" s="1"/>
  <c r="I6" i="3" s="1"/>
  <c r="G42" i="31"/>
  <c r="F42" i="31"/>
  <c r="X40" i="31"/>
  <c r="AF40" i="31" s="1"/>
  <c r="AL39" i="31"/>
  <c r="F11" i="2" s="1"/>
  <c r="H10" i="3" s="1"/>
  <c r="AD39" i="31"/>
  <c r="E11" i="2" s="1"/>
  <c r="H8" i="3" s="1"/>
  <c r="U39" i="31"/>
  <c r="D11" i="2" s="1"/>
  <c r="H6" i="3" s="1"/>
  <c r="G38" i="31"/>
  <c r="F38" i="31"/>
  <c r="X36" i="31"/>
  <c r="AF36" i="31" s="1"/>
  <c r="AL35" i="31"/>
  <c r="F10" i="2" s="1"/>
  <c r="G10" i="3" s="1"/>
  <c r="AD35" i="31"/>
  <c r="E10" i="2" s="1"/>
  <c r="G8" i="3" s="1"/>
  <c r="U35" i="31"/>
  <c r="D10" i="2" s="1"/>
  <c r="G6" i="3" s="1"/>
  <c r="G34" i="31"/>
  <c r="F34" i="31"/>
  <c r="X32" i="31"/>
  <c r="AF32" i="31" s="1"/>
  <c r="AL31" i="31"/>
  <c r="F9" i="2" s="1"/>
  <c r="F10" i="3" s="1"/>
  <c r="AD31" i="31"/>
  <c r="E9" i="2" s="1"/>
  <c r="F8" i="3" s="1"/>
  <c r="U31" i="31"/>
  <c r="D9" i="2" s="1"/>
  <c r="F6" i="3" s="1"/>
  <c r="G30" i="31"/>
  <c r="F30" i="31"/>
  <c r="X28" i="31"/>
  <c r="AF28" i="31" s="1"/>
  <c r="AL27" i="31"/>
  <c r="F8" i="2" s="1"/>
  <c r="E10" i="3" s="1"/>
  <c r="AD27" i="31"/>
  <c r="E8" i="2" s="1"/>
  <c r="E8" i="3" s="1"/>
  <c r="U27" i="31"/>
  <c r="D8" i="2" s="1"/>
  <c r="E6" i="3" s="1"/>
  <c r="G26" i="31"/>
  <c r="F26" i="31"/>
  <c r="X24" i="31"/>
  <c r="AF24" i="31" s="1"/>
  <c r="AL23" i="31"/>
  <c r="F7" i="2" s="1"/>
  <c r="D10" i="3" s="1"/>
  <c r="AD23" i="31"/>
  <c r="E7" i="2" s="1"/>
  <c r="D8" i="3" s="1"/>
  <c r="U23" i="31"/>
  <c r="D7" i="2" s="1"/>
  <c r="D6" i="3" s="1"/>
  <c r="G22" i="31"/>
  <c r="F22" i="31"/>
  <c r="X20" i="31"/>
  <c r="AF20" i="31" s="1"/>
  <c r="AL19" i="31"/>
  <c r="F6" i="2" s="1"/>
  <c r="C10" i="3" s="1"/>
  <c r="AD19" i="31"/>
  <c r="E6" i="2" s="1"/>
  <c r="C8" i="3" s="1"/>
  <c r="U19" i="31"/>
  <c r="D6" i="2" s="1"/>
  <c r="C6" i="3" s="1"/>
  <c r="G18" i="31"/>
  <c r="F18" i="31"/>
  <c r="J51" i="2"/>
  <c r="J48" i="2"/>
  <c r="J44" i="2"/>
  <c r="J9" i="2"/>
  <c r="J34" i="2" l="1"/>
  <c r="C30" i="2"/>
  <c r="C33" i="2"/>
  <c r="C34" i="2"/>
  <c r="C35" i="2"/>
  <c r="H42" i="31"/>
  <c r="B12" i="2" s="1"/>
  <c r="C12" i="2" s="1"/>
  <c r="J26" i="2"/>
  <c r="J7" i="2"/>
  <c r="J12" i="2"/>
  <c r="J8" i="2"/>
  <c r="J11" i="2"/>
  <c r="J16" i="2"/>
  <c r="J15" i="2"/>
  <c r="J6" i="2"/>
  <c r="J14" i="2"/>
  <c r="J13" i="2"/>
  <c r="F56" i="2"/>
  <c r="J10" i="2"/>
  <c r="J45" i="2"/>
  <c r="J49" i="2"/>
  <c r="H34" i="31"/>
  <c r="B10" i="2" s="1"/>
  <c r="C10" i="2" s="1"/>
  <c r="J32" i="2"/>
  <c r="H26" i="31"/>
  <c r="B8" i="2" s="1"/>
  <c r="C8" i="2" s="1"/>
  <c r="H58" i="31"/>
  <c r="B16" i="2" s="1"/>
  <c r="C16" i="2" s="1"/>
  <c r="J30" i="2"/>
  <c r="H18" i="31"/>
  <c r="B6" i="2" s="1"/>
  <c r="C6" i="2" s="1"/>
  <c r="H50" i="31"/>
  <c r="B14" i="2" s="1"/>
  <c r="C14" i="2" s="1"/>
  <c r="J46" i="2"/>
  <c r="J50" i="2"/>
  <c r="C25" i="2"/>
  <c r="J52" i="2"/>
  <c r="J53" i="2"/>
  <c r="J54" i="2"/>
  <c r="C44" i="2"/>
  <c r="C45" i="2"/>
  <c r="C46" i="2"/>
  <c r="C47" i="2"/>
  <c r="C48" i="2"/>
  <c r="C49" i="2"/>
  <c r="C50" i="2"/>
  <c r="C51" i="2"/>
  <c r="C52" i="2"/>
  <c r="C53" i="2"/>
  <c r="C54" i="2"/>
  <c r="H54" i="31"/>
  <c r="B15" i="2" s="1"/>
  <c r="C15" i="2" s="1"/>
  <c r="H46" i="31"/>
  <c r="B13" i="2" s="1"/>
  <c r="C13" i="2" s="1"/>
  <c r="H38" i="31"/>
  <c r="B11" i="2" s="1"/>
  <c r="C11" i="2" s="1"/>
  <c r="H30" i="31"/>
  <c r="B9" i="2" s="1"/>
  <c r="C9" i="2" s="1"/>
  <c r="H22" i="31"/>
  <c r="B7" i="2" s="1"/>
  <c r="C7" i="2" s="1"/>
  <c r="J35" i="2"/>
  <c r="J33" i="2"/>
  <c r="J31" i="2"/>
  <c r="J29" i="2"/>
  <c r="J25" i="2"/>
  <c r="C32" i="2"/>
  <c r="C31" i="2"/>
  <c r="C29" i="2"/>
  <c r="C28" i="2"/>
  <c r="C27" i="2"/>
  <c r="C26" i="2"/>
  <c r="L18" i="2"/>
  <c r="M56" i="2"/>
  <c r="L56" i="2"/>
  <c r="K56" i="2"/>
  <c r="E56" i="2"/>
  <c r="D56" i="2"/>
  <c r="L37" i="2"/>
  <c r="K37" i="2"/>
  <c r="M37" i="2"/>
  <c r="E37" i="2"/>
  <c r="D37" i="2"/>
  <c r="F37" i="2"/>
  <c r="K18" i="2"/>
  <c r="E18" i="2"/>
  <c r="D18" i="2"/>
  <c r="M18" i="2" l="1"/>
  <c r="I18" i="2"/>
  <c r="I19" i="2" s="1"/>
  <c r="F18" i="2"/>
  <c r="I56" i="2"/>
  <c r="I57" i="2" s="1"/>
  <c r="B56" i="2"/>
  <c r="B57" i="2" s="1"/>
  <c r="I37" i="2"/>
  <c r="I38" i="2" s="1"/>
  <c r="B37" i="2"/>
  <c r="B38" i="2" s="1"/>
  <c r="B18" i="2" l="1"/>
  <c r="B19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tc={ABF07EA2-C916-4B7A-9243-CBADFF122D0A}</author>
    <author>tc={76A05FEB-D8F0-49CB-9FB6-F4758726E04A}</author>
  </authors>
  <commentList>
    <comment ref="B25" authorId="0" shapeId="0" xr:uid="{ABF07EA2-C916-4B7A-9243-CBADFF122D0A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Locado 07/04/26</t>
      </text>
    </comment>
    <comment ref="E29" authorId="1" shapeId="0" xr:uid="{76A05FEB-D8F0-49CB-9FB6-F4758726E04A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Renegade TXL2A88 - Luis Daladiuer - uso particular 26.05.26 20.032km a  29/05/26 20.932km uibai x petrolina PE - utilizado 900km (NO E-MAIL INFORMOU QUE VOLTARIA DIA 27, enviou o registro completo só em 02/06 junto ao checklist de fechamento)
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tc={F5F321C4-DBD1-4C4E-B5C9-60B47FD58D85}</author>
  </authors>
  <commentList>
    <comment ref="D17" authorId="0" shapeId="0" xr:uid="{F5F321C4-DBD1-4C4E-B5C9-60B47FD58D85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Veículo locado 23/02/2026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tc={B499484B-E076-4CD4-82D1-94D62C53143E}</author>
    <author>tc={1EF51015-C154-4E2B-86D6-DEB39099D815}</author>
    <author>tc={415EDC7B-79E8-4872-983C-5811A7840039}</author>
  </authors>
  <commentList>
    <comment ref="B13" authorId="0" shapeId="0" xr:uid="{B499484B-E076-4CD4-82D1-94D62C53143E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Locado 04/01/2026</t>
      </text>
    </comment>
    <comment ref="C13" authorId="1" shapeId="0" xr:uid="{1EF51015-C154-4E2B-86D6-DEB39099D815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Troca de condutor de Jurandir para Augusto em 17/01/2026 com 6.312km</t>
      </text>
    </comment>
    <comment ref="B25" authorId="2" shapeId="0" xr:uid="{415EDC7B-79E8-4872-983C-5811A7840039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Uso particular não solicitado_01 a 05/04/26 - Irecê x Ibitiara BA -Utilizado 530km</t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tc={7A19BFEB-0A6A-45F4-8CC7-E2DA20E9F2FF}</author>
  </authors>
  <commentList>
    <comment ref="D21" authorId="0" shapeId="0" xr:uid="{7A19BFEB-0A6A-45F4-8CC7-E2DA20E9F2FF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Retirada 21/03/2026</t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tc={590E1295-1C1C-4350-AD60-56939EE256E6}</author>
  </authors>
  <commentList>
    <comment ref="B13" authorId="0" shapeId="0" xr:uid="{590E1295-1C1C-4350-AD60-56939EE256E6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Locação 05/01/26
</t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Administrativo2</author>
  </authors>
  <commentList>
    <comment ref="E96" authorId="0" shapeId="0" xr:uid="{B6209DA7-8354-46BA-8116-13D27305EAA2}">
      <text>
        <r>
          <rPr>
            <b/>
            <sz val="9"/>
            <color indexed="81"/>
            <rFont val="Segoe UI"/>
            <family val="2"/>
          </rPr>
          <t xml:space="preserve">Devolução_Substituição EVW1E22 28/11/2025: </t>
        </r>
        <r>
          <rPr>
            <sz val="9"/>
            <color indexed="81"/>
            <rFont val="Segoe UI"/>
            <family val="2"/>
          </rPr>
          <t xml:space="preserve">Solicitação da locadora devido o km alto próximo de 100.000km, porém o carro estava em perfeito funcionamento.
</t>
        </r>
      </text>
    </comment>
    <comment ref="B100" authorId="0" shapeId="0" xr:uid="{25EE7C77-3CEC-4129-88D8-7CD7058F59B2}">
      <text>
        <r>
          <rPr>
            <b/>
            <sz val="9"/>
            <color indexed="81"/>
            <rFont val="Segoe UI"/>
            <family val="2"/>
          </rPr>
          <t>Substituição_Retirada TXL2A44 - 28/11/2025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C100" authorId="0" shapeId="0" xr:uid="{1533C0BC-D9DF-4A88-8437-0F8ADED3C2B0}">
      <text>
        <r>
          <rPr>
            <b/>
            <sz val="9"/>
            <color indexed="81"/>
            <rFont val="Segoe UI"/>
            <family val="2"/>
          </rPr>
          <t>Em 18/12/2025 o veículo foi transferido do Jurandir para Eric com 4.612km.</t>
        </r>
        <r>
          <rPr>
            <sz val="9"/>
            <color indexed="81"/>
            <rFont val="Segoe UI"/>
            <family val="2"/>
          </rPr>
          <t xml:space="preserve">
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Administrativo2</author>
    <author>tc={155864B6-64D2-43A3-A5C7-1E6D9E047C1C}</author>
    <author>tc={6623C19B-E785-4375-8E53-013790A7298F}</author>
  </authors>
  <commentList>
    <comment ref="H4" authorId="0" shapeId="0" xr:uid="{00F5180C-0D93-4F61-A0F1-4F218F56704D}">
      <text>
        <r>
          <rPr>
            <b/>
            <sz val="9"/>
            <color indexed="81"/>
            <rFont val="Segoe UI"/>
            <family val="2"/>
          </rPr>
          <t>Tcross EKB5J96 guinchado em 07/08/2025 estava super aquecendo - o táxi chegou próximo do final da tarde para levar o Nilberto a loja do aeroporto de Salvador e o TCross TKX8G73 foi retirado na loja às 00:30h (do dia 07 para o dia 08/08)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B5" authorId="0" shapeId="0" xr:uid="{C5613CAB-3B3F-4610-B2B2-7646521E7B6C}">
      <text>
        <r>
          <rPr>
            <sz val="9"/>
            <color indexed="81"/>
            <rFont val="Segoe UI"/>
            <family val="2"/>
          </rPr>
          <t xml:space="preserve">Tcross EKB5J96 guinchado em 07/08/2025 estava super aquecendo - o táxi chegou próximo do final da tarde para levar o Nilberto a loja do aeroporto de Salvador e o TCross TKX8G73 foi retirado na loja às 00:30h (do dia 07 para o dia 08/08)
</t>
        </r>
      </text>
    </comment>
    <comment ref="C33" authorId="0" shapeId="0" xr:uid="{A06B1F95-5768-4028-8C19-C7D877B95E83}">
      <text>
        <r>
          <rPr>
            <sz val="9"/>
            <color indexed="81"/>
            <rFont val="Segoe UI"/>
            <family val="2"/>
          </rPr>
          <t xml:space="preserve">
do domingo 15/06/25 com 65.875km o veículo está sendo utilizado por Weiller na obra de Morro do Cruzeiro, previsão é ficar na obra até sexta-feira 20/06/2025</t>
        </r>
      </text>
    </comment>
    <comment ref="C41" authorId="0" shapeId="0" xr:uid="{D69BDD24-1E69-4A15-BA92-00F902D616B2}">
      <text>
        <r>
          <rPr>
            <b/>
            <sz val="9"/>
            <color indexed="81"/>
            <rFont val="Segoe UI"/>
            <family val="2"/>
          </rPr>
          <t>Tcross EKB5J96 guinchado em 07/08/2025 estava super aquecendo - o táxi chegou próximo do final da tarde para levar o Nilberto a loja do aeroporto de Salvador e o TCross TKX8G73 foi retirado na loja às 00:30h (do dia 07 para o dia 08/08)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B45" authorId="0" shapeId="0" xr:uid="{F88F2638-3BDC-45B6-BBB2-1D61FC9E631E}">
      <text>
        <r>
          <rPr>
            <sz val="9"/>
            <color indexed="81"/>
            <rFont val="Segoe UI"/>
            <family val="2"/>
          </rPr>
          <t xml:space="preserve">Tcross EKB5J96 guinchado em 07/08/2025 estava super aquecendo - o táxi chegou próximo do final da tarde para levar o Nilberto a loja do aeroporto de Salvador e o TCross TKX8G73 foi retirado na loja às 00:30h (do dia 07 para o dia 08/08)
</t>
        </r>
      </text>
    </comment>
    <comment ref="D53" authorId="0" shapeId="0" xr:uid="{6955F04F-606F-462D-8D14-797DC45F970A}">
      <text>
        <r>
          <rPr>
            <b/>
            <sz val="9"/>
            <color indexed="81"/>
            <rFont val="Segoe UI"/>
            <family val="2"/>
          </rPr>
          <t>Veículo utilizado por Weiller no período de folga de Nilberto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B73" authorId="1" shapeId="0" xr:uid="{155864B6-64D2-43A3-A5C7-1E6D9E047C1C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Nilberto: 14 a 16/03/26 - Bonito BA estimativa de uso 390km (uso não solicitado)
Nilberto: 27 a 29/03/26 - Bonito BA estimativa de uso 390km (uso não solicitado)
</t>
      </text>
    </comment>
    <comment ref="E77" authorId="2" shapeId="0" xr:uid="{6623C19B-E785-4375-8E53-013790A7298F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Devolução 30/04/26</t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Administrativo2</author>
    <author>tc={100F994C-4614-405E-9168-47181EA68EE4}</author>
  </authors>
  <commentList>
    <comment ref="H6" authorId="0" shapeId="0" xr:uid="{D4FC685B-3652-401B-903D-24DED99EA4FF}">
      <text>
        <r>
          <rPr>
            <b/>
            <sz val="9"/>
            <color indexed="81"/>
            <rFont val="Segoe UI"/>
            <family val="2"/>
          </rPr>
          <t>Troca de Condutor - de Antonio Willian para Herik</t>
        </r>
        <r>
          <rPr>
            <sz val="9"/>
            <color indexed="81"/>
            <rFont val="Segoe UI"/>
            <family val="2"/>
          </rPr>
          <t xml:space="preserve">
Em 06/09/2025 Antonio Willian foi mobilizado da Obra VSE para MDC e no período de 06/09 a 13/09/25 o veículo Tracker TEL5D17 ficou sendo utilizado por Jhonny enquanto aguardava a chegada do Herik e a partir do dia 15/09/25 o veículo ficou sob a responsabilidade do Herik
</t>
        </r>
        <r>
          <rPr>
            <b/>
            <sz val="9"/>
            <color indexed="81"/>
            <rFont val="Segoe UI"/>
            <family val="2"/>
          </rPr>
          <t xml:space="preserve">
Troca de Condutor - de Herik para Jair</t>
        </r>
        <r>
          <rPr>
            <sz val="9"/>
            <color indexed="81"/>
            <rFont val="Segoe UI"/>
            <family val="2"/>
          </rPr>
          <t xml:space="preserve">
em 10/12/2025 após Herik notificar que, por questões pessoais, não retornaria para o projeto VSE após o recesso de final de ano, trabalharia até 19/12 e o carro do Jair SIS6B61 estava sendo solicitado pela locadora a substituição devido o km, ficou acordado entre ambos jair ficar com o carro de Herik e o carro do Jair foi devolvido em 12/12/2025
</t>
        </r>
      </text>
    </comment>
    <comment ref="B42" authorId="0" shapeId="0" xr:uid="{8648DF91-34FE-46B1-AB64-B4729A9B9F36}">
      <text>
        <r>
          <rPr>
            <sz val="9"/>
            <color indexed="81"/>
            <rFont val="Segoe UI"/>
            <family val="2"/>
          </rPr>
          <t xml:space="preserve">T-Cross EXU6G81 retirado em 01/08/2025
</t>
        </r>
      </text>
    </comment>
    <comment ref="E42" authorId="0" shapeId="0" xr:uid="{0EFCCB5F-C410-4503-9427-ADA71220E843}">
      <text>
        <r>
          <rPr>
            <b/>
            <sz val="9"/>
            <color indexed="81"/>
            <rFont val="Segoe UI"/>
            <family val="2"/>
          </rPr>
          <t xml:space="preserve">Devolução_Substituição T-Cross EXU6G81 29/08/2025 feira de santana BA - 41.860km
</t>
        </r>
        <r>
          <rPr>
            <sz val="9"/>
            <color indexed="81"/>
            <rFont val="Segoe UI"/>
            <family val="2"/>
          </rPr>
          <t xml:space="preserve">Veículo substituido por estar apresentando constantemente com poucos dias após a retirada luzes de alerta no painel e inconsistencia no ar-condicionado, em menos de 20 dias de locação foi para manutenção 2 vezes, as luzes no painel saia e depois retornava e por 2 vezes apresentou também redução de pontencia de motor.
</t>
        </r>
      </text>
    </comment>
    <comment ref="Z42" authorId="0" shapeId="0" xr:uid="{237DD25A-084E-46B1-8BE5-97C50AF1B552}">
      <text>
        <r>
          <rPr>
            <sz val="9"/>
            <color indexed="81"/>
            <rFont val="Segoe UI"/>
            <family val="2"/>
          </rPr>
          <t xml:space="preserve">Lavagem pesada + lavagem de motor.
</t>
        </r>
      </text>
    </comment>
    <comment ref="K45" authorId="0" shapeId="0" xr:uid="{D96DE8ED-EC37-42C2-9740-3D90D6CB6F34}">
      <text>
        <r>
          <rPr>
            <b/>
            <sz val="9"/>
            <color indexed="81"/>
            <rFont val="Segoe UI"/>
            <family val="2"/>
          </rPr>
          <t>Abastecido com cartão corporativo - na locação do veículo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B46" authorId="0" shapeId="0" xr:uid="{2E4D1483-68CD-410A-9BDA-DC75B64C2341}">
      <text>
        <r>
          <rPr>
            <b/>
            <sz val="9"/>
            <color indexed="81"/>
            <rFont val="Segoe UI"/>
            <family val="2"/>
          </rPr>
          <t>Retirada_Substituição Tracker TEL5D17 29/08/2025 11.726km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C46" authorId="0" shapeId="0" xr:uid="{D51867DE-79ED-45BB-AB82-249F070FB27E}">
      <text>
        <r>
          <rPr>
            <b/>
            <sz val="9"/>
            <color indexed="81"/>
            <rFont val="Segoe UI"/>
            <family val="2"/>
          </rPr>
          <t>Troca de Condutor - de Antonio Willian para Herik</t>
        </r>
        <r>
          <rPr>
            <sz val="9"/>
            <color indexed="81"/>
            <rFont val="Segoe UI"/>
            <family val="2"/>
          </rPr>
          <t xml:space="preserve">
Em 06/09/2025 Antonio Willian foi mobilizado da Obra VSE para MDC e no período de 06/09 a 13/09/25 o veículo Tracker TEL5D17 ficou sendo utilizado por Jhonny enquanto aguardava a chegada do Herik e a partir do dia 15/09/25 o veículo ficou sob a responsabilidade do Herik
</t>
        </r>
      </text>
    </comment>
    <comment ref="C58" authorId="0" shapeId="0" xr:uid="{66B8EBF4-C3C3-43C0-B7A8-162C720BD297}">
      <text>
        <r>
          <rPr>
            <sz val="9"/>
            <color indexed="81"/>
            <rFont val="Segoe UI"/>
            <family val="2"/>
          </rPr>
          <t xml:space="preserve">Troca de titularidade de Herik para Jair em 10/12/2025 com 22.771km
</t>
        </r>
      </text>
    </comment>
    <comment ref="E70" authorId="1" shapeId="0" xr:uid="{100F994C-4614-405E-9168-47181EA68EE4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Devolvido 27/03/2026</t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tc={84A911A2-34B1-4619-BCB6-5E93D42E42FF}</author>
  </authors>
  <commentList>
    <comment ref="E118" authorId="0" shapeId="0" xr:uid="{84A911A2-34B1-4619-BCB6-5E93D42E42FF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Devolução 21/03/2026</t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tc={E70AEC04-DD10-40E0-A32D-DB139FD0BD94}</author>
  </authors>
  <commentList>
    <comment ref="C113" authorId="0" shapeId="0" xr:uid="{E70AEC04-DD10-40E0-A32D-DB139FD0BD94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Devolução do veículo 13/02/2026</t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Administrativo2</author>
    <author>Recepção</author>
  </authors>
  <commentList>
    <comment ref="D22" authorId="0" shapeId="0" xr:uid="{FA4671B1-3F2A-4E2F-BFBA-64E3E995EB89}">
      <text>
        <r>
          <rPr>
            <b/>
            <sz val="9"/>
            <color indexed="81"/>
            <rFont val="Segoe UI"/>
            <family val="2"/>
          </rPr>
          <t>Administrativo2:</t>
        </r>
        <r>
          <rPr>
            <sz val="9"/>
            <color indexed="81"/>
            <rFont val="Segoe UI"/>
            <family val="2"/>
          </rPr>
          <t xml:space="preserve">
Retirado em 15/03/2025 - Iranildo enviou a foto do km constando 50.710KM, porém estava errado, em 20/05/2025 encaminhou a foto correta do painel deste veículo na retirada com 25.245km
</t>
        </r>
      </text>
    </comment>
    <comment ref="S25" authorId="0" shapeId="0" xr:uid="{3287FD2B-925F-4201-877C-24FF9115FF77}">
      <text>
        <r>
          <rPr>
            <b/>
            <sz val="9"/>
            <color indexed="81"/>
            <rFont val="Segoe UI"/>
            <family val="2"/>
          </rPr>
          <t>Administrativo2:</t>
        </r>
        <r>
          <rPr>
            <sz val="9"/>
            <color indexed="81"/>
            <rFont val="Segoe UI"/>
            <family val="2"/>
          </rPr>
          <t xml:space="preserve">
abastecimento do novo carro SIS6B61</t>
        </r>
      </text>
    </comment>
    <comment ref="E26" authorId="0" shapeId="0" xr:uid="{B0600F40-2A70-454F-A2E7-F68534067B9F}">
      <text>
        <r>
          <rPr>
            <b/>
            <sz val="9"/>
            <color indexed="81"/>
            <rFont val="Segoe UI"/>
            <family val="2"/>
          </rPr>
          <t>Administrativo2:</t>
        </r>
        <r>
          <rPr>
            <sz val="9"/>
            <color indexed="81"/>
            <rFont val="Segoe UI"/>
            <family val="2"/>
          </rPr>
          <t xml:space="preserve">
Devolução 26/04/2025
</t>
        </r>
      </text>
    </comment>
    <comment ref="B30" authorId="1" shapeId="0" xr:uid="{3071EEC3-07D2-4316-A350-4F7A91609F01}">
      <text>
        <r>
          <rPr>
            <b/>
            <sz val="9"/>
            <color indexed="81"/>
            <rFont val="Segoe UI"/>
            <family val="2"/>
          </rPr>
          <t>Recepção:</t>
        </r>
        <r>
          <rPr>
            <sz val="9"/>
            <color indexed="81"/>
            <rFont val="Segoe UI"/>
            <family val="2"/>
          </rPr>
          <t xml:space="preserve">
Retirado em 26/04/2025 T-CROSS SIS6B61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Recepção</author>
  </authors>
  <commentList>
    <comment ref="D22" authorId="0" shapeId="0" xr:uid="{DA7CE012-F96C-43E3-AFB3-3D0699203D9D}">
      <text>
        <r>
          <rPr>
            <b/>
            <sz val="9"/>
            <color indexed="81"/>
            <rFont val="Segoe UI"/>
            <family val="2"/>
          </rPr>
          <t>Recepção:</t>
        </r>
        <r>
          <rPr>
            <sz val="9"/>
            <color indexed="81"/>
            <rFont val="Segoe UI"/>
            <family val="2"/>
          </rPr>
          <t xml:space="preserve">
Retirado em 15/03/2025
</t>
        </r>
      </text>
    </comment>
    <comment ref="C26" authorId="0" shapeId="0" xr:uid="{AC105574-B229-49A5-8B71-5BE560307AC2}">
      <text>
        <r>
          <rPr>
            <b/>
            <sz val="9"/>
            <color indexed="81"/>
            <rFont val="Segoe UI"/>
            <family val="2"/>
          </rPr>
          <t>Recepção:</t>
        </r>
        <r>
          <rPr>
            <sz val="9"/>
            <color indexed="81"/>
            <rFont val="Segoe UI"/>
            <family val="2"/>
          </rPr>
          <t xml:space="preserve">
Onix SYP7J27 devolvido 15/04/2025</t>
        </r>
      </text>
    </comment>
    <comment ref="D26" authorId="0" shapeId="0" xr:uid="{CE9B075E-BA1C-4874-A226-F0F1D58BA5D4}">
      <text>
        <r>
          <rPr>
            <b/>
            <sz val="9"/>
            <color indexed="81"/>
            <rFont val="Segoe UI"/>
            <family val="2"/>
          </rPr>
          <t>Recepção:</t>
        </r>
        <r>
          <rPr>
            <sz val="9"/>
            <color indexed="81"/>
            <rFont val="Segoe UI"/>
            <family val="2"/>
          </rPr>
          <t xml:space="preserve">
Retirada 15/04/2025 Nivus SYG2I07</t>
        </r>
      </text>
    </comment>
    <comment ref="O26" authorId="0" shapeId="0" xr:uid="{F65DC11D-1058-4275-A321-04A3D06DB343}">
      <text>
        <r>
          <rPr>
            <b/>
            <sz val="9"/>
            <color indexed="81"/>
            <rFont val="Segoe UI"/>
            <family val="2"/>
          </rPr>
          <t>Recepção:</t>
        </r>
        <r>
          <rPr>
            <sz val="9"/>
            <color indexed="81"/>
            <rFont val="Segoe UI"/>
            <family val="2"/>
          </rPr>
          <t xml:space="preserve">
Abastecimento para devolução em Feira de Santana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Administrativo2</author>
    <author>tc={CF5DBAAE-CA1D-45C7-9B05-5E38CFCD2B84}</author>
  </authors>
  <commentList>
    <comment ref="M90" authorId="0" shapeId="0" xr:uid="{FC8358B5-7872-4656-A792-B390BEEE767A}">
      <text>
        <r>
          <rPr>
            <b/>
            <sz val="9"/>
            <color indexed="81"/>
            <rFont val="Segoe UI"/>
            <family val="2"/>
          </rPr>
          <t>Ida para Salvador para o carro pegar o voo a São Paulo para treinamento RSH/FSH - Francisco Augusto e Jurandir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C103" authorId="1" shapeId="0" xr:uid="{CF5DBAAE-CA1D-45C7-9B05-5E38CFCD2B84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Devolução 18/01/2026
</t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Administrativo2</author>
    <author>tc={1187B22C-BE60-40FC-86DE-E76876BEC51C}</author>
  </authors>
  <commentList>
    <comment ref="D14" authorId="0" shapeId="0" xr:uid="{B6D7E022-6B63-4DA8-97D0-8CBC0D0F23DB}">
      <text>
        <r>
          <rPr>
            <sz val="9"/>
            <color indexed="81"/>
            <rFont val="Segoe UI"/>
            <family val="2"/>
          </rPr>
          <t xml:space="preserve">Retirada 19/12/2025
</t>
        </r>
      </text>
    </comment>
    <comment ref="C18" authorId="1" shapeId="0" xr:uid="{1187B22C-BE60-40FC-86DE-E76876BEC51C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Devolução 19/01/2026</t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Administrativo2</author>
  </authors>
  <commentList>
    <comment ref="B41" authorId="0" shapeId="0" xr:uid="{D0735605-8C50-4D10-BE9B-BC94527EB051}">
      <text>
        <r>
          <rPr>
            <sz val="9"/>
            <color indexed="81"/>
            <rFont val="Segoe UI"/>
            <family val="2"/>
          </rPr>
          <t xml:space="preserve">Ranger TEU5A95 - retirado em 31/07/2025
</t>
        </r>
      </text>
    </comment>
    <comment ref="B53" authorId="0" shapeId="0" xr:uid="{AE8E59C0-21C5-4B9B-8E75-AA42DEE265BE}">
      <text>
        <r>
          <rPr>
            <b/>
            <sz val="9"/>
            <color indexed="81"/>
            <rFont val="Segoe UI"/>
            <family val="2"/>
          </rPr>
          <t>Utilizado por Nilberto e Weiller de 06 a 15/11/25 (folga de Sávio)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C57" authorId="0" shapeId="0" xr:uid="{BF5492D2-FBD9-4B66-9B15-098CB0C8B2FE}">
      <text>
        <r>
          <rPr>
            <b/>
            <sz val="9"/>
            <color indexed="81"/>
            <rFont val="Segoe UI"/>
            <family val="2"/>
          </rPr>
          <t xml:space="preserve">Devolução veículo 19/12/2025
</t>
        </r>
        <r>
          <rPr>
            <sz val="9"/>
            <color indexed="81"/>
            <rFont val="Segoe UI"/>
            <family val="2"/>
          </rPr>
          <t xml:space="preserve">
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Administrativo2</author>
    <author>Jaqueline Ateone</author>
  </authors>
  <commentList>
    <comment ref="B7" authorId="0" shapeId="0" xr:uid="{BD266ED6-0969-4BF6-B770-60F63E7B0573}">
      <text>
        <r>
          <rPr>
            <b/>
            <sz val="9"/>
            <color indexed="81"/>
            <rFont val="Segoe UI"/>
            <family val="2"/>
          </rPr>
          <t xml:space="preserve">Laura:
</t>
        </r>
        <r>
          <rPr>
            <sz val="9"/>
            <color indexed="81"/>
            <rFont val="Segoe UI"/>
            <family val="2"/>
          </rPr>
          <t xml:space="preserve">Devido a falha para seguir as orientações passadas (o Eric justificou que estava com muitas demandas) o T-Cross TLP7F80 foi guinchado no dia 30/10/2025 e não foi solicitado o táxi para retirar o novo veículo, reforcei que o precidemento deve ser simultaneo  e o táxi foi agendado no dia 31/10/2025 e teve o apoio do Ronieri para a retirada do veículo TCross STQ7C53 neste dia. 
</t>
        </r>
      </text>
    </comment>
    <comment ref="B22" authorId="1" shapeId="0" xr:uid="{FF9F6168-8137-4186-B9AC-76BDD0BBDBED}">
      <text>
        <r>
          <rPr>
            <b/>
            <sz val="9"/>
            <color indexed="81"/>
            <rFont val="Segoe UI"/>
            <family val="2"/>
          </rPr>
          <t>Jaqueline Ateone:</t>
        </r>
        <r>
          <rPr>
            <sz val="9"/>
            <color indexed="81"/>
            <rFont val="Segoe UI"/>
            <family val="2"/>
          </rPr>
          <t xml:space="preserve">
refere-se de 1 a 15</t>
        </r>
      </text>
    </comment>
    <comment ref="C22" authorId="1" shapeId="0" xr:uid="{19AF2A8A-A03E-4B0D-B736-81EC5D556F45}">
      <text>
        <r>
          <rPr>
            <b/>
            <sz val="9"/>
            <color indexed="81"/>
            <rFont val="Segoe UI"/>
            <family val="2"/>
          </rPr>
          <t>Jaqueline Ateone:</t>
        </r>
        <r>
          <rPr>
            <sz val="9"/>
            <color indexed="81"/>
            <rFont val="Segoe UI"/>
            <family val="2"/>
          </rPr>
          <t xml:space="preserve">
Refere-se 1 a 15</t>
        </r>
      </text>
    </comment>
    <comment ref="D22" authorId="1" shapeId="0" xr:uid="{7EB4253C-14C8-481D-AF65-55371E349CF8}">
      <text>
        <r>
          <rPr>
            <b/>
            <sz val="9"/>
            <color indexed="81"/>
            <rFont val="Segoe UI"/>
            <family val="2"/>
          </rPr>
          <t>Jaqueline Ateone:</t>
        </r>
        <r>
          <rPr>
            <sz val="9"/>
            <color indexed="81"/>
            <rFont val="Segoe UI"/>
            <family val="2"/>
          </rPr>
          <t xml:space="preserve">
refere-se 16 a 31</t>
        </r>
      </text>
    </comment>
    <comment ref="L30" authorId="0" shapeId="0" xr:uid="{135ADF72-4FEF-47E9-884A-C14F10356609}">
      <text>
        <r>
          <rPr>
            <b/>
            <sz val="9"/>
            <color indexed="81"/>
            <rFont val="Segoe UI"/>
            <family val="2"/>
          </rPr>
          <t>Administrativo2:</t>
        </r>
        <r>
          <rPr>
            <sz val="9"/>
            <color indexed="81"/>
            <rFont val="Segoe UI"/>
            <family val="2"/>
          </rPr>
          <t xml:space="preserve">
Abastecimento de devolução TIX2B85</t>
        </r>
      </text>
    </comment>
    <comment ref="B31" authorId="0" shapeId="0" xr:uid="{C26EA280-F436-4CB7-9953-3F5A58492808}">
      <text>
        <r>
          <rPr>
            <b/>
            <sz val="9"/>
            <color indexed="81"/>
            <rFont val="Segoe UI"/>
            <family val="2"/>
          </rPr>
          <t>Administrativo2:</t>
        </r>
        <r>
          <rPr>
            <sz val="9"/>
            <color indexed="81"/>
            <rFont val="Segoe UI"/>
            <family val="2"/>
          </rPr>
          <t xml:space="preserve">
Kicks SYG4A34 retirado em 03/05/2025</t>
        </r>
      </text>
    </comment>
    <comment ref="E31" authorId="0" shapeId="0" xr:uid="{81529EB2-82F0-421C-8E1B-CEDE63D4C84F}">
      <text>
        <r>
          <rPr>
            <b/>
            <sz val="9"/>
            <color indexed="81"/>
            <rFont val="Segoe UI"/>
            <family val="2"/>
          </rPr>
          <t>Administrativo2:</t>
        </r>
        <r>
          <rPr>
            <sz val="9"/>
            <color indexed="81"/>
            <rFont val="Segoe UI"/>
            <family val="2"/>
          </rPr>
          <t xml:space="preserve">
Kicks SYG4A34 devolvido (substituido) em 30/05/2025 com 38299km
</t>
        </r>
      </text>
    </comment>
    <comment ref="B35" authorId="0" shapeId="0" xr:uid="{8617DC2F-41E0-4280-84B7-D91F8615ADDD}">
      <text>
        <r>
          <rPr>
            <b/>
            <sz val="9"/>
            <color indexed="81"/>
            <rFont val="Segoe UI"/>
            <family val="2"/>
          </rPr>
          <t>Administrativo2:</t>
        </r>
        <r>
          <rPr>
            <sz val="9"/>
            <color indexed="81"/>
            <rFont val="Segoe UI"/>
            <family val="2"/>
          </rPr>
          <t xml:space="preserve">
T-Cross TLP7F80 retirado (substituição) em 30/05/2025 com 21511km</t>
        </r>
      </text>
    </comment>
    <comment ref="E51" authorId="0" shapeId="0" xr:uid="{7922EBD8-506D-4EEE-B890-B931AC9964C0}">
      <text>
        <r>
          <rPr>
            <b/>
            <sz val="9"/>
            <color indexed="81"/>
            <rFont val="Segoe UI"/>
            <family val="2"/>
          </rPr>
          <t xml:space="preserve">Guinchado 30/10/2025
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B55" authorId="0" shapeId="0" xr:uid="{4B95A769-0DBA-47AD-A30B-F335044E009D}">
      <text>
        <r>
          <rPr>
            <b/>
            <sz val="9"/>
            <color indexed="81"/>
            <rFont val="Segoe UI"/>
            <family val="2"/>
          </rPr>
          <t>STQ7C53 - retirado 31/10/2025 (veículo anterior foi guinchado em 30/10 e o táxi ficou agendado para 31/10)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P58" authorId="0" shapeId="0" xr:uid="{A343F961-8DB9-45F9-B31B-8F583BEAF020}">
      <text>
        <r>
          <rPr>
            <b/>
            <sz val="9"/>
            <color indexed="81"/>
            <rFont val="Segoe UI"/>
            <family val="2"/>
          </rPr>
          <t>abastecimento por reembolso - devolução do carro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E59" authorId="0" shapeId="0" xr:uid="{DB3679A1-D7AB-475F-A235-442D270F05BB}">
      <text>
        <r>
          <rPr>
            <b/>
            <sz val="9"/>
            <color indexed="81"/>
            <rFont val="Segoe UI"/>
            <family val="2"/>
          </rPr>
          <t>Devolvido 20/12/2025</t>
        </r>
        <r>
          <rPr>
            <sz val="9"/>
            <color indexed="81"/>
            <rFont val="Segoe UI"/>
            <family val="2"/>
          </rPr>
          <t xml:space="preserve">
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Recepção</author>
    <author>Administrativo2</author>
  </authors>
  <commentList>
    <comment ref="H4" authorId="0" shapeId="0" xr:uid="{39CD63F2-CC16-498C-B893-DFE676B7950C}">
      <text>
        <r>
          <rPr>
            <b/>
            <sz val="9"/>
            <color indexed="81"/>
            <rFont val="Segoe UI"/>
            <family val="2"/>
          </rPr>
          <t>Recepção:</t>
        </r>
        <r>
          <rPr>
            <sz val="9"/>
            <color indexed="81"/>
            <rFont val="Segoe UI"/>
            <family val="2"/>
          </rPr>
          <t xml:space="preserve">
Veículo SFB5H82 guinchado porque estava super aquecendo</t>
        </r>
      </text>
    </comment>
    <comment ref="E5" authorId="1" shapeId="0" xr:uid="{59A320AF-8B3C-4972-8CFC-90DD64F288C7}">
      <text>
        <r>
          <rPr>
            <b/>
            <sz val="9"/>
            <color indexed="81"/>
            <rFont val="Segoe UI"/>
            <family val="2"/>
          </rPr>
          <t>Administrativo2:</t>
        </r>
        <r>
          <rPr>
            <sz val="9"/>
            <color indexed="81"/>
            <rFont val="Segoe UI"/>
            <family val="2"/>
          </rPr>
          <t xml:space="preserve">
Veículo estava apresentando problema no ar-condicionado, passou 9 dia na oficina, foi liberado no dia 15/05/25 e no dia 16 voltou a para de funcionar novamente, no sábado 17/05/25 foi substituído  </t>
        </r>
      </text>
    </comment>
    <comment ref="E6" authorId="1" shapeId="0" xr:uid="{950A2CE8-EFCD-4159-A66B-74D702790F4A}">
      <text>
        <r>
          <rPr>
            <b/>
            <sz val="9"/>
            <color indexed="81"/>
            <rFont val="Segoe UI"/>
            <family val="2"/>
          </rPr>
          <t xml:space="preserve">Laura:
Veículo SJE5D96 - </t>
        </r>
        <r>
          <rPr>
            <sz val="9"/>
            <color indexed="81"/>
            <rFont val="Segoe UI"/>
            <family val="2"/>
          </rPr>
          <t>no final da tarde da sexta-feira 25/07/2025 recebemos a informação da saída da Ana Caroline e ao invés de ser devolvido o carro dela foi  solicitado pela equipe HSS da obra para ser devolvido o de Washington e este Creta SJE5D96  foi transferido para Washington, o qual só o recebeu na segunda 28/07 porque na sexta a tarde Washington viajou para a sua residencia em Juazeiro BA e retornou as atividades na segunda.</t>
        </r>
      </text>
    </comment>
    <comment ref="D22" authorId="0" shapeId="0" xr:uid="{9CB00F96-740E-484D-BEB7-D12213E42D43}">
      <text>
        <r>
          <rPr>
            <b/>
            <sz val="9"/>
            <color indexed="81"/>
            <rFont val="Segoe UI"/>
            <family val="2"/>
          </rPr>
          <t>Recepção:</t>
        </r>
        <r>
          <rPr>
            <sz val="9"/>
            <color indexed="81"/>
            <rFont val="Segoe UI"/>
            <family val="2"/>
          </rPr>
          <t xml:space="preserve">
Retirado em 15/03/2025</t>
        </r>
      </text>
    </comment>
    <comment ref="E26" authorId="0" shapeId="0" xr:uid="{0BD53D62-1F06-4E8D-B5CD-792A6490994A}">
      <text>
        <r>
          <rPr>
            <b/>
            <sz val="9"/>
            <color indexed="81"/>
            <rFont val="Segoe UI"/>
            <family val="2"/>
          </rPr>
          <t>Recepção:</t>
        </r>
        <r>
          <rPr>
            <sz val="9"/>
            <color indexed="81"/>
            <rFont val="Segoe UI"/>
            <family val="2"/>
          </rPr>
          <t xml:space="preserve">
Veículo SFB5H82 guinchado 23/04/2025 - estava super aquecendo</t>
        </r>
      </text>
    </comment>
    <comment ref="M29" authorId="1" shapeId="0" xr:uid="{4E881F1D-C2FA-40B2-9A32-C356521DF18D}">
      <text>
        <r>
          <rPr>
            <b/>
            <sz val="9"/>
            <color indexed="81"/>
            <rFont val="Segoe UI"/>
            <family val="2"/>
          </rPr>
          <t>Administrativo2:</t>
        </r>
        <r>
          <rPr>
            <sz val="9"/>
            <color indexed="81"/>
            <rFont val="Segoe UI"/>
            <family val="2"/>
          </rPr>
          <t xml:space="preserve">
Abastecimento de devolução em Juazeiro 17/05</t>
        </r>
      </text>
    </comment>
    <comment ref="N29" authorId="1" shapeId="0" xr:uid="{DE29AD69-6C5B-4E13-8B73-300CEA72069A}">
      <text>
        <r>
          <rPr>
            <b/>
            <sz val="9"/>
            <color indexed="81"/>
            <rFont val="Segoe UI"/>
            <family val="2"/>
          </rPr>
          <t>Administrativo2:</t>
        </r>
        <r>
          <rPr>
            <sz val="9"/>
            <color indexed="81"/>
            <rFont val="Segoe UI"/>
            <family val="2"/>
          </rPr>
          <t xml:space="preserve">
Creta SJE5D96 abastecimento de retorno a Irecê após substituição</t>
        </r>
      </text>
    </comment>
    <comment ref="B30" authorId="1" shapeId="0" xr:uid="{769A2D42-C4A7-4DA5-9F2F-1BD43B784202}">
      <text>
        <r>
          <rPr>
            <b/>
            <sz val="9"/>
            <color indexed="81"/>
            <rFont val="Segoe UI"/>
            <family val="2"/>
          </rPr>
          <t>Administrativo2:</t>
        </r>
        <r>
          <rPr>
            <sz val="9"/>
            <color indexed="81"/>
            <rFont val="Segoe UI"/>
            <family val="2"/>
          </rPr>
          <t xml:space="preserve">
T-Cross EXJ3H31 Retirado em 05/05/2025</t>
        </r>
      </text>
    </comment>
    <comment ref="C30" authorId="1" shapeId="0" xr:uid="{FA7F2283-0D83-4270-A28A-D6D2779547BE}">
      <text>
        <r>
          <rPr>
            <b/>
            <sz val="9"/>
            <color indexed="81"/>
            <rFont val="Segoe UI"/>
            <family val="2"/>
          </rPr>
          <t>Administrativo2:</t>
        </r>
        <r>
          <rPr>
            <sz val="9"/>
            <color indexed="81"/>
            <rFont val="Segoe UI"/>
            <family val="2"/>
          </rPr>
          <t xml:space="preserve">
T-Cross EXJ3H31 Substituído em 17/05/2025 devido a probvlema no ar-condicionado</t>
        </r>
      </text>
    </comment>
    <comment ref="D30" authorId="1" shapeId="0" xr:uid="{B77DDD08-A6ED-46FF-A918-47058CABB446}">
      <text>
        <r>
          <rPr>
            <b/>
            <sz val="9"/>
            <color indexed="81"/>
            <rFont val="Segoe UI"/>
            <family val="2"/>
          </rPr>
          <t>Administrativo2:</t>
        </r>
        <r>
          <rPr>
            <sz val="9"/>
            <color indexed="81"/>
            <rFont val="Segoe UI"/>
            <family val="2"/>
          </rPr>
          <t xml:space="preserve">
Creta SJE5D96 retirado na substituição em 17/05/2025</t>
        </r>
      </text>
    </comment>
    <comment ref="D38" authorId="1" shapeId="0" xr:uid="{FEBA435F-7AC5-43B9-AB48-01EFDA0B6588}">
      <text>
        <r>
          <rPr>
            <sz val="9"/>
            <color indexed="81"/>
            <rFont val="Segoe UI"/>
            <family val="2"/>
          </rPr>
          <t xml:space="preserve">Laura:
Veículo SJE5D96 era utilizado por Ana Caroline até o dia 25/07/2025, neste dia foi transferido para Washington com </t>
        </r>
        <r>
          <rPr>
            <b/>
            <sz val="9"/>
            <color indexed="81"/>
            <rFont val="Segoe UI"/>
            <family val="2"/>
          </rPr>
          <t>63599km.</t>
        </r>
      </text>
    </comment>
    <comment ref="C58" authorId="1" shapeId="0" xr:uid="{ECA2BDC5-8A96-407B-9B5A-A39DC0D29C87}">
      <text>
        <r>
          <rPr>
            <b/>
            <sz val="9"/>
            <color indexed="81"/>
            <rFont val="Segoe UI"/>
            <family val="2"/>
          </rPr>
          <t>Devolvido 19/12/2025</t>
        </r>
        <r>
          <rPr>
            <sz val="9"/>
            <color indexed="81"/>
            <rFont val="Segoe UI"/>
            <family val="2"/>
          </rPr>
          <t xml:space="preserve">
</t>
        </r>
      </text>
    </comment>
  </commentList>
</comments>
</file>

<file path=xl/comments1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Administrativo2</author>
  </authors>
  <commentList>
    <comment ref="E49" authorId="0" shapeId="0" xr:uid="{84D9CC70-B34A-409C-A545-E71E691067D7}">
      <text>
        <r>
          <rPr>
            <b/>
            <sz val="9"/>
            <color indexed="81"/>
            <rFont val="Segoe UI"/>
            <family val="2"/>
          </rPr>
          <t xml:space="preserve">Devolvido 27/10/2025
</t>
        </r>
        <r>
          <rPr>
            <sz val="9"/>
            <color indexed="81"/>
            <rFont val="Segoe UI"/>
            <family val="2"/>
          </rPr>
          <t xml:space="preserve">
</t>
        </r>
      </text>
    </comment>
  </commentList>
</comments>
</file>

<file path=xl/comments1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Recepção</author>
    <author>Administrativo2</author>
  </authors>
  <commentList>
    <comment ref="O25" authorId="0" shapeId="0" xr:uid="{946C6340-B503-42E1-9128-832DA3989CB9}">
      <text>
        <r>
          <rPr>
            <b/>
            <sz val="9"/>
            <color indexed="81"/>
            <rFont val="Segoe UI"/>
            <family val="2"/>
          </rPr>
          <t>Recepção:</t>
        </r>
        <r>
          <rPr>
            <sz val="9"/>
            <color indexed="81"/>
            <rFont val="Segoe UI"/>
            <family val="2"/>
          </rPr>
          <t xml:space="preserve">
Abasteceu dia 11/04 para no dia 12/04/25 abastecer só em Juazeiro, onde trocou de carro</t>
        </r>
      </text>
    </comment>
    <comment ref="P25" authorId="0" shapeId="0" xr:uid="{45A94298-E358-40E2-8064-FBE7596816E6}">
      <text>
        <r>
          <rPr>
            <b/>
            <sz val="9"/>
            <color indexed="81"/>
            <rFont val="Segoe UI"/>
            <family val="2"/>
          </rPr>
          <t>Recepção:</t>
        </r>
        <r>
          <rPr>
            <sz val="9"/>
            <color indexed="81"/>
            <rFont val="Segoe UI"/>
            <family val="2"/>
          </rPr>
          <t xml:space="preserve">
Abastecimento de complemento em Juazeiro para devolução TIY9E72</t>
        </r>
      </text>
    </comment>
    <comment ref="Q25" authorId="1" shapeId="0" xr:uid="{A185F0C5-CC6C-43B9-9292-274E39BCE03D}">
      <text>
        <r>
          <rPr>
            <b/>
            <sz val="9"/>
            <color indexed="81"/>
            <rFont val="Segoe UI"/>
            <family val="2"/>
          </rPr>
          <t>Administrativo2:</t>
        </r>
        <r>
          <rPr>
            <sz val="9"/>
            <color indexed="81"/>
            <rFont val="Segoe UI"/>
            <family val="2"/>
          </rPr>
          <t xml:space="preserve">
Abastecimentos do T-Cross FFW5H24 </t>
        </r>
      </text>
    </comment>
    <comment ref="C26" authorId="1" shapeId="0" xr:uid="{54F8628F-77DC-4BF1-B5E4-380F93CAFC40}">
      <text>
        <r>
          <rPr>
            <b/>
            <sz val="9"/>
            <color indexed="81"/>
            <rFont val="Segoe UI"/>
            <family val="2"/>
          </rPr>
          <t>Administrativo2:</t>
        </r>
        <r>
          <rPr>
            <sz val="9"/>
            <color indexed="81"/>
            <rFont val="Segoe UI"/>
            <family val="2"/>
          </rPr>
          <t xml:space="preserve">
Polo TIY9E72 devolvido em 12/04/2025
</t>
        </r>
      </text>
    </comment>
    <comment ref="D26" authorId="1" shapeId="0" xr:uid="{B0761585-664F-4300-8C0A-689D4B6EC264}">
      <text>
        <r>
          <rPr>
            <b/>
            <sz val="9"/>
            <color indexed="81"/>
            <rFont val="Segoe UI"/>
            <family val="2"/>
          </rPr>
          <t>Administrativo2:</t>
        </r>
        <r>
          <rPr>
            <sz val="9"/>
            <color indexed="81"/>
            <rFont val="Segoe UI"/>
            <family val="2"/>
          </rPr>
          <t xml:space="preserve">
T-Cross FFW5H24 retirado em 12/04/2025
</t>
        </r>
      </text>
    </comment>
    <comment ref="O26" authorId="0" shapeId="0" xr:uid="{D8AA0278-77DA-406B-B1F1-A550582E8B22}">
      <text>
        <r>
          <rPr>
            <b/>
            <sz val="9"/>
            <color indexed="81"/>
            <rFont val="Segoe UI"/>
            <family val="2"/>
          </rPr>
          <t>Recepção:</t>
        </r>
        <r>
          <rPr>
            <sz val="9"/>
            <color indexed="81"/>
            <rFont val="Segoe UI"/>
            <family val="2"/>
          </rPr>
          <t xml:space="preserve">
cartão corporativo</t>
        </r>
      </text>
    </comment>
    <comment ref="P26" authorId="0" shapeId="0" xr:uid="{858C82B9-C3CC-4D91-9E9C-4B5D1E0D5D51}">
      <text>
        <r>
          <rPr>
            <b/>
            <sz val="9"/>
            <color indexed="81"/>
            <rFont val="Segoe UI"/>
            <family val="2"/>
          </rPr>
          <t>Recepção:</t>
        </r>
        <r>
          <rPr>
            <sz val="9"/>
            <color indexed="81"/>
            <rFont val="Segoe UI"/>
            <family val="2"/>
          </rPr>
          <t xml:space="preserve">
Cartão corporativo</t>
        </r>
      </text>
    </comment>
    <comment ref="D30" authorId="1" shapeId="0" xr:uid="{1101025B-46A9-4A7D-B007-0975B4A80F0C}">
      <text>
        <r>
          <rPr>
            <b/>
            <sz val="9"/>
            <color indexed="81"/>
            <rFont val="Segoe UI"/>
            <family val="2"/>
          </rPr>
          <t>Administrativo2:</t>
        </r>
        <r>
          <rPr>
            <sz val="9"/>
            <color indexed="81"/>
            <rFont val="Segoe UI"/>
            <family val="2"/>
          </rPr>
          <t xml:space="preserve">
Uso particular FFW5H24 ída 23/05/25: 52.590km - Retorno 25/05/25: 53.535km 
Total utilizado: 945km</t>
        </r>
      </text>
    </comment>
    <comment ref="E38" authorId="1" shapeId="0" xr:uid="{E7F4E286-96C5-4338-BFDB-1E7DD0DD8E8C}">
      <text>
        <r>
          <rPr>
            <sz val="9"/>
            <color indexed="81"/>
            <rFont val="Segoe UI"/>
            <family val="2"/>
          </rPr>
          <t xml:space="preserve">
</t>
        </r>
        <r>
          <rPr>
            <b/>
            <sz val="9"/>
            <color indexed="81"/>
            <rFont val="Segoe UI"/>
            <family val="2"/>
          </rPr>
          <t>T-Cross FFW5H24 devolvido em 26/07/2025</t>
        </r>
        <r>
          <rPr>
            <sz val="9"/>
            <color indexed="81"/>
            <rFont val="Segoe UI"/>
            <family val="2"/>
          </rPr>
          <t xml:space="preserve">: na sexta-feira 25/07 às 16:38h recebido a confirmação para devolver o carro no sábado 26/07 e neste dia a loja Unidas no Shopping Jua Garden em Juazeiro BA funciona de 08:00 às 12:00h, o carro foi entregue sujo pois estava sendo utilizado na obra, quem fez a devolução foi o Jhonny. 
</t>
        </r>
        <r>
          <rPr>
            <b/>
            <sz val="9"/>
            <color indexed="81"/>
            <rFont val="Segoe UI"/>
            <family val="2"/>
          </rPr>
          <t>Avaria:</t>
        </r>
        <r>
          <rPr>
            <sz val="9"/>
            <color indexed="81"/>
            <rFont val="Segoe UI"/>
            <family val="2"/>
          </rPr>
          <t xml:space="preserve"> durante a viagem para entregar o carro, Jhonny sinalizou a Jaqueline que a moldura que  contornava a roda dianteira lado do motorista  (peça nova) soltou a metade e quebrou com a pressão do vento em viagem. 
Sendo que essa peça já tinha sido avariada antes,  tinha perdido durante o uso do veículo por Iranildo na obra no período de folga de Washington, ocasião em que eles compraram a peça e recebi através do Washington a notificação desta ocorrencia só no dia 14/07/2025 e a peça chegou em 21/07/2025. 
Devido a divergência na tonalidade da peça com o restante da moldura do carro, reforcei para Washington e Iranildo que mesmo sendo uma peça nova poderia ocorrer cobrança por parte da locadora  pois eles poderiam identificar a divergencia de cor e saber que não era a peça original do carro (conforme conversei com Aylla e também informado a Jaqueline), nesse caso o Iranildo informou que mesmo que comprou por proatividade e que se houvesse a cobrança pela locadora não concordava em pagar por algo que ocorreu com durante atividade na obra (não sabemos o dia e horário porque só recebemos a informoção no dia 14/07), neste momento da conversa com Iranildo e o Jhonny também estava em ligação, eles já estavam indo fazer a desinstalação do rastredor em Irecê e já eram 17:27h da sexta-feira 25/07. Em suma, a foto da peça quebrada na viagem para devolução do carro não tem a mesma tonalidade da peça que tinha sido comprada pelos meninos, parecedendo se a peça antiga que tinha sido avariada antes. </t>
        </r>
      </text>
    </comment>
  </commentList>
</comments>
</file>

<file path=xl/comments2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Administrativo2</author>
    <author>Recepção</author>
  </authors>
  <commentList>
    <comment ref="T73" authorId="0" shapeId="0" xr:uid="{B66E8202-68BE-4405-A23B-6A70C346FBF6}">
      <text>
        <r>
          <rPr>
            <b/>
            <sz val="9"/>
            <color indexed="81"/>
            <rFont val="Segoe UI"/>
            <family val="2"/>
          </rPr>
          <t>Administrativo2:</t>
        </r>
        <r>
          <rPr>
            <sz val="9"/>
            <color indexed="81"/>
            <rFont val="Segoe UI"/>
            <family val="2"/>
          </rPr>
          <t xml:space="preserve">
Abastecimento do Renegade RVC9D71 retirado em 28/04/25</t>
        </r>
      </text>
    </comment>
    <comment ref="E74" authorId="1" shapeId="0" xr:uid="{ED01CD49-4674-447C-83D2-A5C6C28C4378}">
      <text>
        <r>
          <rPr>
            <b/>
            <sz val="9"/>
            <color indexed="81"/>
            <rFont val="Segoe UI"/>
            <family val="2"/>
          </rPr>
          <t>Recepção:</t>
        </r>
        <r>
          <rPr>
            <sz val="9"/>
            <color indexed="81"/>
            <rFont val="Segoe UI"/>
            <family val="2"/>
          </rPr>
          <t xml:space="preserve">
Creta SIX0H46 guinchado em 26/04/2025</t>
        </r>
      </text>
    </comment>
    <comment ref="B78" authorId="1" shapeId="0" xr:uid="{06CD4F21-A776-4450-BA77-20D21DB7575F}">
      <text>
        <r>
          <rPr>
            <b/>
            <sz val="9"/>
            <color indexed="81"/>
            <rFont val="Segoe UI"/>
            <family val="2"/>
          </rPr>
          <t>Recepção:</t>
        </r>
        <r>
          <rPr>
            <sz val="9"/>
            <color indexed="81"/>
            <rFont val="Segoe UI"/>
            <family val="2"/>
          </rPr>
          <t xml:space="preserve">
Veículo RVC9D71 Retirado em 26/04/2025, não foi registrado foto do km inicial, temos registor do km 72137 no dia 28/04/2025</t>
        </r>
      </text>
    </comment>
    <comment ref="C94" authorId="0" shapeId="0" xr:uid="{D5D50915-C6C6-46C5-845F-CD426F6DD593}">
      <text>
        <r>
          <rPr>
            <b/>
            <sz val="9"/>
            <color indexed="81"/>
            <rFont val="Segoe UI"/>
            <family val="2"/>
          </rPr>
          <t>Devolução RVC9D71</t>
        </r>
        <r>
          <rPr>
            <sz val="9"/>
            <color indexed="81"/>
            <rFont val="Segoe UI"/>
            <family val="2"/>
          </rPr>
          <t xml:space="preserve">
</t>
        </r>
      </text>
    </comment>
  </commentList>
</comments>
</file>

<file path=xl/comments2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Administrativo2</author>
  </authors>
  <commentList>
    <comment ref="E25" authorId="0" shapeId="0" xr:uid="{CC7844F6-A10E-497B-8370-FB315CF56E36}">
      <text>
        <r>
          <rPr>
            <b/>
            <sz val="9"/>
            <color indexed="81"/>
            <rFont val="Segoe UI"/>
            <family val="2"/>
          </rPr>
          <t>Administrativo2:</t>
        </r>
        <r>
          <rPr>
            <sz val="9"/>
            <color indexed="81"/>
            <rFont val="Segoe UI"/>
            <family val="2"/>
          </rPr>
          <t xml:space="preserve">
até 25/04/25, do dia 26/04 a 04/05/2025 estava de folga</t>
        </r>
      </text>
    </comment>
    <comment ref="Q36" authorId="0" shapeId="0" xr:uid="{BC3FD4C9-60C1-46A4-AC34-C7CCEEB879B6}">
      <text>
        <r>
          <rPr>
            <b/>
            <sz val="9"/>
            <color indexed="81"/>
            <rFont val="Segoe UI"/>
            <family val="2"/>
          </rPr>
          <t xml:space="preserve">Abastecimento no posto credenciado em Irecê
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R36" authorId="0" shapeId="0" xr:uid="{C45E0315-8E91-4847-B445-478C4C23007D}">
      <text>
        <r>
          <rPr>
            <b/>
            <sz val="9"/>
            <color indexed="81"/>
            <rFont val="Segoe UI"/>
            <family val="2"/>
          </rPr>
          <t xml:space="preserve">Abastecimento realizado em Feira de Santana na devolução do veículo
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E37" authorId="0" shapeId="0" xr:uid="{F9D99394-D0C2-4318-9E68-7049D8B6488B}">
      <text>
        <r>
          <rPr>
            <b/>
            <sz val="9"/>
            <color indexed="81"/>
            <rFont val="Segoe UI"/>
            <family val="2"/>
          </rPr>
          <t>S10 PVR3C22 devolvido em 31/07/2025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X37" authorId="0" shapeId="0" xr:uid="{E5640D83-28A4-41E3-BDB7-72E609362337}">
      <text>
        <r>
          <rPr>
            <b/>
            <sz val="9"/>
            <color indexed="81"/>
            <rFont val="Segoe UI"/>
            <family val="2"/>
          </rPr>
          <t>Lavagem R$70,00 + R$40,00 do produto devido está com sujeira mais grosseira e estofados sujos
 350,00 Polimento completo, a S10 estava com avarias na pintura - Pagamento faturado no lava-jato 74steticar</t>
        </r>
        <r>
          <rPr>
            <sz val="9"/>
            <color indexed="81"/>
            <rFont val="Segoe UI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<sst xmlns="http://schemas.openxmlformats.org/spreadsheetml/2006/main" count="9053" uniqueCount="170">
  <si>
    <t>Placa:</t>
  </si>
  <si>
    <t xml:space="preserve">Contrato de Locação </t>
  </si>
  <si>
    <t>Fevereiro</t>
  </si>
  <si>
    <t>DATA</t>
  </si>
  <si>
    <t>KM (Rodados)</t>
  </si>
  <si>
    <t>1ª Leitura</t>
  </si>
  <si>
    <t>2ª Leitura</t>
  </si>
  <si>
    <t>3ª Leitura</t>
  </si>
  <si>
    <t>4ª Leitura</t>
  </si>
  <si>
    <t>15 dias Rodados</t>
  </si>
  <si>
    <t>30 dias Rodados</t>
  </si>
  <si>
    <t>Total Mensal</t>
  </si>
  <si>
    <t>Março</t>
  </si>
  <si>
    <t>Abril</t>
  </si>
  <si>
    <t>Maio</t>
  </si>
  <si>
    <t>Julho</t>
  </si>
  <si>
    <t>Agosto</t>
  </si>
  <si>
    <t>Setembro</t>
  </si>
  <si>
    <t>Outubro</t>
  </si>
  <si>
    <t>Novembro</t>
  </si>
  <si>
    <t>Dezembro</t>
  </si>
  <si>
    <t>VALOR</t>
  </si>
  <si>
    <t>TOTAL</t>
  </si>
  <si>
    <t>Junho</t>
  </si>
  <si>
    <t>ABASTECIMENTO</t>
  </si>
  <si>
    <t>BORRACHARIA</t>
  </si>
  <si>
    <t>REGISTRO DE KM</t>
  </si>
  <si>
    <t>KM MENSAL</t>
  </si>
  <si>
    <t>JAN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</si>
  <si>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</si>
  <si>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</si>
  <si>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</si>
  <si>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</si>
  <si>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</si>
  <si>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</si>
  <si>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</si>
  <si>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</si>
  <si>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</si>
  <si>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</si>
  <si>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</si>
  <si>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>SALDO KM</t>
  </si>
  <si>
    <t>Medição</t>
  </si>
  <si>
    <t>Lucro Car's</t>
  </si>
  <si>
    <t>KM RODADO</t>
  </si>
  <si>
    <t>Rastreador:</t>
  </si>
  <si>
    <t>Medição:</t>
  </si>
  <si>
    <t>Data mob.:</t>
  </si>
  <si>
    <t>Veiculo:</t>
  </si>
  <si>
    <t xml:space="preserve">Contrato Locação: </t>
  </si>
  <si>
    <t>LAVA JATO</t>
  </si>
  <si>
    <t>CONTROLE DE QUILOMETRAGEM, ABASTECIMENTOS, LAVAGENS E SERVIÇOS DE BORRACHARIA</t>
  </si>
  <si>
    <t>GESTÃO DE FROTAS</t>
  </si>
  <si>
    <t>RESUMO INDIVIDUAL POR VEÍCULO</t>
  </si>
  <si>
    <t>RESUMO GERAL MENSAL</t>
  </si>
  <si>
    <t>Janeiro</t>
  </si>
  <si>
    <t>CAR 01</t>
  </si>
  <si>
    <t>CAR 02</t>
  </si>
  <si>
    <t>CAR 03</t>
  </si>
  <si>
    <t>CAR 04</t>
  </si>
  <si>
    <t>CAR 05</t>
  </si>
  <si>
    <t>CAR 06</t>
  </si>
  <si>
    <t>SIX0H46</t>
  </si>
  <si>
    <t>CRETA</t>
  </si>
  <si>
    <t>RDJ8D33</t>
  </si>
  <si>
    <t>RENEGADE</t>
  </si>
  <si>
    <t>RPL1J22</t>
  </si>
  <si>
    <t>RENEGADE - S10</t>
  </si>
  <si>
    <t>RDN4B01 - RVS2A00 - SEO0E19</t>
  </si>
  <si>
    <t>14/12/2024 TJR5F89</t>
  </si>
  <si>
    <t>18/01/2025 SWD0G64</t>
  </si>
  <si>
    <t>TIY9E72</t>
  </si>
  <si>
    <t>Polo Track</t>
  </si>
  <si>
    <t>Substituição:</t>
  </si>
  <si>
    <t>Hilux SEO0E19</t>
  </si>
  <si>
    <t>TJR5F89</t>
  </si>
  <si>
    <t>S10</t>
  </si>
  <si>
    <t>PVR3C22</t>
  </si>
  <si>
    <t>Retirada</t>
  </si>
  <si>
    <t>Retirado 10/03/2025</t>
  </si>
  <si>
    <t>Devolvido 15/03/2025</t>
  </si>
  <si>
    <t xml:space="preserve">Devolução: </t>
  </si>
  <si>
    <t>T-Cross</t>
  </si>
  <si>
    <t>EKB5J96</t>
  </si>
  <si>
    <t>Duster</t>
  </si>
  <si>
    <t>SFB5H82</t>
  </si>
  <si>
    <t>TIX2B85</t>
  </si>
  <si>
    <t>Veiculo</t>
  </si>
  <si>
    <t>TCROSS</t>
  </si>
  <si>
    <t>EVW1E22</t>
  </si>
  <si>
    <t>Rastreador</t>
  </si>
  <si>
    <t>LAVA_RAPIDO</t>
  </si>
  <si>
    <t>Mob. VSE</t>
  </si>
  <si>
    <t>Data mob. MDC</t>
  </si>
  <si>
    <t>SYP7J27</t>
  </si>
  <si>
    <t>Onix</t>
  </si>
  <si>
    <t>Modelo:</t>
  </si>
  <si>
    <t>Substituição 1:</t>
  </si>
  <si>
    <t>SYG2I07</t>
  </si>
  <si>
    <t>Troca de Categoria:</t>
  </si>
  <si>
    <t>Devolução:</t>
  </si>
  <si>
    <t>Nivus SUV</t>
  </si>
  <si>
    <t>Devolução</t>
  </si>
  <si>
    <t>Novo Veículo:</t>
  </si>
  <si>
    <t>SIS6B61</t>
  </si>
  <si>
    <t>RNK6B51</t>
  </si>
  <si>
    <t xml:space="preserve">Substituição: </t>
  </si>
  <si>
    <t>SWD0G64</t>
  </si>
  <si>
    <t xml:space="preserve">Placa: </t>
  </si>
  <si>
    <t>Mudou de condutor em 01/04/2025, antes era do Acácio após ficou com o Francisco Junior</t>
  </si>
  <si>
    <t>Renegade</t>
  </si>
  <si>
    <t>RVC9D71</t>
  </si>
  <si>
    <t>Guinchado:</t>
  </si>
  <si>
    <t>SYG4A34</t>
  </si>
  <si>
    <t>Kicks</t>
  </si>
  <si>
    <t>EXJ3H31</t>
  </si>
  <si>
    <t>Troca de condutor EKB5J96 em 29/04/2025 de Rute para Nilberto</t>
  </si>
  <si>
    <t>FFW5H24</t>
  </si>
  <si>
    <t>RUE4B21 - EJA1H12</t>
  </si>
  <si>
    <t>Data mob.</t>
  </si>
  <si>
    <t>Veículo foi Mobilizado para obra 24.019 Ventos de Santa Eugenia em 22/04/2025, antes pertencia a obra 24.019 Morro do Cruzeiro.</t>
  </si>
  <si>
    <t>Veículo foi Mobilizado para obra 24.019 Ventos de Santa Eugenia em 01/04/2025, antes pertencia a obra 24.019 Morro do Cruzeiro.</t>
  </si>
  <si>
    <t>SJE5D96</t>
  </si>
  <si>
    <t>Creta</t>
  </si>
  <si>
    <t>Estava pendente o envio de março - recebido em 19/05/2025</t>
  </si>
  <si>
    <t>TLP7F80</t>
  </si>
  <si>
    <t>KM</t>
  </si>
  <si>
    <t>Data Devol..: 26/07/2025</t>
  </si>
  <si>
    <t xml:space="preserve">Veículo era utilizado por Ana Caroline até o dia 25/07/2025, após foi transferido para Washington </t>
  </si>
  <si>
    <t>EXU6G81</t>
  </si>
  <si>
    <t>Data  Devol.:</t>
  </si>
  <si>
    <t>Ranger</t>
  </si>
  <si>
    <t>TEU5A95</t>
  </si>
  <si>
    <t>KM:</t>
  </si>
  <si>
    <t>EKB5J96 Guinchado em 07/08/2025</t>
  </si>
  <si>
    <t>TKX8G73</t>
  </si>
  <si>
    <t>TEL5D17</t>
  </si>
  <si>
    <t>Tracker</t>
  </si>
  <si>
    <t>Tracker TEL5D17</t>
  </si>
  <si>
    <t>T-Cross EXU6G81</t>
  </si>
  <si>
    <t>Data Dev.:</t>
  </si>
  <si>
    <t>TEL5D86</t>
  </si>
  <si>
    <t>Troca de Condutor</t>
  </si>
  <si>
    <t>Condutores</t>
  </si>
  <si>
    <t>STQ7C53</t>
  </si>
  <si>
    <t>23/1/02025</t>
  </si>
  <si>
    <t>23/10/02025</t>
  </si>
  <si>
    <t>Data Desmob.:</t>
  </si>
  <si>
    <t>TXL2A44</t>
  </si>
  <si>
    <t>Renegade TXL2A44</t>
  </si>
  <si>
    <t>T-Cross EVW1E22</t>
  </si>
  <si>
    <t>Troca de Condutor:</t>
  </si>
  <si>
    <t>Condutores:</t>
  </si>
  <si>
    <t>De Jurandir para Eric</t>
  </si>
  <si>
    <t>SUO0C57</t>
  </si>
  <si>
    <t>Dezembro - utilizado até 19/01</t>
  </si>
  <si>
    <t>Veículo desmob. 12/12/2025</t>
  </si>
  <si>
    <t>Herik para Jair</t>
  </si>
  <si>
    <t xml:space="preserve">T-Cross </t>
  </si>
  <si>
    <t>TJE8B31</t>
  </si>
  <si>
    <t>Data Desmob.</t>
  </si>
  <si>
    <t>TXZ1G58</t>
  </si>
  <si>
    <t>De Jurandir para Francisco Augusto</t>
  </si>
  <si>
    <t>Rastreador Unidas</t>
  </si>
  <si>
    <t>TXE1H23</t>
  </si>
  <si>
    <t>Tera</t>
  </si>
  <si>
    <t>km</t>
  </si>
  <si>
    <t>Unidas</t>
  </si>
  <si>
    <t>TXW4I69</t>
  </si>
  <si>
    <t>TXL2A88</t>
  </si>
  <si>
    <t>Unidas - 3S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</si>
</sst>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8" formatCode="&quot;R$&quot;\ #,##0.00;[Red]\-&quot;R$&quot;\ #,##0.00"/>
    <numFmt numFmtId="44" formatCode="_-&quot;R$&quot;\ * #,##0.00_-;\-&quot;R$&quot;\ * #,##0.00_-;_-&quot;R$&quot;\ * &quot;-&quot;??_-;_-@_-"/>
    <numFmt numFmtId="164" formatCode="_-[$R$-416]\ * #,##0.00_-;\-[$R$-416]\ * #,##0.00_-;_-[$R$-416]\ * &quot;-&quot;??_-;_-@_-"/>
    <numFmt numFmtId="165" formatCode="&quot;R$&quot;\ #,##0.00"/>
  </numFmts>
  <fonts count="2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Calibri"/>
      <family val="2"/>
    </font>
    <font>
      <b/>
      <sz val="16"/>
      <color theme="1"/>
      <name val="Calibri"/>
      <family val="2"/>
    </font>
    <font>
      <b/>
      <sz val="11"/>
      <color theme="1"/>
      <name val="Calibri"/>
      <family val="2"/>
    </font>
    <font>
      <b/>
      <sz val="12"/>
      <color theme="1"/>
      <name val="Calibri"/>
      <family val="2"/>
    </font>
    <font>
      <b/>
      <sz val="14"/>
      <color theme="1"/>
      <name val="Calibri"/>
      <family val="2"/>
    </font>
    <font>
      <sz val="14"/>
      <color theme="1"/>
      <name val="Calibri"/>
      <family val="2"/>
    </font>
    <font>
      <sz val="16"/>
      <color theme="1"/>
      <name val="Calibri"/>
      <family val="2"/>
    </font>
    <font>
      <sz val="16"/>
      <color theme="5"/>
      <name val="Calibri"/>
      <family val="2"/>
    </font>
    <font>
      <b/>
      <sz val="11"/>
      <color rgb="FFFF0000"/>
      <name val="Calibri"/>
      <family val="2"/>
    </font>
    <font>
      <sz val="11"/>
      <color rgb="FFFF0000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sz val="11"/>
      <color rgb="FFED0000"/>
      <name val="Calibri"/>
      <family val="2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sz val="11"/>
      <color rgb="FFC00000"/>
      <name val="Calibri"/>
      <family val="2"/>
    </font>
    <font>
      <b/>
      <sz val="11"/>
      <color rgb="FFC00000"/>
      <name val="Aptos Narrow"/>
      <family val="2"/>
      <scheme val="minor"/>
    </font>
    <font>
      <sz val="11"/>
      <color rgb="FF00000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4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04"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44" fontId="3" fillId="0" borderId="1" xfId="1" applyFont="1" applyBorder="1"/>
    <xf numFmtId="14" fontId="3" fillId="0" borderId="1" xfId="1" applyNumberFormat="1" applyFont="1" applyBorder="1"/>
    <xf numFmtId="0" fontId="3" fillId="3" borderId="0" xfId="0" applyFont="1" applyFill="1"/>
    <xf numFmtId="0" fontId="5" fillId="3" borderId="0" xfId="0" applyFont="1" applyFill="1" applyAlignment="1">
      <alignment horizontal="center"/>
    </xf>
    <xf numFmtId="14" fontId="3" fillId="3" borderId="0" xfId="0" applyNumberFormat="1" applyFont="1" applyFill="1"/>
    <xf numFmtId="14" fontId="5" fillId="3" borderId="0" xfId="0" applyNumberFormat="1" applyFont="1" applyFill="1" applyAlignment="1">
      <alignment horizontal="center"/>
    </xf>
    <xf numFmtId="0" fontId="5" fillId="0" borderId="2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5" fillId="0" borderId="23" xfId="0" applyFont="1" applyBorder="1" applyAlignment="1">
      <alignment horizontal="center"/>
    </xf>
    <xf numFmtId="0" fontId="5" fillId="0" borderId="3" xfId="0" applyFont="1" applyBorder="1"/>
    <xf numFmtId="14" fontId="3" fillId="0" borderId="4" xfId="0" applyNumberFormat="1" applyFont="1" applyBorder="1"/>
    <xf numFmtId="0" fontId="3" fillId="0" borderId="5" xfId="0" applyFont="1" applyBorder="1"/>
    <xf numFmtId="0" fontId="3" fillId="0" borderId="6" xfId="0" applyFont="1" applyBorder="1"/>
    <xf numFmtId="0" fontId="3" fillId="0" borderId="16" xfId="0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164" fontId="3" fillId="0" borderId="9" xfId="0" applyNumberFormat="1" applyFont="1" applyBorder="1"/>
    <xf numFmtId="164" fontId="3" fillId="0" borderId="10" xfId="0" applyNumberFormat="1" applyFont="1" applyBorder="1"/>
    <xf numFmtId="164" fontId="3" fillId="0" borderId="11" xfId="0" applyNumberFormat="1" applyFont="1" applyBorder="1"/>
    <xf numFmtId="14" fontId="5" fillId="0" borderId="0" xfId="0" applyNumberFormat="1" applyFont="1"/>
    <xf numFmtId="164" fontId="3" fillId="0" borderId="0" xfId="0" applyNumberFormat="1" applyFont="1"/>
    <xf numFmtId="14" fontId="3" fillId="0" borderId="5" xfId="0" applyNumberFormat="1" applyFont="1" applyBorder="1"/>
    <xf numFmtId="44" fontId="3" fillId="0" borderId="9" xfId="1" applyFont="1" applyBorder="1"/>
    <xf numFmtId="44" fontId="3" fillId="0" borderId="10" xfId="1" applyFont="1" applyBorder="1"/>
    <xf numFmtId="44" fontId="3" fillId="0" borderId="11" xfId="1" applyFont="1" applyBorder="1"/>
    <xf numFmtId="0" fontId="8" fillId="0" borderId="0" xfId="0" applyFont="1"/>
    <xf numFmtId="14" fontId="8" fillId="0" borderId="0" xfId="0" applyNumberFormat="1" applyFont="1"/>
    <xf numFmtId="0" fontId="5" fillId="0" borderId="0" xfId="0" applyFont="1"/>
    <xf numFmtId="0" fontId="5" fillId="0" borderId="0" xfId="0" applyFont="1" applyAlignment="1">
      <alignment horizontal="left"/>
    </xf>
    <xf numFmtId="0" fontId="5" fillId="0" borderId="24" xfId="0" applyFont="1" applyBorder="1" applyAlignment="1">
      <alignment horizontal="center"/>
    </xf>
    <xf numFmtId="0" fontId="3" fillId="0" borderId="18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5" fillId="0" borderId="12" xfId="0" applyFont="1" applyBorder="1" applyAlignment="1">
      <alignment horizontal="center"/>
    </xf>
    <xf numFmtId="14" fontId="5" fillId="0" borderId="13" xfId="0" applyNumberFormat="1" applyFont="1" applyBorder="1" applyAlignment="1">
      <alignment horizontal="center"/>
    </xf>
    <xf numFmtId="14" fontId="5" fillId="0" borderId="0" xfId="0" applyNumberFormat="1" applyFont="1" applyAlignment="1">
      <alignment horizontal="center"/>
    </xf>
    <xf numFmtId="0" fontId="5" fillId="0" borderId="19" xfId="0" applyFont="1" applyBorder="1"/>
    <xf numFmtId="0" fontId="3" fillId="0" borderId="4" xfId="0" applyFont="1" applyBorder="1" applyAlignment="1">
      <alignment horizontal="center"/>
    </xf>
    <xf numFmtId="164" fontId="3" fillId="0" borderId="5" xfId="0" applyNumberFormat="1" applyFont="1" applyBorder="1"/>
    <xf numFmtId="164" fontId="3" fillId="0" borderId="6" xfId="0" applyNumberFormat="1" applyFont="1" applyBorder="1"/>
    <xf numFmtId="0" fontId="3" fillId="0" borderId="26" xfId="0" applyFont="1" applyBorder="1" applyAlignment="1">
      <alignment horizontal="center"/>
    </xf>
    <xf numFmtId="0" fontId="3" fillId="0" borderId="15" xfId="0" applyFont="1" applyBorder="1" applyAlignment="1">
      <alignment horizontal="center"/>
    </xf>
    <xf numFmtId="164" fontId="3" fillId="0" borderId="15" xfId="0" applyNumberFormat="1" applyFont="1" applyBorder="1"/>
    <xf numFmtId="164" fontId="3" fillId="0" borderId="27" xfId="0" applyNumberFormat="1" applyFont="1" applyBorder="1"/>
    <xf numFmtId="0" fontId="5" fillId="0" borderId="25" xfId="0" applyFont="1" applyBorder="1"/>
    <xf numFmtId="0" fontId="3" fillId="0" borderId="7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164" fontId="3" fillId="0" borderId="2" xfId="0" applyNumberFormat="1" applyFont="1" applyBorder="1"/>
    <xf numFmtId="164" fontId="3" fillId="0" borderId="8" xfId="0" applyNumberFormat="1" applyFont="1" applyBorder="1"/>
    <xf numFmtId="0" fontId="5" fillId="0" borderId="20" xfId="0" applyFont="1" applyBorder="1"/>
    <xf numFmtId="0" fontId="3" fillId="0" borderId="9" xfId="0" applyFont="1" applyBorder="1" applyAlignment="1">
      <alignment horizontal="center"/>
    </xf>
    <xf numFmtId="0" fontId="3" fillId="0" borderId="3" xfId="0" applyFont="1" applyBorder="1"/>
    <xf numFmtId="0" fontId="3" fillId="0" borderId="23" xfId="0" applyFont="1" applyBorder="1"/>
    <xf numFmtId="44" fontId="3" fillId="0" borderId="3" xfId="1" applyFont="1" applyBorder="1"/>
    <xf numFmtId="44" fontId="3" fillId="0" borderId="21" xfId="1" applyFont="1" applyBorder="1"/>
    <xf numFmtId="44" fontId="3" fillId="0" borderId="18" xfId="1" applyFont="1" applyBorder="1"/>
    <xf numFmtId="0" fontId="3" fillId="0" borderId="10" xfId="0" applyFont="1" applyBorder="1" applyAlignment="1">
      <alignment horizontal="center"/>
    </xf>
    <xf numFmtId="0" fontId="6" fillId="0" borderId="0" xfId="0" applyFont="1" applyAlignment="1">
      <alignment horizontal="center" vertical="center"/>
    </xf>
    <xf numFmtId="0" fontId="5" fillId="2" borderId="0" xfId="0" applyFont="1" applyFill="1" applyAlignment="1">
      <alignment horizontal="center"/>
    </xf>
    <xf numFmtId="44" fontId="3" fillId="0" borderId="16" xfId="0" applyNumberFormat="1" applyFont="1" applyBorder="1"/>
    <xf numFmtId="44" fontId="3" fillId="0" borderId="17" xfId="1" applyFont="1" applyBorder="1"/>
    <xf numFmtId="44" fontId="3" fillId="0" borderId="16" xfId="1" applyFont="1" applyBorder="1"/>
    <xf numFmtId="0" fontId="5" fillId="0" borderId="22" xfId="0" applyFont="1" applyBorder="1"/>
    <xf numFmtId="0" fontId="5" fillId="7" borderId="23" xfId="0" applyFont="1" applyFill="1" applyBorder="1" applyAlignment="1">
      <alignment horizontal="left"/>
    </xf>
    <xf numFmtId="0" fontId="5" fillId="6" borderId="22" xfId="0" applyFont="1" applyFill="1" applyBorder="1" applyAlignment="1">
      <alignment horizontal="left"/>
    </xf>
    <xf numFmtId="0" fontId="5" fillId="5" borderId="22" xfId="0" applyFont="1" applyFill="1" applyBorder="1" applyAlignment="1">
      <alignment horizontal="left"/>
    </xf>
    <xf numFmtId="0" fontId="7" fillId="0" borderId="28" xfId="0" applyFont="1" applyBorder="1" applyAlignment="1">
      <alignment vertical="center"/>
    </xf>
    <xf numFmtId="0" fontId="7" fillId="0" borderId="30" xfId="0" applyFont="1" applyBorder="1" applyAlignment="1">
      <alignment vertical="center"/>
    </xf>
    <xf numFmtId="0" fontId="7" fillId="0" borderId="0" xfId="0" applyFont="1" applyAlignment="1">
      <alignment vertical="center"/>
    </xf>
    <xf numFmtId="0" fontId="3" fillId="0" borderId="3" xfId="0" applyFont="1" applyBorder="1" applyAlignment="1">
      <alignment horizontal="center"/>
    </xf>
    <xf numFmtId="0" fontId="3" fillId="0" borderId="37" xfId="0" applyFont="1" applyBorder="1" applyAlignment="1">
      <alignment horizontal="center"/>
    </xf>
    <xf numFmtId="0" fontId="3" fillId="0" borderId="38" xfId="0" applyFont="1" applyBorder="1" applyAlignment="1">
      <alignment horizontal="center"/>
    </xf>
    <xf numFmtId="0" fontId="3" fillId="0" borderId="39" xfId="0" applyFont="1" applyBorder="1" applyAlignment="1">
      <alignment horizontal="center"/>
    </xf>
    <xf numFmtId="0" fontId="5" fillId="6" borderId="3" xfId="0" applyFont="1" applyFill="1" applyBorder="1" applyAlignment="1">
      <alignment horizontal="center"/>
    </xf>
    <xf numFmtId="0" fontId="5" fillId="5" borderId="3" xfId="0" applyFont="1" applyFill="1" applyBorder="1" applyAlignment="1">
      <alignment horizontal="center"/>
    </xf>
    <xf numFmtId="0" fontId="5" fillId="7" borderId="24" xfId="0" applyFont="1" applyFill="1" applyBorder="1" applyAlignment="1">
      <alignment horizontal="center"/>
    </xf>
    <xf numFmtId="0" fontId="5" fillId="4" borderId="3" xfId="0" applyFont="1" applyFill="1" applyBorder="1" applyAlignment="1">
      <alignment horizontal="center"/>
    </xf>
    <xf numFmtId="0" fontId="5" fillId="8" borderId="3" xfId="0" applyFont="1" applyFill="1" applyBorder="1" applyAlignment="1">
      <alignment horizontal="center"/>
    </xf>
    <xf numFmtId="14" fontId="3" fillId="0" borderId="6" xfId="0" applyNumberFormat="1" applyFont="1" applyBorder="1"/>
    <xf numFmtId="14" fontId="11" fillId="0" borderId="0" xfId="0" applyNumberFormat="1" applyFont="1" applyAlignment="1">
      <alignment horizontal="center"/>
    </xf>
    <xf numFmtId="0" fontId="12" fillId="0" borderId="17" xfId="0" applyFont="1" applyBorder="1" applyAlignment="1">
      <alignment horizontal="center"/>
    </xf>
    <xf numFmtId="0" fontId="11" fillId="0" borderId="0" xfId="0" applyFont="1" applyAlignment="1">
      <alignment horizontal="left"/>
    </xf>
    <xf numFmtId="0" fontId="12" fillId="0" borderId="0" xfId="0" applyFont="1" applyAlignment="1">
      <alignment horizontal="left"/>
    </xf>
    <xf numFmtId="0" fontId="13" fillId="0" borderId="17" xfId="0" applyFont="1" applyBorder="1" applyAlignment="1">
      <alignment horizontal="center"/>
    </xf>
    <xf numFmtId="0" fontId="15" fillId="0" borderId="0" xfId="0" applyFont="1" applyAlignment="1">
      <alignment horizontal="center"/>
    </xf>
    <xf numFmtId="14" fontId="15" fillId="0" borderId="0" xfId="0" applyNumberFormat="1" applyFont="1" applyAlignment="1">
      <alignment horizontal="center"/>
    </xf>
    <xf numFmtId="14" fontId="12" fillId="0" borderId="1" xfId="1" applyNumberFormat="1" applyFont="1" applyBorder="1"/>
    <xf numFmtId="14" fontId="3" fillId="0" borderId="40" xfId="0" applyNumberFormat="1" applyFont="1" applyBorder="1"/>
    <xf numFmtId="164" fontId="3" fillId="0" borderId="41" xfId="0" applyNumberFormat="1" applyFont="1" applyBorder="1"/>
    <xf numFmtId="0" fontId="5" fillId="0" borderId="42" xfId="0" applyFont="1" applyBorder="1" applyAlignment="1">
      <alignment horizontal="center"/>
    </xf>
    <xf numFmtId="14" fontId="5" fillId="0" borderId="43" xfId="0" applyNumberFormat="1" applyFont="1" applyBorder="1" applyAlignment="1">
      <alignment horizontal="center"/>
    </xf>
    <xf numFmtId="14" fontId="3" fillId="0" borderId="0" xfId="0" applyNumberFormat="1" applyFont="1"/>
    <xf numFmtId="14" fontId="3" fillId="0" borderId="2" xfId="0" applyNumberFormat="1" applyFont="1" applyBorder="1"/>
    <xf numFmtId="0" fontId="3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14" fontId="0" fillId="0" borderId="1" xfId="1" applyNumberFormat="1" applyFont="1" applyBorder="1"/>
    <xf numFmtId="14" fontId="0" fillId="0" borderId="0" xfId="0" applyNumberFormat="1"/>
    <xf numFmtId="0" fontId="20" fillId="3" borderId="0" xfId="0" applyFont="1" applyFill="1" applyAlignment="1">
      <alignment horizontal="center"/>
    </xf>
    <xf numFmtId="0" fontId="0" fillId="3" borderId="0" xfId="0" applyFill="1"/>
    <xf numFmtId="0" fontId="19" fillId="3" borderId="0" xfId="0" applyFont="1" applyFill="1" applyAlignment="1">
      <alignment horizontal="center"/>
    </xf>
    <xf numFmtId="14" fontId="0" fillId="3" borderId="0" xfId="0" applyNumberFormat="1" applyFill="1"/>
    <xf numFmtId="14" fontId="19" fillId="3" borderId="0" xfId="0" applyNumberFormat="1" applyFont="1" applyFill="1" applyAlignment="1">
      <alignment horizontal="center"/>
    </xf>
    <xf numFmtId="0" fontId="19" fillId="0" borderId="0" xfId="0" applyFont="1" applyAlignment="1">
      <alignment horizontal="right"/>
    </xf>
    <xf numFmtId="0" fontId="19" fillId="0" borderId="22" xfId="0" applyFont="1" applyBorder="1" applyAlignment="1">
      <alignment horizontal="center"/>
    </xf>
    <xf numFmtId="0" fontId="19" fillId="0" borderId="3" xfId="0" applyFont="1" applyBorder="1" applyAlignment="1">
      <alignment horizontal="center"/>
    </xf>
    <xf numFmtId="0" fontId="19" fillId="0" borderId="23" xfId="0" applyFont="1" applyBorder="1" applyAlignment="1">
      <alignment horizontal="center"/>
    </xf>
    <xf numFmtId="0" fontId="19" fillId="0" borderId="23" xfId="0" applyFont="1" applyBorder="1"/>
    <xf numFmtId="0" fontId="19" fillId="0" borderId="3" xfId="0" applyFont="1" applyBorder="1"/>
    <xf numFmtId="0" fontId="19" fillId="0" borderId="24" xfId="0" applyFont="1" applyBorder="1"/>
    <xf numFmtId="0" fontId="19" fillId="0" borderId="12" xfId="0" applyFont="1" applyBorder="1" applyAlignment="1">
      <alignment horizontal="left"/>
    </xf>
    <xf numFmtId="14" fontId="0" fillId="0" borderId="4" xfId="0" applyNumberFormat="1" applyBorder="1"/>
    <xf numFmtId="0" fontId="0" fillId="0" borderId="5" xfId="0" applyBorder="1"/>
    <xf numFmtId="0" fontId="0" fillId="0" borderId="6" xfId="0" applyBorder="1"/>
    <xf numFmtId="0" fontId="19" fillId="0" borderId="12" xfId="0" applyFont="1" applyBorder="1"/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7" xfId="0" applyBorder="1"/>
    <xf numFmtId="0" fontId="0" fillId="0" borderId="18" xfId="0" applyBorder="1"/>
    <xf numFmtId="14" fontId="19" fillId="0" borderId="13" xfId="0" applyNumberFormat="1" applyFont="1" applyBorder="1" applyAlignment="1">
      <alignment horizontal="left"/>
    </xf>
    <xf numFmtId="164" fontId="0" fillId="0" borderId="9" xfId="0" applyNumberFormat="1" applyBorder="1"/>
    <xf numFmtId="164" fontId="0" fillId="0" borderId="10" xfId="0" applyNumberFormat="1" applyBorder="1"/>
    <xf numFmtId="164" fontId="0" fillId="0" borderId="11" xfId="0" applyNumberFormat="1" applyBorder="1"/>
    <xf numFmtId="14" fontId="19" fillId="0" borderId="13" xfId="0" applyNumberFormat="1" applyFont="1" applyBorder="1"/>
    <xf numFmtId="14" fontId="19" fillId="0" borderId="0" xfId="0" applyNumberFormat="1" applyFont="1"/>
    <xf numFmtId="164" fontId="0" fillId="0" borderId="0" xfId="0" applyNumberFormat="1"/>
    <xf numFmtId="14" fontId="0" fillId="0" borderId="5" xfId="0" applyNumberFormat="1" applyBorder="1"/>
    <xf numFmtId="44" fontId="0" fillId="0" borderId="9" xfId="1" applyFont="1" applyBorder="1"/>
    <xf numFmtId="44" fontId="0" fillId="0" borderId="10" xfId="1" applyFont="1" applyBorder="1"/>
    <xf numFmtId="44" fontId="0" fillId="0" borderId="11" xfId="1" applyFont="1" applyBorder="1"/>
    <xf numFmtId="14" fontId="0" fillId="0" borderId="6" xfId="0" applyNumberFormat="1" applyBorder="1"/>
    <xf numFmtId="0" fontId="21" fillId="0" borderId="0" xfId="0" applyFont="1" applyAlignment="1">
      <alignment horizontal="right"/>
    </xf>
    <xf numFmtId="0" fontId="18" fillId="0" borderId="0" xfId="0" applyFont="1"/>
    <xf numFmtId="0" fontId="14" fillId="0" borderId="0" xfId="0" applyFont="1" applyAlignment="1">
      <alignment horizontal="left"/>
    </xf>
    <xf numFmtId="0" fontId="21" fillId="0" borderId="0" xfId="0" applyFont="1"/>
    <xf numFmtId="3" fontId="3" fillId="0" borderId="17" xfId="0" applyNumberFormat="1" applyFont="1" applyBorder="1" applyAlignment="1">
      <alignment horizontal="center"/>
    </xf>
    <xf numFmtId="0" fontId="3" fillId="0" borderId="1" xfId="1" applyNumberFormat="1" applyFont="1" applyBorder="1"/>
    <xf numFmtId="14" fontId="3" fillId="0" borderId="0" xfId="0" applyNumberFormat="1" applyFont="1" applyAlignment="1">
      <alignment horizontal="left"/>
    </xf>
    <xf numFmtId="165" fontId="0" fillId="0" borderId="2" xfId="0" applyNumberFormat="1" applyBorder="1" applyAlignment="1">
      <alignment horizontal="center"/>
    </xf>
    <xf numFmtId="0" fontId="3" fillId="0" borderId="1" xfId="1" applyNumberFormat="1" applyFont="1" applyBorder="1" applyAlignment="1">
      <alignment horizontal="center"/>
    </xf>
    <xf numFmtId="0" fontId="11" fillId="0" borderId="0" xfId="0" applyFont="1" applyAlignment="1">
      <alignment horizontal="center"/>
    </xf>
    <xf numFmtId="0" fontId="24" fillId="0" borderId="44" xfId="0" applyFont="1" applyBorder="1" applyAlignment="1">
      <alignment horizontal="center" vertical="center"/>
    </xf>
    <xf numFmtId="14" fontId="3" fillId="0" borderId="1" xfId="1" applyNumberFormat="1" applyFont="1" applyBorder="1" applyAlignment="1">
      <alignment horizontal="center"/>
    </xf>
    <xf numFmtId="0" fontId="19" fillId="0" borderId="0" xfId="0" applyFont="1"/>
    <xf numFmtId="0" fontId="19" fillId="0" borderId="0" xfId="0" applyFont="1" applyAlignment="1">
      <alignment horizontal="center"/>
    </xf>
    <xf numFmtId="44" fontId="3" fillId="0" borderId="1" xfId="1" applyFont="1" applyBorder="1" applyAlignment="1">
      <alignment horizontal="center"/>
    </xf>
    <xf numFmtId="14" fontId="0" fillId="0" borderId="1" xfId="1" applyNumberFormat="1" applyFont="1" applyBorder="1" applyAlignment="1">
      <alignment horizontal="center"/>
    </xf>
    <xf numFmtId="0" fontId="0" fillId="0" borderId="1" xfId="1" applyNumberFormat="1" applyFont="1" applyBorder="1" applyAlignment="1">
      <alignment horizontal="center"/>
    </xf>
    <xf numFmtId="14" fontId="3" fillId="0" borderId="4" xfId="0" applyNumberFormat="1" applyFont="1" applyBorder="1" applyAlignment="1">
      <alignment horizontal="center"/>
    </xf>
    <xf numFmtId="14" fontId="3" fillId="0" borderId="5" xfId="0" applyNumberFormat="1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164" fontId="3" fillId="0" borderId="9" xfId="0" applyNumberFormat="1" applyFont="1" applyBorder="1" applyAlignment="1">
      <alignment horizontal="center"/>
    </xf>
    <xf numFmtId="164" fontId="3" fillId="0" borderId="10" xfId="0" applyNumberFormat="1" applyFont="1" applyBorder="1" applyAlignment="1">
      <alignment horizontal="center"/>
    </xf>
    <xf numFmtId="164" fontId="3" fillId="0" borderId="11" xfId="0" applyNumberFormat="1" applyFont="1" applyBorder="1" applyAlignment="1">
      <alignment horizontal="center"/>
    </xf>
    <xf numFmtId="0" fontId="3" fillId="0" borderId="0" xfId="0" applyFont="1" applyAlignment="1">
      <alignment horizontal="right"/>
    </xf>
    <xf numFmtId="0" fontId="0" fillId="0" borderId="1" xfId="1" applyNumberFormat="1" applyFont="1" applyBorder="1"/>
    <xf numFmtId="44" fontId="3" fillId="0" borderId="1" xfId="1" applyFont="1" applyBorder="1" applyAlignment="1">
      <alignment horizontal="left"/>
    </xf>
    <xf numFmtId="3" fontId="3" fillId="0" borderId="0" xfId="0" applyNumberFormat="1" applyFont="1" applyAlignment="1">
      <alignment horizontal="center"/>
    </xf>
    <xf numFmtId="164" fontId="3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4" fillId="0" borderId="36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9" fillId="0" borderId="32" xfId="0" applyFont="1" applyBorder="1" applyAlignment="1">
      <alignment horizontal="center" vertical="center"/>
    </xf>
    <xf numFmtId="0" fontId="9" fillId="0" borderId="33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7" fillId="2" borderId="0" xfId="0" applyFont="1" applyFill="1" applyAlignment="1">
      <alignment horizontal="center"/>
    </xf>
    <xf numFmtId="14" fontId="7" fillId="2" borderId="0" xfId="0" applyNumberFormat="1" applyFont="1" applyFill="1" applyAlignment="1">
      <alignment horizontal="center"/>
    </xf>
    <xf numFmtId="0" fontId="5" fillId="4" borderId="14" xfId="0" applyFont="1" applyFill="1" applyBorder="1" applyAlignment="1">
      <alignment horizontal="center"/>
    </xf>
    <xf numFmtId="0" fontId="5" fillId="5" borderId="0" xfId="0" applyFont="1" applyFill="1" applyAlignment="1">
      <alignment horizontal="center"/>
    </xf>
    <xf numFmtId="0" fontId="5" fillId="6" borderId="14" xfId="0" applyFont="1" applyFill="1" applyBorder="1" applyAlignment="1">
      <alignment horizontal="center"/>
    </xf>
    <xf numFmtId="0" fontId="5" fillId="7" borderId="14" xfId="0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0" fontId="4" fillId="3" borderId="31" xfId="0" applyFont="1" applyFill="1" applyBorder="1" applyAlignment="1">
      <alignment horizontal="center" vertical="center"/>
    </xf>
    <xf numFmtId="0" fontId="10" fillId="3" borderId="32" xfId="0" applyFont="1" applyFill="1" applyBorder="1" applyAlignment="1">
      <alignment horizontal="center" vertical="center"/>
    </xf>
    <xf numFmtId="0" fontId="10" fillId="3" borderId="33" xfId="0" applyFont="1" applyFill="1" applyBorder="1" applyAlignment="1">
      <alignment horizontal="center" vertical="center"/>
    </xf>
    <xf numFmtId="0" fontId="10" fillId="3" borderId="34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3" borderId="35" xfId="0" applyFont="1" applyFill="1" applyBorder="1" applyAlignment="1">
      <alignment horizontal="center" vertical="center"/>
    </xf>
    <xf numFmtId="0" fontId="3" fillId="0" borderId="28" xfId="0" applyFont="1" applyBorder="1" applyAlignment="1">
      <alignment horizontal="center"/>
    </xf>
    <xf numFmtId="0" fontId="3" fillId="0" borderId="30" xfId="0" applyFont="1" applyBorder="1" applyAlignment="1">
      <alignment horizontal="center"/>
    </xf>
    <xf numFmtId="0" fontId="7" fillId="0" borderId="28" xfId="0" applyFont="1" applyBorder="1" applyAlignment="1">
      <alignment horizontal="center" vertical="center"/>
    </xf>
    <xf numFmtId="0" fontId="7" fillId="0" borderId="29" xfId="0" applyFont="1" applyBorder="1" applyAlignment="1">
      <alignment horizontal="center" vertical="center"/>
    </xf>
    <xf numFmtId="0" fontId="5" fillId="2" borderId="0" xfId="0" applyFont="1" applyFill="1" applyAlignment="1">
      <alignment horizontal="center"/>
    </xf>
    <xf numFmtId="165" fontId="3" fillId="0" borderId="1" xfId="0" applyNumberFormat="1" applyFont="1" applyBorder="1" applyAlignment="1">
      <alignment horizontal="center"/>
    </xf>
    <xf numFmtId="14" fontId="3" fillId="0" borderId="1" xfId="0" applyNumberFormat="1" applyFont="1" applyBorder="1" applyAlignment="1">
      <alignment horizontal="center"/>
    </xf>
    <xf numFmtId="17" fontId="5" fillId="4" borderId="14" xfId="0" applyNumberFormat="1" applyFont="1" applyFill="1" applyBorder="1" applyAlignment="1">
      <alignment horizontal="center"/>
    </xf>
    <xf numFmtId="0" fontId="19" fillId="0" borderId="0" xfId="0" applyFont="1" applyAlignment="1">
      <alignment horizontal="right" vertical="center"/>
    </xf>
    <xf numFmtId="0" fontId="19" fillId="4" borderId="14" xfId="0" applyFont="1" applyFill="1" applyBorder="1" applyAlignment="1">
      <alignment horizontal="center"/>
    </xf>
    <xf numFmtId="0" fontId="19" fillId="5" borderId="0" xfId="0" applyFont="1" applyFill="1" applyAlignment="1">
      <alignment horizontal="center"/>
    </xf>
    <xf numFmtId="0" fontId="19" fillId="6" borderId="14" xfId="0" applyFont="1" applyFill="1" applyBorder="1" applyAlignment="1">
      <alignment horizontal="center"/>
    </xf>
    <xf numFmtId="0" fontId="19" fillId="7" borderId="14" xfId="0" applyFont="1" applyFill="1" applyBorder="1" applyAlignment="1">
      <alignment horizontal="center"/>
    </xf>
    <xf numFmtId="14" fontId="19" fillId="2" borderId="0" xfId="0" applyNumberFormat="1" applyFont="1" applyFill="1" applyAlignment="1">
      <alignment horizontal="center"/>
    </xf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  <xf numFmtId="8" fontId="0" fillId="0" borderId="1" xfId="0" applyNumberFormat="1" applyBorder="1" applyAlignment="1">
      <alignment horizontal="center"/>
    </xf>
    <xf numFmtId="0" fontId="20" fillId="2" borderId="0" xfId="0" applyFont="1" applyFill="1" applyAlignment="1">
      <alignment horizontal="center"/>
    </xf>
    <xf numFmtId="0" fontId="19" fillId="2" borderId="0" xfId="0" applyFont="1" applyFill="1" applyAlignment="1">
      <alignment horizontal="center"/>
    </xf>
    <xf numFmtId="8" fontId="3" fillId="0" borderId="1" xfId="0" applyNumberFormat="1" applyFont="1" applyBorder="1" applyAlignment="1">
      <alignment horizontal="center"/>
    </xf>
    <xf numFmtId="0" fontId="22" fillId="0" borderId="0" xfId="0" applyFont="1" applyAlignment="1">
      <alignment horizontal="left"/>
    </xf>
    <xf numFmtId="0" fontId="23" fillId="0" borderId="0" xfId="0" applyFont="1" applyAlignment="1">
      <alignment horizontal="left"/>
    </xf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microsoft.com/office/2017/10/relationships/person" Target="persons/perso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Relationship Id="rId8" Type="http://schemas.openxmlformats.org/officeDocument/2006/relationships/worksheet" Target="worksheets/sheet8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pt-BR"/>
              <a:t>Despesas Carros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'Resumo Geral'!$A$6</c:f>
              <c:strCache>
                <c:ptCount val="1"/>
                <c:pt idx="0">
                  <c:v>ABASTECIMENTO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val>
            <c:numRef>
              <c:f>'Resumo Geral'!$B$6:$M$6</c:f>
              <c:numCache>
                <c:formatCode>_("R$"* #,##0.00_);_("R$"* \(#,##0.00\);_("R$"* "-"??_);_(@_)</c:formatCode>
                <c:ptCount val="12"/>
                <c:pt idx="0">
                  <c:v>1045.4199999999998</c:v>
                </c:pt>
                <c:pt idx="1">
                  <c:v>1960.31</c:v>
                </c:pt>
                <c:pt idx="2">
                  <c:v>2218.6</c:v>
                </c:pt>
                <c:pt idx="3">
                  <c:v>2484.87</c:v>
                </c:pt>
                <c:pt idx="4">
                  <c:v>2290.46</c:v>
                </c:pt>
                <c:pt idx="5">
                  <c:v>1245.78</c:v>
                </c:pt>
                <c:pt idx="6">
                  <c:v>1416.65</c:v>
                </c:pt>
                <c:pt idx="7">
                  <c:v>4413.7199999999993</c:v>
                </c:pt>
                <c:pt idx="8">
                  <c:v>7627.6100000000006</c:v>
                </c:pt>
                <c:pt idx="9">
                  <c:v>10693.810000000001</c:v>
                </c:pt>
                <c:pt idx="10">
                  <c:v>5235.49</c:v>
                </c:pt>
                <c:pt idx="11">
                  <c:v>6789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23D-4505-9075-AF1DF82A958E}"/>
            </c:ext>
          </c:extLst>
        </c:ser>
        <c:ser>
          <c:idx val="1"/>
          <c:order val="1"/>
          <c:tx>
            <c:strRef>
              <c:f>'Resumo Geral'!$A$7</c:f>
              <c:strCache>
                <c:ptCount val="1"/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val>
            <c:numRef>
              <c:f>'Resumo Geral'!$B$7:$M$7</c:f>
              <c:numCache>
                <c:formatCode>General</c:formatCode>
                <c:ptCount val="12"/>
              </c:numCache>
            </c:numRef>
          </c:val>
          <c:extLst>
            <c:ext xmlns:c16="http://schemas.microsoft.com/office/drawing/2014/chart" uri="{C3380CC4-5D6E-409C-BE32-E72D297353CC}">
              <c16:uniqueId val="{00000001-323D-4505-9075-AF1DF82A958E}"/>
            </c:ext>
          </c:extLst>
        </c:ser>
        <c:ser>
          <c:idx val="2"/>
          <c:order val="2"/>
          <c:tx>
            <c:strRef>
              <c:f>'Resumo Geral'!$A$8</c:f>
              <c:strCache>
                <c:ptCount val="1"/>
                <c:pt idx="0">
                  <c:v>LAVA JATO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val>
            <c:numRef>
              <c:f>'Resumo Geral'!$B$8:$M$8</c:f>
              <c:numCache>
                <c:formatCode>_("R$"* #,##0.00_);_("R$"* \(#,##0.00\);_("R$"* "-"??_);_(@_)</c:formatCode>
                <c:ptCount val="12"/>
                <c:pt idx="0">
                  <c:v>45</c:v>
                </c:pt>
                <c:pt idx="1">
                  <c:v>45</c:v>
                </c:pt>
                <c:pt idx="2">
                  <c:v>45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23D-4505-9075-AF1DF82A958E}"/>
            </c:ext>
          </c:extLst>
        </c:ser>
        <c:ser>
          <c:idx val="3"/>
          <c:order val="3"/>
          <c:tx>
            <c:strRef>
              <c:f>'Resumo Geral'!$A$9</c:f>
              <c:strCache>
                <c:ptCount val="1"/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val>
            <c:numRef>
              <c:f>'Resumo Geral'!$B$9:$M$9</c:f>
              <c:numCache>
                <c:formatCode>General</c:formatCode>
                <c:ptCount val="12"/>
              </c:numCache>
            </c:numRef>
          </c:val>
          <c:extLst>
            <c:ext xmlns:c16="http://schemas.microsoft.com/office/drawing/2014/chart" uri="{C3380CC4-5D6E-409C-BE32-E72D297353CC}">
              <c16:uniqueId val="{00000003-323D-4505-9075-AF1DF82A958E}"/>
            </c:ext>
          </c:extLst>
        </c:ser>
        <c:ser>
          <c:idx val="4"/>
          <c:order val="4"/>
          <c:tx>
            <c:strRef>
              <c:f>'Resumo Geral'!$A$10</c:f>
              <c:strCache>
                <c:ptCount val="1"/>
                <c:pt idx="0">
                  <c:v>BORRACHARIA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val>
            <c:numRef>
              <c:f>'Resumo Geral'!$B$10:$M$10</c:f>
              <c:numCache>
                <c:formatCode>_("R$"* #,##0.00_);_("R$"* \(#,##0.00\);_("R$"* "-"??_);_(@_)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23D-4505-9075-AF1DF82A958E}"/>
            </c:ext>
          </c:extLst>
        </c:ser>
        <c:ser>
          <c:idx val="5"/>
          <c:order val="5"/>
          <c:tx>
            <c:strRef>
              <c:f>'Resumo Geral'!$B$5</c:f>
              <c:strCache>
                <c:ptCount val="1"/>
                <c:pt idx="0">
                  <c:v>JAN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val>
            <c:numRef>
              <c:f>'Resumo Geral'!$C$5:$M$5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323D-4505-9075-AF1DF82A95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-2138692048"/>
        <c:axId val="-2138693136"/>
        <c:axId val="0"/>
      </c:bar3DChart>
      <c:catAx>
        <c:axId val="-213869204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-2138693136"/>
        <c:crosses val="autoZero"/>
        <c:auto val="1"/>
        <c:lblAlgn val="ctr"/>
        <c:lblOffset val="100"/>
        <c:noMultiLvlLbl val="0"/>
      </c:catAx>
      <c:valAx>
        <c:axId val="-2138693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numFmt formatCode="_(&quot;R$&quot;* #,##0.00_);_(&quot;R$&quot;* \(#,##0.00\);_(&quot;R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-21386920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1"/>
        <c:delete val="1"/>
      </c:legendEntry>
      <c:legendEntry>
        <c:idx val="3"/>
        <c:delete val="1"/>
      </c:legendEntry>
      <c:legendEntry>
        <c:idx val="5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/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/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209549</xdr:colOff>
      <xdr:row>3</xdr:row>
      <xdr:rowOff>133350</xdr:rowOff>
    </xdr:from>
    <xdr:to>
      <xdr:col>24</xdr:col>
      <xdr:colOff>523874</xdr:colOff>
      <xdr:row>30</xdr:row>
      <xdr:rowOff>171450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54A4A2E-D4CB-C803-45D9-E7D769F79A5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85725</xdr:colOff>
      <xdr:row>0</xdr:row>
      <xdr:rowOff>19051</xdr:rowOff>
    </xdr:from>
    <xdr:to>
      <xdr:col>0</xdr:col>
      <xdr:colOff>1340444</xdr:colOff>
      <xdr:row>1</xdr:row>
      <xdr:rowOff>123826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725" y="19051"/>
          <a:ext cx="1292819" cy="457200"/>
        </a:xfrm>
        <a:prstGeom prst="rect">
          <a:avLst/>
        </a:prstGeom>
      </xdr:spPr>
    </xdr:pic>
    <xdr:clientData/>
  </xdr:twoCellAnchor>
  <xdr:oneCellAnchor>
    <xdr:from>
      <xdr:col>23</xdr:col>
      <xdr:colOff>47625</xdr:colOff>
      <xdr:row>0</xdr:row>
      <xdr:rowOff>95250</xdr:rowOff>
    </xdr:from>
    <xdr:ext cx="1289631" cy="280205"/>
    <xdr:sp macro="" textlink="">
      <xdr:nvSpPr>
        <xdr:cNvPr id="4" name="CaixaDeTexto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20002500" y="95250"/>
          <a:ext cx="1289631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pt-BR" sz="120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CÓD.:</a:t>
          </a:r>
          <a:r>
            <a:rPr lang="pt-BR" sz="1200" baseline="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 </a:t>
          </a:r>
          <a:r>
            <a:rPr lang="pt-BR" sz="120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F.GF.10</a:t>
          </a: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269876</xdr:colOff>
      <xdr:row>0</xdr:row>
      <xdr:rowOff>79376</xdr:rowOff>
    </xdr:from>
    <xdr:to>
      <xdr:col>1</xdr:col>
      <xdr:colOff>712788</xdr:colOff>
      <xdr:row>0</xdr:row>
      <xdr:rowOff>492014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9876" y="79376"/>
          <a:ext cx="1166812" cy="412638"/>
        </a:xfrm>
        <a:prstGeom prst="rect">
          <a:avLst/>
        </a:prstGeom>
      </xdr:spPr>
    </xdr:pic>
    <xdr:clientData/>
  </xdr:twoCellAnchor>
  <xdr:oneCellAnchor>
    <xdr:from>
      <xdr:col>11</xdr:col>
      <xdr:colOff>457200</xdr:colOff>
      <xdr:row>0</xdr:row>
      <xdr:rowOff>142875</xdr:rowOff>
    </xdr:from>
    <xdr:ext cx="1451556" cy="280205"/>
    <xdr:sp macro="" textlink="">
      <xdr:nvSpPr>
        <xdr:cNvPr id="3" name="CaixaDeTexto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/>
      </xdr:nvSpPr>
      <xdr:spPr>
        <a:xfrm>
          <a:off x="11001375" y="142875"/>
          <a:ext cx="1451556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pt-BR" sz="120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CÓD.:</a:t>
          </a:r>
          <a:r>
            <a:rPr lang="pt-BR" sz="1200" baseline="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 </a:t>
          </a:r>
          <a:r>
            <a:rPr lang="pt-BR" sz="120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F.GF.10</a:t>
          </a:r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114301</xdr:rowOff>
    </xdr:from>
    <xdr:to>
      <xdr:col>0</xdr:col>
      <xdr:colOff>866775</xdr:colOff>
      <xdr:row>1</xdr:row>
      <xdr:rowOff>162842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D1634D84-70BD-4B94-A72A-F09E7026CC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5" y="114301"/>
          <a:ext cx="819150" cy="315241"/>
        </a:xfrm>
        <a:prstGeom prst="rect">
          <a:avLst/>
        </a:prstGeom>
      </xdr:spPr>
    </xdr:pic>
    <xdr:clientData/>
  </xdr:twoCellAnchor>
  <xdr:oneCellAnchor>
    <xdr:from>
      <xdr:col>35</xdr:col>
      <xdr:colOff>476251</xdr:colOff>
      <xdr:row>0</xdr:row>
      <xdr:rowOff>152400</xdr:rowOff>
    </xdr:from>
    <xdr:ext cx="1013406" cy="311496"/>
    <xdr:sp macro="" textlink="">
      <xdr:nvSpPr>
        <xdr:cNvPr id="3" name="CaixaDeTexto 2">
          <a:extLst>
            <a:ext uri="{FF2B5EF4-FFF2-40B4-BE49-F238E27FC236}">
              <a16:creationId xmlns:a16="http://schemas.microsoft.com/office/drawing/2014/main" id="{0F7EF129-8F32-4B12-84A2-A717732EB8B4}"/>
            </a:ext>
          </a:extLst>
        </xdr:cNvPr>
        <xdr:cNvSpPr txBox="1"/>
      </xdr:nvSpPr>
      <xdr:spPr>
        <a:xfrm>
          <a:off x="23612476" y="152400"/>
          <a:ext cx="1013406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pt-BR" sz="140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F.GF.10</a:t>
          </a:r>
        </a:p>
      </xdr:txBody>
    </xdr:sp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114301</xdr:rowOff>
    </xdr:from>
    <xdr:to>
      <xdr:col>0</xdr:col>
      <xdr:colOff>857507</xdr:colOff>
      <xdr:row>1</xdr:row>
      <xdr:rowOff>133350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551C26B2-8B57-4826-80B6-8885C676E0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5" y="114301"/>
          <a:ext cx="809882" cy="285749"/>
        </a:xfrm>
        <a:prstGeom prst="rect">
          <a:avLst/>
        </a:prstGeom>
      </xdr:spPr>
    </xdr:pic>
    <xdr:clientData/>
  </xdr:twoCellAnchor>
  <xdr:oneCellAnchor>
    <xdr:from>
      <xdr:col>35</xdr:col>
      <xdr:colOff>476251</xdr:colOff>
      <xdr:row>0</xdr:row>
      <xdr:rowOff>152400</xdr:rowOff>
    </xdr:from>
    <xdr:ext cx="1013406" cy="311496"/>
    <xdr:sp macro="" textlink="">
      <xdr:nvSpPr>
        <xdr:cNvPr id="3" name="CaixaDeTexto 2">
          <a:extLst>
            <a:ext uri="{FF2B5EF4-FFF2-40B4-BE49-F238E27FC236}">
              <a16:creationId xmlns:a16="http://schemas.microsoft.com/office/drawing/2014/main" id="{9CB3F9BA-3EF0-4A17-9CCC-20F23DABDB86}"/>
            </a:ext>
          </a:extLst>
        </xdr:cNvPr>
        <xdr:cNvSpPr txBox="1"/>
      </xdr:nvSpPr>
      <xdr:spPr>
        <a:xfrm>
          <a:off x="23612476" y="152400"/>
          <a:ext cx="1013406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pt-BR" sz="140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F.GF.10</a:t>
          </a:r>
        </a:p>
      </xdr:txBody>
    </xdr:sp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114301</xdr:rowOff>
    </xdr:from>
    <xdr:to>
      <xdr:col>0</xdr:col>
      <xdr:colOff>923925</xdr:colOff>
      <xdr:row>1</xdr:row>
      <xdr:rowOff>156784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74E9E646-3C66-455E-B7AF-C409A8F1DC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5" y="114301"/>
          <a:ext cx="876300" cy="309183"/>
        </a:xfrm>
        <a:prstGeom prst="rect">
          <a:avLst/>
        </a:prstGeom>
      </xdr:spPr>
    </xdr:pic>
    <xdr:clientData/>
  </xdr:twoCellAnchor>
  <xdr:oneCellAnchor>
    <xdr:from>
      <xdr:col>35</xdr:col>
      <xdr:colOff>476251</xdr:colOff>
      <xdr:row>0</xdr:row>
      <xdr:rowOff>152400</xdr:rowOff>
    </xdr:from>
    <xdr:ext cx="1013406" cy="311496"/>
    <xdr:sp macro="" textlink="">
      <xdr:nvSpPr>
        <xdr:cNvPr id="3" name="CaixaDeTexto 2">
          <a:extLst>
            <a:ext uri="{FF2B5EF4-FFF2-40B4-BE49-F238E27FC236}">
              <a16:creationId xmlns:a16="http://schemas.microsoft.com/office/drawing/2014/main" id="{002BD123-FA33-49EE-9B1D-16D476FD7193}"/>
            </a:ext>
          </a:extLst>
        </xdr:cNvPr>
        <xdr:cNvSpPr txBox="1"/>
      </xdr:nvSpPr>
      <xdr:spPr>
        <a:xfrm>
          <a:off x="23612476" y="152400"/>
          <a:ext cx="1013406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pt-BR" sz="140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F.GF.10</a:t>
          </a:r>
        </a:p>
      </xdr:txBody>
    </xdr:sp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114301</xdr:rowOff>
    </xdr:from>
    <xdr:to>
      <xdr:col>1</xdr:col>
      <xdr:colOff>4307</xdr:colOff>
      <xdr:row>1</xdr:row>
      <xdr:rowOff>82551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5" y="114301"/>
          <a:ext cx="1023482" cy="358775"/>
        </a:xfrm>
        <a:prstGeom prst="rect">
          <a:avLst/>
        </a:prstGeom>
      </xdr:spPr>
    </xdr:pic>
    <xdr:clientData/>
  </xdr:twoCellAnchor>
  <xdr:oneCellAnchor>
    <xdr:from>
      <xdr:col>35</xdr:col>
      <xdr:colOff>476251</xdr:colOff>
      <xdr:row>0</xdr:row>
      <xdr:rowOff>152400</xdr:rowOff>
    </xdr:from>
    <xdr:ext cx="1013406" cy="311496"/>
    <xdr:sp macro="" textlink="">
      <xdr:nvSpPr>
        <xdr:cNvPr id="3" name="CaixaDeTexto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SpPr txBox="1"/>
      </xdr:nvSpPr>
      <xdr:spPr>
        <a:xfrm>
          <a:off x="26908126" y="152400"/>
          <a:ext cx="1013406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pt-BR" sz="140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F.GF.10</a:t>
          </a:r>
        </a:p>
      </xdr:txBody>
    </xdr:sp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114301</xdr:rowOff>
    </xdr:from>
    <xdr:to>
      <xdr:col>0</xdr:col>
      <xdr:colOff>866775</xdr:colOff>
      <xdr:row>1</xdr:row>
      <xdr:rowOff>136620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BC8FD957-72CE-4592-A9D0-B2D79A12EF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5" y="114301"/>
          <a:ext cx="819150" cy="289019"/>
        </a:xfrm>
        <a:prstGeom prst="rect">
          <a:avLst/>
        </a:prstGeom>
      </xdr:spPr>
    </xdr:pic>
    <xdr:clientData/>
  </xdr:twoCellAnchor>
  <xdr:oneCellAnchor>
    <xdr:from>
      <xdr:col>35</xdr:col>
      <xdr:colOff>476251</xdr:colOff>
      <xdr:row>0</xdr:row>
      <xdr:rowOff>152400</xdr:rowOff>
    </xdr:from>
    <xdr:ext cx="1013406" cy="311496"/>
    <xdr:sp macro="" textlink="">
      <xdr:nvSpPr>
        <xdr:cNvPr id="3" name="CaixaDeTexto 2">
          <a:extLst>
            <a:ext uri="{FF2B5EF4-FFF2-40B4-BE49-F238E27FC236}">
              <a16:creationId xmlns:a16="http://schemas.microsoft.com/office/drawing/2014/main" id="{902DA94C-D363-44CD-B31D-3AECC5810D05}"/>
            </a:ext>
          </a:extLst>
        </xdr:cNvPr>
        <xdr:cNvSpPr txBox="1"/>
      </xdr:nvSpPr>
      <xdr:spPr>
        <a:xfrm>
          <a:off x="23612476" y="152400"/>
          <a:ext cx="1013406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pt-BR" sz="140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F.GF.10</a:t>
          </a:r>
        </a:p>
      </xdr:txBody>
    </xdr:sp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114301</xdr:rowOff>
    </xdr:from>
    <xdr:to>
      <xdr:col>1</xdr:col>
      <xdr:colOff>223382</xdr:colOff>
      <xdr:row>2</xdr:row>
      <xdr:rowOff>92076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44816FC4-5FD0-4EAD-BCC5-5C152911FC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5" y="114301"/>
          <a:ext cx="947282" cy="358775"/>
        </a:xfrm>
        <a:prstGeom prst="rect">
          <a:avLst/>
        </a:prstGeom>
      </xdr:spPr>
    </xdr:pic>
    <xdr:clientData/>
  </xdr:twoCellAnchor>
  <xdr:oneCellAnchor>
    <xdr:from>
      <xdr:col>36</xdr:col>
      <xdr:colOff>476251</xdr:colOff>
      <xdr:row>0</xdr:row>
      <xdr:rowOff>152400</xdr:rowOff>
    </xdr:from>
    <xdr:ext cx="1013406" cy="311496"/>
    <xdr:sp macro="" textlink="">
      <xdr:nvSpPr>
        <xdr:cNvPr id="3" name="CaixaDeTexto 2">
          <a:extLst>
            <a:ext uri="{FF2B5EF4-FFF2-40B4-BE49-F238E27FC236}">
              <a16:creationId xmlns:a16="http://schemas.microsoft.com/office/drawing/2014/main" id="{82C2D22C-6165-499D-B6A6-4BCC24B534D4}"/>
            </a:ext>
          </a:extLst>
        </xdr:cNvPr>
        <xdr:cNvSpPr txBox="1"/>
      </xdr:nvSpPr>
      <xdr:spPr>
        <a:xfrm>
          <a:off x="23612476" y="152400"/>
          <a:ext cx="1013406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pt-BR" sz="140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F.GF.10</a:t>
          </a:r>
        </a:p>
      </xdr:txBody>
    </xdr:sp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114301</xdr:rowOff>
    </xdr:from>
    <xdr:to>
      <xdr:col>1</xdr:col>
      <xdr:colOff>223382</xdr:colOff>
      <xdr:row>2</xdr:row>
      <xdr:rowOff>92076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76D62254-9905-4055-B4F1-3AF3CB22E5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5" y="114301"/>
          <a:ext cx="947282" cy="358775"/>
        </a:xfrm>
        <a:prstGeom prst="rect">
          <a:avLst/>
        </a:prstGeom>
      </xdr:spPr>
    </xdr:pic>
    <xdr:clientData/>
  </xdr:twoCellAnchor>
  <xdr:oneCellAnchor>
    <xdr:from>
      <xdr:col>37</xdr:col>
      <xdr:colOff>476251</xdr:colOff>
      <xdr:row>0</xdr:row>
      <xdr:rowOff>152400</xdr:rowOff>
    </xdr:from>
    <xdr:ext cx="1013406" cy="311496"/>
    <xdr:sp macro="" textlink="">
      <xdr:nvSpPr>
        <xdr:cNvPr id="3" name="CaixaDeTexto 2">
          <a:extLst>
            <a:ext uri="{FF2B5EF4-FFF2-40B4-BE49-F238E27FC236}">
              <a16:creationId xmlns:a16="http://schemas.microsoft.com/office/drawing/2014/main" id="{5A45D11D-C847-4494-BBDE-7D908F299CEA}"/>
            </a:ext>
          </a:extLst>
        </xdr:cNvPr>
        <xdr:cNvSpPr txBox="1"/>
      </xdr:nvSpPr>
      <xdr:spPr>
        <a:xfrm>
          <a:off x="23612476" y="152400"/>
          <a:ext cx="1013406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pt-BR" sz="140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F.GF.10</a:t>
          </a:r>
        </a:p>
      </xdr:txBody>
    </xdr:sp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114301</xdr:rowOff>
    </xdr:from>
    <xdr:to>
      <xdr:col>1</xdr:col>
      <xdr:colOff>4307</xdr:colOff>
      <xdr:row>1</xdr:row>
      <xdr:rowOff>82551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5" y="114301"/>
          <a:ext cx="1023482" cy="358775"/>
        </a:xfrm>
        <a:prstGeom prst="rect">
          <a:avLst/>
        </a:prstGeom>
      </xdr:spPr>
    </xdr:pic>
    <xdr:clientData/>
  </xdr:twoCellAnchor>
  <xdr:oneCellAnchor>
    <xdr:from>
      <xdr:col>35</xdr:col>
      <xdr:colOff>476251</xdr:colOff>
      <xdr:row>0</xdr:row>
      <xdr:rowOff>152400</xdr:rowOff>
    </xdr:from>
    <xdr:ext cx="1013406" cy="311496"/>
    <xdr:sp macro="" textlink="">
      <xdr:nvSpPr>
        <xdr:cNvPr id="3" name="CaixaDeTexto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SpPr txBox="1"/>
      </xdr:nvSpPr>
      <xdr:spPr>
        <a:xfrm>
          <a:off x="26908126" y="152400"/>
          <a:ext cx="1013406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pt-BR" sz="140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F.GF.10</a:t>
          </a:r>
        </a:p>
      </xdr:txBody>
    </xdr:sp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114301</xdr:rowOff>
    </xdr:from>
    <xdr:to>
      <xdr:col>0</xdr:col>
      <xdr:colOff>994907</xdr:colOff>
      <xdr:row>1</xdr:row>
      <xdr:rowOff>82551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5" y="114301"/>
          <a:ext cx="1023482" cy="358775"/>
        </a:xfrm>
        <a:prstGeom prst="rect">
          <a:avLst/>
        </a:prstGeom>
      </xdr:spPr>
    </xdr:pic>
    <xdr:clientData/>
  </xdr:twoCellAnchor>
  <xdr:oneCellAnchor>
    <xdr:from>
      <xdr:col>35</xdr:col>
      <xdr:colOff>476251</xdr:colOff>
      <xdr:row>0</xdr:row>
      <xdr:rowOff>152400</xdr:rowOff>
    </xdr:from>
    <xdr:ext cx="1013406" cy="311496"/>
    <xdr:sp macro="" textlink="">
      <xdr:nvSpPr>
        <xdr:cNvPr id="3" name="CaixaDeTexto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 txBox="1"/>
      </xdr:nvSpPr>
      <xdr:spPr>
        <a:xfrm>
          <a:off x="26908126" y="152400"/>
          <a:ext cx="1013406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pt-BR" sz="140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F.GF.10</a:t>
          </a:r>
        </a:p>
      </xdr:txBody>
    </xdr:sp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114301</xdr:rowOff>
    </xdr:from>
    <xdr:to>
      <xdr:col>1</xdr:col>
      <xdr:colOff>166232</xdr:colOff>
      <xdr:row>2</xdr:row>
      <xdr:rowOff>92076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93DF6FDF-CF1C-44AE-BAA6-43F5721A01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5" y="114301"/>
          <a:ext cx="947282" cy="358775"/>
        </a:xfrm>
        <a:prstGeom prst="rect">
          <a:avLst/>
        </a:prstGeom>
      </xdr:spPr>
    </xdr:pic>
    <xdr:clientData/>
  </xdr:twoCellAnchor>
  <xdr:oneCellAnchor>
    <xdr:from>
      <xdr:col>35</xdr:col>
      <xdr:colOff>476251</xdr:colOff>
      <xdr:row>0</xdr:row>
      <xdr:rowOff>152400</xdr:rowOff>
    </xdr:from>
    <xdr:ext cx="1013406" cy="311496"/>
    <xdr:sp macro="" textlink="">
      <xdr:nvSpPr>
        <xdr:cNvPr id="3" name="CaixaDeTexto 2">
          <a:extLst>
            <a:ext uri="{FF2B5EF4-FFF2-40B4-BE49-F238E27FC236}">
              <a16:creationId xmlns:a16="http://schemas.microsoft.com/office/drawing/2014/main" id="{B5B81250-67C5-4646-9908-36AABFACE16B}"/>
            </a:ext>
          </a:extLst>
        </xdr:cNvPr>
        <xdr:cNvSpPr txBox="1"/>
      </xdr:nvSpPr>
      <xdr:spPr>
        <a:xfrm>
          <a:off x="23612476" y="152400"/>
          <a:ext cx="1013406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pt-BR" sz="140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F.GF.10</a:t>
          </a:r>
        </a:p>
      </xdr:txBody>
    </xdr:sp>
    <xdr:clientData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114301</xdr:rowOff>
    </xdr:from>
    <xdr:to>
      <xdr:col>1</xdr:col>
      <xdr:colOff>166232</xdr:colOff>
      <xdr:row>2</xdr:row>
      <xdr:rowOff>92076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F6EC51A6-2E57-47E9-8F12-1FC31BFA45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5" y="114301"/>
          <a:ext cx="947282" cy="358775"/>
        </a:xfrm>
        <a:prstGeom prst="rect">
          <a:avLst/>
        </a:prstGeom>
      </xdr:spPr>
    </xdr:pic>
    <xdr:clientData/>
  </xdr:twoCellAnchor>
  <xdr:oneCellAnchor>
    <xdr:from>
      <xdr:col>35</xdr:col>
      <xdr:colOff>476251</xdr:colOff>
      <xdr:row>0</xdr:row>
      <xdr:rowOff>152400</xdr:rowOff>
    </xdr:from>
    <xdr:ext cx="1013406" cy="311496"/>
    <xdr:sp macro="" textlink="">
      <xdr:nvSpPr>
        <xdr:cNvPr id="3" name="CaixaDeTexto 2">
          <a:extLst>
            <a:ext uri="{FF2B5EF4-FFF2-40B4-BE49-F238E27FC236}">
              <a16:creationId xmlns:a16="http://schemas.microsoft.com/office/drawing/2014/main" id="{484ADB01-D4E5-42D6-885D-C6E99732C30D}"/>
            </a:ext>
          </a:extLst>
        </xdr:cNvPr>
        <xdr:cNvSpPr txBox="1"/>
      </xdr:nvSpPr>
      <xdr:spPr>
        <a:xfrm>
          <a:off x="23612476" y="152400"/>
          <a:ext cx="1013406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pt-BR" sz="140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F.GF.10</a:t>
          </a:r>
        </a:p>
      </xdr:txBody>
    </xdr:sp>
    <xdr:clientData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114301</xdr:rowOff>
    </xdr:from>
    <xdr:to>
      <xdr:col>0</xdr:col>
      <xdr:colOff>981075</xdr:colOff>
      <xdr:row>1</xdr:row>
      <xdr:rowOff>176948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3B32E78F-81DC-4271-8DEE-6FAD4990B7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5" y="114301"/>
          <a:ext cx="933450" cy="329347"/>
        </a:xfrm>
        <a:prstGeom prst="rect">
          <a:avLst/>
        </a:prstGeom>
      </xdr:spPr>
    </xdr:pic>
    <xdr:clientData/>
  </xdr:twoCellAnchor>
  <xdr:oneCellAnchor>
    <xdr:from>
      <xdr:col>35</xdr:col>
      <xdr:colOff>476251</xdr:colOff>
      <xdr:row>0</xdr:row>
      <xdr:rowOff>152400</xdr:rowOff>
    </xdr:from>
    <xdr:ext cx="1013406" cy="311496"/>
    <xdr:sp macro="" textlink="">
      <xdr:nvSpPr>
        <xdr:cNvPr id="3" name="CaixaDeTexto 2">
          <a:extLst>
            <a:ext uri="{FF2B5EF4-FFF2-40B4-BE49-F238E27FC236}">
              <a16:creationId xmlns:a16="http://schemas.microsoft.com/office/drawing/2014/main" id="{E2BC4822-5E1C-4CB0-80DB-ADDD4EDE168E}"/>
            </a:ext>
          </a:extLst>
        </xdr:cNvPr>
        <xdr:cNvSpPr txBox="1"/>
      </xdr:nvSpPr>
      <xdr:spPr>
        <a:xfrm>
          <a:off x="23612476" y="152400"/>
          <a:ext cx="1013406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pt-BR" sz="140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F.GF.10</a:t>
          </a:r>
        </a:p>
      </xdr:txBody>
    </xdr:sp>
    <xdr:clientData/>
  </xdr:one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114301</xdr:rowOff>
    </xdr:from>
    <xdr:to>
      <xdr:col>1</xdr:col>
      <xdr:colOff>385307</xdr:colOff>
      <xdr:row>2</xdr:row>
      <xdr:rowOff>92076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4B3D82F0-B000-4BB4-8B78-1F5CC28AB4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5" y="114301"/>
          <a:ext cx="947282" cy="358775"/>
        </a:xfrm>
        <a:prstGeom prst="rect">
          <a:avLst/>
        </a:prstGeom>
      </xdr:spPr>
    </xdr:pic>
    <xdr:clientData/>
  </xdr:twoCellAnchor>
  <xdr:oneCellAnchor>
    <xdr:from>
      <xdr:col>35</xdr:col>
      <xdr:colOff>476251</xdr:colOff>
      <xdr:row>0</xdr:row>
      <xdr:rowOff>152400</xdr:rowOff>
    </xdr:from>
    <xdr:ext cx="1013406" cy="311496"/>
    <xdr:sp macro="" textlink="">
      <xdr:nvSpPr>
        <xdr:cNvPr id="3" name="CaixaDeTexto 2">
          <a:extLst>
            <a:ext uri="{FF2B5EF4-FFF2-40B4-BE49-F238E27FC236}">
              <a16:creationId xmlns:a16="http://schemas.microsoft.com/office/drawing/2014/main" id="{DB067CCD-BD5E-484E-9FB3-E2776EC192B8}"/>
            </a:ext>
          </a:extLst>
        </xdr:cNvPr>
        <xdr:cNvSpPr txBox="1"/>
      </xdr:nvSpPr>
      <xdr:spPr>
        <a:xfrm>
          <a:off x="23612476" y="152400"/>
          <a:ext cx="1013406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pt-BR" sz="140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F.GF.10</a:t>
          </a:r>
        </a:p>
      </xdr:txBody>
    </xdr:sp>
    <xdr:clientData/>
  </xdr:one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114301</xdr:rowOff>
    </xdr:from>
    <xdr:to>
      <xdr:col>1</xdr:col>
      <xdr:colOff>166232</xdr:colOff>
      <xdr:row>2</xdr:row>
      <xdr:rowOff>92076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60C2E025-5F18-45A5-8B3B-513F0BEB2D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5" y="114301"/>
          <a:ext cx="947282" cy="358775"/>
        </a:xfrm>
        <a:prstGeom prst="rect">
          <a:avLst/>
        </a:prstGeom>
      </xdr:spPr>
    </xdr:pic>
    <xdr:clientData/>
  </xdr:twoCellAnchor>
  <xdr:oneCellAnchor>
    <xdr:from>
      <xdr:col>35</xdr:col>
      <xdr:colOff>476251</xdr:colOff>
      <xdr:row>0</xdr:row>
      <xdr:rowOff>152400</xdr:rowOff>
    </xdr:from>
    <xdr:ext cx="1013406" cy="311496"/>
    <xdr:sp macro="" textlink="">
      <xdr:nvSpPr>
        <xdr:cNvPr id="3" name="CaixaDeTexto 2">
          <a:extLst>
            <a:ext uri="{FF2B5EF4-FFF2-40B4-BE49-F238E27FC236}">
              <a16:creationId xmlns:a16="http://schemas.microsoft.com/office/drawing/2014/main" id="{3ACF26EA-670A-41A2-9540-D38886BDD8A4}"/>
            </a:ext>
          </a:extLst>
        </xdr:cNvPr>
        <xdr:cNvSpPr txBox="1"/>
      </xdr:nvSpPr>
      <xdr:spPr>
        <a:xfrm>
          <a:off x="23612476" y="152400"/>
          <a:ext cx="1013406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pt-BR" sz="140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F.GF.10</a:t>
          </a:r>
        </a:p>
      </xdr:txBody>
    </xdr:sp>
    <xdr:clientData/>
  </xdr:one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114301</xdr:rowOff>
    </xdr:from>
    <xdr:to>
      <xdr:col>1</xdr:col>
      <xdr:colOff>223382</xdr:colOff>
      <xdr:row>2</xdr:row>
      <xdr:rowOff>92076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ACC41441-FB4F-402B-9034-8CE1223B52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5" y="114301"/>
          <a:ext cx="947282" cy="358775"/>
        </a:xfrm>
        <a:prstGeom prst="rect">
          <a:avLst/>
        </a:prstGeom>
      </xdr:spPr>
    </xdr:pic>
    <xdr:clientData/>
  </xdr:twoCellAnchor>
  <xdr:oneCellAnchor>
    <xdr:from>
      <xdr:col>35</xdr:col>
      <xdr:colOff>476251</xdr:colOff>
      <xdr:row>0</xdr:row>
      <xdr:rowOff>152400</xdr:rowOff>
    </xdr:from>
    <xdr:ext cx="1013406" cy="311496"/>
    <xdr:sp macro="" textlink="">
      <xdr:nvSpPr>
        <xdr:cNvPr id="3" name="CaixaDeTexto 2">
          <a:extLst>
            <a:ext uri="{FF2B5EF4-FFF2-40B4-BE49-F238E27FC236}">
              <a16:creationId xmlns:a16="http://schemas.microsoft.com/office/drawing/2014/main" id="{0184E814-32D9-4EB8-9052-9CDEFC3DC231}"/>
            </a:ext>
          </a:extLst>
        </xdr:cNvPr>
        <xdr:cNvSpPr txBox="1"/>
      </xdr:nvSpPr>
      <xdr:spPr>
        <a:xfrm>
          <a:off x="23612476" y="152400"/>
          <a:ext cx="1013406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pt-BR" sz="140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F.GF.10</a:t>
          </a:r>
        </a:p>
      </xdr:txBody>
    </xdr:sp>
    <xdr:clientData/>
  </xdr:one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114302</xdr:rowOff>
    </xdr:from>
    <xdr:to>
      <xdr:col>0</xdr:col>
      <xdr:colOff>876300</xdr:colOff>
      <xdr:row>1</xdr:row>
      <xdr:rowOff>139982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F0327127-C818-44C7-97D3-E4A18A313A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5" y="114302"/>
          <a:ext cx="828675" cy="292380"/>
        </a:xfrm>
        <a:prstGeom prst="rect">
          <a:avLst/>
        </a:prstGeom>
      </xdr:spPr>
    </xdr:pic>
    <xdr:clientData/>
  </xdr:twoCellAnchor>
  <xdr:oneCellAnchor>
    <xdr:from>
      <xdr:col>35</xdr:col>
      <xdr:colOff>476251</xdr:colOff>
      <xdr:row>0</xdr:row>
      <xdr:rowOff>152400</xdr:rowOff>
    </xdr:from>
    <xdr:ext cx="1013406" cy="311496"/>
    <xdr:sp macro="" textlink="">
      <xdr:nvSpPr>
        <xdr:cNvPr id="3" name="CaixaDeTexto 2">
          <a:extLst>
            <a:ext uri="{FF2B5EF4-FFF2-40B4-BE49-F238E27FC236}">
              <a16:creationId xmlns:a16="http://schemas.microsoft.com/office/drawing/2014/main" id="{B9F71BDD-35E2-4658-811D-F67F915C0969}"/>
            </a:ext>
          </a:extLst>
        </xdr:cNvPr>
        <xdr:cNvSpPr txBox="1"/>
      </xdr:nvSpPr>
      <xdr:spPr>
        <a:xfrm>
          <a:off x="23612476" y="152400"/>
          <a:ext cx="1013406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pt-BR" sz="140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F.GF.10</a:t>
          </a:r>
        </a:p>
      </xdr:txBody>
    </xdr:sp>
    <xdr:clientData/>
  </xdr:one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114301</xdr:rowOff>
    </xdr:from>
    <xdr:to>
      <xdr:col>0</xdr:col>
      <xdr:colOff>994907</xdr:colOff>
      <xdr:row>1</xdr:row>
      <xdr:rowOff>82551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5" y="114301"/>
          <a:ext cx="1023482" cy="358775"/>
        </a:xfrm>
        <a:prstGeom prst="rect">
          <a:avLst/>
        </a:prstGeom>
      </xdr:spPr>
    </xdr:pic>
    <xdr:clientData/>
  </xdr:twoCellAnchor>
  <xdr:oneCellAnchor>
    <xdr:from>
      <xdr:col>35</xdr:col>
      <xdr:colOff>476251</xdr:colOff>
      <xdr:row>0</xdr:row>
      <xdr:rowOff>152400</xdr:rowOff>
    </xdr:from>
    <xdr:ext cx="1013406" cy="311496"/>
    <xdr:sp macro="" textlink="">
      <xdr:nvSpPr>
        <xdr:cNvPr id="3" name="CaixaDeTexto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SpPr txBox="1"/>
      </xdr:nvSpPr>
      <xdr:spPr>
        <a:xfrm>
          <a:off x="26908126" y="152400"/>
          <a:ext cx="1013406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pt-BR" sz="140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F.GF.10</a:t>
          </a:r>
        </a:p>
      </xdr:txBody>
    </xdr:sp>
    <xdr:clientData/>
  </xdr:one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114301</xdr:rowOff>
    </xdr:from>
    <xdr:to>
      <xdr:col>1</xdr:col>
      <xdr:colOff>4307</xdr:colOff>
      <xdr:row>1</xdr:row>
      <xdr:rowOff>82551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5" y="114301"/>
          <a:ext cx="1023482" cy="361950"/>
        </a:xfrm>
        <a:prstGeom prst="rect">
          <a:avLst/>
        </a:prstGeom>
      </xdr:spPr>
    </xdr:pic>
    <xdr:clientData/>
  </xdr:twoCellAnchor>
  <xdr:oneCellAnchor>
    <xdr:from>
      <xdr:col>36</xdr:col>
      <xdr:colOff>88900</xdr:colOff>
      <xdr:row>0</xdr:row>
      <xdr:rowOff>152400</xdr:rowOff>
    </xdr:from>
    <xdr:ext cx="1400757" cy="311496"/>
    <xdr:sp macro="" textlink="">
      <xdr:nvSpPr>
        <xdr:cNvPr id="3" name="CaixaDeTexto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 txBox="1"/>
      </xdr:nvSpPr>
      <xdr:spPr>
        <a:xfrm>
          <a:off x="26530300" y="152400"/>
          <a:ext cx="1400757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pt-BR" sz="140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CÓD.: F.GF.10</a:t>
          </a:r>
        </a:p>
      </xdr:txBody>
    </xdr:sp>
    <xdr:clientData/>
  </xdr:one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114301</xdr:rowOff>
    </xdr:from>
    <xdr:to>
      <xdr:col>1</xdr:col>
      <xdr:colOff>109082</xdr:colOff>
      <xdr:row>2</xdr:row>
      <xdr:rowOff>92076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577136D8-5C53-4EB9-B4BC-D2061F54B5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5" y="114301"/>
          <a:ext cx="947282" cy="358775"/>
        </a:xfrm>
        <a:prstGeom prst="rect">
          <a:avLst/>
        </a:prstGeom>
      </xdr:spPr>
    </xdr:pic>
    <xdr:clientData/>
  </xdr:twoCellAnchor>
  <xdr:oneCellAnchor>
    <xdr:from>
      <xdr:col>35</xdr:col>
      <xdr:colOff>476251</xdr:colOff>
      <xdr:row>0</xdr:row>
      <xdr:rowOff>152400</xdr:rowOff>
    </xdr:from>
    <xdr:ext cx="1013406" cy="311496"/>
    <xdr:sp macro="" textlink="">
      <xdr:nvSpPr>
        <xdr:cNvPr id="3" name="CaixaDeTexto 2">
          <a:extLst>
            <a:ext uri="{FF2B5EF4-FFF2-40B4-BE49-F238E27FC236}">
              <a16:creationId xmlns:a16="http://schemas.microsoft.com/office/drawing/2014/main" id="{E599596E-6AE7-4D6D-82CD-4BAE310ED063}"/>
            </a:ext>
          </a:extLst>
        </xdr:cNvPr>
        <xdr:cNvSpPr txBox="1"/>
      </xdr:nvSpPr>
      <xdr:spPr>
        <a:xfrm>
          <a:off x="23612476" y="152400"/>
          <a:ext cx="1013406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pt-BR" sz="140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F.GF.10</a:t>
          </a:r>
        </a:p>
      </xdr:txBody>
    </xdr:sp>
    <xdr:clientData/>
  </xdr:one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114301</xdr:rowOff>
    </xdr:from>
    <xdr:to>
      <xdr:col>0</xdr:col>
      <xdr:colOff>994907</xdr:colOff>
      <xdr:row>1</xdr:row>
      <xdr:rowOff>82551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5" y="114301"/>
          <a:ext cx="1023482" cy="358775"/>
        </a:xfrm>
        <a:prstGeom prst="rect">
          <a:avLst/>
        </a:prstGeom>
      </xdr:spPr>
    </xdr:pic>
    <xdr:clientData/>
  </xdr:twoCellAnchor>
  <xdr:oneCellAnchor>
    <xdr:from>
      <xdr:col>35</xdr:col>
      <xdr:colOff>476251</xdr:colOff>
      <xdr:row>0</xdr:row>
      <xdr:rowOff>152400</xdr:rowOff>
    </xdr:from>
    <xdr:ext cx="1013406" cy="311496"/>
    <xdr:sp macro="" textlink="">
      <xdr:nvSpPr>
        <xdr:cNvPr id="3" name="CaixaDeTexto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 txBox="1"/>
      </xdr:nvSpPr>
      <xdr:spPr>
        <a:xfrm>
          <a:off x="26908126" y="152400"/>
          <a:ext cx="1013406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pt-BR" sz="140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F.GF.10</a:t>
          </a:r>
        </a:p>
      </xdr:txBody>
    </xdr:sp>
    <xdr:clientData/>
  </xdr:one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114301</xdr:rowOff>
    </xdr:from>
    <xdr:to>
      <xdr:col>1</xdr:col>
      <xdr:colOff>385307</xdr:colOff>
      <xdr:row>2</xdr:row>
      <xdr:rowOff>92076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39A138B2-1AA6-4034-9F83-2834AF26CF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5" y="114301"/>
          <a:ext cx="947282" cy="358775"/>
        </a:xfrm>
        <a:prstGeom prst="rect">
          <a:avLst/>
        </a:prstGeom>
      </xdr:spPr>
    </xdr:pic>
    <xdr:clientData/>
  </xdr:twoCellAnchor>
  <xdr:oneCellAnchor>
    <xdr:from>
      <xdr:col>35</xdr:col>
      <xdr:colOff>476251</xdr:colOff>
      <xdr:row>0</xdr:row>
      <xdr:rowOff>152400</xdr:rowOff>
    </xdr:from>
    <xdr:ext cx="1013406" cy="311496"/>
    <xdr:sp macro="" textlink="">
      <xdr:nvSpPr>
        <xdr:cNvPr id="3" name="CaixaDeTexto 2">
          <a:extLst>
            <a:ext uri="{FF2B5EF4-FFF2-40B4-BE49-F238E27FC236}">
              <a16:creationId xmlns:a16="http://schemas.microsoft.com/office/drawing/2014/main" id="{0598A314-9676-4344-AC86-57EE122CB06E}"/>
            </a:ext>
          </a:extLst>
        </xdr:cNvPr>
        <xdr:cNvSpPr txBox="1"/>
      </xdr:nvSpPr>
      <xdr:spPr>
        <a:xfrm>
          <a:off x="23612476" y="152400"/>
          <a:ext cx="1013406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pt-BR" sz="140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F.GF.10</a:t>
          </a:r>
        </a:p>
      </xdr:txBody>
    </xdr:sp>
    <xdr:clientData/>
  </xdr:one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114301</xdr:rowOff>
    </xdr:from>
    <xdr:to>
      <xdr:col>1</xdr:col>
      <xdr:colOff>385307</xdr:colOff>
      <xdr:row>2</xdr:row>
      <xdr:rowOff>92076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3D5FEEFA-B70B-4403-A277-753F2FD8CC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5" y="114301"/>
          <a:ext cx="947282" cy="358775"/>
        </a:xfrm>
        <a:prstGeom prst="rect">
          <a:avLst/>
        </a:prstGeom>
      </xdr:spPr>
    </xdr:pic>
    <xdr:clientData/>
  </xdr:twoCellAnchor>
  <xdr:oneCellAnchor>
    <xdr:from>
      <xdr:col>35</xdr:col>
      <xdr:colOff>476251</xdr:colOff>
      <xdr:row>0</xdr:row>
      <xdr:rowOff>152400</xdr:rowOff>
    </xdr:from>
    <xdr:ext cx="1013406" cy="311496"/>
    <xdr:sp macro="" textlink="">
      <xdr:nvSpPr>
        <xdr:cNvPr id="3" name="CaixaDeTexto 2">
          <a:extLst>
            <a:ext uri="{FF2B5EF4-FFF2-40B4-BE49-F238E27FC236}">
              <a16:creationId xmlns:a16="http://schemas.microsoft.com/office/drawing/2014/main" id="{73FF79CF-5384-4D1B-AB4C-5CD908C248CB}"/>
            </a:ext>
          </a:extLst>
        </xdr:cNvPr>
        <xdr:cNvSpPr txBox="1"/>
      </xdr:nvSpPr>
      <xdr:spPr>
        <a:xfrm>
          <a:off x="23612476" y="152400"/>
          <a:ext cx="1013406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pt-BR" sz="140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F.GF.10</a:t>
          </a:r>
        </a:p>
      </xdr:txBody>
    </xdr:sp>
    <xdr:clientData/>
  </xdr:one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114301</xdr:rowOff>
    </xdr:from>
    <xdr:to>
      <xdr:col>1</xdr:col>
      <xdr:colOff>385307</xdr:colOff>
      <xdr:row>2</xdr:row>
      <xdr:rowOff>92076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88B2B9CA-D45B-4A04-9B98-C559EFADC9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5" y="114301"/>
          <a:ext cx="947282" cy="358775"/>
        </a:xfrm>
        <a:prstGeom prst="rect">
          <a:avLst/>
        </a:prstGeom>
      </xdr:spPr>
    </xdr:pic>
    <xdr:clientData/>
  </xdr:twoCellAnchor>
  <xdr:oneCellAnchor>
    <xdr:from>
      <xdr:col>35</xdr:col>
      <xdr:colOff>476251</xdr:colOff>
      <xdr:row>0</xdr:row>
      <xdr:rowOff>152400</xdr:rowOff>
    </xdr:from>
    <xdr:ext cx="1013406" cy="311496"/>
    <xdr:sp macro="" textlink="">
      <xdr:nvSpPr>
        <xdr:cNvPr id="3" name="CaixaDeTexto 2">
          <a:extLst>
            <a:ext uri="{FF2B5EF4-FFF2-40B4-BE49-F238E27FC236}">
              <a16:creationId xmlns:a16="http://schemas.microsoft.com/office/drawing/2014/main" id="{68269DB1-C5C7-4EDD-87A0-20C340084DBD}"/>
            </a:ext>
          </a:extLst>
        </xdr:cNvPr>
        <xdr:cNvSpPr txBox="1"/>
      </xdr:nvSpPr>
      <xdr:spPr>
        <a:xfrm>
          <a:off x="23612476" y="152400"/>
          <a:ext cx="1013406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pt-BR" sz="140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F.GF.10</a:t>
          </a:r>
        </a:p>
      </xdr:txBody>
    </xdr:sp>
    <xdr:clientData/>
  </xdr:one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114301</xdr:rowOff>
    </xdr:from>
    <xdr:to>
      <xdr:col>1</xdr:col>
      <xdr:colOff>385307</xdr:colOff>
      <xdr:row>2</xdr:row>
      <xdr:rowOff>92076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890819BC-B933-458E-B84D-A653920EC6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5" y="114301"/>
          <a:ext cx="947282" cy="358775"/>
        </a:xfrm>
        <a:prstGeom prst="rect">
          <a:avLst/>
        </a:prstGeom>
      </xdr:spPr>
    </xdr:pic>
    <xdr:clientData/>
  </xdr:twoCellAnchor>
  <xdr:oneCellAnchor>
    <xdr:from>
      <xdr:col>35</xdr:col>
      <xdr:colOff>476251</xdr:colOff>
      <xdr:row>0</xdr:row>
      <xdr:rowOff>152400</xdr:rowOff>
    </xdr:from>
    <xdr:ext cx="1013406" cy="311496"/>
    <xdr:sp macro="" textlink="">
      <xdr:nvSpPr>
        <xdr:cNvPr id="3" name="CaixaDeTexto 2">
          <a:extLst>
            <a:ext uri="{FF2B5EF4-FFF2-40B4-BE49-F238E27FC236}">
              <a16:creationId xmlns:a16="http://schemas.microsoft.com/office/drawing/2014/main" id="{881FB0BF-B017-4699-BF7E-E35D162063DC}"/>
            </a:ext>
          </a:extLst>
        </xdr:cNvPr>
        <xdr:cNvSpPr txBox="1"/>
      </xdr:nvSpPr>
      <xdr:spPr>
        <a:xfrm>
          <a:off x="23612476" y="152400"/>
          <a:ext cx="1013406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pt-BR" sz="140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F.GF.10</a:t>
          </a:r>
        </a:p>
      </xdr:txBody>
    </xdr:sp>
    <xdr:clientData/>
  </xdr:one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Office 6" id="{961B1987-D703-4907-B180-22DED0C3B521}" userId="S::office.6@proyfebrasil.com.br::fdc362f8-eb02-4ca9-bcee-c84e19200558" providerId="AD"/>
</personList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25" dT="2026-04-16T19:37:34.42" personId="{961B1987-D703-4907-B180-22DED0C3B521}" id="{ABF07EA2-C916-4B7A-9243-CBADFF122D0A}">
    <text>Locado 07/04/26</text>
  </threadedComment>
  <threadedComment ref="E29" dT="2026-06-08T18:20:15.36" personId="{961B1987-D703-4907-B180-22DED0C3B521}" id="{76A05FEB-D8F0-49CB-9FB6-F4758726E04A}">
    <text xml:space="preserve">Renegade TXL2A88 - Luis Daladiuer - uso particular 26.05.26 20.032km a  29/05/26 20.932km uibai x petrolina PE - utilizado 900km (NO E-MAIL INFORMOU QUE VOLTARIA DIA 27, enviou o registro completo só em 02/06 junto ao checklist de fechamento)
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D17" dT="2026-02-25T18:06:18.81" personId="{961B1987-D703-4907-B180-22DED0C3B521}" id="{F5F321C4-DBD1-4C4E-B5C9-60B47FD58D85}">
    <text>Veículo locado 23/02/2026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B13" dT="2026-02-11T14:00:15.13" personId="{961B1987-D703-4907-B180-22DED0C3B521}" id="{B499484B-E076-4CD4-82D1-94D62C53143E}">
    <text>Locado 04/01/2026</text>
  </threadedComment>
  <threadedComment ref="C13" dT="2026-02-20T12:45:29.30" personId="{961B1987-D703-4907-B180-22DED0C3B521}" id="{1EF51015-C154-4E2B-86D6-DEB39099D815}">
    <text>Troca de condutor de Jurandir para Augusto em 17/01/2026 com 6.312km</text>
  </threadedComment>
  <threadedComment ref="B25" dT="2026-04-09T12:45:13.26" personId="{961B1987-D703-4907-B180-22DED0C3B521}" id="{415EDC7B-79E8-4872-983C-5811A7840039}">
    <text>Uso particular não solicitado_01 a 05/04/26 - Irecê x Ibitiara BA -Utilizado 530km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D21" dT="2026-03-24T17:53:16.59" personId="{961B1987-D703-4907-B180-22DED0C3B521}" id="{7A19BFEB-0A6A-45F4-8CC7-E2DA20E9F2FF}">
    <text>Retirada 21/03/2026</text>
  </threadedComment>
</ThreadedComments>
</file>

<file path=xl/threadedComments/threadedComment5.xml><?xml version="1.0" encoding="utf-8"?>
<ThreadedComments xmlns="http://schemas.microsoft.com/office/spreadsheetml/2018/threadedcomments" xmlns:x="http://schemas.openxmlformats.org/spreadsheetml/2006/main">
  <threadedComment ref="B13" dT="2026-02-05T18:43:27.51" personId="{961B1987-D703-4907-B180-22DED0C3B521}" id="{590E1295-1C1C-4350-AD60-56939EE256E6}">
    <text xml:space="preserve">Locação 05/01/26
</text>
  </threadedComment>
</ThreadedComments>
</file>

<file path=xl/threadedComments/threadedComment6.xml><?xml version="1.0" encoding="utf-8"?>
<ThreadedComments xmlns="http://schemas.microsoft.com/office/spreadsheetml/2018/threadedcomments" xmlns:x="http://schemas.openxmlformats.org/spreadsheetml/2006/main">
  <threadedComment ref="B73" dT="2026-03-31T14:30:41.58" personId="{961B1987-D703-4907-B180-22DED0C3B521}" id="{155864B6-64D2-43A3-A5C7-1E6D9E047C1C}">
    <text xml:space="preserve">Nilberto: 14 a 16/03/26 - Bonito BA estimativa de uso 390km (uso não solicitado)
Nilberto: 27 a 29/03/26 - Bonito BA estimativa de uso 390km (uso não solicitado)
</text>
  </threadedComment>
  <threadedComment ref="E77" dT="2026-05-04T10:43:21.22" personId="{961B1987-D703-4907-B180-22DED0C3B521}" id="{6623C19B-E785-4375-8E53-013790A7298F}">
    <text>Devolução 30/04/26</text>
  </threadedComment>
</ThreadedComments>
</file>

<file path=xl/threadedComments/threadedComment7.xml><?xml version="1.0" encoding="utf-8"?>
<ThreadedComments xmlns="http://schemas.microsoft.com/office/spreadsheetml/2018/threadedcomments" xmlns:x="http://schemas.openxmlformats.org/spreadsheetml/2006/main">
  <threadedComment ref="E70" dT="2026-03-31T19:38:39.41" personId="{961B1987-D703-4907-B180-22DED0C3B521}" id="{100F994C-4614-405E-9168-47181EA68EE4}">
    <text>Devolvido 27/03/2026</text>
  </threadedComment>
</ThreadedComments>
</file>

<file path=xl/threadedComments/threadedComment8.xml><?xml version="1.0" encoding="utf-8"?>
<ThreadedComments xmlns="http://schemas.microsoft.com/office/spreadsheetml/2018/threadedcomments" xmlns:x="http://schemas.openxmlformats.org/spreadsheetml/2006/main">
  <threadedComment ref="E118" dT="2026-03-24T17:18:08.19" personId="{961B1987-D703-4907-B180-22DED0C3B521}" id="{84A911A2-34B1-4619-BCB6-5E93D42E42FF}">
    <text>Devolução 21/03/2026</text>
  </threadedComment>
</ThreadedComments>
</file>

<file path=xl/threadedComments/threadedComment9.xml><?xml version="1.0" encoding="utf-8"?>
<ThreadedComments xmlns="http://schemas.microsoft.com/office/spreadsheetml/2018/threadedcomments" xmlns:x="http://schemas.openxmlformats.org/spreadsheetml/2006/main">
  <threadedComment ref="C113" dT="2026-02-25T17:35:36.39" personId="{961B1987-D703-4907-B180-22DED0C3B521}" id="{E70AEC04-DD10-40E0-A32D-DB139FD0BD94}">
    <text>Devolução do veículo 13/02/2026</text>
  </threadedComment>
</ThreadedComments>
</file>

<file path=xl/threadedComments/threadedComment10.xml><?xml version="1.0" encoding="utf-8"?>
<ThreadedComments xmlns="http://schemas.microsoft.com/office/spreadsheetml/2018/threadedcomments" xmlns:x="http://schemas.openxmlformats.org/spreadsheetml/2006/main">
  <threadedComment ref="C103" dT="2026-02-11T13:53:07.42" personId="{961B1987-D703-4907-B180-22DED0C3B521}" id="{CF5DBAAE-CA1D-45C7-9B05-5E38CFCD2B84}">
    <text xml:space="preserve">Devolução 18/01/2026
</text>
  </threadedComment>
</ThreadedComments>
</file>

<file path=xl/threadedComments/threadedComment11.xml><?xml version="1.0" encoding="utf-8"?>
<ThreadedComments xmlns="http://schemas.microsoft.com/office/spreadsheetml/2018/threadedcomments" xmlns:x="http://schemas.openxmlformats.org/spreadsheetml/2006/main">
  <threadedComment ref="C18" dT="2026-02-11T14:35:20.31" personId="{961B1987-D703-4907-B180-22DED0C3B521}" id="{1187B22C-BE60-40FC-86DE-E76876BEC51C}">
    <text>Devolução 19/01/2026</text>
  </threadedComment>
</ThreadedComments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3.xml"/><Relationship Id="rId4" Type="http://schemas.microsoft.com/office/2017/10/relationships/threadedComment" Target="../threadedComments/threadedComment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4.xml"/><Relationship Id="rId4" Type="http://schemas.microsoft.com/office/2017/10/relationships/threadedComment" Target="../threadedComments/threadedComment2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5.xml"/><Relationship Id="rId4" Type="http://schemas.microsoft.com/office/2017/10/relationships/threadedComment" Target="../threadedComments/threadedComment3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2.bin"/><Relationship Id="rId5" Type="http://schemas.microsoft.com/office/2017/10/relationships/threadedComment" Target="../threadedComments/threadedComment4.xml"/><Relationship Id="rId4" Type="http://schemas.openxmlformats.org/officeDocument/2006/relationships/comments" Target="../comments4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drawing" Target="../drawings/drawing7.xml"/><Relationship Id="rId4" Type="http://schemas.microsoft.com/office/2017/10/relationships/threadedComment" Target="../threadedComments/threadedComment5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drawing" Target="../drawings/drawing8.xml"/><Relationship Id="rId4" Type="http://schemas.microsoft.com/office/2017/10/relationships/threadedComment" Target="../threadedComments/threadedComment6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drawing" Target="../drawings/drawing9.xml"/><Relationship Id="rId4" Type="http://schemas.microsoft.com/office/2017/10/relationships/threadedComment" Target="../threadedComments/threadedComment7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9.vml"/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3.bin"/><Relationship Id="rId5" Type="http://schemas.microsoft.com/office/2017/10/relationships/threadedComment" Target="../threadedComments/threadedComment8.xml"/><Relationship Id="rId4" Type="http://schemas.openxmlformats.org/officeDocument/2006/relationships/comments" Target="../comments9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0.vml"/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4.bin"/><Relationship Id="rId5" Type="http://schemas.microsoft.com/office/2017/10/relationships/threadedComment" Target="../threadedComments/threadedComment9.xml"/><Relationship Id="rId4" Type="http://schemas.openxmlformats.org/officeDocument/2006/relationships/comments" Target="../comments10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vmlDrawing" Target="../drawings/vmlDrawing11.vml"/><Relationship Id="rId1" Type="http://schemas.openxmlformats.org/officeDocument/2006/relationships/drawing" Target="../drawings/drawing12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.xml"/><Relationship Id="rId2" Type="http://schemas.openxmlformats.org/officeDocument/2006/relationships/vmlDrawing" Target="../drawings/vmlDrawing12.vml"/><Relationship Id="rId1" Type="http://schemas.openxmlformats.org/officeDocument/2006/relationships/drawing" Target="../drawings/drawing13.xml"/></Relationships>
</file>

<file path=xl/worksheets/_rels/sheet15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0.xml"/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4.xml"/><Relationship Id="rId2" Type="http://schemas.openxmlformats.org/officeDocument/2006/relationships/vmlDrawing" Target="../drawings/vmlDrawing14.vml"/><Relationship Id="rId1" Type="http://schemas.openxmlformats.org/officeDocument/2006/relationships/drawing" Target="../drawings/drawing14.xml"/><Relationship Id="rId4" Type="http://schemas.microsoft.com/office/2017/10/relationships/threadedComment" Target="../threadedComments/threadedComment11.xm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5.xml"/><Relationship Id="rId2" Type="http://schemas.openxmlformats.org/officeDocument/2006/relationships/vmlDrawing" Target="../drawings/vmlDrawing15.vml"/><Relationship Id="rId1" Type="http://schemas.openxmlformats.org/officeDocument/2006/relationships/drawing" Target="../drawings/drawing15.xm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6.xml"/><Relationship Id="rId2" Type="http://schemas.openxmlformats.org/officeDocument/2006/relationships/vmlDrawing" Target="../drawings/vmlDrawing16.vml"/><Relationship Id="rId1" Type="http://schemas.openxmlformats.org/officeDocument/2006/relationships/drawing" Target="../drawings/drawing16.xml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7.xml"/><Relationship Id="rId2" Type="http://schemas.openxmlformats.org/officeDocument/2006/relationships/vmlDrawing" Target="../drawings/vmlDrawing17.vml"/><Relationship Id="rId1" Type="http://schemas.openxmlformats.org/officeDocument/2006/relationships/drawing" Target="../drawings/drawing17.xml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8.xml"/><Relationship Id="rId2" Type="http://schemas.openxmlformats.org/officeDocument/2006/relationships/vmlDrawing" Target="../drawings/vmlDrawing18.vml"/><Relationship Id="rId1" Type="http://schemas.openxmlformats.org/officeDocument/2006/relationships/drawing" Target="../drawings/drawing18.xml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9.vml"/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5.bin"/><Relationship Id="rId4" Type="http://schemas.openxmlformats.org/officeDocument/2006/relationships/comments" Target="../comments19.xml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0.vml"/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6.bin"/><Relationship Id="rId4" Type="http://schemas.openxmlformats.org/officeDocument/2006/relationships/comments" Target="../comments20.xml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1.xml"/><Relationship Id="rId2" Type="http://schemas.openxmlformats.org/officeDocument/2006/relationships/vmlDrawing" Target="../drawings/vmlDrawing21.vml"/><Relationship Id="rId1" Type="http://schemas.openxmlformats.org/officeDocument/2006/relationships/drawing" Target="../drawings/drawing21.x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7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9"/>
  <sheetViews>
    <sheetView showGridLines="0" workbookViewId="0">
      <selection activeCell="K6" sqref="J5:K6"/>
    </sheetView>
  </sheetViews>
  <sheetFormatPr defaultColWidth="9" defaultRowHeight="15" x14ac:dyDescent="0.25"/>
  <cols>
    <col min="1" max="1" width="20.140625" style="1" bestFit="1" customWidth="1"/>
    <col min="2" max="2" width="13.28515625" style="1" bestFit="1" customWidth="1"/>
    <col min="3" max="3" width="13.140625" style="1" bestFit="1" customWidth="1"/>
    <col min="4" max="7" width="12.140625" style="1" bestFit="1" customWidth="1"/>
    <col min="8" max="8" width="13.28515625" style="1" bestFit="1" customWidth="1"/>
    <col min="9" max="9" width="12.140625" style="1" bestFit="1" customWidth="1"/>
    <col min="10" max="13" width="13.28515625" style="1" bestFit="1" customWidth="1"/>
    <col min="14" max="16384" width="9" style="1"/>
  </cols>
  <sheetData>
    <row r="1" spans="1:25" ht="27.75" customHeight="1" x14ac:dyDescent="0.25">
      <c r="A1" s="176" t="s">
        <v>53</v>
      </c>
      <c r="B1" s="177"/>
      <c r="C1" s="177"/>
      <c r="D1" s="177"/>
      <c r="E1" s="177"/>
      <c r="F1" s="177"/>
      <c r="G1" s="177"/>
      <c r="H1" s="177"/>
      <c r="I1" s="177"/>
      <c r="J1" s="177"/>
      <c r="K1" s="177"/>
      <c r="L1" s="177"/>
      <c r="M1" s="177"/>
      <c r="N1" s="177"/>
      <c r="O1" s="177"/>
      <c r="P1" s="177"/>
      <c r="Q1" s="177"/>
      <c r="R1" s="177"/>
      <c r="S1" s="177"/>
      <c r="T1" s="177"/>
      <c r="U1" s="177"/>
      <c r="V1" s="177"/>
      <c r="W1" s="177"/>
      <c r="X1" s="177"/>
      <c r="Y1" s="178"/>
    </row>
    <row r="2" spans="1:25" x14ac:dyDescent="0.25">
      <c r="A2" s="179"/>
      <c r="B2" s="180"/>
      <c r="C2" s="180"/>
      <c r="D2" s="180"/>
      <c r="E2" s="180"/>
      <c r="F2" s="180"/>
      <c r="G2" s="180"/>
      <c r="H2" s="180"/>
      <c r="I2" s="180"/>
      <c r="J2" s="180"/>
      <c r="K2" s="180"/>
      <c r="L2" s="180"/>
      <c r="M2" s="180"/>
      <c r="N2" s="180"/>
      <c r="O2" s="180"/>
      <c r="P2" s="180"/>
      <c r="Q2" s="180"/>
      <c r="R2" s="180"/>
      <c r="S2" s="180"/>
      <c r="T2" s="180"/>
      <c r="U2" s="180"/>
      <c r="V2" s="180"/>
      <c r="W2" s="180"/>
      <c r="X2" s="180"/>
      <c r="Y2" s="181"/>
    </row>
    <row r="5" spans="1:25" ht="15.75" thickBot="1" x14ac:dyDescent="0.3">
      <c r="B5" s="60" t="s">
        <v>28</v>
      </c>
      <c r="C5" s="60" t="s">
        <v>29</v>
      </c>
      <c r="D5" s="60" t="s">
        <v>30</v>
      </c>
      <c r="E5" s="60" t="s">
        <v>31</v>
      </c>
      <c r="F5" s="60" t="s">
        <v>32</v>
      </c>
      <c r="G5" s="60" t="s">
        <v>33</v>
      </c>
      <c r="H5" s="60" t="s">
        <v>34</v>
      </c>
      <c r="I5" s="60" t="s">
        <v>35</v>
      </c>
      <c r="J5" s="60" t="s">
        <v>36</v>
      </c>
      <c r="K5" s="60" t="s">
        <v>37</v>
      </c>
      <c r="L5" s="60" t="s">
        <v>38</v>
      </c>
      <c r="M5" s="60" t="s">
        <v>39</v>
      </c>
    </row>
    <row r="6" spans="1:25" ht="15.75" thickBot="1" x14ac:dyDescent="0.3">
      <c r="A6" s="67" t="s">
        <v>24</v>
      </c>
      <c r="B6" s="61">
        <f>'Resumo Individual'!D5+'Resumo Individual'!K5+'Resumo Individual'!D24+'Resumo Individual'!K24+'Resumo Individual'!D43+'Resumo Individual'!K43</f>
        <v>1045.4199999999998</v>
      </c>
      <c r="C6" s="61">
        <f>'Resumo Individual'!D6+'Resumo Individual'!K6+'Resumo Individual'!D25+'Resumo Individual'!K25+'Resumo Individual'!D44+'Resumo Individual'!K44</f>
        <v>1960.31</v>
      </c>
      <c r="D6" s="62">
        <f>'Resumo Individual'!D7+'Resumo Individual'!K7+'Resumo Individual'!D26+'Resumo Individual'!K26+'Resumo Individual'!D45+'Resumo Individual'!K45</f>
        <v>2218.6</v>
      </c>
      <c r="E6" s="62">
        <f>'Resumo Individual'!D8+'Resumo Individual'!K8+'Resumo Individual'!D27+'Resumo Individual'!K27+'Resumo Individual'!D46+'Resumo Individual'!K46</f>
        <v>2484.87</v>
      </c>
      <c r="F6" s="62">
        <f>'Resumo Individual'!D9+'Resumo Individual'!K9+'Resumo Individual'!D28+'Resumo Individual'!K28+'Resumo Individual'!D47+'Resumo Individual'!K47</f>
        <v>2290.46</v>
      </c>
      <c r="G6" s="62">
        <f>'Resumo Individual'!D10+'Resumo Individual'!K10+'Resumo Individual'!D29+'Resumo Individual'!K29+'Resumo Individual'!D48+'Resumo Individual'!K48</f>
        <v>1245.78</v>
      </c>
      <c r="H6" s="62">
        <f>'Resumo Individual'!D11+'Resumo Individual'!K11+'Resumo Individual'!D30+'Resumo Individual'!K30+'Resumo Individual'!D49+'Resumo Individual'!K49</f>
        <v>1416.65</v>
      </c>
      <c r="I6" s="62">
        <f>'Resumo Individual'!D12+'Resumo Individual'!K12+'Resumo Individual'!D31+'Resumo Individual'!K31+'Resumo Individual'!D50+'Resumo Individual'!K50</f>
        <v>4413.7199999999993</v>
      </c>
      <c r="J6" s="62">
        <f>'Resumo Individual'!D13+'Resumo Individual'!K13+'Resumo Individual'!D32+'Resumo Individual'!K32+'Resumo Individual'!D51+'Resumo Individual'!K51</f>
        <v>7627.6100000000006</v>
      </c>
      <c r="K6" s="62">
        <f>'Resumo Individual'!D14+'Resumo Individual'!K14+'Resumo Individual'!D33+'Resumo Individual'!K33+'Resumo Individual'!D52+'Resumo Individual'!K52</f>
        <v>10693.810000000001</v>
      </c>
      <c r="L6" s="62">
        <f>'Resumo Individual'!D15+'Resumo Individual'!K15+'Resumo Individual'!D34+'Resumo Individual'!K34+'Resumo Individual'!D53+'Resumo Individual'!K53</f>
        <v>5235.49</v>
      </c>
      <c r="M6" s="57">
        <f>'Resumo Individual'!D16+'Resumo Individual'!K16+'Resumo Individual'!D35+'Resumo Individual'!K35+'Resumo Individual'!D54+'Resumo Individual'!K54</f>
        <v>6789</v>
      </c>
    </row>
    <row r="7" spans="1:25" ht="15.75" thickBot="1" x14ac:dyDescent="0.3">
      <c r="A7" s="3"/>
    </row>
    <row r="8" spans="1:25" ht="15.75" thickBot="1" x14ac:dyDescent="0.3">
      <c r="A8" s="66" t="s">
        <v>49</v>
      </c>
      <c r="B8" s="63">
        <f>'Resumo Individual'!E5+'Resumo Individual'!L5+'Resumo Individual'!E24+'Resumo Individual'!L24+'Resumo Individual'!E43+'Resumo Individual'!L43</f>
        <v>45</v>
      </c>
      <c r="C8" s="62">
        <f>'Resumo Individual'!E6+'Resumo Individual'!L6+'Resumo Individual'!E25+'Resumo Individual'!L25+'Resumo Individual'!E44+'Resumo Individual'!L44</f>
        <v>45</v>
      </c>
      <c r="D8" s="62">
        <f>'Resumo Individual'!E7+'Resumo Individual'!L7+'Resumo Individual'!E26+'Resumo Individual'!L26+'Resumo Individual'!E45+'Resumo Individual'!L45</f>
        <v>45</v>
      </c>
      <c r="E8" s="62">
        <f>'Resumo Individual'!E8+'Resumo Individual'!L8+'Resumo Individual'!E27+'Resumo Individual'!L27+'Resumo Individual'!E46+'Resumo Individual'!L46</f>
        <v>0</v>
      </c>
      <c r="F8" s="62">
        <f>'Resumo Individual'!E9+'Resumo Individual'!L9+'Resumo Individual'!E28+'Resumo Individual'!L28+'Resumo Individual'!E47+'Resumo Individual'!L47</f>
        <v>0</v>
      </c>
      <c r="G8" s="62">
        <f>'Resumo Individual'!E10+'Resumo Individual'!L10+'Resumo Individual'!E29+'Resumo Individual'!L29+'Resumo Individual'!E48+'Resumo Individual'!L48</f>
        <v>0</v>
      </c>
      <c r="H8" s="62">
        <f>'Resumo Individual'!E11+'Resumo Individual'!L11+'Resumo Individual'!E30+'Resumo Individual'!L30+'Resumo Individual'!E49+'Resumo Individual'!L49</f>
        <v>0</v>
      </c>
      <c r="I8" s="62">
        <f>'Resumo Individual'!E12+'Resumo Individual'!L12+'Resumo Individual'!E31+'Resumo Individual'!L31+'Resumo Individual'!E50+'Resumo Individual'!L50</f>
        <v>0</v>
      </c>
      <c r="J8" s="62">
        <f>'Resumo Individual'!E13+'Resumo Individual'!L13+'Resumo Individual'!E32+'Resumo Individual'!L32+'Resumo Individual'!E51+'Resumo Individual'!L51</f>
        <v>0</v>
      </c>
      <c r="K8" s="62">
        <f>'Resumo Individual'!E14+'Resumo Individual'!L14+'Resumo Individual'!E33+'Resumo Individual'!L33+'Resumo Individual'!E52+'Resumo Individual'!L52</f>
        <v>0</v>
      </c>
      <c r="L8" s="62">
        <f>'Resumo Individual'!E15+'Resumo Individual'!L15+'Resumo Individual'!E34+'Resumo Individual'!L34+'Resumo Individual'!E53+'Resumo Individual'!L53</f>
        <v>0</v>
      </c>
      <c r="M8" s="57">
        <f>'Resumo Individual'!E16+'Resumo Individual'!L16+'Resumo Individual'!E35+'Resumo Individual'!L35+'Resumo Individual'!E54+'Resumo Individual'!L54</f>
        <v>90</v>
      </c>
    </row>
    <row r="9" spans="1:25" ht="15.75" thickBot="1" x14ac:dyDescent="0.3">
      <c r="A9" s="3"/>
    </row>
    <row r="10" spans="1:25" ht="15.75" thickBot="1" x14ac:dyDescent="0.3">
      <c r="A10" s="65" t="s">
        <v>25</v>
      </c>
      <c r="B10" s="63">
        <f>'Resumo Individual'!F5+'Resumo Individual'!M5+'Resumo Individual'!F24+'Resumo Individual'!M24+'Resumo Individual'!F43+'Resumo Individual'!M43</f>
        <v>0</v>
      </c>
      <c r="C10" s="62">
        <f>'Resumo Individual'!F6+'Resumo Individual'!M6+'Resumo Individual'!F25+'Resumo Individual'!M25+'Resumo Individual'!F44+'Resumo Individual'!M44</f>
        <v>0</v>
      </c>
      <c r="D10" s="62">
        <f>'Resumo Individual'!F7+'Resumo Individual'!M7+'Resumo Individual'!F26+'Resumo Individual'!M26+'Resumo Individual'!F45+'Resumo Individual'!M45</f>
        <v>0</v>
      </c>
      <c r="E10" s="62">
        <f>'Resumo Individual'!F8+'Resumo Individual'!M8+'Resumo Individual'!F27+'Resumo Individual'!M27+'Resumo Individual'!F46+'Resumo Individual'!M46</f>
        <v>0</v>
      </c>
      <c r="F10" s="62">
        <f>'Resumo Individual'!F9+'Resumo Individual'!M9+'Resumo Individual'!F28+'Resumo Individual'!M28+'Resumo Individual'!F47+'Resumo Individual'!M47</f>
        <v>0</v>
      </c>
      <c r="G10" s="62">
        <f>'Resumo Individual'!F10+'Resumo Individual'!M10+'Resumo Individual'!F29+'Resumo Individual'!M29+'Resumo Individual'!F48+'Resumo Individual'!M48</f>
        <v>0</v>
      </c>
      <c r="H10" s="62">
        <f>'Resumo Individual'!F11+'Resumo Individual'!M11+'Resumo Individual'!F30+'Resumo Individual'!M30+'Resumo Individual'!F49+'Resumo Individual'!M49</f>
        <v>0</v>
      </c>
      <c r="I10" s="62">
        <f>'Resumo Individual'!F12+'Resumo Individual'!M12+'Resumo Individual'!F31+'Resumo Individual'!M31+'Resumo Individual'!F50+'Resumo Individual'!M50</f>
        <v>0</v>
      </c>
      <c r="J10" s="62">
        <f>'Resumo Individual'!F13+'Resumo Individual'!M13+'Resumo Individual'!F32+'Resumo Individual'!M32+'Resumo Individual'!F51+'Resumo Individual'!M51</f>
        <v>0</v>
      </c>
      <c r="K10" s="62">
        <f>'Resumo Individual'!F14+'Resumo Individual'!M14+'Resumo Individual'!F33+'Resumo Individual'!M33+'Resumo Individual'!F52+'Resumo Individual'!M52</f>
        <v>0</v>
      </c>
      <c r="L10" s="62">
        <f>'Resumo Individual'!F15+'Resumo Individual'!M15+'Resumo Individual'!F34+'Resumo Individual'!M34+'Resumo Individual'!F53+'Resumo Individual'!M53</f>
        <v>0</v>
      </c>
      <c r="M10" s="57">
        <f>'Resumo Individual'!F16+'Resumo Individual'!M16+'Resumo Individual'!F35+'Resumo Individual'!M35+'Resumo Individual'!F54+'Resumo Individual'!M54</f>
        <v>0</v>
      </c>
    </row>
    <row r="13" spans="1:25" x14ac:dyDescent="0.25">
      <c r="B13" s="175"/>
      <c r="C13" s="175"/>
      <c r="D13" s="175"/>
      <c r="E13" s="175"/>
      <c r="F13" s="175"/>
      <c r="G13" s="175"/>
      <c r="H13" s="175"/>
      <c r="I13" s="175"/>
      <c r="J13" s="175"/>
      <c r="K13" s="175"/>
      <c r="L13" s="175"/>
      <c r="M13" s="175"/>
    </row>
    <row r="14" spans="1:25" ht="15.75" thickBot="1" x14ac:dyDescent="0.3">
      <c r="B14" s="60" t="s">
        <v>28</v>
      </c>
      <c r="C14" s="60" t="s">
        <v>29</v>
      </c>
      <c r="D14" s="60" t="s">
        <v>30</v>
      </c>
      <c r="E14" s="60" t="s">
        <v>31</v>
      </c>
      <c r="F14" s="60" t="s">
        <v>32</v>
      </c>
      <c r="G14" s="60" t="s">
        <v>33</v>
      </c>
      <c r="H14" s="60" t="s">
        <v>34</v>
      </c>
      <c r="I14" s="60" t="s">
        <v>35</v>
      </c>
      <c r="J14" s="60" t="s">
        <v>36</v>
      </c>
      <c r="K14" s="60" t="s">
        <v>37</v>
      </c>
      <c r="L14" s="60" t="s">
        <v>38</v>
      </c>
      <c r="M14" s="60" t="s">
        <v>39</v>
      </c>
    </row>
    <row r="15" spans="1:25" ht="15.75" thickBot="1" x14ac:dyDescent="0.3">
      <c r="A15" s="64" t="s">
        <v>41</v>
      </c>
      <c r="B15" s="63"/>
      <c r="C15" s="63"/>
      <c r="D15" s="62"/>
      <c r="E15" s="62"/>
      <c r="F15" s="62"/>
      <c r="G15" s="62"/>
      <c r="H15" s="62"/>
      <c r="I15" s="62"/>
      <c r="J15" s="62"/>
      <c r="K15" s="62"/>
      <c r="L15" s="62"/>
      <c r="M15" s="57"/>
    </row>
    <row r="16" spans="1:25" ht="15.75" thickBot="1" x14ac:dyDescent="0.3"/>
    <row r="17" spans="1:13" ht="15.75" thickBot="1" x14ac:dyDescent="0.3">
      <c r="A17" s="64" t="s">
        <v>1</v>
      </c>
      <c r="B17" s="63"/>
      <c r="C17" s="62"/>
      <c r="D17" s="62"/>
      <c r="E17" s="62"/>
      <c r="F17" s="62"/>
      <c r="G17" s="62"/>
      <c r="H17" s="62"/>
      <c r="I17" s="62"/>
      <c r="J17" s="62"/>
      <c r="K17" s="62"/>
      <c r="L17" s="62"/>
      <c r="M17" s="57"/>
    </row>
    <row r="18" spans="1:13" ht="15.75" thickBot="1" x14ac:dyDescent="0.3"/>
    <row r="19" spans="1:13" ht="15.75" thickBot="1" x14ac:dyDescent="0.3">
      <c r="A19" s="64" t="s">
        <v>42</v>
      </c>
      <c r="B19" s="63">
        <f>B15-B17</f>
        <v>0</v>
      </c>
      <c r="C19" s="63">
        <f>C15-C17</f>
        <v>0</v>
      </c>
      <c r="D19" s="63">
        <f t="shared" ref="D19:F19" si="0">D15-D17</f>
        <v>0</v>
      </c>
      <c r="E19" s="63">
        <f t="shared" si="0"/>
        <v>0</v>
      </c>
      <c r="F19" s="63">
        <f t="shared" si="0"/>
        <v>0</v>
      </c>
      <c r="G19" s="63">
        <f>G15-G17</f>
        <v>0</v>
      </c>
      <c r="H19" s="63">
        <f t="shared" ref="H19:M19" si="1">H15-H17</f>
        <v>0</v>
      </c>
      <c r="I19" s="63">
        <f t="shared" si="1"/>
        <v>0</v>
      </c>
      <c r="J19" s="63">
        <f t="shared" si="1"/>
        <v>0</v>
      </c>
      <c r="K19" s="63">
        <f t="shared" si="1"/>
        <v>0</v>
      </c>
      <c r="L19" s="63">
        <f t="shared" si="1"/>
        <v>0</v>
      </c>
      <c r="M19" s="63">
        <f t="shared" si="1"/>
        <v>0</v>
      </c>
    </row>
  </sheetData>
  <mergeCells count="2">
    <mergeCell ref="B13:M13"/>
    <mergeCell ref="A1:Y2"/>
  </mergeCells>
  <phoneticPr fontId="2" type="noConversion"/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57"/>
  <sheetViews>
    <sheetView showGridLines="0" topLeftCell="A41" zoomScaleNormal="100" workbookViewId="0">
      <selection activeCell="D18" sqref="D18"/>
    </sheetView>
  </sheetViews>
  <sheetFormatPr defaultColWidth="9" defaultRowHeight="15" x14ac:dyDescent="0.25"/>
  <cols>
    <col min="1" max="1" width="9.42578125" style="1" customWidth="1"/>
    <col min="2" max="2" width="12.7109375" style="1" customWidth="1"/>
    <col min="3" max="3" width="13.85546875" style="1" customWidth="1"/>
    <col min="4" max="4" width="14.85546875" style="1" customWidth="1"/>
    <col min="5" max="5" width="13.140625" style="1" customWidth="1"/>
    <col min="6" max="6" width="14.5703125" style="1" customWidth="1"/>
    <col min="7" max="7" width="9" style="1"/>
    <col min="8" max="8" width="9.85546875" style="1" customWidth="1"/>
    <col min="9" max="9" width="12.7109375" style="1" bestFit="1" customWidth="1"/>
    <col min="10" max="10" width="11.5703125" style="1" bestFit="1" customWidth="1"/>
    <col min="11" max="11" width="16.42578125" style="1" bestFit="1" customWidth="1"/>
    <col min="12" max="12" width="13.42578125" style="1" bestFit="1" customWidth="1"/>
    <col min="13" max="13" width="14.42578125" style="1" bestFit="1" customWidth="1"/>
    <col min="14" max="16384" width="9" style="1"/>
  </cols>
  <sheetData>
    <row r="1" spans="1:14" ht="47.25" customHeight="1" x14ac:dyDescent="0.25">
      <c r="A1" s="182"/>
      <c r="B1" s="183"/>
      <c r="C1" s="184" t="s">
        <v>52</v>
      </c>
      <c r="D1" s="185"/>
      <c r="E1" s="185"/>
      <c r="F1" s="185"/>
      <c r="G1" s="185"/>
      <c r="H1" s="185"/>
      <c r="I1" s="185"/>
      <c r="J1" s="185"/>
      <c r="K1" s="185"/>
      <c r="L1" s="68"/>
      <c r="M1" s="69"/>
      <c r="N1" s="70"/>
    </row>
    <row r="2" spans="1:14" ht="27" customHeight="1" x14ac:dyDescent="0.25">
      <c r="A2" s="2"/>
      <c r="B2" s="2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</row>
    <row r="3" spans="1:14" ht="15.75" thickBot="1" x14ac:dyDescent="0.3">
      <c r="B3" s="186" t="s">
        <v>55</v>
      </c>
      <c r="C3" s="186"/>
      <c r="D3" s="186"/>
      <c r="E3" s="186"/>
      <c r="F3" s="186"/>
      <c r="I3" s="186" t="s">
        <v>56</v>
      </c>
      <c r="J3" s="186"/>
      <c r="K3" s="186"/>
      <c r="L3" s="186"/>
      <c r="M3" s="186"/>
    </row>
    <row r="4" spans="1:14" s="2" customFormat="1" ht="15.75" thickBot="1" x14ac:dyDescent="0.3">
      <c r="B4" s="78" t="s">
        <v>43</v>
      </c>
      <c r="C4" s="79" t="s">
        <v>27</v>
      </c>
      <c r="D4" s="76" t="s">
        <v>24</v>
      </c>
      <c r="E4" s="75" t="s">
        <v>49</v>
      </c>
      <c r="F4" s="77" t="s">
        <v>25</v>
      </c>
      <c r="I4" s="78" t="s">
        <v>43</v>
      </c>
      <c r="J4" s="79" t="s">
        <v>27</v>
      </c>
      <c r="K4" s="76" t="s">
        <v>24</v>
      </c>
      <c r="L4" s="75" t="s">
        <v>49</v>
      </c>
      <c r="M4" s="77" t="s">
        <v>25</v>
      </c>
    </row>
    <row r="5" spans="1:14" x14ac:dyDescent="0.25">
      <c r="A5" s="38" t="s">
        <v>28</v>
      </c>
      <c r="B5" s="74">
        <f>'Jhonny-Devol'!H14</f>
        <v>0</v>
      </c>
      <c r="C5" s="43">
        <f>3000-B5</f>
        <v>3000</v>
      </c>
      <c r="D5" s="40">
        <f>'Jhonny-Devol'!U15</f>
        <v>0</v>
      </c>
      <c r="E5" s="40">
        <f>'Jhonny-Devol'!AD15</f>
        <v>0</v>
      </c>
      <c r="F5" s="41">
        <f>'Jhonny-Devol'!AL15</f>
        <v>0</v>
      </c>
      <c r="H5" s="38" t="s">
        <v>28</v>
      </c>
      <c r="I5" s="42">
        <f>'Roniere-Desmob'!H13</f>
        <v>0</v>
      </c>
      <c r="J5" s="48">
        <f>SUM(3000-I5)</f>
        <v>3000</v>
      </c>
      <c r="K5" s="44">
        <f>'Roniere-Desmob'!U14</f>
        <v>0</v>
      </c>
      <c r="L5" s="44">
        <f>'Roniere-Desmob'!AC14</f>
        <v>0</v>
      </c>
      <c r="M5" s="45">
        <f>'Roniere-Desmob'!AK14</f>
        <v>0</v>
      </c>
    </row>
    <row r="6" spans="1:14" x14ac:dyDescent="0.25">
      <c r="A6" s="46" t="s">
        <v>29</v>
      </c>
      <c r="B6" s="72">
        <f>'Jhonny-Devol'!H18</f>
        <v>0</v>
      </c>
      <c r="C6" s="48">
        <f t="shared" ref="C6:C16" si="0">3000-B6</f>
        <v>3000</v>
      </c>
      <c r="D6" s="49">
        <f>'Jhonny-Devol'!U19</f>
        <v>0</v>
      </c>
      <c r="E6" s="49">
        <f>'Jhonny-Devol'!AD19</f>
        <v>0</v>
      </c>
      <c r="F6" s="50">
        <f>'Jhonny-Devol'!AL19</f>
        <v>0</v>
      </c>
      <c r="H6" s="46" t="s">
        <v>29</v>
      </c>
      <c r="I6" s="47">
        <f>'Roniere-Desmob'!H17</f>
        <v>0</v>
      </c>
      <c r="J6" s="48">
        <f>SUM(3000-I6)</f>
        <v>3000</v>
      </c>
      <c r="K6" s="49">
        <f>'Roniere-Desmob'!U18</f>
        <v>0</v>
      </c>
      <c r="L6" s="49">
        <f>'Roniere-Desmob'!AC18</f>
        <v>0</v>
      </c>
      <c r="M6" s="50">
        <f>'Roniere-Desmob'!AK18</f>
        <v>0</v>
      </c>
    </row>
    <row r="7" spans="1:14" x14ac:dyDescent="0.25">
      <c r="A7" s="46" t="s">
        <v>30</v>
      </c>
      <c r="B7" s="72">
        <f>'Jhonny-Devol'!H22</f>
        <v>0</v>
      </c>
      <c r="C7" s="48">
        <f t="shared" si="0"/>
        <v>3000</v>
      </c>
      <c r="D7" s="49">
        <f>'Jhonny-Devol'!U23</f>
        <v>0</v>
      </c>
      <c r="E7" s="49">
        <f>'Jhonny-Devol'!AD23</f>
        <v>0</v>
      </c>
      <c r="F7" s="50">
        <f>'Jhonny-Devol'!AL23</f>
        <v>0</v>
      </c>
      <c r="H7" s="46" t="s">
        <v>30</v>
      </c>
      <c r="I7" s="47">
        <f>'Roniere-Desmob'!H21</f>
        <v>0</v>
      </c>
      <c r="J7" s="48">
        <f t="shared" ref="J7:J16" si="1">SUM(3000-I7)</f>
        <v>3000</v>
      </c>
      <c r="K7" s="49">
        <f>'Roniere-Desmob'!U22</f>
        <v>0</v>
      </c>
      <c r="L7" s="49">
        <f>'Roniere-Desmob'!AC22</f>
        <v>0</v>
      </c>
      <c r="M7" s="50">
        <f>'Roniere-Desmob'!AK22</f>
        <v>0</v>
      </c>
    </row>
    <row r="8" spans="1:14" x14ac:dyDescent="0.25">
      <c r="A8" s="46" t="s">
        <v>31</v>
      </c>
      <c r="B8" s="72">
        <f>'Jhonny-Devol'!H26</f>
        <v>0</v>
      </c>
      <c r="C8" s="48">
        <f t="shared" si="0"/>
        <v>3000</v>
      </c>
      <c r="D8" s="49">
        <f>'Jhonny-Devol'!U27</f>
        <v>0</v>
      </c>
      <c r="E8" s="49">
        <f>'Jhonny-Devol'!AD27</f>
        <v>0</v>
      </c>
      <c r="F8" s="50">
        <f>'Jhonny-Devol'!AL27</f>
        <v>0</v>
      </c>
      <c r="H8" s="46" t="s">
        <v>31</v>
      </c>
      <c r="I8" s="47">
        <f>'Roniere-Desmob'!H25</f>
        <v>0</v>
      </c>
      <c r="J8" s="48">
        <f t="shared" si="1"/>
        <v>3000</v>
      </c>
      <c r="K8" s="49">
        <f>'Roniere-Desmob'!U26</f>
        <v>0</v>
      </c>
      <c r="L8" s="49">
        <f>'Roniere-Desmob'!AC26</f>
        <v>0</v>
      </c>
      <c r="M8" s="50">
        <f>'Roniere-Desmob'!AK26</f>
        <v>0</v>
      </c>
    </row>
    <row r="9" spans="1:14" x14ac:dyDescent="0.25">
      <c r="A9" s="46" t="s">
        <v>32</v>
      </c>
      <c r="B9" s="72">
        <f>'Jhonny-Devol'!H30</f>
        <v>0</v>
      </c>
      <c r="C9" s="48">
        <f t="shared" si="0"/>
        <v>3000</v>
      </c>
      <c r="D9" s="49">
        <f>'Jhonny-Devol'!U31</f>
        <v>0</v>
      </c>
      <c r="E9" s="49">
        <f>'Jhonny-Devol'!AD31</f>
        <v>0</v>
      </c>
      <c r="F9" s="50">
        <f>'Jhonny-Devol'!AL31</f>
        <v>0</v>
      </c>
      <c r="H9" s="46" t="s">
        <v>32</v>
      </c>
      <c r="I9" s="47">
        <f>'Roniere-Desmob'!H29</f>
        <v>0</v>
      </c>
      <c r="J9" s="48">
        <f t="shared" si="1"/>
        <v>3000</v>
      </c>
      <c r="K9" s="49">
        <f>'Roniere-Desmob'!U30</f>
        <v>0</v>
      </c>
      <c r="L9" s="49">
        <f>'Roniere-Desmob'!AC30</f>
        <v>0</v>
      </c>
      <c r="M9" s="50">
        <f>'Roniere-Desmob'!AK30</f>
        <v>0</v>
      </c>
    </row>
    <row r="10" spans="1:14" x14ac:dyDescent="0.25">
      <c r="A10" s="46" t="s">
        <v>33</v>
      </c>
      <c r="B10" s="72">
        <f>'Jhonny-Devol'!H34</f>
        <v>0</v>
      </c>
      <c r="C10" s="48">
        <f t="shared" si="0"/>
        <v>3000</v>
      </c>
      <c r="D10" s="49">
        <f>'Jhonny-Devol'!U35</f>
        <v>0</v>
      </c>
      <c r="E10" s="49">
        <f>'Jhonny-Devol'!AD35</f>
        <v>0</v>
      </c>
      <c r="F10" s="50">
        <f>'Jhonny-Devol'!AL35</f>
        <v>0</v>
      </c>
      <c r="H10" s="46" t="s">
        <v>33</v>
      </c>
      <c r="I10" s="47">
        <f>'Roniere-Desmob'!H33</f>
        <v>0</v>
      </c>
      <c r="J10" s="48">
        <f t="shared" si="1"/>
        <v>3000</v>
      </c>
      <c r="K10" s="49">
        <f>'Roniere-Desmob'!U34</f>
        <v>0</v>
      </c>
      <c r="L10" s="49">
        <f>'Roniere-Desmob'!AC34</f>
        <v>0</v>
      </c>
      <c r="M10" s="50">
        <f>'Roniere-Desmob'!AK34</f>
        <v>0</v>
      </c>
    </row>
    <row r="11" spans="1:14" x14ac:dyDescent="0.25">
      <c r="A11" s="46" t="s">
        <v>34</v>
      </c>
      <c r="B11" s="72">
        <f>'Jhonny-Devol'!H38</f>
        <v>0</v>
      </c>
      <c r="C11" s="48">
        <f t="shared" si="0"/>
        <v>3000</v>
      </c>
      <c r="D11" s="49">
        <f>'Jhonny-Devol'!U39</f>
        <v>403.52</v>
      </c>
      <c r="E11" s="49">
        <f>'Jhonny-Devol'!AD39</f>
        <v>0</v>
      </c>
      <c r="F11" s="50">
        <f>'Jhonny-Devol'!AL39</f>
        <v>0</v>
      </c>
      <c r="H11" s="46" t="s">
        <v>34</v>
      </c>
      <c r="I11" s="47">
        <f>'Roniere-Desmob'!H37</f>
        <v>0</v>
      </c>
      <c r="J11" s="48">
        <f t="shared" si="1"/>
        <v>3000</v>
      </c>
      <c r="K11" s="49">
        <f>'Roniere-Desmob'!U38</f>
        <v>0</v>
      </c>
      <c r="L11" s="49">
        <f>'Roniere-Desmob'!AC38</f>
        <v>0</v>
      </c>
      <c r="M11" s="50">
        <f>'Roniere-Desmob'!AK38</f>
        <v>0</v>
      </c>
    </row>
    <row r="12" spans="1:14" x14ac:dyDescent="0.25">
      <c r="A12" s="46" t="s">
        <v>35</v>
      </c>
      <c r="B12" s="72">
        <f>'Jhonny-Devol'!H42</f>
        <v>2500</v>
      </c>
      <c r="C12" s="48">
        <f t="shared" si="0"/>
        <v>500</v>
      </c>
      <c r="D12" s="49">
        <f>'Jhonny-Devol'!U43</f>
        <v>1726.47</v>
      </c>
      <c r="E12" s="49">
        <f>'Jhonny-Devol'!AD43</f>
        <v>0</v>
      </c>
      <c r="F12" s="50">
        <f>'Jhonny-Devol'!AL43</f>
        <v>0</v>
      </c>
      <c r="H12" s="46" t="s">
        <v>35</v>
      </c>
      <c r="I12" s="47">
        <f>'Roniere-Desmob'!H41</f>
        <v>1886</v>
      </c>
      <c r="J12" s="48">
        <f t="shared" si="1"/>
        <v>1114</v>
      </c>
      <c r="K12" s="49">
        <f>'Roniere-Desmob'!U42</f>
        <v>1448.15</v>
      </c>
      <c r="L12" s="49">
        <f>'Roniere-Desmob'!AC42</f>
        <v>0</v>
      </c>
      <c r="M12" s="50">
        <f>'Roniere-Desmob'!AK42</f>
        <v>0</v>
      </c>
    </row>
    <row r="13" spans="1:14" x14ac:dyDescent="0.25">
      <c r="A13" s="46" t="s">
        <v>36</v>
      </c>
      <c r="B13" s="72">
        <f>'Jhonny-Devol'!H46</f>
        <v>3552</v>
      </c>
      <c r="C13" s="48">
        <f t="shared" si="0"/>
        <v>-552</v>
      </c>
      <c r="D13" s="49">
        <f>'Jhonny-Devol'!U47</f>
        <v>1936.96</v>
      </c>
      <c r="E13" s="49">
        <f>'Jhonny-Devol'!AD47</f>
        <v>0</v>
      </c>
      <c r="F13" s="50">
        <f>'Jhonny-Devol'!AL47</f>
        <v>0</v>
      </c>
      <c r="H13" s="46" t="s">
        <v>36</v>
      </c>
      <c r="I13" s="47">
        <f>'Roniere-Desmob'!H45</f>
        <v>2490</v>
      </c>
      <c r="J13" s="48">
        <f t="shared" si="1"/>
        <v>510</v>
      </c>
      <c r="K13" s="49">
        <f>'Roniere-Desmob'!U46</f>
        <v>1893.63</v>
      </c>
      <c r="L13" s="49">
        <f>'Roniere-Desmob'!AC46</f>
        <v>0</v>
      </c>
      <c r="M13" s="50">
        <f>'Roniere-Desmob'!AK46</f>
        <v>0</v>
      </c>
    </row>
    <row r="14" spans="1:14" x14ac:dyDescent="0.25">
      <c r="A14" s="46" t="s">
        <v>37</v>
      </c>
      <c r="B14" s="72">
        <f>'Jhonny-Devol'!H50</f>
        <v>4707</v>
      </c>
      <c r="C14" s="48">
        <f t="shared" si="0"/>
        <v>-1707</v>
      </c>
      <c r="D14" s="49">
        <f>'Jhonny-Devol'!U51</f>
        <v>2478.9</v>
      </c>
      <c r="E14" s="49">
        <f>'Jhonny-Devol'!AD51</f>
        <v>0</v>
      </c>
      <c r="F14" s="50">
        <f>'Jhonny-Devol'!AL51</f>
        <v>0</v>
      </c>
      <c r="H14" s="46" t="s">
        <v>37</v>
      </c>
      <c r="I14" s="47">
        <f>'Roniere-Desmob'!H49</f>
        <v>46899</v>
      </c>
      <c r="J14" s="48">
        <f t="shared" si="1"/>
        <v>-43899</v>
      </c>
      <c r="K14" s="49">
        <f>'Roniere-Desmob'!U50</f>
        <v>2339.8900000000003</v>
      </c>
      <c r="L14" s="49">
        <f>'Roniere-Desmob'!AC50</f>
        <v>0</v>
      </c>
      <c r="M14" s="50">
        <f>'Roniere-Desmob'!AK50</f>
        <v>0</v>
      </c>
    </row>
    <row r="15" spans="1:14" x14ac:dyDescent="0.25">
      <c r="A15" s="46" t="s">
        <v>38</v>
      </c>
      <c r="B15" s="72">
        <f>'Jhonny-Devol'!H54</f>
        <v>0</v>
      </c>
      <c r="C15" s="48">
        <f t="shared" si="0"/>
        <v>3000</v>
      </c>
      <c r="D15" s="49">
        <f>'Jhonny-Devol'!U55</f>
        <v>1496.89</v>
      </c>
      <c r="E15" s="49">
        <f>'Jhonny-Devol'!AD55</f>
        <v>0</v>
      </c>
      <c r="F15" s="50">
        <f>'Jhonny-Devol'!AL55</f>
        <v>0</v>
      </c>
      <c r="H15" s="46" t="s">
        <v>38</v>
      </c>
      <c r="I15" s="47">
        <f>'Roniere-Desmob'!H53</f>
        <v>1052</v>
      </c>
      <c r="J15" s="48">
        <f t="shared" si="1"/>
        <v>1948</v>
      </c>
      <c r="K15" s="49">
        <f>'Roniere-Desmob'!U54</f>
        <v>765.14</v>
      </c>
      <c r="L15" s="49">
        <f>'Roniere-Desmob'!AC54</f>
        <v>0</v>
      </c>
      <c r="M15" s="50">
        <f>'Roniere-Desmob'!AK54</f>
        <v>0</v>
      </c>
    </row>
    <row r="16" spans="1:14" ht="15.75" thickBot="1" x14ac:dyDescent="0.3">
      <c r="A16" s="51" t="s">
        <v>39</v>
      </c>
      <c r="B16" s="73">
        <f>'Jhonny-Devol'!H58</f>
        <v>3743</v>
      </c>
      <c r="C16" s="58">
        <f t="shared" si="0"/>
        <v>-743</v>
      </c>
      <c r="D16" s="20">
        <f>'Jhonny-Devol'!U59</f>
        <v>1451.13</v>
      </c>
      <c r="E16" s="20">
        <f>'Jhonny-Devol'!AD59</f>
        <v>45</v>
      </c>
      <c r="F16" s="21">
        <f>'Jhonny-Devol'!AL59</f>
        <v>0</v>
      </c>
      <c r="H16" s="51" t="s">
        <v>39</v>
      </c>
      <c r="I16" s="52">
        <f>'Roniere-Desmob'!H57</f>
        <v>1998</v>
      </c>
      <c r="J16" s="48">
        <f t="shared" si="1"/>
        <v>1002</v>
      </c>
      <c r="K16" s="20">
        <f>'Roniere-Desmob'!U58</f>
        <v>1431.11</v>
      </c>
      <c r="L16" s="20">
        <f>'Roniere-Desmob'!AC58</f>
        <v>0</v>
      </c>
      <c r="M16" s="21">
        <f>'Roniere-Desmob'!AK58</f>
        <v>0</v>
      </c>
    </row>
    <row r="17" spans="1:13" ht="15.75" thickBot="1" x14ac:dyDescent="0.3"/>
    <row r="18" spans="1:13" ht="15.75" thickBot="1" x14ac:dyDescent="0.3">
      <c r="A18" s="30" t="s">
        <v>22</v>
      </c>
      <c r="B18" s="71">
        <f>SUM(B5:B16)</f>
        <v>14502</v>
      </c>
      <c r="C18" s="54"/>
      <c r="D18" s="55">
        <f>SUM(D5:D16)</f>
        <v>9493.8700000000008</v>
      </c>
      <c r="E18" s="56">
        <f>SUM(E5:E16)</f>
        <v>45</v>
      </c>
      <c r="F18" s="57">
        <f>SUM(F5:F16)</f>
        <v>0</v>
      </c>
      <c r="H18" s="30" t="s">
        <v>22</v>
      </c>
      <c r="I18" s="71">
        <f>SUM(I5:I16)</f>
        <v>54325</v>
      </c>
      <c r="J18" s="54"/>
      <c r="K18" s="55">
        <f>SUM(K5:K16)</f>
        <v>7877.92</v>
      </c>
      <c r="L18" s="56">
        <f>SUM(L5:L16)</f>
        <v>0</v>
      </c>
      <c r="M18" s="57">
        <f>SUM(M5:M16)</f>
        <v>0</v>
      </c>
    </row>
    <row r="19" spans="1:13" ht="15.75" thickBot="1" x14ac:dyDescent="0.3">
      <c r="A19" s="30" t="s">
        <v>40</v>
      </c>
      <c r="B19" s="13">
        <f>SUM(36000-B18)</f>
        <v>21498</v>
      </c>
      <c r="H19" s="30" t="s">
        <v>40</v>
      </c>
      <c r="I19" s="13">
        <f>SUM(36000-I18)</f>
        <v>-18325</v>
      </c>
    </row>
    <row r="22" spans="1:13" ht="15.75" thickBot="1" x14ac:dyDescent="0.3">
      <c r="B22" s="186" t="s">
        <v>57</v>
      </c>
      <c r="C22" s="186"/>
      <c r="D22" s="186"/>
      <c r="E22" s="186"/>
      <c r="F22" s="186"/>
      <c r="I22" s="186" t="s">
        <v>58</v>
      </c>
      <c r="J22" s="186"/>
      <c r="K22" s="186"/>
      <c r="L22" s="186"/>
      <c r="M22" s="186"/>
    </row>
    <row r="23" spans="1:13" s="2" customFormat="1" ht="15.75" thickBot="1" x14ac:dyDescent="0.3">
      <c r="B23" s="78" t="s">
        <v>43</v>
      </c>
      <c r="C23" s="79" t="s">
        <v>27</v>
      </c>
      <c r="D23" s="76" t="s">
        <v>24</v>
      </c>
      <c r="E23" s="75" t="s">
        <v>49</v>
      </c>
      <c r="F23" s="77" t="s">
        <v>25</v>
      </c>
      <c r="I23" s="78" t="s">
        <v>43</v>
      </c>
      <c r="J23" s="79" t="s">
        <v>27</v>
      </c>
      <c r="K23" s="76" t="s">
        <v>24</v>
      </c>
      <c r="L23" s="75" t="s">
        <v>49</v>
      </c>
      <c r="M23" s="77" t="s">
        <v>25</v>
      </c>
    </row>
    <row r="24" spans="1:13" x14ac:dyDescent="0.25">
      <c r="A24" s="38" t="s">
        <v>28</v>
      </c>
      <c r="B24" s="39">
        <f>'Rute - Devolvido'!H13</f>
        <v>0</v>
      </c>
      <c r="C24" s="48">
        <f>SUM(5000-B24)</f>
        <v>5000</v>
      </c>
      <c r="D24" s="40">
        <f>'Rute - Devolvido'!U14</f>
        <v>0</v>
      </c>
      <c r="E24" s="40">
        <f>'Rute - Devolvido'!AC14</f>
        <v>0</v>
      </c>
      <c r="F24" s="41">
        <f>'Rute - Devolvido'!AK14</f>
        <v>0</v>
      </c>
      <c r="H24" s="38" t="s">
        <v>28</v>
      </c>
      <c r="I24" s="39">
        <f>'Francisco de Morais-Desmob'!H14</f>
        <v>0</v>
      </c>
      <c r="J24" s="48">
        <f>SUM(5000-I24)</f>
        <v>5000</v>
      </c>
      <c r="K24" s="40">
        <f>'Francisco de Morais-Desmob'!U15</f>
        <v>0</v>
      </c>
      <c r="L24" s="40">
        <f>'Francisco de Morais-Desmob'!AC15</f>
        <v>0</v>
      </c>
      <c r="M24" s="41">
        <f>'Francisco de Morais-Desmob'!AK15</f>
        <v>0</v>
      </c>
    </row>
    <row r="25" spans="1:13" x14ac:dyDescent="0.25">
      <c r="A25" s="46" t="s">
        <v>29</v>
      </c>
      <c r="B25" s="47">
        <f>'Rute - Devolvido'!H17</f>
        <v>0</v>
      </c>
      <c r="C25" s="48">
        <f>SUM(5000-B25)</f>
        <v>5000</v>
      </c>
      <c r="D25" s="49">
        <f>'Rute - Devolvido'!U18</f>
        <v>0</v>
      </c>
      <c r="E25" s="49">
        <f>'Rute - Devolvido'!AC18</f>
        <v>0</v>
      </c>
      <c r="F25" s="50">
        <f>'Rute - Devolvido'!AK18</f>
        <v>0</v>
      </c>
      <c r="H25" s="46" t="s">
        <v>29</v>
      </c>
      <c r="I25" s="47">
        <f>'Francisco de Morais-Desmob'!H18</f>
        <v>0</v>
      </c>
      <c r="J25" s="48">
        <f>SUM(5000-I25)</f>
        <v>5000</v>
      </c>
      <c r="K25" s="49">
        <f>'Francisco de Morais-Desmob'!U19</f>
        <v>0</v>
      </c>
      <c r="L25" s="49">
        <f>'Francisco de Morais-Desmob'!AC19</f>
        <v>0</v>
      </c>
      <c r="M25" s="50">
        <f>'Francisco de Morais-Desmob'!AK19</f>
        <v>0</v>
      </c>
    </row>
    <row r="26" spans="1:13" x14ac:dyDescent="0.25">
      <c r="A26" s="46" t="s">
        <v>30</v>
      </c>
      <c r="B26" s="47">
        <f>'Rute - Devolvido'!H21</f>
        <v>0</v>
      </c>
      <c r="C26" s="48">
        <f t="shared" ref="C26:C35" si="2">SUM(5000-B26)</f>
        <v>5000</v>
      </c>
      <c r="D26" s="49">
        <f>'Rute - Devolvido'!U22</f>
        <v>0</v>
      </c>
      <c r="E26" s="49">
        <f>'Rute - Devolvido'!AC22</f>
        <v>0</v>
      </c>
      <c r="F26" s="50">
        <f>'Rute - Devolvido'!AK22</f>
        <v>0</v>
      </c>
      <c r="H26" s="46" t="s">
        <v>30</v>
      </c>
      <c r="I26" s="47">
        <f>'Francisco de Morais-Desmob'!H22</f>
        <v>0</v>
      </c>
      <c r="J26" s="48">
        <f t="shared" ref="J26:J35" si="3">SUM(5000-I26)</f>
        <v>5000</v>
      </c>
      <c r="K26" s="49">
        <f>'Francisco de Morais-Desmob'!U23</f>
        <v>0</v>
      </c>
      <c r="L26" s="49">
        <f>'Francisco de Morais-Desmob'!AC23</f>
        <v>0</v>
      </c>
      <c r="M26" s="50">
        <f>'Francisco de Morais-Desmob'!AK23</f>
        <v>0</v>
      </c>
    </row>
    <row r="27" spans="1:13" x14ac:dyDescent="0.25">
      <c r="A27" s="46" t="s">
        <v>31</v>
      </c>
      <c r="B27" s="47">
        <f>'Rute - Devolvido'!H25</f>
        <v>0</v>
      </c>
      <c r="C27" s="48">
        <f t="shared" si="2"/>
        <v>5000</v>
      </c>
      <c r="D27" s="49">
        <f>'Rute - Devolvido'!U26</f>
        <v>0</v>
      </c>
      <c r="E27" s="49">
        <f>'Rute - Devolvido'!AC26</f>
        <v>0</v>
      </c>
      <c r="F27" s="50">
        <f>'Rute - Devolvido'!AK26</f>
        <v>0</v>
      </c>
      <c r="H27" s="46" t="s">
        <v>31</v>
      </c>
      <c r="I27" s="47">
        <f>'Francisco de Morais-Desmob'!H26</f>
        <v>0</v>
      </c>
      <c r="J27" s="48">
        <f t="shared" si="3"/>
        <v>5000</v>
      </c>
      <c r="K27" s="49">
        <f>'Francisco de Morais-Desmob'!U27</f>
        <v>0</v>
      </c>
      <c r="L27" s="49">
        <f>'Francisco de Morais-Desmob'!AC27</f>
        <v>0</v>
      </c>
      <c r="M27" s="50">
        <f>'Francisco de Morais-Desmob'!AK27</f>
        <v>0</v>
      </c>
    </row>
    <row r="28" spans="1:13" x14ac:dyDescent="0.25">
      <c r="A28" s="46" t="s">
        <v>32</v>
      </c>
      <c r="B28" s="47">
        <f>'Rute - Devolvido'!H29</f>
        <v>0</v>
      </c>
      <c r="C28" s="48">
        <f t="shared" si="2"/>
        <v>5000</v>
      </c>
      <c r="D28" s="49">
        <f>'Rute - Devolvido'!U30</f>
        <v>0</v>
      </c>
      <c r="E28" s="49">
        <f>'Rute - Devolvido'!AC30</f>
        <v>0</v>
      </c>
      <c r="F28" s="50">
        <f>'Rute - Devolvido'!AK30</f>
        <v>0</v>
      </c>
      <c r="H28" s="46" t="s">
        <v>32</v>
      </c>
      <c r="I28" s="47">
        <f>'Francisco de Morais-Desmob'!H30</f>
        <v>0</v>
      </c>
      <c r="J28" s="48">
        <f t="shared" si="3"/>
        <v>5000</v>
      </c>
      <c r="K28" s="49">
        <f>'Francisco de Morais-Desmob'!U31</f>
        <v>0</v>
      </c>
      <c r="L28" s="49">
        <f>'Francisco de Morais-Desmob'!AC31</f>
        <v>0</v>
      </c>
      <c r="M28" s="50">
        <f>'Francisco de Morais-Desmob'!AK31</f>
        <v>0</v>
      </c>
    </row>
    <row r="29" spans="1:13" x14ac:dyDescent="0.25">
      <c r="A29" s="46" t="s">
        <v>33</v>
      </c>
      <c r="B29" s="47">
        <f>'Rute - Devolvido'!H33</f>
        <v>0</v>
      </c>
      <c r="C29" s="48">
        <f t="shared" si="2"/>
        <v>5000</v>
      </c>
      <c r="D29" s="49">
        <f>'Rute - Devolvido'!U34</f>
        <v>0</v>
      </c>
      <c r="E29" s="49">
        <f>'Rute - Devolvido'!AC34</f>
        <v>0</v>
      </c>
      <c r="F29" s="50">
        <f>'Rute - Devolvido'!AK34</f>
        <v>0</v>
      </c>
      <c r="H29" s="46" t="s">
        <v>33</v>
      </c>
      <c r="I29" s="47">
        <f>'Francisco de Morais-Desmob'!H34</f>
        <v>0</v>
      </c>
      <c r="J29" s="48">
        <f t="shared" si="3"/>
        <v>5000</v>
      </c>
      <c r="K29" s="49">
        <f>'Francisco de Morais-Desmob'!U35</f>
        <v>0</v>
      </c>
      <c r="L29" s="49">
        <f>'Francisco de Morais-Desmob'!AC35</f>
        <v>0</v>
      </c>
      <c r="M29" s="50">
        <f>'Francisco de Morais-Desmob'!AK35</f>
        <v>0</v>
      </c>
    </row>
    <row r="30" spans="1:13" x14ac:dyDescent="0.25">
      <c r="A30" s="46" t="s">
        <v>34</v>
      </c>
      <c r="B30" s="47">
        <f>'Rute - Devolvido'!H37</f>
        <v>0</v>
      </c>
      <c r="C30" s="48">
        <f t="shared" si="2"/>
        <v>5000</v>
      </c>
      <c r="D30" s="49">
        <f>'Rute - Devolvido'!U38</f>
        <v>0</v>
      </c>
      <c r="E30" s="49">
        <f>'Rute - Devolvido'!AC38</f>
        <v>0</v>
      </c>
      <c r="F30" s="50">
        <f>'Rute - Devolvido'!AK38</f>
        <v>0</v>
      </c>
      <c r="H30" s="46" t="s">
        <v>34</v>
      </c>
      <c r="I30" s="47">
        <f>'Francisco de Morais-Desmob'!H38</f>
        <v>0</v>
      </c>
      <c r="J30" s="48">
        <f t="shared" si="3"/>
        <v>5000</v>
      </c>
      <c r="K30" s="49">
        <f>'Francisco de Morais-Desmob'!U39</f>
        <v>0</v>
      </c>
      <c r="L30" s="49">
        <f>'Francisco de Morais-Desmob'!AC39</f>
        <v>0</v>
      </c>
      <c r="M30" s="50">
        <f>'Francisco de Morais-Desmob'!AK39</f>
        <v>0</v>
      </c>
    </row>
    <row r="31" spans="1:13" x14ac:dyDescent="0.25">
      <c r="A31" s="46" t="s">
        <v>35</v>
      </c>
      <c r="B31" s="47">
        <f>'Rute - Devolvido'!H41</f>
        <v>1655</v>
      </c>
      <c r="C31" s="48">
        <f t="shared" si="2"/>
        <v>3345</v>
      </c>
      <c r="D31" s="49">
        <f>'Rute - Devolvido'!U42</f>
        <v>1239.0999999999999</v>
      </c>
      <c r="E31" s="49">
        <f>'Rute - Devolvido'!AC42</f>
        <v>0</v>
      </c>
      <c r="F31" s="50">
        <f>'Rute - Devolvido'!AK42</f>
        <v>0</v>
      </c>
      <c r="H31" s="46" t="s">
        <v>35</v>
      </c>
      <c r="I31" s="47">
        <f>'Francisco de Morais-Desmob'!H42</f>
        <v>0</v>
      </c>
      <c r="J31" s="48">
        <f t="shared" si="3"/>
        <v>5000</v>
      </c>
      <c r="K31" s="49">
        <f>'Francisco de Morais-Desmob'!U43</f>
        <v>0</v>
      </c>
      <c r="L31" s="49">
        <f>'Francisco de Morais-Desmob'!AC43</f>
        <v>0</v>
      </c>
      <c r="M31" s="50">
        <f>'Francisco de Morais-Desmob'!AK43</f>
        <v>0</v>
      </c>
    </row>
    <row r="32" spans="1:13" x14ac:dyDescent="0.25">
      <c r="A32" s="46" t="s">
        <v>36</v>
      </c>
      <c r="B32" s="47">
        <f>'Rute - Devolvido'!H45</f>
        <v>3635</v>
      </c>
      <c r="C32" s="48">
        <f t="shared" si="2"/>
        <v>1365</v>
      </c>
      <c r="D32" s="49">
        <f>'Rute - Devolvido'!U46</f>
        <v>2024.5600000000002</v>
      </c>
      <c r="E32" s="49">
        <f>'Rute - Devolvido'!AC46</f>
        <v>0</v>
      </c>
      <c r="F32" s="50">
        <f>'Rute - Devolvido'!AK46</f>
        <v>0</v>
      </c>
      <c r="H32" s="46" t="s">
        <v>36</v>
      </c>
      <c r="I32" s="47">
        <f>'Francisco de Morais-Desmob'!H46</f>
        <v>2920</v>
      </c>
      <c r="J32" s="48">
        <f t="shared" si="3"/>
        <v>2080</v>
      </c>
      <c r="K32" s="49">
        <f>'Francisco de Morais-Desmob'!U47</f>
        <v>1772.46</v>
      </c>
      <c r="L32" s="49">
        <f>'Francisco de Morais-Desmob'!AC47</f>
        <v>0</v>
      </c>
      <c r="M32" s="50">
        <f>'Francisco de Morais-Desmob'!AK47</f>
        <v>0</v>
      </c>
    </row>
    <row r="33" spans="1:13" x14ac:dyDescent="0.25">
      <c r="A33" s="46" t="s">
        <v>37</v>
      </c>
      <c r="B33" s="47">
        <f>'Rute - Devolvido'!H49</f>
        <v>-47094</v>
      </c>
      <c r="C33" s="48">
        <f t="shared" si="2"/>
        <v>52094</v>
      </c>
      <c r="D33" s="49">
        <f>'Rute - Devolvido'!U50</f>
        <v>3211.82</v>
      </c>
      <c r="E33" s="49">
        <f>'Rute - Devolvido'!AC50</f>
        <v>0</v>
      </c>
      <c r="F33" s="50">
        <f>'Rute - Devolvido'!AK50</f>
        <v>0</v>
      </c>
      <c r="H33" s="46" t="s">
        <v>37</v>
      </c>
      <c r="I33" s="47">
        <f>'Francisco de Morais-Desmob'!H50</f>
        <v>5903</v>
      </c>
      <c r="J33" s="48">
        <f t="shared" si="3"/>
        <v>-903</v>
      </c>
      <c r="K33" s="49">
        <f>'Francisco de Morais-Desmob'!U51</f>
        <v>2663.2</v>
      </c>
      <c r="L33" s="49">
        <f>'Francisco de Morais-Desmob'!AC51</f>
        <v>0</v>
      </c>
      <c r="M33" s="50">
        <f>'Francisco de Morais-Desmob'!AK51</f>
        <v>0</v>
      </c>
    </row>
    <row r="34" spans="1:13" x14ac:dyDescent="0.25">
      <c r="A34" s="46" t="s">
        <v>38</v>
      </c>
      <c r="B34" s="47">
        <f>'Rute - Devolvido'!H53</f>
        <v>0</v>
      </c>
      <c r="C34" s="48">
        <f t="shared" si="2"/>
        <v>5000</v>
      </c>
      <c r="D34" s="49">
        <f>'Rute - Devolvido'!U54</f>
        <v>1537.92</v>
      </c>
      <c r="E34" s="49">
        <f>'Rute - Devolvido'!AC54</f>
        <v>0</v>
      </c>
      <c r="F34" s="50">
        <f>'Rute - Devolvido'!AK54</f>
        <v>0</v>
      </c>
      <c r="H34" s="46" t="s">
        <v>38</v>
      </c>
      <c r="I34" s="47">
        <f>'Francisco de Morais-Desmob'!H54</f>
        <v>2037</v>
      </c>
      <c r="J34" s="48">
        <f t="shared" si="3"/>
        <v>2963</v>
      </c>
      <c r="K34" s="49">
        <f>'Francisco de Morais-Desmob'!U55</f>
        <v>1435.54</v>
      </c>
      <c r="L34" s="49">
        <f>'Francisco de Morais-Desmob'!AC55</f>
        <v>0</v>
      </c>
      <c r="M34" s="50">
        <f>'Francisco de Morais-Desmob'!AK55</f>
        <v>0</v>
      </c>
    </row>
    <row r="35" spans="1:13" ht="15.75" thickBot="1" x14ac:dyDescent="0.3">
      <c r="A35" s="51" t="s">
        <v>39</v>
      </c>
      <c r="B35" s="52">
        <f>'Rute - Devolvido'!H57</f>
        <v>2601</v>
      </c>
      <c r="C35" s="58">
        <f t="shared" si="2"/>
        <v>2399</v>
      </c>
      <c r="D35" s="20">
        <f>'Rute - Devolvido'!U58</f>
        <v>2161.4499999999998</v>
      </c>
      <c r="E35" s="20">
        <f>'Rute - Devolvido'!AC58</f>
        <v>45</v>
      </c>
      <c r="F35" s="21">
        <f>'Rute - Devolvido'!AK58</f>
        <v>0</v>
      </c>
      <c r="H35" s="51" t="s">
        <v>39</v>
      </c>
      <c r="I35" s="52">
        <f>'Francisco de Morais-Desmob'!H58</f>
        <v>3916</v>
      </c>
      <c r="J35" s="58">
        <f t="shared" si="3"/>
        <v>1084</v>
      </c>
      <c r="K35" s="20">
        <f>'Francisco de Morais-Desmob'!U59</f>
        <v>1745.31</v>
      </c>
      <c r="L35" s="20">
        <f>'Francisco de Morais-Desmob'!AC59</f>
        <v>0</v>
      </c>
      <c r="M35" s="21">
        <f>'Francisco de Morais-Desmob'!AK59</f>
        <v>0</v>
      </c>
    </row>
    <row r="36" spans="1:13" ht="15.75" thickBot="1" x14ac:dyDescent="0.3"/>
    <row r="37" spans="1:13" ht="15.75" thickBot="1" x14ac:dyDescent="0.3">
      <c r="A37" s="30" t="s">
        <v>22</v>
      </c>
      <c r="B37" s="53">
        <f>SUM(B24:B35)</f>
        <v>-39203</v>
      </c>
      <c r="C37" s="54"/>
      <c r="D37" s="55">
        <f>SUM(D24:D35)</f>
        <v>10174.849999999999</v>
      </c>
      <c r="E37" s="56">
        <f>SUM(E24:E35)</f>
        <v>45</v>
      </c>
      <c r="F37" s="57">
        <f>SUM(F24:F35)</f>
        <v>0</v>
      </c>
      <c r="H37" s="30" t="s">
        <v>22</v>
      </c>
      <c r="I37" s="53">
        <f>SUM(I24:I35)</f>
        <v>14776</v>
      </c>
      <c r="J37" s="54"/>
      <c r="K37" s="55">
        <f>SUM(K24:K35)</f>
        <v>7616.51</v>
      </c>
      <c r="L37" s="56">
        <f>SUM(L24:L35)</f>
        <v>0</v>
      </c>
      <c r="M37" s="57">
        <f>SUM(M24:M35)</f>
        <v>0</v>
      </c>
    </row>
    <row r="38" spans="1:13" ht="15.75" thickBot="1" x14ac:dyDescent="0.3">
      <c r="A38" s="30" t="s">
        <v>40</v>
      </c>
      <c r="B38" s="13">
        <f>SUM(60000-B37)</f>
        <v>99203</v>
      </c>
      <c r="H38" s="30" t="s">
        <v>40</v>
      </c>
      <c r="I38" s="13">
        <f>SUM(60000-I37)</f>
        <v>45224</v>
      </c>
    </row>
    <row r="41" spans="1:13" ht="15.75" thickBot="1" x14ac:dyDescent="0.3">
      <c r="B41" s="186" t="s">
        <v>59</v>
      </c>
      <c r="C41" s="186"/>
      <c r="D41" s="186"/>
      <c r="E41" s="186"/>
      <c r="F41" s="186"/>
      <c r="I41" s="186" t="s">
        <v>60</v>
      </c>
      <c r="J41" s="186"/>
      <c r="K41" s="186"/>
      <c r="L41" s="186"/>
      <c r="M41" s="186"/>
    </row>
    <row r="42" spans="1:13" s="2" customFormat="1" ht="15.75" thickBot="1" x14ac:dyDescent="0.3">
      <c r="B42" s="78" t="s">
        <v>43</v>
      </c>
      <c r="C42" s="79" t="s">
        <v>27</v>
      </c>
      <c r="D42" s="76" t="s">
        <v>24</v>
      </c>
      <c r="E42" s="75" t="s">
        <v>49</v>
      </c>
      <c r="F42" s="77" t="s">
        <v>25</v>
      </c>
      <c r="I42" s="78" t="s">
        <v>43</v>
      </c>
      <c r="J42" s="79" t="s">
        <v>27</v>
      </c>
      <c r="K42" s="76" t="s">
        <v>24</v>
      </c>
      <c r="L42" s="75" t="s">
        <v>49</v>
      </c>
      <c r="M42" s="77" t="s">
        <v>25</v>
      </c>
    </row>
    <row r="43" spans="1:13" x14ac:dyDescent="0.25">
      <c r="A43" s="38" t="s">
        <v>28</v>
      </c>
      <c r="B43" s="39">
        <f>'Washington-Devolvido'!H14</f>
        <v>2055</v>
      </c>
      <c r="C43" s="48">
        <f>SUM(5000-B43)</f>
        <v>2945</v>
      </c>
      <c r="D43" s="40">
        <f>'Washington-Devolvido'!U15</f>
        <v>1045.4199999999998</v>
      </c>
      <c r="E43" s="40">
        <f>'Washington-Devolvido'!AC15</f>
        <v>45</v>
      </c>
      <c r="F43" s="41">
        <f>'Washington-Devolvido'!AK15</f>
        <v>0</v>
      </c>
      <c r="H43" s="38" t="s">
        <v>28</v>
      </c>
      <c r="I43" s="39">
        <f>'Francisco de Morais'!H13</f>
        <v>0</v>
      </c>
      <c r="J43" s="48">
        <f>SUM(5000-I43)</f>
        <v>5000</v>
      </c>
      <c r="K43" s="40">
        <f>'Francisco de Morais'!U14</f>
        <v>0</v>
      </c>
      <c r="L43" s="40">
        <f>'Francisco de Morais'!AC14</f>
        <v>0</v>
      </c>
      <c r="M43" s="41">
        <f>'Francisco de Morais'!AK14</f>
        <v>0</v>
      </c>
    </row>
    <row r="44" spans="1:13" x14ac:dyDescent="0.25">
      <c r="A44" s="46" t="s">
        <v>29</v>
      </c>
      <c r="B44" s="47">
        <f>'Washington-Devolvido'!H18</f>
        <v>4253</v>
      </c>
      <c r="C44" s="48">
        <f>SUM(5000-B44)</f>
        <v>747</v>
      </c>
      <c r="D44" s="49">
        <f>'Washington-Devolvido'!U19</f>
        <v>1960.31</v>
      </c>
      <c r="E44" s="49">
        <f>'Washington-Devolvido'!AC19</f>
        <v>45</v>
      </c>
      <c r="F44" s="50">
        <f>'Washington-Devolvido'!AK19</f>
        <v>0</v>
      </c>
      <c r="H44" s="46" t="s">
        <v>29</v>
      </c>
      <c r="I44" s="47">
        <f>'Francisco de Morais'!H17</f>
        <v>0</v>
      </c>
      <c r="J44" s="48">
        <f>SUM(5000-I44)</f>
        <v>5000</v>
      </c>
      <c r="K44" s="49">
        <f>'Francisco de Morais'!U18</f>
        <v>0</v>
      </c>
      <c r="L44" s="49">
        <f>'Francisco de Morais'!AC18</f>
        <v>0</v>
      </c>
      <c r="M44" s="50">
        <f>'Francisco de Morais'!AK18</f>
        <v>0</v>
      </c>
    </row>
    <row r="45" spans="1:13" x14ac:dyDescent="0.25">
      <c r="A45" s="46" t="s">
        <v>30</v>
      </c>
      <c r="B45" s="47">
        <f>'Washington-Devolvido'!H22</f>
        <v>4514</v>
      </c>
      <c r="C45" s="48">
        <f t="shared" ref="C45:C54" si="4">SUM(5000-B45)</f>
        <v>486</v>
      </c>
      <c r="D45" s="49">
        <f>'Washington-Devolvido'!U23</f>
        <v>2218.6</v>
      </c>
      <c r="E45" s="49">
        <f>'Washington-Devolvido'!AC23</f>
        <v>45</v>
      </c>
      <c r="F45" s="50">
        <f>'Washington-Devolvido'!AK23</f>
        <v>0</v>
      </c>
      <c r="H45" s="46" t="s">
        <v>30</v>
      </c>
      <c r="I45" s="47">
        <f>'Francisco de Morais'!H21</f>
        <v>1419</v>
      </c>
      <c r="J45" s="48">
        <f t="shared" ref="J45:J54" si="5">SUM(5000-I45)</f>
        <v>3581</v>
      </c>
      <c r="K45" s="49">
        <f>'Francisco de Morais'!U22</f>
        <v>0</v>
      </c>
      <c r="L45" s="49">
        <f>'Francisco de Morais'!AC22</f>
        <v>0</v>
      </c>
      <c r="M45" s="50">
        <f>'Francisco de Morais'!AK22</f>
        <v>0</v>
      </c>
    </row>
    <row r="46" spans="1:13" x14ac:dyDescent="0.25">
      <c r="A46" s="46" t="s">
        <v>31</v>
      </c>
      <c r="B46" s="47">
        <f>'Washington-Devolvido'!H26</f>
        <v>4050</v>
      </c>
      <c r="C46" s="48">
        <f t="shared" si="4"/>
        <v>950</v>
      </c>
      <c r="D46" s="49">
        <f>'Washington-Devolvido'!U27</f>
        <v>2484.87</v>
      </c>
      <c r="E46" s="49">
        <f>'Washington-Devolvido'!AC27</f>
        <v>0</v>
      </c>
      <c r="F46" s="50">
        <f>'Washington-Devolvido'!AK27</f>
        <v>0</v>
      </c>
      <c r="H46" s="46" t="s">
        <v>31</v>
      </c>
      <c r="I46" s="47">
        <f>'Francisco de Morais'!H25</f>
        <v>1576</v>
      </c>
      <c r="J46" s="48">
        <f t="shared" si="5"/>
        <v>3424</v>
      </c>
      <c r="K46" s="49">
        <f>'Francisco de Morais'!U26</f>
        <v>0</v>
      </c>
      <c r="L46" s="49">
        <f>'Francisco de Morais'!AC26</f>
        <v>0</v>
      </c>
      <c r="M46" s="50">
        <f>'Francisco de Morais'!AK26</f>
        <v>0</v>
      </c>
    </row>
    <row r="47" spans="1:13" x14ac:dyDescent="0.25">
      <c r="A47" s="46" t="s">
        <v>32</v>
      </c>
      <c r="B47" s="47">
        <f>'Washington-Devolvido'!H30</f>
        <v>5120</v>
      </c>
      <c r="C47" s="48">
        <f t="shared" si="4"/>
        <v>-120</v>
      </c>
      <c r="D47" s="49">
        <f>'Washington-Devolvido'!U31</f>
        <v>2290.46</v>
      </c>
      <c r="E47" s="49">
        <f>'Washington-Devolvido'!AC31</f>
        <v>0</v>
      </c>
      <c r="F47" s="50">
        <f>'Washington-Devolvido'!AK31</f>
        <v>0</v>
      </c>
      <c r="H47" s="46" t="s">
        <v>32</v>
      </c>
      <c r="I47" s="47">
        <f>'Francisco de Morais'!H29</f>
        <v>3793</v>
      </c>
      <c r="J47" s="48">
        <f t="shared" si="5"/>
        <v>1207</v>
      </c>
      <c r="K47" s="49">
        <f>'Francisco de Morais'!U30</f>
        <v>0</v>
      </c>
      <c r="L47" s="49">
        <f>'Francisco de Morais'!AC30</f>
        <v>0</v>
      </c>
      <c r="M47" s="50">
        <f>'Francisco de Morais'!AK30</f>
        <v>0</v>
      </c>
    </row>
    <row r="48" spans="1:13" x14ac:dyDescent="0.25">
      <c r="A48" s="46" t="s">
        <v>33</v>
      </c>
      <c r="B48" s="47">
        <f>'Washington-Devolvido'!H34</f>
        <v>2740</v>
      </c>
      <c r="C48" s="48">
        <f t="shared" si="4"/>
        <v>2260</v>
      </c>
      <c r="D48" s="49">
        <f>'Washington-Devolvido'!U35</f>
        <v>1245.78</v>
      </c>
      <c r="E48" s="49">
        <f>'Washington-Devolvido'!AC35</f>
        <v>0</v>
      </c>
      <c r="F48" s="50">
        <f>'Washington-Devolvido'!AK35</f>
        <v>0</v>
      </c>
      <c r="H48" s="46" t="s">
        <v>33</v>
      </c>
      <c r="I48" s="47">
        <f>'Francisco de Morais'!H33</f>
        <v>0</v>
      </c>
      <c r="J48" s="48">
        <f t="shared" si="5"/>
        <v>5000</v>
      </c>
      <c r="K48" s="49">
        <f>'Francisco de Morais'!U34</f>
        <v>0</v>
      </c>
      <c r="L48" s="49">
        <f>'Francisco de Morais'!AC34</f>
        <v>0</v>
      </c>
      <c r="M48" s="50">
        <f>'Francisco de Morais'!AK34</f>
        <v>0</v>
      </c>
    </row>
    <row r="49" spans="1:13" x14ac:dyDescent="0.25">
      <c r="A49" s="46" t="s">
        <v>34</v>
      </c>
      <c r="B49" s="47">
        <f>'Washington-Devolvido'!H38</f>
        <v>3229</v>
      </c>
      <c r="C49" s="48">
        <f t="shared" si="4"/>
        <v>1771</v>
      </c>
      <c r="D49" s="49">
        <f>'Washington-Devolvido'!U39</f>
        <v>1013.1300000000001</v>
      </c>
      <c r="E49" s="49">
        <f>'Washington-Devolvido'!AC39</f>
        <v>0</v>
      </c>
      <c r="F49" s="50">
        <f>'Washington-Devolvido'!AK39</f>
        <v>0</v>
      </c>
      <c r="H49" s="46" t="s">
        <v>34</v>
      </c>
      <c r="I49" s="47">
        <f>'Francisco de Morais'!H37</f>
        <v>0</v>
      </c>
      <c r="J49" s="48">
        <f t="shared" si="5"/>
        <v>5000</v>
      </c>
      <c r="K49" s="49">
        <f>'Francisco de Morais'!U38</f>
        <v>0</v>
      </c>
      <c r="L49" s="49">
        <f>'Francisco de Morais'!AC38</f>
        <v>0</v>
      </c>
      <c r="M49" s="50">
        <f>'Francisco de Morais'!AK38</f>
        <v>0</v>
      </c>
    </row>
    <row r="50" spans="1:13" x14ac:dyDescent="0.25">
      <c r="A50" s="46" t="s">
        <v>35</v>
      </c>
      <c r="B50" s="47">
        <f>'Washington-Devolvido'!H42</f>
        <v>0</v>
      </c>
      <c r="C50" s="48">
        <f t="shared" si="4"/>
        <v>5000</v>
      </c>
      <c r="D50" s="49">
        <f>'Washington-Devolvido'!U43</f>
        <v>0</v>
      </c>
      <c r="E50" s="49">
        <f>'Washington-Devolvido'!AC43</f>
        <v>0</v>
      </c>
      <c r="F50" s="50">
        <f>'Washington-Devolvido'!AK43</f>
        <v>0</v>
      </c>
      <c r="H50" s="46" t="s">
        <v>35</v>
      </c>
      <c r="I50" s="47">
        <f>'Francisco de Morais'!H41</f>
        <v>0</v>
      </c>
      <c r="J50" s="48">
        <f t="shared" si="5"/>
        <v>5000</v>
      </c>
      <c r="K50" s="49">
        <f>'Francisco de Morais'!U42</f>
        <v>0</v>
      </c>
      <c r="L50" s="49">
        <f>'Francisco de Morais'!AC42</f>
        <v>0</v>
      </c>
      <c r="M50" s="50">
        <f>'Francisco de Morais'!AK42</f>
        <v>0</v>
      </c>
    </row>
    <row r="51" spans="1:13" x14ac:dyDescent="0.25">
      <c r="A51" s="46" t="s">
        <v>36</v>
      </c>
      <c r="B51" s="47">
        <f>'Washington-Devolvido'!H46</f>
        <v>0</v>
      </c>
      <c r="C51" s="48">
        <f t="shared" si="4"/>
        <v>5000</v>
      </c>
      <c r="D51" s="49">
        <f>'Washington-Devolvido'!U47</f>
        <v>0</v>
      </c>
      <c r="E51" s="49">
        <f>'Washington-Devolvido'!AC47</f>
        <v>0</v>
      </c>
      <c r="F51" s="50">
        <f>'Washington-Devolvido'!AK47</f>
        <v>0</v>
      </c>
      <c r="H51" s="46" t="s">
        <v>36</v>
      </c>
      <c r="I51" s="47">
        <f>'Francisco de Morais'!H45</f>
        <v>0</v>
      </c>
      <c r="J51" s="48">
        <f t="shared" si="5"/>
        <v>5000</v>
      </c>
      <c r="K51" s="49">
        <f>'Francisco de Morais'!U46</f>
        <v>0</v>
      </c>
      <c r="L51" s="49">
        <f>'Francisco de Morais'!AC46</f>
        <v>0</v>
      </c>
      <c r="M51" s="50">
        <f>'Francisco de Morais'!AK46</f>
        <v>0</v>
      </c>
    </row>
    <row r="52" spans="1:13" x14ac:dyDescent="0.25">
      <c r="A52" s="46" t="s">
        <v>37</v>
      </c>
      <c r="B52" s="47">
        <f>'Washington-Devolvido'!H50</f>
        <v>0</v>
      </c>
      <c r="C52" s="48">
        <f t="shared" si="4"/>
        <v>5000</v>
      </c>
      <c r="D52" s="49">
        <f>'Washington-Devolvido'!U51</f>
        <v>0</v>
      </c>
      <c r="E52" s="49">
        <f>'Washington-Devolvido'!AC51</f>
        <v>0</v>
      </c>
      <c r="F52" s="50">
        <f>'Washington-Devolvido'!AK51</f>
        <v>0</v>
      </c>
      <c r="H52" s="46" t="s">
        <v>37</v>
      </c>
      <c r="I52" s="47">
        <f>'Francisco de Morais'!H49</f>
        <v>0</v>
      </c>
      <c r="J52" s="48">
        <f t="shared" si="5"/>
        <v>5000</v>
      </c>
      <c r="K52" s="49">
        <f>'Francisco de Morais'!U50</f>
        <v>0</v>
      </c>
      <c r="L52" s="49">
        <f>'Francisco de Morais'!AC50</f>
        <v>0</v>
      </c>
      <c r="M52" s="50">
        <f>'Francisco de Morais'!AK50</f>
        <v>0</v>
      </c>
    </row>
    <row r="53" spans="1:13" x14ac:dyDescent="0.25">
      <c r="A53" s="46" t="s">
        <v>38</v>
      </c>
      <c r="B53" s="47">
        <f>'Washington-Devolvido'!H54</f>
        <v>0</v>
      </c>
      <c r="C53" s="48">
        <f t="shared" si="4"/>
        <v>5000</v>
      </c>
      <c r="D53" s="49">
        <f>'Washington-Devolvido'!U55</f>
        <v>0</v>
      </c>
      <c r="E53" s="49">
        <f>'Washington-Devolvido'!AC55</f>
        <v>0</v>
      </c>
      <c r="F53" s="50">
        <f>'Washington-Devolvido'!AK55</f>
        <v>0</v>
      </c>
      <c r="H53" s="46" t="s">
        <v>38</v>
      </c>
      <c r="I53" s="47">
        <f>'Francisco de Morais'!H53</f>
        <v>0</v>
      </c>
      <c r="J53" s="48">
        <f t="shared" si="5"/>
        <v>5000</v>
      </c>
      <c r="K53" s="49">
        <f>'Francisco de Morais'!U54</f>
        <v>0</v>
      </c>
      <c r="L53" s="49">
        <f>'Francisco de Morais'!AC54</f>
        <v>0</v>
      </c>
      <c r="M53" s="50">
        <f>'Francisco de Morais'!AK54</f>
        <v>0</v>
      </c>
    </row>
    <row r="54" spans="1:13" ht="15.75" thickBot="1" x14ac:dyDescent="0.3">
      <c r="A54" s="51" t="s">
        <v>39</v>
      </c>
      <c r="B54" s="52">
        <f>'Washington-Devolvido'!H58</f>
        <v>0</v>
      </c>
      <c r="C54" s="58">
        <f t="shared" si="4"/>
        <v>5000</v>
      </c>
      <c r="D54" s="20">
        <f>'Washington-Devolvido'!U59</f>
        <v>0</v>
      </c>
      <c r="E54" s="20">
        <f>'Washington-Devolvido'!AC59</f>
        <v>0</v>
      </c>
      <c r="F54" s="21">
        <f>'Washington-Devolvido'!AK59</f>
        <v>0</v>
      </c>
      <c r="H54" s="51" t="s">
        <v>39</v>
      </c>
      <c r="I54" s="52">
        <f>'Francisco de Morais'!H57</f>
        <v>0</v>
      </c>
      <c r="J54" s="58">
        <f t="shared" si="5"/>
        <v>5000</v>
      </c>
      <c r="K54" s="20">
        <f>'Francisco de Morais'!U58</f>
        <v>0</v>
      </c>
      <c r="L54" s="20">
        <f>'Francisco de Morais'!AC58</f>
        <v>0</v>
      </c>
      <c r="M54" s="21">
        <f>'Francisco de Morais'!AK58</f>
        <v>0</v>
      </c>
    </row>
    <row r="55" spans="1:13" ht="15.75" thickBot="1" x14ac:dyDescent="0.3"/>
    <row r="56" spans="1:13" ht="15.75" thickBot="1" x14ac:dyDescent="0.3">
      <c r="A56" s="30" t="s">
        <v>22</v>
      </c>
      <c r="B56" s="53">
        <f>SUM(B43:B54)</f>
        <v>25961</v>
      </c>
      <c r="C56" s="54"/>
      <c r="D56" s="55">
        <f>SUM(D43:D54)</f>
        <v>12258.57</v>
      </c>
      <c r="E56" s="56">
        <f>SUM(E43:E54)</f>
        <v>135</v>
      </c>
      <c r="F56" s="57">
        <f>SUM(F43:F54)</f>
        <v>0</v>
      </c>
      <c r="H56" s="30" t="s">
        <v>22</v>
      </c>
      <c r="I56" s="53">
        <f>SUM(I43:I54)</f>
        <v>6788</v>
      </c>
      <c r="J56" s="54"/>
      <c r="K56" s="55">
        <f>SUM(K43:K54)</f>
        <v>0</v>
      </c>
      <c r="L56" s="56">
        <f>SUM(L43:L54)</f>
        <v>0</v>
      </c>
      <c r="M56" s="57">
        <f>SUM(M43:M54)</f>
        <v>0</v>
      </c>
    </row>
    <row r="57" spans="1:13" ht="15.75" thickBot="1" x14ac:dyDescent="0.3">
      <c r="A57" s="30" t="s">
        <v>40</v>
      </c>
      <c r="B57" s="13">
        <f>SUM(60000-B56)</f>
        <v>34039</v>
      </c>
      <c r="H57" s="30" t="s">
        <v>40</v>
      </c>
      <c r="I57" s="13">
        <f>SUM(60000-I56)</f>
        <v>53212</v>
      </c>
    </row>
  </sheetData>
  <mergeCells count="8">
    <mergeCell ref="A1:B1"/>
    <mergeCell ref="C1:K1"/>
    <mergeCell ref="B41:F41"/>
    <mergeCell ref="I41:M41"/>
    <mergeCell ref="B3:F3"/>
    <mergeCell ref="I3:M3"/>
    <mergeCell ref="B22:F22"/>
    <mergeCell ref="I22:M22"/>
  </mergeCells>
  <phoneticPr fontId="2" type="noConversion"/>
  <conditionalFormatting sqref="B19">
    <cfRule type="iconSet" priority="31">
      <iconSet>
        <cfvo type="percent" val="0"/>
        <cfvo type="num" val="-1"/>
        <cfvo type="num" val="0"/>
      </iconSet>
    </cfRule>
  </conditionalFormatting>
  <conditionalFormatting sqref="B38">
    <cfRule type="iconSet" priority="27">
      <iconSet>
        <cfvo type="percent" val="0"/>
        <cfvo type="num" val="-1"/>
        <cfvo type="num" val="0"/>
      </iconSet>
    </cfRule>
  </conditionalFormatting>
  <conditionalFormatting sqref="B57">
    <cfRule type="iconSet" priority="23">
      <iconSet>
        <cfvo type="percent" val="0"/>
        <cfvo type="num" val="-1"/>
        <cfvo type="num" val="0"/>
      </iconSet>
    </cfRule>
  </conditionalFormatting>
  <conditionalFormatting sqref="I19">
    <cfRule type="iconSet" priority="30">
      <iconSet>
        <cfvo type="percent" val="0"/>
        <cfvo type="num" val="-1"/>
        <cfvo type="num" val="0"/>
      </iconSet>
    </cfRule>
  </conditionalFormatting>
  <conditionalFormatting sqref="I38">
    <cfRule type="iconSet" priority="26">
      <iconSet>
        <cfvo type="percent" val="0"/>
        <cfvo type="num" val="-1"/>
        <cfvo type="num" val="0"/>
      </iconSet>
    </cfRule>
  </conditionalFormatting>
  <conditionalFormatting sqref="I57">
    <cfRule type="iconSet" priority="22">
      <iconSet>
        <cfvo type="percent" val="0"/>
        <cfvo type="num" val="-1"/>
        <cfvo type="num" val="0"/>
      </iconSet>
    </cfRule>
  </conditionalFormatting>
  <pageMargins left="0.511811024" right="0.511811024" top="0.78740157499999996" bottom="0.78740157499999996" header="0.31496062000000002" footer="0.3149606200000000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7F77AE-0648-471F-834B-3A8649559AA5}">
  <dimension ref="A1:AK58"/>
  <sheetViews>
    <sheetView workbookViewId="0">
      <selection activeCell="I32" sqref="I32"/>
    </sheetView>
  </sheetViews>
  <sheetFormatPr defaultRowHeight="15" x14ac:dyDescent="0.25"/>
  <cols>
    <col min="1" max="1" width="14.85546875" style="2" customWidth="1"/>
    <col min="2" max="2" width="11.7109375" style="2" bestFit="1" customWidth="1"/>
    <col min="3" max="3" width="9.28515625" style="2" bestFit="1" customWidth="1"/>
    <col min="4" max="4" width="10.7109375" style="2" customWidth="1"/>
    <col min="5" max="5" width="9.28515625" style="2" bestFit="1" customWidth="1"/>
    <col min="6" max="6" width="13.140625" style="1" customWidth="1"/>
    <col min="7" max="7" width="13.85546875" style="1" customWidth="1"/>
    <col min="8" max="8" width="11.85546875" style="1" bestFit="1" customWidth="1"/>
    <col min="9" max="9" width="9.85546875" style="1" customWidth="1"/>
    <col min="10" max="10" width="9.42578125" style="2" customWidth="1"/>
    <col min="11" max="13" width="10.42578125" style="1" bestFit="1" customWidth="1"/>
    <col min="14" max="20" width="9" style="1"/>
    <col min="21" max="21" width="10.42578125" style="1" bestFit="1" customWidth="1"/>
    <col min="22" max="22" width="9" style="1"/>
    <col min="23" max="23" width="9" style="2"/>
    <col min="24" max="30" width="9" style="1"/>
    <col min="31" max="31" width="9" style="2"/>
    <col min="32" max="33" width="9" style="1"/>
    <col min="34" max="36" width="10.140625" style="1" bestFit="1" customWidth="1"/>
    <col min="37" max="37" width="9.140625" style="1"/>
  </cols>
  <sheetData>
    <row r="1" spans="1:37" ht="21" x14ac:dyDescent="0.25">
      <c r="A1" s="162"/>
      <c r="B1" s="164" t="s">
        <v>51</v>
      </c>
      <c r="C1" s="164"/>
      <c r="D1" s="164"/>
      <c r="E1" s="164"/>
      <c r="F1" s="164"/>
      <c r="G1" s="164"/>
      <c r="H1" s="164"/>
      <c r="I1" s="164"/>
      <c r="J1" s="164"/>
      <c r="K1" s="164"/>
      <c r="L1" s="164"/>
      <c r="M1" s="164"/>
      <c r="N1" s="164"/>
      <c r="O1" s="164"/>
      <c r="P1" s="164"/>
      <c r="Q1" s="164"/>
      <c r="R1" s="164"/>
      <c r="S1" s="164"/>
      <c r="T1" s="164"/>
      <c r="U1" s="164"/>
      <c r="V1" s="164"/>
      <c r="W1" s="164"/>
      <c r="X1" s="164"/>
      <c r="Y1" s="164"/>
      <c r="Z1" s="164"/>
      <c r="AA1" s="164"/>
      <c r="AB1" s="164"/>
      <c r="AC1" s="164"/>
      <c r="AD1" s="164"/>
      <c r="AE1" s="164"/>
      <c r="AF1" s="164"/>
      <c r="AG1" s="164"/>
      <c r="AH1" s="164"/>
      <c r="AI1" s="164"/>
      <c r="AJ1" s="164"/>
      <c r="AK1" s="165"/>
    </row>
    <row r="2" spans="1:37" ht="21" x14ac:dyDescent="0.25">
      <c r="A2" s="163"/>
      <c r="B2" s="166" t="s">
        <v>50</v>
      </c>
      <c r="C2" s="166"/>
      <c r="D2" s="166"/>
      <c r="E2" s="166"/>
      <c r="F2" s="166"/>
      <c r="G2" s="166"/>
      <c r="H2" s="166"/>
      <c r="I2" s="166"/>
      <c r="J2" s="166"/>
      <c r="K2" s="166"/>
      <c r="L2" s="166"/>
      <c r="M2" s="166"/>
      <c r="N2" s="166"/>
      <c r="O2" s="166"/>
      <c r="P2" s="166"/>
      <c r="Q2" s="166"/>
      <c r="R2" s="166"/>
      <c r="S2" s="166"/>
      <c r="T2" s="166"/>
      <c r="U2" s="166"/>
      <c r="V2" s="166"/>
      <c r="W2" s="166"/>
      <c r="X2" s="166"/>
      <c r="Y2" s="166"/>
      <c r="Z2" s="166"/>
      <c r="AA2" s="166"/>
      <c r="AB2" s="166"/>
      <c r="AC2" s="166"/>
      <c r="AD2" s="166"/>
      <c r="AE2" s="166"/>
      <c r="AF2" s="166"/>
      <c r="AG2" s="166"/>
      <c r="AH2" s="166"/>
      <c r="AI2" s="166"/>
      <c r="AJ2" s="166"/>
      <c r="AK2" s="167"/>
    </row>
    <row r="4" spans="1:37" x14ac:dyDescent="0.25">
      <c r="A4" s="31" t="s">
        <v>47</v>
      </c>
      <c r="B4" s="161" t="s">
        <v>109</v>
      </c>
      <c r="C4" s="161"/>
      <c r="D4" s="31" t="s">
        <v>0</v>
      </c>
      <c r="E4" s="161" t="s">
        <v>168</v>
      </c>
      <c r="F4" s="161"/>
      <c r="G4" s="31" t="s">
        <v>165</v>
      </c>
      <c r="H4" s="137">
        <v>3000</v>
      </c>
    </row>
    <row r="5" spans="1:37" x14ac:dyDescent="0.25">
      <c r="A5" s="31"/>
      <c r="D5" s="31"/>
      <c r="F5" s="2"/>
      <c r="G5" s="31"/>
    </row>
    <row r="6" spans="1:37" x14ac:dyDescent="0.25">
      <c r="A6" s="31" t="s">
        <v>48</v>
      </c>
      <c r="B6" s="160">
        <v>3837</v>
      </c>
      <c r="C6" s="160"/>
      <c r="D6" s="31" t="s">
        <v>44</v>
      </c>
      <c r="E6" s="161" t="s">
        <v>169</v>
      </c>
      <c r="F6" s="161"/>
      <c r="G6" s="31" t="s">
        <v>46</v>
      </c>
      <c r="H6" s="5">
        <v>46119</v>
      </c>
    </row>
    <row r="9" spans="1:37" ht="18.75" x14ac:dyDescent="0.3">
      <c r="A9" s="169" t="s">
        <v>26</v>
      </c>
      <c r="B9" s="169"/>
      <c r="C9" s="169"/>
      <c r="D9" s="169"/>
      <c r="E9" s="169"/>
      <c r="F9" s="169"/>
      <c r="G9" s="169"/>
      <c r="H9" s="169"/>
      <c r="I9" s="28"/>
      <c r="J9" s="169" t="s">
        <v>24</v>
      </c>
      <c r="K9" s="169"/>
      <c r="L9" s="169"/>
      <c r="M9" s="169"/>
      <c r="N9" s="169"/>
      <c r="O9" s="169"/>
      <c r="P9" s="169"/>
      <c r="Q9" s="169"/>
      <c r="R9" s="169"/>
      <c r="S9" s="169"/>
      <c r="T9" s="169"/>
      <c r="U9" s="169"/>
      <c r="V9" s="29"/>
      <c r="W9" s="170" t="s">
        <v>49</v>
      </c>
      <c r="X9" s="170"/>
      <c r="Y9" s="170"/>
      <c r="Z9" s="170"/>
      <c r="AA9" s="170"/>
      <c r="AB9" s="170"/>
      <c r="AC9" s="170"/>
      <c r="AD9" s="29"/>
      <c r="AE9" s="170" t="s">
        <v>25</v>
      </c>
      <c r="AF9" s="170"/>
      <c r="AG9" s="170"/>
      <c r="AH9" s="170"/>
      <c r="AI9" s="170"/>
      <c r="AJ9" s="170"/>
      <c r="AK9" s="170"/>
    </row>
    <row r="10" spans="1:37" x14ac:dyDescent="0.25">
      <c r="A10" s="7"/>
      <c r="B10" s="7"/>
      <c r="C10" s="7"/>
      <c r="D10" s="7"/>
      <c r="E10" s="7"/>
      <c r="F10" s="7"/>
      <c r="G10" s="7"/>
      <c r="H10" s="7"/>
      <c r="I10" s="6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8"/>
      <c r="W10" s="9"/>
      <c r="X10" s="9"/>
      <c r="Y10" s="9"/>
      <c r="Z10" s="9"/>
      <c r="AA10" s="9"/>
      <c r="AB10" s="9"/>
      <c r="AC10" s="9"/>
      <c r="AD10" s="8"/>
      <c r="AE10" s="9"/>
      <c r="AF10" s="9"/>
      <c r="AG10" s="9"/>
      <c r="AH10" s="9"/>
      <c r="AI10" s="9"/>
      <c r="AJ10" s="9"/>
      <c r="AK10" s="9"/>
    </row>
    <row r="11" spans="1:37" ht="15.75" thickBot="1" x14ac:dyDescent="0.3">
      <c r="A11" s="34"/>
      <c r="B11" s="171" t="s">
        <v>54</v>
      </c>
      <c r="C11" s="171"/>
      <c r="D11" s="171"/>
      <c r="E11" s="171"/>
      <c r="F11" s="171"/>
      <c r="G11" s="171"/>
      <c r="H11" s="171"/>
      <c r="I11" s="6"/>
      <c r="J11" s="172" t="s">
        <v>54</v>
      </c>
      <c r="K11" s="172"/>
      <c r="L11" s="172"/>
      <c r="M11" s="172"/>
      <c r="N11" s="172"/>
      <c r="O11" s="172"/>
      <c r="P11" s="172"/>
      <c r="Q11" s="172"/>
      <c r="R11" s="172"/>
      <c r="S11" s="172"/>
      <c r="T11" s="172"/>
      <c r="U11" s="172"/>
      <c r="V11" s="8"/>
      <c r="W11" s="173" t="s">
        <v>54</v>
      </c>
      <c r="X11" s="173"/>
      <c r="Y11" s="173"/>
      <c r="Z11" s="173"/>
      <c r="AA11" s="173"/>
      <c r="AB11" s="173"/>
      <c r="AC11" s="173"/>
      <c r="AD11" s="8"/>
      <c r="AE11" s="174" t="s">
        <v>54</v>
      </c>
      <c r="AF11" s="174"/>
      <c r="AG11" s="174"/>
      <c r="AH11" s="174"/>
      <c r="AI11" s="174"/>
      <c r="AJ11" s="174"/>
      <c r="AK11" s="174"/>
    </row>
    <row r="12" spans="1:37" ht="15.75" thickBot="1" x14ac:dyDescent="0.3">
      <c r="A12" s="168" t="s">
        <v>4</v>
      </c>
      <c r="B12" s="10" t="s">
        <v>5</v>
      </c>
      <c r="C12" s="11" t="s">
        <v>6</v>
      </c>
      <c r="D12" s="12" t="s">
        <v>7</v>
      </c>
      <c r="E12" s="11" t="s">
        <v>8</v>
      </c>
      <c r="F12" s="12" t="s">
        <v>9</v>
      </c>
      <c r="G12" s="11" t="s">
        <v>10</v>
      </c>
      <c r="H12" s="32" t="s">
        <v>11</v>
      </c>
      <c r="I12" s="6"/>
      <c r="J12" s="35" t="s">
        <v>3</v>
      </c>
      <c r="K12" s="14"/>
      <c r="L12" s="15"/>
      <c r="M12" s="15"/>
      <c r="N12" s="15"/>
      <c r="O12" s="15"/>
      <c r="P12" s="15"/>
      <c r="Q12" s="15"/>
      <c r="R12" s="15"/>
      <c r="S12" s="15"/>
      <c r="T12" s="15"/>
      <c r="U12" s="16"/>
      <c r="V12" s="8"/>
      <c r="W12" s="35" t="s">
        <v>3</v>
      </c>
      <c r="X12" s="14"/>
      <c r="Y12" s="15"/>
      <c r="Z12" s="15"/>
      <c r="AA12" s="15"/>
      <c r="AB12" s="15"/>
      <c r="AC12" s="16"/>
      <c r="AD12" s="8"/>
      <c r="AE12" s="35" t="s">
        <v>3</v>
      </c>
      <c r="AF12" s="14"/>
      <c r="AG12" s="15"/>
      <c r="AH12" s="15"/>
      <c r="AI12" s="15"/>
      <c r="AJ12" s="15"/>
      <c r="AK12" s="16"/>
    </row>
    <row r="13" spans="1:37" ht="15.75" thickBot="1" x14ac:dyDescent="0.3">
      <c r="A13" s="168"/>
      <c r="B13" s="17"/>
      <c r="C13" s="18"/>
      <c r="D13" s="18"/>
      <c r="E13" s="18"/>
      <c r="F13" s="18">
        <f>SUM(C13-B13)</f>
        <v>0</v>
      </c>
      <c r="G13" s="18">
        <f>SUM(E13-D13)</f>
        <v>0</v>
      </c>
      <c r="H13" s="33">
        <f>SUM(F13:G13)</f>
        <v>0</v>
      </c>
      <c r="I13" s="6"/>
      <c r="J13" s="36" t="s">
        <v>21</v>
      </c>
      <c r="K13" s="19"/>
      <c r="L13" s="20"/>
      <c r="M13" s="20"/>
      <c r="N13" s="20"/>
      <c r="O13" s="20"/>
      <c r="P13" s="20"/>
      <c r="Q13" s="20"/>
      <c r="R13" s="20"/>
      <c r="S13" s="20"/>
      <c r="T13" s="20"/>
      <c r="U13" s="21"/>
      <c r="V13" s="8"/>
      <c r="W13" s="36" t="s">
        <v>21</v>
      </c>
      <c r="X13" s="19"/>
      <c r="Y13" s="20"/>
      <c r="Z13" s="20"/>
      <c r="AA13" s="20"/>
      <c r="AB13" s="20"/>
      <c r="AC13" s="21"/>
      <c r="AD13" s="8"/>
      <c r="AE13" s="36" t="s">
        <v>21</v>
      </c>
      <c r="AF13" s="19"/>
      <c r="AG13" s="20"/>
      <c r="AH13" s="20"/>
      <c r="AI13" s="20"/>
      <c r="AJ13" s="20"/>
      <c r="AK13" s="21"/>
    </row>
    <row r="14" spans="1:37" x14ac:dyDescent="0.25">
      <c r="A14" s="7"/>
      <c r="B14" s="7"/>
      <c r="C14" s="7"/>
      <c r="D14" s="7"/>
      <c r="E14" s="7"/>
      <c r="F14" s="7"/>
      <c r="G14" s="7"/>
      <c r="H14" s="7"/>
      <c r="I14" s="6"/>
      <c r="J14" s="7"/>
      <c r="K14" s="7"/>
      <c r="L14" s="7"/>
      <c r="M14" s="7"/>
      <c r="N14" s="7"/>
      <c r="O14" s="7"/>
      <c r="P14" s="7"/>
      <c r="Q14" s="7"/>
      <c r="R14" s="7"/>
      <c r="S14" s="7"/>
      <c r="T14" s="22" t="s">
        <v>22</v>
      </c>
      <c r="U14" s="23">
        <f>SUM(K13:U13)</f>
        <v>0</v>
      </c>
      <c r="V14" s="8"/>
      <c r="AB14" s="22" t="s">
        <v>22</v>
      </c>
      <c r="AC14" s="23">
        <f>SUM(X13:AC13)</f>
        <v>0</v>
      </c>
      <c r="AD14" s="8"/>
      <c r="AJ14" s="22" t="s">
        <v>22</v>
      </c>
      <c r="AK14" s="23">
        <f>SUM(AF13:AK13)</f>
        <v>0</v>
      </c>
    </row>
    <row r="15" spans="1:37" ht="15.75" thickBot="1" x14ac:dyDescent="0.3">
      <c r="A15" s="34"/>
      <c r="B15" s="171" t="s">
        <v>2</v>
      </c>
      <c r="C15" s="171"/>
      <c r="D15" s="171"/>
      <c r="E15" s="171"/>
      <c r="F15" s="171"/>
      <c r="G15" s="171"/>
      <c r="H15" s="171"/>
      <c r="J15" s="172" t="s">
        <v>2</v>
      </c>
      <c r="K15" s="172"/>
      <c r="L15" s="172"/>
      <c r="M15" s="172"/>
      <c r="N15" s="172"/>
      <c r="O15" s="172"/>
      <c r="P15" s="172"/>
      <c r="Q15" s="172"/>
      <c r="R15" s="172"/>
      <c r="S15" s="172"/>
      <c r="T15" s="172"/>
      <c r="U15" s="172"/>
      <c r="W15" s="173" t="s">
        <v>2</v>
      </c>
      <c r="X15" s="173"/>
      <c r="Y15" s="173"/>
      <c r="Z15" s="173"/>
      <c r="AA15" s="173"/>
      <c r="AB15" s="173"/>
      <c r="AC15" s="173"/>
      <c r="AE15" s="174" t="s">
        <v>2</v>
      </c>
      <c r="AF15" s="174"/>
      <c r="AG15" s="174"/>
      <c r="AH15" s="174"/>
      <c r="AI15" s="174"/>
      <c r="AJ15" s="174"/>
      <c r="AK15" s="174"/>
    </row>
    <row r="16" spans="1:37" ht="15.75" thickBot="1" x14ac:dyDescent="0.3">
      <c r="A16" s="168" t="s">
        <v>4</v>
      </c>
      <c r="B16" s="10" t="s">
        <v>5</v>
      </c>
      <c r="C16" s="11" t="s">
        <v>6</v>
      </c>
      <c r="D16" s="12" t="s">
        <v>7</v>
      </c>
      <c r="E16" s="11" t="s">
        <v>8</v>
      </c>
      <c r="F16" s="12" t="s">
        <v>9</v>
      </c>
      <c r="G16" s="11" t="s">
        <v>10</v>
      </c>
      <c r="H16" s="32" t="s">
        <v>11</v>
      </c>
      <c r="J16" s="35" t="s">
        <v>3</v>
      </c>
      <c r="K16" s="14"/>
      <c r="L16" s="15"/>
      <c r="M16" s="15"/>
      <c r="N16" s="15"/>
      <c r="O16" s="15"/>
      <c r="P16" s="15"/>
      <c r="Q16" s="15"/>
      <c r="R16" s="15"/>
      <c r="S16" s="15"/>
      <c r="T16" s="15"/>
      <c r="U16" s="16"/>
      <c r="W16" s="35" t="s">
        <v>3</v>
      </c>
      <c r="X16" s="14"/>
      <c r="Y16" s="15"/>
      <c r="Z16" s="15"/>
      <c r="AA16" s="15"/>
      <c r="AB16" s="15"/>
      <c r="AC16" s="16"/>
      <c r="AE16" s="35" t="s">
        <v>3</v>
      </c>
      <c r="AF16" s="14"/>
      <c r="AG16" s="15"/>
      <c r="AH16" s="15"/>
      <c r="AI16" s="15"/>
      <c r="AJ16" s="15"/>
      <c r="AK16" s="16"/>
    </row>
    <row r="17" spans="1:37" ht="15.75" thickBot="1" x14ac:dyDescent="0.3">
      <c r="A17" s="168"/>
      <c r="B17" s="17"/>
      <c r="C17" s="18"/>
      <c r="D17" s="18"/>
      <c r="E17" s="18"/>
      <c r="F17" s="18">
        <f>SUM(C17-B17)</f>
        <v>0</v>
      </c>
      <c r="G17" s="18">
        <f>SUM(E17-D17)</f>
        <v>0</v>
      </c>
      <c r="H17" s="33">
        <f>SUM(F17:G17)</f>
        <v>0</v>
      </c>
      <c r="J17" s="36" t="s">
        <v>21</v>
      </c>
      <c r="K17" s="19"/>
      <c r="L17" s="20"/>
      <c r="M17" s="20"/>
      <c r="N17" s="20"/>
      <c r="O17" s="20"/>
      <c r="P17" s="20"/>
      <c r="Q17" s="20"/>
      <c r="R17" s="20"/>
      <c r="S17" s="20"/>
      <c r="T17" s="20"/>
      <c r="U17" s="21"/>
      <c r="W17" s="36" t="s">
        <v>21</v>
      </c>
      <c r="X17" s="19"/>
      <c r="Y17" s="20"/>
      <c r="Z17" s="20"/>
      <c r="AA17" s="20"/>
      <c r="AB17" s="20"/>
      <c r="AC17" s="21"/>
      <c r="AE17" s="36" t="s">
        <v>21</v>
      </c>
      <c r="AF17" s="19"/>
      <c r="AG17" s="20"/>
      <c r="AH17" s="20"/>
      <c r="AI17" s="20"/>
      <c r="AJ17" s="20"/>
      <c r="AK17" s="21"/>
    </row>
    <row r="18" spans="1:37" x14ac:dyDescent="0.25">
      <c r="F18" s="2"/>
      <c r="G18" s="2"/>
      <c r="H18" s="2"/>
      <c r="J18" s="37"/>
      <c r="T18" s="22" t="s">
        <v>22</v>
      </c>
      <c r="U18" s="23">
        <f>SUM(K17:U17)</f>
        <v>0</v>
      </c>
      <c r="AB18" s="22" t="s">
        <v>22</v>
      </c>
      <c r="AC18" s="23">
        <f>SUM(X17:AC17)</f>
        <v>0</v>
      </c>
      <c r="AJ18" s="22" t="s">
        <v>22</v>
      </c>
      <c r="AK18" s="23">
        <f>SUM(AF17:AK17)</f>
        <v>0</v>
      </c>
    </row>
    <row r="19" spans="1:37" ht="15.75" thickBot="1" x14ac:dyDescent="0.3">
      <c r="A19" s="34"/>
      <c r="B19" s="171" t="s">
        <v>12</v>
      </c>
      <c r="C19" s="171"/>
      <c r="D19" s="171"/>
      <c r="E19" s="171"/>
      <c r="F19" s="171"/>
      <c r="G19" s="171"/>
      <c r="H19" s="171"/>
      <c r="J19" s="172" t="s">
        <v>12</v>
      </c>
      <c r="K19" s="172"/>
      <c r="L19" s="172"/>
      <c r="M19" s="172"/>
      <c r="N19" s="172"/>
      <c r="O19" s="172"/>
      <c r="P19" s="172"/>
      <c r="Q19" s="172"/>
      <c r="R19" s="172"/>
      <c r="S19" s="172"/>
      <c r="T19" s="172"/>
      <c r="U19" s="172"/>
      <c r="W19" s="173" t="str">
        <f>J19</f>
        <v>Março</v>
      </c>
      <c r="X19" s="173"/>
      <c r="Y19" s="173"/>
      <c r="Z19" s="173"/>
      <c r="AA19" s="173"/>
      <c r="AB19" s="173"/>
      <c r="AC19" s="173"/>
      <c r="AE19" s="174" t="str">
        <f>W19</f>
        <v>Março</v>
      </c>
      <c r="AF19" s="174"/>
      <c r="AG19" s="174"/>
      <c r="AH19" s="174"/>
      <c r="AI19" s="174"/>
      <c r="AJ19" s="174"/>
      <c r="AK19" s="174"/>
    </row>
    <row r="20" spans="1:37" ht="15.75" thickBot="1" x14ac:dyDescent="0.3">
      <c r="A20" s="168" t="s">
        <v>4</v>
      </c>
      <c r="B20" s="10" t="s">
        <v>5</v>
      </c>
      <c r="C20" s="11" t="s">
        <v>6</v>
      </c>
      <c r="D20" s="12" t="s">
        <v>7</v>
      </c>
      <c r="E20" s="11" t="s">
        <v>8</v>
      </c>
      <c r="F20" s="12" t="s">
        <v>9</v>
      </c>
      <c r="G20" s="11" t="s">
        <v>10</v>
      </c>
      <c r="H20" s="32" t="s">
        <v>11</v>
      </c>
      <c r="J20" s="35" t="s">
        <v>3</v>
      </c>
      <c r="K20" s="14"/>
      <c r="L20" s="24"/>
      <c r="M20" s="24"/>
      <c r="N20" s="15"/>
      <c r="O20" s="15"/>
      <c r="P20" s="15"/>
      <c r="Q20" s="15"/>
      <c r="R20" s="15"/>
      <c r="S20" s="15"/>
      <c r="T20" s="15"/>
      <c r="U20" s="16"/>
      <c r="W20" s="35" t="s">
        <v>3</v>
      </c>
      <c r="X20" s="14"/>
      <c r="Y20" s="15"/>
      <c r="Z20" s="15"/>
      <c r="AA20" s="15"/>
      <c r="AB20" s="15"/>
      <c r="AC20" s="16"/>
      <c r="AE20" s="35" t="s">
        <v>3</v>
      </c>
      <c r="AF20" s="14"/>
      <c r="AG20" s="15"/>
      <c r="AH20" s="15"/>
      <c r="AI20" s="15"/>
      <c r="AJ20" s="15"/>
      <c r="AK20" s="16"/>
    </row>
    <row r="21" spans="1:37" ht="15.75" thickBot="1" x14ac:dyDescent="0.3">
      <c r="A21" s="168"/>
      <c r="B21" s="17"/>
      <c r="C21" s="18"/>
      <c r="D21" s="18"/>
      <c r="E21" s="18"/>
      <c r="F21" s="18">
        <f>SUM(C21-B21)</f>
        <v>0</v>
      </c>
      <c r="G21" s="18">
        <f>SUM(E21-D21)</f>
        <v>0</v>
      </c>
      <c r="H21" s="33">
        <f>SUM(F21:G21)</f>
        <v>0</v>
      </c>
      <c r="J21" s="36" t="s">
        <v>21</v>
      </c>
      <c r="K21" s="19"/>
      <c r="L21" s="20"/>
      <c r="M21" s="20"/>
      <c r="N21" s="20"/>
      <c r="O21" s="20"/>
      <c r="P21" s="20"/>
      <c r="Q21" s="20"/>
      <c r="R21" s="20"/>
      <c r="S21" s="20"/>
      <c r="T21" s="20"/>
      <c r="U21" s="21"/>
      <c r="W21" s="36" t="s">
        <v>21</v>
      </c>
      <c r="X21" s="19"/>
      <c r="Y21" s="20"/>
      <c r="Z21" s="20"/>
      <c r="AA21" s="20"/>
      <c r="AB21" s="20"/>
      <c r="AC21" s="21"/>
      <c r="AE21" s="36" t="s">
        <v>21</v>
      </c>
      <c r="AF21" s="19"/>
      <c r="AG21" s="20"/>
      <c r="AH21" s="20"/>
      <c r="AI21" s="20"/>
      <c r="AJ21" s="20"/>
      <c r="AK21" s="21"/>
    </row>
    <row r="22" spans="1:37" x14ac:dyDescent="0.25">
      <c r="F22" s="2"/>
      <c r="G22" s="2"/>
      <c r="H22" s="2"/>
      <c r="J22" s="37"/>
      <c r="T22" s="22" t="s">
        <v>22</v>
      </c>
      <c r="U22" s="23">
        <f>SUM(K21:U21)</f>
        <v>0</v>
      </c>
      <c r="AB22" s="22" t="s">
        <v>22</v>
      </c>
      <c r="AC22" s="23">
        <f>SUM(X21:AC21)</f>
        <v>0</v>
      </c>
      <c r="AJ22" s="22" t="s">
        <v>22</v>
      </c>
      <c r="AK22" s="23">
        <f>SUM(AF21:AK21)</f>
        <v>0</v>
      </c>
    </row>
    <row r="23" spans="1:37" ht="15.75" thickBot="1" x14ac:dyDescent="0.3">
      <c r="A23" s="34"/>
      <c r="B23" s="171" t="s">
        <v>13</v>
      </c>
      <c r="C23" s="171"/>
      <c r="D23" s="171"/>
      <c r="E23" s="171"/>
      <c r="F23" s="171"/>
      <c r="G23" s="171"/>
      <c r="H23" s="171"/>
      <c r="J23" s="172" t="s">
        <v>13</v>
      </c>
      <c r="K23" s="172"/>
      <c r="L23" s="172"/>
      <c r="M23" s="172"/>
      <c r="N23" s="172"/>
      <c r="O23" s="172"/>
      <c r="P23" s="172"/>
      <c r="Q23" s="172"/>
      <c r="R23" s="172"/>
      <c r="S23" s="172"/>
      <c r="T23" s="172"/>
      <c r="U23" s="172"/>
      <c r="W23" s="173" t="str">
        <f>J23</f>
        <v>Abril</v>
      </c>
      <c r="X23" s="173"/>
      <c r="Y23" s="173"/>
      <c r="Z23" s="173"/>
      <c r="AA23" s="173"/>
      <c r="AB23" s="173"/>
      <c r="AC23" s="173"/>
      <c r="AE23" s="174" t="str">
        <f>W23</f>
        <v>Abril</v>
      </c>
      <c r="AF23" s="174"/>
      <c r="AG23" s="174"/>
      <c r="AH23" s="174"/>
      <c r="AI23" s="174"/>
      <c r="AJ23" s="174"/>
      <c r="AK23" s="174"/>
    </row>
    <row r="24" spans="1:37" ht="15.75" thickBot="1" x14ac:dyDescent="0.3">
      <c r="A24" s="168" t="s">
        <v>4</v>
      </c>
      <c r="B24" s="10" t="s">
        <v>5</v>
      </c>
      <c r="C24" s="11" t="s">
        <v>6</v>
      </c>
      <c r="D24" s="12" t="s">
        <v>7</v>
      </c>
      <c r="E24" s="11" t="s">
        <v>8</v>
      </c>
      <c r="F24" s="12" t="s">
        <v>9</v>
      </c>
      <c r="G24" s="11" t="s">
        <v>10</v>
      </c>
      <c r="H24" s="32" t="s">
        <v>11</v>
      </c>
      <c r="J24" s="35" t="s">
        <v>3</v>
      </c>
      <c r="K24" s="14"/>
      <c r="L24" s="15"/>
      <c r="M24" s="15"/>
      <c r="N24" s="15"/>
      <c r="O24" s="15"/>
      <c r="P24" s="15"/>
      <c r="Q24" s="15"/>
      <c r="R24" s="15"/>
      <c r="S24" s="15"/>
      <c r="T24" s="15"/>
      <c r="U24" s="16"/>
      <c r="W24" s="35" t="s">
        <v>3</v>
      </c>
      <c r="X24" s="14"/>
      <c r="Y24" s="15"/>
      <c r="Z24" s="15"/>
      <c r="AA24" s="15"/>
      <c r="AB24" s="15"/>
      <c r="AC24" s="16"/>
      <c r="AE24" s="35" t="s">
        <v>3</v>
      </c>
      <c r="AF24" s="14"/>
      <c r="AG24" s="15"/>
      <c r="AH24" s="15"/>
      <c r="AI24" s="15"/>
      <c r="AJ24" s="15"/>
      <c r="AK24" s="16"/>
    </row>
    <row r="25" spans="1:37" ht="15.75" thickBot="1" x14ac:dyDescent="0.3">
      <c r="A25" s="168"/>
      <c r="B25" s="17">
        <v>15565</v>
      </c>
      <c r="C25" s="18"/>
      <c r="D25" s="18"/>
      <c r="E25" s="18">
        <v>18218</v>
      </c>
      <c r="F25" s="18">
        <f>SUM(C25-B25)</f>
        <v>-15565</v>
      </c>
      <c r="G25" s="18">
        <f>SUM(E25-D25)</f>
        <v>18218</v>
      </c>
      <c r="H25" s="33">
        <f>SUM(F25:G25)</f>
        <v>2653</v>
      </c>
      <c r="J25" s="36" t="s">
        <v>21</v>
      </c>
      <c r="K25" s="25"/>
      <c r="L25" s="26"/>
      <c r="M25" s="26"/>
      <c r="N25" s="26"/>
      <c r="O25" s="26"/>
      <c r="P25" s="26"/>
      <c r="Q25" s="26"/>
      <c r="R25" s="26"/>
      <c r="S25" s="26"/>
      <c r="T25" s="26"/>
      <c r="U25" s="27"/>
      <c r="W25" s="36" t="s">
        <v>21</v>
      </c>
      <c r="X25" s="19"/>
      <c r="Y25" s="20"/>
      <c r="Z25" s="20"/>
      <c r="AA25" s="20"/>
      <c r="AB25" s="20"/>
      <c r="AC25" s="21"/>
      <c r="AE25" s="36" t="s">
        <v>21</v>
      </c>
      <c r="AF25" s="19"/>
      <c r="AG25" s="20"/>
      <c r="AH25" s="20"/>
      <c r="AI25" s="20"/>
      <c r="AJ25" s="20"/>
      <c r="AK25" s="21"/>
    </row>
    <row r="26" spans="1:37" x14ac:dyDescent="0.25">
      <c r="D26" s="159"/>
      <c r="F26" s="2"/>
      <c r="G26" s="2"/>
      <c r="H26" s="2"/>
      <c r="J26" s="37"/>
      <c r="T26" s="22" t="s">
        <v>22</v>
      </c>
      <c r="U26" s="23">
        <f>SUM(K25:U25)</f>
        <v>0</v>
      </c>
      <c r="AB26" s="22" t="s">
        <v>22</v>
      </c>
      <c r="AC26" s="23">
        <f>SUM(X25:AC25)</f>
        <v>0</v>
      </c>
      <c r="AJ26" s="22" t="s">
        <v>22</v>
      </c>
      <c r="AK26" s="23">
        <f>SUM(AF25:AK25)</f>
        <v>0</v>
      </c>
    </row>
    <row r="27" spans="1:37" ht="15.75" thickBot="1" x14ac:dyDescent="0.3">
      <c r="A27" s="34"/>
      <c r="B27" s="171" t="s">
        <v>14</v>
      </c>
      <c r="C27" s="171"/>
      <c r="D27" s="171"/>
      <c r="E27" s="171"/>
      <c r="F27" s="171"/>
      <c r="G27" s="171"/>
      <c r="H27" s="171"/>
      <c r="J27" s="172" t="s">
        <v>14</v>
      </c>
      <c r="K27" s="172"/>
      <c r="L27" s="172"/>
      <c r="M27" s="172"/>
      <c r="N27" s="172"/>
      <c r="O27" s="172"/>
      <c r="P27" s="172"/>
      <c r="Q27" s="172"/>
      <c r="R27" s="172"/>
      <c r="S27" s="172"/>
      <c r="T27" s="172"/>
      <c r="U27" s="172"/>
      <c r="W27" s="173" t="str">
        <f>J27</f>
        <v>Maio</v>
      </c>
      <c r="X27" s="173"/>
      <c r="Y27" s="173"/>
      <c r="Z27" s="173"/>
      <c r="AA27" s="173"/>
      <c r="AB27" s="173"/>
      <c r="AC27" s="173"/>
      <c r="AE27" s="174" t="str">
        <f>W27</f>
        <v>Maio</v>
      </c>
      <c r="AF27" s="174"/>
      <c r="AG27" s="174"/>
      <c r="AH27" s="174"/>
      <c r="AI27" s="174"/>
      <c r="AJ27" s="174"/>
      <c r="AK27" s="174"/>
    </row>
    <row r="28" spans="1:37" ht="15.75" thickBot="1" x14ac:dyDescent="0.3">
      <c r="A28" s="168" t="s">
        <v>4</v>
      </c>
      <c r="B28" s="10" t="s">
        <v>5</v>
      </c>
      <c r="C28" s="11" t="s">
        <v>6</v>
      </c>
      <c r="D28" s="12" t="s">
        <v>7</v>
      </c>
      <c r="E28" s="11" t="s">
        <v>8</v>
      </c>
      <c r="F28" s="12" t="s">
        <v>9</v>
      </c>
      <c r="G28" s="11" t="s">
        <v>10</v>
      </c>
      <c r="H28" s="32" t="s">
        <v>11</v>
      </c>
      <c r="J28" s="35" t="s">
        <v>3</v>
      </c>
      <c r="K28" s="14"/>
      <c r="L28" s="15"/>
      <c r="M28" s="15"/>
      <c r="N28" s="15"/>
      <c r="O28" s="15"/>
      <c r="P28" s="15"/>
      <c r="Q28" s="15"/>
      <c r="R28" s="15"/>
      <c r="S28" s="15"/>
      <c r="T28" s="15"/>
      <c r="U28" s="16"/>
      <c r="W28" s="35" t="s">
        <v>3</v>
      </c>
      <c r="X28" s="14"/>
      <c r="Y28" s="15"/>
      <c r="Z28" s="15"/>
      <c r="AA28" s="15"/>
      <c r="AB28" s="15"/>
      <c r="AC28" s="16"/>
      <c r="AE28" s="35" t="s">
        <v>3</v>
      </c>
      <c r="AF28" s="14"/>
      <c r="AG28" s="15"/>
      <c r="AH28" s="15"/>
      <c r="AI28" s="15"/>
      <c r="AJ28" s="15"/>
      <c r="AK28" s="16"/>
    </row>
    <row r="29" spans="1:37" ht="15.75" thickBot="1" x14ac:dyDescent="0.3">
      <c r="A29" s="168"/>
      <c r="B29" s="18">
        <v>18218</v>
      </c>
      <c r="C29" s="18"/>
      <c r="D29" s="18"/>
      <c r="E29" s="18">
        <v>21063</v>
      </c>
      <c r="F29" s="18">
        <f>SUM(C29-B29)</f>
        <v>-18218</v>
      </c>
      <c r="G29" s="18">
        <f>SUM(E29-D29)</f>
        <v>21063</v>
      </c>
      <c r="H29" s="33">
        <f>SUM(F29:G29)</f>
        <v>2845</v>
      </c>
      <c r="J29" s="36" t="s">
        <v>21</v>
      </c>
      <c r="K29" s="19"/>
      <c r="L29" s="20"/>
      <c r="M29" s="20"/>
      <c r="N29" s="20"/>
      <c r="O29" s="20"/>
      <c r="P29" s="20"/>
      <c r="Q29" s="20"/>
      <c r="R29" s="20"/>
      <c r="S29" s="20"/>
      <c r="T29" s="20"/>
      <c r="U29" s="21"/>
      <c r="W29" s="36" t="s">
        <v>21</v>
      </c>
      <c r="X29" s="19"/>
      <c r="Y29" s="20"/>
      <c r="Z29" s="20"/>
      <c r="AA29" s="20"/>
      <c r="AB29" s="20"/>
      <c r="AC29" s="21"/>
      <c r="AE29" s="36" t="s">
        <v>21</v>
      </c>
      <c r="AF29" s="19"/>
      <c r="AG29" s="20"/>
      <c r="AH29" s="20"/>
      <c r="AI29" s="20"/>
      <c r="AJ29" s="20"/>
      <c r="AK29" s="21"/>
    </row>
    <row r="30" spans="1:37" x14ac:dyDescent="0.25">
      <c r="F30" s="2"/>
      <c r="G30" s="2"/>
      <c r="H30" s="2"/>
      <c r="J30" s="37"/>
      <c r="T30" s="22" t="s">
        <v>22</v>
      </c>
      <c r="U30" s="23">
        <f>SUM(K29:U29)</f>
        <v>0</v>
      </c>
      <c r="AB30" s="22" t="s">
        <v>22</v>
      </c>
      <c r="AC30" s="23">
        <f>SUM(X29:AC29)</f>
        <v>0</v>
      </c>
      <c r="AJ30" s="22" t="s">
        <v>22</v>
      </c>
      <c r="AK30" s="23">
        <f>SUM(AF29:AK29)</f>
        <v>0</v>
      </c>
    </row>
    <row r="31" spans="1:37" ht="15.75" thickBot="1" x14ac:dyDescent="0.3">
      <c r="A31" s="34"/>
      <c r="B31" s="171" t="s">
        <v>23</v>
      </c>
      <c r="C31" s="171"/>
      <c r="D31" s="171"/>
      <c r="E31" s="171"/>
      <c r="F31" s="171"/>
      <c r="G31" s="171"/>
      <c r="H31" s="171"/>
      <c r="J31" s="172" t="s">
        <v>23</v>
      </c>
      <c r="K31" s="172"/>
      <c r="L31" s="172"/>
      <c r="M31" s="172"/>
      <c r="N31" s="172"/>
      <c r="O31" s="172"/>
      <c r="P31" s="172"/>
      <c r="Q31" s="172"/>
      <c r="R31" s="172"/>
      <c r="S31" s="172"/>
      <c r="T31" s="172"/>
      <c r="U31" s="172"/>
      <c r="W31" s="173" t="str">
        <f>J31</f>
        <v>Junho</v>
      </c>
      <c r="X31" s="173"/>
      <c r="Y31" s="173"/>
      <c r="Z31" s="173"/>
      <c r="AA31" s="173"/>
      <c r="AB31" s="173"/>
      <c r="AC31" s="173"/>
      <c r="AE31" s="174" t="str">
        <f>W31</f>
        <v>Junho</v>
      </c>
      <c r="AF31" s="174"/>
      <c r="AG31" s="174"/>
      <c r="AH31" s="174"/>
      <c r="AI31" s="174"/>
      <c r="AJ31" s="174"/>
      <c r="AK31" s="174"/>
    </row>
    <row r="32" spans="1:37" ht="15.75" thickBot="1" x14ac:dyDescent="0.3">
      <c r="A32" s="168" t="s">
        <v>4</v>
      </c>
      <c r="B32" s="10" t="s">
        <v>5</v>
      </c>
      <c r="C32" s="11" t="s">
        <v>6</v>
      </c>
      <c r="D32" s="12" t="s">
        <v>7</v>
      </c>
      <c r="E32" s="11" t="s">
        <v>8</v>
      </c>
      <c r="F32" s="12" t="s">
        <v>9</v>
      </c>
      <c r="G32" s="11" t="s">
        <v>10</v>
      </c>
      <c r="H32" s="32" t="s">
        <v>11</v>
      </c>
      <c r="J32" s="35" t="s">
        <v>3</v>
      </c>
      <c r="K32" s="14"/>
      <c r="L32" s="15"/>
      <c r="M32" s="15"/>
      <c r="N32" s="15"/>
      <c r="O32" s="15"/>
      <c r="P32" s="15"/>
      <c r="Q32" s="15"/>
      <c r="R32" s="15"/>
      <c r="S32" s="15"/>
      <c r="T32" s="15"/>
      <c r="U32" s="16"/>
      <c r="W32" s="35" t="s">
        <v>3</v>
      </c>
      <c r="X32" s="14"/>
      <c r="Y32" s="15"/>
      <c r="Z32" s="15"/>
      <c r="AA32" s="15"/>
      <c r="AB32" s="15"/>
      <c r="AC32" s="16"/>
      <c r="AE32" s="35" t="s">
        <v>3</v>
      </c>
      <c r="AF32" s="14"/>
      <c r="AG32" s="15"/>
      <c r="AH32" s="15"/>
      <c r="AI32" s="15"/>
      <c r="AJ32" s="15"/>
      <c r="AK32" s="16"/>
    </row>
    <row r="33" spans="1:37" ht="15.75" thickBot="1" x14ac:dyDescent="0.3">
      <c r="A33" s="168"/>
      <c r="B33" s="17"/>
      <c r="C33" s="18"/>
      <c r="D33" s="18"/>
      <c r="E33" s="18"/>
      <c r="F33" s="18">
        <f>SUM(C33-B33)</f>
        <v>0</v>
      </c>
      <c r="G33" s="18">
        <f>SUM(E33-D33)</f>
        <v>0</v>
      </c>
      <c r="H33" s="33">
        <f>SUM(F33:G33)</f>
        <v>0</v>
      </c>
      <c r="J33" s="36" t="s">
        <v>21</v>
      </c>
      <c r="K33" s="19"/>
      <c r="L33" s="20"/>
      <c r="M33" s="20"/>
      <c r="N33" s="20"/>
      <c r="O33" s="20"/>
      <c r="P33" s="20"/>
      <c r="Q33" s="20"/>
      <c r="R33" s="20"/>
      <c r="S33" s="20"/>
      <c r="T33" s="20"/>
      <c r="U33" s="21"/>
      <c r="W33" s="36" t="s">
        <v>21</v>
      </c>
      <c r="X33" s="19"/>
      <c r="Y33" s="20"/>
      <c r="Z33" s="20"/>
      <c r="AA33" s="20"/>
      <c r="AB33" s="20"/>
      <c r="AC33" s="21"/>
      <c r="AE33" s="36" t="s">
        <v>21</v>
      </c>
      <c r="AF33" s="19"/>
      <c r="AG33" s="20"/>
      <c r="AH33" s="20"/>
      <c r="AI33" s="20"/>
      <c r="AJ33" s="20"/>
      <c r="AK33" s="21"/>
    </row>
    <row r="34" spans="1:37" x14ac:dyDescent="0.25">
      <c r="F34" s="2"/>
      <c r="G34" s="2"/>
      <c r="H34" s="2"/>
      <c r="J34" s="37"/>
      <c r="T34" s="22" t="s">
        <v>22</v>
      </c>
      <c r="U34" s="23">
        <f>SUM(K33:U33)</f>
        <v>0</v>
      </c>
      <c r="AB34" s="22" t="s">
        <v>22</v>
      </c>
      <c r="AC34" s="23">
        <f>SUM(X33:AC33)</f>
        <v>0</v>
      </c>
      <c r="AJ34" s="22" t="s">
        <v>22</v>
      </c>
      <c r="AK34" s="23">
        <f>SUM(AF33:AK33)</f>
        <v>0</v>
      </c>
    </row>
    <row r="35" spans="1:37" ht="15.75" thickBot="1" x14ac:dyDescent="0.3">
      <c r="A35" s="34"/>
      <c r="B35" s="171" t="s">
        <v>15</v>
      </c>
      <c r="C35" s="171"/>
      <c r="D35" s="171"/>
      <c r="E35" s="171"/>
      <c r="F35" s="171"/>
      <c r="G35" s="171"/>
      <c r="H35" s="171"/>
      <c r="J35" s="172" t="s">
        <v>15</v>
      </c>
      <c r="K35" s="172"/>
      <c r="L35" s="172"/>
      <c r="M35" s="172"/>
      <c r="N35" s="172"/>
      <c r="O35" s="172"/>
      <c r="P35" s="172"/>
      <c r="Q35" s="172"/>
      <c r="R35" s="172"/>
      <c r="S35" s="172"/>
      <c r="T35" s="172"/>
      <c r="U35" s="172"/>
      <c r="W35" s="173" t="str">
        <f>J35</f>
        <v>Julho</v>
      </c>
      <c r="X35" s="173"/>
      <c r="Y35" s="173"/>
      <c r="Z35" s="173"/>
      <c r="AA35" s="173"/>
      <c r="AB35" s="173"/>
      <c r="AC35" s="173"/>
      <c r="AE35" s="174" t="str">
        <f>W35</f>
        <v>Julho</v>
      </c>
      <c r="AF35" s="174"/>
      <c r="AG35" s="174"/>
      <c r="AH35" s="174"/>
      <c r="AI35" s="174"/>
      <c r="AJ35" s="174"/>
      <c r="AK35" s="174"/>
    </row>
    <row r="36" spans="1:37" ht="15.75" thickBot="1" x14ac:dyDescent="0.3">
      <c r="A36" s="168" t="s">
        <v>4</v>
      </c>
      <c r="B36" s="10" t="s">
        <v>5</v>
      </c>
      <c r="C36" s="11" t="s">
        <v>6</v>
      </c>
      <c r="D36" s="12" t="s">
        <v>7</v>
      </c>
      <c r="E36" s="11" t="s">
        <v>8</v>
      </c>
      <c r="F36" s="12" t="s">
        <v>9</v>
      </c>
      <c r="G36" s="11" t="s">
        <v>10</v>
      </c>
      <c r="H36" s="32" t="s">
        <v>11</v>
      </c>
      <c r="J36" s="35" t="s">
        <v>3</v>
      </c>
      <c r="K36" s="14"/>
      <c r="L36" s="15"/>
      <c r="M36" s="15"/>
      <c r="N36" s="15"/>
      <c r="O36" s="15"/>
      <c r="P36" s="15"/>
      <c r="Q36" s="15"/>
      <c r="R36" s="15"/>
      <c r="S36" s="15"/>
      <c r="T36" s="15"/>
      <c r="U36" s="16"/>
      <c r="W36" s="35" t="s">
        <v>3</v>
      </c>
      <c r="X36" s="14"/>
      <c r="Y36" s="15"/>
      <c r="Z36" s="15"/>
      <c r="AA36" s="15"/>
      <c r="AB36" s="15"/>
      <c r="AC36" s="16"/>
      <c r="AE36" s="35" t="s">
        <v>3</v>
      </c>
      <c r="AF36" s="14"/>
      <c r="AG36" s="15"/>
      <c r="AH36" s="15"/>
      <c r="AI36" s="15"/>
      <c r="AJ36" s="15"/>
      <c r="AK36" s="16"/>
    </row>
    <row r="37" spans="1:37" ht="15.75" thickBot="1" x14ac:dyDescent="0.3">
      <c r="A37" s="168"/>
      <c r="B37" s="17"/>
      <c r="C37" s="18"/>
      <c r="D37" s="18"/>
      <c r="E37" s="18"/>
      <c r="F37" s="18">
        <f>SUM(C37-B37)</f>
        <v>0</v>
      </c>
      <c r="G37" s="18">
        <f>SUM(E37-D37)</f>
        <v>0</v>
      </c>
      <c r="H37" s="33">
        <f>SUM(F37:G37)</f>
        <v>0</v>
      </c>
      <c r="J37" s="36" t="s">
        <v>21</v>
      </c>
      <c r="K37" s="19"/>
      <c r="L37" s="20"/>
      <c r="M37" s="20"/>
      <c r="N37" s="20"/>
      <c r="O37" s="20"/>
      <c r="P37" s="20"/>
      <c r="Q37" s="20"/>
      <c r="R37" s="20"/>
      <c r="S37" s="20"/>
      <c r="T37" s="20"/>
      <c r="U37" s="21"/>
      <c r="W37" s="36" t="s">
        <v>21</v>
      </c>
      <c r="X37" s="19"/>
      <c r="Y37" s="20"/>
      <c r="Z37" s="20"/>
      <c r="AA37" s="20"/>
      <c r="AB37" s="20"/>
      <c r="AC37" s="21"/>
      <c r="AE37" s="36" t="s">
        <v>21</v>
      </c>
      <c r="AF37" s="19"/>
      <c r="AG37" s="20"/>
      <c r="AH37" s="20"/>
      <c r="AI37" s="20"/>
      <c r="AJ37" s="20"/>
      <c r="AK37" s="21"/>
    </row>
    <row r="38" spans="1:37" x14ac:dyDescent="0.25">
      <c r="F38" s="2"/>
      <c r="G38" s="2"/>
      <c r="H38" s="2"/>
      <c r="J38" s="37"/>
      <c r="T38" s="22" t="s">
        <v>22</v>
      </c>
      <c r="U38" s="23">
        <f>SUM(K37:U37)</f>
        <v>0</v>
      </c>
      <c r="AB38" s="22" t="s">
        <v>22</v>
      </c>
      <c r="AC38" s="23">
        <f>SUM(X37:AC37)</f>
        <v>0</v>
      </c>
      <c r="AJ38" s="22" t="s">
        <v>22</v>
      </c>
      <c r="AK38" s="23">
        <f>SUM(AF37:AK37)</f>
        <v>0</v>
      </c>
    </row>
    <row r="39" spans="1:37" ht="15.75" thickBot="1" x14ac:dyDescent="0.3">
      <c r="A39" s="34"/>
      <c r="B39" s="171" t="s">
        <v>16</v>
      </c>
      <c r="C39" s="171"/>
      <c r="D39" s="171"/>
      <c r="E39" s="171"/>
      <c r="F39" s="171"/>
      <c r="G39" s="171"/>
      <c r="H39" s="171"/>
      <c r="J39" s="172" t="s">
        <v>16</v>
      </c>
      <c r="K39" s="172"/>
      <c r="L39" s="172"/>
      <c r="M39" s="172"/>
      <c r="N39" s="172"/>
      <c r="O39" s="172"/>
      <c r="P39" s="172"/>
      <c r="Q39" s="172"/>
      <c r="R39" s="172"/>
      <c r="S39" s="172"/>
      <c r="T39" s="172"/>
      <c r="U39" s="172"/>
      <c r="W39" s="173" t="str">
        <f>J39</f>
        <v>Agosto</v>
      </c>
      <c r="X39" s="173"/>
      <c r="Y39" s="173"/>
      <c r="Z39" s="173"/>
      <c r="AA39" s="173"/>
      <c r="AB39" s="173"/>
      <c r="AC39" s="173"/>
      <c r="AE39" s="174" t="str">
        <f>W39</f>
        <v>Agosto</v>
      </c>
      <c r="AF39" s="174"/>
      <c r="AG39" s="174"/>
      <c r="AH39" s="174"/>
      <c r="AI39" s="174"/>
      <c r="AJ39" s="174"/>
      <c r="AK39" s="174"/>
    </row>
    <row r="40" spans="1:37" ht="15.75" thickBot="1" x14ac:dyDescent="0.3">
      <c r="A40" s="168" t="s">
        <v>4</v>
      </c>
      <c r="B40" s="10" t="s">
        <v>5</v>
      </c>
      <c r="C40" s="11" t="s">
        <v>6</v>
      </c>
      <c r="D40" s="12" t="s">
        <v>7</v>
      </c>
      <c r="E40" s="11" t="s">
        <v>8</v>
      </c>
      <c r="F40" s="12" t="s">
        <v>9</v>
      </c>
      <c r="G40" s="11" t="s">
        <v>10</v>
      </c>
      <c r="H40" s="32" t="s">
        <v>11</v>
      </c>
      <c r="J40" s="35" t="s">
        <v>3</v>
      </c>
      <c r="K40" s="14"/>
      <c r="L40" s="15"/>
      <c r="M40" s="15"/>
      <c r="N40" s="15"/>
      <c r="O40" s="15"/>
      <c r="P40" s="15"/>
      <c r="Q40" s="15"/>
      <c r="R40" s="15"/>
      <c r="S40" s="15"/>
      <c r="T40" s="15"/>
      <c r="U40" s="16"/>
      <c r="W40" s="35" t="s">
        <v>3</v>
      </c>
      <c r="X40" s="14"/>
      <c r="Y40" s="15"/>
      <c r="Z40" s="15"/>
      <c r="AA40" s="15"/>
      <c r="AB40" s="15"/>
      <c r="AC40" s="16"/>
      <c r="AE40" s="35" t="s">
        <v>3</v>
      </c>
      <c r="AF40" s="14"/>
      <c r="AG40" s="15"/>
      <c r="AH40" s="15"/>
      <c r="AI40" s="15"/>
      <c r="AJ40" s="15"/>
      <c r="AK40" s="16"/>
    </row>
    <row r="41" spans="1:37" ht="15.75" thickBot="1" x14ac:dyDescent="0.3">
      <c r="A41" s="168"/>
      <c r="B41" s="17"/>
      <c r="C41" s="18"/>
      <c r="D41" s="18"/>
      <c r="E41" s="18"/>
      <c r="F41" s="18">
        <f>SUM(C41-B41)</f>
        <v>0</v>
      </c>
      <c r="G41" s="18">
        <f>SUM(E41-D41)</f>
        <v>0</v>
      </c>
      <c r="H41" s="33">
        <f>SUM(F41:G41)</f>
        <v>0</v>
      </c>
      <c r="J41" s="36" t="s">
        <v>21</v>
      </c>
      <c r="K41" s="19"/>
      <c r="L41" s="20"/>
      <c r="M41" s="20"/>
      <c r="N41" s="20"/>
      <c r="O41" s="20"/>
      <c r="P41" s="20"/>
      <c r="Q41" s="20"/>
      <c r="R41" s="20"/>
      <c r="S41" s="20"/>
      <c r="T41" s="20"/>
      <c r="U41" s="21"/>
      <c r="W41" s="36" t="s">
        <v>21</v>
      </c>
      <c r="X41" s="19"/>
      <c r="Y41" s="20"/>
      <c r="Z41" s="20"/>
      <c r="AA41" s="20"/>
      <c r="AB41" s="20"/>
      <c r="AC41" s="21"/>
      <c r="AE41" s="36" t="s">
        <v>21</v>
      </c>
      <c r="AF41" s="19"/>
      <c r="AG41" s="20"/>
      <c r="AH41" s="20"/>
      <c r="AI41" s="20"/>
      <c r="AJ41" s="20"/>
      <c r="AK41" s="21"/>
    </row>
    <row r="42" spans="1:37" x14ac:dyDescent="0.25">
      <c r="F42" s="2"/>
      <c r="G42" s="2"/>
      <c r="H42" s="2"/>
      <c r="J42" s="37"/>
      <c r="T42" s="22" t="s">
        <v>22</v>
      </c>
      <c r="U42" s="23">
        <f>SUM(K41:U41)</f>
        <v>0</v>
      </c>
      <c r="AB42" s="22" t="s">
        <v>22</v>
      </c>
      <c r="AC42" s="23">
        <f>SUM(X41:AC41)</f>
        <v>0</v>
      </c>
      <c r="AJ42" s="22" t="s">
        <v>22</v>
      </c>
      <c r="AK42" s="23">
        <f>SUM(AF41:AK41)</f>
        <v>0</v>
      </c>
    </row>
    <row r="43" spans="1:37" ht="15.75" thickBot="1" x14ac:dyDescent="0.3">
      <c r="A43" s="34"/>
      <c r="B43" s="171" t="s">
        <v>17</v>
      </c>
      <c r="C43" s="171"/>
      <c r="D43" s="171"/>
      <c r="E43" s="171"/>
      <c r="F43" s="171"/>
      <c r="G43" s="171"/>
      <c r="H43" s="171"/>
      <c r="J43" s="172" t="s">
        <v>17</v>
      </c>
      <c r="K43" s="172"/>
      <c r="L43" s="172"/>
      <c r="M43" s="172"/>
      <c r="N43" s="172"/>
      <c r="O43" s="172"/>
      <c r="P43" s="172"/>
      <c r="Q43" s="172"/>
      <c r="R43" s="172"/>
      <c r="S43" s="172"/>
      <c r="T43" s="172"/>
      <c r="U43" s="172"/>
      <c r="W43" s="173" t="str">
        <f>J43</f>
        <v>Setembro</v>
      </c>
      <c r="X43" s="173"/>
      <c r="Y43" s="173"/>
      <c r="Z43" s="173"/>
      <c r="AA43" s="173"/>
      <c r="AB43" s="173"/>
      <c r="AC43" s="173"/>
      <c r="AE43" s="174" t="str">
        <f>W43</f>
        <v>Setembro</v>
      </c>
      <c r="AF43" s="174"/>
      <c r="AG43" s="174"/>
      <c r="AH43" s="174"/>
      <c r="AI43" s="174"/>
      <c r="AJ43" s="174"/>
      <c r="AK43" s="174"/>
    </row>
    <row r="44" spans="1:37" ht="15.75" thickBot="1" x14ac:dyDescent="0.3">
      <c r="A44" s="168" t="s">
        <v>4</v>
      </c>
      <c r="B44" s="10" t="s">
        <v>5</v>
      </c>
      <c r="C44" s="11" t="s">
        <v>6</v>
      </c>
      <c r="D44" s="12" t="s">
        <v>7</v>
      </c>
      <c r="E44" s="11" t="s">
        <v>8</v>
      </c>
      <c r="F44" s="12" t="s">
        <v>9</v>
      </c>
      <c r="G44" s="11" t="s">
        <v>10</v>
      </c>
      <c r="H44" s="32" t="s">
        <v>11</v>
      </c>
      <c r="J44" s="35" t="s">
        <v>3</v>
      </c>
      <c r="K44" s="14"/>
      <c r="L44" s="15"/>
      <c r="M44" s="15"/>
      <c r="N44" s="15"/>
      <c r="O44" s="15"/>
      <c r="P44" s="15"/>
      <c r="Q44" s="15"/>
      <c r="R44" s="15"/>
      <c r="S44" s="15"/>
      <c r="T44" s="15"/>
      <c r="U44" s="16"/>
      <c r="W44" s="35" t="s">
        <v>3</v>
      </c>
      <c r="X44" s="14"/>
      <c r="Y44" s="15"/>
      <c r="Z44" s="15"/>
      <c r="AA44" s="15"/>
      <c r="AB44" s="15"/>
      <c r="AC44" s="16"/>
      <c r="AE44" s="35" t="s">
        <v>3</v>
      </c>
      <c r="AF44" s="14"/>
      <c r="AG44" s="15"/>
      <c r="AH44" s="15"/>
      <c r="AI44" s="15"/>
      <c r="AJ44" s="15"/>
      <c r="AK44" s="16"/>
    </row>
    <row r="45" spans="1:37" ht="15.75" thickBot="1" x14ac:dyDescent="0.3">
      <c r="A45" s="168"/>
      <c r="B45" s="17"/>
      <c r="C45" s="18"/>
      <c r="D45" s="18"/>
      <c r="E45" s="18"/>
      <c r="F45" s="18">
        <f>SUM(C45-B45)</f>
        <v>0</v>
      </c>
      <c r="G45" s="18">
        <f>SUM(E45-D45)</f>
        <v>0</v>
      </c>
      <c r="H45" s="33">
        <f>SUM(F45:G45)</f>
        <v>0</v>
      </c>
      <c r="J45" s="36" t="s">
        <v>21</v>
      </c>
      <c r="K45" s="19"/>
      <c r="L45" s="20"/>
      <c r="M45" s="20"/>
      <c r="N45" s="20"/>
      <c r="O45" s="20"/>
      <c r="P45" s="20"/>
      <c r="Q45" s="20"/>
      <c r="R45" s="20"/>
      <c r="S45" s="20"/>
      <c r="T45" s="20"/>
      <c r="U45" s="21"/>
      <c r="W45" s="36" t="s">
        <v>21</v>
      </c>
      <c r="X45" s="19"/>
      <c r="Y45" s="20"/>
      <c r="Z45" s="20"/>
      <c r="AA45" s="20"/>
      <c r="AB45" s="20"/>
      <c r="AC45" s="21"/>
      <c r="AE45" s="36" t="s">
        <v>21</v>
      </c>
      <c r="AF45" s="19"/>
      <c r="AG45" s="20"/>
      <c r="AH45" s="20"/>
      <c r="AI45" s="20"/>
      <c r="AJ45" s="20"/>
      <c r="AK45" s="21"/>
    </row>
    <row r="46" spans="1:37" x14ac:dyDescent="0.25">
      <c r="F46" s="2"/>
      <c r="G46" s="2"/>
      <c r="H46" s="2"/>
      <c r="J46" s="37"/>
      <c r="T46" s="22" t="s">
        <v>22</v>
      </c>
      <c r="U46" s="23">
        <f>SUM(K45:U45)</f>
        <v>0</v>
      </c>
      <c r="AB46" s="22" t="s">
        <v>22</v>
      </c>
      <c r="AC46" s="23">
        <f>SUM(X45:AC45)</f>
        <v>0</v>
      </c>
      <c r="AJ46" s="22" t="s">
        <v>22</v>
      </c>
      <c r="AK46" s="23">
        <f>SUM(AF45:AK45)</f>
        <v>0</v>
      </c>
    </row>
    <row r="47" spans="1:37" ht="15.75" thickBot="1" x14ac:dyDescent="0.3">
      <c r="A47" s="34"/>
      <c r="B47" s="171" t="s">
        <v>18</v>
      </c>
      <c r="C47" s="171"/>
      <c r="D47" s="171"/>
      <c r="E47" s="171"/>
      <c r="F47" s="171"/>
      <c r="G47" s="171"/>
      <c r="H47" s="171"/>
      <c r="J47" s="172" t="s">
        <v>18</v>
      </c>
      <c r="K47" s="172"/>
      <c r="L47" s="172"/>
      <c r="M47" s="172"/>
      <c r="N47" s="172"/>
      <c r="O47" s="172"/>
      <c r="P47" s="172"/>
      <c r="Q47" s="172"/>
      <c r="R47" s="172"/>
      <c r="S47" s="172"/>
      <c r="T47" s="172"/>
      <c r="U47" s="172"/>
      <c r="W47" s="173" t="str">
        <f>J47</f>
        <v>Outubro</v>
      </c>
      <c r="X47" s="173"/>
      <c r="Y47" s="173"/>
      <c r="Z47" s="173"/>
      <c r="AA47" s="173"/>
      <c r="AB47" s="173"/>
      <c r="AC47" s="173"/>
      <c r="AE47" s="174" t="str">
        <f>W47</f>
        <v>Outubro</v>
      </c>
      <c r="AF47" s="174"/>
      <c r="AG47" s="174"/>
      <c r="AH47" s="174"/>
      <c r="AI47" s="174"/>
      <c r="AJ47" s="174"/>
      <c r="AK47" s="174"/>
    </row>
    <row r="48" spans="1:37" ht="15.75" thickBot="1" x14ac:dyDescent="0.3">
      <c r="A48" s="168" t="s">
        <v>4</v>
      </c>
      <c r="B48" s="10" t="s">
        <v>5</v>
      </c>
      <c r="C48" s="11" t="s">
        <v>6</v>
      </c>
      <c r="D48" s="12" t="s">
        <v>7</v>
      </c>
      <c r="E48" s="11" t="s">
        <v>8</v>
      </c>
      <c r="F48" s="12" t="s">
        <v>9</v>
      </c>
      <c r="G48" s="11" t="s">
        <v>10</v>
      </c>
      <c r="H48" s="32" t="s">
        <v>11</v>
      </c>
      <c r="J48" s="35" t="s">
        <v>3</v>
      </c>
      <c r="K48" s="14"/>
      <c r="L48" s="15"/>
      <c r="M48" s="15"/>
      <c r="N48" s="15"/>
      <c r="O48" s="15"/>
      <c r="P48" s="15"/>
      <c r="Q48" s="15"/>
      <c r="R48" s="15"/>
      <c r="S48" s="15"/>
      <c r="T48" s="15"/>
      <c r="U48" s="16"/>
      <c r="W48" s="35" t="s">
        <v>3</v>
      </c>
      <c r="X48" s="14"/>
      <c r="Y48" s="15"/>
      <c r="Z48" s="15"/>
      <c r="AA48" s="15"/>
      <c r="AB48" s="15"/>
      <c r="AC48" s="16"/>
      <c r="AE48" s="35" t="s">
        <v>3</v>
      </c>
      <c r="AF48" s="14"/>
      <c r="AG48" s="15"/>
      <c r="AH48" s="15"/>
      <c r="AI48" s="15"/>
      <c r="AJ48" s="15"/>
      <c r="AK48" s="16"/>
    </row>
    <row r="49" spans="1:37" ht="15.75" thickBot="1" x14ac:dyDescent="0.3">
      <c r="A49" s="168"/>
      <c r="B49" s="17"/>
      <c r="C49" s="18"/>
      <c r="D49" s="18"/>
      <c r="E49" s="18"/>
      <c r="F49" s="18">
        <f>SUM(C49-B49)</f>
        <v>0</v>
      </c>
      <c r="G49" s="18">
        <f>SUM(E49-D49)</f>
        <v>0</v>
      </c>
      <c r="H49" s="33">
        <f>SUM(F49:G49)</f>
        <v>0</v>
      </c>
      <c r="J49" s="36" t="s">
        <v>21</v>
      </c>
      <c r="K49" s="19"/>
      <c r="L49" s="20"/>
      <c r="M49" s="20"/>
      <c r="N49" s="20"/>
      <c r="O49" s="20"/>
      <c r="P49" s="20"/>
      <c r="Q49" s="20"/>
      <c r="R49" s="20"/>
      <c r="S49" s="20"/>
      <c r="T49" s="20"/>
      <c r="U49" s="21"/>
      <c r="W49" s="36" t="s">
        <v>21</v>
      </c>
      <c r="X49" s="19"/>
      <c r="Y49" s="20"/>
      <c r="Z49" s="20"/>
      <c r="AA49" s="20"/>
      <c r="AB49" s="20"/>
      <c r="AC49" s="21"/>
      <c r="AE49" s="36" t="s">
        <v>21</v>
      </c>
      <c r="AF49" s="19"/>
      <c r="AG49" s="20"/>
      <c r="AH49" s="20"/>
      <c r="AI49" s="20"/>
      <c r="AJ49" s="20"/>
      <c r="AK49" s="21"/>
    </row>
    <row r="50" spans="1:37" x14ac:dyDescent="0.25">
      <c r="F50" s="2"/>
      <c r="G50" s="2"/>
      <c r="H50" s="2"/>
      <c r="J50" s="37"/>
      <c r="T50" s="22" t="s">
        <v>22</v>
      </c>
      <c r="U50" s="23">
        <f>SUM(K49:U49)</f>
        <v>0</v>
      </c>
      <c r="AB50" s="22" t="s">
        <v>22</v>
      </c>
      <c r="AC50" s="23">
        <f>SUM(X49:AC49)</f>
        <v>0</v>
      </c>
      <c r="AJ50" s="22" t="s">
        <v>22</v>
      </c>
      <c r="AK50" s="23">
        <f>SUM(AF49:AK49)</f>
        <v>0</v>
      </c>
    </row>
    <row r="51" spans="1:37" ht="15.75" thickBot="1" x14ac:dyDescent="0.3">
      <c r="A51" s="34"/>
      <c r="B51" s="171" t="s">
        <v>19</v>
      </c>
      <c r="C51" s="171"/>
      <c r="D51" s="171"/>
      <c r="E51" s="171"/>
      <c r="F51" s="171"/>
      <c r="G51" s="171"/>
      <c r="H51" s="171"/>
      <c r="J51" s="172" t="s">
        <v>19</v>
      </c>
      <c r="K51" s="172"/>
      <c r="L51" s="172"/>
      <c r="M51" s="172"/>
      <c r="N51" s="172"/>
      <c r="O51" s="172"/>
      <c r="P51" s="172"/>
      <c r="Q51" s="172"/>
      <c r="R51" s="172"/>
      <c r="S51" s="172"/>
      <c r="T51" s="172"/>
      <c r="U51" s="172"/>
      <c r="W51" s="173" t="str">
        <f>J51</f>
        <v>Novembro</v>
      </c>
      <c r="X51" s="173"/>
      <c r="Y51" s="173"/>
      <c r="Z51" s="173"/>
      <c r="AA51" s="173"/>
      <c r="AB51" s="173"/>
      <c r="AC51" s="173"/>
      <c r="AE51" s="174" t="str">
        <f>W51</f>
        <v>Novembro</v>
      </c>
      <c r="AF51" s="174"/>
      <c r="AG51" s="174"/>
      <c r="AH51" s="174"/>
      <c r="AI51" s="174"/>
      <c r="AJ51" s="174"/>
      <c r="AK51" s="174"/>
    </row>
    <row r="52" spans="1:37" ht="15.75" thickBot="1" x14ac:dyDescent="0.3">
      <c r="A52" s="168" t="s">
        <v>4</v>
      </c>
      <c r="B52" s="10" t="s">
        <v>5</v>
      </c>
      <c r="C52" s="11" t="s">
        <v>6</v>
      </c>
      <c r="D52" s="12" t="s">
        <v>7</v>
      </c>
      <c r="E52" s="11" t="s">
        <v>8</v>
      </c>
      <c r="F52" s="12" t="s">
        <v>9</v>
      </c>
      <c r="G52" s="11" t="s">
        <v>10</v>
      </c>
      <c r="H52" s="32" t="s">
        <v>11</v>
      </c>
      <c r="J52" s="35" t="s">
        <v>3</v>
      </c>
      <c r="K52" s="14"/>
      <c r="L52" s="15"/>
      <c r="M52" s="15"/>
      <c r="N52" s="15"/>
      <c r="O52" s="15"/>
      <c r="P52" s="15"/>
      <c r="Q52" s="15"/>
      <c r="R52" s="15"/>
      <c r="S52" s="15"/>
      <c r="T52" s="15"/>
      <c r="U52" s="16"/>
      <c r="W52" s="35" t="s">
        <v>3</v>
      </c>
      <c r="X52" s="14"/>
      <c r="Y52" s="15"/>
      <c r="Z52" s="15"/>
      <c r="AA52" s="15"/>
      <c r="AB52" s="15"/>
      <c r="AC52" s="16"/>
      <c r="AE52" s="35" t="s">
        <v>3</v>
      </c>
      <c r="AF52" s="14"/>
      <c r="AG52" s="15"/>
      <c r="AH52" s="15"/>
      <c r="AI52" s="15"/>
      <c r="AJ52" s="15"/>
      <c r="AK52" s="16"/>
    </row>
    <row r="53" spans="1:37" ht="15.75" thickBot="1" x14ac:dyDescent="0.3">
      <c r="A53" s="168"/>
      <c r="B53" s="17"/>
      <c r="C53" s="18"/>
      <c r="D53" s="18"/>
      <c r="E53" s="18"/>
      <c r="F53" s="18">
        <f>SUM(C53-B53)</f>
        <v>0</v>
      </c>
      <c r="G53" s="18">
        <f>SUM(E53-D53)</f>
        <v>0</v>
      </c>
      <c r="H53" s="33">
        <f>SUM(F53:G53)</f>
        <v>0</v>
      </c>
      <c r="J53" s="36" t="s">
        <v>21</v>
      </c>
      <c r="K53" s="19"/>
      <c r="L53" s="20"/>
      <c r="M53" s="20"/>
      <c r="N53" s="20"/>
      <c r="O53" s="20"/>
      <c r="P53" s="20"/>
      <c r="Q53" s="20"/>
      <c r="R53" s="20"/>
      <c r="S53" s="20"/>
      <c r="T53" s="20"/>
      <c r="U53" s="21"/>
      <c r="W53" s="36" t="s">
        <v>21</v>
      </c>
      <c r="X53" s="19"/>
      <c r="Y53" s="20"/>
      <c r="Z53" s="20"/>
      <c r="AA53" s="20"/>
      <c r="AB53" s="20"/>
      <c r="AC53" s="21"/>
      <c r="AE53" s="36" t="s">
        <v>21</v>
      </c>
      <c r="AF53" s="19"/>
      <c r="AG53" s="20"/>
      <c r="AH53" s="20"/>
      <c r="AI53" s="20"/>
      <c r="AJ53" s="20"/>
      <c r="AK53" s="21"/>
    </row>
    <row r="54" spans="1:37" x14ac:dyDescent="0.25">
      <c r="F54" s="2"/>
      <c r="G54" s="2"/>
      <c r="H54" s="2"/>
      <c r="J54" s="37"/>
      <c r="T54" s="22" t="s">
        <v>22</v>
      </c>
      <c r="U54" s="23">
        <f>SUM(K53:U53)</f>
        <v>0</v>
      </c>
      <c r="AB54" s="22" t="s">
        <v>22</v>
      </c>
      <c r="AC54" s="23">
        <f>SUM(X53:AC53)</f>
        <v>0</v>
      </c>
      <c r="AJ54" s="22" t="s">
        <v>22</v>
      </c>
      <c r="AK54" s="23">
        <f>SUM(AF53:AK53)</f>
        <v>0</v>
      </c>
    </row>
    <row r="55" spans="1:37" ht="15.75" thickBot="1" x14ac:dyDescent="0.3">
      <c r="A55" s="34"/>
      <c r="B55" s="171" t="s">
        <v>20</v>
      </c>
      <c r="C55" s="171"/>
      <c r="D55" s="171"/>
      <c r="E55" s="171"/>
      <c r="F55" s="171"/>
      <c r="G55" s="171"/>
      <c r="H55" s="171"/>
      <c r="J55" s="172" t="s">
        <v>20</v>
      </c>
      <c r="K55" s="172"/>
      <c r="L55" s="172"/>
      <c r="M55" s="172"/>
      <c r="N55" s="172"/>
      <c r="O55" s="172"/>
      <c r="P55" s="172"/>
      <c r="Q55" s="172"/>
      <c r="R55" s="172"/>
      <c r="S55" s="172"/>
      <c r="T55" s="172"/>
      <c r="U55" s="172"/>
      <c r="W55" s="173" t="str">
        <f>J55</f>
        <v>Dezembro</v>
      </c>
      <c r="X55" s="173"/>
      <c r="Y55" s="173"/>
      <c r="Z55" s="173"/>
      <c r="AA55" s="173"/>
      <c r="AB55" s="173"/>
      <c r="AC55" s="173"/>
      <c r="AE55" s="174" t="str">
        <f>W55</f>
        <v>Dezembro</v>
      </c>
      <c r="AF55" s="174"/>
      <c r="AG55" s="174"/>
      <c r="AH55" s="174"/>
      <c r="AI55" s="174"/>
      <c r="AJ55" s="174"/>
      <c r="AK55" s="174"/>
    </row>
    <row r="56" spans="1:37" ht="15.75" thickBot="1" x14ac:dyDescent="0.3">
      <c r="A56" s="168" t="s">
        <v>4</v>
      </c>
      <c r="B56" s="10" t="s">
        <v>5</v>
      </c>
      <c r="C56" s="11" t="s">
        <v>6</v>
      </c>
      <c r="D56" s="12" t="s">
        <v>7</v>
      </c>
      <c r="E56" s="11" t="s">
        <v>8</v>
      </c>
      <c r="F56" s="12" t="s">
        <v>9</v>
      </c>
      <c r="G56" s="11" t="s">
        <v>10</v>
      </c>
      <c r="H56" s="32" t="s">
        <v>11</v>
      </c>
      <c r="J56" s="35" t="s">
        <v>3</v>
      </c>
      <c r="K56" s="14"/>
      <c r="L56" s="15"/>
      <c r="M56" s="15"/>
      <c r="N56" s="15"/>
      <c r="O56" s="15"/>
      <c r="P56" s="15"/>
      <c r="Q56" s="15"/>
      <c r="R56" s="15"/>
      <c r="S56" s="15"/>
      <c r="T56" s="15"/>
      <c r="U56" s="16"/>
      <c r="W56" s="35" t="s">
        <v>3</v>
      </c>
      <c r="X56" s="14"/>
      <c r="Y56" s="15"/>
      <c r="Z56" s="15"/>
      <c r="AA56" s="15"/>
      <c r="AB56" s="15"/>
      <c r="AC56" s="16"/>
      <c r="AE56" s="35" t="s">
        <v>3</v>
      </c>
      <c r="AF56" s="14"/>
      <c r="AG56" s="15"/>
      <c r="AH56" s="15"/>
      <c r="AI56" s="15"/>
      <c r="AJ56" s="15"/>
      <c r="AK56" s="16"/>
    </row>
    <row r="57" spans="1:37" ht="15.75" thickBot="1" x14ac:dyDescent="0.3">
      <c r="A57" s="168"/>
      <c r="B57" s="17"/>
      <c r="C57" s="18"/>
      <c r="D57" s="18"/>
      <c r="E57" s="18"/>
      <c r="F57" s="18">
        <f>SUM(C57-B57)</f>
        <v>0</v>
      </c>
      <c r="G57" s="18">
        <f>SUM(E57-D57)</f>
        <v>0</v>
      </c>
      <c r="H57" s="33">
        <f>SUM(F57:G57)</f>
        <v>0</v>
      </c>
      <c r="J57" s="36" t="s">
        <v>21</v>
      </c>
      <c r="K57" s="19"/>
      <c r="L57" s="20"/>
      <c r="M57" s="20"/>
      <c r="N57" s="20"/>
      <c r="O57" s="20"/>
      <c r="P57" s="20"/>
      <c r="Q57" s="20"/>
      <c r="R57" s="20"/>
      <c r="S57" s="20"/>
      <c r="T57" s="20"/>
      <c r="U57" s="21"/>
      <c r="W57" s="36" t="s">
        <v>21</v>
      </c>
      <c r="X57" s="19"/>
      <c r="Y57" s="20"/>
      <c r="Z57" s="20"/>
      <c r="AA57" s="20"/>
      <c r="AB57" s="20"/>
      <c r="AC57" s="21"/>
      <c r="AE57" s="36" t="s">
        <v>21</v>
      </c>
      <c r="AF57" s="19"/>
      <c r="AG57" s="20"/>
      <c r="AH57" s="20"/>
      <c r="AI57" s="20"/>
      <c r="AJ57" s="20"/>
      <c r="AK57" s="21"/>
    </row>
    <row r="58" spans="1:37" x14ac:dyDescent="0.25">
      <c r="J58" s="37"/>
      <c r="T58" s="22" t="s">
        <v>22</v>
      </c>
      <c r="U58" s="23">
        <f>SUM(K57:U57)</f>
        <v>0</v>
      </c>
      <c r="AB58" s="22" t="s">
        <v>22</v>
      </c>
      <c r="AC58" s="23">
        <f>SUM(X57:AC57)</f>
        <v>0</v>
      </c>
      <c r="AJ58" s="22" t="s">
        <v>22</v>
      </c>
      <c r="AK58" s="23">
        <f>SUM(AF57:AK57)</f>
        <v>0</v>
      </c>
    </row>
  </sheetData>
  <mergeCells count="71">
    <mergeCell ref="B55:H55"/>
    <mergeCell ref="J55:U55"/>
    <mergeCell ref="W55:AC55"/>
    <mergeCell ref="AE55:AK55"/>
    <mergeCell ref="A56:A57"/>
    <mergeCell ref="A52:A53"/>
    <mergeCell ref="B43:H43"/>
    <mergeCell ref="J43:U43"/>
    <mergeCell ref="W43:AC43"/>
    <mergeCell ref="AE43:AK43"/>
    <mergeCell ref="A44:A45"/>
    <mergeCell ref="B47:H47"/>
    <mergeCell ref="J47:U47"/>
    <mergeCell ref="W47:AC47"/>
    <mergeCell ref="AE47:AK47"/>
    <mergeCell ref="A48:A49"/>
    <mergeCell ref="B51:H51"/>
    <mergeCell ref="J51:U51"/>
    <mergeCell ref="W51:AC51"/>
    <mergeCell ref="AE51:AK51"/>
    <mergeCell ref="A40:A41"/>
    <mergeCell ref="B31:H31"/>
    <mergeCell ref="J31:U31"/>
    <mergeCell ref="W31:AC31"/>
    <mergeCell ref="AE31:AK31"/>
    <mergeCell ref="A32:A33"/>
    <mergeCell ref="B35:H35"/>
    <mergeCell ref="J35:U35"/>
    <mergeCell ref="W35:AC35"/>
    <mergeCell ref="AE35:AK35"/>
    <mergeCell ref="A36:A37"/>
    <mergeCell ref="B39:H39"/>
    <mergeCell ref="J39:U39"/>
    <mergeCell ref="W39:AC39"/>
    <mergeCell ref="AE39:AK39"/>
    <mergeCell ref="A28:A29"/>
    <mergeCell ref="B19:H19"/>
    <mergeCell ref="J19:U19"/>
    <mergeCell ref="W19:AC19"/>
    <mergeCell ref="AE19:AK19"/>
    <mergeCell ref="A20:A21"/>
    <mergeCell ref="B23:H23"/>
    <mergeCell ref="J23:U23"/>
    <mergeCell ref="W23:AC23"/>
    <mergeCell ref="AE23:AK23"/>
    <mergeCell ref="A24:A25"/>
    <mergeCell ref="B27:H27"/>
    <mergeCell ref="J27:U27"/>
    <mergeCell ref="W27:AC27"/>
    <mergeCell ref="AE27:AK27"/>
    <mergeCell ref="A16:A17"/>
    <mergeCell ref="A9:H9"/>
    <mergeCell ref="J9:U9"/>
    <mergeCell ref="W9:AC9"/>
    <mergeCell ref="AE9:AK9"/>
    <mergeCell ref="B11:H11"/>
    <mergeCell ref="J11:U11"/>
    <mergeCell ref="W11:AC11"/>
    <mergeCell ref="AE11:AK11"/>
    <mergeCell ref="A12:A13"/>
    <mergeCell ref="B15:H15"/>
    <mergeCell ref="J15:U15"/>
    <mergeCell ref="W15:AC15"/>
    <mergeCell ref="AE15:AK15"/>
    <mergeCell ref="B6:C6"/>
    <mergeCell ref="E6:F6"/>
    <mergeCell ref="A1:A2"/>
    <mergeCell ref="B1:AK1"/>
    <mergeCell ref="B2:AK2"/>
    <mergeCell ref="B4:C4"/>
    <mergeCell ref="E4:F4"/>
  </mergeCells>
  <pageMargins left="0.511811024" right="0.511811024" top="0.78740157499999996" bottom="0.78740157499999996" header="0.31496062000000002" footer="0.31496062000000002"/>
  <drawing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C6916B-658F-40AA-8864-B8D2DFE3C372}">
  <dimension ref="A1:AK58"/>
  <sheetViews>
    <sheetView topLeftCell="A3" workbookViewId="0">
      <selection activeCell="B29" sqref="B29"/>
    </sheetView>
  </sheetViews>
  <sheetFormatPr defaultRowHeight="15" x14ac:dyDescent="0.25"/>
  <cols>
    <col min="1" max="1" width="14.85546875" style="2" customWidth="1"/>
    <col min="2" max="2" width="11.7109375" style="2" bestFit="1" customWidth="1"/>
    <col min="3" max="3" width="9.28515625" style="2" bestFit="1" customWidth="1"/>
    <col min="4" max="4" width="10.7109375" style="2" customWidth="1"/>
    <col min="5" max="5" width="9.28515625" style="2" bestFit="1" customWidth="1"/>
    <col min="6" max="6" width="13.140625" style="1" customWidth="1"/>
    <col min="7" max="7" width="13.85546875" style="1" customWidth="1"/>
    <col min="8" max="8" width="11.85546875" style="1" bestFit="1" customWidth="1"/>
    <col min="9" max="9" width="9.85546875" style="1" customWidth="1"/>
    <col min="10" max="10" width="9.42578125" style="2" customWidth="1"/>
    <col min="11" max="13" width="10.42578125" style="1" bestFit="1" customWidth="1"/>
    <col min="14" max="20" width="9.140625" style="1"/>
    <col min="21" max="21" width="10.42578125" style="1" bestFit="1" customWidth="1"/>
    <col min="22" max="22" width="9.140625" style="1"/>
    <col min="23" max="23" width="9.140625" style="2"/>
    <col min="24" max="30" width="9.140625" style="1"/>
    <col min="31" max="31" width="9.140625" style="2"/>
    <col min="32" max="33" width="9.140625" style="1"/>
    <col min="34" max="36" width="10.140625" style="1" bestFit="1" customWidth="1"/>
    <col min="37" max="37" width="9.140625" style="1"/>
  </cols>
  <sheetData>
    <row r="1" spans="1:37" ht="21" x14ac:dyDescent="0.25">
      <c r="A1" s="162"/>
      <c r="B1" s="164" t="s">
        <v>51</v>
      </c>
      <c r="C1" s="164"/>
      <c r="D1" s="164"/>
      <c r="E1" s="164"/>
      <c r="F1" s="164"/>
      <c r="G1" s="164"/>
      <c r="H1" s="164"/>
      <c r="I1" s="164"/>
      <c r="J1" s="164"/>
      <c r="K1" s="164"/>
      <c r="L1" s="164"/>
      <c r="M1" s="164"/>
      <c r="N1" s="164"/>
      <c r="O1" s="164"/>
      <c r="P1" s="164"/>
      <c r="Q1" s="164"/>
      <c r="R1" s="164"/>
      <c r="S1" s="164"/>
      <c r="T1" s="164"/>
      <c r="U1" s="164"/>
      <c r="V1" s="164"/>
      <c r="W1" s="164"/>
      <c r="X1" s="164"/>
      <c r="Y1" s="164"/>
      <c r="Z1" s="164"/>
      <c r="AA1" s="164"/>
      <c r="AB1" s="164"/>
      <c r="AC1" s="164"/>
      <c r="AD1" s="164"/>
      <c r="AE1" s="164"/>
      <c r="AF1" s="164"/>
      <c r="AG1" s="164"/>
      <c r="AH1" s="164"/>
      <c r="AI1" s="164"/>
      <c r="AJ1" s="164"/>
      <c r="AK1" s="165"/>
    </row>
    <row r="2" spans="1:37" ht="21" x14ac:dyDescent="0.25">
      <c r="A2" s="163"/>
      <c r="B2" s="166" t="s">
        <v>50</v>
      </c>
      <c r="C2" s="166"/>
      <c r="D2" s="166"/>
      <c r="E2" s="166"/>
      <c r="F2" s="166"/>
      <c r="G2" s="166"/>
      <c r="H2" s="166"/>
      <c r="I2" s="166"/>
      <c r="J2" s="166"/>
      <c r="K2" s="166"/>
      <c r="L2" s="166"/>
      <c r="M2" s="166"/>
      <c r="N2" s="166"/>
      <c r="O2" s="166"/>
      <c r="P2" s="166"/>
      <c r="Q2" s="166"/>
      <c r="R2" s="166"/>
      <c r="S2" s="166"/>
      <c r="T2" s="166"/>
      <c r="U2" s="166"/>
      <c r="V2" s="166"/>
      <c r="W2" s="166"/>
      <c r="X2" s="166"/>
      <c r="Y2" s="166"/>
      <c r="Z2" s="166"/>
      <c r="AA2" s="166"/>
      <c r="AB2" s="166"/>
      <c r="AC2" s="166"/>
      <c r="AD2" s="166"/>
      <c r="AE2" s="166"/>
      <c r="AF2" s="166"/>
      <c r="AG2" s="166"/>
      <c r="AH2" s="166"/>
      <c r="AI2" s="166"/>
      <c r="AJ2" s="166"/>
      <c r="AK2" s="167"/>
    </row>
    <row r="4" spans="1:37" x14ac:dyDescent="0.25">
      <c r="A4" s="31" t="s">
        <v>47</v>
      </c>
      <c r="B4" s="161" t="s">
        <v>164</v>
      </c>
      <c r="C4" s="161"/>
      <c r="D4" s="31" t="s">
        <v>0</v>
      </c>
      <c r="E4" s="161" t="s">
        <v>163</v>
      </c>
      <c r="F4" s="161"/>
      <c r="G4" s="31" t="s">
        <v>165</v>
      </c>
      <c r="H4" s="137">
        <v>3000</v>
      </c>
    </row>
    <row r="5" spans="1:37" x14ac:dyDescent="0.25">
      <c r="A5" s="31"/>
      <c r="D5" s="31"/>
      <c r="F5" s="2"/>
      <c r="G5" s="31"/>
    </row>
    <row r="6" spans="1:37" x14ac:dyDescent="0.25">
      <c r="A6" s="31" t="s">
        <v>48</v>
      </c>
      <c r="B6" s="160">
        <v>3837</v>
      </c>
      <c r="C6" s="160"/>
      <c r="D6" s="31" t="s">
        <v>44</v>
      </c>
      <c r="E6" s="161" t="s">
        <v>162</v>
      </c>
      <c r="F6" s="161"/>
      <c r="G6" s="31" t="s">
        <v>46</v>
      </c>
      <c r="H6" s="5">
        <v>46076</v>
      </c>
    </row>
    <row r="9" spans="1:37" ht="18.75" x14ac:dyDescent="0.3">
      <c r="A9" s="169" t="s">
        <v>26</v>
      </c>
      <c r="B9" s="169"/>
      <c r="C9" s="169"/>
      <c r="D9" s="169"/>
      <c r="E9" s="169"/>
      <c r="F9" s="169"/>
      <c r="G9" s="169"/>
      <c r="H9" s="169"/>
      <c r="I9" s="28"/>
      <c r="J9" s="169" t="s">
        <v>24</v>
      </c>
      <c r="K9" s="169"/>
      <c r="L9" s="169"/>
      <c r="M9" s="169"/>
      <c r="N9" s="169"/>
      <c r="O9" s="169"/>
      <c r="P9" s="169"/>
      <c r="Q9" s="169"/>
      <c r="R9" s="169"/>
      <c r="S9" s="169"/>
      <c r="T9" s="169"/>
      <c r="U9" s="169"/>
      <c r="V9" s="29"/>
      <c r="W9" s="170" t="s">
        <v>49</v>
      </c>
      <c r="X9" s="170"/>
      <c r="Y9" s="170"/>
      <c r="Z9" s="170"/>
      <c r="AA9" s="170"/>
      <c r="AB9" s="170"/>
      <c r="AC9" s="170"/>
      <c r="AD9" s="29"/>
      <c r="AE9" s="170" t="s">
        <v>25</v>
      </c>
      <c r="AF9" s="170"/>
      <c r="AG9" s="170"/>
      <c r="AH9" s="170"/>
      <c r="AI9" s="170"/>
      <c r="AJ9" s="170"/>
      <c r="AK9" s="170"/>
    </row>
    <row r="10" spans="1:37" x14ac:dyDescent="0.25">
      <c r="A10" s="7"/>
      <c r="B10" s="7"/>
      <c r="C10" s="7"/>
      <c r="D10" s="7"/>
      <c r="E10" s="7"/>
      <c r="F10" s="7"/>
      <c r="G10" s="7"/>
      <c r="H10" s="7"/>
      <c r="I10" s="6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8"/>
      <c r="W10" s="9"/>
      <c r="X10" s="9"/>
      <c r="Y10" s="9"/>
      <c r="Z10" s="9"/>
      <c r="AA10" s="9"/>
      <c r="AB10" s="9"/>
      <c r="AC10" s="9"/>
      <c r="AD10" s="8"/>
      <c r="AE10" s="9"/>
      <c r="AF10" s="9"/>
      <c r="AG10" s="9"/>
      <c r="AH10" s="9"/>
      <c r="AI10" s="9"/>
      <c r="AJ10" s="9"/>
      <c r="AK10" s="9"/>
    </row>
    <row r="11" spans="1:37" ht="15.75" thickBot="1" x14ac:dyDescent="0.3">
      <c r="A11" s="34"/>
      <c r="B11" s="171" t="s">
        <v>54</v>
      </c>
      <c r="C11" s="171"/>
      <c r="D11" s="171"/>
      <c r="E11" s="171"/>
      <c r="F11" s="171"/>
      <c r="G11" s="171"/>
      <c r="H11" s="171"/>
      <c r="I11" s="6"/>
      <c r="J11" s="172" t="s">
        <v>54</v>
      </c>
      <c r="K11" s="172"/>
      <c r="L11" s="172"/>
      <c r="M11" s="172"/>
      <c r="N11" s="172"/>
      <c r="O11" s="172"/>
      <c r="P11" s="172"/>
      <c r="Q11" s="172"/>
      <c r="R11" s="172"/>
      <c r="S11" s="172"/>
      <c r="T11" s="172"/>
      <c r="U11" s="172"/>
      <c r="V11" s="8"/>
      <c r="W11" s="173" t="s">
        <v>54</v>
      </c>
      <c r="X11" s="173"/>
      <c r="Y11" s="173"/>
      <c r="Z11" s="173"/>
      <c r="AA11" s="173"/>
      <c r="AB11" s="173"/>
      <c r="AC11" s="173"/>
      <c r="AD11" s="8"/>
      <c r="AE11" s="174" t="s">
        <v>54</v>
      </c>
      <c r="AF11" s="174"/>
      <c r="AG11" s="174"/>
      <c r="AH11" s="174"/>
      <c r="AI11" s="174"/>
      <c r="AJ11" s="174"/>
      <c r="AK11" s="174"/>
    </row>
    <row r="12" spans="1:37" ht="15.75" thickBot="1" x14ac:dyDescent="0.3">
      <c r="A12" s="168" t="s">
        <v>4</v>
      </c>
      <c r="B12" s="10" t="s">
        <v>5</v>
      </c>
      <c r="C12" s="11" t="s">
        <v>6</v>
      </c>
      <c r="D12" s="12" t="s">
        <v>7</v>
      </c>
      <c r="E12" s="11" t="s">
        <v>8</v>
      </c>
      <c r="F12" s="12" t="s">
        <v>9</v>
      </c>
      <c r="G12" s="11" t="s">
        <v>10</v>
      </c>
      <c r="H12" s="32" t="s">
        <v>11</v>
      </c>
      <c r="I12" s="6"/>
      <c r="J12" s="35" t="s">
        <v>3</v>
      </c>
      <c r="K12" s="14"/>
      <c r="L12" s="15"/>
      <c r="M12" s="15"/>
      <c r="N12" s="15"/>
      <c r="O12" s="15"/>
      <c r="P12" s="15"/>
      <c r="Q12" s="15"/>
      <c r="R12" s="15"/>
      <c r="S12" s="15"/>
      <c r="T12" s="15"/>
      <c r="U12" s="16"/>
      <c r="V12" s="8"/>
      <c r="W12" s="35" t="s">
        <v>3</v>
      </c>
      <c r="X12" s="14"/>
      <c r="Y12" s="15"/>
      <c r="Z12" s="15"/>
      <c r="AA12" s="15"/>
      <c r="AB12" s="15"/>
      <c r="AC12" s="16"/>
      <c r="AD12" s="8"/>
      <c r="AE12" s="35" t="s">
        <v>3</v>
      </c>
      <c r="AF12" s="14"/>
      <c r="AG12" s="15"/>
      <c r="AH12" s="15"/>
      <c r="AI12" s="15"/>
      <c r="AJ12" s="15"/>
      <c r="AK12" s="16"/>
    </row>
    <row r="13" spans="1:37" ht="15.75" thickBot="1" x14ac:dyDescent="0.3">
      <c r="A13" s="168"/>
      <c r="B13" s="17"/>
      <c r="C13" s="18"/>
      <c r="D13" s="18"/>
      <c r="E13" s="18"/>
      <c r="F13" s="18">
        <f>SUM(C13-B13)</f>
        <v>0</v>
      </c>
      <c r="G13" s="18">
        <f>SUM(E13-D13)</f>
        <v>0</v>
      </c>
      <c r="H13" s="33">
        <f>SUM(F13:G13)</f>
        <v>0</v>
      </c>
      <c r="I13" s="6"/>
      <c r="J13" s="36" t="s">
        <v>21</v>
      </c>
      <c r="K13" s="19"/>
      <c r="L13" s="20"/>
      <c r="M13" s="20"/>
      <c r="N13" s="20"/>
      <c r="O13" s="20"/>
      <c r="P13" s="20"/>
      <c r="Q13" s="20"/>
      <c r="R13" s="20"/>
      <c r="S13" s="20"/>
      <c r="T13" s="20"/>
      <c r="U13" s="21"/>
      <c r="V13" s="8"/>
      <c r="W13" s="36" t="s">
        <v>21</v>
      </c>
      <c r="X13" s="19"/>
      <c r="Y13" s="20"/>
      <c r="Z13" s="20"/>
      <c r="AA13" s="20"/>
      <c r="AB13" s="20"/>
      <c r="AC13" s="21"/>
      <c r="AD13" s="8"/>
      <c r="AE13" s="36" t="s">
        <v>21</v>
      </c>
      <c r="AF13" s="19"/>
      <c r="AG13" s="20"/>
      <c r="AH13" s="20"/>
      <c r="AI13" s="20"/>
      <c r="AJ13" s="20"/>
      <c r="AK13" s="21"/>
    </row>
    <row r="14" spans="1:37" x14ac:dyDescent="0.25">
      <c r="A14" s="7"/>
      <c r="B14" s="7"/>
      <c r="C14" s="7"/>
      <c r="D14" s="7"/>
      <c r="E14" s="7"/>
      <c r="F14" s="7"/>
      <c r="G14" s="7"/>
      <c r="H14" s="7"/>
      <c r="I14" s="6"/>
      <c r="J14" s="7"/>
      <c r="K14" s="7"/>
      <c r="L14" s="7"/>
      <c r="M14" s="7"/>
      <c r="N14" s="7"/>
      <c r="O14" s="7"/>
      <c r="P14" s="7"/>
      <c r="Q14" s="7"/>
      <c r="R14" s="7"/>
      <c r="S14" s="7"/>
      <c r="T14" s="22" t="s">
        <v>22</v>
      </c>
      <c r="U14" s="23">
        <f>SUM(K13:U13)</f>
        <v>0</v>
      </c>
      <c r="V14" s="8"/>
      <c r="AB14" s="22" t="s">
        <v>22</v>
      </c>
      <c r="AC14" s="23">
        <f>SUM(X13:AC13)</f>
        <v>0</v>
      </c>
      <c r="AD14" s="8"/>
      <c r="AJ14" s="22" t="s">
        <v>22</v>
      </c>
      <c r="AK14" s="23">
        <f>SUM(AF13:AK13)</f>
        <v>0</v>
      </c>
    </row>
    <row r="15" spans="1:37" ht="15.75" thickBot="1" x14ac:dyDescent="0.3">
      <c r="A15" s="34"/>
      <c r="B15" s="171" t="s">
        <v>2</v>
      </c>
      <c r="C15" s="171"/>
      <c r="D15" s="171"/>
      <c r="E15" s="171"/>
      <c r="F15" s="171"/>
      <c r="G15" s="171"/>
      <c r="H15" s="171"/>
      <c r="J15" s="172" t="s">
        <v>2</v>
      </c>
      <c r="K15" s="172"/>
      <c r="L15" s="172"/>
      <c r="M15" s="172"/>
      <c r="N15" s="172"/>
      <c r="O15" s="172"/>
      <c r="P15" s="172"/>
      <c r="Q15" s="172"/>
      <c r="R15" s="172"/>
      <c r="S15" s="172"/>
      <c r="T15" s="172"/>
      <c r="U15" s="172"/>
      <c r="W15" s="173" t="s">
        <v>2</v>
      </c>
      <c r="X15" s="173"/>
      <c r="Y15" s="173"/>
      <c r="Z15" s="173"/>
      <c r="AA15" s="173"/>
      <c r="AB15" s="173"/>
      <c r="AC15" s="173"/>
      <c r="AE15" s="174" t="s">
        <v>2</v>
      </c>
      <c r="AF15" s="174"/>
      <c r="AG15" s="174"/>
      <c r="AH15" s="174"/>
      <c r="AI15" s="174"/>
      <c r="AJ15" s="174"/>
      <c r="AK15" s="174"/>
    </row>
    <row r="16" spans="1:37" ht="15.75" thickBot="1" x14ac:dyDescent="0.3">
      <c r="A16" s="168" t="s">
        <v>4</v>
      </c>
      <c r="B16" s="10" t="s">
        <v>5</v>
      </c>
      <c r="C16" s="11" t="s">
        <v>6</v>
      </c>
      <c r="D16" s="12" t="s">
        <v>7</v>
      </c>
      <c r="E16" s="11" t="s">
        <v>8</v>
      </c>
      <c r="F16" s="12" t="s">
        <v>9</v>
      </c>
      <c r="G16" s="11" t="s">
        <v>10</v>
      </c>
      <c r="H16" s="32" t="s">
        <v>11</v>
      </c>
      <c r="J16" s="35" t="s">
        <v>3</v>
      </c>
      <c r="K16" s="14"/>
      <c r="L16" s="15"/>
      <c r="M16" s="15"/>
      <c r="N16" s="15"/>
      <c r="O16" s="15"/>
      <c r="P16" s="15"/>
      <c r="Q16" s="15"/>
      <c r="R16" s="15"/>
      <c r="S16" s="15"/>
      <c r="T16" s="15"/>
      <c r="U16" s="16"/>
      <c r="W16" s="35" t="s">
        <v>3</v>
      </c>
      <c r="X16" s="14"/>
      <c r="Y16" s="15"/>
      <c r="Z16" s="15"/>
      <c r="AA16" s="15"/>
      <c r="AB16" s="15"/>
      <c r="AC16" s="16"/>
      <c r="AE16" s="35" t="s">
        <v>3</v>
      </c>
      <c r="AF16" s="14"/>
      <c r="AG16" s="15"/>
      <c r="AH16" s="15"/>
      <c r="AI16" s="15"/>
      <c r="AJ16" s="15"/>
      <c r="AK16" s="16"/>
    </row>
    <row r="17" spans="1:37" ht="15.75" thickBot="1" x14ac:dyDescent="0.3">
      <c r="A17" s="168"/>
      <c r="B17" s="17"/>
      <c r="C17" s="18"/>
      <c r="D17" s="18">
        <v>13613</v>
      </c>
      <c r="E17" s="18">
        <v>14629</v>
      </c>
      <c r="F17" s="18">
        <f>SUM(C17-B17)</f>
        <v>0</v>
      </c>
      <c r="G17" s="18">
        <f>SUM(E17-D17)</f>
        <v>1016</v>
      </c>
      <c r="H17" s="33">
        <f>SUM(F17:G17)</f>
        <v>1016</v>
      </c>
      <c r="J17" s="36" t="s">
        <v>21</v>
      </c>
      <c r="K17" s="19"/>
      <c r="L17" s="20"/>
      <c r="M17" s="20"/>
      <c r="N17" s="20"/>
      <c r="O17" s="20"/>
      <c r="P17" s="20"/>
      <c r="Q17" s="20"/>
      <c r="R17" s="20"/>
      <c r="S17" s="20"/>
      <c r="T17" s="20"/>
      <c r="U17" s="21"/>
      <c r="W17" s="36" t="s">
        <v>21</v>
      </c>
      <c r="X17" s="19"/>
      <c r="Y17" s="20"/>
      <c r="Z17" s="20"/>
      <c r="AA17" s="20"/>
      <c r="AB17" s="20"/>
      <c r="AC17" s="21"/>
      <c r="AE17" s="36" t="s">
        <v>21</v>
      </c>
      <c r="AF17" s="19"/>
      <c r="AG17" s="20"/>
      <c r="AH17" s="20"/>
      <c r="AI17" s="20"/>
      <c r="AJ17" s="20"/>
      <c r="AK17" s="21"/>
    </row>
    <row r="18" spans="1:37" x14ac:dyDescent="0.25">
      <c r="F18" s="2"/>
      <c r="G18" s="2"/>
      <c r="H18" s="2"/>
      <c r="J18" s="37"/>
      <c r="T18" s="22" t="s">
        <v>22</v>
      </c>
      <c r="U18" s="23">
        <f>SUM(K17:U17)</f>
        <v>0</v>
      </c>
      <c r="AB18" s="22" t="s">
        <v>22</v>
      </c>
      <c r="AC18" s="23">
        <f>SUM(X17:AC17)</f>
        <v>0</v>
      </c>
      <c r="AJ18" s="22" t="s">
        <v>22</v>
      </c>
      <c r="AK18" s="23">
        <f>SUM(AF17:AK17)</f>
        <v>0</v>
      </c>
    </row>
    <row r="19" spans="1:37" ht="15.75" thickBot="1" x14ac:dyDescent="0.3">
      <c r="A19" s="34"/>
      <c r="B19" s="171" t="s">
        <v>12</v>
      </c>
      <c r="C19" s="171"/>
      <c r="D19" s="171"/>
      <c r="E19" s="171"/>
      <c r="F19" s="171"/>
      <c r="G19" s="171"/>
      <c r="H19" s="171"/>
      <c r="J19" s="172" t="s">
        <v>12</v>
      </c>
      <c r="K19" s="172"/>
      <c r="L19" s="172"/>
      <c r="M19" s="172"/>
      <c r="N19" s="172"/>
      <c r="O19" s="172"/>
      <c r="P19" s="172"/>
      <c r="Q19" s="172"/>
      <c r="R19" s="172"/>
      <c r="S19" s="172"/>
      <c r="T19" s="172"/>
      <c r="U19" s="172"/>
      <c r="W19" s="173" t="str">
        <f>J19</f>
        <v>Março</v>
      </c>
      <c r="X19" s="173"/>
      <c r="Y19" s="173"/>
      <c r="Z19" s="173"/>
      <c r="AA19" s="173"/>
      <c r="AB19" s="173"/>
      <c r="AC19" s="173"/>
      <c r="AE19" s="174" t="str">
        <f>W19</f>
        <v>Março</v>
      </c>
      <c r="AF19" s="174"/>
      <c r="AG19" s="174"/>
      <c r="AH19" s="174"/>
      <c r="AI19" s="174"/>
      <c r="AJ19" s="174"/>
      <c r="AK19" s="174"/>
    </row>
    <row r="20" spans="1:37" ht="15.75" thickBot="1" x14ac:dyDescent="0.3">
      <c r="A20" s="168" t="s">
        <v>4</v>
      </c>
      <c r="B20" s="10" t="s">
        <v>5</v>
      </c>
      <c r="C20" s="11" t="s">
        <v>6</v>
      </c>
      <c r="D20" s="12" t="s">
        <v>7</v>
      </c>
      <c r="E20" s="11" t="s">
        <v>8</v>
      </c>
      <c r="F20" s="12" t="s">
        <v>9</v>
      </c>
      <c r="G20" s="11" t="s">
        <v>10</v>
      </c>
      <c r="H20" s="32" t="s">
        <v>11</v>
      </c>
      <c r="J20" s="35" t="s">
        <v>3</v>
      </c>
      <c r="K20" s="14"/>
      <c r="L20" s="24"/>
      <c r="M20" s="24"/>
      <c r="N20" s="15"/>
      <c r="O20" s="15"/>
      <c r="P20" s="15"/>
      <c r="Q20" s="15"/>
      <c r="R20" s="15"/>
      <c r="S20" s="15"/>
      <c r="T20" s="15"/>
      <c r="U20" s="16"/>
      <c r="W20" s="35" t="s">
        <v>3</v>
      </c>
      <c r="X20" s="14"/>
      <c r="Y20" s="15"/>
      <c r="Z20" s="15"/>
      <c r="AA20" s="15"/>
      <c r="AB20" s="15"/>
      <c r="AC20" s="16"/>
      <c r="AE20" s="35" t="s">
        <v>3</v>
      </c>
      <c r="AF20" s="14"/>
      <c r="AG20" s="15"/>
      <c r="AH20" s="15"/>
      <c r="AI20" s="15"/>
      <c r="AJ20" s="15"/>
      <c r="AK20" s="16"/>
    </row>
    <row r="21" spans="1:37" ht="15.75" thickBot="1" x14ac:dyDescent="0.3">
      <c r="A21" s="168"/>
      <c r="B21" s="18">
        <v>14629</v>
      </c>
      <c r="C21" s="18"/>
      <c r="D21" s="18"/>
      <c r="E21" s="18">
        <v>17874</v>
      </c>
      <c r="F21" s="18">
        <f>SUM(C21-B21)</f>
        <v>-14629</v>
      </c>
      <c r="G21" s="18">
        <f>SUM(E21-D21)</f>
        <v>17874</v>
      </c>
      <c r="H21" s="33">
        <f>SUM(F21:G21)</f>
        <v>3245</v>
      </c>
      <c r="J21" s="36" t="s">
        <v>21</v>
      </c>
      <c r="K21" s="19"/>
      <c r="L21" s="20"/>
      <c r="M21" s="20"/>
      <c r="N21" s="20"/>
      <c r="O21" s="20"/>
      <c r="P21" s="20"/>
      <c r="Q21" s="20"/>
      <c r="R21" s="20"/>
      <c r="S21" s="20"/>
      <c r="T21" s="20"/>
      <c r="U21" s="21"/>
      <c r="W21" s="36" t="s">
        <v>21</v>
      </c>
      <c r="X21" s="19"/>
      <c r="Y21" s="20"/>
      <c r="Z21" s="20"/>
      <c r="AA21" s="20"/>
      <c r="AB21" s="20"/>
      <c r="AC21" s="21"/>
      <c r="AE21" s="36" t="s">
        <v>21</v>
      </c>
      <c r="AF21" s="19"/>
      <c r="AG21" s="20"/>
      <c r="AH21" s="20"/>
      <c r="AI21" s="20"/>
      <c r="AJ21" s="20"/>
      <c r="AK21" s="21"/>
    </row>
    <row r="22" spans="1:37" x14ac:dyDescent="0.25">
      <c r="F22" s="2"/>
      <c r="G22" s="2"/>
      <c r="H22" s="2"/>
      <c r="J22" s="37"/>
      <c r="T22" s="22" t="s">
        <v>22</v>
      </c>
      <c r="U22" s="23">
        <f>SUM(K21:U21)</f>
        <v>0</v>
      </c>
      <c r="AB22" s="22" t="s">
        <v>22</v>
      </c>
      <c r="AC22" s="23">
        <f>SUM(X21:AC21)</f>
        <v>0</v>
      </c>
      <c r="AJ22" s="22" t="s">
        <v>22</v>
      </c>
      <c r="AK22" s="23">
        <f>SUM(AF21:AK21)</f>
        <v>0</v>
      </c>
    </row>
    <row r="23" spans="1:37" ht="15.75" thickBot="1" x14ac:dyDescent="0.3">
      <c r="A23" s="34"/>
      <c r="B23" s="171" t="s">
        <v>13</v>
      </c>
      <c r="C23" s="171"/>
      <c r="D23" s="171"/>
      <c r="E23" s="171"/>
      <c r="F23" s="171"/>
      <c r="G23" s="171"/>
      <c r="H23" s="171"/>
      <c r="J23" s="172" t="s">
        <v>13</v>
      </c>
      <c r="K23" s="172"/>
      <c r="L23" s="172"/>
      <c r="M23" s="172"/>
      <c r="N23" s="172"/>
      <c r="O23" s="172"/>
      <c r="P23" s="172"/>
      <c r="Q23" s="172"/>
      <c r="R23" s="172"/>
      <c r="S23" s="172"/>
      <c r="T23" s="172"/>
      <c r="U23" s="172"/>
      <c r="W23" s="173" t="str">
        <f>J23</f>
        <v>Abril</v>
      </c>
      <c r="X23" s="173"/>
      <c r="Y23" s="173"/>
      <c r="Z23" s="173"/>
      <c r="AA23" s="173"/>
      <c r="AB23" s="173"/>
      <c r="AC23" s="173"/>
      <c r="AE23" s="174" t="str">
        <f>W23</f>
        <v>Abril</v>
      </c>
      <c r="AF23" s="174"/>
      <c r="AG23" s="174"/>
      <c r="AH23" s="174"/>
      <c r="AI23" s="174"/>
      <c r="AJ23" s="174"/>
      <c r="AK23" s="174"/>
    </row>
    <row r="24" spans="1:37" ht="15.75" thickBot="1" x14ac:dyDescent="0.3">
      <c r="A24" s="168" t="s">
        <v>4</v>
      </c>
      <c r="B24" s="10" t="s">
        <v>5</v>
      </c>
      <c r="C24" s="11" t="s">
        <v>6</v>
      </c>
      <c r="D24" s="12" t="s">
        <v>7</v>
      </c>
      <c r="E24" s="11" t="s">
        <v>8</v>
      </c>
      <c r="F24" s="12" t="s">
        <v>9</v>
      </c>
      <c r="G24" s="11" t="s">
        <v>10</v>
      </c>
      <c r="H24" s="32" t="s">
        <v>11</v>
      </c>
      <c r="J24" s="35" t="s">
        <v>3</v>
      </c>
      <c r="K24" s="14"/>
      <c r="L24" s="15"/>
      <c r="M24" s="15"/>
      <c r="N24" s="15"/>
      <c r="O24" s="15"/>
      <c r="P24" s="15"/>
      <c r="Q24" s="15"/>
      <c r="R24" s="15"/>
      <c r="S24" s="15"/>
      <c r="T24" s="15"/>
      <c r="U24" s="16"/>
      <c r="W24" s="35" t="s">
        <v>3</v>
      </c>
      <c r="X24" s="14"/>
      <c r="Y24" s="15"/>
      <c r="Z24" s="15"/>
      <c r="AA24" s="15"/>
      <c r="AB24" s="15"/>
      <c r="AC24" s="16"/>
      <c r="AE24" s="35" t="s">
        <v>3</v>
      </c>
      <c r="AF24" s="14"/>
      <c r="AG24" s="15"/>
      <c r="AH24" s="15"/>
      <c r="AI24" s="15"/>
      <c r="AJ24" s="15"/>
      <c r="AK24" s="16"/>
    </row>
    <row r="25" spans="1:37" ht="15.75" thickBot="1" x14ac:dyDescent="0.3">
      <c r="A25" s="168"/>
      <c r="B25" s="18">
        <v>17874</v>
      </c>
      <c r="C25" s="18"/>
      <c r="D25" s="18"/>
      <c r="E25" s="18">
        <v>20837</v>
      </c>
      <c r="F25" s="18">
        <f>SUM(C25-B25)</f>
        <v>-17874</v>
      </c>
      <c r="G25" s="18">
        <f>SUM(E25-D25)</f>
        <v>20837</v>
      </c>
      <c r="H25" s="33">
        <f>SUM(F25:G25)</f>
        <v>2963</v>
      </c>
      <c r="J25" s="36" t="s">
        <v>21</v>
      </c>
      <c r="K25" s="25"/>
      <c r="L25" s="26"/>
      <c r="M25" s="26"/>
      <c r="N25" s="26"/>
      <c r="O25" s="26"/>
      <c r="P25" s="26"/>
      <c r="Q25" s="26"/>
      <c r="R25" s="26"/>
      <c r="S25" s="26"/>
      <c r="T25" s="26"/>
      <c r="U25" s="27"/>
      <c r="W25" s="36" t="s">
        <v>21</v>
      </c>
      <c r="X25" s="19"/>
      <c r="Y25" s="20"/>
      <c r="Z25" s="20"/>
      <c r="AA25" s="20"/>
      <c r="AB25" s="20"/>
      <c r="AC25" s="21"/>
      <c r="AE25" s="36" t="s">
        <v>21</v>
      </c>
      <c r="AF25" s="19"/>
      <c r="AG25" s="20"/>
      <c r="AH25" s="20"/>
      <c r="AI25" s="20"/>
      <c r="AJ25" s="20"/>
      <c r="AK25" s="21"/>
    </row>
    <row r="26" spans="1:37" x14ac:dyDescent="0.25">
      <c r="F26" s="2"/>
      <c r="G26" s="2"/>
      <c r="H26" s="2"/>
      <c r="J26" s="37"/>
      <c r="T26" s="22" t="s">
        <v>22</v>
      </c>
      <c r="U26" s="23">
        <f>SUM(K25:U25)</f>
        <v>0</v>
      </c>
      <c r="AB26" s="22" t="s">
        <v>22</v>
      </c>
      <c r="AC26" s="23">
        <f>SUM(X25:AC25)</f>
        <v>0</v>
      </c>
      <c r="AJ26" s="22" t="s">
        <v>22</v>
      </c>
      <c r="AK26" s="23">
        <f>SUM(AF25:AK25)</f>
        <v>0</v>
      </c>
    </row>
    <row r="27" spans="1:37" ht="15.75" thickBot="1" x14ac:dyDescent="0.3">
      <c r="A27" s="34"/>
      <c r="B27" s="171" t="s">
        <v>14</v>
      </c>
      <c r="C27" s="171"/>
      <c r="D27" s="171"/>
      <c r="E27" s="171"/>
      <c r="F27" s="171"/>
      <c r="G27" s="171"/>
      <c r="H27" s="171"/>
      <c r="J27" s="172" t="s">
        <v>14</v>
      </c>
      <c r="K27" s="172"/>
      <c r="L27" s="172"/>
      <c r="M27" s="172"/>
      <c r="N27" s="172"/>
      <c r="O27" s="172"/>
      <c r="P27" s="172"/>
      <c r="Q27" s="172"/>
      <c r="R27" s="172"/>
      <c r="S27" s="172"/>
      <c r="T27" s="172"/>
      <c r="U27" s="172"/>
      <c r="W27" s="173" t="str">
        <f>J27</f>
        <v>Maio</v>
      </c>
      <c r="X27" s="173"/>
      <c r="Y27" s="173"/>
      <c r="Z27" s="173"/>
      <c r="AA27" s="173"/>
      <c r="AB27" s="173"/>
      <c r="AC27" s="173"/>
      <c r="AE27" s="174" t="str">
        <f>W27</f>
        <v>Maio</v>
      </c>
      <c r="AF27" s="174"/>
      <c r="AG27" s="174"/>
      <c r="AH27" s="174"/>
      <c r="AI27" s="174"/>
      <c r="AJ27" s="174"/>
      <c r="AK27" s="174"/>
    </row>
    <row r="28" spans="1:37" ht="15.75" thickBot="1" x14ac:dyDescent="0.3">
      <c r="A28" s="168" t="s">
        <v>4</v>
      </c>
      <c r="B28" s="10" t="s">
        <v>5</v>
      </c>
      <c r="C28" s="11" t="s">
        <v>6</v>
      </c>
      <c r="D28" s="12" t="s">
        <v>7</v>
      </c>
      <c r="E28" s="11" t="s">
        <v>8</v>
      </c>
      <c r="F28" s="12" t="s">
        <v>9</v>
      </c>
      <c r="G28" s="11" t="s">
        <v>10</v>
      </c>
      <c r="H28" s="32" t="s">
        <v>11</v>
      </c>
      <c r="J28" s="35" t="s">
        <v>3</v>
      </c>
      <c r="K28" s="14"/>
      <c r="L28" s="15"/>
      <c r="M28" s="15"/>
      <c r="N28" s="15"/>
      <c r="O28" s="15"/>
      <c r="P28" s="15"/>
      <c r="Q28" s="15"/>
      <c r="R28" s="15"/>
      <c r="S28" s="15"/>
      <c r="T28" s="15"/>
      <c r="U28" s="16"/>
      <c r="W28" s="35" t="s">
        <v>3</v>
      </c>
      <c r="X28" s="14"/>
      <c r="Y28" s="15"/>
      <c r="Z28" s="15"/>
      <c r="AA28" s="15"/>
      <c r="AB28" s="15"/>
      <c r="AC28" s="16"/>
      <c r="AE28" s="35" t="s">
        <v>3</v>
      </c>
      <c r="AF28" s="14"/>
      <c r="AG28" s="15"/>
      <c r="AH28" s="15"/>
      <c r="AI28" s="15"/>
      <c r="AJ28" s="15"/>
      <c r="AK28" s="16"/>
    </row>
    <row r="29" spans="1:37" ht="15.75" thickBot="1" x14ac:dyDescent="0.3">
      <c r="A29" s="168"/>
      <c r="B29" s="18">
        <v>20837</v>
      </c>
      <c r="C29" s="18"/>
      <c r="D29" s="18"/>
      <c r="E29" s="18">
        <v>23490</v>
      </c>
      <c r="F29" s="18">
        <f>SUM(C29-B29)</f>
        <v>-20837</v>
      </c>
      <c r="G29" s="18">
        <f>SUM(E29-D29)</f>
        <v>23490</v>
      </c>
      <c r="H29" s="33">
        <f>SUM(F29:G29)</f>
        <v>2653</v>
      </c>
      <c r="J29" s="36" t="s">
        <v>21</v>
      </c>
      <c r="K29" s="19"/>
      <c r="L29" s="20"/>
      <c r="M29" s="20"/>
      <c r="N29" s="20"/>
      <c r="O29" s="20"/>
      <c r="P29" s="20"/>
      <c r="Q29" s="20"/>
      <c r="R29" s="20"/>
      <c r="S29" s="20"/>
      <c r="T29" s="20"/>
      <c r="U29" s="21"/>
      <c r="W29" s="36" t="s">
        <v>21</v>
      </c>
      <c r="X29" s="19"/>
      <c r="Y29" s="20"/>
      <c r="Z29" s="20"/>
      <c r="AA29" s="20"/>
      <c r="AB29" s="20"/>
      <c r="AC29" s="21"/>
      <c r="AE29" s="36" t="s">
        <v>21</v>
      </c>
      <c r="AF29" s="19"/>
      <c r="AG29" s="20"/>
      <c r="AH29" s="20"/>
      <c r="AI29" s="20"/>
      <c r="AJ29" s="20"/>
      <c r="AK29" s="21"/>
    </row>
    <row r="30" spans="1:37" x14ac:dyDescent="0.25">
      <c r="F30" s="2"/>
      <c r="G30" s="2"/>
      <c r="H30" s="2"/>
      <c r="J30" s="37"/>
      <c r="T30" s="22" t="s">
        <v>22</v>
      </c>
      <c r="U30" s="23">
        <f>SUM(K29:U29)</f>
        <v>0</v>
      </c>
      <c r="AB30" s="22" t="s">
        <v>22</v>
      </c>
      <c r="AC30" s="23">
        <f>SUM(X29:AC29)</f>
        <v>0</v>
      </c>
      <c r="AJ30" s="22" t="s">
        <v>22</v>
      </c>
      <c r="AK30" s="23">
        <f>SUM(AF29:AK29)</f>
        <v>0</v>
      </c>
    </row>
    <row r="31" spans="1:37" ht="15.75" thickBot="1" x14ac:dyDescent="0.3">
      <c r="A31" s="34"/>
      <c r="B31" s="171" t="s">
        <v>23</v>
      </c>
      <c r="C31" s="171"/>
      <c r="D31" s="171"/>
      <c r="E31" s="171"/>
      <c r="F31" s="171"/>
      <c r="G31" s="171"/>
      <c r="H31" s="171"/>
      <c r="J31" s="172" t="s">
        <v>23</v>
      </c>
      <c r="K31" s="172"/>
      <c r="L31" s="172"/>
      <c r="M31" s="172"/>
      <c r="N31" s="172"/>
      <c r="O31" s="172"/>
      <c r="P31" s="172"/>
      <c r="Q31" s="172"/>
      <c r="R31" s="172"/>
      <c r="S31" s="172"/>
      <c r="T31" s="172"/>
      <c r="U31" s="172"/>
      <c r="W31" s="173" t="str">
        <f>J31</f>
        <v>Junho</v>
      </c>
      <c r="X31" s="173"/>
      <c r="Y31" s="173"/>
      <c r="Z31" s="173"/>
      <c r="AA31" s="173"/>
      <c r="AB31" s="173"/>
      <c r="AC31" s="173"/>
      <c r="AE31" s="174" t="str">
        <f>W31</f>
        <v>Junho</v>
      </c>
      <c r="AF31" s="174"/>
      <c r="AG31" s="174"/>
      <c r="AH31" s="174"/>
      <c r="AI31" s="174"/>
      <c r="AJ31" s="174"/>
      <c r="AK31" s="174"/>
    </row>
    <row r="32" spans="1:37" ht="15.75" thickBot="1" x14ac:dyDescent="0.3">
      <c r="A32" s="168" t="s">
        <v>4</v>
      </c>
      <c r="B32" s="10" t="s">
        <v>5</v>
      </c>
      <c r="C32" s="11" t="s">
        <v>6</v>
      </c>
      <c r="D32" s="12" t="s">
        <v>7</v>
      </c>
      <c r="E32" s="11" t="s">
        <v>8</v>
      </c>
      <c r="F32" s="12" t="s">
        <v>9</v>
      </c>
      <c r="G32" s="11" t="s">
        <v>10</v>
      </c>
      <c r="H32" s="32" t="s">
        <v>11</v>
      </c>
      <c r="J32" s="35" t="s">
        <v>3</v>
      </c>
      <c r="K32" s="14"/>
      <c r="L32" s="15"/>
      <c r="M32" s="15"/>
      <c r="N32" s="15"/>
      <c r="O32" s="15"/>
      <c r="P32" s="15"/>
      <c r="Q32" s="15"/>
      <c r="R32" s="15"/>
      <c r="S32" s="15"/>
      <c r="T32" s="15"/>
      <c r="U32" s="16"/>
      <c r="W32" s="35" t="s">
        <v>3</v>
      </c>
      <c r="X32" s="14"/>
      <c r="Y32" s="15"/>
      <c r="Z32" s="15"/>
      <c r="AA32" s="15"/>
      <c r="AB32" s="15"/>
      <c r="AC32" s="16"/>
      <c r="AE32" s="35" t="s">
        <v>3</v>
      </c>
      <c r="AF32" s="14"/>
      <c r="AG32" s="15"/>
      <c r="AH32" s="15"/>
      <c r="AI32" s="15"/>
      <c r="AJ32" s="15"/>
      <c r="AK32" s="16"/>
    </row>
    <row r="33" spans="1:37" ht="15.75" thickBot="1" x14ac:dyDescent="0.3">
      <c r="A33" s="168"/>
      <c r="B33" s="17"/>
      <c r="C33" s="18"/>
      <c r="D33" s="18"/>
      <c r="E33" s="18"/>
      <c r="F33" s="18">
        <f>SUM(C33-B33)</f>
        <v>0</v>
      </c>
      <c r="G33" s="18">
        <f>SUM(E33-D33)</f>
        <v>0</v>
      </c>
      <c r="H33" s="33">
        <f>SUM(F33:G33)</f>
        <v>0</v>
      </c>
      <c r="J33" s="36" t="s">
        <v>21</v>
      </c>
      <c r="K33" s="19"/>
      <c r="L33" s="20"/>
      <c r="M33" s="20"/>
      <c r="N33" s="20"/>
      <c r="O33" s="20"/>
      <c r="P33" s="20"/>
      <c r="Q33" s="20"/>
      <c r="R33" s="20"/>
      <c r="S33" s="20"/>
      <c r="T33" s="20"/>
      <c r="U33" s="21"/>
      <c r="W33" s="36" t="s">
        <v>21</v>
      </c>
      <c r="X33" s="19"/>
      <c r="Y33" s="20"/>
      <c r="Z33" s="20"/>
      <c r="AA33" s="20"/>
      <c r="AB33" s="20"/>
      <c r="AC33" s="21"/>
      <c r="AE33" s="36" t="s">
        <v>21</v>
      </c>
      <c r="AF33" s="19"/>
      <c r="AG33" s="20"/>
      <c r="AH33" s="20"/>
      <c r="AI33" s="20"/>
      <c r="AJ33" s="20"/>
      <c r="AK33" s="21"/>
    </row>
    <row r="34" spans="1:37" x14ac:dyDescent="0.25">
      <c r="F34" s="2"/>
      <c r="G34" s="2"/>
      <c r="H34" s="2"/>
      <c r="J34" s="37"/>
      <c r="T34" s="22" t="s">
        <v>22</v>
      </c>
      <c r="U34" s="23">
        <f>SUM(K33:U33)</f>
        <v>0</v>
      </c>
      <c r="AB34" s="22" t="s">
        <v>22</v>
      </c>
      <c r="AC34" s="23">
        <f>SUM(X33:AC33)</f>
        <v>0</v>
      </c>
      <c r="AJ34" s="22" t="s">
        <v>22</v>
      </c>
      <c r="AK34" s="23">
        <f>SUM(AF33:AK33)</f>
        <v>0</v>
      </c>
    </row>
    <row r="35" spans="1:37" ht="15.75" thickBot="1" x14ac:dyDescent="0.3">
      <c r="A35" s="34"/>
      <c r="B35" s="171" t="s">
        <v>15</v>
      </c>
      <c r="C35" s="171"/>
      <c r="D35" s="171"/>
      <c r="E35" s="171"/>
      <c r="F35" s="171"/>
      <c r="G35" s="171"/>
      <c r="H35" s="171"/>
      <c r="J35" s="172" t="s">
        <v>15</v>
      </c>
      <c r="K35" s="172"/>
      <c r="L35" s="172"/>
      <c r="M35" s="172"/>
      <c r="N35" s="172"/>
      <c r="O35" s="172"/>
      <c r="P35" s="172"/>
      <c r="Q35" s="172"/>
      <c r="R35" s="172"/>
      <c r="S35" s="172"/>
      <c r="T35" s="172"/>
      <c r="U35" s="172"/>
      <c r="W35" s="173" t="str">
        <f>J35</f>
        <v>Julho</v>
      </c>
      <c r="X35" s="173"/>
      <c r="Y35" s="173"/>
      <c r="Z35" s="173"/>
      <c r="AA35" s="173"/>
      <c r="AB35" s="173"/>
      <c r="AC35" s="173"/>
      <c r="AE35" s="174" t="str">
        <f>W35</f>
        <v>Julho</v>
      </c>
      <c r="AF35" s="174"/>
      <c r="AG35" s="174"/>
      <c r="AH35" s="174"/>
      <c r="AI35" s="174"/>
      <c r="AJ35" s="174"/>
      <c r="AK35" s="174"/>
    </row>
    <row r="36" spans="1:37" ht="15.75" thickBot="1" x14ac:dyDescent="0.3">
      <c r="A36" s="168" t="s">
        <v>4</v>
      </c>
      <c r="B36" s="10" t="s">
        <v>5</v>
      </c>
      <c r="C36" s="11" t="s">
        <v>6</v>
      </c>
      <c r="D36" s="12" t="s">
        <v>7</v>
      </c>
      <c r="E36" s="11" t="s">
        <v>8</v>
      </c>
      <c r="F36" s="12" t="s">
        <v>9</v>
      </c>
      <c r="G36" s="11" t="s">
        <v>10</v>
      </c>
      <c r="H36" s="32" t="s">
        <v>11</v>
      </c>
      <c r="J36" s="35" t="s">
        <v>3</v>
      </c>
      <c r="K36" s="14"/>
      <c r="L36" s="15"/>
      <c r="M36" s="15"/>
      <c r="N36" s="15"/>
      <c r="O36" s="15"/>
      <c r="P36" s="15"/>
      <c r="Q36" s="15"/>
      <c r="R36" s="15"/>
      <c r="S36" s="15"/>
      <c r="T36" s="15"/>
      <c r="U36" s="16"/>
      <c r="W36" s="35" t="s">
        <v>3</v>
      </c>
      <c r="X36" s="14"/>
      <c r="Y36" s="15"/>
      <c r="Z36" s="15"/>
      <c r="AA36" s="15"/>
      <c r="AB36" s="15"/>
      <c r="AC36" s="16"/>
      <c r="AE36" s="35" t="s">
        <v>3</v>
      </c>
      <c r="AF36" s="14"/>
      <c r="AG36" s="15"/>
      <c r="AH36" s="15"/>
      <c r="AI36" s="15"/>
      <c r="AJ36" s="15"/>
      <c r="AK36" s="16"/>
    </row>
    <row r="37" spans="1:37" ht="15.75" thickBot="1" x14ac:dyDescent="0.3">
      <c r="A37" s="168"/>
      <c r="B37" s="17"/>
      <c r="C37" s="18"/>
      <c r="D37" s="18"/>
      <c r="E37" s="18"/>
      <c r="F37" s="18">
        <f>SUM(C37-B37)</f>
        <v>0</v>
      </c>
      <c r="G37" s="18">
        <f>SUM(E37-D37)</f>
        <v>0</v>
      </c>
      <c r="H37" s="33">
        <f>SUM(F37:G37)</f>
        <v>0</v>
      </c>
      <c r="J37" s="36" t="s">
        <v>21</v>
      </c>
      <c r="K37" s="19"/>
      <c r="L37" s="20"/>
      <c r="M37" s="20"/>
      <c r="N37" s="20"/>
      <c r="O37" s="20"/>
      <c r="P37" s="20"/>
      <c r="Q37" s="20"/>
      <c r="R37" s="20"/>
      <c r="S37" s="20"/>
      <c r="T37" s="20"/>
      <c r="U37" s="21"/>
      <c r="W37" s="36" t="s">
        <v>21</v>
      </c>
      <c r="X37" s="19"/>
      <c r="Y37" s="20"/>
      <c r="Z37" s="20"/>
      <c r="AA37" s="20"/>
      <c r="AB37" s="20"/>
      <c r="AC37" s="21"/>
      <c r="AE37" s="36" t="s">
        <v>21</v>
      </c>
      <c r="AF37" s="19"/>
      <c r="AG37" s="20"/>
      <c r="AH37" s="20"/>
      <c r="AI37" s="20"/>
      <c r="AJ37" s="20"/>
      <c r="AK37" s="21"/>
    </row>
    <row r="38" spans="1:37" x14ac:dyDescent="0.25">
      <c r="F38" s="2"/>
      <c r="G38" s="2"/>
      <c r="H38" s="2"/>
      <c r="J38" s="37"/>
      <c r="T38" s="22" t="s">
        <v>22</v>
      </c>
      <c r="U38" s="23">
        <f>SUM(K37:U37)</f>
        <v>0</v>
      </c>
      <c r="AB38" s="22" t="s">
        <v>22</v>
      </c>
      <c r="AC38" s="23">
        <f>SUM(X37:AC37)</f>
        <v>0</v>
      </c>
      <c r="AJ38" s="22" t="s">
        <v>22</v>
      </c>
      <c r="AK38" s="23">
        <f>SUM(AF37:AK37)</f>
        <v>0</v>
      </c>
    </row>
    <row r="39" spans="1:37" ht="15.75" thickBot="1" x14ac:dyDescent="0.3">
      <c r="A39" s="34"/>
      <c r="B39" s="171" t="s">
        <v>16</v>
      </c>
      <c r="C39" s="171"/>
      <c r="D39" s="171"/>
      <c r="E39" s="171"/>
      <c r="F39" s="171"/>
      <c r="G39" s="171"/>
      <c r="H39" s="171"/>
      <c r="J39" s="172" t="s">
        <v>16</v>
      </c>
      <c r="K39" s="172"/>
      <c r="L39" s="172"/>
      <c r="M39" s="172"/>
      <c r="N39" s="172"/>
      <c r="O39" s="172"/>
      <c r="P39" s="172"/>
      <c r="Q39" s="172"/>
      <c r="R39" s="172"/>
      <c r="S39" s="172"/>
      <c r="T39" s="172"/>
      <c r="U39" s="172"/>
      <c r="W39" s="173" t="str">
        <f>J39</f>
        <v>Agosto</v>
      </c>
      <c r="X39" s="173"/>
      <c r="Y39" s="173"/>
      <c r="Z39" s="173"/>
      <c r="AA39" s="173"/>
      <c r="AB39" s="173"/>
      <c r="AC39" s="173"/>
      <c r="AE39" s="174" t="str">
        <f>W39</f>
        <v>Agosto</v>
      </c>
      <c r="AF39" s="174"/>
      <c r="AG39" s="174"/>
      <c r="AH39" s="174"/>
      <c r="AI39" s="174"/>
      <c r="AJ39" s="174"/>
      <c r="AK39" s="174"/>
    </row>
    <row r="40" spans="1:37" ht="15.75" thickBot="1" x14ac:dyDescent="0.3">
      <c r="A40" s="168" t="s">
        <v>4</v>
      </c>
      <c r="B40" s="10" t="s">
        <v>5</v>
      </c>
      <c r="C40" s="11" t="s">
        <v>6</v>
      </c>
      <c r="D40" s="12" t="s">
        <v>7</v>
      </c>
      <c r="E40" s="11" t="s">
        <v>8</v>
      </c>
      <c r="F40" s="12" t="s">
        <v>9</v>
      </c>
      <c r="G40" s="11" t="s">
        <v>10</v>
      </c>
      <c r="H40" s="32" t="s">
        <v>11</v>
      </c>
      <c r="J40" s="35" t="s">
        <v>3</v>
      </c>
      <c r="K40" s="14"/>
      <c r="L40" s="15"/>
      <c r="M40" s="15"/>
      <c r="N40" s="15"/>
      <c r="O40" s="15"/>
      <c r="P40" s="15"/>
      <c r="Q40" s="15"/>
      <c r="R40" s="15"/>
      <c r="S40" s="15"/>
      <c r="T40" s="15"/>
      <c r="U40" s="16"/>
      <c r="W40" s="35" t="s">
        <v>3</v>
      </c>
      <c r="X40" s="14"/>
      <c r="Y40" s="15"/>
      <c r="Z40" s="15"/>
      <c r="AA40" s="15"/>
      <c r="AB40" s="15"/>
      <c r="AC40" s="16"/>
      <c r="AE40" s="35" t="s">
        <v>3</v>
      </c>
      <c r="AF40" s="14"/>
      <c r="AG40" s="15"/>
      <c r="AH40" s="15"/>
      <c r="AI40" s="15"/>
      <c r="AJ40" s="15"/>
      <c r="AK40" s="16"/>
    </row>
    <row r="41" spans="1:37" ht="15.75" thickBot="1" x14ac:dyDescent="0.3">
      <c r="A41" s="168"/>
      <c r="B41" s="17"/>
      <c r="C41" s="18"/>
      <c r="D41" s="18"/>
      <c r="E41" s="18"/>
      <c r="F41" s="18">
        <f>SUM(C41-B41)</f>
        <v>0</v>
      </c>
      <c r="G41" s="18">
        <f>SUM(E41-D41)</f>
        <v>0</v>
      </c>
      <c r="H41" s="33">
        <f>SUM(F41:G41)</f>
        <v>0</v>
      </c>
      <c r="J41" s="36" t="s">
        <v>21</v>
      </c>
      <c r="K41" s="19"/>
      <c r="L41" s="20"/>
      <c r="M41" s="20"/>
      <c r="N41" s="20"/>
      <c r="O41" s="20"/>
      <c r="P41" s="20"/>
      <c r="Q41" s="20"/>
      <c r="R41" s="20"/>
      <c r="S41" s="20"/>
      <c r="T41" s="20"/>
      <c r="U41" s="21"/>
      <c r="W41" s="36" t="s">
        <v>21</v>
      </c>
      <c r="X41" s="19"/>
      <c r="Y41" s="20"/>
      <c r="Z41" s="20"/>
      <c r="AA41" s="20"/>
      <c r="AB41" s="20"/>
      <c r="AC41" s="21"/>
      <c r="AE41" s="36" t="s">
        <v>21</v>
      </c>
      <c r="AF41" s="19"/>
      <c r="AG41" s="20"/>
      <c r="AH41" s="20"/>
      <c r="AI41" s="20"/>
      <c r="AJ41" s="20"/>
      <c r="AK41" s="21"/>
    </row>
    <row r="42" spans="1:37" x14ac:dyDescent="0.25">
      <c r="F42" s="2"/>
      <c r="G42" s="2"/>
      <c r="H42" s="2"/>
      <c r="J42" s="37"/>
      <c r="T42" s="22" t="s">
        <v>22</v>
      </c>
      <c r="U42" s="23">
        <f>SUM(K41:U41)</f>
        <v>0</v>
      </c>
      <c r="AB42" s="22" t="s">
        <v>22</v>
      </c>
      <c r="AC42" s="23">
        <f>SUM(X41:AC41)</f>
        <v>0</v>
      </c>
      <c r="AJ42" s="22" t="s">
        <v>22</v>
      </c>
      <c r="AK42" s="23">
        <f>SUM(AF41:AK41)</f>
        <v>0</v>
      </c>
    </row>
    <row r="43" spans="1:37" ht="15.75" thickBot="1" x14ac:dyDescent="0.3">
      <c r="A43" s="34"/>
      <c r="B43" s="171" t="s">
        <v>17</v>
      </c>
      <c r="C43" s="171"/>
      <c r="D43" s="171"/>
      <c r="E43" s="171"/>
      <c r="F43" s="171"/>
      <c r="G43" s="171"/>
      <c r="H43" s="171"/>
      <c r="J43" s="172" t="s">
        <v>17</v>
      </c>
      <c r="K43" s="172"/>
      <c r="L43" s="172"/>
      <c r="M43" s="172"/>
      <c r="N43" s="172"/>
      <c r="O43" s="172"/>
      <c r="P43" s="172"/>
      <c r="Q43" s="172"/>
      <c r="R43" s="172"/>
      <c r="S43" s="172"/>
      <c r="T43" s="172"/>
      <c r="U43" s="172"/>
      <c r="W43" s="173" t="str">
        <f>J43</f>
        <v>Setembro</v>
      </c>
      <c r="X43" s="173"/>
      <c r="Y43" s="173"/>
      <c r="Z43" s="173"/>
      <c r="AA43" s="173"/>
      <c r="AB43" s="173"/>
      <c r="AC43" s="173"/>
      <c r="AE43" s="174" t="str">
        <f>W43</f>
        <v>Setembro</v>
      </c>
      <c r="AF43" s="174"/>
      <c r="AG43" s="174"/>
      <c r="AH43" s="174"/>
      <c r="AI43" s="174"/>
      <c r="AJ43" s="174"/>
      <c r="AK43" s="174"/>
    </row>
    <row r="44" spans="1:37" ht="15.75" thickBot="1" x14ac:dyDescent="0.3">
      <c r="A44" s="168" t="s">
        <v>4</v>
      </c>
      <c r="B44" s="10" t="s">
        <v>5</v>
      </c>
      <c r="C44" s="11" t="s">
        <v>6</v>
      </c>
      <c r="D44" s="12" t="s">
        <v>7</v>
      </c>
      <c r="E44" s="11" t="s">
        <v>8</v>
      </c>
      <c r="F44" s="12" t="s">
        <v>9</v>
      </c>
      <c r="G44" s="11" t="s">
        <v>10</v>
      </c>
      <c r="H44" s="32" t="s">
        <v>11</v>
      </c>
      <c r="J44" s="35" t="s">
        <v>3</v>
      </c>
      <c r="K44" s="14"/>
      <c r="L44" s="15"/>
      <c r="M44" s="15"/>
      <c r="N44" s="15"/>
      <c r="O44" s="15"/>
      <c r="P44" s="15"/>
      <c r="Q44" s="15"/>
      <c r="R44" s="15"/>
      <c r="S44" s="15"/>
      <c r="T44" s="15"/>
      <c r="U44" s="16"/>
      <c r="W44" s="35" t="s">
        <v>3</v>
      </c>
      <c r="X44" s="14"/>
      <c r="Y44" s="15"/>
      <c r="Z44" s="15"/>
      <c r="AA44" s="15"/>
      <c r="AB44" s="15"/>
      <c r="AC44" s="16"/>
      <c r="AE44" s="35" t="s">
        <v>3</v>
      </c>
      <c r="AF44" s="14"/>
      <c r="AG44" s="15"/>
      <c r="AH44" s="15"/>
      <c r="AI44" s="15"/>
      <c r="AJ44" s="15"/>
      <c r="AK44" s="16"/>
    </row>
    <row r="45" spans="1:37" ht="15.75" thickBot="1" x14ac:dyDescent="0.3">
      <c r="A45" s="168"/>
      <c r="B45" s="17"/>
      <c r="C45" s="18"/>
      <c r="D45" s="18"/>
      <c r="E45" s="18"/>
      <c r="F45" s="18">
        <f>SUM(C45-B45)</f>
        <v>0</v>
      </c>
      <c r="G45" s="18">
        <f>SUM(E45-D45)</f>
        <v>0</v>
      </c>
      <c r="H45" s="33">
        <f>SUM(F45:G45)</f>
        <v>0</v>
      </c>
      <c r="J45" s="36" t="s">
        <v>21</v>
      </c>
      <c r="K45" s="19"/>
      <c r="L45" s="20"/>
      <c r="M45" s="20"/>
      <c r="N45" s="20"/>
      <c r="O45" s="20"/>
      <c r="P45" s="20"/>
      <c r="Q45" s="20"/>
      <c r="R45" s="20"/>
      <c r="S45" s="20"/>
      <c r="T45" s="20"/>
      <c r="U45" s="21"/>
      <c r="W45" s="36" t="s">
        <v>21</v>
      </c>
      <c r="X45" s="19"/>
      <c r="Y45" s="20"/>
      <c r="Z45" s="20"/>
      <c r="AA45" s="20"/>
      <c r="AB45" s="20"/>
      <c r="AC45" s="21"/>
      <c r="AE45" s="36" t="s">
        <v>21</v>
      </c>
      <c r="AF45" s="19"/>
      <c r="AG45" s="20"/>
      <c r="AH45" s="20"/>
      <c r="AI45" s="20"/>
      <c r="AJ45" s="20"/>
      <c r="AK45" s="21"/>
    </row>
    <row r="46" spans="1:37" x14ac:dyDescent="0.25">
      <c r="F46" s="2"/>
      <c r="G46" s="2"/>
      <c r="H46" s="2"/>
      <c r="J46" s="37"/>
      <c r="T46" s="22" t="s">
        <v>22</v>
      </c>
      <c r="U46" s="23">
        <f>SUM(K45:U45)</f>
        <v>0</v>
      </c>
      <c r="AB46" s="22" t="s">
        <v>22</v>
      </c>
      <c r="AC46" s="23">
        <f>SUM(X45:AC45)</f>
        <v>0</v>
      </c>
      <c r="AJ46" s="22" t="s">
        <v>22</v>
      </c>
      <c r="AK46" s="23">
        <f>SUM(AF45:AK45)</f>
        <v>0</v>
      </c>
    </row>
    <row r="47" spans="1:37" ht="15.75" thickBot="1" x14ac:dyDescent="0.3">
      <c r="A47" s="34"/>
      <c r="B47" s="171" t="s">
        <v>18</v>
      </c>
      <c r="C47" s="171"/>
      <c r="D47" s="171"/>
      <c r="E47" s="171"/>
      <c r="F47" s="171"/>
      <c r="G47" s="171"/>
      <c r="H47" s="171"/>
      <c r="J47" s="172" t="s">
        <v>18</v>
      </c>
      <c r="K47" s="172"/>
      <c r="L47" s="172"/>
      <c r="M47" s="172"/>
      <c r="N47" s="172"/>
      <c r="O47" s="172"/>
      <c r="P47" s="172"/>
      <c r="Q47" s="172"/>
      <c r="R47" s="172"/>
      <c r="S47" s="172"/>
      <c r="T47" s="172"/>
      <c r="U47" s="172"/>
      <c r="W47" s="173" t="str">
        <f>J47</f>
        <v>Outubro</v>
      </c>
      <c r="X47" s="173"/>
      <c r="Y47" s="173"/>
      <c r="Z47" s="173"/>
      <c r="AA47" s="173"/>
      <c r="AB47" s="173"/>
      <c r="AC47" s="173"/>
      <c r="AE47" s="174" t="str">
        <f>W47</f>
        <v>Outubro</v>
      </c>
      <c r="AF47" s="174"/>
      <c r="AG47" s="174"/>
      <c r="AH47" s="174"/>
      <c r="AI47" s="174"/>
      <c r="AJ47" s="174"/>
      <c r="AK47" s="174"/>
    </row>
    <row r="48" spans="1:37" ht="15.75" thickBot="1" x14ac:dyDescent="0.3">
      <c r="A48" s="168" t="s">
        <v>4</v>
      </c>
      <c r="B48" s="10" t="s">
        <v>5</v>
      </c>
      <c r="C48" s="11" t="s">
        <v>6</v>
      </c>
      <c r="D48" s="12" t="s">
        <v>7</v>
      </c>
      <c r="E48" s="11" t="s">
        <v>8</v>
      </c>
      <c r="F48" s="12" t="s">
        <v>9</v>
      </c>
      <c r="G48" s="11" t="s">
        <v>10</v>
      </c>
      <c r="H48" s="32" t="s">
        <v>11</v>
      </c>
      <c r="J48" s="35" t="s">
        <v>3</v>
      </c>
      <c r="K48" s="14"/>
      <c r="L48" s="15"/>
      <c r="M48" s="15"/>
      <c r="N48" s="15"/>
      <c r="O48" s="15"/>
      <c r="P48" s="15"/>
      <c r="Q48" s="15"/>
      <c r="R48" s="15"/>
      <c r="S48" s="15"/>
      <c r="T48" s="15"/>
      <c r="U48" s="16"/>
      <c r="W48" s="35" t="s">
        <v>3</v>
      </c>
      <c r="X48" s="14"/>
      <c r="Y48" s="15"/>
      <c r="Z48" s="15"/>
      <c r="AA48" s="15"/>
      <c r="AB48" s="15"/>
      <c r="AC48" s="16"/>
      <c r="AE48" s="35" t="s">
        <v>3</v>
      </c>
      <c r="AF48" s="14"/>
      <c r="AG48" s="15"/>
      <c r="AH48" s="15"/>
      <c r="AI48" s="15"/>
      <c r="AJ48" s="15"/>
      <c r="AK48" s="16"/>
    </row>
    <row r="49" spans="1:37" ht="15.75" thickBot="1" x14ac:dyDescent="0.3">
      <c r="A49" s="168"/>
      <c r="B49" s="17"/>
      <c r="C49" s="18"/>
      <c r="D49" s="18"/>
      <c r="E49" s="18"/>
      <c r="F49" s="18">
        <f>SUM(C49-B49)</f>
        <v>0</v>
      </c>
      <c r="G49" s="18">
        <f>SUM(E49-D49)</f>
        <v>0</v>
      </c>
      <c r="H49" s="33">
        <f>SUM(F49:G49)</f>
        <v>0</v>
      </c>
      <c r="J49" s="36" t="s">
        <v>21</v>
      </c>
      <c r="K49" s="19"/>
      <c r="L49" s="20"/>
      <c r="M49" s="20"/>
      <c r="N49" s="20"/>
      <c r="O49" s="20"/>
      <c r="P49" s="20"/>
      <c r="Q49" s="20"/>
      <c r="R49" s="20"/>
      <c r="S49" s="20"/>
      <c r="T49" s="20"/>
      <c r="U49" s="21"/>
      <c r="W49" s="36" t="s">
        <v>21</v>
      </c>
      <c r="X49" s="19"/>
      <c r="Y49" s="20"/>
      <c r="Z49" s="20"/>
      <c r="AA49" s="20"/>
      <c r="AB49" s="20"/>
      <c r="AC49" s="21"/>
      <c r="AE49" s="36" t="s">
        <v>21</v>
      </c>
      <c r="AF49" s="19"/>
      <c r="AG49" s="20"/>
      <c r="AH49" s="20"/>
      <c r="AI49" s="20"/>
      <c r="AJ49" s="20"/>
      <c r="AK49" s="21"/>
    </row>
    <row r="50" spans="1:37" x14ac:dyDescent="0.25">
      <c r="F50" s="2"/>
      <c r="G50" s="2"/>
      <c r="H50" s="2"/>
      <c r="J50" s="37"/>
      <c r="T50" s="22" t="s">
        <v>22</v>
      </c>
      <c r="U50" s="23">
        <f>SUM(K49:U49)</f>
        <v>0</v>
      </c>
      <c r="AB50" s="22" t="s">
        <v>22</v>
      </c>
      <c r="AC50" s="23">
        <f>SUM(X49:AC49)</f>
        <v>0</v>
      </c>
      <c r="AJ50" s="22" t="s">
        <v>22</v>
      </c>
      <c r="AK50" s="23">
        <f>SUM(AF49:AK49)</f>
        <v>0</v>
      </c>
    </row>
    <row r="51" spans="1:37" ht="15.75" thickBot="1" x14ac:dyDescent="0.3">
      <c r="A51" s="34"/>
      <c r="B51" s="171" t="s">
        <v>19</v>
      </c>
      <c r="C51" s="171"/>
      <c r="D51" s="171"/>
      <c r="E51" s="171"/>
      <c r="F51" s="171"/>
      <c r="G51" s="171"/>
      <c r="H51" s="171"/>
      <c r="J51" s="172" t="s">
        <v>19</v>
      </c>
      <c r="K51" s="172"/>
      <c r="L51" s="172"/>
      <c r="M51" s="172"/>
      <c r="N51" s="172"/>
      <c r="O51" s="172"/>
      <c r="P51" s="172"/>
      <c r="Q51" s="172"/>
      <c r="R51" s="172"/>
      <c r="S51" s="172"/>
      <c r="T51" s="172"/>
      <c r="U51" s="172"/>
      <c r="W51" s="173" t="str">
        <f>J51</f>
        <v>Novembro</v>
      </c>
      <c r="X51" s="173"/>
      <c r="Y51" s="173"/>
      <c r="Z51" s="173"/>
      <c r="AA51" s="173"/>
      <c r="AB51" s="173"/>
      <c r="AC51" s="173"/>
      <c r="AE51" s="174" t="str">
        <f>W51</f>
        <v>Novembro</v>
      </c>
      <c r="AF51" s="174"/>
      <c r="AG51" s="174"/>
      <c r="AH51" s="174"/>
      <c r="AI51" s="174"/>
      <c r="AJ51" s="174"/>
      <c r="AK51" s="174"/>
    </row>
    <row r="52" spans="1:37" ht="15.75" thickBot="1" x14ac:dyDescent="0.3">
      <c r="A52" s="168" t="s">
        <v>4</v>
      </c>
      <c r="B52" s="10" t="s">
        <v>5</v>
      </c>
      <c r="C52" s="11" t="s">
        <v>6</v>
      </c>
      <c r="D52" s="12" t="s">
        <v>7</v>
      </c>
      <c r="E52" s="11" t="s">
        <v>8</v>
      </c>
      <c r="F52" s="12" t="s">
        <v>9</v>
      </c>
      <c r="G52" s="11" t="s">
        <v>10</v>
      </c>
      <c r="H52" s="32" t="s">
        <v>11</v>
      </c>
      <c r="J52" s="35" t="s">
        <v>3</v>
      </c>
      <c r="K52" s="14"/>
      <c r="L52" s="15"/>
      <c r="M52" s="15"/>
      <c r="N52" s="15"/>
      <c r="O52" s="15"/>
      <c r="P52" s="15"/>
      <c r="Q52" s="15"/>
      <c r="R52" s="15"/>
      <c r="S52" s="15"/>
      <c r="T52" s="15"/>
      <c r="U52" s="16"/>
      <c r="W52" s="35" t="s">
        <v>3</v>
      </c>
      <c r="X52" s="14"/>
      <c r="Y52" s="15"/>
      <c r="Z52" s="15"/>
      <c r="AA52" s="15"/>
      <c r="AB52" s="15"/>
      <c r="AC52" s="16"/>
      <c r="AE52" s="35" t="s">
        <v>3</v>
      </c>
      <c r="AF52" s="14"/>
      <c r="AG52" s="15"/>
      <c r="AH52" s="15"/>
      <c r="AI52" s="15"/>
      <c r="AJ52" s="15"/>
      <c r="AK52" s="16"/>
    </row>
    <row r="53" spans="1:37" ht="15.75" thickBot="1" x14ac:dyDescent="0.3">
      <c r="A53" s="168"/>
      <c r="B53" s="17"/>
      <c r="C53" s="18"/>
      <c r="D53" s="18"/>
      <c r="E53" s="18"/>
      <c r="F53" s="18">
        <f>SUM(C53-B53)</f>
        <v>0</v>
      </c>
      <c r="G53" s="18">
        <f>SUM(E53-D53)</f>
        <v>0</v>
      </c>
      <c r="H53" s="33">
        <f>SUM(F53:G53)</f>
        <v>0</v>
      </c>
      <c r="J53" s="36" t="s">
        <v>21</v>
      </c>
      <c r="K53" s="19"/>
      <c r="L53" s="20"/>
      <c r="M53" s="20"/>
      <c r="N53" s="20"/>
      <c r="O53" s="20"/>
      <c r="P53" s="20"/>
      <c r="Q53" s="20"/>
      <c r="R53" s="20"/>
      <c r="S53" s="20"/>
      <c r="T53" s="20"/>
      <c r="U53" s="21"/>
      <c r="W53" s="36" t="s">
        <v>21</v>
      </c>
      <c r="X53" s="19"/>
      <c r="Y53" s="20"/>
      <c r="Z53" s="20"/>
      <c r="AA53" s="20"/>
      <c r="AB53" s="20"/>
      <c r="AC53" s="21"/>
      <c r="AE53" s="36" t="s">
        <v>21</v>
      </c>
      <c r="AF53" s="19"/>
      <c r="AG53" s="20"/>
      <c r="AH53" s="20"/>
      <c r="AI53" s="20"/>
      <c r="AJ53" s="20"/>
      <c r="AK53" s="21"/>
    </row>
    <row r="54" spans="1:37" x14ac:dyDescent="0.25">
      <c r="F54" s="2"/>
      <c r="G54" s="2"/>
      <c r="H54" s="2"/>
      <c r="J54" s="37"/>
      <c r="T54" s="22" t="s">
        <v>22</v>
      </c>
      <c r="U54" s="23">
        <f>SUM(K53:U53)</f>
        <v>0</v>
      </c>
      <c r="AB54" s="22" t="s">
        <v>22</v>
      </c>
      <c r="AC54" s="23">
        <f>SUM(X53:AC53)</f>
        <v>0</v>
      </c>
      <c r="AJ54" s="22" t="s">
        <v>22</v>
      </c>
      <c r="AK54" s="23">
        <f>SUM(AF53:AK53)</f>
        <v>0</v>
      </c>
    </row>
    <row r="55" spans="1:37" ht="15.75" thickBot="1" x14ac:dyDescent="0.3">
      <c r="A55" s="34"/>
      <c r="B55" s="171" t="s">
        <v>20</v>
      </c>
      <c r="C55" s="171"/>
      <c r="D55" s="171"/>
      <c r="E55" s="171"/>
      <c r="F55" s="171"/>
      <c r="G55" s="171"/>
      <c r="H55" s="171"/>
      <c r="J55" s="172" t="s">
        <v>20</v>
      </c>
      <c r="K55" s="172"/>
      <c r="L55" s="172"/>
      <c r="M55" s="172"/>
      <c r="N55" s="172"/>
      <c r="O55" s="172"/>
      <c r="P55" s="172"/>
      <c r="Q55" s="172"/>
      <c r="R55" s="172"/>
      <c r="S55" s="172"/>
      <c r="T55" s="172"/>
      <c r="U55" s="172"/>
      <c r="W55" s="173" t="str">
        <f>J55</f>
        <v>Dezembro</v>
      </c>
      <c r="X55" s="173"/>
      <c r="Y55" s="173"/>
      <c r="Z55" s="173"/>
      <c r="AA55" s="173"/>
      <c r="AB55" s="173"/>
      <c r="AC55" s="173"/>
      <c r="AE55" s="174" t="str">
        <f>W55</f>
        <v>Dezembro</v>
      </c>
      <c r="AF55" s="174"/>
      <c r="AG55" s="174"/>
      <c r="AH55" s="174"/>
      <c r="AI55" s="174"/>
      <c r="AJ55" s="174"/>
      <c r="AK55" s="174"/>
    </row>
    <row r="56" spans="1:37" ht="15.75" thickBot="1" x14ac:dyDescent="0.3">
      <c r="A56" s="168" t="s">
        <v>4</v>
      </c>
      <c r="B56" s="10" t="s">
        <v>5</v>
      </c>
      <c r="C56" s="11" t="s">
        <v>6</v>
      </c>
      <c r="D56" s="12" t="s">
        <v>7</v>
      </c>
      <c r="E56" s="11" t="s">
        <v>8</v>
      </c>
      <c r="F56" s="12" t="s">
        <v>9</v>
      </c>
      <c r="G56" s="11" t="s">
        <v>10</v>
      </c>
      <c r="H56" s="32" t="s">
        <v>11</v>
      </c>
      <c r="J56" s="35" t="s">
        <v>3</v>
      </c>
      <c r="K56" s="14"/>
      <c r="L56" s="15"/>
      <c r="M56" s="15"/>
      <c r="N56" s="15"/>
      <c r="O56" s="15"/>
      <c r="P56" s="15"/>
      <c r="Q56" s="15"/>
      <c r="R56" s="15"/>
      <c r="S56" s="15"/>
      <c r="T56" s="15"/>
      <c r="U56" s="16"/>
      <c r="W56" s="35" t="s">
        <v>3</v>
      </c>
      <c r="X56" s="14"/>
      <c r="Y56" s="15"/>
      <c r="Z56" s="15"/>
      <c r="AA56" s="15"/>
      <c r="AB56" s="15"/>
      <c r="AC56" s="16"/>
      <c r="AE56" s="35" t="s">
        <v>3</v>
      </c>
      <c r="AF56" s="14"/>
      <c r="AG56" s="15"/>
      <c r="AH56" s="15"/>
      <c r="AI56" s="15"/>
      <c r="AJ56" s="15"/>
      <c r="AK56" s="16"/>
    </row>
    <row r="57" spans="1:37" ht="15.75" thickBot="1" x14ac:dyDescent="0.3">
      <c r="A57" s="168"/>
      <c r="B57" s="17"/>
      <c r="C57" s="18"/>
      <c r="D57" s="18"/>
      <c r="E57" s="18"/>
      <c r="F57" s="18">
        <f>SUM(C57-B57)</f>
        <v>0</v>
      </c>
      <c r="G57" s="18">
        <f>SUM(E57-D57)</f>
        <v>0</v>
      </c>
      <c r="H57" s="33">
        <f>SUM(F57:G57)</f>
        <v>0</v>
      </c>
      <c r="J57" s="36" t="s">
        <v>21</v>
      </c>
      <c r="K57" s="19"/>
      <c r="L57" s="20"/>
      <c r="M57" s="20"/>
      <c r="N57" s="20"/>
      <c r="O57" s="20"/>
      <c r="P57" s="20"/>
      <c r="Q57" s="20"/>
      <c r="R57" s="20"/>
      <c r="S57" s="20"/>
      <c r="T57" s="20"/>
      <c r="U57" s="21"/>
      <c r="W57" s="36" t="s">
        <v>21</v>
      </c>
      <c r="X57" s="19"/>
      <c r="Y57" s="20"/>
      <c r="Z57" s="20"/>
      <c r="AA57" s="20"/>
      <c r="AB57" s="20"/>
      <c r="AC57" s="21"/>
      <c r="AE57" s="36" t="s">
        <v>21</v>
      </c>
      <c r="AF57" s="19"/>
      <c r="AG57" s="20"/>
      <c r="AH57" s="20"/>
      <c r="AI57" s="20"/>
      <c r="AJ57" s="20"/>
      <c r="AK57" s="21"/>
    </row>
    <row r="58" spans="1:37" x14ac:dyDescent="0.25">
      <c r="J58" s="37"/>
      <c r="T58" s="22" t="s">
        <v>22</v>
      </c>
      <c r="U58" s="23">
        <f>SUM(K57:U57)</f>
        <v>0</v>
      </c>
      <c r="AB58" s="22" t="s">
        <v>22</v>
      </c>
      <c r="AC58" s="23">
        <f>SUM(X57:AC57)</f>
        <v>0</v>
      </c>
      <c r="AJ58" s="22" t="s">
        <v>22</v>
      </c>
      <c r="AK58" s="23">
        <f>SUM(AF57:AK57)</f>
        <v>0</v>
      </c>
    </row>
  </sheetData>
  <mergeCells count="71">
    <mergeCell ref="B6:C6"/>
    <mergeCell ref="E6:F6"/>
    <mergeCell ref="A1:A2"/>
    <mergeCell ref="B1:AK1"/>
    <mergeCell ref="B2:AK2"/>
    <mergeCell ref="B4:C4"/>
    <mergeCell ref="E4:F4"/>
    <mergeCell ref="A16:A17"/>
    <mergeCell ref="A9:H9"/>
    <mergeCell ref="J9:U9"/>
    <mergeCell ref="W9:AC9"/>
    <mergeCell ref="AE9:AK9"/>
    <mergeCell ref="B11:H11"/>
    <mergeCell ref="J11:U11"/>
    <mergeCell ref="W11:AC11"/>
    <mergeCell ref="AE11:AK11"/>
    <mergeCell ref="A12:A13"/>
    <mergeCell ref="B15:H15"/>
    <mergeCell ref="J15:U15"/>
    <mergeCell ref="W15:AC15"/>
    <mergeCell ref="AE15:AK15"/>
    <mergeCell ref="A28:A29"/>
    <mergeCell ref="B19:H19"/>
    <mergeCell ref="J19:U19"/>
    <mergeCell ref="W19:AC19"/>
    <mergeCell ref="AE19:AK19"/>
    <mergeCell ref="A20:A21"/>
    <mergeCell ref="B23:H23"/>
    <mergeCell ref="J23:U23"/>
    <mergeCell ref="W23:AC23"/>
    <mergeCell ref="AE23:AK23"/>
    <mergeCell ref="A24:A25"/>
    <mergeCell ref="B27:H27"/>
    <mergeCell ref="J27:U27"/>
    <mergeCell ref="W27:AC27"/>
    <mergeCell ref="AE27:AK27"/>
    <mergeCell ref="A40:A41"/>
    <mergeCell ref="B31:H31"/>
    <mergeCell ref="J31:U31"/>
    <mergeCell ref="W31:AC31"/>
    <mergeCell ref="AE31:AK31"/>
    <mergeCell ref="A32:A33"/>
    <mergeCell ref="B35:H35"/>
    <mergeCell ref="J35:U35"/>
    <mergeCell ref="W35:AC35"/>
    <mergeCell ref="AE35:AK35"/>
    <mergeCell ref="A36:A37"/>
    <mergeCell ref="B39:H39"/>
    <mergeCell ref="J39:U39"/>
    <mergeCell ref="W39:AC39"/>
    <mergeCell ref="AE39:AK39"/>
    <mergeCell ref="A52:A53"/>
    <mergeCell ref="B43:H43"/>
    <mergeCell ref="J43:U43"/>
    <mergeCell ref="W43:AC43"/>
    <mergeCell ref="AE43:AK43"/>
    <mergeCell ref="A44:A45"/>
    <mergeCell ref="B47:H47"/>
    <mergeCell ref="J47:U47"/>
    <mergeCell ref="W47:AC47"/>
    <mergeCell ref="AE47:AK47"/>
    <mergeCell ref="A48:A49"/>
    <mergeCell ref="B51:H51"/>
    <mergeCell ref="J51:U51"/>
    <mergeCell ref="W51:AC51"/>
    <mergeCell ref="AE51:AK51"/>
    <mergeCell ref="B55:H55"/>
    <mergeCell ref="J55:U55"/>
    <mergeCell ref="W55:AC55"/>
    <mergeCell ref="AE55:AK55"/>
    <mergeCell ref="A56:A57"/>
  </mergeCells>
  <pageMargins left="0.511811024" right="0.511811024" top="0.78740157499999996" bottom="0.78740157499999996" header="0.31496062000000002" footer="0.31496062000000002"/>
  <drawing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254ED9-3984-4297-8AAD-A4FFC435FA6C}">
  <dimension ref="A1:AK58"/>
  <sheetViews>
    <sheetView topLeftCell="A6" workbookViewId="0">
      <selection activeCell="B29" sqref="B29"/>
    </sheetView>
  </sheetViews>
  <sheetFormatPr defaultRowHeight="15" x14ac:dyDescent="0.25"/>
  <cols>
    <col min="1" max="1" width="17.28515625" style="2" customWidth="1"/>
    <col min="2" max="2" width="11.7109375" style="2" bestFit="1" customWidth="1"/>
    <col min="3" max="3" width="9.28515625" style="2" bestFit="1" customWidth="1"/>
    <col min="4" max="4" width="10.7109375" style="2" customWidth="1"/>
    <col min="5" max="5" width="9.28515625" style="2" bestFit="1" customWidth="1"/>
    <col min="6" max="6" width="13.140625" style="1" customWidth="1"/>
    <col min="7" max="7" width="13.85546875" style="1" customWidth="1"/>
    <col min="8" max="8" width="20" style="1" customWidth="1"/>
    <col min="9" max="9" width="9.85546875" style="1" customWidth="1"/>
    <col min="10" max="10" width="9.42578125" style="2" customWidth="1"/>
    <col min="11" max="17" width="10.7109375" style="1" bestFit="1" customWidth="1"/>
    <col min="18" max="20" width="9.140625" style="1"/>
    <col min="21" max="21" width="12.140625" style="1" bestFit="1" customWidth="1"/>
    <col min="22" max="22" width="9.140625" style="1"/>
    <col min="23" max="23" width="9.140625" style="2"/>
    <col min="24" max="30" width="9.140625" style="1"/>
    <col min="31" max="31" width="9.140625" style="2"/>
    <col min="32" max="33" width="9.140625" style="1"/>
    <col min="34" max="36" width="10.140625" style="1" bestFit="1" customWidth="1"/>
    <col min="37" max="37" width="9.140625" style="1"/>
  </cols>
  <sheetData>
    <row r="1" spans="1:37" ht="21" x14ac:dyDescent="0.25">
      <c r="A1" s="162"/>
      <c r="B1" s="164" t="s">
        <v>51</v>
      </c>
      <c r="C1" s="164"/>
      <c r="D1" s="164"/>
      <c r="E1" s="164"/>
      <c r="F1" s="164"/>
      <c r="G1" s="164"/>
      <c r="H1" s="164"/>
      <c r="I1" s="164"/>
      <c r="J1" s="164"/>
      <c r="K1" s="164"/>
      <c r="L1" s="164"/>
      <c r="M1" s="164"/>
      <c r="N1" s="164"/>
      <c r="O1" s="164"/>
      <c r="P1" s="164"/>
      <c r="Q1" s="164"/>
      <c r="R1" s="164"/>
      <c r="S1" s="164"/>
      <c r="T1" s="164"/>
      <c r="U1" s="164"/>
      <c r="V1" s="164"/>
      <c r="W1" s="164"/>
      <c r="X1" s="164"/>
      <c r="Y1" s="164"/>
      <c r="Z1" s="164"/>
      <c r="AA1" s="164"/>
      <c r="AB1" s="164"/>
      <c r="AC1" s="164"/>
      <c r="AD1" s="164"/>
      <c r="AE1" s="164"/>
      <c r="AF1" s="164"/>
      <c r="AG1" s="164"/>
      <c r="AH1" s="164"/>
      <c r="AI1" s="164"/>
      <c r="AJ1" s="164"/>
      <c r="AK1" s="165"/>
    </row>
    <row r="2" spans="1:37" ht="21" x14ac:dyDescent="0.25">
      <c r="A2" s="163"/>
      <c r="B2" s="166" t="s">
        <v>50</v>
      </c>
      <c r="C2" s="166"/>
      <c r="D2" s="166"/>
      <c r="E2" s="166"/>
      <c r="F2" s="166"/>
      <c r="G2" s="166"/>
      <c r="H2" s="166"/>
      <c r="I2" s="166"/>
      <c r="J2" s="166"/>
      <c r="K2" s="166"/>
      <c r="L2" s="166"/>
      <c r="M2" s="166"/>
      <c r="N2" s="166"/>
      <c r="O2" s="166"/>
      <c r="P2" s="166"/>
      <c r="Q2" s="166"/>
      <c r="R2" s="166"/>
      <c r="S2" s="166"/>
      <c r="T2" s="166"/>
      <c r="U2" s="166"/>
      <c r="V2" s="166"/>
      <c r="W2" s="166"/>
      <c r="X2" s="166"/>
      <c r="Y2" s="166"/>
      <c r="Z2" s="166"/>
      <c r="AA2" s="166"/>
      <c r="AB2" s="166"/>
      <c r="AC2" s="166"/>
      <c r="AD2" s="166"/>
      <c r="AE2" s="166"/>
      <c r="AF2" s="166"/>
      <c r="AG2" s="166"/>
      <c r="AH2" s="166"/>
      <c r="AI2" s="166"/>
      <c r="AJ2" s="166"/>
      <c r="AK2" s="167"/>
    </row>
    <row r="4" spans="1:37" x14ac:dyDescent="0.25">
      <c r="A4" s="34" t="s">
        <v>47</v>
      </c>
      <c r="B4" s="161" t="s">
        <v>122</v>
      </c>
      <c r="C4" s="161"/>
      <c r="D4" s="34" t="s">
        <v>0</v>
      </c>
      <c r="E4" s="161" t="s">
        <v>160</v>
      </c>
      <c r="F4" s="161"/>
      <c r="G4" s="34" t="s">
        <v>125</v>
      </c>
      <c r="H4" s="140">
        <v>3000</v>
      </c>
    </row>
    <row r="5" spans="1:37" x14ac:dyDescent="0.25">
      <c r="A5" s="34" t="s">
        <v>150</v>
      </c>
      <c r="B5" s="188">
        <v>46039</v>
      </c>
      <c r="C5" s="161"/>
      <c r="D5" s="34" t="s">
        <v>0</v>
      </c>
      <c r="E5" s="161" t="s">
        <v>160</v>
      </c>
      <c r="F5" s="161"/>
      <c r="G5" s="34" t="s">
        <v>151</v>
      </c>
      <c r="H5" s="158" t="s">
        <v>161</v>
      </c>
      <c r="I5" s="146"/>
    </row>
    <row r="6" spans="1:37" x14ac:dyDescent="0.25">
      <c r="A6" s="34" t="s">
        <v>48</v>
      </c>
      <c r="B6" s="160">
        <v>3837</v>
      </c>
      <c r="C6" s="160"/>
      <c r="D6" s="34" t="s">
        <v>44</v>
      </c>
      <c r="E6" s="187">
        <v>45</v>
      </c>
      <c r="F6" s="187"/>
      <c r="G6" s="34" t="s">
        <v>46</v>
      </c>
      <c r="H6" s="143">
        <v>46026</v>
      </c>
    </row>
    <row r="9" spans="1:37" ht="18.75" x14ac:dyDescent="0.3">
      <c r="A9" s="169" t="s">
        <v>26</v>
      </c>
      <c r="B9" s="169"/>
      <c r="C9" s="169"/>
      <c r="D9" s="169"/>
      <c r="E9" s="169"/>
      <c r="F9" s="169"/>
      <c r="G9" s="169"/>
      <c r="H9" s="169"/>
      <c r="I9" s="28"/>
      <c r="J9" s="169" t="s">
        <v>24</v>
      </c>
      <c r="K9" s="169"/>
      <c r="L9" s="169"/>
      <c r="M9" s="169"/>
      <c r="N9" s="169"/>
      <c r="O9" s="169"/>
      <c r="P9" s="169"/>
      <c r="Q9" s="169"/>
      <c r="R9" s="169"/>
      <c r="S9" s="169"/>
      <c r="T9" s="169"/>
      <c r="U9" s="169"/>
      <c r="V9" s="29"/>
      <c r="W9" s="170" t="s">
        <v>49</v>
      </c>
      <c r="X9" s="170"/>
      <c r="Y9" s="170"/>
      <c r="Z9" s="170"/>
      <c r="AA9" s="170"/>
      <c r="AB9" s="170"/>
      <c r="AC9" s="170"/>
      <c r="AD9" s="29"/>
      <c r="AE9" s="170" t="s">
        <v>25</v>
      </c>
      <c r="AF9" s="170"/>
      <c r="AG9" s="170"/>
      <c r="AH9" s="170"/>
      <c r="AI9" s="170"/>
      <c r="AJ9" s="170"/>
      <c r="AK9" s="170"/>
    </row>
    <row r="10" spans="1:37" x14ac:dyDescent="0.25">
      <c r="A10" s="7"/>
      <c r="B10" s="7"/>
      <c r="C10" s="7"/>
      <c r="D10" s="7"/>
      <c r="E10" s="7"/>
      <c r="F10" s="7"/>
      <c r="G10" s="7"/>
      <c r="H10" s="7"/>
      <c r="I10" s="6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8"/>
      <c r="W10" s="9"/>
      <c r="X10" s="9"/>
      <c r="Y10" s="9"/>
      <c r="Z10" s="9"/>
      <c r="AA10" s="9"/>
      <c r="AB10" s="9"/>
      <c r="AC10" s="9"/>
      <c r="AD10" s="8"/>
      <c r="AE10" s="9"/>
      <c r="AF10" s="9"/>
      <c r="AG10" s="9"/>
      <c r="AH10" s="9"/>
      <c r="AI10" s="9"/>
      <c r="AJ10" s="9"/>
      <c r="AK10" s="9"/>
    </row>
    <row r="11" spans="1:37" ht="15.75" thickBot="1" x14ac:dyDescent="0.3">
      <c r="A11" s="34"/>
      <c r="B11" s="171" t="s">
        <v>54</v>
      </c>
      <c r="C11" s="171"/>
      <c r="D11" s="171"/>
      <c r="E11" s="171"/>
      <c r="F11" s="171"/>
      <c r="G11" s="171"/>
      <c r="H11" s="171"/>
      <c r="I11" s="6"/>
      <c r="J11" s="172" t="s">
        <v>54</v>
      </c>
      <c r="K11" s="172"/>
      <c r="L11" s="172"/>
      <c r="M11" s="172"/>
      <c r="N11" s="172"/>
      <c r="O11" s="172"/>
      <c r="P11" s="172"/>
      <c r="Q11" s="172"/>
      <c r="R11" s="172"/>
      <c r="S11" s="172"/>
      <c r="T11" s="172"/>
      <c r="U11" s="172"/>
      <c r="V11" s="8"/>
      <c r="W11" s="173" t="s">
        <v>54</v>
      </c>
      <c r="X11" s="173"/>
      <c r="Y11" s="173"/>
      <c r="Z11" s="173"/>
      <c r="AA11" s="173"/>
      <c r="AB11" s="173"/>
      <c r="AC11" s="173"/>
      <c r="AD11" s="8"/>
      <c r="AE11" s="174" t="s">
        <v>54</v>
      </c>
      <c r="AF11" s="174"/>
      <c r="AG11" s="174"/>
      <c r="AH11" s="174"/>
      <c r="AI11" s="174"/>
      <c r="AJ11" s="174"/>
      <c r="AK11" s="174"/>
    </row>
    <row r="12" spans="1:37" ht="15.75" thickBot="1" x14ac:dyDescent="0.3">
      <c r="A12" s="168" t="s">
        <v>4</v>
      </c>
      <c r="B12" s="10" t="s">
        <v>5</v>
      </c>
      <c r="C12" s="11" t="s">
        <v>6</v>
      </c>
      <c r="D12" s="12" t="s">
        <v>7</v>
      </c>
      <c r="E12" s="11" t="s">
        <v>8</v>
      </c>
      <c r="F12" s="12" t="s">
        <v>9</v>
      </c>
      <c r="G12" s="11" t="s">
        <v>10</v>
      </c>
      <c r="H12" s="32" t="s">
        <v>11</v>
      </c>
      <c r="I12" s="6"/>
      <c r="J12" s="35" t="s">
        <v>3</v>
      </c>
      <c r="K12" s="14"/>
      <c r="L12" s="15"/>
      <c r="M12" s="15"/>
      <c r="N12" s="15"/>
      <c r="O12" s="15"/>
      <c r="P12" s="15"/>
      <c r="Q12" s="15"/>
      <c r="R12" s="15"/>
      <c r="S12" s="15"/>
      <c r="T12" s="15"/>
      <c r="U12" s="16"/>
      <c r="V12" s="8"/>
      <c r="W12" s="35" t="s">
        <v>3</v>
      </c>
      <c r="X12" s="14"/>
      <c r="Y12" s="15"/>
      <c r="Z12" s="15"/>
      <c r="AA12" s="15"/>
      <c r="AB12" s="15"/>
      <c r="AC12" s="16"/>
      <c r="AD12" s="8"/>
      <c r="AE12" s="35" t="s">
        <v>3</v>
      </c>
      <c r="AF12" s="14"/>
      <c r="AG12" s="15"/>
      <c r="AH12" s="15"/>
      <c r="AI12" s="15"/>
      <c r="AJ12" s="15"/>
      <c r="AK12" s="16"/>
    </row>
    <row r="13" spans="1:37" ht="15.75" thickBot="1" x14ac:dyDescent="0.3">
      <c r="A13" s="168"/>
      <c r="B13" s="17">
        <v>4281</v>
      </c>
      <c r="C13" s="18">
        <v>6312</v>
      </c>
      <c r="D13" s="18">
        <v>6312</v>
      </c>
      <c r="E13" s="18">
        <v>8327</v>
      </c>
      <c r="F13" s="18">
        <f>SUM(C13-B13)</f>
        <v>2031</v>
      </c>
      <c r="G13" s="18">
        <f>SUM(E13-D13)</f>
        <v>2015</v>
      </c>
      <c r="H13" s="33">
        <f>SUM(F13:G13)</f>
        <v>4046</v>
      </c>
      <c r="I13" s="6"/>
      <c r="J13" s="36" t="s">
        <v>21</v>
      </c>
      <c r="K13" s="19"/>
      <c r="L13" s="20"/>
      <c r="M13" s="20"/>
      <c r="N13" s="20"/>
      <c r="O13" s="20"/>
      <c r="P13" s="20"/>
      <c r="Q13" s="20"/>
      <c r="R13" s="20"/>
      <c r="S13" s="20"/>
      <c r="T13" s="20"/>
      <c r="U13" s="21"/>
      <c r="V13" s="8"/>
      <c r="W13" s="36" t="s">
        <v>21</v>
      </c>
      <c r="X13" s="19"/>
      <c r="Y13" s="20"/>
      <c r="Z13" s="20"/>
      <c r="AA13" s="20"/>
      <c r="AB13" s="20"/>
      <c r="AC13" s="21"/>
      <c r="AD13" s="8"/>
      <c r="AE13" s="36" t="s">
        <v>21</v>
      </c>
      <c r="AF13" s="19"/>
      <c r="AG13" s="20"/>
      <c r="AH13" s="20"/>
      <c r="AI13" s="20"/>
      <c r="AJ13" s="20"/>
      <c r="AK13" s="21"/>
    </row>
    <row r="14" spans="1:37" x14ac:dyDescent="0.25">
      <c r="A14" s="7"/>
      <c r="B14" s="7"/>
      <c r="C14" s="7"/>
      <c r="D14" s="7"/>
      <c r="E14" s="7"/>
      <c r="F14" s="7"/>
      <c r="G14" s="7"/>
      <c r="H14" s="7"/>
      <c r="I14" s="6"/>
      <c r="J14" s="7"/>
      <c r="K14" s="7"/>
      <c r="L14" s="7"/>
      <c r="M14" s="7"/>
      <c r="N14" s="7"/>
      <c r="O14" s="7"/>
      <c r="P14" s="7"/>
      <c r="Q14" s="7"/>
      <c r="R14" s="7"/>
      <c r="S14" s="7"/>
      <c r="T14" s="22" t="s">
        <v>22</v>
      </c>
      <c r="U14" s="23">
        <f>SUM(K13:U13)</f>
        <v>0</v>
      </c>
      <c r="V14" s="8"/>
      <c r="AB14" s="22" t="s">
        <v>22</v>
      </c>
      <c r="AC14" s="23">
        <f>SUM(X13:AC13)</f>
        <v>0</v>
      </c>
      <c r="AD14" s="8"/>
      <c r="AJ14" s="22" t="s">
        <v>22</v>
      </c>
      <c r="AK14" s="23">
        <f>SUM(AF13:AK13)</f>
        <v>0</v>
      </c>
    </row>
    <row r="15" spans="1:37" ht="15.75" thickBot="1" x14ac:dyDescent="0.3">
      <c r="A15" s="34"/>
      <c r="B15" s="171" t="s">
        <v>2</v>
      </c>
      <c r="C15" s="171"/>
      <c r="D15" s="171"/>
      <c r="E15" s="171"/>
      <c r="F15" s="171"/>
      <c r="G15" s="171"/>
      <c r="H15" s="171"/>
      <c r="J15" s="172" t="s">
        <v>2</v>
      </c>
      <c r="K15" s="172"/>
      <c r="L15" s="172"/>
      <c r="M15" s="172"/>
      <c r="N15" s="172"/>
      <c r="O15" s="172"/>
      <c r="P15" s="172"/>
      <c r="Q15" s="172"/>
      <c r="R15" s="172"/>
      <c r="S15" s="172"/>
      <c r="T15" s="172"/>
      <c r="U15" s="172"/>
      <c r="W15" s="173" t="s">
        <v>2</v>
      </c>
      <c r="X15" s="173"/>
      <c r="Y15" s="173"/>
      <c r="Z15" s="173"/>
      <c r="AA15" s="173"/>
      <c r="AB15" s="173"/>
      <c r="AC15" s="173"/>
      <c r="AE15" s="174" t="s">
        <v>2</v>
      </c>
      <c r="AF15" s="174"/>
      <c r="AG15" s="174"/>
      <c r="AH15" s="174"/>
      <c r="AI15" s="174"/>
      <c r="AJ15" s="174"/>
      <c r="AK15" s="174"/>
    </row>
    <row r="16" spans="1:37" ht="15.75" thickBot="1" x14ac:dyDescent="0.3">
      <c r="A16" s="168" t="s">
        <v>4</v>
      </c>
      <c r="B16" s="10" t="s">
        <v>5</v>
      </c>
      <c r="C16" s="11" t="s">
        <v>6</v>
      </c>
      <c r="D16" s="12" t="s">
        <v>7</v>
      </c>
      <c r="E16" s="11" t="s">
        <v>8</v>
      </c>
      <c r="F16" s="12" t="s">
        <v>9</v>
      </c>
      <c r="G16" s="11" t="s">
        <v>10</v>
      </c>
      <c r="H16" s="32" t="s">
        <v>11</v>
      </c>
      <c r="J16" s="35" t="s">
        <v>3</v>
      </c>
      <c r="K16" s="14">
        <v>46056</v>
      </c>
      <c r="L16" s="24">
        <v>46060</v>
      </c>
      <c r="M16" s="24">
        <v>46063</v>
      </c>
      <c r="N16" s="24">
        <v>46065</v>
      </c>
      <c r="O16" s="24">
        <v>46074</v>
      </c>
      <c r="P16" s="24">
        <v>46077</v>
      </c>
      <c r="Q16" s="24">
        <v>46079</v>
      </c>
      <c r="R16" s="15"/>
      <c r="S16" s="15"/>
      <c r="T16" s="15"/>
      <c r="U16" s="16"/>
      <c r="W16" s="35" t="s">
        <v>3</v>
      </c>
      <c r="X16" s="14"/>
      <c r="Y16" s="15"/>
      <c r="Z16" s="15"/>
      <c r="AA16" s="15"/>
      <c r="AB16" s="15"/>
      <c r="AC16" s="16"/>
      <c r="AE16" s="35" t="s">
        <v>3</v>
      </c>
      <c r="AF16" s="14"/>
      <c r="AG16" s="15"/>
      <c r="AH16" s="15"/>
      <c r="AI16" s="15"/>
      <c r="AJ16" s="15"/>
      <c r="AK16" s="16"/>
    </row>
    <row r="17" spans="1:37" ht="15.75" thickBot="1" x14ac:dyDescent="0.3">
      <c r="A17" s="168"/>
      <c r="B17" s="18">
        <v>8327</v>
      </c>
      <c r="C17" s="18"/>
      <c r="D17" s="18"/>
      <c r="E17" s="18">
        <v>11107</v>
      </c>
      <c r="F17" s="18">
        <f>SUM(C17-B17)</f>
        <v>-8327</v>
      </c>
      <c r="G17" s="18">
        <f>SUM(E17-D17)</f>
        <v>11107</v>
      </c>
      <c r="H17" s="33">
        <f>SUM(F17:G17)</f>
        <v>2780</v>
      </c>
      <c r="J17" s="36" t="s">
        <v>21</v>
      </c>
      <c r="K17" s="19">
        <v>217.28</v>
      </c>
      <c r="L17" s="20">
        <v>203.33</v>
      </c>
      <c r="M17" s="20">
        <v>204.47</v>
      </c>
      <c r="N17" s="20">
        <v>205.11</v>
      </c>
      <c r="O17" s="20">
        <v>241.74</v>
      </c>
      <c r="P17" s="20">
        <v>179.12</v>
      </c>
      <c r="Q17" s="20">
        <v>199.76</v>
      </c>
      <c r="R17" s="20"/>
      <c r="S17" s="20"/>
      <c r="T17" s="20"/>
      <c r="U17" s="21"/>
      <c r="W17" s="36" t="s">
        <v>21</v>
      </c>
      <c r="X17" s="19"/>
      <c r="Y17" s="20"/>
      <c r="Z17" s="20"/>
      <c r="AA17" s="20"/>
      <c r="AB17" s="20"/>
      <c r="AC17" s="21"/>
      <c r="AE17" s="36" t="s">
        <v>21</v>
      </c>
      <c r="AF17" s="19"/>
      <c r="AG17" s="20"/>
      <c r="AH17" s="20"/>
      <c r="AI17" s="20"/>
      <c r="AJ17" s="20"/>
      <c r="AK17" s="21"/>
    </row>
    <row r="18" spans="1:37" x14ac:dyDescent="0.25">
      <c r="F18" s="2"/>
      <c r="G18" s="2"/>
      <c r="H18" s="2"/>
      <c r="J18" s="37"/>
      <c r="T18" s="22" t="s">
        <v>22</v>
      </c>
      <c r="U18" s="23">
        <f>SUM(K17:U17)</f>
        <v>1450.8100000000002</v>
      </c>
      <c r="AB18" s="22" t="s">
        <v>22</v>
      </c>
      <c r="AC18" s="23">
        <f>SUM(X17:AC17)</f>
        <v>0</v>
      </c>
      <c r="AJ18" s="22" t="s">
        <v>22</v>
      </c>
      <c r="AK18" s="23">
        <f>SUM(AF17:AK17)</f>
        <v>0</v>
      </c>
    </row>
    <row r="19" spans="1:37" ht="15.75" thickBot="1" x14ac:dyDescent="0.3">
      <c r="A19" s="34"/>
      <c r="B19" s="171" t="s">
        <v>12</v>
      </c>
      <c r="C19" s="171"/>
      <c r="D19" s="171"/>
      <c r="E19" s="171"/>
      <c r="F19" s="171"/>
      <c r="G19" s="171"/>
      <c r="H19" s="171"/>
      <c r="J19" s="172" t="s">
        <v>12</v>
      </c>
      <c r="K19" s="172"/>
      <c r="L19" s="172"/>
      <c r="M19" s="172"/>
      <c r="N19" s="172"/>
      <c r="O19" s="172"/>
      <c r="P19" s="172"/>
      <c r="Q19" s="172"/>
      <c r="R19" s="172"/>
      <c r="S19" s="172"/>
      <c r="T19" s="172"/>
      <c r="U19" s="172"/>
      <c r="W19" s="173" t="str">
        <f>J19</f>
        <v>Março</v>
      </c>
      <c r="X19" s="173"/>
      <c r="Y19" s="173"/>
      <c r="Z19" s="173"/>
      <c r="AA19" s="173"/>
      <c r="AB19" s="173"/>
      <c r="AC19" s="173"/>
      <c r="AE19" s="174" t="str">
        <f>W19</f>
        <v>Março</v>
      </c>
      <c r="AF19" s="174"/>
      <c r="AG19" s="174"/>
      <c r="AH19" s="174"/>
      <c r="AI19" s="174"/>
      <c r="AJ19" s="174"/>
      <c r="AK19" s="174"/>
    </row>
    <row r="20" spans="1:37" ht="15.75" thickBot="1" x14ac:dyDescent="0.3">
      <c r="A20" s="168" t="s">
        <v>4</v>
      </c>
      <c r="B20" s="10" t="s">
        <v>5</v>
      </c>
      <c r="C20" s="11" t="s">
        <v>6</v>
      </c>
      <c r="D20" s="12" t="s">
        <v>7</v>
      </c>
      <c r="E20" s="11" t="s">
        <v>8</v>
      </c>
      <c r="F20" s="12" t="s">
        <v>9</v>
      </c>
      <c r="G20" s="11" t="s">
        <v>10</v>
      </c>
      <c r="H20" s="32" t="s">
        <v>11</v>
      </c>
      <c r="J20" s="35" t="s">
        <v>3</v>
      </c>
      <c r="K20" s="14"/>
      <c r="L20" s="24"/>
      <c r="M20" s="24"/>
      <c r="N20" s="15"/>
      <c r="O20" s="15"/>
      <c r="P20" s="15"/>
      <c r="Q20" s="15"/>
      <c r="R20" s="15"/>
      <c r="S20" s="15"/>
      <c r="T20" s="15"/>
      <c r="U20" s="16"/>
      <c r="W20" s="35" t="s">
        <v>3</v>
      </c>
      <c r="X20" s="14"/>
      <c r="Y20" s="15"/>
      <c r="Z20" s="15"/>
      <c r="AA20" s="15"/>
      <c r="AB20" s="15"/>
      <c r="AC20" s="16"/>
      <c r="AE20" s="35" t="s">
        <v>3</v>
      </c>
      <c r="AF20" s="14"/>
      <c r="AG20" s="15"/>
      <c r="AH20" s="15"/>
      <c r="AI20" s="15"/>
      <c r="AJ20" s="15"/>
      <c r="AK20" s="16"/>
    </row>
    <row r="21" spans="1:37" ht="15.75" thickBot="1" x14ac:dyDescent="0.3">
      <c r="A21" s="168"/>
      <c r="B21" s="18">
        <v>11107</v>
      </c>
      <c r="C21" s="18"/>
      <c r="D21" s="18"/>
      <c r="E21" s="18">
        <v>13602</v>
      </c>
      <c r="F21" s="18">
        <f>SUM(C21-B21)</f>
        <v>-11107</v>
      </c>
      <c r="G21" s="18">
        <f>SUM(E21-D21)</f>
        <v>13602</v>
      </c>
      <c r="H21" s="33">
        <f>SUM(F21:G21)</f>
        <v>2495</v>
      </c>
      <c r="J21" s="36" t="s">
        <v>21</v>
      </c>
      <c r="K21" s="19"/>
      <c r="L21" s="20"/>
      <c r="M21" s="20"/>
      <c r="N21" s="20"/>
      <c r="O21" s="20"/>
      <c r="P21" s="20"/>
      <c r="Q21" s="20"/>
      <c r="R21" s="20"/>
      <c r="S21" s="20"/>
      <c r="T21" s="20"/>
      <c r="U21" s="21"/>
      <c r="W21" s="36" t="s">
        <v>21</v>
      </c>
      <c r="X21" s="19"/>
      <c r="Y21" s="20"/>
      <c r="Z21" s="20"/>
      <c r="AA21" s="20"/>
      <c r="AB21" s="20"/>
      <c r="AC21" s="21"/>
      <c r="AE21" s="36" t="s">
        <v>21</v>
      </c>
      <c r="AF21" s="19"/>
      <c r="AG21" s="20"/>
      <c r="AH21" s="20"/>
      <c r="AI21" s="20"/>
      <c r="AJ21" s="20"/>
      <c r="AK21" s="21"/>
    </row>
    <row r="22" spans="1:37" x14ac:dyDescent="0.25">
      <c r="F22" s="2"/>
      <c r="G22" s="2"/>
      <c r="H22" s="2"/>
      <c r="J22" s="37"/>
      <c r="T22" s="22" t="s">
        <v>22</v>
      </c>
      <c r="U22" s="23">
        <f>SUM(K21:U21)</f>
        <v>0</v>
      </c>
      <c r="AB22" s="22" t="s">
        <v>22</v>
      </c>
      <c r="AC22" s="23">
        <f>SUM(X21:AC21)</f>
        <v>0</v>
      </c>
      <c r="AJ22" s="22" t="s">
        <v>22</v>
      </c>
      <c r="AK22" s="23">
        <f>SUM(AF21:AK21)</f>
        <v>0</v>
      </c>
    </row>
    <row r="23" spans="1:37" ht="15.75" thickBot="1" x14ac:dyDescent="0.3">
      <c r="A23" s="34"/>
      <c r="B23" s="171" t="s">
        <v>13</v>
      </c>
      <c r="C23" s="171"/>
      <c r="D23" s="171"/>
      <c r="E23" s="171"/>
      <c r="F23" s="171"/>
      <c r="G23" s="171"/>
      <c r="H23" s="171"/>
      <c r="J23" s="172" t="s">
        <v>13</v>
      </c>
      <c r="K23" s="172"/>
      <c r="L23" s="172"/>
      <c r="M23" s="172"/>
      <c r="N23" s="172"/>
      <c r="O23" s="172"/>
      <c r="P23" s="172"/>
      <c r="Q23" s="172"/>
      <c r="R23" s="172"/>
      <c r="S23" s="172"/>
      <c r="T23" s="172"/>
      <c r="U23" s="172"/>
      <c r="W23" s="173" t="str">
        <f>J23</f>
        <v>Abril</v>
      </c>
      <c r="X23" s="173"/>
      <c r="Y23" s="173"/>
      <c r="Z23" s="173"/>
      <c r="AA23" s="173"/>
      <c r="AB23" s="173"/>
      <c r="AC23" s="173"/>
      <c r="AE23" s="174" t="str">
        <f>W23</f>
        <v>Abril</v>
      </c>
      <c r="AF23" s="174"/>
      <c r="AG23" s="174"/>
      <c r="AH23" s="174"/>
      <c r="AI23" s="174"/>
      <c r="AJ23" s="174"/>
      <c r="AK23" s="174"/>
    </row>
    <row r="24" spans="1:37" ht="15.75" thickBot="1" x14ac:dyDescent="0.3">
      <c r="A24" s="168" t="s">
        <v>4</v>
      </c>
      <c r="B24" s="10" t="s">
        <v>5</v>
      </c>
      <c r="C24" s="11" t="s">
        <v>6</v>
      </c>
      <c r="D24" s="12" t="s">
        <v>7</v>
      </c>
      <c r="E24" s="11" t="s">
        <v>8</v>
      </c>
      <c r="F24" s="12" t="s">
        <v>9</v>
      </c>
      <c r="G24" s="11" t="s">
        <v>10</v>
      </c>
      <c r="H24" s="32" t="s">
        <v>11</v>
      </c>
      <c r="J24" s="35" t="s">
        <v>3</v>
      </c>
      <c r="K24" s="14"/>
      <c r="L24" s="15"/>
      <c r="M24" s="15"/>
      <c r="N24" s="15"/>
      <c r="O24" s="15"/>
      <c r="P24" s="15"/>
      <c r="Q24" s="15"/>
      <c r="R24" s="15"/>
      <c r="S24" s="15"/>
      <c r="T24" s="15"/>
      <c r="U24" s="16"/>
      <c r="W24" s="35" t="s">
        <v>3</v>
      </c>
      <c r="X24" s="14"/>
      <c r="Y24" s="15"/>
      <c r="Z24" s="15"/>
      <c r="AA24" s="15"/>
      <c r="AB24" s="15"/>
      <c r="AC24" s="16"/>
      <c r="AE24" s="35" t="s">
        <v>3</v>
      </c>
      <c r="AF24" s="14"/>
      <c r="AG24" s="15"/>
      <c r="AH24" s="15"/>
      <c r="AI24" s="15"/>
      <c r="AJ24" s="15"/>
      <c r="AK24" s="16"/>
    </row>
    <row r="25" spans="1:37" ht="15.75" thickBot="1" x14ac:dyDescent="0.3">
      <c r="A25" s="168"/>
      <c r="B25" s="17">
        <v>13602</v>
      </c>
      <c r="C25" s="18"/>
      <c r="D25" s="18"/>
      <c r="E25" s="18">
        <v>15974</v>
      </c>
      <c r="F25" s="18">
        <f>SUM(C25-B25)</f>
        <v>-13602</v>
      </c>
      <c r="G25" s="18">
        <f>SUM(E25-D25)</f>
        <v>15974</v>
      </c>
      <c r="H25" s="33">
        <f>SUM(F25:G25)</f>
        <v>2372</v>
      </c>
      <c r="J25" s="36" t="s">
        <v>21</v>
      </c>
      <c r="K25" s="25"/>
      <c r="L25" s="26"/>
      <c r="M25" s="26"/>
      <c r="N25" s="26"/>
      <c r="O25" s="26"/>
      <c r="P25" s="26"/>
      <c r="Q25" s="26"/>
      <c r="R25" s="26"/>
      <c r="S25" s="26"/>
      <c r="T25" s="26"/>
      <c r="U25" s="27"/>
      <c r="W25" s="36" t="s">
        <v>21</v>
      </c>
      <c r="X25" s="19"/>
      <c r="Y25" s="20"/>
      <c r="Z25" s="20"/>
      <c r="AA25" s="20"/>
      <c r="AB25" s="20"/>
      <c r="AC25" s="21"/>
      <c r="AE25" s="36" t="s">
        <v>21</v>
      </c>
      <c r="AF25" s="19"/>
      <c r="AG25" s="20"/>
      <c r="AH25" s="20"/>
      <c r="AI25" s="20"/>
      <c r="AJ25" s="20"/>
      <c r="AK25" s="21"/>
    </row>
    <row r="26" spans="1:37" x14ac:dyDescent="0.25">
      <c r="F26" s="2"/>
      <c r="G26" s="2"/>
      <c r="H26" s="2"/>
      <c r="J26" s="37"/>
      <c r="T26" s="22" t="s">
        <v>22</v>
      </c>
      <c r="U26" s="23">
        <f>SUM(K25:U25)</f>
        <v>0</v>
      </c>
      <c r="AB26" s="22" t="s">
        <v>22</v>
      </c>
      <c r="AC26" s="23">
        <f>SUM(X25:AC25)</f>
        <v>0</v>
      </c>
      <c r="AJ26" s="22" t="s">
        <v>22</v>
      </c>
      <c r="AK26" s="23">
        <f>SUM(AF25:AK25)</f>
        <v>0</v>
      </c>
    </row>
    <row r="27" spans="1:37" ht="15.75" thickBot="1" x14ac:dyDescent="0.3">
      <c r="A27" s="34"/>
      <c r="B27" s="171" t="s">
        <v>14</v>
      </c>
      <c r="C27" s="171"/>
      <c r="D27" s="171"/>
      <c r="E27" s="171"/>
      <c r="F27" s="171"/>
      <c r="G27" s="171"/>
      <c r="H27" s="171"/>
      <c r="J27" s="172" t="s">
        <v>14</v>
      </c>
      <c r="K27" s="172"/>
      <c r="L27" s="172"/>
      <c r="M27" s="172"/>
      <c r="N27" s="172"/>
      <c r="O27" s="172"/>
      <c r="P27" s="172"/>
      <c r="Q27" s="172"/>
      <c r="R27" s="172"/>
      <c r="S27" s="172"/>
      <c r="T27" s="172"/>
      <c r="U27" s="172"/>
      <c r="W27" s="173" t="str">
        <f>J27</f>
        <v>Maio</v>
      </c>
      <c r="X27" s="173"/>
      <c r="Y27" s="173"/>
      <c r="Z27" s="173"/>
      <c r="AA27" s="173"/>
      <c r="AB27" s="173"/>
      <c r="AC27" s="173"/>
      <c r="AE27" s="174" t="str">
        <f>W27</f>
        <v>Maio</v>
      </c>
      <c r="AF27" s="174"/>
      <c r="AG27" s="174"/>
      <c r="AH27" s="174"/>
      <c r="AI27" s="174"/>
      <c r="AJ27" s="174"/>
      <c r="AK27" s="174"/>
    </row>
    <row r="28" spans="1:37" ht="15.75" thickBot="1" x14ac:dyDescent="0.3">
      <c r="A28" s="168" t="s">
        <v>4</v>
      </c>
      <c r="B28" s="10" t="s">
        <v>5</v>
      </c>
      <c r="C28" s="11" t="s">
        <v>6</v>
      </c>
      <c r="D28" s="12" t="s">
        <v>7</v>
      </c>
      <c r="E28" s="11" t="s">
        <v>8</v>
      </c>
      <c r="F28" s="12" t="s">
        <v>9</v>
      </c>
      <c r="G28" s="11" t="s">
        <v>10</v>
      </c>
      <c r="H28" s="32" t="s">
        <v>11</v>
      </c>
      <c r="J28" s="35" t="s">
        <v>3</v>
      </c>
      <c r="K28" s="14"/>
      <c r="L28" s="15"/>
      <c r="M28" s="15"/>
      <c r="N28" s="15"/>
      <c r="O28" s="15"/>
      <c r="P28" s="15"/>
      <c r="Q28" s="15"/>
      <c r="R28" s="15"/>
      <c r="S28" s="15"/>
      <c r="T28" s="15"/>
      <c r="U28" s="16"/>
      <c r="W28" s="35" t="s">
        <v>3</v>
      </c>
      <c r="X28" s="14"/>
      <c r="Y28" s="15"/>
      <c r="Z28" s="15"/>
      <c r="AA28" s="15"/>
      <c r="AB28" s="15"/>
      <c r="AC28" s="16"/>
      <c r="AE28" s="35" t="s">
        <v>3</v>
      </c>
      <c r="AF28" s="14"/>
      <c r="AG28" s="15"/>
      <c r="AH28" s="15"/>
      <c r="AI28" s="15"/>
      <c r="AJ28" s="15"/>
      <c r="AK28" s="16"/>
    </row>
    <row r="29" spans="1:37" ht="15.75" thickBot="1" x14ac:dyDescent="0.3">
      <c r="A29" s="168"/>
      <c r="B29" s="18">
        <v>15974</v>
      </c>
      <c r="C29" s="18"/>
      <c r="D29" s="18"/>
      <c r="E29" s="18">
        <v>19400</v>
      </c>
      <c r="F29" s="18">
        <f>SUM(C29-B29)</f>
        <v>-15974</v>
      </c>
      <c r="G29" s="18">
        <f>SUM(E29-D29)</f>
        <v>19400</v>
      </c>
      <c r="H29" s="33">
        <f>SUM(F29:G29)</f>
        <v>3426</v>
      </c>
      <c r="J29" s="36" t="s">
        <v>21</v>
      </c>
      <c r="K29" s="19"/>
      <c r="L29" s="20"/>
      <c r="M29" s="20"/>
      <c r="N29" s="20"/>
      <c r="O29" s="20"/>
      <c r="P29" s="20"/>
      <c r="Q29" s="20"/>
      <c r="R29" s="20"/>
      <c r="S29" s="20"/>
      <c r="T29" s="20"/>
      <c r="U29" s="21"/>
      <c r="W29" s="36" t="s">
        <v>21</v>
      </c>
      <c r="X29" s="19"/>
      <c r="Y29" s="20"/>
      <c r="Z29" s="20"/>
      <c r="AA29" s="20"/>
      <c r="AB29" s="20"/>
      <c r="AC29" s="21"/>
      <c r="AE29" s="36" t="s">
        <v>21</v>
      </c>
      <c r="AF29" s="19"/>
      <c r="AG29" s="20"/>
      <c r="AH29" s="20"/>
      <c r="AI29" s="20"/>
      <c r="AJ29" s="20"/>
      <c r="AK29" s="21"/>
    </row>
    <row r="30" spans="1:37" x14ac:dyDescent="0.25">
      <c r="F30" s="2"/>
      <c r="G30" s="2"/>
      <c r="H30" s="2"/>
      <c r="J30" s="37"/>
      <c r="T30" s="22" t="s">
        <v>22</v>
      </c>
      <c r="U30" s="23">
        <f>SUM(K29:U29)</f>
        <v>0</v>
      </c>
      <c r="AB30" s="22" t="s">
        <v>22</v>
      </c>
      <c r="AC30" s="23">
        <f>SUM(X29:AC29)</f>
        <v>0</v>
      </c>
      <c r="AJ30" s="22" t="s">
        <v>22</v>
      </c>
      <c r="AK30" s="23">
        <f>SUM(AF29:AK29)</f>
        <v>0</v>
      </c>
    </row>
    <row r="31" spans="1:37" ht="15.75" thickBot="1" x14ac:dyDescent="0.3">
      <c r="A31" s="34"/>
      <c r="B31" s="171" t="s">
        <v>23</v>
      </c>
      <c r="C31" s="171"/>
      <c r="D31" s="171"/>
      <c r="E31" s="171"/>
      <c r="F31" s="171"/>
      <c r="G31" s="171"/>
      <c r="H31" s="171"/>
      <c r="J31" s="172" t="s">
        <v>23</v>
      </c>
      <c r="K31" s="172"/>
      <c r="L31" s="172"/>
      <c r="M31" s="172"/>
      <c r="N31" s="172"/>
      <c r="O31" s="172"/>
      <c r="P31" s="172"/>
      <c r="Q31" s="172"/>
      <c r="R31" s="172"/>
      <c r="S31" s="172"/>
      <c r="T31" s="172"/>
      <c r="U31" s="172"/>
      <c r="W31" s="173" t="str">
        <f>J31</f>
        <v>Junho</v>
      </c>
      <c r="X31" s="173"/>
      <c r="Y31" s="173"/>
      <c r="Z31" s="173"/>
      <c r="AA31" s="173"/>
      <c r="AB31" s="173"/>
      <c r="AC31" s="173"/>
      <c r="AE31" s="174" t="str">
        <f>W31</f>
        <v>Junho</v>
      </c>
      <c r="AF31" s="174"/>
      <c r="AG31" s="174"/>
      <c r="AH31" s="174"/>
      <c r="AI31" s="174"/>
      <c r="AJ31" s="174"/>
      <c r="AK31" s="174"/>
    </row>
    <row r="32" spans="1:37" ht="15.75" thickBot="1" x14ac:dyDescent="0.3">
      <c r="A32" s="168" t="s">
        <v>4</v>
      </c>
      <c r="B32" s="10" t="s">
        <v>5</v>
      </c>
      <c r="C32" s="11" t="s">
        <v>6</v>
      </c>
      <c r="D32" s="12" t="s">
        <v>7</v>
      </c>
      <c r="E32" s="11" t="s">
        <v>8</v>
      </c>
      <c r="F32" s="12" t="s">
        <v>9</v>
      </c>
      <c r="G32" s="11" t="s">
        <v>10</v>
      </c>
      <c r="H32" s="32" t="s">
        <v>11</v>
      </c>
      <c r="J32" s="35" t="s">
        <v>3</v>
      </c>
      <c r="K32" s="14"/>
      <c r="L32" s="15"/>
      <c r="M32" s="15"/>
      <c r="N32" s="15"/>
      <c r="O32" s="15"/>
      <c r="P32" s="15"/>
      <c r="Q32" s="15"/>
      <c r="R32" s="15"/>
      <c r="S32" s="15"/>
      <c r="T32" s="15"/>
      <c r="U32" s="16"/>
      <c r="W32" s="35" t="s">
        <v>3</v>
      </c>
      <c r="X32" s="14"/>
      <c r="Y32" s="15"/>
      <c r="Z32" s="15"/>
      <c r="AA32" s="15"/>
      <c r="AB32" s="15"/>
      <c r="AC32" s="16"/>
      <c r="AE32" s="35" t="s">
        <v>3</v>
      </c>
      <c r="AF32" s="14"/>
      <c r="AG32" s="15"/>
      <c r="AH32" s="15"/>
      <c r="AI32" s="15"/>
      <c r="AJ32" s="15"/>
      <c r="AK32" s="16"/>
    </row>
    <row r="33" spans="1:37" ht="15.75" thickBot="1" x14ac:dyDescent="0.3">
      <c r="A33" s="168"/>
      <c r="B33" s="17"/>
      <c r="C33" s="18"/>
      <c r="D33" s="18"/>
      <c r="E33" s="18"/>
      <c r="F33" s="18">
        <f>SUM(C33-B33)</f>
        <v>0</v>
      </c>
      <c r="G33" s="18">
        <f>SUM(E33-D33)</f>
        <v>0</v>
      </c>
      <c r="H33" s="33">
        <f>SUM(F33:G33)</f>
        <v>0</v>
      </c>
      <c r="J33" s="36" t="s">
        <v>21</v>
      </c>
      <c r="K33" s="19"/>
      <c r="L33" s="20"/>
      <c r="M33" s="20"/>
      <c r="N33" s="20"/>
      <c r="O33" s="20"/>
      <c r="P33" s="20"/>
      <c r="Q33" s="20"/>
      <c r="R33" s="20"/>
      <c r="S33" s="20"/>
      <c r="T33" s="20"/>
      <c r="U33" s="21"/>
      <c r="W33" s="36" t="s">
        <v>21</v>
      </c>
      <c r="X33" s="19"/>
      <c r="Y33" s="20"/>
      <c r="Z33" s="20"/>
      <c r="AA33" s="20"/>
      <c r="AB33" s="20"/>
      <c r="AC33" s="21"/>
      <c r="AE33" s="36" t="s">
        <v>21</v>
      </c>
      <c r="AF33" s="19"/>
      <c r="AG33" s="20"/>
      <c r="AH33" s="20"/>
      <c r="AI33" s="20"/>
      <c r="AJ33" s="20"/>
      <c r="AK33" s="21"/>
    </row>
    <row r="34" spans="1:37" x14ac:dyDescent="0.25">
      <c r="F34" s="2"/>
      <c r="G34" s="2"/>
      <c r="H34" s="2"/>
      <c r="J34" s="37"/>
      <c r="T34" s="22" t="s">
        <v>22</v>
      </c>
      <c r="U34" s="23">
        <f>SUM(K33:U33)</f>
        <v>0</v>
      </c>
      <c r="AB34" s="22" t="s">
        <v>22</v>
      </c>
      <c r="AC34" s="23">
        <f>SUM(X33:AC33)</f>
        <v>0</v>
      </c>
      <c r="AJ34" s="22" t="s">
        <v>22</v>
      </c>
      <c r="AK34" s="23">
        <f>SUM(AF33:AK33)</f>
        <v>0</v>
      </c>
    </row>
    <row r="35" spans="1:37" ht="15.75" thickBot="1" x14ac:dyDescent="0.3">
      <c r="A35" s="34"/>
      <c r="B35" s="171" t="s">
        <v>15</v>
      </c>
      <c r="C35" s="171"/>
      <c r="D35" s="171"/>
      <c r="E35" s="171"/>
      <c r="F35" s="171"/>
      <c r="G35" s="171"/>
      <c r="H35" s="171"/>
      <c r="J35" s="172" t="s">
        <v>15</v>
      </c>
      <c r="K35" s="172"/>
      <c r="L35" s="172"/>
      <c r="M35" s="172"/>
      <c r="N35" s="172"/>
      <c r="O35" s="172"/>
      <c r="P35" s="172"/>
      <c r="Q35" s="172"/>
      <c r="R35" s="172"/>
      <c r="S35" s="172"/>
      <c r="T35" s="172"/>
      <c r="U35" s="172"/>
      <c r="W35" s="173" t="str">
        <f>J35</f>
        <v>Julho</v>
      </c>
      <c r="X35" s="173"/>
      <c r="Y35" s="173"/>
      <c r="Z35" s="173"/>
      <c r="AA35" s="173"/>
      <c r="AB35" s="173"/>
      <c r="AC35" s="173"/>
      <c r="AE35" s="174" t="str">
        <f>W35</f>
        <v>Julho</v>
      </c>
      <c r="AF35" s="174"/>
      <c r="AG35" s="174"/>
      <c r="AH35" s="174"/>
      <c r="AI35" s="174"/>
      <c r="AJ35" s="174"/>
      <c r="AK35" s="174"/>
    </row>
    <row r="36" spans="1:37" ht="15.75" thickBot="1" x14ac:dyDescent="0.3">
      <c r="A36" s="168" t="s">
        <v>4</v>
      </c>
      <c r="B36" s="10" t="s">
        <v>5</v>
      </c>
      <c r="C36" s="11" t="s">
        <v>6</v>
      </c>
      <c r="D36" s="12" t="s">
        <v>7</v>
      </c>
      <c r="E36" s="11" t="s">
        <v>8</v>
      </c>
      <c r="F36" s="12" t="s">
        <v>9</v>
      </c>
      <c r="G36" s="11" t="s">
        <v>10</v>
      </c>
      <c r="H36" s="32" t="s">
        <v>11</v>
      </c>
      <c r="J36" s="35" t="s">
        <v>3</v>
      </c>
      <c r="K36" s="14"/>
      <c r="L36" s="15"/>
      <c r="M36" s="15"/>
      <c r="N36" s="15"/>
      <c r="O36" s="15"/>
      <c r="P36" s="15"/>
      <c r="Q36" s="15"/>
      <c r="R36" s="15"/>
      <c r="S36" s="15"/>
      <c r="T36" s="15"/>
      <c r="U36" s="16"/>
      <c r="W36" s="35" t="s">
        <v>3</v>
      </c>
      <c r="X36" s="14"/>
      <c r="Y36" s="15"/>
      <c r="Z36" s="15"/>
      <c r="AA36" s="15"/>
      <c r="AB36" s="15"/>
      <c r="AC36" s="16"/>
      <c r="AE36" s="35" t="s">
        <v>3</v>
      </c>
      <c r="AF36" s="14"/>
      <c r="AG36" s="15"/>
      <c r="AH36" s="15"/>
      <c r="AI36" s="15"/>
      <c r="AJ36" s="15"/>
      <c r="AK36" s="16"/>
    </row>
    <row r="37" spans="1:37" ht="15.75" thickBot="1" x14ac:dyDescent="0.3">
      <c r="A37" s="168"/>
      <c r="B37" s="17"/>
      <c r="C37" s="18"/>
      <c r="D37" s="18"/>
      <c r="E37" s="18"/>
      <c r="F37" s="18">
        <f>SUM(C37-B37)</f>
        <v>0</v>
      </c>
      <c r="G37" s="18">
        <f>SUM(E37-D37)</f>
        <v>0</v>
      </c>
      <c r="H37" s="33">
        <f>SUM(F37:G37)</f>
        <v>0</v>
      </c>
      <c r="J37" s="36" t="s">
        <v>21</v>
      </c>
      <c r="K37" s="19"/>
      <c r="L37" s="20"/>
      <c r="M37" s="20"/>
      <c r="N37" s="20"/>
      <c r="O37" s="20"/>
      <c r="P37" s="20"/>
      <c r="Q37" s="20"/>
      <c r="R37" s="20"/>
      <c r="S37" s="20"/>
      <c r="T37" s="20"/>
      <c r="U37" s="21"/>
      <c r="W37" s="36" t="s">
        <v>21</v>
      </c>
      <c r="X37" s="19"/>
      <c r="Y37" s="20"/>
      <c r="Z37" s="20"/>
      <c r="AA37" s="20"/>
      <c r="AB37" s="20"/>
      <c r="AC37" s="21"/>
      <c r="AE37" s="36" t="s">
        <v>21</v>
      </c>
      <c r="AF37" s="19"/>
      <c r="AG37" s="20"/>
      <c r="AH37" s="20"/>
      <c r="AI37" s="20"/>
      <c r="AJ37" s="20"/>
      <c r="AK37" s="21"/>
    </row>
    <row r="38" spans="1:37" x14ac:dyDescent="0.25">
      <c r="F38" s="2"/>
      <c r="G38" s="2"/>
      <c r="H38" s="2"/>
      <c r="J38" s="37"/>
      <c r="T38" s="22" t="s">
        <v>22</v>
      </c>
      <c r="U38" s="23">
        <f>SUM(K37:U37)</f>
        <v>0</v>
      </c>
      <c r="AB38" s="22" t="s">
        <v>22</v>
      </c>
      <c r="AC38" s="23">
        <f>SUM(X37:AC37)</f>
        <v>0</v>
      </c>
      <c r="AJ38" s="22" t="s">
        <v>22</v>
      </c>
      <c r="AK38" s="23">
        <f>SUM(AF37:AK37)</f>
        <v>0</v>
      </c>
    </row>
    <row r="39" spans="1:37" ht="15.75" thickBot="1" x14ac:dyDescent="0.3">
      <c r="A39" s="34"/>
      <c r="B39" s="171" t="s">
        <v>16</v>
      </c>
      <c r="C39" s="171"/>
      <c r="D39" s="171"/>
      <c r="E39" s="171"/>
      <c r="F39" s="171"/>
      <c r="G39" s="171"/>
      <c r="H39" s="171"/>
      <c r="J39" s="172" t="s">
        <v>16</v>
      </c>
      <c r="K39" s="172"/>
      <c r="L39" s="172"/>
      <c r="M39" s="172"/>
      <c r="N39" s="172"/>
      <c r="O39" s="172"/>
      <c r="P39" s="172"/>
      <c r="Q39" s="172"/>
      <c r="R39" s="172"/>
      <c r="S39" s="172"/>
      <c r="T39" s="172"/>
      <c r="U39" s="172"/>
      <c r="W39" s="173" t="str">
        <f>J39</f>
        <v>Agosto</v>
      </c>
      <c r="X39" s="173"/>
      <c r="Y39" s="173"/>
      <c r="Z39" s="173"/>
      <c r="AA39" s="173"/>
      <c r="AB39" s="173"/>
      <c r="AC39" s="173"/>
      <c r="AE39" s="174" t="str">
        <f>W39</f>
        <v>Agosto</v>
      </c>
      <c r="AF39" s="174"/>
      <c r="AG39" s="174"/>
      <c r="AH39" s="174"/>
      <c r="AI39" s="174"/>
      <c r="AJ39" s="174"/>
      <c r="AK39" s="174"/>
    </row>
    <row r="40" spans="1:37" ht="15.75" thickBot="1" x14ac:dyDescent="0.3">
      <c r="A40" s="168" t="s">
        <v>4</v>
      </c>
      <c r="B40" s="10" t="s">
        <v>5</v>
      </c>
      <c r="C40" s="11" t="s">
        <v>6</v>
      </c>
      <c r="D40" s="12" t="s">
        <v>7</v>
      </c>
      <c r="E40" s="11" t="s">
        <v>8</v>
      </c>
      <c r="F40" s="12" t="s">
        <v>9</v>
      </c>
      <c r="G40" s="11" t="s">
        <v>10</v>
      </c>
      <c r="H40" s="32" t="s">
        <v>11</v>
      </c>
      <c r="J40" s="35" t="s">
        <v>3</v>
      </c>
      <c r="K40" s="14"/>
      <c r="L40" s="15"/>
      <c r="M40" s="15"/>
      <c r="N40" s="15"/>
      <c r="O40" s="15"/>
      <c r="P40" s="15"/>
      <c r="Q40" s="15"/>
      <c r="R40" s="15"/>
      <c r="S40" s="15"/>
      <c r="T40" s="15"/>
      <c r="U40" s="16"/>
      <c r="W40" s="35" t="s">
        <v>3</v>
      </c>
      <c r="X40" s="14"/>
      <c r="Y40" s="15"/>
      <c r="Z40" s="15"/>
      <c r="AA40" s="15"/>
      <c r="AB40" s="15"/>
      <c r="AC40" s="16"/>
      <c r="AE40" s="35" t="s">
        <v>3</v>
      </c>
      <c r="AF40" s="14"/>
      <c r="AG40" s="15"/>
      <c r="AH40" s="15"/>
      <c r="AI40" s="15"/>
      <c r="AJ40" s="15"/>
      <c r="AK40" s="16"/>
    </row>
    <row r="41" spans="1:37" ht="15.75" thickBot="1" x14ac:dyDescent="0.3">
      <c r="A41" s="168"/>
      <c r="B41" s="17"/>
      <c r="C41" s="18"/>
      <c r="D41" s="18"/>
      <c r="E41" s="18"/>
      <c r="F41" s="18">
        <f>SUM(C41-B41)</f>
        <v>0</v>
      </c>
      <c r="G41" s="18">
        <f>SUM(E41-D41)</f>
        <v>0</v>
      </c>
      <c r="H41" s="33">
        <f>SUM(F41:G41)</f>
        <v>0</v>
      </c>
      <c r="J41" s="36" t="s">
        <v>21</v>
      </c>
      <c r="K41" s="19"/>
      <c r="L41" s="20"/>
      <c r="M41" s="20"/>
      <c r="N41" s="20"/>
      <c r="O41" s="20"/>
      <c r="P41" s="20"/>
      <c r="Q41" s="20"/>
      <c r="R41" s="20"/>
      <c r="S41" s="20"/>
      <c r="T41" s="20"/>
      <c r="U41" s="21"/>
      <c r="W41" s="36" t="s">
        <v>21</v>
      </c>
      <c r="X41" s="19"/>
      <c r="Y41" s="20"/>
      <c r="Z41" s="20"/>
      <c r="AA41" s="20"/>
      <c r="AB41" s="20"/>
      <c r="AC41" s="21"/>
      <c r="AE41" s="36" t="s">
        <v>21</v>
      </c>
      <c r="AF41" s="19"/>
      <c r="AG41" s="20"/>
      <c r="AH41" s="20"/>
      <c r="AI41" s="20"/>
      <c r="AJ41" s="20"/>
      <c r="AK41" s="21"/>
    </row>
    <row r="42" spans="1:37" x14ac:dyDescent="0.25">
      <c r="F42" s="2"/>
      <c r="G42" s="2"/>
      <c r="H42" s="2"/>
      <c r="J42" s="37"/>
      <c r="T42" s="22" t="s">
        <v>22</v>
      </c>
      <c r="U42" s="23">
        <f>SUM(K41:U41)</f>
        <v>0</v>
      </c>
      <c r="AB42" s="22" t="s">
        <v>22</v>
      </c>
      <c r="AC42" s="23">
        <f>SUM(X41:AC41)</f>
        <v>0</v>
      </c>
      <c r="AJ42" s="22" t="s">
        <v>22</v>
      </c>
      <c r="AK42" s="23">
        <f>SUM(AF41:AK41)</f>
        <v>0</v>
      </c>
    </row>
    <row r="43" spans="1:37" ht="15.75" thickBot="1" x14ac:dyDescent="0.3">
      <c r="A43" s="34"/>
      <c r="B43" s="171" t="s">
        <v>17</v>
      </c>
      <c r="C43" s="171"/>
      <c r="D43" s="171"/>
      <c r="E43" s="171"/>
      <c r="F43" s="171"/>
      <c r="G43" s="171"/>
      <c r="H43" s="171"/>
      <c r="J43" s="172" t="s">
        <v>17</v>
      </c>
      <c r="K43" s="172"/>
      <c r="L43" s="172"/>
      <c r="M43" s="172"/>
      <c r="N43" s="172"/>
      <c r="O43" s="172"/>
      <c r="P43" s="172"/>
      <c r="Q43" s="172"/>
      <c r="R43" s="172"/>
      <c r="S43" s="172"/>
      <c r="T43" s="172"/>
      <c r="U43" s="172"/>
      <c r="W43" s="173" t="str">
        <f>J43</f>
        <v>Setembro</v>
      </c>
      <c r="X43" s="173"/>
      <c r="Y43" s="173"/>
      <c r="Z43" s="173"/>
      <c r="AA43" s="173"/>
      <c r="AB43" s="173"/>
      <c r="AC43" s="173"/>
      <c r="AE43" s="174" t="str">
        <f>W43</f>
        <v>Setembro</v>
      </c>
      <c r="AF43" s="174"/>
      <c r="AG43" s="174"/>
      <c r="AH43" s="174"/>
      <c r="AI43" s="174"/>
      <c r="AJ43" s="174"/>
      <c r="AK43" s="174"/>
    </row>
    <row r="44" spans="1:37" ht="15.75" thickBot="1" x14ac:dyDescent="0.3">
      <c r="A44" s="168" t="s">
        <v>4</v>
      </c>
      <c r="B44" s="10" t="s">
        <v>5</v>
      </c>
      <c r="C44" s="11" t="s">
        <v>6</v>
      </c>
      <c r="D44" s="12" t="s">
        <v>7</v>
      </c>
      <c r="E44" s="11" t="s">
        <v>8</v>
      </c>
      <c r="F44" s="12" t="s">
        <v>9</v>
      </c>
      <c r="G44" s="11" t="s">
        <v>10</v>
      </c>
      <c r="H44" s="32" t="s">
        <v>11</v>
      </c>
      <c r="J44" s="35" t="s">
        <v>3</v>
      </c>
      <c r="K44" s="14"/>
      <c r="L44" s="15"/>
      <c r="M44" s="15"/>
      <c r="N44" s="15"/>
      <c r="O44" s="15"/>
      <c r="P44" s="15"/>
      <c r="Q44" s="15"/>
      <c r="R44" s="15"/>
      <c r="S44" s="15"/>
      <c r="T44" s="15"/>
      <c r="U44" s="16"/>
      <c r="W44" s="35" t="s">
        <v>3</v>
      </c>
      <c r="X44" s="14"/>
      <c r="Y44" s="15"/>
      <c r="Z44" s="15"/>
      <c r="AA44" s="15"/>
      <c r="AB44" s="15"/>
      <c r="AC44" s="16"/>
      <c r="AE44" s="35" t="s">
        <v>3</v>
      </c>
      <c r="AF44" s="14"/>
      <c r="AG44" s="15"/>
      <c r="AH44" s="15"/>
      <c r="AI44" s="15"/>
      <c r="AJ44" s="15"/>
      <c r="AK44" s="16"/>
    </row>
    <row r="45" spans="1:37" ht="15.75" thickBot="1" x14ac:dyDescent="0.3">
      <c r="A45" s="168"/>
      <c r="B45" s="17"/>
      <c r="C45" s="18"/>
      <c r="D45" s="18"/>
      <c r="E45" s="18"/>
      <c r="F45" s="18">
        <f>SUM(C45-B45)</f>
        <v>0</v>
      </c>
      <c r="G45" s="18">
        <f>SUM(E45-D45)</f>
        <v>0</v>
      </c>
      <c r="H45" s="33">
        <f>SUM(F45:G45)</f>
        <v>0</v>
      </c>
      <c r="J45" s="36" t="s">
        <v>21</v>
      </c>
      <c r="K45" s="19"/>
      <c r="L45" s="20"/>
      <c r="M45" s="20"/>
      <c r="N45" s="20"/>
      <c r="O45" s="20"/>
      <c r="P45" s="20"/>
      <c r="Q45" s="20"/>
      <c r="R45" s="20"/>
      <c r="S45" s="20"/>
      <c r="T45" s="20"/>
      <c r="U45" s="21"/>
      <c r="W45" s="36" t="s">
        <v>21</v>
      </c>
      <c r="X45" s="19"/>
      <c r="Y45" s="20"/>
      <c r="Z45" s="20"/>
      <c r="AA45" s="20"/>
      <c r="AB45" s="20"/>
      <c r="AC45" s="21"/>
      <c r="AE45" s="36" t="s">
        <v>21</v>
      </c>
      <c r="AF45" s="19"/>
      <c r="AG45" s="20"/>
      <c r="AH45" s="20"/>
      <c r="AI45" s="20"/>
      <c r="AJ45" s="20"/>
      <c r="AK45" s="21"/>
    </row>
    <row r="46" spans="1:37" x14ac:dyDescent="0.25">
      <c r="F46" s="2"/>
      <c r="G46" s="2"/>
      <c r="H46" s="2"/>
      <c r="J46" s="37"/>
      <c r="T46" s="22" t="s">
        <v>22</v>
      </c>
      <c r="U46" s="23">
        <f>SUM(K45:U45)</f>
        <v>0</v>
      </c>
      <c r="AB46" s="22" t="s">
        <v>22</v>
      </c>
      <c r="AC46" s="23">
        <f>SUM(X45:AC45)</f>
        <v>0</v>
      </c>
      <c r="AJ46" s="22" t="s">
        <v>22</v>
      </c>
      <c r="AK46" s="23">
        <f>SUM(AF45:AK45)</f>
        <v>0</v>
      </c>
    </row>
    <row r="47" spans="1:37" ht="15.75" thickBot="1" x14ac:dyDescent="0.3">
      <c r="A47" s="34"/>
      <c r="B47" s="171" t="s">
        <v>18</v>
      </c>
      <c r="C47" s="171"/>
      <c r="D47" s="171"/>
      <c r="E47" s="171"/>
      <c r="F47" s="171"/>
      <c r="G47" s="171"/>
      <c r="H47" s="171"/>
      <c r="J47" s="172" t="s">
        <v>18</v>
      </c>
      <c r="K47" s="172"/>
      <c r="L47" s="172"/>
      <c r="M47" s="172"/>
      <c r="N47" s="172"/>
      <c r="O47" s="172"/>
      <c r="P47" s="172"/>
      <c r="Q47" s="172"/>
      <c r="R47" s="172"/>
      <c r="S47" s="172"/>
      <c r="T47" s="172"/>
      <c r="U47" s="172"/>
      <c r="W47" s="173" t="str">
        <f>J47</f>
        <v>Outubro</v>
      </c>
      <c r="X47" s="173"/>
      <c r="Y47" s="173"/>
      <c r="Z47" s="173"/>
      <c r="AA47" s="173"/>
      <c r="AB47" s="173"/>
      <c r="AC47" s="173"/>
      <c r="AE47" s="174" t="str">
        <f>W47</f>
        <v>Outubro</v>
      </c>
      <c r="AF47" s="174"/>
      <c r="AG47" s="174"/>
      <c r="AH47" s="174"/>
      <c r="AI47" s="174"/>
      <c r="AJ47" s="174"/>
      <c r="AK47" s="174"/>
    </row>
    <row r="48" spans="1:37" ht="15.75" thickBot="1" x14ac:dyDescent="0.3">
      <c r="A48" s="168" t="s">
        <v>4</v>
      </c>
      <c r="B48" s="10" t="s">
        <v>5</v>
      </c>
      <c r="C48" s="11" t="s">
        <v>6</v>
      </c>
      <c r="D48" s="12" t="s">
        <v>7</v>
      </c>
      <c r="E48" s="11" t="s">
        <v>8</v>
      </c>
      <c r="F48" s="12" t="s">
        <v>9</v>
      </c>
      <c r="G48" s="11" t="s">
        <v>10</v>
      </c>
      <c r="H48" s="32" t="s">
        <v>11</v>
      </c>
      <c r="J48" s="35" t="s">
        <v>3</v>
      </c>
      <c r="K48" s="14"/>
      <c r="L48" s="15"/>
      <c r="M48" s="15"/>
      <c r="N48" s="15"/>
      <c r="O48" s="15"/>
      <c r="P48" s="15"/>
      <c r="Q48" s="15"/>
      <c r="R48" s="15"/>
      <c r="S48" s="15"/>
      <c r="T48" s="15"/>
      <c r="U48" s="16"/>
      <c r="W48" s="35" t="s">
        <v>3</v>
      </c>
      <c r="X48" s="14"/>
      <c r="Y48" s="15"/>
      <c r="Z48" s="15"/>
      <c r="AA48" s="15"/>
      <c r="AB48" s="15"/>
      <c r="AC48" s="16"/>
      <c r="AE48" s="35" t="s">
        <v>3</v>
      </c>
      <c r="AF48" s="14"/>
      <c r="AG48" s="15"/>
      <c r="AH48" s="15"/>
      <c r="AI48" s="15"/>
      <c r="AJ48" s="15"/>
      <c r="AK48" s="16"/>
    </row>
    <row r="49" spans="1:37" ht="15.75" thickBot="1" x14ac:dyDescent="0.3">
      <c r="A49" s="168"/>
      <c r="B49" s="17"/>
      <c r="C49" s="18"/>
      <c r="D49" s="18"/>
      <c r="E49" s="18"/>
      <c r="F49" s="18">
        <f>SUM(C49-B49)</f>
        <v>0</v>
      </c>
      <c r="G49" s="18">
        <f>SUM(E49-D49)</f>
        <v>0</v>
      </c>
      <c r="H49" s="33">
        <f>SUM(F49:G49)</f>
        <v>0</v>
      </c>
      <c r="J49" s="36" t="s">
        <v>21</v>
      </c>
      <c r="K49" s="19"/>
      <c r="L49" s="20"/>
      <c r="M49" s="20"/>
      <c r="N49" s="20"/>
      <c r="O49" s="20"/>
      <c r="P49" s="20"/>
      <c r="Q49" s="20"/>
      <c r="R49" s="20"/>
      <c r="S49" s="20"/>
      <c r="T49" s="20"/>
      <c r="U49" s="21"/>
      <c r="W49" s="36" t="s">
        <v>21</v>
      </c>
      <c r="X49" s="19"/>
      <c r="Y49" s="20"/>
      <c r="Z49" s="20"/>
      <c r="AA49" s="20"/>
      <c r="AB49" s="20"/>
      <c r="AC49" s="21"/>
      <c r="AE49" s="36" t="s">
        <v>21</v>
      </c>
      <c r="AF49" s="19"/>
      <c r="AG49" s="20"/>
      <c r="AH49" s="20"/>
      <c r="AI49" s="20"/>
      <c r="AJ49" s="20"/>
      <c r="AK49" s="21"/>
    </row>
    <row r="50" spans="1:37" x14ac:dyDescent="0.25">
      <c r="F50" s="2"/>
      <c r="G50" s="2"/>
      <c r="H50" s="2"/>
      <c r="J50" s="37"/>
      <c r="T50" s="22" t="s">
        <v>22</v>
      </c>
      <c r="U50" s="23">
        <f>SUM(K49:U49)</f>
        <v>0</v>
      </c>
      <c r="AB50" s="22" t="s">
        <v>22</v>
      </c>
      <c r="AC50" s="23">
        <f>SUM(X49:AC49)</f>
        <v>0</v>
      </c>
      <c r="AJ50" s="22" t="s">
        <v>22</v>
      </c>
      <c r="AK50" s="23">
        <f>SUM(AF49:AK49)</f>
        <v>0</v>
      </c>
    </row>
    <row r="51" spans="1:37" ht="15.75" thickBot="1" x14ac:dyDescent="0.3">
      <c r="A51" s="34"/>
      <c r="B51" s="171" t="s">
        <v>19</v>
      </c>
      <c r="C51" s="171"/>
      <c r="D51" s="171"/>
      <c r="E51" s="171"/>
      <c r="F51" s="171"/>
      <c r="G51" s="171"/>
      <c r="H51" s="171"/>
      <c r="J51" s="172" t="s">
        <v>19</v>
      </c>
      <c r="K51" s="172"/>
      <c r="L51" s="172"/>
      <c r="M51" s="172"/>
      <c r="N51" s="172"/>
      <c r="O51" s="172"/>
      <c r="P51" s="172"/>
      <c r="Q51" s="172"/>
      <c r="R51" s="172"/>
      <c r="S51" s="172"/>
      <c r="T51" s="172"/>
      <c r="U51" s="172"/>
      <c r="W51" s="173" t="str">
        <f>J51</f>
        <v>Novembro</v>
      </c>
      <c r="X51" s="173"/>
      <c r="Y51" s="173"/>
      <c r="Z51" s="173"/>
      <c r="AA51" s="173"/>
      <c r="AB51" s="173"/>
      <c r="AC51" s="173"/>
      <c r="AE51" s="174" t="str">
        <f>W51</f>
        <v>Novembro</v>
      </c>
      <c r="AF51" s="174"/>
      <c r="AG51" s="174"/>
      <c r="AH51" s="174"/>
      <c r="AI51" s="174"/>
      <c r="AJ51" s="174"/>
      <c r="AK51" s="174"/>
    </row>
    <row r="52" spans="1:37" ht="15.75" thickBot="1" x14ac:dyDescent="0.3">
      <c r="A52" s="168" t="s">
        <v>4</v>
      </c>
      <c r="B52" s="10" t="s">
        <v>5</v>
      </c>
      <c r="C52" s="11" t="s">
        <v>6</v>
      </c>
      <c r="D52" s="12" t="s">
        <v>7</v>
      </c>
      <c r="E52" s="11" t="s">
        <v>8</v>
      </c>
      <c r="F52" s="12" t="s">
        <v>9</v>
      </c>
      <c r="G52" s="11" t="s">
        <v>10</v>
      </c>
      <c r="H52" s="32" t="s">
        <v>11</v>
      </c>
      <c r="J52" s="35" t="s">
        <v>3</v>
      </c>
      <c r="K52" s="14"/>
      <c r="L52" s="15"/>
      <c r="M52" s="15"/>
      <c r="N52" s="15"/>
      <c r="O52" s="15"/>
      <c r="P52" s="15"/>
      <c r="Q52" s="15"/>
      <c r="R52" s="15"/>
      <c r="S52" s="15"/>
      <c r="T52" s="15"/>
      <c r="U52" s="16"/>
      <c r="W52" s="35" t="s">
        <v>3</v>
      </c>
      <c r="X52" s="14"/>
      <c r="Y52" s="15"/>
      <c r="Z52" s="15"/>
      <c r="AA52" s="15"/>
      <c r="AB52" s="15"/>
      <c r="AC52" s="16"/>
      <c r="AE52" s="35" t="s">
        <v>3</v>
      </c>
      <c r="AF52" s="14"/>
      <c r="AG52" s="15"/>
      <c r="AH52" s="15"/>
      <c r="AI52" s="15"/>
      <c r="AJ52" s="15"/>
      <c r="AK52" s="16"/>
    </row>
    <row r="53" spans="1:37" ht="15.75" thickBot="1" x14ac:dyDescent="0.3">
      <c r="A53" s="168"/>
      <c r="B53" s="17"/>
      <c r="C53" s="18"/>
      <c r="D53" s="18"/>
      <c r="E53" s="18"/>
      <c r="F53" s="18">
        <f>SUM(C53-B53)</f>
        <v>0</v>
      </c>
      <c r="G53" s="18">
        <f>SUM(E53-D53)</f>
        <v>0</v>
      </c>
      <c r="H53" s="33">
        <f>SUM(F53:G53)</f>
        <v>0</v>
      </c>
      <c r="J53" s="36" t="s">
        <v>21</v>
      </c>
      <c r="K53" s="19"/>
      <c r="L53" s="20"/>
      <c r="M53" s="20"/>
      <c r="N53" s="20"/>
      <c r="O53" s="20"/>
      <c r="P53" s="20"/>
      <c r="Q53" s="20"/>
      <c r="R53" s="20"/>
      <c r="S53" s="20"/>
      <c r="T53" s="20"/>
      <c r="U53" s="21"/>
      <c r="W53" s="36" t="s">
        <v>21</v>
      </c>
      <c r="X53" s="19"/>
      <c r="Y53" s="20"/>
      <c r="Z53" s="20"/>
      <c r="AA53" s="20"/>
      <c r="AB53" s="20"/>
      <c r="AC53" s="21"/>
      <c r="AE53" s="36" t="s">
        <v>21</v>
      </c>
      <c r="AF53" s="19"/>
      <c r="AG53" s="20"/>
      <c r="AH53" s="20"/>
      <c r="AI53" s="20"/>
      <c r="AJ53" s="20"/>
      <c r="AK53" s="21"/>
    </row>
    <row r="54" spans="1:37" x14ac:dyDescent="0.25">
      <c r="F54" s="2"/>
      <c r="G54" s="2"/>
      <c r="H54" s="2"/>
      <c r="J54" s="37"/>
      <c r="T54" s="22" t="s">
        <v>22</v>
      </c>
      <c r="U54" s="23">
        <f>SUM(K53:U53)</f>
        <v>0</v>
      </c>
      <c r="AB54" s="22" t="s">
        <v>22</v>
      </c>
      <c r="AC54" s="23">
        <f>SUM(X53:AC53)</f>
        <v>0</v>
      </c>
      <c r="AJ54" s="22" t="s">
        <v>22</v>
      </c>
      <c r="AK54" s="23">
        <f>SUM(AF53:AK53)</f>
        <v>0</v>
      </c>
    </row>
    <row r="55" spans="1:37" ht="15.75" thickBot="1" x14ac:dyDescent="0.3">
      <c r="A55" s="34"/>
      <c r="B55" s="171" t="s">
        <v>20</v>
      </c>
      <c r="C55" s="171"/>
      <c r="D55" s="171"/>
      <c r="E55" s="171"/>
      <c r="F55" s="171"/>
      <c r="G55" s="171"/>
      <c r="H55" s="171"/>
      <c r="J55" s="172" t="s">
        <v>20</v>
      </c>
      <c r="K55" s="172"/>
      <c r="L55" s="172"/>
      <c r="M55" s="172"/>
      <c r="N55" s="172"/>
      <c r="O55" s="172"/>
      <c r="P55" s="172"/>
      <c r="Q55" s="172"/>
      <c r="R55" s="172"/>
      <c r="S55" s="172"/>
      <c r="T55" s="172"/>
      <c r="U55" s="172"/>
      <c r="W55" s="173" t="str">
        <f>J55</f>
        <v>Dezembro</v>
      </c>
      <c r="X55" s="173"/>
      <c r="Y55" s="173"/>
      <c r="Z55" s="173"/>
      <c r="AA55" s="173"/>
      <c r="AB55" s="173"/>
      <c r="AC55" s="173"/>
      <c r="AE55" s="174" t="str">
        <f>W55</f>
        <v>Dezembro</v>
      </c>
      <c r="AF55" s="174"/>
      <c r="AG55" s="174"/>
      <c r="AH55" s="174"/>
      <c r="AI55" s="174"/>
      <c r="AJ55" s="174"/>
      <c r="AK55" s="174"/>
    </row>
    <row r="56" spans="1:37" ht="15.75" thickBot="1" x14ac:dyDescent="0.3">
      <c r="A56" s="168" t="s">
        <v>4</v>
      </c>
      <c r="B56" s="10" t="s">
        <v>5</v>
      </c>
      <c r="C56" s="11" t="s">
        <v>6</v>
      </c>
      <c r="D56" s="12" t="s">
        <v>7</v>
      </c>
      <c r="E56" s="11" t="s">
        <v>8</v>
      </c>
      <c r="F56" s="12" t="s">
        <v>9</v>
      </c>
      <c r="G56" s="11" t="s">
        <v>10</v>
      </c>
      <c r="H56" s="32" t="s">
        <v>11</v>
      </c>
      <c r="J56" s="35" t="s">
        <v>3</v>
      </c>
      <c r="K56" s="14"/>
      <c r="L56" s="15"/>
      <c r="M56" s="15"/>
      <c r="N56" s="15"/>
      <c r="O56" s="15"/>
      <c r="P56" s="15"/>
      <c r="Q56" s="15"/>
      <c r="R56" s="15"/>
      <c r="S56" s="15"/>
      <c r="T56" s="15"/>
      <c r="U56" s="16"/>
      <c r="W56" s="35" t="s">
        <v>3</v>
      </c>
      <c r="X56" s="14"/>
      <c r="Y56" s="15"/>
      <c r="Z56" s="15"/>
      <c r="AA56" s="15"/>
      <c r="AB56" s="15"/>
      <c r="AC56" s="16"/>
      <c r="AE56" s="35" t="s">
        <v>3</v>
      </c>
      <c r="AF56" s="14"/>
      <c r="AG56" s="15"/>
      <c r="AH56" s="15"/>
      <c r="AI56" s="15"/>
      <c r="AJ56" s="15"/>
      <c r="AK56" s="16"/>
    </row>
    <row r="57" spans="1:37" ht="15.75" thickBot="1" x14ac:dyDescent="0.3">
      <c r="A57" s="168"/>
      <c r="B57" s="17"/>
      <c r="C57" s="18"/>
      <c r="D57" s="18"/>
      <c r="E57" s="18"/>
      <c r="F57" s="18">
        <f>SUM(C57-B57)</f>
        <v>0</v>
      </c>
      <c r="G57" s="18">
        <f>SUM(E57-D57)</f>
        <v>0</v>
      </c>
      <c r="H57" s="33">
        <f>SUM(F57:G57)</f>
        <v>0</v>
      </c>
      <c r="J57" s="36" t="s">
        <v>21</v>
      </c>
      <c r="K57" s="19"/>
      <c r="L57" s="20"/>
      <c r="M57" s="20"/>
      <c r="N57" s="20"/>
      <c r="O57" s="20"/>
      <c r="P57" s="20"/>
      <c r="Q57" s="20"/>
      <c r="R57" s="20"/>
      <c r="S57" s="20"/>
      <c r="T57" s="20"/>
      <c r="U57" s="21"/>
      <c r="W57" s="36" t="s">
        <v>21</v>
      </c>
      <c r="X57" s="19"/>
      <c r="Y57" s="20"/>
      <c r="Z57" s="20"/>
      <c r="AA57" s="20"/>
      <c r="AB57" s="20"/>
      <c r="AC57" s="21"/>
      <c r="AE57" s="36" t="s">
        <v>21</v>
      </c>
      <c r="AF57" s="19"/>
      <c r="AG57" s="20"/>
      <c r="AH57" s="20"/>
      <c r="AI57" s="20"/>
      <c r="AJ57" s="20"/>
      <c r="AK57" s="21"/>
    </row>
    <row r="58" spans="1:37" x14ac:dyDescent="0.25">
      <c r="J58" s="37"/>
      <c r="T58" s="22" t="s">
        <v>22</v>
      </c>
      <c r="U58" s="23">
        <f>SUM(K57:U57)</f>
        <v>0</v>
      </c>
      <c r="AB58" s="22" t="s">
        <v>22</v>
      </c>
      <c r="AC58" s="23">
        <f>SUM(X57:AC57)</f>
        <v>0</v>
      </c>
      <c r="AJ58" s="22" t="s">
        <v>22</v>
      </c>
      <c r="AK58" s="23">
        <f>SUM(AF57:AK57)</f>
        <v>0</v>
      </c>
    </row>
  </sheetData>
  <mergeCells count="73">
    <mergeCell ref="B6:C6"/>
    <mergeCell ref="E6:F6"/>
    <mergeCell ref="A1:A2"/>
    <mergeCell ref="B1:AK1"/>
    <mergeCell ref="B2:AK2"/>
    <mergeCell ref="B4:C4"/>
    <mergeCell ref="E4:F4"/>
    <mergeCell ref="B5:C5"/>
    <mergeCell ref="E5:F5"/>
    <mergeCell ref="A16:A17"/>
    <mergeCell ref="A9:H9"/>
    <mergeCell ref="J9:U9"/>
    <mergeCell ref="W9:AC9"/>
    <mergeCell ref="AE9:AK9"/>
    <mergeCell ref="B11:H11"/>
    <mergeCell ref="J11:U11"/>
    <mergeCell ref="W11:AC11"/>
    <mergeCell ref="AE11:AK11"/>
    <mergeCell ref="A12:A13"/>
    <mergeCell ref="B15:H15"/>
    <mergeCell ref="J15:U15"/>
    <mergeCell ref="W15:AC15"/>
    <mergeCell ref="AE15:AK15"/>
    <mergeCell ref="A28:A29"/>
    <mergeCell ref="B19:H19"/>
    <mergeCell ref="J19:U19"/>
    <mergeCell ref="W19:AC19"/>
    <mergeCell ref="AE19:AK19"/>
    <mergeCell ref="A20:A21"/>
    <mergeCell ref="B23:H23"/>
    <mergeCell ref="J23:U23"/>
    <mergeCell ref="W23:AC23"/>
    <mergeCell ref="AE23:AK23"/>
    <mergeCell ref="A24:A25"/>
    <mergeCell ref="B27:H27"/>
    <mergeCell ref="J27:U27"/>
    <mergeCell ref="W27:AC27"/>
    <mergeCell ref="AE27:AK27"/>
    <mergeCell ref="A40:A41"/>
    <mergeCell ref="B31:H31"/>
    <mergeCell ref="J31:U31"/>
    <mergeCell ref="W31:AC31"/>
    <mergeCell ref="AE31:AK31"/>
    <mergeCell ref="A32:A33"/>
    <mergeCell ref="B35:H35"/>
    <mergeCell ref="J35:U35"/>
    <mergeCell ref="W35:AC35"/>
    <mergeCell ref="AE35:AK35"/>
    <mergeCell ref="A36:A37"/>
    <mergeCell ref="B39:H39"/>
    <mergeCell ref="J39:U39"/>
    <mergeCell ref="W39:AC39"/>
    <mergeCell ref="AE39:AK39"/>
    <mergeCell ref="A52:A53"/>
    <mergeCell ref="B43:H43"/>
    <mergeCell ref="J43:U43"/>
    <mergeCell ref="W43:AC43"/>
    <mergeCell ref="AE43:AK43"/>
    <mergeCell ref="A44:A45"/>
    <mergeCell ref="B47:H47"/>
    <mergeCell ref="J47:U47"/>
    <mergeCell ref="W47:AC47"/>
    <mergeCell ref="AE47:AK47"/>
    <mergeCell ref="A48:A49"/>
    <mergeCell ref="B51:H51"/>
    <mergeCell ref="J51:U51"/>
    <mergeCell ref="W51:AC51"/>
    <mergeCell ref="AE51:AK51"/>
    <mergeCell ref="B55:H55"/>
    <mergeCell ref="J55:U55"/>
    <mergeCell ref="W55:AC55"/>
    <mergeCell ref="AE55:AK55"/>
    <mergeCell ref="A56:A57"/>
  </mergeCells>
  <phoneticPr fontId="2" type="noConversion"/>
  <pageMargins left="0.511811024" right="0.511811024" top="0.78740157499999996" bottom="0.78740157499999996" header="0.31496062000000002" footer="0.31496062000000002"/>
  <drawing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K58"/>
  <sheetViews>
    <sheetView showGridLines="0" topLeftCell="A11" zoomScaleNormal="100" workbookViewId="0">
      <selection activeCell="H29" sqref="H29"/>
    </sheetView>
  </sheetViews>
  <sheetFormatPr defaultColWidth="9" defaultRowHeight="15" x14ac:dyDescent="0.25"/>
  <cols>
    <col min="1" max="1" width="14.85546875" style="2" customWidth="1"/>
    <col min="2" max="2" width="11.7109375" style="2" bestFit="1" customWidth="1"/>
    <col min="3" max="3" width="9.28515625" style="2" bestFit="1" customWidth="1"/>
    <col min="4" max="4" width="10.7109375" style="2" customWidth="1"/>
    <col min="5" max="5" width="9.28515625" style="2" bestFit="1" customWidth="1"/>
    <col min="6" max="6" width="13.140625" style="1" customWidth="1"/>
    <col min="7" max="7" width="13.85546875" style="1" customWidth="1"/>
    <col min="8" max="8" width="11.85546875" style="1" bestFit="1" customWidth="1"/>
    <col min="9" max="9" width="9.85546875" style="1" customWidth="1"/>
    <col min="10" max="10" width="9.42578125" style="2" customWidth="1"/>
    <col min="11" max="13" width="10.42578125" style="1" bestFit="1" customWidth="1"/>
    <col min="14" max="20" width="9" style="1"/>
    <col min="21" max="21" width="10.42578125" style="1" bestFit="1" customWidth="1"/>
    <col min="22" max="22" width="9" style="1"/>
    <col min="23" max="23" width="9" style="2"/>
    <col min="24" max="30" width="9" style="1"/>
    <col min="31" max="31" width="9" style="2"/>
    <col min="32" max="33" width="9" style="1"/>
    <col min="34" max="36" width="10.140625" style="1" bestFit="1" customWidth="1"/>
    <col min="37" max="16384" width="9" style="1"/>
  </cols>
  <sheetData>
    <row r="1" spans="1:37" ht="30.75" customHeight="1" x14ac:dyDescent="0.25">
      <c r="A1" s="162"/>
      <c r="B1" s="164" t="s">
        <v>51</v>
      </c>
      <c r="C1" s="164"/>
      <c r="D1" s="164"/>
      <c r="E1" s="164"/>
      <c r="F1" s="164"/>
      <c r="G1" s="164"/>
      <c r="H1" s="164"/>
      <c r="I1" s="164"/>
      <c r="J1" s="164"/>
      <c r="K1" s="164"/>
      <c r="L1" s="164"/>
      <c r="M1" s="164"/>
      <c r="N1" s="164"/>
      <c r="O1" s="164"/>
      <c r="P1" s="164"/>
      <c r="Q1" s="164"/>
      <c r="R1" s="164"/>
      <c r="S1" s="164"/>
      <c r="T1" s="164"/>
      <c r="U1" s="164"/>
      <c r="V1" s="164"/>
      <c r="W1" s="164"/>
      <c r="X1" s="164"/>
      <c r="Y1" s="164"/>
      <c r="Z1" s="164"/>
      <c r="AA1" s="164"/>
      <c r="AB1" s="164"/>
      <c r="AC1" s="164"/>
      <c r="AD1" s="164"/>
      <c r="AE1" s="164"/>
      <c r="AF1" s="164"/>
      <c r="AG1" s="164"/>
      <c r="AH1" s="164"/>
      <c r="AI1" s="164"/>
      <c r="AJ1" s="164"/>
      <c r="AK1" s="165"/>
    </row>
    <row r="2" spans="1:37" ht="20.25" customHeight="1" x14ac:dyDescent="0.25">
      <c r="A2" s="163"/>
      <c r="B2" s="166" t="s">
        <v>50</v>
      </c>
      <c r="C2" s="166"/>
      <c r="D2" s="166"/>
      <c r="E2" s="166"/>
      <c r="F2" s="166"/>
      <c r="G2" s="166"/>
      <c r="H2" s="166"/>
      <c r="I2" s="166"/>
      <c r="J2" s="166"/>
      <c r="K2" s="166"/>
      <c r="L2" s="166"/>
      <c r="M2" s="166"/>
      <c r="N2" s="166"/>
      <c r="O2" s="166"/>
      <c r="P2" s="166"/>
      <c r="Q2" s="166"/>
      <c r="R2" s="166"/>
      <c r="S2" s="166"/>
      <c r="T2" s="166"/>
      <c r="U2" s="166"/>
      <c r="V2" s="166"/>
      <c r="W2" s="166"/>
      <c r="X2" s="166"/>
      <c r="Y2" s="166"/>
      <c r="Z2" s="166"/>
      <c r="AA2" s="166"/>
      <c r="AB2" s="166"/>
      <c r="AC2" s="166"/>
      <c r="AD2" s="166"/>
      <c r="AE2" s="166"/>
      <c r="AF2" s="166"/>
      <c r="AG2" s="166"/>
      <c r="AH2" s="166"/>
      <c r="AI2" s="166"/>
      <c r="AJ2" s="166"/>
      <c r="AK2" s="167"/>
    </row>
    <row r="3" spans="1:37" x14ac:dyDescent="0.25">
      <c r="F3" s="2"/>
      <c r="G3" s="2"/>
      <c r="H3" s="2"/>
      <c r="I3" s="2"/>
    </row>
    <row r="4" spans="1:37" x14ac:dyDescent="0.25">
      <c r="A4" s="34" t="s">
        <v>47</v>
      </c>
      <c r="B4" s="161" t="s">
        <v>122</v>
      </c>
      <c r="C4" s="161"/>
      <c r="D4" s="34" t="s">
        <v>0</v>
      </c>
      <c r="E4" s="161" t="s">
        <v>167</v>
      </c>
      <c r="F4" s="161"/>
      <c r="G4" s="34" t="s">
        <v>125</v>
      </c>
      <c r="H4" s="140">
        <v>3000</v>
      </c>
      <c r="I4" s="2"/>
    </row>
    <row r="5" spans="1:37" x14ac:dyDescent="0.25">
      <c r="A5" s="34"/>
      <c r="D5" s="34"/>
      <c r="F5" s="2"/>
      <c r="G5" s="34"/>
      <c r="H5" s="2"/>
      <c r="I5" s="2"/>
    </row>
    <row r="6" spans="1:37" x14ac:dyDescent="0.25">
      <c r="A6" s="34" t="s">
        <v>48</v>
      </c>
      <c r="B6" s="160">
        <v>3837</v>
      </c>
      <c r="C6" s="160"/>
      <c r="D6" s="34" t="s">
        <v>44</v>
      </c>
      <c r="E6" s="161" t="s">
        <v>166</v>
      </c>
      <c r="F6" s="161"/>
      <c r="G6" s="34" t="s">
        <v>46</v>
      </c>
      <c r="H6" s="143">
        <v>46102</v>
      </c>
      <c r="I6" s="2"/>
    </row>
    <row r="7" spans="1:37" x14ac:dyDescent="0.25">
      <c r="F7" s="2"/>
      <c r="G7" s="2"/>
      <c r="H7" s="2"/>
      <c r="I7" s="2"/>
    </row>
    <row r="9" spans="1:37" s="28" customFormat="1" ht="18.75" x14ac:dyDescent="0.3">
      <c r="A9" s="169" t="s">
        <v>26</v>
      </c>
      <c r="B9" s="169"/>
      <c r="C9" s="169"/>
      <c r="D9" s="169"/>
      <c r="E9" s="169"/>
      <c r="F9" s="169"/>
      <c r="G9" s="169"/>
      <c r="H9" s="169"/>
      <c r="J9" s="169" t="s">
        <v>24</v>
      </c>
      <c r="K9" s="169"/>
      <c r="L9" s="169"/>
      <c r="M9" s="169"/>
      <c r="N9" s="169"/>
      <c r="O9" s="169"/>
      <c r="P9" s="169"/>
      <c r="Q9" s="169"/>
      <c r="R9" s="169"/>
      <c r="S9" s="169"/>
      <c r="T9" s="169"/>
      <c r="U9" s="169"/>
      <c r="V9" s="29"/>
      <c r="W9" s="170" t="s">
        <v>49</v>
      </c>
      <c r="X9" s="170"/>
      <c r="Y9" s="170"/>
      <c r="Z9" s="170"/>
      <c r="AA9" s="170"/>
      <c r="AB9" s="170"/>
      <c r="AC9" s="170"/>
      <c r="AD9" s="29"/>
      <c r="AE9" s="170" t="s">
        <v>25</v>
      </c>
      <c r="AF9" s="170"/>
      <c r="AG9" s="170"/>
      <c r="AH9" s="170"/>
      <c r="AI9" s="170"/>
      <c r="AJ9" s="170"/>
      <c r="AK9" s="170"/>
    </row>
    <row r="10" spans="1:37" s="6" customFormat="1" x14ac:dyDescent="0.25">
      <c r="A10" s="7"/>
      <c r="B10" s="7"/>
      <c r="C10" s="7"/>
      <c r="D10" s="7"/>
      <c r="E10" s="7"/>
      <c r="F10" s="7"/>
      <c r="G10" s="7"/>
      <c r="H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8"/>
      <c r="W10" s="9"/>
      <c r="X10" s="9"/>
      <c r="Y10" s="9"/>
      <c r="Z10" s="9"/>
      <c r="AA10" s="9"/>
      <c r="AB10" s="9"/>
      <c r="AC10" s="9"/>
      <c r="AD10" s="8"/>
      <c r="AE10" s="9"/>
      <c r="AF10" s="9"/>
      <c r="AG10" s="9"/>
      <c r="AH10" s="9"/>
      <c r="AI10" s="9"/>
      <c r="AJ10" s="9"/>
      <c r="AK10" s="9"/>
    </row>
    <row r="11" spans="1:37" s="6" customFormat="1" ht="15.75" thickBot="1" x14ac:dyDescent="0.3">
      <c r="A11" s="34"/>
      <c r="B11" s="171" t="s">
        <v>54</v>
      </c>
      <c r="C11" s="171"/>
      <c r="D11" s="171"/>
      <c r="E11" s="171"/>
      <c r="F11" s="171"/>
      <c r="G11" s="171"/>
      <c r="H11" s="171"/>
      <c r="J11" s="172" t="s">
        <v>54</v>
      </c>
      <c r="K11" s="172"/>
      <c r="L11" s="172"/>
      <c r="M11" s="172"/>
      <c r="N11" s="172"/>
      <c r="O11" s="172"/>
      <c r="P11" s="172"/>
      <c r="Q11" s="172"/>
      <c r="R11" s="172"/>
      <c r="S11" s="172"/>
      <c r="T11" s="172"/>
      <c r="U11" s="172"/>
      <c r="V11" s="8"/>
      <c r="W11" s="173" t="s">
        <v>54</v>
      </c>
      <c r="X11" s="173"/>
      <c r="Y11" s="173"/>
      <c r="Z11" s="173"/>
      <c r="AA11" s="173"/>
      <c r="AB11" s="173"/>
      <c r="AC11" s="173"/>
      <c r="AD11" s="8"/>
      <c r="AE11" s="174" t="s">
        <v>54</v>
      </c>
      <c r="AF11" s="174"/>
      <c r="AG11" s="174"/>
      <c r="AH11" s="174"/>
      <c r="AI11" s="174"/>
      <c r="AJ11" s="174"/>
      <c r="AK11" s="174"/>
    </row>
    <row r="12" spans="1:37" s="6" customFormat="1" ht="15.75" thickBot="1" x14ac:dyDescent="0.3">
      <c r="A12" s="168" t="s">
        <v>4</v>
      </c>
      <c r="B12" s="10" t="s">
        <v>5</v>
      </c>
      <c r="C12" s="11" t="s">
        <v>6</v>
      </c>
      <c r="D12" s="12" t="s">
        <v>7</v>
      </c>
      <c r="E12" s="11" t="s">
        <v>8</v>
      </c>
      <c r="F12" s="12" t="s">
        <v>9</v>
      </c>
      <c r="G12" s="11" t="s">
        <v>10</v>
      </c>
      <c r="H12" s="32" t="s">
        <v>11</v>
      </c>
      <c r="J12" s="35" t="s">
        <v>3</v>
      </c>
      <c r="K12" s="14"/>
      <c r="L12" s="15"/>
      <c r="M12" s="15"/>
      <c r="N12" s="15"/>
      <c r="O12" s="15"/>
      <c r="P12" s="15"/>
      <c r="Q12" s="15"/>
      <c r="R12" s="15"/>
      <c r="S12" s="15"/>
      <c r="T12" s="15"/>
      <c r="U12" s="16"/>
      <c r="V12" s="8"/>
      <c r="W12" s="35" t="s">
        <v>3</v>
      </c>
      <c r="X12" s="14"/>
      <c r="Y12" s="15"/>
      <c r="Z12" s="15"/>
      <c r="AA12" s="15"/>
      <c r="AB12" s="15"/>
      <c r="AC12" s="16"/>
      <c r="AD12" s="8"/>
      <c r="AE12" s="35" t="s">
        <v>3</v>
      </c>
      <c r="AF12" s="14"/>
      <c r="AG12" s="15"/>
      <c r="AH12" s="15"/>
      <c r="AI12" s="15"/>
      <c r="AJ12" s="15"/>
      <c r="AK12" s="16"/>
    </row>
    <row r="13" spans="1:37" s="6" customFormat="1" ht="15.75" thickBot="1" x14ac:dyDescent="0.3">
      <c r="A13" s="168"/>
      <c r="B13" s="17"/>
      <c r="C13" s="18"/>
      <c r="D13" s="18"/>
      <c r="E13" s="18"/>
      <c r="F13" s="18">
        <f>SUM(C13-B13)</f>
        <v>0</v>
      </c>
      <c r="G13" s="18">
        <f>SUM(E13-D13)</f>
        <v>0</v>
      </c>
      <c r="H13" s="33">
        <f>SUM(F13:G13)</f>
        <v>0</v>
      </c>
      <c r="J13" s="36" t="s">
        <v>21</v>
      </c>
      <c r="K13" s="19"/>
      <c r="L13" s="20"/>
      <c r="M13" s="20"/>
      <c r="N13" s="20"/>
      <c r="O13" s="20"/>
      <c r="P13" s="20"/>
      <c r="Q13" s="20"/>
      <c r="R13" s="20"/>
      <c r="S13" s="20"/>
      <c r="T13" s="20"/>
      <c r="U13" s="21"/>
      <c r="V13" s="8"/>
      <c r="W13" s="36" t="s">
        <v>21</v>
      </c>
      <c r="X13" s="19"/>
      <c r="Y13" s="20"/>
      <c r="Z13" s="20"/>
      <c r="AA13" s="20"/>
      <c r="AB13" s="20"/>
      <c r="AC13" s="21"/>
      <c r="AD13" s="8"/>
      <c r="AE13" s="36" t="s">
        <v>21</v>
      </c>
      <c r="AF13" s="19"/>
      <c r="AG13" s="20"/>
      <c r="AH13" s="20"/>
      <c r="AI13" s="20"/>
      <c r="AJ13" s="20"/>
      <c r="AK13" s="21"/>
    </row>
    <row r="14" spans="1:37" s="6" customFormat="1" x14ac:dyDescent="0.25">
      <c r="A14" s="7"/>
      <c r="B14" s="7"/>
      <c r="C14" s="7"/>
      <c r="D14" s="7"/>
      <c r="E14" s="7"/>
      <c r="F14" s="7"/>
      <c r="G14" s="7"/>
      <c r="H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22" t="s">
        <v>22</v>
      </c>
      <c r="U14" s="23">
        <f>SUM(K13:U13)</f>
        <v>0</v>
      </c>
      <c r="V14" s="8"/>
      <c r="W14" s="2"/>
      <c r="X14" s="1"/>
      <c r="Y14" s="1"/>
      <c r="Z14" s="1"/>
      <c r="AA14" s="1"/>
      <c r="AB14" s="22" t="s">
        <v>22</v>
      </c>
      <c r="AC14" s="23">
        <f>SUM(X13:AC13)</f>
        <v>0</v>
      </c>
      <c r="AD14" s="8"/>
      <c r="AE14" s="2"/>
      <c r="AF14" s="1"/>
      <c r="AG14" s="1"/>
      <c r="AH14" s="1"/>
      <c r="AI14" s="1"/>
      <c r="AJ14" s="22" t="s">
        <v>22</v>
      </c>
      <c r="AK14" s="23">
        <f>SUM(AF13:AK13)</f>
        <v>0</v>
      </c>
    </row>
    <row r="15" spans="1:37" ht="15.75" thickBot="1" x14ac:dyDescent="0.3">
      <c r="A15" s="34"/>
      <c r="B15" s="171" t="s">
        <v>2</v>
      </c>
      <c r="C15" s="171"/>
      <c r="D15" s="171"/>
      <c r="E15" s="171"/>
      <c r="F15" s="171"/>
      <c r="G15" s="171"/>
      <c r="H15" s="171"/>
      <c r="J15" s="172" t="s">
        <v>2</v>
      </c>
      <c r="K15" s="172"/>
      <c r="L15" s="172"/>
      <c r="M15" s="172"/>
      <c r="N15" s="172"/>
      <c r="O15" s="172"/>
      <c r="P15" s="172"/>
      <c r="Q15" s="172"/>
      <c r="R15" s="172"/>
      <c r="S15" s="172"/>
      <c r="T15" s="172"/>
      <c r="U15" s="172"/>
      <c r="W15" s="173" t="s">
        <v>2</v>
      </c>
      <c r="X15" s="173"/>
      <c r="Y15" s="173"/>
      <c r="Z15" s="173"/>
      <c r="AA15" s="173"/>
      <c r="AB15" s="173"/>
      <c r="AC15" s="173"/>
      <c r="AE15" s="174" t="s">
        <v>2</v>
      </c>
      <c r="AF15" s="174"/>
      <c r="AG15" s="174"/>
      <c r="AH15" s="174"/>
      <c r="AI15" s="174"/>
      <c r="AJ15" s="174"/>
      <c r="AK15" s="174"/>
    </row>
    <row r="16" spans="1:37" ht="15.75" thickBot="1" x14ac:dyDescent="0.3">
      <c r="A16" s="168" t="s">
        <v>4</v>
      </c>
      <c r="B16" s="10" t="s">
        <v>5</v>
      </c>
      <c r="C16" s="11" t="s">
        <v>6</v>
      </c>
      <c r="D16" s="12" t="s">
        <v>7</v>
      </c>
      <c r="E16" s="11" t="s">
        <v>8</v>
      </c>
      <c r="F16" s="12" t="s">
        <v>9</v>
      </c>
      <c r="G16" s="11" t="s">
        <v>10</v>
      </c>
      <c r="H16" s="32" t="s">
        <v>11</v>
      </c>
      <c r="J16" s="35" t="s">
        <v>3</v>
      </c>
      <c r="K16" s="14"/>
      <c r="L16" s="15"/>
      <c r="M16" s="15"/>
      <c r="N16" s="15"/>
      <c r="O16" s="15"/>
      <c r="P16" s="15"/>
      <c r="Q16" s="15"/>
      <c r="R16" s="15"/>
      <c r="S16" s="15"/>
      <c r="T16" s="15"/>
      <c r="U16" s="16"/>
      <c r="W16" s="35" t="s">
        <v>3</v>
      </c>
      <c r="X16" s="14"/>
      <c r="Y16" s="15"/>
      <c r="Z16" s="15"/>
      <c r="AA16" s="15"/>
      <c r="AB16" s="15"/>
      <c r="AC16" s="16"/>
      <c r="AE16" s="35" t="s">
        <v>3</v>
      </c>
      <c r="AF16" s="14"/>
      <c r="AG16" s="15"/>
      <c r="AH16" s="15"/>
      <c r="AI16" s="15"/>
      <c r="AJ16" s="15"/>
      <c r="AK16" s="16"/>
    </row>
    <row r="17" spans="1:37" ht="15.75" thickBot="1" x14ac:dyDescent="0.3">
      <c r="A17" s="168"/>
      <c r="B17" s="17"/>
      <c r="C17" s="18"/>
      <c r="D17" s="18"/>
      <c r="E17" s="18"/>
      <c r="F17" s="18">
        <f>SUM(C17-B17)</f>
        <v>0</v>
      </c>
      <c r="G17" s="18">
        <f>SUM(E17-D17)</f>
        <v>0</v>
      </c>
      <c r="H17" s="33">
        <f>SUM(F17:G17)</f>
        <v>0</v>
      </c>
      <c r="J17" s="36" t="s">
        <v>21</v>
      </c>
      <c r="K17" s="19"/>
      <c r="L17" s="20"/>
      <c r="M17" s="20"/>
      <c r="N17" s="20"/>
      <c r="O17" s="20"/>
      <c r="P17" s="20"/>
      <c r="Q17" s="20"/>
      <c r="R17" s="20"/>
      <c r="S17" s="20"/>
      <c r="T17" s="20"/>
      <c r="U17" s="21"/>
      <c r="W17" s="36" t="s">
        <v>21</v>
      </c>
      <c r="X17" s="19"/>
      <c r="Y17" s="20"/>
      <c r="Z17" s="20"/>
      <c r="AA17" s="20"/>
      <c r="AB17" s="20"/>
      <c r="AC17" s="21"/>
      <c r="AE17" s="36" t="s">
        <v>21</v>
      </c>
      <c r="AF17" s="19"/>
      <c r="AG17" s="20"/>
      <c r="AH17" s="20"/>
      <c r="AI17" s="20"/>
      <c r="AJ17" s="20"/>
      <c r="AK17" s="21"/>
    </row>
    <row r="18" spans="1:37" x14ac:dyDescent="0.25">
      <c r="F18" s="2"/>
      <c r="G18" s="2"/>
      <c r="H18" s="2"/>
      <c r="J18" s="37"/>
      <c r="T18" s="22" t="s">
        <v>22</v>
      </c>
      <c r="U18" s="23">
        <f>SUM(K17:U17)</f>
        <v>0</v>
      </c>
      <c r="AB18" s="22" t="s">
        <v>22</v>
      </c>
      <c r="AC18" s="23">
        <f>SUM(X17:AC17)</f>
        <v>0</v>
      </c>
      <c r="AJ18" s="22" t="s">
        <v>22</v>
      </c>
      <c r="AK18" s="23">
        <f>SUM(AF17:AK17)</f>
        <v>0</v>
      </c>
    </row>
    <row r="19" spans="1:37" ht="15.75" thickBot="1" x14ac:dyDescent="0.3">
      <c r="A19" s="34"/>
      <c r="B19" s="171" t="s">
        <v>12</v>
      </c>
      <c r="C19" s="171"/>
      <c r="D19" s="171"/>
      <c r="E19" s="171"/>
      <c r="F19" s="171"/>
      <c r="G19" s="171"/>
      <c r="H19" s="171"/>
      <c r="J19" s="172" t="s">
        <v>12</v>
      </c>
      <c r="K19" s="172"/>
      <c r="L19" s="172"/>
      <c r="M19" s="172"/>
      <c r="N19" s="172"/>
      <c r="O19" s="172"/>
      <c r="P19" s="172"/>
      <c r="Q19" s="172"/>
      <c r="R19" s="172"/>
      <c r="S19" s="172"/>
      <c r="T19" s="172"/>
      <c r="U19" s="172"/>
      <c r="W19" s="173" t="str">
        <f>J19</f>
        <v>Março</v>
      </c>
      <c r="X19" s="173"/>
      <c r="Y19" s="173"/>
      <c r="Z19" s="173"/>
      <c r="AA19" s="173"/>
      <c r="AB19" s="173"/>
      <c r="AC19" s="173"/>
      <c r="AE19" s="174" t="str">
        <f>W19</f>
        <v>Março</v>
      </c>
      <c r="AF19" s="174"/>
      <c r="AG19" s="174"/>
      <c r="AH19" s="174"/>
      <c r="AI19" s="174"/>
      <c r="AJ19" s="174"/>
      <c r="AK19" s="174"/>
    </row>
    <row r="20" spans="1:37" ht="15.75" thickBot="1" x14ac:dyDescent="0.3">
      <c r="A20" s="168" t="s">
        <v>4</v>
      </c>
      <c r="B20" s="10" t="s">
        <v>5</v>
      </c>
      <c r="C20" s="11" t="s">
        <v>6</v>
      </c>
      <c r="D20" s="12" t="s">
        <v>7</v>
      </c>
      <c r="E20" s="11" t="s">
        <v>8</v>
      </c>
      <c r="F20" s="12" t="s">
        <v>9</v>
      </c>
      <c r="G20" s="11" t="s">
        <v>10</v>
      </c>
      <c r="H20" s="32" t="s">
        <v>11</v>
      </c>
      <c r="J20" s="35" t="s">
        <v>3</v>
      </c>
      <c r="K20" s="14"/>
      <c r="L20" s="24"/>
      <c r="M20" s="24"/>
      <c r="N20" s="15"/>
      <c r="O20" s="15"/>
      <c r="P20" s="15"/>
      <c r="Q20" s="15"/>
      <c r="R20" s="15"/>
      <c r="S20" s="15"/>
      <c r="T20" s="15"/>
      <c r="U20" s="16"/>
      <c r="W20" s="35" t="s">
        <v>3</v>
      </c>
      <c r="X20" s="14"/>
      <c r="Y20" s="15"/>
      <c r="Z20" s="15"/>
      <c r="AA20" s="15"/>
      <c r="AB20" s="15"/>
      <c r="AC20" s="16"/>
      <c r="AE20" s="35" t="s">
        <v>3</v>
      </c>
      <c r="AF20" s="14"/>
      <c r="AG20" s="15"/>
      <c r="AH20" s="15"/>
      <c r="AI20" s="15"/>
      <c r="AJ20" s="15"/>
      <c r="AK20" s="16"/>
    </row>
    <row r="21" spans="1:37" ht="15.75" thickBot="1" x14ac:dyDescent="0.3">
      <c r="A21" s="168"/>
      <c r="B21" s="17"/>
      <c r="C21" s="18"/>
      <c r="D21" s="18">
        <v>10690</v>
      </c>
      <c r="E21" s="18">
        <v>12109</v>
      </c>
      <c r="F21" s="18">
        <f>SUM(C21-B21)</f>
        <v>0</v>
      </c>
      <c r="G21" s="18">
        <f>SUM(E21-D21)</f>
        <v>1419</v>
      </c>
      <c r="H21" s="33">
        <f>SUM(F21:G21)</f>
        <v>1419</v>
      </c>
      <c r="J21" s="36" t="s">
        <v>21</v>
      </c>
      <c r="K21" s="19"/>
      <c r="L21" s="20"/>
      <c r="M21" s="20"/>
      <c r="N21" s="20"/>
      <c r="O21" s="20"/>
      <c r="P21" s="20"/>
      <c r="Q21" s="20"/>
      <c r="R21" s="20"/>
      <c r="S21" s="20"/>
      <c r="T21" s="20"/>
      <c r="U21" s="21"/>
      <c r="W21" s="36" t="s">
        <v>21</v>
      </c>
      <c r="X21" s="19"/>
      <c r="Y21" s="20"/>
      <c r="Z21" s="20"/>
      <c r="AA21" s="20"/>
      <c r="AB21" s="20"/>
      <c r="AC21" s="21"/>
      <c r="AE21" s="36" t="s">
        <v>21</v>
      </c>
      <c r="AF21" s="19"/>
      <c r="AG21" s="20"/>
      <c r="AH21" s="20"/>
      <c r="AI21" s="20"/>
      <c r="AJ21" s="20"/>
      <c r="AK21" s="21"/>
    </row>
    <row r="22" spans="1:37" x14ac:dyDescent="0.25">
      <c r="F22" s="2"/>
      <c r="G22" s="2"/>
      <c r="H22" s="2"/>
      <c r="J22" s="37"/>
      <c r="T22" s="22" t="s">
        <v>22</v>
      </c>
      <c r="U22" s="23">
        <f>SUM(K21:U21)</f>
        <v>0</v>
      </c>
      <c r="AB22" s="22" t="s">
        <v>22</v>
      </c>
      <c r="AC22" s="23">
        <f>SUM(X21:AC21)</f>
        <v>0</v>
      </c>
      <c r="AJ22" s="22" t="s">
        <v>22</v>
      </c>
      <c r="AK22" s="23">
        <f>SUM(AF21:AK21)</f>
        <v>0</v>
      </c>
    </row>
    <row r="23" spans="1:37" ht="15.75" thickBot="1" x14ac:dyDescent="0.3">
      <c r="A23" s="34"/>
      <c r="B23" s="171" t="s">
        <v>13</v>
      </c>
      <c r="C23" s="171"/>
      <c r="D23" s="171"/>
      <c r="E23" s="171"/>
      <c r="F23" s="171"/>
      <c r="G23" s="171"/>
      <c r="H23" s="171"/>
      <c r="J23" s="172" t="s">
        <v>13</v>
      </c>
      <c r="K23" s="172"/>
      <c r="L23" s="172"/>
      <c r="M23" s="172"/>
      <c r="N23" s="172"/>
      <c r="O23" s="172"/>
      <c r="P23" s="172"/>
      <c r="Q23" s="172"/>
      <c r="R23" s="172"/>
      <c r="S23" s="172"/>
      <c r="T23" s="172"/>
      <c r="U23" s="172"/>
      <c r="W23" s="173" t="str">
        <f>J23</f>
        <v>Abril</v>
      </c>
      <c r="X23" s="173"/>
      <c r="Y23" s="173"/>
      <c r="Z23" s="173"/>
      <c r="AA23" s="173"/>
      <c r="AB23" s="173"/>
      <c r="AC23" s="173"/>
      <c r="AE23" s="174" t="str">
        <f>W23</f>
        <v>Abril</v>
      </c>
      <c r="AF23" s="174"/>
      <c r="AG23" s="174"/>
      <c r="AH23" s="174"/>
      <c r="AI23" s="174"/>
      <c r="AJ23" s="174"/>
      <c r="AK23" s="174"/>
    </row>
    <row r="24" spans="1:37" ht="15.75" thickBot="1" x14ac:dyDescent="0.3">
      <c r="A24" s="168" t="s">
        <v>4</v>
      </c>
      <c r="B24" s="10" t="s">
        <v>5</v>
      </c>
      <c r="C24" s="11" t="s">
        <v>6</v>
      </c>
      <c r="D24" s="12" t="s">
        <v>7</v>
      </c>
      <c r="E24" s="11" t="s">
        <v>8</v>
      </c>
      <c r="F24" s="12" t="s">
        <v>9</v>
      </c>
      <c r="G24" s="11" t="s">
        <v>10</v>
      </c>
      <c r="H24" s="32" t="s">
        <v>11</v>
      </c>
      <c r="J24" s="35" t="s">
        <v>3</v>
      </c>
      <c r="K24" s="14"/>
      <c r="L24" s="15"/>
      <c r="M24" s="15"/>
      <c r="N24" s="15"/>
      <c r="O24" s="15"/>
      <c r="P24" s="15"/>
      <c r="Q24" s="15"/>
      <c r="R24" s="15"/>
      <c r="S24" s="15"/>
      <c r="T24" s="15"/>
      <c r="U24" s="16"/>
      <c r="W24" s="35" t="s">
        <v>3</v>
      </c>
      <c r="X24" s="14"/>
      <c r="Y24" s="15"/>
      <c r="Z24" s="15"/>
      <c r="AA24" s="15"/>
      <c r="AB24" s="15"/>
      <c r="AC24" s="16"/>
      <c r="AE24" s="35" t="s">
        <v>3</v>
      </c>
      <c r="AF24" s="14"/>
      <c r="AG24" s="15"/>
      <c r="AH24" s="15"/>
      <c r="AI24" s="15"/>
      <c r="AJ24" s="15"/>
      <c r="AK24" s="16"/>
    </row>
    <row r="25" spans="1:37" ht="15.75" thickBot="1" x14ac:dyDescent="0.3">
      <c r="A25" s="168"/>
      <c r="B25" s="18">
        <v>12109</v>
      </c>
      <c r="C25" s="18"/>
      <c r="D25" s="18"/>
      <c r="E25" s="18">
        <v>13685</v>
      </c>
      <c r="F25" s="18">
        <f>SUM(C25-B25)</f>
        <v>-12109</v>
      </c>
      <c r="G25" s="18">
        <f>SUM(E25-D25)</f>
        <v>13685</v>
      </c>
      <c r="H25" s="33">
        <f>SUM(F25:G25)</f>
        <v>1576</v>
      </c>
      <c r="J25" s="36" t="s">
        <v>21</v>
      </c>
      <c r="K25" s="25"/>
      <c r="L25" s="26"/>
      <c r="M25" s="26"/>
      <c r="N25" s="26"/>
      <c r="O25" s="26"/>
      <c r="P25" s="26"/>
      <c r="Q25" s="26"/>
      <c r="R25" s="26"/>
      <c r="S25" s="26"/>
      <c r="T25" s="26"/>
      <c r="U25" s="27"/>
      <c r="W25" s="36" t="s">
        <v>21</v>
      </c>
      <c r="X25" s="19"/>
      <c r="Y25" s="20"/>
      <c r="Z25" s="20"/>
      <c r="AA25" s="20"/>
      <c r="AB25" s="20"/>
      <c r="AC25" s="21"/>
      <c r="AE25" s="36" t="s">
        <v>21</v>
      </c>
      <c r="AF25" s="19"/>
      <c r="AG25" s="20"/>
      <c r="AH25" s="20"/>
      <c r="AI25" s="20"/>
      <c r="AJ25" s="20"/>
      <c r="AK25" s="21"/>
    </row>
    <row r="26" spans="1:37" x14ac:dyDescent="0.25">
      <c r="F26" s="2"/>
      <c r="G26" s="2"/>
      <c r="H26" s="2"/>
      <c r="J26" s="37"/>
      <c r="T26" s="22" t="s">
        <v>22</v>
      </c>
      <c r="U26" s="23">
        <f>SUM(K25:U25)</f>
        <v>0</v>
      </c>
      <c r="AB26" s="22" t="s">
        <v>22</v>
      </c>
      <c r="AC26" s="23">
        <f>SUM(X25:AC25)</f>
        <v>0</v>
      </c>
      <c r="AJ26" s="22" t="s">
        <v>22</v>
      </c>
      <c r="AK26" s="23">
        <f>SUM(AF25:AK25)</f>
        <v>0</v>
      </c>
    </row>
    <row r="27" spans="1:37" ht="15.75" thickBot="1" x14ac:dyDescent="0.3">
      <c r="A27" s="34"/>
      <c r="B27" s="171" t="s">
        <v>14</v>
      </c>
      <c r="C27" s="171"/>
      <c r="D27" s="171"/>
      <c r="E27" s="171"/>
      <c r="F27" s="171"/>
      <c r="G27" s="171"/>
      <c r="H27" s="171"/>
      <c r="J27" s="172" t="s">
        <v>14</v>
      </c>
      <c r="K27" s="172"/>
      <c r="L27" s="172"/>
      <c r="M27" s="172"/>
      <c r="N27" s="172"/>
      <c r="O27" s="172"/>
      <c r="P27" s="172"/>
      <c r="Q27" s="172"/>
      <c r="R27" s="172"/>
      <c r="S27" s="172"/>
      <c r="T27" s="172"/>
      <c r="U27" s="172"/>
      <c r="W27" s="173" t="str">
        <f>J27</f>
        <v>Maio</v>
      </c>
      <c r="X27" s="173"/>
      <c r="Y27" s="173"/>
      <c r="Z27" s="173"/>
      <c r="AA27" s="173"/>
      <c r="AB27" s="173"/>
      <c r="AC27" s="173"/>
      <c r="AE27" s="174" t="str">
        <f>W27</f>
        <v>Maio</v>
      </c>
      <c r="AF27" s="174"/>
      <c r="AG27" s="174"/>
      <c r="AH27" s="174"/>
      <c r="AI27" s="174"/>
      <c r="AJ27" s="174"/>
      <c r="AK27" s="174"/>
    </row>
    <row r="28" spans="1:37" ht="15.75" thickBot="1" x14ac:dyDescent="0.3">
      <c r="A28" s="168" t="s">
        <v>4</v>
      </c>
      <c r="B28" s="10" t="s">
        <v>5</v>
      </c>
      <c r="C28" s="11" t="s">
        <v>6</v>
      </c>
      <c r="D28" s="12" t="s">
        <v>7</v>
      </c>
      <c r="E28" s="11" t="s">
        <v>8</v>
      </c>
      <c r="F28" s="12" t="s">
        <v>9</v>
      </c>
      <c r="G28" s="11" t="s">
        <v>10</v>
      </c>
      <c r="H28" s="32" t="s">
        <v>11</v>
      </c>
      <c r="J28" s="35" t="s">
        <v>3</v>
      </c>
      <c r="K28" s="14"/>
      <c r="L28" s="15"/>
      <c r="M28" s="15"/>
      <c r="N28" s="15"/>
      <c r="O28" s="15"/>
      <c r="P28" s="15"/>
      <c r="Q28" s="15"/>
      <c r="R28" s="15"/>
      <c r="S28" s="15"/>
      <c r="T28" s="15"/>
      <c r="U28" s="16"/>
      <c r="W28" s="35" t="s">
        <v>3</v>
      </c>
      <c r="X28" s="14"/>
      <c r="Y28" s="15"/>
      <c r="Z28" s="15"/>
      <c r="AA28" s="15"/>
      <c r="AB28" s="15"/>
      <c r="AC28" s="16"/>
      <c r="AE28" s="35" t="s">
        <v>3</v>
      </c>
      <c r="AF28" s="14"/>
      <c r="AG28" s="15"/>
      <c r="AH28" s="15"/>
      <c r="AI28" s="15"/>
      <c r="AJ28" s="15"/>
      <c r="AK28" s="16"/>
    </row>
    <row r="29" spans="1:37" ht="15.75" thickBot="1" x14ac:dyDescent="0.3">
      <c r="A29" s="168"/>
      <c r="B29" s="18">
        <v>13685</v>
      </c>
      <c r="C29" s="18"/>
      <c r="D29" s="18"/>
      <c r="E29" s="18">
        <v>17478</v>
      </c>
      <c r="F29" s="18">
        <f>SUM(C29-B29)</f>
        <v>-13685</v>
      </c>
      <c r="G29" s="18">
        <f>SUM(E29-D29)</f>
        <v>17478</v>
      </c>
      <c r="H29" s="33">
        <f>SUM(F29:G29)</f>
        <v>3793</v>
      </c>
      <c r="J29" s="36" t="s">
        <v>21</v>
      </c>
      <c r="K29" s="19"/>
      <c r="L29" s="20"/>
      <c r="M29" s="20"/>
      <c r="N29" s="20"/>
      <c r="O29" s="20"/>
      <c r="P29" s="20"/>
      <c r="Q29" s="20"/>
      <c r="R29" s="20"/>
      <c r="S29" s="20"/>
      <c r="T29" s="20"/>
      <c r="U29" s="21"/>
      <c r="W29" s="36" t="s">
        <v>21</v>
      </c>
      <c r="X29" s="19"/>
      <c r="Y29" s="20"/>
      <c r="Z29" s="20"/>
      <c r="AA29" s="20"/>
      <c r="AB29" s="20"/>
      <c r="AC29" s="21"/>
      <c r="AE29" s="36" t="s">
        <v>21</v>
      </c>
      <c r="AF29" s="19"/>
      <c r="AG29" s="20"/>
      <c r="AH29" s="20"/>
      <c r="AI29" s="20"/>
      <c r="AJ29" s="20"/>
      <c r="AK29" s="21"/>
    </row>
    <row r="30" spans="1:37" x14ac:dyDescent="0.25">
      <c r="F30" s="2"/>
      <c r="G30" s="2"/>
      <c r="H30" s="2"/>
      <c r="J30" s="37"/>
      <c r="T30" s="22" t="s">
        <v>22</v>
      </c>
      <c r="U30" s="23">
        <f>SUM(K29:U29)</f>
        <v>0</v>
      </c>
      <c r="AB30" s="22" t="s">
        <v>22</v>
      </c>
      <c r="AC30" s="23">
        <f>SUM(X29:AC29)</f>
        <v>0</v>
      </c>
      <c r="AJ30" s="22" t="s">
        <v>22</v>
      </c>
      <c r="AK30" s="23">
        <f>SUM(AF29:AK29)</f>
        <v>0</v>
      </c>
    </row>
    <row r="31" spans="1:37" ht="15.75" thickBot="1" x14ac:dyDescent="0.3">
      <c r="A31" s="34"/>
      <c r="B31" s="171" t="s">
        <v>23</v>
      </c>
      <c r="C31" s="171"/>
      <c r="D31" s="171"/>
      <c r="E31" s="171"/>
      <c r="F31" s="171"/>
      <c r="G31" s="171"/>
      <c r="H31" s="171"/>
      <c r="J31" s="172" t="s">
        <v>23</v>
      </c>
      <c r="K31" s="172"/>
      <c r="L31" s="172"/>
      <c r="M31" s="172"/>
      <c r="N31" s="172"/>
      <c r="O31" s="172"/>
      <c r="P31" s="172"/>
      <c r="Q31" s="172"/>
      <c r="R31" s="172"/>
      <c r="S31" s="172"/>
      <c r="T31" s="172"/>
      <c r="U31" s="172"/>
      <c r="W31" s="173" t="str">
        <f>J31</f>
        <v>Junho</v>
      </c>
      <c r="X31" s="173"/>
      <c r="Y31" s="173"/>
      <c r="Z31" s="173"/>
      <c r="AA31" s="173"/>
      <c r="AB31" s="173"/>
      <c r="AC31" s="173"/>
      <c r="AE31" s="174" t="str">
        <f>W31</f>
        <v>Junho</v>
      </c>
      <c r="AF31" s="174"/>
      <c r="AG31" s="174"/>
      <c r="AH31" s="174"/>
      <c r="AI31" s="174"/>
      <c r="AJ31" s="174"/>
      <c r="AK31" s="174"/>
    </row>
    <row r="32" spans="1:37" ht="15.75" thickBot="1" x14ac:dyDescent="0.3">
      <c r="A32" s="168" t="s">
        <v>4</v>
      </c>
      <c r="B32" s="10" t="s">
        <v>5</v>
      </c>
      <c r="C32" s="11" t="s">
        <v>6</v>
      </c>
      <c r="D32" s="12" t="s">
        <v>7</v>
      </c>
      <c r="E32" s="11" t="s">
        <v>8</v>
      </c>
      <c r="F32" s="12" t="s">
        <v>9</v>
      </c>
      <c r="G32" s="11" t="s">
        <v>10</v>
      </c>
      <c r="H32" s="32" t="s">
        <v>11</v>
      </c>
      <c r="J32" s="35" t="s">
        <v>3</v>
      </c>
      <c r="K32" s="14"/>
      <c r="L32" s="15"/>
      <c r="M32" s="15"/>
      <c r="N32" s="15"/>
      <c r="O32" s="15"/>
      <c r="P32" s="15"/>
      <c r="Q32" s="15"/>
      <c r="R32" s="15"/>
      <c r="S32" s="15"/>
      <c r="T32" s="15"/>
      <c r="U32" s="16"/>
      <c r="W32" s="35" t="s">
        <v>3</v>
      </c>
      <c r="X32" s="14"/>
      <c r="Y32" s="15"/>
      <c r="Z32" s="15"/>
      <c r="AA32" s="15"/>
      <c r="AB32" s="15"/>
      <c r="AC32" s="16"/>
      <c r="AE32" s="35" t="s">
        <v>3</v>
      </c>
      <c r="AF32" s="14"/>
      <c r="AG32" s="15"/>
      <c r="AH32" s="15"/>
      <c r="AI32" s="15"/>
      <c r="AJ32" s="15"/>
      <c r="AK32" s="16"/>
    </row>
    <row r="33" spans="1:37" ht="15.75" thickBot="1" x14ac:dyDescent="0.3">
      <c r="A33" s="168"/>
      <c r="B33" s="17"/>
      <c r="C33" s="18"/>
      <c r="D33" s="18"/>
      <c r="E33" s="18"/>
      <c r="F33" s="18">
        <f>SUM(C33-B33)</f>
        <v>0</v>
      </c>
      <c r="G33" s="18">
        <f>SUM(E33-D33)</f>
        <v>0</v>
      </c>
      <c r="H33" s="33">
        <f>SUM(F33:G33)</f>
        <v>0</v>
      </c>
      <c r="J33" s="36" t="s">
        <v>21</v>
      </c>
      <c r="K33" s="19"/>
      <c r="L33" s="20"/>
      <c r="M33" s="20"/>
      <c r="N33" s="20"/>
      <c r="O33" s="20"/>
      <c r="P33" s="20"/>
      <c r="Q33" s="20"/>
      <c r="R33" s="20"/>
      <c r="S33" s="20"/>
      <c r="T33" s="20"/>
      <c r="U33" s="21"/>
      <c r="W33" s="36" t="s">
        <v>21</v>
      </c>
      <c r="X33" s="19"/>
      <c r="Y33" s="20"/>
      <c r="Z33" s="20"/>
      <c r="AA33" s="20"/>
      <c r="AB33" s="20"/>
      <c r="AC33" s="21"/>
      <c r="AE33" s="36" t="s">
        <v>21</v>
      </c>
      <c r="AF33" s="19"/>
      <c r="AG33" s="20"/>
      <c r="AH33" s="20"/>
      <c r="AI33" s="20"/>
      <c r="AJ33" s="20"/>
      <c r="AK33" s="21"/>
    </row>
    <row r="34" spans="1:37" x14ac:dyDescent="0.25">
      <c r="F34" s="2"/>
      <c r="G34" s="2"/>
      <c r="H34" s="2"/>
      <c r="J34" s="37"/>
      <c r="T34" s="22" t="s">
        <v>22</v>
      </c>
      <c r="U34" s="23">
        <f>SUM(K33:U33)</f>
        <v>0</v>
      </c>
      <c r="AB34" s="22" t="s">
        <v>22</v>
      </c>
      <c r="AC34" s="23">
        <f>SUM(X33:AC33)</f>
        <v>0</v>
      </c>
      <c r="AJ34" s="22" t="s">
        <v>22</v>
      </c>
      <c r="AK34" s="23">
        <f>SUM(AF33:AK33)</f>
        <v>0</v>
      </c>
    </row>
    <row r="35" spans="1:37" ht="15.75" thickBot="1" x14ac:dyDescent="0.3">
      <c r="A35" s="34"/>
      <c r="B35" s="171" t="s">
        <v>15</v>
      </c>
      <c r="C35" s="171"/>
      <c r="D35" s="171"/>
      <c r="E35" s="171"/>
      <c r="F35" s="171"/>
      <c r="G35" s="171"/>
      <c r="H35" s="171"/>
      <c r="J35" s="172" t="s">
        <v>15</v>
      </c>
      <c r="K35" s="172"/>
      <c r="L35" s="172"/>
      <c r="M35" s="172"/>
      <c r="N35" s="172"/>
      <c r="O35" s="172"/>
      <c r="P35" s="172"/>
      <c r="Q35" s="172"/>
      <c r="R35" s="172"/>
      <c r="S35" s="172"/>
      <c r="T35" s="172"/>
      <c r="U35" s="172"/>
      <c r="W35" s="173" t="str">
        <f>J35</f>
        <v>Julho</v>
      </c>
      <c r="X35" s="173"/>
      <c r="Y35" s="173"/>
      <c r="Z35" s="173"/>
      <c r="AA35" s="173"/>
      <c r="AB35" s="173"/>
      <c r="AC35" s="173"/>
      <c r="AE35" s="174" t="str">
        <f>W35</f>
        <v>Julho</v>
      </c>
      <c r="AF35" s="174"/>
      <c r="AG35" s="174"/>
      <c r="AH35" s="174"/>
      <c r="AI35" s="174"/>
      <c r="AJ35" s="174"/>
      <c r="AK35" s="174"/>
    </row>
    <row r="36" spans="1:37" ht="15.75" thickBot="1" x14ac:dyDescent="0.3">
      <c r="A36" s="168" t="s">
        <v>4</v>
      </c>
      <c r="B36" s="10" t="s">
        <v>5</v>
      </c>
      <c r="C36" s="11" t="s">
        <v>6</v>
      </c>
      <c r="D36" s="12" t="s">
        <v>7</v>
      </c>
      <c r="E36" s="11" t="s">
        <v>8</v>
      </c>
      <c r="F36" s="12" t="s">
        <v>9</v>
      </c>
      <c r="G36" s="11" t="s">
        <v>10</v>
      </c>
      <c r="H36" s="32" t="s">
        <v>11</v>
      </c>
      <c r="J36" s="35" t="s">
        <v>3</v>
      </c>
      <c r="K36" s="14"/>
      <c r="L36" s="15"/>
      <c r="M36" s="15"/>
      <c r="N36" s="15"/>
      <c r="O36" s="15"/>
      <c r="P36" s="15"/>
      <c r="Q36" s="15"/>
      <c r="R36" s="15"/>
      <c r="S36" s="15"/>
      <c r="T36" s="15"/>
      <c r="U36" s="16"/>
      <c r="W36" s="35" t="s">
        <v>3</v>
      </c>
      <c r="X36" s="14"/>
      <c r="Y36" s="15"/>
      <c r="Z36" s="15"/>
      <c r="AA36" s="15"/>
      <c r="AB36" s="15"/>
      <c r="AC36" s="16"/>
      <c r="AE36" s="35" t="s">
        <v>3</v>
      </c>
      <c r="AF36" s="14"/>
      <c r="AG36" s="15"/>
      <c r="AH36" s="15"/>
      <c r="AI36" s="15"/>
      <c r="AJ36" s="15"/>
      <c r="AK36" s="16"/>
    </row>
    <row r="37" spans="1:37" ht="15.75" thickBot="1" x14ac:dyDescent="0.3">
      <c r="A37" s="168"/>
      <c r="B37" s="17"/>
      <c r="C37" s="18"/>
      <c r="D37" s="18"/>
      <c r="E37" s="18"/>
      <c r="F37" s="18">
        <f>SUM(C37-B37)</f>
        <v>0</v>
      </c>
      <c r="G37" s="18">
        <f>SUM(E37-D37)</f>
        <v>0</v>
      </c>
      <c r="H37" s="33">
        <f>SUM(F37:G37)</f>
        <v>0</v>
      </c>
      <c r="J37" s="36" t="s">
        <v>21</v>
      </c>
      <c r="K37" s="19"/>
      <c r="L37" s="20"/>
      <c r="M37" s="20"/>
      <c r="N37" s="20"/>
      <c r="O37" s="20"/>
      <c r="P37" s="20"/>
      <c r="Q37" s="20"/>
      <c r="R37" s="20"/>
      <c r="S37" s="20"/>
      <c r="T37" s="20"/>
      <c r="U37" s="21"/>
      <c r="W37" s="36" t="s">
        <v>21</v>
      </c>
      <c r="X37" s="19"/>
      <c r="Y37" s="20"/>
      <c r="Z37" s="20"/>
      <c r="AA37" s="20"/>
      <c r="AB37" s="20"/>
      <c r="AC37" s="21"/>
      <c r="AE37" s="36" t="s">
        <v>21</v>
      </c>
      <c r="AF37" s="19"/>
      <c r="AG37" s="20"/>
      <c r="AH37" s="20"/>
      <c r="AI37" s="20"/>
      <c r="AJ37" s="20"/>
      <c r="AK37" s="21"/>
    </row>
    <row r="38" spans="1:37" x14ac:dyDescent="0.25">
      <c r="F38" s="2"/>
      <c r="G38" s="2"/>
      <c r="H38" s="2"/>
      <c r="J38" s="37"/>
      <c r="T38" s="22" t="s">
        <v>22</v>
      </c>
      <c r="U38" s="23">
        <f>SUM(K37:U37)</f>
        <v>0</v>
      </c>
      <c r="AB38" s="22" t="s">
        <v>22</v>
      </c>
      <c r="AC38" s="23">
        <f>SUM(X37:AC37)</f>
        <v>0</v>
      </c>
      <c r="AJ38" s="22" t="s">
        <v>22</v>
      </c>
      <c r="AK38" s="23">
        <f>SUM(AF37:AK37)</f>
        <v>0</v>
      </c>
    </row>
    <row r="39" spans="1:37" ht="15.75" thickBot="1" x14ac:dyDescent="0.3">
      <c r="A39" s="34"/>
      <c r="B39" s="171" t="s">
        <v>16</v>
      </c>
      <c r="C39" s="171"/>
      <c r="D39" s="171"/>
      <c r="E39" s="171"/>
      <c r="F39" s="171"/>
      <c r="G39" s="171"/>
      <c r="H39" s="171"/>
      <c r="J39" s="172" t="s">
        <v>16</v>
      </c>
      <c r="K39" s="172"/>
      <c r="L39" s="172"/>
      <c r="M39" s="172"/>
      <c r="N39" s="172"/>
      <c r="O39" s="172"/>
      <c r="P39" s="172"/>
      <c r="Q39" s="172"/>
      <c r="R39" s="172"/>
      <c r="S39" s="172"/>
      <c r="T39" s="172"/>
      <c r="U39" s="172"/>
      <c r="W39" s="173" t="str">
        <f>J39</f>
        <v>Agosto</v>
      </c>
      <c r="X39" s="173"/>
      <c r="Y39" s="173"/>
      <c r="Z39" s="173"/>
      <c r="AA39" s="173"/>
      <c r="AB39" s="173"/>
      <c r="AC39" s="173"/>
      <c r="AE39" s="174" t="str">
        <f>W39</f>
        <v>Agosto</v>
      </c>
      <c r="AF39" s="174"/>
      <c r="AG39" s="174"/>
      <c r="AH39" s="174"/>
      <c r="AI39" s="174"/>
      <c r="AJ39" s="174"/>
      <c r="AK39" s="174"/>
    </row>
    <row r="40" spans="1:37" ht="15.75" thickBot="1" x14ac:dyDescent="0.3">
      <c r="A40" s="168" t="s">
        <v>4</v>
      </c>
      <c r="B40" s="10" t="s">
        <v>5</v>
      </c>
      <c r="C40" s="11" t="s">
        <v>6</v>
      </c>
      <c r="D40" s="12" t="s">
        <v>7</v>
      </c>
      <c r="E40" s="11" t="s">
        <v>8</v>
      </c>
      <c r="F40" s="12" t="s">
        <v>9</v>
      </c>
      <c r="G40" s="11" t="s">
        <v>10</v>
      </c>
      <c r="H40" s="32" t="s">
        <v>11</v>
      </c>
      <c r="J40" s="35" t="s">
        <v>3</v>
      </c>
      <c r="K40" s="14"/>
      <c r="L40" s="15"/>
      <c r="M40" s="15"/>
      <c r="N40" s="15"/>
      <c r="O40" s="15"/>
      <c r="P40" s="15"/>
      <c r="Q40" s="15"/>
      <c r="R40" s="15"/>
      <c r="S40" s="15"/>
      <c r="T40" s="15"/>
      <c r="U40" s="16"/>
      <c r="W40" s="35" t="s">
        <v>3</v>
      </c>
      <c r="X40" s="14"/>
      <c r="Y40" s="15"/>
      <c r="Z40" s="15"/>
      <c r="AA40" s="15"/>
      <c r="AB40" s="15"/>
      <c r="AC40" s="16"/>
      <c r="AE40" s="35" t="s">
        <v>3</v>
      </c>
      <c r="AF40" s="14"/>
      <c r="AG40" s="15"/>
      <c r="AH40" s="15"/>
      <c r="AI40" s="15"/>
      <c r="AJ40" s="15"/>
      <c r="AK40" s="16"/>
    </row>
    <row r="41" spans="1:37" ht="15.75" thickBot="1" x14ac:dyDescent="0.3">
      <c r="A41" s="168"/>
      <c r="B41" s="17"/>
      <c r="C41" s="18"/>
      <c r="D41" s="18"/>
      <c r="E41" s="18"/>
      <c r="F41" s="18">
        <f>SUM(C41-B41)</f>
        <v>0</v>
      </c>
      <c r="G41" s="18">
        <f>SUM(E41-D41)</f>
        <v>0</v>
      </c>
      <c r="H41" s="33">
        <f>SUM(F41:G41)</f>
        <v>0</v>
      </c>
      <c r="J41" s="36" t="s">
        <v>21</v>
      </c>
      <c r="K41" s="19"/>
      <c r="L41" s="20"/>
      <c r="M41" s="20"/>
      <c r="N41" s="20"/>
      <c r="O41" s="20"/>
      <c r="P41" s="20"/>
      <c r="Q41" s="20"/>
      <c r="R41" s="20"/>
      <c r="S41" s="20"/>
      <c r="T41" s="20"/>
      <c r="U41" s="21"/>
      <c r="W41" s="36" t="s">
        <v>21</v>
      </c>
      <c r="X41" s="19"/>
      <c r="Y41" s="20"/>
      <c r="Z41" s="20"/>
      <c r="AA41" s="20"/>
      <c r="AB41" s="20"/>
      <c r="AC41" s="21"/>
      <c r="AE41" s="36" t="s">
        <v>21</v>
      </c>
      <c r="AF41" s="19"/>
      <c r="AG41" s="20"/>
      <c r="AH41" s="20"/>
      <c r="AI41" s="20"/>
      <c r="AJ41" s="20"/>
      <c r="AK41" s="21"/>
    </row>
    <row r="42" spans="1:37" x14ac:dyDescent="0.25">
      <c r="F42" s="2"/>
      <c r="G42" s="2"/>
      <c r="H42" s="2"/>
      <c r="J42" s="37"/>
      <c r="T42" s="22" t="s">
        <v>22</v>
      </c>
      <c r="U42" s="23">
        <f>SUM(K41:U41)</f>
        <v>0</v>
      </c>
      <c r="AB42" s="22" t="s">
        <v>22</v>
      </c>
      <c r="AC42" s="23">
        <f>SUM(X41:AC41)</f>
        <v>0</v>
      </c>
      <c r="AJ42" s="22" t="s">
        <v>22</v>
      </c>
      <c r="AK42" s="23">
        <f>SUM(AF41:AK41)</f>
        <v>0</v>
      </c>
    </row>
    <row r="43" spans="1:37" ht="15.75" thickBot="1" x14ac:dyDescent="0.3">
      <c r="A43" s="34"/>
      <c r="B43" s="171" t="s">
        <v>17</v>
      </c>
      <c r="C43" s="171"/>
      <c r="D43" s="171"/>
      <c r="E43" s="171"/>
      <c r="F43" s="171"/>
      <c r="G43" s="171"/>
      <c r="H43" s="171"/>
      <c r="J43" s="172" t="s">
        <v>17</v>
      </c>
      <c r="K43" s="172"/>
      <c r="L43" s="172"/>
      <c r="M43" s="172"/>
      <c r="N43" s="172"/>
      <c r="O43" s="172"/>
      <c r="P43" s="172"/>
      <c r="Q43" s="172"/>
      <c r="R43" s="172"/>
      <c r="S43" s="172"/>
      <c r="T43" s="172"/>
      <c r="U43" s="172"/>
      <c r="W43" s="173" t="str">
        <f>J43</f>
        <v>Setembro</v>
      </c>
      <c r="X43" s="173"/>
      <c r="Y43" s="173"/>
      <c r="Z43" s="173"/>
      <c r="AA43" s="173"/>
      <c r="AB43" s="173"/>
      <c r="AC43" s="173"/>
      <c r="AE43" s="174" t="str">
        <f>W43</f>
        <v>Setembro</v>
      </c>
      <c r="AF43" s="174"/>
      <c r="AG43" s="174"/>
      <c r="AH43" s="174"/>
      <c r="AI43" s="174"/>
      <c r="AJ43" s="174"/>
      <c r="AK43" s="174"/>
    </row>
    <row r="44" spans="1:37" ht="15.75" thickBot="1" x14ac:dyDescent="0.3">
      <c r="A44" s="168" t="s">
        <v>4</v>
      </c>
      <c r="B44" s="10" t="s">
        <v>5</v>
      </c>
      <c r="C44" s="11" t="s">
        <v>6</v>
      </c>
      <c r="D44" s="12" t="s">
        <v>7</v>
      </c>
      <c r="E44" s="11" t="s">
        <v>8</v>
      </c>
      <c r="F44" s="12" t="s">
        <v>9</v>
      </c>
      <c r="G44" s="11" t="s">
        <v>10</v>
      </c>
      <c r="H44" s="32" t="s">
        <v>11</v>
      </c>
      <c r="J44" s="35" t="s">
        <v>3</v>
      </c>
      <c r="K44" s="14"/>
      <c r="L44" s="15"/>
      <c r="M44" s="15"/>
      <c r="N44" s="15"/>
      <c r="O44" s="15"/>
      <c r="P44" s="15"/>
      <c r="Q44" s="15"/>
      <c r="R44" s="15"/>
      <c r="S44" s="15"/>
      <c r="T44" s="15"/>
      <c r="U44" s="16"/>
      <c r="W44" s="35" t="s">
        <v>3</v>
      </c>
      <c r="X44" s="14"/>
      <c r="Y44" s="15"/>
      <c r="Z44" s="15"/>
      <c r="AA44" s="15"/>
      <c r="AB44" s="15"/>
      <c r="AC44" s="16"/>
      <c r="AE44" s="35" t="s">
        <v>3</v>
      </c>
      <c r="AF44" s="14"/>
      <c r="AG44" s="15"/>
      <c r="AH44" s="15"/>
      <c r="AI44" s="15"/>
      <c r="AJ44" s="15"/>
      <c r="AK44" s="16"/>
    </row>
    <row r="45" spans="1:37" ht="15.75" thickBot="1" x14ac:dyDescent="0.3">
      <c r="A45" s="168"/>
      <c r="B45" s="17"/>
      <c r="C45" s="18"/>
      <c r="D45" s="18"/>
      <c r="E45" s="18"/>
      <c r="F45" s="18">
        <f>SUM(C45-B45)</f>
        <v>0</v>
      </c>
      <c r="G45" s="18">
        <f>SUM(E45-D45)</f>
        <v>0</v>
      </c>
      <c r="H45" s="33">
        <f>SUM(F45:G45)</f>
        <v>0</v>
      </c>
      <c r="J45" s="36" t="s">
        <v>21</v>
      </c>
      <c r="K45" s="19"/>
      <c r="L45" s="20"/>
      <c r="M45" s="20"/>
      <c r="N45" s="20"/>
      <c r="O45" s="20"/>
      <c r="P45" s="20"/>
      <c r="Q45" s="20"/>
      <c r="R45" s="20"/>
      <c r="S45" s="20"/>
      <c r="T45" s="20"/>
      <c r="U45" s="21"/>
      <c r="W45" s="36" t="s">
        <v>21</v>
      </c>
      <c r="X45" s="19"/>
      <c r="Y45" s="20"/>
      <c r="Z45" s="20"/>
      <c r="AA45" s="20"/>
      <c r="AB45" s="20"/>
      <c r="AC45" s="21"/>
      <c r="AE45" s="36" t="s">
        <v>21</v>
      </c>
      <c r="AF45" s="19"/>
      <c r="AG45" s="20"/>
      <c r="AH45" s="20"/>
      <c r="AI45" s="20"/>
      <c r="AJ45" s="20"/>
      <c r="AK45" s="21"/>
    </row>
    <row r="46" spans="1:37" x14ac:dyDescent="0.25">
      <c r="F46" s="2"/>
      <c r="G46" s="2"/>
      <c r="H46" s="2"/>
      <c r="J46" s="37"/>
      <c r="T46" s="22" t="s">
        <v>22</v>
      </c>
      <c r="U46" s="23">
        <f>SUM(K45:U45)</f>
        <v>0</v>
      </c>
      <c r="AB46" s="22" t="s">
        <v>22</v>
      </c>
      <c r="AC46" s="23">
        <f>SUM(X45:AC45)</f>
        <v>0</v>
      </c>
      <c r="AJ46" s="22" t="s">
        <v>22</v>
      </c>
      <c r="AK46" s="23">
        <f>SUM(AF45:AK45)</f>
        <v>0</v>
      </c>
    </row>
    <row r="47" spans="1:37" ht="15.75" thickBot="1" x14ac:dyDescent="0.3">
      <c r="A47" s="34"/>
      <c r="B47" s="171" t="s">
        <v>18</v>
      </c>
      <c r="C47" s="171"/>
      <c r="D47" s="171"/>
      <c r="E47" s="171"/>
      <c r="F47" s="171"/>
      <c r="G47" s="171"/>
      <c r="H47" s="171"/>
      <c r="J47" s="172" t="s">
        <v>18</v>
      </c>
      <c r="K47" s="172"/>
      <c r="L47" s="172"/>
      <c r="M47" s="172"/>
      <c r="N47" s="172"/>
      <c r="O47" s="172"/>
      <c r="P47" s="172"/>
      <c r="Q47" s="172"/>
      <c r="R47" s="172"/>
      <c r="S47" s="172"/>
      <c r="T47" s="172"/>
      <c r="U47" s="172"/>
      <c r="W47" s="173" t="str">
        <f>J47</f>
        <v>Outubro</v>
      </c>
      <c r="X47" s="173"/>
      <c r="Y47" s="173"/>
      <c r="Z47" s="173"/>
      <c r="AA47" s="173"/>
      <c r="AB47" s="173"/>
      <c r="AC47" s="173"/>
      <c r="AE47" s="174" t="str">
        <f>W47</f>
        <v>Outubro</v>
      </c>
      <c r="AF47" s="174"/>
      <c r="AG47" s="174"/>
      <c r="AH47" s="174"/>
      <c r="AI47" s="174"/>
      <c r="AJ47" s="174"/>
      <c r="AK47" s="174"/>
    </row>
    <row r="48" spans="1:37" ht="15.75" thickBot="1" x14ac:dyDescent="0.3">
      <c r="A48" s="168" t="s">
        <v>4</v>
      </c>
      <c r="B48" s="10" t="s">
        <v>5</v>
      </c>
      <c r="C48" s="11" t="s">
        <v>6</v>
      </c>
      <c r="D48" s="12" t="s">
        <v>7</v>
      </c>
      <c r="E48" s="11" t="s">
        <v>8</v>
      </c>
      <c r="F48" s="12" t="s">
        <v>9</v>
      </c>
      <c r="G48" s="11" t="s">
        <v>10</v>
      </c>
      <c r="H48" s="32" t="s">
        <v>11</v>
      </c>
      <c r="J48" s="35" t="s">
        <v>3</v>
      </c>
      <c r="K48" s="14"/>
      <c r="L48" s="15"/>
      <c r="M48" s="15"/>
      <c r="N48" s="15"/>
      <c r="O48" s="15"/>
      <c r="P48" s="15"/>
      <c r="Q48" s="15"/>
      <c r="R48" s="15"/>
      <c r="S48" s="15"/>
      <c r="T48" s="15"/>
      <c r="U48" s="16"/>
      <c r="W48" s="35" t="s">
        <v>3</v>
      </c>
      <c r="X48" s="14"/>
      <c r="Y48" s="15"/>
      <c r="Z48" s="15"/>
      <c r="AA48" s="15"/>
      <c r="AB48" s="15"/>
      <c r="AC48" s="16"/>
      <c r="AE48" s="35" t="s">
        <v>3</v>
      </c>
      <c r="AF48" s="14"/>
      <c r="AG48" s="15"/>
      <c r="AH48" s="15"/>
      <c r="AI48" s="15"/>
      <c r="AJ48" s="15"/>
      <c r="AK48" s="16"/>
    </row>
    <row r="49" spans="1:37" ht="15.75" thickBot="1" x14ac:dyDescent="0.3">
      <c r="A49" s="168"/>
      <c r="B49" s="17"/>
      <c r="C49" s="18"/>
      <c r="D49" s="18"/>
      <c r="E49" s="18"/>
      <c r="F49" s="18">
        <f>SUM(C49-B49)</f>
        <v>0</v>
      </c>
      <c r="G49" s="18">
        <f>SUM(E49-D49)</f>
        <v>0</v>
      </c>
      <c r="H49" s="33">
        <f>SUM(F49:G49)</f>
        <v>0</v>
      </c>
      <c r="J49" s="36" t="s">
        <v>21</v>
      </c>
      <c r="K49" s="19"/>
      <c r="L49" s="20"/>
      <c r="M49" s="20"/>
      <c r="N49" s="20"/>
      <c r="O49" s="20"/>
      <c r="P49" s="20"/>
      <c r="Q49" s="20"/>
      <c r="R49" s="20"/>
      <c r="S49" s="20"/>
      <c r="T49" s="20"/>
      <c r="U49" s="21"/>
      <c r="W49" s="36" t="s">
        <v>21</v>
      </c>
      <c r="X49" s="19"/>
      <c r="Y49" s="20"/>
      <c r="Z49" s="20"/>
      <c r="AA49" s="20"/>
      <c r="AB49" s="20"/>
      <c r="AC49" s="21"/>
      <c r="AE49" s="36" t="s">
        <v>21</v>
      </c>
      <c r="AF49" s="19"/>
      <c r="AG49" s="20"/>
      <c r="AH49" s="20"/>
      <c r="AI49" s="20"/>
      <c r="AJ49" s="20"/>
      <c r="AK49" s="21"/>
    </row>
    <row r="50" spans="1:37" x14ac:dyDescent="0.25">
      <c r="F50" s="2"/>
      <c r="G50" s="2"/>
      <c r="H50" s="2"/>
      <c r="J50" s="37"/>
      <c r="T50" s="22" t="s">
        <v>22</v>
      </c>
      <c r="U50" s="23">
        <f>SUM(K49:U49)</f>
        <v>0</v>
      </c>
      <c r="AB50" s="22" t="s">
        <v>22</v>
      </c>
      <c r="AC50" s="23">
        <f>SUM(X49:AC49)</f>
        <v>0</v>
      </c>
      <c r="AJ50" s="22" t="s">
        <v>22</v>
      </c>
      <c r="AK50" s="23">
        <f>SUM(AF49:AK49)</f>
        <v>0</v>
      </c>
    </row>
    <row r="51" spans="1:37" ht="15.75" thickBot="1" x14ac:dyDescent="0.3">
      <c r="A51" s="34"/>
      <c r="B51" s="171" t="s">
        <v>19</v>
      </c>
      <c r="C51" s="171"/>
      <c r="D51" s="171"/>
      <c r="E51" s="171"/>
      <c r="F51" s="171"/>
      <c r="G51" s="171"/>
      <c r="H51" s="171"/>
      <c r="J51" s="172" t="s">
        <v>19</v>
      </c>
      <c r="K51" s="172"/>
      <c r="L51" s="172"/>
      <c r="M51" s="172"/>
      <c r="N51" s="172"/>
      <c r="O51" s="172"/>
      <c r="P51" s="172"/>
      <c r="Q51" s="172"/>
      <c r="R51" s="172"/>
      <c r="S51" s="172"/>
      <c r="T51" s="172"/>
      <c r="U51" s="172"/>
      <c r="W51" s="173" t="str">
        <f>J51</f>
        <v>Novembro</v>
      </c>
      <c r="X51" s="173"/>
      <c r="Y51" s="173"/>
      <c r="Z51" s="173"/>
      <c r="AA51" s="173"/>
      <c r="AB51" s="173"/>
      <c r="AC51" s="173"/>
      <c r="AE51" s="174" t="str">
        <f>W51</f>
        <v>Novembro</v>
      </c>
      <c r="AF51" s="174"/>
      <c r="AG51" s="174"/>
      <c r="AH51" s="174"/>
      <c r="AI51" s="174"/>
      <c r="AJ51" s="174"/>
      <c r="AK51" s="174"/>
    </row>
    <row r="52" spans="1:37" ht="15.75" thickBot="1" x14ac:dyDescent="0.3">
      <c r="A52" s="168" t="s">
        <v>4</v>
      </c>
      <c r="B52" s="10" t="s">
        <v>5</v>
      </c>
      <c r="C52" s="11" t="s">
        <v>6</v>
      </c>
      <c r="D52" s="12" t="s">
        <v>7</v>
      </c>
      <c r="E52" s="11" t="s">
        <v>8</v>
      </c>
      <c r="F52" s="12" t="s">
        <v>9</v>
      </c>
      <c r="G52" s="11" t="s">
        <v>10</v>
      </c>
      <c r="H52" s="32" t="s">
        <v>11</v>
      </c>
      <c r="J52" s="35" t="s">
        <v>3</v>
      </c>
      <c r="K52" s="14"/>
      <c r="L52" s="15"/>
      <c r="M52" s="15"/>
      <c r="N52" s="15"/>
      <c r="O52" s="15"/>
      <c r="P52" s="15"/>
      <c r="Q52" s="15"/>
      <c r="R52" s="15"/>
      <c r="S52" s="15"/>
      <c r="T52" s="15"/>
      <c r="U52" s="16"/>
      <c r="W52" s="35" t="s">
        <v>3</v>
      </c>
      <c r="X52" s="14"/>
      <c r="Y52" s="15"/>
      <c r="Z52" s="15"/>
      <c r="AA52" s="15"/>
      <c r="AB52" s="15"/>
      <c r="AC52" s="16"/>
      <c r="AE52" s="35" t="s">
        <v>3</v>
      </c>
      <c r="AF52" s="14"/>
      <c r="AG52" s="15"/>
      <c r="AH52" s="15"/>
      <c r="AI52" s="15"/>
      <c r="AJ52" s="15"/>
      <c r="AK52" s="16"/>
    </row>
    <row r="53" spans="1:37" ht="15.75" thickBot="1" x14ac:dyDescent="0.3">
      <c r="A53" s="168"/>
      <c r="B53" s="17"/>
      <c r="C53" s="18"/>
      <c r="D53" s="18"/>
      <c r="E53" s="18"/>
      <c r="F53" s="18">
        <f>SUM(C53-B53)</f>
        <v>0</v>
      </c>
      <c r="G53" s="18">
        <f>SUM(E53-D53)</f>
        <v>0</v>
      </c>
      <c r="H53" s="33">
        <f>SUM(F53:G53)</f>
        <v>0</v>
      </c>
      <c r="J53" s="36" t="s">
        <v>21</v>
      </c>
      <c r="K53" s="19"/>
      <c r="L53" s="20"/>
      <c r="M53" s="20"/>
      <c r="N53" s="20"/>
      <c r="O53" s="20"/>
      <c r="P53" s="20"/>
      <c r="Q53" s="20"/>
      <c r="R53" s="20"/>
      <c r="S53" s="20"/>
      <c r="T53" s="20"/>
      <c r="U53" s="21"/>
      <c r="W53" s="36" t="s">
        <v>21</v>
      </c>
      <c r="X53" s="19"/>
      <c r="Y53" s="20"/>
      <c r="Z53" s="20"/>
      <c r="AA53" s="20"/>
      <c r="AB53" s="20"/>
      <c r="AC53" s="21"/>
      <c r="AE53" s="36" t="s">
        <v>21</v>
      </c>
      <c r="AF53" s="19"/>
      <c r="AG53" s="20"/>
      <c r="AH53" s="20"/>
      <c r="AI53" s="20"/>
      <c r="AJ53" s="20"/>
      <c r="AK53" s="21"/>
    </row>
    <row r="54" spans="1:37" x14ac:dyDescent="0.25">
      <c r="F54" s="2"/>
      <c r="G54" s="2"/>
      <c r="H54" s="2"/>
      <c r="J54" s="37"/>
      <c r="T54" s="22" t="s">
        <v>22</v>
      </c>
      <c r="U54" s="23">
        <f>SUM(K53:U53)</f>
        <v>0</v>
      </c>
      <c r="AB54" s="22" t="s">
        <v>22</v>
      </c>
      <c r="AC54" s="23">
        <f>SUM(X53:AC53)</f>
        <v>0</v>
      </c>
      <c r="AJ54" s="22" t="s">
        <v>22</v>
      </c>
      <c r="AK54" s="23">
        <f>SUM(AF53:AK53)</f>
        <v>0</v>
      </c>
    </row>
    <row r="55" spans="1:37" ht="15.75" thickBot="1" x14ac:dyDescent="0.3">
      <c r="A55" s="34"/>
      <c r="B55" s="171" t="s">
        <v>20</v>
      </c>
      <c r="C55" s="171"/>
      <c r="D55" s="171"/>
      <c r="E55" s="171"/>
      <c r="F55" s="171"/>
      <c r="G55" s="171"/>
      <c r="H55" s="171"/>
      <c r="J55" s="172" t="s">
        <v>20</v>
      </c>
      <c r="K55" s="172"/>
      <c r="L55" s="172"/>
      <c r="M55" s="172"/>
      <c r="N55" s="172"/>
      <c r="O55" s="172"/>
      <c r="P55" s="172"/>
      <c r="Q55" s="172"/>
      <c r="R55" s="172"/>
      <c r="S55" s="172"/>
      <c r="T55" s="172"/>
      <c r="U55" s="172"/>
      <c r="W55" s="173" t="str">
        <f>J55</f>
        <v>Dezembro</v>
      </c>
      <c r="X55" s="173"/>
      <c r="Y55" s="173"/>
      <c r="Z55" s="173"/>
      <c r="AA55" s="173"/>
      <c r="AB55" s="173"/>
      <c r="AC55" s="173"/>
      <c r="AE55" s="174" t="str">
        <f>W55</f>
        <v>Dezembro</v>
      </c>
      <c r="AF55" s="174"/>
      <c r="AG55" s="174"/>
      <c r="AH55" s="174"/>
      <c r="AI55" s="174"/>
      <c r="AJ55" s="174"/>
      <c r="AK55" s="174"/>
    </row>
    <row r="56" spans="1:37" ht="15.75" thickBot="1" x14ac:dyDescent="0.3">
      <c r="A56" s="168" t="s">
        <v>4</v>
      </c>
      <c r="B56" s="10" t="s">
        <v>5</v>
      </c>
      <c r="C56" s="11" t="s">
        <v>6</v>
      </c>
      <c r="D56" s="12" t="s">
        <v>7</v>
      </c>
      <c r="E56" s="11" t="s">
        <v>8</v>
      </c>
      <c r="F56" s="12" t="s">
        <v>9</v>
      </c>
      <c r="G56" s="11" t="s">
        <v>10</v>
      </c>
      <c r="H56" s="32" t="s">
        <v>11</v>
      </c>
      <c r="J56" s="35" t="s">
        <v>3</v>
      </c>
      <c r="K56" s="14"/>
      <c r="L56" s="15"/>
      <c r="M56" s="15"/>
      <c r="N56" s="15"/>
      <c r="O56" s="15"/>
      <c r="P56" s="15"/>
      <c r="Q56" s="15"/>
      <c r="R56" s="15"/>
      <c r="S56" s="15"/>
      <c r="T56" s="15"/>
      <c r="U56" s="16"/>
      <c r="W56" s="35" t="s">
        <v>3</v>
      </c>
      <c r="X56" s="14"/>
      <c r="Y56" s="15"/>
      <c r="Z56" s="15"/>
      <c r="AA56" s="15"/>
      <c r="AB56" s="15"/>
      <c r="AC56" s="16"/>
      <c r="AE56" s="35" t="s">
        <v>3</v>
      </c>
      <c r="AF56" s="14"/>
      <c r="AG56" s="15"/>
      <c r="AH56" s="15"/>
      <c r="AI56" s="15"/>
      <c r="AJ56" s="15"/>
      <c r="AK56" s="16"/>
    </row>
    <row r="57" spans="1:37" ht="15.75" thickBot="1" x14ac:dyDescent="0.3">
      <c r="A57" s="168"/>
      <c r="B57" s="17"/>
      <c r="C57" s="18"/>
      <c r="D57" s="18"/>
      <c r="E57" s="18"/>
      <c r="F57" s="18">
        <f>SUM(C57-B57)</f>
        <v>0</v>
      </c>
      <c r="G57" s="18">
        <f>SUM(E57-D57)</f>
        <v>0</v>
      </c>
      <c r="H57" s="33">
        <f>SUM(F57:G57)</f>
        <v>0</v>
      </c>
      <c r="J57" s="36" t="s">
        <v>21</v>
      </c>
      <c r="K57" s="19"/>
      <c r="L57" s="20"/>
      <c r="M57" s="20"/>
      <c r="N57" s="20"/>
      <c r="O57" s="20"/>
      <c r="P57" s="20"/>
      <c r="Q57" s="20"/>
      <c r="R57" s="20"/>
      <c r="S57" s="20"/>
      <c r="T57" s="20"/>
      <c r="U57" s="21"/>
      <c r="W57" s="36" t="s">
        <v>21</v>
      </c>
      <c r="X57" s="19"/>
      <c r="Y57" s="20"/>
      <c r="Z57" s="20"/>
      <c r="AA57" s="20"/>
      <c r="AB57" s="20"/>
      <c r="AC57" s="21"/>
      <c r="AE57" s="36" t="s">
        <v>21</v>
      </c>
      <c r="AF57" s="19"/>
      <c r="AG57" s="20"/>
      <c r="AH57" s="20"/>
      <c r="AI57" s="20"/>
      <c r="AJ57" s="20"/>
      <c r="AK57" s="21"/>
    </row>
    <row r="58" spans="1:37" x14ac:dyDescent="0.25">
      <c r="J58" s="37"/>
      <c r="T58" s="22" t="s">
        <v>22</v>
      </c>
      <c r="U58" s="23">
        <f>SUM(K57:U57)</f>
        <v>0</v>
      </c>
      <c r="AB58" s="22" t="s">
        <v>22</v>
      </c>
      <c r="AC58" s="23">
        <f>SUM(X57:AC57)</f>
        <v>0</v>
      </c>
      <c r="AJ58" s="22" t="s">
        <v>22</v>
      </c>
      <c r="AK58" s="23">
        <f>SUM(AF57:AK57)</f>
        <v>0</v>
      </c>
    </row>
  </sheetData>
  <mergeCells count="71">
    <mergeCell ref="B6:C6"/>
    <mergeCell ref="E6:F6"/>
    <mergeCell ref="A1:A2"/>
    <mergeCell ref="B1:AK1"/>
    <mergeCell ref="B2:AK2"/>
    <mergeCell ref="B4:C4"/>
    <mergeCell ref="E4:F4"/>
    <mergeCell ref="A16:A17"/>
    <mergeCell ref="A9:H9"/>
    <mergeCell ref="J9:U9"/>
    <mergeCell ref="W9:AC9"/>
    <mergeCell ref="AE9:AK9"/>
    <mergeCell ref="B11:H11"/>
    <mergeCell ref="J11:U11"/>
    <mergeCell ref="W11:AC11"/>
    <mergeCell ref="AE11:AK11"/>
    <mergeCell ref="A12:A13"/>
    <mergeCell ref="B15:H15"/>
    <mergeCell ref="J15:U15"/>
    <mergeCell ref="W15:AC15"/>
    <mergeCell ref="AE15:AK15"/>
    <mergeCell ref="A28:A29"/>
    <mergeCell ref="B19:H19"/>
    <mergeCell ref="J19:U19"/>
    <mergeCell ref="W19:AC19"/>
    <mergeCell ref="AE19:AK19"/>
    <mergeCell ref="A20:A21"/>
    <mergeCell ref="B23:H23"/>
    <mergeCell ref="J23:U23"/>
    <mergeCell ref="W23:AC23"/>
    <mergeCell ref="AE23:AK23"/>
    <mergeCell ref="A24:A25"/>
    <mergeCell ref="B27:H27"/>
    <mergeCell ref="J27:U27"/>
    <mergeCell ref="W27:AC27"/>
    <mergeCell ref="AE27:AK27"/>
    <mergeCell ref="A40:A41"/>
    <mergeCell ref="B31:H31"/>
    <mergeCell ref="J31:U31"/>
    <mergeCell ref="W31:AC31"/>
    <mergeCell ref="AE31:AK31"/>
    <mergeCell ref="A32:A33"/>
    <mergeCell ref="B35:H35"/>
    <mergeCell ref="J35:U35"/>
    <mergeCell ref="W35:AC35"/>
    <mergeCell ref="AE35:AK35"/>
    <mergeCell ref="A36:A37"/>
    <mergeCell ref="B39:H39"/>
    <mergeCell ref="J39:U39"/>
    <mergeCell ref="W39:AC39"/>
    <mergeCell ref="AE39:AK39"/>
    <mergeCell ref="A52:A53"/>
    <mergeCell ref="B43:H43"/>
    <mergeCell ref="J43:U43"/>
    <mergeCell ref="W43:AC43"/>
    <mergeCell ref="AE43:AK43"/>
    <mergeCell ref="A44:A45"/>
    <mergeCell ref="B47:H47"/>
    <mergeCell ref="J47:U47"/>
    <mergeCell ref="W47:AC47"/>
    <mergeCell ref="AE47:AK47"/>
    <mergeCell ref="A48:A49"/>
    <mergeCell ref="B51:H51"/>
    <mergeCell ref="J51:U51"/>
    <mergeCell ref="W51:AC51"/>
    <mergeCell ref="AE51:AK51"/>
    <mergeCell ref="B55:H55"/>
    <mergeCell ref="J55:U55"/>
    <mergeCell ref="W55:AC55"/>
    <mergeCell ref="AE55:AK55"/>
    <mergeCell ref="A56:A57"/>
  </mergeCells>
  <pageMargins left="0.511811024" right="0.511811024" top="0.78740157499999996" bottom="0.78740157499999996" header="0.31496062000000002" footer="0.31496062000000002"/>
  <pageSetup paperSize="9" orientation="portrait" r:id="rId1"/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BDBFE4-DA2C-4E6E-84F2-A668A4241F5D}">
  <dimension ref="A1:AK58"/>
  <sheetViews>
    <sheetView topLeftCell="A9" workbookViewId="0">
      <selection activeCell="K5" sqref="K5"/>
    </sheetView>
  </sheetViews>
  <sheetFormatPr defaultRowHeight="15" x14ac:dyDescent="0.25"/>
  <cols>
    <col min="1" max="1" width="14.85546875" style="2" customWidth="1"/>
    <col min="2" max="2" width="11.7109375" style="2" bestFit="1" customWidth="1"/>
    <col min="3" max="3" width="9.28515625" style="2" bestFit="1" customWidth="1"/>
    <col min="4" max="4" width="10.7109375" style="2" customWidth="1"/>
    <col min="5" max="5" width="9.28515625" style="2" bestFit="1" customWidth="1"/>
    <col min="6" max="6" width="13.140625" style="1" customWidth="1"/>
    <col min="7" max="7" width="13.85546875" style="1" customWidth="1"/>
    <col min="8" max="8" width="12.140625" style="1" bestFit="1" customWidth="1"/>
    <col min="9" max="9" width="9.85546875" style="1" customWidth="1"/>
    <col min="10" max="10" width="9.42578125" style="2" customWidth="1"/>
    <col min="11" max="13" width="10.7109375" style="1" bestFit="1" customWidth="1"/>
    <col min="14" max="16" width="10.5703125" style="1" bestFit="1" customWidth="1"/>
    <col min="17" max="20" width="9.140625" style="1"/>
    <col min="21" max="21" width="12.140625" style="1" bestFit="1" customWidth="1"/>
    <col min="22" max="22" width="9.140625" style="1"/>
    <col min="23" max="23" width="9.140625" style="2"/>
    <col min="24" max="30" width="9.140625" style="1"/>
    <col min="31" max="31" width="9.140625" style="2"/>
    <col min="32" max="33" width="9.140625" style="1"/>
    <col min="34" max="36" width="10.140625" style="1" bestFit="1" customWidth="1"/>
    <col min="37" max="37" width="9.140625" style="1"/>
  </cols>
  <sheetData>
    <row r="1" spans="1:37" ht="21" x14ac:dyDescent="0.25">
      <c r="A1" s="162"/>
      <c r="B1" s="164" t="s">
        <v>51</v>
      </c>
      <c r="C1" s="164"/>
      <c r="D1" s="164"/>
      <c r="E1" s="164"/>
      <c r="F1" s="164"/>
      <c r="G1" s="164"/>
      <c r="H1" s="164"/>
      <c r="I1" s="164"/>
      <c r="J1" s="164"/>
      <c r="K1" s="164"/>
      <c r="L1" s="164"/>
      <c r="M1" s="164"/>
      <c r="N1" s="164"/>
      <c r="O1" s="164"/>
      <c r="P1" s="164"/>
      <c r="Q1" s="164"/>
      <c r="R1" s="164"/>
      <c r="S1" s="164"/>
      <c r="T1" s="164"/>
      <c r="U1" s="164"/>
      <c r="V1" s="164"/>
      <c r="W1" s="164"/>
      <c r="X1" s="164"/>
      <c r="Y1" s="164"/>
      <c r="Z1" s="164"/>
      <c r="AA1" s="164"/>
      <c r="AB1" s="164"/>
      <c r="AC1" s="164"/>
      <c r="AD1" s="164"/>
      <c r="AE1" s="164"/>
      <c r="AF1" s="164"/>
      <c r="AG1" s="164"/>
      <c r="AH1" s="164"/>
      <c r="AI1" s="164"/>
      <c r="AJ1" s="164"/>
      <c r="AK1" s="165"/>
    </row>
    <row r="2" spans="1:37" ht="21" x14ac:dyDescent="0.25">
      <c r="A2" s="163"/>
      <c r="B2" s="166" t="s">
        <v>50</v>
      </c>
      <c r="C2" s="166"/>
      <c r="D2" s="166"/>
      <c r="E2" s="166"/>
      <c r="F2" s="166"/>
      <c r="G2" s="166"/>
      <c r="H2" s="166"/>
      <c r="I2" s="166"/>
      <c r="J2" s="166"/>
      <c r="K2" s="166"/>
      <c r="L2" s="166"/>
      <c r="M2" s="166"/>
      <c r="N2" s="166"/>
      <c r="O2" s="166"/>
      <c r="P2" s="166"/>
      <c r="Q2" s="166"/>
      <c r="R2" s="166"/>
      <c r="S2" s="166"/>
      <c r="T2" s="166"/>
      <c r="U2" s="166"/>
      <c r="V2" s="166"/>
      <c r="W2" s="166"/>
      <c r="X2" s="166"/>
      <c r="Y2" s="166"/>
      <c r="Z2" s="166"/>
      <c r="AA2" s="166"/>
      <c r="AB2" s="166"/>
      <c r="AC2" s="166"/>
      <c r="AD2" s="166"/>
      <c r="AE2" s="166"/>
      <c r="AF2" s="166"/>
      <c r="AG2" s="166"/>
      <c r="AH2" s="166"/>
      <c r="AI2" s="166"/>
      <c r="AJ2" s="166"/>
      <c r="AK2" s="167"/>
    </row>
    <row r="4" spans="1:37" x14ac:dyDescent="0.25">
      <c r="A4" s="31" t="s">
        <v>47</v>
      </c>
      <c r="B4" s="161" t="s">
        <v>157</v>
      </c>
      <c r="C4" s="161"/>
      <c r="D4" s="31" t="s">
        <v>0</v>
      </c>
      <c r="E4" s="161" t="s">
        <v>158</v>
      </c>
      <c r="F4" s="161"/>
      <c r="G4" s="31" t="s">
        <v>125</v>
      </c>
      <c r="H4" s="137">
        <v>3000</v>
      </c>
    </row>
    <row r="5" spans="1:37" x14ac:dyDescent="0.25">
      <c r="A5" s="31"/>
      <c r="D5" s="31"/>
      <c r="F5" s="2"/>
      <c r="G5" s="31"/>
    </row>
    <row r="6" spans="1:37" x14ac:dyDescent="0.25">
      <c r="A6" s="31" t="s">
        <v>48</v>
      </c>
      <c r="B6" s="160">
        <v>3837</v>
      </c>
      <c r="C6" s="160"/>
      <c r="D6" s="31" t="s">
        <v>44</v>
      </c>
      <c r="E6" s="187">
        <v>45</v>
      </c>
      <c r="F6" s="187"/>
      <c r="G6" s="31" t="s">
        <v>46</v>
      </c>
      <c r="H6" s="5">
        <v>46027</v>
      </c>
    </row>
    <row r="9" spans="1:37" ht="18.75" x14ac:dyDescent="0.3">
      <c r="A9" s="169" t="s">
        <v>26</v>
      </c>
      <c r="B9" s="169"/>
      <c r="C9" s="169"/>
      <c r="D9" s="169"/>
      <c r="E9" s="169"/>
      <c r="F9" s="169"/>
      <c r="G9" s="169"/>
      <c r="H9" s="169"/>
      <c r="I9" s="28"/>
      <c r="J9" s="169" t="s">
        <v>24</v>
      </c>
      <c r="K9" s="169"/>
      <c r="L9" s="169"/>
      <c r="M9" s="169"/>
      <c r="N9" s="169"/>
      <c r="O9" s="169"/>
      <c r="P9" s="169"/>
      <c r="Q9" s="169"/>
      <c r="R9" s="169"/>
      <c r="S9" s="169"/>
      <c r="T9" s="169"/>
      <c r="U9" s="169"/>
      <c r="V9" s="29"/>
      <c r="W9" s="170" t="s">
        <v>49</v>
      </c>
      <c r="X9" s="170"/>
      <c r="Y9" s="170"/>
      <c r="Z9" s="170"/>
      <c r="AA9" s="170"/>
      <c r="AB9" s="170"/>
      <c r="AC9" s="170"/>
      <c r="AD9" s="29"/>
      <c r="AE9" s="170" t="s">
        <v>25</v>
      </c>
      <c r="AF9" s="170"/>
      <c r="AG9" s="170"/>
      <c r="AH9" s="170"/>
      <c r="AI9" s="170"/>
      <c r="AJ9" s="170"/>
      <c r="AK9" s="170"/>
    </row>
    <row r="10" spans="1:37" x14ac:dyDescent="0.25">
      <c r="A10" s="7"/>
      <c r="B10" s="7"/>
      <c r="C10" s="7"/>
      <c r="D10" s="7"/>
      <c r="E10" s="7"/>
      <c r="F10" s="7"/>
      <c r="G10" s="7"/>
      <c r="H10" s="7"/>
      <c r="I10" s="6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8"/>
      <c r="W10" s="9"/>
      <c r="X10" s="9"/>
      <c r="Y10" s="9"/>
      <c r="Z10" s="9"/>
      <c r="AA10" s="9"/>
      <c r="AB10" s="9"/>
      <c r="AC10" s="9"/>
      <c r="AD10" s="8"/>
      <c r="AE10" s="9"/>
      <c r="AF10" s="9"/>
      <c r="AG10" s="9"/>
      <c r="AH10" s="9"/>
      <c r="AI10" s="9"/>
      <c r="AJ10" s="9"/>
      <c r="AK10" s="9"/>
    </row>
    <row r="11" spans="1:37" ht="15.75" thickBot="1" x14ac:dyDescent="0.3">
      <c r="A11" s="34"/>
      <c r="B11" s="171" t="s">
        <v>54</v>
      </c>
      <c r="C11" s="171"/>
      <c r="D11" s="171"/>
      <c r="E11" s="171"/>
      <c r="F11" s="171"/>
      <c r="G11" s="171"/>
      <c r="H11" s="171"/>
      <c r="I11" s="6"/>
      <c r="J11" s="172" t="s">
        <v>54</v>
      </c>
      <c r="K11" s="172"/>
      <c r="L11" s="172"/>
      <c r="M11" s="172"/>
      <c r="N11" s="172"/>
      <c r="O11" s="172"/>
      <c r="P11" s="172"/>
      <c r="Q11" s="172"/>
      <c r="R11" s="172"/>
      <c r="S11" s="172"/>
      <c r="T11" s="172"/>
      <c r="U11" s="172"/>
      <c r="V11" s="8"/>
      <c r="W11" s="173" t="s">
        <v>54</v>
      </c>
      <c r="X11" s="173"/>
      <c r="Y11" s="173"/>
      <c r="Z11" s="173"/>
      <c r="AA11" s="173"/>
      <c r="AB11" s="173"/>
      <c r="AC11" s="173"/>
      <c r="AD11" s="8"/>
      <c r="AE11" s="174" t="s">
        <v>54</v>
      </c>
      <c r="AF11" s="174"/>
      <c r="AG11" s="174"/>
      <c r="AH11" s="174"/>
      <c r="AI11" s="174"/>
      <c r="AJ11" s="174"/>
      <c r="AK11" s="174"/>
    </row>
    <row r="12" spans="1:37" ht="15.75" thickBot="1" x14ac:dyDescent="0.3">
      <c r="A12" s="168" t="s">
        <v>4</v>
      </c>
      <c r="B12" s="10" t="s">
        <v>5</v>
      </c>
      <c r="C12" s="11" t="s">
        <v>6</v>
      </c>
      <c r="D12" s="12" t="s">
        <v>7</v>
      </c>
      <c r="E12" s="11" t="s">
        <v>8</v>
      </c>
      <c r="F12" s="12" t="s">
        <v>9</v>
      </c>
      <c r="G12" s="11" t="s">
        <v>10</v>
      </c>
      <c r="H12" s="32" t="s">
        <v>11</v>
      </c>
      <c r="I12" s="6"/>
      <c r="J12" s="35" t="s">
        <v>3</v>
      </c>
      <c r="K12" s="14">
        <v>46030</v>
      </c>
      <c r="L12" s="24">
        <v>46035</v>
      </c>
      <c r="M12" s="24">
        <v>46039</v>
      </c>
      <c r="N12" s="24">
        <v>46044</v>
      </c>
      <c r="O12" s="24">
        <v>46046</v>
      </c>
      <c r="P12" s="24">
        <v>46051</v>
      </c>
      <c r="Q12" s="15"/>
      <c r="R12" s="15"/>
      <c r="S12" s="15"/>
      <c r="T12" s="15"/>
      <c r="U12" s="16"/>
      <c r="V12" s="8"/>
      <c r="W12" s="35" t="s">
        <v>3</v>
      </c>
      <c r="X12" s="14"/>
      <c r="Y12" s="15"/>
      <c r="Z12" s="15"/>
      <c r="AA12" s="15"/>
      <c r="AB12" s="15"/>
      <c r="AC12" s="16"/>
      <c r="AD12" s="8"/>
      <c r="AE12" s="35" t="s">
        <v>3</v>
      </c>
      <c r="AF12" s="14"/>
      <c r="AG12" s="15"/>
      <c r="AH12" s="15"/>
      <c r="AI12" s="15"/>
      <c r="AJ12" s="15"/>
      <c r="AK12" s="16"/>
    </row>
    <row r="13" spans="1:37" ht="15.75" thickBot="1" x14ac:dyDescent="0.3">
      <c r="A13" s="168"/>
      <c r="B13" s="17">
        <v>38576</v>
      </c>
      <c r="C13" s="18"/>
      <c r="D13" s="18"/>
      <c r="E13" s="18">
        <v>40970</v>
      </c>
      <c r="F13" s="18">
        <f>SUM(C13-B13)</f>
        <v>-38576</v>
      </c>
      <c r="G13" s="18">
        <f>SUM(E13-D13)</f>
        <v>40970</v>
      </c>
      <c r="H13" s="33">
        <f>SUM(F13:G13)</f>
        <v>2394</v>
      </c>
      <c r="I13" s="6"/>
      <c r="J13" s="36" t="s">
        <v>21</v>
      </c>
      <c r="K13" s="19">
        <v>201.97</v>
      </c>
      <c r="L13" s="20">
        <v>269.02</v>
      </c>
      <c r="M13" s="20">
        <v>176.85</v>
      </c>
      <c r="N13" s="20">
        <v>239.8</v>
      </c>
      <c r="O13" s="20">
        <v>156.6</v>
      </c>
      <c r="P13" s="20">
        <v>191.64</v>
      </c>
      <c r="Q13" s="20"/>
      <c r="R13" s="20"/>
      <c r="S13" s="20"/>
      <c r="T13" s="20"/>
      <c r="U13" s="21"/>
      <c r="V13" s="8"/>
      <c r="W13" s="36" t="s">
        <v>21</v>
      </c>
      <c r="X13" s="19"/>
      <c r="Y13" s="20"/>
      <c r="Z13" s="20"/>
      <c r="AA13" s="20"/>
      <c r="AB13" s="20"/>
      <c r="AC13" s="21"/>
      <c r="AD13" s="8"/>
      <c r="AE13" s="36" t="s">
        <v>21</v>
      </c>
      <c r="AF13" s="19"/>
      <c r="AG13" s="20"/>
      <c r="AH13" s="20"/>
      <c r="AI13" s="20"/>
      <c r="AJ13" s="20"/>
      <c r="AK13" s="21"/>
    </row>
    <row r="14" spans="1:37" x14ac:dyDescent="0.25">
      <c r="A14" s="7"/>
      <c r="B14" s="7"/>
      <c r="C14" s="7"/>
      <c r="D14" s="7"/>
      <c r="E14" s="7"/>
      <c r="F14" s="7"/>
      <c r="G14" s="7"/>
      <c r="H14" s="7"/>
      <c r="I14" s="6"/>
      <c r="J14" s="7"/>
      <c r="K14" s="7"/>
      <c r="L14" s="7"/>
      <c r="M14" s="7"/>
      <c r="N14" s="7"/>
      <c r="O14" s="7"/>
      <c r="P14" s="7"/>
      <c r="Q14" s="7"/>
      <c r="R14" s="7"/>
      <c r="S14" s="7"/>
      <c r="T14" s="22" t="s">
        <v>22</v>
      </c>
      <c r="U14" s="23">
        <f>SUM(K13:U13)</f>
        <v>1235.8800000000001</v>
      </c>
      <c r="V14" s="8"/>
      <c r="AB14" s="22" t="s">
        <v>22</v>
      </c>
      <c r="AC14" s="23">
        <f>SUM(X13:AC13)</f>
        <v>0</v>
      </c>
      <c r="AD14" s="8"/>
      <c r="AJ14" s="22" t="s">
        <v>22</v>
      </c>
      <c r="AK14" s="23">
        <f>SUM(AF13:AK13)</f>
        <v>0</v>
      </c>
    </row>
    <row r="15" spans="1:37" ht="15.75" thickBot="1" x14ac:dyDescent="0.3">
      <c r="A15" s="34"/>
      <c r="B15" s="171" t="s">
        <v>2</v>
      </c>
      <c r="C15" s="171"/>
      <c r="D15" s="171"/>
      <c r="E15" s="171"/>
      <c r="F15" s="171"/>
      <c r="G15" s="171"/>
      <c r="H15" s="171"/>
      <c r="J15" s="172" t="s">
        <v>2</v>
      </c>
      <c r="K15" s="172"/>
      <c r="L15" s="172"/>
      <c r="M15" s="172"/>
      <c r="N15" s="172"/>
      <c r="O15" s="172"/>
      <c r="P15" s="172"/>
      <c r="Q15" s="172"/>
      <c r="R15" s="172"/>
      <c r="S15" s="172"/>
      <c r="T15" s="172"/>
      <c r="U15" s="172"/>
      <c r="W15" s="173" t="s">
        <v>2</v>
      </c>
      <c r="X15" s="173"/>
      <c r="Y15" s="173"/>
      <c r="Z15" s="173"/>
      <c r="AA15" s="173"/>
      <c r="AB15" s="173"/>
      <c r="AC15" s="173"/>
      <c r="AE15" s="174" t="s">
        <v>2</v>
      </c>
      <c r="AF15" s="174"/>
      <c r="AG15" s="174"/>
      <c r="AH15" s="174"/>
      <c r="AI15" s="174"/>
      <c r="AJ15" s="174"/>
      <c r="AK15" s="174"/>
    </row>
    <row r="16" spans="1:37" ht="15.75" thickBot="1" x14ac:dyDescent="0.3">
      <c r="A16" s="168" t="s">
        <v>4</v>
      </c>
      <c r="B16" s="10" t="s">
        <v>5</v>
      </c>
      <c r="C16" s="11" t="s">
        <v>6</v>
      </c>
      <c r="D16" s="12" t="s">
        <v>7</v>
      </c>
      <c r="E16" s="11" t="s">
        <v>8</v>
      </c>
      <c r="F16" s="12" t="s">
        <v>9</v>
      </c>
      <c r="G16" s="11" t="s">
        <v>10</v>
      </c>
      <c r="H16" s="32" t="s">
        <v>11</v>
      </c>
      <c r="J16" s="35" t="s">
        <v>3</v>
      </c>
      <c r="K16" s="14"/>
      <c r="L16" s="15"/>
      <c r="M16" s="15"/>
      <c r="N16" s="15"/>
      <c r="O16" s="15"/>
      <c r="P16" s="15"/>
      <c r="Q16" s="15"/>
      <c r="R16" s="15"/>
      <c r="S16" s="15"/>
      <c r="T16" s="15"/>
      <c r="U16" s="16"/>
      <c r="W16" s="35" t="s">
        <v>3</v>
      </c>
      <c r="X16" s="14"/>
      <c r="Y16" s="15"/>
      <c r="Z16" s="15"/>
      <c r="AA16" s="15"/>
      <c r="AB16" s="15"/>
      <c r="AC16" s="16"/>
      <c r="AE16" s="35" t="s">
        <v>3</v>
      </c>
      <c r="AF16" s="14"/>
      <c r="AG16" s="15"/>
      <c r="AH16" s="15"/>
      <c r="AI16" s="15"/>
      <c r="AJ16" s="15"/>
      <c r="AK16" s="16"/>
    </row>
    <row r="17" spans="1:37" ht="15.75" thickBot="1" x14ac:dyDescent="0.3">
      <c r="A17" s="168"/>
      <c r="B17" s="18">
        <v>40970</v>
      </c>
      <c r="C17" s="18"/>
      <c r="D17" s="18"/>
      <c r="E17" s="18">
        <v>43418</v>
      </c>
      <c r="F17" s="18">
        <f>SUM(C17-B17)</f>
        <v>-40970</v>
      </c>
      <c r="G17" s="18">
        <f>SUM(E17-D17)</f>
        <v>43418</v>
      </c>
      <c r="H17" s="33">
        <f>SUM(F17:G17)</f>
        <v>2448</v>
      </c>
      <c r="J17" s="36" t="s">
        <v>21</v>
      </c>
      <c r="K17" s="19"/>
      <c r="L17" s="20"/>
      <c r="M17" s="20"/>
      <c r="N17" s="20"/>
      <c r="O17" s="20"/>
      <c r="P17" s="20"/>
      <c r="Q17" s="20"/>
      <c r="R17" s="20"/>
      <c r="S17" s="20"/>
      <c r="T17" s="20"/>
      <c r="U17" s="21"/>
      <c r="W17" s="36" t="s">
        <v>21</v>
      </c>
      <c r="X17" s="19"/>
      <c r="Y17" s="20"/>
      <c r="Z17" s="20"/>
      <c r="AA17" s="20"/>
      <c r="AB17" s="20"/>
      <c r="AC17" s="21"/>
      <c r="AE17" s="36" t="s">
        <v>21</v>
      </c>
      <c r="AF17" s="19"/>
      <c r="AG17" s="20"/>
      <c r="AH17" s="20"/>
      <c r="AI17" s="20"/>
      <c r="AJ17" s="20"/>
      <c r="AK17" s="21"/>
    </row>
    <row r="18" spans="1:37" x14ac:dyDescent="0.25">
      <c r="F18" s="2"/>
      <c r="G18" s="2"/>
      <c r="H18" s="2"/>
      <c r="J18" s="37"/>
      <c r="T18" s="22" t="s">
        <v>22</v>
      </c>
      <c r="U18" s="23">
        <f>SUM(K17:U17)</f>
        <v>0</v>
      </c>
      <c r="AB18" s="22" t="s">
        <v>22</v>
      </c>
      <c r="AC18" s="23">
        <f>SUM(X17:AC17)</f>
        <v>0</v>
      </c>
      <c r="AJ18" s="22" t="s">
        <v>22</v>
      </c>
      <c r="AK18" s="23">
        <f>SUM(AF17:AK17)</f>
        <v>0</v>
      </c>
    </row>
    <row r="19" spans="1:37" ht="15.75" thickBot="1" x14ac:dyDescent="0.3">
      <c r="A19" s="34"/>
      <c r="B19" s="171" t="s">
        <v>12</v>
      </c>
      <c r="C19" s="171"/>
      <c r="D19" s="171"/>
      <c r="E19" s="171"/>
      <c r="F19" s="171"/>
      <c r="G19" s="171"/>
      <c r="H19" s="171"/>
      <c r="J19" s="172" t="s">
        <v>12</v>
      </c>
      <c r="K19" s="172"/>
      <c r="L19" s="172"/>
      <c r="M19" s="172"/>
      <c r="N19" s="172"/>
      <c r="O19" s="172"/>
      <c r="P19" s="172"/>
      <c r="Q19" s="172"/>
      <c r="R19" s="172"/>
      <c r="S19" s="172"/>
      <c r="T19" s="172"/>
      <c r="U19" s="172"/>
      <c r="W19" s="173" t="str">
        <f>J19</f>
        <v>Março</v>
      </c>
      <c r="X19" s="173"/>
      <c r="Y19" s="173"/>
      <c r="Z19" s="173"/>
      <c r="AA19" s="173"/>
      <c r="AB19" s="173"/>
      <c r="AC19" s="173"/>
      <c r="AE19" s="174" t="str">
        <f>W19</f>
        <v>Março</v>
      </c>
      <c r="AF19" s="174"/>
      <c r="AG19" s="174"/>
      <c r="AH19" s="174"/>
      <c r="AI19" s="174"/>
      <c r="AJ19" s="174"/>
      <c r="AK19" s="174"/>
    </row>
    <row r="20" spans="1:37" ht="15.75" thickBot="1" x14ac:dyDescent="0.3">
      <c r="A20" s="168" t="s">
        <v>4</v>
      </c>
      <c r="B20" s="10" t="s">
        <v>5</v>
      </c>
      <c r="C20" s="11" t="s">
        <v>6</v>
      </c>
      <c r="D20" s="12" t="s">
        <v>7</v>
      </c>
      <c r="E20" s="11" t="s">
        <v>8</v>
      </c>
      <c r="F20" s="12" t="s">
        <v>9</v>
      </c>
      <c r="G20" s="11" t="s">
        <v>10</v>
      </c>
      <c r="H20" s="32" t="s">
        <v>11</v>
      </c>
      <c r="J20" s="35" t="s">
        <v>3</v>
      </c>
      <c r="K20" s="14"/>
      <c r="L20" s="24"/>
      <c r="M20" s="24"/>
      <c r="N20" s="15"/>
      <c r="O20" s="15"/>
      <c r="P20" s="15"/>
      <c r="Q20" s="15"/>
      <c r="R20" s="15"/>
      <c r="S20" s="15"/>
      <c r="T20" s="15"/>
      <c r="U20" s="16"/>
      <c r="W20" s="35" t="s">
        <v>3</v>
      </c>
      <c r="X20" s="14"/>
      <c r="Y20" s="15"/>
      <c r="Z20" s="15"/>
      <c r="AA20" s="15"/>
      <c r="AB20" s="15"/>
      <c r="AC20" s="16"/>
      <c r="AE20" s="35" t="s">
        <v>3</v>
      </c>
      <c r="AF20" s="14"/>
      <c r="AG20" s="15"/>
      <c r="AH20" s="15"/>
      <c r="AI20" s="15"/>
      <c r="AJ20" s="15"/>
      <c r="AK20" s="16"/>
    </row>
    <row r="21" spans="1:37" ht="15.75" thickBot="1" x14ac:dyDescent="0.3">
      <c r="A21" s="168"/>
      <c r="B21" s="18">
        <v>43418</v>
      </c>
      <c r="C21" s="18"/>
      <c r="D21" s="18"/>
      <c r="E21" s="18">
        <v>45867</v>
      </c>
      <c r="F21" s="18">
        <f>SUM(C21-B21)</f>
        <v>-43418</v>
      </c>
      <c r="G21" s="18">
        <f>SUM(E21-D21)</f>
        <v>45867</v>
      </c>
      <c r="H21" s="33">
        <f>SUM(F21:G21)</f>
        <v>2449</v>
      </c>
      <c r="J21" s="36" t="s">
        <v>21</v>
      </c>
      <c r="K21" s="19"/>
      <c r="L21" s="20"/>
      <c r="M21" s="20"/>
      <c r="N21" s="20"/>
      <c r="O21" s="20"/>
      <c r="P21" s="20"/>
      <c r="Q21" s="20"/>
      <c r="R21" s="20"/>
      <c r="S21" s="20"/>
      <c r="T21" s="20"/>
      <c r="U21" s="21"/>
      <c r="W21" s="36" t="s">
        <v>21</v>
      </c>
      <c r="X21" s="19"/>
      <c r="Y21" s="20"/>
      <c r="Z21" s="20"/>
      <c r="AA21" s="20"/>
      <c r="AB21" s="20"/>
      <c r="AC21" s="21"/>
      <c r="AE21" s="36" t="s">
        <v>21</v>
      </c>
      <c r="AF21" s="19"/>
      <c r="AG21" s="20"/>
      <c r="AH21" s="20"/>
      <c r="AI21" s="20"/>
      <c r="AJ21" s="20"/>
      <c r="AK21" s="21"/>
    </row>
    <row r="22" spans="1:37" x14ac:dyDescent="0.25">
      <c r="F22" s="2"/>
      <c r="G22" s="2"/>
      <c r="H22" s="2"/>
      <c r="J22" s="37"/>
      <c r="T22" s="22" t="s">
        <v>22</v>
      </c>
      <c r="U22" s="23">
        <f>SUM(K21:U21)</f>
        <v>0</v>
      </c>
      <c r="AB22" s="22" t="s">
        <v>22</v>
      </c>
      <c r="AC22" s="23">
        <f>SUM(X21:AC21)</f>
        <v>0</v>
      </c>
      <c r="AJ22" s="22" t="s">
        <v>22</v>
      </c>
      <c r="AK22" s="23">
        <f>SUM(AF21:AK21)</f>
        <v>0</v>
      </c>
    </row>
    <row r="23" spans="1:37" ht="15.75" thickBot="1" x14ac:dyDescent="0.3">
      <c r="A23" s="34"/>
      <c r="B23" s="171" t="s">
        <v>13</v>
      </c>
      <c r="C23" s="171"/>
      <c r="D23" s="171"/>
      <c r="E23" s="171"/>
      <c r="F23" s="171"/>
      <c r="G23" s="171"/>
      <c r="H23" s="171"/>
      <c r="J23" s="172" t="s">
        <v>13</v>
      </c>
      <c r="K23" s="172"/>
      <c r="L23" s="172"/>
      <c r="M23" s="172"/>
      <c r="N23" s="172"/>
      <c r="O23" s="172"/>
      <c r="P23" s="172"/>
      <c r="Q23" s="172"/>
      <c r="R23" s="172"/>
      <c r="S23" s="172"/>
      <c r="T23" s="172"/>
      <c r="U23" s="172"/>
      <c r="W23" s="173" t="str">
        <f>J23</f>
        <v>Abril</v>
      </c>
      <c r="X23" s="173"/>
      <c r="Y23" s="173"/>
      <c r="Z23" s="173"/>
      <c r="AA23" s="173"/>
      <c r="AB23" s="173"/>
      <c r="AC23" s="173"/>
      <c r="AE23" s="174" t="str">
        <f>W23</f>
        <v>Abril</v>
      </c>
      <c r="AF23" s="174"/>
      <c r="AG23" s="174"/>
      <c r="AH23" s="174"/>
      <c r="AI23" s="174"/>
      <c r="AJ23" s="174"/>
      <c r="AK23" s="174"/>
    </row>
    <row r="24" spans="1:37" ht="15.75" thickBot="1" x14ac:dyDescent="0.3">
      <c r="A24" s="168" t="s">
        <v>4</v>
      </c>
      <c r="B24" s="10" t="s">
        <v>5</v>
      </c>
      <c r="C24" s="11" t="s">
        <v>6</v>
      </c>
      <c r="D24" s="12" t="s">
        <v>7</v>
      </c>
      <c r="E24" s="11" t="s">
        <v>8</v>
      </c>
      <c r="F24" s="12" t="s">
        <v>9</v>
      </c>
      <c r="G24" s="11" t="s">
        <v>10</v>
      </c>
      <c r="H24" s="32" t="s">
        <v>11</v>
      </c>
      <c r="J24" s="35" t="s">
        <v>3</v>
      </c>
      <c r="K24" s="14"/>
      <c r="L24" s="15"/>
      <c r="M24" s="15"/>
      <c r="N24" s="15"/>
      <c r="O24" s="15"/>
      <c r="P24" s="15"/>
      <c r="Q24" s="15"/>
      <c r="R24" s="15"/>
      <c r="S24" s="15"/>
      <c r="T24" s="15"/>
      <c r="U24" s="16"/>
      <c r="W24" s="35" t="s">
        <v>3</v>
      </c>
      <c r="X24" s="14"/>
      <c r="Y24" s="15"/>
      <c r="Z24" s="15"/>
      <c r="AA24" s="15"/>
      <c r="AB24" s="15"/>
      <c r="AC24" s="16"/>
      <c r="AE24" s="35" t="s">
        <v>3</v>
      </c>
      <c r="AF24" s="14"/>
      <c r="AG24" s="15"/>
      <c r="AH24" s="15"/>
      <c r="AI24" s="15"/>
      <c r="AJ24" s="15"/>
      <c r="AK24" s="16"/>
    </row>
    <row r="25" spans="1:37" ht="15.75" thickBot="1" x14ac:dyDescent="0.3">
      <c r="A25" s="168"/>
      <c r="B25" s="18">
        <v>45867</v>
      </c>
      <c r="C25" s="18"/>
      <c r="D25" s="18"/>
      <c r="E25" s="18">
        <v>47944</v>
      </c>
      <c r="F25" s="18">
        <f>SUM(C25-B25)</f>
        <v>-45867</v>
      </c>
      <c r="G25" s="18">
        <f>SUM(E25-D25)</f>
        <v>47944</v>
      </c>
      <c r="H25" s="33">
        <f>SUM(F25:G25)</f>
        <v>2077</v>
      </c>
      <c r="J25" s="36" t="s">
        <v>21</v>
      </c>
      <c r="K25" s="25"/>
      <c r="L25" s="26"/>
      <c r="M25" s="26"/>
      <c r="N25" s="26"/>
      <c r="O25" s="26"/>
      <c r="P25" s="26"/>
      <c r="Q25" s="26"/>
      <c r="R25" s="26"/>
      <c r="S25" s="26"/>
      <c r="T25" s="26"/>
      <c r="U25" s="27"/>
      <c r="W25" s="36" t="s">
        <v>21</v>
      </c>
      <c r="X25" s="19"/>
      <c r="Y25" s="20"/>
      <c r="Z25" s="20"/>
      <c r="AA25" s="20"/>
      <c r="AB25" s="20"/>
      <c r="AC25" s="21"/>
      <c r="AE25" s="36" t="s">
        <v>21</v>
      </c>
      <c r="AF25" s="19"/>
      <c r="AG25" s="20"/>
      <c r="AH25" s="20"/>
      <c r="AI25" s="20"/>
      <c r="AJ25" s="20"/>
      <c r="AK25" s="21"/>
    </row>
    <row r="26" spans="1:37" x14ac:dyDescent="0.25">
      <c r="F26" s="2"/>
      <c r="G26" s="2"/>
      <c r="H26" s="2"/>
      <c r="J26" s="37"/>
      <c r="T26" s="22" t="s">
        <v>22</v>
      </c>
      <c r="U26" s="23">
        <f>SUM(K25:U25)</f>
        <v>0</v>
      </c>
      <c r="AB26" s="22" t="s">
        <v>22</v>
      </c>
      <c r="AC26" s="23">
        <f>SUM(X25:AC25)</f>
        <v>0</v>
      </c>
      <c r="AJ26" s="22" t="s">
        <v>22</v>
      </c>
      <c r="AK26" s="23">
        <f>SUM(AF25:AK25)</f>
        <v>0</v>
      </c>
    </row>
    <row r="27" spans="1:37" ht="15.75" thickBot="1" x14ac:dyDescent="0.3">
      <c r="A27" s="34"/>
      <c r="B27" s="171" t="s">
        <v>14</v>
      </c>
      <c r="C27" s="171"/>
      <c r="D27" s="171"/>
      <c r="E27" s="171"/>
      <c r="F27" s="171"/>
      <c r="G27" s="171"/>
      <c r="H27" s="171"/>
      <c r="J27" s="172" t="s">
        <v>14</v>
      </c>
      <c r="K27" s="172"/>
      <c r="L27" s="172"/>
      <c r="M27" s="172"/>
      <c r="N27" s="172"/>
      <c r="O27" s="172"/>
      <c r="P27" s="172"/>
      <c r="Q27" s="172"/>
      <c r="R27" s="172"/>
      <c r="S27" s="172"/>
      <c r="T27" s="172"/>
      <c r="U27" s="172"/>
      <c r="W27" s="173" t="str">
        <f>J27</f>
        <v>Maio</v>
      </c>
      <c r="X27" s="173"/>
      <c r="Y27" s="173"/>
      <c r="Z27" s="173"/>
      <c r="AA27" s="173"/>
      <c r="AB27" s="173"/>
      <c r="AC27" s="173"/>
      <c r="AE27" s="174" t="str">
        <f>W27</f>
        <v>Maio</v>
      </c>
      <c r="AF27" s="174"/>
      <c r="AG27" s="174"/>
      <c r="AH27" s="174"/>
      <c r="AI27" s="174"/>
      <c r="AJ27" s="174"/>
      <c r="AK27" s="174"/>
    </row>
    <row r="28" spans="1:37" ht="15.75" thickBot="1" x14ac:dyDescent="0.3">
      <c r="A28" s="168" t="s">
        <v>4</v>
      </c>
      <c r="B28" s="10" t="s">
        <v>5</v>
      </c>
      <c r="C28" s="11" t="s">
        <v>6</v>
      </c>
      <c r="D28" s="12" t="s">
        <v>7</v>
      </c>
      <c r="E28" s="11" t="s">
        <v>8</v>
      </c>
      <c r="F28" s="12" t="s">
        <v>9</v>
      </c>
      <c r="G28" s="11" t="s">
        <v>10</v>
      </c>
      <c r="H28" s="32" t="s">
        <v>11</v>
      </c>
      <c r="J28" s="35" t="s">
        <v>3</v>
      </c>
      <c r="K28" s="14"/>
      <c r="L28" s="15"/>
      <c r="M28" s="15"/>
      <c r="N28" s="15"/>
      <c r="O28" s="15"/>
      <c r="P28" s="15"/>
      <c r="Q28" s="15"/>
      <c r="R28" s="15"/>
      <c r="S28" s="15"/>
      <c r="T28" s="15"/>
      <c r="U28" s="16"/>
      <c r="W28" s="35" t="s">
        <v>3</v>
      </c>
      <c r="X28" s="14"/>
      <c r="Y28" s="15"/>
      <c r="Z28" s="15"/>
      <c r="AA28" s="15"/>
      <c r="AB28" s="15"/>
      <c r="AC28" s="16"/>
      <c r="AE28" s="35" t="s">
        <v>3</v>
      </c>
      <c r="AF28" s="14"/>
      <c r="AG28" s="15"/>
      <c r="AH28" s="15"/>
      <c r="AI28" s="15"/>
      <c r="AJ28" s="15"/>
      <c r="AK28" s="16"/>
    </row>
    <row r="29" spans="1:37" ht="15.75" thickBot="1" x14ac:dyDescent="0.3">
      <c r="A29" s="168"/>
      <c r="B29" s="18">
        <v>47944</v>
      </c>
      <c r="C29" s="18"/>
      <c r="D29" s="18"/>
      <c r="E29" s="18">
        <v>50399</v>
      </c>
      <c r="F29" s="18">
        <f>SUM(C29-B29)</f>
        <v>-47944</v>
      </c>
      <c r="G29" s="18">
        <f>SUM(E29-D29)</f>
        <v>50399</v>
      </c>
      <c r="H29" s="33">
        <f>SUM(F29:G29)</f>
        <v>2455</v>
      </c>
      <c r="J29" s="36" t="s">
        <v>21</v>
      </c>
      <c r="K29" s="19"/>
      <c r="L29" s="20"/>
      <c r="M29" s="20"/>
      <c r="N29" s="20"/>
      <c r="O29" s="20"/>
      <c r="P29" s="20"/>
      <c r="Q29" s="20"/>
      <c r="R29" s="20"/>
      <c r="S29" s="20"/>
      <c r="T29" s="20"/>
      <c r="U29" s="21"/>
      <c r="W29" s="36" t="s">
        <v>21</v>
      </c>
      <c r="X29" s="19"/>
      <c r="Y29" s="20"/>
      <c r="Z29" s="20"/>
      <c r="AA29" s="20"/>
      <c r="AB29" s="20"/>
      <c r="AC29" s="21"/>
      <c r="AE29" s="36" t="s">
        <v>21</v>
      </c>
      <c r="AF29" s="19"/>
      <c r="AG29" s="20"/>
      <c r="AH29" s="20"/>
      <c r="AI29" s="20"/>
      <c r="AJ29" s="20"/>
      <c r="AK29" s="21"/>
    </row>
    <row r="30" spans="1:37" x14ac:dyDescent="0.25">
      <c r="F30" s="2"/>
      <c r="G30" s="2"/>
      <c r="H30" s="2"/>
      <c r="J30" s="37"/>
      <c r="T30" s="22" t="s">
        <v>22</v>
      </c>
      <c r="U30" s="23">
        <f>SUM(K29:U29)</f>
        <v>0</v>
      </c>
      <c r="AB30" s="22" t="s">
        <v>22</v>
      </c>
      <c r="AC30" s="23">
        <f>SUM(X29:AC29)</f>
        <v>0</v>
      </c>
      <c r="AJ30" s="22" t="s">
        <v>22</v>
      </c>
      <c r="AK30" s="23">
        <f>SUM(AF29:AK29)</f>
        <v>0</v>
      </c>
    </row>
    <row r="31" spans="1:37" ht="15.75" thickBot="1" x14ac:dyDescent="0.3">
      <c r="A31" s="34"/>
      <c r="B31" s="171" t="s">
        <v>23</v>
      </c>
      <c r="C31" s="171"/>
      <c r="D31" s="171"/>
      <c r="E31" s="171"/>
      <c r="F31" s="171"/>
      <c r="G31" s="171"/>
      <c r="H31" s="171"/>
      <c r="J31" s="172" t="s">
        <v>23</v>
      </c>
      <c r="K31" s="172"/>
      <c r="L31" s="172"/>
      <c r="M31" s="172"/>
      <c r="N31" s="172"/>
      <c r="O31" s="172"/>
      <c r="P31" s="172"/>
      <c r="Q31" s="172"/>
      <c r="R31" s="172"/>
      <c r="S31" s="172"/>
      <c r="T31" s="172"/>
      <c r="U31" s="172"/>
      <c r="W31" s="173" t="str">
        <f>J31</f>
        <v>Junho</v>
      </c>
      <c r="X31" s="173"/>
      <c r="Y31" s="173"/>
      <c r="Z31" s="173"/>
      <c r="AA31" s="173"/>
      <c r="AB31" s="173"/>
      <c r="AC31" s="173"/>
      <c r="AE31" s="174" t="str">
        <f>W31</f>
        <v>Junho</v>
      </c>
      <c r="AF31" s="174"/>
      <c r="AG31" s="174"/>
      <c r="AH31" s="174"/>
      <c r="AI31" s="174"/>
      <c r="AJ31" s="174"/>
      <c r="AK31" s="174"/>
    </row>
    <row r="32" spans="1:37" ht="15.75" thickBot="1" x14ac:dyDescent="0.3">
      <c r="A32" s="168" t="s">
        <v>4</v>
      </c>
      <c r="B32" s="10" t="s">
        <v>5</v>
      </c>
      <c r="C32" s="11" t="s">
        <v>6</v>
      </c>
      <c r="D32" s="12" t="s">
        <v>7</v>
      </c>
      <c r="E32" s="11" t="s">
        <v>8</v>
      </c>
      <c r="F32" s="12" t="s">
        <v>9</v>
      </c>
      <c r="G32" s="11" t="s">
        <v>10</v>
      </c>
      <c r="H32" s="32" t="s">
        <v>11</v>
      </c>
      <c r="J32" s="35" t="s">
        <v>3</v>
      </c>
      <c r="K32" s="14"/>
      <c r="L32" s="15"/>
      <c r="M32" s="15"/>
      <c r="N32" s="15"/>
      <c r="O32" s="15"/>
      <c r="P32" s="15"/>
      <c r="Q32" s="15"/>
      <c r="R32" s="15"/>
      <c r="S32" s="15"/>
      <c r="T32" s="15"/>
      <c r="U32" s="16"/>
      <c r="W32" s="35" t="s">
        <v>3</v>
      </c>
      <c r="X32" s="14"/>
      <c r="Y32" s="15"/>
      <c r="Z32" s="15"/>
      <c r="AA32" s="15"/>
      <c r="AB32" s="15"/>
      <c r="AC32" s="16"/>
      <c r="AE32" s="35" t="s">
        <v>3</v>
      </c>
      <c r="AF32" s="14"/>
      <c r="AG32" s="15"/>
      <c r="AH32" s="15"/>
      <c r="AI32" s="15"/>
      <c r="AJ32" s="15"/>
      <c r="AK32" s="16"/>
    </row>
    <row r="33" spans="1:37" ht="15.75" thickBot="1" x14ac:dyDescent="0.3">
      <c r="A33" s="168"/>
      <c r="B33" s="17"/>
      <c r="C33" s="18"/>
      <c r="D33" s="18"/>
      <c r="E33" s="18"/>
      <c r="F33" s="18">
        <f>SUM(C33-B33)</f>
        <v>0</v>
      </c>
      <c r="G33" s="18">
        <f>SUM(E33-D33)</f>
        <v>0</v>
      </c>
      <c r="H33" s="33">
        <f>SUM(F33:G33)</f>
        <v>0</v>
      </c>
      <c r="J33" s="36" t="s">
        <v>21</v>
      </c>
      <c r="K33" s="19"/>
      <c r="L33" s="20"/>
      <c r="M33" s="20"/>
      <c r="N33" s="20"/>
      <c r="O33" s="20"/>
      <c r="P33" s="20"/>
      <c r="Q33" s="20"/>
      <c r="R33" s="20"/>
      <c r="S33" s="20"/>
      <c r="T33" s="20"/>
      <c r="U33" s="21"/>
      <c r="W33" s="36" t="s">
        <v>21</v>
      </c>
      <c r="X33" s="19"/>
      <c r="Y33" s="20"/>
      <c r="Z33" s="20"/>
      <c r="AA33" s="20"/>
      <c r="AB33" s="20"/>
      <c r="AC33" s="21"/>
      <c r="AE33" s="36" t="s">
        <v>21</v>
      </c>
      <c r="AF33" s="19"/>
      <c r="AG33" s="20"/>
      <c r="AH33" s="20"/>
      <c r="AI33" s="20"/>
      <c r="AJ33" s="20"/>
      <c r="AK33" s="21"/>
    </row>
    <row r="34" spans="1:37" x14ac:dyDescent="0.25">
      <c r="F34" s="2"/>
      <c r="G34" s="2"/>
      <c r="H34" s="2"/>
      <c r="J34" s="37"/>
      <c r="T34" s="22" t="s">
        <v>22</v>
      </c>
      <c r="U34" s="23">
        <f>SUM(K33:U33)</f>
        <v>0</v>
      </c>
      <c r="AB34" s="22" t="s">
        <v>22</v>
      </c>
      <c r="AC34" s="23">
        <f>SUM(X33:AC33)</f>
        <v>0</v>
      </c>
      <c r="AJ34" s="22" t="s">
        <v>22</v>
      </c>
      <c r="AK34" s="23">
        <f>SUM(AF33:AK33)</f>
        <v>0</v>
      </c>
    </row>
    <row r="35" spans="1:37" ht="15.75" thickBot="1" x14ac:dyDescent="0.3">
      <c r="A35" s="34"/>
      <c r="B35" s="171" t="s">
        <v>15</v>
      </c>
      <c r="C35" s="171"/>
      <c r="D35" s="171"/>
      <c r="E35" s="171"/>
      <c r="F35" s="171"/>
      <c r="G35" s="171"/>
      <c r="H35" s="171"/>
      <c r="J35" s="172" t="s">
        <v>15</v>
      </c>
      <c r="K35" s="172"/>
      <c r="L35" s="172"/>
      <c r="M35" s="172"/>
      <c r="N35" s="172"/>
      <c r="O35" s="172"/>
      <c r="P35" s="172"/>
      <c r="Q35" s="172"/>
      <c r="R35" s="172"/>
      <c r="S35" s="172"/>
      <c r="T35" s="172"/>
      <c r="U35" s="172"/>
      <c r="W35" s="173" t="str">
        <f>J35</f>
        <v>Julho</v>
      </c>
      <c r="X35" s="173"/>
      <c r="Y35" s="173"/>
      <c r="Z35" s="173"/>
      <c r="AA35" s="173"/>
      <c r="AB35" s="173"/>
      <c r="AC35" s="173"/>
      <c r="AE35" s="174" t="str">
        <f>W35</f>
        <v>Julho</v>
      </c>
      <c r="AF35" s="174"/>
      <c r="AG35" s="174"/>
      <c r="AH35" s="174"/>
      <c r="AI35" s="174"/>
      <c r="AJ35" s="174"/>
      <c r="AK35" s="174"/>
    </row>
    <row r="36" spans="1:37" ht="15.75" thickBot="1" x14ac:dyDescent="0.3">
      <c r="A36" s="168" t="s">
        <v>4</v>
      </c>
      <c r="B36" s="10" t="s">
        <v>5</v>
      </c>
      <c r="C36" s="11" t="s">
        <v>6</v>
      </c>
      <c r="D36" s="12" t="s">
        <v>7</v>
      </c>
      <c r="E36" s="11" t="s">
        <v>8</v>
      </c>
      <c r="F36" s="12" t="s">
        <v>9</v>
      </c>
      <c r="G36" s="11" t="s">
        <v>10</v>
      </c>
      <c r="H36" s="32" t="s">
        <v>11</v>
      </c>
      <c r="J36" s="35" t="s">
        <v>3</v>
      </c>
      <c r="K36" s="14"/>
      <c r="L36" s="15"/>
      <c r="M36" s="15"/>
      <c r="N36" s="15"/>
      <c r="O36" s="15"/>
      <c r="P36" s="15"/>
      <c r="Q36" s="15"/>
      <c r="R36" s="15"/>
      <c r="S36" s="15"/>
      <c r="T36" s="15"/>
      <c r="U36" s="16"/>
      <c r="W36" s="35" t="s">
        <v>3</v>
      </c>
      <c r="X36" s="14"/>
      <c r="Y36" s="15"/>
      <c r="Z36" s="15"/>
      <c r="AA36" s="15"/>
      <c r="AB36" s="15"/>
      <c r="AC36" s="16"/>
      <c r="AE36" s="35" t="s">
        <v>3</v>
      </c>
      <c r="AF36" s="14"/>
      <c r="AG36" s="15"/>
      <c r="AH36" s="15"/>
      <c r="AI36" s="15"/>
      <c r="AJ36" s="15"/>
      <c r="AK36" s="16"/>
    </row>
    <row r="37" spans="1:37" ht="15.75" thickBot="1" x14ac:dyDescent="0.3">
      <c r="A37" s="168"/>
      <c r="B37" s="17"/>
      <c r="C37" s="18"/>
      <c r="D37" s="18"/>
      <c r="E37" s="18"/>
      <c r="F37" s="18">
        <f>SUM(C37-B37)</f>
        <v>0</v>
      </c>
      <c r="G37" s="18">
        <f>SUM(E37-D37)</f>
        <v>0</v>
      </c>
      <c r="H37" s="33">
        <f>SUM(F37:G37)</f>
        <v>0</v>
      </c>
      <c r="J37" s="36" t="s">
        <v>21</v>
      </c>
      <c r="K37" s="19"/>
      <c r="L37" s="20"/>
      <c r="M37" s="20"/>
      <c r="N37" s="20"/>
      <c r="O37" s="20"/>
      <c r="P37" s="20"/>
      <c r="Q37" s="20"/>
      <c r="R37" s="20"/>
      <c r="S37" s="20"/>
      <c r="T37" s="20"/>
      <c r="U37" s="21"/>
      <c r="W37" s="36" t="s">
        <v>21</v>
      </c>
      <c r="X37" s="19"/>
      <c r="Y37" s="20"/>
      <c r="Z37" s="20"/>
      <c r="AA37" s="20"/>
      <c r="AB37" s="20"/>
      <c r="AC37" s="21"/>
      <c r="AE37" s="36" t="s">
        <v>21</v>
      </c>
      <c r="AF37" s="19"/>
      <c r="AG37" s="20"/>
      <c r="AH37" s="20"/>
      <c r="AI37" s="20"/>
      <c r="AJ37" s="20"/>
      <c r="AK37" s="21"/>
    </row>
    <row r="38" spans="1:37" x14ac:dyDescent="0.25">
      <c r="F38" s="2"/>
      <c r="G38" s="2"/>
      <c r="H38" s="2"/>
      <c r="J38" s="37"/>
      <c r="T38" s="22" t="s">
        <v>22</v>
      </c>
      <c r="U38" s="23">
        <f>SUM(K37:U37)</f>
        <v>0</v>
      </c>
      <c r="AB38" s="22" t="s">
        <v>22</v>
      </c>
      <c r="AC38" s="23">
        <f>SUM(X37:AC37)</f>
        <v>0</v>
      </c>
      <c r="AJ38" s="22" t="s">
        <v>22</v>
      </c>
      <c r="AK38" s="23">
        <f>SUM(AF37:AK37)</f>
        <v>0</v>
      </c>
    </row>
    <row r="39" spans="1:37" ht="15.75" thickBot="1" x14ac:dyDescent="0.3">
      <c r="A39" s="34"/>
      <c r="B39" s="171" t="s">
        <v>16</v>
      </c>
      <c r="C39" s="171"/>
      <c r="D39" s="171"/>
      <c r="E39" s="171"/>
      <c r="F39" s="171"/>
      <c r="G39" s="171"/>
      <c r="H39" s="171"/>
      <c r="J39" s="172" t="s">
        <v>16</v>
      </c>
      <c r="K39" s="172"/>
      <c r="L39" s="172"/>
      <c r="M39" s="172"/>
      <c r="N39" s="172"/>
      <c r="O39" s="172"/>
      <c r="P39" s="172"/>
      <c r="Q39" s="172"/>
      <c r="R39" s="172"/>
      <c r="S39" s="172"/>
      <c r="T39" s="172"/>
      <c r="U39" s="172"/>
      <c r="W39" s="173" t="str">
        <f>J39</f>
        <v>Agosto</v>
      </c>
      <c r="X39" s="173"/>
      <c r="Y39" s="173"/>
      <c r="Z39" s="173"/>
      <c r="AA39" s="173"/>
      <c r="AB39" s="173"/>
      <c r="AC39" s="173"/>
      <c r="AE39" s="174" t="str">
        <f>W39</f>
        <v>Agosto</v>
      </c>
      <c r="AF39" s="174"/>
      <c r="AG39" s="174"/>
      <c r="AH39" s="174"/>
      <c r="AI39" s="174"/>
      <c r="AJ39" s="174"/>
      <c r="AK39" s="174"/>
    </row>
    <row r="40" spans="1:37" ht="15.75" thickBot="1" x14ac:dyDescent="0.3">
      <c r="A40" s="168" t="s">
        <v>4</v>
      </c>
      <c r="B40" s="10" t="s">
        <v>5</v>
      </c>
      <c r="C40" s="11" t="s">
        <v>6</v>
      </c>
      <c r="D40" s="12" t="s">
        <v>7</v>
      </c>
      <c r="E40" s="11" t="s">
        <v>8</v>
      </c>
      <c r="F40" s="12" t="s">
        <v>9</v>
      </c>
      <c r="G40" s="11" t="s">
        <v>10</v>
      </c>
      <c r="H40" s="32" t="s">
        <v>11</v>
      </c>
      <c r="J40" s="35" t="s">
        <v>3</v>
      </c>
      <c r="K40" s="14"/>
      <c r="L40" s="15"/>
      <c r="M40" s="15"/>
      <c r="N40" s="15"/>
      <c r="O40" s="15"/>
      <c r="P40" s="15"/>
      <c r="Q40" s="15"/>
      <c r="R40" s="15"/>
      <c r="S40" s="15"/>
      <c r="T40" s="15"/>
      <c r="U40" s="16"/>
      <c r="W40" s="35" t="s">
        <v>3</v>
      </c>
      <c r="X40" s="14"/>
      <c r="Y40" s="15"/>
      <c r="Z40" s="15"/>
      <c r="AA40" s="15"/>
      <c r="AB40" s="15"/>
      <c r="AC40" s="16"/>
      <c r="AE40" s="35" t="s">
        <v>3</v>
      </c>
      <c r="AF40" s="14"/>
      <c r="AG40" s="15"/>
      <c r="AH40" s="15"/>
      <c r="AI40" s="15"/>
      <c r="AJ40" s="15"/>
      <c r="AK40" s="16"/>
    </row>
    <row r="41" spans="1:37" ht="15.75" thickBot="1" x14ac:dyDescent="0.3">
      <c r="A41" s="168"/>
      <c r="B41" s="17"/>
      <c r="C41" s="18"/>
      <c r="D41" s="18"/>
      <c r="E41" s="18"/>
      <c r="F41" s="18">
        <f>SUM(C41-B41)</f>
        <v>0</v>
      </c>
      <c r="G41" s="18">
        <f>SUM(E41-D41)</f>
        <v>0</v>
      </c>
      <c r="H41" s="33">
        <f>SUM(F41:G41)</f>
        <v>0</v>
      </c>
      <c r="J41" s="36" t="s">
        <v>21</v>
      </c>
      <c r="K41" s="19"/>
      <c r="L41" s="20"/>
      <c r="M41" s="20"/>
      <c r="N41" s="20"/>
      <c r="O41" s="20"/>
      <c r="P41" s="20"/>
      <c r="Q41" s="20"/>
      <c r="R41" s="20"/>
      <c r="S41" s="20"/>
      <c r="T41" s="20"/>
      <c r="U41" s="21"/>
      <c r="W41" s="36" t="s">
        <v>21</v>
      </c>
      <c r="X41" s="19"/>
      <c r="Y41" s="20"/>
      <c r="Z41" s="20"/>
      <c r="AA41" s="20"/>
      <c r="AB41" s="20"/>
      <c r="AC41" s="21"/>
      <c r="AE41" s="36" t="s">
        <v>21</v>
      </c>
      <c r="AF41" s="19"/>
      <c r="AG41" s="20"/>
      <c r="AH41" s="20"/>
      <c r="AI41" s="20"/>
      <c r="AJ41" s="20"/>
      <c r="AK41" s="21"/>
    </row>
    <row r="42" spans="1:37" x14ac:dyDescent="0.25">
      <c r="F42" s="2"/>
      <c r="G42" s="2"/>
      <c r="H42" s="2"/>
      <c r="J42" s="37"/>
      <c r="T42" s="22" t="s">
        <v>22</v>
      </c>
      <c r="U42" s="23">
        <f>SUM(K41:U41)</f>
        <v>0</v>
      </c>
      <c r="AB42" s="22" t="s">
        <v>22</v>
      </c>
      <c r="AC42" s="23">
        <f>SUM(X41:AC41)</f>
        <v>0</v>
      </c>
      <c r="AJ42" s="22" t="s">
        <v>22</v>
      </c>
      <c r="AK42" s="23">
        <f>SUM(AF41:AK41)</f>
        <v>0</v>
      </c>
    </row>
    <row r="43" spans="1:37" ht="15.75" thickBot="1" x14ac:dyDescent="0.3">
      <c r="A43" s="34"/>
      <c r="B43" s="171" t="s">
        <v>17</v>
      </c>
      <c r="C43" s="171"/>
      <c r="D43" s="171"/>
      <c r="E43" s="171"/>
      <c r="F43" s="171"/>
      <c r="G43" s="171"/>
      <c r="H43" s="171"/>
      <c r="J43" s="172" t="s">
        <v>17</v>
      </c>
      <c r="K43" s="172"/>
      <c r="L43" s="172"/>
      <c r="M43" s="172"/>
      <c r="N43" s="172"/>
      <c r="O43" s="172"/>
      <c r="P43" s="172"/>
      <c r="Q43" s="172"/>
      <c r="R43" s="172"/>
      <c r="S43" s="172"/>
      <c r="T43" s="172"/>
      <c r="U43" s="172"/>
      <c r="W43" s="173" t="str">
        <f>J43</f>
        <v>Setembro</v>
      </c>
      <c r="X43" s="173"/>
      <c r="Y43" s="173"/>
      <c r="Z43" s="173"/>
      <c r="AA43" s="173"/>
      <c r="AB43" s="173"/>
      <c r="AC43" s="173"/>
      <c r="AE43" s="174" t="str">
        <f>W43</f>
        <v>Setembro</v>
      </c>
      <c r="AF43" s="174"/>
      <c r="AG43" s="174"/>
      <c r="AH43" s="174"/>
      <c r="AI43" s="174"/>
      <c r="AJ43" s="174"/>
      <c r="AK43" s="174"/>
    </row>
    <row r="44" spans="1:37" ht="15.75" thickBot="1" x14ac:dyDescent="0.3">
      <c r="A44" s="168" t="s">
        <v>4</v>
      </c>
      <c r="B44" s="10" t="s">
        <v>5</v>
      </c>
      <c r="C44" s="11" t="s">
        <v>6</v>
      </c>
      <c r="D44" s="12" t="s">
        <v>7</v>
      </c>
      <c r="E44" s="11" t="s">
        <v>8</v>
      </c>
      <c r="F44" s="12" t="s">
        <v>9</v>
      </c>
      <c r="G44" s="11" t="s">
        <v>10</v>
      </c>
      <c r="H44" s="32" t="s">
        <v>11</v>
      </c>
      <c r="J44" s="35" t="s">
        <v>3</v>
      </c>
      <c r="K44" s="14"/>
      <c r="L44" s="15"/>
      <c r="M44" s="15"/>
      <c r="N44" s="15"/>
      <c r="O44" s="15"/>
      <c r="P44" s="15"/>
      <c r="Q44" s="15"/>
      <c r="R44" s="15"/>
      <c r="S44" s="15"/>
      <c r="T44" s="15"/>
      <c r="U44" s="16"/>
      <c r="W44" s="35" t="s">
        <v>3</v>
      </c>
      <c r="X44" s="14"/>
      <c r="Y44" s="15"/>
      <c r="Z44" s="15"/>
      <c r="AA44" s="15"/>
      <c r="AB44" s="15"/>
      <c r="AC44" s="16"/>
      <c r="AE44" s="35" t="s">
        <v>3</v>
      </c>
      <c r="AF44" s="14"/>
      <c r="AG44" s="15"/>
      <c r="AH44" s="15"/>
      <c r="AI44" s="15"/>
      <c r="AJ44" s="15"/>
      <c r="AK44" s="16"/>
    </row>
    <row r="45" spans="1:37" ht="15.75" thickBot="1" x14ac:dyDescent="0.3">
      <c r="A45" s="168"/>
      <c r="B45" s="17"/>
      <c r="C45" s="18"/>
      <c r="D45" s="18"/>
      <c r="E45" s="18"/>
      <c r="F45" s="18">
        <f>SUM(C45-B45)</f>
        <v>0</v>
      </c>
      <c r="G45" s="18">
        <f>SUM(E45-D45)</f>
        <v>0</v>
      </c>
      <c r="H45" s="33">
        <f>SUM(F45:G45)</f>
        <v>0</v>
      </c>
      <c r="J45" s="36" t="s">
        <v>21</v>
      </c>
      <c r="K45" s="19"/>
      <c r="L45" s="20"/>
      <c r="M45" s="20"/>
      <c r="N45" s="20"/>
      <c r="O45" s="20"/>
      <c r="P45" s="20"/>
      <c r="Q45" s="20"/>
      <c r="R45" s="20"/>
      <c r="S45" s="20"/>
      <c r="T45" s="20"/>
      <c r="U45" s="21"/>
      <c r="W45" s="36" t="s">
        <v>21</v>
      </c>
      <c r="X45" s="19"/>
      <c r="Y45" s="20"/>
      <c r="Z45" s="20"/>
      <c r="AA45" s="20"/>
      <c r="AB45" s="20"/>
      <c r="AC45" s="21"/>
      <c r="AE45" s="36" t="s">
        <v>21</v>
      </c>
      <c r="AF45" s="19"/>
      <c r="AG45" s="20"/>
      <c r="AH45" s="20"/>
      <c r="AI45" s="20"/>
      <c r="AJ45" s="20"/>
      <c r="AK45" s="21"/>
    </row>
    <row r="46" spans="1:37" x14ac:dyDescent="0.25">
      <c r="F46" s="2"/>
      <c r="G46" s="2"/>
      <c r="H46" s="2"/>
      <c r="J46" s="37"/>
      <c r="T46" s="22" t="s">
        <v>22</v>
      </c>
      <c r="U46" s="23">
        <f>SUM(K45:U45)</f>
        <v>0</v>
      </c>
      <c r="AB46" s="22" t="s">
        <v>22</v>
      </c>
      <c r="AC46" s="23">
        <f>SUM(X45:AC45)</f>
        <v>0</v>
      </c>
      <c r="AJ46" s="22" t="s">
        <v>22</v>
      </c>
      <c r="AK46" s="23">
        <f>SUM(AF45:AK45)</f>
        <v>0</v>
      </c>
    </row>
    <row r="47" spans="1:37" ht="15.75" thickBot="1" x14ac:dyDescent="0.3">
      <c r="A47" s="34"/>
      <c r="B47" s="171" t="s">
        <v>18</v>
      </c>
      <c r="C47" s="171"/>
      <c r="D47" s="171"/>
      <c r="E47" s="171"/>
      <c r="F47" s="171"/>
      <c r="G47" s="171"/>
      <c r="H47" s="171"/>
      <c r="J47" s="172" t="s">
        <v>18</v>
      </c>
      <c r="K47" s="172"/>
      <c r="L47" s="172"/>
      <c r="M47" s="172"/>
      <c r="N47" s="172"/>
      <c r="O47" s="172"/>
      <c r="P47" s="172"/>
      <c r="Q47" s="172"/>
      <c r="R47" s="172"/>
      <c r="S47" s="172"/>
      <c r="T47" s="172"/>
      <c r="U47" s="172"/>
      <c r="W47" s="173" t="str">
        <f>J47</f>
        <v>Outubro</v>
      </c>
      <c r="X47" s="173"/>
      <c r="Y47" s="173"/>
      <c r="Z47" s="173"/>
      <c r="AA47" s="173"/>
      <c r="AB47" s="173"/>
      <c r="AC47" s="173"/>
      <c r="AE47" s="174" t="str">
        <f>W47</f>
        <v>Outubro</v>
      </c>
      <c r="AF47" s="174"/>
      <c r="AG47" s="174"/>
      <c r="AH47" s="174"/>
      <c r="AI47" s="174"/>
      <c r="AJ47" s="174"/>
      <c r="AK47" s="174"/>
    </row>
    <row r="48" spans="1:37" ht="15.75" thickBot="1" x14ac:dyDescent="0.3">
      <c r="A48" s="168" t="s">
        <v>4</v>
      </c>
      <c r="B48" s="10" t="s">
        <v>5</v>
      </c>
      <c r="C48" s="11" t="s">
        <v>6</v>
      </c>
      <c r="D48" s="12" t="s">
        <v>7</v>
      </c>
      <c r="E48" s="11" t="s">
        <v>8</v>
      </c>
      <c r="F48" s="12" t="s">
        <v>9</v>
      </c>
      <c r="G48" s="11" t="s">
        <v>10</v>
      </c>
      <c r="H48" s="32" t="s">
        <v>11</v>
      </c>
      <c r="J48" s="35" t="s">
        <v>3</v>
      </c>
      <c r="K48" s="14"/>
      <c r="L48" s="15"/>
      <c r="M48" s="15"/>
      <c r="N48" s="15"/>
      <c r="O48" s="15"/>
      <c r="P48" s="15"/>
      <c r="Q48" s="15"/>
      <c r="R48" s="15"/>
      <c r="S48" s="15"/>
      <c r="T48" s="15"/>
      <c r="U48" s="16"/>
      <c r="W48" s="35" t="s">
        <v>3</v>
      </c>
      <c r="X48" s="14"/>
      <c r="Y48" s="15"/>
      <c r="Z48" s="15"/>
      <c r="AA48" s="15"/>
      <c r="AB48" s="15"/>
      <c r="AC48" s="16"/>
      <c r="AE48" s="35" t="s">
        <v>3</v>
      </c>
      <c r="AF48" s="14"/>
      <c r="AG48" s="15"/>
      <c r="AH48" s="15"/>
      <c r="AI48" s="15"/>
      <c r="AJ48" s="15"/>
      <c r="AK48" s="16"/>
    </row>
    <row r="49" spans="1:37" ht="15.75" thickBot="1" x14ac:dyDescent="0.3">
      <c r="A49" s="168"/>
      <c r="B49" s="17"/>
      <c r="C49" s="18"/>
      <c r="D49" s="18"/>
      <c r="E49" s="18"/>
      <c r="F49" s="18">
        <f>SUM(C49-B49)</f>
        <v>0</v>
      </c>
      <c r="G49" s="18">
        <f>SUM(E49-D49)</f>
        <v>0</v>
      </c>
      <c r="H49" s="33">
        <f>SUM(F49:G49)</f>
        <v>0</v>
      </c>
      <c r="J49" s="36" t="s">
        <v>21</v>
      </c>
      <c r="K49" s="19"/>
      <c r="L49" s="20"/>
      <c r="M49" s="20"/>
      <c r="N49" s="20"/>
      <c r="O49" s="20"/>
      <c r="P49" s="20"/>
      <c r="Q49" s="20"/>
      <c r="R49" s="20"/>
      <c r="S49" s="20"/>
      <c r="T49" s="20"/>
      <c r="U49" s="21"/>
      <c r="W49" s="36" t="s">
        <v>21</v>
      </c>
      <c r="X49" s="19"/>
      <c r="Y49" s="20"/>
      <c r="Z49" s="20"/>
      <c r="AA49" s="20"/>
      <c r="AB49" s="20"/>
      <c r="AC49" s="21"/>
      <c r="AE49" s="36" t="s">
        <v>21</v>
      </c>
      <c r="AF49" s="19"/>
      <c r="AG49" s="20"/>
      <c r="AH49" s="20"/>
      <c r="AI49" s="20"/>
      <c r="AJ49" s="20"/>
      <c r="AK49" s="21"/>
    </row>
    <row r="50" spans="1:37" x14ac:dyDescent="0.25">
      <c r="F50" s="2"/>
      <c r="G50" s="2"/>
      <c r="H50" s="2"/>
      <c r="J50" s="37"/>
      <c r="T50" s="22" t="s">
        <v>22</v>
      </c>
      <c r="U50" s="23">
        <f>SUM(K49:U49)</f>
        <v>0</v>
      </c>
      <c r="AB50" s="22" t="s">
        <v>22</v>
      </c>
      <c r="AC50" s="23">
        <f>SUM(X49:AC49)</f>
        <v>0</v>
      </c>
      <c r="AJ50" s="22" t="s">
        <v>22</v>
      </c>
      <c r="AK50" s="23">
        <f>SUM(AF49:AK49)</f>
        <v>0</v>
      </c>
    </row>
    <row r="51" spans="1:37" ht="15.75" thickBot="1" x14ac:dyDescent="0.3">
      <c r="A51" s="34"/>
      <c r="B51" s="171" t="s">
        <v>19</v>
      </c>
      <c r="C51" s="171"/>
      <c r="D51" s="171"/>
      <c r="E51" s="171"/>
      <c r="F51" s="171"/>
      <c r="G51" s="171"/>
      <c r="H51" s="171"/>
      <c r="J51" s="172" t="s">
        <v>19</v>
      </c>
      <c r="K51" s="172"/>
      <c r="L51" s="172"/>
      <c r="M51" s="172"/>
      <c r="N51" s="172"/>
      <c r="O51" s="172"/>
      <c r="P51" s="172"/>
      <c r="Q51" s="172"/>
      <c r="R51" s="172"/>
      <c r="S51" s="172"/>
      <c r="T51" s="172"/>
      <c r="U51" s="172"/>
      <c r="W51" s="173" t="str">
        <f>J51</f>
        <v>Novembro</v>
      </c>
      <c r="X51" s="173"/>
      <c r="Y51" s="173"/>
      <c r="Z51" s="173"/>
      <c r="AA51" s="173"/>
      <c r="AB51" s="173"/>
      <c r="AC51" s="173"/>
      <c r="AE51" s="174" t="str">
        <f>W51</f>
        <v>Novembro</v>
      </c>
      <c r="AF51" s="174"/>
      <c r="AG51" s="174"/>
      <c r="AH51" s="174"/>
      <c r="AI51" s="174"/>
      <c r="AJ51" s="174"/>
      <c r="AK51" s="174"/>
    </row>
    <row r="52" spans="1:37" ht="15.75" thickBot="1" x14ac:dyDescent="0.3">
      <c r="A52" s="168" t="s">
        <v>4</v>
      </c>
      <c r="B52" s="10" t="s">
        <v>5</v>
      </c>
      <c r="C52" s="11" t="s">
        <v>6</v>
      </c>
      <c r="D52" s="12" t="s">
        <v>7</v>
      </c>
      <c r="E52" s="11" t="s">
        <v>8</v>
      </c>
      <c r="F52" s="12" t="s">
        <v>9</v>
      </c>
      <c r="G52" s="11" t="s">
        <v>10</v>
      </c>
      <c r="H52" s="32" t="s">
        <v>11</v>
      </c>
      <c r="J52" s="35" t="s">
        <v>3</v>
      </c>
      <c r="K52" s="14"/>
      <c r="L52" s="15"/>
      <c r="M52" s="15"/>
      <c r="N52" s="15"/>
      <c r="O52" s="15"/>
      <c r="P52" s="15"/>
      <c r="Q52" s="15"/>
      <c r="R52" s="15"/>
      <c r="S52" s="15"/>
      <c r="T52" s="15"/>
      <c r="U52" s="16"/>
      <c r="W52" s="35" t="s">
        <v>3</v>
      </c>
      <c r="X52" s="14"/>
      <c r="Y52" s="15"/>
      <c r="Z52" s="15"/>
      <c r="AA52" s="15"/>
      <c r="AB52" s="15"/>
      <c r="AC52" s="16"/>
      <c r="AE52" s="35" t="s">
        <v>3</v>
      </c>
      <c r="AF52" s="14"/>
      <c r="AG52" s="15"/>
      <c r="AH52" s="15"/>
      <c r="AI52" s="15"/>
      <c r="AJ52" s="15"/>
      <c r="AK52" s="16"/>
    </row>
    <row r="53" spans="1:37" ht="15.75" thickBot="1" x14ac:dyDescent="0.3">
      <c r="A53" s="168"/>
      <c r="B53" s="17"/>
      <c r="C53" s="18"/>
      <c r="D53" s="18"/>
      <c r="E53" s="18"/>
      <c r="F53" s="18">
        <f>SUM(C53-B53)</f>
        <v>0</v>
      </c>
      <c r="G53" s="18">
        <f>SUM(E53-D53)</f>
        <v>0</v>
      </c>
      <c r="H53" s="33">
        <f>SUM(F53:G53)</f>
        <v>0</v>
      </c>
      <c r="J53" s="36" t="s">
        <v>21</v>
      </c>
      <c r="K53" s="19"/>
      <c r="L53" s="20"/>
      <c r="M53" s="20"/>
      <c r="N53" s="20"/>
      <c r="O53" s="20"/>
      <c r="P53" s="20"/>
      <c r="Q53" s="20"/>
      <c r="R53" s="20"/>
      <c r="S53" s="20"/>
      <c r="T53" s="20"/>
      <c r="U53" s="21"/>
      <c r="W53" s="36" t="s">
        <v>21</v>
      </c>
      <c r="X53" s="19"/>
      <c r="Y53" s="20"/>
      <c r="Z53" s="20"/>
      <c r="AA53" s="20"/>
      <c r="AB53" s="20"/>
      <c r="AC53" s="21"/>
      <c r="AE53" s="36" t="s">
        <v>21</v>
      </c>
      <c r="AF53" s="19"/>
      <c r="AG53" s="20"/>
      <c r="AH53" s="20"/>
      <c r="AI53" s="20"/>
      <c r="AJ53" s="20"/>
      <c r="AK53" s="21"/>
    </row>
    <row r="54" spans="1:37" x14ac:dyDescent="0.25">
      <c r="F54" s="2"/>
      <c r="G54" s="2"/>
      <c r="H54" s="2"/>
      <c r="J54" s="37"/>
      <c r="T54" s="22" t="s">
        <v>22</v>
      </c>
      <c r="U54" s="23">
        <f>SUM(K53:U53)</f>
        <v>0</v>
      </c>
      <c r="AB54" s="22" t="s">
        <v>22</v>
      </c>
      <c r="AC54" s="23">
        <f>SUM(X53:AC53)</f>
        <v>0</v>
      </c>
      <c r="AJ54" s="22" t="s">
        <v>22</v>
      </c>
      <c r="AK54" s="23">
        <f>SUM(AF53:AK53)</f>
        <v>0</v>
      </c>
    </row>
    <row r="55" spans="1:37" ht="15.75" thickBot="1" x14ac:dyDescent="0.3">
      <c r="A55" s="34"/>
      <c r="B55" s="171" t="s">
        <v>20</v>
      </c>
      <c r="C55" s="171"/>
      <c r="D55" s="171"/>
      <c r="E55" s="171"/>
      <c r="F55" s="171"/>
      <c r="G55" s="171"/>
      <c r="H55" s="171"/>
      <c r="J55" s="172" t="s">
        <v>20</v>
      </c>
      <c r="K55" s="172"/>
      <c r="L55" s="172"/>
      <c r="M55" s="172"/>
      <c r="N55" s="172"/>
      <c r="O55" s="172"/>
      <c r="P55" s="172"/>
      <c r="Q55" s="172"/>
      <c r="R55" s="172"/>
      <c r="S55" s="172"/>
      <c r="T55" s="172"/>
      <c r="U55" s="172"/>
      <c r="W55" s="173" t="str">
        <f>J55</f>
        <v>Dezembro</v>
      </c>
      <c r="X55" s="173"/>
      <c r="Y55" s="173"/>
      <c r="Z55" s="173"/>
      <c r="AA55" s="173"/>
      <c r="AB55" s="173"/>
      <c r="AC55" s="173"/>
      <c r="AE55" s="174" t="str">
        <f>W55</f>
        <v>Dezembro</v>
      </c>
      <c r="AF55" s="174"/>
      <c r="AG55" s="174"/>
      <c r="AH55" s="174"/>
      <c r="AI55" s="174"/>
      <c r="AJ55" s="174"/>
      <c r="AK55" s="174"/>
    </row>
    <row r="56" spans="1:37" ht="15.75" thickBot="1" x14ac:dyDescent="0.3">
      <c r="A56" s="168" t="s">
        <v>4</v>
      </c>
      <c r="B56" s="10" t="s">
        <v>5</v>
      </c>
      <c r="C56" s="11" t="s">
        <v>6</v>
      </c>
      <c r="D56" s="12" t="s">
        <v>7</v>
      </c>
      <c r="E56" s="11" t="s">
        <v>8</v>
      </c>
      <c r="F56" s="12" t="s">
        <v>9</v>
      </c>
      <c r="G56" s="11" t="s">
        <v>10</v>
      </c>
      <c r="H56" s="32" t="s">
        <v>11</v>
      </c>
      <c r="J56" s="35" t="s">
        <v>3</v>
      </c>
      <c r="K56" s="14"/>
      <c r="L56" s="15"/>
      <c r="M56" s="15"/>
      <c r="N56" s="15"/>
      <c r="O56" s="15"/>
      <c r="P56" s="15"/>
      <c r="Q56" s="15"/>
      <c r="R56" s="15"/>
      <c r="S56" s="15"/>
      <c r="T56" s="15"/>
      <c r="U56" s="16"/>
      <c r="W56" s="35" t="s">
        <v>3</v>
      </c>
      <c r="X56" s="14"/>
      <c r="Y56" s="15"/>
      <c r="Z56" s="15"/>
      <c r="AA56" s="15"/>
      <c r="AB56" s="15"/>
      <c r="AC56" s="16"/>
      <c r="AE56" s="35" t="s">
        <v>3</v>
      </c>
      <c r="AF56" s="14"/>
      <c r="AG56" s="15"/>
      <c r="AH56" s="15"/>
      <c r="AI56" s="15"/>
      <c r="AJ56" s="15"/>
      <c r="AK56" s="16"/>
    </row>
    <row r="57" spans="1:37" ht="15.75" thickBot="1" x14ac:dyDescent="0.3">
      <c r="A57" s="168"/>
      <c r="B57" s="17"/>
      <c r="C57" s="18"/>
      <c r="D57" s="18"/>
      <c r="E57" s="18"/>
      <c r="F57" s="18">
        <f>SUM(C57-B57)</f>
        <v>0</v>
      </c>
      <c r="G57" s="18">
        <f>SUM(E57-D57)</f>
        <v>0</v>
      </c>
      <c r="H57" s="33">
        <f>SUM(F57:G57)</f>
        <v>0</v>
      </c>
      <c r="J57" s="36" t="s">
        <v>21</v>
      </c>
      <c r="K57" s="19"/>
      <c r="L57" s="20"/>
      <c r="M57" s="20"/>
      <c r="N57" s="20"/>
      <c r="O57" s="20"/>
      <c r="P57" s="20"/>
      <c r="Q57" s="20"/>
      <c r="R57" s="20"/>
      <c r="S57" s="20"/>
      <c r="T57" s="20"/>
      <c r="U57" s="21"/>
      <c r="W57" s="36" t="s">
        <v>21</v>
      </c>
      <c r="X57" s="19"/>
      <c r="Y57" s="20"/>
      <c r="Z57" s="20"/>
      <c r="AA57" s="20"/>
      <c r="AB57" s="20"/>
      <c r="AC57" s="21"/>
      <c r="AE57" s="36" t="s">
        <v>21</v>
      </c>
      <c r="AF57" s="19"/>
      <c r="AG57" s="20"/>
      <c r="AH57" s="20"/>
      <c r="AI57" s="20"/>
      <c r="AJ57" s="20"/>
      <c r="AK57" s="21"/>
    </row>
    <row r="58" spans="1:37" x14ac:dyDescent="0.25">
      <c r="J58" s="37"/>
      <c r="T58" s="22" t="s">
        <v>22</v>
      </c>
      <c r="U58" s="23">
        <f>SUM(K57:U57)</f>
        <v>0</v>
      </c>
      <c r="AB58" s="22" t="s">
        <v>22</v>
      </c>
      <c r="AC58" s="23">
        <f>SUM(X57:AC57)</f>
        <v>0</v>
      </c>
      <c r="AJ58" s="22" t="s">
        <v>22</v>
      </c>
      <c r="AK58" s="23">
        <f>SUM(AF57:AK57)</f>
        <v>0</v>
      </c>
    </row>
  </sheetData>
  <mergeCells count="71">
    <mergeCell ref="B6:C6"/>
    <mergeCell ref="E6:F6"/>
    <mergeCell ref="A1:A2"/>
    <mergeCell ref="B1:AK1"/>
    <mergeCell ref="B2:AK2"/>
    <mergeCell ref="B4:C4"/>
    <mergeCell ref="E4:F4"/>
    <mergeCell ref="A16:A17"/>
    <mergeCell ref="A9:H9"/>
    <mergeCell ref="J9:U9"/>
    <mergeCell ref="W9:AC9"/>
    <mergeCell ref="AE9:AK9"/>
    <mergeCell ref="B11:H11"/>
    <mergeCell ref="J11:U11"/>
    <mergeCell ref="W11:AC11"/>
    <mergeCell ref="AE11:AK11"/>
    <mergeCell ref="A12:A13"/>
    <mergeCell ref="B15:H15"/>
    <mergeCell ref="J15:U15"/>
    <mergeCell ref="W15:AC15"/>
    <mergeCell ref="AE15:AK15"/>
    <mergeCell ref="A28:A29"/>
    <mergeCell ref="B19:H19"/>
    <mergeCell ref="J19:U19"/>
    <mergeCell ref="W19:AC19"/>
    <mergeCell ref="AE19:AK19"/>
    <mergeCell ref="A20:A21"/>
    <mergeCell ref="B23:H23"/>
    <mergeCell ref="J23:U23"/>
    <mergeCell ref="W23:AC23"/>
    <mergeCell ref="AE23:AK23"/>
    <mergeCell ref="A24:A25"/>
    <mergeCell ref="B27:H27"/>
    <mergeCell ref="J27:U27"/>
    <mergeCell ref="W27:AC27"/>
    <mergeCell ref="AE27:AK27"/>
    <mergeCell ref="A40:A41"/>
    <mergeCell ref="B31:H31"/>
    <mergeCell ref="J31:U31"/>
    <mergeCell ref="W31:AC31"/>
    <mergeCell ref="AE31:AK31"/>
    <mergeCell ref="A32:A33"/>
    <mergeCell ref="B35:H35"/>
    <mergeCell ref="J35:U35"/>
    <mergeCell ref="W35:AC35"/>
    <mergeCell ref="AE35:AK35"/>
    <mergeCell ref="A36:A37"/>
    <mergeCell ref="B39:H39"/>
    <mergeCell ref="J39:U39"/>
    <mergeCell ref="W39:AC39"/>
    <mergeCell ref="AE39:AK39"/>
    <mergeCell ref="A52:A53"/>
    <mergeCell ref="B43:H43"/>
    <mergeCell ref="J43:U43"/>
    <mergeCell ref="W43:AC43"/>
    <mergeCell ref="AE43:AK43"/>
    <mergeCell ref="A44:A45"/>
    <mergeCell ref="B47:H47"/>
    <mergeCell ref="J47:U47"/>
    <mergeCell ref="W47:AC47"/>
    <mergeCell ref="AE47:AK47"/>
    <mergeCell ref="A48:A49"/>
    <mergeCell ref="B51:H51"/>
    <mergeCell ref="J51:U51"/>
    <mergeCell ref="W51:AC51"/>
    <mergeCell ref="AE51:AK51"/>
    <mergeCell ref="B55:H55"/>
    <mergeCell ref="J55:U55"/>
    <mergeCell ref="W55:AC55"/>
    <mergeCell ref="AE55:AK55"/>
    <mergeCell ref="A56:A57"/>
  </mergeCells>
  <pageMargins left="0.511811024" right="0.511811024" top="0.78740157499999996" bottom="0.78740157499999996" header="0.31496062000000002" footer="0.31496062000000002"/>
  <drawing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2DEA66-B7C7-4969-AA95-209DB78FD566}">
  <dimension ref="A2:AL149"/>
  <sheetViews>
    <sheetView tabSelected="1" topLeftCell="A107" workbookViewId="0">
      <selection activeCell="I121" sqref="I121"/>
    </sheetView>
  </sheetViews>
  <sheetFormatPr defaultRowHeight="15" x14ac:dyDescent="0.25"/>
  <cols>
    <col min="1" max="1" width="19.5703125" bestFit="1" customWidth="1"/>
    <col min="2" max="2" width="11.7109375" style="96" bestFit="1" customWidth="1"/>
    <col min="3" max="3" width="9.28515625" style="96" bestFit="1" customWidth="1"/>
    <col min="4" max="4" width="10.7109375" style="96" customWidth="1"/>
    <col min="5" max="5" width="9.28515625" style="96" bestFit="1" customWidth="1"/>
    <col min="6" max="7" width="15.28515625" bestFit="1" customWidth="1"/>
    <col min="8" max="8" width="14.7109375" bestFit="1" customWidth="1"/>
    <col min="9" max="9" width="19.140625" customWidth="1"/>
    <col min="10" max="10" width="13.42578125" bestFit="1" customWidth="1"/>
    <col min="11" max="15" width="10.7109375" bestFit="1" customWidth="1"/>
    <col min="16" max="17" width="10.5703125" bestFit="1" customWidth="1"/>
    <col min="18" max="20" width="10.42578125" bestFit="1" customWidth="1"/>
    <col min="21" max="21" width="12.140625" bestFit="1" customWidth="1"/>
    <col min="34" max="36" width="10.140625" bestFit="1" customWidth="1"/>
  </cols>
  <sheetData>
    <row r="2" spans="1:38" x14ac:dyDescent="0.25">
      <c r="A2" s="144" t="s">
        <v>86</v>
      </c>
      <c r="B2" s="196" t="s">
        <v>87</v>
      </c>
      <c r="C2" s="196"/>
      <c r="D2" s="145" t="s">
        <v>0</v>
      </c>
      <c r="E2" s="196" t="s">
        <v>88</v>
      </c>
      <c r="F2" s="196"/>
      <c r="H2" s="144" t="s">
        <v>125</v>
      </c>
      <c r="I2" s="148">
        <v>5000</v>
      </c>
    </row>
    <row r="3" spans="1:38" x14ac:dyDescent="0.25">
      <c r="A3" s="31" t="s">
        <v>72</v>
      </c>
      <c r="B3" s="188">
        <v>45989</v>
      </c>
      <c r="C3" s="161"/>
      <c r="D3" s="34" t="s">
        <v>0</v>
      </c>
      <c r="E3" s="161" t="s">
        <v>147</v>
      </c>
      <c r="F3" s="161"/>
      <c r="G3" s="34"/>
      <c r="H3" s="31" t="s">
        <v>95</v>
      </c>
      <c r="I3" s="146" t="s">
        <v>109</v>
      </c>
    </row>
    <row r="4" spans="1:38" x14ac:dyDescent="0.25">
      <c r="A4" s="31" t="s">
        <v>150</v>
      </c>
      <c r="B4" s="188">
        <v>46009</v>
      </c>
      <c r="C4" s="161"/>
      <c r="D4" s="34" t="s">
        <v>0</v>
      </c>
      <c r="E4" s="161" t="s">
        <v>147</v>
      </c>
      <c r="F4" s="161"/>
      <c r="G4" s="34"/>
      <c r="H4" s="31" t="s">
        <v>151</v>
      </c>
      <c r="I4" s="146" t="s">
        <v>152</v>
      </c>
    </row>
    <row r="5" spans="1:38" x14ac:dyDescent="0.25">
      <c r="A5" s="144" t="s">
        <v>1</v>
      </c>
      <c r="B5" s="197">
        <v>4335.99</v>
      </c>
      <c r="C5" s="197"/>
      <c r="D5" s="145" t="s">
        <v>89</v>
      </c>
      <c r="E5" s="198">
        <v>45</v>
      </c>
      <c r="F5" s="196"/>
      <c r="H5" s="135" t="s">
        <v>92</v>
      </c>
      <c r="I5" s="147">
        <v>45578</v>
      </c>
    </row>
    <row r="6" spans="1:38" x14ac:dyDescent="0.25">
      <c r="H6" s="135" t="s">
        <v>91</v>
      </c>
      <c r="I6" s="147">
        <v>45748</v>
      </c>
    </row>
    <row r="7" spans="1:38" x14ac:dyDescent="0.25">
      <c r="A7" s="135" t="s">
        <v>120</v>
      </c>
    </row>
    <row r="8" spans="1:38" ht="21" x14ac:dyDescent="0.35">
      <c r="A8" s="199" t="s">
        <v>26</v>
      </c>
      <c r="B8" s="199"/>
      <c r="C8" s="199"/>
      <c r="D8" s="199"/>
      <c r="E8" s="199"/>
      <c r="F8" s="199"/>
      <c r="G8" s="199"/>
      <c r="H8" s="199"/>
      <c r="J8" s="200" t="s">
        <v>24</v>
      </c>
      <c r="K8" s="200"/>
      <c r="L8" s="200"/>
      <c r="M8" s="200"/>
      <c r="N8" s="200"/>
      <c r="O8" s="200"/>
      <c r="P8" s="200"/>
      <c r="Q8" s="200"/>
      <c r="R8" s="200"/>
      <c r="S8" s="200"/>
      <c r="T8" s="200"/>
      <c r="U8" s="200"/>
      <c r="V8" s="98"/>
      <c r="W8" s="195" t="s">
        <v>90</v>
      </c>
      <c r="X8" s="195"/>
      <c r="Y8" s="195"/>
      <c r="Z8" s="195"/>
      <c r="AA8" s="195"/>
      <c r="AB8" s="195"/>
      <c r="AC8" s="195"/>
      <c r="AD8" s="98"/>
      <c r="AE8" s="195" t="s">
        <v>25</v>
      </c>
      <c r="AF8" s="195"/>
      <c r="AG8" s="195"/>
      <c r="AH8" s="195"/>
      <c r="AI8" s="195"/>
      <c r="AJ8" s="195"/>
      <c r="AK8" s="195"/>
    </row>
    <row r="9" spans="1:38" ht="21" x14ac:dyDescent="0.35">
      <c r="A9" s="99"/>
      <c r="B9" s="99"/>
      <c r="C9" s="99"/>
      <c r="D9" s="99"/>
      <c r="E9" s="99"/>
      <c r="F9" s="99"/>
      <c r="G9" s="99"/>
      <c r="H9" s="99"/>
      <c r="I9" s="100"/>
      <c r="J9" s="101"/>
      <c r="K9" s="101"/>
      <c r="L9" s="101"/>
      <c r="M9" s="101"/>
      <c r="N9" s="101"/>
      <c r="O9" s="101"/>
      <c r="P9" s="101"/>
      <c r="Q9" s="101"/>
      <c r="R9" s="101"/>
      <c r="S9" s="101"/>
      <c r="T9" s="101"/>
      <c r="U9" s="101"/>
      <c r="V9" s="102"/>
      <c r="W9" s="103"/>
      <c r="X9" s="103"/>
      <c r="Y9" s="103"/>
      <c r="Z9" s="103"/>
      <c r="AA9" s="103"/>
      <c r="AB9" s="103"/>
      <c r="AC9" s="103"/>
      <c r="AD9" s="102"/>
      <c r="AE9" s="103"/>
      <c r="AF9" s="103"/>
      <c r="AG9" s="103"/>
      <c r="AH9" s="103"/>
      <c r="AI9" s="103"/>
      <c r="AJ9" s="103"/>
      <c r="AK9" s="103"/>
      <c r="AL9" s="100"/>
    </row>
    <row r="10" spans="1:38" ht="15.75" thickBot="1" x14ac:dyDescent="0.3">
      <c r="A10" s="104"/>
      <c r="B10" s="191" t="s">
        <v>2</v>
      </c>
      <c r="C10" s="191"/>
      <c r="D10" s="191"/>
      <c r="E10" s="191"/>
      <c r="F10" s="191"/>
      <c r="G10" s="191"/>
      <c r="H10" s="191"/>
      <c r="J10" s="192" t="s">
        <v>2</v>
      </c>
      <c r="K10" s="192"/>
      <c r="L10" s="192"/>
      <c r="M10" s="192"/>
      <c r="N10" s="192"/>
      <c r="O10" s="192"/>
      <c r="P10" s="192"/>
      <c r="Q10" s="192"/>
      <c r="R10" s="192"/>
      <c r="S10" s="192"/>
      <c r="T10" s="192"/>
      <c r="U10" s="192"/>
      <c r="W10" s="193" t="s">
        <v>2</v>
      </c>
      <c r="X10" s="193"/>
      <c r="Y10" s="193"/>
      <c r="Z10" s="193"/>
      <c r="AA10" s="193"/>
      <c r="AB10" s="193"/>
      <c r="AC10" s="193"/>
      <c r="AE10" s="194" t="s">
        <v>2</v>
      </c>
      <c r="AF10" s="194"/>
      <c r="AG10" s="194"/>
      <c r="AH10" s="194"/>
      <c r="AI10" s="194"/>
      <c r="AJ10" s="194"/>
      <c r="AK10" s="194"/>
    </row>
    <row r="11" spans="1:38" ht="15.75" thickBot="1" x14ac:dyDescent="0.3">
      <c r="A11" s="190" t="s">
        <v>4</v>
      </c>
      <c r="B11" s="105" t="s">
        <v>5</v>
      </c>
      <c r="C11" s="106" t="s">
        <v>6</v>
      </c>
      <c r="D11" s="107" t="s">
        <v>7</v>
      </c>
      <c r="E11" s="106" t="s">
        <v>8</v>
      </c>
      <c r="F11" s="108" t="s">
        <v>9</v>
      </c>
      <c r="G11" s="109" t="s">
        <v>10</v>
      </c>
      <c r="H11" s="110" t="s">
        <v>11</v>
      </c>
      <c r="J11" s="111" t="s">
        <v>3</v>
      </c>
      <c r="K11" s="112"/>
      <c r="L11" s="113"/>
      <c r="M11" s="113"/>
      <c r="N11" s="113"/>
      <c r="O11" s="113"/>
      <c r="P11" s="113"/>
      <c r="Q11" s="113"/>
      <c r="R11" s="113"/>
      <c r="S11" s="113"/>
      <c r="T11" s="113"/>
      <c r="U11" s="114"/>
      <c r="W11" s="115" t="s">
        <v>3</v>
      </c>
      <c r="X11" s="112"/>
      <c r="Y11" s="113"/>
      <c r="Z11" s="113"/>
      <c r="AA11" s="113"/>
      <c r="AB11" s="113"/>
      <c r="AC11" s="114"/>
      <c r="AE11" s="115" t="s">
        <v>3</v>
      </c>
      <c r="AF11" s="112"/>
      <c r="AG11" s="113"/>
      <c r="AH11" s="113"/>
      <c r="AI11" s="113"/>
      <c r="AJ11" s="113"/>
      <c r="AK11" s="114"/>
    </row>
    <row r="12" spans="1:38" ht="15.75" thickBot="1" x14ac:dyDescent="0.3">
      <c r="A12" s="190"/>
      <c r="B12" s="116"/>
      <c r="C12" s="117"/>
      <c r="D12" s="117"/>
      <c r="E12" s="117"/>
      <c r="F12" s="117">
        <f>SUM(C12-B12)</f>
        <v>0</v>
      </c>
      <c r="G12" s="118">
        <f>SUM(E12-D12)</f>
        <v>0</v>
      </c>
      <c r="H12" s="119">
        <f>SUM(F12:G12)</f>
        <v>0</v>
      </c>
      <c r="J12" s="120" t="s">
        <v>21</v>
      </c>
      <c r="K12" s="121"/>
      <c r="L12" s="122"/>
      <c r="M12" s="122"/>
      <c r="N12" s="122"/>
      <c r="O12" s="122"/>
      <c r="P12" s="122"/>
      <c r="Q12" s="122"/>
      <c r="R12" s="122"/>
      <c r="S12" s="122"/>
      <c r="T12" s="122"/>
      <c r="U12" s="123"/>
      <c r="W12" s="124" t="s">
        <v>21</v>
      </c>
      <c r="X12" s="121"/>
      <c r="Y12" s="122"/>
      <c r="Z12" s="122"/>
      <c r="AA12" s="122"/>
      <c r="AB12" s="122"/>
      <c r="AC12" s="123"/>
      <c r="AE12" s="124" t="s">
        <v>21</v>
      </c>
      <c r="AF12" s="121"/>
      <c r="AG12" s="122"/>
      <c r="AH12" s="122"/>
      <c r="AI12" s="122"/>
      <c r="AJ12" s="122"/>
      <c r="AK12" s="123"/>
    </row>
    <row r="13" spans="1:38" x14ac:dyDescent="0.25">
      <c r="J13" s="125"/>
      <c r="T13" s="125" t="s">
        <v>22</v>
      </c>
      <c r="U13" s="126">
        <f>SUM(K12:U12)</f>
        <v>0</v>
      </c>
      <c r="AB13" s="125" t="s">
        <v>22</v>
      </c>
      <c r="AC13" s="126">
        <f>SUM(X12:AC12)</f>
        <v>0</v>
      </c>
      <c r="AJ13" s="125" t="s">
        <v>22</v>
      </c>
      <c r="AK13" s="126">
        <f>SUM(AF12:AK12)</f>
        <v>0</v>
      </c>
    </row>
    <row r="14" spans="1:38" ht="15.75" thickBot="1" x14ac:dyDescent="0.3">
      <c r="A14" s="104"/>
      <c r="B14" s="191" t="s">
        <v>12</v>
      </c>
      <c r="C14" s="191"/>
      <c r="D14" s="191"/>
      <c r="E14" s="191"/>
      <c r="F14" s="191"/>
      <c r="G14" s="191"/>
      <c r="H14" s="191"/>
      <c r="J14" s="192" t="s">
        <v>12</v>
      </c>
      <c r="K14" s="192"/>
      <c r="L14" s="192"/>
      <c r="M14" s="192"/>
      <c r="N14" s="192"/>
      <c r="O14" s="192"/>
      <c r="P14" s="192"/>
      <c r="Q14" s="192"/>
      <c r="R14" s="192"/>
      <c r="S14" s="192"/>
      <c r="T14" s="192"/>
      <c r="U14" s="192"/>
      <c r="W14" s="193" t="str">
        <f>J14</f>
        <v>Março</v>
      </c>
      <c r="X14" s="193"/>
      <c r="Y14" s="193"/>
      <c r="Z14" s="193"/>
      <c r="AA14" s="193"/>
      <c r="AB14" s="193"/>
      <c r="AC14" s="193"/>
      <c r="AE14" s="194" t="str">
        <f>W14</f>
        <v>Março</v>
      </c>
      <c r="AF14" s="194"/>
      <c r="AG14" s="194"/>
      <c r="AH14" s="194"/>
      <c r="AI14" s="194"/>
      <c r="AJ14" s="194"/>
      <c r="AK14" s="194"/>
    </row>
    <row r="15" spans="1:38" ht="15.75" thickBot="1" x14ac:dyDescent="0.3">
      <c r="A15" s="190" t="s">
        <v>4</v>
      </c>
      <c r="B15" s="105" t="s">
        <v>5</v>
      </c>
      <c r="C15" s="106" t="s">
        <v>6</v>
      </c>
      <c r="D15" s="107" t="s">
        <v>7</v>
      </c>
      <c r="E15" s="106" t="s">
        <v>8</v>
      </c>
      <c r="F15" s="108" t="s">
        <v>9</v>
      </c>
      <c r="G15" s="109" t="s">
        <v>10</v>
      </c>
      <c r="H15" s="110" t="s">
        <v>11</v>
      </c>
      <c r="J15" s="115" t="s">
        <v>3</v>
      </c>
      <c r="K15" s="112"/>
      <c r="L15" s="127"/>
      <c r="M15" s="127"/>
      <c r="N15" s="113"/>
      <c r="O15" s="113"/>
      <c r="P15" s="113"/>
      <c r="Q15" s="113"/>
      <c r="R15" s="113"/>
      <c r="S15" s="113"/>
      <c r="T15" s="113"/>
      <c r="U15" s="114"/>
      <c r="W15" s="115" t="s">
        <v>3</v>
      </c>
      <c r="X15" s="112"/>
      <c r="Y15" s="113"/>
      <c r="Z15" s="113"/>
      <c r="AA15" s="113"/>
      <c r="AB15" s="113"/>
      <c r="AC15" s="114"/>
      <c r="AE15" s="115" t="s">
        <v>3</v>
      </c>
      <c r="AF15" s="112"/>
      <c r="AG15" s="113"/>
      <c r="AH15" s="113"/>
      <c r="AI15" s="113"/>
      <c r="AJ15" s="113"/>
      <c r="AK15" s="114"/>
    </row>
    <row r="16" spans="1:38" ht="15.75" thickBot="1" x14ac:dyDescent="0.3">
      <c r="A16" s="190"/>
      <c r="B16" s="116"/>
      <c r="C16" s="117"/>
      <c r="D16" s="117"/>
      <c r="E16" s="117"/>
      <c r="F16" s="117">
        <f>SUM(C16-B16)</f>
        <v>0</v>
      </c>
      <c r="G16" s="118">
        <f>SUM(E16-D16)</f>
        <v>0</v>
      </c>
      <c r="H16" s="119">
        <f>SUM(F16:G16)</f>
        <v>0</v>
      </c>
      <c r="J16" s="124" t="s">
        <v>21</v>
      </c>
      <c r="K16" s="121"/>
      <c r="L16" s="122"/>
      <c r="M16" s="122"/>
      <c r="N16" s="122"/>
      <c r="O16" s="122"/>
      <c r="P16" s="122"/>
      <c r="Q16" s="122"/>
      <c r="R16" s="122"/>
      <c r="S16" s="122"/>
      <c r="T16" s="122"/>
      <c r="U16" s="123"/>
      <c r="W16" s="124" t="s">
        <v>21</v>
      </c>
      <c r="X16" s="121"/>
      <c r="Y16" s="122"/>
      <c r="Z16" s="122"/>
      <c r="AA16" s="122"/>
      <c r="AB16" s="122"/>
      <c r="AC16" s="123"/>
      <c r="AE16" s="124" t="s">
        <v>21</v>
      </c>
      <c r="AF16" s="121"/>
      <c r="AG16" s="122"/>
      <c r="AH16" s="122"/>
      <c r="AI16" s="122"/>
      <c r="AJ16" s="122"/>
      <c r="AK16" s="123"/>
    </row>
    <row r="17" spans="1:37" x14ac:dyDescent="0.25">
      <c r="J17" s="125"/>
      <c r="T17" s="125" t="s">
        <v>22</v>
      </c>
      <c r="U17" s="126">
        <f>SUM(K16:U16)</f>
        <v>0</v>
      </c>
      <c r="AB17" s="125" t="s">
        <v>22</v>
      </c>
      <c r="AC17" s="126">
        <f>SUM(X16:AC16)</f>
        <v>0</v>
      </c>
      <c r="AJ17" s="125" t="s">
        <v>22</v>
      </c>
      <c r="AK17" s="126">
        <f>SUM(AF16:AK16)</f>
        <v>0</v>
      </c>
    </row>
    <row r="18" spans="1:37" ht="15.75" thickBot="1" x14ac:dyDescent="0.3">
      <c r="A18" s="104"/>
      <c r="B18" s="191" t="s">
        <v>13</v>
      </c>
      <c r="C18" s="191"/>
      <c r="D18" s="191"/>
      <c r="E18" s="191"/>
      <c r="F18" s="191"/>
      <c r="G18" s="191"/>
      <c r="H18" s="191"/>
      <c r="J18" s="192" t="s">
        <v>13</v>
      </c>
      <c r="K18" s="192"/>
      <c r="L18" s="192"/>
      <c r="M18" s="192"/>
      <c r="N18" s="192"/>
      <c r="O18" s="192"/>
      <c r="P18" s="192"/>
      <c r="Q18" s="192"/>
      <c r="R18" s="192"/>
      <c r="S18" s="192"/>
      <c r="T18" s="192"/>
      <c r="U18" s="192"/>
      <c r="W18" s="193" t="str">
        <f>J18</f>
        <v>Abril</v>
      </c>
      <c r="X18" s="193"/>
      <c r="Y18" s="193"/>
      <c r="Z18" s="193"/>
      <c r="AA18" s="193"/>
      <c r="AB18" s="193"/>
      <c r="AC18" s="193"/>
      <c r="AE18" s="194" t="str">
        <f>W18</f>
        <v>Abril</v>
      </c>
      <c r="AF18" s="194"/>
      <c r="AG18" s="194"/>
      <c r="AH18" s="194"/>
      <c r="AI18" s="194"/>
      <c r="AJ18" s="194"/>
      <c r="AK18" s="194"/>
    </row>
    <row r="19" spans="1:37" ht="15.75" thickBot="1" x14ac:dyDescent="0.3">
      <c r="A19" s="190" t="s">
        <v>4</v>
      </c>
      <c r="B19" s="105" t="s">
        <v>5</v>
      </c>
      <c r="C19" s="106" t="s">
        <v>6</v>
      </c>
      <c r="D19" s="107" t="s">
        <v>7</v>
      </c>
      <c r="E19" s="106" t="s">
        <v>8</v>
      </c>
      <c r="F19" s="108" t="s">
        <v>9</v>
      </c>
      <c r="G19" s="109" t="s">
        <v>10</v>
      </c>
      <c r="H19" s="110" t="s">
        <v>11</v>
      </c>
      <c r="J19" s="115" t="s">
        <v>3</v>
      </c>
      <c r="K19" s="112"/>
      <c r="L19" s="113"/>
      <c r="M19" s="113"/>
      <c r="N19" s="113"/>
      <c r="O19" s="113"/>
      <c r="P19" s="113"/>
      <c r="Q19" s="113"/>
      <c r="R19" s="113"/>
      <c r="S19" s="113"/>
      <c r="T19" s="113"/>
      <c r="U19" s="114"/>
      <c r="W19" s="115" t="s">
        <v>3</v>
      </c>
      <c r="X19" s="112"/>
      <c r="Y19" s="113"/>
      <c r="Z19" s="113"/>
      <c r="AA19" s="113"/>
      <c r="AB19" s="113"/>
      <c r="AC19" s="114"/>
      <c r="AE19" s="115" t="s">
        <v>3</v>
      </c>
      <c r="AF19" s="112"/>
      <c r="AG19" s="113"/>
      <c r="AH19" s="113"/>
      <c r="AI19" s="113"/>
      <c r="AJ19" s="113"/>
      <c r="AK19" s="114"/>
    </row>
    <row r="20" spans="1:37" ht="15.75" thickBot="1" x14ac:dyDescent="0.3">
      <c r="A20" s="190"/>
      <c r="B20" s="116"/>
      <c r="C20" s="117"/>
      <c r="D20" s="117"/>
      <c r="E20" s="117"/>
      <c r="F20" s="117">
        <f>SUM(C20-B20)</f>
        <v>0</v>
      </c>
      <c r="G20" s="118">
        <f>SUM(E20-D20)</f>
        <v>0</v>
      </c>
      <c r="H20" s="119">
        <f>SUM(F20:G20)</f>
        <v>0</v>
      </c>
      <c r="J20" s="124" t="s">
        <v>21</v>
      </c>
      <c r="K20" s="128"/>
      <c r="L20" s="129"/>
      <c r="M20" s="129"/>
      <c r="N20" s="129"/>
      <c r="O20" s="129"/>
      <c r="P20" s="129"/>
      <c r="Q20" s="129"/>
      <c r="R20" s="129"/>
      <c r="S20" s="129"/>
      <c r="T20" s="129"/>
      <c r="U20" s="130"/>
      <c r="W20" s="124" t="s">
        <v>21</v>
      </c>
      <c r="X20" s="121"/>
      <c r="Y20" s="122"/>
      <c r="Z20" s="122"/>
      <c r="AA20" s="122"/>
      <c r="AB20" s="122"/>
      <c r="AC20" s="123"/>
      <c r="AE20" s="124" t="s">
        <v>21</v>
      </c>
      <c r="AF20" s="121"/>
      <c r="AG20" s="122"/>
      <c r="AH20" s="122"/>
      <c r="AI20" s="122"/>
      <c r="AJ20" s="122"/>
      <c r="AK20" s="123"/>
    </row>
    <row r="21" spans="1:37" x14ac:dyDescent="0.25">
      <c r="J21" s="125"/>
      <c r="T21" s="125" t="s">
        <v>22</v>
      </c>
      <c r="U21" s="126">
        <f>SUM(K20:U20)</f>
        <v>0</v>
      </c>
      <c r="AB21" s="125" t="s">
        <v>22</v>
      </c>
      <c r="AC21" s="126">
        <f>SUM(X20:AC20)</f>
        <v>0</v>
      </c>
      <c r="AJ21" s="125" t="s">
        <v>22</v>
      </c>
      <c r="AK21" s="126">
        <f>SUM(AF20:AK20)</f>
        <v>0</v>
      </c>
    </row>
    <row r="22" spans="1:37" ht="15.75" thickBot="1" x14ac:dyDescent="0.3">
      <c r="A22" s="104"/>
      <c r="B22" s="191" t="s">
        <v>14</v>
      </c>
      <c r="C22" s="191"/>
      <c r="D22" s="191"/>
      <c r="E22" s="191"/>
      <c r="F22" s="191"/>
      <c r="G22" s="191"/>
      <c r="H22" s="191"/>
      <c r="J22" s="192" t="s">
        <v>14</v>
      </c>
      <c r="K22" s="192"/>
      <c r="L22" s="192"/>
      <c r="M22" s="192"/>
      <c r="N22" s="192"/>
      <c r="O22" s="192"/>
      <c r="P22" s="192"/>
      <c r="Q22" s="192"/>
      <c r="R22" s="192"/>
      <c r="S22" s="192"/>
      <c r="T22" s="192"/>
      <c r="U22" s="192"/>
      <c r="W22" s="193" t="str">
        <f>J22</f>
        <v>Maio</v>
      </c>
      <c r="X22" s="193"/>
      <c r="Y22" s="193"/>
      <c r="Z22" s="193"/>
      <c r="AA22" s="193"/>
      <c r="AB22" s="193"/>
      <c r="AC22" s="193"/>
      <c r="AE22" s="194" t="str">
        <f>W22</f>
        <v>Maio</v>
      </c>
      <c r="AF22" s="194"/>
      <c r="AG22" s="194"/>
      <c r="AH22" s="194"/>
      <c r="AI22" s="194"/>
      <c r="AJ22" s="194"/>
      <c r="AK22" s="194"/>
    </row>
    <row r="23" spans="1:37" ht="15.75" thickBot="1" x14ac:dyDescent="0.3">
      <c r="A23" s="190" t="s">
        <v>4</v>
      </c>
      <c r="B23" s="105" t="s">
        <v>5</v>
      </c>
      <c r="C23" s="106" t="s">
        <v>6</v>
      </c>
      <c r="D23" s="107" t="s">
        <v>7</v>
      </c>
      <c r="E23" s="106" t="s">
        <v>8</v>
      </c>
      <c r="F23" s="108" t="s">
        <v>9</v>
      </c>
      <c r="G23" s="109" t="s">
        <v>10</v>
      </c>
      <c r="H23" s="110" t="s">
        <v>11</v>
      </c>
      <c r="J23" s="115" t="s">
        <v>3</v>
      </c>
      <c r="K23" s="112"/>
      <c r="L23" s="113"/>
      <c r="M23" s="113"/>
      <c r="N23" s="113"/>
      <c r="O23" s="113"/>
      <c r="P23" s="113"/>
      <c r="Q23" s="113"/>
      <c r="R23" s="113"/>
      <c r="S23" s="113"/>
      <c r="T23" s="113"/>
      <c r="U23" s="114"/>
      <c r="W23" s="115" t="s">
        <v>3</v>
      </c>
      <c r="X23" s="112"/>
      <c r="Y23" s="113"/>
      <c r="Z23" s="113"/>
      <c r="AA23" s="113"/>
      <c r="AB23" s="113"/>
      <c r="AC23" s="114"/>
      <c r="AE23" s="115" t="s">
        <v>3</v>
      </c>
      <c r="AF23" s="112"/>
      <c r="AG23" s="113"/>
      <c r="AH23" s="113"/>
      <c r="AI23" s="113"/>
      <c r="AJ23" s="113"/>
      <c r="AK23" s="114"/>
    </row>
    <row r="24" spans="1:37" ht="15.75" thickBot="1" x14ac:dyDescent="0.3">
      <c r="A24" s="190"/>
      <c r="B24" s="116"/>
      <c r="C24" s="117"/>
      <c r="D24" s="117"/>
      <c r="E24" s="117"/>
      <c r="F24" s="117">
        <f>SUM(C24-B24)</f>
        <v>0</v>
      </c>
      <c r="G24" s="118">
        <f>SUM(E24-D24)</f>
        <v>0</v>
      </c>
      <c r="H24" s="119">
        <f>SUM(F24:G24)</f>
        <v>0</v>
      </c>
      <c r="J24" s="124" t="s">
        <v>21</v>
      </c>
      <c r="K24" s="121"/>
      <c r="L24" s="122"/>
      <c r="M24" s="122"/>
      <c r="N24" s="122"/>
      <c r="O24" s="122"/>
      <c r="P24" s="122"/>
      <c r="Q24" s="122"/>
      <c r="R24" s="122"/>
      <c r="S24" s="122"/>
      <c r="T24" s="122"/>
      <c r="U24" s="123"/>
      <c r="W24" s="124" t="s">
        <v>21</v>
      </c>
      <c r="X24" s="121"/>
      <c r="Y24" s="122"/>
      <c r="Z24" s="122"/>
      <c r="AA24" s="122"/>
      <c r="AB24" s="122"/>
      <c r="AC24" s="123"/>
      <c r="AE24" s="124" t="s">
        <v>21</v>
      </c>
      <c r="AF24" s="121"/>
      <c r="AG24" s="122"/>
      <c r="AH24" s="122"/>
      <c r="AI24" s="122"/>
      <c r="AJ24" s="122"/>
      <c r="AK24" s="123"/>
    </row>
    <row r="25" spans="1:37" x14ac:dyDescent="0.25">
      <c r="J25" s="125"/>
      <c r="T25" s="125" t="s">
        <v>22</v>
      </c>
      <c r="U25" s="126">
        <f>SUM(K24:U24)</f>
        <v>0</v>
      </c>
      <c r="AB25" s="125" t="s">
        <v>22</v>
      </c>
      <c r="AC25" s="126">
        <f>SUM(X24:AC24)</f>
        <v>0</v>
      </c>
      <c r="AJ25" s="125" t="s">
        <v>22</v>
      </c>
      <c r="AK25" s="126">
        <f>SUM(AF24:AK24)</f>
        <v>0</v>
      </c>
    </row>
    <row r="26" spans="1:37" ht="15.75" thickBot="1" x14ac:dyDescent="0.3">
      <c r="A26" s="104"/>
      <c r="B26" s="191" t="s">
        <v>23</v>
      </c>
      <c r="C26" s="191"/>
      <c r="D26" s="191"/>
      <c r="E26" s="191"/>
      <c r="F26" s="191"/>
      <c r="G26" s="191"/>
      <c r="H26" s="191"/>
      <c r="J26" s="192" t="s">
        <v>23</v>
      </c>
      <c r="K26" s="192"/>
      <c r="L26" s="192"/>
      <c r="M26" s="192"/>
      <c r="N26" s="192"/>
      <c r="O26" s="192"/>
      <c r="P26" s="192"/>
      <c r="Q26" s="192"/>
      <c r="R26" s="192"/>
      <c r="S26" s="192"/>
      <c r="T26" s="192"/>
      <c r="U26" s="192"/>
      <c r="W26" s="193" t="str">
        <f>J26</f>
        <v>Junho</v>
      </c>
      <c r="X26" s="193"/>
      <c r="Y26" s="193"/>
      <c r="Z26" s="193"/>
      <c r="AA26" s="193"/>
      <c r="AB26" s="193"/>
      <c r="AC26" s="193"/>
      <c r="AE26" s="194" t="str">
        <f>W26</f>
        <v>Junho</v>
      </c>
      <c r="AF26" s="194"/>
      <c r="AG26" s="194"/>
      <c r="AH26" s="194"/>
      <c r="AI26" s="194"/>
      <c r="AJ26" s="194"/>
      <c r="AK26" s="194"/>
    </row>
    <row r="27" spans="1:37" ht="15.75" thickBot="1" x14ac:dyDescent="0.3">
      <c r="A27" s="190" t="s">
        <v>4</v>
      </c>
      <c r="B27" s="105" t="s">
        <v>5</v>
      </c>
      <c r="C27" s="106" t="s">
        <v>6</v>
      </c>
      <c r="D27" s="107" t="s">
        <v>7</v>
      </c>
      <c r="E27" s="106" t="s">
        <v>8</v>
      </c>
      <c r="F27" s="108" t="s">
        <v>9</v>
      </c>
      <c r="G27" s="109" t="s">
        <v>10</v>
      </c>
      <c r="H27" s="110" t="s">
        <v>11</v>
      </c>
      <c r="J27" s="115" t="s">
        <v>3</v>
      </c>
      <c r="K27" s="112"/>
      <c r="L27" s="113"/>
      <c r="M27" s="113"/>
      <c r="N27" s="113"/>
      <c r="O27" s="113"/>
      <c r="P27" s="113"/>
      <c r="Q27" s="113"/>
      <c r="R27" s="113"/>
      <c r="S27" s="113"/>
      <c r="T27" s="113"/>
      <c r="U27" s="114"/>
      <c r="W27" s="115" t="s">
        <v>3</v>
      </c>
      <c r="X27" s="112"/>
      <c r="Y27" s="113"/>
      <c r="Z27" s="113"/>
      <c r="AA27" s="113"/>
      <c r="AB27" s="113"/>
      <c r="AC27" s="114"/>
      <c r="AE27" s="115" t="s">
        <v>3</v>
      </c>
      <c r="AF27" s="112"/>
      <c r="AG27" s="113"/>
      <c r="AH27" s="113"/>
      <c r="AI27" s="113"/>
      <c r="AJ27" s="113"/>
      <c r="AK27" s="114"/>
    </row>
    <row r="28" spans="1:37" ht="15.75" thickBot="1" x14ac:dyDescent="0.3">
      <c r="A28" s="190"/>
      <c r="B28" s="116"/>
      <c r="C28" s="117"/>
      <c r="D28" s="117"/>
      <c r="E28" s="117"/>
      <c r="F28" s="117">
        <f>SUM(C28-B28)</f>
        <v>0</v>
      </c>
      <c r="G28" s="118">
        <f>SUM(E28-D28)</f>
        <v>0</v>
      </c>
      <c r="H28" s="119">
        <f>SUM(F28:G28)</f>
        <v>0</v>
      </c>
      <c r="J28" s="124" t="s">
        <v>21</v>
      </c>
      <c r="K28" s="121"/>
      <c r="L28" s="122"/>
      <c r="M28" s="122"/>
      <c r="N28" s="122"/>
      <c r="O28" s="122"/>
      <c r="P28" s="122"/>
      <c r="Q28" s="122"/>
      <c r="R28" s="122"/>
      <c r="S28" s="122"/>
      <c r="T28" s="122"/>
      <c r="U28" s="123"/>
      <c r="W28" s="124" t="s">
        <v>21</v>
      </c>
      <c r="X28" s="121"/>
      <c r="Y28" s="122"/>
      <c r="Z28" s="122"/>
      <c r="AA28" s="122"/>
      <c r="AB28" s="122"/>
      <c r="AC28" s="123"/>
      <c r="AE28" s="124" t="s">
        <v>21</v>
      </c>
      <c r="AF28" s="121"/>
      <c r="AG28" s="122"/>
      <c r="AH28" s="122"/>
      <c r="AI28" s="122"/>
      <c r="AJ28" s="122"/>
      <c r="AK28" s="123"/>
    </row>
    <row r="29" spans="1:37" x14ac:dyDescent="0.25">
      <c r="J29" s="125"/>
      <c r="T29" s="125" t="s">
        <v>22</v>
      </c>
      <c r="U29" s="126">
        <f>SUM(K28:U28)</f>
        <v>0</v>
      </c>
      <c r="AB29" s="125" t="s">
        <v>22</v>
      </c>
      <c r="AC29" s="126">
        <f>SUM(X28:AC28)</f>
        <v>0</v>
      </c>
      <c r="AJ29" s="125" t="s">
        <v>22</v>
      </c>
      <c r="AK29" s="126">
        <f>SUM(AF28:AK28)</f>
        <v>0</v>
      </c>
    </row>
    <row r="30" spans="1:37" ht="15.75" thickBot="1" x14ac:dyDescent="0.3">
      <c r="A30" s="104"/>
      <c r="B30" s="191" t="s">
        <v>15</v>
      </c>
      <c r="C30" s="191"/>
      <c r="D30" s="191"/>
      <c r="E30" s="191"/>
      <c r="F30" s="191"/>
      <c r="G30" s="191"/>
      <c r="H30" s="191"/>
      <c r="J30" s="192" t="s">
        <v>15</v>
      </c>
      <c r="K30" s="192"/>
      <c r="L30" s="192"/>
      <c r="M30" s="192"/>
      <c r="N30" s="192"/>
      <c r="O30" s="192"/>
      <c r="P30" s="192"/>
      <c r="Q30" s="192"/>
      <c r="R30" s="192"/>
      <c r="S30" s="192"/>
      <c r="T30" s="192"/>
      <c r="U30" s="192"/>
      <c r="W30" s="193" t="str">
        <f>J30</f>
        <v>Julho</v>
      </c>
      <c r="X30" s="193"/>
      <c r="Y30" s="193"/>
      <c r="Z30" s="193"/>
      <c r="AA30" s="193"/>
      <c r="AB30" s="193"/>
      <c r="AC30" s="193"/>
      <c r="AE30" s="194" t="str">
        <f>W30</f>
        <v>Julho</v>
      </c>
      <c r="AF30" s="194"/>
      <c r="AG30" s="194"/>
      <c r="AH30" s="194"/>
      <c r="AI30" s="194"/>
      <c r="AJ30" s="194"/>
      <c r="AK30" s="194"/>
    </row>
    <row r="31" spans="1:37" ht="15.75" thickBot="1" x14ac:dyDescent="0.3">
      <c r="A31" s="190" t="s">
        <v>4</v>
      </c>
      <c r="B31" s="105" t="s">
        <v>5</v>
      </c>
      <c r="C31" s="106" t="s">
        <v>6</v>
      </c>
      <c r="D31" s="107" t="s">
        <v>7</v>
      </c>
      <c r="E31" s="106" t="s">
        <v>8</v>
      </c>
      <c r="F31" s="108" t="s">
        <v>9</v>
      </c>
      <c r="G31" s="109" t="s">
        <v>10</v>
      </c>
      <c r="H31" s="110" t="s">
        <v>11</v>
      </c>
      <c r="J31" s="115" t="s">
        <v>3</v>
      </c>
      <c r="K31" s="112"/>
      <c r="L31" s="113"/>
      <c r="M31" s="113"/>
      <c r="N31" s="113"/>
      <c r="O31" s="113"/>
      <c r="P31" s="113"/>
      <c r="Q31" s="113"/>
      <c r="R31" s="113"/>
      <c r="S31" s="113"/>
      <c r="T31" s="113"/>
      <c r="U31" s="114"/>
      <c r="W31" s="115" t="s">
        <v>3</v>
      </c>
      <c r="X31" s="112"/>
      <c r="Y31" s="113"/>
      <c r="Z31" s="113"/>
      <c r="AA31" s="113"/>
      <c r="AB31" s="113"/>
      <c r="AC31" s="114"/>
      <c r="AE31" s="115" t="s">
        <v>3</v>
      </c>
      <c r="AF31" s="112"/>
      <c r="AG31" s="113"/>
      <c r="AH31" s="113"/>
      <c r="AI31" s="113"/>
      <c r="AJ31" s="113"/>
      <c r="AK31" s="114"/>
    </row>
    <row r="32" spans="1:37" ht="15.75" thickBot="1" x14ac:dyDescent="0.3">
      <c r="A32" s="190"/>
      <c r="B32" s="116"/>
      <c r="C32" s="117"/>
      <c r="D32" s="117"/>
      <c r="E32" s="117"/>
      <c r="F32" s="117">
        <f>SUM(C32-B32)</f>
        <v>0</v>
      </c>
      <c r="G32" s="118">
        <f>SUM(E32-D32)</f>
        <v>0</v>
      </c>
      <c r="H32" s="119">
        <f>SUM(F32:G32)</f>
        <v>0</v>
      </c>
      <c r="J32" s="124" t="s">
        <v>21</v>
      </c>
      <c r="K32" s="121"/>
      <c r="L32" s="122"/>
      <c r="M32" s="122"/>
      <c r="N32" s="122"/>
      <c r="O32" s="122"/>
      <c r="P32" s="122"/>
      <c r="Q32" s="122"/>
      <c r="R32" s="122"/>
      <c r="S32" s="122"/>
      <c r="T32" s="122"/>
      <c r="U32" s="123"/>
      <c r="W32" s="124" t="s">
        <v>21</v>
      </c>
      <c r="X32" s="121"/>
      <c r="Y32" s="122"/>
      <c r="Z32" s="122"/>
      <c r="AA32" s="122"/>
      <c r="AB32" s="122"/>
      <c r="AC32" s="123"/>
      <c r="AE32" s="124" t="s">
        <v>21</v>
      </c>
      <c r="AF32" s="121"/>
      <c r="AG32" s="122"/>
      <c r="AH32" s="122"/>
      <c r="AI32" s="122"/>
      <c r="AJ32" s="122"/>
      <c r="AK32" s="123"/>
    </row>
    <row r="33" spans="1:37" x14ac:dyDescent="0.25">
      <c r="J33" s="125"/>
      <c r="T33" s="125" t="s">
        <v>22</v>
      </c>
      <c r="U33" s="126">
        <f>SUM(K32:U32)</f>
        <v>0</v>
      </c>
      <c r="AB33" s="125" t="s">
        <v>22</v>
      </c>
      <c r="AC33" s="126">
        <f>SUM(X32:AC32)</f>
        <v>0</v>
      </c>
      <c r="AJ33" s="125" t="s">
        <v>22</v>
      </c>
      <c r="AK33" s="126">
        <f>SUM(AF32:AK32)</f>
        <v>0</v>
      </c>
    </row>
    <row r="34" spans="1:37" ht="15.75" thickBot="1" x14ac:dyDescent="0.3">
      <c r="A34" s="104"/>
      <c r="B34" s="191" t="s">
        <v>16</v>
      </c>
      <c r="C34" s="191"/>
      <c r="D34" s="191"/>
      <c r="E34" s="191"/>
      <c r="F34" s="191"/>
      <c r="G34" s="191"/>
      <c r="H34" s="191"/>
      <c r="J34" s="192" t="s">
        <v>16</v>
      </c>
      <c r="K34" s="192"/>
      <c r="L34" s="192"/>
      <c r="M34" s="192"/>
      <c r="N34" s="192"/>
      <c r="O34" s="192"/>
      <c r="P34" s="192"/>
      <c r="Q34" s="192"/>
      <c r="R34" s="192"/>
      <c r="S34" s="192"/>
      <c r="T34" s="192"/>
      <c r="U34" s="192"/>
      <c r="W34" s="193" t="str">
        <f>J34</f>
        <v>Agosto</v>
      </c>
      <c r="X34" s="193"/>
      <c r="Y34" s="193"/>
      <c r="Z34" s="193"/>
      <c r="AA34" s="193"/>
      <c r="AB34" s="193"/>
      <c r="AC34" s="193"/>
      <c r="AE34" s="194" t="str">
        <f>W34</f>
        <v>Agosto</v>
      </c>
      <c r="AF34" s="194"/>
      <c r="AG34" s="194"/>
      <c r="AH34" s="194"/>
      <c r="AI34" s="194"/>
      <c r="AJ34" s="194"/>
      <c r="AK34" s="194"/>
    </row>
    <row r="35" spans="1:37" ht="15.75" thickBot="1" x14ac:dyDescent="0.3">
      <c r="A35" s="190" t="s">
        <v>4</v>
      </c>
      <c r="B35" s="105" t="s">
        <v>5</v>
      </c>
      <c r="C35" s="106" t="s">
        <v>6</v>
      </c>
      <c r="D35" s="107" t="s">
        <v>7</v>
      </c>
      <c r="E35" s="106" t="s">
        <v>8</v>
      </c>
      <c r="F35" s="108" t="s">
        <v>9</v>
      </c>
      <c r="G35" s="109" t="s">
        <v>10</v>
      </c>
      <c r="H35" s="110" t="s">
        <v>11</v>
      </c>
      <c r="J35" s="115" t="s">
        <v>3</v>
      </c>
      <c r="K35" s="112"/>
      <c r="L35" s="113"/>
      <c r="M35" s="113"/>
      <c r="N35" s="113"/>
      <c r="O35" s="113"/>
      <c r="P35" s="113"/>
      <c r="Q35" s="113"/>
      <c r="R35" s="113"/>
      <c r="S35" s="113"/>
      <c r="T35" s="113"/>
      <c r="U35" s="114"/>
      <c r="W35" s="115" t="s">
        <v>3</v>
      </c>
      <c r="X35" s="112"/>
      <c r="Y35" s="113"/>
      <c r="Z35" s="113"/>
      <c r="AA35" s="113"/>
      <c r="AB35" s="113"/>
      <c r="AC35" s="114"/>
      <c r="AE35" s="115" t="s">
        <v>3</v>
      </c>
      <c r="AF35" s="112"/>
      <c r="AG35" s="113"/>
      <c r="AH35" s="113"/>
      <c r="AI35" s="113"/>
      <c r="AJ35" s="113"/>
      <c r="AK35" s="114"/>
    </row>
    <row r="36" spans="1:37" ht="15.75" thickBot="1" x14ac:dyDescent="0.3">
      <c r="A36" s="190"/>
      <c r="B36" s="116"/>
      <c r="C36" s="117"/>
      <c r="D36" s="117"/>
      <c r="E36" s="117"/>
      <c r="F36" s="117">
        <f>SUM(C36-B36)</f>
        <v>0</v>
      </c>
      <c r="G36" s="118">
        <f>SUM(E36-D36)</f>
        <v>0</v>
      </c>
      <c r="H36" s="119">
        <f>SUM(F36:G36)</f>
        <v>0</v>
      </c>
      <c r="J36" s="124" t="s">
        <v>21</v>
      </c>
      <c r="K36" s="121"/>
      <c r="L36" s="122"/>
      <c r="M36" s="122"/>
      <c r="N36" s="122"/>
      <c r="O36" s="122"/>
      <c r="P36" s="122"/>
      <c r="Q36" s="122"/>
      <c r="R36" s="122"/>
      <c r="S36" s="122"/>
      <c r="T36" s="122"/>
      <c r="U36" s="123"/>
      <c r="W36" s="124" t="s">
        <v>21</v>
      </c>
      <c r="X36" s="121"/>
      <c r="Y36" s="122"/>
      <c r="Z36" s="122"/>
      <c r="AA36" s="122"/>
      <c r="AB36" s="122"/>
      <c r="AC36" s="123"/>
      <c r="AE36" s="124" t="s">
        <v>21</v>
      </c>
      <c r="AF36" s="121"/>
      <c r="AG36" s="122"/>
      <c r="AH36" s="122"/>
      <c r="AI36" s="122"/>
      <c r="AJ36" s="122"/>
      <c r="AK36" s="123"/>
    </row>
    <row r="37" spans="1:37" x14ac:dyDescent="0.25">
      <c r="J37" s="125"/>
      <c r="T37" s="125" t="s">
        <v>22</v>
      </c>
      <c r="U37" s="126">
        <f>SUM(K36:U36)</f>
        <v>0</v>
      </c>
      <c r="AB37" s="125" t="s">
        <v>22</v>
      </c>
      <c r="AC37" s="126">
        <f>SUM(X36:AC36)</f>
        <v>0</v>
      </c>
      <c r="AJ37" s="125" t="s">
        <v>22</v>
      </c>
      <c r="AK37" s="126">
        <f>SUM(AF36:AK36)</f>
        <v>0</v>
      </c>
    </row>
    <row r="38" spans="1:37" ht="15.75" thickBot="1" x14ac:dyDescent="0.3">
      <c r="A38" s="104"/>
      <c r="B38" s="191" t="s">
        <v>17</v>
      </c>
      <c r="C38" s="191"/>
      <c r="D38" s="191"/>
      <c r="E38" s="191"/>
      <c r="F38" s="191"/>
      <c r="G38" s="191"/>
      <c r="H38" s="191"/>
      <c r="J38" s="192" t="s">
        <v>17</v>
      </c>
      <c r="K38" s="192"/>
      <c r="L38" s="192"/>
      <c r="M38" s="192"/>
      <c r="N38" s="192"/>
      <c r="O38" s="192"/>
      <c r="P38" s="192"/>
      <c r="Q38" s="192"/>
      <c r="R38" s="192"/>
      <c r="S38" s="192"/>
      <c r="T38" s="192"/>
      <c r="U38" s="192"/>
      <c r="W38" s="193" t="str">
        <f>J38</f>
        <v>Setembro</v>
      </c>
      <c r="X38" s="193"/>
      <c r="Y38" s="193"/>
      <c r="Z38" s="193"/>
      <c r="AA38" s="193"/>
      <c r="AB38" s="193"/>
      <c r="AC38" s="193"/>
      <c r="AE38" s="194" t="str">
        <f>W38</f>
        <v>Setembro</v>
      </c>
      <c r="AF38" s="194"/>
      <c r="AG38" s="194"/>
      <c r="AH38" s="194"/>
      <c r="AI38" s="194"/>
      <c r="AJ38" s="194"/>
      <c r="AK38" s="194"/>
    </row>
    <row r="39" spans="1:37" ht="15.75" thickBot="1" x14ac:dyDescent="0.3">
      <c r="A39" s="190" t="s">
        <v>4</v>
      </c>
      <c r="B39" s="105" t="s">
        <v>5</v>
      </c>
      <c r="C39" s="106" t="s">
        <v>6</v>
      </c>
      <c r="D39" s="107" t="s">
        <v>7</v>
      </c>
      <c r="E39" s="106" t="s">
        <v>8</v>
      </c>
      <c r="F39" s="108" t="s">
        <v>9</v>
      </c>
      <c r="G39" s="109" t="s">
        <v>10</v>
      </c>
      <c r="H39" s="110" t="s">
        <v>11</v>
      </c>
      <c r="J39" s="115" t="s">
        <v>3</v>
      </c>
      <c r="K39" s="112"/>
      <c r="L39" s="113"/>
      <c r="M39" s="113"/>
      <c r="N39" s="113"/>
      <c r="O39" s="113"/>
      <c r="P39" s="113"/>
      <c r="Q39" s="113"/>
      <c r="R39" s="113"/>
      <c r="S39" s="113"/>
      <c r="T39" s="113"/>
      <c r="U39" s="114"/>
      <c r="W39" s="115" t="s">
        <v>3</v>
      </c>
      <c r="X39" s="112"/>
      <c r="Y39" s="113"/>
      <c r="Z39" s="113"/>
      <c r="AA39" s="113"/>
      <c r="AB39" s="113"/>
      <c r="AC39" s="114"/>
      <c r="AE39" s="115" t="s">
        <v>3</v>
      </c>
      <c r="AF39" s="112"/>
      <c r="AG39" s="113"/>
      <c r="AH39" s="113"/>
      <c r="AI39" s="113"/>
      <c r="AJ39" s="113"/>
      <c r="AK39" s="114"/>
    </row>
    <row r="40" spans="1:37" ht="15.75" thickBot="1" x14ac:dyDescent="0.3">
      <c r="A40" s="190"/>
      <c r="B40" s="116"/>
      <c r="C40" s="117"/>
      <c r="D40" s="117"/>
      <c r="E40" s="117"/>
      <c r="F40" s="117">
        <f>SUM(C40-B40)</f>
        <v>0</v>
      </c>
      <c r="G40" s="118">
        <f>SUM(E40-D40)</f>
        <v>0</v>
      </c>
      <c r="H40" s="119">
        <f>SUM(F40:G40)</f>
        <v>0</v>
      </c>
      <c r="J40" s="124" t="s">
        <v>21</v>
      </c>
      <c r="K40" s="121"/>
      <c r="L40" s="122"/>
      <c r="M40" s="122"/>
      <c r="N40" s="122"/>
      <c r="O40" s="122"/>
      <c r="P40" s="122"/>
      <c r="Q40" s="122"/>
      <c r="R40" s="122"/>
      <c r="S40" s="122"/>
      <c r="T40" s="122"/>
      <c r="U40" s="123"/>
      <c r="W40" s="124" t="s">
        <v>21</v>
      </c>
      <c r="X40" s="121"/>
      <c r="Y40" s="122"/>
      <c r="Z40" s="122"/>
      <c r="AA40" s="122"/>
      <c r="AB40" s="122"/>
      <c r="AC40" s="123"/>
      <c r="AE40" s="124" t="s">
        <v>21</v>
      </c>
      <c r="AF40" s="121"/>
      <c r="AG40" s="122"/>
      <c r="AH40" s="122"/>
      <c r="AI40" s="122"/>
      <c r="AJ40" s="122"/>
      <c r="AK40" s="123"/>
    </row>
    <row r="41" spans="1:37" x14ac:dyDescent="0.25">
      <c r="J41" s="125"/>
      <c r="T41" s="125" t="s">
        <v>22</v>
      </c>
      <c r="U41" s="126">
        <f>SUM(K40:U40)</f>
        <v>0</v>
      </c>
      <c r="AB41" s="125" t="s">
        <v>22</v>
      </c>
      <c r="AC41" s="126">
        <f>SUM(X40:AC40)</f>
        <v>0</v>
      </c>
      <c r="AJ41" s="125" t="s">
        <v>22</v>
      </c>
      <c r="AK41" s="126">
        <f>SUM(AF40:AK40)</f>
        <v>0</v>
      </c>
    </row>
    <row r="42" spans="1:37" ht="15.75" thickBot="1" x14ac:dyDescent="0.3">
      <c r="A42" s="104"/>
      <c r="B42" s="191" t="s">
        <v>18</v>
      </c>
      <c r="C42" s="191"/>
      <c r="D42" s="191"/>
      <c r="E42" s="191"/>
      <c r="F42" s="191"/>
      <c r="G42" s="191"/>
      <c r="H42" s="191"/>
      <c r="J42" s="192" t="s">
        <v>18</v>
      </c>
      <c r="K42" s="192"/>
      <c r="L42" s="192"/>
      <c r="M42" s="192"/>
      <c r="N42" s="192"/>
      <c r="O42" s="192"/>
      <c r="P42" s="192"/>
      <c r="Q42" s="192"/>
      <c r="R42" s="192"/>
      <c r="S42" s="192"/>
      <c r="T42" s="192"/>
      <c r="U42" s="192"/>
      <c r="W42" s="193" t="str">
        <f>J42</f>
        <v>Outubro</v>
      </c>
      <c r="X42" s="193"/>
      <c r="Y42" s="193"/>
      <c r="Z42" s="193"/>
      <c r="AA42" s="193"/>
      <c r="AB42" s="193"/>
      <c r="AC42" s="193"/>
      <c r="AE42" s="194" t="str">
        <f>W42</f>
        <v>Outubro</v>
      </c>
      <c r="AF42" s="194"/>
      <c r="AG42" s="194"/>
      <c r="AH42" s="194"/>
      <c r="AI42" s="194"/>
      <c r="AJ42" s="194"/>
      <c r="AK42" s="194"/>
    </row>
    <row r="43" spans="1:37" ht="15.75" thickBot="1" x14ac:dyDescent="0.3">
      <c r="A43" s="190" t="s">
        <v>4</v>
      </c>
      <c r="B43" s="105" t="s">
        <v>5</v>
      </c>
      <c r="C43" s="106" t="s">
        <v>6</v>
      </c>
      <c r="D43" s="107" t="s">
        <v>7</v>
      </c>
      <c r="E43" s="106" t="s">
        <v>8</v>
      </c>
      <c r="F43" s="108" t="s">
        <v>9</v>
      </c>
      <c r="G43" s="109" t="s">
        <v>10</v>
      </c>
      <c r="H43" s="110" t="s">
        <v>11</v>
      </c>
      <c r="J43" s="115" t="s">
        <v>3</v>
      </c>
      <c r="K43" s="112">
        <v>45580</v>
      </c>
      <c r="L43" s="127">
        <v>45584</v>
      </c>
      <c r="M43" s="127">
        <v>45588</v>
      </c>
      <c r="N43" s="127">
        <v>45591</v>
      </c>
      <c r="O43" s="127">
        <v>45596</v>
      </c>
      <c r="P43" s="127"/>
      <c r="Q43" s="127"/>
      <c r="R43" s="127"/>
      <c r="S43" s="127"/>
      <c r="T43" s="127"/>
      <c r="U43" s="131"/>
      <c r="W43" s="115" t="s">
        <v>3</v>
      </c>
      <c r="X43" s="112"/>
      <c r="Y43" s="113"/>
      <c r="Z43" s="113"/>
      <c r="AA43" s="113"/>
      <c r="AB43" s="113"/>
      <c r="AC43" s="114"/>
      <c r="AE43" s="115" t="s">
        <v>3</v>
      </c>
      <c r="AF43" s="112"/>
      <c r="AG43" s="113"/>
      <c r="AH43" s="113"/>
      <c r="AI43" s="113"/>
      <c r="AJ43" s="113"/>
      <c r="AK43" s="114"/>
    </row>
    <row r="44" spans="1:37" ht="15.75" thickBot="1" x14ac:dyDescent="0.3">
      <c r="A44" s="190"/>
      <c r="B44" s="116">
        <v>59593</v>
      </c>
      <c r="C44" s="117"/>
      <c r="D44" s="117"/>
      <c r="E44" s="117">
        <v>61977</v>
      </c>
      <c r="F44" s="117">
        <f>SUM(C44-B44)</f>
        <v>-59593</v>
      </c>
      <c r="G44" s="118">
        <f>SUM(E44-D44)</f>
        <v>61977</v>
      </c>
      <c r="H44" s="119">
        <f>SUM(F44:G44)</f>
        <v>2384</v>
      </c>
      <c r="J44" s="124" t="s">
        <v>21</v>
      </c>
      <c r="K44" s="121">
        <v>289.39999999999998</v>
      </c>
      <c r="L44" s="122">
        <v>229.84</v>
      </c>
      <c r="M44" s="122">
        <v>221.03</v>
      </c>
      <c r="N44" s="122">
        <v>223.11</v>
      </c>
      <c r="O44" s="122">
        <v>235.62</v>
      </c>
      <c r="P44" s="122"/>
      <c r="Q44" s="122"/>
      <c r="R44" s="122"/>
      <c r="S44" s="122"/>
      <c r="T44" s="122"/>
      <c r="U44" s="123"/>
      <c r="W44" s="124" t="s">
        <v>21</v>
      </c>
      <c r="X44" s="121"/>
      <c r="Y44" s="122"/>
      <c r="Z44" s="122"/>
      <c r="AA44" s="122"/>
      <c r="AB44" s="122"/>
      <c r="AC44" s="123"/>
      <c r="AE44" s="124" t="s">
        <v>21</v>
      </c>
      <c r="AF44" s="121"/>
      <c r="AG44" s="122"/>
      <c r="AH44" s="122"/>
      <c r="AI44" s="122"/>
      <c r="AJ44" s="122"/>
      <c r="AK44" s="123"/>
    </row>
    <row r="45" spans="1:37" x14ac:dyDescent="0.25">
      <c r="J45" s="125"/>
      <c r="T45" s="125" t="s">
        <v>22</v>
      </c>
      <c r="U45" s="126">
        <f>SUM(K44:U44)</f>
        <v>1199</v>
      </c>
      <c r="AB45" s="125" t="s">
        <v>22</v>
      </c>
      <c r="AC45" s="126">
        <f>SUM(X44:AC44)</f>
        <v>0</v>
      </c>
      <c r="AJ45" s="125" t="s">
        <v>22</v>
      </c>
      <c r="AK45" s="126">
        <f>SUM(AF44:AK44)</f>
        <v>0</v>
      </c>
    </row>
    <row r="46" spans="1:37" ht="15.75" thickBot="1" x14ac:dyDescent="0.3">
      <c r="A46" s="104"/>
      <c r="B46" s="191" t="s">
        <v>19</v>
      </c>
      <c r="C46" s="191"/>
      <c r="D46" s="191"/>
      <c r="E46" s="191"/>
      <c r="F46" s="191"/>
      <c r="G46" s="191"/>
      <c r="H46" s="191"/>
      <c r="J46" s="192" t="s">
        <v>19</v>
      </c>
      <c r="K46" s="192"/>
      <c r="L46" s="192"/>
      <c r="M46" s="192"/>
      <c r="N46" s="192"/>
      <c r="O46" s="192"/>
      <c r="P46" s="192"/>
      <c r="Q46" s="192"/>
      <c r="R46" s="192"/>
      <c r="S46" s="192"/>
      <c r="T46" s="192"/>
      <c r="U46" s="192"/>
      <c r="W46" s="193" t="str">
        <f>J46</f>
        <v>Novembro</v>
      </c>
      <c r="X46" s="193"/>
      <c r="Y46" s="193"/>
      <c r="Z46" s="193"/>
      <c r="AA46" s="193"/>
      <c r="AB46" s="193"/>
      <c r="AC46" s="193"/>
      <c r="AE46" s="194" t="str">
        <f>W46</f>
        <v>Novembro</v>
      </c>
      <c r="AF46" s="194"/>
      <c r="AG46" s="194"/>
      <c r="AH46" s="194"/>
      <c r="AI46" s="194"/>
      <c r="AJ46" s="194"/>
      <c r="AK46" s="194"/>
    </row>
    <row r="47" spans="1:37" ht="15.75" thickBot="1" x14ac:dyDescent="0.3">
      <c r="A47" s="190" t="s">
        <v>4</v>
      </c>
      <c r="B47" s="105" t="s">
        <v>5</v>
      </c>
      <c r="C47" s="106" t="s">
        <v>6</v>
      </c>
      <c r="D47" s="107" t="s">
        <v>7</v>
      </c>
      <c r="E47" s="106" t="s">
        <v>8</v>
      </c>
      <c r="F47" s="108" t="s">
        <v>9</v>
      </c>
      <c r="G47" s="109" t="s">
        <v>10</v>
      </c>
      <c r="H47" s="110" t="s">
        <v>11</v>
      </c>
      <c r="J47" s="115" t="s">
        <v>3</v>
      </c>
      <c r="K47" s="112">
        <v>45603</v>
      </c>
      <c r="L47" s="127"/>
      <c r="M47" s="127"/>
      <c r="N47" s="127"/>
      <c r="O47" s="127"/>
      <c r="P47" s="127"/>
      <c r="Q47" s="127"/>
      <c r="R47" s="127"/>
      <c r="S47" s="127"/>
      <c r="T47" s="127"/>
      <c r="U47" s="131"/>
      <c r="W47" s="115" t="s">
        <v>3</v>
      </c>
      <c r="X47" s="112"/>
      <c r="Y47" s="113"/>
      <c r="Z47" s="113"/>
      <c r="AA47" s="113"/>
      <c r="AB47" s="113"/>
      <c r="AC47" s="114"/>
      <c r="AE47" s="115" t="s">
        <v>3</v>
      </c>
      <c r="AF47" s="112"/>
      <c r="AG47" s="113"/>
      <c r="AH47" s="113"/>
      <c r="AI47" s="113"/>
      <c r="AJ47" s="113"/>
      <c r="AK47" s="114"/>
    </row>
    <row r="48" spans="1:37" ht="15.75" thickBot="1" x14ac:dyDescent="0.3">
      <c r="A48" s="190"/>
      <c r="B48" s="116"/>
      <c r="C48" s="117"/>
      <c r="D48" s="117">
        <v>63903</v>
      </c>
      <c r="E48" s="117">
        <v>65872</v>
      </c>
      <c r="F48" s="117">
        <f>SUM(C48-B48)</f>
        <v>0</v>
      </c>
      <c r="G48" s="118">
        <f>SUM(E48-D48)</f>
        <v>1969</v>
      </c>
      <c r="H48" s="119">
        <f>SUM(F48:G48)</f>
        <v>1969</v>
      </c>
      <c r="J48" s="124" t="s">
        <v>21</v>
      </c>
      <c r="K48" s="121">
        <v>219.21</v>
      </c>
      <c r="L48" s="122"/>
      <c r="M48" s="122"/>
      <c r="N48" s="122"/>
      <c r="O48" s="122"/>
      <c r="P48" s="122"/>
      <c r="Q48" s="122"/>
      <c r="R48" s="122"/>
      <c r="S48" s="122"/>
      <c r="T48" s="122"/>
      <c r="U48" s="123"/>
      <c r="W48" s="124" t="s">
        <v>21</v>
      </c>
      <c r="X48" s="121"/>
      <c r="Y48" s="122"/>
      <c r="Z48" s="122"/>
      <c r="AA48" s="122"/>
      <c r="AB48" s="122"/>
      <c r="AC48" s="123"/>
      <c r="AE48" s="124" t="s">
        <v>21</v>
      </c>
      <c r="AF48" s="121"/>
      <c r="AG48" s="122"/>
      <c r="AH48" s="122"/>
      <c r="AI48" s="122"/>
      <c r="AJ48" s="122"/>
      <c r="AK48" s="123"/>
    </row>
    <row r="49" spans="1:37" x14ac:dyDescent="0.25">
      <c r="J49" s="125"/>
      <c r="T49" s="125" t="s">
        <v>22</v>
      </c>
      <c r="U49" s="126">
        <f>SUM(K48:U48)</f>
        <v>219.21</v>
      </c>
      <c r="AB49" s="125" t="s">
        <v>22</v>
      </c>
      <c r="AC49" s="126">
        <f>SUM(X48:AC48)</f>
        <v>0</v>
      </c>
      <c r="AJ49" s="125" t="s">
        <v>22</v>
      </c>
      <c r="AK49" s="126">
        <f>SUM(AF48:AK48)</f>
        <v>0</v>
      </c>
    </row>
    <row r="50" spans="1:37" ht="15.75" thickBot="1" x14ac:dyDescent="0.3">
      <c r="A50" s="104"/>
      <c r="B50" s="191" t="s">
        <v>20</v>
      </c>
      <c r="C50" s="191"/>
      <c r="D50" s="191"/>
      <c r="E50" s="191"/>
      <c r="F50" s="191"/>
      <c r="G50" s="191"/>
      <c r="H50" s="191"/>
      <c r="J50" s="192" t="s">
        <v>20</v>
      </c>
      <c r="K50" s="192"/>
      <c r="L50" s="192"/>
      <c r="M50" s="192"/>
      <c r="N50" s="192"/>
      <c r="O50" s="192"/>
      <c r="P50" s="192"/>
      <c r="Q50" s="192"/>
      <c r="R50" s="192"/>
      <c r="S50" s="192"/>
      <c r="T50" s="192"/>
      <c r="U50" s="192"/>
      <c r="W50" s="193" t="str">
        <f>J50</f>
        <v>Dezembro</v>
      </c>
      <c r="X50" s="193"/>
      <c r="Y50" s="193"/>
      <c r="Z50" s="193"/>
      <c r="AA50" s="193"/>
      <c r="AB50" s="193"/>
      <c r="AC50" s="193"/>
      <c r="AE50" s="194" t="str">
        <f>W50</f>
        <v>Dezembro</v>
      </c>
      <c r="AF50" s="194"/>
      <c r="AG50" s="194"/>
      <c r="AH50" s="194"/>
      <c r="AI50" s="194"/>
      <c r="AJ50" s="194"/>
      <c r="AK50" s="194"/>
    </row>
    <row r="51" spans="1:37" ht="15.75" thickBot="1" x14ac:dyDescent="0.3">
      <c r="A51" s="190" t="s">
        <v>4</v>
      </c>
      <c r="B51" s="105" t="s">
        <v>5</v>
      </c>
      <c r="C51" s="106" t="s">
        <v>6</v>
      </c>
      <c r="D51" s="107" t="s">
        <v>7</v>
      </c>
      <c r="E51" s="106" t="s">
        <v>8</v>
      </c>
      <c r="F51" s="108" t="s">
        <v>9</v>
      </c>
      <c r="G51" s="109" t="s">
        <v>10</v>
      </c>
      <c r="H51" s="110" t="s">
        <v>11</v>
      </c>
      <c r="J51" s="115" t="s">
        <v>3</v>
      </c>
      <c r="K51" s="112"/>
      <c r="L51" s="127"/>
      <c r="M51" s="127"/>
      <c r="N51" s="127"/>
      <c r="O51" s="127"/>
      <c r="P51" s="127"/>
      <c r="Q51" s="127"/>
      <c r="R51" s="127"/>
      <c r="S51" s="127"/>
      <c r="T51" s="127"/>
      <c r="U51" s="131"/>
      <c r="W51" s="115" t="s">
        <v>3</v>
      </c>
      <c r="X51" s="112"/>
      <c r="Y51" s="113"/>
      <c r="Z51" s="113"/>
      <c r="AA51" s="113"/>
      <c r="AB51" s="113"/>
      <c r="AC51" s="114"/>
      <c r="AE51" s="115" t="s">
        <v>3</v>
      </c>
      <c r="AF51" s="112"/>
      <c r="AG51" s="113"/>
      <c r="AH51" s="113"/>
      <c r="AI51" s="113"/>
      <c r="AJ51" s="113"/>
      <c r="AK51" s="114"/>
    </row>
    <row r="52" spans="1:37" ht="15.75" thickBot="1" x14ac:dyDescent="0.3">
      <c r="A52" s="190"/>
      <c r="B52" s="116">
        <v>65872</v>
      </c>
      <c r="C52" s="117">
        <v>67695</v>
      </c>
      <c r="D52" s="117">
        <v>67695</v>
      </c>
      <c r="E52" s="117">
        <v>68593</v>
      </c>
      <c r="F52" s="117">
        <f>SUM(C52-B52)</f>
        <v>1823</v>
      </c>
      <c r="G52" s="118">
        <f>SUM(E52-D52)</f>
        <v>898</v>
      </c>
      <c r="H52" s="119">
        <f>SUM(F52:G52)</f>
        <v>2721</v>
      </c>
      <c r="J52" s="124" t="s">
        <v>21</v>
      </c>
      <c r="K52" s="121"/>
      <c r="L52" s="122"/>
      <c r="M52" s="122"/>
      <c r="N52" s="122"/>
      <c r="O52" s="122"/>
      <c r="P52" s="122"/>
      <c r="Q52" s="122"/>
      <c r="R52" s="122"/>
      <c r="S52" s="122"/>
      <c r="T52" s="122"/>
      <c r="U52" s="123"/>
      <c r="W52" s="124" t="s">
        <v>21</v>
      </c>
      <c r="X52" s="121"/>
      <c r="Y52" s="122"/>
      <c r="Z52" s="122"/>
      <c r="AA52" s="122"/>
      <c r="AB52" s="122"/>
      <c r="AC52" s="123"/>
      <c r="AE52" s="124" t="s">
        <v>21</v>
      </c>
      <c r="AF52" s="121"/>
      <c r="AG52" s="122"/>
      <c r="AH52" s="122"/>
      <c r="AI52" s="122"/>
      <c r="AJ52" s="122"/>
      <c r="AK52" s="123"/>
    </row>
    <row r="53" spans="1:37" x14ac:dyDescent="0.25">
      <c r="J53" s="125"/>
      <c r="T53" s="125" t="s">
        <v>22</v>
      </c>
      <c r="U53" s="126">
        <f>SUM(K52:U52)</f>
        <v>0</v>
      </c>
      <c r="AB53" s="125" t="s">
        <v>22</v>
      </c>
      <c r="AC53" s="126">
        <f>SUM(X52:AC52)</f>
        <v>0</v>
      </c>
      <c r="AJ53" s="125" t="s">
        <v>22</v>
      </c>
      <c r="AK53" s="126">
        <f>SUM(AF52:AK52)</f>
        <v>0</v>
      </c>
    </row>
    <row r="54" spans="1:37" ht="15.75" thickBot="1" x14ac:dyDescent="0.3">
      <c r="A54" s="104"/>
      <c r="B54" s="191" t="s">
        <v>54</v>
      </c>
      <c r="C54" s="191"/>
      <c r="D54" s="191"/>
      <c r="E54" s="191"/>
      <c r="F54" s="191"/>
      <c r="G54" s="191"/>
      <c r="H54" s="191"/>
      <c r="J54" s="192" t="s">
        <v>54</v>
      </c>
      <c r="K54" s="192"/>
      <c r="L54" s="192"/>
      <c r="M54" s="192"/>
      <c r="N54" s="192"/>
      <c r="O54" s="192"/>
      <c r="P54" s="192"/>
      <c r="Q54" s="192"/>
      <c r="R54" s="192"/>
      <c r="S54" s="192"/>
      <c r="T54" s="192"/>
      <c r="U54" s="192"/>
      <c r="W54" s="193" t="str">
        <f>J54</f>
        <v>Janeiro</v>
      </c>
      <c r="X54" s="193"/>
      <c r="Y54" s="193"/>
      <c r="Z54" s="193"/>
      <c r="AA54" s="193"/>
      <c r="AB54" s="193"/>
      <c r="AC54" s="193"/>
      <c r="AE54" s="194" t="str">
        <f>W54</f>
        <v>Janeiro</v>
      </c>
      <c r="AF54" s="194"/>
      <c r="AG54" s="194"/>
      <c r="AH54" s="194"/>
      <c r="AI54" s="194"/>
      <c r="AJ54" s="194"/>
      <c r="AK54" s="194"/>
    </row>
    <row r="55" spans="1:37" ht="15.75" thickBot="1" x14ac:dyDescent="0.3">
      <c r="A55" s="190" t="s">
        <v>4</v>
      </c>
      <c r="B55" s="105" t="s">
        <v>5</v>
      </c>
      <c r="C55" s="106" t="s">
        <v>6</v>
      </c>
      <c r="D55" s="107" t="s">
        <v>7</v>
      </c>
      <c r="E55" s="106" t="s">
        <v>8</v>
      </c>
      <c r="F55" s="108" t="s">
        <v>9</v>
      </c>
      <c r="G55" s="109" t="s">
        <v>10</v>
      </c>
      <c r="H55" s="110" t="s">
        <v>11</v>
      </c>
      <c r="J55" s="115" t="s">
        <v>3</v>
      </c>
      <c r="K55" s="112"/>
      <c r="L55" s="127">
        <v>45679</v>
      </c>
      <c r="M55" s="127">
        <v>45682</v>
      </c>
      <c r="N55" s="127"/>
      <c r="O55" s="127"/>
      <c r="P55" s="127"/>
      <c r="Q55" s="127"/>
      <c r="R55" s="127"/>
      <c r="S55" s="127"/>
      <c r="T55" s="127"/>
      <c r="U55" s="131"/>
      <c r="W55" s="115" t="s">
        <v>3</v>
      </c>
      <c r="X55" s="112"/>
      <c r="Y55" s="113"/>
      <c r="Z55" s="113"/>
      <c r="AA55" s="113"/>
      <c r="AB55" s="113"/>
      <c r="AC55" s="114"/>
      <c r="AE55" s="115" t="s">
        <v>3</v>
      </c>
      <c r="AF55" s="112"/>
      <c r="AG55" s="113"/>
      <c r="AH55" s="113"/>
      <c r="AI55" s="113"/>
      <c r="AJ55" s="113"/>
      <c r="AK55" s="114"/>
    </row>
    <row r="56" spans="1:37" ht="15.75" thickBot="1" x14ac:dyDescent="0.3">
      <c r="A56" s="190"/>
      <c r="B56" s="116">
        <v>68593</v>
      </c>
      <c r="C56" s="117">
        <v>70003</v>
      </c>
      <c r="D56" s="117">
        <v>70003</v>
      </c>
      <c r="E56" s="117">
        <v>72299</v>
      </c>
      <c r="F56" s="117">
        <f>SUM(C56-B56)</f>
        <v>1410</v>
      </c>
      <c r="G56" s="118">
        <f>SUM(E56-D56)</f>
        <v>2296</v>
      </c>
      <c r="H56" s="119">
        <f>SUM(F56:G56)</f>
        <v>3706</v>
      </c>
      <c r="J56" s="124" t="s">
        <v>21</v>
      </c>
      <c r="K56" s="121"/>
      <c r="L56" s="122">
        <v>253</v>
      </c>
      <c r="M56" s="122">
        <v>239.78</v>
      </c>
      <c r="N56" s="122"/>
      <c r="O56" s="122"/>
      <c r="P56" s="122"/>
      <c r="Q56" s="122"/>
      <c r="R56" s="122"/>
      <c r="S56" s="122"/>
      <c r="T56" s="122"/>
      <c r="U56" s="123"/>
      <c r="W56" s="124" t="s">
        <v>21</v>
      </c>
      <c r="X56" s="121"/>
      <c r="Y56" s="122"/>
      <c r="Z56" s="122"/>
      <c r="AA56" s="122"/>
      <c r="AB56" s="122"/>
      <c r="AC56" s="123"/>
      <c r="AE56" s="124" t="s">
        <v>21</v>
      </c>
      <c r="AF56" s="121"/>
      <c r="AG56" s="122"/>
      <c r="AH56" s="122"/>
      <c r="AI56" s="122"/>
      <c r="AJ56" s="122"/>
      <c r="AK56" s="123"/>
    </row>
    <row r="57" spans="1:37" x14ac:dyDescent="0.25">
      <c r="J57" s="125"/>
      <c r="T57" s="125" t="s">
        <v>22</v>
      </c>
      <c r="U57" s="126">
        <f>SUM(K56:U56)</f>
        <v>492.78</v>
      </c>
      <c r="AB57" s="125" t="s">
        <v>22</v>
      </c>
      <c r="AC57" s="126">
        <f>SUM(X56:AC56)</f>
        <v>0</v>
      </c>
      <c r="AJ57" s="125" t="s">
        <v>22</v>
      </c>
      <c r="AK57" s="126">
        <f>SUM(AF56:AK56)</f>
        <v>0</v>
      </c>
    </row>
    <row r="58" spans="1:37" ht="15.75" thickBot="1" x14ac:dyDescent="0.3">
      <c r="A58" s="104"/>
      <c r="B58" s="191" t="s">
        <v>2</v>
      </c>
      <c r="C58" s="191"/>
      <c r="D58" s="191"/>
      <c r="E58" s="191"/>
      <c r="F58" s="191"/>
      <c r="G58" s="191"/>
      <c r="H58" s="191"/>
      <c r="J58" s="192" t="s">
        <v>2</v>
      </c>
      <c r="K58" s="192"/>
      <c r="L58" s="192"/>
      <c r="M58" s="192"/>
      <c r="N58" s="192"/>
      <c r="O58" s="192"/>
      <c r="P58" s="192"/>
      <c r="Q58" s="192"/>
      <c r="R58" s="192"/>
      <c r="S58" s="192"/>
      <c r="T58" s="192"/>
      <c r="U58" s="192"/>
      <c r="W58" s="193" t="str">
        <f>J58</f>
        <v>Fevereiro</v>
      </c>
      <c r="X58" s="193"/>
      <c r="Y58" s="193"/>
      <c r="Z58" s="193"/>
      <c r="AA58" s="193"/>
      <c r="AB58" s="193"/>
      <c r="AC58" s="193"/>
      <c r="AE58" s="194" t="str">
        <f>W58</f>
        <v>Fevereiro</v>
      </c>
      <c r="AF58" s="194"/>
      <c r="AG58" s="194"/>
      <c r="AH58" s="194"/>
      <c r="AI58" s="194"/>
      <c r="AJ58" s="194"/>
      <c r="AK58" s="194"/>
    </row>
    <row r="59" spans="1:37" ht="15.75" thickBot="1" x14ac:dyDescent="0.3">
      <c r="A59" s="190" t="s">
        <v>4</v>
      </c>
      <c r="B59" s="105" t="s">
        <v>5</v>
      </c>
      <c r="C59" s="106" t="s">
        <v>6</v>
      </c>
      <c r="D59" s="107" t="s">
        <v>7</v>
      </c>
      <c r="E59" s="106" t="s">
        <v>8</v>
      </c>
      <c r="F59" s="108" t="s">
        <v>9</v>
      </c>
      <c r="G59" s="109" t="s">
        <v>10</v>
      </c>
      <c r="H59" s="110" t="s">
        <v>11</v>
      </c>
      <c r="J59" s="115" t="s">
        <v>3</v>
      </c>
      <c r="K59" s="112"/>
      <c r="L59" s="127"/>
      <c r="M59" s="127"/>
      <c r="N59" s="127"/>
      <c r="O59" s="127"/>
      <c r="P59" s="127"/>
      <c r="Q59" s="127"/>
      <c r="R59" s="127"/>
      <c r="S59" s="127"/>
      <c r="T59" s="127"/>
      <c r="U59" s="131"/>
      <c r="W59" s="115" t="s">
        <v>3</v>
      </c>
      <c r="X59" s="112"/>
      <c r="Y59" s="113"/>
      <c r="Z59" s="113"/>
      <c r="AA59" s="113"/>
      <c r="AB59" s="113"/>
      <c r="AC59" s="114"/>
      <c r="AE59" s="115" t="s">
        <v>3</v>
      </c>
      <c r="AF59" s="112"/>
      <c r="AG59" s="113"/>
      <c r="AH59" s="113"/>
      <c r="AI59" s="113"/>
      <c r="AJ59" s="113"/>
      <c r="AK59" s="114"/>
    </row>
    <row r="60" spans="1:37" ht="15.75" thickBot="1" x14ac:dyDescent="0.3">
      <c r="A60" s="190"/>
      <c r="B60" s="116">
        <v>72299</v>
      </c>
      <c r="C60" s="117">
        <v>74046</v>
      </c>
      <c r="D60" s="117">
        <v>74046</v>
      </c>
      <c r="E60" s="117">
        <v>75654</v>
      </c>
      <c r="F60" s="117">
        <f>SUM(C60-B60)</f>
        <v>1747</v>
      </c>
      <c r="G60" s="118">
        <f>SUM(E60-D60)</f>
        <v>1608</v>
      </c>
      <c r="H60" s="119">
        <f>SUM(F60:G60)</f>
        <v>3355</v>
      </c>
      <c r="J60" s="124" t="s">
        <v>21</v>
      </c>
      <c r="K60" s="121"/>
      <c r="L60" s="122"/>
      <c r="M60" s="122"/>
      <c r="N60" s="122"/>
      <c r="O60" s="122"/>
      <c r="P60" s="122"/>
      <c r="Q60" s="122"/>
      <c r="R60" s="122"/>
      <c r="S60" s="122"/>
      <c r="T60" s="122"/>
      <c r="U60" s="123"/>
      <c r="W60" s="124" t="s">
        <v>21</v>
      </c>
      <c r="X60" s="121"/>
      <c r="Y60" s="122"/>
      <c r="Z60" s="122"/>
      <c r="AA60" s="122"/>
      <c r="AB60" s="122"/>
      <c r="AC60" s="123"/>
      <c r="AE60" s="124" t="s">
        <v>21</v>
      </c>
      <c r="AF60" s="121"/>
      <c r="AG60" s="122"/>
      <c r="AH60" s="122"/>
      <c r="AI60" s="122"/>
      <c r="AJ60" s="122"/>
      <c r="AK60" s="123"/>
    </row>
    <row r="61" spans="1:37" x14ac:dyDescent="0.25">
      <c r="J61" s="125"/>
      <c r="T61" s="125" t="s">
        <v>22</v>
      </c>
      <c r="U61" s="126">
        <f>SUM(K60:U60)</f>
        <v>0</v>
      </c>
      <c r="AB61" s="125" t="s">
        <v>22</v>
      </c>
      <c r="AC61" s="126">
        <f>SUM(X60:AC60)</f>
        <v>0</v>
      </c>
      <c r="AJ61" s="125" t="s">
        <v>22</v>
      </c>
      <c r="AK61" s="126">
        <f>SUM(AF60:AK60)</f>
        <v>0</v>
      </c>
    </row>
    <row r="62" spans="1:37" ht="15.75" thickBot="1" x14ac:dyDescent="0.3">
      <c r="A62" s="132"/>
      <c r="B62" s="191" t="s">
        <v>12</v>
      </c>
      <c r="C62" s="191"/>
      <c r="D62" s="191"/>
      <c r="E62" s="191"/>
      <c r="F62" s="191"/>
      <c r="G62" s="191"/>
      <c r="H62" s="191"/>
      <c r="J62" s="192" t="s">
        <v>12</v>
      </c>
      <c r="K62" s="192"/>
      <c r="L62" s="192"/>
      <c r="M62" s="192"/>
      <c r="N62" s="192"/>
      <c r="O62" s="192"/>
      <c r="P62" s="192"/>
      <c r="Q62" s="192"/>
      <c r="R62" s="192"/>
      <c r="S62" s="192"/>
      <c r="T62" s="192"/>
      <c r="U62" s="192"/>
      <c r="W62" s="193" t="str">
        <f t="shared" ref="W62" si="0">J62</f>
        <v>Março</v>
      </c>
      <c r="X62" s="193"/>
      <c r="Y62" s="193"/>
      <c r="Z62" s="193"/>
      <c r="AA62" s="193"/>
      <c r="AB62" s="193"/>
      <c r="AC62" s="193"/>
      <c r="AE62" s="194" t="str">
        <f t="shared" ref="AE62" si="1">W62</f>
        <v>Março</v>
      </c>
      <c r="AF62" s="194"/>
      <c r="AG62" s="194"/>
      <c r="AH62" s="194"/>
      <c r="AI62" s="194"/>
      <c r="AJ62" s="194"/>
      <c r="AK62" s="194"/>
    </row>
    <row r="63" spans="1:37" ht="15.75" thickBot="1" x14ac:dyDescent="0.3">
      <c r="A63" s="190" t="s">
        <v>4</v>
      </c>
      <c r="B63" s="105" t="s">
        <v>5</v>
      </c>
      <c r="C63" s="106" t="s">
        <v>6</v>
      </c>
      <c r="D63" s="107" t="s">
        <v>7</v>
      </c>
      <c r="E63" s="106" t="s">
        <v>8</v>
      </c>
      <c r="F63" s="108" t="s">
        <v>9</v>
      </c>
      <c r="G63" s="109" t="s">
        <v>10</v>
      </c>
      <c r="H63" s="110" t="s">
        <v>11</v>
      </c>
      <c r="J63" s="115" t="s">
        <v>3</v>
      </c>
      <c r="K63" s="112">
        <v>45724</v>
      </c>
      <c r="L63" s="127">
        <v>45728</v>
      </c>
      <c r="M63" s="127">
        <v>45731</v>
      </c>
      <c r="N63" s="127">
        <v>45735</v>
      </c>
      <c r="O63" s="127">
        <v>45737</v>
      </c>
      <c r="P63" s="127">
        <v>45742</v>
      </c>
      <c r="Q63" s="127">
        <v>45744</v>
      </c>
      <c r="R63" s="113"/>
      <c r="S63" s="113"/>
      <c r="T63" s="113"/>
      <c r="U63" s="114"/>
      <c r="W63" s="115" t="s">
        <v>3</v>
      </c>
      <c r="X63" s="112"/>
      <c r="Y63" s="113"/>
      <c r="Z63" s="113"/>
      <c r="AA63" s="113"/>
      <c r="AB63" s="113"/>
      <c r="AC63" s="114"/>
      <c r="AE63" s="115" t="s">
        <v>3</v>
      </c>
      <c r="AF63" s="112"/>
      <c r="AG63" s="113"/>
      <c r="AH63" s="113"/>
      <c r="AI63" s="113"/>
      <c r="AJ63" s="113"/>
      <c r="AK63" s="114"/>
    </row>
    <row r="64" spans="1:37" ht="15.75" thickBot="1" x14ac:dyDescent="0.3">
      <c r="A64" s="190"/>
      <c r="B64" s="117">
        <v>75654</v>
      </c>
      <c r="C64" s="117">
        <v>76769</v>
      </c>
      <c r="D64" s="117">
        <v>76769</v>
      </c>
      <c r="E64" s="117">
        <v>78740</v>
      </c>
      <c r="F64" s="117">
        <f t="shared" ref="F64" si="2">SUM(C64-B64)</f>
        <v>1115</v>
      </c>
      <c r="G64" s="118">
        <f t="shared" ref="G64" si="3">SUM(E64-D64)</f>
        <v>1971</v>
      </c>
      <c r="H64" s="119">
        <f t="shared" ref="H64" si="4">SUM(F64:G64)</f>
        <v>3086</v>
      </c>
      <c r="J64" s="124" t="s">
        <v>21</v>
      </c>
      <c r="K64" s="121">
        <v>203.52</v>
      </c>
      <c r="L64" s="122">
        <v>195</v>
      </c>
      <c r="M64" s="122">
        <v>263.18</v>
      </c>
      <c r="N64" s="122">
        <v>159.44</v>
      </c>
      <c r="O64" s="122">
        <v>224.7</v>
      </c>
      <c r="P64" s="122">
        <v>158.91999999999999</v>
      </c>
      <c r="Q64" s="122">
        <v>227.18</v>
      </c>
      <c r="R64" s="122"/>
      <c r="S64" s="122"/>
      <c r="T64" s="122"/>
      <c r="U64" s="123"/>
      <c r="W64" s="124" t="s">
        <v>21</v>
      </c>
      <c r="X64" s="121"/>
      <c r="Y64" s="122"/>
      <c r="Z64" s="122"/>
      <c r="AA64" s="122"/>
      <c r="AB64" s="122"/>
      <c r="AC64" s="123"/>
      <c r="AE64" s="124" t="s">
        <v>21</v>
      </c>
      <c r="AF64" s="121"/>
      <c r="AG64" s="122"/>
      <c r="AH64" s="122"/>
      <c r="AI64" s="122"/>
      <c r="AJ64" s="122"/>
      <c r="AK64" s="123"/>
    </row>
    <row r="65" spans="1:37" x14ac:dyDescent="0.25">
      <c r="A65" s="135" t="s">
        <v>120</v>
      </c>
      <c r="J65" s="125"/>
      <c r="T65" s="125" t="s">
        <v>22</v>
      </c>
      <c r="U65" s="126">
        <f t="shared" ref="U65" si="5">SUM(K64:U64)</f>
        <v>1431.9400000000003</v>
      </c>
      <c r="AB65" s="125" t="s">
        <v>22</v>
      </c>
      <c r="AC65" s="126">
        <f t="shared" ref="AC65" si="6">SUM(X64:AC64)</f>
        <v>0</v>
      </c>
      <c r="AJ65" s="125" t="s">
        <v>22</v>
      </c>
      <c r="AK65" s="126">
        <f t="shared" ref="AK65" si="7">SUM(AF64:AK64)</f>
        <v>0</v>
      </c>
    </row>
    <row r="66" spans="1:37" ht="15.75" thickBot="1" x14ac:dyDescent="0.3">
      <c r="A66" s="132"/>
      <c r="B66" s="191" t="s">
        <v>13</v>
      </c>
      <c r="C66" s="191"/>
      <c r="D66" s="191"/>
      <c r="E66" s="191"/>
      <c r="F66" s="191"/>
      <c r="G66" s="191"/>
      <c r="H66" s="191"/>
      <c r="J66" s="192" t="s">
        <v>13</v>
      </c>
      <c r="K66" s="192"/>
      <c r="L66" s="192"/>
      <c r="M66" s="192"/>
      <c r="N66" s="192"/>
      <c r="O66" s="192"/>
      <c r="P66" s="192"/>
      <c r="Q66" s="192"/>
      <c r="R66" s="192"/>
      <c r="S66" s="192"/>
      <c r="T66" s="192"/>
      <c r="U66" s="192"/>
      <c r="W66" s="193" t="str">
        <f t="shared" ref="W66" si="8">J66</f>
        <v>Abril</v>
      </c>
      <c r="X66" s="193"/>
      <c r="Y66" s="193"/>
      <c r="Z66" s="193"/>
      <c r="AA66" s="193"/>
      <c r="AB66" s="193"/>
      <c r="AC66" s="193"/>
      <c r="AE66" s="194" t="str">
        <f t="shared" ref="AE66" si="9">W66</f>
        <v>Abril</v>
      </c>
      <c r="AF66" s="194"/>
      <c r="AG66" s="194"/>
      <c r="AH66" s="194"/>
      <c r="AI66" s="194"/>
      <c r="AJ66" s="194"/>
      <c r="AK66" s="194"/>
    </row>
    <row r="67" spans="1:37" ht="15.75" thickBot="1" x14ac:dyDescent="0.3">
      <c r="A67" s="190" t="s">
        <v>4</v>
      </c>
      <c r="B67" s="105" t="s">
        <v>5</v>
      </c>
      <c r="C67" s="106" t="s">
        <v>6</v>
      </c>
      <c r="D67" s="107" t="s">
        <v>7</v>
      </c>
      <c r="E67" s="106" t="s">
        <v>8</v>
      </c>
      <c r="F67" s="108" t="s">
        <v>9</v>
      </c>
      <c r="G67" s="109" t="s">
        <v>10</v>
      </c>
      <c r="H67" s="110" t="s">
        <v>11</v>
      </c>
      <c r="J67" s="115" t="s">
        <v>3</v>
      </c>
      <c r="K67" s="112">
        <v>45748</v>
      </c>
      <c r="L67" s="127">
        <v>45752</v>
      </c>
      <c r="M67" s="127">
        <v>45757</v>
      </c>
      <c r="N67" s="127">
        <v>45759</v>
      </c>
      <c r="O67" s="127">
        <v>45762</v>
      </c>
      <c r="P67" s="127">
        <v>45766</v>
      </c>
      <c r="Q67" s="127">
        <v>45771</v>
      </c>
      <c r="R67" s="127">
        <v>45776</v>
      </c>
      <c r="S67" s="113"/>
      <c r="T67" s="113"/>
      <c r="U67" s="114"/>
      <c r="W67" s="115" t="s">
        <v>3</v>
      </c>
      <c r="X67" s="112"/>
      <c r="Y67" s="113"/>
      <c r="Z67" s="113"/>
      <c r="AA67" s="113"/>
      <c r="AB67" s="113"/>
      <c r="AC67" s="114"/>
      <c r="AE67" s="115" t="s">
        <v>3</v>
      </c>
      <c r="AF67" s="112"/>
      <c r="AG67" s="113"/>
      <c r="AH67" s="113"/>
      <c r="AI67" s="113"/>
      <c r="AJ67" s="113"/>
      <c r="AK67" s="114"/>
    </row>
    <row r="68" spans="1:37" ht="15.75" thickBot="1" x14ac:dyDescent="0.3">
      <c r="A68" s="190"/>
      <c r="B68" s="117">
        <v>78740</v>
      </c>
      <c r="C68" s="117">
        <v>80217</v>
      </c>
      <c r="D68" s="117">
        <v>80217</v>
      </c>
      <c r="E68" s="117">
        <v>81579</v>
      </c>
      <c r="F68" s="117">
        <f t="shared" ref="F68" si="10">SUM(C68-B68)</f>
        <v>1477</v>
      </c>
      <c r="G68" s="118">
        <f t="shared" ref="G68" si="11">SUM(E68-D68)</f>
        <v>1362</v>
      </c>
      <c r="H68" s="119">
        <f t="shared" ref="H68" si="12">SUM(F68:G68)</f>
        <v>2839</v>
      </c>
      <c r="J68" s="124" t="s">
        <v>21</v>
      </c>
      <c r="K68" s="121">
        <v>219.71</v>
      </c>
      <c r="L68" s="122">
        <v>224.93</v>
      </c>
      <c r="M68" s="122">
        <v>248.9</v>
      </c>
      <c r="N68" s="122">
        <v>125.93</v>
      </c>
      <c r="O68" s="122">
        <v>180.9</v>
      </c>
      <c r="P68" s="122">
        <v>226.94</v>
      </c>
      <c r="Q68" s="122">
        <v>228.01</v>
      </c>
      <c r="R68" s="122">
        <v>234.03</v>
      </c>
      <c r="S68" s="122"/>
      <c r="T68" s="122"/>
      <c r="U68" s="123"/>
      <c r="W68" s="124" t="s">
        <v>21</v>
      </c>
      <c r="X68" s="121"/>
      <c r="Y68" s="122"/>
      <c r="Z68" s="122"/>
      <c r="AA68" s="122"/>
      <c r="AB68" s="122"/>
      <c r="AC68" s="123"/>
      <c r="AE68" s="124" t="s">
        <v>21</v>
      </c>
      <c r="AF68" s="121"/>
      <c r="AG68" s="122"/>
      <c r="AH68" s="122"/>
      <c r="AI68" s="122"/>
      <c r="AJ68" s="122"/>
      <c r="AK68" s="123"/>
    </row>
    <row r="69" spans="1:37" x14ac:dyDescent="0.25">
      <c r="J69" s="125"/>
      <c r="T69" s="125" t="s">
        <v>22</v>
      </c>
      <c r="U69" s="126">
        <f t="shared" ref="U69" si="13">SUM(K68:U68)</f>
        <v>1689.35</v>
      </c>
      <c r="AB69" s="125" t="s">
        <v>22</v>
      </c>
      <c r="AC69" s="126">
        <f t="shared" ref="AC69" si="14">SUM(X68:AC68)</f>
        <v>0</v>
      </c>
      <c r="AJ69" s="125" t="s">
        <v>22</v>
      </c>
      <c r="AK69" s="126">
        <f t="shared" ref="AK69" si="15">SUM(AF68:AK68)</f>
        <v>0</v>
      </c>
    </row>
    <row r="70" spans="1:37" ht="15.75" thickBot="1" x14ac:dyDescent="0.3">
      <c r="A70" s="132"/>
      <c r="B70" s="191" t="s">
        <v>14</v>
      </c>
      <c r="C70" s="191"/>
      <c r="D70" s="191"/>
      <c r="E70" s="191"/>
      <c r="F70" s="191"/>
      <c r="G70" s="191"/>
      <c r="H70" s="191"/>
      <c r="J70" s="192" t="s">
        <v>14</v>
      </c>
      <c r="K70" s="192"/>
      <c r="L70" s="192"/>
      <c r="M70" s="192"/>
      <c r="N70" s="192"/>
      <c r="O70" s="192"/>
      <c r="P70" s="192"/>
      <c r="Q70" s="192"/>
      <c r="R70" s="192"/>
      <c r="S70" s="192"/>
      <c r="T70" s="192"/>
      <c r="U70" s="192"/>
      <c r="W70" s="193" t="str">
        <f t="shared" ref="W70" si="16">J70</f>
        <v>Maio</v>
      </c>
      <c r="X70" s="193"/>
      <c r="Y70" s="193"/>
      <c r="Z70" s="193"/>
      <c r="AA70" s="193"/>
      <c r="AB70" s="193"/>
      <c r="AC70" s="193"/>
      <c r="AE70" s="194" t="str">
        <f t="shared" ref="AE70" si="17">W70</f>
        <v>Maio</v>
      </c>
      <c r="AF70" s="194"/>
      <c r="AG70" s="194"/>
      <c r="AH70" s="194"/>
      <c r="AI70" s="194"/>
      <c r="AJ70" s="194"/>
      <c r="AK70" s="194"/>
    </row>
    <row r="71" spans="1:37" ht="15.75" thickBot="1" x14ac:dyDescent="0.3">
      <c r="A71" s="190" t="s">
        <v>4</v>
      </c>
      <c r="B71" s="105" t="s">
        <v>5</v>
      </c>
      <c r="C71" s="106" t="s">
        <v>6</v>
      </c>
      <c r="D71" s="107" t="s">
        <v>7</v>
      </c>
      <c r="E71" s="106" t="s">
        <v>8</v>
      </c>
      <c r="F71" s="108" t="s">
        <v>9</v>
      </c>
      <c r="G71" s="109" t="s">
        <v>10</v>
      </c>
      <c r="H71" s="110" t="s">
        <v>11</v>
      </c>
      <c r="J71" s="115" t="s">
        <v>3</v>
      </c>
      <c r="K71" s="112">
        <v>45790</v>
      </c>
      <c r="L71" s="127">
        <v>45794</v>
      </c>
      <c r="M71" s="127">
        <v>45797</v>
      </c>
      <c r="N71" s="127">
        <v>45800</v>
      </c>
      <c r="O71" s="127">
        <v>45806</v>
      </c>
      <c r="P71" s="127">
        <v>45808</v>
      </c>
      <c r="Q71" s="113"/>
      <c r="R71" s="113"/>
      <c r="S71" s="113"/>
      <c r="T71" s="113"/>
      <c r="U71" s="114"/>
      <c r="W71" s="115" t="s">
        <v>3</v>
      </c>
      <c r="X71" s="112"/>
      <c r="Y71" s="113"/>
      <c r="Z71" s="113"/>
      <c r="AA71" s="113"/>
      <c r="AB71" s="113"/>
      <c r="AC71" s="114"/>
      <c r="AE71" s="115" t="s">
        <v>3</v>
      </c>
      <c r="AF71" s="112"/>
      <c r="AG71" s="113"/>
      <c r="AH71" s="113"/>
      <c r="AI71" s="113"/>
      <c r="AJ71" s="113"/>
      <c r="AK71" s="114"/>
    </row>
    <row r="72" spans="1:37" ht="15.75" thickBot="1" x14ac:dyDescent="0.3">
      <c r="A72" s="190"/>
      <c r="B72" s="117">
        <v>81579</v>
      </c>
      <c r="C72" s="117">
        <v>81999</v>
      </c>
      <c r="D72" s="117">
        <v>81999</v>
      </c>
      <c r="E72" s="117">
        <v>83778</v>
      </c>
      <c r="F72" s="117">
        <f t="shared" ref="F72" si="18">SUM(C72-B72)</f>
        <v>420</v>
      </c>
      <c r="G72" s="118">
        <f t="shared" ref="G72" si="19">SUM(E72-D72)</f>
        <v>1779</v>
      </c>
      <c r="H72" s="119">
        <f t="shared" ref="H72" si="20">SUM(F72:G72)</f>
        <v>2199</v>
      </c>
      <c r="J72" s="124" t="s">
        <v>21</v>
      </c>
      <c r="K72" s="121">
        <v>158.38</v>
      </c>
      <c r="L72" s="122">
        <v>224.4</v>
      </c>
      <c r="M72" s="122">
        <v>218.79</v>
      </c>
      <c r="N72" s="122">
        <v>243.04</v>
      </c>
      <c r="O72" s="122">
        <v>222.92</v>
      </c>
      <c r="P72" s="122">
        <v>202.81</v>
      </c>
      <c r="Q72" s="122"/>
      <c r="R72" s="122"/>
      <c r="S72" s="122"/>
      <c r="T72" s="122"/>
      <c r="U72" s="123"/>
      <c r="W72" s="124" t="s">
        <v>21</v>
      </c>
      <c r="X72" s="121"/>
      <c r="Y72" s="122"/>
      <c r="Z72" s="122"/>
      <c r="AA72" s="122"/>
      <c r="AB72" s="122"/>
      <c r="AC72" s="123"/>
      <c r="AE72" s="124" t="s">
        <v>21</v>
      </c>
      <c r="AF72" s="121"/>
      <c r="AG72" s="122"/>
      <c r="AH72" s="122"/>
      <c r="AI72" s="122"/>
      <c r="AJ72" s="122"/>
      <c r="AK72" s="123"/>
    </row>
    <row r="73" spans="1:37" x14ac:dyDescent="0.25">
      <c r="J73" s="125"/>
      <c r="T73" s="125" t="s">
        <v>22</v>
      </c>
      <c r="U73" s="126">
        <f t="shared" ref="U73" si="21">SUM(K72:U72)</f>
        <v>1270.3399999999999</v>
      </c>
      <c r="AB73" s="125" t="s">
        <v>22</v>
      </c>
      <c r="AC73" s="126">
        <f t="shared" ref="AC73" si="22">SUM(X72:AC72)</f>
        <v>0</v>
      </c>
      <c r="AJ73" s="125" t="s">
        <v>22</v>
      </c>
      <c r="AK73" s="126">
        <f t="shared" ref="AK73" si="23">SUM(AF72:AK72)</f>
        <v>0</v>
      </c>
    </row>
    <row r="74" spans="1:37" ht="15.75" thickBot="1" x14ac:dyDescent="0.3">
      <c r="A74" s="132"/>
      <c r="B74" s="191" t="s">
        <v>23</v>
      </c>
      <c r="C74" s="191"/>
      <c r="D74" s="191"/>
      <c r="E74" s="191"/>
      <c r="F74" s="191"/>
      <c r="G74" s="191"/>
      <c r="H74" s="191"/>
      <c r="J74" s="192" t="s">
        <v>23</v>
      </c>
      <c r="K74" s="192"/>
      <c r="L74" s="192"/>
      <c r="M74" s="192"/>
      <c r="N74" s="192"/>
      <c r="O74" s="192"/>
      <c r="P74" s="192"/>
      <c r="Q74" s="192"/>
      <c r="R74" s="192"/>
      <c r="S74" s="192"/>
      <c r="T74" s="192"/>
      <c r="U74" s="192"/>
      <c r="W74" s="193" t="str">
        <f t="shared" ref="W74" si="24">J74</f>
        <v>Junho</v>
      </c>
      <c r="X74" s="193"/>
      <c r="Y74" s="193"/>
      <c r="Z74" s="193"/>
      <c r="AA74" s="193"/>
      <c r="AB74" s="193"/>
      <c r="AC74" s="193"/>
      <c r="AE74" s="194" t="str">
        <f t="shared" ref="AE74" si="25">W74</f>
        <v>Junho</v>
      </c>
      <c r="AF74" s="194"/>
      <c r="AG74" s="194"/>
      <c r="AH74" s="194"/>
      <c r="AI74" s="194"/>
      <c r="AJ74" s="194"/>
      <c r="AK74" s="194"/>
    </row>
    <row r="75" spans="1:37" ht="15.75" thickBot="1" x14ac:dyDescent="0.3">
      <c r="A75" s="190" t="s">
        <v>4</v>
      </c>
      <c r="B75" s="105" t="s">
        <v>5</v>
      </c>
      <c r="C75" s="106" t="s">
        <v>6</v>
      </c>
      <c r="D75" s="107" t="s">
        <v>7</v>
      </c>
      <c r="E75" s="106" t="s">
        <v>8</v>
      </c>
      <c r="F75" s="108" t="s">
        <v>9</v>
      </c>
      <c r="G75" s="109" t="s">
        <v>10</v>
      </c>
      <c r="H75" s="110" t="s">
        <v>11</v>
      </c>
      <c r="J75" s="115" t="s">
        <v>3</v>
      </c>
      <c r="K75" s="112">
        <v>45813</v>
      </c>
      <c r="L75" s="127">
        <v>45815</v>
      </c>
      <c r="M75" s="127">
        <v>45820</v>
      </c>
      <c r="N75" s="127">
        <v>45825</v>
      </c>
      <c r="O75" s="127">
        <v>45832</v>
      </c>
      <c r="P75" s="127">
        <v>45834</v>
      </c>
      <c r="Q75" s="113"/>
      <c r="R75" s="113"/>
      <c r="S75" s="113"/>
      <c r="T75" s="113"/>
      <c r="U75" s="114"/>
      <c r="W75" s="115" t="s">
        <v>3</v>
      </c>
      <c r="X75" s="112"/>
      <c r="Y75" s="113"/>
      <c r="Z75" s="113"/>
      <c r="AA75" s="113"/>
      <c r="AB75" s="113"/>
      <c r="AC75" s="114"/>
      <c r="AE75" s="115" t="s">
        <v>3</v>
      </c>
      <c r="AF75" s="112"/>
      <c r="AG75" s="113"/>
      <c r="AH75" s="113"/>
      <c r="AI75" s="113"/>
      <c r="AJ75" s="113"/>
      <c r="AK75" s="114"/>
    </row>
    <row r="76" spans="1:37" ht="15.75" thickBot="1" x14ac:dyDescent="0.3">
      <c r="A76" s="190"/>
      <c r="B76" s="117">
        <v>83778</v>
      </c>
      <c r="C76" s="117">
        <v>85026</v>
      </c>
      <c r="D76" s="117">
        <v>85026</v>
      </c>
      <c r="E76" s="117">
        <v>85867</v>
      </c>
      <c r="F76" s="117">
        <f t="shared" ref="F76" si="26">SUM(C76-B76)</f>
        <v>1248</v>
      </c>
      <c r="G76" s="118">
        <f t="shared" ref="G76" si="27">SUM(E76-D76)</f>
        <v>841</v>
      </c>
      <c r="H76" s="119">
        <f t="shared" ref="H76" si="28">SUM(F76:G76)</f>
        <v>2089</v>
      </c>
      <c r="J76" s="124" t="s">
        <v>21</v>
      </c>
      <c r="K76" s="121">
        <v>230.64</v>
      </c>
      <c r="L76" s="122">
        <v>153.68</v>
      </c>
      <c r="M76" s="122">
        <v>208.59</v>
      </c>
      <c r="N76" s="122">
        <v>154.59</v>
      </c>
      <c r="O76" s="122">
        <v>227.37</v>
      </c>
      <c r="P76" s="122">
        <v>140.82</v>
      </c>
      <c r="Q76" s="122"/>
      <c r="R76" s="122"/>
      <c r="S76" s="122"/>
      <c r="T76" s="122"/>
      <c r="U76" s="123"/>
      <c r="W76" s="124" t="s">
        <v>21</v>
      </c>
      <c r="X76" s="121"/>
      <c r="Y76" s="122"/>
      <c r="Z76" s="122"/>
      <c r="AA76" s="122"/>
      <c r="AB76" s="122"/>
      <c r="AC76" s="123"/>
      <c r="AE76" s="124" t="s">
        <v>21</v>
      </c>
      <c r="AF76" s="121"/>
      <c r="AG76" s="122"/>
      <c r="AH76" s="122"/>
      <c r="AI76" s="122"/>
      <c r="AJ76" s="122"/>
      <c r="AK76" s="123"/>
    </row>
    <row r="77" spans="1:37" x14ac:dyDescent="0.25">
      <c r="J77" s="125"/>
      <c r="T77" s="125" t="s">
        <v>22</v>
      </c>
      <c r="U77" s="126">
        <f t="shared" ref="U77" si="29">SUM(K76:U76)</f>
        <v>1115.69</v>
      </c>
      <c r="AB77" s="125" t="s">
        <v>22</v>
      </c>
      <c r="AC77" s="126">
        <f t="shared" ref="AC77" si="30">SUM(X76:AC76)</f>
        <v>0</v>
      </c>
      <c r="AJ77" s="125" t="s">
        <v>22</v>
      </c>
      <c r="AK77" s="126">
        <f t="shared" ref="AK77" si="31">SUM(AF76:AK76)</f>
        <v>0</v>
      </c>
    </row>
    <row r="78" spans="1:37" ht="15.75" thickBot="1" x14ac:dyDescent="0.3">
      <c r="A78" s="132"/>
      <c r="B78" s="191" t="s">
        <v>15</v>
      </c>
      <c r="C78" s="191"/>
      <c r="D78" s="191"/>
      <c r="E78" s="191"/>
      <c r="F78" s="191"/>
      <c r="G78" s="191"/>
      <c r="H78" s="191"/>
      <c r="J78" s="192" t="s">
        <v>15</v>
      </c>
      <c r="K78" s="192"/>
      <c r="L78" s="192"/>
      <c r="M78" s="192"/>
      <c r="N78" s="192"/>
      <c r="O78" s="192"/>
      <c r="P78" s="192"/>
      <c r="Q78" s="192"/>
      <c r="R78" s="192"/>
      <c r="S78" s="192"/>
      <c r="T78" s="192"/>
      <c r="U78" s="192"/>
      <c r="W78" s="193" t="str">
        <f t="shared" ref="W78" si="32">J78</f>
        <v>Julho</v>
      </c>
      <c r="X78" s="193"/>
      <c r="Y78" s="193"/>
      <c r="Z78" s="193"/>
      <c r="AA78" s="193"/>
      <c r="AB78" s="193"/>
      <c r="AC78" s="193"/>
      <c r="AE78" s="194" t="str">
        <f t="shared" ref="AE78" si="33">W78</f>
        <v>Julho</v>
      </c>
      <c r="AF78" s="194"/>
      <c r="AG78" s="194"/>
      <c r="AH78" s="194"/>
      <c r="AI78" s="194"/>
      <c r="AJ78" s="194"/>
      <c r="AK78" s="194"/>
    </row>
    <row r="79" spans="1:37" ht="15.75" thickBot="1" x14ac:dyDescent="0.3">
      <c r="A79" s="190" t="s">
        <v>4</v>
      </c>
      <c r="B79" s="105" t="s">
        <v>5</v>
      </c>
      <c r="C79" s="106" t="s">
        <v>6</v>
      </c>
      <c r="D79" s="107" t="s">
        <v>7</v>
      </c>
      <c r="E79" s="106" t="s">
        <v>8</v>
      </c>
      <c r="F79" s="108" t="s">
        <v>9</v>
      </c>
      <c r="G79" s="109" t="s">
        <v>10</v>
      </c>
      <c r="H79" s="110" t="s">
        <v>11</v>
      </c>
      <c r="J79" s="115" t="s">
        <v>3</v>
      </c>
      <c r="K79" s="112">
        <v>45846</v>
      </c>
      <c r="L79" s="127">
        <v>45848</v>
      </c>
      <c r="M79" s="127">
        <v>45850</v>
      </c>
      <c r="N79" s="127">
        <v>45855</v>
      </c>
      <c r="O79" s="127">
        <v>45857</v>
      </c>
      <c r="P79" s="127">
        <v>45862</v>
      </c>
      <c r="Q79" s="127">
        <v>45864</v>
      </c>
      <c r="R79" s="127">
        <v>45869</v>
      </c>
      <c r="S79" s="113"/>
      <c r="T79" s="113"/>
      <c r="U79" s="114"/>
      <c r="W79" s="115" t="s">
        <v>3</v>
      </c>
      <c r="X79" s="112"/>
      <c r="Y79" s="113"/>
      <c r="Z79" s="113"/>
      <c r="AA79" s="113"/>
      <c r="AB79" s="113"/>
      <c r="AC79" s="114"/>
      <c r="AE79" s="115" t="s">
        <v>3</v>
      </c>
      <c r="AF79" s="112"/>
      <c r="AG79" s="113"/>
      <c r="AH79" s="113"/>
      <c r="AI79" s="113"/>
      <c r="AJ79" s="113"/>
      <c r="AK79" s="114"/>
    </row>
    <row r="80" spans="1:37" ht="15.75" thickBot="1" x14ac:dyDescent="0.3">
      <c r="A80" s="190"/>
      <c r="B80" s="116">
        <v>85867</v>
      </c>
      <c r="C80" s="117">
        <v>87032</v>
      </c>
      <c r="D80" s="117">
        <v>87032</v>
      </c>
      <c r="E80" s="117">
        <v>88863</v>
      </c>
      <c r="F80" s="117">
        <f t="shared" ref="F80" si="34">SUM(C80-B80)</f>
        <v>1165</v>
      </c>
      <c r="G80" s="118">
        <f t="shared" ref="G80" si="35">SUM(E80-D80)</f>
        <v>1831</v>
      </c>
      <c r="H80" s="119">
        <f t="shared" ref="H80" si="36">SUM(F80:G80)</f>
        <v>2996</v>
      </c>
      <c r="J80" s="124" t="s">
        <v>21</v>
      </c>
      <c r="K80" s="121">
        <v>168.17</v>
      </c>
      <c r="L80" s="121">
        <v>204.39</v>
      </c>
      <c r="M80" s="121">
        <v>153.13999999999999</v>
      </c>
      <c r="N80" s="122">
        <v>231.37</v>
      </c>
      <c r="O80" s="122">
        <v>150.18</v>
      </c>
      <c r="P80" s="122">
        <v>243.01</v>
      </c>
      <c r="Q80" s="122">
        <v>213.14</v>
      </c>
      <c r="R80" s="122">
        <v>233.71</v>
      </c>
      <c r="S80" s="122"/>
      <c r="T80" s="122"/>
      <c r="U80" s="123"/>
      <c r="W80" s="124" t="s">
        <v>21</v>
      </c>
      <c r="X80" s="121"/>
      <c r="Y80" s="122"/>
      <c r="Z80" s="122"/>
      <c r="AA80" s="122"/>
      <c r="AB80" s="122"/>
      <c r="AC80" s="123"/>
      <c r="AE80" s="124" t="s">
        <v>21</v>
      </c>
      <c r="AF80" s="121"/>
      <c r="AG80" s="122"/>
      <c r="AH80" s="122"/>
      <c r="AI80" s="122"/>
      <c r="AJ80" s="122"/>
      <c r="AK80" s="123"/>
    </row>
    <row r="81" spans="1:37" x14ac:dyDescent="0.25">
      <c r="J81" s="125"/>
      <c r="T81" s="125" t="s">
        <v>22</v>
      </c>
      <c r="U81" s="126">
        <f t="shared" ref="U81" si="37">SUM(K80:U80)</f>
        <v>1597.1100000000001</v>
      </c>
      <c r="AB81" s="125" t="s">
        <v>22</v>
      </c>
      <c r="AC81" s="126">
        <f t="shared" ref="AC81" si="38">SUM(X80:AC80)</f>
        <v>0</v>
      </c>
      <c r="AJ81" s="125" t="s">
        <v>22</v>
      </c>
      <c r="AK81" s="126">
        <f t="shared" ref="AK81" si="39">SUM(AF80:AK80)</f>
        <v>0</v>
      </c>
    </row>
    <row r="82" spans="1:37" ht="15.75" thickBot="1" x14ac:dyDescent="0.3">
      <c r="A82" s="132"/>
      <c r="B82" s="191" t="s">
        <v>16</v>
      </c>
      <c r="C82" s="191"/>
      <c r="D82" s="191"/>
      <c r="E82" s="191"/>
      <c r="F82" s="191"/>
      <c r="G82" s="191"/>
      <c r="H82" s="191"/>
      <c r="J82" s="192" t="s">
        <v>16</v>
      </c>
      <c r="K82" s="192"/>
      <c r="L82" s="192"/>
      <c r="M82" s="192"/>
      <c r="N82" s="192"/>
      <c r="O82" s="192"/>
      <c r="P82" s="192"/>
      <c r="Q82" s="192"/>
      <c r="R82" s="192"/>
      <c r="S82" s="192"/>
      <c r="T82" s="192"/>
      <c r="U82" s="192"/>
      <c r="W82" s="193" t="str">
        <f t="shared" ref="W82" si="40">J82</f>
        <v>Agosto</v>
      </c>
      <c r="X82" s="193"/>
      <c r="Y82" s="193"/>
      <c r="Z82" s="193"/>
      <c r="AA82" s="193"/>
      <c r="AB82" s="193"/>
      <c r="AC82" s="193"/>
      <c r="AE82" s="194" t="str">
        <f t="shared" ref="AE82" si="41">W82</f>
        <v>Agosto</v>
      </c>
      <c r="AF82" s="194"/>
      <c r="AG82" s="194"/>
      <c r="AH82" s="194"/>
      <c r="AI82" s="194"/>
      <c r="AJ82" s="194"/>
      <c r="AK82" s="194"/>
    </row>
    <row r="83" spans="1:37" ht="15.75" thickBot="1" x14ac:dyDescent="0.3">
      <c r="A83" s="190" t="s">
        <v>4</v>
      </c>
      <c r="B83" s="105" t="s">
        <v>5</v>
      </c>
      <c r="C83" s="106" t="s">
        <v>6</v>
      </c>
      <c r="D83" s="107" t="s">
        <v>7</v>
      </c>
      <c r="E83" s="106" t="s">
        <v>8</v>
      </c>
      <c r="F83" s="108" t="s">
        <v>9</v>
      </c>
      <c r="G83" s="109" t="s">
        <v>10</v>
      </c>
      <c r="H83" s="110" t="s">
        <v>11</v>
      </c>
      <c r="J83" s="115" t="s">
        <v>3</v>
      </c>
      <c r="K83" s="112">
        <v>45871</v>
      </c>
      <c r="L83" s="127">
        <v>45876</v>
      </c>
      <c r="M83" s="127">
        <v>45881</v>
      </c>
      <c r="N83" s="127">
        <v>45885</v>
      </c>
      <c r="O83" s="127">
        <v>45888</v>
      </c>
      <c r="P83" s="127">
        <v>45890</v>
      </c>
      <c r="Q83" s="113"/>
      <c r="R83" s="113"/>
      <c r="S83" s="113"/>
      <c r="T83" s="113"/>
      <c r="U83" s="114"/>
      <c r="W83" s="115" t="s">
        <v>3</v>
      </c>
      <c r="X83" s="112"/>
      <c r="Y83" s="113"/>
      <c r="Z83" s="113"/>
      <c r="AA83" s="113"/>
      <c r="AB83" s="113"/>
      <c r="AC83" s="114"/>
      <c r="AE83" s="115" t="s">
        <v>3</v>
      </c>
      <c r="AF83" s="112"/>
      <c r="AG83" s="113"/>
      <c r="AH83" s="113"/>
      <c r="AI83" s="113"/>
      <c r="AJ83" s="113"/>
      <c r="AK83" s="114"/>
    </row>
    <row r="84" spans="1:37" ht="15.75" thickBot="1" x14ac:dyDescent="0.3">
      <c r="A84" s="190"/>
      <c r="B84" s="117">
        <v>88863</v>
      </c>
      <c r="C84" s="117">
        <v>90278</v>
      </c>
      <c r="D84" s="117">
        <v>90278</v>
      </c>
      <c r="E84" s="117">
        <v>90957</v>
      </c>
      <c r="F84" s="117">
        <f t="shared" ref="F84" si="42">SUM(C84-B84)</f>
        <v>1415</v>
      </c>
      <c r="G84" s="118">
        <f t="shared" ref="G84" si="43">SUM(E84-D84)</f>
        <v>679</v>
      </c>
      <c r="H84" s="119">
        <f t="shared" ref="H84" si="44">SUM(F84:G84)</f>
        <v>2094</v>
      </c>
      <c r="J84" s="124" t="s">
        <v>21</v>
      </c>
      <c r="K84" s="121">
        <v>163.61000000000001</v>
      </c>
      <c r="L84" s="121">
        <v>244.25</v>
      </c>
      <c r="M84" s="121">
        <v>234.14</v>
      </c>
      <c r="N84" s="142">
        <v>213.07</v>
      </c>
      <c r="O84" s="142">
        <v>191.21</v>
      </c>
      <c r="P84" s="142">
        <v>149.18</v>
      </c>
      <c r="Q84" s="122"/>
      <c r="R84" s="122"/>
      <c r="S84" s="122"/>
      <c r="T84" s="122"/>
      <c r="U84" s="123"/>
      <c r="W84" s="124" t="s">
        <v>21</v>
      </c>
      <c r="X84" s="121"/>
      <c r="Y84" s="122"/>
      <c r="Z84" s="122"/>
      <c r="AA84" s="122"/>
      <c r="AB84" s="122"/>
      <c r="AC84" s="123"/>
      <c r="AE84" s="124" t="s">
        <v>21</v>
      </c>
      <c r="AF84" s="121"/>
      <c r="AG84" s="122"/>
      <c r="AH84" s="122"/>
      <c r="AI84" s="122"/>
      <c r="AJ84" s="122"/>
      <c r="AK84" s="123"/>
    </row>
    <row r="85" spans="1:37" x14ac:dyDescent="0.25">
      <c r="J85" s="125"/>
      <c r="T85" s="125" t="s">
        <v>22</v>
      </c>
      <c r="U85" s="126">
        <f t="shared" ref="U85" si="45">SUM(K84:U84)</f>
        <v>1195.46</v>
      </c>
      <c r="AB85" s="125" t="s">
        <v>22</v>
      </c>
      <c r="AC85" s="126">
        <f t="shared" ref="AC85" si="46">SUM(X84:AC84)</f>
        <v>0</v>
      </c>
      <c r="AJ85" s="125" t="s">
        <v>22</v>
      </c>
      <c r="AK85" s="126">
        <f t="shared" ref="AK85" si="47">SUM(AF84:AK84)</f>
        <v>0</v>
      </c>
    </row>
    <row r="86" spans="1:37" ht="15.75" thickBot="1" x14ac:dyDescent="0.3">
      <c r="A86" s="132"/>
      <c r="B86" s="191" t="s">
        <v>17</v>
      </c>
      <c r="C86" s="191"/>
      <c r="D86" s="191"/>
      <c r="E86" s="191"/>
      <c r="F86" s="191"/>
      <c r="G86" s="191"/>
      <c r="H86" s="191"/>
      <c r="J86" s="192" t="s">
        <v>17</v>
      </c>
      <c r="K86" s="192"/>
      <c r="L86" s="192"/>
      <c r="M86" s="192"/>
      <c r="N86" s="192"/>
      <c r="O86" s="192"/>
      <c r="P86" s="192"/>
      <c r="Q86" s="192"/>
      <c r="R86" s="192"/>
      <c r="S86" s="192"/>
      <c r="T86" s="192"/>
      <c r="U86" s="192"/>
      <c r="W86" s="193" t="str">
        <f t="shared" ref="W86" si="48">J86</f>
        <v>Setembro</v>
      </c>
      <c r="X86" s="193"/>
      <c r="Y86" s="193"/>
      <c r="Z86" s="193"/>
      <c r="AA86" s="193"/>
      <c r="AB86" s="193"/>
      <c r="AC86" s="193"/>
      <c r="AE86" s="194" t="str">
        <f t="shared" ref="AE86" si="49">W86</f>
        <v>Setembro</v>
      </c>
      <c r="AF86" s="194"/>
      <c r="AG86" s="194"/>
      <c r="AH86" s="194"/>
      <c r="AI86" s="194"/>
      <c r="AJ86" s="194"/>
      <c r="AK86" s="194"/>
    </row>
    <row r="87" spans="1:37" ht="15.75" thickBot="1" x14ac:dyDescent="0.3">
      <c r="A87" s="190" t="s">
        <v>4</v>
      </c>
      <c r="B87" s="105" t="s">
        <v>5</v>
      </c>
      <c r="C87" s="106" t="s">
        <v>6</v>
      </c>
      <c r="D87" s="107" t="s">
        <v>7</v>
      </c>
      <c r="E87" s="106" t="s">
        <v>8</v>
      </c>
      <c r="F87" s="108" t="s">
        <v>9</v>
      </c>
      <c r="G87" s="109" t="s">
        <v>10</v>
      </c>
      <c r="H87" s="110" t="s">
        <v>11</v>
      </c>
      <c r="J87" s="115" t="s">
        <v>3</v>
      </c>
      <c r="K87" s="112">
        <v>45904</v>
      </c>
      <c r="L87" s="127">
        <v>45906</v>
      </c>
      <c r="M87" s="127">
        <v>45911</v>
      </c>
      <c r="N87" s="127">
        <v>45913</v>
      </c>
      <c r="O87" s="127">
        <v>45918</v>
      </c>
      <c r="P87" s="127">
        <v>45920</v>
      </c>
      <c r="Q87" s="127">
        <v>45923</v>
      </c>
      <c r="R87" s="127">
        <v>45925</v>
      </c>
      <c r="S87" s="127">
        <v>45927</v>
      </c>
      <c r="T87" s="127">
        <v>45930</v>
      </c>
      <c r="U87" s="114"/>
      <c r="W87" s="115" t="s">
        <v>3</v>
      </c>
      <c r="X87" s="112"/>
      <c r="Y87" s="113"/>
      <c r="Z87" s="113"/>
      <c r="AA87" s="113"/>
      <c r="AB87" s="113"/>
      <c r="AC87" s="114"/>
      <c r="AE87" s="115" t="s">
        <v>3</v>
      </c>
      <c r="AF87" s="112"/>
      <c r="AG87" s="113"/>
      <c r="AH87" s="113"/>
      <c r="AI87" s="113"/>
      <c r="AJ87" s="113"/>
      <c r="AK87" s="114"/>
    </row>
    <row r="88" spans="1:37" ht="15.75" thickBot="1" x14ac:dyDescent="0.3">
      <c r="A88" s="190"/>
      <c r="B88" s="117">
        <v>90957</v>
      </c>
      <c r="C88" s="117">
        <v>92367</v>
      </c>
      <c r="D88" s="117">
        <v>92367</v>
      </c>
      <c r="E88" s="117">
        <v>93872</v>
      </c>
      <c r="F88" s="117">
        <f t="shared" ref="F88" si="50">SUM(C88-B88)</f>
        <v>1410</v>
      </c>
      <c r="G88" s="118">
        <f t="shared" ref="G88" si="51">SUM(E88-D88)</f>
        <v>1505</v>
      </c>
      <c r="H88" s="119">
        <f t="shared" ref="H88" si="52">SUM(F88:G88)</f>
        <v>2915</v>
      </c>
      <c r="J88" s="124" t="s">
        <v>21</v>
      </c>
      <c r="K88" s="121">
        <v>166.87</v>
      </c>
      <c r="L88" s="121">
        <v>202.57</v>
      </c>
      <c r="M88" s="121">
        <v>172.05</v>
      </c>
      <c r="N88" s="121">
        <v>159.65</v>
      </c>
      <c r="O88" s="122">
        <v>129.97</v>
      </c>
      <c r="P88" s="122">
        <v>161.09</v>
      </c>
      <c r="Q88" s="122">
        <v>85.78</v>
      </c>
      <c r="R88" s="122">
        <v>98.8</v>
      </c>
      <c r="S88" s="122">
        <v>147.62</v>
      </c>
      <c r="T88" s="122">
        <v>102.78</v>
      </c>
      <c r="U88" s="123"/>
      <c r="W88" s="124" t="s">
        <v>21</v>
      </c>
      <c r="X88" s="121"/>
      <c r="Y88" s="122"/>
      <c r="Z88" s="122"/>
      <c r="AA88" s="122"/>
      <c r="AB88" s="122"/>
      <c r="AC88" s="123"/>
      <c r="AE88" s="124" t="s">
        <v>21</v>
      </c>
      <c r="AF88" s="121"/>
      <c r="AG88" s="122"/>
      <c r="AH88" s="122"/>
      <c r="AI88" s="122"/>
      <c r="AJ88" s="122"/>
      <c r="AK88" s="123"/>
    </row>
    <row r="89" spans="1:37" x14ac:dyDescent="0.25">
      <c r="J89" s="125"/>
      <c r="T89" s="125" t="s">
        <v>22</v>
      </c>
      <c r="U89" s="126">
        <f t="shared" ref="U89" si="53">SUM(K88:U88)</f>
        <v>1427.18</v>
      </c>
      <c r="AB89" s="125" t="s">
        <v>22</v>
      </c>
      <c r="AC89" s="126">
        <f t="shared" ref="AC89" si="54">SUM(X88:AC88)</f>
        <v>0</v>
      </c>
      <c r="AJ89" s="125" t="s">
        <v>22</v>
      </c>
      <c r="AK89" s="126">
        <f t="shared" ref="AK89" si="55">SUM(AF88:AK88)</f>
        <v>0</v>
      </c>
    </row>
    <row r="90" spans="1:37" ht="15.75" thickBot="1" x14ac:dyDescent="0.3">
      <c r="A90" s="132"/>
      <c r="B90" s="191" t="s">
        <v>18</v>
      </c>
      <c r="C90" s="191"/>
      <c r="D90" s="191"/>
      <c r="E90" s="191"/>
      <c r="F90" s="191"/>
      <c r="G90" s="191"/>
      <c r="H90" s="191"/>
      <c r="J90" s="192" t="s">
        <v>18</v>
      </c>
      <c r="K90" s="192"/>
      <c r="L90" s="192"/>
      <c r="M90" s="192"/>
      <c r="N90" s="192"/>
      <c r="O90" s="192"/>
      <c r="P90" s="192"/>
      <c r="Q90" s="192"/>
      <c r="R90" s="192"/>
      <c r="S90" s="192"/>
      <c r="T90" s="192"/>
      <c r="U90" s="192"/>
      <c r="W90" s="193" t="str">
        <f t="shared" ref="W90" si="56">J90</f>
        <v>Outubro</v>
      </c>
      <c r="X90" s="193"/>
      <c r="Y90" s="193"/>
      <c r="Z90" s="193"/>
      <c r="AA90" s="193"/>
      <c r="AB90" s="193"/>
      <c r="AC90" s="193"/>
      <c r="AE90" s="194" t="str">
        <f t="shared" ref="AE90" si="57">W90</f>
        <v>Outubro</v>
      </c>
      <c r="AF90" s="194"/>
      <c r="AG90" s="194"/>
      <c r="AH90" s="194"/>
      <c r="AI90" s="194"/>
      <c r="AJ90" s="194"/>
      <c r="AK90" s="194"/>
    </row>
    <row r="91" spans="1:37" ht="15.75" thickBot="1" x14ac:dyDescent="0.3">
      <c r="A91" s="190" t="s">
        <v>4</v>
      </c>
      <c r="B91" s="105" t="s">
        <v>5</v>
      </c>
      <c r="C91" s="106" t="s">
        <v>6</v>
      </c>
      <c r="D91" s="107" t="s">
        <v>7</v>
      </c>
      <c r="E91" s="106" t="s">
        <v>8</v>
      </c>
      <c r="F91" s="108" t="s">
        <v>9</v>
      </c>
      <c r="G91" s="109" t="s">
        <v>10</v>
      </c>
      <c r="H91" s="110" t="s">
        <v>11</v>
      </c>
      <c r="J91" s="115" t="s">
        <v>3</v>
      </c>
      <c r="K91" s="112">
        <v>45934</v>
      </c>
      <c r="L91" s="127">
        <v>45937</v>
      </c>
      <c r="M91" s="127">
        <v>45941</v>
      </c>
      <c r="N91" s="127">
        <v>45948</v>
      </c>
      <c r="O91" s="127">
        <v>45953</v>
      </c>
      <c r="P91" s="127">
        <v>45955</v>
      </c>
      <c r="Q91" s="127">
        <v>45958</v>
      </c>
      <c r="R91" s="127">
        <v>45960</v>
      </c>
      <c r="S91" s="113"/>
      <c r="T91" s="113"/>
      <c r="U91" s="114"/>
      <c r="W91" s="115" t="s">
        <v>3</v>
      </c>
      <c r="X91" s="112"/>
      <c r="Y91" s="113"/>
      <c r="Z91" s="113"/>
      <c r="AA91" s="113"/>
      <c r="AB91" s="113"/>
      <c r="AC91" s="114"/>
      <c r="AE91" s="115" t="s">
        <v>3</v>
      </c>
      <c r="AF91" s="112"/>
      <c r="AG91" s="113"/>
      <c r="AH91" s="113"/>
      <c r="AI91" s="113"/>
      <c r="AJ91" s="113"/>
      <c r="AK91" s="114"/>
    </row>
    <row r="92" spans="1:37" ht="15.75" thickBot="1" x14ac:dyDescent="0.3">
      <c r="A92" s="190"/>
      <c r="B92" s="117">
        <v>93872</v>
      </c>
      <c r="C92" s="117">
        <v>95252</v>
      </c>
      <c r="D92" s="117">
        <v>95252</v>
      </c>
      <c r="E92" s="117">
        <v>96864</v>
      </c>
      <c r="F92" s="117">
        <f t="shared" ref="F92" si="58">SUM(C92-B92)</f>
        <v>1380</v>
      </c>
      <c r="G92" s="118">
        <f t="shared" ref="G92" si="59">SUM(E92-D92)</f>
        <v>1612</v>
      </c>
      <c r="H92" s="119">
        <f t="shared" ref="H92" si="60">SUM(F92:G92)</f>
        <v>2992</v>
      </c>
      <c r="J92" s="124" t="s">
        <v>21</v>
      </c>
      <c r="K92" s="121">
        <v>236.56</v>
      </c>
      <c r="L92" s="122">
        <v>237.82</v>
      </c>
      <c r="M92" s="122">
        <v>208.82</v>
      </c>
      <c r="N92" s="122">
        <v>150.83000000000001</v>
      </c>
      <c r="O92" s="142">
        <v>191.78</v>
      </c>
      <c r="P92" s="142">
        <v>213.1</v>
      </c>
      <c r="Q92" s="142">
        <v>147.12</v>
      </c>
      <c r="R92" s="142">
        <v>170.83</v>
      </c>
      <c r="S92" s="122"/>
      <c r="T92" s="122"/>
      <c r="U92" s="123"/>
      <c r="W92" s="124" t="s">
        <v>21</v>
      </c>
      <c r="X92" s="121"/>
      <c r="Y92" s="122"/>
      <c r="Z92" s="122"/>
      <c r="AA92" s="122"/>
      <c r="AB92" s="122"/>
      <c r="AC92" s="123"/>
      <c r="AE92" s="124" t="s">
        <v>21</v>
      </c>
      <c r="AF92" s="121"/>
      <c r="AG92" s="122"/>
      <c r="AH92" s="122"/>
      <c r="AI92" s="122"/>
      <c r="AJ92" s="122"/>
      <c r="AK92" s="123"/>
    </row>
    <row r="93" spans="1:37" x14ac:dyDescent="0.25">
      <c r="J93" s="125"/>
      <c r="T93" s="125" t="s">
        <v>22</v>
      </c>
      <c r="U93" s="126">
        <f t="shared" ref="U93" si="61">SUM(K92:U92)</f>
        <v>1556.8600000000001</v>
      </c>
      <c r="AB93" s="125" t="s">
        <v>22</v>
      </c>
      <c r="AC93" s="126">
        <f t="shared" ref="AC93" si="62">SUM(X92:AC92)</f>
        <v>0</v>
      </c>
      <c r="AJ93" s="125" t="s">
        <v>22</v>
      </c>
      <c r="AK93" s="126">
        <f t="shared" ref="AK93" si="63">SUM(AF92:AK92)</f>
        <v>0</v>
      </c>
    </row>
    <row r="94" spans="1:37" ht="15.75" thickBot="1" x14ac:dyDescent="0.3">
      <c r="A94" s="141" t="s">
        <v>149</v>
      </c>
      <c r="B94" s="191" t="s">
        <v>19</v>
      </c>
      <c r="C94" s="191"/>
      <c r="D94" s="191"/>
      <c r="E94" s="191"/>
      <c r="F94" s="191"/>
      <c r="G94" s="191"/>
      <c r="H94" s="191"/>
      <c r="J94" s="192" t="s">
        <v>19</v>
      </c>
      <c r="K94" s="192"/>
      <c r="L94" s="192"/>
      <c r="M94" s="192"/>
      <c r="N94" s="192"/>
      <c r="O94" s="192"/>
      <c r="P94" s="192"/>
      <c r="Q94" s="192"/>
      <c r="R94" s="192"/>
      <c r="S94" s="192"/>
      <c r="T94" s="192"/>
      <c r="U94" s="192"/>
      <c r="W94" s="193" t="str">
        <f t="shared" ref="W94" si="64">J94</f>
        <v>Novembro</v>
      </c>
      <c r="X94" s="193"/>
      <c r="Y94" s="193"/>
      <c r="Z94" s="193"/>
      <c r="AA94" s="193"/>
      <c r="AB94" s="193"/>
      <c r="AC94" s="193"/>
      <c r="AE94" s="194" t="str">
        <f t="shared" ref="AE94" si="65">W94</f>
        <v>Novembro</v>
      </c>
      <c r="AF94" s="194"/>
      <c r="AG94" s="194"/>
      <c r="AH94" s="194"/>
      <c r="AI94" s="194"/>
      <c r="AJ94" s="194"/>
      <c r="AK94" s="194"/>
    </row>
    <row r="95" spans="1:37" ht="15.75" thickBot="1" x14ac:dyDescent="0.3">
      <c r="A95" s="190" t="s">
        <v>4</v>
      </c>
      <c r="B95" s="105" t="s">
        <v>5</v>
      </c>
      <c r="C95" s="106" t="s">
        <v>6</v>
      </c>
      <c r="D95" s="107" t="s">
        <v>7</v>
      </c>
      <c r="E95" s="106" t="s">
        <v>8</v>
      </c>
      <c r="F95" s="108" t="s">
        <v>9</v>
      </c>
      <c r="G95" s="109" t="s">
        <v>10</v>
      </c>
      <c r="H95" s="110" t="s">
        <v>11</v>
      </c>
      <c r="J95" s="115" t="s">
        <v>3</v>
      </c>
      <c r="K95" s="112">
        <v>45974</v>
      </c>
      <c r="L95" s="127">
        <v>45979</v>
      </c>
      <c r="M95" s="127">
        <v>45981</v>
      </c>
      <c r="N95" s="127">
        <v>45986</v>
      </c>
      <c r="O95" s="127">
        <v>45988</v>
      </c>
      <c r="P95" s="127">
        <v>45989</v>
      </c>
      <c r="Q95" s="127"/>
      <c r="R95" s="127"/>
      <c r="S95" s="113"/>
      <c r="T95" s="113"/>
      <c r="U95" s="114"/>
      <c r="W95" s="115" t="s">
        <v>3</v>
      </c>
      <c r="X95" s="112"/>
      <c r="Y95" s="113"/>
      <c r="Z95" s="113"/>
      <c r="AA95" s="113"/>
      <c r="AB95" s="113"/>
      <c r="AC95" s="114"/>
      <c r="AE95" s="115" t="s">
        <v>3</v>
      </c>
      <c r="AF95" s="112"/>
      <c r="AG95" s="113"/>
      <c r="AH95" s="113"/>
      <c r="AI95" s="113"/>
      <c r="AJ95" s="113"/>
      <c r="AK95" s="114"/>
    </row>
    <row r="96" spans="1:37" ht="15.75" thickBot="1" x14ac:dyDescent="0.3">
      <c r="A96" s="190"/>
      <c r="B96" s="117">
        <v>96864</v>
      </c>
      <c r="C96" s="117">
        <v>97243</v>
      </c>
      <c r="D96" s="117">
        <v>97243</v>
      </c>
      <c r="E96" s="117">
        <v>98859</v>
      </c>
      <c r="F96" s="117">
        <f t="shared" ref="F96" si="66">SUM(C96-B96)</f>
        <v>379</v>
      </c>
      <c r="G96" s="118">
        <f t="shared" ref="G96" si="67">SUM(E96-D96)</f>
        <v>1616</v>
      </c>
      <c r="H96" s="119">
        <f t="shared" ref="H96" si="68">SUM(F96:G96)</f>
        <v>1995</v>
      </c>
      <c r="J96" s="124" t="s">
        <v>21</v>
      </c>
      <c r="K96" s="121">
        <v>211.09</v>
      </c>
      <c r="L96" s="121">
        <v>159.69999999999999</v>
      </c>
      <c r="M96" s="121">
        <v>195.05</v>
      </c>
      <c r="N96" s="121">
        <v>220.4</v>
      </c>
      <c r="O96" s="122">
        <v>211.98</v>
      </c>
      <c r="P96" s="122">
        <v>52.26</v>
      </c>
      <c r="Q96" s="122"/>
      <c r="R96" s="122"/>
      <c r="S96" s="122"/>
      <c r="T96" s="122"/>
      <c r="U96" s="123"/>
      <c r="W96" s="124" t="s">
        <v>21</v>
      </c>
      <c r="X96" s="121"/>
      <c r="Y96" s="122"/>
      <c r="Z96" s="122"/>
      <c r="AA96" s="122"/>
      <c r="AB96" s="122"/>
      <c r="AC96" s="123"/>
      <c r="AE96" s="124" t="s">
        <v>21</v>
      </c>
      <c r="AF96" s="121"/>
      <c r="AG96" s="122"/>
      <c r="AH96" s="122"/>
      <c r="AI96" s="122"/>
      <c r="AJ96" s="122"/>
      <c r="AK96" s="123"/>
    </row>
    <row r="97" spans="1:37" x14ac:dyDescent="0.25">
      <c r="J97" s="125"/>
      <c r="T97" s="125" t="s">
        <v>22</v>
      </c>
      <c r="U97" s="126">
        <f t="shared" ref="U97" si="69">SUM(K96:U96)</f>
        <v>1050.48</v>
      </c>
      <c r="AB97" s="125" t="s">
        <v>22</v>
      </c>
      <c r="AC97" s="126">
        <f t="shared" ref="AC97" si="70">SUM(X96:AC96)</f>
        <v>0</v>
      </c>
      <c r="AJ97" s="125" t="s">
        <v>22</v>
      </c>
      <c r="AK97" s="126">
        <f t="shared" ref="AK97" si="71">SUM(AF96:AK96)</f>
        <v>0</v>
      </c>
    </row>
    <row r="98" spans="1:37" ht="15.75" thickBot="1" x14ac:dyDescent="0.3">
      <c r="A98" s="141" t="s">
        <v>148</v>
      </c>
      <c r="B98" s="171" t="s">
        <v>20</v>
      </c>
      <c r="C98" s="171"/>
      <c r="D98" s="171"/>
      <c r="E98" s="171"/>
      <c r="F98" s="171"/>
      <c r="G98" s="171"/>
      <c r="H98" s="171"/>
      <c r="I98" s="1"/>
      <c r="J98" s="172" t="s">
        <v>20</v>
      </c>
      <c r="K98" s="172"/>
      <c r="L98" s="172"/>
      <c r="M98" s="172"/>
      <c r="N98" s="172"/>
      <c r="O98" s="172"/>
      <c r="P98" s="172"/>
      <c r="Q98" s="172"/>
      <c r="R98" s="172"/>
      <c r="S98" s="172"/>
      <c r="T98" s="172"/>
      <c r="U98" s="172"/>
      <c r="V98" s="1"/>
      <c r="W98" s="173" t="str">
        <f>J98</f>
        <v>Dezembro</v>
      </c>
      <c r="X98" s="173"/>
      <c r="Y98" s="173"/>
      <c r="Z98" s="173"/>
      <c r="AA98" s="173"/>
      <c r="AB98" s="173"/>
      <c r="AC98" s="173"/>
      <c r="AD98" s="1"/>
      <c r="AE98" s="174" t="str">
        <f>W98</f>
        <v>Dezembro</v>
      </c>
      <c r="AF98" s="174"/>
      <c r="AG98" s="174"/>
      <c r="AH98" s="174"/>
      <c r="AI98" s="174"/>
      <c r="AJ98" s="174"/>
      <c r="AK98" s="174"/>
    </row>
    <row r="99" spans="1:37" ht="15.75" thickBot="1" x14ac:dyDescent="0.3">
      <c r="A99" s="168" t="s">
        <v>4</v>
      </c>
      <c r="B99" s="10" t="s">
        <v>5</v>
      </c>
      <c r="C99" s="11" t="s">
        <v>6</v>
      </c>
      <c r="D99" s="12" t="s">
        <v>7</v>
      </c>
      <c r="E99" s="11" t="s">
        <v>8</v>
      </c>
      <c r="F99" s="12" t="s">
        <v>9</v>
      </c>
      <c r="G99" s="11" t="s">
        <v>10</v>
      </c>
      <c r="H99" s="32" t="s">
        <v>11</v>
      </c>
      <c r="I99" s="1"/>
      <c r="J99" s="35" t="s">
        <v>3</v>
      </c>
      <c r="K99" s="14">
        <v>46000</v>
      </c>
      <c r="L99" s="24">
        <v>46002</v>
      </c>
      <c r="M99" s="24">
        <v>46007</v>
      </c>
      <c r="N99" s="24">
        <v>46009</v>
      </c>
      <c r="O99" s="15"/>
      <c r="P99" s="15"/>
      <c r="Q99" s="15"/>
      <c r="R99" s="15"/>
      <c r="S99" s="15"/>
      <c r="T99" s="15"/>
      <c r="U99" s="16"/>
      <c r="V99" s="1"/>
      <c r="W99" s="35" t="s">
        <v>3</v>
      </c>
      <c r="X99" s="14"/>
      <c r="Y99" s="15"/>
      <c r="Z99" s="15"/>
      <c r="AA99" s="15"/>
      <c r="AB99" s="15"/>
      <c r="AC99" s="16"/>
      <c r="AD99" s="1"/>
      <c r="AE99" s="35" t="s">
        <v>3</v>
      </c>
      <c r="AF99" s="14"/>
      <c r="AG99" s="15"/>
      <c r="AH99" s="15"/>
      <c r="AI99" s="15"/>
      <c r="AJ99" s="15"/>
      <c r="AK99" s="16"/>
    </row>
    <row r="100" spans="1:37" ht="15.75" thickBot="1" x14ac:dyDescent="0.3">
      <c r="A100" s="168"/>
      <c r="B100" s="17">
        <v>2747</v>
      </c>
      <c r="C100" s="18">
        <v>4612</v>
      </c>
      <c r="D100" s="18">
        <v>4612</v>
      </c>
      <c r="E100" s="18">
        <v>4855</v>
      </c>
      <c r="F100" s="18">
        <f>SUM(C100-B100)</f>
        <v>1865</v>
      </c>
      <c r="G100" s="18">
        <f>SUM(E100-D100)</f>
        <v>243</v>
      </c>
      <c r="H100" s="33">
        <f>SUM(F100:G100)</f>
        <v>2108</v>
      </c>
      <c r="I100" s="1"/>
      <c r="J100" s="36" t="s">
        <v>21</v>
      </c>
      <c r="K100" s="121">
        <v>270.97000000000003</v>
      </c>
      <c r="L100" s="20">
        <v>253.92</v>
      </c>
      <c r="M100" s="20">
        <v>280.83999999999997</v>
      </c>
      <c r="N100" s="20">
        <v>195.36</v>
      </c>
      <c r="O100" s="20"/>
      <c r="P100" s="20"/>
      <c r="Q100" s="20"/>
      <c r="R100" s="20"/>
      <c r="S100" s="20"/>
      <c r="T100" s="20"/>
      <c r="U100" s="21"/>
      <c r="V100" s="1"/>
      <c r="W100" s="36" t="s">
        <v>21</v>
      </c>
      <c r="X100" s="19"/>
      <c r="Y100" s="20"/>
      <c r="Z100" s="20"/>
      <c r="AA100" s="20"/>
      <c r="AB100" s="20"/>
      <c r="AC100" s="21"/>
      <c r="AD100" s="1"/>
      <c r="AE100" s="36" t="s">
        <v>21</v>
      </c>
      <c r="AF100" s="19"/>
      <c r="AG100" s="20"/>
      <c r="AH100" s="20"/>
      <c r="AI100" s="20"/>
      <c r="AJ100" s="20"/>
      <c r="AK100" s="21"/>
    </row>
    <row r="101" spans="1:37" x14ac:dyDescent="0.25">
      <c r="A101" s="2"/>
      <c r="B101" s="2"/>
      <c r="C101" s="2"/>
      <c r="D101" s="2"/>
      <c r="E101" s="2"/>
      <c r="F101" s="1"/>
      <c r="G101" s="1"/>
      <c r="H101" s="1"/>
      <c r="I101" s="1"/>
      <c r="J101" s="37"/>
      <c r="K101" s="1"/>
      <c r="L101" s="1"/>
      <c r="M101" s="1"/>
      <c r="N101" s="1"/>
      <c r="O101" s="1"/>
      <c r="P101" s="1"/>
      <c r="Q101" s="1"/>
      <c r="R101" s="1"/>
      <c r="S101" s="1"/>
      <c r="T101" s="22" t="s">
        <v>22</v>
      </c>
      <c r="U101" s="23">
        <f>SUM(K100:U100)</f>
        <v>1001.09</v>
      </c>
      <c r="V101" s="1"/>
      <c r="W101" s="2"/>
      <c r="X101" s="1"/>
      <c r="Y101" s="1"/>
      <c r="Z101" s="1"/>
      <c r="AA101" s="1"/>
      <c r="AB101" s="22" t="s">
        <v>22</v>
      </c>
      <c r="AC101" s="23">
        <f>SUM(X100:AC100)</f>
        <v>0</v>
      </c>
      <c r="AD101" s="1"/>
      <c r="AE101" s="2"/>
      <c r="AF101" s="1"/>
      <c r="AG101" s="1"/>
      <c r="AH101" s="1"/>
      <c r="AI101" s="1"/>
      <c r="AJ101" s="22" t="s">
        <v>22</v>
      </c>
      <c r="AK101" s="23">
        <f>SUM(AF100:AK100)</f>
        <v>0</v>
      </c>
    </row>
    <row r="102" spans="1:37" ht="15.75" thickBot="1" x14ac:dyDescent="0.3">
      <c r="A102" s="141">
        <v>2026</v>
      </c>
      <c r="B102" s="189" t="s">
        <v>54</v>
      </c>
      <c r="C102" s="171"/>
      <c r="D102" s="171"/>
      <c r="E102" s="171"/>
      <c r="F102" s="171"/>
      <c r="G102" s="171"/>
      <c r="H102" s="171"/>
      <c r="I102" s="6"/>
      <c r="J102" s="172" t="s">
        <v>54</v>
      </c>
      <c r="K102" s="172"/>
      <c r="L102" s="172"/>
      <c r="M102" s="172"/>
      <c r="N102" s="172"/>
      <c r="O102" s="172"/>
      <c r="P102" s="172"/>
      <c r="Q102" s="172"/>
      <c r="R102" s="172"/>
      <c r="S102" s="172"/>
      <c r="T102" s="172"/>
      <c r="U102" s="172"/>
      <c r="V102" s="8"/>
      <c r="W102" s="173" t="s">
        <v>54</v>
      </c>
      <c r="X102" s="173"/>
      <c r="Y102" s="173"/>
      <c r="Z102" s="173"/>
      <c r="AA102" s="173"/>
      <c r="AB102" s="173"/>
      <c r="AC102" s="173"/>
      <c r="AD102" s="8"/>
      <c r="AE102" s="174" t="s">
        <v>54</v>
      </c>
      <c r="AF102" s="174"/>
      <c r="AG102" s="174"/>
      <c r="AH102" s="174"/>
      <c r="AI102" s="174"/>
      <c r="AJ102" s="174"/>
      <c r="AK102" s="174"/>
    </row>
    <row r="103" spans="1:37" ht="15.75" thickBot="1" x14ac:dyDescent="0.3">
      <c r="A103" s="168" t="s">
        <v>4</v>
      </c>
      <c r="B103" s="10" t="s">
        <v>5</v>
      </c>
      <c r="C103" s="11" t="s">
        <v>6</v>
      </c>
      <c r="D103" s="12" t="s">
        <v>7</v>
      </c>
      <c r="E103" s="11" t="s">
        <v>8</v>
      </c>
      <c r="F103" s="12" t="s">
        <v>9</v>
      </c>
      <c r="G103" s="11" t="s">
        <v>10</v>
      </c>
      <c r="H103" s="32" t="s">
        <v>11</v>
      </c>
      <c r="I103" s="6"/>
      <c r="J103" s="35" t="s">
        <v>3</v>
      </c>
      <c r="K103" s="14"/>
      <c r="L103" s="15"/>
      <c r="M103" s="15"/>
      <c r="N103" s="15"/>
      <c r="O103" s="15"/>
      <c r="P103" s="15"/>
      <c r="Q103" s="15"/>
      <c r="R103" s="15"/>
      <c r="S103" s="15"/>
      <c r="T103" s="15"/>
      <c r="U103" s="16"/>
      <c r="V103" s="8"/>
      <c r="W103" s="35" t="s">
        <v>3</v>
      </c>
      <c r="X103" s="14"/>
      <c r="Y103" s="15"/>
      <c r="Z103" s="15"/>
      <c r="AA103" s="15"/>
      <c r="AB103" s="15"/>
      <c r="AC103" s="16"/>
      <c r="AD103" s="8"/>
      <c r="AE103" s="35" t="s">
        <v>3</v>
      </c>
      <c r="AF103" s="14"/>
      <c r="AG103" s="15"/>
      <c r="AH103" s="15"/>
      <c r="AI103" s="15"/>
      <c r="AJ103" s="15"/>
      <c r="AK103" s="16"/>
    </row>
    <row r="104" spans="1:37" ht="15.75" thickBot="1" x14ac:dyDescent="0.3">
      <c r="A104" s="168"/>
      <c r="B104" s="18">
        <v>4855</v>
      </c>
      <c r="C104" s="18"/>
      <c r="D104" s="18"/>
      <c r="E104" s="18">
        <v>6564</v>
      </c>
      <c r="F104" s="18">
        <f>SUM(C104-B104)</f>
        <v>-4855</v>
      </c>
      <c r="G104" s="18">
        <f>SUM(E104-D104)</f>
        <v>6564</v>
      </c>
      <c r="H104" s="33">
        <f>SUM(F104:G104)</f>
        <v>1709</v>
      </c>
      <c r="I104" s="6"/>
      <c r="J104" s="36" t="s">
        <v>21</v>
      </c>
      <c r="K104" s="19"/>
      <c r="L104" s="20"/>
      <c r="M104" s="20"/>
      <c r="N104" s="20"/>
      <c r="O104" s="20"/>
      <c r="P104" s="20"/>
      <c r="Q104" s="20"/>
      <c r="R104" s="20"/>
      <c r="S104" s="20"/>
      <c r="T104" s="20"/>
      <c r="U104" s="21"/>
      <c r="V104" s="8"/>
      <c r="W104" s="36" t="s">
        <v>21</v>
      </c>
      <c r="X104" s="19"/>
      <c r="Y104" s="20"/>
      <c r="Z104" s="20"/>
      <c r="AA104" s="20"/>
      <c r="AB104" s="20"/>
      <c r="AC104" s="21"/>
      <c r="AD104" s="8"/>
      <c r="AE104" s="36" t="s">
        <v>21</v>
      </c>
      <c r="AF104" s="19"/>
      <c r="AG104" s="20"/>
      <c r="AH104" s="20"/>
      <c r="AI104" s="20"/>
      <c r="AJ104" s="20"/>
      <c r="AK104" s="21"/>
    </row>
    <row r="105" spans="1:37" x14ac:dyDescent="0.25">
      <c r="A105" s="7"/>
      <c r="B105" s="7"/>
      <c r="C105" s="7"/>
      <c r="D105" s="7"/>
      <c r="E105" s="7"/>
      <c r="F105" s="7"/>
      <c r="G105" s="7"/>
      <c r="H105" s="7"/>
      <c r="I105" s="6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22" t="s">
        <v>22</v>
      </c>
      <c r="U105" s="23">
        <f>SUM(K104:U104)</f>
        <v>0</v>
      </c>
      <c r="V105" s="8"/>
      <c r="W105" s="2"/>
      <c r="X105" s="1"/>
      <c r="Y105" s="1"/>
      <c r="Z105" s="1"/>
      <c r="AA105" s="1"/>
      <c r="AB105" s="22" t="s">
        <v>22</v>
      </c>
      <c r="AC105" s="23">
        <f>SUM(X104:AC104)</f>
        <v>0</v>
      </c>
      <c r="AD105" s="8"/>
      <c r="AE105" s="2"/>
      <c r="AF105" s="1"/>
      <c r="AG105" s="1"/>
      <c r="AH105" s="1"/>
      <c r="AI105" s="1"/>
      <c r="AJ105" s="22" t="s">
        <v>22</v>
      </c>
      <c r="AK105" s="23">
        <f>SUM(AF104:AK104)</f>
        <v>0</v>
      </c>
    </row>
    <row r="106" spans="1:37" ht="15.75" thickBot="1" x14ac:dyDescent="0.3">
      <c r="A106" s="34"/>
      <c r="B106" s="171" t="s">
        <v>2</v>
      </c>
      <c r="C106" s="171"/>
      <c r="D106" s="171"/>
      <c r="E106" s="171"/>
      <c r="F106" s="171"/>
      <c r="G106" s="171"/>
      <c r="H106" s="171"/>
      <c r="I106" s="1"/>
      <c r="J106" s="172" t="s">
        <v>2</v>
      </c>
      <c r="K106" s="172"/>
      <c r="L106" s="172"/>
      <c r="M106" s="172"/>
      <c r="N106" s="172"/>
      <c r="O106" s="172"/>
      <c r="P106" s="172"/>
      <c r="Q106" s="172"/>
      <c r="R106" s="172"/>
      <c r="S106" s="172"/>
      <c r="T106" s="172"/>
      <c r="U106" s="172"/>
      <c r="V106" s="1"/>
      <c r="W106" s="173" t="s">
        <v>2</v>
      </c>
      <c r="X106" s="173"/>
      <c r="Y106" s="173"/>
      <c r="Z106" s="173"/>
      <c r="AA106" s="173"/>
      <c r="AB106" s="173"/>
      <c r="AC106" s="173"/>
      <c r="AD106" s="1"/>
      <c r="AE106" s="174" t="s">
        <v>2</v>
      </c>
      <c r="AF106" s="174"/>
      <c r="AG106" s="174"/>
      <c r="AH106" s="174"/>
      <c r="AI106" s="174"/>
      <c r="AJ106" s="174"/>
      <c r="AK106" s="174"/>
    </row>
    <row r="107" spans="1:37" ht="15.75" thickBot="1" x14ac:dyDescent="0.3">
      <c r="A107" s="168" t="s">
        <v>4</v>
      </c>
      <c r="B107" s="10" t="s">
        <v>5</v>
      </c>
      <c r="C107" s="11" t="s">
        <v>6</v>
      </c>
      <c r="D107" s="12" t="s">
        <v>7</v>
      </c>
      <c r="E107" s="11" t="s">
        <v>8</v>
      </c>
      <c r="F107" s="12" t="s">
        <v>9</v>
      </c>
      <c r="G107" s="11" t="s">
        <v>10</v>
      </c>
      <c r="H107" s="32" t="s">
        <v>11</v>
      </c>
      <c r="I107" s="1"/>
      <c r="J107" s="35" t="s">
        <v>3</v>
      </c>
      <c r="K107" s="14"/>
      <c r="L107" s="15"/>
      <c r="M107" s="15"/>
      <c r="N107" s="15"/>
      <c r="O107" s="15"/>
      <c r="P107" s="15"/>
      <c r="Q107" s="15"/>
      <c r="R107" s="15"/>
      <c r="S107" s="15"/>
      <c r="T107" s="15"/>
      <c r="U107" s="16"/>
      <c r="V107" s="1"/>
      <c r="W107" s="35" t="s">
        <v>3</v>
      </c>
      <c r="X107" s="14"/>
      <c r="Y107" s="15"/>
      <c r="Z107" s="15"/>
      <c r="AA107" s="15"/>
      <c r="AB107" s="15"/>
      <c r="AC107" s="16"/>
      <c r="AD107" s="1"/>
      <c r="AE107" s="35" t="s">
        <v>3</v>
      </c>
      <c r="AF107" s="14"/>
      <c r="AG107" s="15"/>
      <c r="AH107" s="15"/>
      <c r="AI107" s="15"/>
      <c r="AJ107" s="15"/>
      <c r="AK107" s="16"/>
    </row>
    <row r="108" spans="1:37" ht="15.75" thickBot="1" x14ac:dyDescent="0.3">
      <c r="A108" s="168"/>
      <c r="B108" s="18">
        <v>6564</v>
      </c>
      <c r="C108" s="18"/>
      <c r="D108" s="18"/>
      <c r="E108" s="18">
        <v>8231</v>
      </c>
      <c r="F108" s="18">
        <f>SUM(C108-B108)</f>
        <v>-6564</v>
      </c>
      <c r="G108" s="18">
        <f>SUM(E108-D108)</f>
        <v>8231</v>
      </c>
      <c r="H108" s="33">
        <f>SUM(F108:G108)</f>
        <v>1667</v>
      </c>
      <c r="I108" s="1"/>
      <c r="J108" s="36" t="s">
        <v>21</v>
      </c>
      <c r="K108" s="19"/>
      <c r="L108" s="20"/>
      <c r="M108" s="20"/>
      <c r="N108" s="20"/>
      <c r="O108" s="20"/>
      <c r="P108" s="20"/>
      <c r="Q108" s="20"/>
      <c r="R108" s="20"/>
      <c r="S108" s="20"/>
      <c r="T108" s="20"/>
      <c r="U108" s="21"/>
      <c r="V108" s="1"/>
      <c r="W108" s="36" t="s">
        <v>21</v>
      </c>
      <c r="X108" s="19"/>
      <c r="Y108" s="20"/>
      <c r="Z108" s="20"/>
      <c r="AA108" s="20"/>
      <c r="AB108" s="20"/>
      <c r="AC108" s="21"/>
      <c r="AD108" s="1"/>
      <c r="AE108" s="36" t="s">
        <v>21</v>
      </c>
      <c r="AF108" s="19"/>
      <c r="AG108" s="20"/>
      <c r="AH108" s="20"/>
      <c r="AI108" s="20"/>
      <c r="AJ108" s="20"/>
      <c r="AK108" s="21"/>
    </row>
    <row r="109" spans="1:37" x14ac:dyDescent="0.25">
      <c r="A109" s="2"/>
      <c r="B109" s="2"/>
      <c r="C109" s="2"/>
      <c r="D109" s="2"/>
      <c r="E109" s="2"/>
      <c r="F109" s="2"/>
      <c r="G109" s="2"/>
      <c r="H109" s="2"/>
      <c r="I109" s="1"/>
      <c r="J109" s="37"/>
      <c r="K109" s="1"/>
      <c r="L109" s="1"/>
      <c r="M109" s="1"/>
      <c r="N109" s="1"/>
      <c r="O109" s="1"/>
      <c r="P109" s="1"/>
      <c r="Q109" s="1"/>
      <c r="R109" s="1"/>
      <c r="S109" s="1"/>
      <c r="T109" s="22" t="s">
        <v>22</v>
      </c>
      <c r="U109" s="23">
        <f>SUM(K108:U108)</f>
        <v>0</v>
      </c>
      <c r="V109" s="1"/>
      <c r="W109" s="2"/>
      <c r="X109" s="1"/>
      <c r="Y109" s="1"/>
      <c r="Z109" s="1"/>
      <c r="AA109" s="1"/>
      <c r="AB109" s="22" t="s">
        <v>22</v>
      </c>
      <c r="AC109" s="23">
        <f>SUM(X108:AC108)</f>
        <v>0</v>
      </c>
      <c r="AD109" s="1"/>
      <c r="AE109" s="2"/>
      <c r="AF109" s="1"/>
      <c r="AG109" s="1"/>
      <c r="AH109" s="1"/>
      <c r="AI109" s="1"/>
      <c r="AJ109" s="22" t="s">
        <v>22</v>
      </c>
      <c r="AK109" s="23">
        <f>SUM(AF108:AK108)</f>
        <v>0</v>
      </c>
    </row>
    <row r="110" spans="1:37" ht="15.75" thickBot="1" x14ac:dyDescent="0.3">
      <c r="A110" s="34"/>
      <c r="B110" s="171" t="s">
        <v>12</v>
      </c>
      <c r="C110" s="171"/>
      <c r="D110" s="171"/>
      <c r="E110" s="171"/>
      <c r="F110" s="171"/>
      <c r="G110" s="171"/>
      <c r="H110" s="171"/>
      <c r="I110" s="1"/>
      <c r="J110" s="172" t="s">
        <v>12</v>
      </c>
      <c r="K110" s="172"/>
      <c r="L110" s="172"/>
      <c r="M110" s="172"/>
      <c r="N110" s="172"/>
      <c r="O110" s="172"/>
      <c r="P110" s="172"/>
      <c r="Q110" s="172"/>
      <c r="R110" s="172"/>
      <c r="S110" s="172"/>
      <c r="T110" s="172"/>
      <c r="U110" s="172"/>
      <c r="V110" s="1"/>
      <c r="W110" s="173" t="str">
        <f>J110</f>
        <v>Março</v>
      </c>
      <c r="X110" s="173"/>
      <c r="Y110" s="173"/>
      <c r="Z110" s="173"/>
      <c r="AA110" s="173"/>
      <c r="AB110" s="173"/>
      <c r="AC110" s="173"/>
      <c r="AD110" s="1"/>
      <c r="AE110" s="174" t="str">
        <f>W110</f>
        <v>Março</v>
      </c>
      <c r="AF110" s="174"/>
      <c r="AG110" s="174"/>
      <c r="AH110" s="174"/>
      <c r="AI110" s="174"/>
      <c r="AJ110" s="174"/>
      <c r="AK110" s="174"/>
    </row>
    <row r="111" spans="1:37" ht="15.75" thickBot="1" x14ac:dyDescent="0.3">
      <c r="A111" s="168" t="s">
        <v>4</v>
      </c>
      <c r="B111" s="10" t="s">
        <v>5</v>
      </c>
      <c r="C111" s="11" t="s">
        <v>6</v>
      </c>
      <c r="D111" s="12" t="s">
        <v>7</v>
      </c>
      <c r="E111" s="11" t="s">
        <v>8</v>
      </c>
      <c r="F111" s="12" t="s">
        <v>9</v>
      </c>
      <c r="G111" s="11" t="s">
        <v>10</v>
      </c>
      <c r="H111" s="32" t="s">
        <v>11</v>
      </c>
      <c r="I111" s="1"/>
      <c r="J111" s="35" t="s">
        <v>3</v>
      </c>
      <c r="K111" s="14">
        <v>46088</v>
      </c>
      <c r="L111" s="24">
        <v>46095</v>
      </c>
      <c r="M111" s="24">
        <v>46100</v>
      </c>
      <c r="N111" s="24">
        <v>46107</v>
      </c>
      <c r="O111" s="24">
        <v>46112</v>
      </c>
      <c r="P111" s="15"/>
      <c r="Q111" s="15"/>
      <c r="R111" s="15"/>
      <c r="S111" s="15"/>
      <c r="T111" s="15"/>
      <c r="U111" s="16"/>
      <c r="V111" s="1"/>
      <c r="W111" s="35" t="s">
        <v>3</v>
      </c>
      <c r="X111" s="14"/>
      <c r="Y111" s="15"/>
      <c r="Z111" s="15"/>
      <c r="AA111" s="15"/>
      <c r="AB111" s="15"/>
      <c r="AC111" s="16"/>
      <c r="AD111" s="1"/>
      <c r="AE111" s="35" t="s">
        <v>3</v>
      </c>
      <c r="AF111" s="14"/>
      <c r="AG111" s="15"/>
      <c r="AH111" s="15"/>
      <c r="AI111" s="15"/>
      <c r="AJ111" s="15"/>
      <c r="AK111" s="16"/>
    </row>
    <row r="112" spans="1:37" ht="15.75" thickBot="1" x14ac:dyDescent="0.3">
      <c r="A112" s="168"/>
      <c r="B112" s="18">
        <v>8231</v>
      </c>
      <c r="C112" s="18"/>
      <c r="D112" s="18"/>
      <c r="E112" s="18">
        <v>10292</v>
      </c>
      <c r="F112" s="18">
        <f>SUM(C112-B112)</f>
        <v>-8231</v>
      </c>
      <c r="G112" s="18">
        <f>SUM(E112-D112)</f>
        <v>10292</v>
      </c>
      <c r="H112" s="33">
        <f>SUM(F112:G112)</f>
        <v>2061</v>
      </c>
      <c r="I112" s="1"/>
      <c r="J112" s="36" t="s">
        <v>21</v>
      </c>
      <c r="K112" s="19">
        <v>334.5</v>
      </c>
      <c r="L112" s="20">
        <v>328.66</v>
      </c>
      <c r="M112" s="20">
        <v>354.29</v>
      </c>
      <c r="N112" s="20">
        <v>363.3</v>
      </c>
      <c r="O112" s="20">
        <v>226.57</v>
      </c>
      <c r="P112" s="20"/>
      <c r="Q112" s="20"/>
      <c r="R112" s="20"/>
      <c r="S112" s="20"/>
      <c r="T112" s="20"/>
      <c r="U112" s="21"/>
      <c r="V112" s="1"/>
      <c r="W112" s="36" t="s">
        <v>21</v>
      </c>
      <c r="X112" s="19"/>
      <c r="Y112" s="20"/>
      <c r="Z112" s="20"/>
      <c r="AA112" s="20"/>
      <c r="AB112" s="20"/>
      <c r="AC112" s="21"/>
      <c r="AD112" s="1"/>
      <c r="AE112" s="36" t="s">
        <v>21</v>
      </c>
      <c r="AF112" s="19"/>
      <c r="AG112" s="20"/>
      <c r="AH112" s="20"/>
      <c r="AI112" s="20"/>
      <c r="AJ112" s="20"/>
      <c r="AK112" s="21"/>
    </row>
    <row r="113" spans="1:37" x14ac:dyDescent="0.25">
      <c r="A113" s="2"/>
      <c r="B113" s="2"/>
      <c r="C113" s="2"/>
      <c r="D113" s="2"/>
      <c r="E113" s="2"/>
      <c r="F113" s="2"/>
      <c r="G113" s="2"/>
      <c r="H113" s="2"/>
      <c r="I113" s="1"/>
      <c r="J113" s="37"/>
      <c r="K113" s="1"/>
      <c r="L113" s="1"/>
      <c r="M113" s="1"/>
      <c r="N113" s="1"/>
      <c r="O113" s="1"/>
      <c r="P113" s="1"/>
      <c r="Q113" s="1"/>
      <c r="R113" s="1"/>
      <c r="S113" s="1"/>
      <c r="T113" s="22" t="s">
        <v>22</v>
      </c>
      <c r="U113" s="23">
        <f>SUM(K112:U112)</f>
        <v>1607.32</v>
      </c>
      <c r="V113" s="1"/>
      <c r="W113" s="2"/>
      <c r="X113" s="1"/>
      <c r="Y113" s="1"/>
      <c r="Z113" s="1"/>
      <c r="AA113" s="1"/>
      <c r="AB113" s="22" t="s">
        <v>22</v>
      </c>
      <c r="AC113" s="23">
        <f>SUM(X112:AC112)</f>
        <v>0</v>
      </c>
      <c r="AD113" s="1"/>
      <c r="AE113" s="2"/>
      <c r="AF113" s="1"/>
      <c r="AG113" s="1"/>
      <c r="AH113" s="1"/>
      <c r="AI113" s="1"/>
      <c r="AJ113" s="22" t="s">
        <v>22</v>
      </c>
      <c r="AK113" s="23">
        <f>SUM(AF112:AK112)</f>
        <v>0</v>
      </c>
    </row>
    <row r="114" spans="1:37" ht="15.75" thickBot="1" x14ac:dyDescent="0.3">
      <c r="A114" s="34"/>
      <c r="B114" s="171" t="s">
        <v>13</v>
      </c>
      <c r="C114" s="171"/>
      <c r="D114" s="171"/>
      <c r="E114" s="171"/>
      <c r="F114" s="171"/>
      <c r="G114" s="171"/>
      <c r="H114" s="171"/>
      <c r="I114" s="1"/>
      <c r="J114" s="172" t="s">
        <v>13</v>
      </c>
      <c r="K114" s="172"/>
      <c r="L114" s="172"/>
      <c r="M114" s="172"/>
      <c r="N114" s="172"/>
      <c r="O114" s="172"/>
      <c r="P114" s="172"/>
      <c r="Q114" s="172"/>
      <c r="R114" s="172"/>
      <c r="S114" s="172"/>
      <c r="T114" s="172"/>
      <c r="U114" s="172"/>
      <c r="V114" s="1"/>
      <c r="W114" s="173" t="str">
        <f>J114</f>
        <v>Abril</v>
      </c>
      <c r="X114" s="173"/>
      <c r="Y114" s="173"/>
      <c r="Z114" s="173"/>
      <c r="AA114" s="173"/>
      <c r="AB114" s="173"/>
      <c r="AC114" s="173"/>
      <c r="AD114" s="1"/>
      <c r="AE114" s="174" t="str">
        <f>W114</f>
        <v>Abril</v>
      </c>
      <c r="AF114" s="174"/>
      <c r="AG114" s="174"/>
      <c r="AH114" s="174"/>
      <c r="AI114" s="174"/>
      <c r="AJ114" s="174"/>
      <c r="AK114" s="174"/>
    </row>
    <row r="115" spans="1:37" ht="15.75" thickBot="1" x14ac:dyDescent="0.3">
      <c r="A115" s="168" t="s">
        <v>4</v>
      </c>
      <c r="B115" s="10" t="s">
        <v>5</v>
      </c>
      <c r="C115" s="11" t="s">
        <v>6</v>
      </c>
      <c r="D115" s="12" t="s">
        <v>7</v>
      </c>
      <c r="E115" s="11" t="s">
        <v>8</v>
      </c>
      <c r="F115" s="12" t="s">
        <v>9</v>
      </c>
      <c r="G115" s="11" t="s">
        <v>10</v>
      </c>
      <c r="H115" s="32" t="s">
        <v>11</v>
      </c>
      <c r="I115" s="1"/>
      <c r="J115" s="35" t="s">
        <v>3</v>
      </c>
      <c r="K115" s="14"/>
      <c r="L115" s="15"/>
      <c r="M115" s="15"/>
      <c r="N115" s="15"/>
      <c r="O115" s="15"/>
      <c r="P115" s="15"/>
      <c r="Q115" s="15"/>
      <c r="R115" s="15"/>
      <c r="S115" s="15"/>
      <c r="T115" s="15"/>
      <c r="U115" s="16"/>
      <c r="V115" s="1"/>
      <c r="W115" s="35" t="s">
        <v>3</v>
      </c>
      <c r="X115" s="14"/>
      <c r="Y115" s="15"/>
      <c r="Z115" s="15"/>
      <c r="AA115" s="15"/>
      <c r="AB115" s="15"/>
      <c r="AC115" s="16"/>
      <c r="AD115" s="1"/>
      <c r="AE115" s="35" t="s">
        <v>3</v>
      </c>
      <c r="AF115" s="14"/>
      <c r="AG115" s="15"/>
      <c r="AH115" s="15"/>
      <c r="AI115" s="15"/>
      <c r="AJ115" s="15"/>
      <c r="AK115" s="16"/>
    </row>
    <row r="116" spans="1:37" ht="15.75" thickBot="1" x14ac:dyDescent="0.3">
      <c r="A116" s="168"/>
      <c r="B116" s="18">
        <v>10292</v>
      </c>
      <c r="C116" s="18"/>
      <c r="D116" s="18"/>
      <c r="E116" s="18">
        <v>12098</v>
      </c>
      <c r="F116" s="18">
        <f>SUM(C116-B116)</f>
        <v>-10292</v>
      </c>
      <c r="G116" s="18">
        <f>SUM(E116-D116)</f>
        <v>12098</v>
      </c>
      <c r="H116" s="33">
        <f>SUM(F116:G116)</f>
        <v>1806</v>
      </c>
      <c r="I116" s="1"/>
      <c r="J116" s="36" t="s">
        <v>21</v>
      </c>
      <c r="K116" s="25"/>
      <c r="L116" s="26"/>
      <c r="M116" s="26"/>
      <c r="N116" s="26"/>
      <c r="O116" s="26"/>
      <c r="P116" s="26"/>
      <c r="Q116" s="26"/>
      <c r="R116" s="26"/>
      <c r="S116" s="26"/>
      <c r="T116" s="26"/>
      <c r="U116" s="27"/>
      <c r="V116" s="1"/>
      <c r="W116" s="36" t="s">
        <v>21</v>
      </c>
      <c r="X116" s="19"/>
      <c r="Y116" s="20"/>
      <c r="Z116" s="20"/>
      <c r="AA116" s="20"/>
      <c r="AB116" s="20"/>
      <c r="AC116" s="21"/>
      <c r="AD116" s="1"/>
      <c r="AE116" s="36" t="s">
        <v>21</v>
      </c>
      <c r="AF116" s="19"/>
      <c r="AG116" s="20"/>
      <c r="AH116" s="20"/>
      <c r="AI116" s="20"/>
      <c r="AJ116" s="20"/>
      <c r="AK116" s="21"/>
    </row>
    <row r="117" spans="1:37" x14ac:dyDescent="0.25">
      <c r="A117" s="2"/>
      <c r="B117" s="2"/>
      <c r="C117" s="2"/>
      <c r="D117" s="2"/>
      <c r="E117" s="2"/>
      <c r="F117" s="2"/>
      <c r="G117" s="2"/>
      <c r="H117" s="2"/>
      <c r="I117" s="1"/>
      <c r="J117" s="37"/>
      <c r="K117" s="1"/>
      <c r="L117" s="1"/>
      <c r="M117" s="1"/>
      <c r="N117" s="1"/>
      <c r="O117" s="1"/>
      <c r="P117" s="1"/>
      <c r="Q117" s="1"/>
      <c r="R117" s="1"/>
      <c r="S117" s="1"/>
      <c r="T117" s="22" t="s">
        <v>22</v>
      </c>
      <c r="U117" s="23">
        <f>SUM(K116:U116)</f>
        <v>0</v>
      </c>
      <c r="V117" s="1"/>
      <c r="W117" s="2"/>
      <c r="X117" s="1"/>
      <c r="Y117" s="1"/>
      <c r="Z117" s="1"/>
      <c r="AA117" s="1"/>
      <c r="AB117" s="22" t="s">
        <v>22</v>
      </c>
      <c r="AC117" s="23">
        <f>SUM(X116:AC116)</f>
        <v>0</v>
      </c>
      <c r="AD117" s="1"/>
      <c r="AE117" s="2"/>
      <c r="AF117" s="1"/>
      <c r="AG117" s="1"/>
      <c r="AH117" s="1"/>
      <c r="AI117" s="1"/>
      <c r="AJ117" s="22" t="s">
        <v>22</v>
      </c>
      <c r="AK117" s="23">
        <f>SUM(AF116:AK116)</f>
        <v>0</v>
      </c>
    </row>
    <row r="118" spans="1:37" ht="15.75" thickBot="1" x14ac:dyDescent="0.3">
      <c r="A118" s="34"/>
      <c r="B118" s="171" t="s">
        <v>14</v>
      </c>
      <c r="C118" s="171"/>
      <c r="D118" s="171"/>
      <c r="E118" s="171"/>
      <c r="F118" s="171"/>
      <c r="G118" s="171"/>
      <c r="H118" s="171"/>
      <c r="I118" s="1"/>
      <c r="J118" s="172" t="s">
        <v>14</v>
      </c>
      <c r="K118" s="172"/>
      <c r="L118" s="172"/>
      <c r="M118" s="172"/>
      <c r="N118" s="172"/>
      <c r="O118" s="172"/>
      <c r="P118" s="172"/>
      <c r="Q118" s="172"/>
      <c r="R118" s="172"/>
      <c r="S118" s="172"/>
      <c r="T118" s="172"/>
      <c r="U118" s="172"/>
      <c r="V118" s="1"/>
      <c r="W118" s="173" t="str">
        <f>J118</f>
        <v>Maio</v>
      </c>
      <c r="X118" s="173"/>
      <c r="Y118" s="173"/>
      <c r="Z118" s="173"/>
      <c r="AA118" s="173"/>
      <c r="AB118" s="173"/>
      <c r="AC118" s="173"/>
      <c r="AD118" s="1"/>
      <c r="AE118" s="174" t="str">
        <f>W118</f>
        <v>Maio</v>
      </c>
      <c r="AF118" s="174"/>
      <c r="AG118" s="174"/>
      <c r="AH118" s="174"/>
      <c r="AI118" s="174"/>
      <c r="AJ118" s="174"/>
      <c r="AK118" s="174"/>
    </row>
    <row r="119" spans="1:37" ht="15.75" thickBot="1" x14ac:dyDescent="0.3">
      <c r="A119" s="168" t="s">
        <v>4</v>
      </c>
      <c r="B119" s="10" t="s">
        <v>5</v>
      </c>
      <c r="C119" s="11" t="s">
        <v>6</v>
      </c>
      <c r="D119" s="12" t="s">
        <v>7</v>
      </c>
      <c r="E119" s="11" t="s">
        <v>8</v>
      </c>
      <c r="F119" s="12" t="s">
        <v>9</v>
      </c>
      <c r="G119" s="11" t="s">
        <v>10</v>
      </c>
      <c r="H119" s="32" t="s">
        <v>11</v>
      </c>
      <c r="I119" s="1"/>
      <c r="J119" s="35" t="s">
        <v>3</v>
      </c>
      <c r="K119" s="14"/>
      <c r="L119" s="15"/>
      <c r="M119" s="15"/>
      <c r="N119" s="15"/>
      <c r="O119" s="15"/>
      <c r="P119" s="15"/>
      <c r="Q119" s="15"/>
      <c r="R119" s="15"/>
      <c r="S119" s="15"/>
      <c r="T119" s="15"/>
      <c r="U119" s="16"/>
      <c r="V119" s="1"/>
      <c r="W119" s="35" t="s">
        <v>3</v>
      </c>
      <c r="X119" s="14"/>
      <c r="Y119" s="15"/>
      <c r="Z119" s="15"/>
      <c r="AA119" s="15"/>
      <c r="AB119" s="15"/>
      <c r="AC119" s="16"/>
      <c r="AD119" s="1"/>
      <c r="AE119" s="35" t="s">
        <v>3</v>
      </c>
      <c r="AF119" s="14"/>
      <c r="AG119" s="15"/>
      <c r="AH119" s="15"/>
      <c r="AI119" s="15"/>
      <c r="AJ119" s="15"/>
      <c r="AK119" s="16"/>
    </row>
    <row r="120" spans="1:37" ht="15.75" thickBot="1" x14ac:dyDescent="0.3">
      <c r="A120" s="168"/>
      <c r="B120" s="18">
        <v>12098</v>
      </c>
      <c r="C120" s="18"/>
      <c r="D120" s="18"/>
      <c r="E120" s="18">
        <v>13815</v>
      </c>
      <c r="F120" s="18">
        <f>SUM(C120-B120)</f>
        <v>-12098</v>
      </c>
      <c r="G120" s="18">
        <f>SUM(E120-D120)</f>
        <v>13815</v>
      </c>
      <c r="H120" s="33">
        <f>SUM(F120:G120)</f>
        <v>1717</v>
      </c>
      <c r="I120" s="1"/>
      <c r="J120" s="36" t="s">
        <v>21</v>
      </c>
      <c r="K120" s="19"/>
      <c r="L120" s="20"/>
      <c r="M120" s="20"/>
      <c r="N120" s="20"/>
      <c r="O120" s="20"/>
      <c r="P120" s="20"/>
      <c r="Q120" s="20"/>
      <c r="R120" s="20"/>
      <c r="S120" s="20"/>
      <c r="T120" s="20"/>
      <c r="U120" s="21"/>
      <c r="V120" s="1"/>
      <c r="W120" s="36" t="s">
        <v>21</v>
      </c>
      <c r="X120" s="19"/>
      <c r="Y120" s="20"/>
      <c r="Z120" s="20"/>
      <c r="AA120" s="20"/>
      <c r="AB120" s="20"/>
      <c r="AC120" s="21"/>
      <c r="AD120" s="1"/>
      <c r="AE120" s="36" t="s">
        <v>21</v>
      </c>
      <c r="AF120" s="19"/>
      <c r="AG120" s="20"/>
      <c r="AH120" s="20"/>
      <c r="AI120" s="20"/>
      <c r="AJ120" s="20"/>
      <c r="AK120" s="21"/>
    </row>
    <row r="121" spans="1:37" x14ac:dyDescent="0.25">
      <c r="A121" s="2"/>
      <c r="B121" s="2"/>
      <c r="C121" s="2"/>
      <c r="D121" s="2"/>
      <c r="E121" s="2"/>
      <c r="F121" s="2"/>
      <c r="G121" s="2"/>
      <c r="H121" s="2"/>
      <c r="I121" s="1"/>
      <c r="J121" s="37"/>
      <c r="K121" s="1"/>
      <c r="L121" s="1"/>
      <c r="M121" s="1"/>
      <c r="N121" s="1"/>
      <c r="O121" s="1"/>
      <c r="P121" s="1"/>
      <c r="Q121" s="1"/>
      <c r="R121" s="1"/>
      <c r="S121" s="1"/>
      <c r="T121" s="22" t="s">
        <v>22</v>
      </c>
      <c r="U121" s="23">
        <f>SUM(K120:U120)</f>
        <v>0</v>
      </c>
      <c r="V121" s="1"/>
      <c r="W121" s="2"/>
      <c r="X121" s="1"/>
      <c r="Y121" s="1"/>
      <c r="Z121" s="1"/>
      <c r="AA121" s="1"/>
      <c r="AB121" s="22" t="s">
        <v>22</v>
      </c>
      <c r="AC121" s="23">
        <f>SUM(X120:AC120)</f>
        <v>0</v>
      </c>
      <c r="AD121" s="1"/>
      <c r="AE121" s="2"/>
      <c r="AF121" s="1"/>
      <c r="AG121" s="1"/>
      <c r="AH121" s="1"/>
      <c r="AI121" s="1"/>
      <c r="AJ121" s="22" t="s">
        <v>22</v>
      </c>
      <c r="AK121" s="23">
        <f>SUM(AF120:AK120)</f>
        <v>0</v>
      </c>
    </row>
    <row r="122" spans="1:37" ht="15.75" thickBot="1" x14ac:dyDescent="0.3">
      <c r="A122" s="34"/>
      <c r="B122" s="171" t="s">
        <v>23</v>
      </c>
      <c r="C122" s="171"/>
      <c r="D122" s="171"/>
      <c r="E122" s="171"/>
      <c r="F122" s="171"/>
      <c r="G122" s="171"/>
      <c r="H122" s="171"/>
      <c r="I122" s="1"/>
      <c r="J122" s="172" t="s">
        <v>23</v>
      </c>
      <c r="K122" s="172"/>
      <c r="L122" s="172"/>
      <c r="M122" s="172"/>
      <c r="N122" s="172"/>
      <c r="O122" s="172"/>
      <c r="P122" s="172"/>
      <c r="Q122" s="172"/>
      <c r="R122" s="172"/>
      <c r="S122" s="172"/>
      <c r="T122" s="172"/>
      <c r="U122" s="172"/>
      <c r="V122" s="1"/>
      <c r="W122" s="173" t="str">
        <f>J122</f>
        <v>Junho</v>
      </c>
      <c r="X122" s="173"/>
      <c r="Y122" s="173"/>
      <c r="Z122" s="173"/>
      <c r="AA122" s="173"/>
      <c r="AB122" s="173"/>
      <c r="AC122" s="173"/>
      <c r="AD122" s="1"/>
      <c r="AE122" s="174" t="str">
        <f>W122</f>
        <v>Junho</v>
      </c>
      <c r="AF122" s="174"/>
      <c r="AG122" s="174"/>
      <c r="AH122" s="174"/>
      <c r="AI122" s="174"/>
      <c r="AJ122" s="174"/>
      <c r="AK122" s="174"/>
    </row>
    <row r="123" spans="1:37" ht="15.75" thickBot="1" x14ac:dyDescent="0.3">
      <c r="A123" s="168" t="s">
        <v>4</v>
      </c>
      <c r="B123" s="10" t="s">
        <v>5</v>
      </c>
      <c r="C123" s="11" t="s">
        <v>6</v>
      </c>
      <c r="D123" s="12" t="s">
        <v>7</v>
      </c>
      <c r="E123" s="11" t="s">
        <v>8</v>
      </c>
      <c r="F123" s="12" t="s">
        <v>9</v>
      </c>
      <c r="G123" s="11" t="s">
        <v>10</v>
      </c>
      <c r="H123" s="32" t="s">
        <v>11</v>
      </c>
      <c r="I123" s="1"/>
      <c r="J123" s="35" t="s">
        <v>3</v>
      </c>
      <c r="K123" s="14"/>
      <c r="L123" s="15"/>
      <c r="M123" s="15"/>
      <c r="N123" s="15"/>
      <c r="O123" s="15"/>
      <c r="P123" s="15"/>
      <c r="Q123" s="15"/>
      <c r="R123" s="15"/>
      <c r="S123" s="15"/>
      <c r="T123" s="15"/>
      <c r="U123" s="16"/>
      <c r="V123" s="1"/>
      <c r="W123" s="35" t="s">
        <v>3</v>
      </c>
      <c r="X123" s="14"/>
      <c r="Y123" s="15"/>
      <c r="Z123" s="15"/>
      <c r="AA123" s="15"/>
      <c r="AB123" s="15"/>
      <c r="AC123" s="16"/>
      <c r="AD123" s="1"/>
      <c r="AE123" s="35" t="s">
        <v>3</v>
      </c>
      <c r="AF123" s="14"/>
      <c r="AG123" s="15"/>
      <c r="AH123" s="15"/>
      <c r="AI123" s="15"/>
      <c r="AJ123" s="15"/>
      <c r="AK123" s="16"/>
    </row>
    <row r="124" spans="1:37" ht="15.75" thickBot="1" x14ac:dyDescent="0.3">
      <c r="A124" s="168"/>
      <c r="B124" s="17"/>
      <c r="C124" s="18"/>
      <c r="D124" s="18"/>
      <c r="E124" s="18"/>
      <c r="F124" s="18">
        <f>SUM(C124-B124)</f>
        <v>0</v>
      </c>
      <c r="G124" s="18">
        <f>SUM(E124-D124)</f>
        <v>0</v>
      </c>
      <c r="H124" s="33">
        <f>SUM(F124:G124)</f>
        <v>0</v>
      </c>
      <c r="I124" s="1"/>
      <c r="J124" s="36" t="s">
        <v>21</v>
      </c>
      <c r="K124" s="19"/>
      <c r="L124" s="20"/>
      <c r="M124" s="20"/>
      <c r="N124" s="20"/>
      <c r="O124" s="20"/>
      <c r="P124" s="20"/>
      <c r="Q124" s="20"/>
      <c r="R124" s="20"/>
      <c r="S124" s="20"/>
      <c r="T124" s="20"/>
      <c r="U124" s="21"/>
      <c r="V124" s="1"/>
      <c r="W124" s="36" t="s">
        <v>21</v>
      </c>
      <c r="X124" s="19"/>
      <c r="Y124" s="20"/>
      <c r="Z124" s="20"/>
      <c r="AA124" s="20"/>
      <c r="AB124" s="20"/>
      <c r="AC124" s="21"/>
      <c r="AD124" s="1"/>
      <c r="AE124" s="36" t="s">
        <v>21</v>
      </c>
      <c r="AF124" s="19"/>
      <c r="AG124" s="20"/>
      <c r="AH124" s="20"/>
      <c r="AI124" s="20"/>
      <c r="AJ124" s="20"/>
      <c r="AK124" s="21"/>
    </row>
    <row r="125" spans="1:37" x14ac:dyDescent="0.25">
      <c r="A125" s="2"/>
      <c r="B125" s="2"/>
      <c r="C125" s="2"/>
      <c r="D125" s="2"/>
      <c r="E125" s="2"/>
      <c r="F125" s="2"/>
      <c r="G125" s="2"/>
      <c r="H125" s="2"/>
      <c r="I125" s="1"/>
      <c r="J125" s="37"/>
      <c r="K125" s="1"/>
      <c r="L125" s="1"/>
      <c r="M125" s="1"/>
      <c r="N125" s="1"/>
      <c r="O125" s="1"/>
      <c r="P125" s="1"/>
      <c r="Q125" s="1"/>
      <c r="R125" s="1"/>
      <c r="S125" s="1"/>
      <c r="T125" s="22" t="s">
        <v>22</v>
      </c>
      <c r="U125" s="23">
        <f>SUM(K124:U124)</f>
        <v>0</v>
      </c>
      <c r="V125" s="1"/>
      <c r="W125" s="2"/>
      <c r="X125" s="1"/>
      <c r="Y125" s="1"/>
      <c r="Z125" s="1"/>
      <c r="AA125" s="1"/>
      <c r="AB125" s="22" t="s">
        <v>22</v>
      </c>
      <c r="AC125" s="23">
        <f>SUM(X124:AC124)</f>
        <v>0</v>
      </c>
      <c r="AD125" s="1"/>
      <c r="AE125" s="2"/>
      <c r="AF125" s="1"/>
      <c r="AG125" s="1"/>
      <c r="AH125" s="1"/>
      <c r="AI125" s="1"/>
      <c r="AJ125" s="22" t="s">
        <v>22</v>
      </c>
      <c r="AK125" s="23">
        <f>SUM(AF124:AK124)</f>
        <v>0</v>
      </c>
    </row>
    <row r="126" spans="1:37" ht="15.75" thickBot="1" x14ac:dyDescent="0.3">
      <c r="A126" s="34"/>
      <c r="B126" s="171" t="s">
        <v>15</v>
      </c>
      <c r="C126" s="171"/>
      <c r="D126" s="171"/>
      <c r="E126" s="171"/>
      <c r="F126" s="171"/>
      <c r="G126" s="171"/>
      <c r="H126" s="171"/>
      <c r="I126" s="1"/>
      <c r="J126" s="172" t="s">
        <v>15</v>
      </c>
      <c r="K126" s="172"/>
      <c r="L126" s="172"/>
      <c r="M126" s="172"/>
      <c r="N126" s="172"/>
      <c r="O126" s="172"/>
      <c r="P126" s="172"/>
      <c r="Q126" s="172"/>
      <c r="R126" s="172"/>
      <c r="S126" s="172"/>
      <c r="T126" s="172"/>
      <c r="U126" s="172"/>
      <c r="V126" s="1"/>
      <c r="W126" s="173" t="str">
        <f>J126</f>
        <v>Julho</v>
      </c>
      <c r="X126" s="173"/>
      <c r="Y126" s="173"/>
      <c r="Z126" s="173"/>
      <c r="AA126" s="173"/>
      <c r="AB126" s="173"/>
      <c r="AC126" s="173"/>
      <c r="AD126" s="1"/>
      <c r="AE126" s="174" t="str">
        <f>W126</f>
        <v>Julho</v>
      </c>
      <c r="AF126" s="174"/>
      <c r="AG126" s="174"/>
      <c r="AH126" s="174"/>
      <c r="AI126" s="174"/>
      <c r="AJ126" s="174"/>
      <c r="AK126" s="174"/>
    </row>
    <row r="127" spans="1:37" ht="15.75" thickBot="1" x14ac:dyDescent="0.3">
      <c r="A127" s="168" t="s">
        <v>4</v>
      </c>
      <c r="B127" s="10" t="s">
        <v>5</v>
      </c>
      <c r="C127" s="11" t="s">
        <v>6</v>
      </c>
      <c r="D127" s="12" t="s">
        <v>7</v>
      </c>
      <c r="E127" s="11" t="s">
        <v>8</v>
      </c>
      <c r="F127" s="12" t="s">
        <v>9</v>
      </c>
      <c r="G127" s="11" t="s">
        <v>10</v>
      </c>
      <c r="H127" s="32" t="s">
        <v>11</v>
      </c>
      <c r="I127" s="1"/>
      <c r="J127" s="35" t="s">
        <v>3</v>
      </c>
      <c r="K127" s="14"/>
      <c r="L127" s="15"/>
      <c r="M127" s="15"/>
      <c r="N127" s="15"/>
      <c r="O127" s="15"/>
      <c r="P127" s="15"/>
      <c r="Q127" s="15"/>
      <c r="R127" s="15"/>
      <c r="S127" s="15"/>
      <c r="T127" s="15"/>
      <c r="U127" s="16"/>
      <c r="V127" s="1"/>
      <c r="W127" s="35" t="s">
        <v>3</v>
      </c>
      <c r="X127" s="14"/>
      <c r="Y127" s="15"/>
      <c r="Z127" s="15"/>
      <c r="AA127" s="15"/>
      <c r="AB127" s="15"/>
      <c r="AC127" s="16"/>
      <c r="AD127" s="1"/>
      <c r="AE127" s="35" t="s">
        <v>3</v>
      </c>
      <c r="AF127" s="14"/>
      <c r="AG127" s="15"/>
      <c r="AH127" s="15"/>
      <c r="AI127" s="15"/>
      <c r="AJ127" s="15"/>
      <c r="AK127" s="16"/>
    </row>
    <row r="128" spans="1:37" ht="15.75" thickBot="1" x14ac:dyDescent="0.3">
      <c r="A128" s="168"/>
      <c r="B128" s="17"/>
      <c r="C128" s="18"/>
      <c r="D128" s="18"/>
      <c r="E128" s="18"/>
      <c r="F128" s="18">
        <f>SUM(C128-B128)</f>
        <v>0</v>
      </c>
      <c r="G128" s="18">
        <f>SUM(E128-D128)</f>
        <v>0</v>
      </c>
      <c r="H128" s="33">
        <f>SUM(F128:G128)</f>
        <v>0</v>
      </c>
      <c r="I128" s="1"/>
      <c r="J128" s="36" t="s">
        <v>21</v>
      </c>
      <c r="K128" s="19"/>
      <c r="L128" s="20"/>
      <c r="M128" s="20"/>
      <c r="N128" s="20"/>
      <c r="O128" s="20"/>
      <c r="P128" s="20"/>
      <c r="Q128" s="20"/>
      <c r="R128" s="20"/>
      <c r="S128" s="20"/>
      <c r="T128" s="20"/>
      <c r="U128" s="21"/>
      <c r="V128" s="1"/>
      <c r="W128" s="36" t="s">
        <v>21</v>
      </c>
      <c r="X128" s="19"/>
      <c r="Y128" s="20"/>
      <c r="Z128" s="20"/>
      <c r="AA128" s="20"/>
      <c r="AB128" s="20"/>
      <c r="AC128" s="21"/>
      <c r="AD128" s="1"/>
      <c r="AE128" s="36" t="s">
        <v>21</v>
      </c>
      <c r="AF128" s="19"/>
      <c r="AG128" s="20"/>
      <c r="AH128" s="20"/>
      <c r="AI128" s="20"/>
      <c r="AJ128" s="20"/>
      <c r="AK128" s="21"/>
    </row>
    <row r="129" spans="1:37" x14ac:dyDescent="0.25">
      <c r="A129" s="2"/>
      <c r="B129" s="2"/>
      <c r="C129" s="2"/>
      <c r="D129" s="2"/>
      <c r="E129" s="2"/>
      <c r="F129" s="2"/>
      <c r="G129" s="2"/>
      <c r="H129" s="2"/>
      <c r="I129" s="1"/>
      <c r="J129" s="37"/>
      <c r="K129" s="1"/>
      <c r="L129" s="1"/>
      <c r="M129" s="1"/>
      <c r="N129" s="1"/>
      <c r="O129" s="1"/>
      <c r="P129" s="1"/>
      <c r="Q129" s="1"/>
      <c r="R129" s="1"/>
      <c r="S129" s="1"/>
      <c r="T129" s="22" t="s">
        <v>22</v>
      </c>
      <c r="U129" s="23">
        <f>SUM(K128:U128)</f>
        <v>0</v>
      </c>
      <c r="V129" s="1"/>
      <c r="W129" s="2"/>
      <c r="X129" s="1"/>
      <c r="Y129" s="1"/>
      <c r="Z129" s="1"/>
      <c r="AA129" s="1"/>
      <c r="AB129" s="22" t="s">
        <v>22</v>
      </c>
      <c r="AC129" s="23">
        <f>SUM(X128:AC128)</f>
        <v>0</v>
      </c>
      <c r="AD129" s="1"/>
      <c r="AE129" s="2"/>
      <c r="AF129" s="1"/>
      <c r="AG129" s="1"/>
      <c r="AH129" s="1"/>
      <c r="AI129" s="1"/>
      <c r="AJ129" s="22" t="s">
        <v>22</v>
      </c>
      <c r="AK129" s="23">
        <f>SUM(AF128:AK128)</f>
        <v>0</v>
      </c>
    </row>
    <row r="130" spans="1:37" ht="15.75" thickBot="1" x14ac:dyDescent="0.3">
      <c r="A130" s="34"/>
      <c r="B130" s="171" t="s">
        <v>16</v>
      </c>
      <c r="C130" s="171"/>
      <c r="D130" s="171"/>
      <c r="E130" s="171"/>
      <c r="F130" s="171"/>
      <c r="G130" s="171"/>
      <c r="H130" s="171"/>
      <c r="I130" s="1"/>
      <c r="J130" s="172" t="s">
        <v>16</v>
      </c>
      <c r="K130" s="172"/>
      <c r="L130" s="172"/>
      <c r="M130" s="172"/>
      <c r="N130" s="172"/>
      <c r="O130" s="172"/>
      <c r="P130" s="172"/>
      <c r="Q130" s="172"/>
      <c r="R130" s="172"/>
      <c r="S130" s="172"/>
      <c r="T130" s="172"/>
      <c r="U130" s="172"/>
      <c r="V130" s="1"/>
      <c r="W130" s="173" t="str">
        <f>J130</f>
        <v>Agosto</v>
      </c>
      <c r="X130" s="173"/>
      <c r="Y130" s="173"/>
      <c r="Z130" s="173"/>
      <c r="AA130" s="173"/>
      <c r="AB130" s="173"/>
      <c r="AC130" s="173"/>
      <c r="AD130" s="1"/>
      <c r="AE130" s="174" t="str">
        <f>W130</f>
        <v>Agosto</v>
      </c>
      <c r="AF130" s="174"/>
      <c r="AG130" s="174"/>
      <c r="AH130" s="174"/>
      <c r="AI130" s="174"/>
      <c r="AJ130" s="174"/>
      <c r="AK130" s="174"/>
    </row>
    <row r="131" spans="1:37" ht="15.75" thickBot="1" x14ac:dyDescent="0.3">
      <c r="A131" s="168" t="s">
        <v>4</v>
      </c>
      <c r="B131" s="10" t="s">
        <v>5</v>
      </c>
      <c r="C131" s="11" t="s">
        <v>6</v>
      </c>
      <c r="D131" s="12" t="s">
        <v>7</v>
      </c>
      <c r="E131" s="11" t="s">
        <v>8</v>
      </c>
      <c r="F131" s="12" t="s">
        <v>9</v>
      </c>
      <c r="G131" s="11" t="s">
        <v>10</v>
      </c>
      <c r="H131" s="32" t="s">
        <v>11</v>
      </c>
      <c r="I131" s="1"/>
      <c r="J131" s="35" t="s">
        <v>3</v>
      </c>
      <c r="K131" s="14"/>
      <c r="L131" s="15"/>
      <c r="M131" s="15"/>
      <c r="N131" s="15"/>
      <c r="O131" s="15"/>
      <c r="P131" s="15"/>
      <c r="Q131" s="15"/>
      <c r="R131" s="15"/>
      <c r="S131" s="15"/>
      <c r="T131" s="15"/>
      <c r="U131" s="16"/>
      <c r="V131" s="1"/>
      <c r="W131" s="35" t="s">
        <v>3</v>
      </c>
      <c r="X131" s="14"/>
      <c r="Y131" s="15"/>
      <c r="Z131" s="15"/>
      <c r="AA131" s="15"/>
      <c r="AB131" s="15"/>
      <c r="AC131" s="16"/>
      <c r="AD131" s="1"/>
      <c r="AE131" s="35" t="s">
        <v>3</v>
      </c>
      <c r="AF131" s="14"/>
      <c r="AG131" s="15"/>
      <c r="AH131" s="15"/>
      <c r="AI131" s="15"/>
      <c r="AJ131" s="15"/>
      <c r="AK131" s="16"/>
    </row>
    <row r="132" spans="1:37" ht="15.75" thickBot="1" x14ac:dyDescent="0.3">
      <c r="A132" s="168"/>
      <c r="B132" s="17"/>
      <c r="C132" s="18"/>
      <c r="D132" s="18"/>
      <c r="E132" s="18"/>
      <c r="F132" s="18">
        <f>SUM(C132-B132)</f>
        <v>0</v>
      </c>
      <c r="G132" s="18">
        <f>SUM(E132-D132)</f>
        <v>0</v>
      </c>
      <c r="H132" s="33">
        <f>SUM(F132:G132)</f>
        <v>0</v>
      </c>
      <c r="I132" s="1"/>
      <c r="J132" s="36" t="s">
        <v>21</v>
      </c>
      <c r="K132" s="19"/>
      <c r="L132" s="20"/>
      <c r="M132" s="20"/>
      <c r="N132" s="20"/>
      <c r="O132" s="20"/>
      <c r="P132" s="20"/>
      <c r="Q132" s="20"/>
      <c r="R132" s="20"/>
      <c r="S132" s="20"/>
      <c r="T132" s="20"/>
      <c r="U132" s="21"/>
      <c r="V132" s="1"/>
      <c r="W132" s="36" t="s">
        <v>21</v>
      </c>
      <c r="X132" s="19"/>
      <c r="Y132" s="20"/>
      <c r="Z132" s="20"/>
      <c r="AA132" s="20"/>
      <c r="AB132" s="20"/>
      <c r="AC132" s="21"/>
      <c r="AD132" s="1"/>
      <c r="AE132" s="36" t="s">
        <v>21</v>
      </c>
      <c r="AF132" s="19"/>
      <c r="AG132" s="20"/>
      <c r="AH132" s="20"/>
      <c r="AI132" s="20"/>
      <c r="AJ132" s="20"/>
      <c r="AK132" s="21"/>
    </row>
    <row r="133" spans="1:37" x14ac:dyDescent="0.25">
      <c r="A133" s="2"/>
      <c r="B133" s="2"/>
      <c r="C133" s="2"/>
      <c r="D133" s="2"/>
      <c r="E133" s="2"/>
      <c r="F133" s="2"/>
      <c r="G133" s="2"/>
      <c r="H133" s="2"/>
      <c r="I133" s="1"/>
      <c r="J133" s="37"/>
      <c r="K133" s="1"/>
      <c r="L133" s="1"/>
      <c r="M133" s="1"/>
      <c r="N133" s="1"/>
      <c r="O133" s="1"/>
      <c r="P133" s="1"/>
      <c r="Q133" s="1"/>
      <c r="R133" s="1"/>
      <c r="S133" s="1"/>
      <c r="T133" s="22" t="s">
        <v>22</v>
      </c>
      <c r="U133" s="23">
        <f>SUM(K132:U132)</f>
        <v>0</v>
      </c>
      <c r="V133" s="1"/>
      <c r="W133" s="2"/>
      <c r="X133" s="1"/>
      <c r="Y133" s="1"/>
      <c r="Z133" s="1"/>
      <c r="AA133" s="1"/>
      <c r="AB133" s="22" t="s">
        <v>22</v>
      </c>
      <c r="AC133" s="23">
        <f>SUM(X132:AC132)</f>
        <v>0</v>
      </c>
      <c r="AD133" s="1"/>
      <c r="AE133" s="2"/>
      <c r="AF133" s="1"/>
      <c r="AG133" s="1"/>
      <c r="AH133" s="1"/>
      <c r="AI133" s="1"/>
      <c r="AJ133" s="22" t="s">
        <v>22</v>
      </c>
      <c r="AK133" s="23">
        <f>SUM(AF132:AK132)</f>
        <v>0</v>
      </c>
    </row>
    <row r="134" spans="1:37" ht="15.75" thickBot="1" x14ac:dyDescent="0.3">
      <c r="A134" s="34"/>
      <c r="B134" s="171" t="s">
        <v>17</v>
      </c>
      <c r="C134" s="171"/>
      <c r="D134" s="171"/>
      <c r="E134" s="171"/>
      <c r="F134" s="171"/>
      <c r="G134" s="171"/>
      <c r="H134" s="171"/>
      <c r="I134" s="1"/>
      <c r="J134" s="172" t="s">
        <v>17</v>
      </c>
      <c r="K134" s="172"/>
      <c r="L134" s="172"/>
      <c r="M134" s="172"/>
      <c r="N134" s="172"/>
      <c r="O134" s="172"/>
      <c r="P134" s="172"/>
      <c r="Q134" s="172"/>
      <c r="R134" s="172"/>
      <c r="S134" s="172"/>
      <c r="T134" s="172"/>
      <c r="U134" s="172"/>
      <c r="V134" s="1"/>
      <c r="W134" s="173" t="str">
        <f>J134</f>
        <v>Setembro</v>
      </c>
      <c r="X134" s="173"/>
      <c r="Y134" s="173"/>
      <c r="Z134" s="173"/>
      <c r="AA134" s="173"/>
      <c r="AB134" s="173"/>
      <c r="AC134" s="173"/>
      <c r="AD134" s="1"/>
      <c r="AE134" s="174" t="str">
        <f>W134</f>
        <v>Setembro</v>
      </c>
      <c r="AF134" s="174"/>
      <c r="AG134" s="174"/>
      <c r="AH134" s="174"/>
      <c r="AI134" s="174"/>
      <c r="AJ134" s="174"/>
      <c r="AK134" s="174"/>
    </row>
    <row r="135" spans="1:37" ht="15.75" thickBot="1" x14ac:dyDescent="0.3">
      <c r="A135" s="168" t="s">
        <v>4</v>
      </c>
      <c r="B135" s="10" t="s">
        <v>5</v>
      </c>
      <c r="C135" s="11" t="s">
        <v>6</v>
      </c>
      <c r="D135" s="12" t="s">
        <v>7</v>
      </c>
      <c r="E135" s="11" t="s">
        <v>8</v>
      </c>
      <c r="F135" s="12" t="s">
        <v>9</v>
      </c>
      <c r="G135" s="11" t="s">
        <v>10</v>
      </c>
      <c r="H135" s="32" t="s">
        <v>11</v>
      </c>
      <c r="I135" s="1"/>
      <c r="J135" s="35" t="s">
        <v>3</v>
      </c>
      <c r="K135" s="14"/>
      <c r="L135" s="15"/>
      <c r="M135" s="15"/>
      <c r="N135" s="15"/>
      <c r="O135" s="15"/>
      <c r="P135" s="15"/>
      <c r="Q135" s="15"/>
      <c r="R135" s="15"/>
      <c r="S135" s="15"/>
      <c r="T135" s="15"/>
      <c r="U135" s="16"/>
      <c r="V135" s="1"/>
      <c r="W135" s="35" t="s">
        <v>3</v>
      </c>
      <c r="X135" s="14"/>
      <c r="Y135" s="15"/>
      <c r="Z135" s="15"/>
      <c r="AA135" s="15"/>
      <c r="AB135" s="15"/>
      <c r="AC135" s="16"/>
      <c r="AD135" s="1"/>
      <c r="AE135" s="35" t="s">
        <v>3</v>
      </c>
      <c r="AF135" s="14"/>
      <c r="AG135" s="15"/>
      <c r="AH135" s="15"/>
      <c r="AI135" s="15"/>
      <c r="AJ135" s="15"/>
      <c r="AK135" s="16"/>
    </row>
    <row r="136" spans="1:37" ht="15.75" thickBot="1" x14ac:dyDescent="0.3">
      <c r="A136" s="168"/>
      <c r="B136" s="17"/>
      <c r="C136" s="18"/>
      <c r="D136" s="18"/>
      <c r="E136" s="18"/>
      <c r="F136" s="18">
        <f>SUM(C136-B136)</f>
        <v>0</v>
      </c>
      <c r="G136" s="18">
        <f>SUM(E136-D136)</f>
        <v>0</v>
      </c>
      <c r="H136" s="33">
        <f>SUM(F136:G136)</f>
        <v>0</v>
      </c>
      <c r="I136" s="1"/>
      <c r="J136" s="36" t="s">
        <v>21</v>
      </c>
      <c r="K136" s="19"/>
      <c r="L136" s="20"/>
      <c r="M136" s="20"/>
      <c r="N136" s="20"/>
      <c r="O136" s="20"/>
      <c r="P136" s="20"/>
      <c r="Q136" s="20"/>
      <c r="R136" s="20"/>
      <c r="S136" s="20"/>
      <c r="T136" s="20"/>
      <c r="U136" s="21"/>
      <c r="V136" s="1"/>
      <c r="W136" s="36" t="s">
        <v>21</v>
      </c>
      <c r="X136" s="19"/>
      <c r="Y136" s="20"/>
      <c r="Z136" s="20"/>
      <c r="AA136" s="20"/>
      <c r="AB136" s="20"/>
      <c r="AC136" s="21"/>
      <c r="AD136" s="1"/>
      <c r="AE136" s="36" t="s">
        <v>21</v>
      </c>
      <c r="AF136" s="19"/>
      <c r="AG136" s="20"/>
      <c r="AH136" s="20"/>
      <c r="AI136" s="20"/>
      <c r="AJ136" s="20"/>
      <c r="AK136" s="21"/>
    </row>
    <row r="137" spans="1:37" x14ac:dyDescent="0.25">
      <c r="A137" s="2"/>
      <c r="B137" s="2"/>
      <c r="C137" s="2"/>
      <c r="D137" s="2"/>
      <c r="E137" s="2"/>
      <c r="F137" s="2"/>
      <c r="G137" s="2"/>
      <c r="H137" s="2"/>
      <c r="I137" s="1"/>
      <c r="J137" s="37"/>
      <c r="K137" s="1"/>
      <c r="L137" s="1"/>
      <c r="M137" s="1"/>
      <c r="N137" s="1"/>
      <c r="O137" s="1"/>
      <c r="P137" s="1"/>
      <c r="Q137" s="1"/>
      <c r="R137" s="1"/>
      <c r="S137" s="1"/>
      <c r="T137" s="22" t="s">
        <v>22</v>
      </c>
      <c r="U137" s="23">
        <f>SUM(K136:U136)</f>
        <v>0</v>
      </c>
      <c r="V137" s="1"/>
      <c r="W137" s="2"/>
      <c r="X137" s="1"/>
      <c r="Y137" s="1"/>
      <c r="Z137" s="1"/>
      <c r="AA137" s="1"/>
      <c r="AB137" s="22" t="s">
        <v>22</v>
      </c>
      <c r="AC137" s="23">
        <f>SUM(X136:AC136)</f>
        <v>0</v>
      </c>
      <c r="AD137" s="1"/>
      <c r="AE137" s="2"/>
      <c r="AF137" s="1"/>
      <c r="AG137" s="1"/>
      <c r="AH137" s="1"/>
      <c r="AI137" s="1"/>
      <c r="AJ137" s="22" t="s">
        <v>22</v>
      </c>
      <c r="AK137" s="23">
        <f>SUM(AF136:AK136)</f>
        <v>0</v>
      </c>
    </row>
    <row r="138" spans="1:37" ht="15.75" thickBot="1" x14ac:dyDescent="0.3">
      <c r="A138" s="34"/>
      <c r="B138" s="171" t="s">
        <v>18</v>
      </c>
      <c r="C138" s="171"/>
      <c r="D138" s="171"/>
      <c r="E138" s="171"/>
      <c r="F138" s="171"/>
      <c r="G138" s="171"/>
      <c r="H138" s="171"/>
      <c r="I138" s="1"/>
      <c r="J138" s="172" t="s">
        <v>18</v>
      </c>
      <c r="K138" s="172"/>
      <c r="L138" s="172"/>
      <c r="M138" s="172"/>
      <c r="N138" s="172"/>
      <c r="O138" s="172"/>
      <c r="P138" s="172"/>
      <c r="Q138" s="172"/>
      <c r="R138" s="172"/>
      <c r="S138" s="172"/>
      <c r="T138" s="172"/>
      <c r="U138" s="172"/>
      <c r="V138" s="1"/>
      <c r="W138" s="173" t="str">
        <f>J138</f>
        <v>Outubro</v>
      </c>
      <c r="X138" s="173"/>
      <c r="Y138" s="173"/>
      <c r="Z138" s="173"/>
      <c r="AA138" s="173"/>
      <c r="AB138" s="173"/>
      <c r="AC138" s="173"/>
      <c r="AD138" s="1"/>
      <c r="AE138" s="174" t="str">
        <f>W138</f>
        <v>Outubro</v>
      </c>
      <c r="AF138" s="174"/>
      <c r="AG138" s="174"/>
      <c r="AH138" s="174"/>
      <c r="AI138" s="174"/>
      <c r="AJ138" s="174"/>
      <c r="AK138" s="174"/>
    </row>
    <row r="139" spans="1:37" ht="15.75" thickBot="1" x14ac:dyDescent="0.3">
      <c r="A139" s="168" t="s">
        <v>4</v>
      </c>
      <c r="B139" s="10" t="s">
        <v>5</v>
      </c>
      <c r="C139" s="11" t="s">
        <v>6</v>
      </c>
      <c r="D139" s="12" t="s">
        <v>7</v>
      </c>
      <c r="E139" s="11" t="s">
        <v>8</v>
      </c>
      <c r="F139" s="12" t="s">
        <v>9</v>
      </c>
      <c r="G139" s="11" t="s">
        <v>10</v>
      </c>
      <c r="H139" s="32" t="s">
        <v>11</v>
      </c>
      <c r="I139" s="1"/>
      <c r="J139" s="35" t="s">
        <v>3</v>
      </c>
      <c r="K139" s="14"/>
      <c r="L139" s="15"/>
      <c r="M139" s="15"/>
      <c r="N139" s="15"/>
      <c r="O139" s="15"/>
      <c r="P139" s="15"/>
      <c r="Q139" s="15"/>
      <c r="R139" s="15"/>
      <c r="S139" s="15"/>
      <c r="T139" s="15"/>
      <c r="U139" s="16"/>
      <c r="V139" s="1"/>
      <c r="W139" s="35" t="s">
        <v>3</v>
      </c>
      <c r="X139" s="14"/>
      <c r="Y139" s="15"/>
      <c r="Z139" s="15"/>
      <c r="AA139" s="15"/>
      <c r="AB139" s="15"/>
      <c r="AC139" s="16"/>
      <c r="AD139" s="1"/>
      <c r="AE139" s="35" t="s">
        <v>3</v>
      </c>
      <c r="AF139" s="14"/>
      <c r="AG139" s="15"/>
      <c r="AH139" s="15"/>
      <c r="AI139" s="15"/>
      <c r="AJ139" s="15"/>
      <c r="AK139" s="16"/>
    </row>
    <row r="140" spans="1:37" ht="15.75" thickBot="1" x14ac:dyDescent="0.3">
      <c r="A140" s="168"/>
      <c r="B140" s="17"/>
      <c r="C140" s="18"/>
      <c r="D140" s="18"/>
      <c r="E140" s="18"/>
      <c r="F140" s="18">
        <f>SUM(C140-B140)</f>
        <v>0</v>
      </c>
      <c r="G140" s="18">
        <f>SUM(E140-D140)</f>
        <v>0</v>
      </c>
      <c r="H140" s="33">
        <f>SUM(F140:G140)</f>
        <v>0</v>
      </c>
      <c r="I140" s="1"/>
      <c r="J140" s="36" t="s">
        <v>21</v>
      </c>
      <c r="K140" s="19"/>
      <c r="L140" s="20"/>
      <c r="M140" s="20"/>
      <c r="N140" s="20"/>
      <c r="O140" s="20"/>
      <c r="P140" s="20"/>
      <c r="Q140" s="20"/>
      <c r="R140" s="20"/>
      <c r="S140" s="20"/>
      <c r="T140" s="20"/>
      <c r="U140" s="21"/>
      <c r="V140" s="1"/>
      <c r="W140" s="36" t="s">
        <v>21</v>
      </c>
      <c r="X140" s="19"/>
      <c r="Y140" s="20"/>
      <c r="Z140" s="20"/>
      <c r="AA140" s="20"/>
      <c r="AB140" s="20"/>
      <c r="AC140" s="21"/>
      <c r="AD140" s="1"/>
      <c r="AE140" s="36" t="s">
        <v>21</v>
      </c>
      <c r="AF140" s="19"/>
      <c r="AG140" s="20"/>
      <c r="AH140" s="20"/>
      <c r="AI140" s="20"/>
      <c r="AJ140" s="20"/>
      <c r="AK140" s="21"/>
    </row>
    <row r="141" spans="1:37" x14ac:dyDescent="0.25">
      <c r="A141" s="2"/>
      <c r="B141" s="2"/>
      <c r="C141" s="2"/>
      <c r="D141" s="2"/>
      <c r="E141" s="2"/>
      <c r="F141" s="2"/>
      <c r="G141" s="2"/>
      <c r="H141" s="2"/>
      <c r="I141" s="1"/>
      <c r="J141" s="37"/>
      <c r="K141" s="1"/>
      <c r="L141" s="1"/>
      <c r="M141" s="1"/>
      <c r="N141" s="1"/>
      <c r="O141" s="1"/>
      <c r="P141" s="1"/>
      <c r="Q141" s="1"/>
      <c r="R141" s="1"/>
      <c r="S141" s="1"/>
      <c r="T141" s="22" t="s">
        <v>22</v>
      </c>
      <c r="U141" s="23">
        <f>SUM(K140:U140)</f>
        <v>0</v>
      </c>
      <c r="V141" s="1"/>
      <c r="W141" s="2"/>
      <c r="X141" s="1"/>
      <c r="Y141" s="1"/>
      <c r="Z141" s="1"/>
      <c r="AA141" s="1"/>
      <c r="AB141" s="22" t="s">
        <v>22</v>
      </c>
      <c r="AC141" s="23">
        <f>SUM(X140:AC140)</f>
        <v>0</v>
      </c>
      <c r="AD141" s="1"/>
      <c r="AE141" s="2"/>
      <c r="AF141" s="1"/>
      <c r="AG141" s="1"/>
      <c r="AH141" s="1"/>
      <c r="AI141" s="1"/>
      <c r="AJ141" s="22" t="s">
        <v>22</v>
      </c>
      <c r="AK141" s="23">
        <f>SUM(AF140:AK140)</f>
        <v>0</v>
      </c>
    </row>
    <row r="142" spans="1:37" ht="15.75" thickBot="1" x14ac:dyDescent="0.3">
      <c r="A142" s="34"/>
      <c r="B142" s="171" t="s">
        <v>19</v>
      </c>
      <c r="C142" s="171"/>
      <c r="D142" s="171"/>
      <c r="E142" s="171"/>
      <c r="F142" s="171"/>
      <c r="G142" s="171"/>
      <c r="H142" s="171"/>
      <c r="I142" s="1"/>
      <c r="J142" s="172" t="s">
        <v>19</v>
      </c>
      <c r="K142" s="172"/>
      <c r="L142" s="172"/>
      <c r="M142" s="172"/>
      <c r="N142" s="172"/>
      <c r="O142" s="172"/>
      <c r="P142" s="172"/>
      <c r="Q142" s="172"/>
      <c r="R142" s="172"/>
      <c r="S142" s="172"/>
      <c r="T142" s="172"/>
      <c r="U142" s="172"/>
      <c r="V142" s="1"/>
      <c r="W142" s="173" t="str">
        <f>J142</f>
        <v>Novembro</v>
      </c>
      <c r="X142" s="173"/>
      <c r="Y142" s="173"/>
      <c r="Z142" s="173"/>
      <c r="AA142" s="173"/>
      <c r="AB142" s="173"/>
      <c r="AC142" s="173"/>
      <c r="AD142" s="1"/>
      <c r="AE142" s="174" t="str">
        <f>W142</f>
        <v>Novembro</v>
      </c>
      <c r="AF142" s="174"/>
      <c r="AG142" s="174"/>
      <c r="AH142" s="174"/>
      <c r="AI142" s="174"/>
      <c r="AJ142" s="174"/>
      <c r="AK142" s="174"/>
    </row>
    <row r="143" spans="1:37" ht="15.75" thickBot="1" x14ac:dyDescent="0.3">
      <c r="A143" s="168" t="s">
        <v>4</v>
      </c>
      <c r="B143" s="10" t="s">
        <v>5</v>
      </c>
      <c r="C143" s="11" t="s">
        <v>6</v>
      </c>
      <c r="D143" s="12" t="s">
        <v>7</v>
      </c>
      <c r="E143" s="11" t="s">
        <v>8</v>
      </c>
      <c r="F143" s="12" t="s">
        <v>9</v>
      </c>
      <c r="G143" s="11" t="s">
        <v>10</v>
      </c>
      <c r="H143" s="32" t="s">
        <v>11</v>
      </c>
      <c r="I143" s="1"/>
      <c r="J143" s="35" t="s">
        <v>3</v>
      </c>
      <c r="K143" s="14"/>
      <c r="L143" s="15"/>
      <c r="M143" s="15"/>
      <c r="N143" s="15"/>
      <c r="O143" s="15"/>
      <c r="P143" s="15"/>
      <c r="Q143" s="15"/>
      <c r="R143" s="15"/>
      <c r="S143" s="15"/>
      <c r="T143" s="15"/>
      <c r="U143" s="16"/>
      <c r="V143" s="1"/>
      <c r="W143" s="35" t="s">
        <v>3</v>
      </c>
      <c r="X143" s="14"/>
      <c r="Y143" s="15"/>
      <c r="Z143" s="15"/>
      <c r="AA143" s="15"/>
      <c r="AB143" s="15"/>
      <c r="AC143" s="16"/>
      <c r="AD143" s="1"/>
      <c r="AE143" s="35" t="s">
        <v>3</v>
      </c>
      <c r="AF143" s="14"/>
      <c r="AG143" s="15"/>
      <c r="AH143" s="15"/>
      <c r="AI143" s="15"/>
      <c r="AJ143" s="15"/>
      <c r="AK143" s="16"/>
    </row>
    <row r="144" spans="1:37" ht="15.75" thickBot="1" x14ac:dyDescent="0.3">
      <c r="A144" s="168"/>
      <c r="B144" s="17"/>
      <c r="C144" s="18"/>
      <c r="D144" s="18"/>
      <c r="E144" s="18"/>
      <c r="F144" s="18">
        <f>SUM(C144-B144)</f>
        <v>0</v>
      </c>
      <c r="G144" s="18">
        <f>SUM(E144-D144)</f>
        <v>0</v>
      </c>
      <c r="H144" s="33">
        <f>SUM(F144:G144)</f>
        <v>0</v>
      </c>
      <c r="I144" s="1"/>
      <c r="J144" s="36" t="s">
        <v>21</v>
      </c>
      <c r="K144" s="19"/>
      <c r="L144" s="20"/>
      <c r="M144" s="20"/>
      <c r="N144" s="20"/>
      <c r="O144" s="20"/>
      <c r="P144" s="20"/>
      <c r="Q144" s="20"/>
      <c r="R144" s="20"/>
      <c r="S144" s="20"/>
      <c r="T144" s="20"/>
      <c r="U144" s="21"/>
      <c r="V144" s="1"/>
      <c r="W144" s="36" t="s">
        <v>21</v>
      </c>
      <c r="X144" s="19"/>
      <c r="Y144" s="20"/>
      <c r="Z144" s="20"/>
      <c r="AA144" s="20"/>
      <c r="AB144" s="20"/>
      <c r="AC144" s="21"/>
      <c r="AD144" s="1"/>
      <c r="AE144" s="36" t="s">
        <v>21</v>
      </c>
      <c r="AF144" s="19"/>
      <c r="AG144" s="20"/>
      <c r="AH144" s="20"/>
      <c r="AI144" s="20"/>
      <c r="AJ144" s="20"/>
      <c r="AK144" s="21"/>
    </row>
    <row r="145" spans="1:37" x14ac:dyDescent="0.25">
      <c r="A145" s="2"/>
      <c r="B145" s="2"/>
      <c r="C145" s="2"/>
      <c r="D145" s="2"/>
      <c r="E145" s="2"/>
      <c r="F145" s="2"/>
      <c r="G145" s="2"/>
      <c r="H145" s="2"/>
      <c r="I145" s="1"/>
      <c r="J145" s="37"/>
      <c r="K145" s="1"/>
      <c r="L145" s="1"/>
      <c r="M145" s="1"/>
      <c r="N145" s="1"/>
      <c r="O145" s="1"/>
      <c r="P145" s="1"/>
      <c r="Q145" s="1"/>
      <c r="R145" s="1"/>
      <c r="S145" s="1"/>
      <c r="T145" s="22" t="s">
        <v>22</v>
      </c>
      <c r="U145" s="23">
        <f>SUM(K144:U144)</f>
        <v>0</v>
      </c>
      <c r="V145" s="1"/>
      <c r="W145" s="2"/>
      <c r="X145" s="1"/>
      <c r="Y145" s="1"/>
      <c r="Z145" s="1"/>
      <c r="AA145" s="1"/>
      <c r="AB145" s="22" t="s">
        <v>22</v>
      </c>
      <c r="AC145" s="23">
        <f>SUM(X144:AC144)</f>
        <v>0</v>
      </c>
      <c r="AD145" s="1"/>
      <c r="AE145" s="2"/>
      <c r="AF145" s="1"/>
      <c r="AG145" s="1"/>
      <c r="AH145" s="1"/>
      <c r="AI145" s="1"/>
      <c r="AJ145" s="22" t="s">
        <v>22</v>
      </c>
      <c r="AK145" s="23">
        <f>SUM(AF144:AK144)</f>
        <v>0</v>
      </c>
    </row>
    <row r="146" spans="1:37" ht="15.75" thickBot="1" x14ac:dyDescent="0.3">
      <c r="A146" s="34"/>
      <c r="B146" s="171" t="s">
        <v>20</v>
      </c>
      <c r="C146" s="171"/>
      <c r="D146" s="171"/>
      <c r="E146" s="171"/>
      <c r="F146" s="171"/>
      <c r="G146" s="171"/>
      <c r="H146" s="171"/>
      <c r="I146" s="1"/>
      <c r="J146" s="172" t="s">
        <v>20</v>
      </c>
      <c r="K146" s="172"/>
      <c r="L146" s="172"/>
      <c r="M146" s="172"/>
      <c r="N146" s="172"/>
      <c r="O146" s="172"/>
      <c r="P146" s="172"/>
      <c r="Q146" s="172"/>
      <c r="R146" s="172"/>
      <c r="S146" s="172"/>
      <c r="T146" s="172"/>
      <c r="U146" s="172"/>
      <c r="V146" s="1"/>
      <c r="W146" s="173" t="str">
        <f>J146</f>
        <v>Dezembro</v>
      </c>
      <c r="X146" s="173"/>
      <c r="Y146" s="173"/>
      <c r="Z146" s="173"/>
      <c r="AA146" s="173"/>
      <c r="AB146" s="173"/>
      <c r="AC146" s="173"/>
      <c r="AD146" s="1"/>
      <c r="AE146" s="174" t="str">
        <f>W146</f>
        <v>Dezembro</v>
      </c>
      <c r="AF146" s="174"/>
      <c r="AG146" s="174"/>
      <c r="AH146" s="174"/>
      <c r="AI146" s="174"/>
      <c r="AJ146" s="174"/>
      <c r="AK146" s="174"/>
    </row>
    <row r="147" spans="1:37" ht="15.75" thickBot="1" x14ac:dyDescent="0.3">
      <c r="A147" s="168" t="s">
        <v>4</v>
      </c>
      <c r="B147" s="10" t="s">
        <v>5</v>
      </c>
      <c r="C147" s="11" t="s">
        <v>6</v>
      </c>
      <c r="D147" s="12" t="s">
        <v>7</v>
      </c>
      <c r="E147" s="11" t="s">
        <v>8</v>
      </c>
      <c r="F147" s="12" t="s">
        <v>9</v>
      </c>
      <c r="G147" s="11" t="s">
        <v>10</v>
      </c>
      <c r="H147" s="32" t="s">
        <v>11</v>
      </c>
      <c r="I147" s="1"/>
      <c r="J147" s="35" t="s">
        <v>3</v>
      </c>
      <c r="K147" s="14"/>
      <c r="L147" s="15"/>
      <c r="M147" s="15"/>
      <c r="N147" s="15"/>
      <c r="O147" s="15"/>
      <c r="P147" s="15"/>
      <c r="Q147" s="15"/>
      <c r="R147" s="15"/>
      <c r="S147" s="15"/>
      <c r="T147" s="15"/>
      <c r="U147" s="16"/>
      <c r="V147" s="1"/>
      <c r="W147" s="35" t="s">
        <v>3</v>
      </c>
      <c r="X147" s="14"/>
      <c r="Y147" s="15"/>
      <c r="Z147" s="15"/>
      <c r="AA147" s="15"/>
      <c r="AB147" s="15"/>
      <c r="AC147" s="16"/>
      <c r="AD147" s="1"/>
      <c r="AE147" s="35" t="s">
        <v>3</v>
      </c>
      <c r="AF147" s="14"/>
      <c r="AG147" s="15"/>
      <c r="AH147" s="15"/>
      <c r="AI147" s="15"/>
      <c r="AJ147" s="15"/>
      <c r="AK147" s="16"/>
    </row>
    <row r="148" spans="1:37" ht="15.75" thickBot="1" x14ac:dyDescent="0.3">
      <c r="A148" s="168"/>
      <c r="B148" s="17"/>
      <c r="C148" s="18"/>
      <c r="D148" s="18"/>
      <c r="E148" s="18"/>
      <c r="F148" s="18">
        <f>SUM(C148-B148)</f>
        <v>0</v>
      </c>
      <c r="G148" s="18">
        <f>SUM(E148-D148)</f>
        <v>0</v>
      </c>
      <c r="H148" s="33">
        <f>SUM(F148:G148)</f>
        <v>0</v>
      </c>
      <c r="I148" s="1"/>
      <c r="J148" s="36" t="s">
        <v>21</v>
      </c>
      <c r="K148" s="19"/>
      <c r="L148" s="20"/>
      <c r="M148" s="20"/>
      <c r="N148" s="20"/>
      <c r="O148" s="20"/>
      <c r="P148" s="20"/>
      <c r="Q148" s="20"/>
      <c r="R148" s="20"/>
      <c r="S148" s="20"/>
      <c r="T148" s="20"/>
      <c r="U148" s="21"/>
      <c r="V148" s="1"/>
      <c r="W148" s="36" t="s">
        <v>21</v>
      </c>
      <c r="X148" s="19"/>
      <c r="Y148" s="20"/>
      <c r="Z148" s="20"/>
      <c r="AA148" s="20"/>
      <c r="AB148" s="20"/>
      <c r="AC148" s="21"/>
      <c r="AD148" s="1"/>
      <c r="AE148" s="36" t="s">
        <v>21</v>
      </c>
      <c r="AF148" s="19"/>
      <c r="AG148" s="20"/>
      <c r="AH148" s="20"/>
      <c r="AI148" s="20"/>
      <c r="AJ148" s="20"/>
      <c r="AK148" s="21"/>
    </row>
    <row r="149" spans="1:37" x14ac:dyDescent="0.25">
      <c r="A149" s="2"/>
      <c r="B149" s="2"/>
      <c r="C149" s="2"/>
      <c r="D149" s="2"/>
      <c r="E149" s="2"/>
      <c r="F149" s="1"/>
      <c r="G149" s="1"/>
      <c r="H149" s="1"/>
      <c r="I149" s="1"/>
      <c r="J149" s="37"/>
      <c r="K149" s="1"/>
      <c r="L149" s="1"/>
      <c r="M149" s="1"/>
      <c r="N149" s="1"/>
      <c r="O149" s="1"/>
      <c r="P149" s="1"/>
      <c r="Q149" s="1"/>
      <c r="R149" s="1"/>
      <c r="S149" s="1"/>
      <c r="T149" s="22" t="s">
        <v>22</v>
      </c>
      <c r="U149" s="23">
        <f>SUM(K148:U148)</f>
        <v>0</v>
      </c>
      <c r="V149" s="1"/>
      <c r="W149" s="2"/>
      <c r="X149" s="1"/>
      <c r="Y149" s="1"/>
      <c r="Z149" s="1"/>
      <c r="AA149" s="1"/>
      <c r="AB149" s="22" t="s">
        <v>22</v>
      </c>
      <c r="AC149" s="23">
        <f>SUM(X148:AC148)</f>
        <v>0</v>
      </c>
      <c r="AD149" s="1"/>
      <c r="AE149" s="2"/>
      <c r="AF149" s="1"/>
      <c r="AG149" s="1"/>
      <c r="AH149" s="1"/>
      <c r="AI149" s="1"/>
      <c r="AJ149" s="22" t="s">
        <v>22</v>
      </c>
      <c r="AK149" s="23">
        <f>SUM(AF148:AK148)</f>
        <v>0</v>
      </c>
    </row>
  </sheetData>
  <mergeCells count="187">
    <mergeCell ref="B2:C2"/>
    <mergeCell ref="E2:F2"/>
    <mergeCell ref="B5:C5"/>
    <mergeCell ref="E5:F5"/>
    <mergeCell ref="A8:H8"/>
    <mergeCell ref="J8:U8"/>
    <mergeCell ref="A11:A12"/>
    <mergeCell ref="B14:H14"/>
    <mergeCell ref="J14:U14"/>
    <mergeCell ref="B3:C3"/>
    <mergeCell ref="E3:F3"/>
    <mergeCell ref="B4:C4"/>
    <mergeCell ref="E4:F4"/>
    <mergeCell ref="W14:AC14"/>
    <mergeCell ref="AE14:AK14"/>
    <mergeCell ref="A15:A16"/>
    <mergeCell ref="W8:AC8"/>
    <mergeCell ref="AE8:AK8"/>
    <mergeCell ref="B10:H10"/>
    <mergeCell ref="J10:U10"/>
    <mergeCell ref="W10:AC10"/>
    <mergeCell ref="AE10:AK10"/>
    <mergeCell ref="A23:A24"/>
    <mergeCell ref="B26:H26"/>
    <mergeCell ref="J26:U26"/>
    <mergeCell ref="W26:AC26"/>
    <mergeCell ref="AE26:AK26"/>
    <mergeCell ref="A27:A28"/>
    <mergeCell ref="B18:H18"/>
    <mergeCell ref="J18:U18"/>
    <mergeCell ref="W18:AC18"/>
    <mergeCell ref="AE18:AK18"/>
    <mergeCell ref="A19:A20"/>
    <mergeCell ref="B22:H22"/>
    <mergeCell ref="J22:U22"/>
    <mergeCell ref="W22:AC22"/>
    <mergeCell ref="AE22:AK22"/>
    <mergeCell ref="A35:A36"/>
    <mergeCell ref="B38:H38"/>
    <mergeCell ref="J38:U38"/>
    <mergeCell ref="W38:AC38"/>
    <mergeCell ref="AE38:AK38"/>
    <mergeCell ref="A39:A40"/>
    <mergeCell ref="B30:H30"/>
    <mergeCell ref="J30:U30"/>
    <mergeCell ref="W30:AC30"/>
    <mergeCell ref="AE30:AK30"/>
    <mergeCell ref="A31:A32"/>
    <mergeCell ref="B34:H34"/>
    <mergeCell ref="J34:U34"/>
    <mergeCell ref="W34:AC34"/>
    <mergeCell ref="AE34:AK34"/>
    <mergeCell ref="A47:A48"/>
    <mergeCell ref="B50:H50"/>
    <mergeCell ref="J50:U50"/>
    <mergeCell ref="W50:AC50"/>
    <mergeCell ref="AE50:AK50"/>
    <mergeCell ref="A51:A52"/>
    <mergeCell ref="B42:H42"/>
    <mergeCell ref="J42:U42"/>
    <mergeCell ref="W42:AC42"/>
    <mergeCell ref="AE42:AK42"/>
    <mergeCell ref="A43:A44"/>
    <mergeCell ref="B46:H46"/>
    <mergeCell ref="J46:U46"/>
    <mergeCell ref="W46:AC46"/>
    <mergeCell ref="AE46:AK46"/>
    <mergeCell ref="A59:A60"/>
    <mergeCell ref="B62:H62"/>
    <mergeCell ref="J62:U62"/>
    <mergeCell ref="W62:AC62"/>
    <mergeCell ref="AE62:AK62"/>
    <mergeCell ref="A63:A64"/>
    <mergeCell ref="B54:H54"/>
    <mergeCell ref="J54:U54"/>
    <mergeCell ref="W54:AC54"/>
    <mergeCell ref="AE54:AK54"/>
    <mergeCell ref="A55:A56"/>
    <mergeCell ref="B58:H58"/>
    <mergeCell ref="J58:U58"/>
    <mergeCell ref="W58:AC58"/>
    <mergeCell ref="AE58:AK58"/>
    <mergeCell ref="A71:A72"/>
    <mergeCell ref="B74:H74"/>
    <mergeCell ref="J74:U74"/>
    <mergeCell ref="W74:AC74"/>
    <mergeCell ref="AE74:AK74"/>
    <mergeCell ref="A75:A76"/>
    <mergeCell ref="B66:H66"/>
    <mergeCell ref="J66:U66"/>
    <mergeCell ref="W66:AC66"/>
    <mergeCell ref="AE66:AK66"/>
    <mergeCell ref="A67:A68"/>
    <mergeCell ref="B70:H70"/>
    <mergeCell ref="J70:U70"/>
    <mergeCell ref="W70:AC70"/>
    <mergeCell ref="AE70:AK70"/>
    <mergeCell ref="A83:A84"/>
    <mergeCell ref="B86:H86"/>
    <mergeCell ref="J86:U86"/>
    <mergeCell ref="W86:AC86"/>
    <mergeCell ref="AE86:AK86"/>
    <mergeCell ref="A87:A88"/>
    <mergeCell ref="B78:H78"/>
    <mergeCell ref="J78:U78"/>
    <mergeCell ref="W78:AC78"/>
    <mergeCell ref="AE78:AK78"/>
    <mergeCell ref="A79:A80"/>
    <mergeCell ref="B82:H82"/>
    <mergeCell ref="J82:U82"/>
    <mergeCell ref="W82:AC82"/>
    <mergeCell ref="AE82:AK82"/>
    <mergeCell ref="A95:A96"/>
    <mergeCell ref="B90:H90"/>
    <mergeCell ref="J90:U90"/>
    <mergeCell ref="W90:AC90"/>
    <mergeCell ref="AE90:AK90"/>
    <mergeCell ref="A91:A92"/>
    <mergeCell ref="B94:H94"/>
    <mergeCell ref="J94:U94"/>
    <mergeCell ref="W94:AC94"/>
    <mergeCell ref="AE94:AK94"/>
    <mergeCell ref="B98:H98"/>
    <mergeCell ref="J98:U98"/>
    <mergeCell ref="W98:AC98"/>
    <mergeCell ref="AE98:AK98"/>
    <mergeCell ref="A99:A100"/>
    <mergeCell ref="B102:H102"/>
    <mergeCell ref="J102:U102"/>
    <mergeCell ref="W102:AC102"/>
    <mergeCell ref="AE102:AK102"/>
    <mergeCell ref="A103:A104"/>
    <mergeCell ref="B106:H106"/>
    <mergeCell ref="J106:U106"/>
    <mergeCell ref="W106:AC106"/>
    <mergeCell ref="AE106:AK106"/>
    <mergeCell ref="A107:A108"/>
    <mergeCell ref="B110:H110"/>
    <mergeCell ref="J110:U110"/>
    <mergeCell ref="W110:AC110"/>
    <mergeCell ref="AE110:AK110"/>
    <mergeCell ref="A111:A112"/>
    <mergeCell ref="B114:H114"/>
    <mergeCell ref="J114:U114"/>
    <mergeCell ref="W114:AC114"/>
    <mergeCell ref="AE114:AK114"/>
    <mergeCell ref="A115:A116"/>
    <mergeCell ref="B118:H118"/>
    <mergeCell ref="J118:U118"/>
    <mergeCell ref="W118:AC118"/>
    <mergeCell ref="AE118:AK118"/>
    <mergeCell ref="A119:A120"/>
    <mergeCell ref="B122:H122"/>
    <mergeCell ref="J122:U122"/>
    <mergeCell ref="W122:AC122"/>
    <mergeCell ref="AE122:AK122"/>
    <mergeCell ref="A123:A124"/>
    <mergeCell ref="B126:H126"/>
    <mergeCell ref="J126:U126"/>
    <mergeCell ref="W126:AC126"/>
    <mergeCell ref="AE126:AK126"/>
    <mergeCell ref="A127:A128"/>
    <mergeCell ref="B130:H130"/>
    <mergeCell ref="J130:U130"/>
    <mergeCell ref="W130:AC130"/>
    <mergeCell ref="AE130:AK130"/>
    <mergeCell ref="A131:A132"/>
    <mergeCell ref="B134:H134"/>
    <mergeCell ref="J134:U134"/>
    <mergeCell ref="W134:AC134"/>
    <mergeCell ref="AE134:AK134"/>
    <mergeCell ref="A143:A144"/>
    <mergeCell ref="B146:H146"/>
    <mergeCell ref="J146:U146"/>
    <mergeCell ref="W146:AC146"/>
    <mergeCell ref="AE146:AK146"/>
    <mergeCell ref="A147:A148"/>
    <mergeCell ref="A135:A136"/>
    <mergeCell ref="B138:H138"/>
    <mergeCell ref="J138:U138"/>
    <mergeCell ref="W138:AC138"/>
    <mergeCell ref="AE138:AK138"/>
    <mergeCell ref="A139:A140"/>
    <mergeCell ref="B142:H142"/>
    <mergeCell ref="J142:U142"/>
    <mergeCell ref="W142:AC142"/>
    <mergeCell ref="AE142:AK142"/>
  </mergeCells>
  <phoneticPr fontId="2" type="noConversion"/>
  <pageMargins left="0.511811024" right="0.511811024" top="0.78740157499999996" bottom="0.78740157499999996" header="0.31496062000000002" footer="0.31496062000000002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A9DD01-D197-4833-A9E1-2C125ADAAAB3}">
  <dimension ref="A1:AL90"/>
  <sheetViews>
    <sheetView topLeftCell="A63" workbookViewId="0">
      <selection activeCell="I17" sqref="I17"/>
    </sheetView>
  </sheetViews>
  <sheetFormatPr defaultRowHeight="15" x14ac:dyDescent="0.25"/>
  <cols>
    <col min="1" max="1" width="17.28515625" style="2" bestFit="1" customWidth="1"/>
    <col min="2" max="2" width="11.7109375" style="2" bestFit="1" customWidth="1"/>
    <col min="3" max="3" width="9.28515625" style="2" bestFit="1" customWidth="1"/>
    <col min="4" max="4" width="10.7109375" style="2" customWidth="1"/>
    <col min="5" max="5" width="9.28515625" style="2" bestFit="1" customWidth="1"/>
    <col min="6" max="6" width="13.140625" style="1" customWidth="1"/>
    <col min="7" max="7" width="13.85546875" style="1" customWidth="1"/>
    <col min="8" max="8" width="11.85546875" style="1" bestFit="1" customWidth="1"/>
    <col min="9" max="9" width="14" style="1" bestFit="1" customWidth="1"/>
    <col min="10" max="10" width="10.7109375" style="2" bestFit="1" customWidth="1"/>
    <col min="11" max="13" width="10.7109375" style="1" bestFit="1" customWidth="1"/>
    <col min="14" max="15" width="10.5703125" style="1" bestFit="1" customWidth="1"/>
    <col min="16" max="20" width="10.7109375" style="1" bestFit="1" customWidth="1"/>
    <col min="21" max="21" width="12.140625" style="1" bestFit="1" customWidth="1"/>
    <col min="22" max="22" width="10.7109375" style="1" bestFit="1" customWidth="1"/>
    <col min="23" max="23" width="9.140625" style="1"/>
    <col min="24" max="24" width="9" style="2"/>
    <col min="25" max="25" width="10.7109375" style="1" bestFit="1" customWidth="1"/>
    <col min="26" max="29" width="9" style="1"/>
    <col min="30" max="30" width="9.5703125" style="1" bestFit="1" customWidth="1"/>
    <col min="31" max="31" width="9" style="1"/>
    <col min="32" max="32" width="9" style="2"/>
    <col min="33" max="33" width="10.5703125" style="1" bestFit="1" customWidth="1"/>
    <col min="34" max="34" width="9" style="1"/>
    <col min="35" max="37" width="10.140625" style="1" bestFit="1" customWidth="1"/>
    <col min="38" max="38" width="10.5703125" style="1" bestFit="1" customWidth="1"/>
  </cols>
  <sheetData>
    <row r="1" spans="1:38" ht="21" x14ac:dyDescent="0.25">
      <c r="A1" s="162"/>
      <c r="B1" s="164" t="s">
        <v>51</v>
      </c>
      <c r="C1" s="164"/>
      <c r="D1" s="164"/>
      <c r="E1" s="164"/>
      <c r="F1" s="164"/>
      <c r="G1" s="164"/>
      <c r="H1" s="164"/>
      <c r="I1" s="164"/>
      <c r="J1" s="164"/>
      <c r="K1" s="164"/>
      <c r="L1" s="164"/>
      <c r="M1" s="164"/>
      <c r="N1" s="164"/>
      <c r="O1" s="164"/>
      <c r="P1" s="164"/>
      <c r="Q1" s="164"/>
      <c r="R1" s="164"/>
      <c r="S1" s="164"/>
      <c r="T1" s="164"/>
      <c r="U1" s="164"/>
      <c r="V1" s="164"/>
      <c r="W1" s="164"/>
      <c r="X1" s="164"/>
      <c r="Y1" s="164"/>
      <c r="Z1" s="164"/>
      <c r="AA1" s="164"/>
      <c r="AB1" s="164"/>
      <c r="AC1" s="164"/>
      <c r="AD1" s="164"/>
      <c r="AE1" s="164"/>
      <c r="AF1" s="164"/>
      <c r="AG1" s="164"/>
      <c r="AH1" s="164"/>
      <c r="AI1" s="164"/>
      <c r="AJ1" s="164"/>
      <c r="AK1" s="164"/>
      <c r="AL1" s="165"/>
    </row>
    <row r="2" spans="1:38" ht="21" x14ac:dyDescent="0.25">
      <c r="A2" s="163"/>
      <c r="B2" s="166" t="s">
        <v>50</v>
      </c>
      <c r="C2" s="166"/>
      <c r="D2" s="166"/>
      <c r="E2" s="166"/>
      <c r="F2" s="166"/>
      <c r="G2" s="166"/>
      <c r="H2" s="166"/>
      <c r="I2" s="166"/>
      <c r="J2" s="166"/>
      <c r="K2" s="166"/>
      <c r="L2" s="166"/>
      <c r="M2" s="166"/>
      <c r="N2" s="166"/>
      <c r="O2" s="166"/>
      <c r="P2" s="166"/>
      <c r="Q2" s="166"/>
      <c r="R2" s="166"/>
      <c r="S2" s="166"/>
      <c r="T2" s="166"/>
      <c r="U2" s="166"/>
      <c r="V2" s="166"/>
      <c r="W2" s="166"/>
      <c r="X2" s="166"/>
      <c r="Y2" s="166"/>
      <c r="Z2" s="166"/>
      <c r="AA2" s="166"/>
      <c r="AB2" s="166"/>
      <c r="AC2" s="166"/>
      <c r="AD2" s="166"/>
      <c r="AE2" s="166"/>
      <c r="AF2" s="166"/>
      <c r="AG2" s="166"/>
      <c r="AH2" s="166"/>
      <c r="AI2" s="166"/>
      <c r="AJ2" s="166"/>
      <c r="AK2" s="166"/>
      <c r="AL2" s="167"/>
    </row>
    <row r="4" spans="1:38" x14ac:dyDescent="0.25">
      <c r="A4" s="31" t="s">
        <v>47</v>
      </c>
      <c r="B4" s="161" t="s">
        <v>81</v>
      </c>
      <c r="C4" s="161"/>
      <c r="D4" s="31" t="s">
        <v>0</v>
      </c>
      <c r="E4" s="161" t="s">
        <v>82</v>
      </c>
      <c r="F4" s="161"/>
      <c r="G4" s="31" t="s">
        <v>111</v>
      </c>
      <c r="H4" s="5">
        <v>45876</v>
      </c>
      <c r="I4" s="156" t="s">
        <v>125</v>
      </c>
      <c r="J4" s="2">
        <v>4500</v>
      </c>
    </row>
    <row r="5" spans="1:38" x14ac:dyDescent="0.25">
      <c r="A5" s="31" t="s">
        <v>72</v>
      </c>
      <c r="B5" s="188">
        <v>45877</v>
      </c>
      <c r="C5" s="161"/>
      <c r="D5" s="31" t="s">
        <v>0</v>
      </c>
      <c r="E5" s="161" t="s">
        <v>134</v>
      </c>
      <c r="F5" s="161"/>
      <c r="G5" s="31" t="s">
        <v>95</v>
      </c>
      <c r="H5" s="5" t="s">
        <v>81</v>
      </c>
    </row>
    <row r="6" spans="1:38" x14ac:dyDescent="0.25">
      <c r="A6" s="31" t="s">
        <v>48</v>
      </c>
      <c r="B6" s="160">
        <v>3792.09</v>
      </c>
      <c r="C6" s="160"/>
      <c r="D6" s="31" t="s">
        <v>44</v>
      </c>
      <c r="E6" s="201">
        <v>45</v>
      </c>
      <c r="F6" s="161"/>
      <c r="G6" s="31" t="s">
        <v>46</v>
      </c>
      <c r="H6" s="5">
        <v>45731</v>
      </c>
      <c r="I6" s="31" t="s">
        <v>146</v>
      </c>
      <c r="J6" s="5">
        <v>46142</v>
      </c>
    </row>
    <row r="8" spans="1:38" x14ac:dyDescent="0.25">
      <c r="A8" s="84" t="s">
        <v>115</v>
      </c>
    </row>
    <row r="9" spans="1:38" ht="18.75" x14ac:dyDescent="0.3">
      <c r="A9" s="169" t="s">
        <v>26</v>
      </c>
      <c r="B9" s="169"/>
      <c r="C9" s="169"/>
      <c r="D9" s="169"/>
      <c r="E9" s="169"/>
      <c r="F9" s="169"/>
      <c r="G9" s="169"/>
      <c r="H9" s="169"/>
      <c r="I9" s="28"/>
      <c r="J9" s="169" t="s">
        <v>24</v>
      </c>
      <c r="K9" s="169"/>
      <c r="L9" s="169"/>
      <c r="M9" s="169"/>
      <c r="N9" s="169"/>
      <c r="O9" s="169"/>
      <c r="P9" s="169"/>
      <c r="Q9" s="169"/>
      <c r="R9" s="169"/>
      <c r="S9" s="169"/>
      <c r="T9" s="169"/>
      <c r="U9" s="169"/>
      <c r="V9" s="29"/>
      <c r="W9" s="29"/>
      <c r="X9" s="170" t="s">
        <v>49</v>
      </c>
      <c r="Y9" s="170"/>
      <c r="Z9" s="170"/>
      <c r="AA9" s="170"/>
      <c r="AB9" s="170"/>
      <c r="AC9" s="170"/>
      <c r="AD9" s="170"/>
      <c r="AE9" s="29"/>
      <c r="AF9" s="170" t="s">
        <v>25</v>
      </c>
      <c r="AG9" s="170"/>
      <c r="AH9" s="170"/>
      <c r="AI9" s="170"/>
      <c r="AJ9" s="170"/>
      <c r="AK9" s="170"/>
      <c r="AL9" s="170"/>
    </row>
    <row r="10" spans="1:38" x14ac:dyDescent="0.25">
      <c r="A10" s="7"/>
      <c r="B10" s="7"/>
      <c r="C10" s="7"/>
      <c r="D10" s="7"/>
      <c r="E10" s="7"/>
      <c r="F10" s="7"/>
      <c r="G10" s="7"/>
      <c r="H10" s="7"/>
      <c r="I10" s="6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8"/>
      <c r="W10" s="8"/>
      <c r="X10" s="9"/>
      <c r="Y10" s="9"/>
      <c r="Z10" s="9"/>
      <c r="AA10" s="9"/>
      <c r="AB10" s="9"/>
      <c r="AC10" s="9"/>
      <c r="AD10" s="9"/>
      <c r="AE10" s="8"/>
      <c r="AF10" s="9"/>
      <c r="AG10" s="9"/>
      <c r="AH10" s="9"/>
      <c r="AI10" s="9"/>
      <c r="AJ10" s="9"/>
      <c r="AK10" s="9"/>
      <c r="AL10" s="9"/>
    </row>
    <row r="11" spans="1:38" ht="15.75" thickBot="1" x14ac:dyDescent="0.3">
      <c r="A11" s="34"/>
      <c r="B11" s="171" t="s">
        <v>54</v>
      </c>
      <c r="C11" s="171"/>
      <c r="D11" s="171"/>
      <c r="E11" s="171"/>
      <c r="F11" s="171"/>
      <c r="G11" s="171"/>
      <c r="H11" s="171"/>
      <c r="I11" s="6"/>
      <c r="J11" s="172" t="s">
        <v>54</v>
      </c>
      <c r="K11" s="172"/>
      <c r="L11" s="172"/>
      <c r="M11" s="172"/>
      <c r="N11" s="172"/>
      <c r="O11" s="172"/>
      <c r="P11" s="172"/>
      <c r="Q11" s="172"/>
      <c r="R11" s="172"/>
      <c r="S11" s="172"/>
      <c r="T11" s="172"/>
      <c r="U11" s="172"/>
      <c r="V11" s="8"/>
      <c r="W11" s="8"/>
      <c r="X11" s="173" t="s">
        <v>54</v>
      </c>
      <c r="Y11" s="173"/>
      <c r="Z11" s="173"/>
      <c r="AA11" s="173"/>
      <c r="AB11" s="173"/>
      <c r="AC11" s="173"/>
      <c r="AD11" s="173"/>
      <c r="AE11" s="8"/>
      <c r="AF11" s="174" t="s">
        <v>54</v>
      </c>
      <c r="AG11" s="174"/>
      <c r="AH11" s="174"/>
      <c r="AI11" s="174"/>
      <c r="AJ11" s="174"/>
      <c r="AK11" s="174"/>
      <c r="AL11" s="174"/>
    </row>
    <row r="12" spans="1:38" ht="15.75" thickBot="1" x14ac:dyDescent="0.3">
      <c r="A12" s="168" t="s">
        <v>4</v>
      </c>
      <c r="B12" s="10" t="s">
        <v>5</v>
      </c>
      <c r="C12" s="11" t="s">
        <v>6</v>
      </c>
      <c r="D12" s="12" t="s">
        <v>7</v>
      </c>
      <c r="E12" s="11" t="s">
        <v>8</v>
      </c>
      <c r="F12" s="12" t="s">
        <v>9</v>
      </c>
      <c r="G12" s="11" t="s">
        <v>10</v>
      </c>
      <c r="H12" s="32" t="s">
        <v>11</v>
      </c>
      <c r="I12" s="6"/>
      <c r="J12" s="35" t="s">
        <v>3</v>
      </c>
      <c r="K12" s="14"/>
      <c r="L12" s="15"/>
      <c r="M12" s="15"/>
      <c r="N12" s="15"/>
      <c r="O12" s="15"/>
      <c r="P12" s="15"/>
      <c r="Q12" s="15"/>
      <c r="R12" s="15"/>
      <c r="S12" s="15"/>
      <c r="T12" s="15"/>
      <c r="U12" s="16"/>
      <c r="V12" s="8"/>
      <c r="W12" s="8"/>
      <c r="X12" s="35" t="s">
        <v>3</v>
      </c>
      <c r="Y12" s="14"/>
      <c r="Z12" s="15"/>
      <c r="AA12" s="15"/>
      <c r="AB12" s="15"/>
      <c r="AC12" s="15"/>
      <c r="AD12" s="16"/>
      <c r="AE12" s="8"/>
      <c r="AF12" s="35" t="s">
        <v>3</v>
      </c>
      <c r="AG12" s="14"/>
      <c r="AH12" s="15"/>
      <c r="AI12" s="15"/>
      <c r="AJ12" s="15"/>
      <c r="AK12" s="15"/>
      <c r="AL12" s="16"/>
    </row>
    <row r="13" spans="1:38" ht="15.75" thickBot="1" x14ac:dyDescent="0.3">
      <c r="A13" s="168"/>
      <c r="B13" s="17"/>
      <c r="C13" s="18"/>
      <c r="D13" s="18"/>
      <c r="E13" s="18"/>
      <c r="F13" s="18">
        <f>SUM(C13-B13)</f>
        <v>0</v>
      </c>
      <c r="G13" s="18">
        <f>SUM(E13-D13)</f>
        <v>0</v>
      </c>
      <c r="H13" s="33">
        <f>SUM(F13:G13)</f>
        <v>0</v>
      </c>
      <c r="I13" s="6"/>
      <c r="J13" s="36" t="s">
        <v>21</v>
      </c>
      <c r="K13" s="19"/>
      <c r="L13" s="20"/>
      <c r="M13" s="20"/>
      <c r="N13" s="20"/>
      <c r="O13" s="20"/>
      <c r="P13" s="20"/>
      <c r="Q13" s="20"/>
      <c r="R13" s="20"/>
      <c r="S13" s="20"/>
      <c r="T13" s="20"/>
      <c r="U13" s="21"/>
      <c r="V13" s="8"/>
      <c r="W13" s="8"/>
      <c r="X13" s="36" t="s">
        <v>21</v>
      </c>
      <c r="Y13" s="19"/>
      <c r="Z13" s="20"/>
      <c r="AA13" s="20"/>
      <c r="AB13" s="20"/>
      <c r="AC13" s="20"/>
      <c r="AD13" s="21"/>
      <c r="AE13" s="8"/>
      <c r="AF13" s="36" t="s">
        <v>21</v>
      </c>
      <c r="AG13" s="19"/>
      <c r="AH13" s="20"/>
      <c r="AI13" s="20"/>
      <c r="AJ13" s="20"/>
      <c r="AK13" s="20"/>
      <c r="AL13" s="21"/>
    </row>
    <row r="14" spans="1:38" x14ac:dyDescent="0.25">
      <c r="A14" s="7"/>
      <c r="B14" s="7"/>
      <c r="C14" s="7"/>
      <c r="D14" s="7"/>
      <c r="E14" s="7"/>
      <c r="F14" s="7"/>
      <c r="G14" s="7"/>
      <c r="H14" s="7"/>
      <c r="I14" s="6"/>
      <c r="J14" s="7"/>
      <c r="K14" s="7"/>
      <c r="L14" s="7"/>
      <c r="M14" s="7"/>
      <c r="N14" s="7"/>
      <c r="O14" s="7"/>
      <c r="P14" s="7"/>
      <c r="Q14" s="7"/>
      <c r="R14" s="7"/>
      <c r="S14" s="7"/>
      <c r="T14" s="22" t="s">
        <v>22</v>
      </c>
      <c r="U14" s="23">
        <f>SUM(K13:U13)</f>
        <v>0</v>
      </c>
      <c r="V14" s="8"/>
      <c r="W14" s="8"/>
      <c r="AC14" s="22" t="s">
        <v>22</v>
      </c>
      <c r="AD14" s="23">
        <f>SUM(Y13:AD13)</f>
        <v>0</v>
      </c>
      <c r="AE14" s="8"/>
      <c r="AK14" s="22" t="s">
        <v>22</v>
      </c>
      <c r="AL14" s="23">
        <f>SUM(AG13:AL13)</f>
        <v>0</v>
      </c>
    </row>
    <row r="15" spans="1:38" ht="15.75" thickBot="1" x14ac:dyDescent="0.3">
      <c r="A15" s="34"/>
      <c r="B15" s="171" t="s">
        <v>2</v>
      </c>
      <c r="C15" s="171"/>
      <c r="D15" s="171"/>
      <c r="E15" s="171"/>
      <c r="F15" s="171"/>
      <c r="G15" s="171"/>
      <c r="H15" s="171"/>
      <c r="J15" s="172" t="s">
        <v>2</v>
      </c>
      <c r="K15" s="172"/>
      <c r="L15" s="172"/>
      <c r="M15" s="172"/>
      <c r="N15" s="172"/>
      <c r="O15" s="172"/>
      <c r="P15" s="172"/>
      <c r="Q15" s="172"/>
      <c r="R15" s="172"/>
      <c r="S15" s="172"/>
      <c r="T15" s="172"/>
      <c r="U15" s="172"/>
      <c r="X15" s="173" t="s">
        <v>2</v>
      </c>
      <c r="Y15" s="173"/>
      <c r="Z15" s="173"/>
      <c r="AA15" s="173"/>
      <c r="AB15" s="173"/>
      <c r="AC15" s="173"/>
      <c r="AD15" s="173"/>
      <c r="AF15" s="174" t="s">
        <v>2</v>
      </c>
      <c r="AG15" s="174"/>
      <c r="AH15" s="174"/>
      <c r="AI15" s="174"/>
      <c r="AJ15" s="174"/>
      <c r="AK15" s="174"/>
      <c r="AL15" s="174"/>
    </row>
    <row r="16" spans="1:38" ht="15.75" thickBot="1" x14ac:dyDescent="0.3">
      <c r="A16" s="168" t="s">
        <v>4</v>
      </c>
      <c r="B16" s="10" t="s">
        <v>5</v>
      </c>
      <c r="C16" s="11" t="s">
        <v>6</v>
      </c>
      <c r="D16" s="12" t="s">
        <v>7</v>
      </c>
      <c r="E16" s="11" t="s">
        <v>8</v>
      </c>
      <c r="F16" s="12" t="s">
        <v>9</v>
      </c>
      <c r="G16" s="11" t="s">
        <v>10</v>
      </c>
      <c r="H16" s="32" t="s">
        <v>11</v>
      </c>
      <c r="J16" s="35" t="s">
        <v>3</v>
      </c>
      <c r="K16" s="14"/>
      <c r="L16" s="15"/>
      <c r="M16" s="15"/>
      <c r="N16" s="15"/>
      <c r="O16" s="15"/>
      <c r="P16" s="15"/>
      <c r="Q16" s="15"/>
      <c r="R16" s="15"/>
      <c r="S16" s="15"/>
      <c r="T16" s="15"/>
      <c r="U16" s="16"/>
      <c r="X16" s="35" t="s">
        <v>3</v>
      </c>
      <c r="Y16" s="14"/>
      <c r="Z16" s="15"/>
      <c r="AA16" s="15"/>
      <c r="AB16" s="15"/>
      <c r="AC16" s="15"/>
      <c r="AD16" s="16"/>
      <c r="AF16" s="35" t="s">
        <v>3</v>
      </c>
      <c r="AG16" s="14"/>
      <c r="AH16" s="15"/>
      <c r="AI16" s="15"/>
      <c r="AJ16" s="15"/>
      <c r="AK16" s="15"/>
      <c r="AL16" s="16"/>
    </row>
    <row r="17" spans="1:38" ht="15.75" thickBot="1" x14ac:dyDescent="0.3">
      <c r="A17" s="168"/>
      <c r="B17" s="17"/>
      <c r="C17" s="18"/>
      <c r="D17" s="18"/>
      <c r="E17" s="18"/>
      <c r="F17" s="18">
        <f>SUM(C17-B17)</f>
        <v>0</v>
      </c>
      <c r="G17" s="18">
        <f>SUM(E17-D17)</f>
        <v>0</v>
      </c>
      <c r="H17" s="33">
        <f>SUM(F17:G17)</f>
        <v>0</v>
      </c>
      <c r="J17" s="36" t="s">
        <v>21</v>
      </c>
      <c r="K17" s="19"/>
      <c r="L17" s="20"/>
      <c r="M17" s="20"/>
      <c r="N17" s="20"/>
      <c r="O17" s="20"/>
      <c r="P17" s="20"/>
      <c r="Q17" s="20"/>
      <c r="R17" s="20"/>
      <c r="S17" s="20"/>
      <c r="T17" s="20"/>
      <c r="U17" s="21"/>
      <c r="X17" s="36" t="s">
        <v>21</v>
      </c>
      <c r="Y17" s="19"/>
      <c r="Z17" s="20"/>
      <c r="AA17" s="20"/>
      <c r="AB17" s="20"/>
      <c r="AC17" s="20"/>
      <c r="AD17" s="21"/>
      <c r="AF17" s="36" t="s">
        <v>21</v>
      </c>
      <c r="AG17" s="19"/>
      <c r="AH17" s="20"/>
      <c r="AI17" s="20"/>
      <c r="AJ17" s="20"/>
      <c r="AK17" s="20"/>
      <c r="AL17" s="21"/>
    </row>
    <row r="18" spans="1:38" x14ac:dyDescent="0.25">
      <c r="F18" s="2"/>
      <c r="G18" s="2"/>
      <c r="H18" s="2"/>
      <c r="J18" s="37"/>
      <c r="T18" s="22" t="s">
        <v>22</v>
      </c>
      <c r="U18" s="23">
        <f>SUM(K17:U17)</f>
        <v>0</v>
      </c>
      <c r="AC18" s="22" t="s">
        <v>22</v>
      </c>
      <c r="AD18" s="23">
        <f>SUM(Y17:AD17)</f>
        <v>0</v>
      </c>
      <c r="AK18" s="22" t="s">
        <v>22</v>
      </c>
      <c r="AL18" s="23">
        <f>SUM(AG17:AL17)</f>
        <v>0</v>
      </c>
    </row>
    <row r="19" spans="1:38" ht="15.75" thickBot="1" x14ac:dyDescent="0.3">
      <c r="A19" s="34"/>
      <c r="B19" s="171" t="s">
        <v>12</v>
      </c>
      <c r="C19" s="171"/>
      <c r="D19" s="171"/>
      <c r="E19" s="171"/>
      <c r="F19" s="171"/>
      <c r="G19" s="171"/>
      <c r="H19" s="171"/>
      <c r="J19" s="172" t="s">
        <v>12</v>
      </c>
      <c r="K19" s="172"/>
      <c r="L19" s="172"/>
      <c r="M19" s="172"/>
      <c r="N19" s="172"/>
      <c r="O19" s="172"/>
      <c r="P19" s="172"/>
      <c r="Q19" s="172"/>
      <c r="R19" s="172"/>
      <c r="S19" s="172"/>
      <c r="T19" s="172"/>
      <c r="U19" s="172"/>
      <c r="X19" s="173" t="str">
        <f>J19</f>
        <v>Março</v>
      </c>
      <c r="Y19" s="173"/>
      <c r="Z19" s="173"/>
      <c r="AA19" s="173"/>
      <c r="AB19" s="173"/>
      <c r="AC19" s="173"/>
      <c r="AD19" s="173"/>
      <c r="AF19" s="174" t="str">
        <f>X19</f>
        <v>Março</v>
      </c>
      <c r="AG19" s="174"/>
      <c r="AH19" s="174"/>
      <c r="AI19" s="174"/>
      <c r="AJ19" s="174"/>
      <c r="AK19" s="174"/>
      <c r="AL19" s="174"/>
    </row>
    <row r="20" spans="1:38" ht="15.75" thickBot="1" x14ac:dyDescent="0.3">
      <c r="A20" s="168" t="s">
        <v>4</v>
      </c>
      <c r="B20" s="10" t="s">
        <v>5</v>
      </c>
      <c r="C20" s="11" t="s">
        <v>6</v>
      </c>
      <c r="D20" s="12" t="s">
        <v>7</v>
      </c>
      <c r="E20" s="11" t="s">
        <v>8</v>
      </c>
      <c r="F20" s="12" t="s">
        <v>9</v>
      </c>
      <c r="G20" s="11" t="s">
        <v>10</v>
      </c>
      <c r="H20" s="32" t="s">
        <v>11</v>
      </c>
      <c r="J20" s="35" t="s">
        <v>3</v>
      </c>
      <c r="K20" s="14">
        <v>45734</v>
      </c>
      <c r="L20" s="24">
        <v>45741</v>
      </c>
      <c r="M20" s="24">
        <v>45743</v>
      </c>
      <c r="N20" s="24">
        <v>45745</v>
      </c>
      <c r="O20" s="24">
        <v>45746</v>
      </c>
      <c r="P20" s="15"/>
      <c r="Q20" s="15"/>
      <c r="R20" s="15"/>
      <c r="S20" s="15"/>
      <c r="T20" s="15"/>
      <c r="U20" s="16"/>
      <c r="X20" s="35" t="s">
        <v>3</v>
      </c>
      <c r="Y20" s="14">
        <v>45745</v>
      </c>
      <c r="Z20" s="15"/>
      <c r="AA20" s="15"/>
      <c r="AB20" s="15"/>
      <c r="AC20" s="15"/>
      <c r="AD20" s="16"/>
      <c r="AF20" s="35" t="s">
        <v>3</v>
      </c>
      <c r="AG20" s="14"/>
      <c r="AH20" s="15"/>
      <c r="AI20" s="15"/>
      <c r="AJ20" s="15"/>
      <c r="AK20" s="15"/>
      <c r="AL20" s="16"/>
    </row>
    <row r="21" spans="1:38" ht="15.75" thickBot="1" x14ac:dyDescent="0.3">
      <c r="A21" s="168"/>
      <c r="B21" s="17"/>
      <c r="C21" s="18"/>
      <c r="D21" s="18">
        <v>57002</v>
      </c>
      <c r="E21" s="18">
        <v>58682</v>
      </c>
      <c r="F21" s="18">
        <f>SUM(C21-B21)</f>
        <v>0</v>
      </c>
      <c r="G21" s="18">
        <f>SUM(E21-D21)</f>
        <v>1680</v>
      </c>
      <c r="H21" s="33">
        <f>SUM(F21:G21)</f>
        <v>1680</v>
      </c>
      <c r="J21" s="36" t="s">
        <v>21</v>
      </c>
      <c r="K21" s="19">
        <v>272.99</v>
      </c>
      <c r="L21" s="20">
        <v>238.45</v>
      </c>
      <c r="M21" s="20">
        <v>206.82</v>
      </c>
      <c r="N21" s="20">
        <v>204.93</v>
      </c>
      <c r="O21" s="20">
        <v>273.43</v>
      </c>
      <c r="P21" s="20"/>
      <c r="Q21" s="20"/>
      <c r="R21" s="20"/>
      <c r="S21" s="20"/>
      <c r="T21" s="20"/>
      <c r="U21" s="21"/>
      <c r="X21" s="36" t="s">
        <v>21</v>
      </c>
      <c r="Y21" s="19">
        <v>45</v>
      </c>
      <c r="Z21" s="20"/>
      <c r="AA21" s="20"/>
      <c r="AB21" s="20"/>
      <c r="AC21" s="20"/>
      <c r="AD21" s="21"/>
      <c r="AF21" s="36" t="s">
        <v>21</v>
      </c>
      <c r="AG21" s="19">
        <v>140</v>
      </c>
      <c r="AH21" s="20"/>
      <c r="AI21" s="20"/>
      <c r="AJ21" s="20"/>
      <c r="AK21" s="20"/>
      <c r="AL21" s="21"/>
    </row>
    <row r="22" spans="1:38" x14ac:dyDescent="0.25">
      <c r="F22" s="2"/>
      <c r="G22" s="2"/>
      <c r="H22" s="2"/>
      <c r="J22" s="37"/>
      <c r="T22" s="22" t="s">
        <v>22</v>
      </c>
      <c r="U22" s="23">
        <f>SUM(K21:U21)</f>
        <v>1196.6200000000001</v>
      </c>
      <c r="AC22" s="22" t="s">
        <v>22</v>
      </c>
      <c r="AD22" s="23">
        <f>SUM(Y21:AD21)</f>
        <v>45</v>
      </c>
      <c r="AK22" s="22" t="s">
        <v>22</v>
      </c>
      <c r="AL22" s="23">
        <f>SUM(AG21:AL21)</f>
        <v>140</v>
      </c>
    </row>
    <row r="23" spans="1:38" ht="15.75" thickBot="1" x14ac:dyDescent="0.3">
      <c r="A23" s="34"/>
      <c r="B23" s="171" t="s">
        <v>13</v>
      </c>
      <c r="C23" s="171"/>
      <c r="D23" s="171"/>
      <c r="E23" s="171"/>
      <c r="F23" s="171"/>
      <c r="G23" s="171"/>
      <c r="H23" s="171"/>
      <c r="J23" s="172" t="s">
        <v>13</v>
      </c>
      <c r="K23" s="172"/>
      <c r="L23" s="172"/>
      <c r="M23" s="172"/>
      <c r="N23" s="172"/>
      <c r="O23" s="172"/>
      <c r="P23" s="172"/>
      <c r="Q23" s="172"/>
      <c r="R23" s="172"/>
      <c r="S23" s="172"/>
      <c r="T23" s="172"/>
      <c r="U23" s="172"/>
      <c r="X23" s="173" t="str">
        <f>J23</f>
        <v>Abril</v>
      </c>
      <c r="Y23" s="173"/>
      <c r="Z23" s="173"/>
      <c r="AA23" s="173"/>
      <c r="AB23" s="173"/>
      <c r="AC23" s="173"/>
      <c r="AD23" s="173"/>
      <c r="AF23" s="174" t="str">
        <f>X23</f>
        <v>Abril</v>
      </c>
      <c r="AG23" s="174"/>
      <c r="AH23" s="174"/>
      <c r="AI23" s="174"/>
      <c r="AJ23" s="174"/>
      <c r="AK23" s="174"/>
      <c r="AL23" s="174"/>
    </row>
    <row r="24" spans="1:38" ht="15.75" thickBot="1" x14ac:dyDescent="0.3">
      <c r="A24" s="168" t="s">
        <v>4</v>
      </c>
      <c r="B24" s="10" t="s">
        <v>5</v>
      </c>
      <c r="C24" s="11" t="s">
        <v>6</v>
      </c>
      <c r="D24" s="12" t="s">
        <v>7</v>
      </c>
      <c r="E24" s="11" t="s">
        <v>8</v>
      </c>
      <c r="F24" s="12" t="s">
        <v>9</v>
      </c>
      <c r="G24" s="11" t="s">
        <v>10</v>
      </c>
      <c r="H24" s="32" t="s">
        <v>11</v>
      </c>
      <c r="J24" s="35" t="s">
        <v>3</v>
      </c>
      <c r="K24" s="14">
        <v>45750</v>
      </c>
      <c r="L24" s="24">
        <v>45752</v>
      </c>
      <c r="M24" s="24">
        <v>45776</v>
      </c>
      <c r="N24" s="15"/>
      <c r="O24" s="15"/>
      <c r="P24" s="15"/>
      <c r="Q24" s="15"/>
      <c r="R24" s="15"/>
      <c r="S24" s="15"/>
      <c r="T24" s="15"/>
      <c r="U24" s="16"/>
      <c r="X24" s="35" t="s">
        <v>3</v>
      </c>
      <c r="Y24" s="14"/>
      <c r="Z24" s="15"/>
      <c r="AA24" s="15"/>
      <c r="AB24" s="15"/>
      <c r="AC24" s="15"/>
      <c r="AD24" s="16"/>
      <c r="AF24" s="35" t="s">
        <v>3</v>
      </c>
      <c r="AG24" s="14"/>
      <c r="AH24" s="15"/>
      <c r="AI24" s="15"/>
      <c r="AJ24" s="15"/>
      <c r="AK24" s="15"/>
      <c r="AL24" s="16"/>
    </row>
    <row r="25" spans="1:38" ht="15.75" thickBot="1" x14ac:dyDescent="0.3">
      <c r="A25" s="168"/>
      <c r="B25" s="17">
        <v>58682</v>
      </c>
      <c r="C25" s="18">
        <v>60226</v>
      </c>
      <c r="D25" s="18">
        <v>60226</v>
      </c>
      <c r="E25" s="18">
        <v>61679</v>
      </c>
      <c r="F25" s="18">
        <f>SUM(C25-B25)</f>
        <v>1544</v>
      </c>
      <c r="G25" s="18">
        <f>SUM(E25-D25)</f>
        <v>1453</v>
      </c>
      <c r="H25" s="33">
        <f>SUM(F25:G25)</f>
        <v>2997</v>
      </c>
      <c r="J25" s="36" t="s">
        <v>21</v>
      </c>
      <c r="K25" s="25">
        <v>196</v>
      </c>
      <c r="L25" s="26">
        <v>190.34</v>
      </c>
      <c r="M25" s="26">
        <v>224</v>
      </c>
      <c r="N25" s="26"/>
      <c r="O25" s="26"/>
      <c r="P25" s="26"/>
      <c r="Q25" s="26"/>
      <c r="R25" s="26"/>
      <c r="S25" s="26"/>
      <c r="T25" s="26"/>
      <c r="U25" s="27"/>
      <c r="X25" s="36" t="s">
        <v>21</v>
      </c>
      <c r="Y25" s="19"/>
      <c r="Z25" s="20"/>
      <c r="AA25" s="20"/>
      <c r="AB25" s="20"/>
      <c r="AC25" s="20"/>
      <c r="AD25" s="21"/>
      <c r="AF25" s="36" t="s">
        <v>21</v>
      </c>
      <c r="AG25" s="19"/>
      <c r="AH25" s="20"/>
      <c r="AI25" s="20"/>
      <c r="AJ25" s="20"/>
      <c r="AK25" s="20"/>
      <c r="AL25" s="21"/>
    </row>
    <row r="26" spans="1:38" x14ac:dyDescent="0.25">
      <c r="F26" s="2"/>
      <c r="G26" s="2"/>
      <c r="H26" s="2"/>
      <c r="J26" s="37"/>
      <c r="T26" s="22" t="s">
        <v>22</v>
      </c>
      <c r="U26" s="23">
        <f>SUM(K25:U25)</f>
        <v>610.34</v>
      </c>
      <c r="AC26" s="22" t="s">
        <v>22</v>
      </c>
      <c r="AD26" s="23">
        <f>SUM(Y25:AD25)</f>
        <v>0</v>
      </c>
      <c r="AK26" s="22" t="s">
        <v>22</v>
      </c>
      <c r="AL26" s="23">
        <f>SUM(AG25:AL25)</f>
        <v>0</v>
      </c>
    </row>
    <row r="27" spans="1:38" ht="15.75" thickBot="1" x14ac:dyDescent="0.3">
      <c r="A27" s="34"/>
      <c r="B27" s="171" t="s">
        <v>14</v>
      </c>
      <c r="C27" s="171"/>
      <c r="D27" s="171"/>
      <c r="E27" s="171"/>
      <c r="F27" s="171"/>
      <c r="G27" s="171"/>
      <c r="H27" s="171"/>
      <c r="J27" s="172" t="s">
        <v>14</v>
      </c>
      <c r="K27" s="172"/>
      <c r="L27" s="172"/>
      <c r="M27" s="172"/>
      <c r="N27" s="172"/>
      <c r="O27" s="172"/>
      <c r="P27" s="172"/>
      <c r="Q27" s="172"/>
      <c r="R27" s="172"/>
      <c r="S27" s="172"/>
      <c r="T27" s="172"/>
      <c r="U27" s="172"/>
      <c r="X27" s="173" t="str">
        <f>J27</f>
        <v>Maio</v>
      </c>
      <c r="Y27" s="173"/>
      <c r="Z27" s="173"/>
      <c r="AA27" s="173"/>
      <c r="AB27" s="173"/>
      <c r="AC27" s="173"/>
      <c r="AD27" s="173"/>
      <c r="AF27" s="174" t="str">
        <f>X27</f>
        <v>Maio</v>
      </c>
      <c r="AG27" s="174"/>
      <c r="AH27" s="174"/>
      <c r="AI27" s="174"/>
      <c r="AJ27" s="174"/>
      <c r="AK27" s="174"/>
      <c r="AL27" s="174"/>
    </row>
    <row r="28" spans="1:38" ht="15.75" thickBot="1" x14ac:dyDescent="0.3">
      <c r="A28" s="168" t="s">
        <v>4</v>
      </c>
      <c r="B28" s="10" t="s">
        <v>5</v>
      </c>
      <c r="C28" s="11" t="s">
        <v>6</v>
      </c>
      <c r="D28" s="12" t="s">
        <v>7</v>
      </c>
      <c r="E28" s="11" t="s">
        <v>8</v>
      </c>
      <c r="F28" s="12" t="s">
        <v>9</v>
      </c>
      <c r="G28" s="11" t="s">
        <v>10</v>
      </c>
      <c r="H28" s="32" t="s">
        <v>11</v>
      </c>
      <c r="J28" s="35" t="s">
        <v>3</v>
      </c>
      <c r="K28" s="14">
        <v>45783</v>
      </c>
      <c r="L28" s="24">
        <v>45787</v>
      </c>
      <c r="M28" s="24">
        <v>45792</v>
      </c>
      <c r="N28" s="24">
        <v>45799</v>
      </c>
      <c r="O28" s="15"/>
      <c r="P28" s="15"/>
      <c r="Q28" s="15"/>
      <c r="R28" s="15"/>
      <c r="S28" s="15"/>
      <c r="T28" s="15"/>
      <c r="U28" s="16"/>
      <c r="X28" s="35" t="s">
        <v>3</v>
      </c>
      <c r="Y28" s="14"/>
      <c r="Z28" s="15"/>
      <c r="AA28" s="15"/>
      <c r="AB28" s="15"/>
      <c r="AC28" s="15"/>
      <c r="AD28" s="16"/>
      <c r="AF28" s="35" t="s">
        <v>3</v>
      </c>
      <c r="AG28" s="14"/>
      <c r="AH28" s="15"/>
      <c r="AI28" s="15"/>
      <c r="AJ28" s="15"/>
      <c r="AK28" s="15"/>
      <c r="AL28" s="16"/>
    </row>
    <row r="29" spans="1:38" ht="15.75" thickBot="1" x14ac:dyDescent="0.3">
      <c r="A29" s="168"/>
      <c r="B29" s="18">
        <v>61679</v>
      </c>
      <c r="C29" s="18">
        <v>63251</v>
      </c>
      <c r="D29" s="18">
        <v>63251</v>
      </c>
      <c r="E29" s="18">
        <v>64533</v>
      </c>
      <c r="F29" s="18">
        <f>SUM(C29-B29)</f>
        <v>1572</v>
      </c>
      <c r="G29" s="18">
        <f>SUM(E29-D29)</f>
        <v>1282</v>
      </c>
      <c r="H29" s="33">
        <f>SUM(F29:G29)</f>
        <v>2854</v>
      </c>
      <c r="J29" s="36" t="s">
        <v>21</v>
      </c>
      <c r="K29" s="19">
        <v>218.05</v>
      </c>
      <c r="L29" s="20">
        <v>113.46</v>
      </c>
      <c r="M29" s="20">
        <v>240.93</v>
      </c>
      <c r="N29" s="20">
        <v>228.33</v>
      </c>
      <c r="O29" s="20"/>
      <c r="P29" s="20"/>
      <c r="Q29" s="20"/>
      <c r="R29" s="20"/>
      <c r="S29" s="20"/>
      <c r="T29" s="20"/>
      <c r="U29" s="21"/>
      <c r="X29" s="36" t="s">
        <v>21</v>
      </c>
      <c r="Y29" s="19"/>
      <c r="Z29" s="20"/>
      <c r="AA29" s="20"/>
      <c r="AB29" s="20"/>
      <c r="AC29" s="20"/>
      <c r="AD29" s="21"/>
      <c r="AF29" s="36" t="s">
        <v>21</v>
      </c>
      <c r="AG29" s="19"/>
      <c r="AH29" s="20"/>
      <c r="AI29" s="20"/>
      <c r="AJ29" s="20"/>
      <c r="AK29" s="20"/>
      <c r="AL29" s="21"/>
    </row>
    <row r="30" spans="1:38" x14ac:dyDescent="0.25">
      <c r="F30" s="2"/>
      <c r="G30" s="2"/>
      <c r="H30" s="2"/>
      <c r="J30" s="37"/>
      <c r="T30" s="22" t="s">
        <v>22</v>
      </c>
      <c r="U30" s="23">
        <f>SUM(K29:U29)</f>
        <v>800.7700000000001</v>
      </c>
      <c r="AC30" s="22" t="s">
        <v>22</v>
      </c>
      <c r="AD30" s="23">
        <f>SUM(Y29:AD29)</f>
        <v>0</v>
      </c>
      <c r="AK30" s="22" t="s">
        <v>22</v>
      </c>
      <c r="AL30" s="23">
        <f>SUM(AG29:AL29)</f>
        <v>0</v>
      </c>
    </row>
    <row r="31" spans="1:38" ht="15.75" thickBot="1" x14ac:dyDescent="0.3">
      <c r="A31" s="34"/>
      <c r="B31" s="171" t="s">
        <v>23</v>
      </c>
      <c r="C31" s="171"/>
      <c r="D31" s="171"/>
      <c r="E31" s="171"/>
      <c r="F31" s="171"/>
      <c r="G31" s="171"/>
      <c r="H31" s="171"/>
      <c r="J31" s="172" t="s">
        <v>23</v>
      </c>
      <c r="K31" s="172"/>
      <c r="L31" s="172"/>
      <c r="M31" s="172"/>
      <c r="N31" s="172"/>
      <c r="O31" s="172"/>
      <c r="P31" s="172"/>
      <c r="Q31" s="172"/>
      <c r="R31" s="172"/>
      <c r="S31" s="172"/>
      <c r="T31" s="172"/>
      <c r="U31" s="172"/>
      <c r="X31" s="173" t="str">
        <f>J31</f>
        <v>Junho</v>
      </c>
      <c r="Y31" s="173"/>
      <c r="Z31" s="173"/>
      <c r="AA31" s="173"/>
      <c r="AB31" s="173"/>
      <c r="AC31" s="173"/>
      <c r="AD31" s="173"/>
      <c r="AF31" s="174" t="str">
        <f>X31</f>
        <v>Junho</v>
      </c>
      <c r="AG31" s="174"/>
      <c r="AH31" s="174"/>
      <c r="AI31" s="174"/>
      <c r="AJ31" s="174"/>
      <c r="AK31" s="174"/>
      <c r="AL31" s="174"/>
    </row>
    <row r="32" spans="1:38" ht="15.75" thickBot="1" x14ac:dyDescent="0.3">
      <c r="A32" s="168" t="s">
        <v>4</v>
      </c>
      <c r="B32" s="10" t="s">
        <v>5</v>
      </c>
      <c r="C32" s="11" t="s">
        <v>6</v>
      </c>
      <c r="D32" s="12" t="s">
        <v>7</v>
      </c>
      <c r="E32" s="11" t="s">
        <v>8</v>
      </c>
      <c r="F32" s="12" t="s">
        <v>9</v>
      </c>
      <c r="G32" s="11" t="s">
        <v>10</v>
      </c>
      <c r="H32" s="32" t="s">
        <v>11</v>
      </c>
      <c r="J32" s="35" t="s">
        <v>3</v>
      </c>
      <c r="K32" s="14">
        <v>45811</v>
      </c>
      <c r="L32" s="24">
        <v>45813</v>
      </c>
      <c r="M32" s="24">
        <v>45818</v>
      </c>
      <c r="N32" s="24">
        <v>45820</v>
      </c>
      <c r="O32" s="24">
        <v>45822</v>
      </c>
      <c r="P32" s="24">
        <v>45826</v>
      </c>
      <c r="Q32" s="24">
        <v>45828</v>
      </c>
      <c r="R32" s="24">
        <v>45834</v>
      </c>
      <c r="S32" s="15"/>
      <c r="T32" s="15"/>
      <c r="U32" s="16"/>
      <c r="X32" s="35" t="s">
        <v>3</v>
      </c>
      <c r="Y32" s="14"/>
      <c r="Z32" s="15"/>
      <c r="AA32" s="15"/>
      <c r="AB32" s="15"/>
      <c r="AC32" s="15"/>
      <c r="AD32" s="16"/>
      <c r="AF32" s="35" t="s">
        <v>3</v>
      </c>
      <c r="AG32" s="14"/>
      <c r="AH32" s="15"/>
      <c r="AI32" s="15"/>
      <c r="AJ32" s="15"/>
      <c r="AK32" s="15"/>
      <c r="AL32" s="16"/>
    </row>
    <row r="33" spans="1:38" ht="15.75" thickBot="1" x14ac:dyDescent="0.3">
      <c r="A33" s="168"/>
      <c r="B33" s="18">
        <v>64533</v>
      </c>
      <c r="C33" s="18">
        <v>66071</v>
      </c>
      <c r="D33" s="18">
        <v>66071</v>
      </c>
      <c r="E33" s="18">
        <v>67578</v>
      </c>
      <c r="F33" s="18">
        <f>SUM(C33-B33)</f>
        <v>1538</v>
      </c>
      <c r="G33" s="18">
        <f>SUM(E33-D33)</f>
        <v>1507</v>
      </c>
      <c r="H33" s="33">
        <f>SUM(F33:G33)</f>
        <v>3045</v>
      </c>
      <c r="J33" s="36" t="s">
        <v>21</v>
      </c>
      <c r="K33" s="19">
        <v>176.18</v>
      </c>
      <c r="L33" s="20">
        <v>179.62</v>
      </c>
      <c r="M33" s="20">
        <v>204.13</v>
      </c>
      <c r="N33" s="20">
        <v>182.53</v>
      </c>
      <c r="O33" s="20">
        <v>90.54</v>
      </c>
      <c r="P33" s="20">
        <v>223.71</v>
      </c>
      <c r="Q33" s="20">
        <v>235.5</v>
      </c>
      <c r="R33" s="20">
        <v>175.03</v>
      </c>
      <c r="S33" s="20"/>
      <c r="T33" s="20"/>
      <c r="U33" s="21"/>
      <c r="X33" s="36" t="s">
        <v>21</v>
      </c>
      <c r="Y33" s="19"/>
      <c r="Z33" s="20"/>
      <c r="AA33" s="20"/>
      <c r="AB33" s="20"/>
      <c r="AC33" s="20"/>
      <c r="AD33" s="21"/>
      <c r="AF33" s="36" t="s">
        <v>21</v>
      </c>
      <c r="AG33" s="19"/>
      <c r="AH33" s="20"/>
      <c r="AI33" s="20"/>
      <c r="AJ33" s="20"/>
      <c r="AK33" s="20"/>
      <c r="AL33" s="21"/>
    </row>
    <row r="34" spans="1:38" x14ac:dyDescent="0.25">
      <c r="F34" s="2"/>
      <c r="G34" s="2"/>
      <c r="H34" s="2"/>
      <c r="J34" s="37"/>
      <c r="T34" s="22" t="s">
        <v>22</v>
      </c>
      <c r="U34" s="23">
        <f>SUM(K33:U33)</f>
        <v>1467.24</v>
      </c>
      <c r="AC34" s="22" t="s">
        <v>22</v>
      </c>
      <c r="AD34" s="23">
        <f>SUM(Y33:AD33)</f>
        <v>0</v>
      </c>
      <c r="AK34" s="22" t="s">
        <v>22</v>
      </c>
      <c r="AL34" s="23">
        <f>SUM(AG33:AL33)</f>
        <v>0</v>
      </c>
    </row>
    <row r="35" spans="1:38" ht="15.75" thickBot="1" x14ac:dyDescent="0.3">
      <c r="A35" s="34"/>
      <c r="B35" s="171" t="s">
        <v>15</v>
      </c>
      <c r="C35" s="171"/>
      <c r="D35" s="171"/>
      <c r="E35" s="171"/>
      <c r="F35" s="171"/>
      <c r="G35" s="171"/>
      <c r="H35" s="171"/>
      <c r="J35" s="172" t="s">
        <v>15</v>
      </c>
      <c r="K35" s="172"/>
      <c r="L35" s="172"/>
      <c r="M35" s="172"/>
      <c r="N35" s="172"/>
      <c r="O35" s="172"/>
      <c r="P35" s="172"/>
      <c r="Q35" s="172"/>
      <c r="R35" s="172"/>
      <c r="S35" s="172"/>
      <c r="T35" s="172"/>
      <c r="U35" s="172"/>
      <c r="X35" s="173" t="str">
        <f>J35</f>
        <v>Julho</v>
      </c>
      <c r="Y35" s="173"/>
      <c r="Z35" s="173"/>
      <c r="AA35" s="173"/>
      <c r="AB35" s="173"/>
      <c r="AC35" s="173"/>
      <c r="AD35" s="173"/>
      <c r="AF35" s="174" t="str">
        <f>X35</f>
        <v>Julho</v>
      </c>
      <c r="AG35" s="174"/>
      <c r="AH35" s="174"/>
      <c r="AI35" s="174"/>
      <c r="AJ35" s="174"/>
      <c r="AK35" s="174"/>
      <c r="AL35" s="174"/>
    </row>
    <row r="36" spans="1:38" ht="15.75" thickBot="1" x14ac:dyDescent="0.3">
      <c r="A36" s="168" t="s">
        <v>4</v>
      </c>
      <c r="B36" s="10" t="s">
        <v>5</v>
      </c>
      <c r="C36" s="11" t="s">
        <v>6</v>
      </c>
      <c r="D36" s="12" t="s">
        <v>7</v>
      </c>
      <c r="E36" s="11" t="s">
        <v>8</v>
      </c>
      <c r="F36" s="12" t="s">
        <v>9</v>
      </c>
      <c r="G36" s="11" t="s">
        <v>10</v>
      </c>
      <c r="H36" s="32" t="s">
        <v>11</v>
      </c>
      <c r="J36" s="35" t="s">
        <v>3</v>
      </c>
      <c r="K36" s="14">
        <v>45839</v>
      </c>
      <c r="L36" s="24">
        <v>45841</v>
      </c>
      <c r="M36" s="24">
        <v>45846</v>
      </c>
      <c r="N36" s="24">
        <v>45848</v>
      </c>
      <c r="O36" s="24">
        <v>45850</v>
      </c>
      <c r="P36" s="24">
        <v>45853</v>
      </c>
      <c r="Q36" s="24">
        <v>45860</v>
      </c>
      <c r="R36" s="24">
        <v>45867</v>
      </c>
      <c r="S36" s="15"/>
      <c r="T36" s="15"/>
      <c r="U36" s="16"/>
      <c r="X36" s="35" t="s">
        <v>3</v>
      </c>
      <c r="Y36" s="14"/>
      <c r="Z36" s="15"/>
      <c r="AA36" s="15"/>
      <c r="AB36" s="15"/>
      <c r="AC36" s="15"/>
      <c r="AD36" s="16"/>
      <c r="AF36" s="35" t="s">
        <v>3</v>
      </c>
      <c r="AG36" s="14"/>
      <c r="AH36" s="15"/>
      <c r="AI36" s="15"/>
      <c r="AJ36" s="15"/>
      <c r="AK36" s="15"/>
      <c r="AL36" s="16"/>
    </row>
    <row r="37" spans="1:38" ht="15.75" thickBot="1" x14ac:dyDescent="0.3">
      <c r="A37" s="168"/>
      <c r="B37" s="18">
        <v>67578</v>
      </c>
      <c r="C37" s="18">
        <v>69248</v>
      </c>
      <c r="D37" s="18">
        <v>69248</v>
      </c>
      <c r="E37" s="18">
        <v>70366</v>
      </c>
      <c r="F37" s="18">
        <f>SUM(C37-B37)</f>
        <v>1670</v>
      </c>
      <c r="G37" s="18">
        <f>SUM(E37-D37)</f>
        <v>1118</v>
      </c>
      <c r="H37" s="33">
        <f>SUM(F37:G37)</f>
        <v>2788</v>
      </c>
      <c r="J37" s="36" t="s">
        <v>21</v>
      </c>
      <c r="K37" s="19">
        <v>273.75</v>
      </c>
      <c r="L37" s="20">
        <v>123.2</v>
      </c>
      <c r="M37" s="20">
        <v>240.24</v>
      </c>
      <c r="N37" s="20">
        <v>144.44999999999999</v>
      </c>
      <c r="O37" s="20">
        <v>123.57</v>
      </c>
      <c r="P37" s="20">
        <v>287.43</v>
      </c>
      <c r="Q37" s="20">
        <v>267.27999999999997</v>
      </c>
      <c r="R37" s="20">
        <v>280.22000000000003</v>
      </c>
      <c r="S37" s="20"/>
      <c r="T37" s="20"/>
      <c r="U37" s="21"/>
      <c r="X37" s="36" t="s">
        <v>21</v>
      </c>
      <c r="Y37" s="19"/>
      <c r="Z37" s="20"/>
      <c r="AA37" s="20"/>
      <c r="AB37" s="20"/>
      <c r="AC37" s="20"/>
      <c r="AD37" s="21"/>
      <c r="AF37" s="36" t="s">
        <v>21</v>
      </c>
      <c r="AG37" s="19"/>
      <c r="AH37" s="20"/>
      <c r="AI37" s="20"/>
      <c r="AJ37" s="20"/>
      <c r="AK37" s="20"/>
      <c r="AL37" s="21"/>
    </row>
    <row r="38" spans="1:38" x14ac:dyDescent="0.25">
      <c r="A38" s="84" t="s">
        <v>133</v>
      </c>
      <c r="F38" s="2"/>
      <c r="G38" s="2"/>
      <c r="H38" s="2"/>
      <c r="J38" s="37"/>
      <c r="T38" s="22" t="s">
        <v>22</v>
      </c>
      <c r="U38" s="23">
        <f>SUM(K37:U37)</f>
        <v>1740.14</v>
      </c>
      <c r="AC38" s="22" t="s">
        <v>22</v>
      </c>
      <c r="AD38" s="23">
        <f>SUM(Y37:AD37)</f>
        <v>0</v>
      </c>
      <c r="AK38" s="22" t="s">
        <v>22</v>
      </c>
      <c r="AL38" s="23">
        <f>SUM(AG37:AL37)</f>
        <v>0</v>
      </c>
    </row>
    <row r="39" spans="1:38" ht="15.75" thickBot="1" x14ac:dyDescent="0.3">
      <c r="A39" s="34"/>
      <c r="B39" s="171" t="s">
        <v>16</v>
      </c>
      <c r="C39" s="171"/>
      <c r="D39" s="171"/>
      <c r="E39" s="171"/>
      <c r="F39" s="171"/>
      <c r="G39" s="171"/>
      <c r="H39" s="171"/>
      <c r="J39" s="172" t="s">
        <v>16</v>
      </c>
      <c r="K39" s="172"/>
      <c r="L39" s="172"/>
      <c r="M39" s="172"/>
      <c r="N39" s="172"/>
      <c r="O39" s="172"/>
      <c r="P39" s="172"/>
      <c r="Q39" s="172"/>
      <c r="R39" s="172"/>
      <c r="S39" s="172"/>
      <c r="T39" s="172"/>
      <c r="U39" s="172"/>
      <c r="X39" s="173" t="str">
        <f>J39</f>
        <v>Agosto</v>
      </c>
      <c r="Y39" s="173"/>
      <c r="Z39" s="173"/>
      <c r="AA39" s="173"/>
      <c r="AB39" s="173"/>
      <c r="AC39" s="173"/>
      <c r="AD39" s="173"/>
      <c r="AF39" s="174" t="str">
        <f>X39</f>
        <v>Agosto</v>
      </c>
      <c r="AG39" s="174"/>
      <c r="AH39" s="174"/>
      <c r="AI39" s="174"/>
      <c r="AJ39" s="174"/>
      <c r="AK39" s="174"/>
      <c r="AL39" s="174"/>
    </row>
    <row r="40" spans="1:38" ht="15.75" thickBot="1" x14ac:dyDescent="0.3">
      <c r="A40" s="168" t="s">
        <v>4</v>
      </c>
      <c r="B40" s="10" t="s">
        <v>5</v>
      </c>
      <c r="C40" s="11" t="s">
        <v>6</v>
      </c>
      <c r="D40" s="12" t="s">
        <v>7</v>
      </c>
      <c r="E40" s="11" t="s">
        <v>8</v>
      </c>
      <c r="F40" s="12" t="s">
        <v>9</v>
      </c>
      <c r="G40" s="11" t="s">
        <v>10</v>
      </c>
      <c r="H40" s="32" t="s">
        <v>11</v>
      </c>
      <c r="J40" s="35" t="s">
        <v>3</v>
      </c>
      <c r="K40" s="14">
        <v>45871</v>
      </c>
      <c r="L40" s="15"/>
      <c r="M40" s="15"/>
      <c r="N40" s="15"/>
      <c r="O40" s="15"/>
      <c r="P40" s="15"/>
      <c r="Q40" s="15"/>
      <c r="R40" s="15"/>
      <c r="S40" s="15"/>
      <c r="T40" s="15"/>
      <c r="U40" s="16"/>
      <c r="X40" s="35" t="s">
        <v>3</v>
      </c>
      <c r="Y40" s="14"/>
      <c r="Z40" s="15"/>
      <c r="AA40" s="15"/>
      <c r="AB40" s="15"/>
      <c r="AC40" s="15"/>
      <c r="AD40" s="16"/>
      <c r="AF40" s="35" t="s">
        <v>3</v>
      </c>
      <c r="AG40" s="14"/>
      <c r="AH40" s="15"/>
      <c r="AI40" s="15"/>
      <c r="AJ40" s="15"/>
      <c r="AK40" s="15"/>
      <c r="AL40" s="16"/>
    </row>
    <row r="41" spans="1:38" ht="15.75" thickBot="1" x14ac:dyDescent="0.3">
      <c r="A41" s="168"/>
      <c r="B41" s="18">
        <v>70366</v>
      </c>
      <c r="C41" s="18">
        <v>70683</v>
      </c>
      <c r="D41" s="18"/>
      <c r="E41" s="18"/>
      <c r="F41" s="18">
        <f>SUM(C41-B41)</f>
        <v>317</v>
      </c>
      <c r="G41" s="18">
        <f>SUM(E41-D41)</f>
        <v>0</v>
      </c>
      <c r="H41" s="33">
        <f>SUM(F41:G41)</f>
        <v>317</v>
      </c>
      <c r="J41" s="36" t="s">
        <v>21</v>
      </c>
      <c r="K41" s="19">
        <v>204.94</v>
      </c>
      <c r="L41" s="20"/>
      <c r="M41" s="20"/>
      <c r="N41" s="20"/>
      <c r="O41" s="20"/>
      <c r="P41" s="20"/>
      <c r="Q41" s="20"/>
      <c r="R41" s="20"/>
      <c r="S41" s="20"/>
      <c r="T41" s="20"/>
      <c r="U41" s="21"/>
      <c r="X41" s="36" t="s">
        <v>21</v>
      </c>
      <c r="Y41" s="19"/>
      <c r="Z41" s="20"/>
      <c r="AA41" s="20"/>
      <c r="AB41" s="20"/>
      <c r="AC41" s="20"/>
      <c r="AD41" s="21"/>
      <c r="AF41" s="36" t="s">
        <v>21</v>
      </c>
      <c r="AG41" s="19"/>
      <c r="AH41" s="20"/>
      <c r="AI41" s="20"/>
      <c r="AJ41" s="20"/>
      <c r="AK41" s="20"/>
      <c r="AL41" s="21"/>
    </row>
    <row r="42" spans="1:38" x14ac:dyDescent="0.25">
      <c r="F42" s="2"/>
      <c r="G42" s="2"/>
      <c r="H42" s="2"/>
      <c r="J42" s="37"/>
      <c r="T42" s="22" t="s">
        <v>22</v>
      </c>
      <c r="U42" s="23">
        <f>SUM(K41:U41)</f>
        <v>204.94</v>
      </c>
      <c r="AC42" s="22" t="s">
        <v>22</v>
      </c>
      <c r="AD42" s="23">
        <f>SUM(Y41:AD41)</f>
        <v>0</v>
      </c>
      <c r="AK42" s="22" t="s">
        <v>22</v>
      </c>
      <c r="AL42" s="23">
        <f>SUM(AG41:AL41)</f>
        <v>0</v>
      </c>
    </row>
    <row r="43" spans="1:38" ht="15.75" thickBot="1" x14ac:dyDescent="0.3">
      <c r="A43" s="34"/>
      <c r="B43" s="171" t="s">
        <v>16</v>
      </c>
      <c r="C43" s="171"/>
      <c r="D43" s="171"/>
      <c r="E43" s="171"/>
      <c r="F43" s="171"/>
      <c r="G43" s="171"/>
      <c r="H43" s="171"/>
      <c r="J43" s="172" t="s">
        <v>16</v>
      </c>
      <c r="K43" s="172"/>
      <c r="L43" s="172"/>
      <c r="M43" s="172"/>
      <c r="N43" s="172"/>
      <c r="O43" s="172"/>
      <c r="P43" s="172"/>
      <c r="Q43" s="172"/>
      <c r="R43" s="172"/>
      <c r="S43" s="172"/>
      <c r="T43" s="172"/>
      <c r="U43" s="172"/>
      <c r="X43" s="173" t="str">
        <f>J43</f>
        <v>Agosto</v>
      </c>
      <c r="Y43" s="173"/>
      <c r="Z43" s="173"/>
      <c r="AA43" s="173"/>
      <c r="AB43" s="173"/>
      <c r="AC43" s="173"/>
      <c r="AD43" s="173"/>
      <c r="AF43" s="174" t="str">
        <f>X43</f>
        <v>Agosto</v>
      </c>
      <c r="AG43" s="174"/>
      <c r="AH43" s="174"/>
      <c r="AI43" s="174"/>
      <c r="AJ43" s="174"/>
      <c r="AK43" s="174"/>
      <c r="AL43" s="174"/>
    </row>
    <row r="44" spans="1:38" ht="15.75" thickBot="1" x14ac:dyDescent="0.3">
      <c r="A44" s="168" t="s">
        <v>4</v>
      </c>
      <c r="B44" s="10" t="s">
        <v>5</v>
      </c>
      <c r="C44" s="11" t="s">
        <v>6</v>
      </c>
      <c r="D44" s="12" t="s">
        <v>7</v>
      </c>
      <c r="E44" s="11" t="s">
        <v>8</v>
      </c>
      <c r="F44" s="12" t="s">
        <v>9</v>
      </c>
      <c r="G44" s="11" t="s">
        <v>10</v>
      </c>
      <c r="H44" s="32" t="s">
        <v>11</v>
      </c>
      <c r="J44" s="35" t="s">
        <v>3</v>
      </c>
      <c r="K44" s="14">
        <v>45877</v>
      </c>
      <c r="L44" s="24">
        <v>45881</v>
      </c>
      <c r="M44" s="24">
        <v>45883</v>
      </c>
      <c r="N44" s="24">
        <v>45885</v>
      </c>
      <c r="O44" s="24">
        <v>45890</v>
      </c>
      <c r="P44" s="24">
        <v>45895</v>
      </c>
      <c r="Q44" s="24">
        <v>45897</v>
      </c>
      <c r="R44" s="24">
        <v>45899</v>
      </c>
      <c r="S44" s="15"/>
      <c r="T44" s="15"/>
      <c r="U44" s="16"/>
      <c r="X44" s="35" t="s">
        <v>3</v>
      </c>
      <c r="Y44" s="14"/>
      <c r="Z44" s="15"/>
      <c r="AA44" s="15"/>
      <c r="AB44" s="15"/>
      <c r="AC44" s="15"/>
      <c r="AD44" s="16"/>
      <c r="AF44" s="35" t="s">
        <v>3</v>
      </c>
      <c r="AG44" s="14"/>
      <c r="AH44" s="15"/>
      <c r="AI44" s="15"/>
      <c r="AJ44" s="15"/>
      <c r="AK44" s="15"/>
      <c r="AL44" s="16"/>
    </row>
    <row r="45" spans="1:38" ht="15.75" thickBot="1" x14ac:dyDescent="0.3">
      <c r="A45" s="168"/>
      <c r="B45" s="18">
        <v>25901</v>
      </c>
      <c r="C45" s="18">
        <v>27452</v>
      </c>
      <c r="D45" s="18">
        <v>27452</v>
      </c>
      <c r="E45" s="18">
        <v>28917</v>
      </c>
      <c r="F45" s="18">
        <f>SUM(C45-B45)</f>
        <v>1551</v>
      </c>
      <c r="G45" s="18">
        <f>SUM(E45-D45)</f>
        <v>1465</v>
      </c>
      <c r="H45" s="33">
        <f>SUM(F45:G45)</f>
        <v>3016</v>
      </c>
      <c r="J45" s="36" t="s">
        <v>21</v>
      </c>
      <c r="K45" s="19">
        <v>256.39</v>
      </c>
      <c r="L45" s="20">
        <v>283.18</v>
      </c>
      <c r="M45" s="20">
        <v>238.02</v>
      </c>
      <c r="N45" s="20">
        <v>115.19</v>
      </c>
      <c r="O45" s="20">
        <v>229</v>
      </c>
      <c r="P45" s="20">
        <v>223.7</v>
      </c>
      <c r="Q45" s="20">
        <v>205.28</v>
      </c>
      <c r="R45" s="20">
        <v>152.72999999999999</v>
      </c>
      <c r="S45" s="20"/>
      <c r="T45" s="20"/>
      <c r="U45" s="21"/>
      <c r="X45" s="36" t="s">
        <v>21</v>
      </c>
      <c r="Y45" s="19"/>
      <c r="Z45" s="20"/>
      <c r="AA45" s="20"/>
      <c r="AB45" s="20"/>
      <c r="AC45" s="20"/>
      <c r="AD45" s="21"/>
      <c r="AF45" s="36" t="s">
        <v>21</v>
      </c>
      <c r="AG45" s="19"/>
      <c r="AH45" s="20"/>
      <c r="AI45" s="20"/>
      <c r="AJ45" s="20"/>
      <c r="AK45" s="20"/>
      <c r="AL45" s="21"/>
    </row>
    <row r="46" spans="1:38" x14ac:dyDescent="0.25">
      <c r="F46" s="2"/>
      <c r="G46" s="2"/>
      <c r="H46" s="2"/>
      <c r="J46" s="37"/>
      <c r="T46" s="22" t="s">
        <v>22</v>
      </c>
      <c r="U46" s="23">
        <f>SUM(K45:U45)</f>
        <v>1703.49</v>
      </c>
      <c r="AC46" s="22" t="s">
        <v>22</v>
      </c>
      <c r="AD46" s="23">
        <f>SUM(Y45:AD45)</f>
        <v>0</v>
      </c>
      <c r="AK46" s="22" t="s">
        <v>22</v>
      </c>
      <c r="AL46" s="23">
        <f>SUM(AG45:AL45)</f>
        <v>0</v>
      </c>
    </row>
    <row r="47" spans="1:38" ht="15.75" thickBot="1" x14ac:dyDescent="0.3">
      <c r="A47" s="34"/>
      <c r="B47" s="171" t="s">
        <v>17</v>
      </c>
      <c r="C47" s="171"/>
      <c r="D47" s="171"/>
      <c r="E47" s="171"/>
      <c r="F47" s="171"/>
      <c r="G47" s="171"/>
      <c r="H47" s="171"/>
      <c r="J47" s="172" t="s">
        <v>17</v>
      </c>
      <c r="K47" s="172"/>
      <c r="L47" s="172"/>
      <c r="M47" s="172"/>
      <c r="N47" s="172"/>
      <c r="O47" s="172"/>
      <c r="P47" s="172"/>
      <c r="Q47" s="172"/>
      <c r="R47" s="172"/>
      <c r="S47" s="172"/>
      <c r="T47" s="172"/>
      <c r="U47" s="172"/>
      <c r="X47" s="173" t="str">
        <f>J47</f>
        <v>Setembro</v>
      </c>
      <c r="Y47" s="173"/>
      <c r="Z47" s="173"/>
      <c r="AA47" s="173"/>
      <c r="AB47" s="173"/>
      <c r="AC47" s="173"/>
      <c r="AD47" s="173"/>
      <c r="AF47" s="174" t="str">
        <f>X47</f>
        <v>Setembro</v>
      </c>
      <c r="AG47" s="174"/>
      <c r="AH47" s="174"/>
      <c r="AI47" s="174"/>
      <c r="AJ47" s="174"/>
      <c r="AK47" s="174"/>
      <c r="AL47" s="174"/>
    </row>
    <row r="48" spans="1:38" ht="15.75" thickBot="1" x14ac:dyDescent="0.3">
      <c r="A48" s="168" t="s">
        <v>4</v>
      </c>
      <c r="B48" s="10" t="s">
        <v>5</v>
      </c>
      <c r="C48" s="11" t="s">
        <v>6</v>
      </c>
      <c r="D48" s="12" t="s">
        <v>7</v>
      </c>
      <c r="E48" s="11" t="s">
        <v>8</v>
      </c>
      <c r="F48" s="12" t="s">
        <v>9</v>
      </c>
      <c r="G48" s="11" t="s">
        <v>10</v>
      </c>
      <c r="H48" s="32" t="s">
        <v>11</v>
      </c>
      <c r="J48" s="35" t="s">
        <v>3</v>
      </c>
      <c r="K48" s="14">
        <v>45902</v>
      </c>
      <c r="L48" s="24">
        <v>45904</v>
      </c>
      <c r="M48" s="24">
        <v>45906</v>
      </c>
      <c r="N48" s="24">
        <v>45909</v>
      </c>
      <c r="O48" s="24">
        <v>45911</v>
      </c>
      <c r="P48" s="24">
        <v>45916</v>
      </c>
      <c r="Q48" s="24">
        <v>45918</v>
      </c>
      <c r="R48" s="24">
        <v>45920</v>
      </c>
      <c r="S48" s="24">
        <v>45923</v>
      </c>
      <c r="T48" s="24">
        <v>45927</v>
      </c>
      <c r="U48" s="80">
        <v>45930</v>
      </c>
      <c r="X48" s="35" t="s">
        <v>3</v>
      </c>
      <c r="Y48" s="14"/>
      <c r="Z48" s="15"/>
      <c r="AA48" s="15"/>
      <c r="AB48" s="15"/>
      <c r="AC48" s="15"/>
      <c r="AD48" s="16"/>
      <c r="AF48" s="35" t="s">
        <v>3</v>
      </c>
      <c r="AG48" s="14"/>
      <c r="AH48" s="15"/>
      <c r="AI48" s="15"/>
      <c r="AJ48" s="15"/>
      <c r="AK48" s="15"/>
      <c r="AL48" s="16"/>
    </row>
    <row r="49" spans="1:38" ht="15.75" thickBot="1" x14ac:dyDescent="0.3">
      <c r="A49" s="168"/>
      <c r="B49" s="18">
        <v>28917</v>
      </c>
      <c r="C49" s="18">
        <v>30258</v>
      </c>
      <c r="D49" s="18">
        <v>30258</v>
      </c>
      <c r="E49" s="18">
        <v>31672</v>
      </c>
      <c r="F49" s="18">
        <f>SUM(C49-B49)</f>
        <v>1341</v>
      </c>
      <c r="G49" s="18">
        <f>SUM(E49-D49)</f>
        <v>1414</v>
      </c>
      <c r="H49" s="33">
        <f>SUM(F49:G49)</f>
        <v>2755</v>
      </c>
      <c r="J49" s="36" t="s">
        <v>21</v>
      </c>
      <c r="K49" s="19">
        <v>173.63</v>
      </c>
      <c r="L49" s="20">
        <v>198</v>
      </c>
      <c r="M49" s="20">
        <v>160.01</v>
      </c>
      <c r="N49" s="20">
        <v>189.87</v>
      </c>
      <c r="O49" s="20">
        <v>130.57</v>
      </c>
      <c r="P49" s="20">
        <v>134.08000000000001</v>
      </c>
      <c r="Q49" s="20">
        <v>156.58000000000001</v>
      </c>
      <c r="R49" s="20">
        <v>166.09</v>
      </c>
      <c r="S49" s="20">
        <v>70.22</v>
      </c>
      <c r="T49" s="20">
        <v>241.29</v>
      </c>
      <c r="U49" s="21">
        <v>269.3</v>
      </c>
      <c r="X49" s="36" t="s">
        <v>21</v>
      </c>
      <c r="Y49" s="19"/>
      <c r="Z49" s="20"/>
      <c r="AA49" s="20"/>
      <c r="AB49" s="20"/>
      <c r="AC49" s="20"/>
      <c r="AD49" s="21"/>
      <c r="AF49" s="36" t="s">
        <v>21</v>
      </c>
      <c r="AG49" s="19"/>
      <c r="AH49" s="20"/>
      <c r="AI49" s="20"/>
      <c r="AJ49" s="20"/>
      <c r="AK49" s="20"/>
      <c r="AL49" s="21"/>
    </row>
    <row r="50" spans="1:38" x14ac:dyDescent="0.25">
      <c r="F50" s="2"/>
      <c r="G50" s="2"/>
      <c r="H50" s="2"/>
      <c r="J50" s="37"/>
      <c r="T50" s="22" t="s">
        <v>22</v>
      </c>
      <c r="U50" s="23">
        <f>SUM(K49:U49)</f>
        <v>1889.6399999999999</v>
      </c>
      <c r="AC50" s="22" t="s">
        <v>22</v>
      </c>
      <c r="AD50" s="23">
        <f>SUM(Y49:AD49)</f>
        <v>0</v>
      </c>
      <c r="AK50" s="22" t="s">
        <v>22</v>
      </c>
      <c r="AL50" s="23">
        <f>SUM(AG49:AL49)</f>
        <v>0</v>
      </c>
    </row>
    <row r="51" spans="1:38" ht="15.75" thickBot="1" x14ac:dyDescent="0.3">
      <c r="A51" s="34"/>
      <c r="B51" s="171" t="s">
        <v>18</v>
      </c>
      <c r="C51" s="171"/>
      <c r="D51" s="171"/>
      <c r="E51" s="171"/>
      <c r="F51" s="171"/>
      <c r="G51" s="171"/>
      <c r="H51" s="171"/>
      <c r="J51" s="172" t="s">
        <v>18</v>
      </c>
      <c r="K51" s="172"/>
      <c r="L51" s="172"/>
      <c r="M51" s="172"/>
      <c r="N51" s="172"/>
      <c r="O51" s="172"/>
      <c r="P51" s="172"/>
      <c r="Q51" s="172"/>
      <c r="R51" s="172"/>
      <c r="S51" s="172"/>
      <c r="T51" s="172"/>
      <c r="U51" s="172"/>
      <c r="X51" s="173" t="str">
        <f>J51</f>
        <v>Outubro</v>
      </c>
      <c r="Y51" s="173"/>
      <c r="Z51" s="173"/>
      <c r="AA51" s="173"/>
      <c r="AB51" s="173"/>
      <c r="AC51" s="173"/>
      <c r="AD51" s="173"/>
      <c r="AF51" s="174" t="str">
        <f>X51</f>
        <v>Outubro</v>
      </c>
      <c r="AG51" s="174"/>
      <c r="AH51" s="174"/>
      <c r="AI51" s="174"/>
      <c r="AJ51" s="174"/>
      <c r="AK51" s="174"/>
      <c r="AL51" s="174"/>
    </row>
    <row r="52" spans="1:38" ht="15.75" thickBot="1" x14ac:dyDescent="0.3">
      <c r="A52" s="168" t="s">
        <v>4</v>
      </c>
      <c r="B52" s="10" t="s">
        <v>5</v>
      </c>
      <c r="C52" s="11" t="s">
        <v>6</v>
      </c>
      <c r="D52" s="12" t="s">
        <v>7</v>
      </c>
      <c r="E52" s="11" t="s">
        <v>8</v>
      </c>
      <c r="F52" s="12" t="s">
        <v>9</v>
      </c>
      <c r="G52" s="11" t="s">
        <v>10</v>
      </c>
      <c r="H52" s="32" t="s">
        <v>11</v>
      </c>
      <c r="J52" s="35" t="s">
        <v>3</v>
      </c>
      <c r="K52" s="14">
        <v>45932</v>
      </c>
      <c r="L52" s="24">
        <v>45934</v>
      </c>
      <c r="M52" s="24">
        <v>45937</v>
      </c>
      <c r="N52" s="24">
        <v>45939</v>
      </c>
      <c r="O52" s="24">
        <v>45941</v>
      </c>
      <c r="P52" s="24">
        <v>45944</v>
      </c>
      <c r="Q52" s="24">
        <v>45946</v>
      </c>
      <c r="R52" s="24">
        <v>45948</v>
      </c>
      <c r="S52" s="24">
        <v>45951</v>
      </c>
      <c r="T52" s="24">
        <v>45953</v>
      </c>
      <c r="U52" s="80">
        <v>45955</v>
      </c>
      <c r="V52" s="14">
        <v>45960</v>
      </c>
      <c r="W52" s="93"/>
      <c r="X52" s="35" t="s">
        <v>3</v>
      </c>
      <c r="Y52" s="14"/>
      <c r="Z52" s="15"/>
      <c r="AA52" s="15"/>
      <c r="AB52" s="15"/>
      <c r="AC52" s="15"/>
      <c r="AD52" s="16"/>
      <c r="AF52" s="35" t="s">
        <v>3</v>
      </c>
      <c r="AG52" s="14"/>
      <c r="AH52" s="15"/>
      <c r="AI52" s="15"/>
      <c r="AJ52" s="15"/>
      <c r="AK52" s="15"/>
      <c r="AL52" s="16"/>
    </row>
    <row r="53" spans="1:38" ht="15.75" thickBot="1" x14ac:dyDescent="0.3">
      <c r="A53" s="168"/>
      <c r="B53" s="18">
        <v>31672</v>
      </c>
      <c r="C53" s="18">
        <v>33083</v>
      </c>
      <c r="D53" s="18">
        <v>33083</v>
      </c>
      <c r="E53" s="18">
        <v>34787</v>
      </c>
      <c r="F53" s="18">
        <f>SUM(C53-B53)</f>
        <v>1411</v>
      </c>
      <c r="G53" s="18">
        <f>SUM(E53-D53)</f>
        <v>1704</v>
      </c>
      <c r="H53" s="33">
        <f>SUM(F53:G53)</f>
        <v>3115</v>
      </c>
      <c r="J53" s="36" t="s">
        <v>21</v>
      </c>
      <c r="K53" s="19">
        <v>176.15</v>
      </c>
      <c r="L53" s="20">
        <v>208.83</v>
      </c>
      <c r="M53" s="20">
        <v>141.63999999999999</v>
      </c>
      <c r="N53" s="20">
        <v>141.09</v>
      </c>
      <c r="O53" s="20">
        <v>128.12</v>
      </c>
      <c r="P53" s="20">
        <v>189.01</v>
      </c>
      <c r="Q53" s="20">
        <v>205.01</v>
      </c>
      <c r="R53" s="20">
        <v>140.01</v>
      </c>
      <c r="S53" s="20">
        <v>287.89</v>
      </c>
      <c r="T53" s="20">
        <v>168.42</v>
      </c>
      <c r="U53" s="21">
        <v>198.01</v>
      </c>
      <c r="V53" s="19">
        <v>308.76</v>
      </c>
      <c r="W53" s="23"/>
      <c r="X53" s="36" t="s">
        <v>21</v>
      </c>
      <c r="Y53" s="19"/>
      <c r="Z53" s="20"/>
      <c r="AA53" s="20"/>
      <c r="AB53" s="20"/>
      <c r="AC53" s="20"/>
      <c r="AD53" s="21"/>
      <c r="AF53" s="36" t="s">
        <v>21</v>
      </c>
      <c r="AG53" s="19"/>
      <c r="AH53" s="20"/>
      <c r="AI53" s="20"/>
      <c r="AJ53" s="20"/>
      <c r="AK53" s="20"/>
      <c r="AL53" s="21"/>
    </row>
    <row r="54" spans="1:38" x14ac:dyDescent="0.25">
      <c r="F54" s="2"/>
      <c r="G54" s="2"/>
      <c r="H54" s="2"/>
      <c r="J54" s="37"/>
      <c r="T54" s="22" t="s">
        <v>22</v>
      </c>
      <c r="U54" s="23">
        <f>SUM(K53:V53)</f>
        <v>2292.94</v>
      </c>
      <c r="AC54" s="22" t="s">
        <v>22</v>
      </c>
      <c r="AD54" s="23">
        <f>SUM(Y53:AD53)</f>
        <v>0</v>
      </c>
      <c r="AK54" s="22" t="s">
        <v>22</v>
      </c>
      <c r="AL54" s="23">
        <f>SUM(AG53:AL53)</f>
        <v>0</v>
      </c>
    </row>
    <row r="55" spans="1:38" ht="15.75" thickBot="1" x14ac:dyDescent="0.3">
      <c r="A55" s="34"/>
      <c r="B55" s="171" t="s">
        <v>19</v>
      </c>
      <c r="C55" s="171"/>
      <c r="D55" s="171"/>
      <c r="E55" s="171"/>
      <c r="F55" s="171"/>
      <c r="G55" s="171"/>
      <c r="H55" s="171"/>
      <c r="J55" s="172" t="s">
        <v>19</v>
      </c>
      <c r="K55" s="172"/>
      <c r="L55" s="172"/>
      <c r="M55" s="172"/>
      <c r="N55" s="172"/>
      <c r="O55" s="172"/>
      <c r="P55" s="172"/>
      <c r="Q55" s="172"/>
      <c r="R55" s="172"/>
      <c r="S55" s="172"/>
      <c r="T55" s="172"/>
      <c r="U55" s="172"/>
      <c r="X55" s="173" t="str">
        <f>J55</f>
        <v>Novembro</v>
      </c>
      <c r="Y55" s="173"/>
      <c r="Z55" s="173"/>
      <c r="AA55" s="173"/>
      <c r="AB55" s="173"/>
      <c r="AC55" s="173"/>
      <c r="AD55" s="173"/>
      <c r="AF55" s="174" t="str">
        <f>X55</f>
        <v>Novembro</v>
      </c>
      <c r="AG55" s="174"/>
      <c r="AH55" s="174"/>
      <c r="AI55" s="174"/>
      <c r="AJ55" s="174"/>
      <c r="AK55" s="174"/>
      <c r="AL55" s="174"/>
    </row>
    <row r="56" spans="1:38" ht="15.75" thickBot="1" x14ac:dyDescent="0.3">
      <c r="A56" s="168" t="s">
        <v>4</v>
      </c>
      <c r="B56" s="10" t="s">
        <v>5</v>
      </c>
      <c r="C56" s="11" t="s">
        <v>6</v>
      </c>
      <c r="D56" s="12" t="s">
        <v>7</v>
      </c>
      <c r="E56" s="11" t="s">
        <v>8</v>
      </c>
      <c r="F56" s="12" t="s">
        <v>9</v>
      </c>
      <c r="G56" s="11" t="s">
        <v>10</v>
      </c>
      <c r="H56" s="32" t="s">
        <v>11</v>
      </c>
      <c r="J56" s="35" t="s">
        <v>3</v>
      </c>
      <c r="K56" s="14">
        <v>45962</v>
      </c>
      <c r="L56" s="24">
        <v>45965</v>
      </c>
      <c r="M56" s="24">
        <v>45967</v>
      </c>
      <c r="N56" s="24">
        <v>45969</v>
      </c>
      <c r="O56" s="24">
        <v>45972</v>
      </c>
      <c r="P56" s="24">
        <v>45974</v>
      </c>
      <c r="Q56" s="24">
        <v>45976</v>
      </c>
      <c r="R56" s="24">
        <v>45979</v>
      </c>
      <c r="S56" s="24">
        <v>45981</v>
      </c>
      <c r="T56" s="24">
        <v>45983</v>
      </c>
      <c r="U56" s="80">
        <v>45986</v>
      </c>
      <c r="V56" s="14">
        <v>45990</v>
      </c>
      <c r="X56" s="35" t="s">
        <v>3</v>
      </c>
      <c r="Y56" s="14"/>
      <c r="Z56" s="15"/>
      <c r="AA56" s="15"/>
      <c r="AB56" s="15"/>
      <c r="AC56" s="15"/>
      <c r="AD56" s="16"/>
      <c r="AF56" s="35" t="s">
        <v>3</v>
      </c>
      <c r="AG56" s="14"/>
      <c r="AH56" s="15"/>
      <c r="AI56" s="15"/>
      <c r="AJ56" s="15"/>
      <c r="AK56" s="15"/>
      <c r="AL56" s="16"/>
    </row>
    <row r="57" spans="1:38" ht="15.75" thickBot="1" x14ac:dyDescent="0.3">
      <c r="A57" s="168"/>
      <c r="B57" s="18">
        <v>34787</v>
      </c>
      <c r="C57" s="18">
        <v>36507</v>
      </c>
      <c r="D57" s="18">
        <v>36507</v>
      </c>
      <c r="E57" s="18">
        <v>37833</v>
      </c>
      <c r="F57" s="18">
        <f>SUM(C57-B57)</f>
        <v>1720</v>
      </c>
      <c r="G57" s="18">
        <f>SUM(E57-D57)</f>
        <v>1326</v>
      </c>
      <c r="H57" s="33">
        <f>SUM(F57:G57)</f>
        <v>3046</v>
      </c>
      <c r="J57" s="36" t="s">
        <v>21</v>
      </c>
      <c r="K57" s="19">
        <v>151.02000000000001</v>
      </c>
      <c r="L57" s="20">
        <v>241.6</v>
      </c>
      <c r="M57" s="20">
        <v>248.88</v>
      </c>
      <c r="N57" s="20">
        <v>147.54</v>
      </c>
      <c r="O57" s="20">
        <v>204.42</v>
      </c>
      <c r="P57" s="20">
        <v>118.06</v>
      </c>
      <c r="Q57" s="20">
        <v>273.87</v>
      </c>
      <c r="R57" s="20">
        <v>273.3</v>
      </c>
      <c r="S57" s="20">
        <v>195.18</v>
      </c>
      <c r="T57" s="20">
        <v>180.9</v>
      </c>
      <c r="U57" s="21">
        <v>216.06</v>
      </c>
      <c r="V57" s="19">
        <v>218.07</v>
      </c>
      <c r="X57" s="36" t="s">
        <v>21</v>
      </c>
      <c r="Y57" s="19"/>
      <c r="Z57" s="20"/>
      <c r="AA57" s="20"/>
      <c r="AB57" s="20"/>
      <c r="AC57" s="20"/>
      <c r="AD57" s="21"/>
      <c r="AF57" s="36" t="s">
        <v>21</v>
      </c>
      <c r="AG57" s="19"/>
      <c r="AH57" s="20"/>
      <c r="AI57" s="20"/>
      <c r="AJ57" s="20"/>
      <c r="AK57" s="20"/>
      <c r="AL57" s="21"/>
    </row>
    <row r="58" spans="1:38" x14ac:dyDescent="0.25">
      <c r="F58" s="2"/>
      <c r="G58" s="2"/>
      <c r="H58" s="2"/>
      <c r="J58" s="37"/>
      <c r="T58" s="22" t="s">
        <v>22</v>
      </c>
      <c r="U58" s="23">
        <f>SUM(K57:V57)</f>
        <v>2468.9</v>
      </c>
      <c r="AC58" s="22" t="s">
        <v>22</v>
      </c>
      <c r="AD58" s="23">
        <f>SUM(Y57:AD57)</f>
        <v>0</v>
      </c>
      <c r="AK58" s="22" t="s">
        <v>22</v>
      </c>
      <c r="AL58" s="23">
        <f>SUM(AG57:AL57)</f>
        <v>0</v>
      </c>
    </row>
    <row r="59" spans="1:38" ht="15.75" thickBot="1" x14ac:dyDescent="0.3">
      <c r="A59" s="34"/>
      <c r="B59" s="171" t="s">
        <v>154</v>
      </c>
      <c r="C59" s="171"/>
      <c r="D59" s="171"/>
      <c r="E59" s="171"/>
      <c r="F59" s="171"/>
      <c r="G59" s="171"/>
      <c r="H59" s="171"/>
      <c r="J59" s="172" t="s">
        <v>20</v>
      </c>
      <c r="K59" s="172"/>
      <c r="L59" s="172"/>
      <c r="M59" s="172"/>
      <c r="N59" s="172"/>
      <c r="O59" s="172"/>
      <c r="P59" s="172"/>
      <c r="Q59" s="172"/>
      <c r="R59" s="172"/>
      <c r="S59" s="172"/>
      <c r="T59" s="172"/>
      <c r="U59" s="172"/>
      <c r="X59" s="173" t="str">
        <f>J59</f>
        <v>Dezembro</v>
      </c>
      <c r="Y59" s="173"/>
      <c r="Z59" s="173"/>
      <c r="AA59" s="173"/>
      <c r="AB59" s="173"/>
      <c r="AC59" s="173"/>
      <c r="AD59" s="173"/>
      <c r="AF59" s="174" t="str">
        <f>X59</f>
        <v>Dezembro</v>
      </c>
      <c r="AG59" s="174"/>
      <c r="AH59" s="174"/>
      <c r="AI59" s="174"/>
      <c r="AJ59" s="174"/>
      <c r="AK59" s="174"/>
      <c r="AL59" s="174"/>
    </row>
    <row r="60" spans="1:38" ht="15.75" thickBot="1" x14ac:dyDescent="0.3">
      <c r="A60" s="168" t="s">
        <v>4</v>
      </c>
      <c r="B60" s="10" t="s">
        <v>5</v>
      </c>
      <c r="C60" s="11" t="s">
        <v>6</v>
      </c>
      <c r="D60" s="12" t="s">
        <v>7</v>
      </c>
      <c r="E60" s="11" t="s">
        <v>8</v>
      </c>
      <c r="F60" s="12" t="s">
        <v>9</v>
      </c>
      <c r="G60" s="11" t="s">
        <v>10</v>
      </c>
      <c r="H60" s="32" t="s">
        <v>11</v>
      </c>
      <c r="J60" s="35" t="s">
        <v>3</v>
      </c>
      <c r="K60" s="14">
        <v>45993</v>
      </c>
      <c r="L60" s="24">
        <v>45995</v>
      </c>
      <c r="M60" s="24">
        <v>45997</v>
      </c>
      <c r="N60" s="24">
        <v>46000</v>
      </c>
      <c r="O60" s="24">
        <v>46002</v>
      </c>
      <c r="P60" s="24">
        <v>46004</v>
      </c>
      <c r="Q60" s="24">
        <v>46372</v>
      </c>
      <c r="R60" s="24">
        <v>46374</v>
      </c>
      <c r="S60" s="24"/>
      <c r="T60" s="24"/>
      <c r="U60" s="80"/>
      <c r="X60" s="35" t="s">
        <v>3</v>
      </c>
      <c r="Y60" s="14"/>
      <c r="Z60" s="15"/>
      <c r="AA60" s="15"/>
      <c r="AB60" s="15"/>
      <c r="AC60" s="15"/>
      <c r="AD60" s="16"/>
      <c r="AF60" s="35" t="s">
        <v>3</v>
      </c>
      <c r="AG60" s="14"/>
      <c r="AH60" s="15"/>
      <c r="AI60" s="15"/>
      <c r="AJ60" s="15"/>
      <c r="AK60" s="15"/>
      <c r="AL60" s="16"/>
    </row>
    <row r="61" spans="1:38" ht="15.75" thickBot="1" x14ac:dyDescent="0.3">
      <c r="A61" s="168"/>
      <c r="B61" s="18">
        <v>37833</v>
      </c>
      <c r="C61" s="18">
        <v>39601</v>
      </c>
      <c r="D61" s="18">
        <v>39601</v>
      </c>
      <c r="E61" s="18">
        <v>40318</v>
      </c>
      <c r="F61" s="18">
        <f>SUM(C61-B61)</f>
        <v>1768</v>
      </c>
      <c r="G61" s="18">
        <f>SUM(E61-D61)</f>
        <v>717</v>
      </c>
      <c r="H61" s="33">
        <f>SUM(F61:G61)</f>
        <v>2485</v>
      </c>
      <c r="J61" s="36" t="s">
        <v>21</v>
      </c>
      <c r="K61" s="19">
        <v>237</v>
      </c>
      <c r="L61" s="20">
        <v>256.06</v>
      </c>
      <c r="M61" s="20">
        <v>132.27000000000001</v>
      </c>
      <c r="N61" s="20">
        <v>237.76</v>
      </c>
      <c r="O61" s="20">
        <v>173.07</v>
      </c>
      <c r="P61" s="20">
        <v>256.88</v>
      </c>
      <c r="Q61" s="20">
        <v>272.60000000000002</v>
      </c>
      <c r="R61" s="20">
        <v>141.78</v>
      </c>
      <c r="S61" s="20"/>
      <c r="T61" s="20"/>
      <c r="U61" s="21"/>
      <c r="X61" s="36" t="s">
        <v>21</v>
      </c>
      <c r="Y61" s="19"/>
      <c r="Z61" s="20"/>
      <c r="AA61" s="20"/>
      <c r="AB61" s="20"/>
      <c r="AC61" s="20"/>
      <c r="AD61" s="21"/>
      <c r="AF61" s="36" t="s">
        <v>21</v>
      </c>
      <c r="AG61" s="19"/>
      <c r="AH61" s="20"/>
      <c r="AI61" s="20"/>
      <c r="AJ61" s="20"/>
      <c r="AK61" s="20"/>
      <c r="AL61" s="21"/>
    </row>
    <row r="62" spans="1:38" x14ac:dyDescent="0.25">
      <c r="J62" s="37"/>
      <c r="T62" s="22" t="s">
        <v>22</v>
      </c>
      <c r="U62" s="23">
        <f>SUM(K61:U61)</f>
        <v>1707.4199999999998</v>
      </c>
      <c r="AC62" s="22" t="s">
        <v>22</v>
      </c>
      <c r="AD62" s="23">
        <f>SUM(Y61:AD61)</f>
        <v>0</v>
      </c>
      <c r="AK62" s="22" t="s">
        <v>22</v>
      </c>
      <c r="AL62" s="23">
        <f>SUM(AG61:AL61)</f>
        <v>0</v>
      </c>
    </row>
    <row r="63" spans="1:38" ht="15.75" thickBot="1" x14ac:dyDescent="0.3">
      <c r="A63" s="141">
        <v>2026</v>
      </c>
      <c r="B63" s="189" t="s">
        <v>54</v>
      </c>
      <c r="C63" s="171"/>
      <c r="D63" s="171"/>
      <c r="E63" s="171"/>
      <c r="F63" s="171"/>
      <c r="G63" s="171"/>
      <c r="H63" s="171"/>
      <c r="I63" s="6"/>
      <c r="J63" s="172" t="s">
        <v>54</v>
      </c>
      <c r="K63" s="172"/>
      <c r="L63" s="172"/>
      <c r="M63" s="172"/>
      <c r="N63" s="172"/>
      <c r="O63" s="172"/>
      <c r="P63" s="172"/>
      <c r="Q63" s="172"/>
      <c r="R63" s="172"/>
      <c r="S63" s="172"/>
      <c r="T63" s="172"/>
      <c r="U63" s="172"/>
      <c r="V63" s="8"/>
      <c r="W63" s="173" t="s">
        <v>54</v>
      </c>
      <c r="X63" s="173"/>
      <c r="Y63" s="173"/>
      <c r="Z63" s="173"/>
      <c r="AA63" s="173"/>
      <c r="AB63" s="173"/>
      <c r="AC63" s="173"/>
      <c r="AD63" s="8"/>
      <c r="AE63" s="174" t="s">
        <v>54</v>
      </c>
      <c r="AF63" s="174"/>
      <c r="AG63" s="174"/>
      <c r="AH63" s="174"/>
      <c r="AI63" s="174"/>
      <c r="AJ63" s="174"/>
      <c r="AK63" s="174"/>
    </row>
    <row r="64" spans="1:38" ht="15.75" thickBot="1" x14ac:dyDescent="0.3">
      <c r="A64" s="168" t="s">
        <v>4</v>
      </c>
      <c r="B64" s="10" t="s">
        <v>5</v>
      </c>
      <c r="C64" s="11" t="s">
        <v>6</v>
      </c>
      <c r="D64" s="12" t="s">
        <v>7</v>
      </c>
      <c r="E64" s="11" t="s">
        <v>8</v>
      </c>
      <c r="F64" s="12" t="s">
        <v>9</v>
      </c>
      <c r="G64" s="11" t="s">
        <v>10</v>
      </c>
      <c r="H64" s="32" t="s">
        <v>11</v>
      </c>
      <c r="I64" s="6"/>
      <c r="J64" s="35" t="s">
        <v>3</v>
      </c>
      <c r="K64" s="14"/>
      <c r="L64" s="15"/>
      <c r="M64" s="15"/>
      <c r="N64" s="15"/>
      <c r="O64" s="15"/>
      <c r="P64" s="15"/>
      <c r="Q64" s="15"/>
      <c r="R64" s="15"/>
      <c r="S64" s="15"/>
      <c r="T64" s="15"/>
      <c r="U64" s="16"/>
      <c r="V64" s="8"/>
      <c r="W64" s="35" t="s">
        <v>3</v>
      </c>
      <c r="X64" s="14"/>
      <c r="Y64" s="15"/>
      <c r="Z64" s="15"/>
      <c r="AA64" s="15"/>
      <c r="AB64" s="15"/>
      <c r="AC64" s="16"/>
      <c r="AD64" s="8"/>
      <c r="AE64" s="35" t="s">
        <v>3</v>
      </c>
      <c r="AF64" s="14"/>
      <c r="AG64" s="15"/>
      <c r="AH64" s="15"/>
      <c r="AI64" s="15"/>
      <c r="AJ64" s="15"/>
      <c r="AK64" s="16"/>
    </row>
    <row r="65" spans="1:37" ht="15.75" thickBot="1" x14ac:dyDescent="0.3">
      <c r="A65" s="168"/>
      <c r="B65" s="18">
        <v>40318</v>
      </c>
      <c r="C65" s="18"/>
      <c r="D65" s="18"/>
      <c r="E65" s="18">
        <v>44234</v>
      </c>
      <c r="F65" s="18">
        <f>SUM(C65-B65)</f>
        <v>-40318</v>
      </c>
      <c r="G65" s="18">
        <f>SUM(E65-D65)</f>
        <v>44234</v>
      </c>
      <c r="H65" s="33">
        <f>SUM(F65:G65)</f>
        <v>3916</v>
      </c>
      <c r="I65" s="6"/>
      <c r="J65" s="36" t="s">
        <v>21</v>
      </c>
      <c r="K65" s="19"/>
      <c r="L65" s="20"/>
      <c r="M65" s="20"/>
      <c r="N65" s="20"/>
      <c r="O65" s="20"/>
      <c r="P65" s="20"/>
      <c r="Q65" s="20"/>
      <c r="R65" s="20"/>
      <c r="S65" s="20"/>
      <c r="T65" s="20"/>
      <c r="U65" s="21"/>
      <c r="V65" s="8"/>
      <c r="W65" s="36" t="s">
        <v>21</v>
      </c>
      <c r="X65" s="19"/>
      <c r="Y65" s="20"/>
      <c r="Z65" s="20"/>
      <c r="AA65" s="20"/>
      <c r="AB65" s="20"/>
      <c r="AC65" s="21"/>
      <c r="AD65" s="8"/>
      <c r="AE65" s="36" t="s">
        <v>21</v>
      </c>
      <c r="AF65" s="19"/>
      <c r="AG65" s="20"/>
      <c r="AH65" s="20"/>
      <c r="AI65" s="20"/>
      <c r="AJ65" s="20"/>
      <c r="AK65" s="21"/>
    </row>
    <row r="66" spans="1:37" x14ac:dyDescent="0.25">
      <c r="A66" s="7"/>
      <c r="B66" s="7"/>
      <c r="C66" s="7"/>
      <c r="D66" s="7"/>
      <c r="E66" s="7"/>
      <c r="F66" s="7"/>
      <c r="G66" s="7"/>
      <c r="H66" s="7"/>
      <c r="I66" s="6"/>
      <c r="J66" s="7"/>
      <c r="K66" s="7"/>
      <c r="L66" s="7"/>
      <c r="M66" s="7"/>
      <c r="N66" s="7"/>
      <c r="O66" s="7"/>
      <c r="P66" s="7"/>
      <c r="Q66" s="7"/>
      <c r="R66" s="7"/>
      <c r="S66" s="7"/>
      <c r="T66" s="22" t="s">
        <v>22</v>
      </c>
      <c r="U66" s="23">
        <f>SUM(K65:U65)</f>
        <v>0</v>
      </c>
      <c r="V66" s="8"/>
      <c r="W66" s="2"/>
      <c r="X66" s="1"/>
      <c r="AB66" s="22" t="s">
        <v>22</v>
      </c>
      <c r="AC66" s="23">
        <f>SUM(X65:AC65)</f>
        <v>0</v>
      </c>
      <c r="AD66" s="8"/>
      <c r="AE66" s="2"/>
      <c r="AF66" s="1"/>
      <c r="AJ66" s="22" t="s">
        <v>22</v>
      </c>
      <c r="AK66" s="23">
        <f>SUM(AF65:AK65)</f>
        <v>0</v>
      </c>
    </row>
    <row r="67" spans="1:37" ht="15.75" thickBot="1" x14ac:dyDescent="0.3">
      <c r="A67" s="34"/>
      <c r="B67" s="171" t="s">
        <v>2</v>
      </c>
      <c r="C67" s="171"/>
      <c r="D67" s="171"/>
      <c r="E67" s="171"/>
      <c r="F67" s="171"/>
      <c r="G67" s="171"/>
      <c r="H67" s="171"/>
      <c r="J67" s="172" t="s">
        <v>2</v>
      </c>
      <c r="K67" s="172"/>
      <c r="L67" s="172"/>
      <c r="M67" s="172"/>
      <c r="N67" s="172"/>
      <c r="O67" s="172"/>
      <c r="P67" s="172"/>
      <c r="Q67" s="172"/>
      <c r="R67" s="172"/>
      <c r="S67" s="172"/>
      <c r="T67" s="172"/>
      <c r="U67" s="172"/>
      <c r="W67" s="173" t="s">
        <v>2</v>
      </c>
      <c r="X67" s="173"/>
      <c r="Y67" s="173"/>
      <c r="Z67" s="173"/>
      <c r="AA67" s="173"/>
      <c r="AB67" s="173"/>
      <c r="AC67" s="173"/>
      <c r="AE67" s="174" t="s">
        <v>2</v>
      </c>
      <c r="AF67" s="174"/>
      <c r="AG67" s="174"/>
      <c r="AH67" s="174"/>
      <c r="AI67" s="174"/>
      <c r="AJ67" s="174"/>
      <c r="AK67" s="174"/>
    </row>
    <row r="68" spans="1:37" ht="15.75" thickBot="1" x14ac:dyDescent="0.3">
      <c r="A68" s="168" t="s">
        <v>4</v>
      </c>
      <c r="B68" s="10" t="s">
        <v>5</v>
      </c>
      <c r="C68" s="11" t="s">
        <v>6</v>
      </c>
      <c r="D68" s="12" t="s">
        <v>7</v>
      </c>
      <c r="E68" s="11" t="s">
        <v>8</v>
      </c>
      <c r="F68" s="12" t="s">
        <v>9</v>
      </c>
      <c r="G68" s="11" t="s">
        <v>10</v>
      </c>
      <c r="H68" s="32" t="s">
        <v>11</v>
      </c>
      <c r="J68" s="35" t="s">
        <v>3</v>
      </c>
      <c r="K68" s="14"/>
      <c r="L68" s="15"/>
      <c r="M68" s="15"/>
      <c r="N68" s="15"/>
      <c r="O68" s="15"/>
      <c r="P68" s="15"/>
      <c r="Q68" s="15"/>
      <c r="R68" s="15"/>
      <c r="S68" s="15"/>
      <c r="T68" s="15"/>
      <c r="U68" s="16"/>
      <c r="W68" s="35" t="s">
        <v>3</v>
      </c>
      <c r="X68" s="14"/>
      <c r="Y68" s="15"/>
      <c r="Z68" s="15"/>
      <c r="AA68" s="15"/>
      <c r="AB68" s="15"/>
      <c r="AC68" s="16"/>
      <c r="AE68" s="35" t="s">
        <v>3</v>
      </c>
      <c r="AF68" s="14"/>
      <c r="AG68" s="15"/>
      <c r="AH68" s="15"/>
      <c r="AI68" s="15"/>
      <c r="AJ68" s="15"/>
      <c r="AK68" s="16"/>
    </row>
    <row r="69" spans="1:37" ht="15.75" thickBot="1" x14ac:dyDescent="0.3">
      <c r="A69" s="168"/>
      <c r="B69" s="18">
        <v>44234</v>
      </c>
      <c r="C69" s="18"/>
      <c r="D69" s="18"/>
      <c r="E69" s="18">
        <v>46451</v>
      </c>
      <c r="F69" s="18">
        <f>SUM(C69-B69)</f>
        <v>-44234</v>
      </c>
      <c r="G69" s="18">
        <f>SUM(E69-D69)</f>
        <v>46451</v>
      </c>
      <c r="H69" s="33">
        <f>SUM(F69:G69)</f>
        <v>2217</v>
      </c>
      <c r="J69" s="36" t="s">
        <v>21</v>
      </c>
      <c r="K69" s="19"/>
      <c r="L69" s="20"/>
      <c r="M69" s="20"/>
      <c r="N69" s="20"/>
      <c r="O69" s="20"/>
      <c r="P69" s="20"/>
      <c r="Q69" s="20"/>
      <c r="R69" s="20"/>
      <c r="S69" s="20"/>
      <c r="T69" s="20"/>
      <c r="U69" s="21"/>
      <c r="W69" s="36" t="s">
        <v>21</v>
      </c>
      <c r="X69" s="19"/>
      <c r="Y69" s="20"/>
      <c r="Z69" s="20"/>
      <c r="AA69" s="20"/>
      <c r="AB69" s="20"/>
      <c r="AC69" s="21"/>
      <c r="AE69" s="36" t="s">
        <v>21</v>
      </c>
      <c r="AF69" s="19"/>
      <c r="AG69" s="20"/>
      <c r="AH69" s="20"/>
      <c r="AI69" s="20"/>
      <c r="AJ69" s="20"/>
      <c r="AK69" s="21"/>
    </row>
    <row r="70" spans="1:37" x14ac:dyDescent="0.25">
      <c r="F70" s="2"/>
      <c r="G70" s="2"/>
      <c r="H70" s="2"/>
      <c r="J70" s="37"/>
      <c r="T70" s="22" t="s">
        <v>22</v>
      </c>
      <c r="U70" s="23">
        <f>SUM(K69:U69)</f>
        <v>0</v>
      </c>
      <c r="W70" s="2"/>
      <c r="X70" s="1"/>
      <c r="AB70" s="22" t="s">
        <v>22</v>
      </c>
      <c r="AC70" s="23">
        <f>SUM(X69:AC69)</f>
        <v>0</v>
      </c>
      <c r="AE70" s="2"/>
      <c r="AF70" s="1"/>
      <c r="AJ70" s="22" t="s">
        <v>22</v>
      </c>
      <c r="AK70" s="23">
        <f>SUM(AF69:AK69)</f>
        <v>0</v>
      </c>
    </row>
    <row r="71" spans="1:37" ht="15.75" thickBot="1" x14ac:dyDescent="0.3">
      <c r="A71" s="34"/>
      <c r="B71" s="171" t="s">
        <v>12</v>
      </c>
      <c r="C71" s="171"/>
      <c r="D71" s="171"/>
      <c r="E71" s="171"/>
      <c r="F71" s="171"/>
      <c r="G71" s="171"/>
      <c r="H71" s="171"/>
      <c r="J71" s="172" t="s">
        <v>12</v>
      </c>
      <c r="K71" s="172"/>
      <c r="L71" s="172"/>
      <c r="M71" s="172"/>
      <c r="N71" s="172"/>
      <c r="O71" s="172"/>
      <c r="P71" s="172"/>
      <c r="Q71" s="172"/>
      <c r="R71" s="172"/>
      <c r="S71" s="172"/>
      <c r="T71" s="172"/>
      <c r="U71" s="172"/>
      <c r="W71" s="173" t="str">
        <f>J71</f>
        <v>Março</v>
      </c>
      <c r="X71" s="173"/>
      <c r="Y71" s="173"/>
      <c r="Z71" s="173"/>
      <c r="AA71" s="173"/>
      <c r="AB71" s="173"/>
      <c r="AC71" s="173"/>
      <c r="AE71" s="174" t="str">
        <f>W71</f>
        <v>Março</v>
      </c>
      <c r="AF71" s="174"/>
      <c r="AG71" s="174"/>
      <c r="AH71" s="174"/>
      <c r="AI71" s="174"/>
      <c r="AJ71" s="174"/>
      <c r="AK71" s="174"/>
    </row>
    <row r="72" spans="1:37" ht="15.75" thickBot="1" x14ac:dyDescent="0.3">
      <c r="A72" s="168" t="s">
        <v>4</v>
      </c>
      <c r="B72" s="10" t="s">
        <v>5</v>
      </c>
      <c r="C72" s="11" t="s">
        <v>6</v>
      </c>
      <c r="D72" s="12" t="s">
        <v>7</v>
      </c>
      <c r="E72" s="11" t="s">
        <v>8</v>
      </c>
      <c r="F72" s="12" t="s">
        <v>9</v>
      </c>
      <c r="G72" s="11" t="s">
        <v>10</v>
      </c>
      <c r="H72" s="32" t="s">
        <v>11</v>
      </c>
      <c r="J72" s="35" t="s">
        <v>3</v>
      </c>
      <c r="K72" s="14"/>
      <c r="L72" s="24"/>
      <c r="M72" s="24"/>
      <c r="N72" s="15"/>
      <c r="O72" s="15"/>
      <c r="P72" s="15"/>
      <c r="Q72" s="15"/>
      <c r="R72" s="15"/>
      <c r="S72" s="15"/>
      <c r="T72" s="15"/>
      <c r="U72" s="16"/>
      <c r="W72" s="35" t="s">
        <v>3</v>
      </c>
      <c r="X72" s="14"/>
      <c r="Y72" s="15"/>
      <c r="Z72" s="15"/>
      <c r="AA72" s="15"/>
      <c r="AB72" s="15"/>
      <c r="AC72" s="16"/>
      <c r="AE72" s="35" t="s">
        <v>3</v>
      </c>
      <c r="AF72" s="14"/>
      <c r="AG72" s="15"/>
      <c r="AH72" s="15"/>
      <c r="AI72" s="15"/>
      <c r="AJ72" s="15"/>
      <c r="AK72" s="16"/>
    </row>
    <row r="73" spans="1:37" ht="15.75" thickBot="1" x14ac:dyDescent="0.3">
      <c r="A73" s="168"/>
      <c r="B73" s="17">
        <v>46451</v>
      </c>
      <c r="C73" s="18"/>
      <c r="D73" s="18"/>
      <c r="E73" s="18">
        <v>49854</v>
      </c>
      <c r="F73" s="18">
        <f>SUM(C73-B73)</f>
        <v>-46451</v>
      </c>
      <c r="G73" s="18">
        <f>SUM(E73-D73)</f>
        <v>49854</v>
      </c>
      <c r="H73" s="33">
        <f>SUM(F73:G73)</f>
        <v>3403</v>
      </c>
      <c r="J73" s="36" t="s">
        <v>21</v>
      </c>
      <c r="K73" s="19"/>
      <c r="L73" s="20"/>
      <c r="M73" s="20"/>
      <c r="N73" s="20"/>
      <c r="O73" s="20"/>
      <c r="P73" s="20"/>
      <c r="Q73" s="20"/>
      <c r="R73" s="20"/>
      <c r="S73" s="20"/>
      <c r="T73" s="20"/>
      <c r="U73" s="21"/>
      <c r="W73" s="36" t="s">
        <v>21</v>
      </c>
      <c r="X73" s="19"/>
      <c r="Y73" s="20"/>
      <c r="Z73" s="20"/>
      <c r="AA73" s="20"/>
      <c r="AB73" s="20"/>
      <c r="AC73" s="21"/>
      <c r="AE73" s="36" t="s">
        <v>21</v>
      </c>
      <c r="AF73" s="19"/>
      <c r="AG73" s="20"/>
      <c r="AH73" s="20"/>
      <c r="AI73" s="20"/>
      <c r="AJ73" s="20"/>
      <c r="AK73" s="21"/>
    </row>
    <row r="74" spans="1:37" x14ac:dyDescent="0.25">
      <c r="F74" s="2"/>
      <c r="G74" s="2"/>
      <c r="H74" s="2"/>
      <c r="J74" s="37"/>
      <c r="T74" s="22" t="s">
        <v>22</v>
      </c>
      <c r="U74" s="23">
        <f>SUM(K73:U73)</f>
        <v>0</v>
      </c>
      <c r="W74" s="2"/>
      <c r="X74" s="1"/>
      <c r="AB74" s="22" t="s">
        <v>22</v>
      </c>
      <c r="AC74" s="23">
        <f>SUM(X73:AC73)</f>
        <v>0</v>
      </c>
      <c r="AE74" s="2"/>
      <c r="AF74" s="1"/>
      <c r="AJ74" s="22" t="s">
        <v>22</v>
      </c>
      <c r="AK74" s="23">
        <f>SUM(AF73:AK73)</f>
        <v>0</v>
      </c>
    </row>
    <row r="75" spans="1:37" ht="15.75" thickBot="1" x14ac:dyDescent="0.3">
      <c r="A75" s="34"/>
      <c r="B75" s="171" t="s">
        <v>13</v>
      </c>
      <c r="C75" s="171"/>
      <c r="D75" s="171"/>
      <c r="E75" s="171"/>
      <c r="F75" s="171"/>
      <c r="G75" s="171"/>
      <c r="H75" s="171"/>
      <c r="J75" s="172" t="s">
        <v>13</v>
      </c>
      <c r="K75" s="172"/>
      <c r="L75" s="172"/>
      <c r="M75" s="172"/>
      <c r="N75" s="172"/>
      <c r="O75" s="172"/>
      <c r="P75" s="172"/>
      <c r="Q75" s="172"/>
      <c r="R75" s="172"/>
      <c r="S75" s="172"/>
      <c r="T75" s="172"/>
      <c r="U75" s="172"/>
      <c r="W75" s="173" t="str">
        <f>J75</f>
        <v>Abril</v>
      </c>
      <c r="X75" s="173"/>
      <c r="Y75" s="173"/>
      <c r="Z75" s="173"/>
      <c r="AA75" s="173"/>
      <c r="AB75" s="173"/>
      <c r="AC75" s="173"/>
      <c r="AE75" s="174" t="str">
        <f>W75</f>
        <v>Abril</v>
      </c>
      <c r="AF75" s="174"/>
      <c r="AG75" s="174"/>
      <c r="AH75" s="174"/>
      <c r="AI75" s="174"/>
      <c r="AJ75" s="174"/>
      <c r="AK75" s="174"/>
    </row>
    <row r="76" spans="1:37" ht="15.75" thickBot="1" x14ac:dyDescent="0.3">
      <c r="A76" s="168" t="s">
        <v>4</v>
      </c>
      <c r="B76" s="10" t="s">
        <v>5</v>
      </c>
      <c r="C76" s="11" t="s">
        <v>6</v>
      </c>
      <c r="D76" s="12" t="s">
        <v>7</v>
      </c>
      <c r="E76" s="11" t="s">
        <v>8</v>
      </c>
      <c r="F76" s="12" t="s">
        <v>9</v>
      </c>
      <c r="G76" s="11" t="s">
        <v>10</v>
      </c>
      <c r="H76" s="32" t="s">
        <v>11</v>
      </c>
      <c r="J76" s="35" t="s">
        <v>3</v>
      </c>
      <c r="K76" s="14"/>
      <c r="L76" s="15"/>
      <c r="M76" s="15"/>
      <c r="N76" s="15"/>
      <c r="O76" s="15"/>
      <c r="P76" s="15"/>
      <c r="Q76" s="15"/>
      <c r="R76" s="15"/>
      <c r="S76" s="15"/>
      <c r="T76" s="15"/>
      <c r="U76" s="16"/>
      <c r="W76" s="35" t="s">
        <v>3</v>
      </c>
      <c r="X76" s="14"/>
      <c r="Y76" s="15"/>
      <c r="Z76" s="15"/>
      <c r="AA76" s="15"/>
      <c r="AB76" s="15"/>
      <c r="AC76" s="16"/>
      <c r="AE76" s="35" t="s">
        <v>3</v>
      </c>
      <c r="AF76" s="14"/>
      <c r="AG76" s="15"/>
      <c r="AH76" s="15"/>
      <c r="AI76" s="15"/>
      <c r="AJ76" s="15"/>
      <c r="AK76" s="16"/>
    </row>
    <row r="77" spans="1:37" ht="15.75" thickBot="1" x14ac:dyDescent="0.3">
      <c r="A77" s="168"/>
      <c r="B77" s="18">
        <v>49854</v>
      </c>
      <c r="C77" s="18"/>
      <c r="D77" s="18"/>
      <c r="E77" s="18">
        <v>51597</v>
      </c>
      <c r="F77" s="18">
        <f>SUM(C77-B77)</f>
        <v>-49854</v>
      </c>
      <c r="G77" s="18">
        <f>SUM(E77-D77)</f>
        <v>51597</v>
      </c>
      <c r="H77" s="33">
        <f>SUM(F77:G77)</f>
        <v>1743</v>
      </c>
      <c r="J77" s="36" t="s">
        <v>21</v>
      </c>
      <c r="K77" s="25"/>
      <c r="L77" s="26"/>
      <c r="M77" s="26"/>
      <c r="N77" s="26"/>
      <c r="O77" s="26"/>
      <c r="P77" s="26"/>
      <c r="Q77" s="26"/>
      <c r="R77" s="26"/>
      <c r="S77" s="26"/>
      <c r="T77" s="26"/>
      <c r="U77" s="27"/>
      <c r="W77" s="36" t="s">
        <v>21</v>
      </c>
      <c r="X77" s="19"/>
      <c r="Y77" s="20"/>
      <c r="Z77" s="20"/>
      <c r="AA77" s="20"/>
      <c r="AB77" s="20"/>
      <c r="AC77" s="21"/>
      <c r="AE77" s="36" t="s">
        <v>21</v>
      </c>
      <c r="AF77" s="19"/>
      <c r="AG77" s="20"/>
      <c r="AH77" s="20"/>
      <c r="AI77" s="20"/>
      <c r="AJ77" s="20"/>
      <c r="AK77" s="21"/>
    </row>
    <row r="78" spans="1:37" x14ac:dyDescent="0.25">
      <c r="F78" s="2"/>
      <c r="G78" s="2"/>
      <c r="H78" s="2"/>
      <c r="J78" s="37"/>
      <c r="T78" s="22" t="s">
        <v>22</v>
      </c>
      <c r="U78" s="23">
        <f>SUM(K77:U77)</f>
        <v>0</v>
      </c>
      <c r="W78" s="2"/>
      <c r="X78" s="1"/>
      <c r="AB78" s="22" t="s">
        <v>22</v>
      </c>
      <c r="AC78" s="23">
        <f>SUM(X77:AC77)</f>
        <v>0</v>
      </c>
      <c r="AE78" s="2"/>
      <c r="AF78" s="1"/>
      <c r="AJ78" s="22" t="s">
        <v>22</v>
      </c>
      <c r="AK78" s="23">
        <f>SUM(AF77:AK77)</f>
        <v>0</v>
      </c>
    </row>
    <row r="79" spans="1:37" ht="15.75" thickBot="1" x14ac:dyDescent="0.3">
      <c r="A79" s="34"/>
      <c r="B79" s="171" t="s">
        <v>14</v>
      </c>
      <c r="C79" s="171"/>
      <c r="D79" s="171"/>
      <c r="E79" s="171"/>
      <c r="F79" s="171"/>
      <c r="G79" s="171"/>
      <c r="H79" s="171"/>
      <c r="J79" s="172" t="s">
        <v>14</v>
      </c>
      <c r="K79" s="172"/>
      <c r="L79" s="172"/>
      <c r="M79" s="172"/>
      <c r="N79" s="172"/>
      <c r="O79" s="172"/>
      <c r="P79" s="172"/>
      <c r="Q79" s="172"/>
      <c r="R79" s="172"/>
      <c r="S79" s="172"/>
      <c r="T79" s="172"/>
      <c r="U79" s="172"/>
      <c r="W79" s="173" t="str">
        <f>J79</f>
        <v>Maio</v>
      </c>
      <c r="X79" s="173"/>
      <c r="Y79" s="173"/>
      <c r="Z79" s="173"/>
      <c r="AA79" s="173"/>
      <c r="AB79" s="173"/>
      <c r="AC79" s="173"/>
      <c r="AE79" s="174" t="str">
        <f>W79</f>
        <v>Maio</v>
      </c>
      <c r="AF79" s="174"/>
      <c r="AG79" s="174"/>
      <c r="AH79" s="174"/>
      <c r="AI79" s="174"/>
      <c r="AJ79" s="174"/>
      <c r="AK79" s="174"/>
    </row>
    <row r="80" spans="1:37" ht="15.75" thickBot="1" x14ac:dyDescent="0.3">
      <c r="A80" s="168" t="s">
        <v>4</v>
      </c>
      <c r="B80" s="10" t="s">
        <v>5</v>
      </c>
      <c r="C80" s="11" t="s">
        <v>6</v>
      </c>
      <c r="D80" s="12" t="s">
        <v>7</v>
      </c>
      <c r="E80" s="11" t="s">
        <v>8</v>
      </c>
      <c r="F80" s="12" t="s">
        <v>9</v>
      </c>
      <c r="G80" s="11" t="s">
        <v>10</v>
      </c>
      <c r="H80" s="32" t="s">
        <v>11</v>
      </c>
      <c r="J80" s="35" t="s">
        <v>3</v>
      </c>
      <c r="K80" s="14"/>
      <c r="L80" s="15"/>
      <c r="M80" s="15"/>
      <c r="N80" s="15"/>
      <c r="O80" s="15"/>
      <c r="P80" s="15"/>
      <c r="Q80" s="15"/>
      <c r="R80" s="15"/>
      <c r="S80" s="15"/>
      <c r="T80" s="15"/>
      <c r="U80" s="16"/>
      <c r="W80" s="35" t="s">
        <v>3</v>
      </c>
      <c r="X80" s="14"/>
      <c r="Y80" s="15"/>
      <c r="Z80" s="15"/>
      <c r="AA80" s="15"/>
      <c r="AB80" s="15"/>
      <c r="AC80" s="16"/>
      <c r="AE80" s="35" t="s">
        <v>3</v>
      </c>
      <c r="AF80" s="14"/>
      <c r="AG80" s="15"/>
      <c r="AH80" s="15"/>
      <c r="AI80" s="15"/>
      <c r="AJ80" s="15"/>
      <c r="AK80" s="16"/>
    </row>
    <row r="81" spans="1:37" ht="15.75" thickBot="1" x14ac:dyDescent="0.3">
      <c r="A81" s="168"/>
      <c r="B81" s="17"/>
      <c r="C81" s="18"/>
      <c r="D81" s="18"/>
      <c r="E81" s="18"/>
      <c r="F81" s="18">
        <f>SUM(C81-B81)</f>
        <v>0</v>
      </c>
      <c r="G81" s="18">
        <f>SUM(E81-D81)</f>
        <v>0</v>
      </c>
      <c r="H81" s="33">
        <f>SUM(F81:G81)</f>
        <v>0</v>
      </c>
      <c r="J81" s="36" t="s">
        <v>21</v>
      </c>
      <c r="K81" s="19"/>
      <c r="L81" s="20"/>
      <c r="M81" s="20"/>
      <c r="N81" s="20"/>
      <c r="O81" s="20"/>
      <c r="P81" s="20"/>
      <c r="Q81" s="20"/>
      <c r="R81" s="20"/>
      <c r="S81" s="20"/>
      <c r="T81" s="20"/>
      <c r="U81" s="21"/>
      <c r="W81" s="36" t="s">
        <v>21</v>
      </c>
      <c r="X81" s="19"/>
      <c r="Y81" s="20"/>
      <c r="Z81" s="20"/>
      <c r="AA81" s="20"/>
      <c r="AB81" s="20"/>
      <c r="AC81" s="21"/>
      <c r="AE81" s="36" t="s">
        <v>21</v>
      </c>
      <c r="AF81" s="19"/>
      <c r="AG81" s="20"/>
      <c r="AH81" s="20"/>
      <c r="AI81" s="20"/>
      <c r="AJ81" s="20"/>
      <c r="AK81" s="21"/>
    </row>
    <row r="82" spans="1:37" x14ac:dyDescent="0.25">
      <c r="F82" s="2"/>
      <c r="G82" s="2"/>
      <c r="H82" s="2"/>
      <c r="J82" s="37"/>
      <c r="T82" s="22" t="s">
        <v>22</v>
      </c>
      <c r="U82" s="23">
        <f>SUM(K81:U81)</f>
        <v>0</v>
      </c>
      <c r="W82" s="2"/>
      <c r="X82" s="1"/>
      <c r="AB82" s="22" t="s">
        <v>22</v>
      </c>
      <c r="AC82" s="23">
        <f>SUM(X81:AC81)</f>
        <v>0</v>
      </c>
      <c r="AE82" s="2"/>
      <c r="AF82" s="1"/>
      <c r="AJ82" s="22" t="s">
        <v>22</v>
      </c>
      <c r="AK82" s="23">
        <f>SUM(AF81:AK81)</f>
        <v>0</v>
      </c>
    </row>
    <row r="83" spans="1:37" ht="15.75" thickBot="1" x14ac:dyDescent="0.3">
      <c r="A83" s="34"/>
      <c r="B83" s="171" t="s">
        <v>23</v>
      </c>
      <c r="C83" s="171"/>
      <c r="D83" s="171"/>
      <c r="E83" s="171"/>
      <c r="F83" s="171"/>
      <c r="G83" s="171"/>
      <c r="H83" s="171"/>
      <c r="J83" s="172" t="s">
        <v>23</v>
      </c>
      <c r="K83" s="172"/>
      <c r="L83" s="172"/>
      <c r="M83" s="172"/>
      <c r="N83" s="172"/>
      <c r="O83" s="172"/>
      <c r="P83" s="172"/>
      <c r="Q83" s="172"/>
      <c r="R83" s="172"/>
      <c r="S83" s="172"/>
      <c r="T83" s="172"/>
      <c r="U83" s="172"/>
      <c r="W83" s="173" t="str">
        <f>J83</f>
        <v>Junho</v>
      </c>
      <c r="X83" s="173"/>
      <c r="Y83" s="173"/>
      <c r="Z83" s="173"/>
      <c r="AA83" s="173"/>
      <c r="AB83" s="173"/>
      <c r="AC83" s="173"/>
      <c r="AE83" s="174" t="str">
        <f>W83</f>
        <v>Junho</v>
      </c>
      <c r="AF83" s="174"/>
      <c r="AG83" s="174"/>
      <c r="AH83" s="174"/>
      <c r="AI83" s="174"/>
      <c r="AJ83" s="174"/>
      <c r="AK83" s="174"/>
    </row>
    <row r="84" spans="1:37" ht="15.75" thickBot="1" x14ac:dyDescent="0.3">
      <c r="A84" s="168" t="s">
        <v>4</v>
      </c>
      <c r="B84" s="10" t="s">
        <v>5</v>
      </c>
      <c r="C84" s="11" t="s">
        <v>6</v>
      </c>
      <c r="D84" s="12" t="s">
        <v>7</v>
      </c>
      <c r="E84" s="11" t="s">
        <v>8</v>
      </c>
      <c r="F84" s="12" t="s">
        <v>9</v>
      </c>
      <c r="G84" s="11" t="s">
        <v>10</v>
      </c>
      <c r="H84" s="32" t="s">
        <v>11</v>
      </c>
      <c r="J84" s="35" t="s">
        <v>3</v>
      </c>
      <c r="K84" s="14"/>
      <c r="L84" s="15"/>
      <c r="M84" s="15"/>
      <c r="N84" s="15"/>
      <c r="O84" s="15"/>
      <c r="P84" s="15"/>
      <c r="Q84" s="15"/>
      <c r="R84" s="15"/>
      <c r="S84" s="15"/>
      <c r="T84" s="15"/>
      <c r="U84" s="16"/>
      <c r="W84" s="35" t="s">
        <v>3</v>
      </c>
      <c r="X84" s="14"/>
      <c r="Y84" s="15"/>
      <c r="Z84" s="15"/>
      <c r="AA84" s="15"/>
      <c r="AB84" s="15"/>
      <c r="AC84" s="16"/>
      <c r="AE84" s="35" t="s">
        <v>3</v>
      </c>
      <c r="AF84" s="14"/>
      <c r="AG84" s="15"/>
      <c r="AH84" s="15"/>
      <c r="AI84" s="15"/>
      <c r="AJ84" s="15"/>
      <c r="AK84" s="16"/>
    </row>
    <row r="85" spans="1:37" ht="15.75" thickBot="1" x14ac:dyDescent="0.3">
      <c r="A85" s="168"/>
      <c r="B85" s="17"/>
      <c r="C85" s="18"/>
      <c r="D85" s="18"/>
      <c r="E85" s="18"/>
      <c r="F85" s="18">
        <f>SUM(C85-B85)</f>
        <v>0</v>
      </c>
      <c r="G85" s="18">
        <f>SUM(E85-D85)</f>
        <v>0</v>
      </c>
      <c r="H85" s="33">
        <f>SUM(F85:G85)</f>
        <v>0</v>
      </c>
      <c r="J85" s="36" t="s">
        <v>21</v>
      </c>
      <c r="K85" s="19"/>
      <c r="L85" s="20"/>
      <c r="M85" s="20"/>
      <c r="N85" s="20"/>
      <c r="O85" s="20"/>
      <c r="P85" s="20"/>
      <c r="Q85" s="20"/>
      <c r="R85" s="20"/>
      <c r="S85" s="20"/>
      <c r="T85" s="20"/>
      <c r="U85" s="21"/>
      <c r="W85" s="36" t="s">
        <v>21</v>
      </c>
      <c r="X85" s="19"/>
      <c r="Y85" s="20"/>
      <c r="Z85" s="20"/>
      <c r="AA85" s="20"/>
      <c r="AB85" s="20"/>
      <c r="AC85" s="21"/>
      <c r="AE85" s="36" t="s">
        <v>21</v>
      </c>
      <c r="AF85" s="19"/>
      <c r="AG85" s="20"/>
      <c r="AH85" s="20"/>
      <c r="AI85" s="20"/>
      <c r="AJ85" s="20"/>
      <c r="AK85" s="21"/>
    </row>
    <row r="86" spans="1:37" x14ac:dyDescent="0.25">
      <c r="F86" s="2"/>
      <c r="G86" s="2"/>
      <c r="H86" s="2"/>
      <c r="J86" s="37"/>
      <c r="T86" s="22" t="s">
        <v>22</v>
      </c>
      <c r="U86" s="23">
        <f>SUM(K85:U85)</f>
        <v>0</v>
      </c>
      <c r="W86" s="2"/>
      <c r="X86" s="1"/>
      <c r="AB86" s="22" t="s">
        <v>22</v>
      </c>
      <c r="AC86" s="23">
        <f>SUM(X85:AC85)</f>
        <v>0</v>
      </c>
      <c r="AE86" s="2"/>
      <c r="AF86" s="1"/>
      <c r="AJ86" s="22" t="s">
        <v>22</v>
      </c>
      <c r="AK86" s="23">
        <f>SUM(AF85:AK85)</f>
        <v>0</v>
      </c>
    </row>
    <row r="87" spans="1:37" ht="15.75" thickBot="1" x14ac:dyDescent="0.3">
      <c r="A87" s="34"/>
      <c r="B87" s="171" t="s">
        <v>15</v>
      </c>
      <c r="C87" s="171"/>
      <c r="D87" s="171"/>
      <c r="E87" s="171"/>
      <c r="F87" s="171"/>
      <c r="G87" s="171"/>
      <c r="H87" s="171"/>
      <c r="J87" s="172" t="s">
        <v>15</v>
      </c>
      <c r="K87" s="172"/>
      <c r="L87" s="172"/>
      <c r="M87" s="172"/>
      <c r="N87" s="172"/>
      <c r="O87" s="172"/>
      <c r="P87" s="172"/>
      <c r="Q87" s="172"/>
      <c r="R87" s="172"/>
      <c r="S87" s="172"/>
      <c r="T87" s="172"/>
      <c r="U87" s="172"/>
      <c r="W87" s="173" t="str">
        <f>J87</f>
        <v>Julho</v>
      </c>
      <c r="X87" s="173"/>
      <c r="Y87" s="173"/>
      <c r="Z87" s="173"/>
      <c r="AA87" s="173"/>
      <c r="AB87" s="173"/>
      <c r="AC87" s="173"/>
      <c r="AE87" s="174" t="str">
        <f>W87</f>
        <v>Julho</v>
      </c>
      <c r="AF87" s="174"/>
      <c r="AG87" s="174"/>
      <c r="AH87" s="174"/>
      <c r="AI87" s="174"/>
      <c r="AJ87" s="174"/>
      <c r="AK87" s="174"/>
    </row>
    <row r="88" spans="1:37" ht="15.75" thickBot="1" x14ac:dyDescent="0.3">
      <c r="A88" s="168" t="s">
        <v>4</v>
      </c>
      <c r="B88" s="10" t="s">
        <v>5</v>
      </c>
      <c r="C88" s="11" t="s">
        <v>6</v>
      </c>
      <c r="D88" s="12" t="s">
        <v>7</v>
      </c>
      <c r="E88" s="11" t="s">
        <v>8</v>
      </c>
      <c r="F88" s="12" t="s">
        <v>9</v>
      </c>
      <c r="G88" s="11" t="s">
        <v>10</v>
      </c>
      <c r="H88" s="32" t="s">
        <v>11</v>
      </c>
      <c r="J88" s="35" t="s">
        <v>3</v>
      </c>
      <c r="K88" s="14"/>
      <c r="L88" s="15"/>
      <c r="M88" s="15"/>
      <c r="N88" s="15"/>
      <c r="O88" s="15"/>
      <c r="P88" s="15"/>
      <c r="Q88" s="15"/>
      <c r="R88" s="15"/>
      <c r="S88" s="15"/>
      <c r="T88" s="15"/>
      <c r="U88" s="16"/>
      <c r="W88" s="35" t="s">
        <v>3</v>
      </c>
      <c r="X88" s="14"/>
      <c r="Y88" s="15"/>
      <c r="Z88" s="15"/>
      <c r="AA88" s="15"/>
      <c r="AB88" s="15"/>
      <c r="AC88" s="16"/>
      <c r="AE88" s="35" t="s">
        <v>3</v>
      </c>
      <c r="AF88" s="14"/>
      <c r="AG88" s="15"/>
      <c r="AH88" s="15"/>
      <c r="AI88" s="15"/>
      <c r="AJ88" s="15"/>
      <c r="AK88" s="16"/>
    </row>
    <row r="89" spans="1:37" ht="15.75" thickBot="1" x14ac:dyDescent="0.3">
      <c r="A89" s="168"/>
      <c r="B89" s="17"/>
      <c r="C89" s="18"/>
      <c r="D89" s="18"/>
      <c r="E89" s="18"/>
      <c r="F89" s="18">
        <f>SUM(C89-B89)</f>
        <v>0</v>
      </c>
      <c r="G89" s="18">
        <f>SUM(E89-D89)</f>
        <v>0</v>
      </c>
      <c r="H89" s="33">
        <f>SUM(F89:G89)</f>
        <v>0</v>
      </c>
      <c r="J89" s="36" t="s">
        <v>21</v>
      </c>
      <c r="K89" s="19"/>
      <c r="L89" s="20"/>
      <c r="M89" s="20"/>
      <c r="N89" s="20"/>
      <c r="O89" s="20"/>
      <c r="P89" s="20"/>
      <c r="Q89" s="20"/>
      <c r="R89" s="20"/>
      <c r="S89" s="20"/>
      <c r="T89" s="20"/>
      <c r="U89" s="21"/>
      <c r="W89" s="36" t="s">
        <v>21</v>
      </c>
      <c r="X89" s="19"/>
      <c r="Y89" s="20"/>
      <c r="Z89" s="20"/>
      <c r="AA89" s="20"/>
      <c r="AB89" s="20"/>
      <c r="AC89" s="21"/>
      <c r="AE89" s="36" t="s">
        <v>21</v>
      </c>
      <c r="AF89" s="19"/>
      <c r="AG89" s="20"/>
      <c r="AH89" s="20"/>
      <c r="AI89" s="20"/>
      <c r="AJ89" s="20"/>
      <c r="AK89" s="21"/>
    </row>
    <row r="90" spans="1:37" x14ac:dyDescent="0.25">
      <c r="F90" s="2"/>
      <c r="G90" s="2"/>
      <c r="H90" s="2"/>
      <c r="J90" s="37"/>
      <c r="T90" s="22" t="s">
        <v>22</v>
      </c>
      <c r="U90" s="23">
        <f>SUM(K89:U89)</f>
        <v>0</v>
      </c>
      <c r="W90" s="2"/>
      <c r="X90" s="1"/>
      <c r="AB90" s="22" t="s">
        <v>22</v>
      </c>
      <c r="AC90" s="23">
        <f>SUM(X89:AC89)</f>
        <v>0</v>
      </c>
      <c r="AE90" s="2"/>
      <c r="AF90" s="1"/>
      <c r="AJ90" s="22" t="s">
        <v>22</v>
      </c>
      <c r="AK90" s="23">
        <f>SUM(AF89:AK89)</f>
        <v>0</v>
      </c>
    </row>
  </sheetData>
  <mergeCells count="113">
    <mergeCell ref="B87:H87"/>
    <mergeCell ref="J87:U87"/>
    <mergeCell ref="W87:AC87"/>
    <mergeCell ref="AE87:AK87"/>
    <mergeCell ref="A88:A89"/>
    <mergeCell ref="B83:H83"/>
    <mergeCell ref="J83:U83"/>
    <mergeCell ref="W83:AC83"/>
    <mergeCell ref="AE83:AK83"/>
    <mergeCell ref="A84:A85"/>
    <mergeCell ref="B79:H79"/>
    <mergeCell ref="J79:U79"/>
    <mergeCell ref="W79:AC79"/>
    <mergeCell ref="AE79:AK79"/>
    <mergeCell ref="A80:A81"/>
    <mergeCell ref="B75:H75"/>
    <mergeCell ref="J75:U75"/>
    <mergeCell ref="W75:AC75"/>
    <mergeCell ref="AE75:AK75"/>
    <mergeCell ref="A76:A77"/>
    <mergeCell ref="B71:H71"/>
    <mergeCell ref="J71:U71"/>
    <mergeCell ref="W71:AC71"/>
    <mergeCell ref="AE71:AK71"/>
    <mergeCell ref="A72:A73"/>
    <mergeCell ref="B67:H67"/>
    <mergeCell ref="J67:U67"/>
    <mergeCell ref="W67:AC67"/>
    <mergeCell ref="AE67:AK67"/>
    <mergeCell ref="A68:A69"/>
    <mergeCell ref="B63:H63"/>
    <mergeCell ref="J63:U63"/>
    <mergeCell ref="W63:AC63"/>
    <mergeCell ref="AE63:AK63"/>
    <mergeCell ref="A64:A65"/>
    <mergeCell ref="B6:C6"/>
    <mergeCell ref="E6:F6"/>
    <mergeCell ref="A1:A2"/>
    <mergeCell ref="B1:AL1"/>
    <mergeCell ref="B2:AL2"/>
    <mergeCell ref="B4:C4"/>
    <mergeCell ref="E4:F4"/>
    <mergeCell ref="B5:C5"/>
    <mergeCell ref="E5:F5"/>
    <mergeCell ref="A16:A17"/>
    <mergeCell ref="A9:H9"/>
    <mergeCell ref="J9:U9"/>
    <mergeCell ref="X9:AD9"/>
    <mergeCell ref="AF9:AL9"/>
    <mergeCell ref="B11:H11"/>
    <mergeCell ref="J11:U11"/>
    <mergeCell ref="X11:AD11"/>
    <mergeCell ref="AF11:AL11"/>
    <mergeCell ref="A12:A13"/>
    <mergeCell ref="B15:H15"/>
    <mergeCell ref="J15:U15"/>
    <mergeCell ref="X15:AD15"/>
    <mergeCell ref="AF15:AL15"/>
    <mergeCell ref="A28:A29"/>
    <mergeCell ref="B19:H19"/>
    <mergeCell ref="J19:U19"/>
    <mergeCell ref="X19:AD19"/>
    <mergeCell ref="AF19:AL19"/>
    <mergeCell ref="A20:A21"/>
    <mergeCell ref="B23:H23"/>
    <mergeCell ref="J23:U23"/>
    <mergeCell ref="X23:AD23"/>
    <mergeCell ref="AF23:AL23"/>
    <mergeCell ref="A24:A25"/>
    <mergeCell ref="B27:H27"/>
    <mergeCell ref="J27:U27"/>
    <mergeCell ref="X27:AD27"/>
    <mergeCell ref="AF27:AL27"/>
    <mergeCell ref="AF55:AL55"/>
    <mergeCell ref="A40:A41"/>
    <mergeCell ref="B31:H31"/>
    <mergeCell ref="J31:U31"/>
    <mergeCell ref="X31:AD31"/>
    <mergeCell ref="AF31:AL31"/>
    <mergeCell ref="A32:A33"/>
    <mergeCell ref="B35:H35"/>
    <mergeCell ref="J35:U35"/>
    <mergeCell ref="X35:AD35"/>
    <mergeCell ref="AF35:AL35"/>
    <mergeCell ref="A36:A37"/>
    <mergeCell ref="B39:H39"/>
    <mergeCell ref="J39:U39"/>
    <mergeCell ref="X39:AD39"/>
    <mergeCell ref="AF39:AL39"/>
    <mergeCell ref="B59:H59"/>
    <mergeCell ref="J59:U59"/>
    <mergeCell ref="X59:AD59"/>
    <mergeCell ref="AF59:AL59"/>
    <mergeCell ref="A60:A61"/>
    <mergeCell ref="B43:H43"/>
    <mergeCell ref="J43:U43"/>
    <mergeCell ref="X43:AD43"/>
    <mergeCell ref="AF43:AL43"/>
    <mergeCell ref="A44:A45"/>
    <mergeCell ref="A56:A57"/>
    <mergeCell ref="B47:H47"/>
    <mergeCell ref="J47:U47"/>
    <mergeCell ref="X47:AD47"/>
    <mergeCell ref="AF47:AL47"/>
    <mergeCell ref="A48:A49"/>
    <mergeCell ref="B51:H51"/>
    <mergeCell ref="J51:U51"/>
    <mergeCell ref="X51:AD51"/>
    <mergeCell ref="AF51:AL51"/>
    <mergeCell ref="A52:A53"/>
    <mergeCell ref="B55:H55"/>
    <mergeCell ref="J55:U55"/>
    <mergeCell ref="X55:AD55"/>
  </mergeCells>
  <phoneticPr fontId="2" type="noConversion"/>
  <pageMargins left="0.511811024" right="0.511811024" top="0.78740157499999996" bottom="0.78740157499999996" header="0.31496062000000002" footer="0.31496062000000002"/>
  <drawing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4A2BBA-D580-47D7-BEDC-F9B285170512}">
  <dimension ref="A1:AM87"/>
  <sheetViews>
    <sheetView topLeftCell="A72" workbookViewId="0">
      <selection activeCell="L88" sqref="L88"/>
    </sheetView>
  </sheetViews>
  <sheetFormatPr defaultRowHeight="15" x14ac:dyDescent="0.25"/>
  <cols>
    <col min="1" max="1" width="17.28515625" style="2" bestFit="1" customWidth="1"/>
    <col min="2" max="2" width="11.7109375" style="2" bestFit="1" customWidth="1"/>
    <col min="3" max="3" width="9.28515625" style="2" bestFit="1" customWidth="1"/>
    <col min="4" max="4" width="10.7109375" style="2" customWidth="1"/>
    <col min="5" max="5" width="9.28515625" style="2" bestFit="1" customWidth="1"/>
    <col min="6" max="6" width="13.140625" style="1" customWidth="1"/>
    <col min="7" max="7" width="13.85546875" style="1" customWidth="1"/>
    <col min="8" max="8" width="12.42578125" style="1" bestFit="1" customWidth="1"/>
    <col min="9" max="9" width="14" style="1" bestFit="1" customWidth="1"/>
    <col min="10" max="10" width="10.7109375" style="2" bestFit="1" customWidth="1"/>
    <col min="11" max="20" width="10.7109375" style="1" bestFit="1" customWidth="1"/>
    <col min="21" max="21" width="12.140625" style="1" bestFit="1" customWidth="1"/>
    <col min="22" max="22" width="10.7109375" style="1" bestFit="1" customWidth="1"/>
    <col min="23" max="24" width="10.7109375" style="1" customWidth="1"/>
    <col min="25" max="25" width="9" style="2"/>
    <col min="26" max="26" width="10.5703125" style="1" bestFit="1" customWidth="1"/>
    <col min="27" max="30" width="9" style="1"/>
    <col min="31" max="31" width="10.5703125" style="1" bestFit="1" customWidth="1"/>
    <col min="32" max="32" width="9" style="1"/>
    <col min="33" max="33" width="9" style="2"/>
    <col min="34" max="35" width="9" style="1"/>
    <col min="36" max="38" width="10.140625" style="1" bestFit="1" customWidth="1"/>
    <col min="39" max="39" width="9.140625" style="1"/>
  </cols>
  <sheetData>
    <row r="1" spans="1:39" ht="21" x14ac:dyDescent="0.25">
      <c r="A1" s="162"/>
      <c r="B1" s="164" t="s">
        <v>51</v>
      </c>
      <c r="C1" s="164"/>
      <c r="D1" s="164"/>
      <c r="E1" s="164"/>
      <c r="F1" s="164"/>
      <c r="G1" s="164"/>
      <c r="H1" s="164"/>
      <c r="I1" s="164"/>
      <c r="J1" s="164"/>
      <c r="K1" s="164"/>
      <c r="L1" s="164"/>
      <c r="M1" s="164"/>
      <c r="N1" s="164"/>
      <c r="O1" s="164"/>
      <c r="P1" s="164"/>
      <c r="Q1" s="164"/>
      <c r="R1" s="164"/>
      <c r="S1" s="164"/>
      <c r="T1" s="164"/>
      <c r="U1" s="164"/>
      <c r="V1" s="164"/>
      <c r="W1" s="164"/>
      <c r="X1" s="164"/>
      <c r="Y1" s="164"/>
      <c r="Z1" s="164"/>
      <c r="AA1" s="164"/>
      <c r="AB1" s="164"/>
      <c r="AC1" s="164"/>
      <c r="AD1" s="164"/>
      <c r="AE1" s="164"/>
      <c r="AF1" s="164"/>
      <c r="AG1" s="164"/>
      <c r="AH1" s="164"/>
      <c r="AI1" s="164"/>
      <c r="AJ1" s="164"/>
      <c r="AK1" s="164"/>
      <c r="AL1" s="164"/>
      <c r="AM1" s="165"/>
    </row>
    <row r="2" spans="1:39" ht="21" x14ac:dyDescent="0.25">
      <c r="A2" s="163"/>
      <c r="B2" s="166" t="s">
        <v>50</v>
      </c>
      <c r="C2" s="166"/>
      <c r="D2" s="166"/>
      <c r="E2" s="166"/>
      <c r="F2" s="166"/>
      <c r="G2" s="166"/>
      <c r="H2" s="166"/>
      <c r="I2" s="166"/>
      <c r="J2" s="166"/>
      <c r="K2" s="166"/>
      <c r="L2" s="166"/>
      <c r="M2" s="166"/>
      <c r="N2" s="166"/>
      <c r="O2" s="166"/>
      <c r="P2" s="166"/>
      <c r="Q2" s="166"/>
      <c r="R2" s="166"/>
      <c r="S2" s="166"/>
      <c r="T2" s="166"/>
      <c r="U2" s="166"/>
      <c r="V2" s="166"/>
      <c r="W2" s="166"/>
      <c r="X2" s="166"/>
      <c r="Y2" s="166"/>
      <c r="Z2" s="166"/>
      <c r="AA2" s="166"/>
      <c r="AB2" s="166"/>
      <c r="AC2" s="166"/>
      <c r="AD2" s="166"/>
      <c r="AE2" s="166"/>
      <c r="AF2" s="166"/>
      <c r="AG2" s="166"/>
      <c r="AH2" s="166"/>
      <c r="AI2" s="166"/>
      <c r="AJ2" s="166"/>
      <c r="AK2" s="166"/>
      <c r="AL2" s="166"/>
      <c r="AM2" s="167"/>
    </row>
    <row r="4" spans="1:39" x14ac:dyDescent="0.25">
      <c r="A4" s="31" t="s">
        <v>47</v>
      </c>
      <c r="B4" s="161" t="s">
        <v>81</v>
      </c>
      <c r="C4" s="161"/>
      <c r="D4" s="31" t="s">
        <v>0</v>
      </c>
      <c r="E4" s="161" t="s">
        <v>128</v>
      </c>
      <c r="F4" s="161"/>
      <c r="G4" s="31" t="s">
        <v>125</v>
      </c>
      <c r="H4" s="140">
        <v>3000</v>
      </c>
    </row>
    <row r="5" spans="1:39" x14ac:dyDescent="0.25">
      <c r="A5" s="31" t="s">
        <v>72</v>
      </c>
      <c r="B5" s="188">
        <v>45898</v>
      </c>
      <c r="C5" s="161"/>
      <c r="D5" s="31" t="s">
        <v>0</v>
      </c>
      <c r="E5" s="161" t="s">
        <v>135</v>
      </c>
      <c r="F5" s="161"/>
      <c r="G5" s="31" t="s">
        <v>95</v>
      </c>
      <c r="H5" s="4" t="s">
        <v>136</v>
      </c>
    </row>
    <row r="6" spans="1:39" x14ac:dyDescent="0.25">
      <c r="A6" s="31" t="s">
        <v>141</v>
      </c>
      <c r="B6" s="188">
        <v>45906</v>
      </c>
      <c r="C6" s="161"/>
      <c r="D6" s="31" t="s">
        <v>0</v>
      </c>
      <c r="E6" s="161" t="s">
        <v>135</v>
      </c>
      <c r="F6" s="161"/>
      <c r="G6" s="31" t="s">
        <v>142</v>
      </c>
      <c r="H6" s="161" t="s">
        <v>156</v>
      </c>
      <c r="I6" s="161"/>
    </row>
    <row r="7" spans="1:39" x14ac:dyDescent="0.25">
      <c r="A7" s="31" t="s">
        <v>48</v>
      </c>
      <c r="B7" s="160">
        <v>3837</v>
      </c>
      <c r="C7" s="160"/>
      <c r="D7" s="31" t="s">
        <v>44</v>
      </c>
      <c r="E7" s="187">
        <v>45</v>
      </c>
      <c r="F7" s="187"/>
      <c r="G7" s="31" t="s">
        <v>46</v>
      </c>
      <c r="H7" s="5">
        <v>45870</v>
      </c>
      <c r="I7" s="31" t="s">
        <v>146</v>
      </c>
      <c r="J7" s="5">
        <v>46108</v>
      </c>
    </row>
    <row r="10" spans="1:39" ht="18.75" x14ac:dyDescent="0.3">
      <c r="A10" s="169" t="s">
        <v>26</v>
      </c>
      <c r="B10" s="169"/>
      <c r="C10" s="169"/>
      <c r="D10" s="169"/>
      <c r="E10" s="169"/>
      <c r="F10" s="169"/>
      <c r="G10" s="169"/>
      <c r="H10" s="169"/>
      <c r="I10" s="28"/>
      <c r="J10" s="169" t="s">
        <v>24</v>
      </c>
      <c r="K10" s="169"/>
      <c r="L10" s="169"/>
      <c r="M10" s="169"/>
      <c r="N10" s="169"/>
      <c r="O10" s="169"/>
      <c r="P10" s="169"/>
      <c r="Q10" s="169"/>
      <c r="R10" s="169"/>
      <c r="S10" s="169"/>
      <c r="T10" s="169"/>
      <c r="U10" s="169"/>
      <c r="V10" s="29"/>
      <c r="W10" s="29"/>
      <c r="X10" s="29"/>
      <c r="Y10" s="170" t="s">
        <v>49</v>
      </c>
      <c r="Z10" s="170"/>
      <c r="AA10" s="170"/>
      <c r="AB10" s="170"/>
      <c r="AC10" s="170"/>
      <c r="AD10" s="170"/>
      <c r="AE10" s="170"/>
      <c r="AF10" s="29"/>
      <c r="AG10" s="170" t="s">
        <v>25</v>
      </c>
      <c r="AH10" s="170"/>
      <c r="AI10" s="170"/>
      <c r="AJ10" s="170"/>
      <c r="AK10" s="170"/>
      <c r="AL10" s="170"/>
      <c r="AM10" s="170"/>
    </row>
    <row r="11" spans="1:39" x14ac:dyDescent="0.25">
      <c r="A11" s="7"/>
      <c r="B11" s="7"/>
      <c r="C11" s="7"/>
      <c r="D11" s="7"/>
      <c r="E11" s="7"/>
      <c r="F11" s="7"/>
      <c r="G11" s="7"/>
      <c r="H11" s="7"/>
      <c r="I11" s="6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8"/>
      <c r="W11" s="8"/>
      <c r="X11" s="8"/>
      <c r="Y11" s="9"/>
      <c r="Z11" s="9"/>
      <c r="AA11" s="9"/>
      <c r="AB11" s="9"/>
      <c r="AC11" s="9"/>
      <c r="AD11" s="9"/>
      <c r="AE11" s="9"/>
      <c r="AF11" s="8"/>
      <c r="AG11" s="9"/>
      <c r="AH11" s="9"/>
      <c r="AI11" s="9"/>
      <c r="AJ11" s="9"/>
      <c r="AK11" s="9"/>
      <c r="AL11" s="9"/>
      <c r="AM11" s="9"/>
    </row>
    <row r="12" spans="1:39" ht="15.75" thickBot="1" x14ac:dyDescent="0.3">
      <c r="A12" s="34"/>
      <c r="B12" s="171" t="s">
        <v>54</v>
      </c>
      <c r="C12" s="171"/>
      <c r="D12" s="171"/>
      <c r="E12" s="171"/>
      <c r="F12" s="171"/>
      <c r="G12" s="171"/>
      <c r="H12" s="171"/>
      <c r="I12" s="6"/>
      <c r="J12" s="172" t="s">
        <v>54</v>
      </c>
      <c r="K12" s="172"/>
      <c r="L12" s="172"/>
      <c r="M12" s="172"/>
      <c r="N12" s="172"/>
      <c r="O12" s="172"/>
      <c r="P12" s="172"/>
      <c r="Q12" s="172"/>
      <c r="R12" s="172"/>
      <c r="S12" s="172"/>
      <c r="T12" s="172"/>
      <c r="U12" s="172"/>
      <c r="V12" s="8"/>
      <c r="W12" s="8"/>
      <c r="X12" s="8"/>
      <c r="Y12" s="173" t="s">
        <v>54</v>
      </c>
      <c r="Z12" s="173"/>
      <c r="AA12" s="173"/>
      <c r="AB12" s="173"/>
      <c r="AC12" s="173"/>
      <c r="AD12" s="173"/>
      <c r="AE12" s="173"/>
      <c r="AF12" s="8"/>
      <c r="AG12" s="174" t="s">
        <v>54</v>
      </c>
      <c r="AH12" s="174"/>
      <c r="AI12" s="174"/>
      <c r="AJ12" s="174"/>
      <c r="AK12" s="174"/>
      <c r="AL12" s="174"/>
      <c r="AM12" s="174"/>
    </row>
    <row r="13" spans="1:39" ht="15.75" thickBot="1" x14ac:dyDescent="0.3">
      <c r="A13" s="168" t="s">
        <v>4</v>
      </c>
      <c r="B13" s="10" t="s">
        <v>5</v>
      </c>
      <c r="C13" s="11" t="s">
        <v>6</v>
      </c>
      <c r="D13" s="12" t="s">
        <v>7</v>
      </c>
      <c r="E13" s="11" t="s">
        <v>8</v>
      </c>
      <c r="F13" s="12" t="s">
        <v>9</v>
      </c>
      <c r="G13" s="11" t="s">
        <v>10</v>
      </c>
      <c r="H13" s="32" t="s">
        <v>11</v>
      </c>
      <c r="I13" s="6"/>
      <c r="J13" s="35" t="s">
        <v>3</v>
      </c>
      <c r="K13" s="14"/>
      <c r="L13" s="15"/>
      <c r="M13" s="15"/>
      <c r="N13" s="15"/>
      <c r="O13" s="15"/>
      <c r="P13" s="15"/>
      <c r="Q13" s="15"/>
      <c r="R13" s="15"/>
      <c r="S13" s="15"/>
      <c r="T13" s="15"/>
      <c r="U13" s="16"/>
      <c r="V13" s="8"/>
      <c r="W13" s="8"/>
      <c r="X13" s="8"/>
      <c r="Y13" s="35" t="s">
        <v>3</v>
      </c>
      <c r="Z13" s="14"/>
      <c r="AA13" s="15"/>
      <c r="AB13" s="15"/>
      <c r="AC13" s="15"/>
      <c r="AD13" s="15"/>
      <c r="AE13" s="16"/>
      <c r="AF13" s="8"/>
      <c r="AG13" s="35" t="s">
        <v>3</v>
      </c>
      <c r="AH13" s="14"/>
      <c r="AI13" s="15"/>
      <c r="AJ13" s="15"/>
      <c r="AK13" s="15"/>
      <c r="AL13" s="15"/>
      <c r="AM13" s="16"/>
    </row>
    <row r="14" spans="1:39" ht="15.75" thickBot="1" x14ac:dyDescent="0.3">
      <c r="A14" s="168"/>
      <c r="B14" s="17"/>
      <c r="C14" s="18"/>
      <c r="D14" s="18"/>
      <c r="E14" s="18"/>
      <c r="F14" s="18">
        <f>SUM(C14-B14)</f>
        <v>0</v>
      </c>
      <c r="G14" s="18">
        <f>SUM(E14-D14)</f>
        <v>0</v>
      </c>
      <c r="H14" s="33">
        <f>SUM(F14:G14)</f>
        <v>0</v>
      </c>
      <c r="I14" s="6"/>
      <c r="J14" s="36" t="s">
        <v>21</v>
      </c>
      <c r="K14" s="19"/>
      <c r="L14" s="20"/>
      <c r="M14" s="20"/>
      <c r="N14" s="20"/>
      <c r="O14" s="20"/>
      <c r="P14" s="20"/>
      <c r="Q14" s="20"/>
      <c r="R14" s="20"/>
      <c r="S14" s="20"/>
      <c r="T14" s="20"/>
      <c r="U14" s="21"/>
      <c r="V14" s="8"/>
      <c r="W14" s="8"/>
      <c r="X14" s="8"/>
      <c r="Y14" s="36" t="s">
        <v>21</v>
      </c>
      <c r="Z14" s="19"/>
      <c r="AA14" s="20"/>
      <c r="AB14" s="20"/>
      <c r="AC14" s="20"/>
      <c r="AD14" s="20"/>
      <c r="AE14" s="21"/>
      <c r="AF14" s="8"/>
      <c r="AG14" s="36" t="s">
        <v>21</v>
      </c>
      <c r="AH14" s="19"/>
      <c r="AI14" s="20"/>
      <c r="AJ14" s="20"/>
      <c r="AK14" s="20"/>
      <c r="AL14" s="20"/>
      <c r="AM14" s="21"/>
    </row>
    <row r="15" spans="1:39" x14ac:dyDescent="0.25">
      <c r="A15" s="7"/>
      <c r="B15" s="7"/>
      <c r="C15" s="7"/>
      <c r="D15" s="7"/>
      <c r="E15" s="7"/>
      <c r="F15" s="7"/>
      <c r="G15" s="7"/>
      <c r="H15" s="7"/>
      <c r="I15" s="6"/>
      <c r="J15" s="7"/>
      <c r="K15" s="7"/>
      <c r="L15" s="7"/>
      <c r="M15" s="7"/>
      <c r="N15" s="7"/>
      <c r="O15" s="7"/>
      <c r="P15" s="7"/>
      <c r="Q15" s="7"/>
      <c r="R15" s="7"/>
      <c r="S15" s="7"/>
      <c r="T15" s="22" t="s">
        <v>22</v>
      </c>
      <c r="U15" s="23">
        <f>SUM(K14:U14)</f>
        <v>0</v>
      </c>
      <c r="V15" s="8"/>
      <c r="W15" s="8"/>
      <c r="X15" s="8"/>
      <c r="AD15" s="22" t="s">
        <v>22</v>
      </c>
      <c r="AE15" s="23">
        <f>SUM(Z14:AE14)</f>
        <v>0</v>
      </c>
      <c r="AF15" s="8"/>
      <c r="AL15" s="22" t="s">
        <v>22</v>
      </c>
      <c r="AM15" s="23">
        <f>SUM(AH14:AM14)</f>
        <v>0</v>
      </c>
    </row>
    <row r="16" spans="1:39" ht="15.75" thickBot="1" x14ac:dyDescent="0.3">
      <c r="A16" s="34"/>
      <c r="B16" s="171" t="s">
        <v>2</v>
      </c>
      <c r="C16" s="171"/>
      <c r="D16" s="171"/>
      <c r="E16" s="171"/>
      <c r="F16" s="171"/>
      <c r="G16" s="171"/>
      <c r="H16" s="171"/>
      <c r="J16" s="172" t="s">
        <v>2</v>
      </c>
      <c r="K16" s="172"/>
      <c r="L16" s="172"/>
      <c r="M16" s="172"/>
      <c r="N16" s="172"/>
      <c r="O16" s="172"/>
      <c r="P16" s="172"/>
      <c r="Q16" s="172"/>
      <c r="R16" s="172"/>
      <c r="S16" s="172"/>
      <c r="T16" s="172"/>
      <c r="U16" s="172"/>
      <c r="Y16" s="173" t="s">
        <v>2</v>
      </c>
      <c r="Z16" s="173"/>
      <c r="AA16" s="173"/>
      <c r="AB16" s="173"/>
      <c r="AC16" s="173"/>
      <c r="AD16" s="173"/>
      <c r="AE16" s="173"/>
      <c r="AG16" s="174" t="s">
        <v>2</v>
      </c>
      <c r="AH16" s="174"/>
      <c r="AI16" s="174"/>
      <c r="AJ16" s="174"/>
      <c r="AK16" s="174"/>
      <c r="AL16" s="174"/>
      <c r="AM16" s="174"/>
    </row>
    <row r="17" spans="1:39" ht="15.75" thickBot="1" x14ac:dyDescent="0.3">
      <c r="A17" s="168" t="s">
        <v>4</v>
      </c>
      <c r="B17" s="10" t="s">
        <v>5</v>
      </c>
      <c r="C17" s="11" t="s">
        <v>6</v>
      </c>
      <c r="D17" s="12" t="s">
        <v>7</v>
      </c>
      <c r="E17" s="11" t="s">
        <v>8</v>
      </c>
      <c r="F17" s="12" t="s">
        <v>9</v>
      </c>
      <c r="G17" s="11" t="s">
        <v>10</v>
      </c>
      <c r="H17" s="32" t="s">
        <v>11</v>
      </c>
      <c r="J17" s="35" t="s">
        <v>3</v>
      </c>
      <c r="K17" s="14"/>
      <c r="L17" s="15"/>
      <c r="M17" s="15"/>
      <c r="N17" s="15"/>
      <c r="O17" s="15"/>
      <c r="P17" s="15"/>
      <c r="Q17" s="15"/>
      <c r="R17" s="15"/>
      <c r="S17" s="15"/>
      <c r="T17" s="15"/>
      <c r="U17" s="16"/>
      <c r="Y17" s="35" t="s">
        <v>3</v>
      </c>
      <c r="Z17" s="14"/>
      <c r="AA17" s="15"/>
      <c r="AB17" s="15"/>
      <c r="AC17" s="15"/>
      <c r="AD17" s="15"/>
      <c r="AE17" s="16"/>
      <c r="AG17" s="35" t="s">
        <v>3</v>
      </c>
      <c r="AH17" s="14"/>
      <c r="AI17" s="15"/>
      <c r="AJ17" s="15"/>
      <c r="AK17" s="15"/>
      <c r="AL17" s="15"/>
      <c r="AM17" s="16"/>
    </row>
    <row r="18" spans="1:39" ht="15.75" thickBot="1" x14ac:dyDescent="0.3">
      <c r="A18" s="168"/>
      <c r="B18" s="17"/>
      <c r="C18" s="18"/>
      <c r="D18" s="18"/>
      <c r="E18" s="18"/>
      <c r="F18" s="18">
        <f>SUM(C18-B18)</f>
        <v>0</v>
      </c>
      <c r="G18" s="18">
        <f>SUM(E18-D18)</f>
        <v>0</v>
      </c>
      <c r="H18" s="33">
        <f>SUM(F18:G18)</f>
        <v>0</v>
      </c>
      <c r="J18" s="36" t="s">
        <v>21</v>
      </c>
      <c r="K18" s="19"/>
      <c r="L18" s="20"/>
      <c r="M18" s="20"/>
      <c r="N18" s="20"/>
      <c r="O18" s="20"/>
      <c r="P18" s="20"/>
      <c r="Q18" s="20"/>
      <c r="R18" s="20"/>
      <c r="S18" s="20"/>
      <c r="T18" s="20"/>
      <c r="U18" s="21"/>
      <c r="Y18" s="36" t="s">
        <v>21</v>
      </c>
      <c r="Z18" s="19"/>
      <c r="AA18" s="20"/>
      <c r="AB18" s="20"/>
      <c r="AC18" s="20"/>
      <c r="AD18" s="20"/>
      <c r="AE18" s="21"/>
      <c r="AG18" s="36" t="s">
        <v>21</v>
      </c>
      <c r="AH18" s="19"/>
      <c r="AI18" s="20"/>
      <c r="AJ18" s="20"/>
      <c r="AK18" s="20"/>
      <c r="AL18" s="20"/>
      <c r="AM18" s="21"/>
    </row>
    <row r="19" spans="1:39" x14ac:dyDescent="0.25">
      <c r="F19" s="2"/>
      <c r="G19" s="2"/>
      <c r="H19" s="2"/>
      <c r="J19" s="37"/>
      <c r="T19" s="22" t="s">
        <v>22</v>
      </c>
      <c r="U19" s="23">
        <f>SUM(K18:U18)</f>
        <v>0</v>
      </c>
      <c r="AD19" s="22" t="s">
        <v>22</v>
      </c>
      <c r="AE19" s="23">
        <f>SUM(Z18:AE18)</f>
        <v>0</v>
      </c>
      <c r="AL19" s="22" t="s">
        <v>22</v>
      </c>
      <c r="AM19" s="23">
        <f>SUM(AH18:AM18)</f>
        <v>0</v>
      </c>
    </row>
    <row r="20" spans="1:39" ht="15.75" thickBot="1" x14ac:dyDescent="0.3">
      <c r="A20" s="34"/>
      <c r="B20" s="171" t="s">
        <v>12</v>
      </c>
      <c r="C20" s="171"/>
      <c r="D20" s="171"/>
      <c r="E20" s="171"/>
      <c r="F20" s="171"/>
      <c r="G20" s="171"/>
      <c r="H20" s="171"/>
      <c r="J20" s="172" t="s">
        <v>12</v>
      </c>
      <c r="K20" s="172"/>
      <c r="L20" s="172"/>
      <c r="M20" s="172"/>
      <c r="N20" s="172"/>
      <c r="O20" s="172"/>
      <c r="P20" s="172"/>
      <c r="Q20" s="172"/>
      <c r="R20" s="172"/>
      <c r="S20" s="172"/>
      <c r="T20" s="172"/>
      <c r="U20" s="172"/>
      <c r="Y20" s="173" t="str">
        <f>J20</f>
        <v>Março</v>
      </c>
      <c r="Z20" s="173"/>
      <c r="AA20" s="173"/>
      <c r="AB20" s="173"/>
      <c r="AC20" s="173"/>
      <c r="AD20" s="173"/>
      <c r="AE20" s="173"/>
      <c r="AG20" s="174" t="str">
        <f>Y20</f>
        <v>Março</v>
      </c>
      <c r="AH20" s="174"/>
      <c r="AI20" s="174"/>
      <c r="AJ20" s="174"/>
      <c r="AK20" s="174"/>
      <c r="AL20" s="174"/>
      <c r="AM20" s="174"/>
    </row>
    <row r="21" spans="1:39" ht="15.75" thickBot="1" x14ac:dyDescent="0.3">
      <c r="A21" s="168" t="s">
        <v>4</v>
      </c>
      <c r="B21" s="10" t="s">
        <v>5</v>
      </c>
      <c r="C21" s="11" t="s">
        <v>6</v>
      </c>
      <c r="D21" s="12" t="s">
        <v>7</v>
      </c>
      <c r="E21" s="11" t="s">
        <v>8</v>
      </c>
      <c r="F21" s="12" t="s">
        <v>9</v>
      </c>
      <c r="G21" s="11" t="s">
        <v>10</v>
      </c>
      <c r="H21" s="32" t="s">
        <v>11</v>
      </c>
      <c r="J21" s="35" t="s">
        <v>3</v>
      </c>
      <c r="K21" s="14"/>
      <c r="L21" s="24"/>
      <c r="M21" s="24"/>
      <c r="N21" s="15"/>
      <c r="O21" s="15"/>
      <c r="P21" s="15"/>
      <c r="Q21" s="15"/>
      <c r="R21" s="15"/>
      <c r="S21" s="15"/>
      <c r="T21" s="15"/>
      <c r="U21" s="16"/>
      <c r="Y21" s="35" t="s">
        <v>3</v>
      </c>
      <c r="Z21" s="14"/>
      <c r="AA21" s="15"/>
      <c r="AB21" s="15"/>
      <c r="AC21" s="15"/>
      <c r="AD21" s="15"/>
      <c r="AE21" s="16"/>
      <c r="AG21" s="35" t="s">
        <v>3</v>
      </c>
      <c r="AH21" s="14"/>
      <c r="AI21" s="15"/>
      <c r="AJ21" s="15"/>
      <c r="AK21" s="15"/>
      <c r="AL21" s="15"/>
      <c r="AM21" s="16"/>
    </row>
    <row r="22" spans="1:39" ht="15.75" thickBot="1" x14ac:dyDescent="0.3">
      <c r="A22" s="168"/>
      <c r="B22" s="17"/>
      <c r="C22" s="18"/>
      <c r="D22" s="18"/>
      <c r="E22" s="18"/>
      <c r="F22" s="18">
        <f>SUM(C22-B22)</f>
        <v>0</v>
      </c>
      <c r="G22" s="18">
        <f>SUM(E22-D22)</f>
        <v>0</v>
      </c>
      <c r="H22" s="33">
        <f>SUM(F22:G22)</f>
        <v>0</v>
      </c>
      <c r="J22" s="36" t="s">
        <v>21</v>
      </c>
      <c r="K22" s="19"/>
      <c r="L22" s="20"/>
      <c r="M22" s="20"/>
      <c r="N22" s="20"/>
      <c r="O22" s="20"/>
      <c r="P22" s="20"/>
      <c r="Q22" s="20"/>
      <c r="R22" s="20"/>
      <c r="S22" s="20"/>
      <c r="T22" s="20"/>
      <c r="U22" s="21"/>
      <c r="Y22" s="36" t="s">
        <v>21</v>
      </c>
      <c r="Z22" s="19"/>
      <c r="AA22" s="20"/>
      <c r="AB22" s="20"/>
      <c r="AC22" s="20"/>
      <c r="AD22" s="20"/>
      <c r="AE22" s="21"/>
      <c r="AG22" s="36" t="s">
        <v>21</v>
      </c>
      <c r="AH22" s="19"/>
      <c r="AI22" s="20"/>
      <c r="AJ22" s="20"/>
      <c r="AK22" s="20"/>
      <c r="AL22" s="20"/>
      <c r="AM22" s="21"/>
    </row>
    <row r="23" spans="1:39" x14ac:dyDescent="0.25">
      <c r="F23" s="2"/>
      <c r="G23" s="2"/>
      <c r="H23" s="2"/>
      <c r="J23" s="37"/>
      <c r="T23" s="22" t="s">
        <v>22</v>
      </c>
      <c r="U23" s="23">
        <f>SUM(K22:U22)</f>
        <v>0</v>
      </c>
      <c r="AD23" s="22" t="s">
        <v>22</v>
      </c>
      <c r="AE23" s="23">
        <f>SUM(Z22:AE22)</f>
        <v>0</v>
      </c>
      <c r="AL23" s="22" t="s">
        <v>22</v>
      </c>
      <c r="AM23" s="23">
        <f>SUM(AH22:AM22)</f>
        <v>0</v>
      </c>
    </row>
    <row r="24" spans="1:39" ht="15.75" thickBot="1" x14ac:dyDescent="0.3">
      <c r="A24" s="34"/>
      <c r="B24" s="171" t="s">
        <v>13</v>
      </c>
      <c r="C24" s="171"/>
      <c r="D24" s="171"/>
      <c r="E24" s="171"/>
      <c r="F24" s="171"/>
      <c r="G24" s="171"/>
      <c r="H24" s="171"/>
      <c r="J24" s="172" t="s">
        <v>13</v>
      </c>
      <c r="K24" s="172"/>
      <c r="L24" s="172"/>
      <c r="M24" s="172"/>
      <c r="N24" s="172"/>
      <c r="O24" s="172"/>
      <c r="P24" s="172"/>
      <c r="Q24" s="172"/>
      <c r="R24" s="172"/>
      <c r="S24" s="172"/>
      <c r="T24" s="172"/>
      <c r="U24" s="172"/>
      <c r="Y24" s="173" t="str">
        <f>J24</f>
        <v>Abril</v>
      </c>
      <c r="Z24" s="173"/>
      <c r="AA24" s="173"/>
      <c r="AB24" s="173"/>
      <c r="AC24" s="173"/>
      <c r="AD24" s="173"/>
      <c r="AE24" s="173"/>
      <c r="AG24" s="174" t="str">
        <f>Y24</f>
        <v>Abril</v>
      </c>
      <c r="AH24" s="174"/>
      <c r="AI24" s="174"/>
      <c r="AJ24" s="174"/>
      <c r="AK24" s="174"/>
      <c r="AL24" s="174"/>
      <c r="AM24" s="174"/>
    </row>
    <row r="25" spans="1:39" ht="15.75" thickBot="1" x14ac:dyDescent="0.3">
      <c r="A25" s="168" t="s">
        <v>4</v>
      </c>
      <c r="B25" s="10" t="s">
        <v>5</v>
      </c>
      <c r="C25" s="11" t="s">
        <v>6</v>
      </c>
      <c r="D25" s="12" t="s">
        <v>7</v>
      </c>
      <c r="E25" s="11" t="s">
        <v>8</v>
      </c>
      <c r="F25" s="12" t="s">
        <v>9</v>
      </c>
      <c r="G25" s="11" t="s">
        <v>10</v>
      </c>
      <c r="H25" s="32" t="s">
        <v>11</v>
      </c>
      <c r="J25" s="35" t="s">
        <v>3</v>
      </c>
      <c r="K25" s="14"/>
      <c r="L25" s="15"/>
      <c r="M25" s="15"/>
      <c r="N25" s="15"/>
      <c r="O25" s="15"/>
      <c r="P25" s="15"/>
      <c r="Q25" s="15"/>
      <c r="R25" s="15"/>
      <c r="S25" s="15"/>
      <c r="T25" s="15"/>
      <c r="U25" s="16"/>
      <c r="Y25" s="35" t="s">
        <v>3</v>
      </c>
      <c r="Z25" s="14"/>
      <c r="AA25" s="15"/>
      <c r="AB25" s="15"/>
      <c r="AC25" s="15"/>
      <c r="AD25" s="15"/>
      <c r="AE25" s="16"/>
      <c r="AG25" s="35" t="s">
        <v>3</v>
      </c>
      <c r="AH25" s="14"/>
      <c r="AI25" s="15"/>
      <c r="AJ25" s="15"/>
      <c r="AK25" s="15"/>
      <c r="AL25" s="15"/>
      <c r="AM25" s="16"/>
    </row>
    <row r="26" spans="1:39" ht="15.75" thickBot="1" x14ac:dyDescent="0.3">
      <c r="A26" s="168"/>
      <c r="B26" s="17"/>
      <c r="C26" s="18"/>
      <c r="D26" s="18"/>
      <c r="E26" s="18"/>
      <c r="F26" s="18">
        <f>SUM(C26-B26)</f>
        <v>0</v>
      </c>
      <c r="G26" s="18">
        <f>SUM(E26-D26)</f>
        <v>0</v>
      </c>
      <c r="H26" s="33">
        <f>SUM(F26:G26)</f>
        <v>0</v>
      </c>
      <c r="J26" s="36" t="s">
        <v>21</v>
      </c>
      <c r="K26" s="25"/>
      <c r="L26" s="26"/>
      <c r="M26" s="26"/>
      <c r="N26" s="26"/>
      <c r="O26" s="26"/>
      <c r="P26" s="26"/>
      <c r="Q26" s="26"/>
      <c r="R26" s="26"/>
      <c r="S26" s="26"/>
      <c r="T26" s="26"/>
      <c r="U26" s="27"/>
      <c r="Y26" s="36" t="s">
        <v>21</v>
      </c>
      <c r="Z26" s="19"/>
      <c r="AA26" s="20"/>
      <c r="AB26" s="20"/>
      <c r="AC26" s="20"/>
      <c r="AD26" s="20"/>
      <c r="AE26" s="21"/>
      <c r="AG26" s="36" t="s">
        <v>21</v>
      </c>
      <c r="AH26" s="19"/>
      <c r="AI26" s="20"/>
      <c r="AJ26" s="20"/>
      <c r="AK26" s="20"/>
      <c r="AL26" s="20"/>
      <c r="AM26" s="21"/>
    </row>
    <row r="27" spans="1:39" x14ac:dyDescent="0.25">
      <c r="F27" s="2"/>
      <c r="G27" s="2"/>
      <c r="H27" s="2"/>
      <c r="J27" s="37"/>
      <c r="T27" s="22" t="s">
        <v>22</v>
      </c>
      <c r="U27" s="23">
        <f>SUM(K26:U26)</f>
        <v>0</v>
      </c>
      <c r="AD27" s="22" t="s">
        <v>22</v>
      </c>
      <c r="AE27" s="23">
        <f>SUM(Z26:AE26)</f>
        <v>0</v>
      </c>
      <c r="AL27" s="22" t="s">
        <v>22</v>
      </c>
      <c r="AM27" s="23">
        <f>SUM(AH26:AM26)</f>
        <v>0</v>
      </c>
    </row>
    <row r="28" spans="1:39" ht="15.75" thickBot="1" x14ac:dyDescent="0.3">
      <c r="A28" s="34"/>
      <c r="B28" s="171" t="s">
        <v>14</v>
      </c>
      <c r="C28" s="171"/>
      <c r="D28" s="171"/>
      <c r="E28" s="171"/>
      <c r="F28" s="171"/>
      <c r="G28" s="171"/>
      <c r="H28" s="171"/>
      <c r="J28" s="172" t="s">
        <v>14</v>
      </c>
      <c r="K28" s="172"/>
      <c r="L28" s="172"/>
      <c r="M28" s="172"/>
      <c r="N28" s="172"/>
      <c r="O28" s="172"/>
      <c r="P28" s="172"/>
      <c r="Q28" s="172"/>
      <c r="R28" s="172"/>
      <c r="S28" s="172"/>
      <c r="T28" s="172"/>
      <c r="U28" s="172"/>
      <c r="Y28" s="173" t="str">
        <f>J28</f>
        <v>Maio</v>
      </c>
      <c r="Z28" s="173"/>
      <c r="AA28" s="173"/>
      <c r="AB28" s="173"/>
      <c r="AC28" s="173"/>
      <c r="AD28" s="173"/>
      <c r="AE28" s="173"/>
      <c r="AG28" s="174" t="str">
        <f>Y28</f>
        <v>Maio</v>
      </c>
      <c r="AH28" s="174"/>
      <c r="AI28" s="174"/>
      <c r="AJ28" s="174"/>
      <c r="AK28" s="174"/>
      <c r="AL28" s="174"/>
      <c r="AM28" s="174"/>
    </row>
    <row r="29" spans="1:39" ht="15.75" thickBot="1" x14ac:dyDescent="0.3">
      <c r="A29" s="168" t="s">
        <v>4</v>
      </c>
      <c r="B29" s="10" t="s">
        <v>5</v>
      </c>
      <c r="C29" s="11" t="s">
        <v>6</v>
      </c>
      <c r="D29" s="12" t="s">
        <v>7</v>
      </c>
      <c r="E29" s="11" t="s">
        <v>8</v>
      </c>
      <c r="F29" s="12" t="s">
        <v>9</v>
      </c>
      <c r="G29" s="11" t="s">
        <v>10</v>
      </c>
      <c r="H29" s="32" t="s">
        <v>11</v>
      </c>
      <c r="J29" s="35" t="s">
        <v>3</v>
      </c>
      <c r="K29" s="14"/>
      <c r="L29" s="15"/>
      <c r="M29" s="15"/>
      <c r="N29" s="15"/>
      <c r="O29" s="15"/>
      <c r="P29" s="15"/>
      <c r="Q29" s="15"/>
      <c r="R29" s="15"/>
      <c r="S29" s="15"/>
      <c r="T29" s="15"/>
      <c r="U29" s="16"/>
      <c r="Y29" s="35" t="s">
        <v>3</v>
      </c>
      <c r="Z29" s="14"/>
      <c r="AA29" s="15"/>
      <c r="AB29" s="15"/>
      <c r="AC29" s="15"/>
      <c r="AD29" s="15"/>
      <c r="AE29" s="16"/>
      <c r="AG29" s="35" t="s">
        <v>3</v>
      </c>
      <c r="AH29" s="14"/>
      <c r="AI29" s="15"/>
      <c r="AJ29" s="15"/>
      <c r="AK29" s="15"/>
      <c r="AL29" s="15"/>
      <c r="AM29" s="16"/>
    </row>
    <row r="30" spans="1:39" ht="15.75" thickBot="1" x14ac:dyDescent="0.3">
      <c r="A30" s="168"/>
      <c r="B30" s="17"/>
      <c r="C30" s="18"/>
      <c r="D30" s="18"/>
      <c r="E30" s="18"/>
      <c r="F30" s="18">
        <f>SUM(C30-B30)</f>
        <v>0</v>
      </c>
      <c r="G30" s="18">
        <f>SUM(E30-D30)</f>
        <v>0</v>
      </c>
      <c r="H30" s="33">
        <f>SUM(F30:G30)</f>
        <v>0</v>
      </c>
      <c r="J30" s="36" t="s">
        <v>21</v>
      </c>
      <c r="K30" s="19"/>
      <c r="L30" s="20"/>
      <c r="M30" s="20"/>
      <c r="N30" s="20"/>
      <c r="O30" s="20"/>
      <c r="P30" s="20"/>
      <c r="Q30" s="20"/>
      <c r="R30" s="20"/>
      <c r="S30" s="20"/>
      <c r="T30" s="20"/>
      <c r="U30" s="21"/>
      <c r="Y30" s="36" t="s">
        <v>21</v>
      </c>
      <c r="Z30" s="19"/>
      <c r="AA30" s="20"/>
      <c r="AB30" s="20"/>
      <c r="AC30" s="20"/>
      <c r="AD30" s="20"/>
      <c r="AE30" s="21"/>
      <c r="AG30" s="36" t="s">
        <v>21</v>
      </c>
      <c r="AH30" s="19"/>
      <c r="AI30" s="20"/>
      <c r="AJ30" s="20"/>
      <c r="AK30" s="20"/>
      <c r="AL30" s="20"/>
      <c r="AM30" s="21"/>
    </row>
    <row r="31" spans="1:39" x14ac:dyDescent="0.25">
      <c r="F31" s="2"/>
      <c r="G31" s="2"/>
      <c r="H31" s="2"/>
      <c r="J31" s="37"/>
      <c r="T31" s="22" t="s">
        <v>22</v>
      </c>
      <c r="U31" s="23">
        <f>SUM(K30:U30)</f>
        <v>0</v>
      </c>
      <c r="AD31" s="22" t="s">
        <v>22</v>
      </c>
      <c r="AE31" s="23">
        <f>SUM(Z30:AE30)</f>
        <v>0</v>
      </c>
      <c r="AL31" s="22" t="s">
        <v>22</v>
      </c>
      <c r="AM31" s="23">
        <f>SUM(AH30:AM30)</f>
        <v>0</v>
      </c>
    </row>
    <row r="32" spans="1:39" ht="15.75" thickBot="1" x14ac:dyDescent="0.3">
      <c r="A32" s="34"/>
      <c r="B32" s="171" t="s">
        <v>23</v>
      </c>
      <c r="C32" s="171"/>
      <c r="D32" s="171"/>
      <c r="E32" s="171"/>
      <c r="F32" s="171"/>
      <c r="G32" s="171"/>
      <c r="H32" s="171"/>
      <c r="J32" s="172" t="s">
        <v>23</v>
      </c>
      <c r="K32" s="172"/>
      <c r="L32" s="172"/>
      <c r="M32" s="172"/>
      <c r="N32" s="172"/>
      <c r="O32" s="172"/>
      <c r="P32" s="172"/>
      <c r="Q32" s="172"/>
      <c r="R32" s="172"/>
      <c r="S32" s="172"/>
      <c r="T32" s="172"/>
      <c r="U32" s="172"/>
      <c r="Y32" s="173" t="str">
        <f>J32</f>
        <v>Junho</v>
      </c>
      <c r="Z32" s="173"/>
      <c r="AA32" s="173"/>
      <c r="AB32" s="173"/>
      <c r="AC32" s="173"/>
      <c r="AD32" s="173"/>
      <c r="AE32" s="173"/>
      <c r="AG32" s="174" t="str">
        <f>Y32</f>
        <v>Junho</v>
      </c>
      <c r="AH32" s="174"/>
      <c r="AI32" s="174"/>
      <c r="AJ32" s="174"/>
      <c r="AK32" s="174"/>
      <c r="AL32" s="174"/>
      <c r="AM32" s="174"/>
    </row>
    <row r="33" spans="1:39" ht="15.75" thickBot="1" x14ac:dyDescent="0.3">
      <c r="A33" s="168" t="s">
        <v>4</v>
      </c>
      <c r="B33" s="10" t="s">
        <v>5</v>
      </c>
      <c r="C33" s="11" t="s">
        <v>6</v>
      </c>
      <c r="D33" s="12" t="s">
        <v>7</v>
      </c>
      <c r="E33" s="11" t="s">
        <v>8</v>
      </c>
      <c r="F33" s="12" t="s">
        <v>9</v>
      </c>
      <c r="G33" s="11" t="s">
        <v>10</v>
      </c>
      <c r="H33" s="32" t="s">
        <v>11</v>
      </c>
      <c r="J33" s="35" t="s">
        <v>3</v>
      </c>
      <c r="K33" s="14"/>
      <c r="L33" s="15"/>
      <c r="M33" s="15"/>
      <c r="N33" s="15"/>
      <c r="O33" s="15"/>
      <c r="P33" s="15"/>
      <c r="Q33" s="15"/>
      <c r="R33" s="15"/>
      <c r="S33" s="15"/>
      <c r="T33" s="15"/>
      <c r="U33" s="16"/>
      <c r="Y33" s="35" t="s">
        <v>3</v>
      </c>
      <c r="Z33" s="14"/>
      <c r="AA33" s="15"/>
      <c r="AB33" s="15"/>
      <c r="AC33" s="15"/>
      <c r="AD33" s="15"/>
      <c r="AE33" s="16"/>
      <c r="AG33" s="35" t="s">
        <v>3</v>
      </c>
      <c r="AH33" s="14"/>
      <c r="AI33" s="15"/>
      <c r="AJ33" s="15"/>
      <c r="AK33" s="15"/>
      <c r="AL33" s="15"/>
      <c r="AM33" s="16"/>
    </row>
    <row r="34" spans="1:39" ht="15.75" thickBot="1" x14ac:dyDescent="0.3">
      <c r="A34" s="168"/>
      <c r="B34" s="17"/>
      <c r="C34" s="18"/>
      <c r="D34" s="18"/>
      <c r="E34" s="18"/>
      <c r="F34" s="18">
        <f>SUM(C34-B34)</f>
        <v>0</v>
      </c>
      <c r="G34" s="18">
        <f>SUM(E34-D34)</f>
        <v>0</v>
      </c>
      <c r="H34" s="33">
        <f>SUM(F34:G34)</f>
        <v>0</v>
      </c>
      <c r="J34" s="36" t="s">
        <v>21</v>
      </c>
      <c r="K34" s="19"/>
      <c r="L34" s="20"/>
      <c r="M34" s="20"/>
      <c r="N34" s="20"/>
      <c r="O34" s="20"/>
      <c r="P34" s="20"/>
      <c r="Q34" s="20"/>
      <c r="R34" s="20"/>
      <c r="S34" s="20"/>
      <c r="T34" s="20"/>
      <c r="U34" s="21"/>
      <c r="Y34" s="36" t="s">
        <v>21</v>
      </c>
      <c r="Z34" s="19"/>
      <c r="AA34" s="20"/>
      <c r="AB34" s="20"/>
      <c r="AC34" s="20"/>
      <c r="AD34" s="20"/>
      <c r="AE34" s="21"/>
      <c r="AG34" s="36" t="s">
        <v>21</v>
      </c>
      <c r="AH34" s="19"/>
      <c r="AI34" s="20"/>
      <c r="AJ34" s="20"/>
      <c r="AK34" s="20"/>
      <c r="AL34" s="20"/>
      <c r="AM34" s="21"/>
    </row>
    <row r="35" spans="1:39" x14ac:dyDescent="0.25">
      <c r="F35" s="2"/>
      <c r="G35" s="2"/>
      <c r="H35" s="2"/>
      <c r="J35" s="37"/>
      <c r="T35" s="22" t="s">
        <v>22</v>
      </c>
      <c r="U35" s="23">
        <f>SUM(K34:U34)</f>
        <v>0</v>
      </c>
      <c r="AD35" s="22" t="s">
        <v>22</v>
      </c>
      <c r="AE35" s="23">
        <f>SUM(Z34:AE34)</f>
        <v>0</v>
      </c>
      <c r="AL35" s="22" t="s">
        <v>22</v>
      </c>
      <c r="AM35" s="23">
        <f>SUM(AH34:AM34)</f>
        <v>0</v>
      </c>
    </row>
    <row r="36" spans="1:39" ht="15.75" thickBot="1" x14ac:dyDescent="0.3">
      <c r="A36" s="34"/>
      <c r="B36" s="171" t="s">
        <v>15</v>
      </c>
      <c r="C36" s="171"/>
      <c r="D36" s="171"/>
      <c r="E36" s="171"/>
      <c r="F36" s="171"/>
      <c r="G36" s="171"/>
      <c r="H36" s="171"/>
      <c r="J36" s="172" t="s">
        <v>15</v>
      </c>
      <c r="K36" s="172"/>
      <c r="L36" s="172"/>
      <c r="M36" s="172"/>
      <c r="N36" s="172"/>
      <c r="O36" s="172"/>
      <c r="P36" s="172"/>
      <c r="Q36" s="172"/>
      <c r="R36" s="172"/>
      <c r="S36" s="172"/>
      <c r="T36" s="172"/>
      <c r="U36" s="172"/>
      <c r="Y36" s="173" t="str">
        <f>J36</f>
        <v>Julho</v>
      </c>
      <c r="Z36" s="173"/>
      <c r="AA36" s="173"/>
      <c r="AB36" s="173"/>
      <c r="AC36" s="173"/>
      <c r="AD36" s="173"/>
      <c r="AE36" s="173"/>
      <c r="AG36" s="174" t="str">
        <f>Y36</f>
        <v>Julho</v>
      </c>
      <c r="AH36" s="174"/>
      <c r="AI36" s="174"/>
      <c r="AJ36" s="174"/>
      <c r="AK36" s="174"/>
      <c r="AL36" s="174"/>
      <c r="AM36" s="174"/>
    </row>
    <row r="37" spans="1:39" ht="15.75" thickBot="1" x14ac:dyDescent="0.3">
      <c r="A37" s="168" t="s">
        <v>4</v>
      </c>
      <c r="B37" s="10" t="s">
        <v>5</v>
      </c>
      <c r="C37" s="11" t="s">
        <v>6</v>
      </c>
      <c r="D37" s="12" t="s">
        <v>7</v>
      </c>
      <c r="E37" s="11" t="s">
        <v>8</v>
      </c>
      <c r="F37" s="12" t="s">
        <v>9</v>
      </c>
      <c r="G37" s="11" t="s">
        <v>10</v>
      </c>
      <c r="H37" s="32" t="s">
        <v>11</v>
      </c>
      <c r="J37" s="35" t="s">
        <v>3</v>
      </c>
      <c r="K37" s="14"/>
      <c r="L37" s="15"/>
      <c r="M37" s="15"/>
      <c r="N37" s="15"/>
      <c r="O37" s="15"/>
      <c r="P37" s="15"/>
      <c r="Q37" s="15"/>
      <c r="R37" s="15"/>
      <c r="S37" s="15"/>
      <c r="T37" s="15"/>
      <c r="U37" s="16"/>
      <c r="Y37" s="35" t="s">
        <v>3</v>
      </c>
      <c r="Z37" s="14"/>
      <c r="AA37" s="15"/>
      <c r="AB37" s="15"/>
      <c r="AC37" s="15"/>
      <c r="AD37" s="15"/>
      <c r="AE37" s="16"/>
      <c r="AG37" s="35" t="s">
        <v>3</v>
      </c>
      <c r="AH37" s="14"/>
      <c r="AI37" s="15"/>
      <c r="AJ37" s="15"/>
      <c r="AK37" s="15"/>
      <c r="AL37" s="15"/>
      <c r="AM37" s="16"/>
    </row>
    <row r="38" spans="1:39" ht="15.75" thickBot="1" x14ac:dyDescent="0.3">
      <c r="A38" s="168"/>
      <c r="B38" s="17"/>
      <c r="C38" s="18"/>
      <c r="D38" s="18"/>
      <c r="E38" s="18"/>
      <c r="F38" s="18">
        <f>SUM(C38-B38)</f>
        <v>0</v>
      </c>
      <c r="G38" s="18">
        <f>SUM(E38-D38)</f>
        <v>0</v>
      </c>
      <c r="H38" s="33">
        <f>SUM(F38:G38)</f>
        <v>0</v>
      </c>
      <c r="J38" s="36" t="s">
        <v>21</v>
      </c>
      <c r="K38" s="19"/>
      <c r="L38" s="20"/>
      <c r="M38" s="20"/>
      <c r="N38" s="20"/>
      <c r="O38" s="20"/>
      <c r="P38" s="20"/>
      <c r="Q38" s="20"/>
      <c r="R38" s="20"/>
      <c r="S38" s="20"/>
      <c r="T38" s="20"/>
      <c r="U38" s="21"/>
      <c r="Y38" s="36" t="s">
        <v>21</v>
      </c>
      <c r="Z38" s="19"/>
      <c r="AA38" s="20"/>
      <c r="AB38" s="20"/>
      <c r="AC38" s="20"/>
      <c r="AD38" s="20"/>
      <c r="AE38" s="21"/>
      <c r="AG38" s="36" t="s">
        <v>21</v>
      </c>
      <c r="AH38" s="19"/>
      <c r="AI38" s="20"/>
      <c r="AJ38" s="20"/>
      <c r="AK38" s="20"/>
      <c r="AL38" s="20"/>
      <c r="AM38" s="21"/>
    </row>
    <row r="39" spans="1:39" x14ac:dyDescent="0.25">
      <c r="F39" s="2"/>
      <c r="G39" s="2"/>
      <c r="H39" s="2"/>
      <c r="J39" s="37"/>
      <c r="T39" s="22" t="s">
        <v>22</v>
      </c>
      <c r="U39" s="23">
        <f>SUM(K38:U38)</f>
        <v>0</v>
      </c>
      <c r="AD39" s="22" t="s">
        <v>22</v>
      </c>
      <c r="AE39" s="23">
        <f>SUM(Z38:AE38)</f>
        <v>0</v>
      </c>
      <c r="AL39" s="22" t="s">
        <v>22</v>
      </c>
      <c r="AM39" s="23">
        <f>SUM(AH38:AM38)</f>
        <v>0</v>
      </c>
    </row>
    <row r="40" spans="1:39" ht="15.75" thickBot="1" x14ac:dyDescent="0.3">
      <c r="A40" s="141" t="s">
        <v>138</v>
      </c>
      <c r="B40" s="171" t="s">
        <v>16</v>
      </c>
      <c r="C40" s="171"/>
      <c r="D40" s="171"/>
      <c r="E40" s="171"/>
      <c r="F40" s="171"/>
      <c r="G40" s="171"/>
      <c r="H40" s="171"/>
      <c r="J40" s="172" t="s">
        <v>16</v>
      </c>
      <c r="K40" s="172"/>
      <c r="L40" s="172"/>
      <c r="M40" s="172"/>
      <c r="N40" s="172"/>
      <c r="O40" s="172"/>
      <c r="P40" s="172"/>
      <c r="Q40" s="172"/>
      <c r="R40" s="172"/>
      <c r="S40" s="172"/>
      <c r="T40" s="172"/>
      <c r="U40" s="172"/>
      <c r="Y40" s="173" t="str">
        <f>J40</f>
        <v>Agosto</v>
      </c>
      <c r="Z40" s="173"/>
      <c r="AA40" s="173"/>
      <c r="AB40" s="173"/>
      <c r="AC40" s="173"/>
      <c r="AD40" s="173"/>
      <c r="AE40" s="173"/>
      <c r="AG40" s="174" t="str">
        <f>Y40</f>
        <v>Agosto</v>
      </c>
      <c r="AH40" s="174"/>
      <c r="AI40" s="174"/>
      <c r="AJ40" s="174"/>
      <c r="AK40" s="174"/>
      <c r="AL40" s="174"/>
      <c r="AM40" s="174"/>
    </row>
    <row r="41" spans="1:39" ht="15.75" thickBot="1" x14ac:dyDescent="0.3">
      <c r="A41" s="168" t="s">
        <v>4</v>
      </c>
      <c r="B41" s="10" t="s">
        <v>5</v>
      </c>
      <c r="C41" s="11" t="s">
        <v>6</v>
      </c>
      <c r="D41" s="12" t="s">
        <v>7</v>
      </c>
      <c r="E41" s="11" t="s">
        <v>8</v>
      </c>
      <c r="F41" s="12" t="s">
        <v>9</v>
      </c>
      <c r="G41" s="11" t="s">
        <v>10</v>
      </c>
      <c r="H41" s="32" t="s">
        <v>11</v>
      </c>
      <c r="J41" s="35" t="s">
        <v>3</v>
      </c>
      <c r="K41" s="14">
        <v>45871</v>
      </c>
      <c r="L41" s="24">
        <v>45874</v>
      </c>
      <c r="M41" s="24">
        <v>45878</v>
      </c>
      <c r="N41" s="24">
        <v>45881</v>
      </c>
      <c r="O41" s="24">
        <v>45885</v>
      </c>
      <c r="P41" s="24">
        <v>45890</v>
      </c>
      <c r="Q41" s="24">
        <v>45895</v>
      </c>
      <c r="R41" s="24">
        <v>45898</v>
      </c>
      <c r="S41" s="15"/>
      <c r="T41" s="15"/>
      <c r="U41" s="16"/>
      <c r="Y41" s="35" t="s">
        <v>3</v>
      </c>
      <c r="Z41" s="14">
        <v>45897</v>
      </c>
      <c r="AA41" s="15"/>
      <c r="AB41" s="15"/>
      <c r="AC41" s="15"/>
      <c r="AD41" s="15"/>
      <c r="AE41" s="16"/>
      <c r="AG41" s="35" t="s">
        <v>3</v>
      </c>
      <c r="AH41" s="14"/>
      <c r="AI41" s="15"/>
      <c r="AJ41" s="15"/>
      <c r="AK41" s="15"/>
      <c r="AL41" s="15"/>
      <c r="AM41" s="16"/>
    </row>
    <row r="42" spans="1:39" ht="15.75" thickBot="1" x14ac:dyDescent="0.3">
      <c r="A42" s="168"/>
      <c r="B42" s="17">
        <v>38932</v>
      </c>
      <c r="C42" s="18">
        <v>40454</v>
      </c>
      <c r="D42" s="18">
        <v>40454</v>
      </c>
      <c r="E42" s="18">
        <v>41860</v>
      </c>
      <c r="F42" s="18">
        <f>SUM(C42-B42)</f>
        <v>1522</v>
      </c>
      <c r="G42" s="18">
        <f>SUM(E42-D42)</f>
        <v>1406</v>
      </c>
      <c r="H42" s="33">
        <f>SUM(F42:G42)</f>
        <v>2928</v>
      </c>
      <c r="J42" s="36" t="s">
        <v>21</v>
      </c>
      <c r="K42" s="19">
        <v>261.8</v>
      </c>
      <c r="L42" s="20">
        <v>121.04</v>
      </c>
      <c r="M42" s="20">
        <v>216.26</v>
      </c>
      <c r="N42" s="20">
        <v>203.73</v>
      </c>
      <c r="O42" s="20">
        <v>187.14</v>
      </c>
      <c r="P42" s="20">
        <v>245.62</v>
      </c>
      <c r="Q42" s="20">
        <v>238.75</v>
      </c>
      <c r="R42" s="20">
        <v>181.67</v>
      </c>
      <c r="S42" s="20"/>
      <c r="T42" s="20"/>
      <c r="U42" s="21"/>
      <c r="Y42" s="36" t="s">
        <v>21</v>
      </c>
      <c r="Z42" s="19">
        <v>170</v>
      </c>
      <c r="AA42" s="20"/>
      <c r="AB42" s="20"/>
      <c r="AC42" s="20"/>
      <c r="AD42" s="20"/>
      <c r="AE42" s="21"/>
      <c r="AG42" s="36" t="s">
        <v>21</v>
      </c>
      <c r="AH42" s="19"/>
      <c r="AI42" s="20"/>
      <c r="AJ42" s="20"/>
      <c r="AK42" s="20"/>
      <c r="AL42" s="20"/>
      <c r="AM42" s="21"/>
    </row>
    <row r="43" spans="1:39" x14ac:dyDescent="0.25">
      <c r="F43" s="2"/>
      <c r="G43" s="2"/>
      <c r="H43" s="2"/>
      <c r="J43" s="37"/>
      <c r="T43" s="22" t="s">
        <v>22</v>
      </c>
      <c r="U43" s="23">
        <f>SUM(K42:U42)</f>
        <v>1656.0100000000002</v>
      </c>
      <c r="AD43" s="22" t="s">
        <v>22</v>
      </c>
      <c r="AE43" s="23">
        <f>SUM(Z42:AE42)</f>
        <v>170</v>
      </c>
      <c r="AL43" s="22" t="s">
        <v>22</v>
      </c>
      <c r="AM43" s="23">
        <f>SUM(AH42:AM42)</f>
        <v>0</v>
      </c>
    </row>
    <row r="44" spans="1:39" ht="15.75" thickBot="1" x14ac:dyDescent="0.3">
      <c r="A44" s="141" t="s">
        <v>137</v>
      </c>
      <c r="B44" s="171" t="s">
        <v>17</v>
      </c>
      <c r="C44" s="171"/>
      <c r="D44" s="171"/>
      <c r="E44" s="171"/>
      <c r="F44" s="171"/>
      <c r="G44" s="171"/>
      <c r="H44" s="171"/>
      <c r="J44" s="172" t="s">
        <v>17</v>
      </c>
      <c r="K44" s="172"/>
      <c r="L44" s="172"/>
      <c r="M44" s="172"/>
      <c r="N44" s="172"/>
      <c r="O44" s="172"/>
      <c r="P44" s="172"/>
      <c r="Q44" s="172"/>
      <c r="R44" s="172"/>
      <c r="S44" s="172"/>
      <c r="T44" s="172"/>
      <c r="U44" s="172"/>
      <c r="Y44" s="173" t="str">
        <f>J44</f>
        <v>Setembro</v>
      </c>
      <c r="Z44" s="173"/>
      <c r="AA44" s="173"/>
      <c r="AB44" s="173"/>
      <c r="AC44" s="173"/>
      <c r="AD44" s="173"/>
      <c r="AE44" s="173"/>
      <c r="AG44" s="174" t="str">
        <f>Y44</f>
        <v>Setembro</v>
      </c>
      <c r="AH44" s="174"/>
      <c r="AI44" s="174"/>
      <c r="AJ44" s="174"/>
      <c r="AK44" s="174"/>
      <c r="AL44" s="174"/>
      <c r="AM44" s="174"/>
    </row>
    <row r="45" spans="1:39" ht="15.75" thickBot="1" x14ac:dyDescent="0.3">
      <c r="A45" s="168" t="s">
        <v>4</v>
      </c>
      <c r="B45" s="10" t="s">
        <v>5</v>
      </c>
      <c r="C45" s="11" t="s">
        <v>6</v>
      </c>
      <c r="D45" s="12" t="s">
        <v>7</v>
      </c>
      <c r="E45" s="11" t="s">
        <v>8</v>
      </c>
      <c r="F45" s="12" t="s">
        <v>9</v>
      </c>
      <c r="G45" s="11" t="s">
        <v>10</v>
      </c>
      <c r="H45" s="32" t="s">
        <v>11</v>
      </c>
      <c r="J45" s="35" t="s">
        <v>3</v>
      </c>
      <c r="K45" s="14">
        <v>45898</v>
      </c>
      <c r="L45" s="24">
        <v>45902</v>
      </c>
      <c r="M45" s="24">
        <v>45906</v>
      </c>
      <c r="N45" s="24">
        <v>45909</v>
      </c>
      <c r="O45" s="24">
        <v>45913</v>
      </c>
      <c r="P45" s="24">
        <v>45916</v>
      </c>
      <c r="Q45" s="24">
        <v>45918</v>
      </c>
      <c r="R45" s="24">
        <v>45920</v>
      </c>
      <c r="S45" s="24">
        <v>45923</v>
      </c>
      <c r="T45" s="24">
        <v>45925</v>
      </c>
      <c r="U45" s="80">
        <v>45927</v>
      </c>
      <c r="V45" s="80">
        <v>45930</v>
      </c>
      <c r="W45" s="138"/>
      <c r="X45" s="138"/>
      <c r="Y45" s="35" t="s">
        <v>3</v>
      </c>
      <c r="Z45" s="14"/>
      <c r="AA45" s="15"/>
      <c r="AB45" s="15"/>
      <c r="AC45" s="15"/>
      <c r="AD45" s="15"/>
      <c r="AE45" s="16"/>
      <c r="AG45" s="35" t="s">
        <v>3</v>
      </c>
      <c r="AH45" s="14"/>
      <c r="AI45" s="15"/>
      <c r="AJ45" s="15"/>
      <c r="AK45" s="15"/>
      <c r="AL45" s="15"/>
      <c r="AM45" s="16"/>
    </row>
    <row r="46" spans="1:39" ht="15.75" thickBot="1" x14ac:dyDescent="0.3">
      <c r="A46" s="168"/>
      <c r="B46" s="17">
        <v>11726</v>
      </c>
      <c r="C46" s="18">
        <v>13808</v>
      </c>
      <c r="D46" s="18">
        <v>13808</v>
      </c>
      <c r="E46" s="18">
        <v>15341</v>
      </c>
      <c r="F46" s="18">
        <f>SUM(C46-B46)</f>
        <v>2082</v>
      </c>
      <c r="G46" s="18">
        <f>SUM(E46-D46)</f>
        <v>1533</v>
      </c>
      <c r="H46" s="33">
        <f>SUM(F46:G46)</f>
        <v>3615</v>
      </c>
      <c r="J46" s="36" t="s">
        <v>21</v>
      </c>
      <c r="K46" s="19">
        <v>237.93</v>
      </c>
      <c r="L46" s="20">
        <v>159.47</v>
      </c>
      <c r="M46" s="20">
        <v>252</v>
      </c>
      <c r="N46" s="20">
        <v>192.21</v>
      </c>
      <c r="O46" s="20">
        <v>148.04</v>
      </c>
      <c r="P46" s="20">
        <v>172.06</v>
      </c>
      <c r="Q46" s="20">
        <v>168.07</v>
      </c>
      <c r="R46" s="20">
        <v>173.86</v>
      </c>
      <c r="S46" s="20">
        <v>100.23</v>
      </c>
      <c r="T46" s="20">
        <v>182.88</v>
      </c>
      <c r="U46" s="21">
        <v>115.1</v>
      </c>
      <c r="V46" s="21">
        <v>117.1</v>
      </c>
      <c r="W46" s="3"/>
      <c r="X46" s="3"/>
      <c r="Y46" s="36" t="s">
        <v>21</v>
      </c>
      <c r="Z46" s="19"/>
      <c r="AA46" s="20"/>
      <c r="AB46" s="20"/>
      <c r="AC46" s="20"/>
      <c r="AD46" s="20"/>
      <c r="AE46" s="21"/>
      <c r="AG46" s="36" t="s">
        <v>21</v>
      </c>
      <c r="AH46" s="19"/>
      <c r="AI46" s="20"/>
      <c r="AJ46" s="20"/>
      <c r="AK46" s="20"/>
      <c r="AL46" s="20"/>
      <c r="AM46" s="21"/>
    </row>
    <row r="47" spans="1:39" x14ac:dyDescent="0.25">
      <c r="F47" s="2"/>
      <c r="G47" s="2"/>
      <c r="H47" s="2"/>
      <c r="J47" s="37"/>
      <c r="T47" s="22" t="s">
        <v>22</v>
      </c>
      <c r="U47" s="23">
        <f>SUM(K46:V46)</f>
        <v>2018.9499999999998</v>
      </c>
      <c r="AD47" s="22" t="s">
        <v>22</v>
      </c>
      <c r="AE47" s="23">
        <f>SUM(Z46:AE46)</f>
        <v>0</v>
      </c>
      <c r="AL47" s="22" t="s">
        <v>22</v>
      </c>
      <c r="AM47" s="23">
        <f>SUM(AH46:AM46)</f>
        <v>0</v>
      </c>
    </row>
    <row r="48" spans="1:39" ht="15.75" thickBot="1" x14ac:dyDescent="0.3">
      <c r="A48" s="34"/>
      <c r="B48" s="171" t="s">
        <v>18</v>
      </c>
      <c r="C48" s="171"/>
      <c r="D48" s="171"/>
      <c r="E48" s="171"/>
      <c r="F48" s="171"/>
      <c r="G48" s="171"/>
      <c r="H48" s="171"/>
      <c r="J48" s="172" t="s">
        <v>18</v>
      </c>
      <c r="K48" s="172"/>
      <c r="L48" s="172"/>
      <c r="M48" s="172"/>
      <c r="N48" s="172"/>
      <c r="O48" s="172"/>
      <c r="P48" s="172"/>
      <c r="Q48" s="172"/>
      <c r="R48" s="172"/>
      <c r="S48" s="172"/>
      <c r="T48" s="172"/>
      <c r="U48" s="172"/>
      <c r="Y48" s="173" t="str">
        <f>J48</f>
        <v>Outubro</v>
      </c>
      <c r="Z48" s="173"/>
      <c r="AA48" s="173"/>
      <c r="AB48" s="173"/>
      <c r="AC48" s="173"/>
      <c r="AD48" s="173"/>
      <c r="AE48" s="173"/>
      <c r="AG48" s="174" t="str">
        <f>Y48</f>
        <v>Outubro</v>
      </c>
      <c r="AH48" s="174"/>
      <c r="AI48" s="174"/>
      <c r="AJ48" s="174"/>
      <c r="AK48" s="174"/>
      <c r="AL48" s="174"/>
      <c r="AM48" s="174"/>
    </row>
    <row r="49" spans="1:39" ht="15.75" thickBot="1" x14ac:dyDescent="0.3">
      <c r="A49" s="168" t="s">
        <v>4</v>
      </c>
      <c r="B49" s="10" t="s">
        <v>5</v>
      </c>
      <c r="C49" s="11" t="s">
        <v>6</v>
      </c>
      <c r="D49" s="12" t="s">
        <v>7</v>
      </c>
      <c r="E49" s="11" t="s">
        <v>8</v>
      </c>
      <c r="F49" s="12" t="s">
        <v>9</v>
      </c>
      <c r="G49" s="11" t="s">
        <v>10</v>
      </c>
      <c r="H49" s="32" t="s">
        <v>11</v>
      </c>
      <c r="J49" s="35" t="s">
        <v>3</v>
      </c>
      <c r="K49" s="14">
        <v>45932</v>
      </c>
      <c r="L49" s="24">
        <v>45934</v>
      </c>
      <c r="M49" s="24">
        <v>45937</v>
      </c>
      <c r="N49" s="24">
        <v>45939</v>
      </c>
      <c r="O49" s="24">
        <v>45941</v>
      </c>
      <c r="P49" s="24">
        <v>45944</v>
      </c>
      <c r="Q49" s="24">
        <v>45946</v>
      </c>
      <c r="R49" s="24">
        <v>45948</v>
      </c>
      <c r="S49" s="24">
        <v>45951</v>
      </c>
      <c r="T49" s="15" t="s">
        <v>144</v>
      </c>
      <c r="U49" s="80">
        <v>45955</v>
      </c>
      <c r="V49" s="80">
        <v>45958</v>
      </c>
      <c r="W49" s="80">
        <v>45960</v>
      </c>
      <c r="Y49" s="35" t="s">
        <v>3</v>
      </c>
      <c r="Z49" s="14"/>
      <c r="AA49" s="15"/>
      <c r="AB49" s="15"/>
      <c r="AC49" s="15"/>
      <c r="AD49" s="15"/>
      <c r="AE49" s="16"/>
      <c r="AG49" s="35" t="s">
        <v>3</v>
      </c>
      <c r="AH49" s="14"/>
      <c r="AI49" s="15"/>
      <c r="AJ49" s="15"/>
      <c r="AK49" s="15"/>
      <c r="AL49" s="15"/>
      <c r="AM49" s="16"/>
    </row>
    <row r="50" spans="1:39" ht="15.75" thickBot="1" x14ac:dyDescent="0.3">
      <c r="A50" s="168"/>
      <c r="B50" s="18">
        <v>15341</v>
      </c>
      <c r="C50" s="18">
        <v>17172</v>
      </c>
      <c r="D50" s="18">
        <v>17172</v>
      </c>
      <c r="E50" s="18">
        <v>19183</v>
      </c>
      <c r="F50" s="18">
        <f>SUM(C50-B50)</f>
        <v>1831</v>
      </c>
      <c r="G50" s="18">
        <f>SUM(E50-D50)</f>
        <v>2011</v>
      </c>
      <c r="H50" s="33">
        <f>SUM(F50:G50)</f>
        <v>3842</v>
      </c>
      <c r="J50" s="36" t="s">
        <v>21</v>
      </c>
      <c r="K50" s="19">
        <v>222.07</v>
      </c>
      <c r="L50" s="20">
        <v>102.91</v>
      </c>
      <c r="M50" s="20">
        <v>195.04</v>
      </c>
      <c r="N50" s="20">
        <v>172.06</v>
      </c>
      <c r="O50" s="20">
        <v>200</v>
      </c>
      <c r="P50" s="20">
        <v>201.12</v>
      </c>
      <c r="Q50" s="20">
        <v>209.02</v>
      </c>
      <c r="R50" s="20">
        <v>125.82</v>
      </c>
      <c r="S50" s="20">
        <v>168.16</v>
      </c>
      <c r="T50" s="20">
        <v>189.1</v>
      </c>
      <c r="U50" s="20">
        <v>194.36</v>
      </c>
      <c r="V50" s="20">
        <v>191.15</v>
      </c>
      <c r="W50" s="20">
        <v>194.36</v>
      </c>
      <c r="Y50" s="36" t="s">
        <v>21</v>
      </c>
      <c r="Z50" s="19"/>
      <c r="AA50" s="20"/>
      <c r="AB50" s="20"/>
      <c r="AC50" s="20"/>
      <c r="AD50" s="20"/>
      <c r="AE50" s="21"/>
      <c r="AG50" s="36" t="s">
        <v>21</v>
      </c>
      <c r="AH50" s="19"/>
      <c r="AI50" s="20"/>
      <c r="AJ50" s="20"/>
      <c r="AK50" s="20"/>
      <c r="AL50" s="20"/>
      <c r="AM50" s="21"/>
    </row>
    <row r="51" spans="1:39" x14ac:dyDescent="0.25">
      <c r="F51" s="2"/>
      <c r="G51" s="2"/>
      <c r="H51" s="2"/>
      <c r="J51" s="37"/>
      <c r="T51" s="22" t="s">
        <v>22</v>
      </c>
      <c r="U51" s="23">
        <f>SUM(K50:W50)</f>
        <v>2365.17</v>
      </c>
      <c r="AD51" s="22" t="s">
        <v>22</v>
      </c>
      <c r="AE51" s="23">
        <f>SUM(Z50:AE50)</f>
        <v>0</v>
      </c>
      <c r="AL51" s="22" t="s">
        <v>22</v>
      </c>
      <c r="AM51" s="23">
        <f>SUM(AH50:AM50)</f>
        <v>0</v>
      </c>
    </row>
    <row r="52" spans="1:39" ht="15.75" thickBot="1" x14ac:dyDescent="0.3">
      <c r="A52" s="34"/>
      <c r="B52" s="171" t="s">
        <v>19</v>
      </c>
      <c r="C52" s="171"/>
      <c r="D52" s="171"/>
      <c r="E52" s="171"/>
      <c r="F52" s="171"/>
      <c r="G52" s="171"/>
      <c r="H52" s="171"/>
      <c r="J52" s="172" t="s">
        <v>19</v>
      </c>
      <c r="K52" s="172"/>
      <c r="L52" s="172"/>
      <c r="M52" s="172"/>
      <c r="N52" s="172"/>
      <c r="O52" s="172"/>
      <c r="P52" s="172"/>
      <c r="Q52" s="172"/>
      <c r="R52" s="172"/>
      <c r="S52" s="172"/>
      <c r="T52" s="172"/>
      <c r="U52" s="172"/>
      <c r="Y52" s="173" t="str">
        <f>J52</f>
        <v>Novembro</v>
      </c>
      <c r="Z52" s="173"/>
      <c r="AA52" s="173"/>
      <c r="AB52" s="173"/>
      <c r="AC52" s="173"/>
      <c r="AD52" s="173"/>
      <c r="AE52" s="173"/>
      <c r="AG52" s="174" t="str">
        <f>Y52</f>
        <v>Novembro</v>
      </c>
      <c r="AH52" s="174"/>
      <c r="AI52" s="174"/>
      <c r="AJ52" s="174"/>
      <c r="AK52" s="174"/>
      <c r="AL52" s="174"/>
      <c r="AM52" s="174"/>
    </row>
    <row r="53" spans="1:39" ht="15.75" thickBot="1" x14ac:dyDescent="0.3">
      <c r="A53" s="168" t="s">
        <v>4</v>
      </c>
      <c r="B53" s="10" t="s">
        <v>5</v>
      </c>
      <c r="C53" s="11" t="s">
        <v>6</v>
      </c>
      <c r="D53" s="12" t="s">
        <v>7</v>
      </c>
      <c r="E53" s="11" t="s">
        <v>8</v>
      </c>
      <c r="F53" s="12" t="s">
        <v>9</v>
      </c>
      <c r="G53" s="11" t="s">
        <v>10</v>
      </c>
      <c r="H53" s="32" t="s">
        <v>11</v>
      </c>
      <c r="J53" s="35" t="s">
        <v>3</v>
      </c>
      <c r="K53" s="14">
        <v>45967</v>
      </c>
      <c r="L53" s="24">
        <v>45972</v>
      </c>
      <c r="M53" s="24">
        <v>45976</v>
      </c>
      <c r="N53" s="24">
        <v>45979</v>
      </c>
      <c r="O53" s="24">
        <v>45983</v>
      </c>
      <c r="P53" s="24">
        <v>45986</v>
      </c>
      <c r="Q53" s="24">
        <v>45988</v>
      </c>
      <c r="R53" s="24">
        <v>45990</v>
      </c>
      <c r="S53" s="15"/>
      <c r="T53" s="15"/>
      <c r="U53" s="16"/>
      <c r="Y53" s="35" t="s">
        <v>3</v>
      </c>
      <c r="Z53" s="14"/>
      <c r="AA53" s="15"/>
      <c r="AB53" s="15"/>
      <c r="AC53" s="15"/>
      <c r="AD53" s="15"/>
      <c r="AE53" s="16"/>
      <c r="AG53" s="35" t="s">
        <v>3</v>
      </c>
      <c r="AH53" s="14"/>
      <c r="AI53" s="15"/>
      <c r="AJ53" s="15"/>
      <c r="AK53" s="15"/>
      <c r="AL53" s="15"/>
      <c r="AM53" s="16"/>
    </row>
    <row r="54" spans="1:39" ht="15.75" thickBot="1" x14ac:dyDescent="0.3">
      <c r="A54" s="168"/>
      <c r="B54" s="18">
        <v>19183</v>
      </c>
      <c r="C54" s="18">
        <v>19908</v>
      </c>
      <c r="D54" s="18">
        <v>19908</v>
      </c>
      <c r="E54" s="18">
        <v>21513</v>
      </c>
      <c r="F54" s="18">
        <f>SUM(C54-B54)</f>
        <v>725</v>
      </c>
      <c r="G54" s="18">
        <f>SUM(E54-D54)</f>
        <v>1605</v>
      </c>
      <c r="H54" s="33">
        <f>SUM(F54:G54)</f>
        <v>2330</v>
      </c>
      <c r="J54" s="36" t="s">
        <v>21</v>
      </c>
      <c r="K54" s="19">
        <v>218.26</v>
      </c>
      <c r="L54" s="19">
        <v>185.61</v>
      </c>
      <c r="M54" s="19">
        <v>220.15</v>
      </c>
      <c r="N54" s="19">
        <v>200.08</v>
      </c>
      <c r="O54" s="19">
        <v>172.72</v>
      </c>
      <c r="P54" s="19">
        <v>177.18</v>
      </c>
      <c r="Q54" s="19">
        <v>207.43</v>
      </c>
      <c r="R54" s="19">
        <v>127.3</v>
      </c>
      <c r="S54" s="20"/>
      <c r="T54" s="20"/>
      <c r="U54" s="21"/>
      <c r="Y54" s="36" t="s">
        <v>21</v>
      </c>
      <c r="Z54" s="19"/>
      <c r="AA54" s="20"/>
      <c r="AB54" s="20"/>
      <c r="AC54" s="20"/>
      <c r="AD54" s="20"/>
      <c r="AE54" s="21"/>
      <c r="AG54" s="36" t="s">
        <v>21</v>
      </c>
      <c r="AH54" s="19"/>
      <c r="AI54" s="20"/>
      <c r="AJ54" s="20"/>
      <c r="AK54" s="20"/>
      <c r="AL54" s="20"/>
      <c r="AM54" s="21"/>
    </row>
    <row r="55" spans="1:39" x14ac:dyDescent="0.25">
      <c r="F55" s="2"/>
      <c r="G55" s="2"/>
      <c r="H55" s="2"/>
      <c r="J55" s="37"/>
      <c r="T55" s="22" t="s">
        <v>22</v>
      </c>
      <c r="U55" s="23">
        <f>SUM(K54:U54)</f>
        <v>1508.73</v>
      </c>
      <c r="AD55" s="22" t="s">
        <v>22</v>
      </c>
      <c r="AE55" s="23">
        <f>SUM(Z54:AE54)</f>
        <v>0</v>
      </c>
      <c r="AL55" s="22" t="s">
        <v>22</v>
      </c>
      <c r="AM55" s="23">
        <f>SUM(AH54:AM54)</f>
        <v>0</v>
      </c>
    </row>
    <row r="56" spans="1:39" ht="15.75" thickBot="1" x14ac:dyDescent="0.3">
      <c r="A56" s="34"/>
      <c r="B56" s="171" t="s">
        <v>20</v>
      </c>
      <c r="C56" s="171"/>
      <c r="D56" s="171"/>
      <c r="E56" s="171"/>
      <c r="F56" s="171"/>
      <c r="G56" s="171"/>
      <c r="H56" s="171"/>
      <c r="J56" s="172" t="s">
        <v>20</v>
      </c>
      <c r="K56" s="172"/>
      <c r="L56" s="172"/>
      <c r="M56" s="172"/>
      <c r="N56" s="172"/>
      <c r="O56" s="172"/>
      <c r="P56" s="172"/>
      <c r="Q56" s="172"/>
      <c r="R56" s="172"/>
      <c r="S56" s="172"/>
      <c r="T56" s="172"/>
      <c r="U56" s="172"/>
      <c r="Y56" s="173" t="str">
        <f>J56</f>
        <v>Dezembro</v>
      </c>
      <c r="Z56" s="173"/>
      <c r="AA56" s="173"/>
      <c r="AB56" s="173"/>
      <c r="AC56" s="173"/>
      <c r="AD56" s="173"/>
      <c r="AE56" s="173"/>
      <c r="AG56" s="174" t="str">
        <f>Y56</f>
        <v>Dezembro</v>
      </c>
      <c r="AH56" s="174"/>
      <c r="AI56" s="174"/>
      <c r="AJ56" s="174"/>
      <c r="AK56" s="174"/>
      <c r="AL56" s="174"/>
      <c r="AM56" s="174"/>
    </row>
    <row r="57" spans="1:39" ht="15.75" thickBot="1" x14ac:dyDescent="0.3">
      <c r="A57" s="168" t="s">
        <v>4</v>
      </c>
      <c r="B57" s="10" t="s">
        <v>5</v>
      </c>
      <c r="C57" s="11" t="s">
        <v>6</v>
      </c>
      <c r="D57" s="12" t="s">
        <v>7</v>
      </c>
      <c r="E57" s="11" t="s">
        <v>8</v>
      </c>
      <c r="F57" s="12" t="s">
        <v>9</v>
      </c>
      <c r="G57" s="11" t="s">
        <v>10</v>
      </c>
      <c r="H57" s="32" t="s">
        <v>11</v>
      </c>
      <c r="J57" s="35" t="s">
        <v>3</v>
      </c>
      <c r="K57" s="14">
        <v>45993</v>
      </c>
      <c r="L57" s="24">
        <v>45995</v>
      </c>
      <c r="M57" s="24">
        <v>45997</v>
      </c>
      <c r="N57" s="24">
        <v>46000</v>
      </c>
      <c r="O57" s="15"/>
      <c r="P57" s="15"/>
      <c r="Q57" s="15"/>
      <c r="R57" s="15"/>
      <c r="S57" s="15"/>
      <c r="T57" s="15"/>
      <c r="U57" s="16"/>
      <c r="Y57" s="35" t="s">
        <v>3</v>
      </c>
      <c r="Z57" s="14"/>
      <c r="AA57" s="15"/>
      <c r="AB57" s="15"/>
      <c r="AC57" s="15"/>
      <c r="AD57" s="15"/>
      <c r="AE57" s="16"/>
      <c r="AG57" s="35" t="s">
        <v>3</v>
      </c>
      <c r="AH57" s="14"/>
      <c r="AI57" s="15"/>
      <c r="AJ57" s="15"/>
      <c r="AK57" s="15"/>
      <c r="AL57" s="15"/>
      <c r="AM57" s="16"/>
    </row>
    <row r="58" spans="1:39" ht="15.75" thickBot="1" x14ac:dyDescent="0.3">
      <c r="A58" s="168"/>
      <c r="B58" s="18">
        <v>21513</v>
      </c>
      <c r="C58" s="18">
        <v>22771</v>
      </c>
      <c r="D58" s="18">
        <v>22771</v>
      </c>
      <c r="E58" s="18">
        <v>25621</v>
      </c>
      <c r="F58" s="18">
        <f>SUM(C58-B58)</f>
        <v>1258</v>
      </c>
      <c r="G58" s="18">
        <f>SUM(E58-D58)</f>
        <v>2850</v>
      </c>
      <c r="H58" s="33">
        <f>SUM(F58:G58)</f>
        <v>4108</v>
      </c>
      <c r="J58" s="36" t="s">
        <v>21</v>
      </c>
      <c r="K58" s="19">
        <v>221.79</v>
      </c>
      <c r="L58" s="20">
        <v>206.5</v>
      </c>
      <c r="M58" s="20">
        <v>168.76</v>
      </c>
      <c r="N58" s="20">
        <v>135.41</v>
      </c>
      <c r="O58" s="20"/>
      <c r="P58" s="20"/>
      <c r="Q58" s="20"/>
      <c r="R58" s="20"/>
      <c r="S58" s="20"/>
      <c r="T58" s="20"/>
      <c r="U58" s="21"/>
      <c r="Y58" s="36" t="s">
        <v>21</v>
      </c>
      <c r="Z58" s="19"/>
      <c r="AA58" s="20"/>
      <c r="AB58" s="20"/>
      <c r="AC58" s="20"/>
      <c r="AD58" s="20"/>
      <c r="AE58" s="21"/>
      <c r="AG58" s="36" t="s">
        <v>21</v>
      </c>
      <c r="AH58" s="19"/>
      <c r="AI58" s="20"/>
      <c r="AJ58" s="20"/>
      <c r="AK58" s="20"/>
      <c r="AL58" s="20"/>
      <c r="AM58" s="21"/>
    </row>
    <row r="59" spans="1:39" x14ac:dyDescent="0.25">
      <c r="J59" s="37"/>
      <c r="T59" s="22" t="s">
        <v>22</v>
      </c>
      <c r="U59" s="23">
        <f>SUM(K58:U58)</f>
        <v>732.45999999999992</v>
      </c>
      <c r="AD59" s="22" t="s">
        <v>22</v>
      </c>
      <c r="AE59" s="23">
        <f>SUM(Z58:AE58)</f>
        <v>0</v>
      </c>
      <c r="AL59" s="22" t="s">
        <v>22</v>
      </c>
      <c r="AM59" s="23">
        <f>SUM(AH58:AM58)</f>
        <v>0</v>
      </c>
    </row>
    <row r="60" spans="1:39" ht="15.75" thickBot="1" x14ac:dyDescent="0.3">
      <c r="A60" s="141">
        <v>2026</v>
      </c>
      <c r="B60" s="189" t="s">
        <v>54</v>
      </c>
      <c r="C60" s="171"/>
      <c r="D60" s="171"/>
      <c r="E60" s="171"/>
      <c r="F60" s="171"/>
      <c r="G60" s="171"/>
      <c r="H60" s="171"/>
      <c r="I60" s="6"/>
      <c r="J60" s="172" t="s">
        <v>54</v>
      </c>
      <c r="K60" s="172"/>
      <c r="L60" s="172"/>
      <c r="M60" s="172"/>
      <c r="N60" s="172"/>
      <c r="O60" s="172"/>
      <c r="P60" s="172"/>
      <c r="Q60" s="172"/>
      <c r="R60" s="172"/>
      <c r="S60" s="172"/>
      <c r="T60" s="172"/>
      <c r="U60" s="172"/>
      <c r="V60" s="8"/>
      <c r="W60" s="173" t="s">
        <v>54</v>
      </c>
      <c r="X60" s="173"/>
      <c r="Y60" s="173"/>
      <c r="Z60" s="173"/>
      <c r="AA60" s="173"/>
      <c r="AB60" s="173"/>
      <c r="AC60" s="173"/>
      <c r="AD60" s="8"/>
      <c r="AE60" s="174" t="s">
        <v>54</v>
      </c>
      <c r="AF60" s="174"/>
      <c r="AG60" s="174"/>
      <c r="AH60" s="174"/>
      <c r="AI60" s="174"/>
      <c r="AJ60" s="174"/>
      <c r="AK60" s="174"/>
    </row>
    <row r="61" spans="1:39" ht="15.75" thickBot="1" x14ac:dyDescent="0.3">
      <c r="A61" s="168" t="s">
        <v>4</v>
      </c>
      <c r="B61" s="10" t="s">
        <v>5</v>
      </c>
      <c r="C61" s="11" t="s">
        <v>6</v>
      </c>
      <c r="D61" s="12" t="s">
        <v>7</v>
      </c>
      <c r="E61" s="11" t="s">
        <v>8</v>
      </c>
      <c r="F61" s="12" t="s">
        <v>9</v>
      </c>
      <c r="G61" s="11" t="s">
        <v>10</v>
      </c>
      <c r="H61" s="32" t="s">
        <v>11</v>
      </c>
      <c r="I61" s="6"/>
      <c r="J61" s="35" t="s">
        <v>3</v>
      </c>
      <c r="K61" s="14"/>
      <c r="L61" s="15"/>
      <c r="M61" s="15"/>
      <c r="N61" s="15"/>
      <c r="O61" s="15"/>
      <c r="P61" s="15"/>
      <c r="Q61" s="15"/>
      <c r="R61" s="15"/>
      <c r="S61" s="15"/>
      <c r="T61" s="15"/>
      <c r="U61" s="16"/>
      <c r="V61" s="8"/>
      <c r="W61" s="35" t="s">
        <v>3</v>
      </c>
      <c r="X61" s="14"/>
      <c r="Y61" s="15"/>
      <c r="Z61" s="15"/>
      <c r="AA61" s="15"/>
      <c r="AB61" s="15"/>
      <c r="AC61" s="16"/>
      <c r="AD61" s="8"/>
      <c r="AE61" s="35" t="s">
        <v>3</v>
      </c>
      <c r="AF61" s="14"/>
      <c r="AG61" s="15"/>
      <c r="AH61" s="15"/>
      <c r="AI61" s="15"/>
      <c r="AJ61" s="15"/>
      <c r="AK61" s="16"/>
    </row>
    <row r="62" spans="1:39" ht="15.75" thickBot="1" x14ac:dyDescent="0.3">
      <c r="A62" s="168"/>
      <c r="B62" s="17">
        <v>25621</v>
      </c>
      <c r="C62" s="18"/>
      <c r="D62" s="18"/>
      <c r="E62" s="18">
        <v>27400</v>
      </c>
      <c r="F62" s="18">
        <f>SUM(C62-B62)</f>
        <v>-25621</v>
      </c>
      <c r="G62" s="18">
        <f>SUM(E62-D62)</f>
        <v>27400</v>
      </c>
      <c r="H62" s="33">
        <f>SUM(F62:G62)</f>
        <v>1779</v>
      </c>
      <c r="I62" s="6"/>
      <c r="J62" s="36" t="s">
        <v>21</v>
      </c>
      <c r="K62" s="19"/>
      <c r="L62" s="20"/>
      <c r="M62" s="20"/>
      <c r="N62" s="20"/>
      <c r="O62" s="20"/>
      <c r="P62" s="20"/>
      <c r="Q62" s="20"/>
      <c r="R62" s="20"/>
      <c r="S62" s="20"/>
      <c r="T62" s="20"/>
      <c r="U62" s="21"/>
      <c r="V62" s="8"/>
      <c r="W62" s="36" t="s">
        <v>21</v>
      </c>
      <c r="X62" s="19"/>
      <c r="Y62" s="20"/>
      <c r="Z62" s="20"/>
      <c r="AA62" s="20"/>
      <c r="AB62" s="20"/>
      <c r="AC62" s="21"/>
      <c r="AD62" s="8"/>
      <c r="AE62" s="36" t="s">
        <v>21</v>
      </c>
      <c r="AF62" s="19"/>
      <c r="AG62" s="20"/>
      <c r="AH62" s="20"/>
      <c r="AI62" s="20"/>
      <c r="AJ62" s="20"/>
      <c r="AK62" s="21"/>
    </row>
    <row r="63" spans="1:39" x14ac:dyDescent="0.25">
      <c r="A63" s="7"/>
      <c r="B63" s="7"/>
      <c r="C63" s="7"/>
      <c r="D63" s="7"/>
      <c r="E63" s="7"/>
      <c r="F63" s="7"/>
      <c r="G63" s="7"/>
      <c r="H63" s="7"/>
      <c r="I63" s="6"/>
      <c r="J63" s="7"/>
      <c r="K63" s="7"/>
      <c r="L63" s="7"/>
      <c r="M63" s="7"/>
      <c r="N63" s="7"/>
      <c r="O63" s="7"/>
      <c r="P63" s="7"/>
      <c r="Q63" s="7"/>
      <c r="R63" s="7"/>
      <c r="S63" s="7"/>
      <c r="T63" s="22" t="s">
        <v>22</v>
      </c>
      <c r="U63" s="23">
        <f>SUM(K62:U62)</f>
        <v>0</v>
      </c>
      <c r="V63" s="8"/>
      <c r="W63" s="2"/>
      <c r="Y63" s="1"/>
      <c r="AB63" s="22" t="s">
        <v>22</v>
      </c>
      <c r="AC63" s="23">
        <f>SUM(X62:AC62)</f>
        <v>0</v>
      </c>
      <c r="AD63" s="8"/>
      <c r="AE63" s="2"/>
      <c r="AG63" s="1"/>
      <c r="AJ63" s="22" t="s">
        <v>22</v>
      </c>
      <c r="AK63" s="23">
        <f>SUM(AF62:AK62)</f>
        <v>0</v>
      </c>
    </row>
    <row r="64" spans="1:39" ht="15.75" thickBot="1" x14ac:dyDescent="0.3">
      <c r="A64" s="34"/>
      <c r="B64" s="171" t="s">
        <v>2</v>
      </c>
      <c r="C64" s="171"/>
      <c r="D64" s="171"/>
      <c r="E64" s="171"/>
      <c r="F64" s="171"/>
      <c r="G64" s="171"/>
      <c r="H64" s="171"/>
      <c r="J64" s="172" t="s">
        <v>2</v>
      </c>
      <c r="K64" s="172"/>
      <c r="L64" s="172"/>
      <c r="M64" s="172"/>
      <c r="N64" s="172"/>
      <c r="O64" s="172"/>
      <c r="P64" s="172"/>
      <c r="Q64" s="172"/>
      <c r="R64" s="172"/>
      <c r="S64" s="172"/>
      <c r="T64" s="172"/>
      <c r="U64" s="172"/>
      <c r="W64" s="173" t="s">
        <v>2</v>
      </c>
      <c r="X64" s="173"/>
      <c r="Y64" s="173"/>
      <c r="Z64" s="173"/>
      <c r="AA64" s="173"/>
      <c r="AB64" s="173"/>
      <c r="AC64" s="173"/>
      <c r="AE64" s="174" t="s">
        <v>2</v>
      </c>
      <c r="AF64" s="174"/>
      <c r="AG64" s="174"/>
      <c r="AH64" s="174"/>
      <c r="AI64" s="174"/>
      <c r="AJ64" s="174"/>
      <c r="AK64" s="174"/>
    </row>
    <row r="65" spans="1:37" ht="15.75" thickBot="1" x14ac:dyDescent="0.3">
      <c r="A65" s="168" t="s">
        <v>4</v>
      </c>
      <c r="B65" s="10" t="s">
        <v>5</v>
      </c>
      <c r="C65" s="11" t="s">
        <v>6</v>
      </c>
      <c r="D65" s="12" t="s">
        <v>7</v>
      </c>
      <c r="E65" s="11" t="s">
        <v>8</v>
      </c>
      <c r="F65" s="12" t="s">
        <v>9</v>
      </c>
      <c r="G65" s="11" t="s">
        <v>10</v>
      </c>
      <c r="H65" s="32" t="s">
        <v>11</v>
      </c>
      <c r="J65" s="35" t="s">
        <v>3</v>
      </c>
      <c r="K65" s="14"/>
      <c r="L65" s="15"/>
      <c r="M65" s="15"/>
      <c r="N65" s="15"/>
      <c r="O65" s="15"/>
      <c r="P65" s="15"/>
      <c r="Q65" s="15"/>
      <c r="R65" s="15"/>
      <c r="S65" s="15"/>
      <c r="T65" s="15"/>
      <c r="U65" s="16"/>
      <c r="W65" s="35" t="s">
        <v>3</v>
      </c>
      <c r="X65" s="14"/>
      <c r="Y65" s="15"/>
      <c r="Z65" s="15"/>
      <c r="AA65" s="15"/>
      <c r="AB65" s="15"/>
      <c r="AC65" s="16"/>
      <c r="AE65" s="35" t="s">
        <v>3</v>
      </c>
      <c r="AF65" s="14"/>
      <c r="AG65" s="15"/>
      <c r="AH65" s="15"/>
      <c r="AI65" s="15"/>
      <c r="AJ65" s="15"/>
      <c r="AK65" s="16"/>
    </row>
    <row r="66" spans="1:37" ht="15.75" thickBot="1" x14ac:dyDescent="0.3">
      <c r="A66" s="168"/>
      <c r="B66" s="18">
        <v>27400</v>
      </c>
      <c r="C66" s="18"/>
      <c r="D66" s="18"/>
      <c r="E66" s="18">
        <v>29232</v>
      </c>
      <c r="F66" s="18">
        <f>SUM(C66-B66)</f>
        <v>-27400</v>
      </c>
      <c r="G66" s="18">
        <f>SUM(E66-D66)</f>
        <v>29232</v>
      </c>
      <c r="H66" s="33">
        <f>SUM(F66:G66)</f>
        <v>1832</v>
      </c>
      <c r="J66" s="36" t="s">
        <v>21</v>
      </c>
      <c r="K66" s="19"/>
      <c r="L66" s="20"/>
      <c r="M66" s="20"/>
      <c r="N66" s="20"/>
      <c r="O66" s="20"/>
      <c r="P66" s="20"/>
      <c r="Q66" s="20"/>
      <c r="R66" s="20"/>
      <c r="S66" s="20"/>
      <c r="T66" s="20"/>
      <c r="U66" s="21"/>
      <c r="W66" s="36" t="s">
        <v>21</v>
      </c>
      <c r="X66" s="19"/>
      <c r="Y66" s="20"/>
      <c r="Z66" s="20"/>
      <c r="AA66" s="20"/>
      <c r="AB66" s="20"/>
      <c r="AC66" s="21"/>
      <c r="AE66" s="36" t="s">
        <v>21</v>
      </c>
      <c r="AF66" s="19"/>
      <c r="AG66" s="20"/>
      <c r="AH66" s="20"/>
      <c r="AI66" s="20"/>
      <c r="AJ66" s="20"/>
      <c r="AK66" s="21"/>
    </row>
    <row r="67" spans="1:37" x14ac:dyDescent="0.25">
      <c r="F67" s="2"/>
      <c r="G67" s="2"/>
      <c r="H67" s="2"/>
      <c r="J67" s="37"/>
      <c r="T67" s="22" t="s">
        <v>22</v>
      </c>
      <c r="U67" s="23">
        <f>SUM(K66:U66)</f>
        <v>0</v>
      </c>
      <c r="W67" s="2"/>
      <c r="Y67" s="1"/>
      <c r="AB67" s="22" t="s">
        <v>22</v>
      </c>
      <c r="AC67" s="23">
        <f>SUM(X66:AC66)</f>
        <v>0</v>
      </c>
      <c r="AE67" s="2"/>
      <c r="AG67" s="1"/>
      <c r="AJ67" s="22" t="s">
        <v>22</v>
      </c>
      <c r="AK67" s="23">
        <f>SUM(AF66:AK66)</f>
        <v>0</v>
      </c>
    </row>
    <row r="68" spans="1:37" ht="15.75" thickBot="1" x14ac:dyDescent="0.3">
      <c r="A68" s="34"/>
      <c r="B68" s="171" t="s">
        <v>12</v>
      </c>
      <c r="C68" s="171"/>
      <c r="D68" s="171"/>
      <c r="E68" s="171"/>
      <c r="F68" s="171"/>
      <c r="G68" s="171"/>
      <c r="H68" s="171"/>
      <c r="J68" s="172" t="s">
        <v>12</v>
      </c>
      <c r="K68" s="172"/>
      <c r="L68" s="172"/>
      <c r="M68" s="172"/>
      <c r="N68" s="172"/>
      <c r="O68" s="172"/>
      <c r="P68" s="172"/>
      <c r="Q68" s="172"/>
      <c r="R68" s="172"/>
      <c r="S68" s="172"/>
      <c r="T68" s="172"/>
      <c r="U68" s="172"/>
      <c r="W68" s="173" t="str">
        <f>J68</f>
        <v>Março</v>
      </c>
      <c r="X68" s="173"/>
      <c r="Y68" s="173"/>
      <c r="Z68" s="173"/>
      <c r="AA68" s="173"/>
      <c r="AB68" s="173"/>
      <c r="AC68" s="173"/>
      <c r="AE68" s="174" t="str">
        <f>W68</f>
        <v>Março</v>
      </c>
      <c r="AF68" s="174"/>
      <c r="AG68" s="174"/>
      <c r="AH68" s="174"/>
      <c r="AI68" s="174"/>
      <c r="AJ68" s="174"/>
      <c r="AK68" s="174"/>
    </row>
    <row r="69" spans="1:37" ht="15.75" thickBot="1" x14ac:dyDescent="0.3">
      <c r="A69" s="168" t="s">
        <v>4</v>
      </c>
      <c r="B69" s="10" t="s">
        <v>5</v>
      </c>
      <c r="C69" s="11" t="s">
        <v>6</v>
      </c>
      <c r="D69" s="12" t="s">
        <v>7</v>
      </c>
      <c r="E69" s="11" t="s">
        <v>8</v>
      </c>
      <c r="F69" s="12" t="s">
        <v>9</v>
      </c>
      <c r="G69" s="11" t="s">
        <v>10</v>
      </c>
      <c r="H69" s="32" t="s">
        <v>11</v>
      </c>
      <c r="J69" s="35" t="s">
        <v>3</v>
      </c>
      <c r="K69" s="14">
        <v>46088</v>
      </c>
      <c r="L69" s="24">
        <v>46093</v>
      </c>
      <c r="M69" s="24">
        <v>46100</v>
      </c>
      <c r="N69" s="24">
        <v>46108</v>
      </c>
      <c r="O69" s="15"/>
      <c r="P69" s="15"/>
      <c r="Q69" s="15"/>
      <c r="R69" s="15"/>
      <c r="S69" s="15"/>
      <c r="T69" s="15"/>
      <c r="U69" s="16"/>
      <c r="W69" s="35" t="s">
        <v>3</v>
      </c>
      <c r="X69" s="14"/>
      <c r="Y69" s="15"/>
      <c r="Z69" s="15"/>
      <c r="AA69" s="15"/>
      <c r="AB69" s="15"/>
      <c r="AC69" s="16"/>
      <c r="AE69" s="35" t="s">
        <v>3</v>
      </c>
      <c r="AF69" s="14"/>
      <c r="AG69" s="15"/>
      <c r="AH69" s="15"/>
      <c r="AI69" s="15"/>
      <c r="AJ69" s="15"/>
      <c r="AK69" s="16"/>
    </row>
    <row r="70" spans="1:37" ht="15.75" thickBot="1" x14ac:dyDescent="0.3">
      <c r="A70" s="168"/>
      <c r="B70" s="18">
        <v>29232</v>
      </c>
      <c r="C70" s="18"/>
      <c r="D70" s="18"/>
      <c r="E70" s="18">
        <v>30999</v>
      </c>
      <c r="F70" s="18">
        <f>SUM(C70-B70)</f>
        <v>-29232</v>
      </c>
      <c r="G70" s="18">
        <f>SUM(E70-D70)</f>
        <v>30999</v>
      </c>
      <c r="H70" s="33">
        <f>SUM(F70:G70)</f>
        <v>1767</v>
      </c>
      <c r="J70" s="36" t="s">
        <v>21</v>
      </c>
      <c r="K70" s="19">
        <v>267.60000000000002</v>
      </c>
      <c r="L70" s="20">
        <v>218.85</v>
      </c>
      <c r="M70" s="20">
        <v>291.81</v>
      </c>
      <c r="N70" s="20">
        <v>237.31</v>
      </c>
      <c r="O70" s="20"/>
      <c r="P70" s="20"/>
      <c r="Q70" s="20"/>
      <c r="R70" s="20"/>
      <c r="S70" s="20"/>
      <c r="T70" s="20"/>
      <c r="U70" s="21"/>
      <c r="W70" s="36" t="s">
        <v>21</v>
      </c>
      <c r="X70" s="19"/>
      <c r="Y70" s="20"/>
      <c r="Z70" s="20"/>
      <c r="AA70" s="20"/>
      <c r="AB70" s="20"/>
      <c r="AC70" s="21"/>
      <c r="AE70" s="36" t="s">
        <v>21</v>
      </c>
      <c r="AF70" s="19"/>
      <c r="AG70" s="20"/>
      <c r="AH70" s="20"/>
      <c r="AI70" s="20"/>
      <c r="AJ70" s="20"/>
      <c r="AK70" s="21"/>
    </row>
    <row r="71" spans="1:37" x14ac:dyDescent="0.25">
      <c r="F71" s="2"/>
      <c r="G71" s="2"/>
      <c r="H71" s="2"/>
      <c r="J71" s="37"/>
      <c r="T71" s="22" t="s">
        <v>22</v>
      </c>
      <c r="U71" s="23">
        <f>SUM(K70:U70)</f>
        <v>1015.5699999999999</v>
      </c>
      <c r="W71" s="2"/>
      <c r="Y71" s="1"/>
      <c r="AB71" s="22" t="s">
        <v>22</v>
      </c>
      <c r="AC71" s="23">
        <f>SUM(X70:AC70)</f>
        <v>0</v>
      </c>
      <c r="AE71" s="2"/>
      <c r="AG71" s="1"/>
      <c r="AJ71" s="22" t="s">
        <v>22</v>
      </c>
      <c r="AK71" s="23">
        <f>SUM(AF70:AK70)</f>
        <v>0</v>
      </c>
    </row>
    <row r="72" spans="1:37" ht="15.75" thickBot="1" x14ac:dyDescent="0.3">
      <c r="A72" s="34"/>
      <c r="B72" s="171" t="s">
        <v>13</v>
      </c>
      <c r="C72" s="171"/>
      <c r="D72" s="171"/>
      <c r="E72" s="171"/>
      <c r="F72" s="171"/>
      <c r="G72" s="171"/>
      <c r="H72" s="171"/>
      <c r="J72" s="172" t="s">
        <v>13</v>
      </c>
      <c r="K72" s="172"/>
      <c r="L72" s="172"/>
      <c r="M72" s="172"/>
      <c r="N72" s="172"/>
      <c r="O72" s="172"/>
      <c r="P72" s="172"/>
      <c r="Q72" s="172"/>
      <c r="R72" s="172"/>
      <c r="S72" s="172"/>
      <c r="T72" s="172"/>
      <c r="U72" s="172"/>
      <c r="W72" s="173" t="str">
        <f>J72</f>
        <v>Abril</v>
      </c>
      <c r="X72" s="173"/>
      <c r="Y72" s="173"/>
      <c r="Z72" s="173"/>
      <c r="AA72" s="173"/>
      <c r="AB72" s="173"/>
      <c r="AC72" s="173"/>
      <c r="AE72" s="174" t="str">
        <f>W72</f>
        <v>Abril</v>
      </c>
      <c r="AF72" s="174"/>
      <c r="AG72" s="174"/>
      <c r="AH72" s="174"/>
      <c r="AI72" s="174"/>
      <c r="AJ72" s="174"/>
      <c r="AK72" s="174"/>
    </row>
    <row r="73" spans="1:37" ht="15.75" thickBot="1" x14ac:dyDescent="0.3">
      <c r="A73" s="168" t="s">
        <v>4</v>
      </c>
      <c r="B73" s="10" t="s">
        <v>5</v>
      </c>
      <c r="C73" s="11" t="s">
        <v>6</v>
      </c>
      <c r="D73" s="12" t="s">
        <v>7</v>
      </c>
      <c r="E73" s="11" t="s">
        <v>8</v>
      </c>
      <c r="F73" s="12" t="s">
        <v>9</v>
      </c>
      <c r="G73" s="11" t="s">
        <v>10</v>
      </c>
      <c r="H73" s="32" t="s">
        <v>11</v>
      </c>
      <c r="J73" s="35" t="s">
        <v>3</v>
      </c>
      <c r="K73" s="14"/>
      <c r="L73" s="15"/>
      <c r="M73" s="15"/>
      <c r="N73" s="15"/>
      <c r="O73" s="15"/>
      <c r="P73" s="15"/>
      <c r="Q73" s="15"/>
      <c r="R73" s="15"/>
      <c r="S73" s="15"/>
      <c r="T73" s="15"/>
      <c r="U73" s="16"/>
      <c r="W73" s="35" t="s">
        <v>3</v>
      </c>
      <c r="X73" s="14"/>
      <c r="Y73" s="15"/>
      <c r="Z73" s="15"/>
      <c r="AA73" s="15"/>
      <c r="AB73" s="15"/>
      <c r="AC73" s="16"/>
      <c r="AE73" s="35" t="s">
        <v>3</v>
      </c>
      <c r="AF73" s="14"/>
      <c r="AG73" s="15"/>
      <c r="AH73" s="15"/>
      <c r="AI73" s="15"/>
      <c r="AJ73" s="15"/>
      <c r="AK73" s="16"/>
    </row>
    <row r="74" spans="1:37" ht="15.75" thickBot="1" x14ac:dyDescent="0.3">
      <c r="A74" s="168"/>
      <c r="B74" s="17"/>
      <c r="C74" s="18"/>
      <c r="D74" s="18"/>
      <c r="E74" s="18"/>
      <c r="F74" s="18">
        <f>SUM(C74-B74)</f>
        <v>0</v>
      </c>
      <c r="G74" s="18">
        <f>SUM(E74-D74)</f>
        <v>0</v>
      </c>
      <c r="H74" s="33">
        <f>SUM(F74:G74)</f>
        <v>0</v>
      </c>
      <c r="J74" s="36" t="s">
        <v>21</v>
      </c>
      <c r="K74" s="25"/>
      <c r="L74" s="26"/>
      <c r="M74" s="26"/>
      <c r="N74" s="26"/>
      <c r="O74" s="26"/>
      <c r="P74" s="26"/>
      <c r="Q74" s="26"/>
      <c r="R74" s="26"/>
      <c r="S74" s="26"/>
      <c r="T74" s="26"/>
      <c r="U74" s="27"/>
      <c r="W74" s="36" t="s">
        <v>21</v>
      </c>
      <c r="X74" s="19"/>
      <c r="Y74" s="20"/>
      <c r="Z74" s="20"/>
      <c r="AA74" s="20"/>
      <c r="AB74" s="20"/>
      <c r="AC74" s="21"/>
      <c r="AE74" s="36" t="s">
        <v>21</v>
      </c>
      <c r="AF74" s="19"/>
      <c r="AG74" s="20"/>
      <c r="AH74" s="20"/>
      <c r="AI74" s="20"/>
      <c r="AJ74" s="20"/>
      <c r="AK74" s="21"/>
    </row>
    <row r="75" spans="1:37" x14ac:dyDescent="0.25">
      <c r="F75" s="2"/>
      <c r="G75" s="2"/>
      <c r="H75" s="2"/>
      <c r="J75" s="37"/>
      <c r="T75" s="22" t="s">
        <v>22</v>
      </c>
      <c r="U75" s="23">
        <f>SUM(K74:U74)</f>
        <v>0</v>
      </c>
      <c r="W75" s="2"/>
      <c r="Y75" s="1"/>
      <c r="AB75" s="22" t="s">
        <v>22</v>
      </c>
      <c r="AC75" s="23">
        <f>SUM(X74:AC74)</f>
        <v>0</v>
      </c>
      <c r="AE75" s="2"/>
      <c r="AG75" s="1"/>
      <c r="AJ75" s="22" t="s">
        <v>22</v>
      </c>
      <c r="AK75" s="23">
        <f>SUM(AF74:AK74)</f>
        <v>0</v>
      </c>
    </row>
    <row r="76" spans="1:37" ht="15.75" thickBot="1" x14ac:dyDescent="0.3">
      <c r="A76" s="34"/>
      <c r="B76" s="171" t="s">
        <v>14</v>
      </c>
      <c r="C76" s="171"/>
      <c r="D76" s="171"/>
      <c r="E76" s="171"/>
      <c r="F76" s="171"/>
      <c r="G76" s="171"/>
      <c r="H76" s="171"/>
      <c r="J76" s="172" t="s">
        <v>14</v>
      </c>
      <c r="K76" s="172"/>
      <c r="L76" s="172"/>
      <c r="M76" s="172"/>
      <c r="N76" s="172"/>
      <c r="O76" s="172"/>
      <c r="P76" s="172"/>
      <c r="Q76" s="172"/>
      <c r="R76" s="172"/>
      <c r="S76" s="172"/>
      <c r="T76" s="172"/>
      <c r="U76" s="172"/>
      <c r="W76" s="173" t="str">
        <f>J76</f>
        <v>Maio</v>
      </c>
      <c r="X76" s="173"/>
      <c r="Y76" s="173"/>
      <c r="Z76" s="173"/>
      <c r="AA76" s="173"/>
      <c r="AB76" s="173"/>
      <c r="AC76" s="173"/>
      <c r="AE76" s="174" t="str">
        <f>W76</f>
        <v>Maio</v>
      </c>
      <c r="AF76" s="174"/>
      <c r="AG76" s="174"/>
      <c r="AH76" s="174"/>
      <c r="AI76" s="174"/>
      <c r="AJ76" s="174"/>
      <c r="AK76" s="174"/>
    </row>
    <row r="77" spans="1:37" ht="15.75" thickBot="1" x14ac:dyDescent="0.3">
      <c r="A77" s="168" t="s">
        <v>4</v>
      </c>
      <c r="B77" s="10" t="s">
        <v>5</v>
      </c>
      <c r="C77" s="11" t="s">
        <v>6</v>
      </c>
      <c r="D77" s="12" t="s">
        <v>7</v>
      </c>
      <c r="E77" s="11" t="s">
        <v>8</v>
      </c>
      <c r="F77" s="12" t="s">
        <v>9</v>
      </c>
      <c r="G77" s="11" t="s">
        <v>10</v>
      </c>
      <c r="H77" s="32" t="s">
        <v>11</v>
      </c>
      <c r="J77" s="35" t="s">
        <v>3</v>
      </c>
      <c r="K77" s="14"/>
      <c r="L77" s="15"/>
      <c r="M77" s="15"/>
      <c r="N77" s="15"/>
      <c r="O77" s="15"/>
      <c r="P77" s="15"/>
      <c r="Q77" s="15"/>
      <c r="R77" s="15"/>
      <c r="S77" s="15"/>
      <c r="T77" s="15"/>
      <c r="U77" s="16"/>
      <c r="W77" s="35" t="s">
        <v>3</v>
      </c>
      <c r="X77" s="14"/>
      <c r="Y77" s="15"/>
      <c r="Z77" s="15"/>
      <c r="AA77" s="15"/>
      <c r="AB77" s="15"/>
      <c r="AC77" s="16"/>
      <c r="AE77" s="35" t="s">
        <v>3</v>
      </c>
      <c r="AF77" s="14"/>
      <c r="AG77" s="15"/>
      <c r="AH77" s="15"/>
      <c r="AI77" s="15"/>
      <c r="AJ77" s="15"/>
      <c r="AK77" s="16"/>
    </row>
    <row r="78" spans="1:37" ht="15.75" thickBot="1" x14ac:dyDescent="0.3">
      <c r="A78" s="168"/>
      <c r="B78" s="17"/>
      <c r="C78" s="18"/>
      <c r="D78" s="18"/>
      <c r="E78" s="18"/>
      <c r="F78" s="18">
        <f>SUM(C78-B78)</f>
        <v>0</v>
      </c>
      <c r="G78" s="18">
        <f>SUM(E78-D78)</f>
        <v>0</v>
      </c>
      <c r="H78" s="33">
        <f>SUM(F78:G78)</f>
        <v>0</v>
      </c>
      <c r="J78" s="36" t="s">
        <v>21</v>
      </c>
      <c r="K78" s="19"/>
      <c r="L78" s="20"/>
      <c r="M78" s="20"/>
      <c r="N78" s="20"/>
      <c r="O78" s="20"/>
      <c r="P78" s="20"/>
      <c r="Q78" s="20"/>
      <c r="R78" s="20"/>
      <c r="S78" s="20"/>
      <c r="T78" s="20"/>
      <c r="U78" s="21"/>
      <c r="W78" s="36" t="s">
        <v>21</v>
      </c>
      <c r="X78" s="19"/>
      <c r="Y78" s="20"/>
      <c r="Z78" s="20"/>
      <c r="AA78" s="20"/>
      <c r="AB78" s="20"/>
      <c r="AC78" s="21"/>
      <c r="AE78" s="36" t="s">
        <v>21</v>
      </c>
      <c r="AF78" s="19"/>
      <c r="AG78" s="20"/>
      <c r="AH78" s="20"/>
      <c r="AI78" s="20"/>
      <c r="AJ78" s="20"/>
      <c r="AK78" s="21"/>
    </row>
    <row r="79" spans="1:37" x14ac:dyDescent="0.25">
      <c r="F79" s="2"/>
      <c r="G79" s="2"/>
      <c r="H79" s="2"/>
      <c r="J79" s="37"/>
      <c r="T79" s="22" t="s">
        <v>22</v>
      </c>
      <c r="U79" s="23">
        <f>SUM(K78:U78)</f>
        <v>0</v>
      </c>
      <c r="W79" s="2"/>
      <c r="Y79" s="1"/>
      <c r="AB79" s="22" t="s">
        <v>22</v>
      </c>
      <c r="AC79" s="23">
        <f>SUM(X78:AC78)</f>
        <v>0</v>
      </c>
      <c r="AE79" s="2"/>
      <c r="AG79" s="1"/>
      <c r="AJ79" s="22" t="s">
        <v>22</v>
      </c>
      <c r="AK79" s="23">
        <f>SUM(AF78:AK78)</f>
        <v>0</v>
      </c>
    </row>
    <row r="80" spans="1:37" ht="15.75" thickBot="1" x14ac:dyDescent="0.3">
      <c r="A80" s="34"/>
      <c r="B80" s="171" t="s">
        <v>23</v>
      </c>
      <c r="C80" s="171"/>
      <c r="D80" s="171"/>
      <c r="E80" s="171"/>
      <c r="F80" s="171"/>
      <c r="G80" s="171"/>
      <c r="H80" s="171"/>
      <c r="J80" s="172" t="s">
        <v>23</v>
      </c>
      <c r="K80" s="172"/>
      <c r="L80" s="172"/>
      <c r="M80" s="172"/>
      <c r="N80" s="172"/>
      <c r="O80" s="172"/>
      <c r="P80" s="172"/>
      <c r="Q80" s="172"/>
      <c r="R80" s="172"/>
      <c r="S80" s="172"/>
      <c r="T80" s="172"/>
      <c r="U80" s="172"/>
      <c r="W80" s="173" t="str">
        <f>J80</f>
        <v>Junho</v>
      </c>
      <c r="X80" s="173"/>
      <c r="Y80" s="173"/>
      <c r="Z80" s="173"/>
      <c r="AA80" s="173"/>
      <c r="AB80" s="173"/>
      <c r="AC80" s="173"/>
      <c r="AE80" s="174" t="str">
        <f>W80</f>
        <v>Junho</v>
      </c>
      <c r="AF80" s="174"/>
      <c r="AG80" s="174"/>
      <c r="AH80" s="174"/>
      <c r="AI80" s="174"/>
      <c r="AJ80" s="174"/>
      <c r="AK80" s="174"/>
    </row>
    <row r="81" spans="1:37" ht="15.75" thickBot="1" x14ac:dyDescent="0.3">
      <c r="A81" s="168" t="s">
        <v>4</v>
      </c>
      <c r="B81" s="10" t="s">
        <v>5</v>
      </c>
      <c r="C81" s="11" t="s">
        <v>6</v>
      </c>
      <c r="D81" s="12" t="s">
        <v>7</v>
      </c>
      <c r="E81" s="11" t="s">
        <v>8</v>
      </c>
      <c r="F81" s="12" t="s">
        <v>9</v>
      </c>
      <c r="G81" s="11" t="s">
        <v>10</v>
      </c>
      <c r="H81" s="32" t="s">
        <v>11</v>
      </c>
      <c r="J81" s="35" t="s">
        <v>3</v>
      </c>
      <c r="K81" s="14"/>
      <c r="L81" s="15"/>
      <c r="M81" s="15"/>
      <c r="N81" s="15"/>
      <c r="O81" s="15"/>
      <c r="P81" s="15"/>
      <c r="Q81" s="15"/>
      <c r="R81" s="15"/>
      <c r="S81" s="15"/>
      <c r="T81" s="15"/>
      <c r="U81" s="16"/>
      <c r="W81" s="35" t="s">
        <v>3</v>
      </c>
      <c r="X81" s="14"/>
      <c r="Y81" s="15"/>
      <c r="Z81" s="15"/>
      <c r="AA81" s="15"/>
      <c r="AB81" s="15"/>
      <c r="AC81" s="16"/>
      <c r="AE81" s="35" t="s">
        <v>3</v>
      </c>
      <c r="AF81" s="14"/>
      <c r="AG81" s="15"/>
      <c r="AH81" s="15"/>
      <c r="AI81" s="15"/>
      <c r="AJ81" s="15"/>
      <c r="AK81" s="16"/>
    </row>
    <row r="82" spans="1:37" ht="15.75" thickBot="1" x14ac:dyDescent="0.3">
      <c r="A82" s="168"/>
      <c r="B82" s="17"/>
      <c r="C82" s="18"/>
      <c r="D82" s="18"/>
      <c r="E82" s="18"/>
      <c r="F82" s="18">
        <f>SUM(C82-B82)</f>
        <v>0</v>
      </c>
      <c r="G82" s="18">
        <f>SUM(E82-D82)</f>
        <v>0</v>
      </c>
      <c r="H82" s="33">
        <f>SUM(F82:G82)</f>
        <v>0</v>
      </c>
      <c r="J82" s="36" t="s">
        <v>21</v>
      </c>
      <c r="K82" s="19"/>
      <c r="L82" s="20"/>
      <c r="M82" s="20"/>
      <c r="N82" s="20"/>
      <c r="O82" s="20"/>
      <c r="P82" s="20"/>
      <c r="Q82" s="20"/>
      <c r="R82" s="20"/>
      <c r="S82" s="20"/>
      <c r="T82" s="20"/>
      <c r="U82" s="21"/>
      <c r="W82" s="36" t="s">
        <v>21</v>
      </c>
      <c r="X82" s="19"/>
      <c r="Y82" s="20"/>
      <c r="Z82" s="20"/>
      <c r="AA82" s="20"/>
      <c r="AB82" s="20"/>
      <c r="AC82" s="21"/>
      <c r="AE82" s="36" t="s">
        <v>21</v>
      </c>
      <c r="AF82" s="19"/>
      <c r="AG82" s="20"/>
      <c r="AH82" s="20"/>
      <c r="AI82" s="20"/>
      <c r="AJ82" s="20"/>
      <c r="AK82" s="21"/>
    </row>
    <row r="83" spans="1:37" x14ac:dyDescent="0.25">
      <c r="F83" s="2"/>
      <c r="G83" s="2"/>
      <c r="H83" s="2"/>
      <c r="J83" s="37"/>
      <c r="T83" s="22" t="s">
        <v>22</v>
      </c>
      <c r="U83" s="23">
        <f>SUM(K82:U82)</f>
        <v>0</v>
      </c>
      <c r="W83" s="2"/>
      <c r="Y83" s="1"/>
      <c r="AB83" s="22" t="s">
        <v>22</v>
      </c>
      <c r="AC83" s="23">
        <f>SUM(X82:AC82)</f>
        <v>0</v>
      </c>
      <c r="AE83" s="2"/>
      <c r="AG83" s="1"/>
      <c r="AJ83" s="22" t="s">
        <v>22</v>
      </c>
      <c r="AK83" s="23">
        <f>SUM(AF82:AK82)</f>
        <v>0</v>
      </c>
    </row>
    <row r="84" spans="1:37" ht="15.75" thickBot="1" x14ac:dyDescent="0.3">
      <c r="A84" s="34"/>
      <c r="B84" s="171" t="s">
        <v>15</v>
      </c>
      <c r="C84" s="171"/>
      <c r="D84" s="171"/>
      <c r="E84" s="171"/>
      <c r="F84" s="171"/>
      <c r="G84" s="171"/>
      <c r="H84" s="171"/>
      <c r="J84" s="172" t="s">
        <v>15</v>
      </c>
      <c r="K84" s="172"/>
      <c r="L84" s="172"/>
      <c r="M84" s="172"/>
      <c r="N84" s="172"/>
      <c r="O84" s="172"/>
      <c r="P84" s="172"/>
      <c r="Q84" s="172"/>
      <c r="R84" s="172"/>
      <c r="S84" s="172"/>
      <c r="T84" s="172"/>
      <c r="U84" s="172"/>
      <c r="W84" s="173" t="str">
        <f>J84</f>
        <v>Julho</v>
      </c>
      <c r="X84" s="173"/>
      <c r="Y84" s="173"/>
      <c r="Z84" s="173"/>
      <c r="AA84" s="173"/>
      <c r="AB84" s="173"/>
      <c r="AC84" s="173"/>
      <c r="AE84" s="174" t="str">
        <f>W84</f>
        <v>Julho</v>
      </c>
      <c r="AF84" s="174"/>
      <c r="AG84" s="174"/>
      <c r="AH84" s="174"/>
      <c r="AI84" s="174"/>
      <c r="AJ84" s="174"/>
      <c r="AK84" s="174"/>
    </row>
    <row r="85" spans="1:37" ht="15.75" thickBot="1" x14ac:dyDescent="0.3">
      <c r="A85" s="168" t="s">
        <v>4</v>
      </c>
      <c r="B85" s="10" t="s">
        <v>5</v>
      </c>
      <c r="C85" s="11" t="s">
        <v>6</v>
      </c>
      <c r="D85" s="12" t="s">
        <v>7</v>
      </c>
      <c r="E85" s="11" t="s">
        <v>8</v>
      </c>
      <c r="F85" s="12" t="s">
        <v>9</v>
      </c>
      <c r="G85" s="11" t="s">
        <v>10</v>
      </c>
      <c r="H85" s="32" t="s">
        <v>11</v>
      </c>
      <c r="J85" s="35" t="s">
        <v>3</v>
      </c>
      <c r="K85" s="14"/>
      <c r="L85" s="15"/>
      <c r="M85" s="15"/>
      <c r="N85" s="15"/>
      <c r="O85" s="15"/>
      <c r="P85" s="15"/>
      <c r="Q85" s="15"/>
      <c r="R85" s="15"/>
      <c r="S85" s="15"/>
      <c r="T85" s="15"/>
      <c r="U85" s="16"/>
      <c r="W85" s="35" t="s">
        <v>3</v>
      </c>
      <c r="X85" s="14"/>
      <c r="Y85" s="15"/>
      <c r="Z85" s="15"/>
      <c r="AA85" s="15"/>
      <c r="AB85" s="15"/>
      <c r="AC85" s="16"/>
      <c r="AE85" s="35" t="s">
        <v>3</v>
      </c>
      <c r="AF85" s="14"/>
      <c r="AG85" s="15"/>
      <c r="AH85" s="15"/>
      <c r="AI85" s="15"/>
      <c r="AJ85" s="15"/>
      <c r="AK85" s="16"/>
    </row>
    <row r="86" spans="1:37" ht="15.75" thickBot="1" x14ac:dyDescent="0.3">
      <c r="A86" s="168"/>
      <c r="B86" s="17"/>
      <c r="C86" s="18"/>
      <c r="D86" s="18"/>
      <c r="E86" s="18"/>
      <c r="F86" s="18">
        <f>SUM(C86-B86)</f>
        <v>0</v>
      </c>
      <c r="G86" s="18">
        <f>SUM(E86-D86)</f>
        <v>0</v>
      </c>
      <c r="H86" s="33">
        <f>SUM(F86:G86)</f>
        <v>0</v>
      </c>
      <c r="J86" s="36" t="s">
        <v>21</v>
      </c>
      <c r="K86" s="19"/>
      <c r="L86" s="20"/>
      <c r="M86" s="20"/>
      <c r="N86" s="20"/>
      <c r="O86" s="20"/>
      <c r="P86" s="20"/>
      <c r="Q86" s="20"/>
      <c r="R86" s="20"/>
      <c r="S86" s="20"/>
      <c r="T86" s="20"/>
      <c r="U86" s="21"/>
      <c r="W86" s="36" t="s">
        <v>21</v>
      </c>
      <c r="X86" s="19"/>
      <c r="Y86" s="20"/>
      <c r="Z86" s="20"/>
      <c r="AA86" s="20"/>
      <c r="AB86" s="20"/>
      <c r="AC86" s="21"/>
      <c r="AE86" s="36" t="s">
        <v>21</v>
      </c>
      <c r="AF86" s="19"/>
      <c r="AG86" s="20"/>
      <c r="AH86" s="20"/>
      <c r="AI86" s="20"/>
      <c r="AJ86" s="20"/>
      <c r="AK86" s="21"/>
    </row>
    <row r="87" spans="1:37" x14ac:dyDescent="0.25">
      <c r="F87" s="2"/>
      <c r="G87" s="2"/>
      <c r="H87" s="2"/>
      <c r="J87" s="37"/>
      <c r="T87" s="22" t="s">
        <v>22</v>
      </c>
      <c r="U87" s="23">
        <f>SUM(K86:U86)</f>
        <v>0</v>
      </c>
      <c r="W87" s="2"/>
      <c r="Y87" s="1"/>
      <c r="AB87" s="22" t="s">
        <v>22</v>
      </c>
      <c r="AC87" s="23">
        <f>SUM(X86:AC86)</f>
        <v>0</v>
      </c>
      <c r="AE87" s="2"/>
      <c r="AG87" s="1"/>
      <c r="AJ87" s="22" t="s">
        <v>22</v>
      </c>
      <c r="AK87" s="23">
        <f>SUM(AF86:AK86)</f>
        <v>0</v>
      </c>
    </row>
  </sheetData>
  <mergeCells count="111">
    <mergeCell ref="B84:H84"/>
    <mergeCell ref="J84:U84"/>
    <mergeCell ref="W84:AC84"/>
    <mergeCell ref="AE84:AK84"/>
    <mergeCell ref="A85:A86"/>
    <mergeCell ref="B80:H80"/>
    <mergeCell ref="J80:U80"/>
    <mergeCell ref="W80:AC80"/>
    <mergeCell ref="AE80:AK80"/>
    <mergeCell ref="A81:A82"/>
    <mergeCell ref="B76:H76"/>
    <mergeCell ref="J76:U76"/>
    <mergeCell ref="W76:AC76"/>
    <mergeCell ref="AE76:AK76"/>
    <mergeCell ref="A77:A78"/>
    <mergeCell ref="B72:H72"/>
    <mergeCell ref="J72:U72"/>
    <mergeCell ref="W72:AC72"/>
    <mergeCell ref="AE72:AK72"/>
    <mergeCell ref="A73:A74"/>
    <mergeCell ref="B68:H68"/>
    <mergeCell ref="J68:U68"/>
    <mergeCell ref="W68:AC68"/>
    <mergeCell ref="AE68:AK68"/>
    <mergeCell ref="A69:A70"/>
    <mergeCell ref="B64:H64"/>
    <mergeCell ref="J64:U64"/>
    <mergeCell ref="W64:AC64"/>
    <mergeCell ref="AE64:AK64"/>
    <mergeCell ref="A65:A66"/>
    <mergeCell ref="B60:H60"/>
    <mergeCell ref="J60:U60"/>
    <mergeCell ref="W60:AC60"/>
    <mergeCell ref="AE60:AK60"/>
    <mergeCell ref="A61:A62"/>
    <mergeCell ref="B7:C7"/>
    <mergeCell ref="E7:F7"/>
    <mergeCell ref="A1:A2"/>
    <mergeCell ref="B1:AM1"/>
    <mergeCell ref="B2:AM2"/>
    <mergeCell ref="B4:C4"/>
    <mergeCell ref="E4:F4"/>
    <mergeCell ref="B5:C5"/>
    <mergeCell ref="E5:F5"/>
    <mergeCell ref="B6:C6"/>
    <mergeCell ref="E6:F6"/>
    <mergeCell ref="H6:I6"/>
    <mergeCell ref="A17:A18"/>
    <mergeCell ref="A10:H10"/>
    <mergeCell ref="J10:U10"/>
    <mergeCell ref="Y10:AE10"/>
    <mergeCell ref="AG10:AM10"/>
    <mergeCell ref="B12:H12"/>
    <mergeCell ref="J12:U12"/>
    <mergeCell ref="Y12:AE12"/>
    <mergeCell ref="AG12:AM12"/>
    <mergeCell ref="A13:A14"/>
    <mergeCell ref="B16:H16"/>
    <mergeCell ref="J16:U16"/>
    <mergeCell ref="Y16:AE16"/>
    <mergeCell ref="AG16:AM16"/>
    <mergeCell ref="A29:A30"/>
    <mergeCell ref="B20:H20"/>
    <mergeCell ref="J20:U20"/>
    <mergeCell ref="Y20:AE20"/>
    <mergeCell ref="AG20:AM20"/>
    <mergeCell ref="A21:A22"/>
    <mergeCell ref="B24:H24"/>
    <mergeCell ref="J24:U24"/>
    <mergeCell ref="Y24:AE24"/>
    <mergeCell ref="AG24:AM24"/>
    <mergeCell ref="A25:A26"/>
    <mergeCell ref="B28:H28"/>
    <mergeCell ref="J28:U28"/>
    <mergeCell ref="Y28:AE28"/>
    <mergeCell ref="AG28:AM28"/>
    <mergeCell ref="A41:A42"/>
    <mergeCell ref="B32:H32"/>
    <mergeCell ref="J32:U32"/>
    <mergeCell ref="Y32:AE32"/>
    <mergeCell ref="AG32:AM32"/>
    <mergeCell ref="A33:A34"/>
    <mergeCell ref="B36:H36"/>
    <mergeCell ref="J36:U36"/>
    <mergeCell ref="Y36:AE36"/>
    <mergeCell ref="AG36:AM36"/>
    <mergeCell ref="A37:A38"/>
    <mergeCell ref="B40:H40"/>
    <mergeCell ref="J40:U40"/>
    <mergeCell ref="Y40:AE40"/>
    <mergeCell ref="AG40:AM40"/>
    <mergeCell ref="B56:H56"/>
    <mergeCell ref="J56:U56"/>
    <mergeCell ref="Y56:AE56"/>
    <mergeCell ref="AG56:AM56"/>
    <mergeCell ref="A57:A58"/>
    <mergeCell ref="A53:A54"/>
    <mergeCell ref="B44:H44"/>
    <mergeCell ref="J44:U44"/>
    <mergeCell ref="Y44:AE44"/>
    <mergeCell ref="AG44:AM44"/>
    <mergeCell ref="A45:A46"/>
    <mergeCell ref="B48:H48"/>
    <mergeCell ref="J48:U48"/>
    <mergeCell ref="Y48:AE48"/>
    <mergeCell ref="AG48:AM48"/>
    <mergeCell ref="A49:A50"/>
    <mergeCell ref="B52:H52"/>
    <mergeCell ref="J52:U52"/>
    <mergeCell ref="Y52:AE52"/>
    <mergeCell ref="AG52:AM52"/>
  </mergeCells>
  <phoneticPr fontId="2" type="noConversion"/>
  <pageMargins left="0.511811024" right="0.511811024" top="0.78740157499999996" bottom="0.78740157499999996" header="0.31496062000000002" footer="0.31496062000000002"/>
  <drawing r:id="rId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K135"/>
  <sheetViews>
    <sheetView showGridLines="0" topLeftCell="A101" zoomScaleNormal="100" workbookViewId="0">
      <selection activeCell="K6" sqref="K6"/>
    </sheetView>
  </sheetViews>
  <sheetFormatPr defaultColWidth="9" defaultRowHeight="15" x14ac:dyDescent="0.25"/>
  <cols>
    <col min="1" max="1" width="14.85546875" style="2" customWidth="1"/>
    <col min="2" max="2" width="11.7109375" style="2" bestFit="1" customWidth="1"/>
    <col min="3" max="3" width="9.28515625" style="2" bestFit="1" customWidth="1"/>
    <col min="4" max="4" width="10.7109375" style="2" customWidth="1"/>
    <col min="5" max="5" width="9.28515625" style="2" bestFit="1" customWidth="1"/>
    <col min="6" max="6" width="13.140625" style="1" customWidth="1"/>
    <col min="7" max="7" width="13.85546875" style="1" customWidth="1"/>
    <col min="8" max="8" width="12.140625" style="1" bestFit="1" customWidth="1"/>
    <col min="9" max="9" width="9.85546875" style="1" customWidth="1"/>
    <col min="10" max="10" width="10.7109375" style="2" bestFit="1" customWidth="1"/>
    <col min="11" max="16" width="12" style="1" bestFit="1" customWidth="1"/>
    <col min="17" max="20" width="10.7109375" style="1" bestFit="1" customWidth="1"/>
    <col min="21" max="21" width="12.140625" style="1" bestFit="1" customWidth="1"/>
    <col min="22" max="22" width="9" style="1"/>
    <col min="23" max="23" width="9" style="2"/>
    <col min="24" max="25" width="10.7109375" style="1" bestFit="1" customWidth="1"/>
    <col min="26" max="28" width="9" style="1"/>
    <col min="29" max="29" width="9.5703125" style="1" bestFit="1" customWidth="1"/>
    <col min="30" max="30" width="9" style="1"/>
    <col min="31" max="31" width="9" style="2"/>
    <col min="32" max="33" width="9" style="1"/>
    <col min="34" max="36" width="10.140625" style="1" bestFit="1" customWidth="1"/>
    <col min="37" max="16384" width="9" style="1"/>
  </cols>
  <sheetData>
    <row r="1" spans="1:37" ht="30.75" customHeight="1" x14ac:dyDescent="0.25">
      <c r="A1" s="162"/>
      <c r="B1" s="164" t="s">
        <v>51</v>
      </c>
      <c r="C1" s="164"/>
      <c r="D1" s="164"/>
      <c r="E1" s="164"/>
      <c r="F1" s="164"/>
      <c r="G1" s="164"/>
      <c r="H1" s="164"/>
      <c r="I1" s="164"/>
      <c r="J1" s="164"/>
      <c r="K1" s="164"/>
      <c r="L1" s="164"/>
      <c r="M1" s="164"/>
      <c r="N1" s="164"/>
      <c r="O1" s="164"/>
      <c r="P1" s="164"/>
      <c r="Q1" s="164"/>
      <c r="R1" s="164"/>
      <c r="S1" s="164"/>
      <c r="T1" s="164"/>
      <c r="U1" s="164"/>
      <c r="V1" s="164"/>
      <c r="W1" s="164"/>
      <c r="X1" s="164"/>
      <c r="Y1" s="164"/>
      <c r="Z1" s="164"/>
      <c r="AA1" s="164"/>
      <c r="AB1" s="164"/>
      <c r="AC1" s="164"/>
      <c r="AD1" s="164"/>
      <c r="AE1" s="164"/>
      <c r="AF1" s="164"/>
      <c r="AG1" s="164"/>
      <c r="AH1" s="164"/>
      <c r="AI1" s="164"/>
      <c r="AJ1" s="164"/>
      <c r="AK1" s="165"/>
    </row>
    <row r="2" spans="1:37" ht="20.25" customHeight="1" x14ac:dyDescent="0.25">
      <c r="A2" s="163"/>
      <c r="B2" s="166" t="s">
        <v>50</v>
      </c>
      <c r="C2" s="166"/>
      <c r="D2" s="166"/>
      <c r="E2" s="166"/>
      <c r="F2" s="166"/>
      <c r="G2" s="166"/>
      <c r="H2" s="166"/>
      <c r="I2" s="166"/>
      <c r="J2" s="166"/>
      <c r="K2" s="166"/>
      <c r="L2" s="166"/>
      <c r="M2" s="166"/>
      <c r="N2" s="166"/>
      <c r="O2" s="166"/>
      <c r="P2" s="166"/>
      <c r="Q2" s="166"/>
      <c r="R2" s="166"/>
      <c r="S2" s="166"/>
      <c r="T2" s="166"/>
      <c r="U2" s="166"/>
      <c r="V2" s="166"/>
      <c r="W2" s="166"/>
      <c r="X2" s="166"/>
      <c r="Y2" s="166"/>
      <c r="Z2" s="166"/>
      <c r="AA2" s="166"/>
      <c r="AB2" s="166"/>
      <c r="AC2" s="166"/>
      <c r="AD2" s="166"/>
      <c r="AE2" s="166"/>
      <c r="AF2" s="166"/>
      <c r="AG2" s="166"/>
      <c r="AH2" s="166"/>
      <c r="AI2" s="166"/>
      <c r="AJ2" s="166"/>
      <c r="AK2" s="167"/>
    </row>
    <row r="4" spans="1:37" x14ac:dyDescent="0.25">
      <c r="A4" s="31" t="s">
        <v>47</v>
      </c>
      <c r="B4" s="161" t="s">
        <v>64</v>
      </c>
      <c r="C4" s="161"/>
      <c r="D4" s="31" t="s">
        <v>0</v>
      </c>
      <c r="E4" s="161" t="s">
        <v>65</v>
      </c>
      <c r="F4" s="161"/>
      <c r="G4" s="31" t="s">
        <v>125</v>
      </c>
      <c r="H4" s="137">
        <v>4500</v>
      </c>
    </row>
    <row r="5" spans="1:37" x14ac:dyDescent="0.25">
      <c r="A5" s="134" t="s">
        <v>105</v>
      </c>
      <c r="B5" s="188">
        <v>45675</v>
      </c>
      <c r="C5" s="161"/>
      <c r="D5" s="31" t="s">
        <v>107</v>
      </c>
      <c r="E5" s="161" t="s">
        <v>106</v>
      </c>
      <c r="F5" s="161"/>
      <c r="G5" s="31" t="s">
        <v>95</v>
      </c>
      <c r="H5" s="4" t="s">
        <v>81</v>
      </c>
    </row>
    <row r="6" spans="1:37" x14ac:dyDescent="0.25">
      <c r="A6" s="83"/>
      <c r="D6" s="31"/>
      <c r="F6" s="2"/>
      <c r="G6" s="31"/>
    </row>
    <row r="7" spans="1:37" x14ac:dyDescent="0.25">
      <c r="A7" s="31" t="s">
        <v>48</v>
      </c>
      <c r="B7" s="160">
        <v>3792.09</v>
      </c>
      <c r="C7" s="160"/>
      <c r="D7" s="31" t="s">
        <v>44</v>
      </c>
      <c r="E7" s="201">
        <v>45</v>
      </c>
      <c r="F7" s="161"/>
      <c r="G7" s="31" t="s">
        <v>46</v>
      </c>
      <c r="H7" s="5">
        <v>45543</v>
      </c>
      <c r="I7" s="31" t="s">
        <v>146</v>
      </c>
      <c r="J7" s="5">
        <v>46102</v>
      </c>
      <c r="K7" s="31"/>
    </row>
    <row r="9" spans="1:37" x14ac:dyDescent="0.25">
      <c r="A9" s="202" t="s">
        <v>108</v>
      </c>
      <c r="B9" s="203"/>
      <c r="C9" s="203"/>
      <c r="D9" s="203"/>
      <c r="E9" s="203"/>
      <c r="F9" s="203"/>
      <c r="G9" s="203"/>
      <c r="H9" s="203"/>
    </row>
    <row r="10" spans="1:37" s="28" customFormat="1" ht="18.75" x14ac:dyDescent="0.3">
      <c r="A10" s="169" t="s">
        <v>26</v>
      </c>
      <c r="B10" s="169"/>
      <c r="C10" s="169"/>
      <c r="D10" s="169"/>
      <c r="E10" s="169"/>
      <c r="F10" s="169"/>
      <c r="G10" s="169"/>
      <c r="H10" s="169"/>
      <c r="J10" s="169" t="s">
        <v>24</v>
      </c>
      <c r="K10" s="169"/>
      <c r="L10" s="169"/>
      <c r="M10" s="169"/>
      <c r="N10" s="169"/>
      <c r="O10" s="169"/>
      <c r="P10" s="169"/>
      <c r="Q10" s="169"/>
      <c r="R10" s="169"/>
      <c r="S10" s="169"/>
      <c r="T10" s="169"/>
      <c r="U10" s="169"/>
      <c r="V10" s="29"/>
      <c r="W10" s="170" t="s">
        <v>49</v>
      </c>
      <c r="X10" s="170"/>
      <c r="Y10" s="170"/>
      <c r="Z10" s="170"/>
      <c r="AA10" s="170"/>
      <c r="AB10" s="170"/>
      <c r="AC10" s="170"/>
      <c r="AD10" s="29"/>
      <c r="AE10" s="170" t="s">
        <v>25</v>
      </c>
      <c r="AF10" s="170"/>
      <c r="AG10" s="170"/>
      <c r="AH10" s="170"/>
      <c r="AI10" s="170"/>
      <c r="AJ10" s="170"/>
      <c r="AK10" s="170"/>
    </row>
    <row r="11" spans="1:37" s="6" customFormat="1" x14ac:dyDescent="0.25">
      <c r="A11" s="7"/>
      <c r="B11" s="7"/>
      <c r="C11" s="7"/>
      <c r="D11" s="7"/>
      <c r="E11" s="7"/>
      <c r="F11" s="7"/>
      <c r="G11" s="7"/>
      <c r="H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8"/>
      <c r="W11" s="9"/>
      <c r="X11" s="9"/>
      <c r="Y11" s="9"/>
      <c r="Z11" s="9"/>
      <c r="AA11" s="9"/>
      <c r="AB11" s="9"/>
      <c r="AC11" s="9"/>
      <c r="AD11" s="8"/>
      <c r="AE11" s="9"/>
      <c r="AF11" s="9"/>
      <c r="AG11" s="9"/>
      <c r="AH11" s="9"/>
      <c r="AI11" s="9"/>
      <c r="AJ11" s="9"/>
      <c r="AK11" s="9"/>
    </row>
    <row r="12" spans="1:37" s="6" customFormat="1" ht="15.75" thickBot="1" x14ac:dyDescent="0.3">
      <c r="A12" s="34"/>
      <c r="B12" s="171" t="s">
        <v>54</v>
      </c>
      <c r="C12" s="171"/>
      <c r="D12" s="171"/>
      <c r="E12" s="171"/>
      <c r="F12" s="171"/>
      <c r="G12" s="171"/>
      <c r="H12" s="171"/>
      <c r="J12" s="172" t="s">
        <v>54</v>
      </c>
      <c r="K12" s="172"/>
      <c r="L12" s="172"/>
      <c r="M12" s="172"/>
      <c r="N12" s="172"/>
      <c r="O12" s="172"/>
      <c r="P12" s="172"/>
      <c r="Q12" s="172"/>
      <c r="R12" s="172"/>
      <c r="S12" s="172"/>
      <c r="T12" s="172"/>
      <c r="U12" s="172"/>
      <c r="V12" s="8"/>
      <c r="W12" s="173" t="s">
        <v>54</v>
      </c>
      <c r="X12" s="173"/>
      <c r="Y12" s="173"/>
      <c r="Z12" s="173"/>
      <c r="AA12" s="173"/>
      <c r="AB12" s="173"/>
      <c r="AC12" s="173"/>
      <c r="AD12" s="8"/>
      <c r="AE12" s="174" t="s">
        <v>54</v>
      </c>
      <c r="AF12" s="174"/>
      <c r="AG12" s="174"/>
      <c r="AH12" s="174"/>
      <c r="AI12" s="174"/>
      <c r="AJ12" s="174"/>
      <c r="AK12" s="174"/>
    </row>
    <row r="13" spans="1:37" s="6" customFormat="1" ht="15.75" thickBot="1" x14ac:dyDescent="0.3">
      <c r="A13" s="168" t="s">
        <v>4</v>
      </c>
      <c r="B13" s="10" t="s">
        <v>5</v>
      </c>
      <c r="C13" s="11" t="s">
        <v>6</v>
      </c>
      <c r="D13" s="12" t="s">
        <v>7</v>
      </c>
      <c r="E13" s="11" t="s">
        <v>8</v>
      </c>
      <c r="F13" s="12" t="s">
        <v>9</v>
      </c>
      <c r="G13" s="11" t="s">
        <v>10</v>
      </c>
      <c r="H13" s="32" t="s">
        <v>11</v>
      </c>
      <c r="J13" s="35" t="s">
        <v>3</v>
      </c>
      <c r="K13" s="14"/>
      <c r="L13" s="15"/>
      <c r="M13" s="15"/>
      <c r="N13" s="15"/>
      <c r="O13" s="15"/>
      <c r="P13" s="15"/>
      <c r="Q13" s="15"/>
      <c r="R13" s="15"/>
      <c r="S13" s="15"/>
      <c r="T13" s="15"/>
      <c r="U13" s="16"/>
      <c r="V13" s="8"/>
      <c r="W13" s="35" t="s">
        <v>3</v>
      </c>
      <c r="X13" s="14"/>
      <c r="Y13" s="15"/>
      <c r="Z13" s="15"/>
      <c r="AA13" s="15"/>
      <c r="AB13" s="15"/>
      <c r="AC13" s="16"/>
      <c r="AD13" s="8"/>
      <c r="AE13" s="35" t="s">
        <v>3</v>
      </c>
      <c r="AF13" s="14"/>
      <c r="AG13" s="15"/>
      <c r="AH13" s="15"/>
      <c r="AI13" s="15"/>
      <c r="AJ13" s="15"/>
      <c r="AK13" s="16"/>
    </row>
    <row r="14" spans="1:37" s="6" customFormat="1" ht="15.75" thickBot="1" x14ac:dyDescent="0.3">
      <c r="A14" s="168"/>
      <c r="B14" s="17"/>
      <c r="C14" s="18"/>
      <c r="D14" s="18"/>
      <c r="E14" s="18"/>
      <c r="F14" s="18">
        <f>SUM(C14-B14)</f>
        <v>0</v>
      </c>
      <c r="G14" s="18">
        <f>SUM(E14-D14)</f>
        <v>0</v>
      </c>
      <c r="H14" s="33">
        <f>SUM(F14:G14)</f>
        <v>0</v>
      </c>
      <c r="J14" s="36" t="s">
        <v>21</v>
      </c>
      <c r="K14" s="19"/>
      <c r="L14" s="20"/>
      <c r="M14" s="20"/>
      <c r="N14" s="20"/>
      <c r="O14" s="20"/>
      <c r="P14" s="20"/>
      <c r="Q14" s="20"/>
      <c r="R14" s="20"/>
      <c r="S14" s="20"/>
      <c r="T14" s="20"/>
      <c r="U14" s="21"/>
      <c r="V14" s="8"/>
      <c r="W14" s="36" t="s">
        <v>21</v>
      </c>
      <c r="X14" s="19"/>
      <c r="Y14" s="20"/>
      <c r="Z14" s="20"/>
      <c r="AA14" s="20"/>
      <c r="AB14" s="20"/>
      <c r="AC14" s="21"/>
      <c r="AD14" s="8"/>
      <c r="AE14" s="36" t="s">
        <v>21</v>
      </c>
      <c r="AF14" s="19"/>
      <c r="AG14" s="20"/>
      <c r="AH14" s="20"/>
      <c r="AI14" s="20"/>
      <c r="AJ14" s="20"/>
      <c r="AK14" s="21"/>
    </row>
    <row r="15" spans="1:37" s="6" customFormat="1" x14ac:dyDescent="0.25">
      <c r="A15" s="7"/>
      <c r="B15" s="7"/>
      <c r="C15" s="7"/>
      <c r="D15" s="7"/>
      <c r="E15" s="7"/>
      <c r="F15" s="7"/>
      <c r="G15" s="7"/>
      <c r="H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22" t="s">
        <v>22</v>
      </c>
      <c r="U15" s="23">
        <f>SUM(K14:U14)</f>
        <v>0</v>
      </c>
      <c r="V15" s="8"/>
      <c r="W15" s="2"/>
      <c r="X15" s="1"/>
      <c r="Y15" s="1"/>
      <c r="Z15" s="1"/>
      <c r="AA15" s="1"/>
      <c r="AB15" s="22" t="s">
        <v>22</v>
      </c>
      <c r="AC15" s="23">
        <f>SUM(X14:AC14)</f>
        <v>0</v>
      </c>
      <c r="AD15" s="8"/>
      <c r="AE15" s="2"/>
      <c r="AF15" s="1"/>
      <c r="AG15" s="1"/>
      <c r="AH15" s="1"/>
      <c r="AI15" s="1"/>
      <c r="AJ15" s="22" t="s">
        <v>22</v>
      </c>
      <c r="AK15" s="23">
        <f>SUM(AF14:AK14)</f>
        <v>0</v>
      </c>
    </row>
    <row r="16" spans="1:37" ht="15.75" thickBot="1" x14ac:dyDescent="0.3">
      <c r="A16" s="34"/>
      <c r="B16" s="171" t="s">
        <v>2</v>
      </c>
      <c r="C16" s="171"/>
      <c r="D16" s="171"/>
      <c r="E16" s="171"/>
      <c r="F16" s="171"/>
      <c r="G16" s="171"/>
      <c r="H16" s="171"/>
      <c r="J16" s="172" t="s">
        <v>2</v>
      </c>
      <c r="K16" s="172"/>
      <c r="L16" s="172"/>
      <c r="M16" s="172"/>
      <c r="N16" s="172"/>
      <c r="O16" s="172"/>
      <c r="P16" s="172"/>
      <c r="Q16" s="172"/>
      <c r="R16" s="172"/>
      <c r="S16" s="172"/>
      <c r="T16" s="172"/>
      <c r="U16" s="172"/>
      <c r="W16" s="173" t="s">
        <v>2</v>
      </c>
      <c r="X16" s="173"/>
      <c r="Y16" s="173"/>
      <c r="Z16" s="173"/>
      <c r="AA16" s="173"/>
      <c r="AB16" s="173"/>
      <c r="AC16" s="173"/>
      <c r="AE16" s="174" t="s">
        <v>2</v>
      </c>
      <c r="AF16" s="174"/>
      <c r="AG16" s="174"/>
      <c r="AH16" s="174"/>
      <c r="AI16" s="174"/>
      <c r="AJ16" s="174"/>
      <c r="AK16" s="174"/>
    </row>
    <row r="17" spans="1:37" ht="15.75" thickBot="1" x14ac:dyDescent="0.3">
      <c r="A17" s="168" t="s">
        <v>4</v>
      </c>
      <c r="B17" s="10" t="s">
        <v>5</v>
      </c>
      <c r="C17" s="11" t="s">
        <v>6</v>
      </c>
      <c r="D17" s="12" t="s">
        <v>7</v>
      </c>
      <c r="E17" s="11" t="s">
        <v>8</v>
      </c>
      <c r="F17" s="12" t="s">
        <v>9</v>
      </c>
      <c r="G17" s="11" t="s">
        <v>10</v>
      </c>
      <c r="H17" s="32" t="s">
        <v>11</v>
      </c>
      <c r="J17" s="35" t="s">
        <v>3</v>
      </c>
      <c r="K17" s="14"/>
      <c r="L17" s="15"/>
      <c r="M17" s="15"/>
      <c r="N17" s="15"/>
      <c r="O17" s="15"/>
      <c r="P17" s="15"/>
      <c r="Q17" s="15"/>
      <c r="R17" s="15"/>
      <c r="S17" s="15"/>
      <c r="T17" s="15"/>
      <c r="U17" s="16"/>
      <c r="W17" s="35" t="s">
        <v>3</v>
      </c>
      <c r="X17" s="14"/>
      <c r="Y17" s="15"/>
      <c r="Z17" s="15"/>
      <c r="AA17" s="15"/>
      <c r="AB17" s="15"/>
      <c r="AC17" s="16"/>
      <c r="AE17" s="35" t="s">
        <v>3</v>
      </c>
      <c r="AF17" s="14"/>
      <c r="AG17" s="15"/>
      <c r="AH17" s="15"/>
      <c r="AI17" s="15"/>
      <c r="AJ17" s="15"/>
      <c r="AK17" s="16"/>
    </row>
    <row r="18" spans="1:37" ht="15.75" thickBot="1" x14ac:dyDescent="0.3">
      <c r="A18" s="168"/>
      <c r="B18" s="17"/>
      <c r="C18" s="18"/>
      <c r="D18" s="18"/>
      <c r="E18" s="18"/>
      <c r="F18" s="18">
        <f>SUM(C18-B18)</f>
        <v>0</v>
      </c>
      <c r="G18" s="18">
        <f>SUM(E18-D18)</f>
        <v>0</v>
      </c>
      <c r="H18" s="33">
        <f>SUM(F18:G18)</f>
        <v>0</v>
      </c>
      <c r="J18" s="36" t="s">
        <v>21</v>
      </c>
      <c r="K18" s="19"/>
      <c r="L18" s="20"/>
      <c r="M18" s="20"/>
      <c r="N18" s="20"/>
      <c r="O18" s="20"/>
      <c r="P18" s="20"/>
      <c r="Q18" s="20"/>
      <c r="R18" s="20"/>
      <c r="S18" s="20"/>
      <c r="T18" s="20"/>
      <c r="U18" s="21"/>
      <c r="W18" s="36" t="s">
        <v>21</v>
      </c>
      <c r="X18" s="19"/>
      <c r="Y18" s="20"/>
      <c r="Z18" s="20"/>
      <c r="AA18" s="20"/>
      <c r="AB18" s="20"/>
      <c r="AC18" s="21"/>
      <c r="AE18" s="36" t="s">
        <v>21</v>
      </c>
      <c r="AF18" s="19"/>
      <c r="AG18" s="20"/>
      <c r="AH18" s="20"/>
      <c r="AI18" s="20"/>
      <c r="AJ18" s="20"/>
      <c r="AK18" s="21"/>
    </row>
    <row r="19" spans="1:37" x14ac:dyDescent="0.25">
      <c r="F19" s="2"/>
      <c r="G19" s="2"/>
      <c r="H19" s="2"/>
      <c r="J19" s="37"/>
      <c r="T19" s="22" t="s">
        <v>22</v>
      </c>
      <c r="U19" s="23">
        <f>SUM(K18:U18)</f>
        <v>0</v>
      </c>
      <c r="AB19" s="22" t="s">
        <v>22</v>
      </c>
      <c r="AC19" s="23">
        <f>SUM(X18:AC18)</f>
        <v>0</v>
      </c>
      <c r="AJ19" s="22" t="s">
        <v>22</v>
      </c>
      <c r="AK19" s="23">
        <f>SUM(AF18:AK18)</f>
        <v>0</v>
      </c>
    </row>
    <row r="20" spans="1:37" ht="15.75" thickBot="1" x14ac:dyDescent="0.3">
      <c r="A20" s="34"/>
      <c r="B20" s="171" t="s">
        <v>12</v>
      </c>
      <c r="C20" s="171"/>
      <c r="D20" s="171"/>
      <c r="E20" s="171"/>
      <c r="F20" s="171"/>
      <c r="G20" s="171"/>
      <c r="H20" s="171"/>
      <c r="J20" s="172" t="s">
        <v>12</v>
      </c>
      <c r="K20" s="172"/>
      <c r="L20" s="172"/>
      <c r="M20" s="172"/>
      <c r="N20" s="172"/>
      <c r="O20" s="172"/>
      <c r="P20" s="172"/>
      <c r="Q20" s="172"/>
      <c r="R20" s="172"/>
      <c r="S20" s="172"/>
      <c r="T20" s="172"/>
      <c r="U20" s="172"/>
      <c r="W20" s="173" t="str">
        <f>J20</f>
        <v>Março</v>
      </c>
      <c r="X20" s="173"/>
      <c r="Y20" s="173"/>
      <c r="Z20" s="173"/>
      <c r="AA20" s="173"/>
      <c r="AB20" s="173"/>
      <c r="AC20" s="173"/>
      <c r="AE20" s="174" t="str">
        <f>W20</f>
        <v>Março</v>
      </c>
      <c r="AF20" s="174"/>
      <c r="AG20" s="174"/>
      <c r="AH20" s="174"/>
      <c r="AI20" s="174"/>
      <c r="AJ20" s="174"/>
      <c r="AK20" s="174"/>
    </row>
    <row r="21" spans="1:37" ht="15.75" thickBot="1" x14ac:dyDescent="0.3">
      <c r="A21" s="168" t="s">
        <v>4</v>
      </c>
      <c r="B21" s="10" t="s">
        <v>5</v>
      </c>
      <c r="C21" s="11" t="s">
        <v>6</v>
      </c>
      <c r="D21" s="12" t="s">
        <v>7</v>
      </c>
      <c r="E21" s="11" t="s">
        <v>8</v>
      </c>
      <c r="F21" s="12" t="s">
        <v>9</v>
      </c>
      <c r="G21" s="11" t="s">
        <v>10</v>
      </c>
      <c r="H21" s="32" t="s">
        <v>11</v>
      </c>
      <c r="J21" s="35" t="s">
        <v>3</v>
      </c>
      <c r="K21" s="14"/>
      <c r="L21" s="24"/>
      <c r="M21" s="24"/>
      <c r="N21" s="15"/>
      <c r="O21" s="15"/>
      <c r="P21" s="15"/>
      <c r="Q21" s="15"/>
      <c r="R21" s="15"/>
      <c r="S21" s="15"/>
      <c r="T21" s="15"/>
      <c r="U21" s="16"/>
      <c r="W21" s="35" t="s">
        <v>3</v>
      </c>
      <c r="X21" s="14"/>
      <c r="Y21" s="15"/>
      <c r="Z21" s="15"/>
      <c r="AA21" s="15"/>
      <c r="AB21" s="15"/>
      <c r="AC21" s="16"/>
      <c r="AE21" s="35" t="s">
        <v>3</v>
      </c>
      <c r="AF21" s="14"/>
      <c r="AG21" s="15"/>
      <c r="AH21" s="15"/>
      <c r="AI21" s="15"/>
      <c r="AJ21" s="15"/>
      <c r="AK21" s="16"/>
    </row>
    <row r="22" spans="1:37" ht="15.75" thickBot="1" x14ac:dyDescent="0.3">
      <c r="A22" s="168"/>
      <c r="B22" s="17"/>
      <c r="C22" s="18"/>
      <c r="D22" s="18"/>
      <c r="E22" s="18"/>
      <c r="F22" s="18">
        <f>SUM(C22-B22)</f>
        <v>0</v>
      </c>
      <c r="G22" s="18">
        <f>SUM(E22-D22)</f>
        <v>0</v>
      </c>
      <c r="H22" s="33">
        <f>SUM(F22:G22)</f>
        <v>0</v>
      </c>
      <c r="J22" s="36" t="s">
        <v>21</v>
      </c>
      <c r="K22" s="19"/>
      <c r="L22" s="20"/>
      <c r="M22" s="20"/>
      <c r="N22" s="20"/>
      <c r="O22" s="20"/>
      <c r="P22" s="20"/>
      <c r="Q22" s="20"/>
      <c r="R22" s="20"/>
      <c r="S22" s="20"/>
      <c r="T22" s="20"/>
      <c r="U22" s="21"/>
      <c r="W22" s="36" t="s">
        <v>21</v>
      </c>
      <c r="X22" s="19"/>
      <c r="Y22" s="20"/>
      <c r="Z22" s="20"/>
      <c r="AA22" s="20"/>
      <c r="AB22" s="20"/>
      <c r="AC22" s="21"/>
      <c r="AE22" s="36" t="s">
        <v>21</v>
      </c>
      <c r="AF22" s="19"/>
      <c r="AG22" s="20"/>
      <c r="AH22" s="20"/>
      <c r="AI22" s="20"/>
      <c r="AJ22" s="20"/>
      <c r="AK22" s="21"/>
    </row>
    <row r="23" spans="1:37" x14ac:dyDescent="0.25">
      <c r="F23" s="2"/>
      <c r="G23" s="2"/>
      <c r="H23" s="2"/>
      <c r="J23" s="37"/>
      <c r="T23" s="22" t="s">
        <v>22</v>
      </c>
      <c r="U23" s="23">
        <f>SUM(K22:U22)</f>
        <v>0</v>
      </c>
      <c r="AB23" s="22" t="s">
        <v>22</v>
      </c>
      <c r="AC23" s="23">
        <f>SUM(X22:AC22)</f>
        <v>0</v>
      </c>
      <c r="AJ23" s="22" t="s">
        <v>22</v>
      </c>
      <c r="AK23" s="23">
        <f>SUM(AF22:AK22)</f>
        <v>0</v>
      </c>
    </row>
    <row r="24" spans="1:37" ht="15.75" thickBot="1" x14ac:dyDescent="0.3">
      <c r="A24" s="34"/>
      <c r="B24" s="171" t="s">
        <v>13</v>
      </c>
      <c r="C24" s="171"/>
      <c r="D24" s="171"/>
      <c r="E24" s="171"/>
      <c r="F24" s="171"/>
      <c r="G24" s="171"/>
      <c r="H24" s="171"/>
      <c r="J24" s="172" t="s">
        <v>13</v>
      </c>
      <c r="K24" s="172"/>
      <c r="L24" s="172"/>
      <c r="M24" s="172"/>
      <c r="N24" s="172"/>
      <c r="O24" s="172"/>
      <c r="P24" s="172"/>
      <c r="Q24" s="172"/>
      <c r="R24" s="172"/>
      <c r="S24" s="172"/>
      <c r="T24" s="172"/>
      <c r="U24" s="172"/>
      <c r="W24" s="173" t="str">
        <f>J24</f>
        <v>Abril</v>
      </c>
      <c r="X24" s="173"/>
      <c r="Y24" s="173"/>
      <c r="Z24" s="173"/>
      <c r="AA24" s="173"/>
      <c r="AB24" s="173"/>
      <c r="AC24" s="173"/>
      <c r="AE24" s="174" t="str">
        <f>W24</f>
        <v>Abril</v>
      </c>
      <c r="AF24" s="174"/>
      <c r="AG24" s="174"/>
      <c r="AH24" s="174"/>
      <c r="AI24" s="174"/>
      <c r="AJ24" s="174"/>
      <c r="AK24" s="174"/>
    </row>
    <row r="25" spans="1:37" ht="15.75" thickBot="1" x14ac:dyDescent="0.3">
      <c r="A25" s="168" t="s">
        <v>4</v>
      </c>
      <c r="B25" s="10" t="s">
        <v>5</v>
      </c>
      <c r="C25" s="11" t="s">
        <v>6</v>
      </c>
      <c r="D25" s="12" t="s">
        <v>7</v>
      </c>
      <c r="E25" s="11" t="s">
        <v>8</v>
      </c>
      <c r="F25" s="12" t="s">
        <v>9</v>
      </c>
      <c r="G25" s="11" t="s">
        <v>10</v>
      </c>
      <c r="H25" s="32" t="s">
        <v>11</v>
      </c>
      <c r="J25" s="35" t="s">
        <v>3</v>
      </c>
      <c r="K25" s="14"/>
      <c r="L25" s="15"/>
      <c r="M25" s="15"/>
      <c r="N25" s="15"/>
      <c r="O25" s="15"/>
      <c r="P25" s="15"/>
      <c r="Q25" s="15"/>
      <c r="R25" s="15"/>
      <c r="S25" s="15"/>
      <c r="T25" s="15"/>
      <c r="U25" s="16"/>
      <c r="W25" s="35" t="s">
        <v>3</v>
      </c>
      <c r="X25" s="14"/>
      <c r="Y25" s="15"/>
      <c r="Z25" s="15"/>
      <c r="AA25" s="15"/>
      <c r="AB25" s="15"/>
      <c r="AC25" s="16"/>
      <c r="AE25" s="35" t="s">
        <v>3</v>
      </c>
      <c r="AF25" s="14"/>
      <c r="AG25" s="15"/>
      <c r="AH25" s="15"/>
      <c r="AI25" s="15"/>
      <c r="AJ25" s="15"/>
      <c r="AK25" s="16"/>
    </row>
    <row r="26" spans="1:37" ht="15.75" thickBot="1" x14ac:dyDescent="0.3">
      <c r="A26" s="168"/>
      <c r="B26" s="17"/>
      <c r="C26" s="18"/>
      <c r="D26" s="18"/>
      <c r="E26" s="18"/>
      <c r="F26" s="18">
        <f>SUM(C26-B26)</f>
        <v>0</v>
      </c>
      <c r="G26" s="18">
        <f>SUM(E26-D26)</f>
        <v>0</v>
      </c>
      <c r="H26" s="33">
        <f>SUM(F26:G26)</f>
        <v>0</v>
      </c>
      <c r="J26" s="36" t="s">
        <v>21</v>
      </c>
      <c r="K26" s="25"/>
      <c r="L26" s="26"/>
      <c r="M26" s="26"/>
      <c r="N26" s="26"/>
      <c r="O26" s="26"/>
      <c r="P26" s="26"/>
      <c r="Q26" s="26"/>
      <c r="R26" s="26"/>
      <c r="S26" s="26"/>
      <c r="T26" s="26"/>
      <c r="U26" s="27"/>
      <c r="W26" s="36" t="s">
        <v>21</v>
      </c>
      <c r="X26" s="19"/>
      <c r="Y26" s="20"/>
      <c r="Z26" s="20"/>
      <c r="AA26" s="20"/>
      <c r="AB26" s="20"/>
      <c r="AC26" s="21"/>
      <c r="AE26" s="36" t="s">
        <v>21</v>
      </c>
      <c r="AF26" s="19"/>
      <c r="AG26" s="20"/>
      <c r="AH26" s="20"/>
      <c r="AI26" s="20"/>
      <c r="AJ26" s="20"/>
      <c r="AK26" s="21"/>
    </row>
    <row r="27" spans="1:37" x14ac:dyDescent="0.25">
      <c r="F27" s="2"/>
      <c r="G27" s="2"/>
      <c r="H27" s="2"/>
      <c r="J27" s="37"/>
      <c r="T27" s="22" t="s">
        <v>22</v>
      </c>
      <c r="U27" s="23">
        <f>SUM(K26:U26)</f>
        <v>0</v>
      </c>
      <c r="AB27" s="22" t="s">
        <v>22</v>
      </c>
      <c r="AC27" s="23">
        <f>SUM(X26:AC26)</f>
        <v>0</v>
      </c>
      <c r="AJ27" s="22" t="s">
        <v>22</v>
      </c>
      <c r="AK27" s="23">
        <f>SUM(AF26:AK26)</f>
        <v>0</v>
      </c>
    </row>
    <row r="28" spans="1:37" ht="15.75" thickBot="1" x14ac:dyDescent="0.3">
      <c r="A28" s="34"/>
      <c r="B28" s="171" t="s">
        <v>14</v>
      </c>
      <c r="C28" s="171"/>
      <c r="D28" s="171"/>
      <c r="E28" s="171"/>
      <c r="F28" s="171"/>
      <c r="G28" s="171"/>
      <c r="H28" s="171"/>
      <c r="J28" s="172" t="s">
        <v>14</v>
      </c>
      <c r="K28" s="172"/>
      <c r="L28" s="172"/>
      <c r="M28" s="172"/>
      <c r="N28" s="172"/>
      <c r="O28" s="172"/>
      <c r="P28" s="172"/>
      <c r="Q28" s="172"/>
      <c r="R28" s="172"/>
      <c r="S28" s="172"/>
      <c r="T28" s="172"/>
      <c r="U28" s="172"/>
      <c r="W28" s="173" t="str">
        <f>J28</f>
        <v>Maio</v>
      </c>
      <c r="X28" s="173"/>
      <c r="Y28" s="173"/>
      <c r="Z28" s="173"/>
      <c r="AA28" s="173"/>
      <c r="AB28" s="173"/>
      <c r="AC28" s="173"/>
      <c r="AE28" s="174" t="str">
        <f>W28</f>
        <v>Maio</v>
      </c>
      <c r="AF28" s="174"/>
      <c r="AG28" s="174"/>
      <c r="AH28" s="174"/>
      <c r="AI28" s="174"/>
      <c r="AJ28" s="174"/>
      <c r="AK28" s="174"/>
    </row>
    <row r="29" spans="1:37" ht="15.75" thickBot="1" x14ac:dyDescent="0.3">
      <c r="A29" s="168" t="s">
        <v>4</v>
      </c>
      <c r="B29" s="10" t="s">
        <v>5</v>
      </c>
      <c r="C29" s="11" t="s">
        <v>6</v>
      </c>
      <c r="D29" s="12" t="s">
        <v>7</v>
      </c>
      <c r="E29" s="11" t="s">
        <v>8</v>
      </c>
      <c r="F29" s="12" t="s">
        <v>9</v>
      </c>
      <c r="G29" s="11" t="s">
        <v>10</v>
      </c>
      <c r="H29" s="32" t="s">
        <v>11</v>
      </c>
      <c r="J29" s="35" t="s">
        <v>3</v>
      </c>
      <c r="K29" s="14"/>
      <c r="L29" s="15"/>
      <c r="M29" s="15"/>
      <c r="N29" s="15"/>
      <c r="O29" s="15"/>
      <c r="P29" s="15"/>
      <c r="Q29" s="15"/>
      <c r="R29" s="15"/>
      <c r="S29" s="15"/>
      <c r="T29" s="15"/>
      <c r="U29" s="16"/>
      <c r="W29" s="35" t="s">
        <v>3</v>
      </c>
      <c r="X29" s="14"/>
      <c r="Y29" s="15"/>
      <c r="Z29" s="15"/>
      <c r="AA29" s="15"/>
      <c r="AB29" s="15"/>
      <c r="AC29" s="16"/>
      <c r="AE29" s="35" t="s">
        <v>3</v>
      </c>
      <c r="AF29" s="14"/>
      <c r="AG29" s="15"/>
      <c r="AH29" s="15"/>
      <c r="AI29" s="15"/>
      <c r="AJ29" s="15"/>
      <c r="AK29" s="16"/>
    </row>
    <row r="30" spans="1:37" ht="15.75" thickBot="1" x14ac:dyDescent="0.3">
      <c r="A30" s="168"/>
      <c r="B30" s="17"/>
      <c r="C30" s="18"/>
      <c r="D30" s="18"/>
      <c r="E30" s="18"/>
      <c r="F30" s="18">
        <f>SUM(C30-B30)</f>
        <v>0</v>
      </c>
      <c r="G30" s="18">
        <f>SUM(E30-D30)</f>
        <v>0</v>
      </c>
      <c r="H30" s="33">
        <f>SUM(F30:G30)</f>
        <v>0</v>
      </c>
      <c r="J30" s="36" t="s">
        <v>21</v>
      </c>
      <c r="K30" s="19"/>
      <c r="L30" s="20"/>
      <c r="M30" s="20"/>
      <c r="N30" s="20"/>
      <c r="O30" s="20"/>
      <c r="P30" s="20"/>
      <c r="Q30" s="20"/>
      <c r="R30" s="20"/>
      <c r="S30" s="20"/>
      <c r="T30" s="20"/>
      <c r="U30" s="21"/>
      <c r="W30" s="36" t="s">
        <v>21</v>
      </c>
      <c r="X30" s="19"/>
      <c r="Y30" s="20"/>
      <c r="Z30" s="20"/>
      <c r="AA30" s="20"/>
      <c r="AB30" s="20"/>
      <c r="AC30" s="21"/>
      <c r="AE30" s="36" t="s">
        <v>21</v>
      </c>
      <c r="AF30" s="19"/>
      <c r="AG30" s="20"/>
      <c r="AH30" s="20"/>
      <c r="AI30" s="20"/>
      <c r="AJ30" s="20"/>
      <c r="AK30" s="21"/>
    </row>
    <row r="31" spans="1:37" x14ac:dyDescent="0.25">
      <c r="F31" s="2"/>
      <c r="G31" s="2"/>
      <c r="H31" s="2"/>
      <c r="J31" s="37"/>
      <c r="T31" s="22" t="s">
        <v>22</v>
      </c>
      <c r="U31" s="23">
        <f>SUM(K30:U30)</f>
        <v>0</v>
      </c>
      <c r="AB31" s="22" t="s">
        <v>22</v>
      </c>
      <c r="AC31" s="23">
        <f>SUM(X30:AC30)</f>
        <v>0</v>
      </c>
      <c r="AJ31" s="22" t="s">
        <v>22</v>
      </c>
      <c r="AK31" s="23">
        <f>SUM(AF30:AK30)</f>
        <v>0</v>
      </c>
    </row>
    <row r="32" spans="1:37" ht="15.75" thickBot="1" x14ac:dyDescent="0.3">
      <c r="A32" s="34"/>
      <c r="B32" s="171" t="s">
        <v>23</v>
      </c>
      <c r="C32" s="171"/>
      <c r="D32" s="171"/>
      <c r="E32" s="171"/>
      <c r="F32" s="171"/>
      <c r="G32" s="171"/>
      <c r="H32" s="171"/>
      <c r="J32" s="172" t="s">
        <v>23</v>
      </c>
      <c r="K32" s="172"/>
      <c r="L32" s="172"/>
      <c r="M32" s="172"/>
      <c r="N32" s="172"/>
      <c r="O32" s="172"/>
      <c r="P32" s="172"/>
      <c r="Q32" s="172"/>
      <c r="R32" s="172"/>
      <c r="S32" s="172"/>
      <c r="T32" s="172"/>
      <c r="U32" s="172"/>
      <c r="W32" s="173" t="str">
        <f>J32</f>
        <v>Junho</v>
      </c>
      <c r="X32" s="173"/>
      <c r="Y32" s="173"/>
      <c r="Z32" s="173"/>
      <c r="AA32" s="173"/>
      <c r="AB32" s="173"/>
      <c r="AC32" s="173"/>
      <c r="AE32" s="174" t="str">
        <f>W32</f>
        <v>Junho</v>
      </c>
      <c r="AF32" s="174"/>
      <c r="AG32" s="174"/>
      <c r="AH32" s="174"/>
      <c r="AI32" s="174"/>
      <c r="AJ32" s="174"/>
      <c r="AK32" s="174"/>
    </row>
    <row r="33" spans="1:37" ht="15.75" thickBot="1" x14ac:dyDescent="0.3">
      <c r="A33" s="168" t="s">
        <v>4</v>
      </c>
      <c r="B33" s="10" t="s">
        <v>5</v>
      </c>
      <c r="C33" s="11" t="s">
        <v>6</v>
      </c>
      <c r="D33" s="12" t="s">
        <v>7</v>
      </c>
      <c r="E33" s="11" t="s">
        <v>8</v>
      </c>
      <c r="F33" s="12" t="s">
        <v>9</v>
      </c>
      <c r="G33" s="11" t="s">
        <v>10</v>
      </c>
      <c r="H33" s="32" t="s">
        <v>11</v>
      </c>
      <c r="J33" s="35" t="s">
        <v>3</v>
      </c>
      <c r="K33" s="14"/>
      <c r="L33" s="15"/>
      <c r="M33" s="15"/>
      <c r="N33" s="15"/>
      <c r="O33" s="15"/>
      <c r="P33" s="15"/>
      <c r="Q33" s="15"/>
      <c r="R33" s="15"/>
      <c r="S33" s="15"/>
      <c r="T33" s="15"/>
      <c r="U33" s="16"/>
      <c r="W33" s="35" t="s">
        <v>3</v>
      </c>
      <c r="X33" s="14"/>
      <c r="Y33" s="15"/>
      <c r="Z33" s="15"/>
      <c r="AA33" s="15"/>
      <c r="AB33" s="15"/>
      <c r="AC33" s="16"/>
      <c r="AE33" s="35" t="s">
        <v>3</v>
      </c>
      <c r="AF33" s="14"/>
      <c r="AG33" s="15"/>
      <c r="AH33" s="15"/>
      <c r="AI33" s="15"/>
      <c r="AJ33" s="15"/>
      <c r="AK33" s="16"/>
    </row>
    <row r="34" spans="1:37" ht="15.75" thickBot="1" x14ac:dyDescent="0.3">
      <c r="A34" s="168"/>
      <c r="B34" s="17"/>
      <c r="C34" s="18"/>
      <c r="D34" s="18"/>
      <c r="E34" s="18"/>
      <c r="F34" s="18">
        <f>SUM(C34-B34)</f>
        <v>0</v>
      </c>
      <c r="G34" s="18">
        <f>SUM(E34-D34)</f>
        <v>0</v>
      </c>
      <c r="H34" s="33">
        <f>SUM(F34:G34)</f>
        <v>0</v>
      </c>
      <c r="J34" s="36" t="s">
        <v>21</v>
      </c>
      <c r="K34" s="19"/>
      <c r="L34" s="20"/>
      <c r="M34" s="20"/>
      <c r="N34" s="20"/>
      <c r="O34" s="20"/>
      <c r="P34" s="20"/>
      <c r="Q34" s="20"/>
      <c r="R34" s="20"/>
      <c r="S34" s="20"/>
      <c r="T34" s="20"/>
      <c r="U34" s="21"/>
      <c r="W34" s="36" t="s">
        <v>21</v>
      </c>
      <c r="X34" s="19"/>
      <c r="Y34" s="20"/>
      <c r="Z34" s="20"/>
      <c r="AA34" s="20"/>
      <c r="AB34" s="20"/>
      <c r="AC34" s="21"/>
      <c r="AE34" s="36" t="s">
        <v>21</v>
      </c>
      <c r="AF34" s="19"/>
      <c r="AG34" s="20"/>
      <c r="AH34" s="20"/>
      <c r="AI34" s="20"/>
      <c r="AJ34" s="20"/>
      <c r="AK34" s="21"/>
    </row>
    <row r="35" spans="1:37" x14ac:dyDescent="0.25">
      <c r="F35" s="2"/>
      <c r="G35" s="2"/>
      <c r="H35" s="2"/>
      <c r="J35" s="37"/>
      <c r="T35" s="22" t="s">
        <v>22</v>
      </c>
      <c r="U35" s="23">
        <f>SUM(K34:U34)</f>
        <v>0</v>
      </c>
      <c r="AB35" s="22" t="s">
        <v>22</v>
      </c>
      <c r="AC35" s="23">
        <f>SUM(X34:AC34)</f>
        <v>0</v>
      </c>
      <c r="AJ35" s="22" t="s">
        <v>22</v>
      </c>
      <c r="AK35" s="23">
        <f>SUM(AF34:AK34)</f>
        <v>0</v>
      </c>
    </row>
    <row r="36" spans="1:37" ht="15.75" thickBot="1" x14ac:dyDescent="0.3">
      <c r="A36" s="34"/>
      <c r="B36" s="171" t="s">
        <v>15</v>
      </c>
      <c r="C36" s="171"/>
      <c r="D36" s="171"/>
      <c r="E36" s="171"/>
      <c r="F36" s="171"/>
      <c r="G36" s="171"/>
      <c r="H36" s="171"/>
      <c r="J36" s="172" t="s">
        <v>15</v>
      </c>
      <c r="K36" s="172"/>
      <c r="L36" s="172"/>
      <c r="M36" s="172"/>
      <c r="N36" s="172"/>
      <c r="O36" s="172"/>
      <c r="P36" s="172"/>
      <c r="Q36" s="172"/>
      <c r="R36" s="172"/>
      <c r="S36" s="172"/>
      <c r="T36" s="172"/>
      <c r="U36" s="172"/>
      <c r="W36" s="173" t="str">
        <f>J36</f>
        <v>Julho</v>
      </c>
      <c r="X36" s="173"/>
      <c r="Y36" s="173"/>
      <c r="Z36" s="173"/>
      <c r="AA36" s="173"/>
      <c r="AB36" s="173"/>
      <c r="AC36" s="173"/>
      <c r="AE36" s="174" t="str">
        <f>W36</f>
        <v>Julho</v>
      </c>
      <c r="AF36" s="174"/>
      <c r="AG36" s="174"/>
      <c r="AH36" s="174"/>
      <c r="AI36" s="174"/>
      <c r="AJ36" s="174"/>
      <c r="AK36" s="174"/>
    </row>
    <row r="37" spans="1:37" ht="15.75" thickBot="1" x14ac:dyDescent="0.3">
      <c r="A37" s="168" t="s">
        <v>4</v>
      </c>
      <c r="B37" s="10" t="s">
        <v>5</v>
      </c>
      <c r="C37" s="11" t="s">
        <v>6</v>
      </c>
      <c r="D37" s="12" t="s">
        <v>7</v>
      </c>
      <c r="E37" s="11" t="s">
        <v>8</v>
      </c>
      <c r="F37" s="12" t="s">
        <v>9</v>
      </c>
      <c r="G37" s="11" t="s">
        <v>10</v>
      </c>
      <c r="H37" s="32" t="s">
        <v>11</v>
      </c>
      <c r="J37" s="35" t="s">
        <v>3</v>
      </c>
      <c r="K37" s="14"/>
      <c r="L37" s="15"/>
      <c r="M37" s="15"/>
      <c r="N37" s="15"/>
      <c r="O37" s="15"/>
      <c r="P37" s="15"/>
      <c r="Q37" s="15"/>
      <c r="R37" s="15"/>
      <c r="S37" s="15"/>
      <c r="T37" s="15"/>
      <c r="U37" s="16"/>
      <c r="W37" s="35" t="s">
        <v>3</v>
      </c>
      <c r="X37" s="14"/>
      <c r="Y37" s="15"/>
      <c r="Z37" s="15"/>
      <c r="AA37" s="15"/>
      <c r="AB37" s="15"/>
      <c r="AC37" s="16"/>
      <c r="AE37" s="35" t="s">
        <v>3</v>
      </c>
      <c r="AF37" s="14"/>
      <c r="AG37" s="15"/>
      <c r="AH37" s="15"/>
      <c r="AI37" s="15"/>
      <c r="AJ37" s="15"/>
      <c r="AK37" s="16"/>
    </row>
    <row r="38" spans="1:37" ht="15.75" thickBot="1" x14ac:dyDescent="0.3">
      <c r="A38" s="168"/>
      <c r="B38" s="17"/>
      <c r="C38" s="18"/>
      <c r="D38" s="18"/>
      <c r="E38" s="18"/>
      <c r="F38" s="18">
        <f>SUM(C38-B38)</f>
        <v>0</v>
      </c>
      <c r="G38" s="18">
        <f>SUM(E38-D38)</f>
        <v>0</v>
      </c>
      <c r="H38" s="33">
        <f>SUM(F38:G38)</f>
        <v>0</v>
      </c>
      <c r="J38" s="36" t="s">
        <v>21</v>
      </c>
      <c r="K38" s="19"/>
      <c r="L38" s="20"/>
      <c r="M38" s="20"/>
      <c r="N38" s="20"/>
      <c r="O38" s="20"/>
      <c r="P38" s="20"/>
      <c r="Q38" s="20"/>
      <c r="R38" s="20"/>
      <c r="S38" s="20"/>
      <c r="T38" s="20"/>
      <c r="U38" s="21"/>
      <c r="W38" s="36" t="s">
        <v>21</v>
      </c>
      <c r="X38" s="19"/>
      <c r="Y38" s="20"/>
      <c r="Z38" s="20"/>
      <c r="AA38" s="20"/>
      <c r="AB38" s="20"/>
      <c r="AC38" s="21"/>
      <c r="AE38" s="36" t="s">
        <v>21</v>
      </c>
      <c r="AF38" s="19"/>
      <c r="AG38" s="20"/>
      <c r="AH38" s="20"/>
      <c r="AI38" s="20"/>
      <c r="AJ38" s="20"/>
      <c r="AK38" s="21"/>
    </row>
    <row r="39" spans="1:37" x14ac:dyDescent="0.25">
      <c r="F39" s="2"/>
      <c r="G39" s="2"/>
      <c r="H39" s="2"/>
      <c r="J39" s="37"/>
      <c r="T39" s="22" t="s">
        <v>22</v>
      </c>
      <c r="U39" s="23">
        <f>SUM(K38:U38)</f>
        <v>0</v>
      </c>
      <c r="AB39" s="22" t="s">
        <v>22</v>
      </c>
      <c r="AC39" s="23">
        <f>SUM(X38:AC38)</f>
        <v>0</v>
      </c>
      <c r="AJ39" s="22" t="s">
        <v>22</v>
      </c>
      <c r="AK39" s="23">
        <f>SUM(AF38:AK38)</f>
        <v>0</v>
      </c>
    </row>
    <row r="40" spans="1:37" ht="15.75" thickBot="1" x14ac:dyDescent="0.3">
      <c r="A40" s="34"/>
      <c r="B40" s="171" t="s">
        <v>16</v>
      </c>
      <c r="C40" s="171"/>
      <c r="D40" s="171"/>
      <c r="E40" s="171"/>
      <c r="F40" s="171"/>
      <c r="G40" s="171"/>
      <c r="H40" s="171"/>
      <c r="J40" s="172" t="s">
        <v>16</v>
      </c>
      <c r="K40" s="172"/>
      <c r="L40" s="172"/>
      <c r="M40" s="172"/>
      <c r="N40" s="172"/>
      <c r="O40" s="172"/>
      <c r="P40" s="172"/>
      <c r="Q40" s="172"/>
      <c r="R40" s="172"/>
      <c r="S40" s="172"/>
      <c r="T40" s="172"/>
      <c r="U40" s="172"/>
      <c r="W40" s="173" t="str">
        <f>J40</f>
        <v>Agosto</v>
      </c>
      <c r="X40" s="173"/>
      <c r="Y40" s="173"/>
      <c r="Z40" s="173"/>
      <c r="AA40" s="173"/>
      <c r="AB40" s="173"/>
      <c r="AC40" s="173"/>
      <c r="AE40" s="174" t="str">
        <f>W40</f>
        <v>Agosto</v>
      </c>
      <c r="AF40" s="174"/>
      <c r="AG40" s="174"/>
      <c r="AH40" s="174"/>
      <c r="AI40" s="174"/>
      <c r="AJ40" s="174"/>
      <c r="AK40" s="174"/>
    </row>
    <row r="41" spans="1:37" ht="15.75" thickBot="1" x14ac:dyDescent="0.3">
      <c r="A41" s="168" t="s">
        <v>4</v>
      </c>
      <c r="B41" s="10" t="s">
        <v>5</v>
      </c>
      <c r="C41" s="11" t="s">
        <v>6</v>
      </c>
      <c r="D41" s="12" t="s">
        <v>7</v>
      </c>
      <c r="E41" s="11" t="s">
        <v>8</v>
      </c>
      <c r="F41" s="12" t="s">
        <v>9</v>
      </c>
      <c r="G41" s="11" t="s">
        <v>10</v>
      </c>
      <c r="H41" s="32" t="s">
        <v>11</v>
      </c>
      <c r="J41" s="35" t="s">
        <v>3</v>
      </c>
      <c r="K41" s="14"/>
      <c r="L41" s="15"/>
      <c r="M41" s="15"/>
      <c r="N41" s="15"/>
      <c r="O41" s="15"/>
      <c r="P41" s="15"/>
      <c r="Q41" s="15"/>
      <c r="R41" s="15"/>
      <c r="S41" s="15"/>
      <c r="T41" s="15"/>
      <c r="U41" s="16"/>
      <c r="W41" s="35" t="s">
        <v>3</v>
      </c>
      <c r="X41" s="14"/>
      <c r="Y41" s="15"/>
      <c r="Z41" s="15"/>
      <c r="AA41" s="15"/>
      <c r="AB41" s="15"/>
      <c r="AC41" s="16"/>
      <c r="AE41" s="35" t="s">
        <v>3</v>
      </c>
      <c r="AF41" s="14"/>
      <c r="AG41" s="15"/>
      <c r="AH41" s="15"/>
      <c r="AI41" s="15"/>
      <c r="AJ41" s="15"/>
      <c r="AK41" s="16"/>
    </row>
    <row r="42" spans="1:37" ht="15.75" thickBot="1" x14ac:dyDescent="0.3">
      <c r="A42" s="168"/>
      <c r="B42" s="17"/>
      <c r="C42" s="18"/>
      <c r="D42" s="18"/>
      <c r="E42" s="18"/>
      <c r="F42" s="18">
        <f>SUM(C42-B42)</f>
        <v>0</v>
      </c>
      <c r="G42" s="18">
        <f>SUM(E42-D42)</f>
        <v>0</v>
      </c>
      <c r="H42" s="33">
        <f>SUM(F42:G42)</f>
        <v>0</v>
      </c>
      <c r="J42" s="36" t="s">
        <v>21</v>
      </c>
      <c r="K42" s="19"/>
      <c r="L42" s="20"/>
      <c r="M42" s="20"/>
      <c r="N42" s="20"/>
      <c r="O42" s="20"/>
      <c r="P42" s="20"/>
      <c r="Q42" s="20"/>
      <c r="R42" s="20"/>
      <c r="S42" s="20"/>
      <c r="T42" s="20"/>
      <c r="U42" s="21"/>
      <c r="W42" s="36" t="s">
        <v>21</v>
      </c>
      <c r="X42" s="19"/>
      <c r="Y42" s="20"/>
      <c r="Z42" s="20"/>
      <c r="AA42" s="20"/>
      <c r="AB42" s="20"/>
      <c r="AC42" s="21"/>
      <c r="AE42" s="36" t="s">
        <v>21</v>
      </c>
      <c r="AF42" s="19"/>
      <c r="AG42" s="20"/>
      <c r="AH42" s="20"/>
      <c r="AI42" s="20"/>
      <c r="AJ42" s="20"/>
      <c r="AK42" s="21"/>
    </row>
    <row r="43" spans="1:37" x14ac:dyDescent="0.25">
      <c r="F43" s="2"/>
      <c r="G43" s="2"/>
      <c r="H43" s="2"/>
      <c r="J43" s="37"/>
      <c r="T43" s="22" t="s">
        <v>22</v>
      </c>
      <c r="U43" s="23">
        <f>SUM(K42:U42)</f>
        <v>0</v>
      </c>
      <c r="AB43" s="22" t="s">
        <v>22</v>
      </c>
      <c r="AC43" s="23">
        <f>SUM(X42:AC42)</f>
        <v>0</v>
      </c>
      <c r="AJ43" s="22" t="s">
        <v>22</v>
      </c>
      <c r="AK43" s="23">
        <f>SUM(AF42:AK42)</f>
        <v>0</v>
      </c>
    </row>
    <row r="44" spans="1:37" ht="15.75" thickBot="1" x14ac:dyDescent="0.3">
      <c r="A44" s="34"/>
      <c r="B44" s="171" t="s">
        <v>17</v>
      </c>
      <c r="C44" s="171"/>
      <c r="D44" s="171"/>
      <c r="E44" s="171"/>
      <c r="F44" s="171"/>
      <c r="G44" s="171"/>
      <c r="H44" s="171"/>
      <c r="J44" s="172" t="s">
        <v>17</v>
      </c>
      <c r="K44" s="172"/>
      <c r="L44" s="172"/>
      <c r="M44" s="172"/>
      <c r="N44" s="172"/>
      <c r="O44" s="172"/>
      <c r="P44" s="172"/>
      <c r="Q44" s="172"/>
      <c r="R44" s="172"/>
      <c r="S44" s="172"/>
      <c r="T44" s="172"/>
      <c r="U44" s="172"/>
      <c r="W44" s="173" t="str">
        <f>J44</f>
        <v>Setembro</v>
      </c>
      <c r="X44" s="173"/>
      <c r="Y44" s="173"/>
      <c r="Z44" s="173"/>
      <c r="AA44" s="173"/>
      <c r="AB44" s="173"/>
      <c r="AC44" s="173"/>
      <c r="AE44" s="174" t="str">
        <f>W44</f>
        <v>Setembro</v>
      </c>
      <c r="AF44" s="174"/>
      <c r="AG44" s="174"/>
      <c r="AH44" s="174"/>
      <c r="AI44" s="174"/>
      <c r="AJ44" s="174"/>
      <c r="AK44" s="174"/>
    </row>
    <row r="45" spans="1:37" ht="15.75" thickBot="1" x14ac:dyDescent="0.3">
      <c r="A45" s="168" t="s">
        <v>4</v>
      </c>
      <c r="B45" s="10" t="s">
        <v>5</v>
      </c>
      <c r="C45" s="11" t="s">
        <v>6</v>
      </c>
      <c r="D45" s="12" t="s">
        <v>7</v>
      </c>
      <c r="E45" s="11" t="s">
        <v>8</v>
      </c>
      <c r="F45" s="12" t="s">
        <v>9</v>
      </c>
      <c r="G45" s="11" t="s">
        <v>10</v>
      </c>
      <c r="H45" s="32" t="s">
        <v>11</v>
      </c>
      <c r="J45" s="35" t="s">
        <v>3</v>
      </c>
      <c r="K45" s="14">
        <v>45545</v>
      </c>
      <c r="L45" s="24">
        <v>45547</v>
      </c>
      <c r="M45" s="24">
        <v>45552</v>
      </c>
      <c r="N45" s="24">
        <v>44823</v>
      </c>
      <c r="O45" s="24">
        <v>45556</v>
      </c>
      <c r="P45" s="24">
        <v>45559</v>
      </c>
      <c r="Q45" s="24">
        <v>45561</v>
      </c>
      <c r="R45" s="15"/>
      <c r="S45" s="15"/>
      <c r="T45" s="15"/>
      <c r="U45" s="16"/>
      <c r="W45" s="35" t="s">
        <v>3</v>
      </c>
      <c r="X45" s="14"/>
      <c r="Y45" s="15"/>
      <c r="Z45" s="15"/>
      <c r="AA45" s="15"/>
      <c r="AB45" s="15"/>
      <c r="AC45" s="16"/>
      <c r="AE45" s="35" t="s">
        <v>3</v>
      </c>
      <c r="AF45" s="14"/>
      <c r="AG45" s="15"/>
      <c r="AH45" s="15"/>
      <c r="AI45" s="15"/>
      <c r="AJ45" s="15"/>
      <c r="AK45" s="16"/>
    </row>
    <row r="46" spans="1:37" ht="15.75" thickBot="1" x14ac:dyDescent="0.3">
      <c r="A46" s="168"/>
      <c r="B46" s="17">
        <v>50255</v>
      </c>
      <c r="C46" s="18"/>
      <c r="D46" s="18"/>
      <c r="E46" s="18">
        <v>53175</v>
      </c>
      <c r="F46" s="18">
        <f>SUM(C46-B46)</f>
        <v>-50255</v>
      </c>
      <c r="G46" s="18">
        <f>SUM(E46-D46)</f>
        <v>53175</v>
      </c>
      <c r="H46" s="33">
        <f>SUM(F46:G46)</f>
        <v>2920</v>
      </c>
      <c r="J46" s="36" t="s">
        <v>21</v>
      </c>
      <c r="K46" s="19">
        <v>323.5</v>
      </c>
      <c r="L46" s="20">
        <v>189.22</v>
      </c>
      <c r="M46" s="20">
        <v>303.35000000000002</v>
      </c>
      <c r="N46" s="20">
        <v>265.83999999999997</v>
      </c>
      <c r="O46" s="20">
        <v>247.36</v>
      </c>
      <c r="P46" s="20">
        <v>221.11</v>
      </c>
      <c r="Q46" s="20">
        <v>222.08</v>
      </c>
      <c r="R46" s="20"/>
      <c r="S46" s="20"/>
      <c r="T46" s="20"/>
      <c r="U46" s="21"/>
      <c r="W46" s="36" t="s">
        <v>21</v>
      </c>
      <c r="X46" s="19"/>
      <c r="Y46" s="20"/>
      <c r="Z46" s="20"/>
      <c r="AA46" s="20"/>
      <c r="AB46" s="20"/>
      <c r="AC46" s="21"/>
      <c r="AE46" s="36" t="s">
        <v>21</v>
      </c>
      <c r="AF46" s="19"/>
      <c r="AG46" s="20"/>
      <c r="AH46" s="20"/>
      <c r="AI46" s="20"/>
      <c r="AJ46" s="20"/>
      <c r="AK46" s="21"/>
    </row>
    <row r="47" spans="1:37" x14ac:dyDescent="0.25">
      <c r="F47" s="2"/>
      <c r="G47" s="2"/>
      <c r="H47" s="2"/>
      <c r="J47" s="37"/>
      <c r="T47" s="22" t="s">
        <v>22</v>
      </c>
      <c r="U47" s="23">
        <f>SUM(K46:U46)</f>
        <v>1772.46</v>
      </c>
      <c r="AB47" s="22" t="s">
        <v>22</v>
      </c>
      <c r="AC47" s="23">
        <f>SUM(X46:AC46)</f>
        <v>0</v>
      </c>
      <c r="AJ47" s="22" t="s">
        <v>22</v>
      </c>
      <c r="AK47" s="23">
        <f>SUM(AF46:AK46)</f>
        <v>0</v>
      </c>
    </row>
    <row r="48" spans="1:37" ht="15.75" thickBot="1" x14ac:dyDescent="0.3">
      <c r="A48" s="34"/>
      <c r="B48" s="171" t="s">
        <v>18</v>
      </c>
      <c r="C48" s="171"/>
      <c r="D48" s="171"/>
      <c r="E48" s="171"/>
      <c r="F48" s="171"/>
      <c r="G48" s="171"/>
      <c r="H48" s="171"/>
      <c r="J48" s="172" t="s">
        <v>18</v>
      </c>
      <c r="K48" s="172"/>
      <c r="L48" s="172"/>
      <c r="M48" s="172"/>
      <c r="N48" s="172"/>
      <c r="O48" s="172"/>
      <c r="P48" s="172"/>
      <c r="Q48" s="172"/>
      <c r="R48" s="172"/>
      <c r="S48" s="172"/>
      <c r="T48" s="172"/>
      <c r="U48" s="172"/>
      <c r="W48" s="173" t="str">
        <f>J48</f>
        <v>Outubro</v>
      </c>
      <c r="X48" s="173"/>
      <c r="Y48" s="173"/>
      <c r="Z48" s="173"/>
      <c r="AA48" s="173"/>
      <c r="AB48" s="173"/>
      <c r="AC48" s="173"/>
      <c r="AE48" s="174" t="str">
        <f>W48</f>
        <v>Outubro</v>
      </c>
      <c r="AF48" s="174"/>
      <c r="AG48" s="174"/>
      <c r="AH48" s="174"/>
      <c r="AI48" s="174"/>
      <c r="AJ48" s="174"/>
      <c r="AK48" s="174"/>
    </row>
    <row r="49" spans="1:37" ht="15.75" thickBot="1" x14ac:dyDescent="0.3">
      <c r="A49" s="168" t="s">
        <v>4</v>
      </c>
      <c r="B49" s="10" t="s">
        <v>5</v>
      </c>
      <c r="C49" s="11" t="s">
        <v>6</v>
      </c>
      <c r="D49" s="12" t="s">
        <v>7</v>
      </c>
      <c r="E49" s="11" t="s">
        <v>8</v>
      </c>
      <c r="F49" s="12" t="s">
        <v>9</v>
      </c>
      <c r="G49" s="11" t="s">
        <v>10</v>
      </c>
      <c r="H49" s="32" t="s">
        <v>11</v>
      </c>
      <c r="J49" s="35" t="s">
        <v>3</v>
      </c>
      <c r="K49" s="14">
        <v>45566</v>
      </c>
      <c r="L49" s="24">
        <v>45568</v>
      </c>
      <c r="M49" s="24">
        <v>45575</v>
      </c>
      <c r="N49" s="24">
        <v>45577</v>
      </c>
      <c r="O49" s="24">
        <v>45580</v>
      </c>
      <c r="P49" s="24">
        <v>45582</v>
      </c>
      <c r="Q49" s="24">
        <v>45584</v>
      </c>
      <c r="R49" s="24">
        <v>45587</v>
      </c>
      <c r="S49" s="24">
        <v>45589</v>
      </c>
      <c r="T49" s="24">
        <v>45591</v>
      </c>
      <c r="U49" s="80">
        <v>45594</v>
      </c>
      <c r="W49" s="35" t="s">
        <v>3</v>
      </c>
      <c r="X49" s="14"/>
      <c r="Y49" s="15"/>
      <c r="Z49" s="15"/>
      <c r="AA49" s="15"/>
      <c r="AB49" s="15"/>
      <c r="AC49" s="16"/>
      <c r="AE49" s="35" t="s">
        <v>3</v>
      </c>
      <c r="AF49" s="14"/>
      <c r="AG49" s="15"/>
      <c r="AH49" s="15"/>
      <c r="AI49" s="15"/>
      <c r="AJ49" s="15"/>
      <c r="AK49" s="16"/>
    </row>
    <row r="50" spans="1:37" ht="15.75" thickBot="1" x14ac:dyDescent="0.3">
      <c r="A50" s="168"/>
      <c r="B50" s="17">
        <v>53175</v>
      </c>
      <c r="C50" s="18"/>
      <c r="D50" s="18"/>
      <c r="E50" s="18">
        <v>59078</v>
      </c>
      <c r="F50" s="18">
        <f>SUM(C50-B50)</f>
        <v>-53175</v>
      </c>
      <c r="G50" s="18">
        <f>SUM(E50-D50)</f>
        <v>59078</v>
      </c>
      <c r="H50" s="33">
        <f>SUM(F50:G50)</f>
        <v>5903</v>
      </c>
      <c r="J50" s="36" t="s">
        <v>21</v>
      </c>
      <c r="K50" s="19">
        <v>280.17</v>
      </c>
      <c r="L50" s="20">
        <v>297.7</v>
      </c>
      <c r="M50" s="20">
        <v>281.31</v>
      </c>
      <c r="N50" s="20">
        <v>260.91000000000003</v>
      </c>
      <c r="O50" s="20">
        <v>206.06</v>
      </c>
      <c r="P50" s="20">
        <v>233.28</v>
      </c>
      <c r="Q50" s="20">
        <v>166.33</v>
      </c>
      <c r="R50" s="20">
        <v>252.12</v>
      </c>
      <c r="S50" s="20">
        <v>146.77000000000001</v>
      </c>
      <c r="T50" s="20">
        <v>253.68</v>
      </c>
      <c r="U50" s="21">
        <v>284.87</v>
      </c>
      <c r="W50" s="36" t="s">
        <v>21</v>
      </c>
      <c r="X50" s="19"/>
      <c r="Y50" s="20"/>
      <c r="Z50" s="20"/>
      <c r="AA50" s="20"/>
      <c r="AB50" s="20"/>
      <c r="AC50" s="21"/>
      <c r="AE50" s="36" t="s">
        <v>21</v>
      </c>
      <c r="AF50" s="19"/>
      <c r="AG50" s="20"/>
      <c r="AH50" s="20"/>
      <c r="AI50" s="20"/>
      <c r="AJ50" s="20"/>
      <c r="AK50" s="21"/>
    </row>
    <row r="51" spans="1:37" x14ac:dyDescent="0.25">
      <c r="F51" s="2"/>
      <c r="G51" s="2"/>
      <c r="H51" s="2"/>
      <c r="J51" s="37"/>
      <c r="T51" s="22" t="s">
        <v>22</v>
      </c>
      <c r="U51" s="23">
        <f>SUM(K50:U50)</f>
        <v>2663.2</v>
      </c>
      <c r="AB51" s="22" t="s">
        <v>22</v>
      </c>
      <c r="AC51" s="23">
        <f>SUM(X50:AC50)</f>
        <v>0</v>
      </c>
      <c r="AJ51" s="22" t="s">
        <v>22</v>
      </c>
      <c r="AK51" s="23">
        <f>SUM(AF50:AK50)</f>
        <v>0</v>
      </c>
    </row>
    <row r="52" spans="1:37" ht="15.75" thickBot="1" x14ac:dyDescent="0.3">
      <c r="A52" s="34"/>
      <c r="B52" s="171" t="s">
        <v>19</v>
      </c>
      <c r="C52" s="171"/>
      <c r="D52" s="171"/>
      <c r="E52" s="171"/>
      <c r="F52" s="171"/>
      <c r="G52" s="171"/>
      <c r="H52" s="171"/>
      <c r="J52" s="172" t="s">
        <v>19</v>
      </c>
      <c r="K52" s="172"/>
      <c r="L52" s="172"/>
      <c r="M52" s="172"/>
      <c r="N52" s="172"/>
      <c r="O52" s="172"/>
      <c r="P52" s="172"/>
      <c r="Q52" s="172"/>
      <c r="R52" s="172"/>
      <c r="S52" s="172"/>
      <c r="T52" s="172"/>
      <c r="U52" s="172"/>
      <c r="W52" s="173" t="str">
        <f>J52</f>
        <v>Novembro</v>
      </c>
      <c r="X52" s="173"/>
      <c r="Y52" s="173"/>
      <c r="Z52" s="173"/>
      <c r="AA52" s="173"/>
      <c r="AB52" s="173"/>
      <c r="AC52" s="173"/>
      <c r="AE52" s="174" t="str">
        <f>W52</f>
        <v>Novembro</v>
      </c>
      <c r="AF52" s="174"/>
      <c r="AG52" s="174"/>
      <c r="AH52" s="174"/>
      <c r="AI52" s="174"/>
      <c r="AJ52" s="174"/>
      <c r="AK52" s="174"/>
    </row>
    <row r="53" spans="1:37" ht="15.75" thickBot="1" x14ac:dyDescent="0.3">
      <c r="A53" s="168" t="s">
        <v>4</v>
      </c>
      <c r="B53" s="10" t="s">
        <v>5</v>
      </c>
      <c r="C53" s="11" t="s">
        <v>6</v>
      </c>
      <c r="D53" s="12" t="s">
        <v>7</v>
      </c>
      <c r="E53" s="11" t="s">
        <v>8</v>
      </c>
      <c r="F53" s="12" t="s">
        <v>9</v>
      </c>
      <c r="G53" s="11" t="s">
        <v>10</v>
      </c>
      <c r="H53" s="32" t="s">
        <v>11</v>
      </c>
      <c r="J53" s="35" t="s">
        <v>3</v>
      </c>
      <c r="K53" s="14">
        <v>45598</v>
      </c>
      <c r="L53" s="24">
        <v>45601</v>
      </c>
      <c r="M53" s="24">
        <v>45603</v>
      </c>
      <c r="N53" s="24">
        <v>45605</v>
      </c>
      <c r="O53" s="24">
        <v>45615</v>
      </c>
      <c r="P53" s="24">
        <v>45626</v>
      </c>
      <c r="Q53" s="15"/>
      <c r="R53" s="15"/>
      <c r="S53" s="15"/>
      <c r="T53" s="15"/>
      <c r="U53" s="16"/>
      <c r="W53" s="35" t="s">
        <v>3</v>
      </c>
      <c r="X53" s="14"/>
      <c r="Y53" s="15"/>
      <c r="Z53" s="15"/>
      <c r="AA53" s="15"/>
      <c r="AB53" s="15"/>
      <c r="AC53" s="16"/>
      <c r="AE53" s="35" t="s">
        <v>3</v>
      </c>
      <c r="AF53" s="14"/>
      <c r="AG53" s="15"/>
      <c r="AH53" s="15"/>
      <c r="AI53" s="15"/>
      <c r="AJ53" s="15"/>
      <c r="AK53" s="16"/>
    </row>
    <row r="54" spans="1:37" ht="15.75" thickBot="1" x14ac:dyDescent="0.3">
      <c r="A54" s="168"/>
      <c r="B54" s="17"/>
      <c r="C54" s="18"/>
      <c r="D54" s="18">
        <v>61326</v>
      </c>
      <c r="E54" s="18">
        <v>63363</v>
      </c>
      <c r="F54" s="18">
        <f>SUM(C54-B54)</f>
        <v>0</v>
      </c>
      <c r="G54" s="18">
        <f>SUM(E54-D54)</f>
        <v>2037</v>
      </c>
      <c r="H54" s="33">
        <f>SUM(F54:G54)</f>
        <v>2037</v>
      </c>
      <c r="J54" s="36" t="s">
        <v>21</v>
      </c>
      <c r="K54" s="19">
        <v>266.51</v>
      </c>
      <c r="L54" s="20">
        <v>303.29000000000002</v>
      </c>
      <c r="M54" s="20">
        <v>287.08999999999997</v>
      </c>
      <c r="N54" s="20">
        <v>161.34</v>
      </c>
      <c r="O54" s="20">
        <v>218.41</v>
      </c>
      <c r="P54" s="20">
        <v>198.9</v>
      </c>
      <c r="Q54" s="20"/>
      <c r="R54" s="20"/>
      <c r="S54" s="20"/>
      <c r="T54" s="20"/>
      <c r="U54" s="21"/>
      <c r="W54" s="36" t="s">
        <v>21</v>
      </c>
      <c r="X54" s="19"/>
      <c r="Y54" s="20"/>
      <c r="Z54" s="20"/>
      <c r="AA54" s="20"/>
      <c r="AB54" s="20"/>
      <c r="AC54" s="21"/>
      <c r="AE54" s="36" t="s">
        <v>21</v>
      </c>
      <c r="AF54" s="19"/>
      <c r="AG54" s="20"/>
      <c r="AH54" s="20"/>
      <c r="AI54" s="20"/>
      <c r="AJ54" s="20"/>
      <c r="AK54" s="21"/>
    </row>
    <row r="55" spans="1:37" x14ac:dyDescent="0.25">
      <c r="F55" s="2"/>
      <c r="G55" s="2"/>
      <c r="H55" s="2"/>
      <c r="J55" s="37"/>
      <c r="T55" s="22" t="s">
        <v>22</v>
      </c>
      <c r="U55" s="23">
        <f>SUM(K54:U54)</f>
        <v>1435.54</v>
      </c>
      <c r="AB55" s="22" t="s">
        <v>22</v>
      </c>
      <c r="AC55" s="23">
        <f>SUM(X54:AC54)</f>
        <v>0</v>
      </c>
      <c r="AJ55" s="22" t="s">
        <v>22</v>
      </c>
      <c r="AK55" s="23">
        <f>SUM(AF54:AK54)</f>
        <v>0</v>
      </c>
    </row>
    <row r="56" spans="1:37" ht="15.75" thickBot="1" x14ac:dyDescent="0.3">
      <c r="A56" s="34"/>
      <c r="B56" s="171" t="s">
        <v>20</v>
      </c>
      <c r="C56" s="171"/>
      <c r="D56" s="171"/>
      <c r="E56" s="171"/>
      <c r="F56" s="171"/>
      <c r="G56" s="171"/>
      <c r="H56" s="171"/>
      <c r="J56" s="172" t="s">
        <v>20</v>
      </c>
      <c r="K56" s="172"/>
      <c r="L56" s="172"/>
      <c r="M56" s="172"/>
      <c r="N56" s="172"/>
      <c r="O56" s="172"/>
      <c r="P56" s="172"/>
      <c r="Q56" s="172"/>
      <c r="R56" s="172"/>
      <c r="S56" s="172"/>
      <c r="T56" s="172"/>
      <c r="U56" s="172"/>
      <c r="W56" s="173" t="str">
        <f>J56</f>
        <v>Dezembro</v>
      </c>
      <c r="X56" s="173"/>
      <c r="Y56" s="173"/>
      <c r="Z56" s="173"/>
      <c r="AA56" s="173"/>
      <c r="AB56" s="173"/>
      <c r="AC56" s="173"/>
      <c r="AE56" s="174" t="str">
        <f>W56</f>
        <v>Dezembro</v>
      </c>
      <c r="AF56" s="174"/>
      <c r="AG56" s="174"/>
      <c r="AH56" s="174"/>
      <c r="AI56" s="174"/>
      <c r="AJ56" s="174"/>
      <c r="AK56" s="174"/>
    </row>
    <row r="57" spans="1:37" ht="15.75" thickBot="1" x14ac:dyDescent="0.3">
      <c r="A57" s="168" t="s">
        <v>4</v>
      </c>
      <c r="B57" s="10" t="s">
        <v>5</v>
      </c>
      <c r="C57" s="11" t="s">
        <v>6</v>
      </c>
      <c r="D57" s="12" t="s">
        <v>7</v>
      </c>
      <c r="E57" s="11" t="s">
        <v>8</v>
      </c>
      <c r="F57" s="12" t="s">
        <v>9</v>
      </c>
      <c r="G57" s="11" t="s">
        <v>10</v>
      </c>
      <c r="H57" s="32" t="s">
        <v>11</v>
      </c>
      <c r="J57" s="35" t="s">
        <v>3</v>
      </c>
      <c r="K57" s="14">
        <v>45629</v>
      </c>
      <c r="L57" s="24">
        <v>45631</v>
      </c>
      <c r="M57" s="24">
        <v>45633</v>
      </c>
      <c r="N57" s="24">
        <v>45636</v>
      </c>
      <c r="O57" s="24">
        <v>45638</v>
      </c>
      <c r="P57" s="24">
        <v>45640</v>
      </c>
      <c r="Q57" s="24">
        <v>45645</v>
      </c>
      <c r="R57" s="15"/>
      <c r="S57" s="15"/>
      <c r="T57" s="15"/>
      <c r="U57" s="16"/>
      <c r="W57" s="35" t="s">
        <v>3</v>
      </c>
      <c r="X57" s="14"/>
      <c r="Y57" s="15"/>
      <c r="Z57" s="15"/>
      <c r="AA57" s="15"/>
      <c r="AB57" s="15"/>
      <c r="AC57" s="16"/>
      <c r="AE57" s="35" t="s">
        <v>3</v>
      </c>
      <c r="AF57" s="14"/>
      <c r="AG57" s="15"/>
      <c r="AH57" s="15"/>
      <c r="AI57" s="15"/>
      <c r="AJ57" s="15"/>
      <c r="AK57" s="16"/>
    </row>
    <row r="58" spans="1:37" ht="15.75" thickBot="1" x14ac:dyDescent="0.3">
      <c r="A58" s="168"/>
      <c r="B58" s="17">
        <v>63363</v>
      </c>
      <c r="C58" s="18">
        <v>64803</v>
      </c>
      <c r="D58" s="18">
        <v>64803</v>
      </c>
      <c r="E58" s="18">
        <v>67279</v>
      </c>
      <c r="F58" s="18">
        <f>SUM(C58-B58)</f>
        <v>1440</v>
      </c>
      <c r="G58" s="18">
        <f>SUM(E58-D58)</f>
        <v>2476</v>
      </c>
      <c r="H58" s="33">
        <f>SUM(F58:G58)</f>
        <v>3916</v>
      </c>
      <c r="J58" s="36" t="s">
        <v>21</v>
      </c>
      <c r="K58" s="19">
        <v>375.32</v>
      </c>
      <c r="L58" s="20">
        <v>198.02</v>
      </c>
      <c r="M58" s="20">
        <v>226.8</v>
      </c>
      <c r="N58" s="20">
        <v>146.04</v>
      </c>
      <c r="O58" s="20">
        <v>274.45999999999998</v>
      </c>
      <c r="P58" s="20">
        <v>199.57</v>
      </c>
      <c r="Q58" s="20">
        <v>325.10000000000002</v>
      </c>
      <c r="R58" s="20"/>
      <c r="S58" s="20"/>
      <c r="T58" s="20"/>
      <c r="U58" s="21"/>
      <c r="W58" s="36" t="s">
        <v>21</v>
      </c>
      <c r="X58" s="19"/>
      <c r="Y58" s="20"/>
      <c r="Z58" s="20"/>
      <c r="AA58" s="20"/>
      <c r="AB58" s="20"/>
      <c r="AC58" s="21"/>
      <c r="AE58" s="36" t="s">
        <v>21</v>
      </c>
      <c r="AF58" s="19"/>
      <c r="AG58" s="20"/>
      <c r="AH58" s="20"/>
      <c r="AI58" s="20"/>
      <c r="AJ58" s="20"/>
      <c r="AK58" s="21"/>
    </row>
    <row r="59" spans="1:37" x14ac:dyDescent="0.25">
      <c r="A59" s="84" t="s">
        <v>69</v>
      </c>
      <c r="J59" s="37"/>
      <c r="T59" s="22" t="s">
        <v>22</v>
      </c>
      <c r="U59" s="23">
        <f>SUM(K58:U58)</f>
        <v>1745.31</v>
      </c>
      <c r="AB59" s="22" t="s">
        <v>22</v>
      </c>
      <c r="AC59" s="23">
        <f>SUM(X58:AC58)</f>
        <v>0</v>
      </c>
      <c r="AJ59" s="22" t="s">
        <v>22</v>
      </c>
      <c r="AK59" s="23">
        <f>SUM(AF58:AK58)</f>
        <v>0</v>
      </c>
    </row>
    <row r="60" spans="1:37" ht="15.75" thickBot="1" x14ac:dyDescent="0.3">
      <c r="A60" s="34"/>
      <c r="B60" s="171" t="s">
        <v>54</v>
      </c>
      <c r="C60" s="171"/>
      <c r="D60" s="171"/>
      <c r="E60" s="171"/>
      <c r="F60" s="171"/>
      <c r="G60" s="171"/>
      <c r="H60" s="171"/>
      <c r="J60" s="172" t="s">
        <v>54</v>
      </c>
      <c r="K60" s="172"/>
      <c r="L60" s="172"/>
      <c r="M60" s="172"/>
      <c r="N60" s="172"/>
      <c r="O60" s="172"/>
      <c r="P60" s="172"/>
      <c r="Q60" s="172"/>
      <c r="R60" s="172"/>
      <c r="S60" s="172"/>
      <c r="T60" s="172"/>
      <c r="U60" s="172"/>
      <c r="W60" s="173" t="str">
        <f>J60</f>
        <v>Janeiro</v>
      </c>
      <c r="X60" s="173"/>
      <c r="Y60" s="173"/>
      <c r="Z60" s="173"/>
      <c r="AA60" s="173"/>
      <c r="AB60" s="173"/>
      <c r="AC60" s="173"/>
      <c r="AE60" s="174" t="str">
        <f>W60</f>
        <v>Janeiro</v>
      </c>
      <c r="AF60" s="174"/>
      <c r="AG60" s="174"/>
      <c r="AH60" s="174"/>
      <c r="AI60" s="174"/>
      <c r="AJ60" s="174"/>
      <c r="AK60" s="174"/>
    </row>
    <row r="61" spans="1:37" ht="15.75" thickBot="1" x14ac:dyDescent="0.3">
      <c r="A61" s="168" t="s">
        <v>4</v>
      </c>
      <c r="B61" s="10" t="s">
        <v>5</v>
      </c>
      <c r="C61" s="11" t="s">
        <v>6</v>
      </c>
      <c r="D61" s="12" t="s">
        <v>7</v>
      </c>
      <c r="E61" s="11" t="s">
        <v>8</v>
      </c>
      <c r="F61" s="12" t="s">
        <v>9</v>
      </c>
      <c r="G61" s="11" t="s">
        <v>10</v>
      </c>
      <c r="H61" s="32" t="s">
        <v>11</v>
      </c>
      <c r="J61" s="35" t="s">
        <v>3</v>
      </c>
      <c r="K61" s="14">
        <v>45664</v>
      </c>
      <c r="L61" s="24">
        <v>45666</v>
      </c>
      <c r="M61" s="24">
        <v>45668</v>
      </c>
      <c r="N61" s="24">
        <v>45671</v>
      </c>
      <c r="O61" s="24">
        <v>45673</v>
      </c>
      <c r="P61" s="24">
        <v>45675</v>
      </c>
      <c r="Q61" s="24">
        <v>45678</v>
      </c>
      <c r="R61" s="24">
        <v>45680</v>
      </c>
      <c r="S61" s="24">
        <v>45682</v>
      </c>
      <c r="T61" s="24">
        <v>45685</v>
      </c>
      <c r="U61" s="80">
        <v>45687</v>
      </c>
      <c r="W61" s="35" t="s">
        <v>3</v>
      </c>
      <c r="X61" s="14">
        <v>45668</v>
      </c>
      <c r="Y61" s="24">
        <v>45682</v>
      </c>
      <c r="Z61" s="15"/>
      <c r="AA61" s="15"/>
      <c r="AB61" s="15"/>
      <c r="AC61" s="16"/>
      <c r="AE61" s="35" t="s">
        <v>3</v>
      </c>
      <c r="AF61" s="14"/>
      <c r="AG61" s="15"/>
      <c r="AH61" s="15"/>
      <c r="AI61" s="15"/>
      <c r="AJ61" s="15"/>
      <c r="AK61" s="16"/>
    </row>
    <row r="62" spans="1:37" ht="15.75" thickBot="1" x14ac:dyDescent="0.3">
      <c r="A62" s="168"/>
      <c r="B62" s="17">
        <v>67279</v>
      </c>
      <c r="C62" s="18">
        <v>70859</v>
      </c>
      <c r="D62" s="82">
        <v>11582</v>
      </c>
      <c r="E62" s="82">
        <v>13819</v>
      </c>
      <c r="F62" s="18">
        <f>SUM(C62-B62)</f>
        <v>3580</v>
      </c>
      <c r="G62" s="18">
        <f>SUM(E62-D62)</f>
        <v>2237</v>
      </c>
      <c r="H62" s="33">
        <f>SUM(F62:G62)</f>
        <v>5817</v>
      </c>
      <c r="J62" s="36" t="s">
        <v>21</v>
      </c>
      <c r="K62" s="19">
        <v>290.13</v>
      </c>
      <c r="L62" s="20">
        <v>310</v>
      </c>
      <c r="M62" s="20">
        <v>291.67</v>
      </c>
      <c r="N62" s="20">
        <v>235.34</v>
      </c>
      <c r="O62" s="20">
        <v>284.62</v>
      </c>
      <c r="P62" s="20">
        <v>221.23</v>
      </c>
      <c r="Q62" s="20">
        <v>273.11</v>
      </c>
      <c r="R62" s="20">
        <v>225.12</v>
      </c>
      <c r="S62" s="20">
        <v>235.56</v>
      </c>
      <c r="T62" s="20">
        <v>187.57</v>
      </c>
      <c r="U62" s="21">
        <v>306.5</v>
      </c>
      <c r="W62" s="36" t="s">
        <v>21</v>
      </c>
      <c r="X62" s="19">
        <v>45</v>
      </c>
      <c r="Y62" s="20">
        <v>45</v>
      </c>
      <c r="Z62" s="20"/>
      <c r="AA62" s="20"/>
      <c r="AB62" s="20"/>
      <c r="AC62" s="21"/>
      <c r="AE62" s="36" t="s">
        <v>21</v>
      </c>
      <c r="AF62" s="19"/>
      <c r="AG62" s="20"/>
      <c r="AH62" s="20"/>
      <c r="AI62" s="20"/>
      <c r="AJ62" s="20"/>
      <c r="AK62" s="21"/>
    </row>
    <row r="63" spans="1:37" x14ac:dyDescent="0.25">
      <c r="J63" s="37"/>
      <c r="T63" s="22" t="s">
        <v>22</v>
      </c>
      <c r="U63" s="23">
        <f>SUM(K62:U62)</f>
        <v>2860.85</v>
      </c>
      <c r="AB63" s="22" t="s">
        <v>22</v>
      </c>
      <c r="AC63" s="23">
        <f>SUM(X62:AC62)</f>
        <v>90</v>
      </c>
      <c r="AJ63" s="22" t="s">
        <v>22</v>
      </c>
      <c r="AK63" s="23">
        <f>SUM(AF62:AK62)</f>
        <v>0</v>
      </c>
    </row>
    <row r="64" spans="1:37" ht="15.75" thickBot="1" x14ac:dyDescent="0.3">
      <c r="A64" s="34"/>
      <c r="B64" s="171" t="s">
        <v>2</v>
      </c>
      <c r="C64" s="171"/>
      <c r="D64" s="171"/>
      <c r="E64" s="171"/>
      <c r="F64" s="171"/>
      <c r="G64" s="171"/>
      <c r="H64" s="171"/>
      <c r="J64" s="172" t="s">
        <v>2</v>
      </c>
      <c r="K64" s="172"/>
      <c r="L64" s="172"/>
      <c r="M64" s="172"/>
      <c r="N64" s="172"/>
      <c r="O64" s="172"/>
      <c r="P64" s="172"/>
      <c r="Q64" s="172"/>
      <c r="R64" s="172"/>
      <c r="S64" s="172"/>
      <c r="T64" s="172"/>
      <c r="U64" s="172"/>
      <c r="W64" s="173" t="str">
        <f>J64</f>
        <v>Fevereiro</v>
      </c>
      <c r="X64" s="173"/>
      <c r="Y64" s="173"/>
      <c r="Z64" s="173"/>
      <c r="AA64" s="173"/>
      <c r="AB64" s="173"/>
      <c r="AC64" s="173"/>
      <c r="AE64" s="174" t="str">
        <f>W64</f>
        <v>Fevereiro</v>
      </c>
      <c r="AF64" s="174"/>
      <c r="AG64" s="174"/>
      <c r="AH64" s="174"/>
      <c r="AI64" s="174"/>
      <c r="AJ64" s="174"/>
      <c r="AK64" s="174"/>
    </row>
    <row r="65" spans="1:37" ht="15.75" thickBot="1" x14ac:dyDescent="0.3">
      <c r="A65" s="168" t="s">
        <v>4</v>
      </c>
      <c r="B65" s="10" t="s">
        <v>5</v>
      </c>
      <c r="C65" s="11" t="s">
        <v>6</v>
      </c>
      <c r="D65" s="12" t="s">
        <v>7</v>
      </c>
      <c r="E65" s="11" t="s">
        <v>8</v>
      </c>
      <c r="F65" s="12" t="s">
        <v>9</v>
      </c>
      <c r="G65" s="11" t="s">
        <v>10</v>
      </c>
      <c r="H65" s="32" t="s">
        <v>11</v>
      </c>
      <c r="J65" s="35" t="s">
        <v>3</v>
      </c>
      <c r="K65" s="14"/>
      <c r="L65" s="24"/>
      <c r="M65" s="24"/>
      <c r="N65" s="24"/>
      <c r="O65" s="24"/>
      <c r="P65" s="24"/>
      <c r="Q65" s="24"/>
      <c r="R65" s="24"/>
      <c r="S65" s="24"/>
      <c r="T65" s="24"/>
      <c r="U65" s="80"/>
      <c r="W65" s="35" t="s">
        <v>3</v>
      </c>
      <c r="X65" s="14">
        <v>45710</v>
      </c>
      <c r="Y65" s="24"/>
      <c r="Z65" s="15"/>
      <c r="AA65" s="15"/>
      <c r="AB65" s="15"/>
      <c r="AC65" s="16"/>
      <c r="AE65" s="35" t="s">
        <v>3</v>
      </c>
      <c r="AF65" s="14"/>
      <c r="AG65" s="15"/>
      <c r="AH65" s="15"/>
      <c r="AI65" s="15"/>
      <c r="AJ65" s="15"/>
      <c r="AK65" s="16"/>
    </row>
    <row r="66" spans="1:37" ht="15.75" thickBot="1" x14ac:dyDescent="0.3">
      <c r="A66" s="168"/>
      <c r="B66" s="17">
        <v>13819</v>
      </c>
      <c r="C66" s="18">
        <v>15907</v>
      </c>
      <c r="D66" s="85">
        <v>15907</v>
      </c>
      <c r="E66" s="85">
        <v>17355</v>
      </c>
      <c r="F66" s="18">
        <f>SUM(C66-B66)</f>
        <v>2088</v>
      </c>
      <c r="G66" s="18">
        <f>SUM(E66-D66)</f>
        <v>1448</v>
      </c>
      <c r="H66" s="33">
        <f>SUM(F66:G66)</f>
        <v>3536</v>
      </c>
      <c r="J66" s="36" t="s">
        <v>21</v>
      </c>
      <c r="K66" s="19"/>
      <c r="L66" s="20"/>
      <c r="M66" s="20"/>
      <c r="N66" s="20"/>
      <c r="O66" s="20"/>
      <c r="P66" s="20"/>
      <c r="Q66" s="20"/>
      <c r="R66" s="20"/>
      <c r="S66" s="20"/>
      <c r="T66" s="20"/>
      <c r="U66" s="21"/>
      <c r="W66" s="36" t="s">
        <v>21</v>
      </c>
      <c r="X66" s="19">
        <v>45</v>
      </c>
      <c r="Y66" s="20"/>
      <c r="Z66" s="20"/>
      <c r="AA66" s="20"/>
      <c r="AB66" s="20"/>
      <c r="AC66" s="21"/>
      <c r="AE66" s="36" t="s">
        <v>21</v>
      </c>
      <c r="AF66" s="19"/>
      <c r="AG66" s="20"/>
      <c r="AH66" s="20"/>
      <c r="AI66" s="20"/>
      <c r="AJ66" s="20"/>
      <c r="AK66" s="21"/>
    </row>
    <row r="67" spans="1:37" x14ac:dyDescent="0.25">
      <c r="J67" s="37"/>
      <c r="T67" s="22" t="s">
        <v>22</v>
      </c>
      <c r="U67" s="23">
        <f>SUM(K66:U66)</f>
        <v>0</v>
      </c>
      <c r="AB67" s="22" t="s">
        <v>22</v>
      </c>
      <c r="AC67" s="23">
        <f>SUM(X66:AC66)</f>
        <v>45</v>
      </c>
      <c r="AJ67" s="22" t="s">
        <v>22</v>
      </c>
      <c r="AK67" s="23">
        <f>SUM(AF66:AK66)</f>
        <v>0</v>
      </c>
    </row>
    <row r="68" spans="1:37" ht="15.75" thickBot="1" x14ac:dyDescent="0.3">
      <c r="A68" s="34"/>
      <c r="B68" s="171" t="s">
        <v>12</v>
      </c>
      <c r="C68" s="171"/>
      <c r="D68" s="171"/>
      <c r="E68" s="171"/>
      <c r="F68" s="171"/>
      <c r="G68" s="171"/>
      <c r="H68" s="171"/>
      <c r="J68" s="172" t="s">
        <v>12</v>
      </c>
      <c r="K68" s="172"/>
      <c r="L68" s="172"/>
      <c r="M68" s="172"/>
      <c r="N68" s="172"/>
      <c r="O68" s="172"/>
      <c r="P68" s="172"/>
      <c r="Q68" s="172"/>
      <c r="R68" s="172"/>
      <c r="S68" s="172"/>
      <c r="T68" s="172"/>
      <c r="U68" s="172"/>
      <c r="W68" s="173" t="str">
        <f>J68</f>
        <v>Março</v>
      </c>
      <c r="X68" s="173"/>
      <c r="Y68" s="173"/>
      <c r="Z68" s="173"/>
      <c r="AA68" s="173"/>
      <c r="AB68" s="173"/>
      <c r="AC68" s="173"/>
      <c r="AE68" s="174" t="str">
        <f>W68</f>
        <v>Março</v>
      </c>
      <c r="AF68" s="174"/>
      <c r="AG68" s="174"/>
      <c r="AH68" s="174"/>
      <c r="AI68" s="174"/>
      <c r="AJ68" s="174"/>
      <c r="AK68" s="174"/>
    </row>
    <row r="69" spans="1:37" ht="15.75" thickBot="1" x14ac:dyDescent="0.3">
      <c r="A69" s="168" t="s">
        <v>4</v>
      </c>
      <c r="B69" s="10" t="s">
        <v>5</v>
      </c>
      <c r="C69" s="11" t="s">
        <v>6</v>
      </c>
      <c r="D69" s="12" t="s">
        <v>7</v>
      </c>
      <c r="E69" s="11" t="s">
        <v>8</v>
      </c>
      <c r="F69" s="12" t="s">
        <v>9</v>
      </c>
      <c r="G69" s="11" t="s">
        <v>10</v>
      </c>
      <c r="H69" s="32" t="s">
        <v>11</v>
      </c>
      <c r="J69" s="35" t="s">
        <v>3</v>
      </c>
      <c r="K69" s="14">
        <v>45720</v>
      </c>
      <c r="L69" s="24">
        <v>45722</v>
      </c>
      <c r="M69" s="24">
        <v>45727</v>
      </c>
      <c r="N69" s="24">
        <v>45729</v>
      </c>
      <c r="O69" s="24">
        <v>45731</v>
      </c>
      <c r="P69" s="24">
        <v>45734</v>
      </c>
      <c r="Q69" s="24">
        <v>45736</v>
      </c>
      <c r="R69" s="24">
        <v>45738</v>
      </c>
      <c r="S69" s="24">
        <v>45741</v>
      </c>
      <c r="T69" s="24">
        <v>45743</v>
      </c>
      <c r="U69" s="80">
        <v>45745</v>
      </c>
      <c r="W69" s="35" t="s">
        <v>3</v>
      </c>
      <c r="X69" s="14">
        <v>45724</v>
      </c>
      <c r="Y69" s="24">
        <v>45745</v>
      </c>
      <c r="Z69" s="15"/>
      <c r="AA69" s="15"/>
      <c r="AB69" s="15"/>
      <c r="AC69" s="16"/>
      <c r="AE69" s="35" t="s">
        <v>3</v>
      </c>
      <c r="AF69" s="14"/>
      <c r="AG69" s="15"/>
      <c r="AH69" s="15"/>
      <c r="AI69" s="15"/>
      <c r="AJ69" s="15"/>
      <c r="AK69" s="16"/>
    </row>
    <row r="70" spans="1:37" ht="15.75" thickBot="1" x14ac:dyDescent="0.3">
      <c r="A70" s="168"/>
      <c r="B70" s="17">
        <v>17355</v>
      </c>
      <c r="C70" s="18">
        <v>18802</v>
      </c>
      <c r="D70" s="85">
        <v>18802</v>
      </c>
      <c r="E70" s="85">
        <v>20647</v>
      </c>
      <c r="F70" s="18">
        <f>SUM(C70-B70)</f>
        <v>1447</v>
      </c>
      <c r="G70" s="18">
        <f>SUM(E70-D70)</f>
        <v>1845</v>
      </c>
      <c r="H70" s="33">
        <f>SUM(F70:G70)</f>
        <v>3292</v>
      </c>
      <c r="J70" s="36" t="s">
        <v>21</v>
      </c>
      <c r="K70" s="19">
        <v>209.27</v>
      </c>
      <c r="L70" s="20">
        <v>222.48</v>
      </c>
      <c r="M70" s="20">
        <v>269.89</v>
      </c>
      <c r="N70" s="20">
        <v>187.76</v>
      </c>
      <c r="O70" s="20">
        <v>223.48</v>
      </c>
      <c r="P70" s="20">
        <v>232.04</v>
      </c>
      <c r="Q70" s="20">
        <v>205.43</v>
      </c>
      <c r="R70" s="20">
        <v>200.78</v>
      </c>
      <c r="S70" s="20">
        <v>205.22</v>
      </c>
      <c r="T70" s="20">
        <v>187.38</v>
      </c>
      <c r="U70" s="21">
        <v>144.38</v>
      </c>
      <c r="W70" s="36" t="s">
        <v>21</v>
      </c>
      <c r="X70" s="19">
        <v>45</v>
      </c>
      <c r="Y70" s="20">
        <v>45</v>
      </c>
      <c r="Z70" s="20"/>
      <c r="AA70" s="20"/>
      <c r="AB70" s="20"/>
      <c r="AC70" s="21"/>
      <c r="AE70" s="36" t="s">
        <v>21</v>
      </c>
      <c r="AF70" s="19"/>
      <c r="AG70" s="20"/>
      <c r="AH70" s="20"/>
      <c r="AI70" s="20"/>
      <c r="AJ70" s="20"/>
      <c r="AK70" s="21"/>
    </row>
    <row r="71" spans="1:37" x14ac:dyDescent="0.25">
      <c r="J71" s="37"/>
      <c r="T71" s="22" t="s">
        <v>22</v>
      </c>
      <c r="U71" s="23">
        <f>SUM(K70:U70)</f>
        <v>2288.11</v>
      </c>
      <c r="AB71" s="22" t="s">
        <v>22</v>
      </c>
      <c r="AC71" s="23">
        <f>SUM(X70:AC70)</f>
        <v>90</v>
      </c>
      <c r="AJ71" s="22" t="s">
        <v>22</v>
      </c>
      <c r="AK71" s="23">
        <f>SUM(AF70:AK70)</f>
        <v>0</v>
      </c>
    </row>
    <row r="72" spans="1:37" ht="15.75" thickBot="1" x14ac:dyDescent="0.3">
      <c r="A72" s="34"/>
      <c r="B72" s="171" t="s">
        <v>13</v>
      </c>
      <c r="C72" s="171"/>
      <c r="D72" s="171"/>
      <c r="E72" s="171"/>
      <c r="F72" s="171"/>
      <c r="G72" s="171"/>
      <c r="H72" s="171"/>
      <c r="J72" s="172" t="s">
        <v>13</v>
      </c>
      <c r="K72" s="172"/>
      <c r="L72" s="172"/>
      <c r="M72" s="172"/>
      <c r="N72" s="172"/>
      <c r="O72" s="172"/>
      <c r="P72" s="172"/>
      <c r="Q72" s="172"/>
      <c r="R72" s="172"/>
      <c r="S72" s="172"/>
      <c r="T72" s="172"/>
      <c r="U72" s="172"/>
      <c r="W72" s="173" t="str">
        <f>J72</f>
        <v>Abril</v>
      </c>
      <c r="X72" s="173"/>
      <c r="Y72" s="173"/>
      <c r="Z72" s="173"/>
      <c r="AA72" s="173"/>
      <c r="AB72" s="173"/>
      <c r="AC72" s="173"/>
      <c r="AE72" s="174" t="str">
        <f>W72</f>
        <v>Abril</v>
      </c>
      <c r="AF72" s="174"/>
      <c r="AG72" s="174"/>
      <c r="AH72" s="174"/>
      <c r="AI72" s="174"/>
      <c r="AJ72" s="174"/>
      <c r="AK72" s="174"/>
    </row>
    <row r="73" spans="1:37" ht="15.75" thickBot="1" x14ac:dyDescent="0.3">
      <c r="A73" s="168" t="s">
        <v>4</v>
      </c>
      <c r="B73" s="10" t="s">
        <v>5</v>
      </c>
      <c r="C73" s="11" t="s">
        <v>6</v>
      </c>
      <c r="D73" s="12" t="s">
        <v>7</v>
      </c>
      <c r="E73" s="11" t="s">
        <v>8</v>
      </c>
      <c r="F73" s="12" t="s">
        <v>9</v>
      </c>
      <c r="G73" s="11" t="s">
        <v>10</v>
      </c>
      <c r="H73" s="32" t="s">
        <v>11</v>
      </c>
      <c r="J73" s="35" t="s">
        <v>3</v>
      </c>
      <c r="K73" s="14">
        <v>45748</v>
      </c>
      <c r="L73" s="24">
        <v>45750</v>
      </c>
      <c r="M73" s="24">
        <v>45752</v>
      </c>
      <c r="N73" s="24">
        <v>45757</v>
      </c>
      <c r="O73" s="24">
        <v>45759</v>
      </c>
      <c r="P73" s="24">
        <v>45762</v>
      </c>
      <c r="Q73" s="24">
        <v>45766</v>
      </c>
      <c r="R73" s="24">
        <v>45771</v>
      </c>
      <c r="S73" s="24">
        <v>45773</v>
      </c>
      <c r="T73" s="24"/>
      <c r="U73" s="89"/>
      <c r="V73" s="93"/>
      <c r="W73" s="91" t="s">
        <v>3</v>
      </c>
      <c r="X73" s="14"/>
      <c r="Y73" s="15"/>
      <c r="Z73" s="15"/>
      <c r="AA73" s="15"/>
      <c r="AB73" s="15"/>
      <c r="AC73" s="16"/>
      <c r="AE73" s="35" t="s">
        <v>3</v>
      </c>
      <c r="AF73" s="14"/>
      <c r="AG73" s="15"/>
      <c r="AH73" s="15"/>
      <c r="AI73" s="15"/>
      <c r="AJ73" s="15"/>
      <c r="AK73" s="16"/>
    </row>
    <row r="74" spans="1:37" ht="15.75" thickBot="1" x14ac:dyDescent="0.3">
      <c r="A74" s="168"/>
      <c r="B74" s="85">
        <v>20647</v>
      </c>
      <c r="C74" s="18">
        <v>22214</v>
      </c>
      <c r="D74" s="18">
        <v>22214</v>
      </c>
      <c r="E74" s="18">
        <v>23390</v>
      </c>
      <c r="F74" s="18">
        <f>SUM(C74-B74)</f>
        <v>1567</v>
      </c>
      <c r="G74" s="18">
        <f>SUM(E74-D74)</f>
        <v>1176</v>
      </c>
      <c r="H74" s="33">
        <f>SUM(F74:G74)</f>
        <v>2743</v>
      </c>
      <c r="J74" s="36" t="s">
        <v>21</v>
      </c>
      <c r="K74" s="19">
        <v>235.64</v>
      </c>
      <c r="L74" s="20">
        <v>186.25</v>
      </c>
      <c r="M74" s="20">
        <v>140.08000000000001</v>
      </c>
      <c r="N74" s="20">
        <v>236.86</v>
      </c>
      <c r="O74" s="20">
        <v>161.84</v>
      </c>
      <c r="P74" s="20">
        <v>137.32</v>
      </c>
      <c r="Q74" s="20">
        <v>232.48</v>
      </c>
      <c r="R74" s="20">
        <v>259.39999999999998</v>
      </c>
      <c r="S74" s="20">
        <v>156.13</v>
      </c>
      <c r="T74" s="20"/>
      <c r="U74" s="90"/>
      <c r="V74" s="23"/>
      <c r="W74" s="92" t="s">
        <v>21</v>
      </c>
      <c r="X74" s="19"/>
      <c r="Y74" s="20"/>
      <c r="Z74" s="20"/>
      <c r="AA74" s="20"/>
      <c r="AB74" s="20"/>
      <c r="AC74" s="21"/>
      <c r="AE74" s="36" t="s">
        <v>21</v>
      </c>
      <c r="AF74" s="19"/>
      <c r="AG74" s="20"/>
      <c r="AH74" s="20"/>
      <c r="AI74" s="20"/>
      <c r="AJ74" s="20"/>
      <c r="AK74" s="21"/>
    </row>
    <row r="75" spans="1:37" x14ac:dyDescent="0.25">
      <c r="J75" s="37"/>
      <c r="T75" s="22" t="s">
        <v>22</v>
      </c>
      <c r="U75" s="23">
        <f>SUM(K74:V74)</f>
        <v>1746</v>
      </c>
      <c r="AB75" s="22" t="s">
        <v>22</v>
      </c>
      <c r="AC75" s="23">
        <f>SUM(X74:AC74)</f>
        <v>0</v>
      </c>
      <c r="AJ75" s="22" t="s">
        <v>22</v>
      </c>
      <c r="AK75" s="23">
        <f>SUM(AF74:AK74)</f>
        <v>0</v>
      </c>
    </row>
    <row r="76" spans="1:37" ht="15.75" thickBot="1" x14ac:dyDescent="0.3">
      <c r="A76" s="34"/>
      <c r="B76" s="171" t="s">
        <v>14</v>
      </c>
      <c r="C76" s="171"/>
      <c r="D76" s="171"/>
      <c r="E76" s="171"/>
      <c r="F76" s="171"/>
      <c r="G76" s="171"/>
      <c r="H76" s="171"/>
      <c r="J76" s="172" t="s">
        <v>14</v>
      </c>
      <c r="K76" s="172"/>
      <c r="L76" s="172"/>
      <c r="M76" s="172"/>
      <c r="N76" s="172"/>
      <c r="O76" s="172"/>
      <c r="P76" s="172"/>
      <c r="Q76" s="172"/>
      <c r="R76" s="172"/>
      <c r="S76" s="172"/>
      <c r="T76" s="172"/>
      <c r="U76" s="172"/>
      <c r="W76" s="173" t="str">
        <f>J76</f>
        <v>Maio</v>
      </c>
      <c r="X76" s="173"/>
      <c r="Y76" s="173"/>
      <c r="Z76" s="173"/>
      <c r="AA76" s="173"/>
      <c r="AB76" s="173"/>
      <c r="AC76" s="173"/>
      <c r="AE76" s="174" t="str">
        <f>W76</f>
        <v>Maio</v>
      </c>
      <c r="AF76" s="174"/>
      <c r="AG76" s="174"/>
      <c r="AH76" s="174"/>
      <c r="AI76" s="174"/>
      <c r="AJ76" s="174"/>
      <c r="AK76" s="174"/>
    </row>
    <row r="77" spans="1:37" ht="15.75" thickBot="1" x14ac:dyDescent="0.3">
      <c r="A77" s="168" t="s">
        <v>4</v>
      </c>
      <c r="B77" s="10" t="s">
        <v>5</v>
      </c>
      <c r="C77" s="11" t="s">
        <v>6</v>
      </c>
      <c r="D77" s="12" t="s">
        <v>7</v>
      </c>
      <c r="E77" s="11" t="s">
        <v>8</v>
      </c>
      <c r="F77" s="12" t="s">
        <v>9</v>
      </c>
      <c r="G77" s="11" t="s">
        <v>10</v>
      </c>
      <c r="H77" s="32" t="s">
        <v>11</v>
      </c>
      <c r="J77" s="35" t="s">
        <v>3</v>
      </c>
      <c r="K77" s="14">
        <v>45778</v>
      </c>
      <c r="L77" s="24">
        <v>45783</v>
      </c>
      <c r="M77" s="24">
        <v>45787</v>
      </c>
      <c r="N77" s="24">
        <v>45792</v>
      </c>
      <c r="O77" s="24">
        <v>45797</v>
      </c>
      <c r="P77" s="24">
        <v>45801</v>
      </c>
      <c r="Q77" s="24">
        <v>45803</v>
      </c>
      <c r="R77" s="24">
        <v>45808</v>
      </c>
      <c r="S77" s="24"/>
      <c r="T77" s="24"/>
      <c r="U77" s="89"/>
      <c r="V77" s="93"/>
      <c r="W77" s="91" t="s">
        <v>3</v>
      </c>
      <c r="X77" s="14"/>
      <c r="Y77" s="15"/>
      <c r="Z77" s="15"/>
      <c r="AA77" s="15"/>
      <c r="AB77" s="15"/>
      <c r="AC77" s="16"/>
      <c r="AE77" s="35" t="s">
        <v>3</v>
      </c>
      <c r="AF77" s="14"/>
      <c r="AG77" s="15"/>
      <c r="AH77" s="15"/>
      <c r="AI77" s="15"/>
      <c r="AJ77" s="15"/>
      <c r="AK77" s="16"/>
    </row>
    <row r="78" spans="1:37" ht="15.75" thickBot="1" x14ac:dyDescent="0.3">
      <c r="A78" s="168"/>
      <c r="B78" s="18">
        <v>23390</v>
      </c>
      <c r="C78" s="18">
        <v>24446</v>
      </c>
      <c r="D78" s="18">
        <v>24446</v>
      </c>
      <c r="E78" s="18">
        <v>25666</v>
      </c>
      <c r="F78" s="18">
        <f>SUM(C78-B78)</f>
        <v>1056</v>
      </c>
      <c r="G78" s="18">
        <f>SUM(E78-D78)</f>
        <v>1220</v>
      </c>
      <c r="H78" s="33">
        <f>SUM(F78:G78)</f>
        <v>2276</v>
      </c>
      <c r="J78" s="36" t="s">
        <v>21</v>
      </c>
      <c r="K78" s="19">
        <v>198.06</v>
      </c>
      <c r="L78" s="20">
        <v>183.52</v>
      </c>
      <c r="M78" s="20">
        <v>187.01</v>
      </c>
      <c r="N78" s="20">
        <v>189.45</v>
      </c>
      <c r="O78" s="20">
        <v>185.05</v>
      </c>
      <c r="P78" s="20">
        <v>208.3</v>
      </c>
      <c r="Q78" s="20">
        <v>172.86</v>
      </c>
      <c r="R78" s="20">
        <v>156.29</v>
      </c>
      <c r="S78" s="20"/>
      <c r="T78" s="20"/>
      <c r="U78" s="90"/>
      <c r="V78" s="23"/>
      <c r="W78" s="92" t="s">
        <v>21</v>
      </c>
      <c r="X78" s="19"/>
      <c r="Y78" s="20"/>
      <c r="Z78" s="20"/>
      <c r="AA78" s="20"/>
      <c r="AB78" s="20"/>
      <c r="AC78" s="21"/>
      <c r="AE78" s="36" t="s">
        <v>21</v>
      </c>
      <c r="AF78" s="19"/>
      <c r="AG78" s="20"/>
      <c r="AH78" s="20"/>
      <c r="AI78" s="20"/>
      <c r="AJ78" s="20"/>
      <c r="AK78" s="21"/>
    </row>
    <row r="79" spans="1:37" x14ac:dyDescent="0.25">
      <c r="J79" s="37"/>
      <c r="T79" s="22" t="s">
        <v>22</v>
      </c>
      <c r="U79" s="23">
        <f>SUM(K78:V78)</f>
        <v>1480.54</v>
      </c>
      <c r="AB79" s="22" t="s">
        <v>22</v>
      </c>
      <c r="AC79" s="23">
        <f>SUM(X78:AC78)</f>
        <v>0</v>
      </c>
      <c r="AJ79" s="22" t="s">
        <v>22</v>
      </c>
      <c r="AK79" s="23">
        <f>SUM(AF78:AK78)</f>
        <v>0</v>
      </c>
    </row>
    <row r="80" spans="1:37" ht="15.75" thickBot="1" x14ac:dyDescent="0.3">
      <c r="A80" s="34"/>
      <c r="B80" s="171" t="s">
        <v>23</v>
      </c>
      <c r="C80" s="171"/>
      <c r="D80" s="171"/>
      <c r="E80" s="171"/>
      <c r="F80" s="171"/>
      <c r="G80" s="171"/>
      <c r="H80" s="171"/>
      <c r="J80" s="172" t="s">
        <v>23</v>
      </c>
      <c r="K80" s="172"/>
      <c r="L80" s="172"/>
      <c r="M80" s="172"/>
      <c r="N80" s="172"/>
      <c r="O80" s="172"/>
      <c r="P80" s="172"/>
      <c r="Q80" s="172"/>
      <c r="R80" s="172"/>
      <c r="S80" s="172"/>
      <c r="T80" s="172"/>
      <c r="U80" s="172"/>
      <c r="W80" s="173" t="str">
        <f>J80</f>
        <v>Junho</v>
      </c>
      <c r="X80" s="173"/>
      <c r="Y80" s="173"/>
      <c r="Z80" s="173"/>
      <c r="AA80" s="173"/>
      <c r="AB80" s="173"/>
      <c r="AC80" s="173"/>
      <c r="AE80" s="174" t="str">
        <f>W80</f>
        <v>Junho</v>
      </c>
      <c r="AF80" s="174"/>
      <c r="AG80" s="174"/>
      <c r="AH80" s="174"/>
      <c r="AI80" s="174"/>
      <c r="AJ80" s="174"/>
      <c r="AK80" s="174"/>
    </row>
    <row r="81" spans="1:37" ht="15.75" thickBot="1" x14ac:dyDescent="0.3">
      <c r="A81" s="168" t="s">
        <v>4</v>
      </c>
      <c r="B81" s="10" t="s">
        <v>5</v>
      </c>
      <c r="C81" s="11" t="s">
        <v>6</v>
      </c>
      <c r="D81" s="12" t="s">
        <v>7</v>
      </c>
      <c r="E81" s="11" t="s">
        <v>8</v>
      </c>
      <c r="F81" s="12" t="s">
        <v>9</v>
      </c>
      <c r="G81" s="11" t="s">
        <v>10</v>
      </c>
      <c r="H81" s="32" t="s">
        <v>11</v>
      </c>
      <c r="J81" s="35" t="s">
        <v>3</v>
      </c>
      <c r="K81" s="14">
        <v>45813</v>
      </c>
      <c r="L81" s="24">
        <v>45818</v>
      </c>
      <c r="M81" s="24">
        <v>45836</v>
      </c>
      <c r="N81" s="24"/>
      <c r="O81" s="24"/>
      <c r="P81" s="24"/>
      <c r="Q81" s="24"/>
      <c r="R81" s="24"/>
      <c r="S81" s="24"/>
      <c r="T81" s="24"/>
      <c r="U81" s="89"/>
      <c r="V81" s="93"/>
      <c r="W81" s="91" t="s">
        <v>3</v>
      </c>
      <c r="X81" s="14"/>
      <c r="Y81" s="15"/>
      <c r="Z81" s="15"/>
      <c r="AA81" s="15"/>
      <c r="AB81" s="15"/>
      <c r="AC81" s="16"/>
      <c r="AE81" s="35" t="s">
        <v>3</v>
      </c>
      <c r="AF81" s="14"/>
      <c r="AG81" s="15"/>
      <c r="AH81" s="15"/>
      <c r="AI81" s="15"/>
      <c r="AJ81" s="15"/>
      <c r="AK81" s="16"/>
    </row>
    <row r="82" spans="1:37" ht="15.75" thickBot="1" x14ac:dyDescent="0.3">
      <c r="A82" s="168"/>
      <c r="B82" s="18">
        <v>25666</v>
      </c>
      <c r="C82" s="18">
        <v>26330</v>
      </c>
      <c r="D82" s="18">
        <v>26330</v>
      </c>
      <c r="E82" s="18">
        <v>26693</v>
      </c>
      <c r="F82" s="18">
        <f>SUM(C82-B82)</f>
        <v>664</v>
      </c>
      <c r="G82" s="18">
        <f>SUM(E82-D82)</f>
        <v>363</v>
      </c>
      <c r="H82" s="33">
        <f>SUM(F82:G82)</f>
        <v>1027</v>
      </c>
      <c r="J82" s="36" t="s">
        <v>21</v>
      </c>
      <c r="K82" s="19">
        <v>181.9</v>
      </c>
      <c r="L82" s="20">
        <v>165.41</v>
      </c>
      <c r="M82" s="20">
        <v>171.32</v>
      </c>
      <c r="N82" s="20"/>
      <c r="O82" s="20"/>
      <c r="P82" s="20"/>
      <c r="Q82" s="20"/>
      <c r="R82" s="20"/>
      <c r="S82" s="20"/>
      <c r="T82" s="20"/>
      <c r="U82" s="90"/>
      <c r="V82" s="23"/>
      <c r="W82" s="92" t="s">
        <v>21</v>
      </c>
      <c r="X82" s="19"/>
      <c r="Y82" s="20"/>
      <c r="Z82" s="20"/>
      <c r="AA82" s="20"/>
      <c r="AB82" s="20"/>
      <c r="AC82" s="21"/>
      <c r="AE82" s="36" t="s">
        <v>21</v>
      </c>
      <c r="AF82" s="19"/>
      <c r="AG82" s="20"/>
      <c r="AH82" s="20"/>
      <c r="AI82" s="20"/>
      <c r="AJ82" s="20"/>
      <c r="AK82" s="21"/>
    </row>
    <row r="83" spans="1:37" x14ac:dyDescent="0.25">
      <c r="J83" s="37"/>
      <c r="T83" s="22" t="s">
        <v>22</v>
      </c>
      <c r="U83" s="23">
        <f>SUM(K82:V82)</f>
        <v>518.63</v>
      </c>
      <c r="AB83" s="22" t="s">
        <v>22</v>
      </c>
      <c r="AC83" s="23">
        <f>SUM(X82:AC82)</f>
        <v>0</v>
      </c>
      <c r="AJ83" s="22" t="s">
        <v>22</v>
      </c>
      <c r="AK83" s="23">
        <f>SUM(AF82:AK82)</f>
        <v>0</v>
      </c>
    </row>
    <row r="84" spans="1:37" ht="15.75" thickBot="1" x14ac:dyDescent="0.3">
      <c r="A84" s="34"/>
      <c r="B84" s="171" t="s">
        <v>15</v>
      </c>
      <c r="C84" s="171"/>
      <c r="D84" s="171"/>
      <c r="E84" s="171"/>
      <c r="F84" s="171"/>
      <c r="G84" s="171"/>
      <c r="H84" s="171"/>
      <c r="J84" s="172" t="s">
        <v>15</v>
      </c>
      <c r="K84" s="172"/>
      <c r="L84" s="172"/>
      <c r="M84" s="172"/>
      <c r="N84" s="172"/>
      <c r="O84" s="172"/>
      <c r="P84" s="172"/>
      <c r="Q84" s="172"/>
      <c r="R84" s="172"/>
      <c r="S84" s="172"/>
      <c r="T84" s="172"/>
      <c r="U84" s="172"/>
      <c r="W84" s="173" t="str">
        <f>J84</f>
        <v>Julho</v>
      </c>
      <c r="X84" s="173"/>
      <c r="Y84" s="173"/>
      <c r="Z84" s="173"/>
      <c r="AA84" s="173"/>
      <c r="AB84" s="173"/>
      <c r="AC84" s="173"/>
      <c r="AE84" s="174" t="str">
        <f>W84</f>
        <v>Julho</v>
      </c>
      <c r="AF84" s="174"/>
      <c r="AG84" s="174"/>
      <c r="AH84" s="174"/>
      <c r="AI84" s="174"/>
      <c r="AJ84" s="174"/>
      <c r="AK84" s="174"/>
    </row>
    <row r="85" spans="1:37" ht="15.75" thickBot="1" x14ac:dyDescent="0.3">
      <c r="A85" s="168" t="s">
        <v>4</v>
      </c>
      <c r="B85" s="10" t="s">
        <v>5</v>
      </c>
      <c r="C85" s="11" t="s">
        <v>6</v>
      </c>
      <c r="D85" s="12" t="s">
        <v>7</v>
      </c>
      <c r="E85" s="11" t="s">
        <v>8</v>
      </c>
      <c r="F85" s="12" t="s">
        <v>9</v>
      </c>
      <c r="G85" s="11" t="s">
        <v>10</v>
      </c>
      <c r="H85" s="32" t="s">
        <v>11</v>
      </c>
      <c r="J85" s="35" t="s">
        <v>3</v>
      </c>
      <c r="K85" s="14">
        <v>45841</v>
      </c>
      <c r="L85" s="24">
        <v>45846</v>
      </c>
      <c r="M85" s="24">
        <v>45850</v>
      </c>
      <c r="N85" s="24">
        <v>45853</v>
      </c>
      <c r="O85" s="24">
        <v>45857</v>
      </c>
      <c r="P85" s="24">
        <v>45860</v>
      </c>
      <c r="Q85" s="24">
        <v>45864</v>
      </c>
      <c r="R85" s="24">
        <v>45867</v>
      </c>
      <c r="S85" s="24"/>
      <c r="T85" s="24"/>
      <c r="U85" s="89"/>
      <c r="V85" s="93"/>
      <c r="W85" s="91" t="s">
        <v>3</v>
      </c>
      <c r="X85" s="14"/>
      <c r="Y85" s="15"/>
      <c r="Z85" s="15"/>
      <c r="AA85" s="15"/>
      <c r="AB85" s="15"/>
      <c r="AC85" s="16"/>
      <c r="AE85" s="35" t="s">
        <v>3</v>
      </c>
      <c r="AF85" s="14"/>
      <c r="AG85" s="15"/>
      <c r="AH85" s="15"/>
      <c r="AI85" s="15"/>
      <c r="AJ85" s="15"/>
      <c r="AK85" s="16"/>
    </row>
    <row r="86" spans="1:37" ht="15.75" thickBot="1" x14ac:dyDescent="0.3">
      <c r="A86" s="168"/>
      <c r="B86" s="18">
        <v>26693</v>
      </c>
      <c r="C86" s="18">
        <v>27843</v>
      </c>
      <c r="D86" s="18">
        <v>27843</v>
      </c>
      <c r="E86" s="18">
        <v>29413</v>
      </c>
      <c r="F86" s="18">
        <f>SUM(C86-B86)</f>
        <v>1150</v>
      </c>
      <c r="G86" s="18">
        <f>SUM(E86-D86)</f>
        <v>1570</v>
      </c>
      <c r="H86" s="33">
        <f>SUM(F86:G86)</f>
        <v>2720</v>
      </c>
      <c r="J86" s="36" t="s">
        <v>21</v>
      </c>
      <c r="K86" s="19">
        <v>171.29</v>
      </c>
      <c r="L86" s="20">
        <v>160.59</v>
      </c>
      <c r="M86" s="20">
        <v>176.67</v>
      </c>
      <c r="N86" s="20">
        <v>160.34</v>
      </c>
      <c r="O86" s="20">
        <v>222.81</v>
      </c>
      <c r="P86" s="20">
        <v>152.28</v>
      </c>
      <c r="Q86" s="20">
        <v>241.04</v>
      </c>
      <c r="R86" s="20">
        <v>150</v>
      </c>
      <c r="S86" s="20"/>
      <c r="T86" s="20"/>
      <c r="U86" s="90"/>
      <c r="V86" s="23"/>
      <c r="W86" s="92" t="s">
        <v>21</v>
      </c>
      <c r="X86" s="19"/>
      <c r="Y86" s="20"/>
      <c r="Z86" s="20"/>
      <c r="AA86" s="20"/>
      <c r="AB86" s="20"/>
      <c r="AC86" s="21"/>
      <c r="AE86" s="36" t="s">
        <v>21</v>
      </c>
      <c r="AF86" s="19"/>
      <c r="AG86" s="20"/>
      <c r="AH86" s="20"/>
      <c r="AI86" s="20"/>
      <c r="AJ86" s="20"/>
      <c r="AK86" s="21"/>
    </row>
    <row r="87" spans="1:37" x14ac:dyDescent="0.25">
      <c r="J87" s="37"/>
      <c r="T87" s="22" t="s">
        <v>22</v>
      </c>
      <c r="U87" s="23">
        <f>SUM(K86:V86)</f>
        <v>1435.02</v>
      </c>
      <c r="AB87" s="22" t="s">
        <v>22</v>
      </c>
      <c r="AC87" s="23">
        <f>SUM(X86:AC86)</f>
        <v>0</v>
      </c>
      <c r="AJ87" s="22" t="s">
        <v>22</v>
      </c>
      <c r="AK87" s="23">
        <f>SUM(AF86:AK86)</f>
        <v>0</v>
      </c>
    </row>
    <row r="88" spans="1:37" ht="15.75" thickBot="1" x14ac:dyDescent="0.3">
      <c r="A88" s="34"/>
      <c r="B88" s="171" t="s">
        <v>16</v>
      </c>
      <c r="C88" s="171"/>
      <c r="D88" s="171"/>
      <c r="E88" s="171"/>
      <c r="F88" s="171"/>
      <c r="G88" s="171"/>
      <c r="H88" s="171"/>
      <c r="J88" s="172" t="s">
        <v>16</v>
      </c>
      <c r="K88" s="172"/>
      <c r="L88" s="172"/>
      <c r="M88" s="172"/>
      <c r="N88" s="172"/>
      <c r="O88" s="172"/>
      <c r="P88" s="172"/>
      <c r="Q88" s="172"/>
      <c r="R88" s="172"/>
      <c r="S88" s="172"/>
      <c r="T88" s="172"/>
      <c r="U88" s="172"/>
      <c r="W88" s="173" t="str">
        <f>J88</f>
        <v>Agosto</v>
      </c>
      <c r="X88" s="173"/>
      <c r="Y88" s="173"/>
      <c r="Z88" s="173"/>
      <c r="AA88" s="173"/>
      <c r="AB88" s="173"/>
      <c r="AC88" s="173"/>
      <c r="AE88" s="174" t="str">
        <f>W88</f>
        <v>Agosto</v>
      </c>
      <c r="AF88" s="174"/>
      <c r="AG88" s="174"/>
      <c r="AH88" s="174"/>
      <c r="AI88" s="174"/>
      <c r="AJ88" s="174"/>
      <c r="AK88" s="174"/>
    </row>
    <row r="89" spans="1:37" ht="15.75" thickBot="1" x14ac:dyDescent="0.3">
      <c r="A89" s="168" t="s">
        <v>4</v>
      </c>
      <c r="B89" s="10" t="s">
        <v>5</v>
      </c>
      <c r="C89" s="11" t="s">
        <v>6</v>
      </c>
      <c r="D89" s="12" t="s">
        <v>7</v>
      </c>
      <c r="E89" s="11" t="s">
        <v>8</v>
      </c>
      <c r="F89" s="12" t="s">
        <v>9</v>
      </c>
      <c r="G89" s="11" t="s">
        <v>10</v>
      </c>
      <c r="H89" s="32" t="s">
        <v>11</v>
      </c>
      <c r="J89" s="35" t="s">
        <v>3</v>
      </c>
      <c r="K89" s="14">
        <v>45871</v>
      </c>
      <c r="L89" s="24">
        <v>45874</v>
      </c>
      <c r="M89" s="24">
        <v>45888</v>
      </c>
      <c r="N89" s="24">
        <v>45892</v>
      </c>
      <c r="O89" s="24">
        <v>45895</v>
      </c>
      <c r="P89" s="24">
        <v>45897</v>
      </c>
      <c r="Q89" s="15"/>
      <c r="R89" s="15"/>
      <c r="S89" s="15"/>
      <c r="T89" s="15"/>
      <c r="U89" s="16"/>
      <c r="W89" s="35" t="s">
        <v>3</v>
      </c>
      <c r="X89" s="14"/>
      <c r="Y89" s="15"/>
      <c r="Z89" s="15"/>
      <c r="AA89" s="15"/>
      <c r="AB89" s="15"/>
      <c r="AC89" s="16"/>
      <c r="AE89" s="35" t="s">
        <v>3</v>
      </c>
      <c r="AF89" s="14"/>
      <c r="AG89" s="15"/>
      <c r="AH89" s="15"/>
      <c r="AI89" s="15"/>
      <c r="AJ89" s="15"/>
      <c r="AK89" s="16"/>
    </row>
    <row r="90" spans="1:37" ht="15.75" thickBot="1" x14ac:dyDescent="0.3">
      <c r="A90" s="168"/>
      <c r="B90" s="18">
        <v>29413</v>
      </c>
      <c r="C90" s="18">
        <v>30184</v>
      </c>
      <c r="D90" s="18">
        <v>30184</v>
      </c>
      <c r="E90" s="18">
        <v>31353</v>
      </c>
      <c r="F90" s="18">
        <f>SUM(C90-B90)</f>
        <v>771</v>
      </c>
      <c r="G90" s="18">
        <f>SUM(E90-D90)</f>
        <v>1169</v>
      </c>
      <c r="H90" s="33">
        <f>SUM(F90:G90)</f>
        <v>1940</v>
      </c>
      <c r="J90" s="36" t="s">
        <v>21</v>
      </c>
      <c r="K90" s="19">
        <v>203.53</v>
      </c>
      <c r="L90" s="20">
        <v>162.38999999999999</v>
      </c>
      <c r="M90" s="20">
        <v>175.05</v>
      </c>
      <c r="N90" s="20">
        <v>133.04</v>
      </c>
      <c r="O90" s="20">
        <v>205.04</v>
      </c>
      <c r="P90" s="20">
        <v>152.47999999999999</v>
      </c>
      <c r="Q90" s="20"/>
      <c r="R90" s="20"/>
      <c r="S90" s="20"/>
      <c r="T90" s="20"/>
      <c r="U90" s="21"/>
      <c r="W90" s="36" t="s">
        <v>21</v>
      </c>
      <c r="X90" s="19"/>
      <c r="Y90" s="20"/>
      <c r="Z90" s="20"/>
      <c r="AA90" s="20"/>
      <c r="AB90" s="20"/>
      <c r="AC90" s="21"/>
      <c r="AE90" s="36" t="s">
        <v>21</v>
      </c>
      <c r="AF90" s="19"/>
      <c r="AG90" s="20"/>
      <c r="AH90" s="20"/>
      <c r="AI90" s="20"/>
      <c r="AJ90" s="20"/>
      <c r="AK90" s="21"/>
    </row>
    <row r="91" spans="1:37" x14ac:dyDescent="0.25">
      <c r="F91" s="2"/>
      <c r="G91" s="2"/>
      <c r="H91" s="2"/>
      <c r="J91" s="37"/>
      <c r="T91" s="22" t="s">
        <v>22</v>
      </c>
      <c r="U91" s="23">
        <f>SUM(K90:U90)</f>
        <v>1031.53</v>
      </c>
      <c r="AB91" s="22" t="s">
        <v>22</v>
      </c>
      <c r="AC91" s="23">
        <f>SUM(X90:AC90)</f>
        <v>0</v>
      </c>
      <c r="AJ91" s="22" t="s">
        <v>22</v>
      </c>
      <c r="AK91" s="23">
        <f>SUM(AF90:AK90)</f>
        <v>0</v>
      </c>
    </row>
    <row r="92" spans="1:37" ht="15.75" thickBot="1" x14ac:dyDescent="0.3">
      <c r="A92" s="34"/>
      <c r="B92" s="171" t="s">
        <v>17</v>
      </c>
      <c r="C92" s="171"/>
      <c r="D92" s="171"/>
      <c r="E92" s="171"/>
      <c r="F92" s="171"/>
      <c r="G92" s="171"/>
      <c r="H92" s="171"/>
      <c r="J92" s="172" t="s">
        <v>17</v>
      </c>
      <c r="K92" s="172"/>
      <c r="L92" s="172"/>
      <c r="M92" s="172"/>
      <c r="N92" s="172"/>
      <c r="O92" s="172"/>
      <c r="P92" s="172"/>
      <c r="Q92" s="172"/>
      <c r="R92" s="172"/>
      <c r="S92" s="172"/>
      <c r="T92" s="172"/>
      <c r="U92" s="172"/>
      <c r="W92" s="173" t="str">
        <f>J92</f>
        <v>Setembro</v>
      </c>
      <c r="X92" s="173"/>
      <c r="Y92" s="173"/>
      <c r="Z92" s="173"/>
      <c r="AA92" s="173"/>
      <c r="AB92" s="173"/>
      <c r="AC92" s="173"/>
      <c r="AE92" s="174" t="str">
        <f>W92</f>
        <v>Setembro</v>
      </c>
      <c r="AF92" s="174"/>
      <c r="AG92" s="174"/>
      <c r="AH92" s="174"/>
      <c r="AI92" s="174"/>
      <c r="AJ92" s="174"/>
      <c r="AK92" s="174"/>
    </row>
    <row r="93" spans="1:37" ht="15.75" thickBot="1" x14ac:dyDescent="0.3">
      <c r="A93" s="168" t="s">
        <v>4</v>
      </c>
      <c r="B93" s="10" t="s">
        <v>5</v>
      </c>
      <c r="C93" s="11" t="s">
        <v>6</v>
      </c>
      <c r="D93" s="12" t="s">
        <v>7</v>
      </c>
      <c r="E93" s="11" t="s">
        <v>8</v>
      </c>
      <c r="F93" s="12" t="s">
        <v>9</v>
      </c>
      <c r="G93" s="11" t="s">
        <v>10</v>
      </c>
      <c r="H93" s="32" t="s">
        <v>11</v>
      </c>
      <c r="J93" s="35" t="s">
        <v>3</v>
      </c>
      <c r="K93" s="14">
        <v>45902</v>
      </c>
      <c r="L93" s="24">
        <v>45904</v>
      </c>
      <c r="M93" s="24">
        <v>45906</v>
      </c>
      <c r="N93" s="24">
        <v>45909</v>
      </c>
      <c r="O93" s="24">
        <v>45913</v>
      </c>
      <c r="P93" s="24">
        <v>45916</v>
      </c>
      <c r="Q93" s="24">
        <v>45920</v>
      </c>
      <c r="R93" s="24">
        <v>45923</v>
      </c>
      <c r="S93" s="24">
        <v>45927</v>
      </c>
      <c r="T93" s="24">
        <v>45930</v>
      </c>
      <c r="U93" s="16"/>
      <c r="W93" s="35" t="s">
        <v>3</v>
      </c>
      <c r="X93" s="14"/>
      <c r="Y93" s="15"/>
      <c r="Z93" s="15"/>
      <c r="AA93" s="15"/>
      <c r="AB93" s="15"/>
      <c r="AC93" s="16"/>
      <c r="AE93" s="35" t="s">
        <v>3</v>
      </c>
      <c r="AF93" s="14"/>
      <c r="AG93" s="15"/>
      <c r="AH93" s="15"/>
      <c r="AI93" s="15"/>
      <c r="AJ93" s="15"/>
      <c r="AK93" s="16"/>
    </row>
    <row r="94" spans="1:37" ht="15.75" thickBot="1" x14ac:dyDescent="0.3">
      <c r="A94" s="168"/>
      <c r="B94" s="18">
        <v>31353</v>
      </c>
      <c r="C94" s="18">
        <v>32800</v>
      </c>
      <c r="D94" s="18">
        <v>32800</v>
      </c>
      <c r="E94" s="18">
        <v>34192</v>
      </c>
      <c r="F94" s="18">
        <f>SUM(C94-B94)</f>
        <v>1447</v>
      </c>
      <c r="G94" s="18">
        <f>SUM(E94-D94)</f>
        <v>1392</v>
      </c>
      <c r="H94" s="33">
        <f>SUM(F94:G94)</f>
        <v>2839</v>
      </c>
      <c r="J94" s="36" t="s">
        <v>21</v>
      </c>
      <c r="K94" s="19">
        <v>210.7</v>
      </c>
      <c r="L94" s="20">
        <v>145.02000000000001</v>
      </c>
      <c r="M94" s="20">
        <v>150.08000000000001</v>
      </c>
      <c r="N94" s="20">
        <v>127.08</v>
      </c>
      <c r="O94" s="20">
        <v>205.04</v>
      </c>
      <c r="P94" s="20">
        <v>150.07</v>
      </c>
      <c r="Q94" s="20">
        <v>215.03</v>
      </c>
      <c r="R94" s="20">
        <v>172.35</v>
      </c>
      <c r="S94" s="20">
        <v>202.41</v>
      </c>
      <c r="T94" s="20">
        <v>140.07</v>
      </c>
      <c r="U94" s="21"/>
      <c r="W94" s="36" t="s">
        <v>21</v>
      </c>
      <c r="X94" s="19"/>
      <c r="Y94" s="20"/>
      <c r="Z94" s="20"/>
      <c r="AA94" s="20"/>
      <c r="AB94" s="20"/>
      <c r="AC94" s="21"/>
      <c r="AE94" s="36" t="s">
        <v>21</v>
      </c>
      <c r="AF94" s="19"/>
      <c r="AG94" s="20"/>
      <c r="AH94" s="20"/>
      <c r="AI94" s="20"/>
      <c r="AJ94" s="20"/>
      <c r="AK94" s="21"/>
    </row>
    <row r="95" spans="1:37" x14ac:dyDescent="0.25">
      <c r="F95" s="2"/>
      <c r="G95" s="2"/>
      <c r="H95" s="2"/>
      <c r="J95" s="37"/>
      <c r="T95" s="22" t="s">
        <v>22</v>
      </c>
      <c r="U95" s="23">
        <f>SUM(K94:U94)</f>
        <v>1717.85</v>
      </c>
      <c r="AB95" s="22" t="s">
        <v>22</v>
      </c>
      <c r="AC95" s="23">
        <f>SUM(X94:AC94)</f>
        <v>0</v>
      </c>
      <c r="AJ95" s="22" t="s">
        <v>22</v>
      </c>
      <c r="AK95" s="23">
        <f>SUM(AF94:AK94)</f>
        <v>0</v>
      </c>
    </row>
    <row r="96" spans="1:37" ht="15.75" thickBot="1" x14ac:dyDescent="0.3">
      <c r="A96" s="34"/>
      <c r="B96" s="171" t="s">
        <v>18</v>
      </c>
      <c r="C96" s="171"/>
      <c r="D96" s="171"/>
      <c r="E96" s="171"/>
      <c r="F96" s="171"/>
      <c r="G96" s="171"/>
      <c r="H96" s="171"/>
      <c r="J96" s="172" t="s">
        <v>18</v>
      </c>
      <c r="K96" s="172"/>
      <c r="L96" s="172"/>
      <c r="M96" s="172"/>
      <c r="N96" s="172"/>
      <c r="O96" s="172"/>
      <c r="P96" s="172"/>
      <c r="Q96" s="172"/>
      <c r="R96" s="172"/>
      <c r="S96" s="172"/>
      <c r="T96" s="172"/>
      <c r="U96" s="172"/>
      <c r="W96" s="173" t="str">
        <f>J96</f>
        <v>Outubro</v>
      </c>
      <c r="X96" s="173"/>
      <c r="Y96" s="173"/>
      <c r="Z96" s="173"/>
      <c r="AA96" s="173"/>
      <c r="AB96" s="173"/>
      <c r="AC96" s="173"/>
      <c r="AE96" s="174" t="str">
        <f>W96</f>
        <v>Outubro</v>
      </c>
      <c r="AF96" s="174"/>
      <c r="AG96" s="174"/>
      <c r="AH96" s="174"/>
      <c r="AI96" s="174"/>
      <c r="AJ96" s="174"/>
      <c r="AK96" s="174"/>
    </row>
    <row r="97" spans="1:37" ht="15.75" thickBot="1" x14ac:dyDescent="0.3">
      <c r="A97" s="168" t="s">
        <v>4</v>
      </c>
      <c r="B97" s="10" t="s">
        <v>5</v>
      </c>
      <c r="C97" s="11" t="s">
        <v>6</v>
      </c>
      <c r="D97" s="12" t="s">
        <v>7</v>
      </c>
      <c r="E97" s="11" t="s">
        <v>8</v>
      </c>
      <c r="F97" s="12" t="s">
        <v>9</v>
      </c>
      <c r="G97" s="11" t="s">
        <v>10</v>
      </c>
      <c r="H97" s="32" t="s">
        <v>11</v>
      </c>
      <c r="J97" s="35" t="s">
        <v>3</v>
      </c>
      <c r="K97" s="14">
        <v>45946</v>
      </c>
      <c r="L97" s="24">
        <v>45948</v>
      </c>
      <c r="M97" s="24">
        <v>45951</v>
      </c>
      <c r="N97" s="24">
        <v>45955</v>
      </c>
      <c r="O97" s="24">
        <v>45958</v>
      </c>
      <c r="P97" s="24">
        <v>45960</v>
      </c>
      <c r="Q97" s="15"/>
      <c r="R97" s="15"/>
      <c r="S97" s="15"/>
      <c r="T97" s="15"/>
      <c r="U97" s="16"/>
      <c r="W97" s="35" t="s">
        <v>3</v>
      </c>
      <c r="X97" s="14"/>
      <c r="Y97" s="15"/>
      <c r="Z97" s="15"/>
      <c r="AA97" s="15"/>
      <c r="AB97" s="15"/>
      <c r="AC97" s="16"/>
      <c r="AE97" s="35" t="s">
        <v>3</v>
      </c>
      <c r="AF97" s="14"/>
      <c r="AG97" s="15"/>
      <c r="AH97" s="15"/>
      <c r="AI97" s="15"/>
      <c r="AJ97" s="15"/>
      <c r="AK97" s="16"/>
    </row>
    <row r="98" spans="1:37" ht="15.75" thickBot="1" x14ac:dyDescent="0.3">
      <c r="A98" s="168"/>
      <c r="B98" s="18">
        <v>34192</v>
      </c>
      <c r="C98" s="18">
        <v>34498</v>
      </c>
      <c r="D98" s="18">
        <v>34498</v>
      </c>
      <c r="E98" s="18">
        <v>36149</v>
      </c>
      <c r="F98" s="18">
        <f>SUM(C98-B98)</f>
        <v>306</v>
      </c>
      <c r="G98" s="18">
        <f>SUM(E98-D98)</f>
        <v>1651</v>
      </c>
      <c r="H98" s="33">
        <f>SUM(F98:G98)</f>
        <v>1957</v>
      </c>
      <c r="J98" s="36" t="s">
        <v>21</v>
      </c>
      <c r="K98" s="19">
        <v>209.77</v>
      </c>
      <c r="L98" s="20">
        <v>160.01</v>
      </c>
      <c r="M98" s="20">
        <v>165.67</v>
      </c>
      <c r="N98" s="20">
        <v>160.01</v>
      </c>
      <c r="O98" s="20">
        <v>214.74</v>
      </c>
      <c r="P98" s="20">
        <v>120.7</v>
      </c>
      <c r="Q98" s="20"/>
      <c r="R98" s="20"/>
      <c r="S98" s="20"/>
      <c r="T98" s="20"/>
      <c r="U98" s="21"/>
      <c r="W98" s="36" t="s">
        <v>21</v>
      </c>
      <c r="X98" s="19"/>
      <c r="Y98" s="20"/>
      <c r="Z98" s="20"/>
      <c r="AA98" s="20"/>
      <c r="AB98" s="20"/>
      <c r="AC98" s="21"/>
      <c r="AE98" s="36" t="s">
        <v>21</v>
      </c>
      <c r="AF98" s="19"/>
      <c r="AG98" s="20"/>
      <c r="AH98" s="20"/>
      <c r="AI98" s="20"/>
      <c r="AJ98" s="20"/>
      <c r="AK98" s="21"/>
    </row>
    <row r="99" spans="1:37" x14ac:dyDescent="0.25">
      <c r="F99" s="2"/>
      <c r="G99" s="2"/>
      <c r="H99" s="2"/>
      <c r="J99" s="37"/>
      <c r="T99" s="22" t="s">
        <v>22</v>
      </c>
      <c r="U99" s="23">
        <f>SUM(K98:U98)</f>
        <v>1030.8999999999999</v>
      </c>
      <c r="AB99" s="22" t="s">
        <v>22</v>
      </c>
      <c r="AC99" s="23">
        <f>SUM(X98:AC98)</f>
        <v>0</v>
      </c>
      <c r="AJ99" s="22" t="s">
        <v>22</v>
      </c>
      <c r="AK99" s="23">
        <f>SUM(AF98:AK98)</f>
        <v>0</v>
      </c>
    </row>
    <row r="100" spans="1:37" ht="15.75" thickBot="1" x14ac:dyDescent="0.3">
      <c r="A100" s="34"/>
      <c r="B100" s="171" t="s">
        <v>19</v>
      </c>
      <c r="C100" s="171"/>
      <c r="D100" s="171"/>
      <c r="E100" s="171"/>
      <c r="F100" s="171"/>
      <c r="G100" s="171"/>
      <c r="H100" s="171"/>
      <c r="J100" s="172" t="s">
        <v>19</v>
      </c>
      <c r="K100" s="172"/>
      <c r="L100" s="172"/>
      <c r="M100" s="172"/>
      <c r="N100" s="172"/>
      <c r="O100" s="172"/>
      <c r="P100" s="172"/>
      <c r="Q100" s="172"/>
      <c r="R100" s="172"/>
      <c r="S100" s="172"/>
      <c r="T100" s="172"/>
      <c r="U100" s="172"/>
      <c r="W100" s="173" t="str">
        <f>J100</f>
        <v>Novembro</v>
      </c>
      <c r="X100" s="173"/>
      <c r="Y100" s="173"/>
      <c r="Z100" s="173"/>
      <c r="AA100" s="173"/>
      <c r="AB100" s="173"/>
      <c r="AC100" s="173"/>
      <c r="AE100" s="174" t="str">
        <f>W100</f>
        <v>Novembro</v>
      </c>
      <c r="AF100" s="174"/>
      <c r="AG100" s="174"/>
      <c r="AH100" s="174"/>
      <c r="AI100" s="174"/>
      <c r="AJ100" s="174"/>
      <c r="AK100" s="174"/>
    </row>
    <row r="101" spans="1:37" ht="15.75" thickBot="1" x14ac:dyDescent="0.3">
      <c r="A101" s="168" t="s">
        <v>4</v>
      </c>
      <c r="B101" s="10" t="s">
        <v>5</v>
      </c>
      <c r="C101" s="11" t="s">
        <v>6</v>
      </c>
      <c r="D101" s="12" t="s">
        <v>7</v>
      </c>
      <c r="E101" s="11" t="s">
        <v>8</v>
      </c>
      <c r="F101" s="12" t="s">
        <v>9</v>
      </c>
      <c r="G101" s="11" t="s">
        <v>10</v>
      </c>
      <c r="H101" s="32" t="s">
        <v>11</v>
      </c>
      <c r="J101" s="35" t="s">
        <v>3</v>
      </c>
      <c r="K101" s="14">
        <v>45962</v>
      </c>
      <c r="L101" s="24">
        <v>45965</v>
      </c>
      <c r="M101" s="24">
        <v>45969</v>
      </c>
      <c r="N101" s="24">
        <v>45972</v>
      </c>
      <c r="O101" s="24">
        <v>45974</v>
      </c>
      <c r="P101" s="24">
        <v>45979</v>
      </c>
      <c r="Q101" s="24">
        <v>45981</v>
      </c>
      <c r="R101" s="24">
        <v>45983</v>
      </c>
      <c r="S101" s="24">
        <v>45986</v>
      </c>
      <c r="T101" s="24">
        <v>45988</v>
      </c>
      <c r="U101" s="80">
        <v>45990</v>
      </c>
      <c r="W101" s="35" t="s">
        <v>3</v>
      </c>
      <c r="X101" s="14"/>
      <c r="Y101" s="15"/>
      <c r="Z101" s="15"/>
      <c r="AA101" s="15"/>
      <c r="AB101" s="15"/>
      <c r="AC101" s="16"/>
      <c r="AE101" s="35" t="s">
        <v>3</v>
      </c>
      <c r="AF101" s="14"/>
      <c r="AG101" s="15"/>
      <c r="AH101" s="15"/>
      <c r="AI101" s="15"/>
      <c r="AJ101" s="15"/>
      <c r="AK101" s="16"/>
    </row>
    <row r="102" spans="1:37" ht="15.75" thickBot="1" x14ac:dyDescent="0.3">
      <c r="A102" s="168"/>
      <c r="B102" s="18">
        <v>36149</v>
      </c>
      <c r="C102" s="18">
        <v>37642</v>
      </c>
      <c r="D102" s="18">
        <v>37642</v>
      </c>
      <c r="E102" s="18">
        <v>39362</v>
      </c>
      <c r="F102" s="18">
        <f>SUM(C102-B102)</f>
        <v>1493</v>
      </c>
      <c r="G102" s="18">
        <f>SUM(E102-D102)</f>
        <v>1720</v>
      </c>
      <c r="H102" s="33">
        <f>SUM(F102:G102)</f>
        <v>3213</v>
      </c>
      <c r="J102" s="36" t="s">
        <v>21</v>
      </c>
      <c r="K102" s="19">
        <v>200.08</v>
      </c>
      <c r="L102" s="20">
        <v>151.34</v>
      </c>
      <c r="M102" s="20">
        <v>160.33000000000001</v>
      </c>
      <c r="N102" s="20">
        <v>204.61</v>
      </c>
      <c r="O102" s="20">
        <v>142.59</v>
      </c>
      <c r="P102" s="20">
        <v>263.11</v>
      </c>
      <c r="Q102" s="20">
        <v>140.13999999999999</v>
      </c>
      <c r="R102" s="20">
        <v>170.01</v>
      </c>
      <c r="S102" s="20">
        <v>145.04</v>
      </c>
      <c r="T102" s="20">
        <v>145.11000000000001</v>
      </c>
      <c r="U102" s="21">
        <v>162.4</v>
      </c>
      <c r="W102" s="36" t="s">
        <v>21</v>
      </c>
      <c r="X102" s="19"/>
      <c r="Y102" s="20"/>
      <c r="Z102" s="20"/>
      <c r="AA102" s="20"/>
      <c r="AB102" s="20"/>
      <c r="AC102" s="21"/>
      <c r="AE102" s="36" t="s">
        <v>21</v>
      </c>
      <c r="AF102" s="19"/>
      <c r="AG102" s="20"/>
      <c r="AH102" s="20"/>
      <c r="AI102" s="20"/>
      <c r="AJ102" s="20"/>
      <c r="AK102" s="21"/>
    </row>
    <row r="103" spans="1:37" x14ac:dyDescent="0.25">
      <c r="F103" s="2"/>
      <c r="G103" s="2"/>
      <c r="H103" s="2"/>
      <c r="J103" s="37"/>
      <c r="T103" s="22" t="s">
        <v>22</v>
      </c>
      <c r="U103" s="23">
        <f>SUM(K102:U102)</f>
        <v>1884.7599999999998</v>
      </c>
      <c r="AB103" s="22" t="s">
        <v>22</v>
      </c>
      <c r="AC103" s="23">
        <f>SUM(X102:AC102)</f>
        <v>0</v>
      </c>
      <c r="AJ103" s="22" t="s">
        <v>22</v>
      </c>
      <c r="AK103" s="23">
        <f>SUM(AF102:AK102)</f>
        <v>0</v>
      </c>
    </row>
    <row r="104" spans="1:37" ht="15.75" thickBot="1" x14ac:dyDescent="0.3">
      <c r="A104" s="34"/>
      <c r="B104" s="171" t="s">
        <v>20</v>
      </c>
      <c r="C104" s="171"/>
      <c r="D104" s="171"/>
      <c r="E104" s="171"/>
      <c r="F104" s="171"/>
      <c r="G104" s="171"/>
      <c r="H104" s="171"/>
      <c r="J104" s="172" t="s">
        <v>20</v>
      </c>
      <c r="K104" s="172"/>
      <c r="L104" s="172"/>
      <c r="M104" s="172"/>
      <c r="N104" s="172"/>
      <c r="O104" s="172"/>
      <c r="P104" s="172"/>
      <c r="Q104" s="172"/>
      <c r="R104" s="172"/>
      <c r="S104" s="172"/>
      <c r="T104" s="172"/>
      <c r="U104" s="172"/>
      <c r="W104" s="173" t="str">
        <f>J104</f>
        <v>Dezembro</v>
      </c>
      <c r="X104" s="173"/>
      <c r="Y104" s="173"/>
      <c r="Z104" s="173"/>
      <c r="AA104" s="173"/>
      <c r="AB104" s="173"/>
      <c r="AC104" s="173"/>
      <c r="AE104" s="174" t="str">
        <f>W104</f>
        <v>Dezembro</v>
      </c>
      <c r="AF104" s="174"/>
      <c r="AG104" s="174"/>
      <c r="AH104" s="174"/>
      <c r="AI104" s="174"/>
      <c r="AJ104" s="174"/>
      <c r="AK104" s="174"/>
    </row>
    <row r="105" spans="1:37" ht="15.75" thickBot="1" x14ac:dyDescent="0.3">
      <c r="A105" s="168" t="s">
        <v>4</v>
      </c>
      <c r="B105" s="10" t="s">
        <v>5</v>
      </c>
      <c r="C105" s="11" t="s">
        <v>6</v>
      </c>
      <c r="D105" s="12" t="s">
        <v>7</v>
      </c>
      <c r="E105" s="11" t="s">
        <v>8</v>
      </c>
      <c r="F105" s="12" t="s">
        <v>9</v>
      </c>
      <c r="G105" s="11" t="s">
        <v>10</v>
      </c>
      <c r="H105" s="32" t="s">
        <v>11</v>
      </c>
      <c r="J105" s="35" t="s">
        <v>3</v>
      </c>
      <c r="K105" s="14">
        <v>45993</v>
      </c>
      <c r="L105" s="24">
        <v>45995</v>
      </c>
      <c r="M105" s="24">
        <v>45997</v>
      </c>
      <c r="N105" s="24">
        <v>46000</v>
      </c>
      <c r="O105" s="24">
        <v>46004</v>
      </c>
      <c r="P105" s="24">
        <v>46007</v>
      </c>
      <c r="Q105" s="15"/>
      <c r="R105" s="15"/>
      <c r="S105" s="15"/>
      <c r="T105" s="15"/>
      <c r="U105" s="16"/>
      <c r="W105" s="35" t="s">
        <v>3</v>
      </c>
      <c r="X105" s="14"/>
      <c r="Y105" s="15"/>
      <c r="Z105" s="15"/>
      <c r="AA105" s="15"/>
      <c r="AB105" s="15"/>
      <c r="AC105" s="16"/>
      <c r="AE105" s="35" t="s">
        <v>3</v>
      </c>
      <c r="AF105" s="14"/>
      <c r="AG105" s="15"/>
      <c r="AH105" s="15"/>
      <c r="AI105" s="15"/>
      <c r="AJ105" s="15"/>
      <c r="AK105" s="16"/>
    </row>
    <row r="106" spans="1:37" ht="15.75" thickBot="1" x14ac:dyDescent="0.3">
      <c r="A106" s="168"/>
      <c r="B106" s="18">
        <v>39362</v>
      </c>
      <c r="C106" s="18">
        <v>41030</v>
      </c>
      <c r="D106" s="18">
        <v>41030</v>
      </c>
      <c r="E106" s="18">
        <v>43893</v>
      </c>
      <c r="F106" s="18">
        <f>SUM(C106-B106)</f>
        <v>1668</v>
      </c>
      <c r="G106" s="18">
        <f>SUM(E106-D106)</f>
        <v>2863</v>
      </c>
      <c r="H106" s="33">
        <f>SUM(F106:G106)</f>
        <v>4531</v>
      </c>
      <c r="J106" s="36" t="s">
        <v>21</v>
      </c>
      <c r="K106" s="19">
        <v>196.56</v>
      </c>
      <c r="L106" s="20">
        <v>132.84</v>
      </c>
      <c r="M106" s="20">
        <v>164.18</v>
      </c>
      <c r="N106" s="20">
        <v>160.01</v>
      </c>
      <c r="O106" s="20">
        <v>237.32</v>
      </c>
      <c r="P106" s="20">
        <v>193.48</v>
      </c>
      <c r="Q106" s="20"/>
      <c r="R106" s="20"/>
      <c r="S106" s="20"/>
      <c r="T106" s="20"/>
      <c r="U106" s="21"/>
      <c r="W106" s="36" t="s">
        <v>21</v>
      </c>
      <c r="X106" s="19"/>
      <c r="Y106" s="20"/>
      <c r="Z106" s="20"/>
      <c r="AA106" s="20"/>
      <c r="AB106" s="20"/>
      <c r="AC106" s="21"/>
      <c r="AE106" s="36" t="s">
        <v>21</v>
      </c>
      <c r="AF106" s="19"/>
      <c r="AG106" s="20"/>
      <c r="AH106" s="20"/>
      <c r="AI106" s="20"/>
      <c r="AJ106" s="20"/>
      <c r="AK106" s="21"/>
    </row>
    <row r="107" spans="1:37" x14ac:dyDescent="0.25">
      <c r="J107" s="37"/>
      <c r="T107" s="22" t="s">
        <v>22</v>
      </c>
      <c r="U107" s="23">
        <f>SUM(K106:U106)</f>
        <v>1084.3899999999999</v>
      </c>
      <c r="AB107" s="22" t="s">
        <v>22</v>
      </c>
      <c r="AC107" s="23">
        <f>SUM(X106:AC106)</f>
        <v>0</v>
      </c>
      <c r="AJ107" s="22" t="s">
        <v>22</v>
      </c>
      <c r="AK107" s="23">
        <f>SUM(AF106:AK106)</f>
        <v>0</v>
      </c>
    </row>
    <row r="108" spans="1:37" ht="15.75" thickBot="1" x14ac:dyDescent="0.3">
      <c r="A108" s="141">
        <v>2026</v>
      </c>
      <c r="B108" s="189" t="s">
        <v>54</v>
      </c>
      <c r="C108" s="171"/>
      <c r="D108" s="171"/>
      <c r="E108" s="171"/>
      <c r="F108" s="171"/>
      <c r="G108" s="171"/>
      <c r="H108" s="171"/>
      <c r="I108" s="6"/>
      <c r="J108" s="172" t="s">
        <v>54</v>
      </c>
      <c r="K108" s="172"/>
      <c r="L108" s="172"/>
      <c r="M108" s="172"/>
      <c r="N108" s="172"/>
      <c r="O108" s="172"/>
      <c r="P108" s="172"/>
      <c r="Q108" s="172"/>
      <c r="R108" s="172"/>
      <c r="S108" s="172"/>
      <c r="T108" s="172"/>
      <c r="U108" s="172"/>
      <c r="V108" s="8"/>
      <c r="W108" s="173" t="s">
        <v>54</v>
      </c>
      <c r="X108" s="173"/>
      <c r="Y108" s="173"/>
      <c r="Z108" s="173"/>
      <c r="AA108" s="173"/>
      <c r="AB108" s="173"/>
      <c r="AC108" s="173"/>
      <c r="AD108" s="8"/>
      <c r="AE108" s="174" t="s">
        <v>54</v>
      </c>
      <c r="AF108" s="174"/>
      <c r="AG108" s="174"/>
      <c r="AH108" s="174"/>
      <c r="AI108" s="174"/>
      <c r="AJ108" s="174"/>
      <c r="AK108" s="174"/>
    </row>
    <row r="109" spans="1:37" ht="15.75" thickBot="1" x14ac:dyDescent="0.3">
      <c r="A109" s="168" t="s">
        <v>4</v>
      </c>
      <c r="B109" s="10" t="s">
        <v>5</v>
      </c>
      <c r="C109" s="11" t="s">
        <v>6</v>
      </c>
      <c r="D109" s="12" t="s">
        <v>7</v>
      </c>
      <c r="E109" s="11" t="s">
        <v>8</v>
      </c>
      <c r="F109" s="12" t="s">
        <v>9</v>
      </c>
      <c r="G109" s="11" t="s">
        <v>10</v>
      </c>
      <c r="H109" s="32" t="s">
        <v>11</v>
      </c>
      <c r="I109" s="6"/>
      <c r="J109" s="35" t="s">
        <v>3</v>
      </c>
      <c r="K109" s="14"/>
      <c r="L109" s="15"/>
      <c r="M109" s="15"/>
      <c r="N109" s="15"/>
      <c r="O109" s="15"/>
      <c r="P109" s="15"/>
      <c r="Q109" s="15"/>
      <c r="R109" s="15"/>
      <c r="S109" s="15"/>
      <c r="T109" s="15"/>
      <c r="U109" s="16"/>
      <c r="V109" s="8"/>
      <c r="W109" s="35" t="s">
        <v>3</v>
      </c>
      <c r="X109" s="14"/>
      <c r="Y109" s="15"/>
      <c r="Z109" s="15"/>
      <c r="AA109" s="15"/>
      <c r="AB109" s="15"/>
      <c r="AC109" s="16"/>
      <c r="AD109" s="8"/>
      <c r="AE109" s="35" t="s">
        <v>3</v>
      </c>
      <c r="AF109" s="14"/>
      <c r="AG109" s="15"/>
      <c r="AH109" s="15"/>
      <c r="AI109" s="15"/>
      <c r="AJ109" s="15"/>
      <c r="AK109" s="16"/>
    </row>
    <row r="110" spans="1:37" ht="15.75" thickBot="1" x14ac:dyDescent="0.3">
      <c r="A110" s="168"/>
      <c r="B110" s="17">
        <v>43893</v>
      </c>
      <c r="C110" s="18"/>
      <c r="D110" s="18"/>
      <c r="E110" s="18">
        <v>46637</v>
      </c>
      <c r="F110" s="18">
        <f>SUM(C110-B110)</f>
        <v>-43893</v>
      </c>
      <c r="G110" s="18">
        <f>SUM(E110-D110)</f>
        <v>46637</v>
      </c>
      <c r="H110" s="33">
        <f>SUM(F110:G110)</f>
        <v>2744</v>
      </c>
      <c r="I110" s="6"/>
      <c r="J110" s="36" t="s">
        <v>21</v>
      </c>
      <c r="K110" s="19"/>
      <c r="L110" s="20"/>
      <c r="M110" s="20"/>
      <c r="N110" s="20"/>
      <c r="O110" s="20"/>
      <c r="P110" s="20"/>
      <c r="Q110" s="20"/>
      <c r="R110" s="20"/>
      <c r="S110" s="20"/>
      <c r="T110" s="20"/>
      <c r="U110" s="21"/>
      <c r="V110" s="8"/>
      <c r="W110" s="36" t="s">
        <v>21</v>
      </c>
      <c r="X110" s="19"/>
      <c r="Y110" s="20"/>
      <c r="Z110" s="20"/>
      <c r="AA110" s="20"/>
      <c r="AB110" s="20"/>
      <c r="AC110" s="21"/>
      <c r="AD110" s="8"/>
      <c r="AE110" s="36" t="s">
        <v>21</v>
      </c>
      <c r="AF110" s="19"/>
      <c r="AG110" s="20"/>
      <c r="AH110" s="20"/>
      <c r="AI110" s="20"/>
      <c r="AJ110" s="20"/>
      <c r="AK110" s="21"/>
    </row>
    <row r="111" spans="1:37" x14ac:dyDescent="0.25">
      <c r="A111" s="7"/>
      <c r="B111" s="7"/>
      <c r="C111" s="7"/>
      <c r="D111" s="7"/>
      <c r="E111" s="7"/>
      <c r="F111" s="7"/>
      <c r="G111" s="7"/>
      <c r="H111" s="7"/>
      <c r="I111" s="6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22" t="s">
        <v>22</v>
      </c>
      <c r="U111" s="23">
        <f>SUM(K110:U110)</f>
        <v>0</v>
      </c>
      <c r="V111" s="8"/>
      <c r="AB111" s="22" t="s">
        <v>22</v>
      </c>
      <c r="AC111" s="23">
        <f>SUM(X110:AC110)</f>
        <v>0</v>
      </c>
      <c r="AD111" s="8"/>
      <c r="AJ111" s="22" t="s">
        <v>22</v>
      </c>
      <c r="AK111" s="23">
        <f>SUM(AF110:AK110)</f>
        <v>0</v>
      </c>
    </row>
    <row r="112" spans="1:37" ht="15.75" thickBot="1" x14ac:dyDescent="0.3">
      <c r="A112" s="34"/>
      <c r="B112" s="171" t="s">
        <v>2</v>
      </c>
      <c r="C112" s="171"/>
      <c r="D112" s="171"/>
      <c r="E112" s="171"/>
      <c r="F112" s="171"/>
      <c r="G112" s="171"/>
      <c r="H112" s="171"/>
      <c r="J112" s="172" t="s">
        <v>2</v>
      </c>
      <c r="K112" s="172"/>
      <c r="L112" s="172"/>
      <c r="M112" s="172"/>
      <c r="N112" s="172"/>
      <c r="O112" s="172"/>
      <c r="P112" s="172"/>
      <c r="Q112" s="172"/>
      <c r="R112" s="172"/>
      <c r="S112" s="172"/>
      <c r="T112" s="172"/>
      <c r="U112" s="172"/>
      <c r="W112" s="173" t="s">
        <v>2</v>
      </c>
      <c r="X112" s="173"/>
      <c r="Y112" s="173"/>
      <c r="Z112" s="173"/>
      <c r="AA112" s="173"/>
      <c r="AB112" s="173"/>
      <c r="AC112" s="173"/>
      <c r="AE112" s="174" t="s">
        <v>2</v>
      </c>
      <c r="AF112" s="174"/>
      <c r="AG112" s="174"/>
      <c r="AH112" s="174"/>
      <c r="AI112" s="174"/>
      <c r="AJ112" s="174"/>
      <c r="AK112" s="174"/>
    </row>
    <row r="113" spans="1:37" ht="15.75" thickBot="1" x14ac:dyDescent="0.3">
      <c r="A113" s="168" t="s">
        <v>4</v>
      </c>
      <c r="B113" s="10" t="s">
        <v>5</v>
      </c>
      <c r="C113" s="11" t="s">
        <v>6</v>
      </c>
      <c r="D113" s="12" t="s">
        <v>7</v>
      </c>
      <c r="E113" s="11" t="s">
        <v>8</v>
      </c>
      <c r="F113" s="12" t="s">
        <v>9</v>
      </c>
      <c r="G113" s="11" t="s">
        <v>10</v>
      </c>
      <c r="H113" s="32" t="s">
        <v>11</v>
      </c>
      <c r="J113" s="35" t="s">
        <v>3</v>
      </c>
      <c r="K113" s="14"/>
      <c r="L113" s="15"/>
      <c r="M113" s="15"/>
      <c r="N113" s="15"/>
      <c r="O113" s="15"/>
      <c r="P113" s="15"/>
      <c r="Q113" s="15"/>
      <c r="R113" s="15"/>
      <c r="S113" s="15"/>
      <c r="T113" s="15"/>
      <c r="U113" s="16"/>
      <c r="W113" s="35" t="s">
        <v>3</v>
      </c>
      <c r="X113" s="14"/>
      <c r="Y113" s="15"/>
      <c r="Z113" s="15"/>
      <c r="AA113" s="15"/>
      <c r="AB113" s="15"/>
      <c r="AC113" s="16"/>
      <c r="AE113" s="35" t="s">
        <v>3</v>
      </c>
      <c r="AF113" s="14"/>
      <c r="AG113" s="15"/>
      <c r="AH113" s="15"/>
      <c r="AI113" s="15"/>
      <c r="AJ113" s="15"/>
      <c r="AK113" s="16"/>
    </row>
    <row r="114" spans="1:37" ht="15.75" thickBot="1" x14ac:dyDescent="0.3">
      <c r="A114" s="168"/>
      <c r="B114" s="18">
        <v>46637</v>
      </c>
      <c r="C114" s="18"/>
      <c r="D114" s="18"/>
      <c r="E114" s="18">
        <v>48813</v>
      </c>
      <c r="F114" s="18">
        <f>SUM(C114-B114)</f>
        <v>-46637</v>
      </c>
      <c r="G114" s="18">
        <f>SUM(E114-D114)</f>
        <v>48813</v>
      </c>
      <c r="H114" s="33">
        <f>SUM(F114:G114)</f>
        <v>2176</v>
      </c>
      <c r="J114" s="36" t="s">
        <v>21</v>
      </c>
      <c r="K114" s="19"/>
      <c r="L114" s="20"/>
      <c r="M114" s="20"/>
      <c r="N114" s="20"/>
      <c r="O114" s="20"/>
      <c r="P114" s="20"/>
      <c r="Q114" s="20"/>
      <c r="R114" s="20"/>
      <c r="S114" s="20"/>
      <c r="T114" s="20"/>
      <c r="U114" s="21"/>
      <c r="W114" s="36" t="s">
        <v>21</v>
      </c>
      <c r="X114" s="19"/>
      <c r="Y114" s="20"/>
      <c r="Z114" s="20"/>
      <c r="AA114" s="20"/>
      <c r="AB114" s="20"/>
      <c r="AC114" s="21"/>
      <c r="AE114" s="36" t="s">
        <v>21</v>
      </c>
      <c r="AF114" s="19"/>
      <c r="AG114" s="20"/>
      <c r="AH114" s="20"/>
      <c r="AI114" s="20"/>
      <c r="AJ114" s="20"/>
      <c r="AK114" s="21"/>
    </row>
    <row r="115" spans="1:37" x14ac:dyDescent="0.25">
      <c r="F115" s="2"/>
      <c r="G115" s="2"/>
      <c r="H115" s="2"/>
      <c r="J115" s="37"/>
      <c r="T115" s="22" t="s">
        <v>22</v>
      </c>
      <c r="U115" s="23">
        <f>SUM(K114:U114)</f>
        <v>0</v>
      </c>
      <c r="AB115" s="22" t="s">
        <v>22</v>
      </c>
      <c r="AC115" s="23">
        <f>SUM(X114:AC114)</f>
        <v>0</v>
      </c>
      <c r="AJ115" s="22" t="s">
        <v>22</v>
      </c>
      <c r="AK115" s="23">
        <f>SUM(AF114:AK114)</f>
        <v>0</v>
      </c>
    </row>
    <row r="116" spans="1:37" ht="15.75" thickBot="1" x14ac:dyDescent="0.3">
      <c r="A116" s="34"/>
      <c r="B116" s="171" t="s">
        <v>12</v>
      </c>
      <c r="C116" s="171"/>
      <c r="D116" s="171"/>
      <c r="E116" s="171"/>
      <c r="F116" s="171"/>
      <c r="G116" s="171"/>
      <c r="H116" s="171"/>
      <c r="J116" s="172" t="s">
        <v>12</v>
      </c>
      <c r="K116" s="172"/>
      <c r="L116" s="172"/>
      <c r="M116" s="172"/>
      <c r="N116" s="172"/>
      <c r="O116" s="172"/>
      <c r="P116" s="172"/>
      <c r="Q116" s="172"/>
      <c r="R116" s="172"/>
      <c r="S116" s="172"/>
      <c r="T116" s="172"/>
      <c r="U116" s="172"/>
      <c r="W116" s="173" t="str">
        <f>J116</f>
        <v>Março</v>
      </c>
      <c r="X116" s="173"/>
      <c r="Y116" s="173"/>
      <c r="Z116" s="173"/>
      <c r="AA116" s="173"/>
      <c r="AB116" s="173"/>
      <c r="AC116" s="173"/>
      <c r="AE116" s="174" t="str">
        <f>W116</f>
        <v>Março</v>
      </c>
      <c r="AF116" s="174"/>
      <c r="AG116" s="174"/>
      <c r="AH116" s="174"/>
      <c r="AI116" s="174"/>
      <c r="AJ116" s="174"/>
      <c r="AK116" s="174"/>
    </row>
    <row r="117" spans="1:37" ht="15.75" thickBot="1" x14ac:dyDescent="0.3">
      <c r="A117" s="168" t="s">
        <v>4</v>
      </c>
      <c r="B117" s="10" t="s">
        <v>5</v>
      </c>
      <c r="C117" s="11" t="s">
        <v>6</v>
      </c>
      <c r="D117" s="12" t="s">
        <v>7</v>
      </c>
      <c r="E117" s="11" t="s">
        <v>8</v>
      </c>
      <c r="F117" s="12" t="s">
        <v>9</v>
      </c>
      <c r="G117" s="11" t="s">
        <v>10</v>
      </c>
      <c r="H117" s="32" t="s">
        <v>11</v>
      </c>
      <c r="J117" s="35" t="s">
        <v>3</v>
      </c>
      <c r="K117" s="14"/>
      <c r="L117" s="24"/>
      <c r="M117" s="24"/>
      <c r="N117" s="15"/>
      <c r="O117" s="15"/>
      <c r="P117" s="15"/>
      <c r="Q117" s="15"/>
      <c r="R117" s="15"/>
      <c r="S117" s="15"/>
      <c r="T117" s="15"/>
      <c r="U117" s="16"/>
      <c r="W117" s="35" t="s">
        <v>3</v>
      </c>
      <c r="X117" s="14"/>
      <c r="Y117" s="15"/>
      <c r="Z117" s="15"/>
      <c r="AA117" s="15"/>
      <c r="AB117" s="15"/>
      <c r="AC117" s="16"/>
      <c r="AE117" s="35" t="s">
        <v>3</v>
      </c>
      <c r="AF117" s="14"/>
      <c r="AG117" s="15"/>
      <c r="AH117" s="15"/>
      <c r="AI117" s="15"/>
      <c r="AJ117" s="15"/>
      <c r="AK117" s="16"/>
    </row>
    <row r="118" spans="1:37" ht="15.75" thickBot="1" x14ac:dyDescent="0.3">
      <c r="A118" s="168"/>
      <c r="B118" s="18">
        <v>48813</v>
      </c>
      <c r="C118" s="18"/>
      <c r="D118" s="18"/>
      <c r="E118" s="18">
        <v>50764</v>
      </c>
      <c r="F118" s="18">
        <f>SUM(C118-B118)</f>
        <v>-48813</v>
      </c>
      <c r="G118" s="18">
        <f>SUM(E118-D118)</f>
        <v>50764</v>
      </c>
      <c r="H118" s="33">
        <f>SUM(F118:G118)</f>
        <v>1951</v>
      </c>
      <c r="J118" s="36" t="s">
        <v>21</v>
      </c>
      <c r="K118" s="19"/>
      <c r="L118" s="20"/>
      <c r="M118" s="20"/>
      <c r="N118" s="20"/>
      <c r="O118" s="20"/>
      <c r="P118" s="20"/>
      <c r="Q118" s="20"/>
      <c r="R118" s="20"/>
      <c r="S118" s="20"/>
      <c r="T118" s="20"/>
      <c r="U118" s="21"/>
      <c r="W118" s="36" t="s">
        <v>21</v>
      </c>
      <c r="X118" s="19"/>
      <c r="Y118" s="20"/>
      <c r="Z118" s="20"/>
      <c r="AA118" s="20"/>
      <c r="AB118" s="20"/>
      <c r="AC118" s="21"/>
      <c r="AE118" s="36" t="s">
        <v>21</v>
      </c>
      <c r="AF118" s="19"/>
      <c r="AG118" s="20"/>
      <c r="AH118" s="20"/>
      <c r="AI118" s="20"/>
      <c r="AJ118" s="20"/>
      <c r="AK118" s="21"/>
    </row>
    <row r="119" spans="1:37" x14ac:dyDescent="0.25">
      <c r="F119" s="2"/>
      <c r="G119" s="2"/>
      <c r="H119" s="2"/>
      <c r="J119" s="37"/>
      <c r="T119" s="22" t="s">
        <v>22</v>
      </c>
      <c r="U119" s="23">
        <f>SUM(K118:U118)</f>
        <v>0</v>
      </c>
      <c r="AB119" s="22" t="s">
        <v>22</v>
      </c>
      <c r="AC119" s="23">
        <f>SUM(X118:AC118)</f>
        <v>0</v>
      </c>
      <c r="AJ119" s="22" t="s">
        <v>22</v>
      </c>
      <c r="AK119" s="23">
        <f>SUM(AF118:AK118)</f>
        <v>0</v>
      </c>
    </row>
    <row r="120" spans="1:37" ht="15.75" thickBot="1" x14ac:dyDescent="0.3">
      <c r="A120" s="34"/>
      <c r="B120" s="171" t="s">
        <v>13</v>
      </c>
      <c r="C120" s="171"/>
      <c r="D120" s="171"/>
      <c r="E120" s="171"/>
      <c r="F120" s="171"/>
      <c r="G120" s="171"/>
      <c r="H120" s="171"/>
      <c r="J120" s="172" t="s">
        <v>13</v>
      </c>
      <c r="K120" s="172"/>
      <c r="L120" s="172"/>
      <c r="M120" s="172"/>
      <c r="N120" s="172"/>
      <c r="O120" s="172"/>
      <c r="P120" s="172"/>
      <c r="Q120" s="172"/>
      <c r="R120" s="172"/>
      <c r="S120" s="172"/>
      <c r="T120" s="172"/>
      <c r="U120" s="172"/>
      <c r="W120" s="173" t="str">
        <f>J120</f>
        <v>Abril</v>
      </c>
      <c r="X120" s="173"/>
      <c r="Y120" s="173"/>
      <c r="Z120" s="173"/>
      <c r="AA120" s="173"/>
      <c r="AB120" s="173"/>
      <c r="AC120" s="173"/>
      <c r="AE120" s="174" t="str">
        <f>W120</f>
        <v>Abril</v>
      </c>
      <c r="AF120" s="174"/>
      <c r="AG120" s="174"/>
      <c r="AH120" s="174"/>
      <c r="AI120" s="174"/>
      <c r="AJ120" s="174"/>
      <c r="AK120" s="174"/>
    </row>
    <row r="121" spans="1:37" ht="15.75" thickBot="1" x14ac:dyDescent="0.3">
      <c r="A121" s="168" t="s">
        <v>4</v>
      </c>
      <c r="B121" s="10" t="s">
        <v>5</v>
      </c>
      <c r="C121" s="11" t="s">
        <v>6</v>
      </c>
      <c r="D121" s="12" t="s">
        <v>7</v>
      </c>
      <c r="E121" s="11" t="s">
        <v>8</v>
      </c>
      <c r="F121" s="12" t="s">
        <v>9</v>
      </c>
      <c r="G121" s="11" t="s">
        <v>10</v>
      </c>
      <c r="H121" s="32" t="s">
        <v>11</v>
      </c>
      <c r="J121" s="35" t="s">
        <v>3</v>
      </c>
      <c r="K121" s="14"/>
      <c r="L121" s="15"/>
      <c r="M121" s="15"/>
      <c r="N121" s="15"/>
      <c r="O121" s="15"/>
      <c r="P121" s="15"/>
      <c r="Q121" s="15"/>
      <c r="R121" s="15"/>
      <c r="S121" s="15"/>
      <c r="T121" s="15"/>
      <c r="U121" s="16"/>
      <c r="W121" s="35" t="s">
        <v>3</v>
      </c>
      <c r="X121" s="14"/>
      <c r="Y121" s="15"/>
      <c r="Z121" s="15"/>
      <c r="AA121" s="15"/>
      <c r="AB121" s="15"/>
      <c r="AC121" s="16"/>
      <c r="AE121" s="35" t="s">
        <v>3</v>
      </c>
      <c r="AF121" s="14"/>
      <c r="AG121" s="15"/>
      <c r="AH121" s="15"/>
      <c r="AI121" s="15"/>
      <c r="AJ121" s="15"/>
      <c r="AK121" s="16"/>
    </row>
    <row r="122" spans="1:37" ht="15.75" thickBot="1" x14ac:dyDescent="0.3">
      <c r="A122" s="168"/>
      <c r="B122" s="17"/>
      <c r="C122" s="18"/>
      <c r="D122" s="18"/>
      <c r="E122" s="18"/>
      <c r="F122" s="18">
        <f>SUM(C122-B122)</f>
        <v>0</v>
      </c>
      <c r="G122" s="18">
        <f>SUM(E122-D122)</f>
        <v>0</v>
      </c>
      <c r="H122" s="33">
        <f>SUM(F122:G122)</f>
        <v>0</v>
      </c>
      <c r="J122" s="36" t="s">
        <v>21</v>
      </c>
      <c r="K122" s="25"/>
      <c r="L122" s="26"/>
      <c r="M122" s="26"/>
      <c r="N122" s="26"/>
      <c r="O122" s="26"/>
      <c r="P122" s="26"/>
      <c r="Q122" s="26"/>
      <c r="R122" s="26"/>
      <c r="S122" s="26"/>
      <c r="T122" s="26"/>
      <c r="U122" s="27"/>
      <c r="W122" s="36" t="s">
        <v>21</v>
      </c>
      <c r="X122" s="19"/>
      <c r="Y122" s="20"/>
      <c r="Z122" s="20"/>
      <c r="AA122" s="20"/>
      <c r="AB122" s="20"/>
      <c r="AC122" s="21"/>
      <c r="AE122" s="36" t="s">
        <v>21</v>
      </c>
      <c r="AF122" s="19"/>
      <c r="AG122" s="20"/>
      <c r="AH122" s="20"/>
      <c r="AI122" s="20"/>
      <c r="AJ122" s="20"/>
      <c r="AK122" s="21"/>
    </row>
    <row r="123" spans="1:37" x14ac:dyDescent="0.25">
      <c r="F123" s="2"/>
      <c r="G123" s="2"/>
      <c r="H123" s="2"/>
      <c r="J123" s="37"/>
      <c r="T123" s="22" t="s">
        <v>22</v>
      </c>
      <c r="U123" s="23">
        <f>SUM(K122:U122)</f>
        <v>0</v>
      </c>
      <c r="AB123" s="22" t="s">
        <v>22</v>
      </c>
      <c r="AC123" s="23">
        <f>SUM(X122:AC122)</f>
        <v>0</v>
      </c>
      <c r="AJ123" s="22" t="s">
        <v>22</v>
      </c>
      <c r="AK123" s="23">
        <f>SUM(AF122:AK122)</f>
        <v>0</v>
      </c>
    </row>
    <row r="124" spans="1:37" ht="15.75" thickBot="1" x14ac:dyDescent="0.3">
      <c r="A124" s="34"/>
      <c r="B124" s="171" t="s">
        <v>14</v>
      </c>
      <c r="C124" s="171"/>
      <c r="D124" s="171"/>
      <c r="E124" s="171"/>
      <c r="F124" s="171"/>
      <c r="G124" s="171"/>
      <c r="H124" s="171"/>
      <c r="J124" s="172" t="s">
        <v>14</v>
      </c>
      <c r="K124" s="172"/>
      <c r="L124" s="172"/>
      <c r="M124" s="172"/>
      <c r="N124" s="172"/>
      <c r="O124" s="172"/>
      <c r="P124" s="172"/>
      <c r="Q124" s="172"/>
      <c r="R124" s="172"/>
      <c r="S124" s="172"/>
      <c r="T124" s="172"/>
      <c r="U124" s="172"/>
      <c r="W124" s="173" t="str">
        <f>J124</f>
        <v>Maio</v>
      </c>
      <c r="X124" s="173"/>
      <c r="Y124" s="173"/>
      <c r="Z124" s="173"/>
      <c r="AA124" s="173"/>
      <c r="AB124" s="173"/>
      <c r="AC124" s="173"/>
      <c r="AE124" s="174" t="str">
        <f>W124</f>
        <v>Maio</v>
      </c>
      <c r="AF124" s="174"/>
      <c r="AG124" s="174"/>
      <c r="AH124" s="174"/>
      <c r="AI124" s="174"/>
      <c r="AJ124" s="174"/>
      <c r="AK124" s="174"/>
    </row>
    <row r="125" spans="1:37" ht="15.75" thickBot="1" x14ac:dyDescent="0.3">
      <c r="A125" s="168" t="s">
        <v>4</v>
      </c>
      <c r="B125" s="10" t="s">
        <v>5</v>
      </c>
      <c r="C125" s="11" t="s">
        <v>6</v>
      </c>
      <c r="D125" s="12" t="s">
        <v>7</v>
      </c>
      <c r="E125" s="11" t="s">
        <v>8</v>
      </c>
      <c r="F125" s="12" t="s">
        <v>9</v>
      </c>
      <c r="G125" s="11" t="s">
        <v>10</v>
      </c>
      <c r="H125" s="32" t="s">
        <v>11</v>
      </c>
      <c r="J125" s="35" t="s">
        <v>3</v>
      </c>
      <c r="K125" s="14"/>
      <c r="L125" s="15"/>
      <c r="M125" s="15"/>
      <c r="N125" s="15"/>
      <c r="O125" s="15"/>
      <c r="P125" s="15"/>
      <c r="Q125" s="15"/>
      <c r="R125" s="15"/>
      <c r="S125" s="15"/>
      <c r="T125" s="15"/>
      <c r="U125" s="16"/>
      <c r="W125" s="35" t="s">
        <v>3</v>
      </c>
      <c r="X125" s="14"/>
      <c r="Y125" s="15"/>
      <c r="Z125" s="15"/>
      <c r="AA125" s="15"/>
      <c r="AB125" s="15"/>
      <c r="AC125" s="16"/>
      <c r="AE125" s="35" t="s">
        <v>3</v>
      </c>
      <c r="AF125" s="14"/>
      <c r="AG125" s="15"/>
      <c r="AH125" s="15"/>
      <c r="AI125" s="15"/>
      <c r="AJ125" s="15"/>
      <c r="AK125" s="16"/>
    </row>
    <row r="126" spans="1:37" ht="15.75" thickBot="1" x14ac:dyDescent="0.3">
      <c r="A126" s="168"/>
      <c r="B126" s="17"/>
      <c r="C126" s="18"/>
      <c r="D126" s="18"/>
      <c r="E126" s="18"/>
      <c r="F126" s="18">
        <f>SUM(C126-B126)</f>
        <v>0</v>
      </c>
      <c r="G126" s="18">
        <f>SUM(E126-D126)</f>
        <v>0</v>
      </c>
      <c r="H126" s="33">
        <f>SUM(F126:G126)</f>
        <v>0</v>
      </c>
      <c r="J126" s="36" t="s">
        <v>21</v>
      </c>
      <c r="K126" s="19"/>
      <c r="L126" s="20"/>
      <c r="M126" s="20"/>
      <c r="N126" s="20"/>
      <c r="O126" s="20"/>
      <c r="P126" s="20"/>
      <c r="Q126" s="20"/>
      <c r="R126" s="20"/>
      <c r="S126" s="20"/>
      <c r="T126" s="20"/>
      <c r="U126" s="21"/>
      <c r="W126" s="36" t="s">
        <v>21</v>
      </c>
      <c r="X126" s="19"/>
      <c r="Y126" s="20"/>
      <c r="Z126" s="20"/>
      <c r="AA126" s="20"/>
      <c r="AB126" s="20"/>
      <c r="AC126" s="21"/>
      <c r="AE126" s="36" t="s">
        <v>21</v>
      </c>
      <c r="AF126" s="19"/>
      <c r="AG126" s="20"/>
      <c r="AH126" s="20"/>
      <c r="AI126" s="20"/>
      <c r="AJ126" s="20"/>
      <c r="AK126" s="21"/>
    </row>
    <row r="127" spans="1:37" x14ac:dyDescent="0.25">
      <c r="F127" s="2"/>
      <c r="G127" s="2"/>
      <c r="H127" s="2"/>
      <c r="J127" s="37"/>
      <c r="T127" s="22" t="s">
        <v>22</v>
      </c>
      <c r="U127" s="23">
        <f>SUM(K126:U126)</f>
        <v>0</v>
      </c>
      <c r="AB127" s="22" t="s">
        <v>22</v>
      </c>
      <c r="AC127" s="23">
        <f>SUM(X126:AC126)</f>
        <v>0</v>
      </c>
      <c r="AJ127" s="22" t="s">
        <v>22</v>
      </c>
      <c r="AK127" s="23">
        <f>SUM(AF126:AK126)</f>
        <v>0</v>
      </c>
    </row>
    <row r="128" spans="1:37" ht="15.75" thickBot="1" x14ac:dyDescent="0.3">
      <c r="A128" s="34"/>
      <c r="B128" s="171" t="s">
        <v>23</v>
      </c>
      <c r="C128" s="171"/>
      <c r="D128" s="171"/>
      <c r="E128" s="171"/>
      <c r="F128" s="171"/>
      <c r="G128" s="171"/>
      <c r="H128" s="171"/>
      <c r="J128" s="172" t="s">
        <v>23</v>
      </c>
      <c r="K128" s="172"/>
      <c r="L128" s="172"/>
      <c r="M128" s="172"/>
      <c r="N128" s="172"/>
      <c r="O128" s="172"/>
      <c r="P128" s="172"/>
      <c r="Q128" s="172"/>
      <c r="R128" s="172"/>
      <c r="S128" s="172"/>
      <c r="T128" s="172"/>
      <c r="U128" s="172"/>
      <c r="W128" s="173" t="str">
        <f>J128</f>
        <v>Junho</v>
      </c>
      <c r="X128" s="173"/>
      <c r="Y128" s="173"/>
      <c r="Z128" s="173"/>
      <c r="AA128" s="173"/>
      <c r="AB128" s="173"/>
      <c r="AC128" s="173"/>
      <c r="AE128" s="174" t="str">
        <f>W128</f>
        <v>Junho</v>
      </c>
      <c r="AF128" s="174"/>
      <c r="AG128" s="174"/>
      <c r="AH128" s="174"/>
      <c r="AI128" s="174"/>
      <c r="AJ128" s="174"/>
      <c r="AK128" s="174"/>
    </row>
    <row r="129" spans="1:37" ht="15.75" thickBot="1" x14ac:dyDescent="0.3">
      <c r="A129" s="168" t="s">
        <v>4</v>
      </c>
      <c r="B129" s="10" t="s">
        <v>5</v>
      </c>
      <c r="C129" s="11" t="s">
        <v>6</v>
      </c>
      <c r="D129" s="12" t="s">
        <v>7</v>
      </c>
      <c r="E129" s="11" t="s">
        <v>8</v>
      </c>
      <c r="F129" s="12" t="s">
        <v>9</v>
      </c>
      <c r="G129" s="11" t="s">
        <v>10</v>
      </c>
      <c r="H129" s="32" t="s">
        <v>11</v>
      </c>
      <c r="J129" s="35" t="s">
        <v>3</v>
      </c>
      <c r="K129" s="14"/>
      <c r="L129" s="15"/>
      <c r="M129" s="15"/>
      <c r="N129" s="15"/>
      <c r="O129" s="15"/>
      <c r="P129" s="15"/>
      <c r="Q129" s="15"/>
      <c r="R129" s="15"/>
      <c r="S129" s="15"/>
      <c r="T129" s="15"/>
      <c r="U129" s="16"/>
      <c r="W129" s="35" t="s">
        <v>3</v>
      </c>
      <c r="X129" s="14"/>
      <c r="Y129" s="15"/>
      <c r="Z129" s="15"/>
      <c r="AA129" s="15"/>
      <c r="AB129" s="15"/>
      <c r="AC129" s="16"/>
      <c r="AE129" s="35" t="s">
        <v>3</v>
      </c>
      <c r="AF129" s="14"/>
      <c r="AG129" s="15"/>
      <c r="AH129" s="15"/>
      <c r="AI129" s="15"/>
      <c r="AJ129" s="15"/>
      <c r="AK129" s="16"/>
    </row>
    <row r="130" spans="1:37" ht="15.75" thickBot="1" x14ac:dyDescent="0.3">
      <c r="A130" s="168"/>
      <c r="B130" s="17"/>
      <c r="C130" s="18"/>
      <c r="D130" s="18"/>
      <c r="E130" s="18"/>
      <c r="F130" s="18">
        <f>SUM(C130-B130)</f>
        <v>0</v>
      </c>
      <c r="G130" s="18">
        <f>SUM(E130-D130)</f>
        <v>0</v>
      </c>
      <c r="H130" s="33">
        <f>SUM(F130:G130)</f>
        <v>0</v>
      </c>
      <c r="J130" s="36" t="s">
        <v>21</v>
      </c>
      <c r="K130" s="19"/>
      <c r="L130" s="20"/>
      <c r="M130" s="20"/>
      <c r="N130" s="20"/>
      <c r="O130" s="20"/>
      <c r="P130" s="20"/>
      <c r="Q130" s="20"/>
      <c r="R130" s="20"/>
      <c r="S130" s="20"/>
      <c r="T130" s="20"/>
      <c r="U130" s="21"/>
      <c r="W130" s="36" t="s">
        <v>21</v>
      </c>
      <c r="X130" s="19"/>
      <c r="Y130" s="20"/>
      <c r="Z130" s="20"/>
      <c r="AA130" s="20"/>
      <c r="AB130" s="20"/>
      <c r="AC130" s="21"/>
      <c r="AE130" s="36" t="s">
        <v>21</v>
      </c>
      <c r="AF130" s="19"/>
      <c r="AG130" s="20"/>
      <c r="AH130" s="20"/>
      <c r="AI130" s="20"/>
      <c r="AJ130" s="20"/>
      <c r="AK130" s="21"/>
    </row>
    <row r="131" spans="1:37" x14ac:dyDescent="0.25">
      <c r="F131" s="2"/>
      <c r="G131" s="2"/>
      <c r="H131" s="2"/>
      <c r="J131" s="37"/>
      <c r="T131" s="22" t="s">
        <v>22</v>
      </c>
      <c r="U131" s="23">
        <f>SUM(K130:U130)</f>
        <v>0</v>
      </c>
      <c r="AB131" s="22" t="s">
        <v>22</v>
      </c>
      <c r="AC131" s="23">
        <f>SUM(X130:AC130)</f>
        <v>0</v>
      </c>
      <c r="AJ131" s="22" t="s">
        <v>22</v>
      </c>
      <c r="AK131" s="23">
        <f>SUM(AF130:AK130)</f>
        <v>0</v>
      </c>
    </row>
    <row r="132" spans="1:37" ht="15.75" thickBot="1" x14ac:dyDescent="0.3">
      <c r="A132" s="34"/>
      <c r="B132" s="171" t="s">
        <v>15</v>
      </c>
      <c r="C132" s="171"/>
      <c r="D132" s="171"/>
      <c r="E132" s="171"/>
      <c r="F132" s="171"/>
      <c r="G132" s="171"/>
      <c r="H132" s="171"/>
      <c r="J132" s="172" t="s">
        <v>15</v>
      </c>
      <c r="K132" s="172"/>
      <c r="L132" s="172"/>
      <c r="M132" s="172"/>
      <c r="N132" s="172"/>
      <c r="O132" s="172"/>
      <c r="P132" s="172"/>
      <c r="Q132" s="172"/>
      <c r="R132" s="172"/>
      <c r="S132" s="172"/>
      <c r="T132" s="172"/>
      <c r="U132" s="172"/>
      <c r="W132" s="173" t="str">
        <f>J132</f>
        <v>Julho</v>
      </c>
      <c r="X132" s="173"/>
      <c r="Y132" s="173"/>
      <c r="Z132" s="173"/>
      <c r="AA132" s="173"/>
      <c r="AB132" s="173"/>
      <c r="AC132" s="173"/>
      <c r="AE132" s="174" t="str">
        <f>W132</f>
        <v>Julho</v>
      </c>
      <c r="AF132" s="174"/>
      <c r="AG132" s="174"/>
      <c r="AH132" s="174"/>
      <c r="AI132" s="174"/>
      <c r="AJ132" s="174"/>
      <c r="AK132" s="174"/>
    </row>
    <row r="133" spans="1:37" ht="15.75" thickBot="1" x14ac:dyDescent="0.3">
      <c r="A133" s="168" t="s">
        <v>4</v>
      </c>
      <c r="B133" s="10" t="s">
        <v>5</v>
      </c>
      <c r="C133" s="11" t="s">
        <v>6</v>
      </c>
      <c r="D133" s="12" t="s">
        <v>7</v>
      </c>
      <c r="E133" s="11" t="s">
        <v>8</v>
      </c>
      <c r="F133" s="12" t="s">
        <v>9</v>
      </c>
      <c r="G133" s="11" t="s">
        <v>10</v>
      </c>
      <c r="H133" s="32" t="s">
        <v>11</v>
      </c>
      <c r="J133" s="35" t="s">
        <v>3</v>
      </c>
      <c r="K133" s="14"/>
      <c r="L133" s="15"/>
      <c r="M133" s="15"/>
      <c r="N133" s="15"/>
      <c r="O133" s="15"/>
      <c r="P133" s="15"/>
      <c r="Q133" s="15"/>
      <c r="R133" s="15"/>
      <c r="S133" s="15"/>
      <c r="T133" s="15"/>
      <c r="U133" s="16"/>
      <c r="W133" s="35" t="s">
        <v>3</v>
      </c>
      <c r="X133" s="14"/>
      <c r="Y133" s="15"/>
      <c r="Z133" s="15"/>
      <c r="AA133" s="15"/>
      <c r="AB133" s="15"/>
      <c r="AC133" s="16"/>
      <c r="AE133" s="35" t="s">
        <v>3</v>
      </c>
      <c r="AF133" s="14"/>
      <c r="AG133" s="15"/>
      <c r="AH133" s="15"/>
      <c r="AI133" s="15"/>
      <c r="AJ133" s="15"/>
      <c r="AK133" s="16"/>
    </row>
    <row r="134" spans="1:37" ht="15.75" thickBot="1" x14ac:dyDescent="0.3">
      <c r="A134" s="168"/>
      <c r="B134" s="17"/>
      <c r="C134" s="18"/>
      <c r="D134" s="18"/>
      <c r="E134" s="18"/>
      <c r="F134" s="18">
        <f>SUM(C134-B134)</f>
        <v>0</v>
      </c>
      <c r="G134" s="18">
        <f>SUM(E134-D134)</f>
        <v>0</v>
      </c>
      <c r="H134" s="33">
        <f>SUM(F134:G134)</f>
        <v>0</v>
      </c>
      <c r="J134" s="36" t="s">
        <v>21</v>
      </c>
      <c r="K134" s="19"/>
      <c r="L134" s="20"/>
      <c r="M134" s="20"/>
      <c r="N134" s="20"/>
      <c r="O134" s="20"/>
      <c r="P134" s="20"/>
      <c r="Q134" s="20"/>
      <c r="R134" s="20"/>
      <c r="S134" s="20"/>
      <c r="T134" s="20"/>
      <c r="U134" s="21"/>
      <c r="W134" s="36" t="s">
        <v>21</v>
      </c>
      <c r="X134" s="19"/>
      <c r="Y134" s="20"/>
      <c r="Z134" s="20"/>
      <c r="AA134" s="20"/>
      <c r="AB134" s="20"/>
      <c r="AC134" s="21"/>
      <c r="AE134" s="36" t="s">
        <v>21</v>
      </c>
      <c r="AF134" s="19"/>
      <c r="AG134" s="20"/>
      <c r="AH134" s="20"/>
      <c r="AI134" s="20"/>
      <c r="AJ134" s="20"/>
      <c r="AK134" s="21"/>
    </row>
    <row r="135" spans="1:37" x14ac:dyDescent="0.25">
      <c r="F135" s="2"/>
      <c r="G135" s="2"/>
      <c r="H135" s="2"/>
      <c r="J135" s="37"/>
      <c r="T135" s="22" t="s">
        <v>22</v>
      </c>
      <c r="U135" s="23">
        <f>SUM(K134:U134)</f>
        <v>0</v>
      </c>
      <c r="AB135" s="22" t="s">
        <v>22</v>
      </c>
      <c r="AC135" s="23">
        <f>SUM(X134:AC134)</f>
        <v>0</v>
      </c>
      <c r="AJ135" s="22" t="s">
        <v>22</v>
      </c>
      <c r="AK135" s="23">
        <f>SUM(AF134:AK134)</f>
        <v>0</v>
      </c>
    </row>
  </sheetData>
  <mergeCells count="169">
    <mergeCell ref="A129:A130"/>
    <mergeCell ref="B132:H132"/>
    <mergeCell ref="J132:U132"/>
    <mergeCell ref="W132:AC132"/>
    <mergeCell ref="AE132:AK132"/>
    <mergeCell ref="A133:A134"/>
    <mergeCell ref="A121:A122"/>
    <mergeCell ref="B124:H124"/>
    <mergeCell ref="J124:U124"/>
    <mergeCell ref="W124:AC124"/>
    <mergeCell ref="AE124:AK124"/>
    <mergeCell ref="A125:A126"/>
    <mergeCell ref="B128:H128"/>
    <mergeCell ref="J128:U128"/>
    <mergeCell ref="W128:AC128"/>
    <mergeCell ref="AE128:AK128"/>
    <mergeCell ref="A113:A114"/>
    <mergeCell ref="B116:H116"/>
    <mergeCell ref="J116:U116"/>
    <mergeCell ref="W116:AC116"/>
    <mergeCell ref="AE116:AK116"/>
    <mergeCell ref="A117:A118"/>
    <mergeCell ref="B120:H120"/>
    <mergeCell ref="J120:U120"/>
    <mergeCell ref="W120:AC120"/>
    <mergeCell ref="AE120:AK120"/>
    <mergeCell ref="B108:H108"/>
    <mergeCell ref="J108:U108"/>
    <mergeCell ref="W108:AC108"/>
    <mergeCell ref="AE108:AK108"/>
    <mergeCell ref="A109:A110"/>
    <mergeCell ref="B112:H112"/>
    <mergeCell ref="J112:U112"/>
    <mergeCell ref="W112:AC112"/>
    <mergeCell ref="AE112:AK112"/>
    <mergeCell ref="B84:H84"/>
    <mergeCell ref="J84:U84"/>
    <mergeCell ref="W84:AC84"/>
    <mergeCell ref="AE84:AK84"/>
    <mergeCell ref="A85:A86"/>
    <mergeCell ref="B80:H80"/>
    <mergeCell ref="J80:U80"/>
    <mergeCell ref="W80:AC80"/>
    <mergeCell ref="AE80:AK80"/>
    <mergeCell ref="A81:A82"/>
    <mergeCell ref="B76:H76"/>
    <mergeCell ref="J76:U76"/>
    <mergeCell ref="W76:AC76"/>
    <mergeCell ref="AE76:AK76"/>
    <mergeCell ref="A77:A78"/>
    <mergeCell ref="B72:H72"/>
    <mergeCell ref="J72:U72"/>
    <mergeCell ref="W72:AC72"/>
    <mergeCell ref="AE72:AK72"/>
    <mergeCell ref="A73:A74"/>
    <mergeCell ref="B68:H68"/>
    <mergeCell ref="J68:U68"/>
    <mergeCell ref="W68:AC68"/>
    <mergeCell ref="AE68:AK68"/>
    <mergeCell ref="A69:A70"/>
    <mergeCell ref="B64:H64"/>
    <mergeCell ref="J64:U64"/>
    <mergeCell ref="W64:AC64"/>
    <mergeCell ref="AE64:AK64"/>
    <mergeCell ref="A65:A66"/>
    <mergeCell ref="B60:H60"/>
    <mergeCell ref="J60:U60"/>
    <mergeCell ref="W60:AC60"/>
    <mergeCell ref="AE60:AK60"/>
    <mergeCell ref="A61:A62"/>
    <mergeCell ref="B7:C7"/>
    <mergeCell ref="E7:F7"/>
    <mergeCell ref="A1:A2"/>
    <mergeCell ref="B1:AK1"/>
    <mergeCell ref="B2:AK2"/>
    <mergeCell ref="B4:C4"/>
    <mergeCell ref="E4:F4"/>
    <mergeCell ref="A17:A18"/>
    <mergeCell ref="A10:H10"/>
    <mergeCell ref="J10:U10"/>
    <mergeCell ref="W10:AC10"/>
    <mergeCell ref="AE10:AK10"/>
    <mergeCell ref="B12:H12"/>
    <mergeCell ref="J12:U12"/>
    <mergeCell ref="W12:AC12"/>
    <mergeCell ref="AE12:AK12"/>
    <mergeCell ref="A13:A14"/>
    <mergeCell ref="B16:H16"/>
    <mergeCell ref="J16:U16"/>
    <mergeCell ref="A37:A38"/>
    <mergeCell ref="B40:H40"/>
    <mergeCell ref="J40:U40"/>
    <mergeCell ref="W40:AC40"/>
    <mergeCell ref="AE40:AK40"/>
    <mergeCell ref="W16:AC16"/>
    <mergeCell ref="AE16:AK16"/>
    <mergeCell ref="A29:A30"/>
    <mergeCell ref="B20:H20"/>
    <mergeCell ref="J20:U20"/>
    <mergeCell ref="W20:AC20"/>
    <mergeCell ref="AE20:AK20"/>
    <mergeCell ref="A21:A22"/>
    <mergeCell ref="B24:H24"/>
    <mergeCell ref="J24:U24"/>
    <mergeCell ref="W24:AC24"/>
    <mergeCell ref="AE24:AK24"/>
    <mergeCell ref="A25:A26"/>
    <mergeCell ref="B28:H28"/>
    <mergeCell ref="J28:U28"/>
    <mergeCell ref="W28:AC28"/>
    <mergeCell ref="AE28:AK28"/>
    <mergeCell ref="B32:H32"/>
    <mergeCell ref="J32:U32"/>
    <mergeCell ref="W32:AC32"/>
    <mergeCell ref="AE32:AK32"/>
    <mergeCell ref="A33:A34"/>
    <mergeCell ref="B36:H36"/>
    <mergeCell ref="J36:U36"/>
    <mergeCell ref="W36:AC36"/>
    <mergeCell ref="AE36:AK36"/>
    <mergeCell ref="B5:C5"/>
    <mergeCell ref="E5:F5"/>
    <mergeCell ref="A9:H9"/>
    <mergeCell ref="A41:A42"/>
    <mergeCell ref="B56:H56"/>
    <mergeCell ref="J56:U56"/>
    <mergeCell ref="W56:AC56"/>
    <mergeCell ref="AE56:AK56"/>
    <mergeCell ref="A57:A58"/>
    <mergeCell ref="A53:A54"/>
    <mergeCell ref="B44:H44"/>
    <mergeCell ref="J44:U44"/>
    <mergeCell ref="W44:AC44"/>
    <mergeCell ref="AE44:AK44"/>
    <mergeCell ref="A45:A46"/>
    <mergeCell ref="B48:H48"/>
    <mergeCell ref="J48:U48"/>
    <mergeCell ref="W48:AC48"/>
    <mergeCell ref="AE48:AK48"/>
    <mergeCell ref="A49:A50"/>
    <mergeCell ref="B52:H52"/>
    <mergeCell ref="J52:U52"/>
    <mergeCell ref="W52:AC52"/>
    <mergeCell ref="AE52:AK52"/>
    <mergeCell ref="B88:H88"/>
    <mergeCell ref="J88:U88"/>
    <mergeCell ref="W88:AC88"/>
    <mergeCell ref="AE88:AK88"/>
    <mergeCell ref="A89:A90"/>
    <mergeCell ref="B92:H92"/>
    <mergeCell ref="J92:U92"/>
    <mergeCell ref="W92:AC92"/>
    <mergeCell ref="AE92:AK92"/>
    <mergeCell ref="A101:A102"/>
    <mergeCell ref="B104:H104"/>
    <mergeCell ref="J104:U104"/>
    <mergeCell ref="W104:AC104"/>
    <mergeCell ref="AE104:AK104"/>
    <mergeCell ref="A105:A106"/>
    <mergeCell ref="A93:A94"/>
    <mergeCell ref="B96:H96"/>
    <mergeCell ref="J96:U96"/>
    <mergeCell ref="W96:AC96"/>
    <mergeCell ref="AE96:AK96"/>
    <mergeCell ref="A97:A98"/>
    <mergeCell ref="B100:H100"/>
    <mergeCell ref="J100:U100"/>
    <mergeCell ref="W100:AC100"/>
    <mergeCell ref="AE100:AK100"/>
  </mergeCells>
  <pageMargins left="0.511811024" right="0.511811024" top="0.78740157499999996" bottom="0.78740157499999996" header="0.31496062000000002" footer="0.31496062000000002"/>
  <pageSetup paperSize="9" orientation="portrait" r:id="rId1"/>
  <drawing r:id="rId2"/>
  <legacy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K134"/>
  <sheetViews>
    <sheetView showGridLines="0" topLeftCell="A98" zoomScaleNormal="100" workbookViewId="0">
      <selection activeCell="A114" sqref="A114"/>
    </sheetView>
  </sheetViews>
  <sheetFormatPr defaultColWidth="9" defaultRowHeight="15" x14ac:dyDescent="0.25"/>
  <cols>
    <col min="1" max="1" width="18" style="2" customWidth="1"/>
    <col min="2" max="2" width="11.7109375" style="2" bestFit="1" customWidth="1"/>
    <col min="3" max="3" width="9.28515625" style="2" bestFit="1" customWidth="1"/>
    <col min="4" max="4" width="10.7109375" style="2" customWidth="1"/>
    <col min="5" max="5" width="9.28515625" style="2" bestFit="1" customWidth="1"/>
    <col min="6" max="6" width="13.140625" style="1" customWidth="1"/>
    <col min="7" max="7" width="13.85546875" style="1" customWidth="1"/>
    <col min="8" max="8" width="12.140625" style="1" bestFit="1" customWidth="1"/>
    <col min="9" max="9" width="13.5703125" style="1" customWidth="1"/>
    <col min="10" max="10" width="10.7109375" style="2" bestFit="1" customWidth="1"/>
    <col min="11" max="16" width="12" style="1" bestFit="1" customWidth="1"/>
    <col min="17" max="20" width="10.7109375" style="1" bestFit="1" customWidth="1"/>
    <col min="21" max="21" width="12.140625" style="1" bestFit="1" customWidth="1"/>
    <col min="22" max="22" width="9" style="1"/>
    <col min="23" max="23" width="9" style="2"/>
    <col min="24" max="25" width="10.7109375" style="1" bestFit="1" customWidth="1"/>
    <col min="26" max="28" width="9" style="1"/>
    <col min="29" max="29" width="9.5703125" style="1" bestFit="1" customWidth="1"/>
    <col min="30" max="30" width="9" style="1"/>
    <col min="31" max="31" width="9" style="2"/>
    <col min="32" max="32" width="10.7109375" style="1" bestFit="1" customWidth="1"/>
    <col min="33" max="33" width="9" style="1"/>
    <col min="34" max="36" width="10.140625" style="1" bestFit="1" customWidth="1"/>
    <col min="37" max="37" width="9.5703125" style="1" bestFit="1" customWidth="1"/>
    <col min="38" max="16384" width="9" style="1"/>
  </cols>
  <sheetData>
    <row r="1" spans="1:37" ht="30.75" customHeight="1" x14ac:dyDescent="0.25">
      <c r="A1" s="162"/>
      <c r="B1" s="164" t="s">
        <v>51</v>
      </c>
      <c r="C1" s="164"/>
      <c r="D1" s="164"/>
      <c r="E1" s="164"/>
      <c r="F1" s="164"/>
      <c r="G1" s="164"/>
      <c r="H1" s="164"/>
      <c r="I1" s="164"/>
      <c r="J1" s="164"/>
      <c r="K1" s="164"/>
      <c r="L1" s="164"/>
      <c r="M1" s="164"/>
      <c r="N1" s="164"/>
      <c r="O1" s="164"/>
      <c r="P1" s="164"/>
      <c r="Q1" s="164"/>
      <c r="R1" s="164"/>
      <c r="S1" s="164"/>
      <c r="T1" s="164"/>
      <c r="U1" s="164"/>
      <c r="V1" s="164"/>
      <c r="W1" s="164"/>
      <c r="X1" s="164"/>
      <c r="Y1" s="164"/>
      <c r="Z1" s="164"/>
      <c r="AA1" s="164"/>
      <c r="AB1" s="164"/>
      <c r="AC1" s="164"/>
      <c r="AD1" s="164"/>
      <c r="AE1" s="164"/>
      <c r="AF1" s="164"/>
      <c r="AG1" s="164"/>
      <c r="AH1" s="164"/>
      <c r="AI1" s="164"/>
      <c r="AJ1" s="164"/>
      <c r="AK1" s="165"/>
    </row>
    <row r="2" spans="1:37" ht="20.25" customHeight="1" x14ac:dyDescent="0.25">
      <c r="A2" s="163"/>
      <c r="B2" s="166" t="s">
        <v>50</v>
      </c>
      <c r="C2" s="166"/>
      <c r="D2" s="166"/>
      <c r="E2" s="166"/>
      <c r="F2" s="166"/>
      <c r="G2" s="166"/>
      <c r="H2" s="166"/>
      <c r="I2" s="166"/>
      <c r="J2" s="166"/>
      <c r="K2" s="166"/>
      <c r="L2" s="166"/>
      <c r="M2" s="166"/>
      <c r="N2" s="166"/>
      <c r="O2" s="166"/>
      <c r="P2" s="166"/>
      <c r="Q2" s="166"/>
      <c r="R2" s="166"/>
      <c r="S2" s="166"/>
      <c r="T2" s="166"/>
      <c r="U2" s="166"/>
      <c r="V2" s="166"/>
      <c r="W2" s="166"/>
      <c r="X2" s="166"/>
      <c r="Y2" s="166"/>
      <c r="Z2" s="166"/>
      <c r="AA2" s="166"/>
      <c r="AB2" s="166"/>
      <c r="AC2" s="166"/>
      <c r="AD2" s="166"/>
      <c r="AE2" s="166"/>
      <c r="AF2" s="166"/>
      <c r="AG2" s="166"/>
      <c r="AH2" s="166"/>
      <c r="AI2" s="166"/>
      <c r="AJ2" s="166"/>
      <c r="AK2" s="167"/>
    </row>
    <row r="4" spans="1:37" x14ac:dyDescent="0.25">
      <c r="A4" s="31" t="s">
        <v>47</v>
      </c>
      <c r="B4" s="161" t="s">
        <v>64</v>
      </c>
      <c r="C4" s="161"/>
      <c r="D4" s="31" t="s">
        <v>0</v>
      </c>
      <c r="E4" s="161" t="s">
        <v>63</v>
      </c>
      <c r="F4" s="161"/>
      <c r="G4" s="31" t="s">
        <v>125</v>
      </c>
      <c r="H4" s="137">
        <v>5000</v>
      </c>
    </row>
    <row r="5" spans="1:37" x14ac:dyDescent="0.25">
      <c r="A5" s="31" t="s">
        <v>72</v>
      </c>
      <c r="B5" s="87">
        <v>45640</v>
      </c>
      <c r="D5" s="31" t="s">
        <v>0</v>
      </c>
      <c r="E5" s="86" t="s">
        <v>74</v>
      </c>
      <c r="F5" s="2"/>
      <c r="G5" s="31"/>
    </row>
    <row r="6" spans="1:37" x14ac:dyDescent="0.25">
      <c r="A6" s="31" t="s">
        <v>48</v>
      </c>
      <c r="B6" s="160">
        <v>3967.66</v>
      </c>
      <c r="C6" s="160"/>
      <c r="D6" s="31" t="s">
        <v>44</v>
      </c>
      <c r="E6" s="201">
        <v>45</v>
      </c>
      <c r="F6" s="161"/>
      <c r="G6" s="31" t="s">
        <v>46</v>
      </c>
      <c r="H6" s="5">
        <v>45516</v>
      </c>
      <c r="I6" s="31" t="s">
        <v>146</v>
      </c>
      <c r="J6" s="5">
        <v>46066</v>
      </c>
    </row>
    <row r="9" spans="1:37" s="28" customFormat="1" ht="18.75" x14ac:dyDescent="0.3">
      <c r="A9" s="169" t="s">
        <v>26</v>
      </c>
      <c r="B9" s="169"/>
      <c r="C9" s="169"/>
      <c r="D9" s="169"/>
      <c r="E9" s="169"/>
      <c r="F9" s="169"/>
      <c r="G9" s="169"/>
      <c r="H9" s="169"/>
      <c r="J9" s="169" t="s">
        <v>24</v>
      </c>
      <c r="K9" s="169"/>
      <c r="L9" s="169"/>
      <c r="M9" s="169"/>
      <c r="N9" s="169"/>
      <c r="O9" s="169"/>
      <c r="P9" s="169"/>
      <c r="Q9" s="169"/>
      <c r="R9" s="169"/>
      <c r="S9" s="169"/>
      <c r="T9" s="169"/>
      <c r="U9" s="169"/>
      <c r="V9" s="29"/>
      <c r="W9" s="170" t="s">
        <v>49</v>
      </c>
      <c r="X9" s="170"/>
      <c r="Y9" s="170"/>
      <c r="Z9" s="170"/>
      <c r="AA9" s="170"/>
      <c r="AB9" s="170"/>
      <c r="AC9" s="170"/>
      <c r="AD9" s="29"/>
      <c r="AE9" s="170" t="s">
        <v>25</v>
      </c>
      <c r="AF9" s="170"/>
      <c r="AG9" s="170"/>
      <c r="AH9" s="170"/>
      <c r="AI9" s="170"/>
      <c r="AJ9" s="170"/>
      <c r="AK9" s="170"/>
    </row>
    <row r="10" spans="1:37" s="6" customFormat="1" x14ac:dyDescent="0.25">
      <c r="A10" s="7"/>
      <c r="B10" s="7"/>
      <c r="C10" s="7"/>
      <c r="D10" s="7"/>
      <c r="E10" s="7"/>
      <c r="F10" s="7"/>
      <c r="G10" s="7"/>
      <c r="H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8"/>
      <c r="W10" s="9"/>
      <c r="X10" s="9"/>
      <c r="Y10" s="9"/>
      <c r="Z10" s="9"/>
      <c r="AA10" s="9"/>
      <c r="AB10" s="9"/>
      <c r="AC10" s="9"/>
      <c r="AD10" s="8"/>
      <c r="AE10" s="9"/>
      <c r="AF10" s="9"/>
      <c r="AG10" s="9"/>
      <c r="AH10" s="9"/>
      <c r="AI10" s="9"/>
      <c r="AJ10" s="9"/>
      <c r="AK10" s="9"/>
    </row>
    <row r="11" spans="1:37" s="6" customFormat="1" ht="15.75" thickBot="1" x14ac:dyDescent="0.3">
      <c r="A11" s="34"/>
      <c r="B11" s="171" t="s">
        <v>54</v>
      </c>
      <c r="C11" s="171"/>
      <c r="D11" s="171"/>
      <c r="E11" s="171"/>
      <c r="F11" s="171"/>
      <c r="G11" s="171"/>
      <c r="H11" s="171"/>
      <c r="J11" s="172" t="s">
        <v>54</v>
      </c>
      <c r="K11" s="172"/>
      <c r="L11" s="172"/>
      <c r="M11" s="172"/>
      <c r="N11" s="172"/>
      <c r="O11" s="172"/>
      <c r="P11" s="172"/>
      <c r="Q11" s="172"/>
      <c r="R11" s="172"/>
      <c r="S11" s="172"/>
      <c r="T11" s="172"/>
      <c r="U11" s="172"/>
      <c r="V11" s="8"/>
      <c r="W11" s="173" t="s">
        <v>54</v>
      </c>
      <c r="X11" s="173"/>
      <c r="Y11" s="173"/>
      <c r="Z11" s="173"/>
      <c r="AA11" s="173"/>
      <c r="AB11" s="173"/>
      <c r="AC11" s="173"/>
      <c r="AD11" s="8"/>
      <c r="AE11" s="174" t="s">
        <v>54</v>
      </c>
      <c r="AF11" s="174"/>
      <c r="AG11" s="174"/>
      <c r="AH11" s="174"/>
      <c r="AI11" s="174"/>
      <c r="AJ11" s="174"/>
      <c r="AK11" s="174"/>
    </row>
    <row r="12" spans="1:37" s="6" customFormat="1" ht="15.75" thickBot="1" x14ac:dyDescent="0.3">
      <c r="A12" s="168" t="s">
        <v>4</v>
      </c>
      <c r="B12" s="10" t="s">
        <v>5</v>
      </c>
      <c r="C12" s="11" t="s">
        <v>6</v>
      </c>
      <c r="D12" s="12" t="s">
        <v>7</v>
      </c>
      <c r="E12" s="11" t="s">
        <v>8</v>
      </c>
      <c r="F12" s="12" t="s">
        <v>9</v>
      </c>
      <c r="G12" s="11" t="s">
        <v>10</v>
      </c>
      <c r="H12" s="32" t="s">
        <v>11</v>
      </c>
      <c r="J12" s="35" t="s">
        <v>3</v>
      </c>
      <c r="K12" s="14"/>
      <c r="L12" s="15"/>
      <c r="M12" s="15"/>
      <c r="N12" s="15"/>
      <c r="O12" s="15"/>
      <c r="P12" s="15"/>
      <c r="Q12" s="15"/>
      <c r="R12" s="15"/>
      <c r="S12" s="15"/>
      <c r="T12" s="15"/>
      <c r="U12" s="16"/>
      <c r="V12" s="8"/>
      <c r="W12" s="35" t="s">
        <v>3</v>
      </c>
      <c r="X12" s="14"/>
      <c r="Y12" s="15"/>
      <c r="Z12" s="15"/>
      <c r="AA12" s="15"/>
      <c r="AB12" s="15"/>
      <c r="AC12" s="16"/>
      <c r="AD12" s="8"/>
      <c r="AE12" s="35" t="s">
        <v>3</v>
      </c>
      <c r="AF12" s="14"/>
      <c r="AG12" s="15"/>
      <c r="AH12" s="15"/>
      <c r="AI12" s="15"/>
      <c r="AJ12" s="15"/>
      <c r="AK12" s="16"/>
    </row>
    <row r="13" spans="1:37" s="6" customFormat="1" ht="15.75" thickBot="1" x14ac:dyDescent="0.3">
      <c r="A13" s="168"/>
      <c r="B13" s="17"/>
      <c r="C13" s="18"/>
      <c r="D13" s="18"/>
      <c r="E13" s="18"/>
      <c r="F13" s="18">
        <f>SUM(C13-B13)</f>
        <v>0</v>
      </c>
      <c r="G13" s="18">
        <f>SUM(E13-D13)</f>
        <v>0</v>
      </c>
      <c r="H13" s="33">
        <f>SUM(F13:G13)</f>
        <v>0</v>
      </c>
      <c r="J13" s="36" t="s">
        <v>21</v>
      </c>
      <c r="K13" s="19"/>
      <c r="L13" s="20"/>
      <c r="M13" s="20"/>
      <c r="N13" s="20"/>
      <c r="O13" s="20"/>
      <c r="P13" s="20"/>
      <c r="Q13" s="20"/>
      <c r="R13" s="20"/>
      <c r="S13" s="20"/>
      <c r="T13" s="20"/>
      <c r="U13" s="21"/>
      <c r="V13" s="8"/>
      <c r="W13" s="36" t="s">
        <v>21</v>
      </c>
      <c r="X13" s="19"/>
      <c r="Y13" s="20"/>
      <c r="Z13" s="20"/>
      <c r="AA13" s="20"/>
      <c r="AB13" s="20"/>
      <c r="AC13" s="21"/>
      <c r="AD13" s="8"/>
      <c r="AE13" s="36" t="s">
        <v>21</v>
      </c>
      <c r="AF13" s="19"/>
      <c r="AG13" s="20"/>
      <c r="AH13" s="20"/>
      <c r="AI13" s="20"/>
      <c r="AJ13" s="20"/>
      <c r="AK13" s="21"/>
    </row>
    <row r="14" spans="1:37" s="6" customFormat="1" x14ac:dyDescent="0.25">
      <c r="A14" s="7"/>
      <c r="B14" s="7"/>
      <c r="C14" s="7"/>
      <c r="D14" s="7"/>
      <c r="E14" s="7"/>
      <c r="F14" s="7"/>
      <c r="G14" s="7"/>
      <c r="H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22" t="s">
        <v>22</v>
      </c>
      <c r="U14" s="23">
        <f>SUM(K13:U13)</f>
        <v>0</v>
      </c>
      <c r="V14" s="8"/>
      <c r="W14" s="2"/>
      <c r="X14" s="1"/>
      <c r="Y14" s="1"/>
      <c r="Z14" s="1"/>
      <c r="AA14" s="1"/>
      <c r="AB14" s="22" t="s">
        <v>22</v>
      </c>
      <c r="AC14" s="23">
        <f>SUM(X13:AC13)</f>
        <v>0</v>
      </c>
      <c r="AD14" s="8"/>
      <c r="AE14" s="2"/>
      <c r="AF14" s="1"/>
      <c r="AG14" s="1"/>
      <c r="AH14" s="1"/>
      <c r="AI14" s="1"/>
      <c r="AJ14" s="22" t="s">
        <v>22</v>
      </c>
      <c r="AK14" s="23">
        <f>SUM(AF13:AK13)</f>
        <v>0</v>
      </c>
    </row>
    <row r="15" spans="1:37" ht="15.75" thickBot="1" x14ac:dyDescent="0.3">
      <c r="A15" s="34"/>
      <c r="B15" s="171" t="s">
        <v>2</v>
      </c>
      <c r="C15" s="171"/>
      <c r="D15" s="171"/>
      <c r="E15" s="171"/>
      <c r="F15" s="171"/>
      <c r="G15" s="171"/>
      <c r="H15" s="171"/>
      <c r="J15" s="172" t="s">
        <v>2</v>
      </c>
      <c r="K15" s="172"/>
      <c r="L15" s="172"/>
      <c r="M15" s="172"/>
      <c r="N15" s="172"/>
      <c r="O15" s="172"/>
      <c r="P15" s="172"/>
      <c r="Q15" s="172"/>
      <c r="R15" s="172"/>
      <c r="S15" s="172"/>
      <c r="T15" s="172"/>
      <c r="U15" s="172"/>
      <c r="W15" s="173" t="s">
        <v>2</v>
      </c>
      <c r="X15" s="173"/>
      <c r="Y15" s="173"/>
      <c r="Z15" s="173"/>
      <c r="AA15" s="173"/>
      <c r="AB15" s="173"/>
      <c r="AC15" s="173"/>
      <c r="AE15" s="174" t="s">
        <v>2</v>
      </c>
      <c r="AF15" s="174"/>
      <c r="AG15" s="174"/>
      <c r="AH15" s="174"/>
      <c r="AI15" s="174"/>
      <c r="AJ15" s="174"/>
      <c r="AK15" s="174"/>
    </row>
    <row r="16" spans="1:37" ht="15.75" thickBot="1" x14ac:dyDescent="0.3">
      <c r="A16" s="168" t="s">
        <v>4</v>
      </c>
      <c r="B16" s="10" t="s">
        <v>5</v>
      </c>
      <c r="C16" s="11" t="s">
        <v>6</v>
      </c>
      <c r="D16" s="12" t="s">
        <v>7</v>
      </c>
      <c r="E16" s="11" t="s">
        <v>8</v>
      </c>
      <c r="F16" s="12" t="s">
        <v>9</v>
      </c>
      <c r="G16" s="11" t="s">
        <v>10</v>
      </c>
      <c r="H16" s="32" t="s">
        <v>11</v>
      </c>
      <c r="J16" s="35" t="s">
        <v>3</v>
      </c>
      <c r="K16" s="14"/>
      <c r="L16" s="15"/>
      <c r="M16" s="15"/>
      <c r="N16" s="15"/>
      <c r="O16" s="15"/>
      <c r="P16" s="15"/>
      <c r="Q16" s="15"/>
      <c r="R16" s="15"/>
      <c r="S16" s="15"/>
      <c r="T16" s="15"/>
      <c r="U16" s="16"/>
      <c r="W16" s="35" t="s">
        <v>3</v>
      </c>
      <c r="X16" s="14"/>
      <c r="Y16" s="15"/>
      <c r="Z16" s="15"/>
      <c r="AA16" s="15"/>
      <c r="AB16" s="15"/>
      <c r="AC16" s="16"/>
      <c r="AE16" s="35" t="s">
        <v>3</v>
      </c>
      <c r="AF16" s="14"/>
      <c r="AG16" s="15"/>
      <c r="AH16" s="15"/>
      <c r="AI16" s="15"/>
      <c r="AJ16" s="15"/>
      <c r="AK16" s="16"/>
    </row>
    <row r="17" spans="1:37" ht="15.75" thickBot="1" x14ac:dyDescent="0.3">
      <c r="A17" s="168"/>
      <c r="B17" s="17"/>
      <c r="C17" s="18"/>
      <c r="D17" s="18"/>
      <c r="E17" s="18"/>
      <c r="F17" s="18">
        <f>SUM(C17-B17)</f>
        <v>0</v>
      </c>
      <c r="G17" s="18">
        <f>SUM(E17-D17)</f>
        <v>0</v>
      </c>
      <c r="H17" s="33">
        <f>SUM(F17:G17)</f>
        <v>0</v>
      </c>
      <c r="J17" s="36" t="s">
        <v>21</v>
      </c>
      <c r="K17" s="19"/>
      <c r="L17" s="20"/>
      <c r="M17" s="20"/>
      <c r="N17" s="20"/>
      <c r="O17" s="20"/>
      <c r="P17" s="20"/>
      <c r="Q17" s="20"/>
      <c r="R17" s="20"/>
      <c r="S17" s="20"/>
      <c r="T17" s="20"/>
      <c r="U17" s="21"/>
      <c r="W17" s="36" t="s">
        <v>21</v>
      </c>
      <c r="X17" s="19"/>
      <c r="Y17" s="20"/>
      <c r="Z17" s="20"/>
      <c r="AA17" s="20"/>
      <c r="AB17" s="20"/>
      <c r="AC17" s="21"/>
      <c r="AE17" s="36" t="s">
        <v>21</v>
      </c>
      <c r="AF17" s="19"/>
      <c r="AG17" s="20"/>
      <c r="AH17" s="20"/>
      <c r="AI17" s="20"/>
      <c r="AJ17" s="20"/>
      <c r="AK17" s="21"/>
    </row>
    <row r="18" spans="1:37" x14ac:dyDescent="0.25">
      <c r="F18" s="2"/>
      <c r="G18" s="2"/>
      <c r="H18" s="2"/>
      <c r="J18" s="37"/>
      <c r="T18" s="22" t="s">
        <v>22</v>
      </c>
      <c r="U18" s="23">
        <f>SUM(K17:U17)</f>
        <v>0</v>
      </c>
      <c r="AB18" s="22" t="s">
        <v>22</v>
      </c>
      <c r="AC18" s="23">
        <f>SUM(X17:AC17)</f>
        <v>0</v>
      </c>
      <c r="AJ18" s="22" t="s">
        <v>22</v>
      </c>
      <c r="AK18" s="23">
        <f>SUM(AF17:AK17)</f>
        <v>0</v>
      </c>
    </row>
    <row r="19" spans="1:37" ht="15.75" thickBot="1" x14ac:dyDescent="0.3">
      <c r="A19" s="34"/>
      <c r="B19" s="171" t="s">
        <v>12</v>
      </c>
      <c r="C19" s="171"/>
      <c r="D19" s="171"/>
      <c r="E19" s="171"/>
      <c r="F19" s="171"/>
      <c r="G19" s="171"/>
      <c r="H19" s="171"/>
      <c r="J19" s="172" t="s">
        <v>12</v>
      </c>
      <c r="K19" s="172"/>
      <c r="L19" s="172"/>
      <c r="M19" s="172"/>
      <c r="N19" s="172"/>
      <c r="O19" s="172"/>
      <c r="P19" s="172"/>
      <c r="Q19" s="172"/>
      <c r="R19" s="172"/>
      <c r="S19" s="172"/>
      <c r="T19" s="172"/>
      <c r="U19" s="172"/>
      <c r="W19" s="173" t="str">
        <f>J19</f>
        <v>Março</v>
      </c>
      <c r="X19" s="173"/>
      <c r="Y19" s="173"/>
      <c r="Z19" s="173"/>
      <c r="AA19" s="173"/>
      <c r="AB19" s="173"/>
      <c r="AC19" s="173"/>
      <c r="AE19" s="174" t="str">
        <f>W19</f>
        <v>Março</v>
      </c>
      <c r="AF19" s="174"/>
      <c r="AG19" s="174"/>
      <c r="AH19" s="174"/>
      <c r="AI19" s="174"/>
      <c r="AJ19" s="174"/>
      <c r="AK19" s="174"/>
    </row>
    <row r="20" spans="1:37" ht="15.75" thickBot="1" x14ac:dyDescent="0.3">
      <c r="A20" s="168" t="s">
        <v>4</v>
      </c>
      <c r="B20" s="10" t="s">
        <v>5</v>
      </c>
      <c r="C20" s="11" t="s">
        <v>6</v>
      </c>
      <c r="D20" s="12" t="s">
        <v>7</v>
      </c>
      <c r="E20" s="11" t="s">
        <v>8</v>
      </c>
      <c r="F20" s="12" t="s">
        <v>9</v>
      </c>
      <c r="G20" s="11" t="s">
        <v>10</v>
      </c>
      <c r="H20" s="32" t="s">
        <v>11</v>
      </c>
      <c r="J20" s="35" t="s">
        <v>3</v>
      </c>
      <c r="K20" s="14"/>
      <c r="L20" s="24"/>
      <c r="M20" s="24"/>
      <c r="N20" s="15"/>
      <c r="O20" s="15"/>
      <c r="P20" s="15"/>
      <c r="Q20" s="15"/>
      <c r="R20" s="15"/>
      <c r="S20" s="15"/>
      <c r="T20" s="15"/>
      <c r="U20" s="16"/>
      <c r="W20" s="35" t="s">
        <v>3</v>
      </c>
      <c r="X20" s="14"/>
      <c r="Y20" s="15"/>
      <c r="Z20" s="15"/>
      <c r="AA20" s="15"/>
      <c r="AB20" s="15"/>
      <c r="AC20" s="16"/>
      <c r="AE20" s="35" t="s">
        <v>3</v>
      </c>
      <c r="AF20" s="14"/>
      <c r="AG20" s="15"/>
      <c r="AH20" s="15"/>
      <c r="AI20" s="15"/>
      <c r="AJ20" s="15"/>
      <c r="AK20" s="16"/>
    </row>
    <row r="21" spans="1:37" ht="15.75" thickBot="1" x14ac:dyDescent="0.3">
      <c r="A21" s="168"/>
      <c r="B21" s="17"/>
      <c r="C21" s="18"/>
      <c r="D21" s="18"/>
      <c r="E21" s="18"/>
      <c r="F21" s="18">
        <f>SUM(C21-B21)</f>
        <v>0</v>
      </c>
      <c r="G21" s="18">
        <f>SUM(E21-D21)</f>
        <v>0</v>
      </c>
      <c r="H21" s="33">
        <f>SUM(F21:G21)</f>
        <v>0</v>
      </c>
      <c r="J21" s="36" t="s">
        <v>21</v>
      </c>
      <c r="K21" s="19"/>
      <c r="L21" s="20"/>
      <c r="M21" s="20"/>
      <c r="N21" s="20"/>
      <c r="O21" s="20"/>
      <c r="P21" s="20"/>
      <c r="Q21" s="20"/>
      <c r="R21" s="20"/>
      <c r="S21" s="20"/>
      <c r="T21" s="20"/>
      <c r="U21" s="21"/>
      <c r="W21" s="36" t="s">
        <v>21</v>
      </c>
      <c r="X21" s="19"/>
      <c r="Y21" s="20"/>
      <c r="Z21" s="20"/>
      <c r="AA21" s="20"/>
      <c r="AB21" s="20"/>
      <c r="AC21" s="21"/>
      <c r="AE21" s="36" t="s">
        <v>21</v>
      </c>
      <c r="AF21" s="19"/>
      <c r="AG21" s="20"/>
      <c r="AH21" s="20"/>
      <c r="AI21" s="20"/>
      <c r="AJ21" s="20"/>
      <c r="AK21" s="21"/>
    </row>
    <row r="22" spans="1:37" x14ac:dyDescent="0.25">
      <c r="F22" s="2"/>
      <c r="G22" s="2"/>
      <c r="H22" s="2"/>
      <c r="J22" s="37"/>
      <c r="T22" s="22" t="s">
        <v>22</v>
      </c>
      <c r="U22" s="23">
        <f>SUM(K21:U21)</f>
        <v>0</v>
      </c>
      <c r="AB22" s="22" t="s">
        <v>22</v>
      </c>
      <c r="AC22" s="23">
        <f>SUM(X21:AC21)</f>
        <v>0</v>
      </c>
      <c r="AJ22" s="22" t="s">
        <v>22</v>
      </c>
      <c r="AK22" s="23">
        <f>SUM(AF21:AK21)</f>
        <v>0</v>
      </c>
    </row>
    <row r="23" spans="1:37" ht="15.75" thickBot="1" x14ac:dyDescent="0.3">
      <c r="A23" s="34"/>
      <c r="B23" s="171" t="s">
        <v>13</v>
      </c>
      <c r="C23" s="171"/>
      <c r="D23" s="171"/>
      <c r="E23" s="171"/>
      <c r="F23" s="171"/>
      <c r="G23" s="171"/>
      <c r="H23" s="171"/>
      <c r="J23" s="172" t="s">
        <v>13</v>
      </c>
      <c r="K23" s="172"/>
      <c r="L23" s="172"/>
      <c r="M23" s="172"/>
      <c r="N23" s="172"/>
      <c r="O23" s="172"/>
      <c r="P23" s="172"/>
      <c r="Q23" s="172"/>
      <c r="R23" s="172"/>
      <c r="S23" s="172"/>
      <c r="T23" s="172"/>
      <c r="U23" s="172"/>
      <c r="W23" s="173" t="str">
        <f>J23</f>
        <v>Abril</v>
      </c>
      <c r="X23" s="173"/>
      <c r="Y23" s="173"/>
      <c r="Z23" s="173"/>
      <c r="AA23" s="173"/>
      <c r="AB23" s="173"/>
      <c r="AC23" s="173"/>
      <c r="AE23" s="174" t="str">
        <f>W23</f>
        <v>Abril</v>
      </c>
      <c r="AF23" s="174"/>
      <c r="AG23" s="174"/>
      <c r="AH23" s="174"/>
      <c r="AI23" s="174"/>
      <c r="AJ23" s="174"/>
      <c r="AK23" s="174"/>
    </row>
    <row r="24" spans="1:37" ht="15.75" thickBot="1" x14ac:dyDescent="0.3">
      <c r="A24" s="168" t="s">
        <v>4</v>
      </c>
      <c r="B24" s="10" t="s">
        <v>5</v>
      </c>
      <c r="C24" s="11" t="s">
        <v>6</v>
      </c>
      <c r="D24" s="12" t="s">
        <v>7</v>
      </c>
      <c r="E24" s="11" t="s">
        <v>8</v>
      </c>
      <c r="F24" s="12" t="s">
        <v>9</v>
      </c>
      <c r="G24" s="11" t="s">
        <v>10</v>
      </c>
      <c r="H24" s="32" t="s">
        <v>11</v>
      </c>
      <c r="J24" s="35" t="s">
        <v>3</v>
      </c>
      <c r="K24" s="14"/>
      <c r="L24" s="15"/>
      <c r="M24" s="15"/>
      <c r="N24" s="15"/>
      <c r="O24" s="15"/>
      <c r="P24" s="15"/>
      <c r="Q24" s="15"/>
      <c r="R24" s="15"/>
      <c r="S24" s="15"/>
      <c r="T24" s="15"/>
      <c r="U24" s="16"/>
      <c r="W24" s="35" t="s">
        <v>3</v>
      </c>
      <c r="X24" s="14"/>
      <c r="Y24" s="15"/>
      <c r="Z24" s="15"/>
      <c r="AA24" s="15"/>
      <c r="AB24" s="15"/>
      <c r="AC24" s="16"/>
      <c r="AE24" s="35" t="s">
        <v>3</v>
      </c>
      <c r="AF24" s="14"/>
      <c r="AG24" s="15"/>
      <c r="AH24" s="15"/>
      <c r="AI24" s="15"/>
      <c r="AJ24" s="15"/>
      <c r="AK24" s="16"/>
    </row>
    <row r="25" spans="1:37" ht="15.75" thickBot="1" x14ac:dyDescent="0.3">
      <c r="A25" s="168"/>
      <c r="B25" s="17"/>
      <c r="C25" s="18"/>
      <c r="D25" s="18"/>
      <c r="E25" s="18"/>
      <c r="F25" s="18">
        <f>SUM(C25-B25)</f>
        <v>0</v>
      </c>
      <c r="G25" s="18">
        <f>SUM(E25-D25)</f>
        <v>0</v>
      </c>
      <c r="H25" s="33">
        <f>SUM(F25:G25)</f>
        <v>0</v>
      </c>
      <c r="J25" s="36" t="s">
        <v>21</v>
      </c>
      <c r="K25" s="25"/>
      <c r="L25" s="26"/>
      <c r="M25" s="26"/>
      <c r="N25" s="26"/>
      <c r="O25" s="26"/>
      <c r="P25" s="26"/>
      <c r="Q25" s="26"/>
      <c r="R25" s="26"/>
      <c r="S25" s="26"/>
      <c r="T25" s="26"/>
      <c r="U25" s="27"/>
      <c r="W25" s="36" t="s">
        <v>21</v>
      </c>
      <c r="X25" s="19"/>
      <c r="Y25" s="20"/>
      <c r="Z25" s="20"/>
      <c r="AA25" s="20"/>
      <c r="AB25" s="20"/>
      <c r="AC25" s="21"/>
      <c r="AE25" s="36" t="s">
        <v>21</v>
      </c>
      <c r="AF25" s="19"/>
      <c r="AG25" s="20"/>
      <c r="AH25" s="20"/>
      <c r="AI25" s="20"/>
      <c r="AJ25" s="20"/>
      <c r="AK25" s="21"/>
    </row>
    <row r="26" spans="1:37" x14ac:dyDescent="0.25">
      <c r="F26" s="2"/>
      <c r="G26" s="2"/>
      <c r="H26" s="2"/>
      <c r="J26" s="37"/>
      <c r="T26" s="22" t="s">
        <v>22</v>
      </c>
      <c r="U26" s="23">
        <f>SUM(K25:U25)</f>
        <v>0</v>
      </c>
      <c r="AB26" s="22" t="s">
        <v>22</v>
      </c>
      <c r="AC26" s="23">
        <f>SUM(X25:AC25)</f>
        <v>0</v>
      </c>
      <c r="AJ26" s="22" t="s">
        <v>22</v>
      </c>
      <c r="AK26" s="23">
        <f>SUM(AF25:AK25)</f>
        <v>0</v>
      </c>
    </row>
    <row r="27" spans="1:37" ht="15.75" thickBot="1" x14ac:dyDescent="0.3">
      <c r="A27" s="34"/>
      <c r="B27" s="171" t="s">
        <v>14</v>
      </c>
      <c r="C27" s="171"/>
      <c r="D27" s="171"/>
      <c r="E27" s="171"/>
      <c r="F27" s="171"/>
      <c r="G27" s="171"/>
      <c r="H27" s="171"/>
      <c r="J27" s="172" t="s">
        <v>14</v>
      </c>
      <c r="K27" s="172"/>
      <c r="L27" s="172"/>
      <c r="M27" s="172"/>
      <c r="N27" s="172"/>
      <c r="O27" s="172"/>
      <c r="P27" s="172"/>
      <c r="Q27" s="172"/>
      <c r="R27" s="172"/>
      <c r="S27" s="172"/>
      <c r="T27" s="172"/>
      <c r="U27" s="172"/>
      <c r="W27" s="173" t="str">
        <f>J27</f>
        <v>Maio</v>
      </c>
      <c r="X27" s="173"/>
      <c r="Y27" s="173"/>
      <c r="Z27" s="173"/>
      <c r="AA27" s="173"/>
      <c r="AB27" s="173"/>
      <c r="AC27" s="173"/>
      <c r="AE27" s="174" t="str">
        <f>W27</f>
        <v>Maio</v>
      </c>
      <c r="AF27" s="174"/>
      <c r="AG27" s="174"/>
      <c r="AH27" s="174"/>
      <c r="AI27" s="174"/>
      <c r="AJ27" s="174"/>
      <c r="AK27" s="174"/>
    </row>
    <row r="28" spans="1:37" ht="15.75" thickBot="1" x14ac:dyDescent="0.3">
      <c r="A28" s="168" t="s">
        <v>4</v>
      </c>
      <c r="B28" s="10" t="s">
        <v>5</v>
      </c>
      <c r="C28" s="11" t="s">
        <v>6</v>
      </c>
      <c r="D28" s="12" t="s">
        <v>7</v>
      </c>
      <c r="E28" s="11" t="s">
        <v>8</v>
      </c>
      <c r="F28" s="12" t="s">
        <v>9</v>
      </c>
      <c r="G28" s="11" t="s">
        <v>10</v>
      </c>
      <c r="H28" s="32" t="s">
        <v>11</v>
      </c>
      <c r="J28" s="35" t="s">
        <v>3</v>
      </c>
      <c r="K28" s="14"/>
      <c r="L28" s="15"/>
      <c r="M28" s="15"/>
      <c r="N28" s="15"/>
      <c r="O28" s="15"/>
      <c r="P28" s="15"/>
      <c r="Q28" s="15"/>
      <c r="R28" s="15"/>
      <c r="S28" s="15"/>
      <c r="T28" s="15"/>
      <c r="U28" s="16"/>
      <c r="W28" s="35" t="s">
        <v>3</v>
      </c>
      <c r="X28" s="14"/>
      <c r="Y28" s="15"/>
      <c r="Z28" s="15"/>
      <c r="AA28" s="15"/>
      <c r="AB28" s="15"/>
      <c r="AC28" s="16"/>
      <c r="AE28" s="35" t="s">
        <v>3</v>
      </c>
      <c r="AF28" s="14"/>
      <c r="AG28" s="15"/>
      <c r="AH28" s="15"/>
      <c r="AI28" s="15"/>
      <c r="AJ28" s="15"/>
      <c r="AK28" s="16"/>
    </row>
    <row r="29" spans="1:37" ht="15.75" thickBot="1" x14ac:dyDescent="0.3">
      <c r="A29" s="168"/>
      <c r="B29" s="17"/>
      <c r="C29" s="18"/>
      <c r="D29" s="18"/>
      <c r="E29" s="18"/>
      <c r="F29" s="18">
        <f>SUM(C29-B29)</f>
        <v>0</v>
      </c>
      <c r="G29" s="18">
        <f>SUM(E29-D29)</f>
        <v>0</v>
      </c>
      <c r="H29" s="33">
        <f>SUM(F29:G29)</f>
        <v>0</v>
      </c>
      <c r="J29" s="36" t="s">
        <v>21</v>
      </c>
      <c r="K29" s="19"/>
      <c r="L29" s="20"/>
      <c r="M29" s="20"/>
      <c r="N29" s="20"/>
      <c r="O29" s="20"/>
      <c r="P29" s="20"/>
      <c r="Q29" s="20"/>
      <c r="R29" s="20"/>
      <c r="S29" s="20"/>
      <c r="T29" s="20"/>
      <c r="U29" s="21"/>
      <c r="W29" s="36" t="s">
        <v>21</v>
      </c>
      <c r="X29" s="19"/>
      <c r="Y29" s="20"/>
      <c r="Z29" s="20"/>
      <c r="AA29" s="20"/>
      <c r="AB29" s="20"/>
      <c r="AC29" s="21"/>
      <c r="AE29" s="36" t="s">
        <v>21</v>
      </c>
      <c r="AF29" s="19"/>
      <c r="AG29" s="20"/>
      <c r="AH29" s="20"/>
      <c r="AI29" s="20"/>
      <c r="AJ29" s="20"/>
      <c r="AK29" s="21"/>
    </row>
    <row r="30" spans="1:37" x14ac:dyDescent="0.25">
      <c r="F30" s="2"/>
      <c r="G30" s="2"/>
      <c r="H30" s="2"/>
      <c r="J30" s="37"/>
      <c r="T30" s="22" t="s">
        <v>22</v>
      </c>
      <c r="U30" s="23">
        <f>SUM(K29:U29)</f>
        <v>0</v>
      </c>
      <c r="AB30" s="22" t="s">
        <v>22</v>
      </c>
      <c r="AC30" s="23">
        <f>SUM(X29:AC29)</f>
        <v>0</v>
      </c>
      <c r="AJ30" s="22" t="s">
        <v>22</v>
      </c>
      <c r="AK30" s="23">
        <f>SUM(AF29:AK29)</f>
        <v>0</v>
      </c>
    </row>
    <row r="31" spans="1:37" ht="15.75" thickBot="1" x14ac:dyDescent="0.3">
      <c r="A31" s="34"/>
      <c r="B31" s="171" t="s">
        <v>23</v>
      </c>
      <c r="C31" s="171"/>
      <c r="D31" s="171"/>
      <c r="E31" s="171"/>
      <c r="F31" s="171"/>
      <c r="G31" s="171"/>
      <c r="H31" s="171"/>
      <c r="J31" s="172" t="s">
        <v>23</v>
      </c>
      <c r="K31" s="172"/>
      <c r="L31" s="172"/>
      <c r="M31" s="172"/>
      <c r="N31" s="172"/>
      <c r="O31" s="172"/>
      <c r="P31" s="172"/>
      <c r="Q31" s="172"/>
      <c r="R31" s="172"/>
      <c r="S31" s="172"/>
      <c r="T31" s="172"/>
      <c r="U31" s="172"/>
      <c r="W31" s="173" t="str">
        <f>J31</f>
        <v>Junho</v>
      </c>
      <c r="X31" s="173"/>
      <c r="Y31" s="173"/>
      <c r="Z31" s="173"/>
      <c r="AA31" s="173"/>
      <c r="AB31" s="173"/>
      <c r="AC31" s="173"/>
      <c r="AE31" s="174" t="str">
        <f>W31</f>
        <v>Junho</v>
      </c>
      <c r="AF31" s="174"/>
      <c r="AG31" s="174"/>
      <c r="AH31" s="174"/>
      <c r="AI31" s="174"/>
      <c r="AJ31" s="174"/>
      <c r="AK31" s="174"/>
    </row>
    <row r="32" spans="1:37" ht="15.75" thickBot="1" x14ac:dyDescent="0.3">
      <c r="A32" s="168" t="s">
        <v>4</v>
      </c>
      <c r="B32" s="10" t="s">
        <v>5</v>
      </c>
      <c r="C32" s="11" t="s">
        <v>6</v>
      </c>
      <c r="D32" s="12" t="s">
        <v>7</v>
      </c>
      <c r="E32" s="11" t="s">
        <v>8</v>
      </c>
      <c r="F32" s="12" t="s">
        <v>9</v>
      </c>
      <c r="G32" s="11" t="s">
        <v>10</v>
      </c>
      <c r="H32" s="32" t="s">
        <v>11</v>
      </c>
      <c r="J32" s="35" t="s">
        <v>3</v>
      </c>
      <c r="K32" s="14"/>
      <c r="L32" s="15"/>
      <c r="M32" s="15"/>
      <c r="N32" s="15"/>
      <c r="O32" s="15"/>
      <c r="P32" s="15"/>
      <c r="Q32" s="15"/>
      <c r="R32" s="15"/>
      <c r="S32" s="15"/>
      <c r="T32" s="15"/>
      <c r="U32" s="16"/>
      <c r="W32" s="35" t="s">
        <v>3</v>
      </c>
      <c r="X32" s="14"/>
      <c r="Y32" s="15"/>
      <c r="Z32" s="15"/>
      <c r="AA32" s="15"/>
      <c r="AB32" s="15"/>
      <c r="AC32" s="16"/>
      <c r="AE32" s="35" t="s">
        <v>3</v>
      </c>
      <c r="AF32" s="14"/>
      <c r="AG32" s="15"/>
      <c r="AH32" s="15"/>
      <c r="AI32" s="15"/>
      <c r="AJ32" s="15"/>
      <c r="AK32" s="16"/>
    </row>
    <row r="33" spans="1:37" ht="15.75" thickBot="1" x14ac:dyDescent="0.3">
      <c r="A33" s="168"/>
      <c r="B33" s="17"/>
      <c r="C33" s="18"/>
      <c r="D33" s="18"/>
      <c r="E33" s="18"/>
      <c r="F33" s="18">
        <f>SUM(C33-B33)</f>
        <v>0</v>
      </c>
      <c r="G33" s="18">
        <f>SUM(E33-D33)</f>
        <v>0</v>
      </c>
      <c r="H33" s="33">
        <f>SUM(F33:G33)</f>
        <v>0</v>
      </c>
      <c r="J33" s="36" t="s">
        <v>21</v>
      </c>
      <c r="K33" s="19"/>
      <c r="L33" s="20"/>
      <c r="M33" s="20"/>
      <c r="N33" s="20"/>
      <c r="O33" s="20"/>
      <c r="P33" s="20"/>
      <c r="Q33" s="20"/>
      <c r="R33" s="20"/>
      <c r="S33" s="20"/>
      <c r="T33" s="20"/>
      <c r="U33" s="21"/>
      <c r="W33" s="36" t="s">
        <v>21</v>
      </c>
      <c r="X33" s="19"/>
      <c r="Y33" s="20"/>
      <c r="Z33" s="20"/>
      <c r="AA33" s="20"/>
      <c r="AB33" s="20"/>
      <c r="AC33" s="21"/>
      <c r="AE33" s="36" t="s">
        <v>21</v>
      </c>
      <c r="AF33" s="19"/>
      <c r="AG33" s="20"/>
      <c r="AH33" s="20"/>
      <c r="AI33" s="20"/>
      <c r="AJ33" s="20"/>
      <c r="AK33" s="21"/>
    </row>
    <row r="34" spans="1:37" x14ac:dyDescent="0.25">
      <c r="F34" s="2"/>
      <c r="G34" s="2"/>
      <c r="H34" s="2"/>
      <c r="J34" s="37"/>
      <c r="T34" s="22" t="s">
        <v>22</v>
      </c>
      <c r="U34" s="23">
        <f>SUM(K33:U33)</f>
        <v>0</v>
      </c>
      <c r="AB34" s="22" t="s">
        <v>22</v>
      </c>
      <c r="AC34" s="23">
        <f>SUM(X33:AC33)</f>
        <v>0</v>
      </c>
      <c r="AJ34" s="22" t="s">
        <v>22</v>
      </c>
      <c r="AK34" s="23">
        <f>SUM(AF33:AK33)</f>
        <v>0</v>
      </c>
    </row>
    <row r="35" spans="1:37" ht="15.75" thickBot="1" x14ac:dyDescent="0.3">
      <c r="A35" s="34"/>
      <c r="B35" s="171" t="s">
        <v>15</v>
      </c>
      <c r="C35" s="171"/>
      <c r="D35" s="171"/>
      <c r="E35" s="171"/>
      <c r="F35" s="171"/>
      <c r="G35" s="171"/>
      <c r="H35" s="171"/>
      <c r="J35" s="172" t="s">
        <v>15</v>
      </c>
      <c r="K35" s="172"/>
      <c r="L35" s="172"/>
      <c r="M35" s="172"/>
      <c r="N35" s="172"/>
      <c r="O35" s="172"/>
      <c r="P35" s="172"/>
      <c r="Q35" s="172"/>
      <c r="R35" s="172"/>
      <c r="S35" s="172"/>
      <c r="T35" s="172"/>
      <c r="U35" s="172"/>
      <c r="W35" s="173" t="str">
        <f>J35</f>
        <v>Julho</v>
      </c>
      <c r="X35" s="173"/>
      <c r="Y35" s="173"/>
      <c r="Z35" s="173"/>
      <c r="AA35" s="173"/>
      <c r="AB35" s="173"/>
      <c r="AC35" s="173"/>
      <c r="AE35" s="174" t="str">
        <f>W35</f>
        <v>Julho</v>
      </c>
      <c r="AF35" s="174"/>
      <c r="AG35" s="174"/>
      <c r="AH35" s="174"/>
      <c r="AI35" s="174"/>
      <c r="AJ35" s="174"/>
      <c r="AK35" s="174"/>
    </row>
    <row r="36" spans="1:37" ht="15.75" thickBot="1" x14ac:dyDescent="0.3">
      <c r="A36" s="168" t="s">
        <v>4</v>
      </c>
      <c r="B36" s="10" t="s">
        <v>5</v>
      </c>
      <c r="C36" s="11" t="s">
        <v>6</v>
      </c>
      <c r="D36" s="12" t="s">
        <v>7</v>
      </c>
      <c r="E36" s="11" t="s">
        <v>8</v>
      </c>
      <c r="F36" s="12" t="s">
        <v>9</v>
      </c>
      <c r="G36" s="11" t="s">
        <v>10</v>
      </c>
      <c r="H36" s="32" t="s">
        <v>11</v>
      </c>
      <c r="J36" s="35" t="s">
        <v>3</v>
      </c>
      <c r="K36" s="14"/>
      <c r="L36" s="15"/>
      <c r="M36" s="15"/>
      <c r="N36" s="15"/>
      <c r="O36" s="15"/>
      <c r="P36" s="15"/>
      <c r="Q36" s="15"/>
      <c r="R36" s="15"/>
      <c r="S36" s="15"/>
      <c r="T36" s="15"/>
      <c r="U36" s="16"/>
      <c r="W36" s="35" t="s">
        <v>3</v>
      </c>
      <c r="X36" s="14"/>
      <c r="Y36" s="15"/>
      <c r="Z36" s="15"/>
      <c r="AA36" s="15"/>
      <c r="AB36" s="15"/>
      <c r="AC36" s="16"/>
      <c r="AE36" s="35" t="s">
        <v>3</v>
      </c>
      <c r="AF36" s="14"/>
      <c r="AG36" s="15"/>
      <c r="AH36" s="15"/>
      <c r="AI36" s="15"/>
      <c r="AJ36" s="15"/>
      <c r="AK36" s="16"/>
    </row>
    <row r="37" spans="1:37" ht="15.75" thickBot="1" x14ac:dyDescent="0.3">
      <c r="A37" s="168"/>
      <c r="B37" s="17"/>
      <c r="C37" s="18"/>
      <c r="D37" s="18"/>
      <c r="E37" s="18"/>
      <c r="F37" s="18">
        <f>SUM(C37-B37)</f>
        <v>0</v>
      </c>
      <c r="G37" s="18">
        <f>SUM(E37-D37)</f>
        <v>0</v>
      </c>
      <c r="H37" s="33">
        <f>SUM(F37:G37)</f>
        <v>0</v>
      </c>
      <c r="J37" s="36" t="s">
        <v>21</v>
      </c>
      <c r="K37" s="19"/>
      <c r="L37" s="20"/>
      <c r="M37" s="20"/>
      <c r="N37" s="20"/>
      <c r="O37" s="20"/>
      <c r="P37" s="20"/>
      <c r="Q37" s="20"/>
      <c r="R37" s="20"/>
      <c r="S37" s="20"/>
      <c r="T37" s="20"/>
      <c r="U37" s="21"/>
      <c r="W37" s="36" t="s">
        <v>21</v>
      </c>
      <c r="X37" s="19"/>
      <c r="Y37" s="20"/>
      <c r="Z37" s="20"/>
      <c r="AA37" s="20"/>
      <c r="AB37" s="20"/>
      <c r="AC37" s="21"/>
      <c r="AE37" s="36" t="s">
        <v>21</v>
      </c>
      <c r="AF37" s="19"/>
      <c r="AG37" s="20"/>
      <c r="AH37" s="20"/>
      <c r="AI37" s="20"/>
      <c r="AJ37" s="20"/>
      <c r="AK37" s="21"/>
    </row>
    <row r="38" spans="1:37" x14ac:dyDescent="0.25">
      <c r="F38" s="2"/>
      <c r="G38" s="2"/>
      <c r="H38" s="2"/>
      <c r="J38" s="37"/>
      <c r="T38" s="22" t="s">
        <v>22</v>
      </c>
      <c r="U38" s="23">
        <f>SUM(K37:U37)</f>
        <v>0</v>
      </c>
      <c r="AB38" s="22" t="s">
        <v>22</v>
      </c>
      <c r="AC38" s="23">
        <f>SUM(X37:AC37)</f>
        <v>0</v>
      </c>
      <c r="AJ38" s="22" t="s">
        <v>22</v>
      </c>
      <c r="AK38" s="23">
        <f>SUM(AF37:AK37)</f>
        <v>0</v>
      </c>
    </row>
    <row r="39" spans="1:37" ht="15.75" thickBot="1" x14ac:dyDescent="0.3">
      <c r="A39" s="34"/>
      <c r="B39" s="171" t="s">
        <v>16</v>
      </c>
      <c r="C39" s="171"/>
      <c r="D39" s="171"/>
      <c r="E39" s="171"/>
      <c r="F39" s="171"/>
      <c r="G39" s="171"/>
      <c r="H39" s="171"/>
      <c r="J39" s="172" t="s">
        <v>16</v>
      </c>
      <c r="K39" s="172"/>
      <c r="L39" s="172"/>
      <c r="M39" s="172"/>
      <c r="N39" s="172"/>
      <c r="O39" s="172"/>
      <c r="P39" s="172"/>
      <c r="Q39" s="172"/>
      <c r="R39" s="172"/>
      <c r="S39" s="172"/>
      <c r="T39" s="172"/>
      <c r="U39" s="172"/>
      <c r="W39" s="173" t="str">
        <f>J39</f>
        <v>Agosto</v>
      </c>
      <c r="X39" s="173"/>
      <c r="Y39" s="173"/>
      <c r="Z39" s="173"/>
      <c r="AA39" s="173"/>
      <c r="AB39" s="173"/>
      <c r="AC39" s="173"/>
      <c r="AE39" s="174" t="str">
        <f>W39</f>
        <v>Agosto</v>
      </c>
      <c r="AF39" s="174"/>
      <c r="AG39" s="174"/>
      <c r="AH39" s="174"/>
      <c r="AI39" s="174"/>
      <c r="AJ39" s="174"/>
      <c r="AK39" s="174"/>
    </row>
    <row r="40" spans="1:37" ht="15.75" thickBot="1" x14ac:dyDescent="0.3">
      <c r="A40" s="168" t="s">
        <v>4</v>
      </c>
      <c r="B40" s="10" t="s">
        <v>5</v>
      </c>
      <c r="C40" s="11" t="s">
        <v>6</v>
      </c>
      <c r="D40" s="12" t="s">
        <v>7</v>
      </c>
      <c r="E40" s="11" t="s">
        <v>8</v>
      </c>
      <c r="F40" s="12" t="s">
        <v>9</v>
      </c>
      <c r="G40" s="11" t="s">
        <v>10</v>
      </c>
      <c r="H40" s="32" t="s">
        <v>11</v>
      </c>
      <c r="J40" s="35" t="s">
        <v>3</v>
      </c>
      <c r="K40" s="14">
        <v>45516</v>
      </c>
      <c r="L40" s="24">
        <v>45525</v>
      </c>
      <c r="M40" s="24">
        <v>45528</v>
      </c>
      <c r="N40" s="24">
        <v>45532</v>
      </c>
      <c r="O40" s="24">
        <v>45534</v>
      </c>
      <c r="P40" s="15"/>
      <c r="Q40" s="15"/>
      <c r="R40" s="15"/>
      <c r="S40" s="15"/>
      <c r="T40" s="15"/>
      <c r="U40" s="16"/>
      <c r="W40" s="35" t="s">
        <v>3</v>
      </c>
      <c r="X40" s="14"/>
      <c r="Y40" s="15"/>
      <c r="Z40" s="15"/>
      <c r="AA40" s="15"/>
      <c r="AB40" s="15"/>
      <c r="AC40" s="16"/>
      <c r="AE40" s="35" t="s">
        <v>3</v>
      </c>
      <c r="AF40" s="14"/>
      <c r="AG40" s="15"/>
      <c r="AH40" s="15"/>
      <c r="AI40" s="15"/>
      <c r="AJ40" s="15"/>
      <c r="AK40" s="16"/>
    </row>
    <row r="41" spans="1:37" ht="15.75" thickBot="1" x14ac:dyDescent="0.3">
      <c r="A41" s="168"/>
      <c r="B41" s="17">
        <v>33032</v>
      </c>
      <c r="C41" s="18"/>
      <c r="D41" s="18"/>
      <c r="E41" s="18">
        <v>34918</v>
      </c>
      <c r="F41" s="18">
        <f>SUM(C41-B41)</f>
        <v>-33032</v>
      </c>
      <c r="G41" s="18">
        <f>SUM(E41-D41)</f>
        <v>34918</v>
      </c>
      <c r="H41" s="33">
        <f>SUM(F41:G41)</f>
        <v>1886</v>
      </c>
      <c r="J41" s="36" t="s">
        <v>21</v>
      </c>
      <c r="K41" s="19">
        <v>283.64999999999998</v>
      </c>
      <c r="L41" s="20">
        <v>289.61</v>
      </c>
      <c r="M41" s="20">
        <v>209.98</v>
      </c>
      <c r="N41" s="20">
        <v>321.20999999999998</v>
      </c>
      <c r="O41" s="20">
        <v>343.7</v>
      </c>
      <c r="P41" s="20"/>
      <c r="Q41" s="20"/>
      <c r="R41" s="20"/>
      <c r="S41" s="20"/>
      <c r="T41" s="20"/>
      <c r="U41" s="21"/>
      <c r="W41" s="36" t="s">
        <v>21</v>
      </c>
      <c r="X41" s="19"/>
      <c r="Y41" s="20"/>
      <c r="Z41" s="20"/>
      <c r="AA41" s="20"/>
      <c r="AB41" s="20"/>
      <c r="AC41" s="21"/>
      <c r="AE41" s="36" t="s">
        <v>21</v>
      </c>
      <c r="AF41" s="19"/>
      <c r="AG41" s="20"/>
      <c r="AH41" s="20"/>
      <c r="AI41" s="20"/>
      <c r="AJ41" s="20"/>
      <c r="AK41" s="21"/>
    </row>
    <row r="42" spans="1:37" x14ac:dyDescent="0.25">
      <c r="F42" s="2"/>
      <c r="G42" s="2"/>
      <c r="H42" s="2"/>
      <c r="J42" s="37"/>
      <c r="T42" s="22" t="s">
        <v>22</v>
      </c>
      <c r="U42" s="23">
        <f>SUM(K41:U41)</f>
        <v>1448.15</v>
      </c>
      <c r="AB42" s="22" t="s">
        <v>22</v>
      </c>
      <c r="AC42" s="23">
        <f>SUM(X41:AC41)</f>
        <v>0</v>
      </c>
      <c r="AJ42" s="22" t="s">
        <v>22</v>
      </c>
      <c r="AK42" s="23">
        <f>SUM(AF41:AK41)</f>
        <v>0</v>
      </c>
    </row>
    <row r="43" spans="1:37" ht="15.75" thickBot="1" x14ac:dyDescent="0.3">
      <c r="A43" s="34"/>
      <c r="B43" s="171" t="s">
        <v>17</v>
      </c>
      <c r="C43" s="171"/>
      <c r="D43" s="171"/>
      <c r="E43" s="171"/>
      <c r="F43" s="171"/>
      <c r="G43" s="171"/>
      <c r="H43" s="171"/>
      <c r="J43" s="172" t="s">
        <v>17</v>
      </c>
      <c r="K43" s="172"/>
      <c r="L43" s="172"/>
      <c r="M43" s="172"/>
      <c r="N43" s="172"/>
      <c r="O43" s="172"/>
      <c r="P43" s="172"/>
      <c r="Q43" s="172"/>
      <c r="R43" s="172"/>
      <c r="S43" s="172"/>
      <c r="T43" s="172"/>
      <c r="U43" s="172"/>
      <c r="W43" s="173" t="str">
        <f>J43</f>
        <v>Setembro</v>
      </c>
      <c r="X43" s="173"/>
      <c r="Y43" s="173"/>
      <c r="Z43" s="173"/>
      <c r="AA43" s="173"/>
      <c r="AB43" s="173"/>
      <c r="AC43" s="173"/>
      <c r="AE43" s="174" t="str">
        <f>W43</f>
        <v>Setembro</v>
      </c>
      <c r="AF43" s="174"/>
      <c r="AG43" s="174"/>
      <c r="AH43" s="174"/>
      <c r="AI43" s="174"/>
      <c r="AJ43" s="174"/>
      <c r="AK43" s="174"/>
    </row>
    <row r="44" spans="1:37" ht="15.75" thickBot="1" x14ac:dyDescent="0.3">
      <c r="A44" s="168" t="s">
        <v>4</v>
      </c>
      <c r="B44" s="10" t="s">
        <v>5</v>
      </c>
      <c r="C44" s="11" t="s">
        <v>6</v>
      </c>
      <c r="D44" s="12" t="s">
        <v>7</v>
      </c>
      <c r="E44" s="11" t="s">
        <v>8</v>
      </c>
      <c r="F44" s="12" t="s">
        <v>9</v>
      </c>
      <c r="G44" s="11" t="s">
        <v>10</v>
      </c>
      <c r="H44" s="32" t="s">
        <v>11</v>
      </c>
      <c r="J44" s="35" t="s">
        <v>3</v>
      </c>
      <c r="K44" s="14">
        <v>45538</v>
      </c>
      <c r="L44" s="24">
        <v>45541</v>
      </c>
      <c r="M44" s="24">
        <v>45545</v>
      </c>
      <c r="N44" s="24">
        <v>45547</v>
      </c>
      <c r="O44" s="24">
        <v>45554</v>
      </c>
      <c r="P44" s="24">
        <v>45559</v>
      </c>
      <c r="Q44" s="24">
        <v>45561</v>
      </c>
      <c r="R44" s="24">
        <v>45563</v>
      </c>
      <c r="S44" s="24">
        <v>45565</v>
      </c>
      <c r="T44" s="15"/>
      <c r="U44" s="16"/>
      <c r="W44" s="35" t="s">
        <v>3</v>
      </c>
      <c r="X44" s="14"/>
      <c r="Y44" s="15"/>
      <c r="Z44" s="15"/>
      <c r="AA44" s="15"/>
      <c r="AB44" s="15"/>
      <c r="AC44" s="16"/>
      <c r="AE44" s="35" t="s">
        <v>3</v>
      </c>
      <c r="AF44" s="14"/>
      <c r="AG44" s="15"/>
      <c r="AH44" s="15"/>
      <c r="AI44" s="15"/>
      <c r="AJ44" s="15"/>
      <c r="AK44" s="16"/>
    </row>
    <row r="45" spans="1:37" ht="15.75" thickBot="1" x14ac:dyDescent="0.3">
      <c r="A45" s="168"/>
      <c r="B45" s="17">
        <v>34918</v>
      </c>
      <c r="C45" s="18"/>
      <c r="D45" s="18"/>
      <c r="E45" s="18">
        <v>37408</v>
      </c>
      <c r="F45" s="18">
        <f>SUM(C45-B45)</f>
        <v>-34918</v>
      </c>
      <c r="G45" s="18">
        <f>SUM(E45-D45)</f>
        <v>37408</v>
      </c>
      <c r="H45" s="33">
        <f>SUM(F45:G45)</f>
        <v>2490</v>
      </c>
      <c r="J45" s="36" t="s">
        <v>21</v>
      </c>
      <c r="K45" s="19">
        <v>230.26</v>
      </c>
      <c r="L45" s="20">
        <v>215.15</v>
      </c>
      <c r="M45" s="20">
        <v>236.35</v>
      </c>
      <c r="N45" s="20">
        <v>171.24</v>
      </c>
      <c r="O45" s="20">
        <v>277.27999999999997</v>
      </c>
      <c r="P45" s="20">
        <v>232.73</v>
      </c>
      <c r="Q45" s="20">
        <v>183.5</v>
      </c>
      <c r="R45" s="20">
        <v>238.93</v>
      </c>
      <c r="S45" s="20">
        <v>108.19</v>
      </c>
      <c r="T45" s="20"/>
      <c r="U45" s="21"/>
      <c r="W45" s="36" t="s">
        <v>21</v>
      </c>
      <c r="X45" s="19"/>
      <c r="Y45" s="20"/>
      <c r="Z45" s="20"/>
      <c r="AA45" s="20"/>
      <c r="AB45" s="20"/>
      <c r="AC45" s="21"/>
      <c r="AE45" s="36" t="s">
        <v>21</v>
      </c>
      <c r="AF45" s="19"/>
      <c r="AG45" s="20"/>
      <c r="AH45" s="20"/>
      <c r="AI45" s="20"/>
      <c r="AJ45" s="20"/>
      <c r="AK45" s="21"/>
    </row>
    <row r="46" spans="1:37" x14ac:dyDescent="0.25">
      <c r="F46" s="2"/>
      <c r="G46" s="2"/>
      <c r="H46" s="2"/>
      <c r="J46" s="37"/>
      <c r="T46" s="22" t="s">
        <v>22</v>
      </c>
      <c r="U46" s="23">
        <f>SUM(K45:U45)</f>
        <v>1893.63</v>
      </c>
      <c r="AB46" s="22" t="s">
        <v>22</v>
      </c>
      <c r="AC46" s="23">
        <f>SUM(X45:AC45)</f>
        <v>0</v>
      </c>
      <c r="AJ46" s="22" t="s">
        <v>22</v>
      </c>
      <c r="AK46" s="23">
        <f>SUM(AF45:AK45)</f>
        <v>0</v>
      </c>
    </row>
    <row r="47" spans="1:37" ht="15.75" thickBot="1" x14ac:dyDescent="0.3">
      <c r="A47" s="34"/>
      <c r="B47" s="171" t="s">
        <v>18</v>
      </c>
      <c r="C47" s="171"/>
      <c r="D47" s="171"/>
      <c r="E47" s="171"/>
      <c r="F47" s="171"/>
      <c r="G47" s="171"/>
      <c r="H47" s="171"/>
      <c r="J47" s="172" t="s">
        <v>18</v>
      </c>
      <c r="K47" s="172"/>
      <c r="L47" s="172"/>
      <c r="M47" s="172"/>
      <c r="N47" s="172"/>
      <c r="O47" s="172"/>
      <c r="P47" s="172"/>
      <c r="Q47" s="172"/>
      <c r="R47" s="172"/>
      <c r="S47" s="172"/>
      <c r="T47" s="172"/>
      <c r="U47" s="172"/>
      <c r="W47" s="173" t="str">
        <f>J47</f>
        <v>Outubro</v>
      </c>
      <c r="X47" s="173"/>
      <c r="Y47" s="173"/>
      <c r="Z47" s="173"/>
      <c r="AA47" s="173"/>
      <c r="AB47" s="173"/>
      <c r="AC47" s="173"/>
      <c r="AE47" s="174" t="str">
        <f>W47</f>
        <v>Outubro</v>
      </c>
      <c r="AF47" s="174"/>
      <c r="AG47" s="174"/>
      <c r="AH47" s="174"/>
      <c r="AI47" s="174"/>
      <c r="AJ47" s="174"/>
      <c r="AK47" s="174"/>
    </row>
    <row r="48" spans="1:37" ht="15.75" thickBot="1" x14ac:dyDescent="0.3">
      <c r="A48" s="168" t="s">
        <v>4</v>
      </c>
      <c r="B48" s="10" t="s">
        <v>5</v>
      </c>
      <c r="C48" s="11" t="s">
        <v>6</v>
      </c>
      <c r="D48" s="12" t="s">
        <v>7</v>
      </c>
      <c r="E48" s="11" t="s">
        <v>8</v>
      </c>
      <c r="F48" s="12" t="s">
        <v>9</v>
      </c>
      <c r="G48" s="11" t="s">
        <v>10</v>
      </c>
      <c r="H48" s="32" t="s">
        <v>11</v>
      </c>
      <c r="J48" s="35" t="s">
        <v>3</v>
      </c>
      <c r="K48" s="14">
        <v>45568</v>
      </c>
      <c r="L48" s="24">
        <v>45573</v>
      </c>
      <c r="M48" s="24">
        <v>45575</v>
      </c>
      <c r="N48" s="24">
        <v>45577</v>
      </c>
      <c r="O48" s="24">
        <v>45580</v>
      </c>
      <c r="P48" s="24">
        <v>45584</v>
      </c>
      <c r="Q48" s="24">
        <v>45589</v>
      </c>
      <c r="R48" s="24">
        <v>45590</v>
      </c>
      <c r="S48" s="24">
        <v>45596</v>
      </c>
      <c r="T48" s="24">
        <v>45594</v>
      </c>
      <c r="U48" s="80"/>
      <c r="W48" s="35" t="s">
        <v>3</v>
      </c>
      <c r="X48" s="14"/>
      <c r="Y48" s="15"/>
      <c r="Z48" s="15"/>
      <c r="AA48" s="15"/>
      <c r="AB48" s="15"/>
      <c r="AC48" s="16"/>
      <c r="AE48" s="35" t="s">
        <v>3</v>
      </c>
      <c r="AF48" s="14"/>
      <c r="AG48" s="15"/>
      <c r="AH48" s="15"/>
      <c r="AI48" s="15"/>
      <c r="AJ48" s="15"/>
      <c r="AK48" s="16"/>
    </row>
    <row r="49" spans="1:37" ht="15.75" thickBot="1" x14ac:dyDescent="0.3">
      <c r="A49" s="168"/>
      <c r="B49"/>
      <c r="C49" s="18"/>
      <c r="D49" s="18"/>
      <c r="E49" s="18">
        <v>46899</v>
      </c>
      <c r="F49" s="18">
        <f>SUM(C49-B49)</f>
        <v>0</v>
      </c>
      <c r="G49" s="18">
        <f>SUM(E49-D49)</f>
        <v>46899</v>
      </c>
      <c r="H49" s="33">
        <f>SUM(F49:G49)</f>
        <v>46899</v>
      </c>
      <c r="J49" s="36" t="s">
        <v>21</v>
      </c>
      <c r="K49" s="19">
        <v>213.71</v>
      </c>
      <c r="L49" s="20">
        <v>269.14999999999998</v>
      </c>
      <c r="M49" s="20">
        <v>272.83</v>
      </c>
      <c r="N49" s="20">
        <v>307.2</v>
      </c>
      <c r="O49" s="20">
        <v>162.37</v>
      </c>
      <c r="P49" s="20">
        <v>300.74</v>
      </c>
      <c r="Q49" s="20">
        <v>241.64</v>
      </c>
      <c r="R49" s="20">
        <v>94.57</v>
      </c>
      <c r="S49" s="20">
        <v>229.78</v>
      </c>
      <c r="T49" s="20">
        <v>247.9</v>
      </c>
      <c r="U49" s="21"/>
      <c r="W49" s="36" t="s">
        <v>21</v>
      </c>
      <c r="X49" s="19"/>
      <c r="Y49" s="20"/>
      <c r="Z49" s="20"/>
      <c r="AA49" s="20"/>
      <c r="AB49" s="20"/>
      <c r="AC49" s="21"/>
      <c r="AE49" s="36" t="s">
        <v>21</v>
      </c>
      <c r="AF49" s="19"/>
      <c r="AG49" s="20"/>
      <c r="AH49" s="20"/>
      <c r="AI49" s="20"/>
      <c r="AJ49" s="20"/>
      <c r="AK49" s="21"/>
    </row>
    <row r="50" spans="1:37" x14ac:dyDescent="0.25">
      <c r="F50" s="2"/>
      <c r="G50" s="2"/>
      <c r="H50" s="2"/>
      <c r="J50" s="37"/>
      <c r="T50" s="22" t="s">
        <v>22</v>
      </c>
      <c r="U50" s="23">
        <f>SUM(K49:U49)</f>
        <v>2339.8900000000003</v>
      </c>
      <c r="AB50" s="22" t="s">
        <v>22</v>
      </c>
      <c r="AC50" s="23">
        <f>SUM(X49:AC49)</f>
        <v>0</v>
      </c>
      <c r="AJ50" s="22" t="s">
        <v>22</v>
      </c>
      <c r="AK50" s="23">
        <f>SUM(AF49:AK49)</f>
        <v>0</v>
      </c>
    </row>
    <row r="51" spans="1:37" ht="15.75" thickBot="1" x14ac:dyDescent="0.3">
      <c r="A51" s="34"/>
      <c r="B51" s="171" t="s">
        <v>19</v>
      </c>
      <c r="C51" s="171"/>
      <c r="D51" s="171"/>
      <c r="E51" s="171"/>
      <c r="F51" s="171"/>
      <c r="G51" s="171"/>
      <c r="H51" s="171"/>
      <c r="J51" s="172" t="s">
        <v>19</v>
      </c>
      <c r="K51" s="172"/>
      <c r="L51" s="172"/>
      <c r="M51" s="172"/>
      <c r="N51" s="172"/>
      <c r="O51" s="172"/>
      <c r="P51" s="172"/>
      <c r="Q51" s="172"/>
      <c r="R51" s="172"/>
      <c r="S51" s="172"/>
      <c r="T51" s="172"/>
      <c r="U51" s="172"/>
      <c r="W51" s="173" t="str">
        <f>J51</f>
        <v>Novembro</v>
      </c>
      <c r="X51" s="173"/>
      <c r="Y51" s="173"/>
      <c r="Z51" s="173"/>
      <c r="AA51" s="173"/>
      <c r="AB51" s="173"/>
      <c r="AC51" s="173"/>
      <c r="AE51" s="174" t="str">
        <f>W51</f>
        <v>Novembro</v>
      </c>
      <c r="AF51" s="174"/>
      <c r="AG51" s="174"/>
      <c r="AH51" s="174"/>
      <c r="AI51" s="174"/>
      <c r="AJ51" s="174"/>
      <c r="AK51" s="174"/>
    </row>
    <row r="52" spans="1:37" ht="15.75" thickBot="1" x14ac:dyDescent="0.3">
      <c r="A52" s="168" t="s">
        <v>4</v>
      </c>
      <c r="B52" s="10" t="s">
        <v>5</v>
      </c>
      <c r="C52" s="11" t="s">
        <v>6</v>
      </c>
      <c r="D52" s="12" t="s">
        <v>7</v>
      </c>
      <c r="E52" s="11" t="s">
        <v>8</v>
      </c>
      <c r="F52" s="12" t="s">
        <v>9</v>
      </c>
      <c r="G52" s="11" t="s">
        <v>10</v>
      </c>
      <c r="H52" s="32" t="s">
        <v>11</v>
      </c>
      <c r="J52" s="35" t="s">
        <v>3</v>
      </c>
      <c r="K52" s="14">
        <v>45603</v>
      </c>
      <c r="L52" s="24">
        <v>45615</v>
      </c>
      <c r="M52" s="24">
        <v>45624</v>
      </c>
      <c r="N52" s="15"/>
      <c r="O52" s="15"/>
      <c r="P52" s="15"/>
      <c r="Q52" s="15"/>
      <c r="R52" s="15"/>
      <c r="S52" s="15"/>
      <c r="T52" s="15"/>
      <c r="U52" s="16"/>
      <c r="W52" s="35" t="s">
        <v>3</v>
      </c>
      <c r="X52" s="14"/>
      <c r="Y52" s="15"/>
      <c r="Z52" s="15"/>
      <c r="AA52" s="15"/>
      <c r="AB52" s="15"/>
      <c r="AC52" s="16"/>
      <c r="AE52" s="35" t="s">
        <v>3</v>
      </c>
      <c r="AF52" s="14"/>
      <c r="AG52" s="15"/>
      <c r="AH52" s="15"/>
      <c r="AI52" s="15"/>
      <c r="AJ52" s="15"/>
      <c r="AK52" s="16"/>
    </row>
    <row r="53" spans="1:37" ht="15.75" thickBot="1" x14ac:dyDescent="0.3">
      <c r="A53" s="168"/>
      <c r="B53" s="17"/>
      <c r="C53" s="18"/>
      <c r="D53" s="18">
        <v>48258</v>
      </c>
      <c r="E53" s="18">
        <v>49310</v>
      </c>
      <c r="F53" s="18">
        <f>SUM(C53-B53)</f>
        <v>0</v>
      </c>
      <c r="G53" s="18">
        <f>SUM(E53-D53)</f>
        <v>1052</v>
      </c>
      <c r="H53" s="33">
        <f>SUM(F53:G53)</f>
        <v>1052</v>
      </c>
      <c r="J53" s="36" t="s">
        <v>21</v>
      </c>
      <c r="K53" s="19">
        <v>280.05</v>
      </c>
      <c r="L53" s="20">
        <v>288</v>
      </c>
      <c r="M53" s="20">
        <v>197.09</v>
      </c>
      <c r="N53" s="20"/>
      <c r="O53" s="20"/>
      <c r="P53" s="20"/>
      <c r="Q53" s="20"/>
      <c r="R53" s="20"/>
      <c r="S53" s="20"/>
      <c r="T53" s="20"/>
      <c r="U53" s="21"/>
      <c r="W53" s="36" t="s">
        <v>21</v>
      </c>
      <c r="X53" s="19"/>
      <c r="Y53" s="20"/>
      <c r="Z53" s="20"/>
      <c r="AA53" s="20"/>
      <c r="AB53" s="20"/>
      <c r="AC53" s="21"/>
      <c r="AE53" s="36" t="s">
        <v>21</v>
      </c>
      <c r="AF53" s="19"/>
      <c r="AG53" s="20"/>
      <c r="AH53" s="20"/>
      <c r="AI53" s="20"/>
      <c r="AJ53" s="20"/>
      <c r="AK53" s="21"/>
    </row>
    <row r="54" spans="1:37" x14ac:dyDescent="0.25">
      <c r="B54" s="37"/>
      <c r="F54" s="2"/>
      <c r="G54" s="2"/>
      <c r="H54" s="2"/>
      <c r="J54" s="37"/>
      <c r="T54" s="22" t="s">
        <v>22</v>
      </c>
      <c r="U54" s="23">
        <f>SUM(K53:U53)</f>
        <v>765.14</v>
      </c>
      <c r="AB54" s="22" t="s">
        <v>22</v>
      </c>
      <c r="AC54" s="23">
        <f>SUM(X53:AC53)</f>
        <v>0</v>
      </c>
      <c r="AJ54" s="22" t="s">
        <v>22</v>
      </c>
      <c r="AK54" s="23">
        <f>SUM(AF53:AK53)</f>
        <v>0</v>
      </c>
    </row>
    <row r="55" spans="1:37" ht="15.75" thickBot="1" x14ac:dyDescent="0.3">
      <c r="A55" s="81" t="s">
        <v>68</v>
      </c>
      <c r="B55" s="171" t="s">
        <v>20</v>
      </c>
      <c r="C55" s="171"/>
      <c r="D55" s="171"/>
      <c r="E55" s="171"/>
      <c r="F55" s="171"/>
      <c r="G55" s="171"/>
      <c r="H55" s="171"/>
      <c r="J55" s="172" t="s">
        <v>20</v>
      </c>
      <c r="K55" s="172"/>
      <c r="L55" s="172"/>
      <c r="M55" s="172"/>
      <c r="N55" s="172"/>
      <c r="O55" s="172"/>
      <c r="P55" s="172"/>
      <c r="Q55" s="172"/>
      <c r="R55" s="172"/>
      <c r="S55" s="172"/>
      <c r="T55" s="172"/>
      <c r="U55" s="172"/>
      <c r="W55" s="173" t="str">
        <f>J55</f>
        <v>Dezembro</v>
      </c>
      <c r="X55" s="173"/>
      <c r="Y55" s="173"/>
      <c r="Z55" s="173"/>
      <c r="AA55" s="173"/>
      <c r="AB55" s="173"/>
      <c r="AC55" s="173"/>
      <c r="AE55" s="174" t="str">
        <f>W55</f>
        <v>Dezembro</v>
      </c>
      <c r="AF55" s="174"/>
      <c r="AG55" s="174"/>
      <c r="AH55" s="174"/>
      <c r="AI55" s="174"/>
      <c r="AJ55" s="174"/>
      <c r="AK55" s="174"/>
    </row>
    <row r="56" spans="1:37" ht="15.75" thickBot="1" x14ac:dyDescent="0.3">
      <c r="A56" s="168" t="s">
        <v>4</v>
      </c>
      <c r="B56" s="10" t="s">
        <v>5</v>
      </c>
      <c r="C56" s="11" t="s">
        <v>6</v>
      </c>
      <c r="D56" s="12" t="s">
        <v>7</v>
      </c>
      <c r="E56" s="11" t="s">
        <v>8</v>
      </c>
      <c r="F56" s="12" t="s">
        <v>9</v>
      </c>
      <c r="G56" s="11" t="s">
        <v>10</v>
      </c>
      <c r="H56" s="32" t="s">
        <v>11</v>
      </c>
      <c r="J56" s="35" t="s">
        <v>3</v>
      </c>
      <c r="K56" s="14">
        <v>45629</v>
      </c>
      <c r="L56" s="24">
        <v>45633</v>
      </c>
      <c r="M56" s="24">
        <v>45636</v>
      </c>
      <c r="N56" s="24">
        <v>45638</v>
      </c>
      <c r="O56" s="24">
        <v>45643</v>
      </c>
      <c r="P56" s="24">
        <v>45645</v>
      </c>
      <c r="Q56" s="15"/>
      <c r="R56" s="15"/>
      <c r="S56" s="15"/>
      <c r="T56" s="15"/>
      <c r="U56" s="16"/>
      <c r="W56" s="35" t="s">
        <v>3</v>
      </c>
      <c r="X56" s="14"/>
      <c r="Y56" s="15"/>
      <c r="Z56" s="15"/>
      <c r="AA56" s="15"/>
      <c r="AB56" s="15"/>
      <c r="AC56" s="16"/>
      <c r="AE56" s="35" t="s">
        <v>3</v>
      </c>
      <c r="AF56" s="14"/>
      <c r="AG56" s="15"/>
      <c r="AH56" s="15"/>
      <c r="AI56" s="15"/>
      <c r="AJ56" s="15"/>
      <c r="AK56" s="16"/>
    </row>
    <row r="57" spans="1:37" ht="15.75" thickBot="1" x14ac:dyDescent="0.3">
      <c r="A57" s="168"/>
      <c r="B57" s="17">
        <v>49321</v>
      </c>
      <c r="C57" s="18">
        <v>51319</v>
      </c>
      <c r="D57" s="82">
        <v>7323</v>
      </c>
      <c r="E57" s="82">
        <v>7323</v>
      </c>
      <c r="F57" s="18">
        <f>SUM(C57-B57)</f>
        <v>1998</v>
      </c>
      <c r="G57" s="18">
        <f>SUM(E57-D57)</f>
        <v>0</v>
      </c>
      <c r="H57" s="33">
        <f>SUM(F57:G57)</f>
        <v>1998</v>
      </c>
      <c r="J57" s="36" t="s">
        <v>21</v>
      </c>
      <c r="K57" s="19">
        <v>257.29000000000002</v>
      </c>
      <c r="L57" s="20">
        <v>278.52999999999997</v>
      </c>
      <c r="M57" s="20">
        <v>230.39</v>
      </c>
      <c r="N57" s="20">
        <v>167.01</v>
      </c>
      <c r="O57" s="20">
        <v>239.65</v>
      </c>
      <c r="P57" s="20">
        <v>258.24</v>
      </c>
      <c r="Q57" s="20"/>
      <c r="R57" s="20"/>
      <c r="S57" s="20"/>
      <c r="T57" s="20"/>
      <c r="U57" s="21"/>
      <c r="W57" s="36" t="s">
        <v>21</v>
      </c>
      <c r="X57" s="19"/>
      <c r="Y57" s="20"/>
      <c r="Z57" s="20"/>
      <c r="AA57" s="20"/>
      <c r="AB57" s="20"/>
      <c r="AC57" s="21"/>
      <c r="AE57" s="36" t="s">
        <v>21</v>
      </c>
      <c r="AF57" s="19"/>
      <c r="AG57" s="20"/>
      <c r="AH57" s="20"/>
      <c r="AI57" s="20"/>
      <c r="AJ57" s="20"/>
      <c r="AK57" s="21"/>
    </row>
    <row r="58" spans="1:37" x14ac:dyDescent="0.25">
      <c r="J58" s="37"/>
      <c r="T58" s="22" t="s">
        <v>22</v>
      </c>
      <c r="U58" s="23">
        <f>SUM(K57:U57)</f>
        <v>1431.11</v>
      </c>
      <c r="AB58" s="22" t="s">
        <v>22</v>
      </c>
      <c r="AC58" s="23">
        <f>SUM(X57:AC57)</f>
        <v>0</v>
      </c>
      <c r="AJ58" s="22" t="s">
        <v>22</v>
      </c>
      <c r="AK58" s="23">
        <f>SUM(AF57:AK57)</f>
        <v>0</v>
      </c>
    </row>
    <row r="59" spans="1:37" ht="15.75" thickBot="1" x14ac:dyDescent="0.3">
      <c r="A59" s="81"/>
      <c r="B59" s="171" t="s">
        <v>54</v>
      </c>
      <c r="C59" s="171"/>
      <c r="D59" s="171"/>
      <c r="E59" s="171"/>
      <c r="F59" s="171"/>
      <c r="G59" s="171"/>
      <c r="H59" s="171"/>
      <c r="J59" s="172" t="s">
        <v>54</v>
      </c>
      <c r="K59" s="172"/>
      <c r="L59" s="172"/>
      <c r="M59" s="172"/>
      <c r="N59" s="172"/>
      <c r="O59" s="172"/>
      <c r="P59" s="172"/>
      <c r="Q59" s="172"/>
      <c r="R59" s="172"/>
      <c r="S59" s="172"/>
      <c r="T59" s="172"/>
      <c r="U59" s="172"/>
      <c r="W59" s="173" t="str">
        <f>J59</f>
        <v>Janeiro</v>
      </c>
      <c r="X59" s="173"/>
      <c r="Y59" s="173"/>
      <c r="Z59" s="173"/>
      <c r="AA59" s="173"/>
      <c r="AB59" s="173"/>
      <c r="AC59" s="173"/>
      <c r="AE59" s="174" t="str">
        <f>W59</f>
        <v>Janeiro</v>
      </c>
      <c r="AF59" s="174"/>
      <c r="AG59" s="174"/>
      <c r="AH59" s="174"/>
      <c r="AI59" s="174"/>
      <c r="AJ59" s="174"/>
      <c r="AK59" s="174"/>
    </row>
    <row r="60" spans="1:37" ht="15.75" thickBot="1" x14ac:dyDescent="0.3">
      <c r="A60" s="168" t="s">
        <v>4</v>
      </c>
      <c r="B60" s="10" t="s">
        <v>5</v>
      </c>
      <c r="C60" s="11" t="s">
        <v>6</v>
      </c>
      <c r="D60" s="12" t="s">
        <v>7</v>
      </c>
      <c r="E60" s="11" t="s">
        <v>8</v>
      </c>
      <c r="F60" s="12" t="s">
        <v>9</v>
      </c>
      <c r="G60" s="11" t="s">
        <v>10</v>
      </c>
      <c r="H60" s="32" t="s">
        <v>11</v>
      </c>
      <c r="J60" s="35" t="s">
        <v>3</v>
      </c>
      <c r="K60" s="14">
        <v>45664</v>
      </c>
      <c r="L60" s="24">
        <v>45668</v>
      </c>
      <c r="M60" s="24">
        <v>45673</v>
      </c>
      <c r="N60" s="24">
        <v>45675</v>
      </c>
      <c r="O60" s="24">
        <v>45680</v>
      </c>
      <c r="P60" s="24">
        <v>45682</v>
      </c>
      <c r="Q60" s="24">
        <v>45685</v>
      </c>
      <c r="R60" s="15"/>
      <c r="S60" s="15"/>
      <c r="T60" s="15"/>
      <c r="U60" s="16"/>
      <c r="W60" s="35" t="s">
        <v>3</v>
      </c>
      <c r="X60" s="14">
        <v>45668</v>
      </c>
      <c r="Y60" s="24">
        <v>45682</v>
      </c>
      <c r="Z60" s="15"/>
      <c r="AA60" s="15"/>
      <c r="AB60" s="15"/>
      <c r="AC60" s="16"/>
      <c r="AE60" s="35" t="s">
        <v>3</v>
      </c>
      <c r="AF60" s="14"/>
      <c r="AG60" s="15"/>
      <c r="AH60" s="15"/>
      <c r="AI60" s="15"/>
      <c r="AJ60" s="15"/>
      <c r="AK60" s="16"/>
    </row>
    <row r="61" spans="1:37" ht="15.75" thickBot="1" x14ac:dyDescent="0.3">
      <c r="A61" s="168"/>
      <c r="B61" s="17">
        <v>12320</v>
      </c>
      <c r="C61" s="18">
        <v>13441</v>
      </c>
      <c r="D61" s="85">
        <v>13441</v>
      </c>
      <c r="E61" s="18">
        <v>15902</v>
      </c>
      <c r="F61" s="18">
        <f>SUM(C61-B61)</f>
        <v>1121</v>
      </c>
      <c r="G61" s="18">
        <f>SUM(E61-D61)</f>
        <v>2461</v>
      </c>
      <c r="H61" s="33">
        <f>SUM(F61:G61)</f>
        <v>3582</v>
      </c>
      <c r="J61" s="36" t="s">
        <v>21</v>
      </c>
      <c r="K61" s="19">
        <v>224.7</v>
      </c>
      <c r="L61" s="20">
        <v>292.04000000000002</v>
      </c>
      <c r="M61" s="20">
        <v>272.92</v>
      </c>
      <c r="N61" s="20">
        <v>272.79000000000002</v>
      </c>
      <c r="O61" s="20">
        <v>261.54000000000002</v>
      </c>
      <c r="P61" s="20">
        <v>174.22</v>
      </c>
      <c r="Q61" s="20">
        <v>187.82</v>
      </c>
      <c r="R61" s="20"/>
      <c r="S61" s="20"/>
      <c r="T61" s="20"/>
      <c r="U61" s="21"/>
      <c r="W61" s="36" t="s">
        <v>21</v>
      </c>
      <c r="X61" s="19">
        <v>45</v>
      </c>
      <c r="Y61" s="20">
        <v>45</v>
      </c>
      <c r="Z61" s="20"/>
      <c r="AA61" s="20"/>
      <c r="AB61" s="20"/>
      <c r="AC61" s="21"/>
      <c r="AE61" s="36" t="s">
        <v>21</v>
      </c>
      <c r="AF61" s="19"/>
      <c r="AG61" s="20"/>
      <c r="AH61" s="20"/>
      <c r="AI61" s="20"/>
      <c r="AJ61" s="20"/>
      <c r="AK61" s="21"/>
    </row>
    <row r="62" spans="1:37" x14ac:dyDescent="0.25">
      <c r="J62" s="37"/>
      <c r="T62" s="22" t="s">
        <v>22</v>
      </c>
      <c r="U62" s="23">
        <f>SUM(K61:U61)</f>
        <v>1686.03</v>
      </c>
      <c r="AB62" s="22" t="s">
        <v>22</v>
      </c>
      <c r="AC62" s="23">
        <f>SUM(X61:AC61)</f>
        <v>90</v>
      </c>
      <c r="AJ62" s="22" t="s">
        <v>22</v>
      </c>
      <c r="AK62" s="23">
        <f>SUM(AF61:AK61)</f>
        <v>0</v>
      </c>
    </row>
    <row r="63" spans="1:37" ht="15.75" thickBot="1" x14ac:dyDescent="0.3">
      <c r="A63" s="81"/>
      <c r="B63" s="171" t="s">
        <v>2</v>
      </c>
      <c r="C63" s="171"/>
      <c r="D63" s="171"/>
      <c r="E63" s="171"/>
      <c r="F63" s="171"/>
      <c r="G63" s="171"/>
      <c r="H63" s="171"/>
      <c r="J63" s="172" t="s">
        <v>2</v>
      </c>
      <c r="K63" s="172"/>
      <c r="L63" s="172"/>
      <c r="M63" s="172"/>
      <c r="N63" s="172"/>
      <c r="O63" s="172"/>
      <c r="P63" s="172"/>
      <c r="Q63" s="172"/>
      <c r="R63" s="172"/>
      <c r="S63" s="172"/>
      <c r="T63" s="172"/>
      <c r="U63" s="172"/>
      <c r="W63" s="173" t="str">
        <f>J63</f>
        <v>Fevereiro</v>
      </c>
      <c r="X63" s="173"/>
      <c r="Y63" s="173"/>
      <c r="Z63" s="173"/>
      <c r="AA63" s="173"/>
      <c r="AB63" s="173"/>
      <c r="AC63" s="173"/>
      <c r="AE63" s="174" t="str">
        <f>W63</f>
        <v>Fevereiro</v>
      </c>
      <c r="AF63" s="174"/>
      <c r="AG63" s="174"/>
      <c r="AH63" s="174"/>
      <c r="AI63" s="174"/>
      <c r="AJ63" s="174"/>
      <c r="AK63" s="174"/>
    </row>
    <row r="64" spans="1:37" ht="15.75" thickBot="1" x14ac:dyDescent="0.3">
      <c r="A64" s="168" t="s">
        <v>4</v>
      </c>
      <c r="B64" s="10" t="s">
        <v>5</v>
      </c>
      <c r="C64" s="11" t="s">
        <v>6</v>
      </c>
      <c r="D64" s="12" t="s">
        <v>7</v>
      </c>
      <c r="E64" s="11" t="s">
        <v>8</v>
      </c>
      <c r="F64" s="12" t="s">
        <v>9</v>
      </c>
      <c r="G64" s="11" t="s">
        <v>10</v>
      </c>
      <c r="H64" s="32" t="s">
        <v>11</v>
      </c>
      <c r="J64" s="35" t="s">
        <v>3</v>
      </c>
      <c r="K64" s="14">
        <v>45689</v>
      </c>
      <c r="L64" s="24">
        <v>45692</v>
      </c>
      <c r="M64" s="24">
        <v>45696</v>
      </c>
      <c r="N64" s="24">
        <v>45699</v>
      </c>
      <c r="O64" s="24">
        <v>45706</v>
      </c>
      <c r="P64" s="24">
        <v>45710</v>
      </c>
      <c r="Q64" s="24">
        <v>45713</v>
      </c>
      <c r="R64" s="24">
        <v>45715</v>
      </c>
      <c r="S64" s="15"/>
      <c r="T64" s="15"/>
      <c r="U64" s="16"/>
      <c r="W64" s="35" t="s">
        <v>3</v>
      </c>
      <c r="X64" s="14">
        <v>45710</v>
      </c>
      <c r="Y64" s="24"/>
      <c r="Z64" s="15"/>
      <c r="AA64" s="15"/>
      <c r="AB64" s="15"/>
      <c r="AC64" s="16"/>
      <c r="AE64" s="35" t="s">
        <v>3</v>
      </c>
      <c r="AF64" s="14"/>
      <c r="AG64" s="15"/>
      <c r="AH64" s="15"/>
      <c r="AI64" s="15"/>
      <c r="AJ64" s="15"/>
      <c r="AK64" s="16"/>
    </row>
    <row r="65" spans="1:37" ht="15.75" thickBot="1" x14ac:dyDescent="0.3">
      <c r="A65" s="168"/>
      <c r="B65" s="17">
        <v>15902</v>
      </c>
      <c r="C65" s="18">
        <v>17705</v>
      </c>
      <c r="D65" s="18">
        <v>17705</v>
      </c>
      <c r="E65" s="18">
        <v>19658</v>
      </c>
      <c r="F65" s="18">
        <f>SUM(C65-B65)</f>
        <v>1803</v>
      </c>
      <c r="G65" s="18">
        <f>SUM(E65-D65)</f>
        <v>1953</v>
      </c>
      <c r="H65" s="33">
        <f>SUM(F65:G65)</f>
        <v>3756</v>
      </c>
      <c r="J65" s="36" t="s">
        <v>21</v>
      </c>
      <c r="K65" s="19">
        <v>220.09</v>
      </c>
      <c r="L65" s="20">
        <v>264.43</v>
      </c>
      <c r="M65" s="20">
        <v>260.85000000000002</v>
      </c>
      <c r="N65" s="20">
        <v>227.32</v>
      </c>
      <c r="O65" s="20">
        <v>188.39</v>
      </c>
      <c r="P65" s="20">
        <v>210.09</v>
      </c>
      <c r="Q65" s="20">
        <v>264.56</v>
      </c>
      <c r="R65" s="20">
        <v>155.02000000000001</v>
      </c>
      <c r="S65" s="20"/>
      <c r="T65" s="20"/>
      <c r="U65" s="21"/>
      <c r="W65" s="36" t="s">
        <v>21</v>
      </c>
      <c r="X65" s="19">
        <v>45</v>
      </c>
      <c r="Y65" s="20"/>
      <c r="Z65" s="20"/>
      <c r="AA65" s="20"/>
      <c r="AB65" s="20"/>
      <c r="AC65" s="21"/>
      <c r="AE65" s="36" t="s">
        <v>21</v>
      </c>
      <c r="AF65" s="19"/>
      <c r="AG65" s="20"/>
      <c r="AH65" s="20"/>
      <c r="AI65" s="20"/>
      <c r="AJ65" s="20"/>
      <c r="AK65" s="21"/>
    </row>
    <row r="66" spans="1:37" x14ac:dyDescent="0.25">
      <c r="J66" s="37"/>
      <c r="T66" s="22" t="s">
        <v>22</v>
      </c>
      <c r="U66" s="23">
        <f>SUM(K65:U65)</f>
        <v>1790.7499999999998</v>
      </c>
      <c r="AB66" s="22" t="s">
        <v>22</v>
      </c>
      <c r="AC66" s="23">
        <f>SUM(X65:AC65)</f>
        <v>45</v>
      </c>
      <c r="AJ66" s="22" t="s">
        <v>22</v>
      </c>
      <c r="AK66" s="23">
        <f>SUM(AF65:AK65)</f>
        <v>0</v>
      </c>
    </row>
    <row r="67" spans="1:37" ht="15.75" thickBot="1" x14ac:dyDescent="0.3">
      <c r="A67" s="34"/>
      <c r="B67" s="171" t="s">
        <v>12</v>
      </c>
      <c r="C67" s="171"/>
      <c r="D67" s="171"/>
      <c r="E67" s="171"/>
      <c r="F67" s="171"/>
      <c r="G67" s="171"/>
      <c r="H67" s="171"/>
      <c r="J67" s="172" t="s">
        <v>12</v>
      </c>
      <c r="K67" s="172"/>
      <c r="L67" s="172"/>
      <c r="M67" s="172"/>
      <c r="N67" s="172"/>
      <c r="O67" s="172"/>
      <c r="P67" s="172"/>
      <c r="Q67" s="172"/>
      <c r="R67" s="172"/>
      <c r="S67" s="172"/>
      <c r="T67" s="172"/>
      <c r="U67" s="172"/>
      <c r="W67" s="173" t="str">
        <f>J67</f>
        <v>Março</v>
      </c>
      <c r="X67" s="173"/>
      <c r="Y67" s="173"/>
      <c r="Z67" s="173"/>
      <c r="AA67" s="173"/>
      <c r="AB67" s="173"/>
      <c r="AC67" s="173"/>
      <c r="AE67" s="174" t="str">
        <f>W67</f>
        <v>Março</v>
      </c>
      <c r="AF67" s="174"/>
      <c r="AG67" s="174"/>
      <c r="AH67" s="174"/>
      <c r="AI67" s="174"/>
      <c r="AJ67" s="174"/>
      <c r="AK67" s="174"/>
    </row>
    <row r="68" spans="1:37" ht="15.75" thickBot="1" x14ac:dyDescent="0.3">
      <c r="A68" s="168" t="s">
        <v>4</v>
      </c>
      <c r="B68" s="10" t="s">
        <v>5</v>
      </c>
      <c r="C68" s="11" t="s">
        <v>6</v>
      </c>
      <c r="D68" s="12" t="s">
        <v>7</v>
      </c>
      <c r="E68" s="11" t="s">
        <v>8</v>
      </c>
      <c r="F68" s="12" t="s">
        <v>9</v>
      </c>
      <c r="G68" s="11" t="s">
        <v>10</v>
      </c>
      <c r="H68" s="32" t="s">
        <v>11</v>
      </c>
      <c r="J68" s="35" t="s">
        <v>3</v>
      </c>
      <c r="K68" s="14">
        <v>45724</v>
      </c>
      <c r="L68" s="24">
        <v>45729</v>
      </c>
      <c r="M68" s="24">
        <v>45731</v>
      </c>
      <c r="N68" s="24">
        <v>45736</v>
      </c>
      <c r="O68" s="24">
        <v>45738</v>
      </c>
      <c r="P68" s="24">
        <v>45741</v>
      </c>
      <c r="Q68" s="24">
        <v>45745</v>
      </c>
      <c r="R68" s="24"/>
      <c r="S68" s="24"/>
      <c r="T68" s="24"/>
      <c r="U68" s="89"/>
      <c r="V68" s="93"/>
      <c r="W68" s="91" t="s">
        <v>3</v>
      </c>
      <c r="X68" s="14">
        <v>45728</v>
      </c>
      <c r="Y68" s="24">
        <v>45736</v>
      </c>
      <c r="Z68" s="15"/>
      <c r="AA68" s="15"/>
      <c r="AB68" s="15"/>
      <c r="AC68" s="16"/>
      <c r="AE68" s="35" t="s">
        <v>3</v>
      </c>
      <c r="AF68" s="14">
        <v>45736</v>
      </c>
      <c r="AG68" s="15"/>
      <c r="AH68" s="15"/>
      <c r="AI68" s="15"/>
      <c r="AJ68" s="15"/>
      <c r="AK68" s="16"/>
    </row>
    <row r="69" spans="1:37" ht="15.75" thickBot="1" x14ac:dyDescent="0.3">
      <c r="A69" s="168"/>
      <c r="B69" s="18">
        <v>19658</v>
      </c>
      <c r="C69" s="18">
        <v>21371</v>
      </c>
      <c r="D69" s="18">
        <v>21371</v>
      </c>
      <c r="E69" s="18">
        <v>23016</v>
      </c>
      <c r="F69" s="18">
        <f>SUM(C69-B69)</f>
        <v>1713</v>
      </c>
      <c r="G69" s="18">
        <f>SUM(E69-D69)</f>
        <v>1645</v>
      </c>
      <c r="H69" s="33">
        <f>SUM(F69:G69)</f>
        <v>3358</v>
      </c>
      <c r="J69" s="36" t="s">
        <v>21</v>
      </c>
      <c r="K69" s="19">
        <v>292.17</v>
      </c>
      <c r="L69" s="20">
        <v>241.03</v>
      </c>
      <c r="M69" s="20">
        <v>200.71</v>
      </c>
      <c r="N69" s="20">
        <v>279.83999999999997</v>
      </c>
      <c r="O69" s="20">
        <v>171.09</v>
      </c>
      <c r="P69" s="20">
        <v>157.5</v>
      </c>
      <c r="Q69" s="20">
        <v>224.24</v>
      </c>
      <c r="R69" s="20"/>
      <c r="S69" s="20"/>
      <c r="T69" s="20"/>
      <c r="U69" s="90"/>
      <c r="V69" s="23"/>
      <c r="W69" s="92" t="s">
        <v>21</v>
      </c>
      <c r="X69" s="19">
        <v>45</v>
      </c>
      <c r="Y69" s="20">
        <v>45</v>
      </c>
      <c r="Z69" s="20"/>
      <c r="AA69" s="20"/>
      <c r="AB69" s="20"/>
      <c r="AC69" s="21"/>
      <c r="AE69" s="36" t="s">
        <v>21</v>
      </c>
      <c r="AF69" s="19">
        <v>40</v>
      </c>
      <c r="AG69" s="20"/>
      <c r="AH69" s="20"/>
      <c r="AI69" s="20"/>
      <c r="AJ69" s="20"/>
      <c r="AK69" s="21"/>
    </row>
    <row r="70" spans="1:37" x14ac:dyDescent="0.25">
      <c r="J70" s="37"/>
      <c r="T70" s="22" t="s">
        <v>22</v>
      </c>
      <c r="U70" s="23">
        <f>SUM(K69:V69)</f>
        <v>1566.58</v>
      </c>
      <c r="AB70" s="22" t="s">
        <v>22</v>
      </c>
      <c r="AC70" s="23">
        <f>SUM(X69:AC69)</f>
        <v>90</v>
      </c>
      <c r="AJ70" s="22" t="s">
        <v>22</v>
      </c>
      <c r="AK70" s="23">
        <f>SUM(AF69:AK69)</f>
        <v>40</v>
      </c>
    </row>
    <row r="71" spans="1:37" ht="15.75" thickBot="1" x14ac:dyDescent="0.3">
      <c r="A71" s="34"/>
      <c r="B71" s="171" t="s">
        <v>13</v>
      </c>
      <c r="C71" s="171"/>
      <c r="D71" s="171"/>
      <c r="E71" s="171"/>
      <c r="F71" s="171"/>
      <c r="G71" s="171"/>
      <c r="H71" s="171"/>
      <c r="J71" s="172" t="s">
        <v>13</v>
      </c>
      <c r="K71" s="172"/>
      <c r="L71" s="172"/>
      <c r="M71" s="172"/>
      <c r="N71" s="172"/>
      <c r="O71" s="172"/>
      <c r="P71" s="172"/>
      <c r="Q71" s="172"/>
      <c r="R71" s="172"/>
      <c r="S71" s="172"/>
      <c r="T71" s="172"/>
      <c r="U71" s="172"/>
      <c r="W71" s="173" t="str">
        <f>J71</f>
        <v>Abril</v>
      </c>
      <c r="X71" s="173"/>
      <c r="Y71" s="173"/>
      <c r="Z71" s="173"/>
      <c r="AA71" s="173"/>
      <c r="AB71" s="173"/>
      <c r="AC71" s="173"/>
      <c r="AE71" s="174" t="str">
        <f>W71</f>
        <v>Abril</v>
      </c>
      <c r="AF71" s="174"/>
      <c r="AG71" s="174"/>
      <c r="AH71" s="174"/>
      <c r="AI71" s="174"/>
      <c r="AJ71" s="174"/>
      <c r="AK71" s="174"/>
    </row>
    <row r="72" spans="1:37" ht="15.75" thickBot="1" x14ac:dyDescent="0.3">
      <c r="A72" s="168" t="s">
        <v>4</v>
      </c>
      <c r="B72" s="10" t="s">
        <v>5</v>
      </c>
      <c r="C72" s="11" t="s">
        <v>6</v>
      </c>
      <c r="D72" s="12" t="s">
        <v>7</v>
      </c>
      <c r="E72" s="11" t="s">
        <v>8</v>
      </c>
      <c r="F72" s="12" t="s">
        <v>9</v>
      </c>
      <c r="G72" s="11" t="s">
        <v>10</v>
      </c>
      <c r="H72" s="32" t="s">
        <v>11</v>
      </c>
      <c r="J72" s="35" t="s">
        <v>3</v>
      </c>
      <c r="K72" s="14">
        <v>45750</v>
      </c>
      <c r="L72" s="24">
        <v>45752</v>
      </c>
      <c r="M72" s="24">
        <v>45755</v>
      </c>
      <c r="N72" s="24">
        <v>45757</v>
      </c>
      <c r="O72" s="24">
        <v>45762</v>
      </c>
      <c r="P72" s="24">
        <v>45766</v>
      </c>
      <c r="Q72" s="24">
        <v>45773</v>
      </c>
      <c r="R72" s="24"/>
      <c r="S72" s="24"/>
      <c r="T72" s="24"/>
      <c r="U72" s="89"/>
      <c r="V72" s="93"/>
      <c r="W72" s="91" t="s">
        <v>3</v>
      </c>
      <c r="X72" s="14"/>
      <c r="Y72" s="15"/>
      <c r="Z72" s="15"/>
      <c r="AA72" s="15"/>
      <c r="AB72" s="15"/>
      <c r="AC72" s="16"/>
      <c r="AE72" s="35" t="s">
        <v>3</v>
      </c>
      <c r="AF72" s="14"/>
      <c r="AG72" s="15"/>
      <c r="AH72" s="15"/>
      <c r="AI72" s="15"/>
      <c r="AJ72" s="15"/>
      <c r="AK72" s="16"/>
    </row>
    <row r="73" spans="1:37" ht="15.75" thickBot="1" x14ac:dyDescent="0.3">
      <c r="A73" s="168"/>
      <c r="B73" s="18">
        <v>23016</v>
      </c>
      <c r="C73" s="18">
        <v>24605</v>
      </c>
      <c r="D73" s="18">
        <v>24605</v>
      </c>
      <c r="E73" s="18">
        <v>25759</v>
      </c>
      <c r="F73" s="18">
        <f>SUM(C73-B73)</f>
        <v>1589</v>
      </c>
      <c r="G73" s="18">
        <f>SUM(E73-D73)</f>
        <v>1154</v>
      </c>
      <c r="H73" s="33">
        <f>SUM(F73:G73)</f>
        <v>2743</v>
      </c>
      <c r="J73" s="36" t="s">
        <v>21</v>
      </c>
      <c r="K73" s="19">
        <v>266.63</v>
      </c>
      <c r="L73" s="20">
        <v>190.96</v>
      </c>
      <c r="M73" s="20">
        <v>181.68</v>
      </c>
      <c r="N73" s="20">
        <v>102.21</v>
      </c>
      <c r="O73" s="20">
        <v>286.29000000000002</v>
      </c>
      <c r="P73" s="20">
        <v>253.93</v>
      </c>
      <c r="Q73" s="20">
        <v>299.77999999999997</v>
      </c>
      <c r="R73" s="20"/>
      <c r="S73" s="20"/>
      <c r="T73" s="20"/>
      <c r="U73" s="90"/>
      <c r="V73" s="23"/>
      <c r="W73" s="92" t="s">
        <v>21</v>
      </c>
      <c r="X73" s="19"/>
      <c r="Y73" s="20"/>
      <c r="Z73" s="20"/>
      <c r="AA73" s="20"/>
      <c r="AB73" s="20"/>
      <c r="AC73" s="21"/>
      <c r="AE73" s="36" t="s">
        <v>21</v>
      </c>
      <c r="AF73" s="19"/>
      <c r="AG73" s="20"/>
      <c r="AH73" s="20"/>
      <c r="AI73" s="20"/>
      <c r="AJ73" s="20"/>
      <c r="AK73" s="21"/>
    </row>
    <row r="74" spans="1:37" x14ac:dyDescent="0.25">
      <c r="J74" s="37"/>
      <c r="T74" s="22" t="s">
        <v>22</v>
      </c>
      <c r="U74" s="23">
        <f>SUM(K73:V73)</f>
        <v>1581.48</v>
      </c>
      <c r="AB74" s="22" t="s">
        <v>22</v>
      </c>
      <c r="AC74" s="23">
        <f>SUM(X73:AC73)</f>
        <v>0</v>
      </c>
      <c r="AJ74" s="22" t="s">
        <v>22</v>
      </c>
      <c r="AK74" s="23">
        <f>SUM(AF73:AK73)</f>
        <v>0</v>
      </c>
    </row>
    <row r="75" spans="1:37" ht="15.75" thickBot="1" x14ac:dyDescent="0.3">
      <c r="A75" s="34"/>
      <c r="B75" s="171" t="s">
        <v>14</v>
      </c>
      <c r="C75" s="171"/>
      <c r="D75" s="171"/>
      <c r="E75" s="171"/>
      <c r="F75" s="171"/>
      <c r="G75" s="171"/>
      <c r="H75" s="171"/>
      <c r="J75" s="172" t="s">
        <v>14</v>
      </c>
      <c r="K75" s="172"/>
      <c r="L75" s="172"/>
      <c r="M75" s="172"/>
      <c r="N75" s="172"/>
      <c r="O75" s="172"/>
      <c r="P75" s="172"/>
      <c r="Q75" s="172"/>
      <c r="R75" s="172"/>
      <c r="S75" s="172"/>
      <c r="T75" s="172"/>
      <c r="U75" s="172"/>
      <c r="W75" s="173" t="str">
        <f>J75</f>
        <v>Maio</v>
      </c>
      <c r="X75" s="173"/>
      <c r="Y75" s="173"/>
      <c r="Z75" s="173"/>
      <c r="AA75" s="173"/>
      <c r="AB75" s="173"/>
      <c r="AC75" s="173"/>
      <c r="AE75" s="174" t="str">
        <f>W75</f>
        <v>Maio</v>
      </c>
      <c r="AF75" s="174"/>
      <c r="AG75" s="174"/>
      <c r="AH75" s="174"/>
      <c r="AI75" s="174"/>
      <c r="AJ75" s="174"/>
      <c r="AK75" s="174"/>
    </row>
    <row r="76" spans="1:37" ht="15.75" thickBot="1" x14ac:dyDescent="0.3">
      <c r="A76" s="168" t="s">
        <v>4</v>
      </c>
      <c r="B76" s="10" t="s">
        <v>5</v>
      </c>
      <c r="C76" s="11" t="s">
        <v>6</v>
      </c>
      <c r="D76" s="12" t="s">
        <v>7</v>
      </c>
      <c r="E76" s="11" t="s">
        <v>8</v>
      </c>
      <c r="F76" s="12" t="s">
        <v>9</v>
      </c>
      <c r="G76" s="11" t="s">
        <v>10</v>
      </c>
      <c r="H76" s="32" t="s">
        <v>11</v>
      </c>
      <c r="J76" s="35" t="s">
        <v>3</v>
      </c>
      <c r="K76" s="14">
        <v>45780</v>
      </c>
      <c r="L76" s="24">
        <v>45787</v>
      </c>
      <c r="M76" s="24">
        <v>45790</v>
      </c>
      <c r="N76" s="24">
        <v>45794</v>
      </c>
      <c r="O76" s="24">
        <v>45797</v>
      </c>
      <c r="P76" s="24">
        <v>45801</v>
      </c>
      <c r="Q76" s="24">
        <v>45804</v>
      </c>
      <c r="R76" s="24">
        <v>45806</v>
      </c>
      <c r="S76" s="24">
        <v>45808</v>
      </c>
      <c r="T76" s="24"/>
      <c r="U76" s="89"/>
      <c r="V76" s="93"/>
      <c r="W76" s="91" t="s">
        <v>3</v>
      </c>
      <c r="X76" s="14"/>
      <c r="Y76" s="15"/>
      <c r="Z76" s="15"/>
      <c r="AA76" s="15"/>
      <c r="AB76" s="15"/>
      <c r="AC76" s="16"/>
      <c r="AE76" s="35" t="s">
        <v>3</v>
      </c>
      <c r="AF76" s="14"/>
      <c r="AG76" s="15"/>
      <c r="AH76" s="15"/>
      <c r="AI76" s="15"/>
      <c r="AJ76" s="15"/>
      <c r="AK76" s="16"/>
    </row>
    <row r="77" spans="1:37" ht="15.75" thickBot="1" x14ac:dyDescent="0.3">
      <c r="A77" s="168"/>
      <c r="B77" s="18">
        <v>25759</v>
      </c>
      <c r="C77" s="18">
        <v>26995</v>
      </c>
      <c r="D77" s="18">
        <v>26995</v>
      </c>
      <c r="E77" s="18">
        <v>28859</v>
      </c>
      <c r="F77" s="18">
        <f>SUM(C77-B77)</f>
        <v>1236</v>
      </c>
      <c r="G77" s="18">
        <f>SUM(E77-D77)</f>
        <v>1864</v>
      </c>
      <c r="H77" s="33">
        <f>SUM(F77:G77)</f>
        <v>3100</v>
      </c>
      <c r="J77" s="36" t="s">
        <v>21</v>
      </c>
      <c r="K77" s="19">
        <v>274.94</v>
      </c>
      <c r="L77" s="20">
        <v>296.22000000000003</v>
      </c>
      <c r="M77" s="20">
        <v>152.21</v>
      </c>
      <c r="N77" s="20">
        <v>207.62</v>
      </c>
      <c r="O77" s="20">
        <v>193.74</v>
      </c>
      <c r="P77" s="20">
        <v>201.57</v>
      </c>
      <c r="Q77" s="20">
        <v>221.01</v>
      </c>
      <c r="R77" s="20">
        <v>82.12</v>
      </c>
      <c r="S77" s="20">
        <v>276.11</v>
      </c>
      <c r="T77" s="20"/>
      <c r="U77" s="90"/>
      <c r="V77" s="23"/>
      <c r="W77" s="92" t="s">
        <v>21</v>
      </c>
      <c r="X77" s="19"/>
      <c r="Y77" s="20"/>
      <c r="Z77" s="20"/>
      <c r="AA77" s="20"/>
      <c r="AB77" s="20"/>
      <c r="AC77" s="21"/>
      <c r="AE77" s="36" t="s">
        <v>21</v>
      </c>
      <c r="AF77" s="19"/>
      <c r="AG77" s="20"/>
      <c r="AH77" s="20"/>
      <c r="AI77" s="20"/>
      <c r="AJ77" s="20"/>
      <c r="AK77" s="21"/>
    </row>
    <row r="78" spans="1:37" x14ac:dyDescent="0.25">
      <c r="J78" s="37"/>
      <c r="T78" s="22" t="s">
        <v>22</v>
      </c>
      <c r="U78" s="23">
        <f>SUM(K77:V77)</f>
        <v>1905.54</v>
      </c>
      <c r="AB78" s="22" t="s">
        <v>22</v>
      </c>
      <c r="AC78" s="23">
        <f>SUM(X77:AC77)</f>
        <v>0</v>
      </c>
      <c r="AJ78" s="22" t="s">
        <v>22</v>
      </c>
      <c r="AK78" s="23">
        <f>SUM(AF77:AK77)</f>
        <v>0</v>
      </c>
    </row>
    <row r="79" spans="1:37" ht="15.75" thickBot="1" x14ac:dyDescent="0.3">
      <c r="A79" s="34"/>
      <c r="B79" s="171" t="s">
        <v>23</v>
      </c>
      <c r="C79" s="171"/>
      <c r="D79" s="171"/>
      <c r="E79" s="171"/>
      <c r="F79" s="171"/>
      <c r="G79" s="171"/>
      <c r="H79" s="171"/>
      <c r="J79" s="172" t="s">
        <v>23</v>
      </c>
      <c r="K79" s="172"/>
      <c r="L79" s="172"/>
      <c r="M79" s="172"/>
      <c r="N79" s="172"/>
      <c r="O79" s="172"/>
      <c r="P79" s="172"/>
      <c r="Q79" s="172"/>
      <c r="R79" s="172"/>
      <c r="S79" s="172"/>
      <c r="T79" s="172"/>
      <c r="U79" s="172"/>
      <c r="W79" s="173" t="str">
        <f>J79</f>
        <v>Junho</v>
      </c>
      <c r="X79" s="173"/>
      <c r="Y79" s="173"/>
      <c r="Z79" s="173"/>
      <c r="AA79" s="173"/>
      <c r="AB79" s="173"/>
      <c r="AC79" s="173"/>
      <c r="AE79" s="174" t="str">
        <f>W79</f>
        <v>Junho</v>
      </c>
      <c r="AF79" s="174"/>
      <c r="AG79" s="174"/>
      <c r="AH79" s="174"/>
      <c r="AI79" s="174"/>
      <c r="AJ79" s="174"/>
      <c r="AK79" s="174"/>
    </row>
    <row r="80" spans="1:37" ht="15.75" thickBot="1" x14ac:dyDescent="0.3">
      <c r="A80" s="168" t="s">
        <v>4</v>
      </c>
      <c r="B80" s="10" t="s">
        <v>5</v>
      </c>
      <c r="C80" s="11" t="s">
        <v>6</v>
      </c>
      <c r="D80" s="12" t="s">
        <v>7</v>
      </c>
      <c r="E80" s="11" t="s">
        <v>8</v>
      </c>
      <c r="F80" s="12" t="s">
        <v>9</v>
      </c>
      <c r="G80" s="11" t="s">
        <v>10</v>
      </c>
      <c r="H80" s="32" t="s">
        <v>11</v>
      </c>
      <c r="J80" s="35" t="s">
        <v>3</v>
      </c>
      <c r="K80" s="14">
        <v>45811</v>
      </c>
      <c r="L80" s="24">
        <v>45813</v>
      </c>
      <c r="M80" s="24">
        <v>45815</v>
      </c>
      <c r="N80" s="24">
        <v>45819</v>
      </c>
      <c r="O80" s="24">
        <v>45822</v>
      </c>
      <c r="P80" s="24">
        <v>45825</v>
      </c>
      <c r="Q80" s="24">
        <v>45827</v>
      </c>
      <c r="R80" s="24">
        <v>45836</v>
      </c>
      <c r="S80" s="24"/>
      <c r="T80" s="24"/>
      <c r="U80" s="89"/>
      <c r="V80" s="93"/>
      <c r="W80" s="91" t="s">
        <v>3</v>
      </c>
      <c r="X80" s="14"/>
      <c r="Y80" s="15"/>
      <c r="Z80" s="15"/>
      <c r="AA80" s="15"/>
      <c r="AB80" s="15"/>
      <c r="AC80" s="16"/>
      <c r="AE80" s="35" t="s">
        <v>3</v>
      </c>
      <c r="AF80" s="14"/>
      <c r="AG80" s="15"/>
      <c r="AH80" s="15"/>
      <c r="AI80" s="15"/>
      <c r="AJ80" s="15"/>
      <c r="AK80" s="16"/>
    </row>
    <row r="81" spans="1:37" ht="15.75" thickBot="1" x14ac:dyDescent="0.3">
      <c r="A81" s="168"/>
      <c r="B81" s="18">
        <v>28859</v>
      </c>
      <c r="C81" s="18">
        <v>30585</v>
      </c>
      <c r="D81" s="18">
        <v>30585</v>
      </c>
      <c r="E81" s="18">
        <v>31721</v>
      </c>
      <c r="F81" s="18">
        <f>SUM(C81-B81)</f>
        <v>1726</v>
      </c>
      <c r="G81" s="18">
        <f>SUM(E81-D81)</f>
        <v>1136</v>
      </c>
      <c r="H81" s="33">
        <f>SUM(F81:G81)</f>
        <v>2862</v>
      </c>
      <c r="J81" s="36" t="s">
        <v>21</v>
      </c>
      <c r="K81" s="19">
        <v>173.07</v>
      </c>
      <c r="L81" s="20">
        <v>142.88999999999999</v>
      </c>
      <c r="M81" s="20">
        <v>62.05</v>
      </c>
      <c r="N81" s="20">
        <v>290.27</v>
      </c>
      <c r="O81" s="20">
        <v>151.86000000000001</v>
      </c>
      <c r="P81" s="20">
        <v>140.05000000000001</v>
      </c>
      <c r="Q81" s="20">
        <v>130.47</v>
      </c>
      <c r="R81" s="20">
        <v>218.62</v>
      </c>
      <c r="S81" s="20"/>
      <c r="T81" s="20"/>
      <c r="U81" s="90"/>
      <c r="V81" s="23"/>
      <c r="W81" s="92" t="s">
        <v>21</v>
      </c>
      <c r="X81" s="19"/>
      <c r="Y81" s="20"/>
      <c r="Z81" s="20"/>
      <c r="AA81" s="20"/>
      <c r="AB81" s="20"/>
      <c r="AC81" s="21"/>
      <c r="AE81" s="36" t="s">
        <v>21</v>
      </c>
      <c r="AF81" s="19"/>
      <c r="AG81" s="20"/>
      <c r="AH81" s="20"/>
      <c r="AI81" s="20"/>
      <c r="AJ81" s="20"/>
      <c r="AK81" s="21"/>
    </row>
    <row r="82" spans="1:37" x14ac:dyDescent="0.25">
      <c r="J82" s="37"/>
      <c r="T82" s="22" t="s">
        <v>22</v>
      </c>
      <c r="U82" s="23">
        <f>SUM(K81:V81)</f>
        <v>1309.2800000000002</v>
      </c>
      <c r="AB82" s="22" t="s">
        <v>22</v>
      </c>
      <c r="AC82" s="23">
        <f>SUM(X81:AC81)</f>
        <v>0</v>
      </c>
      <c r="AJ82" s="22" t="s">
        <v>22</v>
      </c>
      <c r="AK82" s="23">
        <f>SUM(AF81:AK81)</f>
        <v>0</v>
      </c>
    </row>
    <row r="83" spans="1:37" ht="15.75" thickBot="1" x14ac:dyDescent="0.3">
      <c r="A83" s="34"/>
      <c r="B83" s="171" t="s">
        <v>15</v>
      </c>
      <c r="C83" s="171"/>
      <c r="D83" s="171"/>
      <c r="E83" s="171"/>
      <c r="F83" s="171"/>
      <c r="G83" s="171"/>
      <c r="H83" s="171"/>
      <c r="J83" s="172" t="s">
        <v>15</v>
      </c>
      <c r="K83" s="172"/>
      <c r="L83" s="172"/>
      <c r="M83" s="172"/>
      <c r="N83" s="172"/>
      <c r="O83" s="172"/>
      <c r="P83" s="172"/>
      <c r="Q83" s="172"/>
      <c r="R83" s="172"/>
      <c r="S83" s="172"/>
      <c r="T83" s="172"/>
      <c r="U83" s="172"/>
      <c r="W83" s="173" t="str">
        <f>J83</f>
        <v>Julho</v>
      </c>
      <c r="X83" s="173"/>
      <c r="Y83" s="173"/>
      <c r="Z83" s="173"/>
      <c r="AA83" s="173"/>
      <c r="AB83" s="173"/>
      <c r="AC83" s="173"/>
      <c r="AE83" s="174" t="str">
        <f>W83</f>
        <v>Julho</v>
      </c>
      <c r="AF83" s="174"/>
      <c r="AG83" s="174"/>
      <c r="AH83" s="174"/>
      <c r="AI83" s="174"/>
      <c r="AJ83" s="174"/>
      <c r="AK83" s="174"/>
    </row>
    <row r="84" spans="1:37" ht="15.75" thickBot="1" x14ac:dyDescent="0.3">
      <c r="A84" s="168" t="s">
        <v>4</v>
      </c>
      <c r="B84" s="10" t="s">
        <v>5</v>
      </c>
      <c r="C84" s="11" t="s">
        <v>6</v>
      </c>
      <c r="D84" s="12" t="s">
        <v>7</v>
      </c>
      <c r="E84" s="11" t="s">
        <v>8</v>
      </c>
      <c r="F84" s="12" t="s">
        <v>9</v>
      </c>
      <c r="G84" s="11" t="s">
        <v>10</v>
      </c>
      <c r="H84" s="32" t="s">
        <v>11</v>
      </c>
      <c r="J84" s="35" t="s">
        <v>3</v>
      </c>
      <c r="K84" s="14">
        <v>45841</v>
      </c>
      <c r="L84" s="24">
        <v>45848</v>
      </c>
      <c r="M84" s="24">
        <v>45853</v>
      </c>
      <c r="N84" s="24">
        <v>45855</v>
      </c>
      <c r="O84" s="24">
        <v>45859</v>
      </c>
      <c r="P84" s="24">
        <v>45862</v>
      </c>
      <c r="Q84" s="24">
        <v>45867</v>
      </c>
      <c r="R84" s="24">
        <v>45869</v>
      </c>
      <c r="S84" s="24"/>
      <c r="T84" s="24"/>
      <c r="U84" s="89"/>
      <c r="V84" s="93"/>
      <c r="W84" s="91" t="s">
        <v>3</v>
      </c>
      <c r="X84" s="14"/>
      <c r="Y84" s="15"/>
      <c r="Z84" s="15"/>
      <c r="AA84" s="15"/>
      <c r="AB84" s="15"/>
      <c r="AC84" s="16"/>
      <c r="AE84" s="35" t="s">
        <v>3</v>
      </c>
      <c r="AF84" s="14"/>
      <c r="AG84" s="15"/>
      <c r="AH84" s="15"/>
      <c r="AI84" s="15"/>
      <c r="AJ84" s="15"/>
      <c r="AK84" s="16"/>
    </row>
    <row r="85" spans="1:37" ht="15.75" thickBot="1" x14ac:dyDescent="0.3">
      <c r="A85" s="168"/>
      <c r="B85" s="18">
        <v>31721</v>
      </c>
      <c r="C85" s="18">
        <v>32976</v>
      </c>
      <c r="D85" s="18">
        <v>32976</v>
      </c>
      <c r="E85" s="18">
        <v>34612</v>
      </c>
      <c r="F85" s="18">
        <f>SUM(C85-B85)</f>
        <v>1255</v>
      </c>
      <c r="G85" s="18">
        <f>SUM(E85-D85)</f>
        <v>1636</v>
      </c>
      <c r="H85" s="33">
        <f>SUM(F85:G85)</f>
        <v>2891</v>
      </c>
      <c r="J85" s="36" t="s">
        <v>21</v>
      </c>
      <c r="K85" s="19">
        <v>190.71</v>
      </c>
      <c r="L85" s="20">
        <v>246.4</v>
      </c>
      <c r="M85" s="20">
        <v>261.43</v>
      </c>
      <c r="N85" s="20">
        <v>104.54</v>
      </c>
      <c r="O85" s="20">
        <v>224.66</v>
      </c>
      <c r="P85" s="20">
        <v>173.1</v>
      </c>
      <c r="Q85" s="20">
        <v>193.24</v>
      </c>
      <c r="R85" s="20">
        <v>235.87</v>
      </c>
      <c r="S85" s="20"/>
      <c r="T85" s="20"/>
      <c r="U85" s="90"/>
      <c r="V85" s="23"/>
      <c r="W85" s="92" t="s">
        <v>21</v>
      </c>
      <c r="X85" s="19"/>
      <c r="Y85" s="20"/>
      <c r="Z85" s="20"/>
      <c r="AA85" s="20"/>
      <c r="AB85" s="20"/>
      <c r="AC85" s="21"/>
      <c r="AE85" s="36" t="s">
        <v>21</v>
      </c>
      <c r="AF85" s="19"/>
      <c r="AG85" s="20"/>
      <c r="AH85" s="20"/>
      <c r="AI85" s="20"/>
      <c r="AJ85" s="20"/>
      <c r="AK85" s="21"/>
    </row>
    <row r="86" spans="1:37" x14ac:dyDescent="0.25">
      <c r="J86" s="37"/>
      <c r="T86" s="22" t="s">
        <v>22</v>
      </c>
      <c r="U86" s="23">
        <f>SUM(K85:V85)</f>
        <v>1629.9499999999998</v>
      </c>
      <c r="AB86" s="22" t="s">
        <v>22</v>
      </c>
      <c r="AC86" s="23">
        <f>SUM(X85:AC85)</f>
        <v>0</v>
      </c>
      <c r="AJ86" s="22" t="s">
        <v>22</v>
      </c>
      <c r="AK86" s="23">
        <f>SUM(AF85:AK85)</f>
        <v>0</v>
      </c>
    </row>
    <row r="87" spans="1:37" ht="15.75" thickBot="1" x14ac:dyDescent="0.3">
      <c r="A87" s="34"/>
      <c r="B87" s="171" t="s">
        <v>16</v>
      </c>
      <c r="C87" s="171"/>
      <c r="D87" s="171"/>
      <c r="E87" s="171"/>
      <c r="F87" s="171"/>
      <c r="G87" s="171"/>
      <c r="H87" s="171"/>
      <c r="J87" s="172" t="s">
        <v>16</v>
      </c>
      <c r="K87" s="172"/>
      <c r="L87" s="172"/>
      <c r="M87" s="172"/>
      <c r="N87" s="172"/>
      <c r="O87" s="172"/>
      <c r="P87" s="172"/>
      <c r="Q87" s="172"/>
      <c r="R87" s="172"/>
      <c r="S87" s="172"/>
      <c r="T87" s="172"/>
      <c r="U87" s="172"/>
      <c r="W87" s="173" t="str">
        <f>J87</f>
        <v>Agosto</v>
      </c>
      <c r="X87" s="173"/>
      <c r="Y87" s="173"/>
      <c r="Z87" s="173"/>
      <c r="AA87" s="173"/>
      <c r="AB87" s="173"/>
      <c r="AC87" s="173"/>
      <c r="AE87" s="174" t="str">
        <f>W87</f>
        <v>Agosto</v>
      </c>
      <c r="AF87" s="174"/>
      <c r="AG87" s="174"/>
      <c r="AH87" s="174"/>
      <c r="AI87" s="174"/>
      <c r="AJ87" s="174"/>
      <c r="AK87" s="174"/>
    </row>
    <row r="88" spans="1:37" ht="15.75" thickBot="1" x14ac:dyDescent="0.3">
      <c r="A88" s="168" t="s">
        <v>4</v>
      </c>
      <c r="B88" s="10" t="s">
        <v>5</v>
      </c>
      <c r="C88" s="11" t="s">
        <v>6</v>
      </c>
      <c r="D88" s="12" t="s">
        <v>7</v>
      </c>
      <c r="E88" s="11" t="s">
        <v>8</v>
      </c>
      <c r="F88" s="12" t="s">
        <v>9</v>
      </c>
      <c r="G88" s="11" t="s">
        <v>10</v>
      </c>
      <c r="H88" s="32" t="s">
        <v>11</v>
      </c>
      <c r="J88" s="35" t="s">
        <v>3</v>
      </c>
      <c r="K88" s="14">
        <v>45874</v>
      </c>
      <c r="L88" s="24">
        <v>45883</v>
      </c>
      <c r="M88" s="24">
        <v>45885</v>
      </c>
      <c r="N88" s="24">
        <v>45890</v>
      </c>
      <c r="O88" s="24">
        <v>45895</v>
      </c>
      <c r="P88" s="24">
        <v>45897</v>
      </c>
      <c r="Q88" s="15"/>
      <c r="R88" s="15"/>
      <c r="S88" s="15"/>
      <c r="T88" s="15"/>
      <c r="U88" s="16"/>
      <c r="W88" s="35" t="s">
        <v>3</v>
      </c>
      <c r="X88" s="14"/>
      <c r="Y88" s="15"/>
      <c r="Z88" s="15"/>
      <c r="AA88" s="15"/>
      <c r="AB88" s="15"/>
      <c r="AC88" s="16"/>
      <c r="AE88" s="35" t="s">
        <v>3</v>
      </c>
      <c r="AF88" s="14"/>
      <c r="AG88" s="15"/>
      <c r="AH88" s="15"/>
      <c r="AI88" s="15"/>
      <c r="AJ88" s="15"/>
      <c r="AK88" s="16"/>
    </row>
    <row r="89" spans="1:37" ht="15.75" thickBot="1" x14ac:dyDescent="0.3">
      <c r="A89" s="168"/>
      <c r="B89" s="18">
        <v>34612</v>
      </c>
      <c r="C89" s="18">
        <v>35822</v>
      </c>
      <c r="D89" s="18">
        <v>35822</v>
      </c>
      <c r="E89" s="18">
        <v>37693</v>
      </c>
      <c r="F89" s="18">
        <f>SUM(C89-B89)</f>
        <v>1210</v>
      </c>
      <c r="G89" s="18">
        <f>SUM(E89-D89)</f>
        <v>1871</v>
      </c>
      <c r="H89" s="33">
        <f>SUM(F89:G89)</f>
        <v>3081</v>
      </c>
      <c r="J89" s="36" t="s">
        <v>21</v>
      </c>
      <c r="K89" s="19">
        <v>246.46</v>
      </c>
      <c r="L89" s="20">
        <v>244.12</v>
      </c>
      <c r="M89" s="20">
        <v>129.54</v>
      </c>
      <c r="N89" s="20">
        <v>231.69</v>
      </c>
      <c r="O89" s="20">
        <v>213.47</v>
      </c>
      <c r="P89" s="20">
        <v>215.03</v>
      </c>
      <c r="Q89" s="20"/>
      <c r="R89" s="20"/>
      <c r="S89" s="20"/>
      <c r="T89" s="20"/>
      <c r="U89" s="21"/>
      <c r="W89" s="36" t="s">
        <v>21</v>
      </c>
      <c r="X89" s="19"/>
      <c r="Y89" s="20"/>
      <c r="Z89" s="20"/>
      <c r="AA89" s="20"/>
      <c r="AB89" s="20"/>
      <c r="AC89" s="21"/>
      <c r="AE89" s="36" t="s">
        <v>21</v>
      </c>
      <c r="AF89" s="19"/>
      <c r="AG89" s="20"/>
      <c r="AH89" s="20"/>
      <c r="AI89" s="20"/>
      <c r="AJ89" s="20"/>
      <c r="AK89" s="21"/>
    </row>
    <row r="90" spans="1:37" x14ac:dyDescent="0.25">
      <c r="F90" s="2"/>
      <c r="G90" s="2"/>
      <c r="H90" s="2"/>
      <c r="J90" s="37"/>
      <c r="T90" s="22" t="s">
        <v>22</v>
      </c>
      <c r="U90" s="23">
        <f>SUM(K89:U89)</f>
        <v>1280.31</v>
      </c>
      <c r="AB90" s="22" t="s">
        <v>22</v>
      </c>
      <c r="AC90" s="23">
        <f>SUM(X89:AC89)</f>
        <v>0</v>
      </c>
      <c r="AJ90" s="22" t="s">
        <v>22</v>
      </c>
      <c r="AK90" s="23">
        <f>SUM(AF89:AK89)</f>
        <v>0</v>
      </c>
    </row>
    <row r="91" spans="1:37" ht="15.75" thickBot="1" x14ac:dyDescent="0.3">
      <c r="A91" s="34"/>
      <c r="B91" s="171" t="s">
        <v>17</v>
      </c>
      <c r="C91" s="171"/>
      <c r="D91" s="171"/>
      <c r="E91" s="171"/>
      <c r="F91" s="171"/>
      <c r="G91" s="171"/>
      <c r="H91" s="171"/>
      <c r="J91" s="172" t="s">
        <v>17</v>
      </c>
      <c r="K91" s="172"/>
      <c r="L91" s="172"/>
      <c r="M91" s="172"/>
      <c r="N91" s="172"/>
      <c r="O91" s="172"/>
      <c r="P91" s="172"/>
      <c r="Q91" s="172"/>
      <c r="R91" s="172"/>
      <c r="S91" s="172"/>
      <c r="T91" s="172"/>
      <c r="U91" s="172"/>
      <c r="W91" s="173" t="str">
        <f>J91</f>
        <v>Setembro</v>
      </c>
      <c r="X91" s="173"/>
      <c r="Y91" s="173"/>
      <c r="Z91" s="173"/>
      <c r="AA91" s="173"/>
      <c r="AB91" s="173"/>
      <c r="AC91" s="173"/>
      <c r="AE91" s="174" t="str">
        <f>W91</f>
        <v>Setembro</v>
      </c>
      <c r="AF91" s="174"/>
      <c r="AG91" s="174"/>
      <c r="AH91" s="174"/>
      <c r="AI91" s="174"/>
      <c r="AJ91" s="174"/>
      <c r="AK91" s="174"/>
    </row>
    <row r="92" spans="1:37" ht="15.75" thickBot="1" x14ac:dyDescent="0.3">
      <c r="A92" s="168" t="s">
        <v>4</v>
      </c>
      <c r="B92" s="10" t="s">
        <v>5</v>
      </c>
      <c r="C92" s="11" t="s">
        <v>6</v>
      </c>
      <c r="D92" s="12" t="s">
        <v>7</v>
      </c>
      <c r="E92" s="11" t="s">
        <v>8</v>
      </c>
      <c r="F92" s="12" t="s">
        <v>9</v>
      </c>
      <c r="G92" s="11" t="s">
        <v>10</v>
      </c>
      <c r="H92" s="32" t="s">
        <v>11</v>
      </c>
      <c r="J92" s="35" t="s">
        <v>3</v>
      </c>
      <c r="K92" s="14">
        <v>45902</v>
      </c>
      <c r="L92" s="24">
        <v>45906</v>
      </c>
      <c r="M92" s="24">
        <v>45909</v>
      </c>
      <c r="N92" s="24">
        <v>45913</v>
      </c>
      <c r="O92" s="24">
        <v>45916</v>
      </c>
      <c r="P92" s="24">
        <v>45918</v>
      </c>
      <c r="Q92" s="24">
        <v>45920</v>
      </c>
      <c r="R92" s="24">
        <v>45923</v>
      </c>
      <c r="S92" s="24">
        <v>45927</v>
      </c>
      <c r="T92" s="15"/>
      <c r="U92" s="16"/>
      <c r="W92" s="35" t="s">
        <v>3</v>
      </c>
      <c r="X92" s="14"/>
      <c r="Y92" s="15"/>
      <c r="Z92" s="15"/>
      <c r="AA92" s="15"/>
      <c r="AB92" s="15"/>
      <c r="AC92" s="16"/>
      <c r="AE92" s="35" t="s">
        <v>3</v>
      </c>
      <c r="AF92" s="14"/>
      <c r="AG92" s="15"/>
      <c r="AH92" s="15"/>
      <c r="AI92" s="15"/>
      <c r="AJ92" s="15"/>
      <c r="AK92" s="16"/>
    </row>
    <row r="93" spans="1:37" ht="15.75" thickBot="1" x14ac:dyDescent="0.3">
      <c r="A93" s="168"/>
      <c r="B93" s="18">
        <v>37693</v>
      </c>
      <c r="C93" s="18">
        <v>39265</v>
      </c>
      <c r="D93" s="18">
        <v>39265</v>
      </c>
      <c r="E93" s="18">
        <v>41109</v>
      </c>
      <c r="F93" s="18">
        <f>SUM(C93-B93)</f>
        <v>1572</v>
      </c>
      <c r="G93" s="18">
        <f>SUM(E93-D93)</f>
        <v>1844</v>
      </c>
      <c r="H93" s="33">
        <f>SUM(F93:G93)</f>
        <v>3416</v>
      </c>
      <c r="J93" s="36" t="s">
        <v>21</v>
      </c>
      <c r="K93" s="19">
        <v>251.94</v>
      </c>
      <c r="L93" s="20">
        <v>192.1</v>
      </c>
      <c r="M93" s="20">
        <v>274.45</v>
      </c>
      <c r="N93" s="20">
        <v>285.70999999999998</v>
      </c>
      <c r="O93" s="20">
        <v>142.55000000000001</v>
      </c>
      <c r="P93" s="20">
        <v>131.29</v>
      </c>
      <c r="Q93" s="20">
        <v>102.09</v>
      </c>
      <c r="R93" s="20">
        <v>273.24</v>
      </c>
      <c r="S93" s="20">
        <v>193.73</v>
      </c>
      <c r="T93" s="20"/>
      <c r="U93" s="21"/>
      <c r="W93" s="36" t="s">
        <v>21</v>
      </c>
      <c r="X93" s="19"/>
      <c r="Y93" s="20"/>
      <c r="Z93" s="20"/>
      <c r="AA93" s="20"/>
      <c r="AB93" s="20"/>
      <c r="AC93" s="21"/>
      <c r="AE93" s="36" t="s">
        <v>21</v>
      </c>
      <c r="AF93" s="19"/>
      <c r="AG93" s="20"/>
      <c r="AH93" s="20"/>
      <c r="AI93" s="20"/>
      <c r="AJ93" s="20"/>
      <c r="AK93" s="21"/>
    </row>
    <row r="94" spans="1:37" x14ac:dyDescent="0.25">
      <c r="F94" s="2"/>
      <c r="G94" s="2"/>
      <c r="H94" s="2"/>
      <c r="J94" s="37"/>
      <c r="T94" s="22" t="s">
        <v>22</v>
      </c>
      <c r="U94" s="23">
        <f>SUM(K93:U93)</f>
        <v>1847.1</v>
      </c>
      <c r="AB94" s="22" t="s">
        <v>22</v>
      </c>
      <c r="AC94" s="23">
        <f>SUM(X93:AC93)</f>
        <v>0</v>
      </c>
      <c r="AJ94" s="22" t="s">
        <v>22</v>
      </c>
      <c r="AK94" s="23">
        <f>SUM(AF93:AK93)</f>
        <v>0</v>
      </c>
    </row>
    <row r="95" spans="1:37" ht="15.75" thickBot="1" x14ac:dyDescent="0.3">
      <c r="A95" s="34"/>
      <c r="B95" s="171" t="s">
        <v>18</v>
      </c>
      <c r="C95" s="171"/>
      <c r="D95" s="171"/>
      <c r="E95" s="171"/>
      <c r="F95" s="171"/>
      <c r="G95" s="171"/>
      <c r="H95" s="171"/>
      <c r="J95" s="172" t="s">
        <v>18</v>
      </c>
      <c r="K95" s="172"/>
      <c r="L95" s="172"/>
      <c r="M95" s="172"/>
      <c r="N95" s="172"/>
      <c r="O95" s="172"/>
      <c r="P95" s="172"/>
      <c r="Q95" s="172"/>
      <c r="R95" s="172"/>
      <c r="S95" s="172"/>
      <c r="T95" s="172"/>
      <c r="U95" s="172"/>
      <c r="W95" s="173" t="str">
        <f>J95</f>
        <v>Outubro</v>
      </c>
      <c r="X95" s="173"/>
      <c r="Y95" s="173"/>
      <c r="Z95" s="173"/>
      <c r="AA95" s="173"/>
      <c r="AB95" s="173"/>
      <c r="AC95" s="173"/>
      <c r="AE95" s="174" t="str">
        <f>W95</f>
        <v>Outubro</v>
      </c>
      <c r="AF95" s="174"/>
      <c r="AG95" s="174"/>
      <c r="AH95" s="174"/>
      <c r="AI95" s="174"/>
      <c r="AJ95" s="174"/>
      <c r="AK95" s="174"/>
    </row>
    <row r="96" spans="1:37" ht="15.75" thickBot="1" x14ac:dyDescent="0.3">
      <c r="A96" s="168" t="s">
        <v>4</v>
      </c>
      <c r="B96" s="10" t="s">
        <v>5</v>
      </c>
      <c r="C96" s="11" t="s">
        <v>6</v>
      </c>
      <c r="D96" s="12" t="s">
        <v>7</v>
      </c>
      <c r="E96" s="11" t="s">
        <v>8</v>
      </c>
      <c r="F96" s="12" t="s">
        <v>9</v>
      </c>
      <c r="G96" s="11" t="s">
        <v>10</v>
      </c>
      <c r="H96" s="32" t="s">
        <v>11</v>
      </c>
      <c r="J96" s="35" t="s">
        <v>3</v>
      </c>
      <c r="K96" s="14">
        <v>45932</v>
      </c>
      <c r="L96" s="24">
        <v>45939</v>
      </c>
      <c r="M96" s="24">
        <v>45944</v>
      </c>
      <c r="N96" s="24">
        <v>45946</v>
      </c>
      <c r="O96" s="24">
        <v>45948</v>
      </c>
      <c r="P96" s="24">
        <v>45951</v>
      </c>
      <c r="Q96" s="24">
        <v>45958</v>
      </c>
      <c r="R96" s="15"/>
      <c r="S96" s="15"/>
      <c r="T96" s="15"/>
      <c r="U96" s="16"/>
      <c r="W96" s="35" t="s">
        <v>3</v>
      </c>
      <c r="X96" s="14"/>
      <c r="Y96" s="15"/>
      <c r="Z96" s="15"/>
      <c r="AA96" s="15"/>
      <c r="AB96" s="15"/>
      <c r="AC96" s="16"/>
      <c r="AE96" s="35" t="s">
        <v>3</v>
      </c>
      <c r="AF96" s="14"/>
      <c r="AG96" s="15"/>
      <c r="AH96" s="15"/>
      <c r="AI96" s="15"/>
      <c r="AJ96" s="15"/>
      <c r="AK96" s="16"/>
    </row>
    <row r="97" spans="1:37" ht="15.75" thickBot="1" x14ac:dyDescent="0.3">
      <c r="A97" s="168"/>
      <c r="B97" s="18">
        <v>41109</v>
      </c>
      <c r="C97" s="18">
        <v>42332</v>
      </c>
      <c r="D97" s="18">
        <v>42332</v>
      </c>
      <c r="E97" s="18">
        <v>43940</v>
      </c>
      <c r="F97" s="18">
        <f>SUM(C97-B97)</f>
        <v>1223</v>
      </c>
      <c r="G97" s="18">
        <f>SUM(E97-D97)</f>
        <v>1608</v>
      </c>
      <c r="H97" s="33">
        <f>SUM(F97:G97)</f>
        <v>2831</v>
      </c>
      <c r="J97" s="36" t="s">
        <v>21</v>
      </c>
      <c r="K97" s="19">
        <v>262.04000000000002</v>
      </c>
      <c r="L97" s="20">
        <v>267.95</v>
      </c>
      <c r="M97" s="20">
        <v>270.14999999999998</v>
      </c>
      <c r="N97" s="20">
        <v>85.6</v>
      </c>
      <c r="O97" s="20">
        <v>160.08000000000001</v>
      </c>
      <c r="P97" s="20">
        <v>187.1</v>
      </c>
      <c r="Q97" s="20">
        <v>287.39</v>
      </c>
      <c r="R97" s="20"/>
      <c r="S97" s="20"/>
      <c r="T97" s="20"/>
      <c r="U97" s="21"/>
      <c r="W97" s="36" t="s">
        <v>21</v>
      </c>
      <c r="X97" s="19"/>
      <c r="Y97" s="20"/>
      <c r="Z97" s="20"/>
      <c r="AA97" s="20"/>
      <c r="AB97" s="20"/>
      <c r="AC97" s="21"/>
      <c r="AE97" s="36" t="s">
        <v>21</v>
      </c>
      <c r="AF97" s="19"/>
      <c r="AG97" s="20"/>
      <c r="AH97" s="20"/>
      <c r="AI97" s="20"/>
      <c r="AJ97" s="20"/>
      <c r="AK97" s="21"/>
    </row>
    <row r="98" spans="1:37" x14ac:dyDescent="0.25">
      <c r="F98" s="2"/>
      <c r="G98" s="2"/>
      <c r="H98" s="2"/>
      <c r="J98" s="37"/>
      <c r="T98" s="22" t="s">
        <v>22</v>
      </c>
      <c r="U98" s="23">
        <f>SUM(K97:U97)</f>
        <v>1520.31</v>
      </c>
      <c r="AB98" s="22" t="s">
        <v>22</v>
      </c>
      <c r="AC98" s="23">
        <f>SUM(X97:AC97)</f>
        <v>0</v>
      </c>
      <c r="AJ98" s="22" t="s">
        <v>22</v>
      </c>
      <c r="AK98" s="23">
        <f>SUM(AF97:AK97)</f>
        <v>0</v>
      </c>
    </row>
    <row r="99" spans="1:37" ht="15.75" thickBot="1" x14ac:dyDescent="0.3">
      <c r="A99" s="34"/>
      <c r="B99" s="171" t="s">
        <v>19</v>
      </c>
      <c r="C99" s="171"/>
      <c r="D99" s="171"/>
      <c r="E99" s="171"/>
      <c r="F99" s="171"/>
      <c r="G99" s="171"/>
      <c r="H99" s="171"/>
      <c r="J99" s="172" t="s">
        <v>19</v>
      </c>
      <c r="K99" s="172"/>
      <c r="L99" s="172"/>
      <c r="M99" s="172"/>
      <c r="N99" s="172"/>
      <c r="O99" s="172"/>
      <c r="P99" s="172"/>
      <c r="Q99" s="172"/>
      <c r="R99" s="172"/>
      <c r="S99" s="172"/>
      <c r="T99" s="172"/>
      <c r="U99" s="172"/>
      <c r="W99" s="173" t="str">
        <f>J99</f>
        <v>Novembro</v>
      </c>
      <c r="X99" s="173"/>
      <c r="Y99" s="173"/>
      <c r="Z99" s="173"/>
      <c r="AA99" s="173"/>
      <c r="AB99" s="173"/>
      <c r="AC99" s="173"/>
      <c r="AE99" s="174" t="str">
        <f>W99</f>
        <v>Novembro</v>
      </c>
      <c r="AF99" s="174"/>
      <c r="AG99" s="174"/>
      <c r="AH99" s="174"/>
      <c r="AI99" s="174"/>
      <c r="AJ99" s="174"/>
      <c r="AK99" s="174"/>
    </row>
    <row r="100" spans="1:37" ht="15.75" thickBot="1" x14ac:dyDescent="0.3">
      <c r="A100" s="168" t="s">
        <v>4</v>
      </c>
      <c r="B100" s="10" t="s">
        <v>5</v>
      </c>
      <c r="C100" s="11" t="s">
        <v>6</v>
      </c>
      <c r="D100" s="12" t="s">
        <v>7</v>
      </c>
      <c r="E100" s="11" t="s">
        <v>8</v>
      </c>
      <c r="F100" s="12" t="s">
        <v>9</v>
      </c>
      <c r="G100" s="11" t="s">
        <v>10</v>
      </c>
      <c r="H100" s="32" t="s">
        <v>11</v>
      </c>
      <c r="J100" s="35" t="s">
        <v>3</v>
      </c>
      <c r="K100" s="14">
        <v>45965</v>
      </c>
      <c r="L100" s="24">
        <v>45967</v>
      </c>
      <c r="M100" s="24">
        <v>45969</v>
      </c>
      <c r="N100" s="24">
        <v>45972</v>
      </c>
      <c r="O100" s="24">
        <v>45974</v>
      </c>
      <c r="P100" s="24">
        <v>45976</v>
      </c>
      <c r="Q100" s="24">
        <v>45979</v>
      </c>
      <c r="R100" s="24">
        <v>45981</v>
      </c>
      <c r="S100" s="24">
        <v>45986</v>
      </c>
      <c r="T100" s="24">
        <v>45990</v>
      </c>
      <c r="U100" s="16"/>
      <c r="W100" s="35" t="s">
        <v>3</v>
      </c>
      <c r="X100" s="14"/>
      <c r="Y100" s="15"/>
      <c r="Z100" s="15"/>
      <c r="AA100" s="15"/>
      <c r="AB100" s="15"/>
      <c r="AC100" s="16"/>
      <c r="AE100" s="35" t="s">
        <v>3</v>
      </c>
      <c r="AF100" s="14"/>
      <c r="AG100" s="15"/>
      <c r="AH100" s="15"/>
      <c r="AI100" s="15"/>
      <c r="AJ100" s="15"/>
      <c r="AK100" s="16"/>
    </row>
    <row r="101" spans="1:37" ht="15.75" thickBot="1" x14ac:dyDescent="0.3">
      <c r="A101" s="168"/>
      <c r="B101" s="18">
        <v>43940</v>
      </c>
      <c r="C101" s="18">
        <v>46007</v>
      </c>
      <c r="D101" s="18">
        <v>46007</v>
      </c>
      <c r="E101" s="18">
        <v>48079</v>
      </c>
      <c r="F101" s="18">
        <f>SUM(C101-B101)</f>
        <v>2067</v>
      </c>
      <c r="G101" s="18">
        <f>SUM(E101-D101)</f>
        <v>2072</v>
      </c>
      <c r="H101" s="33">
        <f>SUM(F101:G101)</f>
        <v>4139</v>
      </c>
      <c r="J101" s="36" t="s">
        <v>21</v>
      </c>
      <c r="K101" s="19">
        <v>225.05</v>
      </c>
      <c r="L101" s="20">
        <v>106.61</v>
      </c>
      <c r="M101" s="20">
        <v>173.66</v>
      </c>
      <c r="N101" s="20">
        <v>281.16000000000003</v>
      </c>
      <c r="O101" s="20">
        <v>203.1</v>
      </c>
      <c r="P101" s="20">
        <v>79.19</v>
      </c>
      <c r="Q101" s="20">
        <v>299.58</v>
      </c>
      <c r="R101" s="20">
        <v>175.93</v>
      </c>
      <c r="S101" s="20">
        <v>150.19999999999999</v>
      </c>
      <c r="T101" s="20">
        <v>212.72</v>
      </c>
      <c r="U101" s="21"/>
      <c r="W101" s="36" t="s">
        <v>21</v>
      </c>
      <c r="X101" s="19"/>
      <c r="Y101" s="20"/>
      <c r="Z101" s="20"/>
      <c r="AA101" s="20"/>
      <c r="AB101" s="20"/>
      <c r="AC101" s="21"/>
      <c r="AE101" s="36" t="s">
        <v>21</v>
      </c>
      <c r="AF101" s="19"/>
      <c r="AG101" s="20"/>
      <c r="AH101" s="20"/>
      <c r="AI101" s="20"/>
      <c r="AJ101" s="20"/>
      <c r="AK101" s="21"/>
    </row>
    <row r="102" spans="1:37" x14ac:dyDescent="0.25">
      <c r="F102" s="2"/>
      <c r="G102" s="2"/>
      <c r="H102" s="2"/>
      <c r="J102" s="37"/>
      <c r="T102" s="22" t="s">
        <v>22</v>
      </c>
      <c r="U102" s="23">
        <f>SUM(K101:U101)</f>
        <v>1907.2</v>
      </c>
      <c r="AB102" s="22" t="s">
        <v>22</v>
      </c>
      <c r="AC102" s="23">
        <f>SUM(X101:AC101)</f>
        <v>0</v>
      </c>
      <c r="AJ102" s="22" t="s">
        <v>22</v>
      </c>
      <c r="AK102" s="23">
        <f>SUM(AF101:AK101)</f>
        <v>0</v>
      </c>
    </row>
    <row r="103" spans="1:37" ht="15.75" thickBot="1" x14ac:dyDescent="0.3">
      <c r="A103" s="34"/>
      <c r="B103" s="171" t="s">
        <v>20</v>
      </c>
      <c r="C103" s="171"/>
      <c r="D103" s="171"/>
      <c r="E103" s="171"/>
      <c r="F103" s="171"/>
      <c r="G103" s="171"/>
      <c r="H103" s="171"/>
      <c r="J103" s="172" t="s">
        <v>20</v>
      </c>
      <c r="K103" s="172"/>
      <c r="L103" s="172"/>
      <c r="M103" s="172"/>
      <c r="N103" s="172"/>
      <c r="O103" s="172"/>
      <c r="P103" s="172"/>
      <c r="Q103" s="172"/>
      <c r="R103" s="172"/>
      <c r="S103" s="172"/>
      <c r="T103" s="172"/>
      <c r="U103" s="172"/>
      <c r="W103" s="173" t="str">
        <f>J103</f>
        <v>Dezembro</v>
      </c>
      <c r="X103" s="173"/>
      <c r="Y103" s="173"/>
      <c r="Z103" s="173"/>
      <c r="AA103" s="173"/>
      <c r="AB103" s="173"/>
      <c r="AC103" s="173"/>
      <c r="AE103" s="174" t="str">
        <f>W103</f>
        <v>Dezembro</v>
      </c>
      <c r="AF103" s="174"/>
      <c r="AG103" s="174"/>
      <c r="AH103" s="174"/>
      <c r="AI103" s="174"/>
      <c r="AJ103" s="174"/>
      <c r="AK103" s="174"/>
    </row>
    <row r="104" spans="1:37" ht="15.75" thickBot="1" x14ac:dyDescent="0.3">
      <c r="A104" s="168" t="s">
        <v>4</v>
      </c>
      <c r="B104" s="10" t="s">
        <v>5</v>
      </c>
      <c r="C104" s="11" t="s">
        <v>6</v>
      </c>
      <c r="D104" s="12" t="s">
        <v>7</v>
      </c>
      <c r="E104" s="11" t="s">
        <v>8</v>
      </c>
      <c r="F104" s="12" t="s">
        <v>9</v>
      </c>
      <c r="G104" s="11" t="s">
        <v>10</v>
      </c>
      <c r="H104" s="32" t="s">
        <v>11</v>
      </c>
      <c r="J104" s="35" t="s">
        <v>3</v>
      </c>
      <c r="K104" s="149">
        <v>45993</v>
      </c>
      <c r="L104" s="150">
        <v>45997</v>
      </c>
      <c r="M104" s="150">
        <v>46000</v>
      </c>
      <c r="N104" s="150">
        <v>46002</v>
      </c>
      <c r="O104" s="150">
        <v>46007</v>
      </c>
      <c r="P104" s="150">
        <v>46009</v>
      </c>
      <c r="Q104" s="151"/>
      <c r="R104" s="151"/>
      <c r="S104" s="151"/>
      <c r="T104" s="151"/>
      <c r="U104" s="152"/>
      <c r="W104" s="35" t="s">
        <v>3</v>
      </c>
      <c r="X104" s="14"/>
      <c r="Y104" s="15"/>
      <c r="Z104" s="15"/>
      <c r="AA104" s="15"/>
      <c r="AB104" s="15"/>
      <c r="AC104" s="16"/>
      <c r="AE104" s="35" t="s">
        <v>3</v>
      </c>
      <c r="AF104" s="14"/>
      <c r="AG104" s="15"/>
      <c r="AH104" s="15"/>
      <c r="AI104" s="15"/>
      <c r="AJ104" s="15"/>
      <c r="AK104" s="16"/>
    </row>
    <row r="105" spans="1:37" ht="15.75" thickBot="1" x14ac:dyDescent="0.3">
      <c r="A105" s="168"/>
      <c r="B105" s="18">
        <v>48079</v>
      </c>
      <c r="C105" s="18">
        <v>50229</v>
      </c>
      <c r="D105" s="18">
        <v>50229</v>
      </c>
      <c r="E105" s="18">
        <v>51041</v>
      </c>
      <c r="F105" s="18">
        <f>SUM(C105-B105)</f>
        <v>2150</v>
      </c>
      <c r="G105" s="18">
        <f>SUM(E105-D105)</f>
        <v>812</v>
      </c>
      <c r="H105" s="33">
        <f>SUM(F105:G105)</f>
        <v>2962</v>
      </c>
      <c r="J105" s="36" t="s">
        <v>21</v>
      </c>
      <c r="K105" s="153">
        <v>219.77</v>
      </c>
      <c r="L105" s="154">
        <v>228.86</v>
      </c>
      <c r="M105" s="154">
        <v>140.07</v>
      </c>
      <c r="N105" s="154">
        <v>86.04</v>
      </c>
      <c r="O105" s="154">
        <v>47.1</v>
      </c>
      <c r="P105" s="154">
        <v>207.06</v>
      </c>
      <c r="Q105" s="154"/>
      <c r="R105" s="154"/>
      <c r="S105" s="154"/>
      <c r="T105" s="154"/>
      <c r="U105" s="155"/>
      <c r="W105" s="36" t="s">
        <v>21</v>
      </c>
      <c r="X105" s="19"/>
      <c r="Y105" s="20"/>
      <c r="Z105" s="20"/>
      <c r="AA105" s="20"/>
      <c r="AB105" s="20"/>
      <c r="AC105" s="21"/>
      <c r="AE105" s="36" t="s">
        <v>21</v>
      </c>
      <c r="AF105" s="19"/>
      <c r="AG105" s="20"/>
      <c r="AH105" s="20"/>
      <c r="AI105" s="20"/>
      <c r="AJ105" s="20"/>
      <c r="AK105" s="21"/>
    </row>
    <row r="106" spans="1:37" x14ac:dyDescent="0.25">
      <c r="J106" s="37"/>
      <c r="T106" s="22" t="s">
        <v>22</v>
      </c>
      <c r="U106" s="23">
        <f>SUM(K105:U105)</f>
        <v>928.90000000000009</v>
      </c>
      <c r="AB106" s="22" t="s">
        <v>22</v>
      </c>
      <c r="AC106" s="23">
        <f>SUM(X105:AC105)</f>
        <v>0</v>
      </c>
      <c r="AJ106" s="22" t="s">
        <v>22</v>
      </c>
      <c r="AK106" s="23">
        <f>SUM(AF105:AK105)</f>
        <v>0</v>
      </c>
    </row>
    <row r="107" spans="1:37" ht="15.75" thickBot="1" x14ac:dyDescent="0.3">
      <c r="A107" s="141">
        <v>2026</v>
      </c>
      <c r="B107" s="189" t="s">
        <v>54</v>
      </c>
      <c r="C107" s="171"/>
      <c r="D107" s="171"/>
      <c r="E107" s="171"/>
      <c r="F107" s="171"/>
      <c r="G107" s="171"/>
      <c r="H107" s="171"/>
      <c r="I107" s="6"/>
      <c r="J107" s="172" t="s">
        <v>54</v>
      </c>
      <c r="K107" s="172"/>
      <c r="L107" s="172"/>
      <c r="M107" s="172"/>
      <c r="N107" s="172"/>
      <c r="O107" s="172"/>
      <c r="P107" s="172"/>
      <c r="Q107" s="172"/>
      <c r="R107" s="172"/>
      <c r="S107" s="172"/>
      <c r="T107" s="172"/>
      <c r="U107" s="172"/>
      <c r="V107" s="8"/>
      <c r="W107" s="173" t="s">
        <v>54</v>
      </c>
      <c r="X107" s="173"/>
      <c r="Y107" s="173"/>
      <c r="Z107" s="173"/>
      <c r="AA107" s="173"/>
      <c r="AB107" s="173"/>
      <c r="AC107" s="173"/>
      <c r="AD107" s="8"/>
      <c r="AE107" s="174" t="s">
        <v>54</v>
      </c>
      <c r="AF107" s="174"/>
      <c r="AG107" s="174"/>
      <c r="AH107" s="174"/>
      <c r="AI107" s="174"/>
      <c r="AJ107" s="174"/>
      <c r="AK107" s="174"/>
    </row>
    <row r="108" spans="1:37" ht="15.75" thickBot="1" x14ac:dyDescent="0.3">
      <c r="A108" s="168" t="s">
        <v>4</v>
      </c>
      <c r="B108" s="10" t="s">
        <v>5</v>
      </c>
      <c r="C108" s="11" t="s">
        <v>6</v>
      </c>
      <c r="D108" s="12" t="s">
        <v>7</v>
      </c>
      <c r="E108" s="11" t="s">
        <v>8</v>
      </c>
      <c r="F108" s="12" t="s">
        <v>9</v>
      </c>
      <c r="G108" s="11" t="s">
        <v>10</v>
      </c>
      <c r="H108" s="32" t="s">
        <v>11</v>
      </c>
      <c r="I108" s="6"/>
      <c r="J108" s="35" t="s">
        <v>3</v>
      </c>
      <c r="K108" s="14">
        <v>46028</v>
      </c>
      <c r="L108" s="24">
        <v>46030</v>
      </c>
      <c r="M108" s="24">
        <v>46032</v>
      </c>
      <c r="N108" s="24">
        <v>46037</v>
      </c>
      <c r="O108" s="24">
        <v>46042</v>
      </c>
      <c r="P108" s="24">
        <v>46044</v>
      </c>
      <c r="Q108" s="24">
        <v>46049</v>
      </c>
      <c r="R108" s="24">
        <v>46051</v>
      </c>
      <c r="S108" s="15"/>
      <c r="T108" s="15"/>
      <c r="U108" s="16"/>
      <c r="V108" s="8"/>
      <c r="W108" s="35" t="s">
        <v>3</v>
      </c>
      <c r="X108" s="14"/>
      <c r="Y108" s="15"/>
      <c r="Z108" s="15"/>
      <c r="AA108" s="15"/>
      <c r="AB108" s="15"/>
      <c r="AC108" s="16"/>
      <c r="AD108" s="8"/>
      <c r="AE108" s="35" t="s">
        <v>3</v>
      </c>
      <c r="AF108" s="14"/>
      <c r="AG108" s="15"/>
      <c r="AH108" s="15"/>
      <c r="AI108" s="15"/>
      <c r="AJ108" s="15"/>
      <c r="AK108" s="16"/>
    </row>
    <row r="109" spans="1:37" ht="15.75" thickBot="1" x14ac:dyDescent="0.3">
      <c r="A109" s="168"/>
      <c r="B109" s="17">
        <v>51500</v>
      </c>
      <c r="C109" s="18">
        <v>52870</v>
      </c>
      <c r="D109" s="18">
        <v>52870</v>
      </c>
      <c r="E109" s="18">
        <v>54784</v>
      </c>
      <c r="F109" s="18">
        <f>SUM(C109-B109)</f>
        <v>1370</v>
      </c>
      <c r="G109" s="18">
        <f>SUM(E109-D109)</f>
        <v>1914</v>
      </c>
      <c r="H109" s="33">
        <f>SUM(F109:G109)</f>
        <v>3284</v>
      </c>
      <c r="I109" s="6"/>
      <c r="J109" s="36" t="s">
        <v>21</v>
      </c>
      <c r="K109" s="19">
        <v>149.94999999999999</v>
      </c>
      <c r="L109" s="20">
        <v>296.25</v>
      </c>
      <c r="M109" s="20">
        <v>229.89</v>
      </c>
      <c r="N109" s="20">
        <v>203.79</v>
      </c>
      <c r="O109" s="20">
        <v>162.15</v>
      </c>
      <c r="P109" s="20">
        <v>187.28</v>
      </c>
      <c r="Q109" s="20">
        <v>294.12</v>
      </c>
      <c r="R109" s="20">
        <v>149.38999999999999</v>
      </c>
      <c r="S109" s="20"/>
      <c r="T109" s="20"/>
      <c r="U109" s="21"/>
      <c r="V109" s="8"/>
      <c r="W109" s="36" t="s">
        <v>21</v>
      </c>
      <c r="X109" s="19"/>
      <c r="Y109" s="20"/>
      <c r="Z109" s="20"/>
      <c r="AA109" s="20"/>
      <c r="AB109" s="20"/>
      <c r="AC109" s="21"/>
      <c r="AD109" s="8"/>
      <c r="AE109" s="36" t="s">
        <v>21</v>
      </c>
      <c r="AF109" s="19"/>
      <c r="AG109" s="20"/>
      <c r="AH109" s="20"/>
      <c r="AI109" s="20"/>
      <c r="AJ109" s="20"/>
      <c r="AK109" s="21"/>
    </row>
    <row r="110" spans="1:37" x14ac:dyDescent="0.25">
      <c r="A110" s="7"/>
      <c r="B110" s="7"/>
      <c r="C110" s="7"/>
      <c r="D110" s="7"/>
      <c r="E110" s="7"/>
      <c r="F110" s="7"/>
      <c r="G110" s="7"/>
      <c r="H110" s="7"/>
      <c r="I110" s="6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22" t="s">
        <v>22</v>
      </c>
      <c r="U110" s="23">
        <f>SUM(K109:U109)</f>
        <v>1672.8199999999997</v>
      </c>
      <c r="V110" s="8"/>
      <c r="AB110" s="22" t="s">
        <v>22</v>
      </c>
      <c r="AC110" s="23">
        <f>SUM(X109:AC109)</f>
        <v>0</v>
      </c>
      <c r="AD110" s="8"/>
      <c r="AJ110" s="22" t="s">
        <v>22</v>
      </c>
      <c r="AK110" s="23">
        <f>SUM(AF109:AK109)</f>
        <v>0</v>
      </c>
    </row>
    <row r="111" spans="1:37" ht="15.75" thickBot="1" x14ac:dyDescent="0.3">
      <c r="A111" s="34"/>
      <c r="B111" s="171" t="s">
        <v>2</v>
      </c>
      <c r="C111" s="171"/>
      <c r="D111" s="171"/>
      <c r="E111" s="171"/>
      <c r="F111" s="171"/>
      <c r="G111" s="171"/>
      <c r="H111" s="171"/>
      <c r="J111" s="172" t="s">
        <v>2</v>
      </c>
      <c r="K111" s="172"/>
      <c r="L111" s="172"/>
      <c r="M111" s="172"/>
      <c r="N111" s="172"/>
      <c r="O111" s="172"/>
      <c r="P111" s="172"/>
      <c r="Q111" s="172"/>
      <c r="R111" s="172"/>
      <c r="S111" s="172"/>
      <c r="T111" s="172"/>
      <c r="U111" s="172"/>
      <c r="W111" s="173" t="s">
        <v>2</v>
      </c>
      <c r="X111" s="173"/>
      <c r="Y111" s="173"/>
      <c r="Z111" s="173"/>
      <c r="AA111" s="173"/>
      <c r="AB111" s="173"/>
      <c r="AC111" s="173"/>
      <c r="AE111" s="174" t="s">
        <v>2</v>
      </c>
      <c r="AF111" s="174"/>
      <c r="AG111" s="174"/>
      <c r="AH111" s="174"/>
      <c r="AI111" s="174"/>
      <c r="AJ111" s="174"/>
      <c r="AK111" s="174"/>
    </row>
    <row r="112" spans="1:37" ht="15.75" thickBot="1" x14ac:dyDescent="0.3">
      <c r="A112" s="168" t="s">
        <v>4</v>
      </c>
      <c r="B112" s="10" t="s">
        <v>5</v>
      </c>
      <c r="C112" s="11" t="s">
        <v>6</v>
      </c>
      <c r="D112" s="12" t="s">
        <v>7</v>
      </c>
      <c r="E112" s="11" t="s">
        <v>8</v>
      </c>
      <c r="F112" s="12" t="s">
        <v>9</v>
      </c>
      <c r="G112" s="11" t="s">
        <v>10</v>
      </c>
      <c r="H112" s="32" t="s">
        <v>11</v>
      </c>
      <c r="J112" s="35" t="s">
        <v>3</v>
      </c>
      <c r="K112" s="14">
        <v>46056</v>
      </c>
      <c r="L112" s="24">
        <v>46058</v>
      </c>
      <c r="M112" s="24">
        <v>46066</v>
      </c>
      <c r="N112" s="15"/>
      <c r="O112" s="15"/>
      <c r="P112" s="15"/>
      <c r="Q112" s="15"/>
      <c r="R112" s="15"/>
      <c r="S112" s="15"/>
      <c r="T112" s="15"/>
      <c r="U112" s="16"/>
      <c r="W112" s="35" t="s">
        <v>3</v>
      </c>
      <c r="X112" s="14"/>
      <c r="Y112" s="15"/>
      <c r="Z112" s="15"/>
      <c r="AA112" s="15"/>
      <c r="AB112" s="15"/>
      <c r="AC112" s="16"/>
      <c r="AE112" s="35" t="s">
        <v>3</v>
      </c>
      <c r="AF112" s="14"/>
      <c r="AG112" s="15"/>
      <c r="AH112" s="15"/>
      <c r="AI112" s="15"/>
      <c r="AJ112" s="15"/>
      <c r="AK112" s="16"/>
    </row>
    <row r="113" spans="1:37" ht="15.75" thickBot="1" x14ac:dyDescent="0.3">
      <c r="A113" s="168"/>
      <c r="B113" s="18">
        <v>54784</v>
      </c>
      <c r="C113" s="18">
        <v>55790</v>
      </c>
      <c r="D113" s="18"/>
      <c r="E113" s="18"/>
      <c r="F113" s="18">
        <f>SUM(C113-B113)</f>
        <v>1006</v>
      </c>
      <c r="G113" s="18">
        <f>SUM(E113-D113)</f>
        <v>0</v>
      </c>
      <c r="H113" s="33">
        <f>SUM(F113:G113)</f>
        <v>1006</v>
      </c>
      <c r="J113" s="36" t="s">
        <v>21</v>
      </c>
      <c r="K113" s="19">
        <v>226.44</v>
      </c>
      <c r="L113" s="20">
        <v>160.16999999999999</v>
      </c>
      <c r="M113" s="20">
        <v>192.87</v>
      </c>
      <c r="N113" s="20"/>
      <c r="O113" s="20"/>
      <c r="P113" s="20"/>
      <c r="Q113" s="20"/>
      <c r="R113" s="20"/>
      <c r="S113" s="20"/>
      <c r="T113" s="20"/>
      <c r="U113" s="21"/>
      <c r="W113" s="36" t="s">
        <v>21</v>
      </c>
      <c r="X113" s="19"/>
      <c r="Y113" s="20"/>
      <c r="Z113" s="20"/>
      <c r="AA113" s="20"/>
      <c r="AB113" s="20"/>
      <c r="AC113" s="21"/>
      <c r="AE113" s="36" t="s">
        <v>21</v>
      </c>
      <c r="AF113" s="19"/>
      <c r="AG113" s="20"/>
      <c r="AH113" s="20"/>
      <c r="AI113" s="20"/>
      <c r="AJ113" s="20"/>
      <c r="AK113" s="21"/>
    </row>
    <row r="114" spans="1:37" x14ac:dyDescent="0.25">
      <c r="F114" s="2"/>
      <c r="G114" s="2"/>
      <c r="H114" s="2"/>
      <c r="J114" s="37"/>
      <c r="T114" s="22" t="s">
        <v>22</v>
      </c>
      <c r="U114" s="23">
        <f>SUM(K113:U113)</f>
        <v>579.48</v>
      </c>
      <c r="AB114" s="22" t="s">
        <v>22</v>
      </c>
      <c r="AC114" s="23">
        <f>SUM(X113:AC113)</f>
        <v>0</v>
      </c>
      <c r="AJ114" s="22" t="s">
        <v>22</v>
      </c>
      <c r="AK114" s="23">
        <f>SUM(AF113:AK113)</f>
        <v>0</v>
      </c>
    </row>
    <row r="115" spans="1:37" ht="15.75" thickBot="1" x14ac:dyDescent="0.3">
      <c r="A115" s="34"/>
      <c r="B115" s="171" t="s">
        <v>12</v>
      </c>
      <c r="C115" s="171"/>
      <c r="D115" s="171"/>
      <c r="E115" s="171"/>
      <c r="F115" s="171"/>
      <c r="G115" s="171"/>
      <c r="H115" s="171"/>
      <c r="J115" s="172" t="s">
        <v>12</v>
      </c>
      <c r="K115" s="172"/>
      <c r="L115" s="172"/>
      <c r="M115" s="172"/>
      <c r="N115" s="172"/>
      <c r="O115" s="172"/>
      <c r="P115" s="172"/>
      <c r="Q115" s="172"/>
      <c r="R115" s="172"/>
      <c r="S115" s="172"/>
      <c r="T115" s="172"/>
      <c r="U115" s="172"/>
      <c r="W115" s="173" t="str">
        <f>J115</f>
        <v>Março</v>
      </c>
      <c r="X115" s="173"/>
      <c r="Y115" s="173"/>
      <c r="Z115" s="173"/>
      <c r="AA115" s="173"/>
      <c r="AB115" s="173"/>
      <c r="AC115" s="173"/>
      <c r="AE115" s="174" t="str">
        <f>W115</f>
        <v>Março</v>
      </c>
      <c r="AF115" s="174"/>
      <c r="AG115" s="174"/>
      <c r="AH115" s="174"/>
      <c r="AI115" s="174"/>
      <c r="AJ115" s="174"/>
      <c r="AK115" s="174"/>
    </row>
    <row r="116" spans="1:37" ht="15.75" thickBot="1" x14ac:dyDescent="0.3">
      <c r="A116" s="168" t="s">
        <v>4</v>
      </c>
      <c r="B116" s="10" t="s">
        <v>5</v>
      </c>
      <c r="C116" s="11" t="s">
        <v>6</v>
      </c>
      <c r="D116" s="12" t="s">
        <v>7</v>
      </c>
      <c r="E116" s="11" t="s">
        <v>8</v>
      </c>
      <c r="F116" s="12" t="s">
        <v>9</v>
      </c>
      <c r="G116" s="11" t="s">
        <v>10</v>
      </c>
      <c r="H116" s="32" t="s">
        <v>11</v>
      </c>
      <c r="J116" s="35" t="s">
        <v>3</v>
      </c>
      <c r="K116" s="14"/>
      <c r="L116" s="24"/>
      <c r="M116" s="24"/>
      <c r="N116" s="15"/>
      <c r="O116" s="15"/>
      <c r="P116" s="15"/>
      <c r="Q116" s="15"/>
      <c r="R116" s="15"/>
      <c r="S116" s="15"/>
      <c r="T116" s="15"/>
      <c r="U116" s="16"/>
      <c r="W116" s="35" t="s">
        <v>3</v>
      </c>
      <c r="X116" s="14"/>
      <c r="Y116" s="15"/>
      <c r="Z116" s="15"/>
      <c r="AA116" s="15"/>
      <c r="AB116" s="15"/>
      <c r="AC116" s="16"/>
      <c r="AE116" s="35" t="s">
        <v>3</v>
      </c>
      <c r="AF116" s="14"/>
      <c r="AG116" s="15"/>
      <c r="AH116" s="15"/>
      <c r="AI116" s="15"/>
      <c r="AJ116" s="15"/>
      <c r="AK116" s="16"/>
    </row>
    <row r="117" spans="1:37" ht="15.75" thickBot="1" x14ac:dyDescent="0.3">
      <c r="A117" s="168"/>
      <c r="B117" s="17"/>
      <c r="C117" s="18"/>
      <c r="D117" s="18"/>
      <c r="E117" s="18"/>
      <c r="F117" s="18">
        <f>SUM(C117-B117)</f>
        <v>0</v>
      </c>
      <c r="G117" s="18">
        <f>SUM(E117-D117)</f>
        <v>0</v>
      </c>
      <c r="H117" s="33">
        <f>SUM(F117:G117)</f>
        <v>0</v>
      </c>
      <c r="J117" s="36" t="s">
        <v>21</v>
      </c>
      <c r="K117" s="19"/>
      <c r="L117" s="20"/>
      <c r="M117" s="20"/>
      <c r="N117" s="20"/>
      <c r="O117" s="20"/>
      <c r="P117" s="20"/>
      <c r="Q117" s="20"/>
      <c r="R117" s="20"/>
      <c r="S117" s="20"/>
      <c r="T117" s="20"/>
      <c r="U117" s="21"/>
      <c r="W117" s="36" t="s">
        <v>21</v>
      </c>
      <c r="X117" s="19"/>
      <c r="Y117" s="20"/>
      <c r="Z117" s="20"/>
      <c r="AA117" s="20"/>
      <c r="AB117" s="20"/>
      <c r="AC117" s="21"/>
      <c r="AE117" s="36" t="s">
        <v>21</v>
      </c>
      <c r="AF117" s="19"/>
      <c r="AG117" s="20"/>
      <c r="AH117" s="20"/>
      <c r="AI117" s="20"/>
      <c r="AJ117" s="20"/>
      <c r="AK117" s="21"/>
    </row>
    <row r="118" spans="1:37" x14ac:dyDescent="0.25">
      <c r="F118" s="2"/>
      <c r="G118" s="2"/>
      <c r="H118" s="2"/>
      <c r="J118" s="37"/>
      <c r="T118" s="22" t="s">
        <v>22</v>
      </c>
      <c r="U118" s="23">
        <f>SUM(K117:U117)</f>
        <v>0</v>
      </c>
      <c r="AB118" s="22" t="s">
        <v>22</v>
      </c>
      <c r="AC118" s="23">
        <f>SUM(X117:AC117)</f>
        <v>0</v>
      </c>
      <c r="AJ118" s="22" t="s">
        <v>22</v>
      </c>
      <c r="AK118" s="23">
        <f>SUM(AF117:AK117)</f>
        <v>0</v>
      </c>
    </row>
    <row r="119" spans="1:37" ht="15.75" thickBot="1" x14ac:dyDescent="0.3">
      <c r="A119" s="34"/>
      <c r="B119" s="171" t="s">
        <v>13</v>
      </c>
      <c r="C119" s="171"/>
      <c r="D119" s="171"/>
      <c r="E119" s="171"/>
      <c r="F119" s="171"/>
      <c r="G119" s="171"/>
      <c r="H119" s="171"/>
      <c r="J119" s="172" t="s">
        <v>13</v>
      </c>
      <c r="K119" s="172"/>
      <c r="L119" s="172"/>
      <c r="M119" s="172"/>
      <c r="N119" s="172"/>
      <c r="O119" s="172"/>
      <c r="P119" s="172"/>
      <c r="Q119" s="172"/>
      <c r="R119" s="172"/>
      <c r="S119" s="172"/>
      <c r="T119" s="172"/>
      <c r="U119" s="172"/>
      <c r="W119" s="173" t="str">
        <f>J119</f>
        <v>Abril</v>
      </c>
      <c r="X119" s="173"/>
      <c r="Y119" s="173"/>
      <c r="Z119" s="173"/>
      <c r="AA119" s="173"/>
      <c r="AB119" s="173"/>
      <c r="AC119" s="173"/>
      <c r="AE119" s="174" t="str">
        <f>W119</f>
        <v>Abril</v>
      </c>
      <c r="AF119" s="174"/>
      <c r="AG119" s="174"/>
      <c r="AH119" s="174"/>
      <c r="AI119" s="174"/>
      <c r="AJ119" s="174"/>
      <c r="AK119" s="174"/>
    </row>
    <row r="120" spans="1:37" ht="15.75" thickBot="1" x14ac:dyDescent="0.3">
      <c r="A120" s="168" t="s">
        <v>4</v>
      </c>
      <c r="B120" s="10" t="s">
        <v>5</v>
      </c>
      <c r="C120" s="11" t="s">
        <v>6</v>
      </c>
      <c r="D120" s="12" t="s">
        <v>7</v>
      </c>
      <c r="E120" s="11" t="s">
        <v>8</v>
      </c>
      <c r="F120" s="12" t="s">
        <v>9</v>
      </c>
      <c r="G120" s="11" t="s">
        <v>10</v>
      </c>
      <c r="H120" s="32" t="s">
        <v>11</v>
      </c>
      <c r="J120" s="35" t="s">
        <v>3</v>
      </c>
      <c r="K120" s="14"/>
      <c r="L120" s="15"/>
      <c r="M120" s="15"/>
      <c r="N120" s="15"/>
      <c r="O120" s="15"/>
      <c r="P120" s="15"/>
      <c r="Q120" s="15"/>
      <c r="R120" s="15"/>
      <c r="S120" s="15"/>
      <c r="T120" s="15"/>
      <c r="U120" s="16"/>
      <c r="W120" s="35" t="s">
        <v>3</v>
      </c>
      <c r="X120" s="14"/>
      <c r="Y120" s="15"/>
      <c r="Z120" s="15"/>
      <c r="AA120" s="15"/>
      <c r="AB120" s="15"/>
      <c r="AC120" s="16"/>
      <c r="AE120" s="35" t="s">
        <v>3</v>
      </c>
      <c r="AF120" s="14"/>
      <c r="AG120" s="15"/>
      <c r="AH120" s="15"/>
      <c r="AI120" s="15"/>
      <c r="AJ120" s="15"/>
      <c r="AK120" s="16"/>
    </row>
    <row r="121" spans="1:37" ht="15.75" thickBot="1" x14ac:dyDescent="0.3">
      <c r="A121" s="168"/>
      <c r="B121" s="17"/>
      <c r="C121" s="18"/>
      <c r="D121" s="18"/>
      <c r="E121" s="18"/>
      <c r="F121" s="18">
        <f>SUM(C121-B121)</f>
        <v>0</v>
      </c>
      <c r="G121" s="18">
        <f>SUM(E121-D121)</f>
        <v>0</v>
      </c>
      <c r="H121" s="33">
        <f>SUM(F121:G121)</f>
        <v>0</v>
      </c>
      <c r="J121" s="36" t="s">
        <v>21</v>
      </c>
      <c r="K121" s="25"/>
      <c r="L121" s="26"/>
      <c r="M121" s="26"/>
      <c r="N121" s="26"/>
      <c r="O121" s="26"/>
      <c r="P121" s="26"/>
      <c r="Q121" s="26"/>
      <c r="R121" s="26"/>
      <c r="S121" s="26"/>
      <c r="T121" s="26"/>
      <c r="U121" s="27"/>
      <c r="W121" s="36" t="s">
        <v>21</v>
      </c>
      <c r="X121" s="19"/>
      <c r="Y121" s="20"/>
      <c r="Z121" s="20"/>
      <c r="AA121" s="20"/>
      <c r="AB121" s="20"/>
      <c r="AC121" s="21"/>
      <c r="AE121" s="36" t="s">
        <v>21</v>
      </c>
      <c r="AF121" s="19"/>
      <c r="AG121" s="20"/>
      <c r="AH121" s="20"/>
      <c r="AI121" s="20"/>
      <c r="AJ121" s="20"/>
      <c r="AK121" s="21"/>
    </row>
    <row r="122" spans="1:37" x14ac:dyDescent="0.25">
      <c r="F122" s="2"/>
      <c r="G122" s="2"/>
      <c r="H122" s="2"/>
      <c r="J122" s="37"/>
      <c r="T122" s="22" t="s">
        <v>22</v>
      </c>
      <c r="U122" s="23">
        <f>SUM(K121:U121)</f>
        <v>0</v>
      </c>
      <c r="AB122" s="22" t="s">
        <v>22</v>
      </c>
      <c r="AC122" s="23">
        <f>SUM(X121:AC121)</f>
        <v>0</v>
      </c>
      <c r="AJ122" s="22" t="s">
        <v>22</v>
      </c>
      <c r="AK122" s="23">
        <f>SUM(AF121:AK121)</f>
        <v>0</v>
      </c>
    </row>
    <row r="123" spans="1:37" ht="15.75" thickBot="1" x14ac:dyDescent="0.3">
      <c r="A123" s="34"/>
      <c r="B123" s="171" t="s">
        <v>14</v>
      </c>
      <c r="C123" s="171"/>
      <c r="D123" s="171"/>
      <c r="E123" s="171"/>
      <c r="F123" s="171"/>
      <c r="G123" s="171"/>
      <c r="H123" s="171"/>
      <c r="J123" s="172" t="s">
        <v>14</v>
      </c>
      <c r="K123" s="172"/>
      <c r="L123" s="172"/>
      <c r="M123" s="172"/>
      <c r="N123" s="172"/>
      <c r="O123" s="172"/>
      <c r="P123" s="172"/>
      <c r="Q123" s="172"/>
      <c r="R123" s="172"/>
      <c r="S123" s="172"/>
      <c r="T123" s="172"/>
      <c r="U123" s="172"/>
      <c r="W123" s="173" t="str">
        <f>J123</f>
        <v>Maio</v>
      </c>
      <c r="X123" s="173"/>
      <c r="Y123" s="173"/>
      <c r="Z123" s="173"/>
      <c r="AA123" s="173"/>
      <c r="AB123" s="173"/>
      <c r="AC123" s="173"/>
      <c r="AE123" s="174" t="str">
        <f>W123</f>
        <v>Maio</v>
      </c>
      <c r="AF123" s="174"/>
      <c r="AG123" s="174"/>
      <c r="AH123" s="174"/>
      <c r="AI123" s="174"/>
      <c r="AJ123" s="174"/>
      <c r="AK123" s="174"/>
    </row>
    <row r="124" spans="1:37" ht="15.75" thickBot="1" x14ac:dyDescent="0.3">
      <c r="A124" s="168" t="s">
        <v>4</v>
      </c>
      <c r="B124" s="10" t="s">
        <v>5</v>
      </c>
      <c r="C124" s="11" t="s">
        <v>6</v>
      </c>
      <c r="D124" s="12" t="s">
        <v>7</v>
      </c>
      <c r="E124" s="11" t="s">
        <v>8</v>
      </c>
      <c r="F124" s="12" t="s">
        <v>9</v>
      </c>
      <c r="G124" s="11" t="s">
        <v>10</v>
      </c>
      <c r="H124" s="32" t="s">
        <v>11</v>
      </c>
      <c r="J124" s="35" t="s">
        <v>3</v>
      </c>
      <c r="K124" s="14"/>
      <c r="L124" s="15"/>
      <c r="M124" s="15"/>
      <c r="N124" s="15"/>
      <c r="O124" s="15"/>
      <c r="P124" s="15"/>
      <c r="Q124" s="15"/>
      <c r="R124" s="15"/>
      <c r="S124" s="15"/>
      <c r="T124" s="15"/>
      <c r="U124" s="16"/>
      <c r="W124" s="35" t="s">
        <v>3</v>
      </c>
      <c r="X124" s="14"/>
      <c r="Y124" s="15"/>
      <c r="Z124" s="15"/>
      <c r="AA124" s="15"/>
      <c r="AB124" s="15"/>
      <c r="AC124" s="16"/>
      <c r="AE124" s="35" t="s">
        <v>3</v>
      </c>
      <c r="AF124" s="14"/>
      <c r="AG124" s="15"/>
      <c r="AH124" s="15"/>
      <c r="AI124" s="15"/>
      <c r="AJ124" s="15"/>
      <c r="AK124" s="16"/>
    </row>
    <row r="125" spans="1:37" ht="15.75" thickBot="1" x14ac:dyDescent="0.3">
      <c r="A125" s="168"/>
      <c r="B125" s="17"/>
      <c r="C125" s="18"/>
      <c r="D125" s="18"/>
      <c r="E125" s="18"/>
      <c r="F125" s="18">
        <f>SUM(C125-B125)</f>
        <v>0</v>
      </c>
      <c r="G125" s="18">
        <f>SUM(E125-D125)</f>
        <v>0</v>
      </c>
      <c r="H125" s="33">
        <f>SUM(F125:G125)</f>
        <v>0</v>
      </c>
      <c r="J125" s="36" t="s">
        <v>21</v>
      </c>
      <c r="K125" s="19"/>
      <c r="L125" s="20"/>
      <c r="M125" s="20"/>
      <c r="N125" s="20"/>
      <c r="O125" s="20"/>
      <c r="P125" s="20"/>
      <c r="Q125" s="20"/>
      <c r="R125" s="20"/>
      <c r="S125" s="20"/>
      <c r="T125" s="20"/>
      <c r="U125" s="21"/>
      <c r="W125" s="36" t="s">
        <v>21</v>
      </c>
      <c r="X125" s="19"/>
      <c r="Y125" s="20"/>
      <c r="Z125" s="20"/>
      <c r="AA125" s="20"/>
      <c r="AB125" s="20"/>
      <c r="AC125" s="21"/>
      <c r="AE125" s="36" t="s">
        <v>21</v>
      </c>
      <c r="AF125" s="19"/>
      <c r="AG125" s="20"/>
      <c r="AH125" s="20"/>
      <c r="AI125" s="20"/>
      <c r="AJ125" s="20"/>
      <c r="AK125" s="21"/>
    </row>
    <row r="126" spans="1:37" x14ac:dyDescent="0.25">
      <c r="F126" s="2"/>
      <c r="G126" s="2"/>
      <c r="H126" s="2"/>
      <c r="J126" s="37"/>
      <c r="T126" s="22" t="s">
        <v>22</v>
      </c>
      <c r="U126" s="23">
        <f>SUM(K125:U125)</f>
        <v>0</v>
      </c>
      <c r="AB126" s="22" t="s">
        <v>22</v>
      </c>
      <c r="AC126" s="23">
        <f>SUM(X125:AC125)</f>
        <v>0</v>
      </c>
      <c r="AJ126" s="22" t="s">
        <v>22</v>
      </c>
      <c r="AK126" s="23">
        <f>SUM(AF125:AK125)</f>
        <v>0</v>
      </c>
    </row>
    <row r="127" spans="1:37" ht="15.75" thickBot="1" x14ac:dyDescent="0.3">
      <c r="A127" s="34"/>
      <c r="B127" s="171" t="s">
        <v>23</v>
      </c>
      <c r="C127" s="171"/>
      <c r="D127" s="171"/>
      <c r="E127" s="171"/>
      <c r="F127" s="171"/>
      <c r="G127" s="171"/>
      <c r="H127" s="171"/>
      <c r="J127" s="172" t="s">
        <v>23</v>
      </c>
      <c r="K127" s="172"/>
      <c r="L127" s="172"/>
      <c r="M127" s="172"/>
      <c r="N127" s="172"/>
      <c r="O127" s="172"/>
      <c r="P127" s="172"/>
      <c r="Q127" s="172"/>
      <c r="R127" s="172"/>
      <c r="S127" s="172"/>
      <c r="T127" s="172"/>
      <c r="U127" s="172"/>
      <c r="W127" s="173" t="str">
        <f>J127</f>
        <v>Junho</v>
      </c>
      <c r="X127" s="173"/>
      <c r="Y127" s="173"/>
      <c r="Z127" s="173"/>
      <c r="AA127" s="173"/>
      <c r="AB127" s="173"/>
      <c r="AC127" s="173"/>
      <c r="AE127" s="174" t="str">
        <f>W127</f>
        <v>Junho</v>
      </c>
      <c r="AF127" s="174"/>
      <c r="AG127" s="174"/>
      <c r="AH127" s="174"/>
      <c r="AI127" s="174"/>
      <c r="AJ127" s="174"/>
      <c r="AK127" s="174"/>
    </row>
    <row r="128" spans="1:37" ht="15.75" thickBot="1" x14ac:dyDescent="0.3">
      <c r="A128" s="168" t="s">
        <v>4</v>
      </c>
      <c r="B128" s="10" t="s">
        <v>5</v>
      </c>
      <c r="C128" s="11" t="s">
        <v>6</v>
      </c>
      <c r="D128" s="12" t="s">
        <v>7</v>
      </c>
      <c r="E128" s="11" t="s">
        <v>8</v>
      </c>
      <c r="F128" s="12" t="s">
        <v>9</v>
      </c>
      <c r="G128" s="11" t="s">
        <v>10</v>
      </c>
      <c r="H128" s="32" t="s">
        <v>11</v>
      </c>
      <c r="J128" s="35" t="s">
        <v>3</v>
      </c>
      <c r="K128" s="14"/>
      <c r="L128" s="15"/>
      <c r="M128" s="15"/>
      <c r="N128" s="15"/>
      <c r="O128" s="15"/>
      <c r="P128" s="15"/>
      <c r="Q128" s="15"/>
      <c r="R128" s="15"/>
      <c r="S128" s="15"/>
      <c r="T128" s="15"/>
      <c r="U128" s="16"/>
      <c r="W128" s="35" t="s">
        <v>3</v>
      </c>
      <c r="X128" s="14"/>
      <c r="Y128" s="15"/>
      <c r="Z128" s="15"/>
      <c r="AA128" s="15"/>
      <c r="AB128" s="15"/>
      <c r="AC128" s="16"/>
      <c r="AE128" s="35" t="s">
        <v>3</v>
      </c>
      <c r="AF128" s="14"/>
      <c r="AG128" s="15"/>
      <c r="AH128" s="15"/>
      <c r="AI128" s="15"/>
      <c r="AJ128" s="15"/>
      <c r="AK128" s="16"/>
    </row>
    <row r="129" spans="1:37" ht="15.75" thickBot="1" x14ac:dyDescent="0.3">
      <c r="A129" s="168"/>
      <c r="B129" s="17"/>
      <c r="C129" s="18"/>
      <c r="D129" s="18"/>
      <c r="E129" s="18"/>
      <c r="F129" s="18">
        <f>SUM(C129-B129)</f>
        <v>0</v>
      </c>
      <c r="G129" s="18">
        <f>SUM(E129-D129)</f>
        <v>0</v>
      </c>
      <c r="H129" s="33">
        <f>SUM(F129:G129)</f>
        <v>0</v>
      </c>
      <c r="J129" s="36" t="s">
        <v>21</v>
      </c>
      <c r="K129" s="19"/>
      <c r="L129" s="20"/>
      <c r="M129" s="20"/>
      <c r="N129" s="20"/>
      <c r="O129" s="20"/>
      <c r="P129" s="20"/>
      <c r="Q129" s="20"/>
      <c r="R129" s="20"/>
      <c r="S129" s="20"/>
      <c r="T129" s="20"/>
      <c r="U129" s="21"/>
      <c r="W129" s="36" t="s">
        <v>21</v>
      </c>
      <c r="X129" s="19"/>
      <c r="Y129" s="20"/>
      <c r="Z129" s="20"/>
      <c r="AA129" s="20"/>
      <c r="AB129" s="20"/>
      <c r="AC129" s="21"/>
      <c r="AE129" s="36" t="s">
        <v>21</v>
      </c>
      <c r="AF129" s="19"/>
      <c r="AG129" s="20"/>
      <c r="AH129" s="20"/>
      <c r="AI129" s="20"/>
      <c r="AJ129" s="20"/>
      <c r="AK129" s="21"/>
    </row>
    <row r="130" spans="1:37" x14ac:dyDescent="0.25">
      <c r="F130" s="2"/>
      <c r="G130" s="2"/>
      <c r="H130" s="2"/>
      <c r="J130" s="37"/>
      <c r="T130" s="22" t="s">
        <v>22</v>
      </c>
      <c r="U130" s="23">
        <f>SUM(K129:U129)</f>
        <v>0</v>
      </c>
      <c r="AB130" s="22" t="s">
        <v>22</v>
      </c>
      <c r="AC130" s="23">
        <f>SUM(X129:AC129)</f>
        <v>0</v>
      </c>
      <c r="AJ130" s="22" t="s">
        <v>22</v>
      </c>
      <c r="AK130" s="23">
        <f>SUM(AF129:AK129)</f>
        <v>0</v>
      </c>
    </row>
    <row r="131" spans="1:37" ht="15.75" thickBot="1" x14ac:dyDescent="0.3">
      <c r="A131" s="34"/>
      <c r="B131" s="171" t="s">
        <v>15</v>
      </c>
      <c r="C131" s="171"/>
      <c r="D131" s="171"/>
      <c r="E131" s="171"/>
      <c r="F131" s="171"/>
      <c r="G131" s="171"/>
      <c r="H131" s="171"/>
      <c r="J131" s="172" t="s">
        <v>15</v>
      </c>
      <c r="K131" s="172"/>
      <c r="L131" s="172"/>
      <c r="M131" s="172"/>
      <c r="N131" s="172"/>
      <c r="O131" s="172"/>
      <c r="P131" s="172"/>
      <c r="Q131" s="172"/>
      <c r="R131" s="172"/>
      <c r="S131" s="172"/>
      <c r="T131" s="172"/>
      <c r="U131" s="172"/>
      <c r="W131" s="173" t="str">
        <f>J131</f>
        <v>Julho</v>
      </c>
      <c r="X131" s="173"/>
      <c r="Y131" s="173"/>
      <c r="Z131" s="173"/>
      <c r="AA131" s="173"/>
      <c r="AB131" s="173"/>
      <c r="AC131" s="173"/>
      <c r="AE131" s="174" t="str">
        <f>W131</f>
        <v>Julho</v>
      </c>
      <c r="AF131" s="174"/>
      <c r="AG131" s="174"/>
      <c r="AH131" s="174"/>
      <c r="AI131" s="174"/>
      <c r="AJ131" s="174"/>
      <c r="AK131" s="174"/>
    </row>
    <row r="132" spans="1:37" ht="15.75" thickBot="1" x14ac:dyDescent="0.3">
      <c r="A132" s="168" t="s">
        <v>4</v>
      </c>
      <c r="B132" s="10" t="s">
        <v>5</v>
      </c>
      <c r="C132" s="11" t="s">
        <v>6</v>
      </c>
      <c r="D132" s="12" t="s">
        <v>7</v>
      </c>
      <c r="E132" s="11" t="s">
        <v>8</v>
      </c>
      <c r="F132" s="12" t="s">
        <v>9</v>
      </c>
      <c r="G132" s="11" t="s">
        <v>10</v>
      </c>
      <c r="H132" s="32" t="s">
        <v>11</v>
      </c>
      <c r="J132" s="35" t="s">
        <v>3</v>
      </c>
      <c r="K132" s="14"/>
      <c r="L132" s="15"/>
      <c r="M132" s="15"/>
      <c r="N132" s="15"/>
      <c r="O132" s="15"/>
      <c r="P132" s="15"/>
      <c r="Q132" s="15"/>
      <c r="R132" s="15"/>
      <c r="S132" s="15"/>
      <c r="T132" s="15"/>
      <c r="U132" s="16"/>
      <c r="W132" s="35" t="s">
        <v>3</v>
      </c>
      <c r="X132" s="14"/>
      <c r="Y132" s="15"/>
      <c r="Z132" s="15"/>
      <c r="AA132" s="15"/>
      <c r="AB132" s="15"/>
      <c r="AC132" s="16"/>
      <c r="AE132" s="35" t="s">
        <v>3</v>
      </c>
      <c r="AF132" s="14"/>
      <c r="AG132" s="15"/>
      <c r="AH132" s="15"/>
      <c r="AI132" s="15"/>
      <c r="AJ132" s="15"/>
      <c r="AK132" s="16"/>
    </row>
    <row r="133" spans="1:37" ht="15.75" thickBot="1" x14ac:dyDescent="0.3">
      <c r="A133" s="168"/>
      <c r="B133" s="17"/>
      <c r="C133" s="18"/>
      <c r="D133" s="18"/>
      <c r="E133" s="18"/>
      <c r="F133" s="18">
        <f>SUM(C133-B133)</f>
        <v>0</v>
      </c>
      <c r="G133" s="18">
        <f>SUM(E133-D133)</f>
        <v>0</v>
      </c>
      <c r="H133" s="33">
        <f>SUM(F133:G133)</f>
        <v>0</v>
      </c>
      <c r="J133" s="36" t="s">
        <v>21</v>
      </c>
      <c r="K133" s="19"/>
      <c r="L133" s="20"/>
      <c r="M133" s="20"/>
      <c r="N133" s="20"/>
      <c r="O133" s="20"/>
      <c r="P133" s="20"/>
      <c r="Q133" s="20"/>
      <c r="R133" s="20"/>
      <c r="S133" s="20"/>
      <c r="T133" s="20"/>
      <c r="U133" s="21"/>
      <c r="W133" s="36" t="s">
        <v>21</v>
      </c>
      <c r="X133" s="19"/>
      <c r="Y133" s="20"/>
      <c r="Z133" s="20"/>
      <c r="AA133" s="20"/>
      <c r="AB133" s="20"/>
      <c r="AC133" s="21"/>
      <c r="AE133" s="36" t="s">
        <v>21</v>
      </c>
      <c r="AF133" s="19"/>
      <c r="AG133" s="20"/>
      <c r="AH133" s="20"/>
      <c r="AI133" s="20"/>
      <c r="AJ133" s="20"/>
      <c r="AK133" s="21"/>
    </row>
    <row r="134" spans="1:37" x14ac:dyDescent="0.25">
      <c r="F134" s="2"/>
      <c r="G134" s="2"/>
      <c r="H134" s="2"/>
      <c r="J134" s="37"/>
      <c r="T134" s="22" t="s">
        <v>22</v>
      </c>
      <c r="U134" s="23">
        <f>SUM(K133:U133)</f>
        <v>0</v>
      </c>
      <c r="AB134" s="22" t="s">
        <v>22</v>
      </c>
      <c r="AC134" s="23">
        <f>SUM(X133:AC133)</f>
        <v>0</v>
      </c>
      <c r="AJ134" s="22" t="s">
        <v>22</v>
      </c>
      <c r="AK134" s="23">
        <f>SUM(AF133:AK133)</f>
        <v>0</v>
      </c>
    </row>
  </sheetData>
  <mergeCells count="166">
    <mergeCell ref="A128:A129"/>
    <mergeCell ref="B131:H131"/>
    <mergeCell ref="J131:U131"/>
    <mergeCell ref="W131:AC131"/>
    <mergeCell ref="AE131:AK131"/>
    <mergeCell ref="A132:A133"/>
    <mergeCell ref="A120:A121"/>
    <mergeCell ref="B123:H123"/>
    <mergeCell ref="J123:U123"/>
    <mergeCell ref="W123:AC123"/>
    <mergeCell ref="AE123:AK123"/>
    <mergeCell ref="A124:A125"/>
    <mergeCell ref="B127:H127"/>
    <mergeCell ref="J127:U127"/>
    <mergeCell ref="W127:AC127"/>
    <mergeCell ref="AE127:AK127"/>
    <mergeCell ref="A112:A113"/>
    <mergeCell ref="B115:H115"/>
    <mergeCell ref="J115:U115"/>
    <mergeCell ref="W115:AC115"/>
    <mergeCell ref="AE115:AK115"/>
    <mergeCell ref="A116:A117"/>
    <mergeCell ref="B119:H119"/>
    <mergeCell ref="J119:U119"/>
    <mergeCell ref="W119:AC119"/>
    <mergeCell ref="AE119:AK119"/>
    <mergeCell ref="B107:H107"/>
    <mergeCell ref="J107:U107"/>
    <mergeCell ref="W107:AC107"/>
    <mergeCell ref="AE107:AK107"/>
    <mergeCell ref="A108:A109"/>
    <mergeCell ref="B111:H111"/>
    <mergeCell ref="J111:U111"/>
    <mergeCell ref="W111:AC111"/>
    <mergeCell ref="AE111:AK111"/>
    <mergeCell ref="B83:H83"/>
    <mergeCell ref="J83:U83"/>
    <mergeCell ref="W83:AC83"/>
    <mergeCell ref="AE83:AK83"/>
    <mergeCell ref="A84:A85"/>
    <mergeCell ref="B79:H79"/>
    <mergeCell ref="J79:U79"/>
    <mergeCell ref="W79:AC79"/>
    <mergeCell ref="AE79:AK79"/>
    <mergeCell ref="A80:A81"/>
    <mergeCell ref="B75:H75"/>
    <mergeCell ref="J75:U75"/>
    <mergeCell ref="W75:AC75"/>
    <mergeCell ref="AE75:AK75"/>
    <mergeCell ref="A76:A77"/>
    <mergeCell ref="B71:H71"/>
    <mergeCell ref="J71:U71"/>
    <mergeCell ref="W71:AC71"/>
    <mergeCell ref="AE71:AK71"/>
    <mergeCell ref="A72:A73"/>
    <mergeCell ref="B67:H67"/>
    <mergeCell ref="J67:U67"/>
    <mergeCell ref="W67:AC67"/>
    <mergeCell ref="AE67:AK67"/>
    <mergeCell ref="A68:A69"/>
    <mergeCell ref="B63:H63"/>
    <mergeCell ref="J63:U63"/>
    <mergeCell ref="W63:AC63"/>
    <mergeCell ref="AE63:AK63"/>
    <mergeCell ref="A64:A65"/>
    <mergeCell ref="B6:C6"/>
    <mergeCell ref="E6:F6"/>
    <mergeCell ref="A1:A2"/>
    <mergeCell ref="B1:AK1"/>
    <mergeCell ref="B2:AK2"/>
    <mergeCell ref="B4:C4"/>
    <mergeCell ref="E4:F4"/>
    <mergeCell ref="A16:A17"/>
    <mergeCell ref="A9:H9"/>
    <mergeCell ref="J9:U9"/>
    <mergeCell ref="W9:AC9"/>
    <mergeCell ref="AE9:AK9"/>
    <mergeCell ref="B11:H11"/>
    <mergeCell ref="J11:U11"/>
    <mergeCell ref="W11:AC11"/>
    <mergeCell ref="AE11:AK11"/>
    <mergeCell ref="A12:A13"/>
    <mergeCell ref="B15:H15"/>
    <mergeCell ref="J15:U15"/>
    <mergeCell ref="W15:AC15"/>
    <mergeCell ref="AE15:AK15"/>
    <mergeCell ref="A28:A29"/>
    <mergeCell ref="B19:H19"/>
    <mergeCell ref="J19:U19"/>
    <mergeCell ref="W19:AC19"/>
    <mergeCell ref="AE19:AK19"/>
    <mergeCell ref="A20:A21"/>
    <mergeCell ref="B23:H23"/>
    <mergeCell ref="J23:U23"/>
    <mergeCell ref="W23:AC23"/>
    <mergeCell ref="AE23:AK23"/>
    <mergeCell ref="A24:A25"/>
    <mergeCell ref="B27:H27"/>
    <mergeCell ref="J27:U27"/>
    <mergeCell ref="W27:AC27"/>
    <mergeCell ref="AE27:AK27"/>
    <mergeCell ref="A40:A41"/>
    <mergeCell ref="B31:H31"/>
    <mergeCell ref="J31:U31"/>
    <mergeCell ref="W31:AC31"/>
    <mergeCell ref="AE31:AK31"/>
    <mergeCell ref="A32:A33"/>
    <mergeCell ref="B35:H35"/>
    <mergeCell ref="J35:U35"/>
    <mergeCell ref="W35:AC35"/>
    <mergeCell ref="AE35:AK35"/>
    <mergeCell ref="A36:A37"/>
    <mergeCell ref="B39:H39"/>
    <mergeCell ref="J39:U39"/>
    <mergeCell ref="W39:AC39"/>
    <mergeCell ref="AE39:AK39"/>
    <mergeCell ref="A52:A53"/>
    <mergeCell ref="B43:H43"/>
    <mergeCell ref="J43:U43"/>
    <mergeCell ref="W43:AC43"/>
    <mergeCell ref="AE43:AK43"/>
    <mergeCell ref="A44:A45"/>
    <mergeCell ref="B47:H47"/>
    <mergeCell ref="J47:U47"/>
    <mergeCell ref="W47:AC47"/>
    <mergeCell ref="AE47:AK47"/>
    <mergeCell ref="A48:A49"/>
    <mergeCell ref="B51:H51"/>
    <mergeCell ref="J51:U51"/>
    <mergeCell ref="W51:AC51"/>
    <mergeCell ref="AE51:AK51"/>
    <mergeCell ref="A60:A61"/>
    <mergeCell ref="B55:H55"/>
    <mergeCell ref="J55:U55"/>
    <mergeCell ref="W55:AC55"/>
    <mergeCell ref="AE55:AK55"/>
    <mergeCell ref="A56:A57"/>
    <mergeCell ref="B59:H59"/>
    <mergeCell ref="J59:U59"/>
    <mergeCell ref="W59:AC59"/>
    <mergeCell ref="AE59:AK59"/>
    <mergeCell ref="B87:H87"/>
    <mergeCell ref="J87:U87"/>
    <mergeCell ref="W87:AC87"/>
    <mergeCell ref="AE87:AK87"/>
    <mergeCell ref="A88:A89"/>
    <mergeCell ref="B91:H91"/>
    <mergeCell ref="J91:U91"/>
    <mergeCell ref="W91:AC91"/>
    <mergeCell ref="AE91:AK91"/>
    <mergeCell ref="A100:A101"/>
    <mergeCell ref="B103:H103"/>
    <mergeCell ref="J103:U103"/>
    <mergeCell ref="W103:AC103"/>
    <mergeCell ref="AE103:AK103"/>
    <mergeCell ref="A104:A105"/>
    <mergeCell ref="A92:A93"/>
    <mergeCell ref="B95:H95"/>
    <mergeCell ref="J95:U95"/>
    <mergeCell ref="W95:AC95"/>
    <mergeCell ref="AE95:AK95"/>
    <mergeCell ref="A96:A97"/>
    <mergeCell ref="B99:H99"/>
    <mergeCell ref="J99:U99"/>
    <mergeCell ref="W99:AC99"/>
    <mergeCell ref="AE99:AK99"/>
  </mergeCells>
  <phoneticPr fontId="2" type="noConversion"/>
  <pageMargins left="0.511811024" right="0.511811024" top="0.78740157499999996" bottom="0.78740157499999996" header="0.31496062000000002" footer="0.31496062000000002"/>
  <pageSetup paperSize="9" orientation="portrait" r:id="rId1"/>
  <drawing r:id="rId2"/>
  <legacyDrawing r:id="rId3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9B4721-A471-47FF-ADBF-433E7FA4216A}">
  <dimension ref="A1:AK59"/>
  <sheetViews>
    <sheetView workbookViewId="0">
      <selection activeCell="A56" sqref="A56"/>
    </sheetView>
  </sheetViews>
  <sheetFormatPr defaultRowHeight="15" x14ac:dyDescent="0.25"/>
  <cols>
    <col min="1" max="1" width="18.140625" style="2" bestFit="1" customWidth="1"/>
    <col min="2" max="2" width="11.7109375" style="2" bestFit="1" customWidth="1"/>
    <col min="3" max="3" width="9.28515625" style="2" bestFit="1" customWidth="1"/>
    <col min="4" max="4" width="10.7109375" style="2" customWidth="1"/>
    <col min="5" max="5" width="9.28515625" style="2" bestFit="1" customWidth="1"/>
    <col min="6" max="6" width="13.140625" style="1" customWidth="1"/>
    <col min="7" max="7" width="13.85546875" style="1" customWidth="1"/>
    <col min="8" max="8" width="11.85546875" style="1" bestFit="1" customWidth="1"/>
    <col min="9" max="9" width="9.85546875" style="1" customWidth="1"/>
    <col min="10" max="10" width="9.42578125" style="2" customWidth="1"/>
    <col min="11" max="13" width="10.7109375" style="1" bestFit="1" customWidth="1"/>
    <col min="14" max="17" width="10.5703125" style="1" bestFit="1" customWidth="1"/>
    <col min="18" max="18" width="10.7109375" style="1" bestFit="1" customWidth="1"/>
    <col min="19" max="19" width="10.5703125" style="1" bestFit="1" customWidth="1"/>
    <col min="20" max="20" width="9" style="1"/>
    <col min="21" max="21" width="12.140625" style="1" bestFit="1" customWidth="1"/>
    <col min="22" max="22" width="9" style="1"/>
    <col min="23" max="23" width="9" style="2"/>
    <col min="24" max="24" width="9.5703125" style="1" bestFit="1" customWidth="1"/>
    <col min="25" max="30" width="9" style="1"/>
    <col min="31" max="31" width="9" style="2"/>
    <col min="32" max="32" width="10.7109375" style="1" bestFit="1" customWidth="1"/>
    <col min="33" max="33" width="9" style="1"/>
    <col min="34" max="36" width="10.140625" style="1" bestFit="1" customWidth="1"/>
    <col min="37" max="37" width="9.140625" style="1"/>
  </cols>
  <sheetData>
    <row r="1" spans="1:37" ht="21" x14ac:dyDescent="0.25">
      <c r="A1" s="162"/>
      <c r="B1" s="164" t="s">
        <v>51</v>
      </c>
      <c r="C1" s="164"/>
      <c r="D1" s="164"/>
      <c r="E1" s="164"/>
      <c r="F1" s="164"/>
      <c r="G1" s="164"/>
      <c r="H1" s="164"/>
      <c r="I1" s="164"/>
      <c r="J1" s="164"/>
      <c r="K1" s="164"/>
      <c r="L1" s="164"/>
      <c r="M1" s="164"/>
      <c r="N1" s="164"/>
      <c r="O1" s="164"/>
      <c r="P1" s="164"/>
      <c r="Q1" s="164"/>
      <c r="R1" s="164"/>
      <c r="S1" s="164"/>
      <c r="T1" s="164"/>
      <c r="U1" s="164"/>
      <c r="V1" s="164"/>
      <c r="W1" s="164"/>
      <c r="X1" s="164"/>
      <c r="Y1" s="164"/>
      <c r="Z1" s="164"/>
      <c r="AA1" s="164"/>
      <c r="AB1" s="164"/>
      <c r="AC1" s="164"/>
      <c r="AD1" s="164"/>
      <c r="AE1" s="164"/>
      <c r="AF1" s="164"/>
      <c r="AG1" s="164"/>
      <c r="AH1" s="164"/>
      <c r="AI1" s="164"/>
      <c r="AJ1" s="164"/>
      <c r="AK1" s="165"/>
    </row>
    <row r="2" spans="1:37" ht="21" x14ac:dyDescent="0.25">
      <c r="A2" s="163"/>
      <c r="B2" s="166" t="s">
        <v>50</v>
      </c>
      <c r="C2" s="166"/>
      <c r="D2" s="166"/>
      <c r="E2" s="166"/>
      <c r="F2" s="166"/>
      <c r="G2" s="166"/>
      <c r="H2" s="166"/>
      <c r="I2" s="166"/>
      <c r="J2" s="166"/>
      <c r="K2" s="166"/>
      <c r="L2" s="166"/>
      <c r="M2" s="166"/>
      <c r="N2" s="166"/>
      <c r="O2" s="166"/>
      <c r="P2" s="166"/>
      <c r="Q2" s="166"/>
      <c r="R2" s="166"/>
      <c r="S2" s="166"/>
      <c r="T2" s="166"/>
      <c r="U2" s="166"/>
      <c r="V2" s="166"/>
      <c r="W2" s="166"/>
      <c r="X2" s="166"/>
      <c r="Y2" s="166"/>
      <c r="Z2" s="166"/>
      <c r="AA2" s="166"/>
      <c r="AB2" s="166"/>
      <c r="AC2" s="166"/>
      <c r="AD2" s="166"/>
      <c r="AE2" s="166"/>
      <c r="AF2" s="166"/>
      <c r="AG2" s="166"/>
      <c r="AH2" s="166"/>
      <c r="AI2" s="166"/>
      <c r="AJ2" s="166"/>
      <c r="AK2" s="167"/>
    </row>
    <row r="4" spans="1:37" x14ac:dyDescent="0.25">
      <c r="A4" s="31" t="s">
        <v>47</v>
      </c>
      <c r="B4" s="161" t="s">
        <v>94</v>
      </c>
      <c r="C4" s="161"/>
      <c r="D4" s="31" t="s">
        <v>0</v>
      </c>
      <c r="E4" s="161" t="s">
        <v>104</v>
      </c>
      <c r="F4" s="161"/>
      <c r="G4" s="31" t="s">
        <v>45</v>
      </c>
      <c r="H4" s="4"/>
    </row>
    <row r="5" spans="1:37" x14ac:dyDescent="0.25">
      <c r="A5" s="31" t="s">
        <v>98</v>
      </c>
      <c r="B5" s="188">
        <v>45773</v>
      </c>
      <c r="C5" s="161"/>
      <c r="D5" s="31" t="s">
        <v>0</v>
      </c>
      <c r="E5" s="161" t="s">
        <v>103</v>
      </c>
      <c r="F5" s="161"/>
      <c r="G5" s="31" t="s">
        <v>95</v>
      </c>
      <c r="H5" s="4" t="s">
        <v>81</v>
      </c>
    </row>
    <row r="6" spans="1:37" x14ac:dyDescent="0.25">
      <c r="A6" s="31"/>
      <c r="D6" s="31"/>
      <c r="F6" s="2"/>
      <c r="G6" s="31"/>
    </row>
    <row r="7" spans="1:37" x14ac:dyDescent="0.25">
      <c r="A7" s="31" t="s">
        <v>48</v>
      </c>
      <c r="B7" s="160">
        <v>3792.09</v>
      </c>
      <c r="C7" s="160"/>
      <c r="D7" s="31" t="s">
        <v>44</v>
      </c>
      <c r="E7" s="201">
        <v>45</v>
      </c>
      <c r="F7" s="161"/>
      <c r="G7" s="31" t="s">
        <v>46</v>
      </c>
      <c r="H7" s="5">
        <v>45731</v>
      </c>
    </row>
    <row r="10" spans="1:37" ht="18.75" x14ac:dyDescent="0.3">
      <c r="A10" s="169" t="s">
        <v>26</v>
      </c>
      <c r="B10" s="169"/>
      <c r="C10" s="169"/>
      <c r="D10" s="169"/>
      <c r="E10" s="169"/>
      <c r="F10" s="169"/>
      <c r="G10" s="169"/>
      <c r="H10" s="169"/>
      <c r="I10" s="28"/>
      <c r="J10" s="169" t="s">
        <v>24</v>
      </c>
      <c r="K10" s="169"/>
      <c r="L10" s="169"/>
      <c r="M10" s="169"/>
      <c r="N10" s="169"/>
      <c r="O10" s="169"/>
      <c r="P10" s="169"/>
      <c r="Q10" s="169"/>
      <c r="R10" s="169"/>
      <c r="S10" s="169"/>
      <c r="T10" s="169"/>
      <c r="U10" s="169"/>
      <c r="V10" s="29"/>
      <c r="W10" s="170" t="s">
        <v>49</v>
      </c>
      <c r="X10" s="170"/>
      <c r="Y10" s="170"/>
      <c r="Z10" s="170"/>
      <c r="AA10" s="170"/>
      <c r="AB10" s="170"/>
      <c r="AC10" s="170"/>
      <c r="AD10" s="29"/>
      <c r="AE10" s="170" t="s">
        <v>25</v>
      </c>
      <c r="AF10" s="170"/>
      <c r="AG10" s="170"/>
      <c r="AH10" s="170"/>
      <c r="AI10" s="170"/>
      <c r="AJ10" s="170"/>
      <c r="AK10" s="170"/>
    </row>
    <row r="11" spans="1:37" x14ac:dyDescent="0.25">
      <c r="A11" s="7"/>
      <c r="B11" s="7"/>
      <c r="C11" s="7"/>
      <c r="D11" s="7"/>
      <c r="E11" s="7"/>
      <c r="F11" s="7"/>
      <c r="G11" s="7"/>
      <c r="H11" s="7"/>
      <c r="I11" s="6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8"/>
      <c r="W11" s="9"/>
      <c r="X11" s="9"/>
      <c r="Y11" s="9"/>
      <c r="Z11" s="9"/>
      <c r="AA11" s="9"/>
      <c r="AB11" s="9"/>
      <c r="AC11" s="9"/>
      <c r="AD11" s="8"/>
      <c r="AE11" s="9"/>
      <c r="AF11" s="9"/>
      <c r="AG11" s="9"/>
      <c r="AH11" s="9"/>
      <c r="AI11" s="9"/>
      <c r="AJ11" s="9"/>
      <c r="AK11" s="9"/>
    </row>
    <row r="12" spans="1:37" ht="15.75" thickBot="1" x14ac:dyDescent="0.3">
      <c r="A12" s="34"/>
      <c r="B12" s="171" t="s">
        <v>54</v>
      </c>
      <c r="C12" s="171"/>
      <c r="D12" s="171"/>
      <c r="E12" s="171"/>
      <c r="F12" s="171"/>
      <c r="G12" s="171"/>
      <c r="H12" s="171"/>
      <c r="I12" s="6"/>
      <c r="J12" s="172" t="s">
        <v>54</v>
      </c>
      <c r="K12" s="172"/>
      <c r="L12" s="172"/>
      <c r="M12" s="172"/>
      <c r="N12" s="172"/>
      <c r="O12" s="172"/>
      <c r="P12" s="172"/>
      <c r="Q12" s="172"/>
      <c r="R12" s="172"/>
      <c r="S12" s="172"/>
      <c r="T12" s="172"/>
      <c r="U12" s="172"/>
      <c r="V12" s="8"/>
      <c r="W12" s="173" t="s">
        <v>54</v>
      </c>
      <c r="X12" s="173"/>
      <c r="Y12" s="173"/>
      <c r="Z12" s="173"/>
      <c r="AA12" s="173"/>
      <c r="AB12" s="173"/>
      <c r="AC12" s="173"/>
      <c r="AD12" s="8"/>
      <c r="AE12" s="174" t="s">
        <v>54</v>
      </c>
      <c r="AF12" s="174"/>
      <c r="AG12" s="174"/>
      <c r="AH12" s="174"/>
      <c r="AI12" s="174"/>
      <c r="AJ12" s="174"/>
      <c r="AK12" s="174"/>
    </row>
    <row r="13" spans="1:37" ht="15.75" thickBot="1" x14ac:dyDescent="0.3">
      <c r="A13" s="168" t="s">
        <v>4</v>
      </c>
      <c r="B13" s="10" t="s">
        <v>5</v>
      </c>
      <c r="C13" s="11" t="s">
        <v>6</v>
      </c>
      <c r="D13" s="12" t="s">
        <v>7</v>
      </c>
      <c r="E13" s="11" t="s">
        <v>8</v>
      </c>
      <c r="F13" s="12" t="s">
        <v>9</v>
      </c>
      <c r="G13" s="11" t="s">
        <v>10</v>
      </c>
      <c r="H13" s="32" t="s">
        <v>11</v>
      </c>
      <c r="I13" s="6"/>
      <c r="J13" s="35" t="s">
        <v>3</v>
      </c>
      <c r="K13" s="14"/>
      <c r="L13" s="15"/>
      <c r="M13" s="15"/>
      <c r="N13" s="15"/>
      <c r="O13" s="15"/>
      <c r="P13" s="15"/>
      <c r="Q13" s="15"/>
      <c r="R13" s="15"/>
      <c r="S13" s="15"/>
      <c r="T13" s="15"/>
      <c r="U13" s="16"/>
      <c r="V13" s="8"/>
      <c r="W13" s="35" t="s">
        <v>3</v>
      </c>
      <c r="X13" s="14"/>
      <c r="Y13" s="15"/>
      <c r="Z13" s="15"/>
      <c r="AA13" s="15"/>
      <c r="AB13" s="15"/>
      <c r="AC13" s="16"/>
      <c r="AD13" s="8"/>
      <c r="AE13" s="35" t="s">
        <v>3</v>
      </c>
      <c r="AF13" s="14"/>
      <c r="AG13" s="15"/>
      <c r="AH13" s="15"/>
      <c r="AI13" s="15"/>
      <c r="AJ13" s="15"/>
      <c r="AK13" s="16"/>
    </row>
    <row r="14" spans="1:37" ht="15.75" thickBot="1" x14ac:dyDescent="0.3">
      <c r="A14" s="168"/>
      <c r="B14" s="17"/>
      <c r="C14" s="18"/>
      <c r="D14" s="18"/>
      <c r="E14" s="18"/>
      <c r="F14" s="18">
        <f>SUM(C14-B14)</f>
        <v>0</v>
      </c>
      <c r="G14" s="18">
        <f>SUM(E14-D14)</f>
        <v>0</v>
      </c>
      <c r="H14" s="33">
        <f>SUM(F14:G14)</f>
        <v>0</v>
      </c>
      <c r="I14" s="6"/>
      <c r="J14" s="36" t="s">
        <v>21</v>
      </c>
      <c r="K14" s="19"/>
      <c r="L14" s="20"/>
      <c r="M14" s="20"/>
      <c r="N14" s="20"/>
      <c r="O14" s="20"/>
      <c r="P14" s="20"/>
      <c r="Q14" s="20"/>
      <c r="R14" s="20"/>
      <c r="S14" s="20"/>
      <c r="T14" s="20"/>
      <c r="U14" s="21"/>
      <c r="V14" s="8"/>
      <c r="W14" s="36" t="s">
        <v>21</v>
      </c>
      <c r="X14" s="19"/>
      <c r="Y14" s="20"/>
      <c r="Z14" s="20"/>
      <c r="AA14" s="20"/>
      <c r="AB14" s="20"/>
      <c r="AC14" s="21"/>
      <c r="AD14" s="8"/>
      <c r="AE14" s="36" t="s">
        <v>21</v>
      </c>
      <c r="AF14" s="19"/>
      <c r="AG14" s="20"/>
      <c r="AH14" s="20"/>
      <c r="AI14" s="20"/>
      <c r="AJ14" s="20"/>
      <c r="AK14" s="21"/>
    </row>
    <row r="15" spans="1:37" x14ac:dyDescent="0.25">
      <c r="A15" s="7"/>
      <c r="B15" s="7"/>
      <c r="C15" s="7"/>
      <c r="D15" s="7"/>
      <c r="E15" s="7"/>
      <c r="F15" s="7"/>
      <c r="G15" s="7"/>
      <c r="H15" s="7"/>
      <c r="I15" s="6"/>
      <c r="J15" s="7"/>
      <c r="K15" s="7"/>
      <c r="L15" s="7"/>
      <c r="M15" s="7"/>
      <c r="N15" s="7"/>
      <c r="O15" s="7"/>
      <c r="P15" s="7"/>
      <c r="Q15" s="7"/>
      <c r="R15" s="7"/>
      <c r="S15" s="7"/>
      <c r="T15" s="22" t="s">
        <v>22</v>
      </c>
      <c r="U15" s="23">
        <f>SUM(K14:U14)</f>
        <v>0</v>
      </c>
      <c r="V15" s="8"/>
      <c r="AB15" s="22" t="s">
        <v>22</v>
      </c>
      <c r="AC15" s="23">
        <f>SUM(X14:AC14)</f>
        <v>0</v>
      </c>
      <c r="AD15" s="8"/>
      <c r="AJ15" s="22" t="s">
        <v>22</v>
      </c>
      <c r="AK15" s="23">
        <f>SUM(AF14:AK14)</f>
        <v>0</v>
      </c>
    </row>
    <row r="16" spans="1:37" ht="15.75" thickBot="1" x14ac:dyDescent="0.3">
      <c r="A16" s="34"/>
      <c r="B16" s="171" t="s">
        <v>2</v>
      </c>
      <c r="C16" s="171"/>
      <c r="D16" s="171"/>
      <c r="E16" s="171"/>
      <c r="F16" s="171"/>
      <c r="G16" s="171"/>
      <c r="H16" s="171"/>
      <c r="J16" s="172" t="s">
        <v>2</v>
      </c>
      <c r="K16" s="172"/>
      <c r="L16" s="172"/>
      <c r="M16" s="172"/>
      <c r="N16" s="172"/>
      <c r="O16" s="172"/>
      <c r="P16" s="172"/>
      <c r="Q16" s="172"/>
      <c r="R16" s="172"/>
      <c r="S16" s="172"/>
      <c r="T16" s="172"/>
      <c r="U16" s="172"/>
      <c r="W16" s="173" t="s">
        <v>2</v>
      </c>
      <c r="X16" s="173"/>
      <c r="Y16" s="173"/>
      <c r="Z16" s="173"/>
      <c r="AA16" s="173"/>
      <c r="AB16" s="173"/>
      <c r="AC16" s="173"/>
      <c r="AE16" s="174" t="s">
        <v>2</v>
      </c>
      <c r="AF16" s="174"/>
      <c r="AG16" s="174"/>
      <c r="AH16" s="174"/>
      <c r="AI16" s="174"/>
      <c r="AJ16" s="174"/>
      <c r="AK16" s="174"/>
    </row>
    <row r="17" spans="1:37" ht="15.75" thickBot="1" x14ac:dyDescent="0.3">
      <c r="A17" s="168" t="s">
        <v>4</v>
      </c>
      <c r="B17" s="10" t="s">
        <v>5</v>
      </c>
      <c r="C17" s="11" t="s">
        <v>6</v>
      </c>
      <c r="D17" s="12" t="s">
        <v>7</v>
      </c>
      <c r="E17" s="11" t="s">
        <v>8</v>
      </c>
      <c r="F17" s="12" t="s">
        <v>9</v>
      </c>
      <c r="G17" s="11" t="s">
        <v>10</v>
      </c>
      <c r="H17" s="32" t="s">
        <v>11</v>
      </c>
      <c r="J17" s="35" t="s">
        <v>3</v>
      </c>
      <c r="K17" s="14"/>
      <c r="L17" s="15"/>
      <c r="M17" s="15"/>
      <c r="N17" s="15"/>
      <c r="O17" s="15"/>
      <c r="P17" s="15"/>
      <c r="Q17" s="15"/>
      <c r="R17" s="15"/>
      <c r="S17" s="15"/>
      <c r="T17" s="15"/>
      <c r="U17" s="16"/>
      <c r="W17" s="35" t="s">
        <v>3</v>
      </c>
      <c r="X17" s="14"/>
      <c r="Y17" s="15"/>
      <c r="Z17" s="15"/>
      <c r="AA17" s="15"/>
      <c r="AB17" s="15"/>
      <c r="AC17" s="16"/>
      <c r="AE17" s="35" t="s">
        <v>3</v>
      </c>
      <c r="AF17" s="14"/>
      <c r="AG17" s="15"/>
      <c r="AH17" s="15"/>
      <c r="AI17" s="15"/>
      <c r="AJ17" s="15"/>
      <c r="AK17" s="16"/>
    </row>
    <row r="18" spans="1:37" ht="15.75" thickBot="1" x14ac:dyDescent="0.3">
      <c r="A18" s="168"/>
      <c r="B18" s="17"/>
      <c r="C18" s="18"/>
      <c r="D18" s="18"/>
      <c r="E18" s="18"/>
      <c r="F18" s="18">
        <f>SUM(C18-B18)</f>
        <v>0</v>
      </c>
      <c r="G18" s="18">
        <f>SUM(E18-D18)</f>
        <v>0</v>
      </c>
      <c r="H18" s="33">
        <f>SUM(F18:G18)</f>
        <v>0</v>
      </c>
      <c r="J18" s="36" t="s">
        <v>21</v>
      </c>
      <c r="K18" s="19"/>
      <c r="L18" s="20"/>
      <c r="M18" s="20"/>
      <c r="N18" s="20"/>
      <c r="O18" s="20"/>
      <c r="P18" s="20"/>
      <c r="Q18" s="20"/>
      <c r="R18" s="20"/>
      <c r="S18" s="20"/>
      <c r="T18" s="20"/>
      <c r="U18" s="21"/>
      <c r="W18" s="36" t="s">
        <v>21</v>
      </c>
      <c r="X18" s="19"/>
      <c r="Y18" s="20"/>
      <c r="Z18" s="20"/>
      <c r="AA18" s="20"/>
      <c r="AB18" s="20"/>
      <c r="AC18" s="21"/>
      <c r="AE18" s="36" t="s">
        <v>21</v>
      </c>
      <c r="AF18" s="19"/>
      <c r="AG18" s="20"/>
      <c r="AH18" s="20"/>
      <c r="AI18" s="20"/>
      <c r="AJ18" s="20"/>
      <c r="AK18" s="21"/>
    </row>
    <row r="19" spans="1:37" x14ac:dyDescent="0.25">
      <c r="F19" s="2"/>
      <c r="G19" s="2"/>
      <c r="H19" s="2"/>
      <c r="J19" s="37"/>
      <c r="T19" s="22" t="s">
        <v>22</v>
      </c>
      <c r="U19" s="23">
        <f>SUM(K18:U18)</f>
        <v>0</v>
      </c>
      <c r="AB19" s="22" t="s">
        <v>22</v>
      </c>
      <c r="AC19" s="23">
        <f>SUM(X18:AC18)</f>
        <v>0</v>
      </c>
      <c r="AJ19" s="22" t="s">
        <v>22</v>
      </c>
      <c r="AK19" s="23">
        <f>SUM(AF18:AK18)</f>
        <v>0</v>
      </c>
    </row>
    <row r="20" spans="1:37" ht="15.75" thickBot="1" x14ac:dyDescent="0.3">
      <c r="A20" s="34"/>
      <c r="B20" s="171" t="s">
        <v>12</v>
      </c>
      <c r="C20" s="171"/>
      <c r="D20" s="171"/>
      <c r="E20" s="171"/>
      <c r="F20" s="171"/>
      <c r="G20" s="171"/>
      <c r="H20" s="171"/>
      <c r="J20" s="172" t="s">
        <v>12</v>
      </c>
      <c r="K20" s="172"/>
      <c r="L20" s="172"/>
      <c r="M20" s="172"/>
      <c r="N20" s="172"/>
      <c r="O20" s="172"/>
      <c r="P20" s="172"/>
      <c r="Q20" s="172"/>
      <c r="R20" s="172"/>
      <c r="S20" s="172"/>
      <c r="T20" s="172"/>
      <c r="U20" s="172"/>
      <c r="W20" s="173" t="str">
        <f>J20</f>
        <v>Março</v>
      </c>
      <c r="X20" s="173"/>
      <c r="Y20" s="173"/>
      <c r="Z20" s="173"/>
      <c r="AA20" s="173"/>
      <c r="AB20" s="173"/>
      <c r="AC20" s="173"/>
      <c r="AE20" s="174" t="str">
        <f>W20</f>
        <v>Março</v>
      </c>
      <c r="AF20" s="174"/>
      <c r="AG20" s="174"/>
      <c r="AH20" s="174"/>
      <c r="AI20" s="174"/>
      <c r="AJ20" s="174"/>
      <c r="AK20" s="174"/>
    </row>
    <row r="21" spans="1:37" ht="15.75" thickBot="1" x14ac:dyDescent="0.3">
      <c r="A21" s="168" t="s">
        <v>4</v>
      </c>
      <c r="B21" s="10" t="s">
        <v>5</v>
      </c>
      <c r="C21" s="11" t="s">
        <v>6</v>
      </c>
      <c r="D21" s="12" t="s">
        <v>7</v>
      </c>
      <c r="E21" s="11" t="s">
        <v>8</v>
      </c>
      <c r="F21" s="12" t="s">
        <v>9</v>
      </c>
      <c r="G21" s="11" t="s">
        <v>10</v>
      </c>
      <c r="H21" s="32" t="s">
        <v>11</v>
      </c>
      <c r="J21" s="35" t="s">
        <v>3</v>
      </c>
      <c r="K21" s="14">
        <v>45743</v>
      </c>
      <c r="L21" s="24"/>
      <c r="M21" s="24"/>
      <c r="N21" s="15"/>
      <c r="O21" s="15"/>
      <c r="P21" s="15"/>
      <c r="Q21" s="15"/>
      <c r="R21" s="15"/>
      <c r="S21" s="15"/>
      <c r="T21" s="15"/>
      <c r="U21" s="16"/>
      <c r="W21" s="35" t="s">
        <v>3</v>
      </c>
      <c r="X21" s="14"/>
      <c r="Y21" s="15"/>
      <c r="Z21" s="15"/>
      <c r="AA21" s="15"/>
      <c r="AB21" s="15"/>
      <c r="AC21" s="16"/>
      <c r="AE21" s="35" t="s">
        <v>3</v>
      </c>
      <c r="AF21" s="14">
        <v>45733</v>
      </c>
      <c r="AG21" s="15"/>
      <c r="AH21" s="15"/>
      <c r="AI21" s="15"/>
      <c r="AJ21" s="15"/>
      <c r="AK21" s="16"/>
    </row>
    <row r="22" spans="1:37" ht="15.75" thickBot="1" x14ac:dyDescent="0.3">
      <c r="A22" s="168"/>
      <c r="B22" s="17"/>
      <c r="C22" s="18"/>
      <c r="D22" s="18">
        <v>25245</v>
      </c>
      <c r="E22" s="136">
        <v>29473</v>
      </c>
      <c r="F22" s="18">
        <f>SUM(C22-B22)</f>
        <v>0</v>
      </c>
      <c r="G22" s="18">
        <f>SUM(E22-D22)</f>
        <v>4228</v>
      </c>
      <c r="H22" s="33">
        <f>SUM(F22:G22)</f>
        <v>4228</v>
      </c>
      <c r="J22" s="36" t="s">
        <v>21</v>
      </c>
      <c r="K22" s="19">
        <v>206.02</v>
      </c>
      <c r="L22" s="20"/>
      <c r="M22" s="20"/>
      <c r="N22" s="20"/>
      <c r="O22" s="20"/>
      <c r="P22" s="20"/>
      <c r="Q22" s="20"/>
      <c r="R22" s="20"/>
      <c r="S22" s="20"/>
      <c r="T22" s="20"/>
      <c r="U22" s="21"/>
      <c r="W22" s="36" t="s">
        <v>21</v>
      </c>
      <c r="X22" s="19"/>
      <c r="Y22" s="20"/>
      <c r="Z22" s="20"/>
      <c r="AA22" s="20"/>
      <c r="AB22" s="20"/>
      <c r="AC22" s="21"/>
      <c r="AE22" s="36" t="s">
        <v>21</v>
      </c>
      <c r="AF22" s="19">
        <v>35</v>
      </c>
      <c r="AG22" s="20"/>
      <c r="AH22" s="20"/>
      <c r="AI22" s="20"/>
      <c r="AJ22" s="20"/>
      <c r="AK22" s="21"/>
    </row>
    <row r="23" spans="1:37" x14ac:dyDescent="0.25">
      <c r="F23" s="2"/>
      <c r="G23" s="2"/>
      <c r="H23" s="2"/>
      <c r="J23" s="37"/>
      <c r="T23" s="22" t="s">
        <v>22</v>
      </c>
      <c r="U23" s="23">
        <f>SUM(K22:U22)</f>
        <v>206.02</v>
      </c>
      <c r="AB23" s="22" t="s">
        <v>22</v>
      </c>
      <c r="AC23" s="23">
        <f>SUM(X22:AC22)</f>
        <v>0</v>
      </c>
      <c r="AJ23" s="22" t="s">
        <v>22</v>
      </c>
      <c r="AK23" s="23">
        <f>SUM(AF22:AK22)</f>
        <v>35</v>
      </c>
    </row>
    <row r="24" spans="1:37" ht="15.75" thickBot="1" x14ac:dyDescent="0.3">
      <c r="A24" s="34"/>
      <c r="B24" s="171" t="s">
        <v>13</v>
      </c>
      <c r="C24" s="171"/>
      <c r="D24" s="171"/>
      <c r="E24" s="171"/>
      <c r="F24" s="171"/>
      <c r="G24" s="171"/>
      <c r="H24" s="171"/>
      <c r="J24" s="172" t="s">
        <v>13</v>
      </c>
      <c r="K24" s="172"/>
      <c r="L24" s="172"/>
      <c r="M24" s="172"/>
      <c r="N24" s="172"/>
      <c r="O24" s="172"/>
      <c r="P24" s="172"/>
      <c r="Q24" s="172"/>
      <c r="R24" s="172"/>
      <c r="S24" s="172"/>
      <c r="T24" s="172"/>
      <c r="U24" s="172"/>
      <c r="W24" s="173" t="str">
        <f>J24</f>
        <v>Abril</v>
      </c>
      <c r="X24" s="173"/>
      <c r="Y24" s="173"/>
      <c r="Z24" s="173"/>
      <c r="AA24" s="173"/>
      <c r="AB24" s="173"/>
      <c r="AC24" s="173"/>
      <c r="AE24" s="174" t="str">
        <f>W24</f>
        <v>Abril</v>
      </c>
      <c r="AF24" s="174"/>
      <c r="AG24" s="174"/>
      <c r="AH24" s="174"/>
      <c r="AI24" s="174"/>
      <c r="AJ24" s="174"/>
      <c r="AK24" s="174"/>
    </row>
    <row r="25" spans="1:37" ht="15.75" thickBot="1" x14ac:dyDescent="0.3">
      <c r="A25" s="168" t="s">
        <v>4</v>
      </c>
      <c r="B25" s="10" t="s">
        <v>5</v>
      </c>
      <c r="C25" s="11" t="s">
        <v>6</v>
      </c>
      <c r="D25" s="12" t="s">
        <v>7</v>
      </c>
      <c r="E25" s="11" t="s">
        <v>8</v>
      </c>
      <c r="F25" s="12" t="s">
        <v>9</v>
      </c>
      <c r="G25" s="11" t="s">
        <v>10</v>
      </c>
      <c r="H25" s="32" t="s">
        <v>11</v>
      </c>
      <c r="J25" s="35" t="s">
        <v>3</v>
      </c>
      <c r="K25" s="14">
        <v>45748</v>
      </c>
      <c r="L25" s="24">
        <v>45750</v>
      </c>
      <c r="M25" s="24">
        <v>45755</v>
      </c>
      <c r="N25" s="24">
        <v>45762</v>
      </c>
      <c r="O25" s="24">
        <v>45764</v>
      </c>
      <c r="P25" s="24">
        <v>45769</v>
      </c>
      <c r="Q25" s="24">
        <v>45771</v>
      </c>
      <c r="R25" s="24">
        <v>45773</v>
      </c>
      <c r="S25" s="24">
        <v>45775</v>
      </c>
      <c r="T25" s="15"/>
      <c r="U25" s="16"/>
      <c r="W25" s="35" t="s">
        <v>3</v>
      </c>
      <c r="X25" s="14"/>
      <c r="Y25" s="15"/>
      <c r="Z25" s="15"/>
      <c r="AA25" s="15"/>
      <c r="AB25" s="15"/>
      <c r="AC25" s="16"/>
      <c r="AE25" s="35" t="s">
        <v>3</v>
      </c>
      <c r="AF25" s="14"/>
      <c r="AG25" s="15"/>
      <c r="AH25" s="15"/>
      <c r="AI25" s="15"/>
      <c r="AJ25" s="15"/>
      <c r="AK25" s="16"/>
    </row>
    <row r="26" spans="1:37" ht="15.75" thickBot="1" x14ac:dyDescent="0.3">
      <c r="A26" s="168"/>
      <c r="B26" s="17">
        <v>29473</v>
      </c>
      <c r="C26" s="18">
        <v>30751</v>
      </c>
      <c r="D26" s="18">
        <v>30751</v>
      </c>
      <c r="E26" s="136">
        <v>31993</v>
      </c>
      <c r="F26" s="18">
        <f>SUM(C26-B26)</f>
        <v>1278</v>
      </c>
      <c r="G26" s="18">
        <f>SUM(E26-D26)</f>
        <v>1242</v>
      </c>
      <c r="H26" s="33">
        <f>SUM(F26:G26)</f>
        <v>2520</v>
      </c>
      <c r="J26" s="36" t="s">
        <v>21</v>
      </c>
      <c r="K26" s="25">
        <v>203.15</v>
      </c>
      <c r="L26" s="26">
        <v>100.2</v>
      </c>
      <c r="M26" s="26">
        <v>200.25</v>
      </c>
      <c r="N26" s="26">
        <v>236.64</v>
      </c>
      <c r="O26" s="26">
        <v>140.02000000000001</v>
      </c>
      <c r="P26" s="26">
        <v>145.05000000000001</v>
      </c>
      <c r="Q26" s="26">
        <v>116.36</v>
      </c>
      <c r="R26" s="26">
        <v>79.319999999999993</v>
      </c>
      <c r="S26" s="26">
        <v>268.52</v>
      </c>
      <c r="T26" s="26"/>
      <c r="U26" s="27"/>
      <c r="W26" s="36" t="s">
        <v>21</v>
      </c>
      <c r="X26" s="19"/>
      <c r="Y26" s="20"/>
      <c r="Z26" s="20"/>
      <c r="AA26" s="20"/>
      <c r="AB26" s="20"/>
      <c r="AC26" s="21"/>
      <c r="AE26" s="36" t="s">
        <v>21</v>
      </c>
      <c r="AF26" s="19"/>
      <c r="AG26" s="20"/>
      <c r="AH26" s="20"/>
      <c r="AI26" s="20"/>
      <c r="AJ26" s="20"/>
      <c r="AK26" s="21"/>
    </row>
    <row r="27" spans="1:37" x14ac:dyDescent="0.25">
      <c r="F27" s="2"/>
      <c r="G27" s="2"/>
      <c r="H27" s="2"/>
      <c r="J27" s="37"/>
      <c r="T27" s="22" t="s">
        <v>22</v>
      </c>
      <c r="U27" s="23">
        <f>SUM(K26:U26)</f>
        <v>1489.5099999999998</v>
      </c>
      <c r="AB27" s="22" t="s">
        <v>22</v>
      </c>
      <c r="AC27" s="23">
        <f>SUM(X26:AC26)</f>
        <v>0</v>
      </c>
      <c r="AJ27" s="22" t="s">
        <v>22</v>
      </c>
      <c r="AK27" s="23">
        <f>SUM(AF26:AK26)</f>
        <v>0</v>
      </c>
    </row>
    <row r="28" spans="1:37" ht="15.75" thickBot="1" x14ac:dyDescent="0.3">
      <c r="A28" s="34"/>
      <c r="B28" s="171" t="s">
        <v>14</v>
      </c>
      <c r="C28" s="171"/>
      <c r="D28" s="171"/>
      <c r="E28" s="171"/>
      <c r="F28" s="171"/>
      <c r="G28" s="171"/>
      <c r="H28" s="171"/>
      <c r="J28" s="172" t="s">
        <v>14</v>
      </c>
      <c r="K28" s="172"/>
      <c r="L28" s="172"/>
      <c r="M28" s="172"/>
      <c r="N28" s="172"/>
      <c r="O28" s="172"/>
      <c r="P28" s="172"/>
      <c r="Q28" s="172"/>
      <c r="R28" s="172"/>
      <c r="S28" s="172"/>
      <c r="T28" s="172"/>
      <c r="U28" s="172"/>
      <c r="W28" s="173" t="str">
        <f>J28</f>
        <v>Maio</v>
      </c>
      <c r="X28" s="173"/>
      <c r="Y28" s="173"/>
      <c r="Z28" s="173"/>
      <c r="AA28" s="173"/>
      <c r="AB28" s="173"/>
      <c r="AC28" s="173"/>
      <c r="AE28" s="174" t="str">
        <f>W28</f>
        <v>Maio</v>
      </c>
      <c r="AF28" s="174"/>
      <c r="AG28" s="174"/>
      <c r="AH28" s="174"/>
      <c r="AI28" s="174"/>
      <c r="AJ28" s="174"/>
      <c r="AK28" s="174"/>
    </row>
    <row r="29" spans="1:37" ht="15.75" thickBot="1" x14ac:dyDescent="0.3">
      <c r="A29" s="168" t="s">
        <v>4</v>
      </c>
      <c r="B29" s="10" t="s">
        <v>5</v>
      </c>
      <c r="C29" s="11" t="s">
        <v>6</v>
      </c>
      <c r="D29" s="12" t="s">
        <v>7</v>
      </c>
      <c r="E29" s="11" t="s">
        <v>8</v>
      </c>
      <c r="F29" s="12" t="s">
        <v>9</v>
      </c>
      <c r="G29" s="11" t="s">
        <v>10</v>
      </c>
      <c r="H29" s="32" t="s">
        <v>11</v>
      </c>
      <c r="J29" s="35" t="s">
        <v>3</v>
      </c>
      <c r="K29" s="14">
        <v>45778</v>
      </c>
      <c r="L29" s="24">
        <v>45783</v>
      </c>
      <c r="M29" s="24">
        <v>45790</v>
      </c>
      <c r="N29" s="24">
        <v>45794</v>
      </c>
      <c r="O29" s="24">
        <v>45799</v>
      </c>
      <c r="P29" s="24">
        <v>45801</v>
      </c>
      <c r="Q29" s="24">
        <v>45808</v>
      </c>
      <c r="R29" s="15"/>
      <c r="S29" s="15"/>
      <c r="T29" s="15"/>
      <c r="U29" s="16"/>
      <c r="W29" s="35" t="s">
        <v>3</v>
      </c>
      <c r="X29" s="14"/>
      <c r="Y29" s="15"/>
      <c r="Z29" s="15"/>
      <c r="AA29" s="15"/>
      <c r="AB29" s="15"/>
      <c r="AC29" s="16"/>
      <c r="AE29" s="35" t="s">
        <v>3</v>
      </c>
      <c r="AF29" s="14"/>
      <c r="AG29" s="15"/>
      <c r="AH29" s="15"/>
      <c r="AI29" s="15"/>
      <c r="AJ29" s="15"/>
      <c r="AK29" s="16"/>
    </row>
    <row r="30" spans="1:37" ht="15.75" thickBot="1" x14ac:dyDescent="0.3">
      <c r="A30" s="168"/>
      <c r="B30" s="17">
        <v>64030</v>
      </c>
      <c r="C30" s="136">
        <v>65702</v>
      </c>
      <c r="D30" s="18">
        <v>65702</v>
      </c>
      <c r="E30" s="18">
        <v>66927</v>
      </c>
      <c r="F30" s="18">
        <f>SUM(C30-B30)</f>
        <v>1672</v>
      </c>
      <c r="G30" s="18">
        <f>SUM(E30-D30)</f>
        <v>1225</v>
      </c>
      <c r="H30" s="33">
        <f>SUM(F30:G30)</f>
        <v>2897</v>
      </c>
      <c r="J30" s="36" t="s">
        <v>21</v>
      </c>
      <c r="K30" s="19">
        <v>228.97</v>
      </c>
      <c r="L30" s="20">
        <v>270.01</v>
      </c>
      <c r="M30" s="20">
        <v>241.2</v>
      </c>
      <c r="N30" s="20">
        <v>217.2</v>
      </c>
      <c r="O30" s="20">
        <v>260.18</v>
      </c>
      <c r="P30" s="20">
        <v>158.01</v>
      </c>
      <c r="Q30" s="20">
        <v>296.41000000000003</v>
      </c>
      <c r="R30" s="20"/>
      <c r="S30" s="20"/>
      <c r="T30" s="20"/>
      <c r="U30" s="21"/>
      <c r="W30" s="36" t="s">
        <v>21</v>
      </c>
      <c r="X30" s="19"/>
      <c r="Y30" s="20"/>
      <c r="Z30" s="20"/>
      <c r="AA30" s="20"/>
      <c r="AB30" s="20"/>
      <c r="AC30" s="21"/>
      <c r="AE30" s="36" t="s">
        <v>21</v>
      </c>
      <c r="AF30" s="19"/>
      <c r="AG30" s="20"/>
      <c r="AH30" s="20"/>
      <c r="AI30" s="20"/>
      <c r="AJ30" s="20"/>
      <c r="AK30" s="21"/>
    </row>
    <row r="31" spans="1:37" x14ac:dyDescent="0.25">
      <c r="F31" s="2"/>
      <c r="G31" s="2"/>
      <c r="H31" s="2"/>
      <c r="J31" s="37"/>
      <c r="T31" s="22" t="s">
        <v>22</v>
      </c>
      <c r="U31" s="23">
        <f>SUM(K30:U30)</f>
        <v>1671.9800000000002</v>
      </c>
      <c r="AB31" s="22" t="s">
        <v>22</v>
      </c>
      <c r="AC31" s="23">
        <f>SUM(X30:AC30)</f>
        <v>0</v>
      </c>
      <c r="AJ31" s="22" t="s">
        <v>22</v>
      </c>
      <c r="AK31" s="23">
        <f>SUM(AF30:AK30)</f>
        <v>0</v>
      </c>
    </row>
    <row r="32" spans="1:37" ht="15.75" thickBot="1" x14ac:dyDescent="0.3">
      <c r="A32" s="34"/>
      <c r="B32" s="171" t="s">
        <v>23</v>
      </c>
      <c r="C32" s="171"/>
      <c r="D32" s="171"/>
      <c r="E32" s="171"/>
      <c r="F32" s="171"/>
      <c r="G32" s="171"/>
      <c r="H32" s="171"/>
      <c r="J32" s="172" t="s">
        <v>23</v>
      </c>
      <c r="K32" s="172"/>
      <c r="L32" s="172"/>
      <c r="M32" s="172"/>
      <c r="N32" s="172"/>
      <c r="O32" s="172"/>
      <c r="P32" s="172"/>
      <c r="Q32" s="172"/>
      <c r="R32" s="172"/>
      <c r="S32" s="172"/>
      <c r="T32" s="172"/>
      <c r="U32" s="172"/>
      <c r="W32" s="173" t="str">
        <f>J32</f>
        <v>Junho</v>
      </c>
      <c r="X32" s="173"/>
      <c r="Y32" s="173"/>
      <c r="Z32" s="173"/>
      <c r="AA32" s="173"/>
      <c r="AB32" s="173"/>
      <c r="AC32" s="173"/>
      <c r="AE32" s="174" t="str">
        <f>W32</f>
        <v>Junho</v>
      </c>
      <c r="AF32" s="174"/>
      <c r="AG32" s="174"/>
      <c r="AH32" s="174"/>
      <c r="AI32" s="174"/>
      <c r="AJ32" s="174"/>
      <c r="AK32" s="174"/>
    </row>
    <row r="33" spans="1:37" ht="15.75" thickBot="1" x14ac:dyDescent="0.3">
      <c r="A33" s="168" t="s">
        <v>4</v>
      </c>
      <c r="B33" s="10" t="s">
        <v>5</v>
      </c>
      <c r="C33" s="11" t="s">
        <v>6</v>
      </c>
      <c r="D33" s="12" t="s">
        <v>7</v>
      </c>
      <c r="E33" s="11" t="s">
        <v>8</v>
      </c>
      <c r="F33" s="12" t="s">
        <v>9</v>
      </c>
      <c r="G33" s="11" t="s">
        <v>10</v>
      </c>
      <c r="H33" s="32" t="s">
        <v>11</v>
      </c>
      <c r="J33" s="35" t="s">
        <v>3</v>
      </c>
      <c r="K33" s="14">
        <v>45815</v>
      </c>
      <c r="L33" s="24">
        <v>45836</v>
      </c>
      <c r="M33" s="15"/>
      <c r="N33" s="15"/>
      <c r="O33" s="15"/>
      <c r="P33" s="15"/>
      <c r="Q33" s="15"/>
      <c r="R33" s="15"/>
      <c r="S33" s="15"/>
      <c r="T33" s="15"/>
      <c r="U33" s="16"/>
      <c r="W33" s="35" t="s">
        <v>3</v>
      </c>
      <c r="X33" s="14"/>
      <c r="Y33" s="15"/>
      <c r="Z33" s="15"/>
      <c r="AA33" s="15"/>
      <c r="AB33" s="15"/>
      <c r="AC33" s="16"/>
      <c r="AE33" s="35" t="s">
        <v>3</v>
      </c>
      <c r="AF33" s="14"/>
      <c r="AG33" s="15"/>
      <c r="AH33" s="15"/>
      <c r="AI33" s="15"/>
      <c r="AJ33" s="15"/>
      <c r="AK33" s="16"/>
    </row>
    <row r="34" spans="1:37" ht="15.75" thickBot="1" x14ac:dyDescent="0.3">
      <c r="A34" s="168"/>
      <c r="B34" s="18">
        <v>66927</v>
      </c>
      <c r="C34" s="18">
        <v>67524</v>
      </c>
      <c r="D34" s="18">
        <v>67524</v>
      </c>
      <c r="E34" s="18">
        <v>67815</v>
      </c>
      <c r="F34" s="18">
        <f>SUM(C34-B34)</f>
        <v>597</v>
      </c>
      <c r="G34" s="18">
        <f>SUM(E34-D34)</f>
        <v>291</v>
      </c>
      <c r="H34" s="33">
        <f>SUM(F34:G34)</f>
        <v>888</v>
      </c>
      <c r="J34" s="36" t="s">
        <v>21</v>
      </c>
      <c r="K34" s="19">
        <v>261.85000000000002</v>
      </c>
      <c r="L34" s="20">
        <v>252.8</v>
      </c>
      <c r="M34" s="20"/>
      <c r="N34" s="20"/>
      <c r="O34" s="20"/>
      <c r="P34" s="20"/>
      <c r="Q34" s="20"/>
      <c r="R34" s="20"/>
      <c r="S34" s="20"/>
      <c r="T34" s="20"/>
      <c r="U34" s="21"/>
      <c r="W34" s="36" t="s">
        <v>21</v>
      </c>
      <c r="X34" s="19"/>
      <c r="Y34" s="20"/>
      <c r="Z34" s="20"/>
      <c r="AA34" s="20"/>
      <c r="AB34" s="20"/>
      <c r="AC34" s="21"/>
      <c r="AE34" s="36" t="s">
        <v>21</v>
      </c>
      <c r="AF34" s="19"/>
      <c r="AG34" s="20"/>
      <c r="AH34" s="20"/>
      <c r="AI34" s="20"/>
      <c r="AJ34" s="20"/>
      <c r="AK34" s="21"/>
    </row>
    <row r="35" spans="1:37" x14ac:dyDescent="0.25">
      <c r="F35" s="2"/>
      <c r="G35" s="2"/>
      <c r="H35" s="2"/>
      <c r="J35" s="37"/>
      <c r="T35" s="22" t="s">
        <v>22</v>
      </c>
      <c r="U35" s="23">
        <f>SUM(K34:U34)</f>
        <v>514.65000000000009</v>
      </c>
      <c r="AB35" s="22" t="s">
        <v>22</v>
      </c>
      <c r="AC35" s="23">
        <f>SUM(X34:AC34)</f>
        <v>0</v>
      </c>
      <c r="AJ35" s="22" t="s">
        <v>22</v>
      </c>
      <c r="AK35" s="23">
        <f>SUM(AF34:AK34)</f>
        <v>0</v>
      </c>
    </row>
    <row r="36" spans="1:37" ht="15.75" thickBot="1" x14ac:dyDescent="0.3">
      <c r="A36" s="34"/>
      <c r="B36" s="171" t="s">
        <v>15</v>
      </c>
      <c r="C36" s="171"/>
      <c r="D36" s="171"/>
      <c r="E36" s="171"/>
      <c r="F36" s="171"/>
      <c r="G36" s="171"/>
      <c r="H36" s="171"/>
      <c r="J36" s="172" t="s">
        <v>15</v>
      </c>
      <c r="K36" s="172"/>
      <c r="L36" s="172"/>
      <c r="M36" s="172"/>
      <c r="N36" s="172"/>
      <c r="O36" s="172"/>
      <c r="P36" s="172"/>
      <c r="Q36" s="172"/>
      <c r="R36" s="172"/>
      <c r="S36" s="172"/>
      <c r="T36" s="172"/>
      <c r="U36" s="172"/>
      <c r="W36" s="173" t="str">
        <f>J36</f>
        <v>Julho</v>
      </c>
      <c r="X36" s="173"/>
      <c r="Y36" s="173"/>
      <c r="Z36" s="173"/>
      <c r="AA36" s="173"/>
      <c r="AB36" s="173"/>
      <c r="AC36" s="173"/>
      <c r="AE36" s="174" t="str">
        <f>W36</f>
        <v>Julho</v>
      </c>
      <c r="AF36" s="174"/>
      <c r="AG36" s="174"/>
      <c r="AH36" s="174"/>
      <c r="AI36" s="174"/>
      <c r="AJ36" s="174"/>
      <c r="AK36" s="174"/>
    </row>
    <row r="37" spans="1:37" ht="15.75" thickBot="1" x14ac:dyDescent="0.3">
      <c r="A37" s="168" t="s">
        <v>4</v>
      </c>
      <c r="B37" s="10" t="s">
        <v>5</v>
      </c>
      <c r="C37" s="11" t="s">
        <v>6</v>
      </c>
      <c r="D37" s="12" t="s">
        <v>7</v>
      </c>
      <c r="E37" s="11" t="s">
        <v>8</v>
      </c>
      <c r="F37" s="12" t="s">
        <v>9</v>
      </c>
      <c r="G37" s="11" t="s">
        <v>10</v>
      </c>
      <c r="H37" s="32" t="s">
        <v>11</v>
      </c>
      <c r="J37" s="35" t="s">
        <v>3</v>
      </c>
      <c r="K37" s="14">
        <v>45843</v>
      </c>
      <c r="L37" s="24">
        <v>45850</v>
      </c>
      <c r="M37" s="24">
        <v>45857</v>
      </c>
      <c r="N37" s="24">
        <v>45862</v>
      </c>
      <c r="O37" s="24">
        <v>45865</v>
      </c>
      <c r="P37" s="24">
        <v>45869</v>
      </c>
      <c r="Q37" s="15"/>
      <c r="R37" s="15"/>
      <c r="S37" s="15"/>
      <c r="T37" s="15"/>
      <c r="U37" s="16"/>
      <c r="W37" s="35" t="s">
        <v>3</v>
      </c>
      <c r="X37" s="14"/>
      <c r="Y37" s="15"/>
      <c r="Z37" s="15"/>
      <c r="AA37" s="15"/>
      <c r="AB37" s="15"/>
      <c r="AC37" s="16"/>
      <c r="AE37" s="35" t="s">
        <v>3</v>
      </c>
      <c r="AF37" s="14"/>
      <c r="AG37" s="15"/>
      <c r="AH37" s="15"/>
      <c r="AI37" s="15"/>
      <c r="AJ37" s="15"/>
      <c r="AK37" s="16"/>
    </row>
    <row r="38" spans="1:37" ht="15.75" thickBot="1" x14ac:dyDescent="0.3">
      <c r="A38" s="168"/>
      <c r="B38" s="18">
        <v>67815</v>
      </c>
      <c r="C38" s="18">
        <v>68755</v>
      </c>
      <c r="D38" s="18">
        <v>68755</v>
      </c>
      <c r="E38" s="18">
        <v>69989</v>
      </c>
      <c r="F38" s="18">
        <f>SUM(C38-B38)</f>
        <v>940</v>
      </c>
      <c r="G38" s="18">
        <f>SUM(E38-D38)</f>
        <v>1234</v>
      </c>
      <c r="H38" s="33">
        <f>SUM(F38:G38)</f>
        <v>2174</v>
      </c>
      <c r="J38" s="36" t="s">
        <v>21</v>
      </c>
      <c r="K38" s="19">
        <v>243.87</v>
      </c>
      <c r="L38" s="20">
        <v>241.96</v>
      </c>
      <c r="M38" s="20">
        <v>295.13</v>
      </c>
      <c r="N38" s="20">
        <v>239.31</v>
      </c>
      <c r="O38" s="20">
        <v>215.66</v>
      </c>
      <c r="P38" s="20">
        <v>206.54</v>
      </c>
      <c r="Q38" s="20"/>
      <c r="R38" s="20"/>
      <c r="S38" s="20"/>
      <c r="T38" s="20"/>
      <c r="U38" s="21"/>
      <c r="W38" s="36" t="s">
        <v>21</v>
      </c>
      <c r="X38" s="19"/>
      <c r="Y38" s="20"/>
      <c r="Z38" s="20"/>
      <c r="AA38" s="20"/>
      <c r="AB38" s="20"/>
      <c r="AC38" s="21"/>
      <c r="AE38" s="36" t="s">
        <v>21</v>
      </c>
      <c r="AF38" s="19"/>
      <c r="AG38" s="20"/>
      <c r="AH38" s="20"/>
      <c r="AI38" s="20"/>
      <c r="AJ38" s="20"/>
      <c r="AK38" s="21"/>
    </row>
    <row r="39" spans="1:37" x14ac:dyDescent="0.25">
      <c r="F39" s="2"/>
      <c r="G39" s="2"/>
      <c r="H39" s="2"/>
      <c r="J39" s="37"/>
      <c r="T39" s="22" t="s">
        <v>22</v>
      </c>
      <c r="U39" s="23">
        <f>SUM(K38:U38)</f>
        <v>1442.47</v>
      </c>
      <c r="AB39" s="22" t="s">
        <v>22</v>
      </c>
      <c r="AC39" s="23">
        <f>SUM(X38:AC38)</f>
        <v>0</v>
      </c>
      <c r="AJ39" s="22" t="s">
        <v>22</v>
      </c>
      <c r="AK39" s="23">
        <f>SUM(AF38:AK38)</f>
        <v>0</v>
      </c>
    </row>
    <row r="40" spans="1:37" ht="15.75" thickBot="1" x14ac:dyDescent="0.3">
      <c r="A40" s="34"/>
      <c r="B40" s="171" t="s">
        <v>16</v>
      </c>
      <c r="C40" s="171"/>
      <c r="D40" s="171"/>
      <c r="E40" s="171"/>
      <c r="F40" s="171"/>
      <c r="G40" s="171"/>
      <c r="H40" s="171"/>
      <c r="J40" s="172" t="s">
        <v>16</v>
      </c>
      <c r="K40" s="172"/>
      <c r="L40" s="172"/>
      <c r="M40" s="172"/>
      <c r="N40" s="172"/>
      <c r="O40" s="172"/>
      <c r="P40" s="172"/>
      <c r="Q40" s="172"/>
      <c r="R40" s="172"/>
      <c r="S40" s="172"/>
      <c r="T40" s="172"/>
      <c r="U40" s="172"/>
      <c r="W40" s="173" t="str">
        <f>J40</f>
        <v>Agosto</v>
      </c>
      <c r="X40" s="173"/>
      <c r="Y40" s="173"/>
      <c r="Z40" s="173"/>
      <c r="AA40" s="173"/>
      <c r="AB40" s="173"/>
      <c r="AC40" s="173"/>
      <c r="AE40" s="174" t="str">
        <f>W40</f>
        <v>Agosto</v>
      </c>
      <c r="AF40" s="174"/>
      <c r="AG40" s="174"/>
      <c r="AH40" s="174"/>
      <c r="AI40" s="174"/>
      <c r="AJ40" s="174"/>
      <c r="AK40" s="174"/>
    </row>
    <row r="41" spans="1:37" ht="15.75" thickBot="1" x14ac:dyDescent="0.3">
      <c r="A41" s="168" t="s">
        <v>4</v>
      </c>
      <c r="B41" s="10" t="s">
        <v>5</v>
      </c>
      <c r="C41" s="11" t="s">
        <v>6</v>
      </c>
      <c r="D41" s="12" t="s">
        <v>7</v>
      </c>
      <c r="E41" s="11" t="s">
        <v>8</v>
      </c>
      <c r="F41" s="12" t="s">
        <v>9</v>
      </c>
      <c r="G41" s="11" t="s">
        <v>10</v>
      </c>
      <c r="H41" s="32" t="s">
        <v>11</v>
      </c>
      <c r="J41" s="35" t="s">
        <v>3</v>
      </c>
      <c r="K41" s="14">
        <v>45883</v>
      </c>
      <c r="L41" s="24">
        <v>45888</v>
      </c>
      <c r="M41" s="24">
        <v>45890</v>
      </c>
      <c r="N41" s="24">
        <v>45892</v>
      </c>
      <c r="O41" s="24">
        <v>45895</v>
      </c>
      <c r="P41" s="24">
        <v>45899</v>
      </c>
      <c r="Q41" s="15"/>
      <c r="R41" s="15"/>
      <c r="S41" s="15"/>
      <c r="T41" s="15"/>
      <c r="U41" s="16"/>
      <c r="W41" s="35" t="s">
        <v>3</v>
      </c>
      <c r="X41" s="14"/>
      <c r="Y41" s="15"/>
      <c r="Z41" s="15"/>
      <c r="AA41" s="15"/>
      <c r="AB41" s="15"/>
      <c r="AC41" s="16"/>
      <c r="AE41" s="35" t="s">
        <v>3</v>
      </c>
      <c r="AF41" s="14"/>
      <c r="AG41" s="15"/>
      <c r="AH41" s="15"/>
      <c r="AI41" s="15"/>
      <c r="AJ41" s="15"/>
      <c r="AK41" s="16"/>
    </row>
    <row r="42" spans="1:37" ht="15.75" thickBot="1" x14ac:dyDescent="0.3">
      <c r="A42" s="168"/>
      <c r="B42" s="18">
        <v>69989</v>
      </c>
      <c r="C42" s="18">
        <v>71219</v>
      </c>
      <c r="D42" s="18">
        <v>71219</v>
      </c>
      <c r="E42" s="18">
        <v>72568</v>
      </c>
      <c r="F42" s="18">
        <f>SUM(C42-B42)</f>
        <v>1230</v>
      </c>
      <c r="G42" s="18">
        <f>SUM(E42-D42)</f>
        <v>1349</v>
      </c>
      <c r="H42" s="33">
        <f>SUM(F42:G42)</f>
        <v>2579</v>
      </c>
      <c r="J42" s="36" t="s">
        <v>21</v>
      </c>
      <c r="K42" s="19">
        <v>226.01</v>
      </c>
      <c r="L42" s="20">
        <v>155.16999999999999</v>
      </c>
      <c r="M42" s="20">
        <v>170.08</v>
      </c>
      <c r="N42" s="20">
        <v>192.88</v>
      </c>
      <c r="O42" s="20">
        <v>153.99</v>
      </c>
      <c r="P42" s="20">
        <v>197.22</v>
      </c>
      <c r="Q42" s="20"/>
      <c r="R42" s="20"/>
      <c r="S42" s="20"/>
      <c r="T42" s="20"/>
      <c r="U42" s="21"/>
      <c r="W42" s="36" t="s">
        <v>21</v>
      </c>
      <c r="X42" s="19"/>
      <c r="Y42" s="20"/>
      <c r="Z42" s="20"/>
      <c r="AA42" s="20"/>
      <c r="AB42" s="20"/>
      <c r="AC42" s="21"/>
      <c r="AE42" s="36" t="s">
        <v>21</v>
      </c>
      <c r="AF42" s="19"/>
      <c r="AG42" s="20"/>
      <c r="AH42" s="20"/>
      <c r="AI42" s="20"/>
      <c r="AJ42" s="20"/>
      <c r="AK42" s="21"/>
    </row>
    <row r="43" spans="1:37" x14ac:dyDescent="0.25">
      <c r="F43" s="2"/>
      <c r="G43" s="2"/>
      <c r="H43" s="2"/>
      <c r="J43" s="37"/>
      <c r="T43" s="22" t="s">
        <v>22</v>
      </c>
      <c r="U43" s="23">
        <f>SUM(K42:U42)</f>
        <v>1095.3499999999999</v>
      </c>
      <c r="AB43" s="22" t="s">
        <v>22</v>
      </c>
      <c r="AC43" s="23">
        <f>SUM(X42:AC42)</f>
        <v>0</v>
      </c>
      <c r="AJ43" s="22" t="s">
        <v>22</v>
      </c>
      <c r="AK43" s="23">
        <f>SUM(AF42:AK42)</f>
        <v>0</v>
      </c>
    </row>
    <row r="44" spans="1:37" ht="15.75" thickBot="1" x14ac:dyDescent="0.3">
      <c r="A44" s="34"/>
      <c r="B44" s="171" t="s">
        <v>17</v>
      </c>
      <c r="C44" s="171"/>
      <c r="D44" s="171"/>
      <c r="E44" s="171"/>
      <c r="F44" s="171"/>
      <c r="G44" s="171"/>
      <c r="H44" s="171"/>
      <c r="J44" s="172" t="s">
        <v>17</v>
      </c>
      <c r="K44" s="172"/>
      <c r="L44" s="172"/>
      <c r="M44" s="172"/>
      <c r="N44" s="172"/>
      <c r="O44" s="172"/>
      <c r="P44" s="172"/>
      <c r="Q44" s="172"/>
      <c r="R44" s="172"/>
      <c r="S44" s="172"/>
      <c r="T44" s="172"/>
      <c r="U44" s="172"/>
      <c r="W44" s="173" t="str">
        <f>J44</f>
        <v>Setembro</v>
      </c>
      <c r="X44" s="173"/>
      <c r="Y44" s="173"/>
      <c r="Z44" s="173"/>
      <c r="AA44" s="173"/>
      <c r="AB44" s="173"/>
      <c r="AC44" s="173"/>
      <c r="AE44" s="174" t="str">
        <f>W44</f>
        <v>Setembro</v>
      </c>
      <c r="AF44" s="174"/>
      <c r="AG44" s="174"/>
      <c r="AH44" s="174"/>
      <c r="AI44" s="174"/>
      <c r="AJ44" s="174"/>
      <c r="AK44" s="174"/>
    </row>
    <row r="45" spans="1:37" ht="15.75" thickBot="1" x14ac:dyDescent="0.3">
      <c r="A45" s="168" t="s">
        <v>4</v>
      </c>
      <c r="B45" s="10" t="s">
        <v>5</v>
      </c>
      <c r="C45" s="11" t="s">
        <v>6</v>
      </c>
      <c r="D45" s="12" t="s">
        <v>7</v>
      </c>
      <c r="E45" s="11" t="s">
        <v>8</v>
      </c>
      <c r="F45" s="12" t="s">
        <v>9</v>
      </c>
      <c r="G45" s="11" t="s">
        <v>10</v>
      </c>
      <c r="H45" s="32" t="s">
        <v>11</v>
      </c>
      <c r="J45" s="35" t="s">
        <v>3</v>
      </c>
      <c r="K45" s="14">
        <v>45902</v>
      </c>
      <c r="L45" s="24">
        <v>45906</v>
      </c>
      <c r="M45" s="24">
        <v>45909</v>
      </c>
      <c r="N45" s="24">
        <v>45913</v>
      </c>
      <c r="O45" s="24">
        <v>45918</v>
      </c>
      <c r="P45" s="24">
        <v>45923</v>
      </c>
      <c r="Q45" s="24">
        <v>45925</v>
      </c>
      <c r="R45" s="15"/>
      <c r="S45" s="15"/>
      <c r="T45" s="15"/>
      <c r="U45" s="16"/>
      <c r="W45" s="35" t="s">
        <v>3</v>
      </c>
      <c r="X45" s="14"/>
      <c r="Y45" s="15"/>
      <c r="Z45" s="15"/>
      <c r="AA45" s="15"/>
      <c r="AB45" s="15"/>
      <c r="AC45" s="16"/>
      <c r="AE45" s="35" t="s">
        <v>3</v>
      </c>
      <c r="AF45" s="14"/>
      <c r="AG45" s="15"/>
      <c r="AH45" s="15"/>
      <c r="AI45" s="15"/>
      <c r="AJ45" s="15"/>
      <c r="AK45" s="16"/>
    </row>
    <row r="46" spans="1:37" ht="15.75" thickBot="1" x14ac:dyDescent="0.3">
      <c r="A46" s="168"/>
      <c r="B46" s="18">
        <v>72568</v>
      </c>
      <c r="C46" s="18">
        <v>73743</v>
      </c>
      <c r="D46" s="18">
        <v>73743</v>
      </c>
      <c r="E46" s="18">
        <v>74548</v>
      </c>
      <c r="F46" s="18">
        <f>SUM(C46-B46)</f>
        <v>1175</v>
      </c>
      <c r="G46" s="18">
        <f>SUM(E46-D46)</f>
        <v>805</v>
      </c>
      <c r="H46" s="33">
        <f>SUM(F46:G46)</f>
        <v>1980</v>
      </c>
      <c r="J46" s="36" t="s">
        <v>21</v>
      </c>
      <c r="K46" s="19">
        <v>190.12</v>
      </c>
      <c r="L46" s="20">
        <v>194.06</v>
      </c>
      <c r="M46" s="20">
        <v>153.57</v>
      </c>
      <c r="N46" s="20">
        <v>198.06</v>
      </c>
      <c r="O46" s="20">
        <v>237.72</v>
      </c>
      <c r="P46" s="20">
        <v>172.53</v>
      </c>
      <c r="Q46" s="20">
        <v>83.07</v>
      </c>
      <c r="R46" s="20"/>
      <c r="S46" s="20"/>
      <c r="T46" s="20"/>
      <c r="U46" s="21"/>
      <c r="W46" s="36" t="s">
        <v>21</v>
      </c>
      <c r="X46" s="19"/>
      <c r="Y46" s="20"/>
      <c r="Z46" s="20"/>
      <c r="AA46" s="20"/>
      <c r="AB46" s="20"/>
      <c r="AC46" s="21"/>
      <c r="AE46" s="36" t="s">
        <v>21</v>
      </c>
      <c r="AF46" s="19"/>
      <c r="AG46" s="20"/>
      <c r="AH46" s="20"/>
      <c r="AI46" s="20"/>
      <c r="AJ46" s="20"/>
      <c r="AK46" s="21"/>
    </row>
    <row r="47" spans="1:37" x14ac:dyDescent="0.25">
      <c r="F47" s="2"/>
      <c r="G47" s="2"/>
      <c r="H47" s="2"/>
      <c r="J47" s="37"/>
      <c r="T47" s="22" t="s">
        <v>22</v>
      </c>
      <c r="U47" s="23">
        <f>SUM(K46:U46)</f>
        <v>1229.1299999999999</v>
      </c>
      <c r="AB47" s="22" t="s">
        <v>22</v>
      </c>
      <c r="AC47" s="23">
        <f>SUM(X46:AC46)</f>
        <v>0</v>
      </c>
      <c r="AJ47" s="22" t="s">
        <v>22</v>
      </c>
      <c r="AK47" s="23">
        <f>SUM(AF46:AK46)</f>
        <v>0</v>
      </c>
    </row>
    <row r="48" spans="1:37" ht="15.75" thickBot="1" x14ac:dyDescent="0.3">
      <c r="A48" s="34"/>
      <c r="B48" s="171" t="s">
        <v>18</v>
      </c>
      <c r="C48" s="171"/>
      <c r="D48" s="171"/>
      <c r="E48" s="171"/>
      <c r="F48" s="171"/>
      <c r="G48" s="171"/>
      <c r="H48" s="171"/>
      <c r="J48" s="172" t="s">
        <v>18</v>
      </c>
      <c r="K48" s="172"/>
      <c r="L48" s="172"/>
      <c r="M48" s="172"/>
      <c r="N48" s="172"/>
      <c r="O48" s="172"/>
      <c r="P48" s="172"/>
      <c r="Q48" s="172"/>
      <c r="R48" s="172"/>
      <c r="S48" s="172"/>
      <c r="T48" s="172"/>
      <c r="U48" s="172"/>
      <c r="W48" s="173" t="str">
        <f>J48</f>
        <v>Outubro</v>
      </c>
      <c r="X48" s="173"/>
      <c r="Y48" s="173"/>
      <c r="Z48" s="173"/>
      <c r="AA48" s="173"/>
      <c r="AB48" s="173"/>
      <c r="AC48" s="173"/>
      <c r="AE48" s="174" t="str">
        <f>W48</f>
        <v>Outubro</v>
      </c>
      <c r="AF48" s="174"/>
      <c r="AG48" s="174"/>
      <c r="AH48" s="174"/>
      <c r="AI48" s="174"/>
      <c r="AJ48" s="174"/>
      <c r="AK48" s="174"/>
    </row>
    <row r="49" spans="1:37" ht="15.75" thickBot="1" x14ac:dyDescent="0.3">
      <c r="A49" s="168" t="s">
        <v>4</v>
      </c>
      <c r="B49" s="10" t="s">
        <v>5</v>
      </c>
      <c r="C49" s="11" t="s">
        <v>6</v>
      </c>
      <c r="D49" s="12" t="s">
        <v>7</v>
      </c>
      <c r="E49" s="11" t="s">
        <v>8</v>
      </c>
      <c r="F49" s="12" t="s">
        <v>9</v>
      </c>
      <c r="G49" s="11" t="s">
        <v>10</v>
      </c>
      <c r="H49" s="32" t="s">
        <v>11</v>
      </c>
      <c r="J49" s="35" t="s">
        <v>3</v>
      </c>
      <c r="K49" s="14">
        <v>45932</v>
      </c>
      <c r="L49" s="24">
        <v>45934</v>
      </c>
      <c r="M49" s="24">
        <v>45937</v>
      </c>
      <c r="N49" s="24">
        <v>45953</v>
      </c>
      <c r="O49" s="15"/>
      <c r="P49" s="15"/>
      <c r="Q49" s="15"/>
      <c r="R49" s="15"/>
      <c r="S49" s="15"/>
      <c r="T49" s="15"/>
      <c r="U49" s="16"/>
      <c r="W49" s="35" t="s">
        <v>3</v>
      </c>
      <c r="X49" s="14"/>
      <c r="Y49" s="15"/>
      <c r="Z49" s="15"/>
      <c r="AA49" s="15"/>
      <c r="AB49" s="15"/>
      <c r="AC49" s="16"/>
      <c r="AE49" s="35" t="s">
        <v>3</v>
      </c>
      <c r="AF49" s="14"/>
      <c r="AG49" s="15"/>
      <c r="AH49" s="15"/>
      <c r="AI49" s="15"/>
      <c r="AJ49" s="15"/>
      <c r="AK49" s="16"/>
    </row>
    <row r="50" spans="1:37" ht="15.75" thickBot="1" x14ac:dyDescent="0.3">
      <c r="A50" s="168"/>
      <c r="B50" s="18">
        <v>74548</v>
      </c>
      <c r="C50" s="18">
        <v>75318</v>
      </c>
      <c r="D50" s="18">
        <v>75318</v>
      </c>
      <c r="E50" s="18">
        <v>76642</v>
      </c>
      <c r="F50" s="18">
        <f>SUM(C50-B50)</f>
        <v>770</v>
      </c>
      <c r="G50" s="18">
        <f>SUM(E50-D50)</f>
        <v>1324</v>
      </c>
      <c r="H50" s="33">
        <f>SUM(F50:G50)</f>
        <v>2094</v>
      </c>
      <c r="J50" s="36" t="s">
        <v>21</v>
      </c>
      <c r="K50" s="19">
        <v>263.04000000000002</v>
      </c>
      <c r="L50" s="20">
        <v>148</v>
      </c>
      <c r="M50" s="20">
        <v>170.01</v>
      </c>
      <c r="N50" s="20">
        <v>218.89</v>
      </c>
      <c r="O50" s="20"/>
      <c r="P50" s="20"/>
      <c r="Q50" s="20"/>
      <c r="R50" s="20"/>
      <c r="S50" s="20"/>
      <c r="T50" s="20"/>
      <c r="U50" s="21"/>
      <c r="W50" s="36" t="s">
        <v>21</v>
      </c>
      <c r="X50" s="19"/>
      <c r="Y50" s="20"/>
      <c r="Z50" s="20"/>
      <c r="AA50" s="20"/>
      <c r="AB50" s="20"/>
      <c r="AC50" s="21"/>
      <c r="AE50" s="36" t="s">
        <v>21</v>
      </c>
      <c r="AF50" s="19"/>
      <c r="AG50" s="20"/>
      <c r="AH50" s="20"/>
      <c r="AI50" s="20"/>
      <c r="AJ50" s="20"/>
      <c r="AK50" s="21"/>
    </row>
    <row r="51" spans="1:37" x14ac:dyDescent="0.25">
      <c r="F51" s="2"/>
      <c r="G51" s="2"/>
      <c r="H51" s="2"/>
      <c r="J51" s="37"/>
      <c r="T51" s="22" t="s">
        <v>22</v>
      </c>
      <c r="U51" s="23">
        <f>SUM(K50:U50)</f>
        <v>799.93999999999994</v>
      </c>
      <c r="AB51" s="22" t="s">
        <v>22</v>
      </c>
      <c r="AC51" s="23">
        <f>SUM(X50:AC50)</f>
        <v>0</v>
      </c>
      <c r="AJ51" s="22" t="s">
        <v>22</v>
      </c>
      <c r="AK51" s="23">
        <f>SUM(AF50:AK50)</f>
        <v>0</v>
      </c>
    </row>
    <row r="52" spans="1:37" ht="15.75" thickBot="1" x14ac:dyDescent="0.3">
      <c r="A52" s="34"/>
      <c r="B52" s="171" t="s">
        <v>19</v>
      </c>
      <c r="C52" s="171"/>
      <c r="D52" s="171"/>
      <c r="E52" s="171"/>
      <c r="F52" s="171"/>
      <c r="G52" s="171"/>
      <c r="H52" s="171"/>
      <c r="J52" s="172" t="s">
        <v>19</v>
      </c>
      <c r="K52" s="172"/>
      <c r="L52" s="172"/>
      <c r="M52" s="172"/>
      <c r="N52" s="172"/>
      <c r="O52" s="172"/>
      <c r="P52" s="172"/>
      <c r="Q52" s="172"/>
      <c r="R52" s="172"/>
      <c r="S52" s="172"/>
      <c r="T52" s="172"/>
      <c r="U52" s="172"/>
      <c r="W52" s="173" t="str">
        <f>J52</f>
        <v>Novembro</v>
      </c>
      <c r="X52" s="173"/>
      <c r="Y52" s="173"/>
      <c r="Z52" s="173"/>
      <c r="AA52" s="173"/>
      <c r="AB52" s="173"/>
      <c r="AC52" s="173"/>
      <c r="AE52" s="174" t="str">
        <f>W52</f>
        <v>Novembro</v>
      </c>
      <c r="AF52" s="174"/>
      <c r="AG52" s="174"/>
      <c r="AH52" s="174"/>
      <c r="AI52" s="174"/>
      <c r="AJ52" s="174"/>
      <c r="AK52" s="174"/>
    </row>
    <row r="53" spans="1:37" ht="15.75" thickBot="1" x14ac:dyDescent="0.3">
      <c r="A53" s="168" t="s">
        <v>4</v>
      </c>
      <c r="B53" s="10" t="s">
        <v>5</v>
      </c>
      <c r="C53" s="11" t="s">
        <v>6</v>
      </c>
      <c r="D53" s="12" t="s">
        <v>7</v>
      </c>
      <c r="E53" s="11" t="s">
        <v>8</v>
      </c>
      <c r="F53" s="12" t="s">
        <v>9</v>
      </c>
      <c r="G53" s="11" t="s">
        <v>10</v>
      </c>
      <c r="H53" s="32" t="s">
        <v>11</v>
      </c>
      <c r="J53" s="35" t="s">
        <v>3</v>
      </c>
      <c r="K53" s="14">
        <v>45962</v>
      </c>
      <c r="L53" s="24">
        <v>45965</v>
      </c>
      <c r="M53" s="24">
        <v>45969</v>
      </c>
      <c r="N53" s="24">
        <v>45972</v>
      </c>
      <c r="O53" s="24">
        <v>45976</v>
      </c>
      <c r="P53" s="24">
        <v>45986</v>
      </c>
      <c r="Q53" s="15"/>
      <c r="R53" s="15"/>
      <c r="S53" s="15"/>
      <c r="T53" s="15"/>
      <c r="U53" s="16"/>
      <c r="W53" s="35" t="s">
        <v>3</v>
      </c>
      <c r="X53" s="14"/>
      <c r="Y53" s="15"/>
      <c r="Z53" s="15"/>
      <c r="AA53" s="15"/>
      <c r="AB53" s="15"/>
      <c r="AC53" s="16"/>
      <c r="AE53" s="35" t="s">
        <v>3</v>
      </c>
      <c r="AF53" s="14"/>
      <c r="AG53" s="15"/>
      <c r="AH53" s="15"/>
      <c r="AI53" s="15"/>
      <c r="AJ53" s="15"/>
      <c r="AK53" s="16"/>
    </row>
    <row r="54" spans="1:37" ht="15.75" thickBot="1" x14ac:dyDescent="0.3">
      <c r="A54" s="168"/>
      <c r="B54" s="18">
        <v>76642</v>
      </c>
      <c r="C54" s="18">
        <v>77802</v>
      </c>
      <c r="D54" s="18">
        <v>77802</v>
      </c>
      <c r="E54" s="18">
        <v>78440</v>
      </c>
      <c r="F54" s="18">
        <f>SUM(C54-B54)</f>
        <v>1160</v>
      </c>
      <c r="G54" s="18">
        <f>SUM(E54-D54)</f>
        <v>638</v>
      </c>
      <c r="H54" s="33">
        <f>SUM(F54:G54)</f>
        <v>1798</v>
      </c>
      <c r="J54" s="36" t="s">
        <v>21</v>
      </c>
      <c r="K54" s="19">
        <v>234.93</v>
      </c>
      <c r="L54" s="20">
        <v>217.31</v>
      </c>
      <c r="M54" s="20">
        <v>245.93</v>
      </c>
      <c r="N54" s="20">
        <v>178.25</v>
      </c>
      <c r="O54" s="20">
        <v>180.01</v>
      </c>
      <c r="P54" s="20">
        <v>125.17</v>
      </c>
      <c r="Q54" s="20"/>
      <c r="R54" s="20"/>
      <c r="S54" s="20"/>
      <c r="T54" s="20"/>
      <c r="U54" s="21"/>
      <c r="W54" s="36" t="s">
        <v>21</v>
      </c>
      <c r="X54" s="19"/>
      <c r="Y54" s="20"/>
      <c r="Z54" s="20"/>
      <c r="AA54" s="20"/>
      <c r="AB54" s="20"/>
      <c r="AC54" s="21"/>
      <c r="AE54" s="36" t="s">
        <v>21</v>
      </c>
      <c r="AF54" s="19"/>
      <c r="AG54" s="20"/>
      <c r="AH54" s="20"/>
      <c r="AI54" s="20"/>
      <c r="AJ54" s="20"/>
      <c r="AK54" s="21"/>
    </row>
    <row r="55" spans="1:37" x14ac:dyDescent="0.25">
      <c r="F55" s="2"/>
      <c r="G55" s="2"/>
      <c r="H55" s="2"/>
      <c r="J55" s="37"/>
      <c r="T55" s="22" t="s">
        <v>22</v>
      </c>
      <c r="U55" s="23">
        <f>SUM(K54:U54)</f>
        <v>1181.6000000000001</v>
      </c>
      <c r="AB55" s="22" t="s">
        <v>22</v>
      </c>
      <c r="AC55" s="23">
        <f>SUM(X54:AC54)</f>
        <v>0</v>
      </c>
      <c r="AJ55" s="22" t="s">
        <v>22</v>
      </c>
      <c r="AK55" s="23">
        <f>SUM(AF54:AK54)</f>
        <v>0</v>
      </c>
    </row>
    <row r="56" spans="1:37" ht="15.75" thickBot="1" x14ac:dyDescent="0.3">
      <c r="A56" s="34" t="s">
        <v>155</v>
      </c>
      <c r="B56" s="171" t="s">
        <v>20</v>
      </c>
      <c r="C56" s="171"/>
      <c r="D56" s="171"/>
      <c r="E56" s="171"/>
      <c r="F56" s="171"/>
      <c r="G56" s="171"/>
      <c r="H56" s="171"/>
      <c r="J56" s="172" t="s">
        <v>20</v>
      </c>
      <c r="K56" s="172"/>
      <c r="L56" s="172"/>
      <c r="M56" s="172"/>
      <c r="N56" s="172"/>
      <c r="O56" s="172"/>
      <c r="P56" s="172"/>
      <c r="Q56" s="172"/>
      <c r="R56" s="172"/>
      <c r="S56" s="172"/>
      <c r="T56" s="172"/>
      <c r="U56" s="172"/>
      <c r="W56" s="173" t="str">
        <f>J56</f>
        <v>Dezembro</v>
      </c>
      <c r="X56" s="173"/>
      <c r="Y56" s="173"/>
      <c r="Z56" s="173"/>
      <c r="AA56" s="173"/>
      <c r="AB56" s="173"/>
      <c r="AC56" s="173"/>
      <c r="AE56" s="174" t="str">
        <f>W56</f>
        <v>Dezembro</v>
      </c>
      <c r="AF56" s="174"/>
      <c r="AG56" s="174"/>
      <c r="AH56" s="174"/>
      <c r="AI56" s="174"/>
      <c r="AJ56" s="174"/>
      <c r="AK56" s="174"/>
    </row>
    <row r="57" spans="1:37" ht="15.75" thickBot="1" x14ac:dyDescent="0.3">
      <c r="A57" s="168" t="s">
        <v>4</v>
      </c>
      <c r="B57" s="10" t="s">
        <v>5</v>
      </c>
      <c r="C57" s="11" t="s">
        <v>6</v>
      </c>
      <c r="D57" s="12" t="s">
        <v>7</v>
      </c>
      <c r="E57" s="11" t="s">
        <v>8</v>
      </c>
      <c r="F57" s="12" t="s">
        <v>9</v>
      </c>
      <c r="G57" s="11" t="s">
        <v>10</v>
      </c>
      <c r="H57" s="32" t="s">
        <v>11</v>
      </c>
      <c r="J57" s="35" t="s">
        <v>3</v>
      </c>
      <c r="K57" s="14">
        <v>45995</v>
      </c>
      <c r="L57" s="15"/>
      <c r="M57" s="15"/>
      <c r="N57" s="15"/>
      <c r="O57" s="15"/>
      <c r="P57" s="15"/>
      <c r="Q57" s="15"/>
      <c r="R57" s="15"/>
      <c r="S57" s="15"/>
      <c r="T57" s="15"/>
      <c r="U57" s="16"/>
      <c r="W57" s="35" t="s">
        <v>3</v>
      </c>
      <c r="X57" s="14"/>
      <c r="Y57" s="15"/>
      <c r="Z57" s="15"/>
      <c r="AA57" s="15"/>
      <c r="AB57" s="15"/>
      <c r="AC57" s="16"/>
      <c r="AE57" s="35" t="s">
        <v>3</v>
      </c>
      <c r="AF57" s="14"/>
      <c r="AG57" s="15"/>
      <c r="AH57" s="15"/>
      <c r="AI57" s="15"/>
      <c r="AJ57" s="15"/>
      <c r="AK57" s="16"/>
    </row>
    <row r="58" spans="1:37" ht="15.75" thickBot="1" x14ac:dyDescent="0.3">
      <c r="A58" s="168"/>
      <c r="B58" s="17">
        <v>78440</v>
      </c>
      <c r="C58" s="18">
        <v>79134</v>
      </c>
      <c r="D58" s="18"/>
      <c r="E58" s="18"/>
      <c r="F58" s="18">
        <f>SUM(C58-B58)</f>
        <v>694</v>
      </c>
      <c r="G58" s="18">
        <f>SUM(E58-D58)</f>
        <v>0</v>
      </c>
      <c r="H58" s="33">
        <f>SUM(F58:G58)</f>
        <v>694</v>
      </c>
      <c r="J58" s="36" t="s">
        <v>21</v>
      </c>
      <c r="K58" s="19">
        <v>128.81</v>
      </c>
      <c r="L58" s="20"/>
      <c r="M58" s="20"/>
      <c r="N58" s="20"/>
      <c r="O58" s="20"/>
      <c r="P58" s="20"/>
      <c r="Q58" s="20"/>
      <c r="R58" s="20"/>
      <c r="S58" s="20"/>
      <c r="T58" s="20"/>
      <c r="U58" s="21"/>
      <c r="W58" s="36" t="s">
        <v>21</v>
      </c>
      <c r="X58" s="19"/>
      <c r="Y58" s="20"/>
      <c r="Z58" s="20"/>
      <c r="AA58" s="20"/>
      <c r="AB58" s="20"/>
      <c r="AC58" s="21"/>
      <c r="AE58" s="36" t="s">
        <v>21</v>
      </c>
      <c r="AF58" s="19"/>
      <c r="AG58" s="20"/>
      <c r="AH58" s="20"/>
      <c r="AI58" s="20"/>
      <c r="AJ58" s="20"/>
      <c r="AK58" s="21"/>
    </row>
    <row r="59" spans="1:37" x14ac:dyDescent="0.25">
      <c r="J59" s="37"/>
      <c r="T59" s="22" t="s">
        <v>22</v>
      </c>
      <c r="U59" s="23">
        <f>SUM(K58:U58)</f>
        <v>128.81</v>
      </c>
      <c r="AB59" s="22" t="s">
        <v>22</v>
      </c>
      <c r="AC59" s="23">
        <f>SUM(X58:AC58)</f>
        <v>0</v>
      </c>
      <c r="AJ59" s="22" t="s">
        <v>22</v>
      </c>
      <c r="AK59" s="23">
        <f>SUM(AF58:AK58)</f>
        <v>0</v>
      </c>
    </row>
  </sheetData>
  <mergeCells count="73">
    <mergeCell ref="B7:C7"/>
    <mergeCell ref="E7:F7"/>
    <mergeCell ref="A1:A2"/>
    <mergeCell ref="B1:AK1"/>
    <mergeCell ref="B2:AK2"/>
    <mergeCell ref="B4:C4"/>
    <mergeCell ref="E4:F4"/>
    <mergeCell ref="B5:C5"/>
    <mergeCell ref="E5:F5"/>
    <mergeCell ref="A17:A18"/>
    <mergeCell ref="A10:H10"/>
    <mergeCell ref="J10:U10"/>
    <mergeCell ref="W10:AC10"/>
    <mergeCell ref="AE10:AK10"/>
    <mergeCell ref="B12:H12"/>
    <mergeCell ref="J12:U12"/>
    <mergeCell ref="W12:AC12"/>
    <mergeCell ref="AE12:AK12"/>
    <mergeCell ref="A13:A14"/>
    <mergeCell ref="B16:H16"/>
    <mergeCell ref="J16:U16"/>
    <mergeCell ref="W16:AC16"/>
    <mergeCell ref="AE16:AK16"/>
    <mergeCell ref="A29:A30"/>
    <mergeCell ref="B20:H20"/>
    <mergeCell ref="J20:U20"/>
    <mergeCell ref="W20:AC20"/>
    <mergeCell ref="AE20:AK20"/>
    <mergeCell ref="A21:A22"/>
    <mergeCell ref="B24:H24"/>
    <mergeCell ref="J24:U24"/>
    <mergeCell ref="W24:AC24"/>
    <mergeCell ref="AE24:AK24"/>
    <mergeCell ref="A25:A26"/>
    <mergeCell ref="B28:H28"/>
    <mergeCell ref="J28:U28"/>
    <mergeCell ref="W28:AC28"/>
    <mergeCell ref="AE28:AK28"/>
    <mergeCell ref="A41:A42"/>
    <mergeCell ref="B32:H32"/>
    <mergeCell ref="J32:U32"/>
    <mergeCell ref="W32:AC32"/>
    <mergeCell ref="AE32:AK32"/>
    <mergeCell ref="A33:A34"/>
    <mergeCell ref="B36:H36"/>
    <mergeCell ref="J36:U36"/>
    <mergeCell ref="W36:AC36"/>
    <mergeCell ref="AE36:AK36"/>
    <mergeCell ref="A37:A38"/>
    <mergeCell ref="B40:H40"/>
    <mergeCell ref="J40:U40"/>
    <mergeCell ref="W40:AC40"/>
    <mergeCell ref="AE40:AK40"/>
    <mergeCell ref="A53:A54"/>
    <mergeCell ref="B44:H44"/>
    <mergeCell ref="J44:U44"/>
    <mergeCell ref="W44:AC44"/>
    <mergeCell ref="AE44:AK44"/>
    <mergeCell ref="A45:A46"/>
    <mergeCell ref="B48:H48"/>
    <mergeCell ref="J48:U48"/>
    <mergeCell ref="W48:AC48"/>
    <mergeCell ref="AE48:AK48"/>
    <mergeCell ref="A49:A50"/>
    <mergeCell ref="B52:H52"/>
    <mergeCell ref="J52:U52"/>
    <mergeCell ref="W52:AC52"/>
    <mergeCell ref="AE52:AK52"/>
    <mergeCell ref="B56:H56"/>
    <mergeCell ref="J56:U56"/>
    <mergeCell ref="W56:AC56"/>
    <mergeCell ref="AE56:AK56"/>
    <mergeCell ref="A57:A58"/>
  </mergeCells>
  <pageMargins left="0.511811024" right="0.511811024" top="0.78740157499999996" bottom="0.78740157499999996" header="0.31496062000000002" footer="0.31496062000000002"/>
  <drawing r:id="rId1"/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258981-01D9-4584-8339-B4E69F5EB59B}">
  <dimension ref="A1:AK87"/>
  <sheetViews>
    <sheetView topLeftCell="A35" workbookViewId="0">
      <selection activeCell="D62" sqref="D62"/>
    </sheetView>
  </sheetViews>
  <sheetFormatPr defaultRowHeight="15" x14ac:dyDescent="0.25"/>
  <cols>
    <col min="1" max="1" width="18.140625" style="2" bestFit="1" customWidth="1"/>
    <col min="2" max="2" width="11.7109375" style="2" bestFit="1" customWidth="1"/>
    <col min="3" max="3" width="9.28515625" style="2" bestFit="1" customWidth="1"/>
    <col min="4" max="4" width="10.7109375" style="2" customWidth="1"/>
    <col min="5" max="5" width="9.28515625" style="2" bestFit="1" customWidth="1"/>
    <col min="6" max="6" width="13.140625" style="1" customWidth="1"/>
    <col min="7" max="7" width="17.5703125" style="1" bestFit="1" customWidth="1"/>
    <col min="8" max="8" width="11.85546875" style="1" bestFit="1" customWidth="1"/>
    <col min="9" max="9" width="9.85546875" style="1" customWidth="1"/>
    <col min="10" max="10" width="10.7109375" style="2" bestFit="1" customWidth="1"/>
    <col min="11" max="15" width="10.7109375" style="1" bestFit="1" customWidth="1"/>
    <col min="16" max="19" width="10.5703125" style="1" bestFit="1" customWidth="1"/>
    <col min="20" max="20" width="10.7109375" style="1" bestFit="1" customWidth="1"/>
    <col min="21" max="21" width="12.140625" style="1" bestFit="1" customWidth="1"/>
    <col min="22" max="22" width="9" style="1"/>
    <col min="23" max="23" width="9" style="2"/>
    <col min="24" max="30" width="9" style="1"/>
    <col min="31" max="31" width="9" style="2"/>
    <col min="32" max="33" width="9" style="1"/>
    <col min="34" max="36" width="10.140625" style="1" bestFit="1" customWidth="1"/>
    <col min="37" max="37" width="9.140625" style="1"/>
  </cols>
  <sheetData>
    <row r="1" spans="1:37" ht="21" x14ac:dyDescent="0.25">
      <c r="A1" s="162"/>
      <c r="B1" s="164" t="s">
        <v>51</v>
      </c>
      <c r="C1" s="164"/>
      <c r="D1" s="164"/>
      <c r="E1" s="164"/>
      <c r="F1" s="164"/>
      <c r="G1" s="164"/>
      <c r="H1" s="164"/>
      <c r="I1" s="164"/>
      <c r="J1" s="164"/>
      <c r="K1" s="164"/>
      <c r="L1" s="164"/>
      <c r="M1" s="164"/>
      <c r="N1" s="164"/>
      <c r="O1" s="164"/>
      <c r="P1" s="164"/>
      <c r="Q1" s="164"/>
      <c r="R1" s="164"/>
      <c r="S1" s="164"/>
      <c r="T1" s="164"/>
      <c r="U1" s="164"/>
      <c r="V1" s="164"/>
      <c r="W1" s="164"/>
      <c r="X1" s="164"/>
      <c r="Y1" s="164"/>
      <c r="Z1" s="164"/>
      <c r="AA1" s="164"/>
      <c r="AB1" s="164"/>
      <c r="AC1" s="164"/>
      <c r="AD1" s="164"/>
      <c r="AE1" s="164"/>
      <c r="AF1" s="164"/>
      <c r="AG1" s="164"/>
      <c r="AH1" s="164"/>
      <c r="AI1" s="164"/>
      <c r="AJ1" s="164"/>
      <c r="AK1" s="165"/>
    </row>
    <row r="2" spans="1:37" ht="21" x14ac:dyDescent="0.25">
      <c r="A2" s="163"/>
      <c r="B2" s="166" t="s">
        <v>50</v>
      </c>
      <c r="C2" s="166"/>
      <c r="D2" s="166"/>
      <c r="E2" s="166"/>
      <c r="F2" s="166"/>
      <c r="G2" s="166"/>
      <c r="H2" s="166"/>
      <c r="I2" s="166"/>
      <c r="J2" s="166"/>
      <c r="K2" s="166"/>
      <c r="L2" s="166"/>
      <c r="M2" s="166"/>
      <c r="N2" s="166"/>
      <c r="O2" s="166"/>
      <c r="P2" s="166"/>
      <c r="Q2" s="166"/>
      <c r="R2" s="166"/>
      <c r="S2" s="166"/>
      <c r="T2" s="166"/>
      <c r="U2" s="166"/>
      <c r="V2" s="166"/>
      <c r="W2" s="166"/>
      <c r="X2" s="166"/>
      <c r="Y2" s="166"/>
      <c r="Z2" s="166"/>
      <c r="AA2" s="166"/>
      <c r="AB2" s="166"/>
      <c r="AC2" s="166"/>
      <c r="AD2" s="166"/>
      <c r="AE2" s="166"/>
      <c r="AF2" s="166"/>
      <c r="AG2" s="166"/>
      <c r="AH2" s="166"/>
      <c r="AI2" s="166"/>
      <c r="AJ2" s="166"/>
      <c r="AK2" s="167"/>
    </row>
    <row r="4" spans="1:37" x14ac:dyDescent="0.25">
      <c r="A4" s="31" t="s">
        <v>47</v>
      </c>
      <c r="B4" s="161" t="s">
        <v>94</v>
      </c>
      <c r="C4" s="161"/>
      <c r="D4" s="31" t="s">
        <v>0</v>
      </c>
      <c r="E4" s="161" t="s">
        <v>93</v>
      </c>
      <c r="F4" s="161"/>
      <c r="G4" s="31" t="s">
        <v>99</v>
      </c>
      <c r="H4" s="5">
        <v>45762</v>
      </c>
    </row>
    <row r="5" spans="1:37" x14ac:dyDescent="0.25">
      <c r="A5" s="31" t="s">
        <v>98</v>
      </c>
      <c r="B5" s="188">
        <v>45762</v>
      </c>
      <c r="C5" s="161"/>
      <c r="D5" s="31" t="s">
        <v>0</v>
      </c>
      <c r="E5" s="161" t="s">
        <v>97</v>
      </c>
      <c r="F5" s="161"/>
      <c r="G5" s="31" t="s">
        <v>95</v>
      </c>
      <c r="H5" s="4" t="s">
        <v>100</v>
      </c>
    </row>
    <row r="6" spans="1:37" x14ac:dyDescent="0.25">
      <c r="A6" s="31" t="s">
        <v>96</v>
      </c>
      <c r="B6" s="95"/>
      <c r="C6" s="95"/>
      <c r="D6" s="31" t="s">
        <v>0</v>
      </c>
      <c r="E6" s="95"/>
      <c r="F6" s="95"/>
      <c r="G6" s="31" t="s">
        <v>95</v>
      </c>
      <c r="H6" s="4"/>
    </row>
    <row r="7" spans="1:37" x14ac:dyDescent="0.25">
      <c r="A7" s="31" t="s">
        <v>48</v>
      </c>
      <c r="B7" s="160">
        <v>3792.09</v>
      </c>
      <c r="C7" s="160"/>
      <c r="D7" s="31" t="s">
        <v>44</v>
      </c>
      <c r="E7" s="201">
        <v>45</v>
      </c>
      <c r="F7" s="161"/>
      <c r="G7" s="31" t="s">
        <v>46</v>
      </c>
      <c r="H7" s="5">
        <v>45731</v>
      </c>
      <c r="I7" s="31" t="s">
        <v>146</v>
      </c>
      <c r="J7" s="5">
        <v>46053</v>
      </c>
    </row>
    <row r="10" spans="1:37" ht="18.75" x14ac:dyDescent="0.3">
      <c r="A10" s="169" t="s">
        <v>26</v>
      </c>
      <c r="B10" s="169"/>
      <c r="C10" s="169"/>
      <c r="D10" s="169"/>
      <c r="E10" s="169"/>
      <c r="F10" s="169"/>
      <c r="G10" s="169"/>
      <c r="H10" s="169"/>
      <c r="I10" s="28"/>
      <c r="J10" s="169" t="s">
        <v>24</v>
      </c>
      <c r="K10" s="169"/>
      <c r="L10" s="169"/>
      <c r="M10" s="169"/>
      <c r="N10" s="169"/>
      <c r="O10" s="169"/>
      <c r="P10" s="169"/>
      <c r="Q10" s="169"/>
      <c r="R10" s="169"/>
      <c r="S10" s="169"/>
      <c r="T10" s="169"/>
      <c r="U10" s="169"/>
      <c r="V10" s="29"/>
      <c r="W10" s="170" t="s">
        <v>49</v>
      </c>
      <c r="X10" s="170"/>
      <c r="Y10" s="170"/>
      <c r="Z10" s="170"/>
      <c r="AA10" s="170"/>
      <c r="AB10" s="170"/>
      <c r="AC10" s="170"/>
      <c r="AD10" s="29"/>
      <c r="AE10" s="170" t="s">
        <v>25</v>
      </c>
      <c r="AF10" s="170"/>
      <c r="AG10" s="170"/>
      <c r="AH10" s="170"/>
      <c r="AI10" s="170"/>
      <c r="AJ10" s="170"/>
      <c r="AK10" s="170"/>
    </row>
    <row r="11" spans="1:37" x14ac:dyDescent="0.25">
      <c r="A11" s="7"/>
      <c r="B11" s="7"/>
      <c r="C11" s="7"/>
      <c r="D11" s="7"/>
      <c r="E11" s="7"/>
      <c r="F11" s="7"/>
      <c r="G11" s="7"/>
      <c r="H11" s="7"/>
      <c r="I11" s="6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8"/>
      <c r="W11" s="9"/>
      <c r="X11" s="9"/>
      <c r="Y11" s="9"/>
      <c r="Z11" s="9"/>
      <c r="AA11" s="9"/>
      <c r="AB11" s="9"/>
      <c r="AC11" s="9"/>
      <c r="AD11" s="8"/>
      <c r="AE11" s="9"/>
      <c r="AF11" s="9"/>
      <c r="AG11" s="9"/>
      <c r="AH11" s="9"/>
      <c r="AI11" s="9"/>
      <c r="AJ11" s="9"/>
      <c r="AK11" s="9"/>
    </row>
    <row r="12" spans="1:37" ht="15.75" thickBot="1" x14ac:dyDescent="0.3">
      <c r="A12" s="34"/>
      <c r="B12" s="171" t="s">
        <v>54</v>
      </c>
      <c r="C12" s="171"/>
      <c r="D12" s="171"/>
      <c r="E12" s="171"/>
      <c r="F12" s="171"/>
      <c r="G12" s="171"/>
      <c r="H12" s="171"/>
      <c r="I12" s="6"/>
      <c r="J12" s="172" t="s">
        <v>54</v>
      </c>
      <c r="K12" s="172"/>
      <c r="L12" s="172"/>
      <c r="M12" s="172"/>
      <c r="N12" s="172"/>
      <c r="O12" s="172"/>
      <c r="P12" s="172"/>
      <c r="Q12" s="172"/>
      <c r="R12" s="172"/>
      <c r="S12" s="172"/>
      <c r="T12" s="172"/>
      <c r="U12" s="172"/>
      <c r="V12" s="8"/>
      <c r="W12" s="173" t="s">
        <v>54</v>
      </c>
      <c r="X12" s="173"/>
      <c r="Y12" s="173"/>
      <c r="Z12" s="173"/>
      <c r="AA12" s="173"/>
      <c r="AB12" s="173"/>
      <c r="AC12" s="173"/>
      <c r="AD12" s="8"/>
      <c r="AE12" s="174" t="s">
        <v>54</v>
      </c>
      <c r="AF12" s="174"/>
      <c r="AG12" s="174"/>
      <c r="AH12" s="174"/>
      <c r="AI12" s="174"/>
      <c r="AJ12" s="174"/>
      <c r="AK12" s="174"/>
    </row>
    <row r="13" spans="1:37" ht="15.75" thickBot="1" x14ac:dyDescent="0.3">
      <c r="A13" s="168" t="s">
        <v>4</v>
      </c>
      <c r="B13" s="10" t="s">
        <v>5</v>
      </c>
      <c r="C13" s="11" t="s">
        <v>6</v>
      </c>
      <c r="D13" s="12" t="s">
        <v>7</v>
      </c>
      <c r="E13" s="11" t="s">
        <v>8</v>
      </c>
      <c r="F13" s="12" t="s">
        <v>9</v>
      </c>
      <c r="G13" s="11" t="s">
        <v>10</v>
      </c>
      <c r="H13" s="32" t="s">
        <v>11</v>
      </c>
      <c r="I13" s="6"/>
      <c r="J13" s="35" t="s">
        <v>3</v>
      </c>
      <c r="K13" s="14"/>
      <c r="L13" s="15"/>
      <c r="M13" s="15"/>
      <c r="N13" s="15"/>
      <c r="O13" s="15"/>
      <c r="P13" s="15"/>
      <c r="Q13" s="15"/>
      <c r="R13" s="15"/>
      <c r="S13" s="15"/>
      <c r="T13" s="15"/>
      <c r="U13" s="16"/>
      <c r="V13" s="8"/>
      <c r="W13" s="35" t="s">
        <v>3</v>
      </c>
      <c r="X13" s="14"/>
      <c r="Y13" s="15"/>
      <c r="Z13" s="15"/>
      <c r="AA13" s="15"/>
      <c r="AB13" s="15"/>
      <c r="AC13" s="16"/>
      <c r="AD13" s="8"/>
      <c r="AE13" s="35" t="s">
        <v>3</v>
      </c>
      <c r="AF13" s="14"/>
      <c r="AG13" s="15"/>
      <c r="AH13" s="15"/>
      <c r="AI13" s="15"/>
      <c r="AJ13" s="15"/>
      <c r="AK13" s="16"/>
    </row>
    <row r="14" spans="1:37" ht="15.75" thickBot="1" x14ac:dyDescent="0.3">
      <c r="A14" s="168"/>
      <c r="B14" s="17"/>
      <c r="C14" s="18"/>
      <c r="D14" s="18"/>
      <c r="E14" s="18"/>
      <c r="F14" s="18">
        <f>SUM(C14-B14)</f>
        <v>0</v>
      </c>
      <c r="G14" s="18">
        <f>SUM(E14-D14)</f>
        <v>0</v>
      </c>
      <c r="H14" s="33">
        <f>SUM(F14:G14)</f>
        <v>0</v>
      </c>
      <c r="I14" s="6"/>
      <c r="J14" s="36" t="s">
        <v>21</v>
      </c>
      <c r="K14" s="19"/>
      <c r="L14" s="20"/>
      <c r="M14" s="20"/>
      <c r="N14" s="20"/>
      <c r="O14" s="20"/>
      <c r="P14" s="20"/>
      <c r="Q14" s="20"/>
      <c r="R14" s="20"/>
      <c r="S14" s="20"/>
      <c r="T14" s="20"/>
      <c r="U14" s="21"/>
      <c r="V14" s="8"/>
      <c r="W14" s="36" t="s">
        <v>21</v>
      </c>
      <c r="X14" s="19"/>
      <c r="Y14" s="20"/>
      <c r="Z14" s="20"/>
      <c r="AA14" s="20"/>
      <c r="AB14" s="20"/>
      <c r="AC14" s="21"/>
      <c r="AD14" s="8"/>
      <c r="AE14" s="36" t="s">
        <v>21</v>
      </c>
      <c r="AF14" s="19"/>
      <c r="AG14" s="20"/>
      <c r="AH14" s="20"/>
      <c r="AI14" s="20"/>
      <c r="AJ14" s="20"/>
      <c r="AK14" s="21"/>
    </row>
    <row r="15" spans="1:37" x14ac:dyDescent="0.25">
      <c r="A15" s="7"/>
      <c r="B15" s="7"/>
      <c r="C15" s="7"/>
      <c r="D15" s="7"/>
      <c r="E15" s="7"/>
      <c r="F15" s="7"/>
      <c r="G15" s="7"/>
      <c r="H15" s="7"/>
      <c r="I15" s="6"/>
      <c r="J15" s="7"/>
      <c r="K15" s="7"/>
      <c r="L15" s="7"/>
      <c r="M15" s="7"/>
      <c r="N15" s="7"/>
      <c r="O15" s="7"/>
      <c r="P15" s="7"/>
      <c r="Q15" s="7"/>
      <c r="R15" s="7"/>
      <c r="S15" s="7"/>
      <c r="T15" s="22" t="s">
        <v>22</v>
      </c>
      <c r="U15" s="23">
        <f>SUM(K14:U14)</f>
        <v>0</v>
      </c>
      <c r="V15" s="8"/>
      <c r="AB15" s="22" t="s">
        <v>22</v>
      </c>
      <c r="AC15" s="23">
        <f>SUM(X14:AC14)</f>
        <v>0</v>
      </c>
      <c r="AD15" s="8"/>
      <c r="AJ15" s="22" t="s">
        <v>22</v>
      </c>
      <c r="AK15" s="23">
        <f>SUM(AF14:AK14)</f>
        <v>0</v>
      </c>
    </row>
    <row r="16" spans="1:37" ht="15.75" thickBot="1" x14ac:dyDescent="0.3">
      <c r="A16" s="34"/>
      <c r="B16" s="171" t="s">
        <v>2</v>
      </c>
      <c r="C16" s="171"/>
      <c r="D16" s="171"/>
      <c r="E16" s="171"/>
      <c r="F16" s="171"/>
      <c r="G16" s="171"/>
      <c r="H16" s="171"/>
      <c r="J16" s="172" t="s">
        <v>2</v>
      </c>
      <c r="K16" s="172"/>
      <c r="L16" s="172"/>
      <c r="M16" s="172"/>
      <c r="N16" s="172"/>
      <c r="O16" s="172"/>
      <c r="P16" s="172"/>
      <c r="Q16" s="172"/>
      <c r="R16" s="172"/>
      <c r="S16" s="172"/>
      <c r="T16" s="172"/>
      <c r="U16" s="172"/>
      <c r="W16" s="173" t="s">
        <v>2</v>
      </c>
      <c r="X16" s="173"/>
      <c r="Y16" s="173"/>
      <c r="Z16" s="173"/>
      <c r="AA16" s="173"/>
      <c r="AB16" s="173"/>
      <c r="AC16" s="173"/>
      <c r="AE16" s="174" t="s">
        <v>2</v>
      </c>
      <c r="AF16" s="174"/>
      <c r="AG16" s="174"/>
      <c r="AH16" s="174"/>
      <c r="AI16" s="174"/>
      <c r="AJ16" s="174"/>
      <c r="AK16" s="174"/>
    </row>
    <row r="17" spans="1:37" ht="15.75" thickBot="1" x14ac:dyDescent="0.3">
      <c r="A17" s="168" t="s">
        <v>4</v>
      </c>
      <c r="B17" s="10" t="s">
        <v>5</v>
      </c>
      <c r="C17" s="11" t="s">
        <v>6</v>
      </c>
      <c r="D17" s="12" t="s">
        <v>7</v>
      </c>
      <c r="E17" s="11" t="s">
        <v>8</v>
      </c>
      <c r="F17" s="12" t="s">
        <v>9</v>
      </c>
      <c r="G17" s="11" t="s">
        <v>10</v>
      </c>
      <c r="H17" s="32" t="s">
        <v>11</v>
      </c>
      <c r="J17" s="35" t="s">
        <v>3</v>
      </c>
      <c r="K17" s="14"/>
      <c r="L17" s="15"/>
      <c r="M17" s="15"/>
      <c r="N17" s="15"/>
      <c r="O17" s="15"/>
      <c r="P17" s="15"/>
      <c r="Q17" s="15"/>
      <c r="R17" s="15"/>
      <c r="S17" s="15"/>
      <c r="T17" s="15"/>
      <c r="U17" s="16"/>
      <c r="W17" s="35" t="s">
        <v>3</v>
      </c>
      <c r="X17" s="14"/>
      <c r="Y17" s="15"/>
      <c r="Z17" s="15"/>
      <c r="AA17" s="15"/>
      <c r="AB17" s="15"/>
      <c r="AC17" s="16"/>
      <c r="AE17" s="35" t="s">
        <v>3</v>
      </c>
      <c r="AF17" s="14"/>
      <c r="AG17" s="15"/>
      <c r="AH17" s="15"/>
      <c r="AI17" s="15"/>
      <c r="AJ17" s="15"/>
      <c r="AK17" s="16"/>
    </row>
    <row r="18" spans="1:37" ht="15.75" thickBot="1" x14ac:dyDescent="0.3">
      <c r="A18" s="168"/>
      <c r="B18" s="17"/>
      <c r="C18" s="18"/>
      <c r="D18" s="18"/>
      <c r="E18" s="18"/>
      <c r="F18" s="18">
        <f>SUM(C18-B18)</f>
        <v>0</v>
      </c>
      <c r="G18" s="18">
        <f>SUM(E18-D18)</f>
        <v>0</v>
      </c>
      <c r="H18" s="33">
        <f>SUM(F18:G18)</f>
        <v>0</v>
      </c>
      <c r="J18" s="36" t="s">
        <v>21</v>
      </c>
      <c r="K18" s="19"/>
      <c r="L18" s="20"/>
      <c r="M18" s="20"/>
      <c r="N18" s="20"/>
      <c r="O18" s="20"/>
      <c r="P18" s="20"/>
      <c r="Q18" s="20"/>
      <c r="R18" s="20"/>
      <c r="S18" s="20"/>
      <c r="T18" s="20"/>
      <c r="U18" s="21"/>
      <c r="W18" s="36" t="s">
        <v>21</v>
      </c>
      <c r="X18" s="19"/>
      <c r="Y18" s="20"/>
      <c r="Z18" s="20"/>
      <c r="AA18" s="20"/>
      <c r="AB18" s="20"/>
      <c r="AC18" s="21"/>
      <c r="AE18" s="36" t="s">
        <v>21</v>
      </c>
      <c r="AF18" s="19"/>
      <c r="AG18" s="20"/>
      <c r="AH18" s="20"/>
      <c r="AI18" s="20"/>
      <c r="AJ18" s="20"/>
      <c r="AK18" s="21"/>
    </row>
    <row r="19" spans="1:37" x14ac:dyDescent="0.25">
      <c r="F19" s="2"/>
      <c r="G19" s="2"/>
      <c r="H19" s="2"/>
      <c r="J19" s="37"/>
      <c r="T19" s="22" t="s">
        <v>22</v>
      </c>
      <c r="U19" s="23">
        <f>SUM(K18:U18)</f>
        <v>0</v>
      </c>
      <c r="AB19" s="22" t="s">
        <v>22</v>
      </c>
      <c r="AC19" s="23">
        <f>SUM(X18:AC18)</f>
        <v>0</v>
      </c>
      <c r="AJ19" s="22" t="s">
        <v>22</v>
      </c>
      <c r="AK19" s="23">
        <f>SUM(AF18:AK18)</f>
        <v>0</v>
      </c>
    </row>
    <row r="20" spans="1:37" ht="15.75" thickBot="1" x14ac:dyDescent="0.3">
      <c r="A20" s="34"/>
      <c r="B20" s="171" t="s">
        <v>12</v>
      </c>
      <c r="C20" s="171"/>
      <c r="D20" s="171"/>
      <c r="E20" s="171"/>
      <c r="F20" s="171"/>
      <c r="G20" s="171"/>
      <c r="H20" s="171"/>
      <c r="J20" s="172" t="s">
        <v>12</v>
      </c>
      <c r="K20" s="172"/>
      <c r="L20" s="172"/>
      <c r="M20" s="172"/>
      <c r="N20" s="172"/>
      <c r="O20" s="172"/>
      <c r="P20" s="172"/>
      <c r="Q20" s="172"/>
      <c r="R20" s="172"/>
      <c r="S20" s="172"/>
      <c r="T20" s="172"/>
      <c r="U20" s="172"/>
      <c r="W20" s="173" t="str">
        <f>J20</f>
        <v>Março</v>
      </c>
      <c r="X20" s="173"/>
      <c r="Y20" s="173"/>
      <c r="Z20" s="173"/>
      <c r="AA20" s="173"/>
      <c r="AB20" s="173"/>
      <c r="AC20" s="173"/>
      <c r="AE20" s="174" t="str">
        <f>W20</f>
        <v>Março</v>
      </c>
      <c r="AF20" s="174"/>
      <c r="AG20" s="174"/>
      <c r="AH20" s="174"/>
      <c r="AI20" s="174"/>
      <c r="AJ20" s="174"/>
      <c r="AK20" s="174"/>
    </row>
    <row r="21" spans="1:37" ht="15.75" thickBot="1" x14ac:dyDescent="0.3">
      <c r="A21" s="168" t="s">
        <v>4</v>
      </c>
      <c r="B21" s="10" t="s">
        <v>5</v>
      </c>
      <c r="C21" s="11" t="s">
        <v>6</v>
      </c>
      <c r="D21" s="12" t="s">
        <v>7</v>
      </c>
      <c r="E21" s="11" t="s">
        <v>8</v>
      </c>
      <c r="F21" s="12" t="s">
        <v>9</v>
      </c>
      <c r="G21" s="11" t="s">
        <v>10</v>
      </c>
      <c r="H21" s="32" t="s">
        <v>11</v>
      </c>
      <c r="J21" s="35" t="s">
        <v>3</v>
      </c>
      <c r="K21" s="14"/>
      <c r="L21" s="24"/>
      <c r="M21" s="24"/>
      <c r="N21" s="15"/>
      <c r="O21" s="15"/>
      <c r="P21" s="15"/>
      <c r="Q21" s="15"/>
      <c r="R21" s="15"/>
      <c r="S21" s="15"/>
      <c r="T21" s="15"/>
      <c r="U21" s="16"/>
      <c r="W21" s="35" t="s">
        <v>3</v>
      </c>
      <c r="X21" s="14"/>
      <c r="Y21" s="15"/>
      <c r="Z21" s="15"/>
      <c r="AA21" s="15"/>
      <c r="AB21" s="15"/>
      <c r="AC21" s="16"/>
      <c r="AE21" s="35" t="s">
        <v>3</v>
      </c>
      <c r="AF21" s="14"/>
      <c r="AG21" s="15"/>
      <c r="AH21" s="15"/>
      <c r="AI21" s="15"/>
      <c r="AJ21" s="15"/>
      <c r="AK21" s="16"/>
    </row>
    <row r="22" spans="1:37" ht="15.75" thickBot="1" x14ac:dyDescent="0.3">
      <c r="A22" s="168"/>
      <c r="B22" s="17"/>
      <c r="C22" s="18"/>
      <c r="D22" s="18">
        <v>25262</v>
      </c>
      <c r="E22" s="18">
        <v>27397</v>
      </c>
      <c r="F22" s="18">
        <f>SUM(C22-B22)</f>
        <v>0</v>
      </c>
      <c r="G22" s="18">
        <f>SUM(E22-D22)</f>
        <v>2135</v>
      </c>
      <c r="H22" s="33">
        <f>SUM(F22:G22)</f>
        <v>2135</v>
      </c>
      <c r="J22" s="36" t="s">
        <v>21</v>
      </c>
      <c r="K22" s="19"/>
      <c r="L22" s="20"/>
      <c r="M22" s="20"/>
      <c r="N22" s="20"/>
      <c r="O22" s="20"/>
      <c r="P22" s="20"/>
      <c r="Q22" s="20"/>
      <c r="R22" s="20"/>
      <c r="S22" s="20"/>
      <c r="T22" s="20"/>
      <c r="U22" s="21"/>
      <c r="W22" s="36" t="s">
        <v>21</v>
      </c>
      <c r="X22" s="19"/>
      <c r="Y22" s="20"/>
      <c r="Z22" s="20"/>
      <c r="AA22" s="20"/>
      <c r="AB22" s="20"/>
      <c r="AC22" s="21"/>
      <c r="AE22" s="36" t="s">
        <v>21</v>
      </c>
      <c r="AF22" s="19"/>
      <c r="AG22" s="20"/>
      <c r="AH22" s="20"/>
      <c r="AI22" s="20"/>
      <c r="AJ22" s="20"/>
      <c r="AK22" s="21"/>
    </row>
    <row r="23" spans="1:37" x14ac:dyDescent="0.25">
      <c r="F23" s="2"/>
      <c r="G23" s="2"/>
      <c r="H23" s="2"/>
      <c r="J23" s="37"/>
      <c r="T23" s="22" t="s">
        <v>22</v>
      </c>
      <c r="U23" s="23">
        <f>SUM(K22:U22)</f>
        <v>0</v>
      </c>
      <c r="AB23" s="22" t="s">
        <v>22</v>
      </c>
      <c r="AC23" s="23">
        <f>SUM(X22:AC22)</f>
        <v>0</v>
      </c>
      <c r="AJ23" s="22" t="s">
        <v>22</v>
      </c>
      <c r="AK23" s="23">
        <f>SUM(AF22:AK22)</f>
        <v>0</v>
      </c>
    </row>
    <row r="24" spans="1:37" ht="15.75" thickBot="1" x14ac:dyDescent="0.3">
      <c r="A24" s="34"/>
      <c r="B24" s="171" t="s">
        <v>13</v>
      </c>
      <c r="C24" s="171"/>
      <c r="D24" s="171"/>
      <c r="E24" s="171"/>
      <c r="F24" s="171"/>
      <c r="G24" s="171"/>
      <c r="H24" s="171"/>
      <c r="J24" s="172" t="s">
        <v>13</v>
      </c>
      <c r="K24" s="172"/>
      <c r="L24" s="172"/>
      <c r="M24" s="172"/>
      <c r="N24" s="172"/>
      <c r="O24" s="172"/>
      <c r="P24" s="172"/>
      <c r="Q24" s="172"/>
      <c r="R24" s="172"/>
      <c r="S24" s="172"/>
      <c r="T24" s="172"/>
      <c r="U24" s="172"/>
      <c r="W24" s="173" t="str">
        <f>J24</f>
        <v>Abril</v>
      </c>
      <c r="X24" s="173"/>
      <c r="Y24" s="173"/>
      <c r="Z24" s="173"/>
      <c r="AA24" s="173"/>
      <c r="AB24" s="173"/>
      <c r="AC24" s="173"/>
      <c r="AE24" s="174" t="str">
        <f>W24</f>
        <v>Abril</v>
      </c>
      <c r="AF24" s="174"/>
      <c r="AG24" s="174"/>
      <c r="AH24" s="174"/>
      <c r="AI24" s="174"/>
      <c r="AJ24" s="174"/>
      <c r="AK24" s="174"/>
    </row>
    <row r="25" spans="1:37" ht="15.75" thickBot="1" x14ac:dyDescent="0.3">
      <c r="A25" s="168" t="s">
        <v>4</v>
      </c>
      <c r="B25" s="10" t="s">
        <v>5</v>
      </c>
      <c r="C25" s="11" t="s">
        <v>6</v>
      </c>
      <c r="D25" s="12" t="s">
        <v>7</v>
      </c>
      <c r="E25" s="11" t="s">
        <v>8</v>
      </c>
      <c r="F25" s="12" t="s">
        <v>9</v>
      </c>
      <c r="G25" s="11" t="s">
        <v>10</v>
      </c>
      <c r="H25" s="32" t="s">
        <v>11</v>
      </c>
      <c r="J25" s="35" t="s">
        <v>3</v>
      </c>
      <c r="K25" s="14">
        <v>45752</v>
      </c>
      <c r="L25" s="24">
        <v>45755</v>
      </c>
      <c r="M25" s="24">
        <v>45757</v>
      </c>
      <c r="N25" s="24">
        <v>45762</v>
      </c>
      <c r="O25" s="24">
        <v>45762</v>
      </c>
      <c r="P25" s="15"/>
      <c r="Q25" s="15"/>
      <c r="R25" s="15"/>
      <c r="S25" s="15"/>
      <c r="T25" s="15"/>
      <c r="U25" s="16"/>
      <c r="W25" s="35" t="s">
        <v>3</v>
      </c>
      <c r="X25" s="14"/>
      <c r="Y25" s="15"/>
      <c r="Z25" s="15"/>
      <c r="AA25" s="15"/>
      <c r="AB25" s="15"/>
      <c r="AC25" s="16"/>
      <c r="AE25" s="35" t="s">
        <v>3</v>
      </c>
      <c r="AF25" s="14"/>
      <c r="AG25" s="15"/>
      <c r="AH25" s="15"/>
      <c r="AI25" s="15"/>
      <c r="AJ25" s="15"/>
      <c r="AK25" s="16"/>
    </row>
    <row r="26" spans="1:37" ht="15.75" thickBot="1" x14ac:dyDescent="0.3">
      <c r="A26" s="168"/>
      <c r="B26" s="18">
        <v>27397</v>
      </c>
      <c r="C26" s="18">
        <v>28731</v>
      </c>
      <c r="D26" s="18">
        <v>38896</v>
      </c>
      <c r="E26" s="18">
        <v>40630</v>
      </c>
      <c r="F26" s="18">
        <f>SUM(C26-B26)</f>
        <v>1334</v>
      </c>
      <c r="G26" s="18">
        <f>SUM(E26-D26)</f>
        <v>1734</v>
      </c>
      <c r="H26" s="33">
        <f>SUM(F26:G26)</f>
        <v>3068</v>
      </c>
      <c r="J26" s="36" t="s">
        <v>21</v>
      </c>
      <c r="K26" s="25">
        <v>175.18</v>
      </c>
      <c r="L26" s="26">
        <v>132.4</v>
      </c>
      <c r="M26" s="26">
        <v>118.88</v>
      </c>
      <c r="N26" s="26">
        <v>89.51</v>
      </c>
      <c r="O26" s="26">
        <v>112.5</v>
      </c>
      <c r="P26" s="26"/>
      <c r="Q26" s="26"/>
      <c r="R26" s="26"/>
      <c r="S26" s="26"/>
      <c r="T26" s="26"/>
      <c r="U26" s="27"/>
      <c r="W26" s="36" t="s">
        <v>21</v>
      </c>
      <c r="X26" s="19"/>
      <c r="Y26" s="20"/>
      <c r="Z26" s="20"/>
      <c r="AA26" s="20"/>
      <c r="AB26" s="20"/>
      <c r="AC26" s="21"/>
      <c r="AE26" s="36" t="s">
        <v>21</v>
      </c>
      <c r="AF26" s="19"/>
      <c r="AG26" s="20"/>
      <c r="AH26" s="20"/>
      <c r="AI26" s="20"/>
      <c r="AJ26" s="20"/>
      <c r="AK26" s="21"/>
    </row>
    <row r="27" spans="1:37" x14ac:dyDescent="0.25">
      <c r="F27" s="2"/>
      <c r="G27" s="2"/>
      <c r="H27" s="2"/>
      <c r="J27" s="37"/>
      <c r="T27" s="22" t="s">
        <v>22</v>
      </c>
      <c r="U27" s="23">
        <f>SUM(K26:U26)</f>
        <v>628.47</v>
      </c>
      <c r="AB27" s="22" t="s">
        <v>22</v>
      </c>
      <c r="AC27" s="23">
        <f>SUM(X26:AC26)</f>
        <v>0</v>
      </c>
      <c r="AJ27" s="22" t="s">
        <v>22</v>
      </c>
      <c r="AK27" s="23">
        <f>SUM(AF26:AK26)</f>
        <v>0</v>
      </c>
    </row>
    <row r="28" spans="1:37" ht="15.75" thickBot="1" x14ac:dyDescent="0.3">
      <c r="A28" s="34"/>
      <c r="B28" s="171" t="s">
        <v>14</v>
      </c>
      <c r="C28" s="171"/>
      <c r="D28" s="171"/>
      <c r="E28" s="171"/>
      <c r="F28" s="171"/>
      <c r="G28" s="171"/>
      <c r="H28" s="171"/>
      <c r="J28" s="172" t="s">
        <v>14</v>
      </c>
      <c r="K28" s="172"/>
      <c r="L28" s="172"/>
      <c r="M28" s="172"/>
      <c r="N28" s="172"/>
      <c r="O28" s="172"/>
      <c r="P28" s="172"/>
      <c r="Q28" s="172"/>
      <c r="R28" s="172"/>
      <c r="S28" s="172"/>
      <c r="T28" s="172"/>
      <c r="U28" s="172"/>
      <c r="W28" s="173" t="str">
        <f>J28</f>
        <v>Maio</v>
      </c>
      <c r="X28" s="173"/>
      <c r="Y28" s="173"/>
      <c r="Z28" s="173"/>
      <c r="AA28" s="173"/>
      <c r="AB28" s="173"/>
      <c r="AC28" s="173"/>
      <c r="AE28" s="174" t="str">
        <f>W28</f>
        <v>Maio</v>
      </c>
      <c r="AF28" s="174"/>
      <c r="AG28" s="174"/>
      <c r="AH28" s="174"/>
      <c r="AI28" s="174"/>
      <c r="AJ28" s="174"/>
      <c r="AK28" s="174"/>
    </row>
    <row r="29" spans="1:37" ht="15.75" thickBot="1" x14ac:dyDescent="0.3">
      <c r="A29" s="168" t="s">
        <v>4</v>
      </c>
      <c r="B29" s="10" t="s">
        <v>5</v>
      </c>
      <c r="C29" s="11" t="s">
        <v>6</v>
      </c>
      <c r="D29" s="12" t="s">
        <v>7</v>
      </c>
      <c r="E29" s="11" t="s">
        <v>8</v>
      </c>
      <c r="F29" s="12" t="s">
        <v>9</v>
      </c>
      <c r="G29" s="11" t="s">
        <v>10</v>
      </c>
      <c r="H29" s="32" t="s">
        <v>11</v>
      </c>
      <c r="J29" s="35" t="s">
        <v>3</v>
      </c>
      <c r="K29" s="14">
        <v>45778</v>
      </c>
      <c r="L29" s="24">
        <v>45780</v>
      </c>
      <c r="M29" s="24">
        <v>45785</v>
      </c>
      <c r="N29" s="24">
        <v>45787</v>
      </c>
      <c r="O29" s="24">
        <v>45790</v>
      </c>
      <c r="P29" s="24">
        <v>45796</v>
      </c>
      <c r="Q29" s="24">
        <v>45799</v>
      </c>
      <c r="R29" s="24">
        <v>45801</v>
      </c>
      <c r="S29" s="24">
        <v>45804</v>
      </c>
      <c r="T29" s="15"/>
      <c r="U29" s="16"/>
      <c r="W29" s="35" t="s">
        <v>3</v>
      </c>
      <c r="X29" s="14"/>
      <c r="Y29" s="15"/>
      <c r="Z29" s="15"/>
      <c r="AA29" s="15"/>
      <c r="AB29" s="15"/>
      <c r="AC29" s="16"/>
      <c r="AE29" s="35" t="s">
        <v>3</v>
      </c>
      <c r="AF29" s="14"/>
      <c r="AG29" s="15"/>
      <c r="AH29" s="15"/>
      <c r="AI29" s="15"/>
      <c r="AJ29" s="15"/>
      <c r="AK29" s="16"/>
    </row>
    <row r="30" spans="1:37" ht="15.75" thickBot="1" x14ac:dyDescent="0.3">
      <c r="A30" s="168"/>
      <c r="B30" s="17">
        <v>40630</v>
      </c>
      <c r="C30" s="18">
        <v>41954</v>
      </c>
      <c r="D30" s="18">
        <v>41954</v>
      </c>
      <c r="E30" s="18">
        <v>43344</v>
      </c>
      <c r="F30" s="18">
        <f>SUM(C30-B30)</f>
        <v>1324</v>
      </c>
      <c r="G30" s="18">
        <f>SUM(E30-D30)</f>
        <v>1390</v>
      </c>
      <c r="H30" s="33">
        <f>SUM(F30:G30)</f>
        <v>2714</v>
      </c>
      <c r="J30" s="36" t="s">
        <v>21</v>
      </c>
      <c r="K30" s="19">
        <v>241.06</v>
      </c>
      <c r="L30" s="20">
        <v>191.02</v>
      </c>
      <c r="M30" s="20">
        <v>205.58</v>
      </c>
      <c r="N30" s="20">
        <v>143.33000000000001</v>
      </c>
      <c r="O30" s="20">
        <v>109.33</v>
      </c>
      <c r="P30" s="20">
        <v>246.68</v>
      </c>
      <c r="Q30" s="20">
        <v>228.35</v>
      </c>
      <c r="R30" s="20">
        <v>241.65</v>
      </c>
      <c r="S30" s="20">
        <v>200.28</v>
      </c>
      <c r="T30" s="20"/>
      <c r="U30" s="21"/>
      <c r="W30" s="36" t="s">
        <v>21</v>
      </c>
      <c r="X30" s="19"/>
      <c r="Y30" s="20"/>
      <c r="Z30" s="20"/>
      <c r="AA30" s="20"/>
      <c r="AB30" s="20"/>
      <c r="AC30" s="21"/>
      <c r="AE30" s="36" t="s">
        <v>21</v>
      </c>
      <c r="AF30" s="19"/>
      <c r="AG30" s="20"/>
      <c r="AH30" s="20"/>
      <c r="AI30" s="20"/>
      <c r="AJ30" s="20"/>
      <c r="AK30" s="21"/>
    </row>
    <row r="31" spans="1:37" x14ac:dyDescent="0.25">
      <c r="F31" s="2"/>
      <c r="G31" s="2"/>
      <c r="H31" s="2"/>
      <c r="J31" s="37"/>
      <c r="T31" s="22" t="s">
        <v>22</v>
      </c>
      <c r="U31" s="23">
        <f>SUM(K30:U30)</f>
        <v>1807.2800000000002</v>
      </c>
      <c r="AB31" s="22" t="s">
        <v>22</v>
      </c>
      <c r="AC31" s="23">
        <f>SUM(X30:AC30)</f>
        <v>0</v>
      </c>
      <c r="AJ31" s="22" t="s">
        <v>22</v>
      </c>
      <c r="AK31" s="23">
        <f>SUM(AF30:AK30)</f>
        <v>0</v>
      </c>
    </row>
    <row r="32" spans="1:37" ht="15.75" thickBot="1" x14ac:dyDescent="0.3">
      <c r="A32" s="34"/>
      <c r="B32" s="171" t="s">
        <v>23</v>
      </c>
      <c r="C32" s="171"/>
      <c r="D32" s="171"/>
      <c r="E32" s="171"/>
      <c r="F32" s="171"/>
      <c r="G32" s="171"/>
      <c r="H32" s="171"/>
      <c r="J32" s="172" t="s">
        <v>23</v>
      </c>
      <c r="K32" s="172"/>
      <c r="L32" s="172"/>
      <c r="M32" s="172"/>
      <c r="N32" s="172"/>
      <c r="O32" s="172"/>
      <c r="P32" s="172"/>
      <c r="Q32" s="172"/>
      <c r="R32" s="172"/>
      <c r="S32" s="172"/>
      <c r="T32" s="172"/>
      <c r="U32" s="172"/>
      <c r="W32" s="173" t="str">
        <f>J32</f>
        <v>Junho</v>
      </c>
      <c r="X32" s="173"/>
      <c r="Y32" s="173"/>
      <c r="Z32" s="173"/>
      <c r="AA32" s="173"/>
      <c r="AB32" s="173"/>
      <c r="AC32" s="173"/>
      <c r="AE32" s="174" t="str">
        <f>W32</f>
        <v>Junho</v>
      </c>
      <c r="AF32" s="174"/>
      <c r="AG32" s="174"/>
      <c r="AH32" s="174"/>
      <c r="AI32" s="174"/>
      <c r="AJ32" s="174"/>
      <c r="AK32" s="174"/>
    </row>
    <row r="33" spans="1:37" ht="15.75" thickBot="1" x14ac:dyDescent="0.3">
      <c r="A33" s="168" t="s">
        <v>4</v>
      </c>
      <c r="B33" s="10" t="s">
        <v>5</v>
      </c>
      <c r="C33" s="11" t="s">
        <v>6</v>
      </c>
      <c r="D33" s="12" t="s">
        <v>7</v>
      </c>
      <c r="E33" s="11" t="s">
        <v>8</v>
      </c>
      <c r="F33" s="12" t="s">
        <v>9</v>
      </c>
      <c r="G33" s="11" t="s">
        <v>10</v>
      </c>
      <c r="H33" s="32" t="s">
        <v>11</v>
      </c>
      <c r="J33" s="35" t="s">
        <v>3</v>
      </c>
      <c r="K33" s="14">
        <v>45818</v>
      </c>
      <c r="L33" s="24">
        <v>45827</v>
      </c>
      <c r="M33" s="24">
        <v>45834</v>
      </c>
      <c r="N33" s="15"/>
      <c r="O33" s="15"/>
      <c r="P33" s="15"/>
      <c r="Q33" s="15"/>
      <c r="R33" s="15"/>
      <c r="S33" s="15"/>
      <c r="T33" s="15"/>
      <c r="U33" s="16"/>
      <c r="W33" s="35" t="s">
        <v>3</v>
      </c>
      <c r="X33" s="14"/>
      <c r="Y33" s="15"/>
      <c r="Z33" s="15"/>
      <c r="AA33" s="15"/>
      <c r="AB33" s="15"/>
      <c r="AC33" s="16"/>
      <c r="AE33" s="35" t="s">
        <v>3</v>
      </c>
      <c r="AF33" s="14"/>
      <c r="AG33" s="15"/>
      <c r="AH33" s="15"/>
      <c r="AI33" s="15"/>
      <c r="AJ33" s="15"/>
      <c r="AK33" s="16"/>
    </row>
    <row r="34" spans="1:37" ht="15.75" thickBot="1" x14ac:dyDescent="0.3">
      <c r="A34" s="168"/>
      <c r="B34" s="18">
        <v>43344</v>
      </c>
      <c r="C34" s="18">
        <v>43595</v>
      </c>
      <c r="D34" s="18">
        <v>43595</v>
      </c>
      <c r="E34" s="18">
        <v>44961</v>
      </c>
      <c r="F34" s="18">
        <f>SUM(C34-B34)</f>
        <v>251</v>
      </c>
      <c r="G34" s="18">
        <f>SUM(E34-D34)</f>
        <v>1366</v>
      </c>
      <c r="H34" s="33">
        <f>SUM(F34:G34)</f>
        <v>1617</v>
      </c>
      <c r="J34" s="36" t="s">
        <v>21</v>
      </c>
      <c r="K34" s="19">
        <v>203.01</v>
      </c>
      <c r="L34" s="20">
        <v>171.56</v>
      </c>
      <c r="M34" s="20">
        <v>209.99</v>
      </c>
      <c r="N34" s="20"/>
      <c r="O34" s="20"/>
      <c r="P34" s="20"/>
      <c r="Q34" s="20"/>
      <c r="R34" s="20"/>
      <c r="S34" s="20"/>
      <c r="T34" s="20"/>
      <c r="U34" s="21"/>
      <c r="W34" s="36" t="s">
        <v>21</v>
      </c>
      <c r="X34" s="19"/>
      <c r="Y34" s="20"/>
      <c r="Z34" s="20"/>
      <c r="AA34" s="20"/>
      <c r="AB34" s="20"/>
      <c r="AC34" s="21"/>
      <c r="AE34" s="36" t="s">
        <v>21</v>
      </c>
      <c r="AF34" s="19"/>
      <c r="AG34" s="20"/>
      <c r="AH34" s="20"/>
      <c r="AI34" s="20"/>
      <c r="AJ34" s="20"/>
      <c r="AK34" s="21"/>
    </row>
    <row r="35" spans="1:37" x14ac:dyDescent="0.25">
      <c r="F35" s="2"/>
      <c r="G35" s="2"/>
      <c r="H35" s="2"/>
      <c r="J35" s="37"/>
      <c r="T35" s="22" t="s">
        <v>22</v>
      </c>
      <c r="U35" s="23">
        <f>SUM(K34:U34)</f>
        <v>584.55999999999995</v>
      </c>
      <c r="AB35" s="22" t="s">
        <v>22</v>
      </c>
      <c r="AC35" s="23">
        <f>SUM(X34:AC34)</f>
        <v>0</v>
      </c>
      <c r="AJ35" s="22" t="s">
        <v>22</v>
      </c>
      <c r="AK35" s="23">
        <f>SUM(AF34:AK34)</f>
        <v>0</v>
      </c>
    </row>
    <row r="36" spans="1:37" ht="15.75" thickBot="1" x14ac:dyDescent="0.3">
      <c r="A36" s="34"/>
      <c r="B36" s="171" t="s">
        <v>15</v>
      </c>
      <c r="C36" s="171"/>
      <c r="D36" s="171"/>
      <c r="E36" s="171"/>
      <c r="F36" s="171"/>
      <c r="G36" s="171"/>
      <c r="H36" s="171"/>
      <c r="J36" s="172" t="s">
        <v>15</v>
      </c>
      <c r="K36" s="172"/>
      <c r="L36" s="172"/>
      <c r="M36" s="172"/>
      <c r="N36" s="172"/>
      <c r="O36" s="172"/>
      <c r="P36" s="172"/>
      <c r="Q36" s="172"/>
      <c r="R36" s="172"/>
      <c r="S36" s="172"/>
      <c r="T36" s="172"/>
      <c r="U36" s="172"/>
      <c r="W36" s="173" t="str">
        <f>J36</f>
        <v>Julho</v>
      </c>
      <c r="X36" s="173"/>
      <c r="Y36" s="173"/>
      <c r="Z36" s="173"/>
      <c r="AA36" s="173"/>
      <c r="AB36" s="173"/>
      <c r="AC36" s="173"/>
      <c r="AE36" s="174" t="str">
        <f>W36</f>
        <v>Julho</v>
      </c>
      <c r="AF36" s="174"/>
      <c r="AG36" s="174"/>
      <c r="AH36" s="174"/>
      <c r="AI36" s="174"/>
      <c r="AJ36" s="174"/>
      <c r="AK36" s="174"/>
    </row>
    <row r="37" spans="1:37" ht="15.75" thickBot="1" x14ac:dyDescent="0.3">
      <c r="A37" s="168" t="s">
        <v>4</v>
      </c>
      <c r="B37" s="10" t="s">
        <v>5</v>
      </c>
      <c r="C37" s="11" t="s">
        <v>6</v>
      </c>
      <c r="D37" s="12" t="s">
        <v>7</v>
      </c>
      <c r="E37" s="11" t="s">
        <v>8</v>
      </c>
      <c r="F37" s="12" t="s">
        <v>9</v>
      </c>
      <c r="G37" s="11" t="s">
        <v>10</v>
      </c>
      <c r="H37" s="32" t="s">
        <v>11</v>
      </c>
      <c r="J37" s="35" t="s">
        <v>3</v>
      </c>
      <c r="K37" s="14">
        <v>45839</v>
      </c>
      <c r="L37" s="24">
        <v>45848</v>
      </c>
      <c r="M37" s="24">
        <v>45855</v>
      </c>
      <c r="N37" s="24">
        <v>45864</v>
      </c>
      <c r="O37" s="24">
        <v>45867</v>
      </c>
      <c r="P37" s="15"/>
      <c r="Q37" s="15"/>
      <c r="R37" s="15"/>
      <c r="S37" s="15"/>
      <c r="T37" s="15"/>
      <c r="U37" s="16"/>
      <c r="W37" s="35" t="s">
        <v>3</v>
      </c>
      <c r="X37" s="14"/>
      <c r="Y37" s="15"/>
      <c r="Z37" s="15"/>
      <c r="AA37" s="15"/>
      <c r="AB37" s="15"/>
      <c r="AC37" s="16"/>
      <c r="AE37" s="35" t="s">
        <v>3</v>
      </c>
      <c r="AF37" s="14"/>
      <c r="AG37" s="15"/>
      <c r="AH37" s="15"/>
      <c r="AI37" s="15"/>
      <c r="AJ37" s="15"/>
      <c r="AK37" s="16"/>
    </row>
    <row r="38" spans="1:37" ht="15.75" thickBot="1" x14ac:dyDescent="0.3">
      <c r="A38" s="168"/>
      <c r="B38" s="18">
        <v>44961</v>
      </c>
      <c r="C38" s="18">
        <v>46575</v>
      </c>
      <c r="D38" s="18">
        <v>46575</v>
      </c>
      <c r="E38" s="18">
        <v>47885</v>
      </c>
      <c r="F38" s="18">
        <f>SUM(C38-B38)</f>
        <v>1614</v>
      </c>
      <c r="G38" s="18">
        <f>SUM(E38-D38)</f>
        <v>1310</v>
      </c>
      <c r="H38" s="33">
        <f>SUM(F38:G38)</f>
        <v>2924</v>
      </c>
      <c r="J38" s="36" t="s">
        <v>21</v>
      </c>
      <c r="K38" s="19">
        <v>200.12</v>
      </c>
      <c r="L38" s="20">
        <v>200.75</v>
      </c>
      <c r="M38" s="20">
        <v>251.82</v>
      </c>
      <c r="N38" s="20">
        <v>239.81</v>
      </c>
      <c r="O38" s="20">
        <v>140.26</v>
      </c>
      <c r="P38" s="20"/>
      <c r="Q38" s="20"/>
      <c r="R38" s="20"/>
      <c r="S38" s="20"/>
      <c r="T38" s="20"/>
      <c r="U38" s="21"/>
      <c r="W38" s="36" t="s">
        <v>21</v>
      </c>
      <c r="X38" s="19"/>
      <c r="Y38" s="20"/>
      <c r="Z38" s="20"/>
      <c r="AA38" s="20"/>
      <c r="AB38" s="20"/>
      <c r="AC38" s="21"/>
      <c r="AE38" s="36" t="s">
        <v>21</v>
      </c>
      <c r="AF38" s="19"/>
      <c r="AG38" s="20"/>
      <c r="AH38" s="20"/>
      <c r="AI38" s="20"/>
      <c r="AJ38" s="20"/>
      <c r="AK38" s="21"/>
    </row>
    <row r="39" spans="1:37" x14ac:dyDescent="0.25">
      <c r="F39" s="2"/>
      <c r="G39" s="2"/>
      <c r="H39" s="2"/>
      <c r="J39" s="37"/>
      <c r="T39" s="22" t="s">
        <v>22</v>
      </c>
      <c r="U39" s="23">
        <f>SUM(K38:U38)</f>
        <v>1032.76</v>
      </c>
      <c r="AB39" s="22" t="s">
        <v>22</v>
      </c>
      <c r="AC39" s="23">
        <f>SUM(X38:AC38)</f>
        <v>0</v>
      </c>
      <c r="AJ39" s="22" t="s">
        <v>22</v>
      </c>
      <c r="AK39" s="23">
        <f>SUM(AF38:AK38)</f>
        <v>0</v>
      </c>
    </row>
    <row r="40" spans="1:37" ht="15.75" thickBot="1" x14ac:dyDescent="0.3">
      <c r="A40" s="34"/>
      <c r="B40" s="171" t="s">
        <v>16</v>
      </c>
      <c r="C40" s="171"/>
      <c r="D40" s="171"/>
      <c r="E40" s="171"/>
      <c r="F40" s="171"/>
      <c r="G40" s="171"/>
      <c r="H40" s="171"/>
      <c r="J40" s="172" t="s">
        <v>16</v>
      </c>
      <c r="K40" s="172"/>
      <c r="L40" s="172"/>
      <c r="M40" s="172"/>
      <c r="N40" s="172"/>
      <c r="O40" s="172"/>
      <c r="P40" s="172"/>
      <c r="Q40" s="172"/>
      <c r="R40" s="172"/>
      <c r="S40" s="172"/>
      <c r="T40" s="172"/>
      <c r="U40" s="172"/>
      <c r="W40" s="173" t="str">
        <f>J40</f>
        <v>Agosto</v>
      </c>
      <c r="X40" s="173"/>
      <c r="Y40" s="173"/>
      <c r="Z40" s="173"/>
      <c r="AA40" s="173"/>
      <c r="AB40" s="173"/>
      <c r="AC40" s="173"/>
      <c r="AE40" s="174" t="str">
        <f>W40</f>
        <v>Agosto</v>
      </c>
      <c r="AF40" s="174"/>
      <c r="AG40" s="174"/>
      <c r="AH40" s="174"/>
      <c r="AI40" s="174"/>
      <c r="AJ40" s="174"/>
      <c r="AK40" s="174"/>
    </row>
    <row r="41" spans="1:37" ht="15.75" thickBot="1" x14ac:dyDescent="0.3">
      <c r="A41" s="168" t="s">
        <v>4</v>
      </c>
      <c r="B41" s="10" t="s">
        <v>5</v>
      </c>
      <c r="C41" s="11" t="s">
        <v>6</v>
      </c>
      <c r="D41" s="12" t="s">
        <v>7</v>
      </c>
      <c r="E41" s="11" t="s">
        <v>8</v>
      </c>
      <c r="F41" s="12" t="s">
        <v>9</v>
      </c>
      <c r="G41" s="11" t="s">
        <v>10</v>
      </c>
      <c r="H41" s="32" t="s">
        <v>11</v>
      </c>
      <c r="J41" s="35" t="s">
        <v>3</v>
      </c>
      <c r="K41" s="14">
        <v>45871</v>
      </c>
      <c r="L41" s="24">
        <v>45874</v>
      </c>
      <c r="M41" s="24">
        <v>45876</v>
      </c>
      <c r="N41" s="24">
        <v>45881</v>
      </c>
      <c r="O41" s="24">
        <v>45883</v>
      </c>
      <c r="P41" s="24">
        <v>45897</v>
      </c>
      <c r="Q41" s="24">
        <v>45899</v>
      </c>
      <c r="R41" s="15"/>
      <c r="S41" s="15"/>
      <c r="T41" s="15"/>
      <c r="U41" s="16"/>
      <c r="W41" s="35" t="s">
        <v>3</v>
      </c>
      <c r="X41" s="14"/>
      <c r="Y41" s="15"/>
      <c r="Z41" s="15"/>
      <c r="AA41" s="15"/>
      <c r="AB41" s="15"/>
      <c r="AC41" s="16"/>
      <c r="AE41" s="35" t="s">
        <v>3</v>
      </c>
      <c r="AF41" s="14"/>
      <c r="AG41" s="15"/>
      <c r="AH41" s="15"/>
      <c r="AI41" s="15"/>
      <c r="AJ41" s="15"/>
      <c r="AK41" s="16"/>
    </row>
    <row r="42" spans="1:37" ht="15.75" thickBot="1" x14ac:dyDescent="0.3">
      <c r="A42" s="168"/>
      <c r="B42" s="18">
        <v>47885</v>
      </c>
      <c r="C42" s="18">
        <v>49137</v>
      </c>
      <c r="D42" s="18">
        <v>49137</v>
      </c>
      <c r="E42" s="18">
        <v>49914</v>
      </c>
      <c r="F42" s="18">
        <f>SUM(C42-B42)</f>
        <v>1252</v>
      </c>
      <c r="G42" s="18">
        <f>SUM(E42-D42)</f>
        <v>777</v>
      </c>
      <c r="H42" s="33">
        <f>SUM(F42:G42)</f>
        <v>2029</v>
      </c>
      <c r="J42" s="36" t="s">
        <v>21</v>
      </c>
      <c r="K42" s="19">
        <v>251.82</v>
      </c>
      <c r="L42" s="20">
        <v>195.03</v>
      </c>
      <c r="M42" s="20">
        <v>184.63</v>
      </c>
      <c r="N42" s="20">
        <v>186.77</v>
      </c>
      <c r="O42" s="20">
        <v>156.9</v>
      </c>
      <c r="P42" s="20">
        <v>169.94</v>
      </c>
      <c r="Q42" s="20">
        <v>218.35</v>
      </c>
      <c r="R42" s="20"/>
      <c r="S42" s="20"/>
      <c r="T42" s="20"/>
      <c r="U42" s="21"/>
      <c r="W42" s="36" t="s">
        <v>21</v>
      </c>
      <c r="X42" s="19"/>
      <c r="Y42" s="20"/>
      <c r="Z42" s="20"/>
      <c r="AA42" s="20"/>
      <c r="AB42" s="20"/>
      <c r="AC42" s="21"/>
      <c r="AE42" s="36" t="s">
        <v>21</v>
      </c>
      <c r="AF42" s="19"/>
      <c r="AG42" s="20"/>
      <c r="AH42" s="20"/>
      <c r="AI42" s="20"/>
      <c r="AJ42" s="20"/>
      <c r="AK42" s="21"/>
    </row>
    <row r="43" spans="1:37" x14ac:dyDescent="0.25">
      <c r="F43" s="2"/>
      <c r="G43" s="2"/>
      <c r="H43" s="2"/>
      <c r="J43" s="37"/>
      <c r="T43" s="22" t="s">
        <v>22</v>
      </c>
      <c r="U43" s="23">
        <f>SUM(K42:U42)</f>
        <v>1363.4399999999998</v>
      </c>
      <c r="AB43" s="22" t="s">
        <v>22</v>
      </c>
      <c r="AC43" s="23">
        <f>SUM(X42:AC42)</f>
        <v>0</v>
      </c>
      <c r="AJ43" s="22" t="s">
        <v>22</v>
      </c>
      <c r="AK43" s="23">
        <f>SUM(AF42:AK42)</f>
        <v>0</v>
      </c>
    </row>
    <row r="44" spans="1:37" ht="15.75" thickBot="1" x14ac:dyDescent="0.3">
      <c r="A44" s="34"/>
      <c r="B44" s="171" t="s">
        <v>17</v>
      </c>
      <c r="C44" s="171"/>
      <c r="D44" s="171"/>
      <c r="E44" s="171"/>
      <c r="F44" s="171"/>
      <c r="G44" s="171"/>
      <c r="H44" s="171"/>
      <c r="J44" s="172" t="s">
        <v>17</v>
      </c>
      <c r="K44" s="172"/>
      <c r="L44" s="172"/>
      <c r="M44" s="172"/>
      <c r="N44" s="172"/>
      <c r="O44" s="172"/>
      <c r="P44" s="172"/>
      <c r="Q44" s="172"/>
      <c r="R44" s="172"/>
      <c r="S44" s="172"/>
      <c r="T44" s="172"/>
      <c r="U44" s="172"/>
      <c r="W44" s="173" t="str">
        <f>J44</f>
        <v>Setembro</v>
      </c>
      <c r="X44" s="173"/>
      <c r="Y44" s="173"/>
      <c r="Z44" s="173"/>
      <c r="AA44" s="173"/>
      <c r="AB44" s="173"/>
      <c r="AC44" s="173"/>
      <c r="AE44" s="174" t="str">
        <f>W44</f>
        <v>Setembro</v>
      </c>
      <c r="AF44" s="174"/>
      <c r="AG44" s="174"/>
      <c r="AH44" s="174"/>
      <c r="AI44" s="174"/>
      <c r="AJ44" s="174"/>
      <c r="AK44" s="174"/>
    </row>
    <row r="45" spans="1:37" ht="15.75" thickBot="1" x14ac:dyDescent="0.3">
      <c r="A45" s="168" t="s">
        <v>4</v>
      </c>
      <c r="B45" s="10" t="s">
        <v>5</v>
      </c>
      <c r="C45" s="11" t="s">
        <v>6</v>
      </c>
      <c r="D45" s="12" t="s">
        <v>7</v>
      </c>
      <c r="E45" s="11" t="s">
        <v>8</v>
      </c>
      <c r="F45" s="12" t="s">
        <v>9</v>
      </c>
      <c r="G45" s="11" t="s">
        <v>10</v>
      </c>
      <c r="H45" s="32" t="s">
        <v>11</v>
      </c>
      <c r="J45" s="35" t="s">
        <v>3</v>
      </c>
      <c r="K45" s="14">
        <v>45902</v>
      </c>
      <c r="L45" s="24">
        <v>45905</v>
      </c>
      <c r="M45" s="24">
        <v>45909</v>
      </c>
      <c r="N45" s="24">
        <v>45913</v>
      </c>
      <c r="O45" s="24">
        <v>45916</v>
      </c>
      <c r="P45" s="24">
        <v>45918</v>
      </c>
      <c r="Q45" s="24">
        <v>45920</v>
      </c>
      <c r="R45" s="24">
        <v>45923</v>
      </c>
      <c r="S45" s="24">
        <v>45925</v>
      </c>
      <c r="T45" s="24">
        <v>45927</v>
      </c>
      <c r="U45" s="80">
        <v>45930</v>
      </c>
      <c r="W45" s="35" t="s">
        <v>3</v>
      </c>
      <c r="X45" s="14"/>
      <c r="Y45" s="15"/>
      <c r="Z45" s="15"/>
      <c r="AA45" s="15"/>
      <c r="AB45" s="15"/>
      <c r="AC45" s="16"/>
      <c r="AE45" s="35" t="s">
        <v>3</v>
      </c>
      <c r="AF45" s="14"/>
      <c r="AG45" s="15"/>
      <c r="AH45" s="15"/>
      <c r="AI45" s="15"/>
      <c r="AJ45" s="15"/>
      <c r="AK45" s="16"/>
    </row>
    <row r="46" spans="1:37" ht="15.75" thickBot="1" x14ac:dyDescent="0.3">
      <c r="A46" s="168"/>
      <c r="B46" s="18">
        <v>49914</v>
      </c>
      <c r="C46" s="18">
        <v>51257</v>
      </c>
      <c r="D46" s="18">
        <v>51257</v>
      </c>
      <c r="E46" s="18">
        <v>52975</v>
      </c>
      <c r="F46" s="18">
        <f>SUM(C46-B46)</f>
        <v>1343</v>
      </c>
      <c r="G46" s="18">
        <f>SUM(E46-D46)</f>
        <v>1718</v>
      </c>
      <c r="H46" s="33">
        <f>SUM(F46:G46)</f>
        <v>3061</v>
      </c>
      <c r="J46" s="36" t="s">
        <v>21</v>
      </c>
      <c r="K46" s="19">
        <v>153.09</v>
      </c>
      <c r="L46" s="20">
        <v>212</v>
      </c>
      <c r="M46" s="20">
        <v>157</v>
      </c>
      <c r="N46" s="20">
        <v>183.01</v>
      </c>
      <c r="O46" s="20">
        <v>183.02</v>
      </c>
      <c r="P46" s="20">
        <v>181.2</v>
      </c>
      <c r="Q46" s="20">
        <v>205.04</v>
      </c>
      <c r="R46" s="20">
        <v>119.07</v>
      </c>
      <c r="S46" s="20">
        <v>162.22999999999999</v>
      </c>
      <c r="T46" s="20">
        <v>181.9</v>
      </c>
      <c r="U46" s="21">
        <v>130.28</v>
      </c>
      <c r="W46" s="36" t="s">
        <v>21</v>
      </c>
      <c r="X46" s="19"/>
      <c r="Y46" s="20"/>
      <c r="Z46" s="20"/>
      <c r="AA46" s="20"/>
      <c r="AB46" s="20"/>
      <c r="AC46" s="21"/>
      <c r="AE46" s="36" t="s">
        <v>21</v>
      </c>
      <c r="AF46" s="19"/>
      <c r="AG46" s="20"/>
      <c r="AH46" s="20"/>
      <c r="AI46" s="20"/>
      <c r="AJ46" s="20"/>
      <c r="AK46" s="21"/>
    </row>
    <row r="47" spans="1:37" x14ac:dyDescent="0.25">
      <c r="F47" s="2"/>
      <c r="G47" s="2"/>
      <c r="H47" s="2"/>
      <c r="J47" s="37"/>
      <c r="T47" s="22" t="s">
        <v>22</v>
      </c>
      <c r="U47" s="23">
        <f>SUM(K46:U46)</f>
        <v>1867.84</v>
      </c>
      <c r="AB47" s="22" t="s">
        <v>22</v>
      </c>
      <c r="AC47" s="23">
        <f>SUM(X46:AC46)</f>
        <v>0</v>
      </c>
      <c r="AJ47" s="22" t="s">
        <v>22</v>
      </c>
      <c r="AK47" s="23">
        <f>SUM(AF46:AK46)</f>
        <v>0</v>
      </c>
    </row>
    <row r="48" spans="1:37" ht="15.75" thickBot="1" x14ac:dyDescent="0.3">
      <c r="A48" s="34"/>
      <c r="B48" s="171" t="s">
        <v>18</v>
      </c>
      <c r="C48" s="171"/>
      <c r="D48" s="171"/>
      <c r="E48" s="171"/>
      <c r="F48" s="171"/>
      <c r="G48" s="171"/>
      <c r="H48" s="171"/>
      <c r="J48" s="172" t="s">
        <v>18</v>
      </c>
      <c r="K48" s="172"/>
      <c r="L48" s="172"/>
      <c r="M48" s="172"/>
      <c r="N48" s="172"/>
      <c r="O48" s="172"/>
      <c r="P48" s="172"/>
      <c r="Q48" s="172"/>
      <c r="R48" s="172"/>
      <c r="S48" s="172"/>
      <c r="T48" s="172"/>
      <c r="U48" s="172"/>
      <c r="W48" s="173" t="str">
        <f>J48</f>
        <v>Outubro</v>
      </c>
      <c r="X48" s="173"/>
      <c r="Y48" s="173"/>
      <c r="Z48" s="173"/>
      <c r="AA48" s="173"/>
      <c r="AB48" s="173"/>
      <c r="AC48" s="173"/>
      <c r="AE48" s="174" t="str">
        <f>W48</f>
        <v>Outubro</v>
      </c>
      <c r="AF48" s="174"/>
      <c r="AG48" s="174"/>
      <c r="AH48" s="174"/>
      <c r="AI48" s="174"/>
      <c r="AJ48" s="174"/>
      <c r="AK48" s="174"/>
    </row>
    <row r="49" spans="1:37" ht="15.75" thickBot="1" x14ac:dyDescent="0.3">
      <c r="A49" s="168" t="s">
        <v>4</v>
      </c>
      <c r="B49" s="10" t="s">
        <v>5</v>
      </c>
      <c r="C49" s="11" t="s">
        <v>6</v>
      </c>
      <c r="D49" s="12" t="s">
        <v>7</v>
      </c>
      <c r="E49" s="11" t="s">
        <v>8</v>
      </c>
      <c r="F49" s="12" t="s">
        <v>9</v>
      </c>
      <c r="G49" s="11" t="s">
        <v>10</v>
      </c>
      <c r="H49" s="32" t="s">
        <v>11</v>
      </c>
      <c r="J49" s="35" t="s">
        <v>3</v>
      </c>
      <c r="K49" s="14">
        <v>45932</v>
      </c>
      <c r="L49" s="24">
        <v>45941</v>
      </c>
      <c r="M49" s="24">
        <v>45946</v>
      </c>
      <c r="N49" s="24">
        <v>45948</v>
      </c>
      <c r="O49" s="24">
        <v>45951</v>
      </c>
      <c r="P49" s="24">
        <v>45925</v>
      </c>
      <c r="Q49" s="24">
        <v>45958</v>
      </c>
      <c r="R49" s="24">
        <v>45960</v>
      </c>
      <c r="S49" s="15"/>
      <c r="T49" s="15"/>
      <c r="U49" s="16"/>
      <c r="W49" s="35" t="s">
        <v>3</v>
      </c>
      <c r="X49" s="14"/>
      <c r="Y49" s="15"/>
      <c r="Z49" s="15"/>
      <c r="AA49" s="15"/>
      <c r="AB49" s="15"/>
      <c r="AC49" s="16"/>
      <c r="AE49" s="35" t="s">
        <v>3</v>
      </c>
      <c r="AF49" s="14"/>
      <c r="AG49" s="15"/>
      <c r="AH49" s="15"/>
      <c r="AI49" s="15"/>
      <c r="AJ49" s="15"/>
      <c r="AK49" s="16"/>
    </row>
    <row r="50" spans="1:37" ht="15.75" thickBot="1" x14ac:dyDescent="0.3">
      <c r="A50" s="168"/>
      <c r="B50" s="18">
        <v>52975</v>
      </c>
      <c r="C50" s="18">
        <v>54109</v>
      </c>
      <c r="D50" s="18">
        <v>54109</v>
      </c>
      <c r="E50" s="18">
        <v>55959</v>
      </c>
      <c r="F50" s="18">
        <f>SUM(C50-B50)</f>
        <v>1134</v>
      </c>
      <c r="G50" s="18">
        <f>SUM(E50-D50)</f>
        <v>1850</v>
      </c>
      <c r="H50" s="33">
        <f>SUM(F50:G50)</f>
        <v>2984</v>
      </c>
      <c r="J50" s="36" t="s">
        <v>21</v>
      </c>
      <c r="K50" s="19">
        <v>166.11</v>
      </c>
      <c r="L50" s="20">
        <v>157.62</v>
      </c>
      <c r="M50" s="20">
        <v>208.07</v>
      </c>
      <c r="N50" s="20">
        <v>175.49</v>
      </c>
      <c r="O50" s="20">
        <v>162</v>
      </c>
      <c r="P50" s="20">
        <v>203.92</v>
      </c>
      <c r="Q50" s="20">
        <v>220.27</v>
      </c>
      <c r="R50" s="20">
        <v>212.97</v>
      </c>
      <c r="S50" s="20"/>
      <c r="T50" s="20"/>
      <c r="U50" s="21"/>
      <c r="W50" s="36" t="s">
        <v>21</v>
      </c>
      <c r="X50" s="19"/>
      <c r="Y50" s="20"/>
      <c r="Z50" s="20"/>
      <c r="AA50" s="20"/>
      <c r="AB50" s="20"/>
      <c r="AC50" s="21"/>
      <c r="AE50" s="36" t="s">
        <v>21</v>
      </c>
      <c r="AF50" s="19"/>
      <c r="AG50" s="20"/>
      <c r="AH50" s="20"/>
      <c r="AI50" s="20"/>
      <c r="AJ50" s="20"/>
      <c r="AK50" s="21"/>
    </row>
    <row r="51" spans="1:37" x14ac:dyDescent="0.25">
      <c r="F51" s="2"/>
      <c r="G51" s="2"/>
      <c r="H51" s="2"/>
      <c r="J51" s="37"/>
      <c r="T51" s="22" t="s">
        <v>22</v>
      </c>
      <c r="U51" s="23">
        <f>SUM(K50:U50)</f>
        <v>1506.45</v>
      </c>
      <c r="AB51" s="22" t="s">
        <v>22</v>
      </c>
      <c r="AC51" s="23">
        <f>SUM(X50:AC50)</f>
        <v>0</v>
      </c>
      <c r="AJ51" s="22" t="s">
        <v>22</v>
      </c>
      <c r="AK51" s="23">
        <f>SUM(AF50:AK50)</f>
        <v>0</v>
      </c>
    </row>
    <row r="52" spans="1:37" ht="15.75" thickBot="1" x14ac:dyDescent="0.3">
      <c r="A52" s="34"/>
      <c r="B52" s="171" t="s">
        <v>19</v>
      </c>
      <c r="C52" s="171"/>
      <c r="D52" s="171"/>
      <c r="E52" s="171"/>
      <c r="F52" s="171"/>
      <c r="G52" s="171"/>
      <c r="H52" s="171"/>
      <c r="J52" s="172" t="s">
        <v>19</v>
      </c>
      <c r="K52" s="172"/>
      <c r="L52" s="172"/>
      <c r="M52" s="172"/>
      <c r="N52" s="172"/>
      <c r="O52" s="172"/>
      <c r="P52" s="172"/>
      <c r="Q52" s="172"/>
      <c r="R52" s="172"/>
      <c r="S52" s="172"/>
      <c r="T52" s="172"/>
      <c r="U52" s="172"/>
      <c r="W52" s="173" t="str">
        <f>J52</f>
        <v>Novembro</v>
      </c>
      <c r="X52" s="173"/>
      <c r="Y52" s="173"/>
      <c r="Z52" s="173"/>
      <c r="AA52" s="173"/>
      <c r="AB52" s="173"/>
      <c r="AC52" s="173"/>
      <c r="AE52" s="174" t="str">
        <f>W52</f>
        <v>Novembro</v>
      </c>
      <c r="AF52" s="174"/>
      <c r="AG52" s="174"/>
      <c r="AH52" s="174"/>
      <c r="AI52" s="174"/>
      <c r="AJ52" s="174"/>
      <c r="AK52" s="174"/>
    </row>
    <row r="53" spans="1:37" ht="15.75" thickBot="1" x14ac:dyDescent="0.3">
      <c r="A53" s="168" t="s">
        <v>4</v>
      </c>
      <c r="B53" s="10" t="s">
        <v>5</v>
      </c>
      <c r="C53" s="11" t="s">
        <v>6</v>
      </c>
      <c r="D53" s="12" t="s">
        <v>7</v>
      </c>
      <c r="E53" s="11" t="s">
        <v>8</v>
      </c>
      <c r="F53" s="12" t="s">
        <v>9</v>
      </c>
      <c r="G53" s="11" t="s">
        <v>10</v>
      </c>
      <c r="H53" s="32" t="s">
        <v>11</v>
      </c>
      <c r="J53" s="35" t="s">
        <v>3</v>
      </c>
      <c r="K53" s="14">
        <v>45965</v>
      </c>
      <c r="L53" s="24">
        <v>45967</v>
      </c>
      <c r="M53" s="24">
        <v>45969</v>
      </c>
      <c r="N53" s="24">
        <v>45974</v>
      </c>
      <c r="O53" s="24">
        <v>45976</v>
      </c>
      <c r="P53" s="24">
        <v>45981</v>
      </c>
      <c r="Q53" s="24">
        <v>45983</v>
      </c>
      <c r="R53" s="24">
        <v>45986</v>
      </c>
      <c r="S53" s="24">
        <v>45990</v>
      </c>
      <c r="T53" s="15"/>
      <c r="U53" s="16"/>
      <c r="W53" s="35" t="s">
        <v>3</v>
      </c>
      <c r="X53" s="14"/>
      <c r="Y53" s="15"/>
      <c r="Z53" s="15"/>
      <c r="AA53" s="15"/>
      <c r="AB53" s="15"/>
      <c r="AC53" s="16"/>
      <c r="AE53" s="35" t="s">
        <v>3</v>
      </c>
      <c r="AF53" s="14"/>
      <c r="AG53" s="15"/>
      <c r="AH53" s="15"/>
      <c r="AI53" s="15"/>
      <c r="AJ53" s="15"/>
      <c r="AK53" s="16"/>
    </row>
    <row r="54" spans="1:37" ht="15.75" thickBot="1" x14ac:dyDescent="0.3">
      <c r="A54" s="168"/>
      <c r="B54" s="18">
        <v>55959</v>
      </c>
      <c r="C54" s="18">
        <v>57861</v>
      </c>
      <c r="D54" s="18">
        <v>57861</v>
      </c>
      <c r="E54" s="18">
        <v>59397</v>
      </c>
      <c r="F54" s="18">
        <f>SUM(C54-B54)</f>
        <v>1902</v>
      </c>
      <c r="G54" s="18">
        <f>SUM(E54-D54)</f>
        <v>1536</v>
      </c>
      <c r="H54" s="33">
        <f>SUM(F54:G54)</f>
        <v>3438</v>
      </c>
      <c r="J54" s="36" t="s">
        <v>21</v>
      </c>
      <c r="K54" s="19">
        <v>230.52</v>
      </c>
      <c r="L54" s="20">
        <v>155.47999999999999</v>
      </c>
      <c r="M54" s="20">
        <v>226</v>
      </c>
      <c r="N54" s="20">
        <v>236.69</v>
      </c>
      <c r="O54" s="20">
        <v>205.05</v>
      </c>
      <c r="P54" s="20">
        <v>243.86</v>
      </c>
      <c r="Q54" s="20">
        <v>247.64</v>
      </c>
      <c r="R54" s="20">
        <v>217.3</v>
      </c>
      <c r="S54" s="20">
        <v>193.29</v>
      </c>
      <c r="T54" s="20"/>
      <c r="U54" s="21"/>
      <c r="W54" s="36" t="s">
        <v>21</v>
      </c>
      <c r="X54" s="19"/>
      <c r="Y54" s="20"/>
      <c r="Z54" s="20"/>
      <c r="AA54" s="20"/>
      <c r="AB54" s="20"/>
      <c r="AC54" s="21"/>
      <c r="AE54" s="36" t="s">
        <v>21</v>
      </c>
      <c r="AF54" s="19"/>
      <c r="AG54" s="20"/>
      <c r="AH54" s="20"/>
      <c r="AI54" s="20"/>
      <c r="AJ54" s="20"/>
      <c r="AK54" s="21"/>
    </row>
    <row r="55" spans="1:37" x14ac:dyDescent="0.25">
      <c r="F55" s="2"/>
      <c r="G55" s="2"/>
      <c r="H55" s="2"/>
      <c r="J55" s="37"/>
      <c r="T55" s="22" t="s">
        <v>22</v>
      </c>
      <c r="U55" s="23">
        <f>SUM(K54:U54)</f>
        <v>1955.8299999999997</v>
      </c>
      <c r="AB55" s="22" t="s">
        <v>22</v>
      </c>
      <c r="AC55" s="23">
        <f>SUM(X54:AC54)</f>
        <v>0</v>
      </c>
      <c r="AJ55" s="22" t="s">
        <v>22</v>
      </c>
      <c r="AK55" s="23">
        <f>SUM(AF54:AK54)</f>
        <v>0</v>
      </c>
    </row>
    <row r="56" spans="1:37" ht="15.75" thickBot="1" x14ac:dyDescent="0.3">
      <c r="A56" s="34"/>
      <c r="B56" s="171" t="s">
        <v>20</v>
      </c>
      <c r="C56" s="171"/>
      <c r="D56" s="171"/>
      <c r="E56" s="171"/>
      <c r="F56" s="171"/>
      <c r="G56" s="171"/>
      <c r="H56" s="171"/>
      <c r="J56" s="172" t="s">
        <v>20</v>
      </c>
      <c r="K56" s="172"/>
      <c r="L56" s="172"/>
      <c r="M56" s="172"/>
      <c r="N56" s="172"/>
      <c r="O56" s="172"/>
      <c r="P56" s="172"/>
      <c r="Q56" s="172"/>
      <c r="R56" s="172"/>
      <c r="S56" s="172"/>
      <c r="T56" s="172"/>
      <c r="U56" s="172"/>
      <c r="W56" s="173" t="str">
        <f>J56</f>
        <v>Dezembro</v>
      </c>
      <c r="X56" s="173"/>
      <c r="Y56" s="173"/>
      <c r="Z56" s="173"/>
      <c r="AA56" s="173"/>
      <c r="AB56" s="173"/>
      <c r="AC56" s="173"/>
      <c r="AE56" s="174" t="str">
        <f>W56</f>
        <v>Dezembro</v>
      </c>
      <c r="AF56" s="174"/>
      <c r="AG56" s="174"/>
      <c r="AH56" s="174"/>
      <c r="AI56" s="174"/>
      <c r="AJ56" s="174"/>
      <c r="AK56" s="174"/>
    </row>
    <row r="57" spans="1:37" ht="15.75" thickBot="1" x14ac:dyDescent="0.3">
      <c r="A57" s="168" t="s">
        <v>4</v>
      </c>
      <c r="B57" s="10" t="s">
        <v>5</v>
      </c>
      <c r="C57" s="11" t="s">
        <v>6</v>
      </c>
      <c r="D57" s="12" t="s">
        <v>7</v>
      </c>
      <c r="E57" s="11" t="s">
        <v>8</v>
      </c>
      <c r="F57" s="12" t="s">
        <v>9</v>
      </c>
      <c r="G57" s="11" t="s">
        <v>10</v>
      </c>
      <c r="H57" s="32" t="s">
        <v>11</v>
      </c>
      <c r="J57" s="35" t="s">
        <v>3</v>
      </c>
      <c r="K57" s="14">
        <v>45993</v>
      </c>
      <c r="L57" s="24">
        <v>46000</v>
      </c>
      <c r="M57" s="24">
        <v>46002</v>
      </c>
      <c r="N57" s="24">
        <v>46004</v>
      </c>
      <c r="O57" s="15"/>
      <c r="P57" s="15"/>
      <c r="Q57" s="15"/>
      <c r="R57" s="15"/>
      <c r="S57" s="15"/>
      <c r="T57" s="15"/>
      <c r="U57" s="16"/>
      <c r="W57" s="35" t="s">
        <v>3</v>
      </c>
      <c r="X57" s="14"/>
      <c r="Y57" s="15"/>
      <c r="Z57" s="15"/>
      <c r="AA57" s="15"/>
      <c r="AB57" s="15"/>
      <c r="AC57" s="16"/>
      <c r="AE57" s="35" t="s">
        <v>3</v>
      </c>
      <c r="AF57" s="14"/>
      <c r="AG57" s="15"/>
      <c r="AH57" s="15"/>
      <c r="AI57" s="15"/>
      <c r="AJ57" s="15"/>
      <c r="AK57" s="16"/>
    </row>
    <row r="58" spans="1:37" ht="15.75" thickBot="1" x14ac:dyDescent="0.3">
      <c r="A58" s="168"/>
      <c r="B58" s="18">
        <v>59397</v>
      </c>
      <c r="C58" s="18">
        <v>60985</v>
      </c>
      <c r="D58" s="18">
        <v>60985</v>
      </c>
      <c r="E58" s="18">
        <v>61497</v>
      </c>
      <c r="F58" s="18">
        <f>SUM(C58-B58)</f>
        <v>1588</v>
      </c>
      <c r="G58" s="18">
        <f>SUM(E58-D58)</f>
        <v>512</v>
      </c>
      <c r="H58" s="33">
        <f>SUM(F58:G58)</f>
        <v>2100</v>
      </c>
      <c r="J58" s="36" t="s">
        <v>21</v>
      </c>
      <c r="K58" s="19">
        <v>220.96</v>
      </c>
      <c r="L58" s="20">
        <v>190.08</v>
      </c>
      <c r="M58" s="20">
        <v>192.34</v>
      </c>
      <c r="N58" s="20">
        <v>143.72</v>
      </c>
      <c r="O58" s="20"/>
      <c r="P58" s="20"/>
      <c r="Q58" s="20"/>
      <c r="R58" s="20"/>
      <c r="S58" s="20"/>
      <c r="T58" s="20"/>
      <c r="U58" s="21"/>
      <c r="W58" s="36" t="s">
        <v>21</v>
      </c>
      <c r="X58" s="19"/>
      <c r="Y58" s="20"/>
      <c r="Z58" s="20"/>
      <c r="AA58" s="20"/>
      <c r="AB58" s="20"/>
      <c r="AC58" s="21"/>
      <c r="AE58" s="36" t="s">
        <v>21</v>
      </c>
      <c r="AF58" s="19"/>
      <c r="AG58" s="20"/>
      <c r="AH58" s="20"/>
      <c r="AI58" s="20"/>
      <c r="AJ58" s="20"/>
      <c r="AK58" s="21"/>
    </row>
    <row r="59" spans="1:37" x14ac:dyDescent="0.25">
      <c r="J59" s="37"/>
      <c r="T59" s="22" t="s">
        <v>22</v>
      </c>
      <c r="U59" s="23">
        <f>SUM(K58:U58)</f>
        <v>747.1</v>
      </c>
      <c r="AB59" s="22" t="s">
        <v>22</v>
      </c>
      <c r="AC59" s="23">
        <f>SUM(X58:AC58)</f>
        <v>0</v>
      </c>
      <c r="AJ59" s="22" t="s">
        <v>22</v>
      </c>
      <c r="AK59" s="23">
        <f>SUM(AF58:AK58)</f>
        <v>0</v>
      </c>
    </row>
    <row r="60" spans="1:37" ht="15.75" thickBot="1" x14ac:dyDescent="0.3">
      <c r="A60" s="141">
        <v>2026</v>
      </c>
      <c r="B60" s="189" t="s">
        <v>54</v>
      </c>
      <c r="C60" s="171"/>
      <c r="D60" s="171"/>
      <c r="E60" s="171"/>
      <c r="F60" s="171"/>
      <c r="G60" s="171"/>
      <c r="H60" s="171"/>
      <c r="I60" s="6"/>
      <c r="J60" s="172" t="s">
        <v>54</v>
      </c>
      <c r="K60" s="172"/>
      <c r="L60" s="172"/>
      <c r="M60" s="172"/>
      <c r="N60" s="172"/>
      <c r="O60" s="172"/>
      <c r="P60" s="172"/>
      <c r="Q60" s="172"/>
      <c r="R60" s="172"/>
      <c r="S60" s="172"/>
      <c r="T60" s="172"/>
      <c r="U60" s="172"/>
      <c r="V60" s="8"/>
      <c r="W60" s="173" t="s">
        <v>54</v>
      </c>
      <c r="X60" s="173"/>
      <c r="Y60" s="173"/>
      <c r="Z60" s="173"/>
      <c r="AA60" s="173"/>
      <c r="AB60" s="173"/>
      <c r="AC60" s="173"/>
      <c r="AD60" s="8"/>
      <c r="AE60" s="174" t="s">
        <v>54</v>
      </c>
      <c r="AF60" s="174"/>
      <c r="AG60" s="174"/>
      <c r="AH60" s="174"/>
      <c r="AI60" s="174"/>
      <c r="AJ60" s="174"/>
      <c r="AK60" s="174"/>
    </row>
    <row r="61" spans="1:37" ht="15.75" thickBot="1" x14ac:dyDescent="0.3">
      <c r="A61" s="168" t="s">
        <v>4</v>
      </c>
      <c r="B61" s="10" t="s">
        <v>5</v>
      </c>
      <c r="C61" s="11" t="s">
        <v>6</v>
      </c>
      <c r="D61" s="12" t="s">
        <v>7</v>
      </c>
      <c r="E61" s="11" t="s">
        <v>8</v>
      </c>
      <c r="F61" s="12" t="s">
        <v>9</v>
      </c>
      <c r="G61" s="11" t="s">
        <v>10</v>
      </c>
      <c r="H61" s="32" t="s">
        <v>11</v>
      </c>
      <c r="I61" s="6"/>
      <c r="J61" s="35" t="s">
        <v>3</v>
      </c>
      <c r="K61" s="14"/>
      <c r="L61" s="15"/>
      <c r="M61" s="15"/>
      <c r="N61" s="15"/>
      <c r="O61" s="15"/>
      <c r="P61" s="15"/>
      <c r="Q61" s="15"/>
      <c r="R61" s="15"/>
      <c r="S61" s="15"/>
      <c r="T61" s="15"/>
      <c r="U61" s="16"/>
      <c r="V61" s="8"/>
      <c r="W61" s="35" t="s">
        <v>3</v>
      </c>
      <c r="X61" s="14"/>
      <c r="Y61" s="15"/>
      <c r="Z61" s="15"/>
      <c r="AA61" s="15"/>
      <c r="AB61" s="15"/>
      <c r="AC61" s="16"/>
      <c r="AD61" s="8"/>
      <c r="AE61" s="35" t="s">
        <v>3</v>
      </c>
      <c r="AF61" s="14"/>
      <c r="AG61" s="15"/>
      <c r="AH61" s="15"/>
      <c r="AI61" s="15"/>
      <c r="AJ61" s="15"/>
      <c r="AK61" s="16"/>
    </row>
    <row r="62" spans="1:37" ht="15.75" thickBot="1" x14ac:dyDescent="0.3">
      <c r="A62" s="168"/>
      <c r="B62" s="18">
        <v>61497</v>
      </c>
      <c r="C62" s="18">
        <v>63033</v>
      </c>
      <c r="D62" s="18">
        <v>63033</v>
      </c>
      <c r="E62" s="18">
        <v>64658</v>
      </c>
      <c r="F62" s="18">
        <f>SUM(C62-B62)</f>
        <v>1536</v>
      </c>
      <c r="G62" s="18">
        <f>SUM(E62-D62)</f>
        <v>1625</v>
      </c>
      <c r="H62" s="33">
        <f>SUM(F62:G62)</f>
        <v>3161</v>
      </c>
      <c r="I62" s="6"/>
      <c r="J62" s="36" t="s">
        <v>21</v>
      </c>
      <c r="K62" s="19"/>
      <c r="L62" s="20"/>
      <c r="M62" s="20"/>
      <c r="N62" s="20"/>
      <c r="O62" s="20"/>
      <c r="P62" s="20"/>
      <c r="Q62" s="20"/>
      <c r="R62" s="20"/>
      <c r="S62" s="20"/>
      <c r="T62" s="20"/>
      <c r="U62" s="21"/>
      <c r="V62" s="8"/>
      <c r="W62" s="36" t="s">
        <v>21</v>
      </c>
      <c r="X62" s="19"/>
      <c r="Y62" s="20"/>
      <c r="Z62" s="20"/>
      <c r="AA62" s="20"/>
      <c r="AB62" s="20"/>
      <c r="AC62" s="21"/>
      <c r="AD62" s="8"/>
      <c r="AE62" s="36" t="s">
        <v>21</v>
      </c>
      <c r="AF62" s="19"/>
      <c r="AG62" s="20"/>
      <c r="AH62" s="20"/>
      <c r="AI62" s="20"/>
      <c r="AJ62" s="20"/>
      <c r="AK62" s="21"/>
    </row>
    <row r="63" spans="1:37" x14ac:dyDescent="0.25">
      <c r="A63" s="7"/>
      <c r="B63" s="7"/>
      <c r="C63" s="7"/>
      <c r="D63" s="7"/>
      <c r="E63" s="7"/>
      <c r="F63" s="7"/>
      <c r="G63" s="7"/>
      <c r="H63" s="7"/>
      <c r="I63" s="6"/>
      <c r="J63" s="7"/>
      <c r="K63" s="7"/>
      <c r="L63" s="7"/>
      <c r="M63" s="7"/>
      <c r="N63" s="7"/>
      <c r="O63" s="7"/>
      <c r="P63" s="7"/>
      <c r="Q63" s="7"/>
      <c r="R63" s="7"/>
      <c r="S63" s="7"/>
      <c r="T63" s="22" t="s">
        <v>22</v>
      </c>
      <c r="U63" s="23">
        <f>SUM(K62:U62)</f>
        <v>0</v>
      </c>
      <c r="V63" s="8"/>
      <c r="AB63" s="22" t="s">
        <v>22</v>
      </c>
      <c r="AC63" s="23">
        <f>SUM(X62:AC62)</f>
        <v>0</v>
      </c>
      <c r="AD63" s="8"/>
      <c r="AJ63" s="22" t="s">
        <v>22</v>
      </c>
      <c r="AK63" s="23">
        <f>SUM(AF62:AK62)</f>
        <v>0</v>
      </c>
    </row>
    <row r="64" spans="1:37" ht="15.75" thickBot="1" x14ac:dyDescent="0.3">
      <c r="A64" s="34"/>
      <c r="B64" s="171" t="s">
        <v>2</v>
      </c>
      <c r="C64" s="171"/>
      <c r="D64" s="171"/>
      <c r="E64" s="171"/>
      <c r="F64" s="171"/>
      <c r="G64" s="171"/>
      <c r="H64" s="171"/>
      <c r="J64" s="172" t="s">
        <v>2</v>
      </c>
      <c r="K64" s="172"/>
      <c r="L64" s="172"/>
      <c r="M64" s="172"/>
      <c r="N64" s="172"/>
      <c r="O64" s="172"/>
      <c r="P64" s="172"/>
      <c r="Q64" s="172"/>
      <c r="R64" s="172"/>
      <c r="S64" s="172"/>
      <c r="T64" s="172"/>
      <c r="U64" s="172"/>
      <c r="W64" s="173" t="s">
        <v>2</v>
      </c>
      <c r="X64" s="173"/>
      <c r="Y64" s="173"/>
      <c r="Z64" s="173"/>
      <c r="AA64" s="173"/>
      <c r="AB64" s="173"/>
      <c r="AC64" s="173"/>
      <c r="AE64" s="174" t="s">
        <v>2</v>
      </c>
      <c r="AF64" s="174"/>
      <c r="AG64" s="174"/>
      <c r="AH64" s="174"/>
      <c r="AI64" s="174"/>
      <c r="AJ64" s="174"/>
      <c r="AK64" s="174"/>
    </row>
    <row r="65" spans="1:37" ht="15.75" thickBot="1" x14ac:dyDescent="0.3">
      <c r="A65" s="168" t="s">
        <v>4</v>
      </c>
      <c r="B65" s="10" t="s">
        <v>5</v>
      </c>
      <c r="C65" s="11" t="s">
        <v>6</v>
      </c>
      <c r="D65" s="12" t="s">
        <v>7</v>
      </c>
      <c r="E65" s="11" t="s">
        <v>8</v>
      </c>
      <c r="F65" s="12" t="s">
        <v>9</v>
      </c>
      <c r="G65" s="11" t="s">
        <v>10</v>
      </c>
      <c r="H65" s="32" t="s">
        <v>11</v>
      </c>
      <c r="J65" s="35" t="s">
        <v>3</v>
      </c>
      <c r="K65" s="14"/>
      <c r="L65" s="15"/>
      <c r="M65" s="15"/>
      <c r="N65" s="15"/>
      <c r="O65" s="15"/>
      <c r="P65" s="15"/>
      <c r="Q65" s="15"/>
      <c r="R65" s="15"/>
      <c r="S65" s="15"/>
      <c r="T65" s="15"/>
      <c r="U65" s="16"/>
      <c r="W65" s="35" t="s">
        <v>3</v>
      </c>
      <c r="X65" s="14"/>
      <c r="Y65" s="15"/>
      <c r="Z65" s="15"/>
      <c r="AA65" s="15"/>
      <c r="AB65" s="15"/>
      <c r="AC65" s="16"/>
      <c r="AE65" s="35" t="s">
        <v>3</v>
      </c>
      <c r="AF65" s="14"/>
      <c r="AG65" s="15"/>
      <c r="AH65" s="15"/>
      <c r="AI65" s="15"/>
      <c r="AJ65" s="15"/>
      <c r="AK65" s="16"/>
    </row>
    <row r="66" spans="1:37" ht="15.75" thickBot="1" x14ac:dyDescent="0.3">
      <c r="A66" s="168"/>
      <c r="B66" s="17"/>
      <c r="C66" s="18"/>
      <c r="D66" s="18"/>
      <c r="E66" s="18"/>
      <c r="F66" s="18">
        <f>SUM(C66-B66)</f>
        <v>0</v>
      </c>
      <c r="G66" s="18">
        <f>SUM(E66-D66)</f>
        <v>0</v>
      </c>
      <c r="H66" s="33">
        <f>SUM(F66:G66)</f>
        <v>0</v>
      </c>
      <c r="J66" s="36" t="s">
        <v>21</v>
      </c>
      <c r="K66" s="19"/>
      <c r="L66" s="20"/>
      <c r="M66" s="20"/>
      <c r="N66" s="20"/>
      <c r="O66" s="20"/>
      <c r="P66" s="20"/>
      <c r="Q66" s="20"/>
      <c r="R66" s="20"/>
      <c r="S66" s="20"/>
      <c r="T66" s="20"/>
      <c r="U66" s="21"/>
      <c r="W66" s="36" t="s">
        <v>21</v>
      </c>
      <c r="X66" s="19"/>
      <c r="Y66" s="20"/>
      <c r="Z66" s="20"/>
      <c r="AA66" s="20"/>
      <c r="AB66" s="20"/>
      <c r="AC66" s="21"/>
      <c r="AE66" s="36" t="s">
        <v>21</v>
      </c>
      <c r="AF66" s="19"/>
      <c r="AG66" s="20"/>
      <c r="AH66" s="20"/>
      <c r="AI66" s="20"/>
      <c r="AJ66" s="20"/>
      <c r="AK66" s="21"/>
    </row>
    <row r="67" spans="1:37" x14ac:dyDescent="0.25">
      <c r="F67" s="2"/>
      <c r="G67" s="2"/>
      <c r="H67" s="2"/>
      <c r="J67" s="37"/>
      <c r="T67" s="22" t="s">
        <v>22</v>
      </c>
      <c r="U67" s="23">
        <f>SUM(K66:U66)</f>
        <v>0</v>
      </c>
      <c r="AB67" s="22" t="s">
        <v>22</v>
      </c>
      <c r="AC67" s="23">
        <f>SUM(X66:AC66)</f>
        <v>0</v>
      </c>
      <c r="AJ67" s="22" t="s">
        <v>22</v>
      </c>
      <c r="AK67" s="23">
        <f>SUM(AF66:AK66)</f>
        <v>0</v>
      </c>
    </row>
    <row r="68" spans="1:37" ht="15.75" thickBot="1" x14ac:dyDescent="0.3">
      <c r="A68" s="34"/>
      <c r="B68" s="171" t="s">
        <v>12</v>
      </c>
      <c r="C68" s="171"/>
      <c r="D68" s="171"/>
      <c r="E68" s="171"/>
      <c r="F68" s="171"/>
      <c r="G68" s="171"/>
      <c r="H68" s="171"/>
      <c r="J68" s="172" t="s">
        <v>12</v>
      </c>
      <c r="K68" s="172"/>
      <c r="L68" s="172"/>
      <c r="M68" s="172"/>
      <c r="N68" s="172"/>
      <c r="O68" s="172"/>
      <c r="P68" s="172"/>
      <c r="Q68" s="172"/>
      <c r="R68" s="172"/>
      <c r="S68" s="172"/>
      <c r="T68" s="172"/>
      <c r="U68" s="172"/>
      <c r="W68" s="173" t="str">
        <f>J68</f>
        <v>Março</v>
      </c>
      <c r="X68" s="173"/>
      <c r="Y68" s="173"/>
      <c r="Z68" s="173"/>
      <c r="AA68" s="173"/>
      <c r="AB68" s="173"/>
      <c r="AC68" s="173"/>
      <c r="AE68" s="174" t="str">
        <f>W68</f>
        <v>Março</v>
      </c>
      <c r="AF68" s="174"/>
      <c r="AG68" s="174"/>
      <c r="AH68" s="174"/>
      <c r="AI68" s="174"/>
      <c r="AJ68" s="174"/>
      <c r="AK68" s="174"/>
    </row>
    <row r="69" spans="1:37" ht="15.75" thickBot="1" x14ac:dyDescent="0.3">
      <c r="A69" s="168" t="s">
        <v>4</v>
      </c>
      <c r="B69" s="10" t="s">
        <v>5</v>
      </c>
      <c r="C69" s="11" t="s">
        <v>6</v>
      </c>
      <c r="D69" s="12" t="s">
        <v>7</v>
      </c>
      <c r="E69" s="11" t="s">
        <v>8</v>
      </c>
      <c r="F69" s="12" t="s">
        <v>9</v>
      </c>
      <c r="G69" s="11" t="s">
        <v>10</v>
      </c>
      <c r="H69" s="32" t="s">
        <v>11</v>
      </c>
      <c r="J69" s="35" t="s">
        <v>3</v>
      </c>
      <c r="K69" s="14"/>
      <c r="L69" s="24"/>
      <c r="M69" s="24"/>
      <c r="N69" s="15"/>
      <c r="O69" s="15"/>
      <c r="P69" s="15"/>
      <c r="Q69" s="15"/>
      <c r="R69" s="15"/>
      <c r="S69" s="15"/>
      <c r="T69" s="15"/>
      <c r="U69" s="16"/>
      <c r="W69" s="35" t="s">
        <v>3</v>
      </c>
      <c r="X69" s="14"/>
      <c r="Y69" s="15"/>
      <c r="Z69" s="15"/>
      <c r="AA69" s="15"/>
      <c r="AB69" s="15"/>
      <c r="AC69" s="16"/>
      <c r="AE69" s="35" t="s">
        <v>3</v>
      </c>
      <c r="AF69" s="14"/>
      <c r="AG69" s="15"/>
      <c r="AH69" s="15"/>
      <c r="AI69" s="15"/>
      <c r="AJ69" s="15"/>
      <c r="AK69" s="16"/>
    </row>
    <row r="70" spans="1:37" ht="15.75" thickBot="1" x14ac:dyDescent="0.3">
      <c r="A70" s="168"/>
      <c r="B70" s="17"/>
      <c r="C70" s="18"/>
      <c r="D70" s="18"/>
      <c r="E70" s="18"/>
      <c r="F70" s="18">
        <f>SUM(C70-B70)</f>
        <v>0</v>
      </c>
      <c r="G70" s="18">
        <f>SUM(E70-D70)</f>
        <v>0</v>
      </c>
      <c r="H70" s="33">
        <f>SUM(F70:G70)</f>
        <v>0</v>
      </c>
      <c r="J70" s="36" t="s">
        <v>21</v>
      </c>
      <c r="K70" s="19"/>
      <c r="L70" s="20"/>
      <c r="M70" s="20"/>
      <c r="N70" s="20"/>
      <c r="O70" s="20"/>
      <c r="P70" s="20"/>
      <c r="Q70" s="20"/>
      <c r="R70" s="20"/>
      <c r="S70" s="20"/>
      <c r="T70" s="20"/>
      <c r="U70" s="21"/>
      <c r="W70" s="36" t="s">
        <v>21</v>
      </c>
      <c r="X70" s="19"/>
      <c r="Y70" s="20"/>
      <c r="Z70" s="20"/>
      <c r="AA70" s="20"/>
      <c r="AB70" s="20"/>
      <c r="AC70" s="21"/>
      <c r="AE70" s="36" t="s">
        <v>21</v>
      </c>
      <c r="AF70" s="19"/>
      <c r="AG70" s="20"/>
      <c r="AH70" s="20"/>
      <c r="AI70" s="20"/>
      <c r="AJ70" s="20"/>
      <c r="AK70" s="21"/>
    </row>
    <row r="71" spans="1:37" x14ac:dyDescent="0.25">
      <c r="F71" s="2"/>
      <c r="G71" s="2"/>
      <c r="H71" s="2"/>
      <c r="J71" s="37"/>
      <c r="T71" s="22" t="s">
        <v>22</v>
      </c>
      <c r="U71" s="23">
        <f>SUM(K70:U70)</f>
        <v>0</v>
      </c>
      <c r="AB71" s="22" t="s">
        <v>22</v>
      </c>
      <c r="AC71" s="23">
        <f>SUM(X70:AC70)</f>
        <v>0</v>
      </c>
      <c r="AJ71" s="22" t="s">
        <v>22</v>
      </c>
      <c r="AK71" s="23">
        <f>SUM(AF70:AK70)</f>
        <v>0</v>
      </c>
    </row>
    <row r="72" spans="1:37" ht="15.75" thickBot="1" x14ac:dyDescent="0.3">
      <c r="A72" s="34"/>
      <c r="B72" s="171" t="s">
        <v>13</v>
      </c>
      <c r="C72" s="171"/>
      <c r="D72" s="171"/>
      <c r="E72" s="171"/>
      <c r="F72" s="171"/>
      <c r="G72" s="171"/>
      <c r="H72" s="171"/>
      <c r="J72" s="172" t="s">
        <v>13</v>
      </c>
      <c r="K72" s="172"/>
      <c r="L72" s="172"/>
      <c r="M72" s="172"/>
      <c r="N72" s="172"/>
      <c r="O72" s="172"/>
      <c r="P72" s="172"/>
      <c r="Q72" s="172"/>
      <c r="R72" s="172"/>
      <c r="S72" s="172"/>
      <c r="T72" s="172"/>
      <c r="U72" s="172"/>
      <c r="W72" s="173" t="str">
        <f>J72</f>
        <v>Abril</v>
      </c>
      <c r="X72" s="173"/>
      <c r="Y72" s="173"/>
      <c r="Z72" s="173"/>
      <c r="AA72" s="173"/>
      <c r="AB72" s="173"/>
      <c r="AC72" s="173"/>
      <c r="AE72" s="174" t="str">
        <f>W72</f>
        <v>Abril</v>
      </c>
      <c r="AF72" s="174"/>
      <c r="AG72" s="174"/>
      <c r="AH72" s="174"/>
      <c r="AI72" s="174"/>
      <c r="AJ72" s="174"/>
      <c r="AK72" s="174"/>
    </row>
    <row r="73" spans="1:37" ht="15.75" thickBot="1" x14ac:dyDescent="0.3">
      <c r="A73" s="168" t="s">
        <v>4</v>
      </c>
      <c r="B73" s="10" t="s">
        <v>5</v>
      </c>
      <c r="C73" s="11" t="s">
        <v>6</v>
      </c>
      <c r="D73" s="12" t="s">
        <v>7</v>
      </c>
      <c r="E73" s="11" t="s">
        <v>8</v>
      </c>
      <c r="F73" s="12" t="s">
        <v>9</v>
      </c>
      <c r="G73" s="11" t="s">
        <v>10</v>
      </c>
      <c r="H73" s="32" t="s">
        <v>11</v>
      </c>
      <c r="J73" s="35" t="s">
        <v>3</v>
      </c>
      <c r="K73" s="14"/>
      <c r="L73" s="15"/>
      <c r="M73" s="15"/>
      <c r="N73" s="15"/>
      <c r="O73" s="15"/>
      <c r="P73" s="15"/>
      <c r="Q73" s="15"/>
      <c r="R73" s="15"/>
      <c r="S73" s="15"/>
      <c r="T73" s="15"/>
      <c r="U73" s="16"/>
      <c r="W73" s="35" t="s">
        <v>3</v>
      </c>
      <c r="X73" s="14"/>
      <c r="Y73" s="15"/>
      <c r="Z73" s="15"/>
      <c r="AA73" s="15"/>
      <c r="AB73" s="15"/>
      <c r="AC73" s="16"/>
      <c r="AE73" s="35" t="s">
        <v>3</v>
      </c>
      <c r="AF73" s="14"/>
      <c r="AG73" s="15"/>
      <c r="AH73" s="15"/>
      <c r="AI73" s="15"/>
      <c r="AJ73" s="15"/>
      <c r="AK73" s="16"/>
    </row>
    <row r="74" spans="1:37" ht="15.75" thickBot="1" x14ac:dyDescent="0.3">
      <c r="A74" s="168"/>
      <c r="B74" s="17"/>
      <c r="C74" s="18"/>
      <c r="D74" s="18"/>
      <c r="E74" s="18"/>
      <c r="F74" s="18">
        <f>SUM(C74-B74)</f>
        <v>0</v>
      </c>
      <c r="G74" s="18">
        <f>SUM(E74-D74)</f>
        <v>0</v>
      </c>
      <c r="H74" s="33">
        <f>SUM(F74:G74)</f>
        <v>0</v>
      </c>
      <c r="J74" s="36" t="s">
        <v>21</v>
      </c>
      <c r="K74" s="25"/>
      <c r="L74" s="26"/>
      <c r="M74" s="26"/>
      <c r="N74" s="26"/>
      <c r="O74" s="26"/>
      <c r="P74" s="26"/>
      <c r="Q74" s="26"/>
      <c r="R74" s="26"/>
      <c r="S74" s="26"/>
      <c r="T74" s="26"/>
      <c r="U74" s="27"/>
      <c r="W74" s="36" t="s">
        <v>21</v>
      </c>
      <c r="X74" s="19"/>
      <c r="Y74" s="20"/>
      <c r="Z74" s="20"/>
      <c r="AA74" s="20"/>
      <c r="AB74" s="20"/>
      <c r="AC74" s="21"/>
      <c r="AE74" s="36" t="s">
        <v>21</v>
      </c>
      <c r="AF74" s="19"/>
      <c r="AG74" s="20"/>
      <c r="AH74" s="20"/>
      <c r="AI74" s="20"/>
      <c r="AJ74" s="20"/>
      <c r="AK74" s="21"/>
    </row>
    <row r="75" spans="1:37" x14ac:dyDescent="0.25">
      <c r="F75" s="2"/>
      <c r="G75" s="2"/>
      <c r="H75" s="2"/>
      <c r="J75" s="37"/>
      <c r="T75" s="22" t="s">
        <v>22</v>
      </c>
      <c r="U75" s="23">
        <f>SUM(K74:U74)</f>
        <v>0</v>
      </c>
      <c r="AB75" s="22" t="s">
        <v>22</v>
      </c>
      <c r="AC75" s="23">
        <f>SUM(X74:AC74)</f>
        <v>0</v>
      </c>
      <c r="AJ75" s="22" t="s">
        <v>22</v>
      </c>
      <c r="AK75" s="23">
        <f>SUM(AF74:AK74)</f>
        <v>0</v>
      </c>
    </row>
    <row r="76" spans="1:37" ht="15.75" thickBot="1" x14ac:dyDescent="0.3">
      <c r="A76" s="34"/>
      <c r="B76" s="171" t="s">
        <v>14</v>
      </c>
      <c r="C76" s="171"/>
      <c r="D76" s="171"/>
      <c r="E76" s="171"/>
      <c r="F76" s="171"/>
      <c r="G76" s="171"/>
      <c r="H76" s="171"/>
      <c r="J76" s="172" t="s">
        <v>14</v>
      </c>
      <c r="K76" s="172"/>
      <c r="L76" s="172"/>
      <c r="M76" s="172"/>
      <c r="N76" s="172"/>
      <c r="O76" s="172"/>
      <c r="P76" s="172"/>
      <c r="Q76" s="172"/>
      <c r="R76" s="172"/>
      <c r="S76" s="172"/>
      <c r="T76" s="172"/>
      <c r="U76" s="172"/>
      <c r="W76" s="173" t="str">
        <f>J76</f>
        <v>Maio</v>
      </c>
      <c r="X76" s="173"/>
      <c r="Y76" s="173"/>
      <c r="Z76" s="173"/>
      <c r="AA76" s="173"/>
      <c r="AB76" s="173"/>
      <c r="AC76" s="173"/>
      <c r="AE76" s="174" t="str">
        <f>W76</f>
        <v>Maio</v>
      </c>
      <c r="AF76" s="174"/>
      <c r="AG76" s="174"/>
      <c r="AH76" s="174"/>
      <c r="AI76" s="174"/>
      <c r="AJ76" s="174"/>
      <c r="AK76" s="174"/>
    </row>
    <row r="77" spans="1:37" ht="15.75" thickBot="1" x14ac:dyDescent="0.3">
      <c r="A77" s="168" t="s">
        <v>4</v>
      </c>
      <c r="B77" s="10" t="s">
        <v>5</v>
      </c>
      <c r="C77" s="11" t="s">
        <v>6</v>
      </c>
      <c r="D77" s="12" t="s">
        <v>7</v>
      </c>
      <c r="E77" s="11" t="s">
        <v>8</v>
      </c>
      <c r="F77" s="12" t="s">
        <v>9</v>
      </c>
      <c r="G77" s="11" t="s">
        <v>10</v>
      </c>
      <c r="H77" s="32" t="s">
        <v>11</v>
      </c>
      <c r="J77" s="35" t="s">
        <v>3</v>
      </c>
      <c r="K77" s="14"/>
      <c r="L77" s="15"/>
      <c r="M77" s="15"/>
      <c r="N77" s="15"/>
      <c r="O77" s="15"/>
      <c r="P77" s="15"/>
      <c r="Q77" s="15"/>
      <c r="R77" s="15"/>
      <c r="S77" s="15"/>
      <c r="T77" s="15"/>
      <c r="U77" s="16"/>
      <c r="W77" s="35" t="s">
        <v>3</v>
      </c>
      <c r="X77" s="14"/>
      <c r="Y77" s="15"/>
      <c r="Z77" s="15"/>
      <c r="AA77" s="15"/>
      <c r="AB77" s="15"/>
      <c r="AC77" s="16"/>
      <c r="AE77" s="35" t="s">
        <v>3</v>
      </c>
      <c r="AF77" s="14"/>
      <c r="AG77" s="15"/>
      <c r="AH77" s="15"/>
      <c r="AI77" s="15"/>
      <c r="AJ77" s="15"/>
      <c r="AK77" s="16"/>
    </row>
    <row r="78" spans="1:37" ht="15.75" thickBot="1" x14ac:dyDescent="0.3">
      <c r="A78" s="168"/>
      <c r="B78" s="17"/>
      <c r="C78" s="18"/>
      <c r="D78" s="18"/>
      <c r="E78" s="18"/>
      <c r="F78" s="18">
        <f>SUM(C78-B78)</f>
        <v>0</v>
      </c>
      <c r="G78" s="18">
        <f>SUM(E78-D78)</f>
        <v>0</v>
      </c>
      <c r="H78" s="33">
        <f>SUM(F78:G78)</f>
        <v>0</v>
      </c>
      <c r="J78" s="36" t="s">
        <v>21</v>
      </c>
      <c r="K78" s="19"/>
      <c r="L78" s="20"/>
      <c r="M78" s="20"/>
      <c r="N78" s="20"/>
      <c r="O78" s="20"/>
      <c r="P78" s="20"/>
      <c r="Q78" s="20"/>
      <c r="R78" s="20"/>
      <c r="S78" s="20"/>
      <c r="T78" s="20"/>
      <c r="U78" s="21"/>
      <c r="W78" s="36" t="s">
        <v>21</v>
      </c>
      <c r="X78" s="19"/>
      <c r="Y78" s="20"/>
      <c r="Z78" s="20"/>
      <c r="AA78" s="20"/>
      <c r="AB78" s="20"/>
      <c r="AC78" s="21"/>
      <c r="AE78" s="36" t="s">
        <v>21</v>
      </c>
      <c r="AF78" s="19"/>
      <c r="AG78" s="20"/>
      <c r="AH78" s="20"/>
      <c r="AI78" s="20"/>
      <c r="AJ78" s="20"/>
      <c r="AK78" s="21"/>
    </row>
    <row r="79" spans="1:37" x14ac:dyDescent="0.25">
      <c r="F79" s="2"/>
      <c r="G79" s="2"/>
      <c r="H79" s="2"/>
      <c r="J79" s="37"/>
      <c r="T79" s="22" t="s">
        <v>22</v>
      </c>
      <c r="U79" s="23">
        <f>SUM(K78:U78)</f>
        <v>0</v>
      </c>
      <c r="AB79" s="22" t="s">
        <v>22</v>
      </c>
      <c r="AC79" s="23">
        <f>SUM(X78:AC78)</f>
        <v>0</v>
      </c>
      <c r="AJ79" s="22" t="s">
        <v>22</v>
      </c>
      <c r="AK79" s="23">
        <f>SUM(AF78:AK78)</f>
        <v>0</v>
      </c>
    </row>
    <row r="80" spans="1:37" ht="15.75" thickBot="1" x14ac:dyDescent="0.3">
      <c r="A80" s="34"/>
      <c r="B80" s="171" t="s">
        <v>23</v>
      </c>
      <c r="C80" s="171"/>
      <c r="D80" s="171"/>
      <c r="E80" s="171"/>
      <c r="F80" s="171"/>
      <c r="G80" s="171"/>
      <c r="H80" s="171"/>
      <c r="J80" s="172" t="s">
        <v>23</v>
      </c>
      <c r="K80" s="172"/>
      <c r="L80" s="172"/>
      <c r="M80" s="172"/>
      <c r="N80" s="172"/>
      <c r="O80" s="172"/>
      <c r="P80" s="172"/>
      <c r="Q80" s="172"/>
      <c r="R80" s="172"/>
      <c r="S80" s="172"/>
      <c r="T80" s="172"/>
      <c r="U80" s="172"/>
      <c r="W80" s="173" t="str">
        <f>J80</f>
        <v>Junho</v>
      </c>
      <c r="X80" s="173"/>
      <c r="Y80" s="173"/>
      <c r="Z80" s="173"/>
      <c r="AA80" s="173"/>
      <c r="AB80" s="173"/>
      <c r="AC80" s="173"/>
      <c r="AE80" s="174" t="str">
        <f>W80</f>
        <v>Junho</v>
      </c>
      <c r="AF80" s="174"/>
      <c r="AG80" s="174"/>
      <c r="AH80" s="174"/>
      <c r="AI80" s="174"/>
      <c r="AJ80" s="174"/>
      <c r="AK80" s="174"/>
    </row>
    <row r="81" spans="1:37" ht="15.75" thickBot="1" x14ac:dyDescent="0.3">
      <c r="A81" s="168" t="s">
        <v>4</v>
      </c>
      <c r="B81" s="10" t="s">
        <v>5</v>
      </c>
      <c r="C81" s="11" t="s">
        <v>6</v>
      </c>
      <c r="D81" s="12" t="s">
        <v>7</v>
      </c>
      <c r="E81" s="11" t="s">
        <v>8</v>
      </c>
      <c r="F81" s="12" t="s">
        <v>9</v>
      </c>
      <c r="G81" s="11" t="s">
        <v>10</v>
      </c>
      <c r="H81" s="32" t="s">
        <v>11</v>
      </c>
      <c r="J81" s="35" t="s">
        <v>3</v>
      </c>
      <c r="K81" s="14"/>
      <c r="L81" s="15"/>
      <c r="M81" s="15"/>
      <c r="N81" s="15"/>
      <c r="O81" s="15"/>
      <c r="P81" s="15"/>
      <c r="Q81" s="15"/>
      <c r="R81" s="15"/>
      <c r="S81" s="15"/>
      <c r="T81" s="15"/>
      <c r="U81" s="16"/>
      <c r="W81" s="35" t="s">
        <v>3</v>
      </c>
      <c r="X81" s="14"/>
      <c r="Y81" s="15"/>
      <c r="Z81" s="15"/>
      <c r="AA81" s="15"/>
      <c r="AB81" s="15"/>
      <c r="AC81" s="16"/>
      <c r="AE81" s="35" t="s">
        <v>3</v>
      </c>
      <c r="AF81" s="14"/>
      <c r="AG81" s="15"/>
      <c r="AH81" s="15"/>
      <c r="AI81" s="15"/>
      <c r="AJ81" s="15"/>
      <c r="AK81" s="16"/>
    </row>
    <row r="82" spans="1:37" ht="15.75" thickBot="1" x14ac:dyDescent="0.3">
      <c r="A82" s="168"/>
      <c r="B82" s="17"/>
      <c r="C82" s="18"/>
      <c r="D82" s="18"/>
      <c r="E82" s="18"/>
      <c r="F82" s="18">
        <f>SUM(C82-B82)</f>
        <v>0</v>
      </c>
      <c r="G82" s="18">
        <f>SUM(E82-D82)</f>
        <v>0</v>
      </c>
      <c r="H82" s="33">
        <f>SUM(F82:G82)</f>
        <v>0</v>
      </c>
      <c r="J82" s="36" t="s">
        <v>21</v>
      </c>
      <c r="K82" s="19"/>
      <c r="L82" s="20"/>
      <c r="M82" s="20"/>
      <c r="N82" s="20"/>
      <c r="O82" s="20"/>
      <c r="P82" s="20"/>
      <c r="Q82" s="20"/>
      <c r="R82" s="20"/>
      <c r="S82" s="20"/>
      <c r="T82" s="20"/>
      <c r="U82" s="21"/>
      <c r="W82" s="36" t="s">
        <v>21</v>
      </c>
      <c r="X82" s="19"/>
      <c r="Y82" s="20"/>
      <c r="Z82" s="20"/>
      <c r="AA82" s="20"/>
      <c r="AB82" s="20"/>
      <c r="AC82" s="21"/>
      <c r="AE82" s="36" t="s">
        <v>21</v>
      </c>
      <c r="AF82" s="19"/>
      <c r="AG82" s="20"/>
      <c r="AH82" s="20"/>
      <c r="AI82" s="20"/>
      <c r="AJ82" s="20"/>
      <c r="AK82" s="21"/>
    </row>
    <row r="83" spans="1:37" x14ac:dyDescent="0.25">
      <c r="F83" s="2"/>
      <c r="G83" s="2"/>
      <c r="H83" s="2"/>
      <c r="J83" s="37"/>
      <c r="T83" s="22" t="s">
        <v>22</v>
      </c>
      <c r="U83" s="23">
        <f>SUM(K82:U82)</f>
        <v>0</v>
      </c>
      <c r="AB83" s="22" t="s">
        <v>22</v>
      </c>
      <c r="AC83" s="23">
        <f>SUM(X82:AC82)</f>
        <v>0</v>
      </c>
      <c r="AJ83" s="22" t="s">
        <v>22</v>
      </c>
      <c r="AK83" s="23">
        <f>SUM(AF82:AK82)</f>
        <v>0</v>
      </c>
    </row>
    <row r="84" spans="1:37" ht="15.75" thickBot="1" x14ac:dyDescent="0.3">
      <c r="A84" s="34"/>
      <c r="B84" s="171" t="s">
        <v>15</v>
      </c>
      <c r="C84" s="171"/>
      <c r="D84" s="171"/>
      <c r="E84" s="171"/>
      <c r="F84" s="171"/>
      <c r="G84" s="171"/>
      <c r="H84" s="171"/>
      <c r="J84" s="172" t="s">
        <v>15</v>
      </c>
      <c r="K84" s="172"/>
      <c r="L84" s="172"/>
      <c r="M84" s="172"/>
      <c r="N84" s="172"/>
      <c r="O84" s="172"/>
      <c r="P84" s="172"/>
      <c r="Q84" s="172"/>
      <c r="R84" s="172"/>
      <c r="S84" s="172"/>
      <c r="T84" s="172"/>
      <c r="U84" s="172"/>
      <c r="W84" s="173" t="str">
        <f>J84</f>
        <v>Julho</v>
      </c>
      <c r="X84" s="173"/>
      <c r="Y84" s="173"/>
      <c r="Z84" s="173"/>
      <c r="AA84" s="173"/>
      <c r="AB84" s="173"/>
      <c r="AC84" s="173"/>
      <c r="AE84" s="174" t="str">
        <f>W84</f>
        <v>Julho</v>
      </c>
      <c r="AF84" s="174"/>
      <c r="AG84" s="174"/>
      <c r="AH84" s="174"/>
      <c r="AI84" s="174"/>
      <c r="AJ84" s="174"/>
      <c r="AK84" s="174"/>
    </row>
    <row r="85" spans="1:37" ht="15.75" thickBot="1" x14ac:dyDescent="0.3">
      <c r="A85" s="168" t="s">
        <v>4</v>
      </c>
      <c r="B85" s="10" t="s">
        <v>5</v>
      </c>
      <c r="C85" s="11" t="s">
        <v>6</v>
      </c>
      <c r="D85" s="12" t="s">
        <v>7</v>
      </c>
      <c r="E85" s="11" t="s">
        <v>8</v>
      </c>
      <c r="F85" s="12" t="s">
        <v>9</v>
      </c>
      <c r="G85" s="11" t="s">
        <v>10</v>
      </c>
      <c r="H85" s="32" t="s">
        <v>11</v>
      </c>
      <c r="J85" s="35" t="s">
        <v>3</v>
      </c>
      <c r="K85" s="14"/>
      <c r="L85" s="15"/>
      <c r="M85" s="15"/>
      <c r="N85" s="15"/>
      <c r="O85" s="15"/>
      <c r="P85" s="15"/>
      <c r="Q85" s="15"/>
      <c r="R85" s="15"/>
      <c r="S85" s="15"/>
      <c r="T85" s="15"/>
      <c r="U85" s="16"/>
      <c r="W85" s="35" t="s">
        <v>3</v>
      </c>
      <c r="X85" s="14"/>
      <c r="Y85" s="15"/>
      <c r="Z85" s="15"/>
      <c r="AA85" s="15"/>
      <c r="AB85" s="15"/>
      <c r="AC85" s="16"/>
      <c r="AE85" s="35" t="s">
        <v>3</v>
      </c>
      <c r="AF85" s="14"/>
      <c r="AG85" s="15"/>
      <c r="AH85" s="15"/>
      <c r="AI85" s="15"/>
      <c r="AJ85" s="15"/>
      <c r="AK85" s="16"/>
    </row>
    <row r="86" spans="1:37" ht="15.75" thickBot="1" x14ac:dyDescent="0.3">
      <c r="A86" s="168"/>
      <c r="B86" s="17"/>
      <c r="C86" s="18"/>
      <c r="D86" s="18"/>
      <c r="E86" s="18"/>
      <c r="F86" s="18">
        <f>SUM(C86-B86)</f>
        <v>0</v>
      </c>
      <c r="G86" s="18">
        <f>SUM(E86-D86)</f>
        <v>0</v>
      </c>
      <c r="H86" s="33">
        <f>SUM(F86:G86)</f>
        <v>0</v>
      </c>
      <c r="J86" s="36" t="s">
        <v>21</v>
      </c>
      <c r="K86" s="19"/>
      <c r="L86" s="20"/>
      <c r="M86" s="20"/>
      <c r="N86" s="20"/>
      <c r="O86" s="20"/>
      <c r="P86" s="20"/>
      <c r="Q86" s="20"/>
      <c r="R86" s="20"/>
      <c r="S86" s="20"/>
      <c r="T86" s="20"/>
      <c r="U86" s="21"/>
      <c r="W86" s="36" t="s">
        <v>21</v>
      </c>
      <c r="X86" s="19"/>
      <c r="Y86" s="20"/>
      <c r="Z86" s="20"/>
      <c r="AA86" s="20"/>
      <c r="AB86" s="20"/>
      <c r="AC86" s="21"/>
      <c r="AE86" s="36" t="s">
        <v>21</v>
      </c>
      <c r="AF86" s="19"/>
      <c r="AG86" s="20"/>
      <c r="AH86" s="20"/>
      <c r="AI86" s="20"/>
      <c r="AJ86" s="20"/>
      <c r="AK86" s="21"/>
    </row>
    <row r="87" spans="1:37" x14ac:dyDescent="0.25">
      <c r="F87" s="2"/>
      <c r="G87" s="2"/>
      <c r="H87" s="2"/>
      <c r="J87" s="37"/>
      <c r="T87" s="22" t="s">
        <v>22</v>
      </c>
      <c r="U87" s="23">
        <f>SUM(K86:U86)</f>
        <v>0</v>
      </c>
      <c r="AB87" s="22" t="s">
        <v>22</v>
      </c>
      <c r="AC87" s="23">
        <f>SUM(X86:AC86)</f>
        <v>0</v>
      </c>
      <c r="AJ87" s="22" t="s">
        <v>22</v>
      </c>
      <c r="AK87" s="23">
        <f>SUM(AF86:AK86)</f>
        <v>0</v>
      </c>
    </row>
  </sheetData>
  <mergeCells count="108">
    <mergeCell ref="B84:H84"/>
    <mergeCell ref="J84:U84"/>
    <mergeCell ref="W84:AC84"/>
    <mergeCell ref="AE84:AK84"/>
    <mergeCell ref="A85:A86"/>
    <mergeCell ref="B80:H80"/>
    <mergeCell ref="J80:U80"/>
    <mergeCell ref="W80:AC80"/>
    <mergeCell ref="AE80:AK80"/>
    <mergeCell ref="A81:A82"/>
    <mergeCell ref="B76:H76"/>
    <mergeCell ref="J76:U76"/>
    <mergeCell ref="W76:AC76"/>
    <mergeCell ref="AE76:AK76"/>
    <mergeCell ref="A77:A78"/>
    <mergeCell ref="B72:H72"/>
    <mergeCell ref="J72:U72"/>
    <mergeCell ref="W72:AC72"/>
    <mergeCell ref="AE72:AK72"/>
    <mergeCell ref="A73:A74"/>
    <mergeCell ref="B68:H68"/>
    <mergeCell ref="J68:U68"/>
    <mergeCell ref="W68:AC68"/>
    <mergeCell ref="AE68:AK68"/>
    <mergeCell ref="A69:A70"/>
    <mergeCell ref="B64:H64"/>
    <mergeCell ref="J64:U64"/>
    <mergeCell ref="W64:AC64"/>
    <mergeCell ref="AE64:AK64"/>
    <mergeCell ref="A65:A66"/>
    <mergeCell ref="B60:H60"/>
    <mergeCell ref="J60:U60"/>
    <mergeCell ref="W60:AC60"/>
    <mergeCell ref="AE60:AK60"/>
    <mergeCell ref="A61:A62"/>
    <mergeCell ref="B7:C7"/>
    <mergeCell ref="E7:F7"/>
    <mergeCell ref="A1:A2"/>
    <mergeCell ref="B1:AK1"/>
    <mergeCell ref="B2:AK2"/>
    <mergeCell ref="B4:C4"/>
    <mergeCell ref="E4:F4"/>
    <mergeCell ref="B5:C5"/>
    <mergeCell ref="E5:F5"/>
    <mergeCell ref="A17:A18"/>
    <mergeCell ref="A10:H10"/>
    <mergeCell ref="J10:U10"/>
    <mergeCell ref="W10:AC10"/>
    <mergeCell ref="AE10:AK10"/>
    <mergeCell ref="B12:H12"/>
    <mergeCell ref="J12:U12"/>
    <mergeCell ref="W12:AC12"/>
    <mergeCell ref="AE12:AK12"/>
    <mergeCell ref="A13:A14"/>
    <mergeCell ref="B16:H16"/>
    <mergeCell ref="J16:U16"/>
    <mergeCell ref="W16:AC16"/>
    <mergeCell ref="AE16:AK16"/>
    <mergeCell ref="A29:A30"/>
    <mergeCell ref="B20:H20"/>
    <mergeCell ref="J20:U20"/>
    <mergeCell ref="W20:AC20"/>
    <mergeCell ref="AE20:AK20"/>
    <mergeCell ref="A21:A22"/>
    <mergeCell ref="B24:H24"/>
    <mergeCell ref="J24:U24"/>
    <mergeCell ref="W24:AC24"/>
    <mergeCell ref="AE24:AK24"/>
    <mergeCell ref="A25:A26"/>
    <mergeCell ref="B28:H28"/>
    <mergeCell ref="J28:U28"/>
    <mergeCell ref="W28:AC28"/>
    <mergeCell ref="AE28:AK28"/>
    <mergeCell ref="A41:A42"/>
    <mergeCell ref="B32:H32"/>
    <mergeCell ref="J32:U32"/>
    <mergeCell ref="W32:AC32"/>
    <mergeCell ref="AE32:AK32"/>
    <mergeCell ref="A33:A34"/>
    <mergeCell ref="B36:H36"/>
    <mergeCell ref="J36:U36"/>
    <mergeCell ref="W36:AC36"/>
    <mergeCell ref="AE36:AK36"/>
    <mergeCell ref="A37:A38"/>
    <mergeCell ref="B40:H40"/>
    <mergeCell ref="J40:U40"/>
    <mergeCell ref="W40:AC40"/>
    <mergeCell ref="AE40:AK40"/>
    <mergeCell ref="B56:H56"/>
    <mergeCell ref="J56:U56"/>
    <mergeCell ref="W56:AC56"/>
    <mergeCell ref="AE56:AK56"/>
    <mergeCell ref="A57:A58"/>
    <mergeCell ref="A53:A54"/>
    <mergeCell ref="B44:H44"/>
    <mergeCell ref="J44:U44"/>
    <mergeCell ref="W44:AC44"/>
    <mergeCell ref="AE44:AK44"/>
    <mergeCell ref="A45:A46"/>
    <mergeCell ref="B48:H48"/>
    <mergeCell ref="J48:U48"/>
    <mergeCell ref="W48:AC48"/>
    <mergeCell ref="AE48:AK48"/>
    <mergeCell ref="A49:A50"/>
    <mergeCell ref="B52:H52"/>
    <mergeCell ref="J52:U52"/>
    <mergeCell ref="W52:AC52"/>
    <mergeCell ref="AE52:AK52"/>
  </mergeCells>
  <phoneticPr fontId="2" type="noConversion"/>
  <pageMargins left="0.511811024" right="0.511811024" top="0.78740157499999996" bottom="0.78740157499999996" header="0.31496062000000002" footer="0.31496062000000002"/>
  <drawing r:id="rId1"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C1497A-D225-41F2-9A4B-DEBD7CAFDDA6}">
  <dimension ref="A1:AM128"/>
  <sheetViews>
    <sheetView topLeftCell="A81" workbookViewId="0">
      <selection activeCell="K5" sqref="K5"/>
    </sheetView>
  </sheetViews>
  <sheetFormatPr defaultRowHeight="15" x14ac:dyDescent="0.25"/>
  <cols>
    <col min="1" max="1" width="20.28515625" customWidth="1"/>
    <col min="2" max="3" width="9.5703125" bestFit="1" customWidth="1"/>
    <col min="4" max="4" width="10.7109375" bestFit="1" customWidth="1"/>
    <col min="5" max="5" width="9.5703125" bestFit="1" customWidth="1"/>
    <col min="6" max="7" width="15.5703125" bestFit="1" customWidth="1"/>
    <col min="8" max="8" width="12.28515625" bestFit="1" customWidth="1"/>
    <col min="9" max="9" width="12.140625" bestFit="1" customWidth="1"/>
    <col min="11" max="15" width="10.5703125" bestFit="1" customWidth="1"/>
    <col min="16" max="20" width="10.42578125" bestFit="1" customWidth="1"/>
    <col min="21" max="21" width="12.140625" bestFit="1" customWidth="1"/>
  </cols>
  <sheetData>
    <row r="1" spans="1:37" x14ac:dyDescent="0.25">
      <c r="B1" s="96"/>
      <c r="C1" s="96"/>
      <c r="D1" s="96"/>
      <c r="E1" s="96"/>
    </row>
    <row r="2" spans="1:37" x14ac:dyDescent="0.25">
      <c r="A2" t="s">
        <v>86</v>
      </c>
      <c r="B2" s="196" t="s">
        <v>64</v>
      </c>
      <c r="C2" s="196"/>
      <c r="D2" s="96" t="s">
        <v>0</v>
      </c>
      <c r="E2" s="196" t="s">
        <v>117</v>
      </c>
      <c r="F2" s="196"/>
      <c r="H2" t="s">
        <v>125</v>
      </c>
      <c r="I2" s="157">
        <v>3000</v>
      </c>
    </row>
    <row r="3" spans="1:37" x14ac:dyDescent="0.25">
      <c r="B3" s="96"/>
      <c r="C3" s="96"/>
      <c r="D3" s="96"/>
      <c r="E3" s="96"/>
      <c r="F3" s="96"/>
    </row>
    <row r="4" spans="1:37" x14ac:dyDescent="0.25">
      <c r="A4" t="s">
        <v>1</v>
      </c>
      <c r="B4" s="197"/>
      <c r="C4" s="197"/>
      <c r="D4" s="96" t="s">
        <v>89</v>
      </c>
      <c r="E4" s="198">
        <v>45</v>
      </c>
      <c r="F4" s="196"/>
      <c r="H4" t="s">
        <v>118</v>
      </c>
      <c r="I4" s="97">
        <v>45545</v>
      </c>
      <c r="J4" t="s">
        <v>159</v>
      </c>
      <c r="K4" s="97">
        <v>46040</v>
      </c>
    </row>
    <row r="5" spans="1:37" x14ac:dyDescent="0.25">
      <c r="B5" s="96"/>
      <c r="C5" s="96"/>
      <c r="D5" s="96"/>
      <c r="E5" s="96"/>
    </row>
    <row r="6" spans="1:37" x14ac:dyDescent="0.25">
      <c r="A6" s="133" t="s">
        <v>119</v>
      </c>
      <c r="B6" s="96"/>
      <c r="C6" s="96"/>
      <c r="D6" s="96"/>
      <c r="E6" s="96"/>
    </row>
    <row r="7" spans="1:37" ht="21" x14ac:dyDescent="0.35">
      <c r="A7" s="199" t="s">
        <v>26</v>
      </c>
      <c r="B7" s="199"/>
      <c r="C7" s="199"/>
      <c r="D7" s="199"/>
      <c r="E7" s="199"/>
      <c r="F7" s="199"/>
      <c r="G7" s="199"/>
      <c r="H7" s="199"/>
      <c r="J7" s="200" t="s">
        <v>24</v>
      </c>
      <c r="K7" s="200"/>
      <c r="L7" s="200"/>
      <c r="M7" s="200"/>
      <c r="N7" s="200"/>
      <c r="O7" s="200"/>
      <c r="P7" s="200"/>
      <c r="Q7" s="200"/>
      <c r="R7" s="200"/>
      <c r="S7" s="200"/>
      <c r="T7" s="200"/>
      <c r="U7" s="200"/>
      <c r="V7" s="98"/>
      <c r="W7" s="195" t="s">
        <v>90</v>
      </c>
      <c r="X7" s="195"/>
      <c r="Y7" s="195"/>
      <c r="Z7" s="195"/>
      <c r="AA7" s="195"/>
      <c r="AB7" s="195"/>
      <c r="AC7" s="195"/>
      <c r="AD7" s="98"/>
      <c r="AE7" s="195" t="s">
        <v>25</v>
      </c>
      <c r="AF7" s="195"/>
      <c r="AG7" s="195"/>
      <c r="AH7" s="195"/>
      <c r="AI7" s="195"/>
      <c r="AJ7" s="195"/>
      <c r="AK7" s="195"/>
    </row>
    <row r="8" spans="1:37" ht="21" x14ac:dyDescent="0.35">
      <c r="A8" s="99"/>
      <c r="B8" s="99"/>
      <c r="C8" s="99"/>
      <c r="D8" s="99"/>
      <c r="E8" s="99"/>
      <c r="F8" s="99"/>
      <c r="G8" s="99"/>
      <c r="H8" s="99"/>
      <c r="I8" s="100"/>
      <c r="J8" s="101"/>
      <c r="K8" s="101"/>
      <c r="L8" s="101"/>
      <c r="M8" s="101"/>
      <c r="N8" s="101"/>
      <c r="O8" s="101"/>
      <c r="P8" s="101"/>
      <c r="Q8" s="101"/>
      <c r="R8" s="101"/>
      <c r="S8" s="101"/>
      <c r="T8" s="101"/>
      <c r="U8" s="101"/>
      <c r="V8" s="102"/>
      <c r="W8" s="103"/>
      <c r="X8" s="103"/>
      <c r="Y8" s="103"/>
      <c r="Z8" s="103"/>
      <c r="AA8" s="103"/>
      <c r="AB8" s="103"/>
      <c r="AC8" s="103"/>
      <c r="AD8" s="102"/>
      <c r="AE8" s="103"/>
      <c r="AF8" s="103"/>
      <c r="AG8" s="103"/>
      <c r="AH8" s="103"/>
      <c r="AI8" s="103"/>
      <c r="AJ8" s="103"/>
      <c r="AK8" s="103"/>
    </row>
    <row r="9" spans="1:37" ht="15.75" thickBot="1" x14ac:dyDescent="0.3">
      <c r="A9" s="104"/>
      <c r="B9" s="191" t="s">
        <v>2</v>
      </c>
      <c r="C9" s="191"/>
      <c r="D9" s="191"/>
      <c r="E9" s="191"/>
      <c r="F9" s="191"/>
      <c r="G9" s="191"/>
      <c r="H9" s="191"/>
      <c r="J9" s="192" t="s">
        <v>2</v>
      </c>
      <c r="K9" s="192"/>
      <c r="L9" s="192"/>
      <c r="M9" s="192"/>
      <c r="N9" s="192"/>
      <c r="O9" s="192"/>
      <c r="P9" s="192"/>
      <c r="Q9" s="192"/>
      <c r="R9" s="192"/>
      <c r="S9" s="192"/>
      <c r="T9" s="192"/>
      <c r="U9" s="192"/>
      <c r="W9" s="193" t="s">
        <v>2</v>
      </c>
      <c r="X9" s="193"/>
      <c r="Y9" s="193"/>
      <c r="Z9" s="193"/>
      <c r="AA9" s="193"/>
      <c r="AB9" s="193"/>
      <c r="AC9" s="193"/>
      <c r="AE9" s="194" t="s">
        <v>2</v>
      </c>
      <c r="AF9" s="194"/>
      <c r="AG9" s="194"/>
      <c r="AH9" s="194"/>
      <c r="AI9" s="194"/>
      <c r="AJ9" s="194"/>
      <c r="AK9" s="194"/>
    </row>
    <row r="10" spans="1:37" ht="15.75" thickBot="1" x14ac:dyDescent="0.3">
      <c r="A10" s="190" t="s">
        <v>4</v>
      </c>
      <c r="B10" s="105" t="s">
        <v>5</v>
      </c>
      <c r="C10" s="106" t="s">
        <v>6</v>
      </c>
      <c r="D10" s="107" t="s">
        <v>7</v>
      </c>
      <c r="E10" s="106" t="s">
        <v>8</v>
      </c>
      <c r="F10" s="108" t="s">
        <v>9</v>
      </c>
      <c r="G10" s="109" t="s">
        <v>10</v>
      </c>
      <c r="H10" s="110" t="s">
        <v>11</v>
      </c>
      <c r="J10" s="111" t="s">
        <v>3</v>
      </c>
      <c r="K10" s="112"/>
      <c r="L10" s="113"/>
      <c r="M10" s="113"/>
      <c r="N10" s="113"/>
      <c r="O10" s="113"/>
      <c r="P10" s="113"/>
      <c r="Q10" s="113"/>
      <c r="R10" s="113"/>
      <c r="S10" s="113"/>
      <c r="T10" s="113"/>
      <c r="U10" s="114"/>
      <c r="W10" s="115" t="s">
        <v>3</v>
      </c>
      <c r="X10" s="112"/>
      <c r="Y10" s="113"/>
      <c r="Z10" s="113"/>
      <c r="AA10" s="113"/>
      <c r="AB10" s="113"/>
      <c r="AC10" s="114"/>
      <c r="AE10" s="115" t="s">
        <v>3</v>
      </c>
      <c r="AF10" s="112"/>
      <c r="AG10" s="113"/>
      <c r="AH10" s="113"/>
      <c r="AI10" s="113"/>
      <c r="AJ10" s="113"/>
      <c r="AK10" s="114"/>
    </row>
    <row r="11" spans="1:37" ht="15.75" thickBot="1" x14ac:dyDescent="0.3">
      <c r="A11" s="190"/>
      <c r="B11" s="116"/>
      <c r="C11" s="117"/>
      <c r="D11" s="117"/>
      <c r="E11" s="117"/>
      <c r="F11" s="117">
        <f>SUM(C11-B11)</f>
        <v>0</v>
      </c>
      <c r="G11" s="118">
        <f>SUM(E11-D11)</f>
        <v>0</v>
      </c>
      <c r="H11" s="119">
        <f>SUM(F11:G11)</f>
        <v>0</v>
      </c>
      <c r="J11" s="120" t="s">
        <v>21</v>
      </c>
      <c r="K11" s="121"/>
      <c r="L11" s="122"/>
      <c r="M11" s="122"/>
      <c r="N11" s="122"/>
      <c r="O11" s="122"/>
      <c r="P11" s="122"/>
      <c r="Q11" s="122"/>
      <c r="R11" s="122"/>
      <c r="S11" s="122"/>
      <c r="T11" s="122"/>
      <c r="U11" s="123"/>
      <c r="W11" s="124" t="s">
        <v>21</v>
      </c>
      <c r="X11" s="121"/>
      <c r="Y11" s="122"/>
      <c r="Z11" s="122"/>
      <c r="AA11" s="122"/>
      <c r="AB11" s="122"/>
      <c r="AC11" s="123"/>
      <c r="AE11" s="124" t="s">
        <v>21</v>
      </c>
      <c r="AF11" s="121"/>
      <c r="AG11" s="122"/>
      <c r="AH11" s="122"/>
      <c r="AI11" s="122"/>
      <c r="AJ11" s="122"/>
      <c r="AK11" s="123"/>
    </row>
    <row r="12" spans="1:37" x14ac:dyDescent="0.25">
      <c r="B12" s="96"/>
      <c r="C12" s="96"/>
      <c r="D12" s="96"/>
      <c r="E12" s="96"/>
      <c r="J12" s="125"/>
      <c r="T12" s="125" t="s">
        <v>22</v>
      </c>
      <c r="U12" s="126">
        <f>SUM(K11:U11)</f>
        <v>0</v>
      </c>
      <c r="AB12" s="125" t="s">
        <v>22</v>
      </c>
      <c r="AC12" s="126">
        <f>SUM(X11:AC11)</f>
        <v>0</v>
      </c>
      <c r="AJ12" s="125" t="s">
        <v>22</v>
      </c>
      <c r="AK12" s="126">
        <f>SUM(AF11:AK11)</f>
        <v>0</v>
      </c>
    </row>
    <row r="13" spans="1:37" ht="15.75" thickBot="1" x14ac:dyDescent="0.3">
      <c r="A13" s="104"/>
      <c r="B13" s="191" t="s">
        <v>12</v>
      </c>
      <c r="C13" s="191"/>
      <c r="D13" s="191"/>
      <c r="E13" s="191"/>
      <c r="F13" s="191"/>
      <c r="G13" s="191"/>
      <c r="H13" s="191"/>
      <c r="J13" s="192" t="s">
        <v>12</v>
      </c>
      <c r="K13" s="192"/>
      <c r="L13" s="192"/>
      <c r="M13" s="192"/>
      <c r="N13" s="192"/>
      <c r="O13" s="192"/>
      <c r="P13" s="192"/>
      <c r="Q13" s="192"/>
      <c r="R13" s="192"/>
      <c r="S13" s="192"/>
      <c r="T13" s="192"/>
      <c r="U13" s="192"/>
      <c r="W13" s="193" t="str">
        <f>J13</f>
        <v>Março</v>
      </c>
      <c r="X13" s="193"/>
      <c r="Y13" s="193"/>
      <c r="Z13" s="193"/>
      <c r="AA13" s="193"/>
      <c r="AB13" s="193"/>
      <c r="AC13" s="193"/>
      <c r="AE13" s="194" t="str">
        <f>W13</f>
        <v>Março</v>
      </c>
      <c r="AF13" s="194"/>
      <c r="AG13" s="194"/>
      <c r="AH13" s="194"/>
      <c r="AI13" s="194"/>
      <c r="AJ13" s="194"/>
      <c r="AK13" s="194"/>
    </row>
    <row r="14" spans="1:37" ht="15.75" thickBot="1" x14ac:dyDescent="0.3">
      <c r="A14" s="190" t="s">
        <v>4</v>
      </c>
      <c r="B14" s="105" t="s">
        <v>5</v>
      </c>
      <c r="C14" s="106" t="s">
        <v>6</v>
      </c>
      <c r="D14" s="107" t="s">
        <v>7</v>
      </c>
      <c r="E14" s="106" t="s">
        <v>8</v>
      </c>
      <c r="F14" s="108" t="s">
        <v>9</v>
      </c>
      <c r="G14" s="109" t="s">
        <v>10</v>
      </c>
      <c r="H14" s="110" t="s">
        <v>11</v>
      </c>
      <c r="J14" s="115" t="s">
        <v>3</v>
      </c>
      <c r="K14" s="112"/>
      <c r="L14" s="127"/>
      <c r="M14" s="127"/>
      <c r="N14" s="127"/>
      <c r="O14" s="113"/>
      <c r="P14" s="113"/>
      <c r="Q14" s="113"/>
      <c r="R14" s="113"/>
      <c r="S14" s="113"/>
      <c r="T14" s="113"/>
      <c r="U14" s="114"/>
      <c r="W14" s="115" t="s">
        <v>3</v>
      </c>
      <c r="X14" s="112"/>
      <c r="Y14" s="113"/>
      <c r="Z14" s="113"/>
      <c r="AA14" s="113"/>
      <c r="AB14" s="113"/>
      <c r="AC14" s="114"/>
      <c r="AE14" s="115" t="s">
        <v>3</v>
      </c>
      <c r="AF14" s="112"/>
      <c r="AG14" s="113"/>
      <c r="AH14" s="113"/>
      <c r="AI14" s="113"/>
      <c r="AJ14" s="113"/>
      <c r="AK14" s="114"/>
    </row>
    <row r="15" spans="1:37" ht="15.75" thickBot="1" x14ac:dyDescent="0.3">
      <c r="A15" s="190"/>
      <c r="B15" s="116"/>
      <c r="C15" s="117"/>
      <c r="D15" s="117"/>
      <c r="E15" s="117"/>
      <c r="F15" s="117">
        <f>SUM(C15-B15)</f>
        <v>0</v>
      </c>
      <c r="G15" s="118">
        <f>SUM(E15-D15)</f>
        <v>0</v>
      </c>
      <c r="H15" s="119">
        <f>SUM(F15:G15)</f>
        <v>0</v>
      </c>
      <c r="J15" s="124" t="s">
        <v>21</v>
      </c>
      <c r="K15" s="121"/>
      <c r="L15" s="122"/>
      <c r="M15" s="122"/>
      <c r="N15" s="122"/>
      <c r="O15" s="122"/>
      <c r="P15" s="122"/>
      <c r="Q15" s="122"/>
      <c r="R15" s="122"/>
      <c r="S15" s="122"/>
      <c r="T15" s="122"/>
      <c r="U15" s="123"/>
      <c r="W15" s="124" t="s">
        <v>21</v>
      </c>
      <c r="X15" s="121"/>
      <c r="Y15" s="122"/>
      <c r="Z15" s="122"/>
      <c r="AA15" s="122"/>
      <c r="AB15" s="122"/>
      <c r="AC15" s="123"/>
      <c r="AE15" s="124" t="s">
        <v>21</v>
      </c>
      <c r="AF15" s="121"/>
      <c r="AG15" s="122"/>
      <c r="AH15" s="122"/>
      <c r="AI15" s="122"/>
      <c r="AJ15" s="122"/>
      <c r="AK15" s="123"/>
    </row>
    <row r="16" spans="1:37" x14ac:dyDescent="0.25">
      <c r="B16" s="96"/>
      <c r="C16" s="96"/>
      <c r="D16" s="96"/>
      <c r="E16" s="96"/>
      <c r="J16" s="125"/>
      <c r="T16" s="125" t="s">
        <v>22</v>
      </c>
      <c r="U16" s="126">
        <f>SUM(K15:U15)</f>
        <v>0</v>
      </c>
      <c r="AB16" s="125" t="s">
        <v>22</v>
      </c>
      <c r="AC16" s="126">
        <f>SUM(X15:AC15)</f>
        <v>0</v>
      </c>
      <c r="AJ16" s="125" t="s">
        <v>22</v>
      </c>
      <c r="AK16" s="126">
        <f>SUM(AF15:AK15)</f>
        <v>0</v>
      </c>
    </row>
    <row r="17" spans="1:37" ht="15.75" thickBot="1" x14ac:dyDescent="0.3">
      <c r="A17" s="104"/>
      <c r="B17" s="191" t="s">
        <v>13</v>
      </c>
      <c r="C17" s="191"/>
      <c r="D17" s="191"/>
      <c r="E17" s="191"/>
      <c r="F17" s="191"/>
      <c r="G17" s="191"/>
      <c r="H17" s="191"/>
      <c r="J17" s="192" t="s">
        <v>13</v>
      </c>
      <c r="K17" s="192"/>
      <c r="L17" s="192"/>
      <c r="M17" s="192"/>
      <c r="N17" s="192"/>
      <c r="O17" s="192"/>
      <c r="P17" s="192"/>
      <c r="Q17" s="192"/>
      <c r="R17" s="192"/>
      <c r="S17" s="192"/>
      <c r="T17" s="192"/>
      <c r="U17" s="192"/>
      <c r="W17" s="193" t="str">
        <f>J17</f>
        <v>Abril</v>
      </c>
      <c r="X17" s="193"/>
      <c r="Y17" s="193"/>
      <c r="Z17" s="193"/>
      <c r="AA17" s="193"/>
      <c r="AB17" s="193"/>
      <c r="AC17" s="193"/>
      <c r="AE17" s="194" t="str">
        <f>W17</f>
        <v>Abril</v>
      </c>
      <c r="AF17" s="194"/>
      <c r="AG17" s="194"/>
      <c r="AH17" s="194"/>
      <c r="AI17" s="194"/>
      <c r="AJ17" s="194"/>
      <c r="AK17" s="194"/>
    </row>
    <row r="18" spans="1:37" ht="15.75" thickBot="1" x14ac:dyDescent="0.3">
      <c r="A18" s="190" t="s">
        <v>4</v>
      </c>
      <c r="B18" s="105" t="s">
        <v>5</v>
      </c>
      <c r="C18" s="106" t="s">
        <v>6</v>
      </c>
      <c r="D18" s="107" t="s">
        <v>7</v>
      </c>
      <c r="E18" s="106" t="s">
        <v>8</v>
      </c>
      <c r="F18" s="108" t="s">
        <v>9</v>
      </c>
      <c r="G18" s="109" t="s">
        <v>10</v>
      </c>
      <c r="H18" s="110" t="s">
        <v>11</v>
      </c>
      <c r="J18" s="115" t="s">
        <v>3</v>
      </c>
      <c r="K18" s="112"/>
      <c r="L18" s="113"/>
      <c r="M18" s="113"/>
      <c r="N18" s="113"/>
      <c r="O18" s="113"/>
      <c r="P18" s="113"/>
      <c r="Q18" s="113"/>
      <c r="R18" s="113"/>
      <c r="S18" s="113"/>
      <c r="T18" s="113"/>
      <c r="U18" s="114"/>
      <c r="W18" s="115" t="s">
        <v>3</v>
      </c>
      <c r="X18" s="112"/>
      <c r="Y18" s="113"/>
      <c r="Z18" s="113"/>
      <c r="AA18" s="113"/>
      <c r="AB18" s="113"/>
      <c r="AC18" s="114"/>
      <c r="AE18" s="115" t="s">
        <v>3</v>
      </c>
      <c r="AF18" s="112"/>
      <c r="AG18" s="113"/>
      <c r="AH18" s="113"/>
      <c r="AI18" s="113"/>
      <c r="AJ18" s="113"/>
      <c r="AK18" s="114"/>
    </row>
    <row r="19" spans="1:37" ht="15.75" thickBot="1" x14ac:dyDescent="0.3">
      <c r="A19" s="190"/>
      <c r="B19" s="116"/>
      <c r="C19" s="117"/>
      <c r="D19" s="117"/>
      <c r="E19" s="117"/>
      <c r="F19" s="117">
        <f>SUM(C19-B19)</f>
        <v>0</v>
      </c>
      <c r="G19" s="118">
        <f>SUM(E19-D19)</f>
        <v>0</v>
      </c>
      <c r="H19" s="119">
        <f>SUM(F19:G19)</f>
        <v>0</v>
      </c>
      <c r="J19" s="124" t="s">
        <v>21</v>
      </c>
      <c r="K19" s="128"/>
      <c r="L19" s="129"/>
      <c r="M19" s="129"/>
      <c r="N19" s="129"/>
      <c r="O19" s="129"/>
      <c r="P19" s="129"/>
      <c r="Q19" s="129"/>
      <c r="R19" s="129"/>
      <c r="S19" s="129"/>
      <c r="T19" s="129"/>
      <c r="U19" s="130"/>
      <c r="W19" s="124" t="s">
        <v>21</v>
      </c>
      <c r="X19" s="121"/>
      <c r="Y19" s="122"/>
      <c r="Z19" s="122"/>
      <c r="AA19" s="122"/>
      <c r="AB19" s="122"/>
      <c r="AC19" s="123"/>
      <c r="AE19" s="124" t="s">
        <v>21</v>
      </c>
      <c r="AF19" s="121"/>
      <c r="AG19" s="122"/>
      <c r="AH19" s="122"/>
      <c r="AI19" s="122"/>
      <c r="AJ19" s="122"/>
      <c r="AK19" s="123"/>
    </row>
    <row r="20" spans="1:37" x14ac:dyDescent="0.25">
      <c r="B20" s="96"/>
      <c r="C20" s="96"/>
      <c r="D20" s="96"/>
      <c r="E20" s="96"/>
      <c r="J20" s="125"/>
      <c r="T20" s="125" t="s">
        <v>22</v>
      </c>
      <c r="U20" s="126">
        <f>SUM(K19:U19)</f>
        <v>0</v>
      </c>
      <c r="AB20" s="125" t="s">
        <v>22</v>
      </c>
      <c r="AC20" s="126">
        <f>SUM(X19:AC19)</f>
        <v>0</v>
      </c>
      <c r="AJ20" s="125" t="s">
        <v>22</v>
      </c>
      <c r="AK20" s="126">
        <f>SUM(AF19:AK19)</f>
        <v>0</v>
      </c>
    </row>
    <row r="21" spans="1:37" ht="15.75" thickBot="1" x14ac:dyDescent="0.3">
      <c r="A21" s="104"/>
      <c r="B21" s="191" t="s">
        <v>14</v>
      </c>
      <c r="C21" s="191"/>
      <c r="D21" s="191"/>
      <c r="E21" s="191"/>
      <c r="F21" s="191"/>
      <c r="G21" s="191"/>
      <c r="H21" s="191"/>
      <c r="J21" s="192" t="s">
        <v>14</v>
      </c>
      <c r="K21" s="192"/>
      <c r="L21" s="192"/>
      <c r="M21" s="192"/>
      <c r="N21" s="192"/>
      <c r="O21" s="192"/>
      <c r="P21" s="192"/>
      <c r="Q21" s="192"/>
      <c r="R21" s="192"/>
      <c r="S21" s="192"/>
      <c r="T21" s="192"/>
      <c r="U21" s="192"/>
      <c r="W21" s="193" t="str">
        <f>J21</f>
        <v>Maio</v>
      </c>
      <c r="X21" s="193"/>
      <c r="Y21" s="193"/>
      <c r="Z21" s="193"/>
      <c r="AA21" s="193"/>
      <c r="AB21" s="193"/>
      <c r="AC21" s="193"/>
      <c r="AE21" s="194" t="str">
        <f>W21</f>
        <v>Maio</v>
      </c>
      <c r="AF21" s="194"/>
      <c r="AG21" s="194"/>
      <c r="AH21" s="194"/>
      <c r="AI21" s="194"/>
      <c r="AJ21" s="194"/>
      <c r="AK21" s="194"/>
    </row>
    <row r="22" spans="1:37" ht="15.75" thickBot="1" x14ac:dyDescent="0.3">
      <c r="A22" s="190" t="s">
        <v>4</v>
      </c>
      <c r="B22" s="105" t="s">
        <v>5</v>
      </c>
      <c r="C22" s="106" t="s">
        <v>6</v>
      </c>
      <c r="D22" s="107" t="s">
        <v>7</v>
      </c>
      <c r="E22" s="106" t="s">
        <v>8</v>
      </c>
      <c r="F22" s="108" t="s">
        <v>9</v>
      </c>
      <c r="G22" s="109" t="s">
        <v>10</v>
      </c>
      <c r="H22" s="110" t="s">
        <v>11</v>
      </c>
      <c r="J22" s="115" t="s">
        <v>3</v>
      </c>
      <c r="K22" s="112"/>
      <c r="L22" s="113"/>
      <c r="M22" s="113"/>
      <c r="N22" s="113"/>
      <c r="O22" s="113"/>
      <c r="P22" s="113"/>
      <c r="Q22" s="113"/>
      <c r="R22" s="113"/>
      <c r="S22" s="113"/>
      <c r="T22" s="113"/>
      <c r="U22" s="114"/>
      <c r="W22" s="115" t="s">
        <v>3</v>
      </c>
      <c r="X22" s="112"/>
      <c r="Y22" s="113"/>
      <c r="Z22" s="113"/>
      <c r="AA22" s="113"/>
      <c r="AB22" s="113"/>
      <c r="AC22" s="114"/>
      <c r="AE22" s="115" t="s">
        <v>3</v>
      </c>
      <c r="AF22" s="112"/>
      <c r="AG22" s="113"/>
      <c r="AH22" s="113"/>
      <c r="AI22" s="113"/>
      <c r="AJ22" s="113"/>
      <c r="AK22" s="114"/>
    </row>
    <row r="23" spans="1:37" ht="15.75" thickBot="1" x14ac:dyDescent="0.3">
      <c r="A23" s="190"/>
      <c r="B23" s="116"/>
      <c r="C23" s="117"/>
      <c r="D23" s="117"/>
      <c r="E23" s="117"/>
      <c r="F23" s="117">
        <f>SUM(C23-B23)</f>
        <v>0</v>
      </c>
      <c r="G23" s="118">
        <f>SUM(E23-D23)</f>
        <v>0</v>
      </c>
      <c r="H23" s="119">
        <f>SUM(F23:G23)</f>
        <v>0</v>
      </c>
      <c r="J23" s="124" t="s">
        <v>21</v>
      </c>
      <c r="K23" s="121"/>
      <c r="L23" s="122"/>
      <c r="M23" s="122"/>
      <c r="N23" s="122"/>
      <c r="O23" s="122"/>
      <c r="P23" s="122"/>
      <c r="Q23" s="122"/>
      <c r="R23" s="122"/>
      <c r="S23" s="122"/>
      <c r="T23" s="122"/>
      <c r="U23" s="123"/>
      <c r="W23" s="124" t="s">
        <v>21</v>
      </c>
      <c r="X23" s="121"/>
      <c r="Y23" s="122"/>
      <c r="Z23" s="122"/>
      <c r="AA23" s="122"/>
      <c r="AB23" s="122"/>
      <c r="AC23" s="123"/>
      <c r="AE23" s="124" t="s">
        <v>21</v>
      </c>
      <c r="AF23" s="121"/>
      <c r="AG23" s="122"/>
      <c r="AH23" s="122"/>
      <c r="AI23" s="122"/>
      <c r="AJ23" s="122"/>
      <c r="AK23" s="123"/>
    </row>
    <row r="24" spans="1:37" x14ac:dyDescent="0.25">
      <c r="B24" s="96"/>
      <c r="C24" s="96"/>
      <c r="D24" s="96"/>
      <c r="E24" s="96"/>
      <c r="J24" s="125"/>
      <c r="T24" s="125" t="s">
        <v>22</v>
      </c>
      <c r="U24" s="126">
        <f>SUM(K23:U23)</f>
        <v>0</v>
      </c>
      <c r="AB24" s="125" t="s">
        <v>22</v>
      </c>
      <c r="AC24" s="126">
        <f>SUM(X23:AC23)</f>
        <v>0</v>
      </c>
      <c r="AJ24" s="125" t="s">
        <v>22</v>
      </c>
      <c r="AK24" s="126">
        <f>SUM(AF23:AK23)</f>
        <v>0</v>
      </c>
    </row>
    <row r="25" spans="1:37" ht="15.75" thickBot="1" x14ac:dyDescent="0.3">
      <c r="A25" s="104"/>
      <c r="B25" s="191" t="s">
        <v>23</v>
      </c>
      <c r="C25" s="191"/>
      <c r="D25" s="191"/>
      <c r="E25" s="191"/>
      <c r="F25" s="191"/>
      <c r="G25" s="191"/>
      <c r="H25" s="191"/>
      <c r="J25" s="192" t="s">
        <v>23</v>
      </c>
      <c r="K25" s="192"/>
      <c r="L25" s="192"/>
      <c r="M25" s="192"/>
      <c r="N25" s="192"/>
      <c r="O25" s="192"/>
      <c r="P25" s="192"/>
      <c r="Q25" s="192"/>
      <c r="R25" s="192"/>
      <c r="S25" s="192"/>
      <c r="T25" s="192"/>
      <c r="U25" s="192"/>
      <c r="W25" s="193" t="str">
        <f>J25</f>
        <v>Junho</v>
      </c>
      <c r="X25" s="193"/>
      <c r="Y25" s="193"/>
      <c r="Z25" s="193"/>
      <c r="AA25" s="193"/>
      <c r="AB25" s="193"/>
      <c r="AC25" s="193"/>
      <c r="AE25" s="194" t="str">
        <f>W25</f>
        <v>Junho</v>
      </c>
      <c r="AF25" s="194"/>
      <c r="AG25" s="194"/>
      <c r="AH25" s="194"/>
      <c r="AI25" s="194"/>
      <c r="AJ25" s="194"/>
      <c r="AK25" s="194"/>
    </row>
    <row r="26" spans="1:37" ht="15.75" thickBot="1" x14ac:dyDescent="0.3">
      <c r="A26" s="190" t="s">
        <v>4</v>
      </c>
      <c r="B26" s="105" t="s">
        <v>5</v>
      </c>
      <c r="C26" s="106" t="s">
        <v>6</v>
      </c>
      <c r="D26" s="107" t="s">
        <v>7</v>
      </c>
      <c r="E26" s="106" t="s">
        <v>8</v>
      </c>
      <c r="F26" s="108" t="s">
        <v>9</v>
      </c>
      <c r="G26" s="109" t="s">
        <v>10</v>
      </c>
      <c r="H26" s="110" t="s">
        <v>11</v>
      </c>
      <c r="J26" s="115" t="s">
        <v>3</v>
      </c>
      <c r="K26" s="112"/>
      <c r="L26" s="113"/>
      <c r="M26" s="113"/>
      <c r="N26" s="113"/>
      <c r="O26" s="113"/>
      <c r="P26" s="113"/>
      <c r="Q26" s="113"/>
      <c r="R26" s="113"/>
      <c r="S26" s="113"/>
      <c r="T26" s="113"/>
      <c r="U26" s="114"/>
      <c r="W26" s="115" t="s">
        <v>3</v>
      </c>
      <c r="X26" s="112"/>
      <c r="Y26" s="113"/>
      <c r="Z26" s="113"/>
      <c r="AA26" s="113"/>
      <c r="AB26" s="113"/>
      <c r="AC26" s="114"/>
      <c r="AE26" s="115" t="s">
        <v>3</v>
      </c>
      <c r="AF26" s="112"/>
      <c r="AG26" s="113"/>
      <c r="AH26" s="113"/>
      <c r="AI26" s="113"/>
      <c r="AJ26" s="113"/>
      <c r="AK26" s="114"/>
    </row>
    <row r="27" spans="1:37" ht="15.75" thickBot="1" x14ac:dyDescent="0.3">
      <c r="A27" s="190"/>
      <c r="B27" s="116"/>
      <c r="C27" s="117"/>
      <c r="D27" s="117"/>
      <c r="E27" s="117"/>
      <c r="F27" s="117">
        <f>SUM(C27-B27)</f>
        <v>0</v>
      </c>
      <c r="G27" s="118">
        <f>SUM(E27-D27)</f>
        <v>0</v>
      </c>
      <c r="H27" s="119">
        <f>SUM(F27:G27)</f>
        <v>0</v>
      </c>
      <c r="J27" s="124" t="s">
        <v>21</v>
      </c>
      <c r="K27" s="121"/>
      <c r="L27" s="122"/>
      <c r="M27" s="122"/>
      <c r="N27" s="122"/>
      <c r="O27" s="122"/>
      <c r="P27" s="122"/>
      <c r="Q27" s="122"/>
      <c r="R27" s="122"/>
      <c r="S27" s="122"/>
      <c r="T27" s="122"/>
      <c r="U27" s="123"/>
      <c r="W27" s="124" t="s">
        <v>21</v>
      </c>
      <c r="X27" s="121"/>
      <c r="Y27" s="122"/>
      <c r="Z27" s="122"/>
      <c r="AA27" s="122"/>
      <c r="AB27" s="122"/>
      <c r="AC27" s="123"/>
      <c r="AE27" s="124" t="s">
        <v>21</v>
      </c>
      <c r="AF27" s="121"/>
      <c r="AG27" s="122"/>
      <c r="AH27" s="122"/>
      <c r="AI27" s="122"/>
      <c r="AJ27" s="122"/>
      <c r="AK27" s="123"/>
    </row>
    <row r="28" spans="1:37" x14ac:dyDescent="0.25">
      <c r="B28" s="96"/>
      <c r="C28" s="96"/>
      <c r="D28" s="96"/>
      <c r="E28" s="96"/>
      <c r="J28" s="125"/>
      <c r="T28" s="125" t="s">
        <v>22</v>
      </c>
      <c r="U28" s="126">
        <f>SUM(K27:U27)</f>
        <v>0</v>
      </c>
      <c r="AB28" s="125" t="s">
        <v>22</v>
      </c>
      <c r="AC28" s="126">
        <f>SUM(X27:AC27)</f>
        <v>0</v>
      </c>
      <c r="AJ28" s="125" t="s">
        <v>22</v>
      </c>
      <c r="AK28" s="126">
        <f>SUM(AF27:AK27)</f>
        <v>0</v>
      </c>
    </row>
    <row r="29" spans="1:37" ht="15.75" thickBot="1" x14ac:dyDescent="0.3">
      <c r="A29" s="104"/>
      <c r="B29" s="191" t="s">
        <v>15</v>
      </c>
      <c r="C29" s="191"/>
      <c r="D29" s="191"/>
      <c r="E29" s="191"/>
      <c r="F29" s="191"/>
      <c r="G29" s="191"/>
      <c r="H29" s="191"/>
      <c r="J29" s="192" t="s">
        <v>15</v>
      </c>
      <c r="K29" s="192"/>
      <c r="L29" s="192"/>
      <c r="M29" s="192"/>
      <c r="N29" s="192"/>
      <c r="O29" s="192"/>
      <c r="P29" s="192"/>
      <c r="Q29" s="192"/>
      <c r="R29" s="192"/>
      <c r="S29" s="192"/>
      <c r="T29" s="192"/>
      <c r="U29" s="192"/>
      <c r="W29" s="193" t="str">
        <f>J29</f>
        <v>Julho</v>
      </c>
      <c r="X29" s="193"/>
      <c r="Y29" s="193"/>
      <c r="Z29" s="193"/>
      <c r="AA29" s="193"/>
      <c r="AB29" s="193"/>
      <c r="AC29" s="193"/>
      <c r="AE29" s="194" t="str">
        <f>W29</f>
        <v>Julho</v>
      </c>
      <c r="AF29" s="194"/>
      <c r="AG29" s="194"/>
      <c r="AH29" s="194"/>
      <c r="AI29" s="194"/>
      <c r="AJ29" s="194"/>
      <c r="AK29" s="194"/>
    </row>
    <row r="30" spans="1:37" ht="15.75" thickBot="1" x14ac:dyDescent="0.3">
      <c r="A30" s="190" t="s">
        <v>4</v>
      </c>
      <c r="B30" s="105" t="s">
        <v>5</v>
      </c>
      <c r="C30" s="106" t="s">
        <v>6</v>
      </c>
      <c r="D30" s="107" t="s">
        <v>7</v>
      </c>
      <c r="E30" s="106" t="s">
        <v>8</v>
      </c>
      <c r="F30" s="108" t="s">
        <v>9</v>
      </c>
      <c r="G30" s="109" t="s">
        <v>10</v>
      </c>
      <c r="H30" s="110" t="s">
        <v>11</v>
      </c>
      <c r="J30" s="115" t="s">
        <v>3</v>
      </c>
      <c r="K30" s="112"/>
      <c r="L30" s="113"/>
      <c r="M30" s="113"/>
      <c r="N30" s="113"/>
      <c r="O30" s="113"/>
      <c r="P30" s="113"/>
      <c r="Q30" s="113"/>
      <c r="R30" s="113"/>
      <c r="S30" s="113"/>
      <c r="T30" s="113"/>
      <c r="U30" s="114"/>
      <c r="W30" s="115" t="s">
        <v>3</v>
      </c>
      <c r="X30" s="112"/>
      <c r="Y30" s="113"/>
      <c r="Z30" s="113"/>
      <c r="AA30" s="113"/>
      <c r="AB30" s="113"/>
      <c r="AC30" s="114"/>
      <c r="AE30" s="115" t="s">
        <v>3</v>
      </c>
      <c r="AF30" s="112"/>
      <c r="AG30" s="113"/>
      <c r="AH30" s="113"/>
      <c r="AI30" s="113"/>
      <c r="AJ30" s="113"/>
      <c r="AK30" s="114"/>
    </row>
    <row r="31" spans="1:37" ht="15.75" thickBot="1" x14ac:dyDescent="0.3">
      <c r="A31" s="190"/>
      <c r="B31" s="116"/>
      <c r="C31" s="117"/>
      <c r="D31" s="117"/>
      <c r="E31" s="117"/>
      <c r="F31" s="117">
        <f>SUM(C31-B31)</f>
        <v>0</v>
      </c>
      <c r="G31" s="118">
        <f>SUM(E31-D31)</f>
        <v>0</v>
      </c>
      <c r="H31" s="119">
        <f>SUM(F31:G31)</f>
        <v>0</v>
      </c>
      <c r="J31" s="124" t="s">
        <v>21</v>
      </c>
      <c r="K31" s="121"/>
      <c r="L31" s="122"/>
      <c r="M31" s="122"/>
      <c r="N31" s="122"/>
      <c r="O31" s="122"/>
      <c r="P31" s="122"/>
      <c r="Q31" s="122"/>
      <c r="R31" s="122"/>
      <c r="S31" s="122"/>
      <c r="T31" s="122"/>
      <c r="U31" s="123"/>
      <c r="W31" s="124" t="s">
        <v>21</v>
      </c>
      <c r="X31" s="121"/>
      <c r="Y31" s="122"/>
      <c r="Z31" s="122"/>
      <c r="AA31" s="122"/>
      <c r="AB31" s="122"/>
      <c r="AC31" s="123"/>
      <c r="AE31" s="124" t="s">
        <v>21</v>
      </c>
      <c r="AF31" s="121"/>
      <c r="AG31" s="122"/>
      <c r="AH31" s="122"/>
      <c r="AI31" s="122"/>
      <c r="AJ31" s="122"/>
      <c r="AK31" s="123"/>
    </row>
    <row r="32" spans="1:37" x14ac:dyDescent="0.25">
      <c r="B32" s="96"/>
      <c r="C32" s="96"/>
      <c r="D32" s="96"/>
      <c r="E32" s="96"/>
      <c r="J32" s="125"/>
      <c r="T32" s="125" t="s">
        <v>22</v>
      </c>
      <c r="U32" s="126">
        <f>SUM(K31:U31)</f>
        <v>0</v>
      </c>
      <c r="AB32" s="125" t="s">
        <v>22</v>
      </c>
      <c r="AC32" s="126">
        <f>SUM(X31:AC31)</f>
        <v>0</v>
      </c>
      <c r="AJ32" s="125" t="s">
        <v>22</v>
      </c>
      <c r="AK32" s="126">
        <f>SUM(AF31:AK31)</f>
        <v>0</v>
      </c>
    </row>
    <row r="33" spans="1:37" ht="15.75" thickBot="1" x14ac:dyDescent="0.3">
      <c r="A33" s="104"/>
      <c r="B33" s="191" t="s">
        <v>16</v>
      </c>
      <c r="C33" s="191"/>
      <c r="D33" s="191"/>
      <c r="E33" s="191"/>
      <c r="F33" s="191"/>
      <c r="G33" s="191"/>
      <c r="H33" s="191"/>
      <c r="J33" s="192" t="s">
        <v>16</v>
      </c>
      <c r="K33" s="192"/>
      <c r="L33" s="192"/>
      <c r="M33" s="192"/>
      <c r="N33" s="192"/>
      <c r="O33" s="192"/>
      <c r="P33" s="192"/>
      <c r="Q33" s="192"/>
      <c r="R33" s="192"/>
      <c r="S33" s="192"/>
      <c r="T33" s="192"/>
      <c r="U33" s="192"/>
      <c r="W33" s="193" t="str">
        <f>J33</f>
        <v>Agosto</v>
      </c>
      <c r="X33" s="193"/>
      <c r="Y33" s="193"/>
      <c r="Z33" s="193"/>
      <c r="AA33" s="193"/>
      <c r="AB33" s="193"/>
      <c r="AC33" s="193"/>
      <c r="AE33" s="194" t="str">
        <f>W33</f>
        <v>Agosto</v>
      </c>
      <c r="AF33" s="194"/>
      <c r="AG33" s="194"/>
      <c r="AH33" s="194"/>
      <c r="AI33" s="194"/>
      <c r="AJ33" s="194"/>
      <c r="AK33" s="194"/>
    </row>
    <row r="34" spans="1:37" ht="15.75" thickBot="1" x14ac:dyDescent="0.3">
      <c r="A34" s="190" t="s">
        <v>4</v>
      </c>
      <c r="B34" s="105" t="s">
        <v>5</v>
      </c>
      <c r="C34" s="106" t="s">
        <v>6</v>
      </c>
      <c r="D34" s="107" t="s">
        <v>7</v>
      </c>
      <c r="E34" s="106" t="s">
        <v>8</v>
      </c>
      <c r="F34" s="108" t="s">
        <v>9</v>
      </c>
      <c r="G34" s="109" t="s">
        <v>10</v>
      </c>
      <c r="H34" s="110" t="s">
        <v>11</v>
      </c>
      <c r="J34" s="115" t="s">
        <v>3</v>
      </c>
      <c r="K34" s="112"/>
      <c r="L34" s="113"/>
      <c r="M34" s="113"/>
      <c r="N34" s="113"/>
      <c r="O34" s="113"/>
      <c r="P34" s="113"/>
      <c r="Q34" s="113"/>
      <c r="R34" s="113"/>
      <c r="S34" s="113"/>
      <c r="T34" s="113"/>
      <c r="U34" s="114"/>
      <c r="W34" s="115" t="s">
        <v>3</v>
      </c>
      <c r="X34" s="112"/>
      <c r="Y34" s="113"/>
      <c r="Z34" s="113"/>
      <c r="AA34" s="113"/>
      <c r="AB34" s="113"/>
      <c r="AC34" s="114"/>
      <c r="AE34" s="115" t="s">
        <v>3</v>
      </c>
      <c r="AF34" s="112"/>
      <c r="AG34" s="113"/>
      <c r="AH34" s="113"/>
      <c r="AI34" s="113"/>
      <c r="AJ34" s="113"/>
      <c r="AK34" s="114"/>
    </row>
    <row r="35" spans="1:37" ht="15.75" thickBot="1" x14ac:dyDescent="0.3">
      <c r="A35" s="190"/>
      <c r="B35" s="116"/>
      <c r="C35" s="117"/>
      <c r="D35" s="117"/>
      <c r="E35" s="117"/>
      <c r="F35" s="117">
        <f>SUM(C35-B35)</f>
        <v>0</v>
      </c>
      <c r="G35" s="118">
        <f>SUM(E35-D35)</f>
        <v>0</v>
      </c>
      <c r="H35" s="119">
        <f>SUM(F35:G35)</f>
        <v>0</v>
      </c>
      <c r="J35" s="124" t="s">
        <v>21</v>
      </c>
      <c r="K35" s="121"/>
      <c r="L35" s="122"/>
      <c r="M35" s="122"/>
      <c r="N35" s="122"/>
      <c r="O35" s="122"/>
      <c r="P35" s="122"/>
      <c r="Q35" s="122"/>
      <c r="R35" s="122"/>
      <c r="S35" s="122"/>
      <c r="T35" s="122"/>
      <c r="U35" s="123"/>
      <c r="W35" s="124" t="s">
        <v>21</v>
      </c>
      <c r="X35" s="121"/>
      <c r="Y35" s="122"/>
      <c r="Z35" s="122"/>
      <c r="AA35" s="122"/>
      <c r="AB35" s="122"/>
      <c r="AC35" s="123"/>
      <c r="AE35" s="124" t="s">
        <v>21</v>
      </c>
      <c r="AF35" s="121"/>
      <c r="AG35" s="122"/>
      <c r="AH35" s="122"/>
      <c r="AI35" s="122"/>
      <c r="AJ35" s="122"/>
      <c r="AK35" s="123"/>
    </row>
    <row r="36" spans="1:37" x14ac:dyDescent="0.25">
      <c r="B36" s="96"/>
      <c r="C36" s="96"/>
      <c r="D36" s="96"/>
      <c r="E36" s="96"/>
      <c r="J36" s="125"/>
      <c r="T36" s="125" t="s">
        <v>22</v>
      </c>
      <c r="U36" s="126">
        <f>SUM(K35:U35)</f>
        <v>0</v>
      </c>
      <c r="AB36" s="125" t="s">
        <v>22</v>
      </c>
      <c r="AC36" s="126">
        <f>SUM(X35:AC35)</f>
        <v>0</v>
      </c>
      <c r="AJ36" s="125" t="s">
        <v>22</v>
      </c>
      <c r="AK36" s="126">
        <f>SUM(AF35:AK35)</f>
        <v>0</v>
      </c>
    </row>
    <row r="37" spans="1:37" ht="15.75" thickBot="1" x14ac:dyDescent="0.3">
      <c r="A37" s="104"/>
      <c r="B37" s="191" t="s">
        <v>17</v>
      </c>
      <c r="C37" s="191"/>
      <c r="D37" s="191"/>
      <c r="E37" s="191"/>
      <c r="F37" s="191"/>
      <c r="G37" s="191"/>
      <c r="H37" s="191"/>
      <c r="J37" s="192" t="s">
        <v>17</v>
      </c>
      <c r="K37" s="192"/>
      <c r="L37" s="192"/>
      <c r="M37" s="192"/>
      <c r="N37" s="192"/>
      <c r="O37" s="192"/>
      <c r="P37" s="192"/>
      <c r="Q37" s="192"/>
      <c r="R37" s="192"/>
      <c r="S37" s="192"/>
      <c r="T37" s="192"/>
      <c r="U37" s="192"/>
      <c r="W37" s="193" t="str">
        <f>J37</f>
        <v>Setembro</v>
      </c>
      <c r="X37" s="193"/>
      <c r="Y37" s="193"/>
      <c r="Z37" s="193"/>
      <c r="AA37" s="193"/>
      <c r="AB37" s="193"/>
      <c r="AC37" s="193"/>
      <c r="AE37" s="194" t="str">
        <f>W37</f>
        <v>Setembro</v>
      </c>
      <c r="AF37" s="194"/>
      <c r="AG37" s="194"/>
      <c r="AH37" s="194"/>
      <c r="AI37" s="194"/>
      <c r="AJ37" s="194"/>
      <c r="AK37" s="194"/>
    </row>
    <row r="38" spans="1:37" ht="15.75" thickBot="1" x14ac:dyDescent="0.3">
      <c r="A38" s="190" t="s">
        <v>4</v>
      </c>
      <c r="B38" s="105" t="s">
        <v>5</v>
      </c>
      <c r="C38" s="106" t="s">
        <v>6</v>
      </c>
      <c r="D38" s="107" t="s">
        <v>7</v>
      </c>
      <c r="E38" s="106" t="s">
        <v>8</v>
      </c>
      <c r="F38" s="108" t="s">
        <v>9</v>
      </c>
      <c r="G38" s="109" t="s">
        <v>10</v>
      </c>
      <c r="H38" s="110" t="s">
        <v>11</v>
      </c>
      <c r="J38" s="115" t="s">
        <v>3</v>
      </c>
      <c r="K38" s="112">
        <v>45546</v>
      </c>
      <c r="L38" s="127">
        <v>45549</v>
      </c>
      <c r="M38" s="127">
        <v>45556</v>
      </c>
      <c r="N38" s="127">
        <v>45561</v>
      </c>
      <c r="O38" s="113"/>
      <c r="P38" s="113"/>
      <c r="Q38" s="113"/>
      <c r="R38" s="113"/>
      <c r="S38" s="113"/>
      <c r="T38" s="113"/>
      <c r="U38" s="114"/>
      <c r="W38" s="115" t="s">
        <v>3</v>
      </c>
      <c r="X38" s="112"/>
      <c r="Y38" s="113"/>
      <c r="Z38" s="113"/>
      <c r="AA38" s="113"/>
      <c r="AB38" s="113"/>
      <c r="AC38" s="114"/>
      <c r="AE38" s="115" t="s">
        <v>3</v>
      </c>
      <c r="AF38" s="112"/>
      <c r="AG38" s="113"/>
      <c r="AH38" s="113"/>
      <c r="AI38" s="113"/>
      <c r="AJ38" s="113"/>
      <c r="AK38" s="114"/>
    </row>
    <row r="39" spans="1:37" ht="15.75" thickBot="1" x14ac:dyDescent="0.3">
      <c r="A39" s="190"/>
      <c r="B39" s="116">
        <v>46943</v>
      </c>
      <c r="C39" s="117"/>
      <c r="D39" s="117"/>
      <c r="E39" s="117">
        <v>49840</v>
      </c>
      <c r="F39" s="117">
        <f>SUM(C39-B39)</f>
        <v>-46943</v>
      </c>
      <c r="G39" s="118">
        <f>SUM(E39-D39)</f>
        <v>49840</v>
      </c>
      <c r="H39" s="119">
        <f>SUM(F39:G39)</f>
        <v>2897</v>
      </c>
      <c r="J39" s="124" t="s">
        <v>21</v>
      </c>
      <c r="K39" s="121">
        <v>264.33999999999997</v>
      </c>
      <c r="L39" s="122">
        <v>274.48</v>
      </c>
      <c r="M39" s="122">
        <v>288.89999999999998</v>
      </c>
      <c r="N39" s="122">
        <v>318.89999999999998</v>
      </c>
      <c r="O39" s="122"/>
      <c r="P39" s="122"/>
      <c r="Q39" s="122"/>
      <c r="R39" s="122"/>
      <c r="S39" s="122"/>
      <c r="T39" s="122"/>
      <c r="U39" s="123"/>
      <c r="W39" s="124" t="s">
        <v>21</v>
      </c>
      <c r="X39" s="121"/>
      <c r="Y39" s="122"/>
      <c r="Z39" s="122"/>
      <c r="AA39" s="122"/>
      <c r="AB39" s="122"/>
      <c r="AC39" s="123"/>
      <c r="AE39" s="124" t="s">
        <v>21</v>
      </c>
      <c r="AF39" s="121"/>
      <c r="AG39" s="122"/>
      <c r="AH39" s="122"/>
      <c r="AI39" s="122"/>
      <c r="AJ39" s="122"/>
      <c r="AK39" s="123"/>
    </row>
    <row r="40" spans="1:37" x14ac:dyDescent="0.25">
      <c r="B40" s="96"/>
      <c r="C40" s="96"/>
      <c r="D40" s="96"/>
      <c r="E40" s="96"/>
      <c r="J40" s="125"/>
      <c r="T40" s="125" t="s">
        <v>22</v>
      </c>
      <c r="U40" s="126">
        <f>SUM(K39:U39)</f>
        <v>1146.6199999999999</v>
      </c>
      <c r="AB40" s="125" t="s">
        <v>22</v>
      </c>
      <c r="AC40" s="126">
        <f>SUM(X39:AC39)</f>
        <v>0</v>
      </c>
      <c r="AJ40" s="125" t="s">
        <v>22</v>
      </c>
      <c r="AK40" s="126">
        <f>SUM(AF39:AK39)</f>
        <v>0</v>
      </c>
    </row>
    <row r="41" spans="1:37" ht="15.75" thickBot="1" x14ac:dyDescent="0.3">
      <c r="A41" s="104"/>
      <c r="B41" s="191" t="s">
        <v>18</v>
      </c>
      <c r="C41" s="191"/>
      <c r="D41" s="191"/>
      <c r="E41" s="191"/>
      <c r="F41" s="191"/>
      <c r="G41" s="191"/>
      <c r="H41" s="191"/>
      <c r="J41" s="192" t="s">
        <v>18</v>
      </c>
      <c r="K41" s="192"/>
      <c r="L41" s="192"/>
      <c r="M41" s="192"/>
      <c r="N41" s="192"/>
      <c r="O41" s="192"/>
      <c r="P41" s="192"/>
      <c r="Q41" s="192"/>
      <c r="R41" s="192"/>
      <c r="S41" s="192"/>
      <c r="T41" s="192"/>
      <c r="U41" s="192"/>
      <c r="W41" s="193" t="str">
        <f>J41</f>
        <v>Outubro</v>
      </c>
      <c r="X41" s="193"/>
      <c r="Y41" s="193"/>
      <c r="Z41" s="193"/>
      <c r="AA41" s="193"/>
      <c r="AB41" s="193"/>
      <c r="AC41" s="193"/>
      <c r="AE41" s="194" t="str">
        <f>W41</f>
        <v>Outubro</v>
      </c>
      <c r="AF41" s="194"/>
      <c r="AG41" s="194"/>
      <c r="AH41" s="194"/>
      <c r="AI41" s="194"/>
      <c r="AJ41" s="194"/>
      <c r="AK41" s="194"/>
    </row>
    <row r="42" spans="1:37" ht="15.75" thickBot="1" x14ac:dyDescent="0.3">
      <c r="A42" s="190" t="s">
        <v>4</v>
      </c>
      <c r="B42" s="105" t="s">
        <v>5</v>
      </c>
      <c r="C42" s="106" t="s">
        <v>6</v>
      </c>
      <c r="D42" s="107" t="s">
        <v>7</v>
      </c>
      <c r="E42" s="106" t="s">
        <v>8</v>
      </c>
      <c r="F42" s="108" t="s">
        <v>9</v>
      </c>
      <c r="G42" s="109" t="s">
        <v>10</v>
      </c>
      <c r="H42" s="110" t="s">
        <v>11</v>
      </c>
      <c r="J42" s="115" t="s">
        <v>3</v>
      </c>
      <c r="K42" s="112">
        <v>45566</v>
      </c>
      <c r="L42" s="127">
        <v>45575</v>
      </c>
      <c r="M42" s="127">
        <v>45580</v>
      </c>
      <c r="N42" s="127">
        <v>45588</v>
      </c>
      <c r="O42" s="127">
        <v>45591</v>
      </c>
      <c r="P42" s="127"/>
      <c r="Q42" s="127"/>
      <c r="R42" s="127"/>
      <c r="S42" s="127"/>
      <c r="T42" s="127"/>
      <c r="U42" s="131"/>
      <c r="W42" s="115" t="s">
        <v>3</v>
      </c>
      <c r="X42" s="112"/>
      <c r="Y42" s="113"/>
      <c r="Z42" s="113"/>
      <c r="AA42" s="113"/>
      <c r="AB42" s="113"/>
      <c r="AC42" s="114"/>
      <c r="AE42" s="115" t="s">
        <v>3</v>
      </c>
      <c r="AF42" s="112"/>
      <c r="AG42" s="113"/>
      <c r="AH42" s="113"/>
      <c r="AI42" s="113"/>
      <c r="AJ42" s="113"/>
      <c r="AK42" s="114"/>
    </row>
    <row r="43" spans="1:37" ht="15.75" thickBot="1" x14ac:dyDescent="0.3">
      <c r="A43" s="190"/>
      <c r="B43" s="116">
        <v>49840</v>
      </c>
      <c r="C43" s="117"/>
      <c r="D43" s="117"/>
      <c r="E43" s="117"/>
      <c r="F43" s="117">
        <f>SUM(C43-B43)</f>
        <v>-49840</v>
      </c>
      <c r="G43" s="118">
        <f>SUM(E43-D43)</f>
        <v>0</v>
      </c>
      <c r="H43" s="119">
        <f>SUM(F43:G43)</f>
        <v>-49840</v>
      </c>
      <c r="J43" s="124" t="s">
        <v>21</v>
      </c>
      <c r="K43" s="121">
        <v>325.07</v>
      </c>
      <c r="L43" s="122">
        <v>334.19</v>
      </c>
      <c r="M43" s="122">
        <v>332.43</v>
      </c>
      <c r="N43" s="122">
        <v>275.94</v>
      </c>
      <c r="O43" s="122">
        <v>218.26</v>
      </c>
      <c r="P43" s="122"/>
      <c r="Q43" s="122"/>
      <c r="R43" s="122"/>
      <c r="S43" s="122"/>
      <c r="T43" s="122"/>
      <c r="U43" s="123"/>
      <c r="W43" s="124" t="s">
        <v>21</v>
      </c>
      <c r="X43" s="121"/>
      <c r="Y43" s="122"/>
      <c r="Z43" s="122"/>
      <c r="AA43" s="122"/>
      <c r="AB43" s="122"/>
      <c r="AC43" s="123"/>
      <c r="AE43" s="124" t="s">
        <v>21</v>
      </c>
      <c r="AF43" s="121"/>
      <c r="AG43" s="122"/>
      <c r="AH43" s="122"/>
      <c r="AI43" s="122"/>
      <c r="AJ43" s="122"/>
      <c r="AK43" s="123"/>
    </row>
    <row r="44" spans="1:37" x14ac:dyDescent="0.25">
      <c r="B44" s="96">
        <v>6265</v>
      </c>
      <c r="C44" s="96"/>
      <c r="D44" s="96"/>
      <c r="E44" s="96">
        <v>7810</v>
      </c>
      <c r="H44">
        <v>1545</v>
      </c>
      <c r="J44" s="125"/>
      <c r="T44" s="125" t="s">
        <v>22</v>
      </c>
      <c r="U44" s="126">
        <f>SUM(K43:U43)</f>
        <v>1485.89</v>
      </c>
      <c r="AB44" s="125" t="s">
        <v>22</v>
      </c>
      <c r="AC44" s="126">
        <f>SUM(X43:AC43)</f>
        <v>0</v>
      </c>
      <c r="AJ44" s="125" t="s">
        <v>22</v>
      </c>
      <c r="AK44" s="126">
        <f>SUM(AF43:AK43)</f>
        <v>0</v>
      </c>
    </row>
    <row r="45" spans="1:37" ht="15.75" thickBot="1" x14ac:dyDescent="0.3">
      <c r="A45" s="104"/>
      <c r="B45" s="191" t="s">
        <v>19</v>
      </c>
      <c r="C45" s="191"/>
      <c r="D45" s="191"/>
      <c r="E45" s="191"/>
      <c r="F45" s="191"/>
      <c r="G45" s="191"/>
      <c r="H45" s="191"/>
      <c r="J45" s="192" t="s">
        <v>19</v>
      </c>
      <c r="K45" s="192"/>
      <c r="L45" s="192"/>
      <c r="M45" s="192"/>
      <c r="N45" s="192"/>
      <c r="O45" s="192"/>
      <c r="P45" s="192"/>
      <c r="Q45" s="192"/>
      <c r="R45" s="192"/>
      <c r="S45" s="192"/>
      <c r="T45" s="192"/>
      <c r="U45" s="192"/>
      <c r="W45" s="193" t="str">
        <f>J45</f>
        <v>Novembro</v>
      </c>
      <c r="X45" s="193"/>
      <c r="Y45" s="193"/>
      <c r="Z45" s="193"/>
      <c r="AA45" s="193"/>
      <c r="AB45" s="193"/>
      <c r="AC45" s="193"/>
      <c r="AE45" s="194" t="str">
        <f>W45</f>
        <v>Novembro</v>
      </c>
      <c r="AF45" s="194"/>
      <c r="AG45" s="194"/>
      <c r="AH45" s="194"/>
      <c r="AI45" s="194"/>
      <c r="AJ45" s="194"/>
      <c r="AK45" s="194"/>
    </row>
    <row r="46" spans="1:37" ht="15.75" thickBot="1" x14ac:dyDescent="0.3">
      <c r="A46" s="190" t="s">
        <v>4</v>
      </c>
      <c r="B46" s="105" t="s">
        <v>5</v>
      </c>
      <c r="C46" s="106" t="s">
        <v>6</v>
      </c>
      <c r="D46" s="107" t="s">
        <v>7</v>
      </c>
      <c r="E46" s="106" t="s">
        <v>8</v>
      </c>
      <c r="F46" s="108" t="s">
        <v>9</v>
      </c>
      <c r="G46" s="109" t="s">
        <v>10</v>
      </c>
      <c r="H46" s="110" t="s">
        <v>11</v>
      </c>
      <c r="J46" s="115" t="s">
        <v>3</v>
      </c>
      <c r="K46" s="112">
        <v>45962</v>
      </c>
      <c r="L46" s="113"/>
      <c r="M46" s="113"/>
      <c r="N46" s="113"/>
      <c r="O46" s="113"/>
      <c r="P46" s="113"/>
      <c r="Q46" s="113"/>
      <c r="R46" s="113"/>
      <c r="S46" s="113"/>
      <c r="T46" s="113"/>
      <c r="U46" s="114"/>
      <c r="W46" s="115" t="s">
        <v>3</v>
      </c>
      <c r="X46" s="112"/>
      <c r="Y46" s="113"/>
      <c r="Z46" s="113"/>
      <c r="AA46" s="113"/>
      <c r="AB46" s="113"/>
      <c r="AC46" s="114"/>
      <c r="AE46" s="115" t="s">
        <v>3</v>
      </c>
      <c r="AF46" s="112"/>
      <c r="AG46" s="113"/>
      <c r="AH46" s="113"/>
      <c r="AI46" s="113"/>
      <c r="AJ46" s="113"/>
      <c r="AK46" s="114"/>
    </row>
    <row r="47" spans="1:37" ht="15.75" thickBot="1" x14ac:dyDescent="0.3">
      <c r="A47" s="190"/>
      <c r="B47" s="116">
        <v>7810</v>
      </c>
      <c r="C47" s="117">
        <v>9761</v>
      </c>
      <c r="D47" s="117">
        <v>9761</v>
      </c>
      <c r="E47" s="117">
        <v>11620</v>
      </c>
      <c r="F47" s="117">
        <f>SUM(C47-B47)</f>
        <v>1951</v>
      </c>
      <c r="G47" s="118">
        <f>SUM(E47-D47)</f>
        <v>1859</v>
      </c>
      <c r="H47" s="119">
        <f>SUM(F47:G47)</f>
        <v>3810</v>
      </c>
      <c r="J47" s="124" t="s">
        <v>21</v>
      </c>
      <c r="K47" s="121">
        <v>239.9</v>
      </c>
      <c r="L47" s="122"/>
      <c r="M47" s="122"/>
      <c r="N47" s="122"/>
      <c r="O47" s="122"/>
      <c r="P47" s="122"/>
      <c r="Q47" s="122"/>
      <c r="R47" s="122"/>
      <c r="S47" s="122"/>
      <c r="T47" s="122"/>
      <c r="U47" s="123"/>
      <c r="W47" s="124" t="s">
        <v>21</v>
      </c>
      <c r="X47" s="121"/>
      <c r="Y47" s="122"/>
      <c r="Z47" s="122"/>
      <c r="AA47" s="122"/>
      <c r="AB47" s="122"/>
      <c r="AC47" s="123"/>
      <c r="AE47" s="124" t="s">
        <v>21</v>
      </c>
      <c r="AF47" s="121"/>
      <c r="AG47" s="122"/>
      <c r="AH47" s="122"/>
      <c r="AI47" s="122"/>
      <c r="AJ47" s="122"/>
      <c r="AK47" s="123"/>
    </row>
    <row r="48" spans="1:37" x14ac:dyDescent="0.25">
      <c r="B48" s="96"/>
      <c r="C48" s="96"/>
      <c r="D48" s="96"/>
      <c r="E48" s="96"/>
      <c r="J48" s="125"/>
      <c r="T48" s="125" t="s">
        <v>22</v>
      </c>
      <c r="U48" s="126">
        <f>SUM(K47:U47)</f>
        <v>239.9</v>
      </c>
      <c r="AB48" s="125" t="s">
        <v>22</v>
      </c>
      <c r="AC48" s="126">
        <f>SUM(X47:AC47)</f>
        <v>0</v>
      </c>
      <c r="AJ48" s="125" t="s">
        <v>22</v>
      </c>
      <c r="AK48" s="126">
        <f>SUM(AF47:AK47)</f>
        <v>0</v>
      </c>
    </row>
    <row r="49" spans="1:37" ht="15.75" thickBot="1" x14ac:dyDescent="0.3">
      <c r="A49" s="104"/>
      <c r="B49" s="191" t="s">
        <v>20</v>
      </c>
      <c r="C49" s="191"/>
      <c r="D49" s="191"/>
      <c r="E49" s="191"/>
      <c r="F49" s="191"/>
      <c r="G49" s="191"/>
      <c r="H49" s="191"/>
      <c r="J49" s="192" t="s">
        <v>20</v>
      </c>
      <c r="K49" s="192"/>
      <c r="L49" s="192"/>
      <c r="M49" s="192"/>
      <c r="N49" s="192"/>
      <c r="O49" s="192"/>
      <c r="P49" s="192"/>
      <c r="Q49" s="192"/>
      <c r="R49" s="192"/>
      <c r="S49" s="192"/>
      <c r="T49" s="192"/>
      <c r="U49" s="192"/>
      <c r="W49" s="193" t="str">
        <f>J49</f>
        <v>Dezembro</v>
      </c>
      <c r="X49" s="193"/>
      <c r="Y49" s="193"/>
      <c r="Z49" s="193"/>
      <c r="AA49" s="193"/>
      <c r="AB49" s="193"/>
      <c r="AC49" s="193"/>
      <c r="AE49" s="194" t="str">
        <f>W49</f>
        <v>Dezembro</v>
      </c>
      <c r="AF49" s="194"/>
      <c r="AG49" s="194"/>
      <c r="AH49" s="194"/>
      <c r="AI49" s="194"/>
      <c r="AJ49" s="194"/>
      <c r="AK49" s="194"/>
    </row>
    <row r="50" spans="1:37" ht="15.75" thickBot="1" x14ac:dyDescent="0.3">
      <c r="A50" s="190" t="s">
        <v>4</v>
      </c>
      <c r="B50" s="105" t="s">
        <v>5</v>
      </c>
      <c r="C50" s="106" t="s">
        <v>6</v>
      </c>
      <c r="D50" s="107" t="s">
        <v>7</v>
      </c>
      <c r="E50" s="106" t="s">
        <v>8</v>
      </c>
      <c r="F50" s="108" t="s">
        <v>9</v>
      </c>
      <c r="G50" s="109" t="s">
        <v>10</v>
      </c>
      <c r="H50" s="110" t="s">
        <v>11</v>
      </c>
      <c r="J50" s="115" t="s">
        <v>3</v>
      </c>
      <c r="K50" s="112"/>
      <c r="L50" s="113"/>
      <c r="M50" s="113"/>
      <c r="N50" s="113"/>
      <c r="O50" s="113"/>
      <c r="P50" s="113"/>
      <c r="Q50" s="113"/>
      <c r="R50" s="113"/>
      <c r="S50" s="113"/>
      <c r="T50" s="113"/>
      <c r="U50" s="114"/>
      <c r="W50" s="115" t="s">
        <v>3</v>
      </c>
      <c r="X50" s="112"/>
      <c r="Y50" s="113"/>
      <c r="Z50" s="113"/>
      <c r="AA50" s="113"/>
      <c r="AB50" s="113"/>
      <c r="AC50" s="114"/>
      <c r="AE50" s="115" t="s">
        <v>3</v>
      </c>
      <c r="AF50" s="112"/>
      <c r="AG50" s="113"/>
      <c r="AH50" s="113"/>
      <c r="AI50" s="113"/>
      <c r="AJ50" s="113"/>
      <c r="AK50" s="114"/>
    </row>
    <row r="51" spans="1:37" ht="15.75" thickBot="1" x14ac:dyDescent="0.3">
      <c r="A51" s="190"/>
      <c r="B51" s="116">
        <v>11685</v>
      </c>
      <c r="C51" s="117">
        <v>12985</v>
      </c>
      <c r="D51" s="117">
        <v>13028</v>
      </c>
      <c r="E51" s="117">
        <v>17136</v>
      </c>
      <c r="F51" s="117">
        <f>SUM(C51-B51)</f>
        <v>1300</v>
      </c>
      <c r="G51" s="118">
        <f>SUM(E51-D51)</f>
        <v>4108</v>
      </c>
      <c r="H51" s="119">
        <f>SUM(F51:G51)</f>
        <v>5408</v>
      </c>
      <c r="J51" s="124" t="s">
        <v>21</v>
      </c>
      <c r="K51" s="121"/>
      <c r="L51" s="122"/>
      <c r="M51" s="122"/>
      <c r="N51" s="122"/>
      <c r="O51" s="122"/>
      <c r="P51" s="122"/>
      <c r="Q51" s="122"/>
      <c r="R51" s="122"/>
      <c r="S51" s="122"/>
      <c r="T51" s="122"/>
      <c r="U51" s="123"/>
      <c r="W51" s="124" t="s">
        <v>21</v>
      </c>
      <c r="X51" s="121"/>
      <c r="Y51" s="122"/>
      <c r="Z51" s="122"/>
      <c r="AA51" s="122"/>
      <c r="AB51" s="122"/>
      <c r="AC51" s="123"/>
      <c r="AE51" s="124" t="s">
        <v>21</v>
      </c>
      <c r="AF51" s="121"/>
      <c r="AG51" s="122"/>
      <c r="AH51" s="122"/>
      <c r="AI51" s="122"/>
      <c r="AJ51" s="122"/>
      <c r="AK51" s="123"/>
    </row>
    <row r="52" spans="1:37" x14ac:dyDescent="0.25">
      <c r="B52" s="96"/>
      <c r="C52" s="96"/>
      <c r="D52" s="96"/>
      <c r="E52" s="96"/>
      <c r="J52" s="125"/>
      <c r="T52" s="125" t="s">
        <v>22</v>
      </c>
      <c r="U52" s="126">
        <f>SUM(K51:U51)</f>
        <v>0</v>
      </c>
      <c r="AB52" s="125" t="s">
        <v>22</v>
      </c>
      <c r="AC52" s="126">
        <f>SUM(X51:AC51)</f>
        <v>0</v>
      </c>
      <c r="AJ52" s="125" t="s">
        <v>22</v>
      </c>
      <c r="AK52" s="126">
        <f>SUM(AF51:AK51)</f>
        <v>0</v>
      </c>
    </row>
    <row r="53" spans="1:37" ht="15.75" thickBot="1" x14ac:dyDescent="0.3">
      <c r="A53" s="104"/>
      <c r="B53" s="191" t="s">
        <v>54</v>
      </c>
      <c r="C53" s="191"/>
      <c r="D53" s="191"/>
      <c r="E53" s="191"/>
      <c r="F53" s="191"/>
      <c r="G53" s="191"/>
      <c r="H53" s="191"/>
      <c r="J53" s="192" t="s">
        <v>54</v>
      </c>
      <c r="K53" s="192"/>
      <c r="L53" s="192"/>
      <c r="M53" s="192"/>
      <c r="N53" s="192"/>
      <c r="O53" s="192"/>
      <c r="P53" s="192"/>
      <c r="Q53" s="192"/>
      <c r="R53" s="192"/>
      <c r="S53" s="192"/>
      <c r="T53" s="192"/>
      <c r="U53" s="192"/>
      <c r="W53" s="193" t="str">
        <f>J53</f>
        <v>Janeiro</v>
      </c>
      <c r="X53" s="193"/>
      <c r="Y53" s="193"/>
      <c r="Z53" s="193"/>
      <c r="AA53" s="193"/>
      <c r="AB53" s="193"/>
      <c r="AC53" s="193"/>
      <c r="AE53" s="194" t="str">
        <f>W53</f>
        <v>Janeiro</v>
      </c>
      <c r="AF53" s="194"/>
      <c r="AG53" s="194"/>
      <c r="AH53" s="194"/>
      <c r="AI53" s="194"/>
      <c r="AJ53" s="194"/>
      <c r="AK53" s="194"/>
    </row>
    <row r="54" spans="1:37" ht="15.75" thickBot="1" x14ac:dyDescent="0.3">
      <c r="A54" s="190" t="s">
        <v>4</v>
      </c>
      <c r="B54" s="105" t="s">
        <v>5</v>
      </c>
      <c r="C54" s="106" t="s">
        <v>6</v>
      </c>
      <c r="D54" s="107" t="s">
        <v>7</v>
      </c>
      <c r="E54" s="106" t="s">
        <v>8</v>
      </c>
      <c r="F54" s="108" t="s">
        <v>9</v>
      </c>
      <c r="G54" s="109" t="s">
        <v>10</v>
      </c>
      <c r="H54" s="110" t="s">
        <v>11</v>
      </c>
      <c r="J54" s="115" t="s">
        <v>3</v>
      </c>
      <c r="K54" s="112"/>
      <c r="L54" s="113"/>
      <c r="M54" s="113"/>
      <c r="N54" s="113"/>
      <c r="O54" s="113"/>
      <c r="P54" s="113"/>
      <c r="Q54" s="113"/>
      <c r="R54" s="113"/>
      <c r="S54" s="113"/>
      <c r="T54" s="113"/>
      <c r="U54" s="114"/>
      <c r="W54" s="115" t="s">
        <v>3</v>
      </c>
      <c r="X54" s="112"/>
      <c r="Y54" s="113"/>
      <c r="Z54" s="113"/>
      <c r="AA54" s="113"/>
      <c r="AB54" s="113"/>
      <c r="AC54" s="114"/>
      <c r="AE54" s="115" t="s">
        <v>3</v>
      </c>
      <c r="AF54" s="112"/>
      <c r="AG54" s="113"/>
      <c r="AH54" s="113"/>
      <c r="AI54" s="113"/>
      <c r="AJ54" s="113"/>
      <c r="AK54" s="114"/>
    </row>
    <row r="55" spans="1:37" ht="15.75" thickBot="1" x14ac:dyDescent="0.3">
      <c r="A55" s="190"/>
      <c r="B55" s="116">
        <v>17182</v>
      </c>
      <c r="C55" s="117">
        <v>18270</v>
      </c>
      <c r="D55" s="117">
        <v>18653</v>
      </c>
      <c r="E55" s="117">
        <v>20097</v>
      </c>
      <c r="F55" s="117">
        <f>SUM(C55-B55)</f>
        <v>1088</v>
      </c>
      <c r="G55" s="118">
        <f>SUM(E55-D55)</f>
        <v>1444</v>
      </c>
      <c r="H55" s="119">
        <f>SUM(F55:G55)</f>
        <v>2532</v>
      </c>
      <c r="J55" s="124" t="s">
        <v>21</v>
      </c>
      <c r="K55" s="121"/>
      <c r="L55" s="122"/>
      <c r="M55" s="122"/>
      <c r="N55" s="122"/>
      <c r="O55" s="122"/>
      <c r="P55" s="122"/>
      <c r="Q55" s="122"/>
      <c r="R55" s="122"/>
      <c r="S55" s="122"/>
      <c r="T55" s="122"/>
      <c r="U55" s="123"/>
      <c r="W55" s="124" t="s">
        <v>21</v>
      </c>
      <c r="X55" s="121"/>
      <c r="Y55" s="122"/>
      <c r="Z55" s="122"/>
      <c r="AA55" s="122"/>
      <c r="AB55" s="122"/>
      <c r="AC55" s="123"/>
      <c r="AE55" s="124" t="s">
        <v>21</v>
      </c>
      <c r="AF55" s="121"/>
      <c r="AG55" s="122"/>
      <c r="AH55" s="122"/>
      <c r="AI55" s="122"/>
      <c r="AJ55" s="122"/>
      <c r="AK55" s="123"/>
    </row>
    <row r="56" spans="1:37" x14ac:dyDescent="0.25">
      <c r="B56" s="96"/>
      <c r="C56" s="96"/>
      <c r="D56" s="96"/>
      <c r="E56" s="96"/>
      <c r="J56" s="125"/>
      <c r="T56" s="125" t="s">
        <v>22</v>
      </c>
      <c r="U56" s="126">
        <f>SUM(K55:U55)</f>
        <v>0</v>
      </c>
      <c r="AB56" s="125" t="s">
        <v>22</v>
      </c>
      <c r="AC56" s="126">
        <f>SUM(X55:AC55)</f>
        <v>0</v>
      </c>
      <c r="AJ56" s="125" t="s">
        <v>22</v>
      </c>
      <c r="AK56" s="126">
        <f>SUM(AF55:AK55)</f>
        <v>0</v>
      </c>
    </row>
    <row r="57" spans="1:37" ht="15.75" thickBot="1" x14ac:dyDescent="0.3">
      <c r="A57" s="104"/>
      <c r="B57" s="191" t="s">
        <v>2</v>
      </c>
      <c r="C57" s="191"/>
      <c r="D57" s="191"/>
      <c r="E57" s="191"/>
      <c r="F57" s="191"/>
      <c r="G57" s="191"/>
      <c r="H57" s="191"/>
      <c r="J57" s="192" t="s">
        <v>2</v>
      </c>
      <c r="K57" s="192"/>
      <c r="L57" s="192"/>
      <c r="M57" s="192"/>
      <c r="N57" s="192"/>
      <c r="O57" s="192"/>
      <c r="P57" s="192"/>
      <c r="Q57" s="192"/>
      <c r="R57" s="192"/>
      <c r="S57" s="192"/>
      <c r="T57" s="192"/>
      <c r="U57" s="192"/>
      <c r="W57" s="193" t="str">
        <f>J57</f>
        <v>Fevereiro</v>
      </c>
      <c r="X57" s="193"/>
      <c r="Y57" s="193"/>
      <c r="Z57" s="193"/>
      <c r="AA57" s="193"/>
      <c r="AB57" s="193"/>
      <c r="AC57" s="193"/>
      <c r="AE57" s="194" t="str">
        <f>W57</f>
        <v>Fevereiro</v>
      </c>
      <c r="AF57" s="194"/>
      <c r="AG57" s="194"/>
      <c r="AH57" s="194"/>
      <c r="AI57" s="194"/>
      <c r="AJ57" s="194"/>
      <c r="AK57" s="194"/>
    </row>
    <row r="58" spans="1:37" ht="15.75" thickBot="1" x14ac:dyDescent="0.3">
      <c r="A58" s="190" t="s">
        <v>4</v>
      </c>
      <c r="B58" s="105" t="s">
        <v>5</v>
      </c>
      <c r="C58" s="106" t="s">
        <v>6</v>
      </c>
      <c r="D58" s="107" t="s">
        <v>7</v>
      </c>
      <c r="E58" s="106" t="s">
        <v>8</v>
      </c>
      <c r="F58" s="108" t="s">
        <v>9</v>
      </c>
      <c r="G58" s="109" t="s">
        <v>10</v>
      </c>
      <c r="H58" s="110" t="s">
        <v>11</v>
      </c>
      <c r="J58" s="115" t="s">
        <v>3</v>
      </c>
      <c r="K58" s="112">
        <v>45692</v>
      </c>
      <c r="L58" s="113"/>
      <c r="M58" s="113"/>
      <c r="N58" s="127">
        <v>45706</v>
      </c>
      <c r="O58" s="127">
        <v>45707</v>
      </c>
      <c r="P58" s="127">
        <v>45710</v>
      </c>
      <c r="Q58" s="127">
        <v>45713</v>
      </c>
      <c r="R58" s="113"/>
      <c r="S58" s="113"/>
      <c r="T58" s="113"/>
      <c r="U58" s="114"/>
      <c r="W58" s="115" t="s">
        <v>3</v>
      </c>
      <c r="X58" s="112"/>
      <c r="Y58" s="113"/>
      <c r="Z58" s="113"/>
      <c r="AA58" s="113"/>
      <c r="AB58" s="113"/>
      <c r="AC58" s="114"/>
      <c r="AE58" s="115" t="s">
        <v>3</v>
      </c>
      <c r="AF58" s="112"/>
      <c r="AG58" s="113"/>
      <c r="AH58" s="113"/>
      <c r="AI58" s="113"/>
      <c r="AJ58" s="113"/>
      <c r="AK58" s="114"/>
    </row>
    <row r="59" spans="1:37" ht="15.75" thickBot="1" x14ac:dyDescent="0.3">
      <c r="A59" s="190"/>
      <c r="B59" s="116">
        <v>20230</v>
      </c>
      <c r="C59" s="117">
        <v>22001</v>
      </c>
      <c r="D59" s="117">
        <v>22152</v>
      </c>
      <c r="E59" s="117">
        <v>23820</v>
      </c>
      <c r="F59" s="117">
        <f>SUM(C59-B59)</f>
        <v>1771</v>
      </c>
      <c r="G59" s="118">
        <f>SUM(E59-D59)</f>
        <v>1668</v>
      </c>
      <c r="H59" s="119">
        <f>SUM(F59:G59)</f>
        <v>3439</v>
      </c>
      <c r="J59" s="124" t="s">
        <v>21</v>
      </c>
      <c r="K59" s="121">
        <v>288.02</v>
      </c>
      <c r="L59" s="122"/>
      <c r="M59" s="122"/>
      <c r="N59" s="122">
        <v>296.76</v>
      </c>
      <c r="O59" s="122">
        <v>288.02</v>
      </c>
      <c r="P59" s="122">
        <v>260.13</v>
      </c>
      <c r="Q59" s="122">
        <v>239</v>
      </c>
      <c r="R59" s="122"/>
      <c r="S59" s="122"/>
      <c r="T59" s="122"/>
      <c r="U59" s="123"/>
      <c r="W59" s="124" t="s">
        <v>21</v>
      </c>
      <c r="X59" s="121"/>
      <c r="Y59" s="122"/>
      <c r="Z59" s="122"/>
      <c r="AA59" s="122"/>
      <c r="AB59" s="122"/>
      <c r="AC59" s="123"/>
      <c r="AE59" s="124" t="s">
        <v>21</v>
      </c>
      <c r="AF59" s="121"/>
      <c r="AG59" s="122"/>
      <c r="AH59" s="122"/>
      <c r="AI59" s="122"/>
      <c r="AJ59" s="122"/>
      <c r="AK59" s="123"/>
    </row>
    <row r="60" spans="1:37" x14ac:dyDescent="0.25">
      <c r="A60" t="s">
        <v>123</v>
      </c>
      <c r="B60" s="96"/>
      <c r="C60" s="96"/>
      <c r="D60" s="96"/>
      <c r="E60" s="96"/>
      <c r="J60" s="125"/>
      <c r="T60" s="125" t="s">
        <v>22</v>
      </c>
      <c r="U60" s="126">
        <f>SUM(K59:U59)</f>
        <v>1371.9299999999998</v>
      </c>
      <c r="AB60" s="125" t="s">
        <v>22</v>
      </c>
      <c r="AC60" s="126">
        <f>SUM(X59:AC59)</f>
        <v>0</v>
      </c>
      <c r="AJ60" s="125" t="s">
        <v>22</v>
      </c>
      <c r="AK60" s="126">
        <f>SUM(AF59:AK59)</f>
        <v>0</v>
      </c>
    </row>
    <row r="61" spans="1:37" ht="15.75" thickBot="1" x14ac:dyDescent="0.3">
      <c r="A61" s="132"/>
      <c r="B61" s="191" t="s">
        <v>12</v>
      </c>
      <c r="C61" s="191"/>
      <c r="D61" s="191"/>
      <c r="E61" s="191"/>
      <c r="F61" s="191"/>
      <c r="G61" s="191"/>
      <c r="H61" s="191"/>
      <c r="J61" s="192" t="s">
        <v>12</v>
      </c>
      <c r="K61" s="192"/>
      <c r="L61" s="192"/>
      <c r="M61" s="192"/>
      <c r="N61" s="192"/>
      <c r="O61" s="192"/>
      <c r="P61" s="192"/>
      <c r="Q61" s="192"/>
      <c r="R61" s="192"/>
      <c r="S61" s="192"/>
      <c r="T61" s="192"/>
      <c r="U61" s="192"/>
      <c r="W61" s="193" t="str">
        <f t="shared" ref="W61" si="0">J61</f>
        <v>Março</v>
      </c>
      <c r="X61" s="193"/>
      <c r="Y61" s="193"/>
      <c r="Z61" s="193"/>
      <c r="AA61" s="193"/>
      <c r="AB61" s="193"/>
      <c r="AC61" s="193"/>
      <c r="AE61" s="194" t="str">
        <f t="shared" ref="AE61" si="1">W61</f>
        <v>Março</v>
      </c>
      <c r="AF61" s="194"/>
      <c r="AG61" s="194"/>
      <c r="AH61" s="194"/>
      <c r="AI61" s="194"/>
      <c r="AJ61" s="194"/>
      <c r="AK61" s="194"/>
    </row>
    <row r="62" spans="1:37" ht="15.75" thickBot="1" x14ac:dyDescent="0.3">
      <c r="A62" s="190" t="s">
        <v>4</v>
      </c>
      <c r="B62" s="105" t="s">
        <v>5</v>
      </c>
      <c r="C62" s="106" t="s">
        <v>6</v>
      </c>
      <c r="D62" s="107" t="s">
        <v>7</v>
      </c>
      <c r="E62" s="106" t="s">
        <v>8</v>
      </c>
      <c r="F62" s="108" t="s">
        <v>9</v>
      </c>
      <c r="G62" s="109" t="s">
        <v>10</v>
      </c>
      <c r="H62" s="110" t="s">
        <v>11</v>
      </c>
      <c r="J62" s="115" t="s">
        <v>3</v>
      </c>
      <c r="K62" s="112">
        <v>45721</v>
      </c>
      <c r="L62" s="127">
        <v>45724</v>
      </c>
      <c r="M62" s="127">
        <v>45727</v>
      </c>
      <c r="N62" s="127">
        <v>45730</v>
      </c>
      <c r="O62" s="127">
        <v>45734</v>
      </c>
      <c r="P62" s="127">
        <v>45736</v>
      </c>
      <c r="Q62" s="127">
        <v>45738</v>
      </c>
      <c r="R62" s="127">
        <v>45742</v>
      </c>
      <c r="S62" s="127">
        <v>45744</v>
      </c>
      <c r="T62" s="113"/>
      <c r="U62" s="114"/>
      <c r="W62" s="115" t="s">
        <v>3</v>
      </c>
      <c r="X62" s="112"/>
      <c r="Y62" s="113"/>
      <c r="Z62" s="113"/>
      <c r="AA62" s="113"/>
      <c r="AB62" s="113"/>
      <c r="AC62" s="114"/>
      <c r="AE62" s="115" t="s">
        <v>3</v>
      </c>
      <c r="AF62" s="112"/>
      <c r="AG62" s="113"/>
      <c r="AH62" s="113"/>
      <c r="AI62" s="113"/>
      <c r="AJ62" s="113"/>
      <c r="AK62" s="114"/>
    </row>
    <row r="63" spans="1:37" ht="15.75" thickBot="1" x14ac:dyDescent="0.3">
      <c r="A63" s="190"/>
      <c r="B63" s="117">
        <v>23820</v>
      </c>
      <c r="C63" s="117">
        <v>24450</v>
      </c>
      <c r="D63" s="117">
        <v>24450</v>
      </c>
      <c r="E63" s="117">
        <v>28010</v>
      </c>
      <c r="F63" s="117">
        <f t="shared" ref="F63" si="2">SUM(C63-B63)</f>
        <v>630</v>
      </c>
      <c r="G63" s="118">
        <f t="shared" ref="G63" si="3">SUM(E63-D63)</f>
        <v>3560</v>
      </c>
      <c r="H63" s="119">
        <f t="shared" ref="H63" si="4">SUM(F63:G63)</f>
        <v>4190</v>
      </c>
      <c r="J63" s="124" t="s">
        <v>21</v>
      </c>
      <c r="K63" s="121">
        <v>297.38</v>
      </c>
      <c r="L63" s="122">
        <v>279.05</v>
      </c>
      <c r="M63" s="122">
        <v>250</v>
      </c>
      <c r="N63" s="122">
        <v>288.27999999999997</v>
      </c>
      <c r="O63" s="122">
        <v>179.01</v>
      </c>
      <c r="P63" s="122">
        <v>245</v>
      </c>
      <c r="Q63" s="122">
        <v>261.24</v>
      </c>
      <c r="R63" s="122">
        <v>285.52999999999997</v>
      </c>
      <c r="S63" s="122">
        <v>287.76</v>
      </c>
      <c r="T63" s="122"/>
      <c r="U63" s="123"/>
      <c r="W63" s="124" t="s">
        <v>21</v>
      </c>
      <c r="X63" s="121"/>
      <c r="Y63" s="122"/>
      <c r="Z63" s="122"/>
      <c r="AA63" s="122"/>
      <c r="AB63" s="122"/>
      <c r="AC63" s="123"/>
      <c r="AE63" s="124" t="s">
        <v>21</v>
      </c>
      <c r="AF63" s="121"/>
      <c r="AG63" s="122"/>
      <c r="AH63" s="122"/>
      <c r="AI63" s="122"/>
      <c r="AJ63" s="122"/>
      <c r="AK63" s="123"/>
    </row>
    <row r="64" spans="1:37" x14ac:dyDescent="0.25">
      <c r="A64" s="133" t="s">
        <v>119</v>
      </c>
      <c r="B64" s="96"/>
      <c r="C64" s="96"/>
      <c r="D64" s="96"/>
      <c r="E64" s="96"/>
      <c r="J64" s="125"/>
      <c r="T64" s="125" t="s">
        <v>22</v>
      </c>
      <c r="U64" s="126">
        <f t="shared" ref="U64" si="5">SUM(K63:U63)</f>
        <v>2373.25</v>
      </c>
      <c r="AB64" s="125" t="s">
        <v>22</v>
      </c>
      <c r="AC64" s="126">
        <f t="shared" ref="AC64" si="6">SUM(X63:AC63)</f>
        <v>0</v>
      </c>
      <c r="AJ64" s="125" t="s">
        <v>22</v>
      </c>
      <c r="AK64" s="126">
        <f t="shared" ref="AK64" si="7">SUM(AF63:AK63)</f>
        <v>0</v>
      </c>
    </row>
    <row r="65" spans="1:37" ht="15.75" thickBot="1" x14ac:dyDescent="0.3">
      <c r="A65" s="132"/>
      <c r="B65" s="191" t="s">
        <v>13</v>
      </c>
      <c r="C65" s="191"/>
      <c r="D65" s="191"/>
      <c r="E65" s="191"/>
      <c r="F65" s="191"/>
      <c r="G65" s="191"/>
      <c r="H65" s="191"/>
      <c r="J65" s="192" t="s">
        <v>13</v>
      </c>
      <c r="K65" s="192"/>
      <c r="L65" s="192"/>
      <c r="M65" s="192"/>
      <c r="N65" s="192"/>
      <c r="O65" s="192"/>
      <c r="P65" s="192"/>
      <c r="Q65" s="192"/>
      <c r="R65" s="192"/>
      <c r="S65" s="192"/>
      <c r="T65" s="192"/>
      <c r="U65" s="192"/>
      <c r="W65" s="193" t="str">
        <f t="shared" ref="W65" si="8">J65</f>
        <v>Abril</v>
      </c>
      <c r="X65" s="193"/>
      <c r="Y65" s="193"/>
      <c r="Z65" s="193"/>
      <c r="AA65" s="193"/>
      <c r="AB65" s="193"/>
      <c r="AC65" s="193"/>
      <c r="AE65" s="194" t="str">
        <f t="shared" ref="AE65" si="9">W65</f>
        <v>Abril</v>
      </c>
      <c r="AF65" s="194"/>
      <c r="AG65" s="194"/>
      <c r="AH65" s="194"/>
      <c r="AI65" s="194"/>
      <c r="AJ65" s="194"/>
      <c r="AK65" s="194"/>
    </row>
    <row r="66" spans="1:37" ht="15.75" thickBot="1" x14ac:dyDescent="0.3">
      <c r="A66" s="190" t="s">
        <v>4</v>
      </c>
      <c r="B66" s="105" t="s">
        <v>5</v>
      </c>
      <c r="C66" s="106" t="s">
        <v>6</v>
      </c>
      <c r="D66" s="107" t="s">
        <v>7</v>
      </c>
      <c r="E66" s="106" t="s">
        <v>8</v>
      </c>
      <c r="F66" s="108" t="s">
        <v>9</v>
      </c>
      <c r="G66" s="109" t="s">
        <v>10</v>
      </c>
      <c r="H66" s="110" t="s">
        <v>11</v>
      </c>
      <c r="J66" s="115" t="s">
        <v>3</v>
      </c>
      <c r="K66" s="112">
        <v>45749</v>
      </c>
      <c r="L66" s="112">
        <v>45752</v>
      </c>
      <c r="M66" s="127">
        <v>45756</v>
      </c>
      <c r="N66" s="127">
        <v>45759</v>
      </c>
      <c r="O66" s="127">
        <v>45763</v>
      </c>
      <c r="P66" s="127">
        <v>45764</v>
      </c>
      <c r="Q66" s="127">
        <v>45769</v>
      </c>
      <c r="R66" s="127">
        <v>45771</v>
      </c>
      <c r="S66" s="127">
        <v>45776</v>
      </c>
      <c r="T66" s="113"/>
      <c r="U66" s="114"/>
      <c r="W66" s="115" t="s">
        <v>3</v>
      </c>
      <c r="X66" s="112"/>
      <c r="Y66" s="113"/>
      <c r="Z66" s="113"/>
      <c r="AA66" s="113"/>
      <c r="AB66" s="113"/>
      <c r="AC66" s="114"/>
      <c r="AE66" s="115" t="s">
        <v>3</v>
      </c>
      <c r="AF66" s="112"/>
      <c r="AG66" s="113"/>
      <c r="AH66" s="113"/>
      <c r="AI66" s="113"/>
      <c r="AJ66" s="113"/>
      <c r="AK66" s="114"/>
    </row>
    <row r="67" spans="1:37" ht="15.75" thickBot="1" x14ac:dyDescent="0.3">
      <c r="A67" s="190"/>
      <c r="B67" s="116">
        <v>28010</v>
      </c>
      <c r="C67" s="117">
        <v>30112</v>
      </c>
      <c r="D67" s="117">
        <v>30112</v>
      </c>
      <c r="E67" s="117">
        <v>31747</v>
      </c>
      <c r="F67" s="117">
        <f t="shared" ref="F67" si="10">SUM(C67-B67)</f>
        <v>2102</v>
      </c>
      <c r="G67" s="118">
        <f t="shared" ref="G67" si="11">SUM(E67-D67)</f>
        <v>1635</v>
      </c>
      <c r="H67" s="119">
        <f t="shared" ref="H67" si="12">SUM(F67:G67)</f>
        <v>3737</v>
      </c>
      <c r="J67" s="124" t="s">
        <v>21</v>
      </c>
      <c r="K67" s="121">
        <v>275</v>
      </c>
      <c r="L67" s="121">
        <v>275.27999999999997</v>
      </c>
      <c r="M67" s="122">
        <v>271</v>
      </c>
      <c r="N67" s="122">
        <v>249.73</v>
      </c>
      <c r="O67" s="122">
        <v>224.03</v>
      </c>
      <c r="P67" s="122">
        <v>111.57</v>
      </c>
      <c r="Q67" s="122">
        <v>281.67</v>
      </c>
      <c r="R67" s="122">
        <v>240.62</v>
      </c>
      <c r="S67" s="122">
        <v>239.4</v>
      </c>
      <c r="T67" s="122"/>
      <c r="U67" s="123"/>
      <c r="W67" s="124" t="s">
        <v>21</v>
      </c>
      <c r="X67" s="121"/>
      <c r="Y67" s="122"/>
      <c r="Z67" s="122"/>
      <c r="AA67" s="122"/>
      <c r="AB67" s="122"/>
      <c r="AC67" s="123"/>
      <c r="AE67" s="124" t="s">
        <v>21</v>
      </c>
      <c r="AF67" s="121"/>
      <c r="AG67" s="122"/>
      <c r="AH67" s="122"/>
      <c r="AI67" s="122"/>
      <c r="AJ67" s="122"/>
      <c r="AK67" s="123"/>
    </row>
    <row r="68" spans="1:37" x14ac:dyDescent="0.25">
      <c r="B68" s="96"/>
      <c r="C68" s="96"/>
      <c r="D68" s="96"/>
      <c r="E68" s="96"/>
      <c r="J68" s="125"/>
      <c r="T68" s="125" t="s">
        <v>22</v>
      </c>
      <c r="U68" s="126">
        <f t="shared" ref="U68" si="13">SUM(K67:U67)</f>
        <v>2168.3000000000002</v>
      </c>
      <c r="AB68" s="125" t="s">
        <v>22</v>
      </c>
      <c r="AC68" s="126">
        <f t="shared" ref="AC68" si="14">SUM(X67:AC67)</f>
        <v>0</v>
      </c>
      <c r="AJ68" s="125" t="s">
        <v>22</v>
      </c>
      <c r="AK68" s="126">
        <f t="shared" ref="AK68" si="15">SUM(AF67:AK67)</f>
        <v>0</v>
      </c>
    </row>
    <row r="69" spans="1:37" ht="15.75" thickBot="1" x14ac:dyDescent="0.3">
      <c r="A69" s="132"/>
      <c r="B69" s="191" t="s">
        <v>14</v>
      </c>
      <c r="C69" s="191"/>
      <c r="D69" s="191"/>
      <c r="E69" s="191"/>
      <c r="F69" s="191"/>
      <c r="G69" s="191"/>
      <c r="H69" s="191"/>
      <c r="J69" s="192" t="s">
        <v>14</v>
      </c>
      <c r="K69" s="192"/>
      <c r="L69" s="192"/>
      <c r="M69" s="192"/>
      <c r="N69" s="192"/>
      <c r="O69" s="192"/>
      <c r="P69" s="192"/>
      <c r="Q69" s="192"/>
      <c r="R69" s="192"/>
      <c r="S69" s="192"/>
      <c r="T69" s="192"/>
      <c r="U69" s="192"/>
      <c r="W69" s="193" t="str">
        <f t="shared" ref="W69" si="16">J69</f>
        <v>Maio</v>
      </c>
      <c r="X69" s="193"/>
      <c r="Y69" s="193"/>
      <c r="Z69" s="193"/>
      <c r="AA69" s="193"/>
      <c r="AB69" s="193"/>
      <c r="AC69" s="193"/>
      <c r="AE69" s="194" t="str">
        <f t="shared" ref="AE69" si="17">W69</f>
        <v>Maio</v>
      </c>
      <c r="AF69" s="194"/>
      <c r="AG69" s="194"/>
      <c r="AH69" s="194"/>
      <c r="AI69" s="194"/>
      <c r="AJ69" s="194"/>
      <c r="AK69" s="194"/>
    </row>
    <row r="70" spans="1:37" ht="15.75" thickBot="1" x14ac:dyDescent="0.3">
      <c r="A70" s="190" t="s">
        <v>4</v>
      </c>
      <c r="B70" s="105" t="s">
        <v>5</v>
      </c>
      <c r="C70" s="106" t="s">
        <v>6</v>
      </c>
      <c r="D70" s="107" t="s">
        <v>7</v>
      </c>
      <c r="E70" s="106" t="s">
        <v>8</v>
      </c>
      <c r="F70" s="108" t="s">
        <v>9</v>
      </c>
      <c r="G70" s="109" t="s">
        <v>10</v>
      </c>
      <c r="H70" s="110" t="s">
        <v>11</v>
      </c>
      <c r="J70" s="115" t="s">
        <v>3</v>
      </c>
      <c r="K70" s="112">
        <v>45778</v>
      </c>
      <c r="L70" s="127">
        <v>45780</v>
      </c>
      <c r="M70" s="127">
        <v>45783</v>
      </c>
      <c r="N70" s="127">
        <v>45785</v>
      </c>
      <c r="O70" s="127">
        <v>45787</v>
      </c>
      <c r="P70" s="127">
        <v>45790</v>
      </c>
      <c r="Q70" s="127">
        <v>45792</v>
      </c>
      <c r="R70" s="127">
        <v>45797</v>
      </c>
      <c r="S70" s="127">
        <v>45801</v>
      </c>
      <c r="T70" s="127">
        <v>45804</v>
      </c>
      <c r="U70" s="114"/>
      <c r="W70" s="115" t="s">
        <v>3</v>
      </c>
      <c r="X70" s="112"/>
      <c r="Y70" s="113"/>
      <c r="Z70" s="113"/>
      <c r="AA70" s="113"/>
      <c r="AB70" s="113"/>
      <c r="AC70" s="114"/>
      <c r="AE70" s="115" t="s">
        <v>3</v>
      </c>
      <c r="AF70" s="112"/>
      <c r="AG70" s="113"/>
      <c r="AH70" s="113"/>
      <c r="AI70" s="113"/>
      <c r="AJ70" s="113"/>
      <c r="AK70" s="114"/>
    </row>
    <row r="71" spans="1:37" ht="15.75" thickBot="1" x14ac:dyDescent="0.3">
      <c r="A71" s="190"/>
      <c r="B71" s="117">
        <v>31747</v>
      </c>
      <c r="C71" s="117">
        <v>33679</v>
      </c>
      <c r="D71" s="117">
        <v>33679</v>
      </c>
      <c r="E71" s="117">
        <v>35578</v>
      </c>
      <c r="F71" s="117">
        <f t="shared" ref="F71" si="18">SUM(C71-B71)</f>
        <v>1932</v>
      </c>
      <c r="G71" s="118">
        <f t="shared" ref="G71" si="19">SUM(E71-D71)</f>
        <v>1899</v>
      </c>
      <c r="H71" s="119">
        <f t="shared" ref="H71" si="20">SUM(F71:G71)</f>
        <v>3831</v>
      </c>
      <c r="J71" s="124" t="s">
        <v>21</v>
      </c>
      <c r="K71" s="121">
        <v>283.51</v>
      </c>
      <c r="L71" s="122">
        <v>158.88</v>
      </c>
      <c r="M71" s="122">
        <v>181.77</v>
      </c>
      <c r="N71" s="122">
        <v>162.63999999999999</v>
      </c>
      <c r="O71" s="122">
        <v>145.30000000000001</v>
      </c>
      <c r="P71" s="122">
        <v>198.92</v>
      </c>
      <c r="Q71" s="122">
        <v>224.46</v>
      </c>
      <c r="R71" s="122">
        <v>252.23</v>
      </c>
      <c r="S71" s="122">
        <v>104.46</v>
      </c>
      <c r="T71" s="122">
        <v>185.72</v>
      </c>
      <c r="U71" s="123"/>
      <c r="W71" s="124" t="s">
        <v>21</v>
      </c>
      <c r="X71" s="121"/>
      <c r="Y71" s="122"/>
      <c r="Z71" s="122"/>
      <c r="AA71" s="122"/>
      <c r="AB71" s="122"/>
      <c r="AC71" s="123"/>
      <c r="AE71" s="124" t="s">
        <v>21</v>
      </c>
      <c r="AF71" s="121"/>
      <c r="AG71" s="122"/>
      <c r="AH71" s="122"/>
      <c r="AI71" s="122"/>
      <c r="AJ71" s="122"/>
      <c r="AK71" s="123"/>
    </row>
    <row r="72" spans="1:37" x14ac:dyDescent="0.25">
      <c r="B72" s="96"/>
      <c r="C72" s="96"/>
      <c r="D72" s="96"/>
      <c r="E72" s="96"/>
      <c r="J72" s="125"/>
      <c r="T72" s="125" t="s">
        <v>22</v>
      </c>
      <c r="U72" s="126">
        <f t="shared" ref="U72" si="21">SUM(K71:U71)</f>
        <v>1897.89</v>
      </c>
      <c r="AB72" s="125" t="s">
        <v>22</v>
      </c>
      <c r="AC72" s="126">
        <f t="shared" ref="AC72" si="22">SUM(X71:AC71)</f>
        <v>0</v>
      </c>
      <c r="AJ72" s="125" t="s">
        <v>22</v>
      </c>
      <c r="AK72" s="126">
        <f t="shared" ref="AK72" si="23">SUM(AF71:AK71)</f>
        <v>0</v>
      </c>
    </row>
    <row r="73" spans="1:37" ht="15.75" thickBot="1" x14ac:dyDescent="0.3">
      <c r="A73" s="132"/>
      <c r="B73" s="191" t="s">
        <v>23</v>
      </c>
      <c r="C73" s="191"/>
      <c r="D73" s="191"/>
      <c r="E73" s="191"/>
      <c r="F73" s="191"/>
      <c r="G73" s="191"/>
      <c r="H73" s="191"/>
      <c r="J73" s="192" t="s">
        <v>23</v>
      </c>
      <c r="K73" s="192"/>
      <c r="L73" s="192"/>
      <c r="M73" s="192"/>
      <c r="N73" s="192"/>
      <c r="O73" s="192"/>
      <c r="P73" s="192"/>
      <c r="Q73" s="192"/>
      <c r="R73" s="192"/>
      <c r="S73" s="192"/>
      <c r="T73" s="192"/>
      <c r="U73" s="192"/>
      <c r="W73" s="193" t="str">
        <f t="shared" ref="W73" si="24">J73</f>
        <v>Junho</v>
      </c>
      <c r="X73" s="193"/>
      <c r="Y73" s="193"/>
      <c r="Z73" s="193"/>
      <c r="AA73" s="193"/>
      <c r="AB73" s="193"/>
      <c r="AC73" s="193"/>
      <c r="AE73" s="194" t="str">
        <f t="shared" ref="AE73" si="25">W73</f>
        <v>Junho</v>
      </c>
      <c r="AF73" s="194"/>
      <c r="AG73" s="194"/>
      <c r="AH73" s="194"/>
      <c r="AI73" s="194"/>
      <c r="AJ73" s="194"/>
      <c r="AK73" s="194"/>
    </row>
    <row r="74" spans="1:37" ht="15.75" thickBot="1" x14ac:dyDescent="0.3">
      <c r="A74" s="190" t="s">
        <v>4</v>
      </c>
      <c r="B74" s="105" t="s">
        <v>5</v>
      </c>
      <c r="C74" s="106" t="s">
        <v>6</v>
      </c>
      <c r="D74" s="107" t="s">
        <v>7</v>
      </c>
      <c r="E74" s="106" t="s">
        <v>8</v>
      </c>
      <c r="F74" s="108" t="s">
        <v>9</v>
      </c>
      <c r="G74" s="109" t="s">
        <v>10</v>
      </c>
      <c r="H74" s="110" t="s">
        <v>11</v>
      </c>
      <c r="J74" s="115" t="s">
        <v>3</v>
      </c>
      <c r="K74" s="112">
        <v>45811</v>
      </c>
      <c r="L74" s="127">
        <v>45813</v>
      </c>
      <c r="M74" s="127">
        <v>45815</v>
      </c>
      <c r="N74" s="127">
        <v>45820</v>
      </c>
      <c r="O74" s="127">
        <v>45825</v>
      </c>
      <c r="P74" s="127">
        <v>45827</v>
      </c>
      <c r="Q74" s="127">
        <v>45834</v>
      </c>
      <c r="R74" s="113"/>
      <c r="S74" s="113"/>
      <c r="T74" s="113"/>
      <c r="U74" s="114"/>
      <c r="W74" s="115" t="s">
        <v>3</v>
      </c>
      <c r="X74" s="112"/>
      <c r="Y74" s="113"/>
      <c r="Z74" s="113"/>
      <c r="AA74" s="113"/>
      <c r="AB74" s="113"/>
      <c r="AC74" s="114"/>
      <c r="AE74" s="115" t="s">
        <v>3</v>
      </c>
      <c r="AF74" s="112"/>
      <c r="AG74" s="113"/>
      <c r="AH74" s="113"/>
      <c r="AI74" s="113"/>
      <c r="AJ74" s="113"/>
      <c r="AK74" s="114"/>
    </row>
    <row r="75" spans="1:37" ht="15.75" thickBot="1" x14ac:dyDescent="0.3">
      <c r="A75" s="190"/>
      <c r="B75" s="117">
        <v>35578</v>
      </c>
      <c r="C75" s="117">
        <v>36850</v>
      </c>
      <c r="D75" s="117">
        <v>36850</v>
      </c>
      <c r="E75" s="117">
        <v>38360</v>
      </c>
      <c r="F75" s="117">
        <f t="shared" ref="F75" si="26">SUM(C75-B75)</f>
        <v>1272</v>
      </c>
      <c r="G75" s="118">
        <f t="shared" ref="G75" si="27">SUM(E75-D75)</f>
        <v>1510</v>
      </c>
      <c r="H75" s="119">
        <f t="shared" ref="H75" si="28">SUM(F75:G75)</f>
        <v>2782</v>
      </c>
      <c r="J75" s="124" t="s">
        <v>21</v>
      </c>
      <c r="K75" s="121">
        <v>228.41</v>
      </c>
      <c r="L75" s="122">
        <v>171.62</v>
      </c>
      <c r="M75" s="122">
        <v>108.9</v>
      </c>
      <c r="N75" s="122">
        <v>249.19</v>
      </c>
      <c r="O75" s="122">
        <v>213.07</v>
      </c>
      <c r="P75" s="122">
        <v>215.74</v>
      </c>
      <c r="Q75" s="122">
        <v>268.83</v>
      </c>
      <c r="R75" s="122"/>
      <c r="S75" s="122"/>
      <c r="T75" s="122"/>
      <c r="U75" s="123"/>
      <c r="W75" s="124" t="s">
        <v>21</v>
      </c>
      <c r="X75" s="121"/>
      <c r="Y75" s="122"/>
      <c r="Z75" s="122"/>
      <c r="AA75" s="122"/>
      <c r="AB75" s="122"/>
      <c r="AC75" s="123"/>
      <c r="AE75" s="124" t="s">
        <v>21</v>
      </c>
      <c r="AF75" s="121"/>
      <c r="AG75" s="122"/>
      <c r="AH75" s="122"/>
      <c r="AI75" s="122"/>
      <c r="AJ75" s="122"/>
      <c r="AK75" s="123"/>
    </row>
    <row r="76" spans="1:37" x14ac:dyDescent="0.25">
      <c r="B76" s="96"/>
      <c r="C76" s="96"/>
      <c r="D76" s="96"/>
      <c r="E76" s="96"/>
      <c r="J76" s="125"/>
      <c r="T76" s="125" t="s">
        <v>22</v>
      </c>
      <c r="U76" s="126">
        <f t="shared" ref="U76" si="29">SUM(K75:U75)</f>
        <v>1455.7599999999998</v>
      </c>
      <c r="AB76" s="125" t="s">
        <v>22</v>
      </c>
      <c r="AC76" s="126">
        <f t="shared" ref="AC76" si="30">SUM(X75:AC75)</f>
        <v>0</v>
      </c>
      <c r="AJ76" s="125" t="s">
        <v>22</v>
      </c>
      <c r="AK76" s="126">
        <f t="shared" ref="AK76" si="31">SUM(AF75:AK75)</f>
        <v>0</v>
      </c>
    </row>
    <row r="77" spans="1:37" ht="15.75" thickBot="1" x14ac:dyDescent="0.3">
      <c r="A77" s="132"/>
      <c r="B77" s="191" t="s">
        <v>15</v>
      </c>
      <c r="C77" s="191"/>
      <c r="D77" s="191"/>
      <c r="E77" s="191"/>
      <c r="F77" s="191"/>
      <c r="G77" s="191"/>
      <c r="H77" s="191"/>
      <c r="J77" s="192" t="s">
        <v>15</v>
      </c>
      <c r="K77" s="192"/>
      <c r="L77" s="192"/>
      <c r="M77" s="192"/>
      <c r="N77" s="192"/>
      <c r="O77" s="192"/>
      <c r="P77" s="192"/>
      <c r="Q77" s="192"/>
      <c r="R77" s="192"/>
      <c r="S77" s="192"/>
      <c r="T77" s="192"/>
      <c r="U77" s="192"/>
      <c r="W77" s="193" t="str">
        <f t="shared" ref="W77" si="32">J77</f>
        <v>Julho</v>
      </c>
      <c r="X77" s="193"/>
      <c r="Y77" s="193"/>
      <c r="Z77" s="193"/>
      <c r="AA77" s="193"/>
      <c r="AB77" s="193"/>
      <c r="AC77" s="193"/>
      <c r="AE77" s="194" t="str">
        <f t="shared" ref="AE77" si="33">W77</f>
        <v>Julho</v>
      </c>
      <c r="AF77" s="194"/>
      <c r="AG77" s="194"/>
      <c r="AH77" s="194"/>
      <c r="AI77" s="194"/>
      <c r="AJ77" s="194"/>
      <c r="AK77" s="194"/>
    </row>
    <row r="78" spans="1:37" ht="15.75" thickBot="1" x14ac:dyDescent="0.3">
      <c r="A78" s="190" t="s">
        <v>4</v>
      </c>
      <c r="B78" s="105" t="s">
        <v>5</v>
      </c>
      <c r="C78" s="106" t="s">
        <v>6</v>
      </c>
      <c r="D78" s="107" t="s">
        <v>7</v>
      </c>
      <c r="E78" s="106" t="s">
        <v>8</v>
      </c>
      <c r="F78" s="108" t="s">
        <v>9</v>
      </c>
      <c r="G78" s="109" t="s">
        <v>10</v>
      </c>
      <c r="H78" s="110" t="s">
        <v>11</v>
      </c>
      <c r="J78" s="115" t="s">
        <v>3</v>
      </c>
      <c r="K78" s="112">
        <v>45839</v>
      </c>
      <c r="L78" s="127">
        <v>45840</v>
      </c>
      <c r="M78" s="127">
        <v>45846</v>
      </c>
      <c r="N78" s="127">
        <v>45849</v>
      </c>
      <c r="O78" s="127">
        <v>45853</v>
      </c>
      <c r="P78" s="127">
        <v>45855</v>
      </c>
      <c r="Q78" s="127">
        <v>45857</v>
      </c>
      <c r="R78" s="127">
        <v>45860</v>
      </c>
      <c r="S78" s="127">
        <v>45862</v>
      </c>
      <c r="T78" s="127">
        <v>45867</v>
      </c>
      <c r="U78" s="114"/>
      <c r="W78" s="115" t="s">
        <v>3</v>
      </c>
      <c r="X78" s="112"/>
      <c r="Y78" s="113"/>
      <c r="Z78" s="113"/>
      <c r="AA78" s="113"/>
      <c r="AB78" s="113"/>
      <c r="AC78" s="114"/>
      <c r="AE78" s="115" t="s">
        <v>3</v>
      </c>
      <c r="AF78" s="112"/>
      <c r="AG78" s="113"/>
      <c r="AH78" s="113"/>
      <c r="AI78" s="113"/>
      <c r="AJ78" s="113"/>
      <c r="AK78" s="114"/>
    </row>
    <row r="79" spans="1:37" ht="15.75" thickBot="1" x14ac:dyDescent="0.3">
      <c r="A79" s="190"/>
      <c r="B79" s="117">
        <v>38360</v>
      </c>
      <c r="C79" s="117">
        <v>41004</v>
      </c>
      <c r="D79" s="117">
        <v>41004</v>
      </c>
      <c r="E79" s="117">
        <v>42950</v>
      </c>
      <c r="F79" s="117">
        <f t="shared" ref="F79" si="34">SUM(C79-B79)</f>
        <v>2644</v>
      </c>
      <c r="G79" s="118">
        <f t="shared" ref="G79" si="35">SUM(E79-D79)</f>
        <v>1946</v>
      </c>
      <c r="H79" s="119">
        <f t="shared" ref="H79" si="36">SUM(F79:G79)</f>
        <v>4590</v>
      </c>
      <c r="J79" s="124" t="s">
        <v>21</v>
      </c>
      <c r="K79" s="121">
        <v>267.41000000000003</v>
      </c>
      <c r="L79" s="122">
        <v>237.51</v>
      </c>
      <c r="M79" s="122">
        <v>295.99</v>
      </c>
      <c r="N79" s="122">
        <v>255.87</v>
      </c>
      <c r="O79" s="122">
        <v>223.48</v>
      </c>
      <c r="P79" s="122">
        <v>186.59</v>
      </c>
      <c r="Q79" s="122">
        <v>194.9</v>
      </c>
      <c r="R79" s="122">
        <v>186.16</v>
      </c>
      <c r="S79" s="122">
        <v>166.32</v>
      </c>
      <c r="T79" s="122">
        <v>237.04</v>
      </c>
      <c r="U79" s="123"/>
      <c r="W79" s="124" t="s">
        <v>21</v>
      </c>
      <c r="X79" s="121"/>
      <c r="Y79" s="122"/>
      <c r="Z79" s="122"/>
      <c r="AA79" s="122"/>
      <c r="AB79" s="122"/>
      <c r="AC79" s="123"/>
      <c r="AE79" s="124" t="s">
        <v>21</v>
      </c>
      <c r="AF79" s="121"/>
      <c r="AG79" s="122"/>
      <c r="AH79" s="122"/>
      <c r="AI79" s="122"/>
      <c r="AJ79" s="122"/>
      <c r="AK79" s="123"/>
    </row>
    <row r="80" spans="1:37" x14ac:dyDescent="0.25">
      <c r="B80" s="96"/>
      <c r="C80" s="96"/>
      <c r="D80" s="96"/>
      <c r="E80" s="96"/>
      <c r="J80" s="125"/>
      <c r="T80" s="125" t="s">
        <v>22</v>
      </c>
      <c r="U80" s="126">
        <f t="shared" ref="U80" si="37">SUM(K79:U79)</f>
        <v>2251.2700000000004</v>
      </c>
      <c r="AB80" s="125" t="s">
        <v>22</v>
      </c>
      <c r="AC80" s="126">
        <f t="shared" ref="AC80" si="38">SUM(X79:AC79)</f>
        <v>0</v>
      </c>
      <c r="AJ80" s="125" t="s">
        <v>22</v>
      </c>
      <c r="AK80" s="126">
        <f t="shared" ref="AK80" si="39">SUM(AF79:AK79)</f>
        <v>0</v>
      </c>
    </row>
    <row r="81" spans="1:37" ht="15.75" thickBot="1" x14ac:dyDescent="0.3">
      <c r="A81" s="132"/>
      <c r="B81" s="191" t="s">
        <v>16</v>
      </c>
      <c r="C81" s="191"/>
      <c r="D81" s="191"/>
      <c r="E81" s="191"/>
      <c r="F81" s="191"/>
      <c r="G81" s="191"/>
      <c r="H81" s="191"/>
      <c r="J81" s="192" t="s">
        <v>16</v>
      </c>
      <c r="K81" s="192"/>
      <c r="L81" s="192"/>
      <c r="M81" s="192"/>
      <c r="N81" s="192"/>
      <c r="O81" s="192"/>
      <c r="P81" s="192"/>
      <c r="Q81" s="192"/>
      <c r="R81" s="192"/>
      <c r="S81" s="192"/>
      <c r="T81" s="192"/>
      <c r="U81" s="192"/>
      <c r="W81" s="193" t="str">
        <f t="shared" ref="W81" si="40">J81</f>
        <v>Agosto</v>
      </c>
      <c r="X81" s="193"/>
      <c r="Y81" s="193"/>
      <c r="Z81" s="193"/>
      <c r="AA81" s="193"/>
      <c r="AB81" s="193"/>
      <c r="AC81" s="193"/>
      <c r="AE81" s="194" t="str">
        <f t="shared" ref="AE81" si="41">W81</f>
        <v>Agosto</v>
      </c>
      <c r="AF81" s="194"/>
      <c r="AG81" s="194"/>
      <c r="AH81" s="194"/>
      <c r="AI81" s="194"/>
      <c r="AJ81" s="194"/>
      <c r="AK81" s="194"/>
    </row>
    <row r="82" spans="1:37" ht="15.75" thickBot="1" x14ac:dyDescent="0.3">
      <c r="A82" s="190" t="s">
        <v>4</v>
      </c>
      <c r="B82" s="105" t="s">
        <v>5</v>
      </c>
      <c r="C82" s="106" t="s">
        <v>6</v>
      </c>
      <c r="D82" s="107" t="s">
        <v>7</v>
      </c>
      <c r="E82" s="106" t="s">
        <v>8</v>
      </c>
      <c r="F82" s="108" t="s">
        <v>9</v>
      </c>
      <c r="G82" s="109" t="s">
        <v>10</v>
      </c>
      <c r="H82" s="110" t="s">
        <v>11</v>
      </c>
      <c r="J82" s="115" t="s">
        <v>3</v>
      </c>
      <c r="K82" s="112">
        <v>45881</v>
      </c>
      <c r="L82" s="127">
        <v>45883</v>
      </c>
      <c r="M82" s="127">
        <v>45888</v>
      </c>
      <c r="N82" s="127">
        <v>45890</v>
      </c>
      <c r="O82" s="127">
        <v>45892</v>
      </c>
      <c r="P82" s="127">
        <v>45895</v>
      </c>
      <c r="Q82" s="127">
        <v>45897</v>
      </c>
      <c r="R82" s="113"/>
      <c r="S82" s="113"/>
      <c r="T82" s="113"/>
      <c r="U82" s="114"/>
      <c r="W82" s="115" t="s">
        <v>3</v>
      </c>
      <c r="X82" s="112"/>
      <c r="Y82" s="113"/>
      <c r="Z82" s="113"/>
      <c r="AA82" s="113"/>
      <c r="AB82" s="113"/>
      <c r="AC82" s="114"/>
      <c r="AE82" s="115" t="s">
        <v>3</v>
      </c>
      <c r="AF82" s="112"/>
      <c r="AG82" s="113"/>
      <c r="AH82" s="113"/>
      <c r="AI82" s="113"/>
      <c r="AJ82" s="113"/>
      <c r="AK82" s="114"/>
    </row>
    <row r="83" spans="1:37" ht="15.75" thickBot="1" x14ac:dyDescent="0.3">
      <c r="A83" s="190"/>
      <c r="B83" s="117">
        <v>42950</v>
      </c>
      <c r="C83" s="117">
        <v>43470</v>
      </c>
      <c r="D83" s="117">
        <v>43470</v>
      </c>
      <c r="E83" s="117">
        <v>45140</v>
      </c>
      <c r="F83" s="117">
        <f t="shared" ref="F83" si="42">SUM(C83-B83)</f>
        <v>520</v>
      </c>
      <c r="G83" s="118">
        <f t="shared" ref="G83" si="43">SUM(E83-D83)</f>
        <v>1670</v>
      </c>
      <c r="H83" s="119">
        <f t="shared" ref="H83" si="44">SUM(F83:G83)</f>
        <v>2190</v>
      </c>
      <c r="J83" s="124" t="s">
        <v>21</v>
      </c>
      <c r="K83" s="121">
        <v>255.21</v>
      </c>
      <c r="L83" s="122">
        <v>192.07</v>
      </c>
      <c r="M83" s="122">
        <v>176.92</v>
      </c>
      <c r="N83" s="122">
        <v>96.06</v>
      </c>
      <c r="O83" s="122">
        <v>181.02</v>
      </c>
      <c r="P83" s="122">
        <v>194.81</v>
      </c>
      <c r="Q83" s="122">
        <v>137.68</v>
      </c>
      <c r="R83" s="122"/>
      <c r="S83" s="122"/>
      <c r="T83" s="122"/>
      <c r="U83" s="123"/>
      <c r="W83" s="124" t="s">
        <v>21</v>
      </c>
      <c r="X83" s="121"/>
      <c r="Y83" s="122"/>
      <c r="Z83" s="122"/>
      <c r="AA83" s="122"/>
      <c r="AB83" s="122"/>
      <c r="AC83" s="123"/>
      <c r="AE83" s="124" t="s">
        <v>21</v>
      </c>
      <c r="AF83" s="121"/>
      <c r="AG83" s="122"/>
      <c r="AH83" s="122"/>
      <c r="AI83" s="122"/>
      <c r="AJ83" s="122"/>
      <c r="AK83" s="123"/>
    </row>
    <row r="84" spans="1:37" x14ac:dyDescent="0.25">
      <c r="B84" s="96"/>
      <c r="C84" s="96"/>
      <c r="D84" s="96"/>
      <c r="E84" s="96"/>
      <c r="J84" s="125"/>
      <c r="T84" s="125" t="s">
        <v>22</v>
      </c>
      <c r="U84" s="126">
        <f t="shared" ref="U84" si="45">SUM(K83:U83)</f>
        <v>1233.77</v>
      </c>
      <c r="AB84" s="125" t="s">
        <v>22</v>
      </c>
      <c r="AC84" s="126">
        <f t="shared" ref="AC84" si="46">SUM(X83:AC83)</f>
        <v>0</v>
      </c>
      <c r="AJ84" s="125" t="s">
        <v>22</v>
      </c>
      <c r="AK84" s="126">
        <f t="shared" ref="AK84" si="47">SUM(AF83:AK83)</f>
        <v>0</v>
      </c>
    </row>
    <row r="85" spans="1:37" ht="15.75" thickBot="1" x14ac:dyDescent="0.3">
      <c r="A85" s="132"/>
      <c r="B85" s="191" t="s">
        <v>17</v>
      </c>
      <c r="C85" s="191"/>
      <c r="D85" s="191"/>
      <c r="E85" s="191"/>
      <c r="F85" s="191"/>
      <c r="G85" s="191"/>
      <c r="H85" s="191"/>
      <c r="J85" s="192" t="s">
        <v>17</v>
      </c>
      <c r="K85" s="192"/>
      <c r="L85" s="192"/>
      <c r="M85" s="192"/>
      <c r="N85" s="192"/>
      <c r="O85" s="192"/>
      <c r="P85" s="192"/>
      <c r="Q85" s="192"/>
      <c r="R85" s="192"/>
      <c r="S85" s="192"/>
      <c r="T85" s="192"/>
      <c r="U85" s="192"/>
      <c r="W85" s="193" t="str">
        <f t="shared" ref="W85" si="48">J85</f>
        <v>Setembro</v>
      </c>
      <c r="X85" s="193"/>
      <c r="Y85" s="193"/>
      <c r="Z85" s="193"/>
      <c r="AA85" s="193"/>
      <c r="AB85" s="193"/>
      <c r="AC85" s="193"/>
      <c r="AE85" s="194" t="str">
        <f t="shared" ref="AE85" si="49">W85</f>
        <v>Setembro</v>
      </c>
      <c r="AF85" s="194"/>
      <c r="AG85" s="194"/>
      <c r="AH85" s="194"/>
      <c r="AI85" s="194"/>
      <c r="AJ85" s="194"/>
      <c r="AK85" s="194"/>
    </row>
    <row r="86" spans="1:37" ht="15.75" thickBot="1" x14ac:dyDescent="0.3">
      <c r="A86" s="190" t="s">
        <v>4</v>
      </c>
      <c r="B86" s="105" t="s">
        <v>5</v>
      </c>
      <c r="C86" s="106" t="s">
        <v>6</v>
      </c>
      <c r="D86" s="107" t="s">
        <v>7</v>
      </c>
      <c r="E86" s="106" t="s">
        <v>8</v>
      </c>
      <c r="F86" s="108" t="s">
        <v>9</v>
      </c>
      <c r="G86" s="109" t="s">
        <v>10</v>
      </c>
      <c r="H86" s="110" t="s">
        <v>11</v>
      </c>
      <c r="J86" s="115" t="s">
        <v>3</v>
      </c>
      <c r="K86" s="112">
        <v>45902</v>
      </c>
      <c r="L86" s="127">
        <v>45904</v>
      </c>
      <c r="M86" s="127">
        <v>45906</v>
      </c>
      <c r="N86" s="127">
        <v>45909</v>
      </c>
      <c r="O86" s="127">
        <v>45911</v>
      </c>
      <c r="P86" s="127">
        <v>45916</v>
      </c>
      <c r="Q86" s="127">
        <v>45918</v>
      </c>
      <c r="R86" s="127">
        <v>45930</v>
      </c>
      <c r="S86" s="113"/>
      <c r="T86" s="113"/>
      <c r="U86" s="114"/>
      <c r="W86" s="115" t="s">
        <v>3</v>
      </c>
      <c r="X86" s="112"/>
      <c r="Y86" s="113"/>
      <c r="Z86" s="113"/>
      <c r="AA86" s="113"/>
      <c r="AB86" s="113"/>
      <c r="AC86" s="114"/>
      <c r="AE86" s="115" t="s">
        <v>3</v>
      </c>
      <c r="AF86" s="112"/>
      <c r="AG86" s="113"/>
      <c r="AH86" s="113"/>
      <c r="AI86" s="113"/>
      <c r="AJ86" s="113"/>
      <c r="AK86" s="114"/>
    </row>
    <row r="87" spans="1:37" ht="15.75" thickBot="1" x14ac:dyDescent="0.3">
      <c r="A87" s="190"/>
      <c r="B87" s="117">
        <v>45140</v>
      </c>
      <c r="C87" s="117">
        <v>47109</v>
      </c>
      <c r="D87" s="117">
        <v>47109</v>
      </c>
      <c r="E87" s="117">
        <v>47991</v>
      </c>
      <c r="F87" s="117">
        <f t="shared" ref="F87" si="50">SUM(C87-B87)</f>
        <v>1969</v>
      </c>
      <c r="G87" s="118">
        <f t="shared" ref="G87" si="51">SUM(E87-D87)</f>
        <v>882</v>
      </c>
      <c r="H87" s="119">
        <f t="shared" ref="H87" si="52">SUM(F87:G87)</f>
        <v>2851</v>
      </c>
      <c r="J87" s="124" t="s">
        <v>21</v>
      </c>
      <c r="K87" s="121">
        <v>247.66</v>
      </c>
      <c r="L87" s="122">
        <v>162.54</v>
      </c>
      <c r="M87" s="122">
        <v>160</v>
      </c>
      <c r="N87" s="122">
        <v>260</v>
      </c>
      <c r="O87" s="122">
        <v>174.1</v>
      </c>
      <c r="P87" s="122">
        <v>163.80000000000001</v>
      </c>
      <c r="Q87" s="122">
        <v>161.38999999999999</v>
      </c>
      <c r="R87" s="122">
        <v>205.8</v>
      </c>
      <c r="S87" s="122"/>
      <c r="T87" s="122"/>
      <c r="U87" s="123"/>
      <c r="W87" s="124" t="s">
        <v>21</v>
      </c>
      <c r="X87" s="121"/>
      <c r="Y87" s="122"/>
      <c r="Z87" s="122"/>
      <c r="AA87" s="122"/>
      <c r="AB87" s="122"/>
      <c r="AC87" s="123"/>
      <c r="AE87" s="124" t="s">
        <v>21</v>
      </c>
      <c r="AF87" s="121"/>
      <c r="AG87" s="122"/>
      <c r="AH87" s="122"/>
      <c r="AI87" s="122"/>
      <c r="AJ87" s="122"/>
      <c r="AK87" s="123"/>
    </row>
    <row r="88" spans="1:37" x14ac:dyDescent="0.25">
      <c r="B88" s="96"/>
      <c r="C88" s="96"/>
      <c r="D88" s="96"/>
      <c r="E88" s="96"/>
      <c r="J88" s="125"/>
      <c r="T88" s="125" t="s">
        <v>22</v>
      </c>
      <c r="U88" s="126">
        <f t="shared" ref="U88" si="53">SUM(K87:U87)</f>
        <v>1535.2900000000002</v>
      </c>
      <c r="AB88" s="125" t="s">
        <v>22</v>
      </c>
      <c r="AC88" s="126">
        <f t="shared" ref="AC88" si="54">SUM(X87:AC87)</f>
        <v>0</v>
      </c>
      <c r="AJ88" s="125" t="s">
        <v>22</v>
      </c>
      <c r="AK88" s="126">
        <f t="shared" ref="AK88" si="55">SUM(AF87:AK87)</f>
        <v>0</v>
      </c>
    </row>
    <row r="89" spans="1:37" ht="15.75" thickBot="1" x14ac:dyDescent="0.3">
      <c r="A89" s="132"/>
      <c r="B89" s="191" t="s">
        <v>18</v>
      </c>
      <c r="C89" s="191"/>
      <c r="D89" s="191"/>
      <c r="E89" s="191"/>
      <c r="F89" s="191"/>
      <c r="G89" s="191"/>
      <c r="H89" s="191"/>
      <c r="J89" s="192" t="s">
        <v>18</v>
      </c>
      <c r="K89" s="192"/>
      <c r="L89" s="192"/>
      <c r="M89" s="192"/>
      <c r="N89" s="192"/>
      <c r="O89" s="192"/>
      <c r="P89" s="192"/>
      <c r="Q89" s="192"/>
      <c r="R89" s="192"/>
      <c r="S89" s="192"/>
      <c r="T89" s="192"/>
      <c r="U89" s="192"/>
      <c r="W89" s="193" t="str">
        <f t="shared" ref="W89" si="56">J89</f>
        <v>Outubro</v>
      </c>
      <c r="X89" s="193"/>
      <c r="Y89" s="193"/>
      <c r="Z89" s="193"/>
      <c r="AA89" s="193"/>
      <c r="AB89" s="193"/>
      <c r="AC89" s="193"/>
      <c r="AE89" s="194" t="str">
        <f t="shared" ref="AE89" si="57">W89</f>
        <v>Outubro</v>
      </c>
      <c r="AF89" s="194"/>
      <c r="AG89" s="194"/>
      <c r="AH89" s="194"/>
      <c r="AI89" s="194"/>
      <c r="AJ89" s="194"/>
      <c r="AK89" s="194"/>
    </row>
    <row r="90" spans="1:37" ht="15.75" thickBot="1" x14ac:dyDescent="0.3">
      <c r="A90" s="190" t="s">
        <v>4</v>
      </c>
      <c r="B90" s="105" t="s">
        <v>5</v>
      </c>
      <c r="C90" s="106" t="s">
        <v>6</v>
      </c>
      <c r="D90" s="107" t="s">
        <v>7</v>
      </c>
      <c r="E90" s="106" t="s">
        <v>8</v>
      </c>
      <c r="F90" s="108" t="s">
        <v>9</v>
      </c>
      <c r="G90" s="109" t="s">
        <v>10</v>
      </c>
      <c r="H90" s="110" t="s">
        <v>11</v>
      </c>
      <c r="J90" s="115" t="s">
        <v>3</v>
      </c>
      <c r="K90" s="112">
        <v>45934</v>
      </c>
      <c r="L90" s="127">
        <v>45941</v>
      </c>
      <c r="M90" s="127">
        <v>45946</v>
      </c>
      <c r="N90" s="127">
        <v>45946</v>
      </c>
      <c r="O90" s="127">
        <v>45951</v>
      </c>
      <c r="P90" s="127">
        <v>45953</v>
      </c>
      <c r="Q90" s="127">
        <v>45957</v>
      </c>
      <c r="R90" s="127">
        <v>45960</v>
      </c>
      <c r="S90" s="113"/>
      <c r="T90" s="113"/>
      <c r="U90" s="114"/>
      <c r="W90" s="115" t="s">
        <v>3</v>
      </c>
      <c r="X90" s="112"/>
      <c r="Y90" s="113"/>
      <c r="Z90" s="113"/>
      <c r="AA90" s="113"/>
      <c r="AB90" s="113"/>
      <c r="AC90" s="114"/>
      <c r="AE90" s="115" t="s">
        <v>3</v>
      </c>
      <c r="AF90" s="112"/>
      <c r="AG90" s="113"/>
      <c r="AH90" s="113"/>
      <c r="AI90" s="113"/>
      <c r="AJ90" s="113"/>
      <c r="AK90" s="114"/>
    </row>
    <row r="91" spans="1:37" ht="15.75" thickBot="1" x14ac:dyDescent="0.3">
      <c r="A91" s="190"/>
      <c r="B91" s="117">
        <v>47991</v>
      </c>
      <c r="C91" s="117">
        <v>49355</v>
      </c>
      <c r="D91" s="117">
        <v>49355</v>
      </c>
      <c r="E91" s="117">
        <v>51664</v>
      </c>
      <c r="F91" s="117">
        <f t="shared" ref="F91" si="58">SUM(C91-B91)</f>
        <v>1364</v>
      </c>
      <c r="G91" s="118">
        <f t="shared" ref="G91" si="59">SUM(E91-D91)</f>
        <v>2309</v>
      </c>
      <c r="H91" s="119">
        <f t="shared" ref="H91" si="60">SUM(F91:G91)</f>
        <v>3673</v>
      </c>
      <c r="J91" s="124" t="s">
        <v>21</v>
      </c>
      <c r="K91" s="121">
        <v>224.61</v>
      </c>
      <c r="L91" s="122">
        <v>140.07</v>
      </c>
      <c r="M91" s="122">
        <v>239.84</v>
      </c>
      <c r="N91" s="122">
        <v>239.2</v>
      </c>
      <c r="O91" s="122">
        <v>230.08</v>
      </c>
      <c r="P91" s="122">
        <v>243.17</v>
      </c>
      <c r="Q91" s="122">
        <v>262.10000000000002</v>
      </c>
      <c r="R91" s="122">
        <v>202.47</v>
      </c>
      <c r="S91" s="122"/>
      <c r="T91" s="122"/>
      <c r="U91" s="123"/>
      <c r="W91" s="124" t="s">
        <v>21</v>
      </c>
      <c r="X91" s="121"/>
      <c r="Y91" s="122"/>
      <c r="Z91" s="122"/>
      <c r="AA91" s="122"/>
      <c r="AB91" s="122"/>
      <c r="AC91" s="123"/>
      <c r="AE91" s="124" t="s">
        <v>21</v>
      </c>
      <c r="AF91" s="121"/>
      <c r="AG91" s="122"/>
      <c r="AH91" s="122"/>
      <c r="AI91" s="122"/>
      <c r="AJ91" s="122"/>
      <c r="AK91" s="123"/>
    </row>
    <row r="92" spans="1:37" x14ac:dyDescent="0.25">
      <c r="B92" s="96"/>
      <c r="C92" s="96"/>
      <c r="D92" s="96"/>
      <c r="E92" s="96"/>
      <c r="J92" s="125"/>
      <c r="T92" s="125" t="s">
        <v>22</v>
      </c>
      <c r="U92" s="126">
        <f t="shared" ref="U92" si="61">SUM(K91:U91)</f>
        <v>1781.5400000000002</v>
      </c>
      <c r="AB92" s="125" t="s">
        <v>22</v>
      </c>
      <c r="AC92" s="126">
        <f t="shared" ref="AC92" si="62">SUM(X91:AC91)</f>
        <v>0</v>
      </c>
      <c r="AJ92" s="125" t="s">
        <v>22</v>
      </c>
      <c r="AK92" s="126">
        <f t="shared" ref="AK92" si="63">SUM(AF91:AK91)</f>
        <v>0</v>
      </c>
    </row>
    <row r="93" spans="1:37" ht="15.75" thickBot="1" x14ac:dyDescent="0.3">
      <c r="A93" s="132"/>
      <c r="B93" s="191" t="s">
        <v>19</v>
      </c>
      <c r="C93" s="191"/>
      <c r="D93" s="191"/>
      <c r="E93" s="191"/>
      <c r="F93" s="191"/>
      <c r="G93" s="191"/>
      <c r="H93" s="191"/>
      <c r="J93" s="192" t="s">
        <v>19</v>
      </c>
      <c r="K93" s="192"/>
      <c r="L93" s="192"/>
      <c r="M93" s="192"/>
      <c r="N93" s="192"/>
      <c r="O93" s="192"/>
      <c r="P93" s="192"/>
      <c r="Q93" s="192"/>
      <c r="R93" s="192"/>
      <c r="S93" s="192"/>
      <c r="T93" s="192"/>
      <c r="U93" s="192"/>
      <c r="W93" s="193" t="str">
        <f t="shared" ref="W93" si="64">J93</f>
        <v>Novembro</v>
      </c>
      <c r="X93" s="193"/>
      <c r="Y93" s="193"/>
      <c r="Z93" s="193"/>
      <c r="AA93" s="193"/>
      <c r="AB93" s="193"/>
      <c r="AC93" s="193"/>
      <c r="AE93" s="194" t="str">
        <f t="shared" ref="AE93" si="65">W93</f>
        <v>Novembro</v>
      </c>
      <c r="AF93" s="194"/>
      <c r="AG93" s="194"/>
      <c r="AH93" s="194"/>
      <c r="AI93" s="194"/>
      <c r="AJ93" s="194"/>
      <c r="AK93" s="194"/>
    </row>
    <row r="94" spans="1:37" ht="15.75" thickBot="1" x14ac:dyDescent="0.3">
      <c r="A94" s="190" t="s">
        <v>4</v>
      </c>
      <c r="B94" s="105" t="s">
        <v>5</v>
      </c>
      <c r="C94" s="106" t="s">
        <v>6</v>
      </c>
      <c r="D94" s="107" t="s">
        <v>7</v>
      </c>
      <c r="E94" s="106" t="s">
        <v>8</v>
      </c>
      <c r="F94" s="108" t="s">
        <v>9</v>
      </c>
      <c r="G94" s="109" t="s">
        <v>10</v>
      </c>
      <c r="H94" s="110" t="s">
        <v>11</v>
      </c>
      <c r="J94" s="115" t="s">
        <v>3</v>
      </c>
      <c r="K94" s="112">
        <v>45974</v>
      </c>
      <c r="L94" s="127">
        <v>45976</v>
      </c>
      <c r="M94" s="127">
        <v>45981</v>
      </c>
      <c r="N94" s="127"/>
      <c r="O94" s="127"/>
      <c r="P94" s="127"/>
      <c r="Q94" s="127"/>
      <c r="R94" s="127"/>
      <c r="S94" s="113"/>
      <c r="T94" s="113"/>
      <c r="U94" s="114"/>
      <c r="W94" s="115" t="s">
        <v>3</v>
      </c>
      <c r="X94" s="112"/>
      <c r="Y94" s="113"/>
      <c r="Z94" s="113"/>
      <c r="AA94" s="113"/>
      <c r="AB94" s="113"/>
      <c r="AC94" s="114"/>
      <c r="AE94" s="115" t="s">
        <v>3</v>
      </c>
      <c r="AF94" s="112"/>
      <c r="AG94" s="113"/>
      <c r="AH94" s="113"/>
      <c r="AI94" s="113"/>
      <c r="AJ94" s="113"/>
      <c r="AK94" s="114"/>
    </row>
    <row r="95" spans="1:37" ht="15.75" thickBot="1" x14ac:dyDescent="0.3">
      <c r="A95" s="190"/>
      <c r="B95" s="117">
        <v>51664</v>
      </c>
      <c r="C95" s="117">
        <v>53222</v>
      </c>
      <c r="D95" s="117">
        <v>53222</v>
      </c>
      <c r="E95" s="117">
        <v>53662</v>
      </c>
      <c r="F95" s="117">
        <f t="shared" ref="F95" si="66">SUM(C95-B95)</f>
        <v>1558</v>
      </c>
      <c r="G95" s="118">
        <f t="shared" ref="G95" si="67">SUM(E95-D95)</f>
        <v>440</v>
      </c>
      <c r="H95" s="119">
        <f t="shared" ref="H95" si="68">SUM(F95:G95)</f>
        <v>1998</v>
      </c>
      <c r="J95" s="124" t="s">
        <v>21</v>
      </c>
      <c r="K95" s="121">
        <v>264.93</v>
      </c>
      <c r="L95" s="122">
        <v>191.46</v>
      </c>
      <c r="M95" s="122">
        <v>271.27999999999997</v>
      </c>
      <c r="N95" s="122"/>
      <c r="O95" s="122"/>
      <c r="P95" s="122"/>
      <c r="Q95" s="122"/>
      <c r="R95" s="122"/>
      <c r="S95" s="122"/>
      <c r="T95" s="122"/>
      <c r="U95" s="123"/>
      <c r="W95" s="124" t="s">
        <v>21</v>
      </c>
      <c r="X95" s="121"/>
      <c r="Y95" s="122"/>
      <c r="Z95" s="122"/>
      <c r="AA95" s="122"/>
      <c r="AB95" s="122"/>
      <c r="AC95" s="123"/>
      <c r="AE95" s="124" t="s">
        <v>21</v>
      </c>
      <c r="AF95" s="121"/>
      <c r="AG95" s="122"/>
      <c r="AH95" s="122"/>
      <c r="AI95" s="122"/>
      <c r="AJ95" s="122"/>
      <c r="AK95" s="123"/>
    </row>
    <row r="96" spans="1:37" x14ac:dyDescent="0.25">
      <c r="B96" s="96"/>
      <c r="C96" s="96"/>
      <c r="D96" s="96"/>
      <c r="E96" s="96"/>
      <c r="J96" s="125"/>
      <c r="T96" s="125" t="s">
        <v>22</v>
      </c>
      <c r="U96" s="126">
        <f t="shared" ref="U96" si="69">SUM(K95:U95)</f>
        <v>727.67</v>
      </c>
      <c r="AB96" s="125" t="s">
        <v>22</v>
      </c>
      <c r="AC96" s="126">
        <f t="shared" ref="AC96" si="70">SUM(X95:AC95)</f>
        <v>0</v>
      </c>
      <c r="AJ96" s="125" t="s">
        <v>22</v>
      </c>
      <c r="AK96" s="126">
        <f t="shared" ref="AK96" si="71">SUM(AF95:AK95)</f>
        <v>0</v>
      </c>
    </row>
    <row r="97" spans="1:39" ht="15.75" thickBot="1" x14ac:dyDescent="0.3">
      <c r="A97" s="34"/>
      <c r="B97" s="171" t="s">
        <v>20</v>
      </c>
      <c r="C97" s="171"/>
      <c r="D97" s="171"/>
      <c r="E97" s="171"/>
      <c r="F97" s="171"/>
      <c r="G97" s="171"/>
      <c r="H97" s="171"/>
      <c r="I97" s="1"/>
      <c r="J97" s="172" t="s">
        <v>20</v>
      </c>
      <c r="K97" s="172"/>
      <c r="L97" s="172"/>
      <c r="M97" s="172"/>
      <c r="N97" s="172"/>
      <c r="O97" s="172"/>
      <c r="P97" s="172"/>
      <c r="Q97" s="172"/>
      <c r="R97" s="172"/>
      <c r="S97" s="172"/>
      <c r="T97" s="172"/>
      <c r="U97" s="172"/>
      <c r="V97" s="1"/>
      <c r="W97" s="1"/>
      <c r="X97" s="1"/>
      <c r="Y97" s="173" t="str">
        <f>J97</f>
        <v>Dezembro</v>
      </c>
      <c r="Z97" s="173"/>
      <c r="AA97" s="173"/>
      <c r="AB97" s="173"/>
      <c r="AC97" s="173"/>
      <c r="AD97" s="173"/>
      <c r="AE97" s="173"/>
      <c r="AF97" s="1"/>
      <c r="AG97" s="174" t="str">
        <f>Y97</f>
        <v>Dezembro</v>
      </c>
      <c r="AH97" s="174"/>
      <c r="AI97" s="174"/>
      <c r="AJ97" s="174"/>
      <c r="AK97" s="174"/>
      <c r="AL97" s="174"/>
      <c r="AM97" s="174"/>
    </row>
    <row r="98" spans="1:39" ht="15.75" thickBot="1" x14ac:dyDescent="0.3">
      <c r="A98" s="168" t="s">
        <v>4</v>
      </c>
      <c r="B98" s="10" t="s">
        <v>5</v>
      </c>
      <c r="C98" s="11" t="s">
        <v>6</v>
      </c>
      <c r="D98" s="12" t="s">
        <v>7</v>
      </c>
      <c r="E98" s="11" t="s">
        <v>8</v>
      </c>
      <c r="F98" s="12" t="s">
        <v>9</v>
      </c>
      <c r="G98" s="11" t="s">
        <v>10</v>
      </c>
      <c r="H98" s="32" t="s">
        <v>11</v>
      </c>
      <c r="I98" s="1"/>
      <c r="J98" s="35" t="s">
        <v>3</v>
      </c>
      <c r="K98" s="14">
        <v>45997</v>
      </c>
      <c r="L98" s="24">
        <v>46000</v>
      </c>
      <c r="M98" s="24">
        <v>46004</v>
      </c>
      <c r="N98" s="24">
        <v>46007</v>
      </c>
      <c r="O98" s="15"/>
      <c r="P98" s="15"/>
      <c r="Q98" s="15"/>
      <c r="R98" s="15"/>
      <c r="S98" s="15"/>
      <c r="T98" s="15"/>
      <c r="U98" s="16"/>
      <c r="V98" s="1"/>
      <c r="W98" s="1"/>
      <c r="X98" s="1"/>
      <c r="Y98" s="35" t="s">
        <v>3</v>
      </c>
      <c r="Z98" s="14"/>
      <c r="AA98" s="15"/>
      <c r="AB98" s="15"/>
      <c r="AC98" s="15"/>
      <c r="AD98" s="15"/>
      <c r="AE98" s="16"/>
      <c r="AF98" s="1"/>
      <c r="AG98" s="35" t="s">
        <v>3</v>
      </c>
      <c r="AH98" s="14"/>
      <c r="AI98" s="15"/>
      <c r="AJ98" s="15"/>
      <c r="AK98" s="15"/>
      <c r="AL98" s="15"/>
      <c r="AM98" s="16"/>
    </row>
    <row r="99" spans="1:39" ht="15.75" thickBot="1" x14ac:dyDescent="0.3">
      <c r="A99" s="168"/>
      <c r="B99" s="17">
        <v>53662</v>
      </c>
      <c r="C99" s="18">
        <v>54914</v>
      </c>
      <c r="D99" s="18">
        <v>54914</v>
      </c>
      <c r="E99" s="18">
        <v>55354</v>
      </c>
      <c r="F99" s="18">
        <f>SUM(C99-B99)</f>
        <v>1252</v>
      </c>
      <c r="G99" s="18">
        <f>SUM(E99-D99)</f>
        <v>440</v>
      </c>
      <c r="H99" s="33">
        <f>SUM(F99:G99)</f>
        <v>1692</v>
      </c>
      <c r="I99" s="1"/>
      <c r="J99" s="36" t="s">
        <v>21</v>
      </c>
      <c r="K99" s="19">
        <v>236.07</v>
      </c>
      <c r="L99" s="20">
        <v>200.14</v>
      </c>
      <c r="M99" s="20">
        <v>216.06</v>
      </c>
      <c r="N99" s="20">
        <v>245.43</v>
      </c>
      <c r="O99" s="20"/>
      <c r="P99" s="20"/>
      <c r="Q99" s="20"/>
      <c r="R99" s="20"/>
      <c r="S99" s="20"/>
      <c r="T99" s="20"/>
      <c r="U99" s="21"/>
      <c r="V99" s="1"/>
      <c r="W99" s="1"/>
      <c r="X99" s="1"/>
      <c r="Y99" s="36" t="s">
        <v>21</v>
      </c>
      <c r="Z99" s="19"/>
      <c r="AA99" s="20"/>
      <c r="AB99" s="20"/>
      <c r="AC99" s="20"/>
      <c r="AD99" s="20"/>
      <c r="AE99" s="21"/>
      <c r="AF99" s="1"/>
      <c r="AG99" s="36" t="s">
        <v>21</v>
      </c>
      <c r="AH99" s="19"/>
      <c r="AI99" s="20"/>
      <c r="AJ99" s="20"/>
      <c r="AK99" s="20"/>
      <c r="AL99" s="20"/>
      <c r="AM99" s="21"/>
    </row>
    <row r="100" spans="1:39" x14ac:dyDescent="0.25">
      <c r="A100" s="2"/>
      <c r="B100" s="2"/>
      <c r="C100" s="2"/>
      <c r="D100" s="2"/>
      <c r="E100" s="2"/>
      <c r="F100" s="1"/>
      <c r="G100" s="1"/>
      <c r="H100" s="1"/>
      <c r="I100" s="1"/>
      <c r="J100" s="37"/>
      <c r="K100" s="1"/>
      <c r="L100" s="1"/>
      <c r="M100" s="1"/>
      <c r="N100" s="1"/>
      <c r="O100" s="1"/>
      <c r="P100" s="1"/>
      <c r="Q100" s="1"/>
      <c r="R100" s="1"/>
      <c r="S100" s="1"/>
      <c r="T100" s="22" t="s">
        <v>22</v>
      </c>
      <c r="U100" s="23">
        <f>SUM(K99:U99)</f>
        <v>897.7</v>
      </c>
      <c r="V100" s="1"/>
      <c r="W100" s="1"/>
      <c r="X100" s="1"/>
      <c r="Y100" s="2"/>
      <c r="Z100" s="1"/>
      <c r="AA100" s="1"/>
      <c r="AB100" s="1"/>
      <c r="AC100" s="1"/>
      <c r="AD100" s="22" t="s">
        <v>22</v>
      </c>
      <c r="AE100" s="23">
        <f>SUM(Z99:AE99)</f>
        <v>0</v>
      </c>
      <c r="AF100" s="1"/>
      <c r="AG100" s="2"/>
      <c r="AH100" s="1"/>
      <c r="AI100" s="1"/>
      <c r="AJ100" s="1"/>
      <c r="AK100" s="1"/>
      <c r="AL100" s="22" t="s">
        <v>22</v>
      </c>
      <c r="AM100" s="23">
        <f>SUM(AH99:AM99)</f>
        <v>0</v>
      </c>
    </row>
    <row r="101" spans="1:39" ht="15.75" thickBot="1" x14ac:dyDescent="0.3">
      <c r="A101" s="141">
        <v>2026</v>
      </c>
      <c r="B101" s="189" t="s">
        <v>54</v>
      </c>
      <c r="C101" s="171"/>
      <c r="D101" s="171"/>
      <c r="E101" s="171"/>
      <c r="F101" s="171"/>
      <c r="G101" s="171"/>
      <c r="H101" s="171"/>
      <c r="I101" s="6"/>
      <c r="J101" s="172" t="s">
        <v>54</v>
      </c>
      <c r="K101" s="172"/>
      <c r="L101" s="172"/>
      <c r="M101" s="172"/>
      <c r="N101" s="172"/>
      <c r="O101" s="172"/>
      <c r="P101" s="172"/>
      <c r="Q101" s="172"/>
      <c r="R101" s="172"/>
      <c r="S101" s="172"/>
      <c r="T101" s="172"/>
      <c r="U101" s="172"/>
      <c r="V101" s="8"/>
      <c r="W101" s="173" t="s">
        <v>54</v>
      </c>
      <c r="X101" s="173"/>
      <c r="Y101" s="173"/>
      <c r="Z101" s="173"/>
      <c r="AA101" s="173"/>
      <c r="AB101" s="173"/>
      <c r="AC101" s="173"/>
      <c r="AD101" s="8"/>
      <c r="AE101" s="174" t="s">
        <v>54</v>
      </c>
      <c r="AF101" s="174"/>
      <c r="AG101" s="174"/>
      <c r="AH101" s="174"/>
      <c r="AI101" s="174"/>
      <c r="AJ101" s="174"/>
      <c r="AK101" s="174"/>
    </row>
    <row r="102" spans="1:39" ht="15.75" thickBot="1" x14ac:dyDescent="0.3">
      <c r="A102" s="168" t="s">
        <v>4</v>
      </c>
      <c r="B102" s="10" t="s">
        <v>5</v>
      </c>
      <c r="C102" s="11" t="s">
        <v>6</v>
      </c>
      <c r="D102" s="12" t="s">
        <v>7</v>
      </c>
      <c r="E102" s="11" t="s">
        <v>8</v>
      </c>
      <c r="F102" s="12" t="s">
        <v>9</v>
      </c>
      <c r="G102" s="11" t="s">
        <v>10</v>
      </c>
      <c r="H102" s="32" t="s">
        <v>11</v>
      </c>
      <c r="I102" s="6"/>
      <c r="J102" s="35" t="s">
        <v>3</v>
      </c>
      <c r="K102" s="14"/>
      <c r="L102" s="15"/>
      <c r="M102" s="15"/>
      <c r="N102" s="15"/>
      <c r="O102" s="15"/>
      <c r="P102" s="15"/>
      <c r="Q102" s="15"/>
      <c r="R102" s="15"/>
      <c r="S102" s="15"/>
      <c r="T102" s="15"/>
      <c r="U102" s="16"/>
      <c r="V102" s="8"/>
      <c r="W102" s="35" t="s">
        <v>3</v>
      </c>
      <c r="X102" s="14"/>
      <c r="Y102" s="15"/>
      <c r="Z102" s="15"/>
      <c r="AA102" s="15"/>
      <c r="AB102" s="15"/>
      <c r="AC102" s="16"/>
      <c r="AD102" s="8"/>
      <c r="AE102" s="35" t="s">
        <v>3</v>
      </c>
      <c r="AF102" s="14"/>
      <c r="AG102" s="15"/>
      <c r="AH102" s="15"/>
      <c r="AI102" s="15"/>
      <c r="AJ102" s="15"/>
      <c r="AK102" s="16"/>
    </row>
    <row r="103" spans="1:39" ht="15.75" thickBot="1" x14ac:dyDescent="0.3">
      <c r="A103" s="168"/>
      <c r="B103" s="18">
        <v>55354</v>
      </c>
      <c r="C103" s="18">
        <v>57451</v>
      </c>
      <c r="D103" s="18"/>
      <c r="E103" s="18"/>
      <c r="F103" s="18">
        <f>SUM(C103-B103)</f>
        <v>2097</v>
      </c>
      <c r="G103" s="18">
        <f>SUM(E103-D103)</f>
        <v>0</v>
      </c>
      <c r="H103" s="33">
        <f>SUM(F103:G103)</f>
        <v>2097</v>
      </c>
      <c r="I103" s="6"/>
      <c r="J103" s="36" t="s">
        <v>21</v>
      </c>
      <c r="K103" s="19"/>
      <c r="L103" s="20"/>
      <c r="M103" s="20"/>
      <c r="N103" s="20"/>
      <c r="O103" s="20"/>
      <c r="P103" s="20"/>
      <c r="Q103" s="20"/>
      <c r="R103" s="20"/>
      <c r="S103" s="20"/>
      <c r="T103" s="20"/>
      <c r="U103" s="21"/>
      <c r="V103" s="8"/>
      <c r="W103" s="36" t="s">
        <v>21</v>
      </c>
      <c r="X103" s="19"/>
      <c r="Y103" s="20"/>
      <c r="Z103" s="20"/>
      <c r="AA103" s="20"/>
      <c r="AB103" s="20"/>
      <c r="AC103" s="21"/>
      <c r="AD103" s="8"/>
      <c r="AE103" s="36" t="s">
        <v>21</v>
      </c>
      <c r="AF103" s="19"/>
      <c r="AG103" s="20"/>
      <c r="AH103" s="20"/>
      <c r="AI103" s="20"/>
      <c r="AJ103" s="20"/>
      <c r="AK103" s="21"/>
    </row>
    <row r="104" spans="1:39" x14ac:dyDescent="0.25">
      <c r="A104" s="7"/>
      <c r="B104" s="7"/>
      <c r="C104" s="7"/>
      <c r="D104" s="7"/>
      <c r="E104" s="7"/>
      <c r="F104" s="7"/>
      <c r="G104" s="7"/>
      <c r="H104" s="7"/>
      <c r="I104" s="6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22" t="s">
        <v>22</v>
      </c>
      <c r="U104" s="23">
        <f>SUM(K103:U103)</f>
        <v>0</v>
      </c>
      <c r="V104" s="8"/>
      <c r="W104" s="2"/>
      <c r="X104" s="1"/>
      <c r="Y104" s="1"/>
      <c r="Z104" s="1"/>
      <c r="AA104" s="1"/>
      <c r="AB104" s="22" t="s">
        <v>22</v>
      </c>
      <c r="AC104" s="23">
        <f>SUM(X103:AC103)</f>
        <v>0</v>
      </c>
      <c r="AD104" s="8"/>
      <c r="AE104" s="2"/>
      <c r="AF104" s="1"/>
      <c r="AG104" s="1"/>
      <c r="AH104" s="1"/>
      <c r="AI104" s="1"/>
      <c r="AJ104" s="22" t="s">
        <v>22</v>
      </c>
      <c r="AK104" s="23">
        <f>SUM(AF103:AK103)</f>
        <v>0</v>
      </c>
    </row>
    <row r="105" spans="1:39" ht="15.75" thickBot="1" x14ac:dyDescent="0.3">
      <c r="A105" s="34"/>
      <c r="B105" s="171" t="s">
        <v>2</v>
      </c>
      <c r="C105" s="171"/>
      <c r="D105" s="171"/>
      <c r="E105" s="171"/>
      <c r="F105" s="171"/>
      <c r="G105" s="171"/>
      <c r="H105" s="171"/>
      <c r="I105" s="1"/>
      <c r="J105" s="172" t="s">
        <v>2</v>
      </c>
      <c r="K105" s="172"/>
      <c r="L105" s="172"/>
      <c r="M105" s="172"/>
      <c r="N105" s="172"/>
      <c r="O105" s="172"/>
      <c r="P105" s="172"/>
      <c r="Q105" s="172"/>
      <c r="R105" s="172"/>
      <c r="S105" s="172"/>
      <c r="T105" s="172"/>
      <c r="U105" s="172"/>
      <c r="V105" s="1"/>
      <c r="W105" s="173" t="s">
        <v>2</v>
      </c>
      <c r="X105" s="173"/>
      <c r="Y105" s="173"/>
      <c r="Z105" s="173"/>
      <c r="AA105" s="173"/>
      <c r="AB105" s="173"/>
      <c r="AC105" s="173"/>
      <c r="AD105" s="1"/>
      <c r="AE105" s="174" t="s">
        <v>2</v>
      </c>
      <c r="AF105" s="174"/>
      <c r="AG105" s="174"/>
      <c r="AH105" s="174"/>
      <c r="AI105" s="174"/>
      <c r="AJ105" s="174"/>
      <c r="AK105" s="174"/>
    </row>
    <row r="106" spans="1:39" ht="15.75" thickBot="1" x14ac:dyDescent="0.3">
      <c r="A106" s="168" t="s">
        <v>4</v>
      </c>
      <c r="B106" s="10" t="s">
        <v>5</v>
      </c>
      <c r="C106" s="11" t="s">
        <v>6</v>
      </c>
      <c r="D106" s="12" t="s">
        <v>7</v>
      </c>
      <c r="E106" s="11" t="s">
        <v>8</v>
      </c>
      <c r="F106" s="12" t="s">
        <v>9</v>
      </c>
      <c r="G106" s="11" t="s">
        <v>10</v>
      </c>
      <c r="H106" s="32" t="s">
        <v>11</v>
      </c>
      <c r="I106" s="1"/>
      <c r="J106" s="35" t="s">
        <v>3</v>
      </c>
      <c r="K106" s="14"/>
      <c r="L106" s="15"/>
      <c r="M106" s="15"/>
      <c r="N106" s="15"/>
      <c r="O106" s="15"/>
      <c r="P106" s="15"/>
      <c r="Q106" s="15"/>
      <c r="R106" s="15"/>
      <c r="S106" s="15"/>
      <c r="T106" s="15"/>
      <c r="U106" s="16"/>
      <c r="V106" s="1"/>
      <c r="W106" s="35" t="s">
        <v>3</v>
      </c>
      <c r="X106" s="14"/>
      <c r="Y106" s="15"/>
      <c r="Z106" s="15"/>
      <c r="AA106" s="15"/>
      <c r="AB106" s="15"/>
      <c r="AC106" s="16"/>
      <c r="AD106" s="1"/>
      <c r="AE106" s="35" t="s">
        <v>3</v>
      </c>
      <c r="AF106" s="14"/>
      <c r="AG106" s="15"/>
      <c r="AH106" s="15"/>
      <c r="AI106" s="15"/>
      <c r="AJ106" s="15"/>
      <c r="AK106" s="16"/>
    </row>
    <row r="107" spans="1:39" ht="15.75" thickBot="1" x14ac:dyDescent="0.3">
      <c r="A107" s="168"/>
      <c r="B107" s="17"/>
      <c r="C107" s="18"/>
      <c r="D107" s="18"/>
      <c r="E107" s="18"/>
      <c r="F107" s="18">
        <f>SUM(C107-B107)</f>
        <v>0</v>
      </c>
      <c r="G107" s="18">
        <f>SUM(E107-D107)</f>
        <v>0</v>
      </c>
      <c r="H107" s="33">
        <f>SUM(F107:G107)</f>
        <v>0</v>
      </c>
      <c r="I107" s="1"/>
      <c r="J107" s="36" t="s">
        <v>21</v>
      </c>
      <c r="K107" s="19"/>
      <c r="L107" s="20"/>
      <c r="M107" s="20"/>
      <c r="N107" s="20"/>
      <c r="O107" s="20"/>
      <c r="P107" s="20"/>
      <c r="Q107" s="20"/>
      <c r="R107" s="20"/>
      <c r="S107" s="20"/>
      <c r="T107" s="20"/>
      <c r="U107" s="21"/>
      <c r="V107" s="1"/>
      <c r="W107" s="36" t="s">
        <v>21</v>
      </c>
      <c r="X107" s="19"/>
      <c r="Y107" s="20"/>
      <c r="Z107" s="20"/>
      <c r="AA107" s="20"/>
      <c r="AB107" s="20"/>
      <c r="AC107" s="21"/>
      <c r="AD107" s="1"/>
      <c r="AE107" s="36" t="s">
        <v>21</v>
      </c>
      <c r="AF107" s="19"/>
      <c r="AG107" s="20"/>
      <c r="AH107" s="20"/>
      <c r="AI107" s="20"/>
      <c r="AJ107" s="20"/>
      <c r="AK107" s="21"/>
    </row>
    <row r="108" spans="1:39" x14ac:dyDescent="0.25">
      <c r="A108" s="2"/>
      <c r="B108" s="2"/>
      <c r="C108" s="2"/>
      <c r="D108" s="2"/>
      <c r="E108" s="2"/>
      <c r="F108" s="2"/>
      <c r="G108" s="2"/>
      <c r="H108" s="2"/>
      <c r="I108" s="1"/>
      <c r="J108" s="37"/>
      <c r="K108" s="1"/>
      <c r="L108" s="1"/>
      <c r="M108" s="1"/>
      <c r="N108" s="1"/>
      <c r="O108" s="1"/>
      <c r="P108" s="1"/>
      <c r="Q108" s="1"/>
      <c r="R108" s="1"/>
      <c r="S108" s="1"/>
      <c r="T108" s="22" t="s">
        <v>22</v>
      </c>
      <c r="U108" s="23">
        <f>SUM(K107:U107)</f>
        <v>0</v>
      </c>
      <c r="V108" s="1"/>
      <c r="W108" s="2"/>
      <c r="X108" s="1"/>
      <c r="Y108" s="1"/>
      <c r="Z108" s="1"/>
      <c r="AA108" s="1"/>
      <c r="AB108" s="22" t="s">
        <v>22</v>
      </c>
      <c r="AC108" s="23">
        <f>SUM(X107:AC107)</f>
        <v>0</v>
      </c>
      <c r="AD108" s="1"/>
      <c r="AE108" s="2"/>
      <c r="AF108" s="1"/>
      <c r="AG108" s="1"/>
      <c r="AH108" s="1"/>
      <c r="AI108" s="1"/>
      <c r="AJ108" s="22" t="s">
        <v>22</v>
      </c>
      <c r="AK108" s="23">
        <f>SUM(AF107:AK107)</f>
        <v>0</v>
      </c>
    </row>
    <row r="109" spans="1:39" ht="15.75" thickBot="1" x14ac:dyDescent="0.3">
      <c r="A109" s="34"/>
      <c r="B109" s="171" t="s">
        <v>12</v>
      </c>
      <c r="C109" s="171"/>
      <c r="D109" s="171"/>
      <c r="E109" s="171"/>
      <c r="F109" s="171"/>
      <c r="G109" s="171"/>
      <c r="H109" s="171"/>
      <c r="I109" s="1"/>
      <c r="J109" s="172" t="s">
        <v>12</v>
      </c>
      <c r="K109" s="172"/>
      <c r="L109" s="172"/>
      <c r="M109" s="172"/>
      <c r="N109" s="172"/>
      <c r="O109" s="172"/>
      <c r="P109" s="172"/>
      <c r="Q109" s="172"/>
      <c r="R109" s="172"/>
      <c r="S109" s="172"/>
      <c r="T109" s="172"/>
      <c r="U109" s="172"/>
      <c r="V109" s="1"/>
      <c r="W109" s="173" t="str">
        <f>J109</f>
        <v>Março</v>
      </c>
      <c r="X109" s="173"/>
      <c r="Y109" s="173"/>
      <c r="Z109" s="173"/>
      <c r="AA109" s="173"/>
      <c r="AB109" s="173"/>
      <c r="AC109" s="173"/>
      <c r="AD109" s="1"/>
      <c r="AE109" s="174" t="str">
        <f>W109</f>
        <v>Março</v>
      </c>
      <c r="AF109" s="174"/>
      <c r="AG109" s="174"/>
      <c r="AH109" s="174"/>
      <c r="AI109" s="174"/>
      <c r="AJ109" s="174"/>
      <c r="AK109" s="174"/>
    </row>
    <row r="110" spans="1:39" ht="15.75" thickBot="1" x14ac:dyDescent="0.3">
      <c r="A110" s="168" t="s">
        <v>4</v>
      </c>
      <c r="B110" s="10" t="s">
        <v>5</v>
      </c>
      <c r="C110" s="11" t="s">
        <v>6</v>
      </c>
      <c r="D110" s="12" t="s">
        <v>7</v>
      </c>
      <c r="E110" s="11" t="s">
        <v>8</v>
      </c>
      <c r="F110" s="12" t="s">
        <v>9</v>
      </c>
      <c r="G110" s="11" t="s">
        <v>10</v>
      </c>
      <c r="H110" s="32" t="s">
        <v>11</v>
      </c>
      <c r="I110" s="1"/>
      <c r="J110" s="35" t="s">
        <v>3</v>
      </c>
      <c r="K110" s="14"/>
      <c r="L110" s="24"/>
      <c r="M110" s="24"/>
      <c r="N110" s="15"/>
      <c r="O110" s="15"/>
      <c r="P110" s="15"/>
      <c r="Q110" s="15"/>
      <c r="R110" s="15"/>
      <c r="S110" s="15"/>
      <c r="T110" s="15"/>
      <c r="U110" s="16"/>
      <c r="V110" s="1"/>
      <c r="W110" s="35" t="s">
        <v>3</v>
      </c>
      <c r="X110" s="14"/>
      <c r="Y110" s="15"/>
      <c r="Z110" s="15"/>
      <c r="AA110" s="15"/>
      <c r="AB110" s="15"/>
      <c r="AC110" s="16"/>
      <c r="AD110" s="1"/>
      <c r="AE110" s="35" t="s">
        <v>3</v>
      </c>
      <c r="AF110" s="14"/>
      <c r="AG110" s="15"/>
      <c r="AH110" s="15"/>
      <c r="AI110" s="15"/>
      <c r="AJ110" s="15"/>
      <c r="AK110" s="16"/>
    </row>
    <row r="111" spans="1:39" ht="15.75" thickBot="1" x14ac:dyDescent="0.3">
      <c r="A111" s="168"/>
      <c r="B111" s="17"/>
      <c r="C111" s="18"/>
      <c r="D111" s="18"/>
      <c r="E111" s="18"/>
      <c r="F111" s="18">
        <f>SUM(C111-B111)</f>
        <v>0</v>
      </c>
      <c r="G111" s="18">
        <f>SUM(E111-D111)</f>
        <v>0</v>
      </c>
      <c r="H111" s="33">
        <f>SUM(F111:G111)</f>
        <v>0</v>
      </c>
      <c r="I111" s="1"/>
      <c r="J111" s="36" t="s">
        <v>21</v>
      </c>
      <c r="K111" s="19"/>
      <c r="L111" s="20"/>
      <c r="M111" s="20"/>
      <c r="N111" s="20"/>
      <c r="O111" s="20"/>
      <c r="P111" s="20"/>
      <c r="Q111" s="20"/>
      <c r="R111" s="20"/>
      <c r="S111" s="20"/>
      <c r="T111" s="20"/>
      <c r="U111" s="21"/>
      <c r="V111" s="1"/>
      <c r="W111" s="36" t="s">
        <v>21</v>
      </c>
      <c r="X111" s="19"/>
      <c r="Y111" s="20"/>
      <c r="Z111" s="20"/>
      <c r="AA111" s="20"/>
      <c r="AB111" s="20"/>
      <c r="AC111" s="21"/>
      <c r="AD111" s="1"/>
      <c r="AE111" s="36" t="s">
        <v>21</v>
      </c>
      <c r="AF111" s="19"/>
      <c r="AG111" s="20"/>
      <c r="AH111" s="20"/>
      <c r="AI111" s="20"/>
      <c r="AJ111" s="20"/>
      <c r="AK111" s="21"/>
    </row>
    <row r="112" spans="1:39" x14ac:dyDescent="0.25">
      <c r="A112" s="2"/>
      <c r="B112" s="2"/>
      <c r="C112" s="2"/>
      <c r="D112" s="2"/>
      <c r="E112" s="2"/>
      <c r="F112" s="2"/>
      <c r="G112" s="2"/>
      <c r="H112" s="2"/>
      <c r="I112" s="1"/>
      <c r="J112" s="37"/>
      <c r="K112" s="1"/>
      <c r="L112" s="1"/>
      <c r="M112" s="1"/>
      <c r="N112" s="1"/>
      <c r="O112" s="1"/>
      <c r="P112" s="1"/>
      <c r="Q112" s="1"/>
      <c r="R112" s="1"/>
      <c r="S112" s="1"/>
      <c r="T112" s="22" t="s">
        <v>22</v>
      </c>
      <c r="U112" s="23">
        <f>SUM(K111:U111)</f>
        <v>0</v>
      </c>
      <c r="V112" s="1"/>
      <c r="W112" s="2"/>
      <c r="X112" s="1"/>
      <c r="Y112" s="1"/>
      <c r="Z112" s="1"/>
      <c r="AA112" s="1"/>
      <c r="AB112" s="22" t="s">
        <v>22</v>
      </c>
      <c r="AC112" s="23">
        <f>SUM(X111:AC111)</f>
        <v>0</v>
      </c>
      <c r="AD112" s="1"/>
      <c r="AE112" s="2"/>
      <c r="AF112" s="1"/>
      <c r="AG112" s="1"/>
      <c r="AH112" s="1"/>
      <c r="AI112" s="1"/>
      <c r="AJ112" s="22" t="s">
        <v>22</v>
      </c>
      <c r="AK112" s="23">
        <f>SUM(AF111:AK111)</f>
        <v>0</v>
      </c>
    </row>
    <row r="113" spans="1:37" ht="15.75" thickBot="1" x14ac:dyDescent="0.3">
      <c r="A113" s="34"/>
      <c r="B113" s="171" t="s">
        <v>13</v>
      </c>
      <c r="C113" s="171"/>
      <c r="D113" s="171"/>
      <c r="E113" s="171"/>
      <c r="F113" s="171"/>
      <c r="G113" s="171"/>
      <c r="H113" s="171"/>
      <c r="I113" s="1"/>
      <c r="J113" s="172" t="s">
        <v>13</v>
      </c>
      <c r="K113" s="172"/>
      <c r="L113" s="172"/>
      <c r="M113" s="172"/>
      <c r="N113" s="172"/>
      <c r="O113" s="172"/>
      <c r="P113" s="172"/>
      <c r="Q113" s="172"/>
      <c r="R113" s="172"/>
      <c r="S113" s="172"/>
      <c r="T113" s="172"/>
      <c r="U113" s="172"/>
      <c r="V113" s="1"/>
      <c r="W113" s="173" t="str">
        <f>J113</f>
        <v>Abril</v>
      </c>
      <c r="X113" s="173"/>
      <c r="Y113" s="173"/>
      <c r="Z113" s="173"/>
      <c r="AA113" s="173"/>
      <c r="AB113" s="173"/>
      <c r="AC113" s="173"/>
      <c r="AD113" s="1"/>
      <c r="AE113" s="174" t="str">
        <f>W113</f>
        <v>Abril</v>
      </c>
      <c r="AF113" s="174"/>
      <c r="AG113" s="174"/>
      <c r="AH113" s="174"/>
      <c r="AI113" s="174"/>
      <c r="AJ113" s="174"/>
      <c r="AK113" s="174"/>
    </row>
    <row r="114" spans="1:37" ht="15.75" thickBot="1" x14ac:dyDescent="0.3">
      <c r="A114" s="168" t="s">
        <v>4</v>
      </c>
      <c r="B114" s="10" t="s">
        <v>5</v>
      </c>
      <c r="C114" s="11" t="s">
        <v>6</v>
      </c>
      <c r="D114" s="12" t="s">
        <v>7</v>
      </c>
      <c r="E114" s="11" t="s">
        <v>8</v>
      </c>
      <c r="F114" s="12" t="s">
        <v>9</v>
      </c>
      <c r="G114" s="11" t="s">
        <v>10</v>
      </c>
      <c r="H114" s="32" t="s">
        <v>11</v>
      </c>
      <c r="I114" s="1"/>
      <c r="J114" s="35" t="s">
        <v>3</v>
      </c>
      <c r="K114" s="14"/>
      <c r="L114" s="15"/>
      <c r="M114" s="15"/>
      <c r="N114" s="15"/>
      <c r="O114" s="15"/>
      <c r="P114" s="15"/>
      <c r="Q114" s="15"/>
      <c r="R114" s="15"/>
      <c r="S114" s="15"/>
      <c r="T114" s="15"/>
      <c r="U114" s="16"/>
      <c r="V114" s="1"/>
      <c r="W114" s="35" t="s">
        <v>3</v>
      </c>
      <c r="X114" s="14"/>
      <c r="Y114" s="15"/>
      <c r="Z114" s="15"/>
      <c r="AA114" s="15"/>
      <c r="AB114" s="15"/>
      <c r="AC114" s="16"/>
      <c r="AD114" s="1"/>
      <c r="AE114" s="35" t="s">
        <v>3</v>
      </c>
      <c r="AF114" s="14"/>
      <c r="AG114" s="15"/>
      <c r="AH114" s="15"/>
      <c r="AI114" s="15"/>
      <c r="AJ114" s="15"/>
      <c r="AK114" s="16"/>
    </row>
    <row r="115" spans="1:37" ht="15.75" thickBot="1" x14ac:dyDescent="0.3">
      <c r="A115" s="168"/>
      <c r="B115" s="17"/>
      <c r="C115" s="18"/>
      <c r="D115" s="18"/>
      <c r="E115" s="18"/>
      <c r="F115" s="18">
        <f>SUM(C115-B115)</f>
        <v>0</v>
      </c>
      <c r="G115" s="18">
        <f>SUM(E115-D115)</f>
        <v>0</v>
      </c>
      <c r="H115" s="33">
        <f>SUM(F115:G115)</f>
        <v>0</v>
      </c>
      <c r="I115" s="1"/>
      <c r="J115" s="36" t="s">
        <v>21</v>
      </c>
      <c r="K115" s="25"/>
      <c r="L115" s="26"/>
      <c r="M115" s="26"/>
      <c r="N115" s="26"/>
      <c r="O115" s="26"/>
      <c r="P115" s="26"/>
      <c r="Q115" s="26"/>
      <c r="R115" s="26"/>
      <c r="S115" s="26"/>
      <c r="T115" s="26"/>
      <c r="U115" s="27"/>
      <c r="V115" s="1"/>
      <c r="W115" s="36" t="s">
        <v>21</v>
      </c>
      <c r="X115" s="19"/>
      <c r="Y115" s="20"/>
      <c r="Z115" s="20"/>
      <c r="AA115" s="20"/>
      <c r="AB115" s="20"/>
      <c r="AC115" s="21"/>
      <c r="AD115" s="1"/>
      <c r="AE115" s="36" t="s">
        <v>21</v>
      </c>
      <c r="AF115" s="19"/>
      <c r="AG115" s="20"/>
      <c r="AH115" s="20"/>
      <c r="AI115" s="20"/>
      <c r="AJ115" s="20"/>
      <c r="AK115" s="21"/>
    </row>
    <row r="116" spans="1:37" x14ac:dyDescent="0.25">
      <c r="A116" s="2"/>
      <c r="B116" s="2"/>
      <c r="C116" s="2"/>
      <c r="D116" s="2"/>
      <c r="E116" s="2"/>
      <c r="F116" s="2"/>
      <c r="G116" s="2"/>
      <c r="H116" s="2"/>
      <c r="I116" s="1"/>
      <c r="J116" s="37"/>
      <c r="K116" s="1"/>
      <c r="L116" s="1"/>
      <c r="M116" s="1"/>
      <c r="N116" s="1"/>
      <c r="O116" s="1"/>
      <c r="P116" s="1"/>
      <c r="Q116" s="1"/>
      <c r="R116" s="1"/>
      <c r="S116" s="1"/>
      <c r="T116" s="22" t="s">
        <v>22</v>
      </c>
      <c r="U116" s="23">
        <f>SUM(K115:U115)</f>
        <v>0</v>
      </c>
      <c r="V116" s="1"/>
      <c r="W116" s="2"/>
      <c r="X116" s="1"/>
      <c r="Y116" s="1"/>
      <c r="Z116" s="1"/>
      <c r="AA116" s="1"/>
      <c r="AB116" s="22" t="s">
        <v>22</v>
      </c>
      <c r="AC116" s="23">
        <f>SUM(X115:AC115)</f>
        <v>0</v>
      </c>
      <c r="AD116" s="1"/>
      <c r="AE116" s="2"/>
      <c r="AF116" s="1"/>
      <c r="AG116" s="1"/>
      <c r="AH116" s="1"/>
      <c r="AI116" s="1"/>
      <c r="AJ116" s="22" t="s">
        <v>22</v>
      </c>
      <c r="AK116" s="23">
        <f>SUM(AF115:AK115)</f>
        <v>0</v>
      </c>
    </row>
    <row r="117" spans="1:37" ht="15.75" thickBot="1" x14ac:dyDescent="0.3">
      <c r="A117" s="34"/>
      <c r="B117" s="171" t="s">
        <v>14</v>
      </c>
      <c r="C117" s="171"/>
      <c r="D117" s="171"/>
      <c r="E117" s="171"/>
      <c r="F117" s="171"/>
      <c r="G117" s="171"/>
      <c r="H117" s="171"/>
      <c r="I117" s="1"/>
      <c r="J117" s="172" t="s">
        <v>14</v>
      </c>
      <c r="K117" s="172"/>
      <c r="L117" s="172"/>
      <c r="M117" s="172"/>
      <c r="N117" s="172"/>
      <c r="O117" s="172"/>
      <c r="P117" s="172"/>
      <c r="Q117" s="172"/>
      <c r="R117" s="172"/>
      <c r="S117" s="172"/>
      <c r="T117" s="172"/>
      <c r="U117" s="172"/>
      <c r="V117" s="1"/>
      <c r="W117" s="173" t="str">
        <f>J117</f>
        <v>Maio</v>
      </c>
      <c r="X117" s="173"/>
      <c r="Y117" s="173"/>
      <c r="Z117" s="173"/>
      <c r="AA117" s="173"/>
      <c r="AB117" s="173"/>
      <c r="AC117" s="173"/>
      <c r="AD117" s="1"/>
      <c r="AE117" s="174" t="str">
        <f>W117</f>
        <v>Maio</v>
      </c>
      <c r="AF117" s="174"/>
      <c r="AG117" s="174"/>
      <c r="AH117" s="174"/>
      <c r="AI117" s="174"/>
      <c r="AJ117" s="174"/>
      <c r="AK117" s="174"/>
    </row>
    <row r="118" spans="1:37" ht="15.75" thickBot="1" x14ac:dyDescent="0.3">
      <c r="A118" s="168" t="s">
        <v>4</v>
      </c>
      <c r="B118" s="10" t="s">
        <v>5</v>
      </c>
      <c r="C118" s="11" t="s">
        <v>6</v>
      </c>
      <c r="D118" s="12" t="s">
        <v>7</v>
      </c>
      <c r="E118" s="11" t="s">
        <v>8</v>
      </c>
      <c r="F118" s="12" t="s">
        <v>9</v>
      </c>
      <c r="G118" s="11" t="s">
        <v>10</v>
      </c>
      <c r="H118" s="32" t="s">
        <v>11</v>
      </c>
      <c r="I118" s="1"/>
      <c r="J118" s="35" t="s">
        <v>3</v>
      </c>
      <c r="K118" s="14"/>
      <c r="L118" s="15"/>
      <c r="M118" s="15"/>
      <c r="N118" s="15"/>
      <c r="O118" s="15"/>
      <c r="P118" s="15"/>
      <c r="Q118" s="15"/>
      <c r="R118" s="15"/>
      <c r="S118" s="15"/>
      <c r="T118" s="15"/>
      <c r="U118" s="16"/>
      <c r="V118" s="1"/>
      <c r="W118" s="35" t="s">
        <v>3</v>
      </c>
      <c r="X118" s="14"/>
      <c r="Y118" s="15"/>
      <c r="Z118" s="15"/>
      <c r="AA118" s="15"/>
      <c r="AB118" s="15"/>
      <c r="AC118" s="16"/>
      <c r="AD118" s="1"/>
      <c r="AE118" s="35" t="s">
        <v>3</v>
      </c>
      <c r="AF118" s="14"/>
      <c r="AG118" s="15"/>
      <c r="AH118" s="15"/>
      <c r="AI118" s="15"/>
      <c r="AJ118" s="15"/>
      <c r="AK118" s="16"/>
    </row>
    <row r="119" spans="1:37" ht="15.75" thickBot="1" x14ac:dyDescent="0.3">
      <c r="A119" s="168"/>
      <c r="B119" s="17"/>
      <c r="C119" s="18"/>
      <c r="D119" s="18"/>
      <c r="E119" s="18"/>
      <c r="F119" s="18">
        <f>SUM(C119-B119)</f>
        <v>0</v>
      </c>
      <c r="G119" s="18">
        <f>SUM(E119-D119)</f>
        <v>0</v>
      </c>
      <c r="H119" s="33">
        <f>SUM(F119:G119)</f>
        <v>0</v>
      </c>
      <c r="I119" s="1"/>
      <c r="J119" s="36" t="s">
        <v>21</v>
      </c>
      <c r="K119" s="19"/>
      <c r="L119" s="20"/>
      <c r="M119" s="20"/>
      <c r="N119" s="20"/>
      <c r="O119" s="20"/>
      <c r="P119" s="20"/>
      <c r="Q119" s="20"/>
      <c r="R119" s="20"/>
      <c r="S119" s="20"/>
      <c r="T119" s="20"/>
      <c r="U119" s="21"/>
      <c r="V119" s="1"/>
      <c r="W119" s="36" t="s">
        <v>21</v>
      </c>
      <c r="X119" s="19"/>
      <c r="Y119" s="20"/>
      <c r="Z119" s="20"/>
      <c r="AA119" s="20"/>
      <c r="AB119" s="20"/>
      <c r="AC119" s="21"/>
      <c r="AD119" s="1"/>
      <c r="AE119" s="36" t="s">
        <v>21</v>
      </c>
      <c r="AF119" s="19"/>
      <c r="AG119" s="20"/>
      <c r="AH119" s="20"/>
      <c r="AI119" s="20"/>
      <c r="AJ119" s="20"/>
      <c r="AK119" s="21"/>
    </row>
    <row r="120" spans="1:37" x14ac:dyDescent="0.25">
      <c r="A120" s="2"/>
      <c r="B120" s="2"/>
      <c r="C120" s="2"/>
      <c r="D120" s="2"/>
      <c r="E120" s="2"/>
      <c r="F120" s="2"/>
      <c r="G120" s="2"/>
      <c r="H120" s="2"/>
      <c r="I120" s="1"/>
      <c r="J120" s="37"/>
      <c r="K120" s="1"/>
      <c r="L120" s="1"/>
      <c r="M120" s="1"/>
      <c r="N120" s="1"/>
      <c r="O120" s="1"/>
      <c r="P120" s="1"/>
      <c r="Q120" s="1"/>
      <c r="R120" s="1"/>
      <c r="S120" s="1"/>
      <c r="T120" s="22" t="s">
        <v>22</v>
      </c>
      <c r="U120" s="23">
        <f>SUM(K119:U119)</f>
        <v>0</v>
      </c>
      <c r="V120" s="1"/>
      <c r="W120" s="2"/>
      <c r="X120" s="1"/>
      <c r="Y120" s="1"/>
      <c r="Z120" s="1"/>
      <c r="AA120" s="1"/>
      <c r="AB120" s="22" t="s">
        <v>22</v>
      </c>
      <c r="AC120" s="23">
        <f>SUM(X119:AC119)</f>
        <v>0</v>
      </c>
      <c r="AD120" s="1"/>
      <c r="AE120" s="2"/>
      <c r="AF120" s="1"/>
      <c r="AG120" s="1"/>
      <c r="AH120" s="1"/>
      <c r="AI120" s="1"/>
      <c r="AJ120" s="22" t="s">
        <v>22</v>
      </c>
      <c r="AK120" s="23">
        <f>SUM(AF119:AK119)</f>
        <v>0</v>
      </c>
    </row>
    <row r="121" spans="1:37" ht="15.75" thickBot="1" x14ac:dyDescent="0.3">
      <c r="A121" s="34"/>
      <c r="B121" s="171" t="s">
        <v>23</v>
      </c>
      <c r="C121" s="171"/>
      <c r="D121" s="171"/>
      <c r="E121" s="171"/>
      <c r="F121" s="171"/>
      <c r="G121" s="171"/>
      <c r="H121" s="171"/>
      <c r="I121" s="1"/>
      <c r="J121" s="172" t="s">
        <v>23</v>
      </c>
      <c r="K121" s="172"/>
      <c r="L121" s="172"/>
      <c r="M121" s="172"/>
      <c r="N121" s="172"/>
      <c r="O121" s="172"/>
      <c r="P121" s="172"/>
      <c r="Q121" s="172"/>
      <c r="R121" s="172"/>
      <c r="S121" s="172"/>
      <c r="T121" s="172"/>
      <c r="U121" s="172"/>
      <c r="V121" s="1"/>
      <c r="W121" s="173" t="str">
        <f>J121</f>
        <v>Junho</v>
      </c>
      <c r="X121" s="173"/>
      <c r="Y121" s="173"/>
      <c r="Z121" s="173"/>
      <c r="AA121" s="173"/>
      <c r="AB121" s="173"/>
      <c r="AC121" s="173"/>
      <c r="AD121" s="1"/>
      <c r="AE121" s="174" t="str">
        <f>W121</f>
        <v>Junho</v>
      </c>
      <c r="AF121" s="174"/>
      <c r="AG121" s="174"/>
      <c r="AH121" s="174"/>
      <c r="AI121" s="174"/>
      <c r="AJ121" s="174"/>
      <c r="AK121" s="174"/>
    </row>
    <row r="122" spans="1:37" ht="15.75" thickBot="1" x14ac:dyDescent="0.3">
      <c r="A122" s="168" t="s">
        <v>4</v>
      </c>
      <c r="B122" s="10" t="s">
        <v>5</v>
      </c>
      <c r="C122" s="11" t="s">
        <v>6</v>
      </c>
      <c r="D122" s="12" t="s">
        <v>7</v>
      </c>
      <c r="E122" s="11" t="s">
        <v>8</v>
      </c>
      <c r="F122" s="12" t="s">
        <v>9</v>
      </c>
      <c r="G122" s="11" t="s">
        <v>10</v>
      </c>
      <c r="H122" s="32" t="s">
        <v>11</v>
      </c>
      <c r="I122" s="1"/>
      <c r="J122" s="35" t="s">
        <v>3</v>
      </c>
      <c r="K122" s="14"/>
      <c r="L122" s="15"/>
      <c r="M122" s="15"/>
      <c r="N122" s="15"/>
      <c r="O122" s="15"/>
      <c r="P122" s="15"/>
      <c r="Q122" s="15"/>
      <c r="R122" s="15"/>
      <c r="S122" s="15"/>
      <c r="T122" s="15"/>
      <c r="U122" s="16"/>
      <c r="V122" s="1"/>
      <c r="W122" s="35" t="s">
        <v>3</v>
      </c>
      <c r="X122" s="14"/>
      <c r="Y122" s="15"/>
      <c r="Z122" s="15"/>
      <c r="AA122" s="15"/>
      <c r="AB122" s="15"/>
      <c r="AC122" s="16"/>
      <c r="AD122" s="1"/>
      <c r="AE122" s="35" t="s">
        <v>3</v>
      </c>
      <c r="AF122" s="14"/>
      <c r="AG122" s="15"/>
      <c r="AH122" s="15"/>
      <c r="AI122" s="15"/>
      <c r="AJ122" s="15"/>
      <c r="AK122" s="16"/>
    </row>
    <row r="123" spans="1:37" ht="15.75" thickBot="1" x14ac:dyDescent="0.3">
      <c r="A123" s="168"/>
      <c r="B123" s="17"/>
      <c r="C123" s="18"/>
      <c r="D123" s="18"/>
      <c r="E123" s="18"/>
      <c r="F123" s="18">
        <f>SUM(C123-B123)</f>
        <v>0</v>
      </c>
      <c r="G123" s="18">
        <f>SUM(E123-D123)</f>
        <v>0</v>
      </c>
      <c r="H123" s="33">
        <f>SUM(F123:G123)</f>
        <v>0</v>
      </c>
      <c r="I123" s="1"/>
      <c r="J123" s="36" t="s">
        <v>21</v>
      </c>
      <c r="K123" s="19"/>
      <c r="L123" s="20"/>
      <c r="M123" s="20"/>
      <c r="N123" s="20"/>
      <c r="O123" s="20"/>
      <c r="P123" s="20"/>
      <c r="Q123" s="20"/>
      <c r="R123" s="20"/>
      <c r="S123" s="20"/>
      <c r="T123" s="20"/>
      <c r="U123" s="21"/>
      <c r="V123" s="1"/>
      <c r="W123" s="36" t="s">
        <v>21</v>
      </c>
      <c r="X123" s="19"/>
      <c r="Y123" s="20"/>
      <c r="Z123" s="20"/>
      <c r="AA123" s="20"/>
      <c r="AB123" s="20"/>
      <c r="AC123" s="21"/>
      <c r="AD123" s="1"/>
      <c r="AE123" s="36" t="s">
        <v>21</v>
      </c>
      <c r="AF123" s="19"/>
      <c r="AG123" s="20"/>
      <c r="AH123" s="20"/>
      <c r="AI123" s="20"/>
      <c r="AJ123" s="20"/>
      <c r="AK123" s="21"/>
    </row>
    <row r="124" spans="1:37" x14ac:dyDescent="0.25">
      <c r="A124" s="2"/>
      <c r="B124" s="2"/>
      <c r="C124" s="2"/>
      <c r="D124" s="2"/>
      <c r="E124" s="2"/>
      <c r="F124" s="2"/>
      <c r="G124" s="2"/>
      <c r="H124" s="2"/>
      <c r="I124" s="1"/>
      <c r="J124" s="37"/>
      <c r="K124" s="1"/>
      <c r="L124" s="1"/>
      <c r="M124" s="1"/>
      <c r="N124" s="1"/>
      <c r="O124" s="1"/>
      <c r="P124" s="1"/>
      <c r="Q124" s="1"/>
      <c r="R124" s="1"/>
      <c r="S124" s="1"/>
      <c r="T124" s="22" t="s">
        <v>22</v>
      </c>
      <c r="U124" s="23">
        <f>SUM(K123:U123)</f>
        <v>0</v>
      </c>
      <c r="V124" s="1"/>
      <c r="W124" s="2"/>
      <c r="X124" s="1"/>
      <c r="Y124" s="1"/>
      <c r="Z124" s="1"/>
      <c r="AA124" s="1"/>
      <c r="AB124" s="22" t="s">
        <v>22</v>
      </c>
      <c r="AC124" s="23">
        <f>SUM(X123:AC123)</f>
        <v>0</v>
      </c>
      <c r="AD124" s="1"/>
      <c r="AE124" s="2"/>
      <c r="AF124" s="1"/>
      <c r="AG124" s="1"/>
      <c r="AH124" s="1"/>
      <c r="AI124" s="1"/>
      <c r="AJ124" s="22" t="s">
        <v>22</v>
      </c>
      <c r="AK124" s="23">
        <f>SUM(AF123:AK123)</f>
        <v>0</v>
      </c>
    </row>
    <row r="125" spans="1:37" ht="15.75" thickBot="1" x14ac:dyDescent="0.3">
      <c r="A125" s="34"/>
      <c r="B125" s="171" t="s">
        <v>15</v>
      </c>
      <c r="C125" s="171"/>
      <c r="D125" s="171"/>
      <c r="E125" s="171"/>
      <c r="F125" s="171"/>
      <c r="G125" s="171"/>
      <c r="H125" s="171"/>
      <c r="I125" s="1"/>
      <c r="J125" s="172" t="s">
        <v>15</v>
      </c>
      <c r="K125" s="172"/>
      <c r="L125" s="172"/>
      <c r="M125" s="172"/>
      <c r="N125" s="172"/>
      <c r="O125" s="172"/>
      <c r="P125" s="172"/>
      <c r="Q125" s="172"/>
      <c r="R125" s="172"/>
      <c r="S125" s="172"/>
      <c r="T125" s="172"/>
      <c r="U125" s="172"/>
      <c r="V125" s="1"/>
      <c r="W125" s="173" t="str">
        <f>J125</f>
        <v>Julho</v>
      </c>
      <c r="X125" s="173"/>
      <c r="Y125" s="173"/>
      <c r="Z125" s="173"/>
      <c r="AA125" s="173"/>
      <c r="AB125" s="173"/>
      <c r="AC125" s="173"/>
      <c r="AD125" s="1"/>
      <c r="AE125" s="174" t="str">
        <f>W125</f>
        <v>Julho</v>
      </c>
      <c r="AF125" s="174"/>
      <c r="AG125" s="174"/>
      <c r="AH125" s="174"/>
      <c r="AI125" s="174"/>
      <c r="AJ125" s="174"/>
      <c r="AK125" s="174"/>
    </row>
    <row r="126" spans="1:37" ht="15.75" thickBot="1" x14ac:dyDescent="0.3">
      <c r="A126" s="168" t="s">
        <v>4</v>
      </c>
      <c r="B126" s="10" t="s">
        <v>5</v>
      </c>
      <c r="C126" s="11" t="s">
        <v>6</v>
      </c>
      <c r="D126" s="12" t="s">
        <v>7</v>
      </c>
      <c r="E126" s="11" t="s">
        <v>8</v>
      </c>
      <c r="F126" s="12" t="s">
        <v>9</v>
      </c>
      <c r="G126" s="11" t="s">
        <v>10</v>
      </c>
      <c r="H126" s="32" t="s">
        <v>11</v>
      </c>
      <c r="I126" s="1"/>
      <c r="J126" s="35" t="s">
        <v>3</v>
      </c>
      <c r="K126" s="14"/>
      <c r="L126" s="15"/>
      <c r="M126" s="15"/>
      <c r="N126" s="15"/>
      <c r="O126" s="15"/>
      <c r="P126" s="15"/>
      <c r="Q126" s="15"/>
      <c r="R126" s="15"/>
      <c r="S126" s="15"/>
      <c r="T126" s="15"/>
      <c r="U126" s="16"/>
      <c r="V126" s="1"/>
      <c r="W126" s="35" t="s">
        <v>3</v>
      </c>
      <c r="X126" s="14"/>
      <c r="Y126" s="15"/>
      <c r="Z126" s="15"/>
      <c r="AA126" s="15"/>
      <c r="AB126" s="15"/>
      <c r="AC126" s="16"/>
      <c r="AD126" s="1"/>
      <c r="AE126" s="35" t="s">
        <v>3</v>
      </c>
      <c r="AF126" s="14"/>
      <c r="AG126" s="15"/>
      <c r="AH126" s="15"/>
      <c r="AI126" s="15"/>
      <c r="AJ126" s="15"/>
      <c r="AK126" s="16"/>
    </row>
    <row r="127" spans="1:37" ht="15.75" thickBot="1" x14ac:dyDescent="0.3">
      <c r="A127" s="168"/>
      <c r="B127" s="17"/>
      <c r="C127" s="18"/>
      <c r="D127" s="18"/>
      <c r="E127" s="18"/>
      <c r="F127" s="18">
        <f>SUM(C127-B127)</f>
        <v>0</v>
      </c>
      <c r="G127" s="18">
        <f>SUM(E127-D127)</f>
        <v>0</v>
      </c>
      <c r="H127" s="33">
        <f>SUM(F127:G127)</f>
        <v>0</v>
      </c>
      <c r="I127" s="1"/>
      <c r="J127" s="36" t="s">
        <v>21</v>
      </c>
      <c r="K127" s="19"/>
      <c r="L127" s="20"/>
      <c r="M127" s="20"/>
      <c r="N127" s="20"/>
      <c r="O127" s="20"/>
      <c r="P127" s="20"/>
      <c r="Q127" s="20"/>
      <c r="R127" s="20"/>
      <c r="S127" s="20"/>
      <c r="T127" s="20"/>
      <c r="U127" s="21"/>
      <c r="V127" s="1"/>
      <c r="W127" s="36" t="s">
        <v>21</v>
      </c>
      <c r="X127" s="19"/>
      <c r="Y127" s="20"/>
      <c r="Z127" s="20"/>
      <c r="AA127" s="20"/>
      <c r="AB127" s="20"/>
      <c r="AC127" s="21"/>
      <c r="AD127" s="1"/>
      <c r="AE127" s="36" t="s">
        <v>21</v>
      </c>
      <c r="AF127" s="19"/>
      <c r="AG127" s="20"/>
      <c r="AH127" s="20"/>
      <c r="AI127" s="20"/>
      <c r="AJ127" s="20"/>
      <c r="AK127" s="21"/>
    </row>
    <row r="128" spans="1:37" x14ac:dyDescent="0.25">
      <c r="A128" s="2"/>
      <c r="B128" s="2"/>
      <c r="C128" s="2"/>
      <c r="D128" s="2"/>
      <c r="E128" s="2"/>
      <c r="F128" s="2"/>
      <c r="G128" s="2"/>
      <c r="H128" s="2"/>
      <c r="I128" s="1"/>
      <c r="J128" s="37"/>
      <c r="K128" s="1"/>
      <c r="L128" s="1"/>
      <c r="M128" s="1"/>
      <c r="N128" s="1"/>
      <c r="O128" s="1"/>
      <c r="P128" s="1"/>
      <c r="Q128" s="1"/>
      <c r="R128" s="1"/>
      <c r="S128" s="1"/>
      <c r="T128" s="22" t="s">
        <v>22</v>
      </c>
      <c r="U128" s="23">
        <f>SUM(K127:U127)</f>
        <v>0</v>
      </c>
      <c r="V128" s="1"/>
      <c r="W128" s="2"/>
      <c r="X128" s="1"/>
      <c r="Y128" s="1"/>
      <c r="Z128" s="1"/>
      <c r="AA128" s="1"/>
      <c r="AB128" s="22" t="s">
        <v>22</v>
      </c>
      <c r="AC128" s="23">
        <f>SUM(X127:AC127)</f>
        <v>0</v>
      </c>
      <c r="AD128" s="1"/>
      <c r="AE128" s="2"/>
      <c r="AF128" s="1"/>
      <c r="AG128" s="1"/>
      <c r="AH128" s="1"/>
      <c r="AI128" s="1"/>
      <c r="AJ128" s="22" t="s">
        <v>22</v>
      </c>
      <c r="AK128" s="23">
        <f>SUM(AF127:AK127)</f>
        <v>0</v>
      </c>
    </row>
  </sheetData>
  <mergeCells count="158">
    <mergeCell ref="A126:A127"/>
    <mergeCell ref="A118:A119"/>
    <mergeCell ref="B121:H121"/>
    <mergeCell ref="J121:U121"/>
    <mergeCell ref="W121:AC121"/>
    <mergeCell ref="AE121:AK121"/>
    <mergeCell ref="A122:A123"/>
    <mergeCell ref="B125:H125"/>
    <mergeCell ref="J125:U125"/>
    <mergeCell ref="W125:AC125"/>
    <mergeCell ref="AE125:AK125"/>
    <mergeCell ref="A110:A111"/>
    <mergeCell ref="B113:H113"/>
    <mergeCell ref="J113:U113"/>
    <mergeCell ref="W113:AC113"/>
    <mergeCell ref="AE113:AK113"/>
    <mergeCell ref="A114:A115"/>
    <mergeCell ref="B117:H117"/>
    <mergeCell ref="J117:U117"/>
    <mergeCell ref="W117:AC117"/>
    <mergeCell ref="AE117:AK117"/>
    <mergeCell ref="A102:A103"/>
    <mergeCell ref="B105:H105"/>
    <mergeCell ref="J105:U105"/>
    <mergeCell ref="W105:AC105"/>
    <mergeCell ref="AE105:AK105"/>
    <mergeCell ref="A106:A107"/>
    <mergeCell ref="B109:H109"/>
    <mergeCell ref="J109:U109"/>
    <mergeCell ref="W109:AC109"/>
    <mergeCell ref="AE109:AK109"/>
    <mergeCell ref="B97:H97"/>
    <mergeCell ref="J97:U97"/>
    <mergeCell ref="Y97:AE97"/>
    <mergeCell ref="AG97:AM97"/>
    <mergeCell ref="A98:A99"/>
    <mergeCell ref="B101:H101"/>
    <mergeCell ref="J101:U101"/>
    <mergeCell ref="W101:AC101"/>
    <mergeCell ref="AE101:AK101"/>
    <mergeCell ref="A82:A83"/>
    <mergeCell ref="B85:H85"/>
    <mergeCell ref="J85:U85"/>
    <mergeCell ref="W85:AC85"/>
    <mergeCell ref="AE85:AK85"/>
    <mergeCell ref="A86:A87"/>
    <mergeCell ref="B77:H77"/>
    <mergeCell ref="J77:U77"/>
    <mergeCell ref="W77:AC77"/>
    <mergeCell ref="AE77:AK77"/>
    <mergeCell ref="A78:A79"/>
    <mergeCell ref="B81:H81"/>
    <mergeCell ref="J81:U81"/>
    <mergeCell ref="W81:AC81"/>
    <mergeCell ref="AE81:AK81"/>
    <mergeCell ref="A70:A71"/>
    <mergeCell ref="B73:H73"/>
    <mergeCell ref="J73:U73"/>
    <mergeCell ref="W73:AC73"/>
    <mergeCell ref="AE73:AK73"/>
    <mergeCell ref="A74:A75"/>
    <mergeCell ref="B65:H65"/>
    <mergeCell ref="J65:U65"/>
    <mergeCell ref="W65:AC65"/>
    <mergeCell ref="AE65:AK65"/>
    <mergeCell ref="A66:A67"/>
    <mergeCell ref="B69:H69"/>
    <mergeCell ref="J69:U69"/>
    <mergeCell ref="W69:AC69"/>
    <mergeCell ref="AE69:AK69"/>
    <mergeCell ref="A58:A59"/>
    <mergeCell ref="B61:H61"/>
    <mergeCell ref="J61:U61"/>
    <mergeCell ref="W61:AC61"/>
    <mergeCell ref="AE61:AK61"/>
    <mergeCell ref="A62:A63"/>
    <mergeCell ref="B53:H53"/>
    <mergeCell ref="J53:U53"/>
    <mergeCell ref="W53:AC53"/>
    <mergeCell ref="AE53:AK53"/>
    <mergeCell ref="A54:A55"/>
    <mergeCell ref="B57:H57"/>
    <mergeCell ref="J57:U57"/>
    <mergeCell ref="W57:AC57"/>
    <mergeCell ref="AE57:AK57"/>
    <mergeCell ref="A46:A47"/>
    <mergeCell ref="B49:H49"/>
    <mergeCell ref="J49:U49"/>
    <mergeCell ref="W49:AC49"/>
    <mergeCell ref="AE49:AK49"/>
    <mergeCell ref="A50:A51"/>
    <mergeCell ref="B41:H41"/>
    <mergeCell ref="J41:U41"/>
    <mergeCell ref="W41:AC41"/>
    <mergeCell ref="AE41:AK41"/>
    <mergeCell ref="A42:A43"/>
    <mergeCell ref="B45:H45"/>
    <mergeCell ref="J45:U45"/>
    <mergeCell ref="W45:AC45"/>
    <mergeCell ref="AE45:AK45"/>
    <mergeCell ref="A34:A35"/>
    <mergeCell ref="B37:H37"/>
    <mergeCell ref="J37:U37"/>
    <mergeCell ref="W37:AC37"/>
    <mergeCell ref="AE37:AK37"/>
    <mergeCell ref="A38:A39"/>
    <mergeCell ref="B29:H29"/>
    <mergeCell ref="J29:U29"/>
    <mergeCell ref="W29:AC29"/>
    <mergeCell ref="AE29:AK29"/>
    <mergeCell ref="A30:A31"/>
    <mergeCell ref="B33:H33"/>
    <mergeCell ref="J33:U33"/>
    <mergeCell ref="W33:AC33"/>
    <mergeCell ref="AE33:AK33"/>
    <mergeCell ref="A22:A23"/>
    <mergeCell ref="B25:H25"/>
    <mergeCell ref="J25:U25"/>
    <mergeCell ref="W25:AC25"/>
    <mergeCell ref="AE25:AK25"/>
    <mergeCell ref="A26:A27"/>
    <mergeCell ref="B17:H17"/>
    <mergeCell ref="J17:U17"/>
    <mergeCell ref="W17:AC17"/>
    <mergeCell ref="AE17:AK17"/>
    <mergeCell ref="A18:A19"/>
    <mergeCell ref="B21:H21"/>
    <mergeCell ref="J21:U21"/>
    <mergeCell ref="W21:AC21"/>
    <mergeCell ref="AE21:AK21"/>
    <mergeCell ref="W13:AC13"/>
    <mergeCell ref="AE13:AK13"/>
    <mergeCell ref="A14:A15"/>
    <mergeCell ref="W7:AC7"/>
    <mergeCell ref="AE7:AK7"/>
    <mergeCell ref="B9:H9"/>
    <mergeCell ref="J9:U9"/>
    <mergeCell ref="W9:AC9"/>
    <mergeCell ref="AE9:AK9"/>
    <mergeCell ref="B2:C2"/>
    <mergeCell ref="E2:F2"/>
    <mergeCell ref="B4:C4"/>
    <mergeCell ref="E4:F4"/>
    <mergeCell ref="A7:H7"/>
    <mergeCell ref="J7:U7"/>
    <mergeCell ref="A10:A11"/>
    <mergeCell ref="B13:H13"/>
    <mergeCell ref="J13:U13"/>
    <mergeCell ref="A94:A95"/>
    <mergeCell ref="B89:H89"/>
    <mergeCell ref="J89:U89"/>
    <mergeCell ref="W89:AC89"/>
    <mergeCell ref="AE89:AK89"/>
    <mergeCell ref="A90:A91"/>
    <mergeCell ref="B93:H93"/>
    <mergeCell ref="J93:U93"/>
    <mergeCell ref="W93:AC93"/>
    <mergeCell ref="AE93:AK93"/>
  </mergeCells>
  <pageMargins left="0.511811024" right="0.511811024" top="0.78740157499999996" bottom="0.78740157499999996" header="0.31496062000000002" footer="0.31496062000000002"/>
  <legacy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EAA081-6DFC-41D9-B282-3C7E39A38644}">
  <dimension ref="A1:AK63"/>
  <sheetViews>
    <sheetView workbookViewId="0">
      <selection activeCell="H27" sqref="H27"/>
    </sheetView>
  </sheetViews>
  <sheetFormatPr defaultRowHeight="15" x14ac:dyDescent="0.25"/>
  <cols>
    <col min="1" max="1" width="14.85546875" style="2" customWidth="1"/>
    <col min="2" max="2" width="11.7109375" style="2" bestFit="1" customWidth="1"/>
    <col min="3" max="3" width="9.28515625" style="2" bestFit="1" customWidth="1"/>
    <col min="4" max="4" width="10.7109375" style="2" customWidth="1"/>
    <col min="5" max="5" width="9.28515625" style="2" bestFit="1" customWidth="1"/>
    <col min="6" max="6" width="13.140625" style="1" customWidth="1"/>
    <col min="7" max="7" width="13.85546875" style="1" customWidth="1"/>
    <col min="8" max="8" width="11.85546875" style="1" bestFit="1" customWidth="1"/>
    <col min="9" max="9" width="13.28515625" style="1" customWidth="1"/>
    <col min="10" max="10" width="11.140625" style="2" customWidth="1"/>
    <col min="11" max="13" width="10.42578125" style="1" bestFit="1" customWidth="1"/>
    <col min="14" max="20" width="9.140625" style="1"/>
    <col min="21" max="21" width="10.42578125" style="1" bestFit="1" customWidth="1"/>
    <col min="22" max="22" width="9.140625" style="1"/>
    <col min="23" max="23" width="9.140625" style="2"/>
    <col min="24" max="30" width="9.140625" style="1"/>
    <col min="31" max="31" width="9.140625" style="2"/>
    <col min="32" max="33" width="9.140625" style="1"/>
    <col min="34" max="36" width="10.140625" style="1" bestFit="1" customWidth="1"/>
    <col min="37" max="37" width="9.140625" style="1"/>
  </cols>
  <sheetData>
    <row r="1" spans="1:37" ht="21" x14ac:dyDescent="0.25">
      <c r="A1" s="162"/>
      <c r="B1" s="164" t="s">
        <v>51</v>
      </c>
      <c r="C1" s="164"/>
      <c r="D1" s="164"/>
      <c r="E1" s="164"/>
      <c r="F1" s="164"/>
      <c r="G1" s="164"/>
      <c r="H1" s="164"/>
      <c r="I1" s="164"/>
      <c r="J1" s="164"/>
      <c r="K1" s="164"/>
      <c r="L1" s="164"/>
      <c r="M1" s="164"/>
      <c r="N1" s="164"/>
      <c r="O1" s="164"/>
      <c r="P1" s="164"/>
      <c r="Q1" s="164"/>
      <c r="R1" s="164"/>
      <c r="S1" s="164"/>
      <c r="T1" s="164"/>
      <c r="U1" s="164"/>
      <c r="V1" s="164"/>
      <c r="W1" s="164"/>
      <c r="X1" s="164"/>
      <c r="Y1" s="164"/>
      <c r="Z1" s="164"/>
      <c r="AA1" s="164"/>
      <c r="AB1" s="164"/>
      <c r="AC1" s="164"/>
      <c r="AD1" s="164"/>
      <c r="AE1" s="164"/>
      <c r="AF1" s="164"/>
      <c r="AG1" s="164"/>
      <c r="AH1" s="164"/>
      <c r="AI1" s="164"/>
      <c r="AJ1" s="164"/>
      <c r="AK1" s="165"/>
    </row>
    <row r="2" spans="1:37" ht="21" x14ac:dyDescent="0.25">
      <c r="A2" s="163"/>
      <c r="B2" s="166" t="s">
        <v>50</v>
      </c>
      <c r="C2" s="166"/>
      <c r="D2" s="166"/>
      <c r="E2" s="166"/>
      <c r="F2" s="166"/>
      <c r="G2" s="166"/>
      <c r="H2" s="166"/>
      <c r="I2" s="166"/>
      <c r="J2" s="166"/>
      <c r="K2" s="166"/>
      <c r="L2" s="166"/>
      <c r="M2" s="166"/>
      <c r="N2" s="166"/>
      <c r="O2" s="166"/>
      <c r="P2" s="166"/>
      <c r="Q2" s="166"/>
      <c r="R2" s="166"/>
      <c r="S2" s="166"/>
      <c r="T2" s="166"/>
      <c r="U2" s="166"/>
      <c r="V2" s="166"/>
      <c r="W2" s="166"/>
      <c r="X2" s="166"/>
      <c r="Y2" s="166"/>
      <c r="Z2" s="166"/>
      <c r="AA2" s="166"/>
      <c r="AB2" s="166"/>
      <c r="AC2" s="166"/>
      <c r="AD2" s="166"/>
      <c r="AE2" s="166"/>
      <c r="AF2" s="166"/>
      <c r="AG2" s="166"/>
      <c r="AH2" s="166"/>
      <c r="AI2" s="166"/>
      <c r="AJ2" s="166"/>
      <c r="AK2" s="167"/>
    </row>
    <row r="4" spans="1:37" x14ac:dyDescent="0.25">
      <c r="A4" s="34" t="s">
        <v>47</v>
      </c>
      <c r="B4" s="161" t="s">
        <v>81</v>
      </c>
      <c r="C4" s="161"/>
      <c r="D4" s="34" t="s">
        <v>0</v>
      </c>
      <c r="E4" s="161" t="s">
        <v>153</v>
      </c>
      <c r="F4" s="161"/>
      <c r="G4" s="34" t="s">
        <v>125</v>
      </c>
      <c r="H4" s="140">
        <v>3000</v>
      </c>
    </row>
    <row r="5" spans="1:37" x14ac:dyDescent="0.25">
      <c r="A5" s="34"/>
      <c r="D5" s="34"/>
      <c r="F5" s="2"/>
      <c r="G5" s="34"/>
      <c r="H5" s="2"/>
    </row>
    <row r="6" spans="1:37" x14ac:dyDescent="0.25">
      <c r="A6" s="34" t="s">
        <v>48</v>
      </c>
      <c r="B6" s="187">
        <v>3837</v>
      </c>
      <c r="C6" s="187"/>
      <c r="D6" s="34" t="s">
        <v>44</v>
      </c>
      <c r="E6" s="187">
        <v>45</v>
      </c>
      <c r="F6" s="187"/>
      <c r="G6" s="34" t="s">
        <v>46</v>
      </c>
      <c r="H6" s="143">
        <v>46010</v>
      </c>
      <c r="I6" s="34" t="s">
        <v>146</v>
      </c>
      <c r="J6" s="143">
        <v>46041</v>
      </c>
    </row>
    <row r="9" spans="1:37" ht="18.75" x14ac:dyDescent="0.3">
      <c r="A9" s="169" t="s">
        <v>26</v>
      </c>
      <c r="B9" s="169"/>
      <c r="C9" s="169"/>
      <c r="D9" s="169"/>
      <c r="E9" s="169"/>
      <c r="F9" s="169"/>
      <c r="G9" s="169"/>
      <c r="H9" s="169"/>
      <c r="I9" s="28"/>
      <c r="J9" s="169" t="s">
        <v>24</v>
      </c>
      <c r="K9" s="169"/>
      <c r="L9" s="169"/>
      <c r="M9" s="169"/>
      <c r="N9" s="169"/>
      <c r="O9" s="169"/>
      <c r="P9" s="169"/>
      <c r="Q9" s="169"/>
      <c r="R9" s="169"/>
      <c r="S9" s="169"/>
      <c r="T9" s="169"/>
      <c r="U9" s="169"/>
      <c r="V9" s="29"/>
      <c r="W9" s="170" t="s">
        <v>49</v>
      </c>
      <c r="X9" s="170"/>
      <c r="Y9" s="170"/>
      <c r="Z9" s="170"/>
      <c r="AA9" s="170"/>
      <c r="AB9" s="170"/>
      <c r="AC9" s="170"/>
      <c r="AD9" s="29"/>
      <c r="AE9" s="170" t="s">
        <v>25</v>
      </c>
      <c r="AF9" s="170"/>
      <c r="AG9" s="170"/>
      <c r="AH9" s="170"/>
      <c r="AI9" s="170"/>
      <c r="AJ9" s="170"/>
      <c r="AK9" s="170"/>
    </row>
    <row r="10" spans="1:37" x14ac:dyDescent="0.25">
      <c r="A10" s="7"/>
      <c r="B10" s="7"/>
      <c r="C10" s="7"/>
      <c r="D10" s="7"/>
      <c r="E10" s="7"/>
      <c r="F10" s="7"/>
      <c r="G10" s="7"/>
      <c r="H10" s="7"/>
      <c r="I10" s="6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8"/>
      <c r="W10" s="9"/>
      <c r="X10" s="9"/>
      <c r="Y10" s="9"/>
      <c r="Z10" s="9"/>
      <c r="AA10" s="9"/>
      <c r="AB10" s="9"/>
      <c r="AC10" s="9"/>
      <c r="AD10" s="8"/>
      <c r="AE10" s="9"/>
      <c r="AF10" s="9"/>
      <c r="AG10" s="9"/>
      <c r="AH10" s="9"/>
      <c r="AI10" s="9"/>
      <c r="AJ10" s="9"/>
      <c r="AK10" s="9"/>
    </row>
    <row r="11" spans="1:37" x14ac:dyDescent="0.25">
      <c r="A11" s="7"/>
      <c r="B11" s="7"/>
      <c r="C11" s="7"/>
      <c r="D11" s="7"/>
      <c r="E11" s="7"/>
      <c r="F11" s="7"/>
      <c r="G11" s="7"/>
      <c r="H11" s="7"/>
      <c r="I11" s="6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8"/>
      <c r="W11" s="9"/>
      <c r="X11" s="9"/>
      <c r="Y11" s="9"/>
      <c r="Z11" s="9"/>
      <c r="AA11" s="9"/>
      <c r="AB11" s="9"/>
      <c r="AC11" s="9"/>
      <c r="AD11" s="8"/>
      <c r="AE11" s="9"/>
      <c r="AF11" s="9"/>
      <c r="AG11" s="9"/>
      <c r="AH11" s="9"/>
      <c r="AI11" s="9"/>
      <c r="AJ11" s="9"/>
      <c r="AK11" s="9"/>
    </row>
    <row r="12" spans="1:37" ht="15.75" thickBot="1" x14ac:dyDescent="0.3">
      <c r="A12" s="34"/>
      <c r="B12" s="171" t="s">
        <v>20</v>
      </c>
      <c r="C12" s="171"/>
      <c r="D12" s="171"/>
      <c r="E12" s="171"/>
      <c r="F12" s="171"/>
      <c r="G12" s="171"/>
      <c r="H12" s="171"/>
      <c r="J12" s="172" t="s">
        <v>20</v>
      </c>
      <c r="K12" s="172"/>
      <c r="L12" s="172"/>
      <c r="M12" s="172"/>
      <c r="N12" s="172"/>
      <c r="O12" s="172"/>
      <c r="P12" s="172"/>
      <c r="Q12" s="172"/>
      <c r="R12" s="172"/>
      <c r="S12" s="172"/>
      <c r="T12" s="172"/>
      <c r="U12" s="172"/>
      <c r="W12" s="173" t="str">
        <f>J12</f>
        <v>Dezembro</v>
      </c>
      <c r="X12" s="173"/>
      <c r="Y12" s="173"/>
      <c r="Z12" s="173"/>
      <c r="AA12" s="173"/>
      <c r="AB12" s="173"/>
      <c r="AC12" s="173"/>
      <c r="AE12" s="174" t="str">
        <f>W12</f>
        <v>Dezembro</v>
      </c>
      <c r="AF12" s="174"/>
      <c r="AG12" s="174"/>
      <c r="AH12" s="174"/>
      <c r="AI12" s="174"/>
      <c r="AJ12" s="174"/>
      <c r="AK12" s="174"/>
    </row>
    <row r="13" spans="1:37" ht="15.75" thickBot="1" x14ac:dyDescent="0.3">
      <c r="A13" s="168" t="s">
        <v>4</v>
      </c>
      <c r="B13" s="10" t="s">
        <v>5</v>
      </c>
      <c r="C13" s="11" t="s">
        <v>6</v>
      </c>
      <c r="D13" s="12" t="s">
        <v>7</v>
      </c>
      <c r="E13" s="11" t="s">
        <v>8</v>
      </c>
      <c r="F13" s="12" t="s">
        <v>9</v>
      </c>
      <c r="G13" s="11" t="s">
        <v>10</v>
      </c>
      <c r="H13" s="32" t="s">
        <v>11</v>
      </c>
      <c r="J13" s="35" t="s">
        <v>3</v>
      </c>
      <c r="K13" s="14"/>
      <c r="L13" s="15"/>
      <c r="M13" s="15"/>
      <c r="N13" s="15"/>
      <c r="O13" s="15"/>
      <c r="P13" s="15"/>
      <c r="Q13" s="15"/>
      <c r="R13" s="15"/>
      <c r="S13" s="15"/>
      <c r="T13" s="15"/>
      <c r="U13" s="16"/>
      <c r="W13" s="35" t="s">
        <v>3</v>
      </c>
      <c r="X13" s="14"/>
      <c r="Y13" s="15"/>
      <c r="Z13" s="15"/>
      <c r="AA13" s="15"/>
      <c r="AB13" s="15"/>
      <c r="AC13" s="16"/>
      <c r="AE13" s="35" t="s">
        <v>3</v>
      </c>
      <c r="AF13" s="14"/>
      <c r="AG13" s="15"/>
      <c r="AH13" s="15"/>
      <c r="AI13" s="15"/>
      <c r="AJ13" s="15"/>
      <c r="AK13" s="16"/>
    </row>
    <row r="14" spans="1:37" ht="15.75" thickBot="1" x14ac:dyDescent="0.3">
      <c r="A14" s="168"/>
      <c r="B14" s="17"/>
      <c r="C14" s="18"/>
      <c r="D14" s="18">
        <v>30274</v>
      </c>
      <c r="E14" s="18">
        <v>31775</v>
      </c>
      <c r="F14" s="18">
        <f>SUM(C14-B14)</f>
        <v>0</v>
      </c>
      <c r="G14" s="18">
        <f>SUM(E14-D14)</f>
        <v>1501</v>
      </c>
      <c r="H14" s="33">
        <f>SUM(F14:G14)</f>
        <v>1501</v>
      </c>
      <c r="J14" s="36" t="s">
        <v>21</v>
      </c>
      <c r="K14" s="19"/>
      <c r="L14" s="20"/>
      <c r="M14" s="20"/>
      <c r="N14" s="20"/>
      <c r="O14" s="20"/>
      <c r="P14" s="20"/>
      <c r="Q14" s="20"/>
      <c r="R14" s="20"/>
      <c r="S14" s="20"/>
      <c r="T14" s="20"/>
      <c r="U14" s="21"/>
      <c r="W14" s="36" t="s">
        <v>21</v>
      </c>
      <c r="X14" s="19"/>
      <c r="Y14" s="20"/>
      <c r="Z14" s="20"/>
      <c r="AA14" s="20"/>
      <c r="AB14" s="20"/>
      <c r="AC14" s="21"/>
      <c r="AE14" s="36" t="s">
        <v>21</v>
      </c>
      <c r="AF14" s="19"/>
      <c r="AG14" s="20"/>
      <c r="AH14" s="20"/>
      <c r="AI14" s="20"/>
      <c r="AJ14" s="20"/>
      <c r="AK14" s="21"/>
    </row>
    <row r="15" spans="1:37" x14ac:dyDescent="0.25">
      <c r="J15" s="37"/>
      <c r="T15" s="22" t="s">
        <v>22</v>
      </c>
      <c r="U15" s="23">
        <f>SUM(K14:U14)</f>
        <v>0</v>
      </c>
      <c r="AB15" s="22" t="s">
        <v>22</v>
      </c>
      <c r="AC15" s="23">
        <f>SUM(X14:AC14)</f>
        <v>0</v>
      </c>
      <c r="AJ15" s="22" t="s">
        <v>22</v>
      </c>
      <c r="AK15" s="23">
        <f>SUM(AF14:AK14)</f>
        <v>0</v>
      </c>
    </row>
    <row r="16" spans="1:37" ht="15.75" thickBot="1" x14ac:dyDescent="0.3">
      <c r="A16" s="34"/>
      <c r="B16" s="171" t="s">
        <v>54</v>
      </c>
      <c r="C16" s="171"/>
      <c r="D16" s="171"/>
      <c r="E16" s="171"/>
      <c r="F16" s="171"/>
      <c r="G16" s="171"/>
      <c r="H16" s="171"/>
      <c r="I16" s="6"/>
      <c r="J16" s="172" t="s">
        <v>54</v>
      </c>
      <c r="K16" s="172"/>
      <c r="L16" s="172"/>
      <c r="M16" s="172"/>
      <c r="N16" s="172"/>
      <c r="O16" s="172"/>
      <c r="P16" s="172"/>
      <c r="Q16" s="172"/>
      <c r="R16" s="172"/>
      <c r="S16" s="172"/>
      <c r="T16" s="172"/>
      <c r="U16" s="172"/>
      <c r="V16" s="8"/>
      <c r="W16" s="173" t="s">
        <v>54</v>
      </c>
      <c r="X16" s="173"/>
      <c r="Y16" s="173"/>
      <c r="Z16" s="173"/>
      <c r="AA16" s="173"/>
      <c r="AB16" s="173"/>
      <c r="AC16" s="173"/>
      <c r="AD16" s="8"/>
      <c r="AE16" s="174" t="s">
        <v>54</v>
      </c>
      <c r="AF16" s="174"/>
      <c r="AG16" s="174"/>
      <c r="AH16" s="174"/>
      <c r="AI16" s="174"/>
      <c r="AJ16" s="174"/>
      <c r="AK16" s="174"/>
    </row>
    <row r="17" spans="1:37" ht="15.75" thickBot="1" x14ac:dyDescent="0.3">
      <c r="A17" s="168" t="s">
        <v>4</v>
      </c>
      <c r="B17" s="10" t="s">
        <v>5</v>
      </c>
      <c r="C17" s="11" t="s">
        <v>6</v>
      </c>
      <c r="D17" s="12" t="s">
        <v>7</v>
      </c>
      <c r="E17" s="11" t="s">
        <v>8</v>
      </c>
      <c r="F17" s="12" t="s">
        <v>9</v>
      </c>
      <c r="G17" s="11" t="s">
        <v>10</v>
      </c>
      <c r="H17" s="32" t="s">
        <v>11</v>
      </c>
      <c r="I17" s="6"/>
      <c r="J17" s="35" t="s">
        <v>3</v>
      </c>
      <c r="K17" s="14"/>
      <c r="L17" s="15"/>
      <c r="M17" s="15"/>
      <c r="N17" s="15"/>
      <c r="O17" s="15"/>
      <c r="P17" s="15"/>
      <c r="Q17" s="15"/>
      <c r="R17" s="15"/>
      <c r="S17" s="15"/>
      <c r="T17" s="15"/>
      <c r="U17" s="16"/>
      <c r="V17" s="8"/>
      <c r="W17" s="35" t="s">
        <v>3</v>
      </c>
      <c r="X17" s="14"/>
      <c r="Y17" s="15"/>
      <c r="Z17" s="15"/>
      <c r="AA17" s="15"/>
      <c r="AB17" s="15"/>
      <c r="AC17" s="16"/>
      <c r="AD17" s="8"/>
      <c r="AE17" s="35" t="s">
        <v>3</v>
      </c>
      <c r="AF17" s="14"/>
      <c r="AG17" s="15"/>
      <c r="AH17" s="15"/>
      <c r="AI17" s="15"/>
      <c r="AJ17" s="15"/>
      <c r="AK17" s="16"/>
    </row>
    <row r="18" spans="1:37" ht="15.75" thickBot="1" x14ac:dyDescent="0.3">
      <c r="A18" s="168"/>
      <c r="B18" s="17">
        <v>31775</v>
      </c>
      <c r="C18" s="18">
        <v>33983</v>
      </c>
      <c r="D18" s="18"/>
      <c r="E18" s="18"/>
      <c r="F18" s="18">
        <f>SUM(C18-B18)</f>
        <v>2208</v>
      </c>
      <c r="G18" s="18">
        <f>SUM(E18-D18)</f>
        <v>0</v>
      </c>
      <c r="H18" s="33">
        <f>SUM(F18:G18)</f>
        <v>2208</v>
      </c>
      <c r="I18" s="6"/>
      <c r="J18" s="36" t="s">
        <v>21</v>
      </c>
      <c r="K18" s="19"/>
      <c r="L18" s="20"/>
      <c r="M18" s="20"/>
      <c r="N18" s="20"/>
      <c r="O18" s="20"/>
      <c r="P18" s="20"/>
      <c r="Q18" s="20"/>
      <c r="R18" s="20"/>
      <c r="S18" s="20"/>
      <c r="T18" s="20"/>
      <c r="U18" s="21"/>
      <c r="V18" s="8"/>
      <c r="W18" s="36" t="s">
        <v>21</v>
      </c>
      <c r="X18" s="19"/>
      <c r="Y18" s="20"/>
      <c r="Z18" s="20"/>
      <c r="AA18" s="20"/>
      <c r="AB18" s="20"/>
      <c r="AC18" s="21"/>
      <c r="AD18" s="8"/>
      <c r="AE18" s="36" t="s">
        <v>21</v>
      </c>
      <c r="AF18" s="19"/>
      <c r="AG18" s="20"/>
      <c r="AH18" s="20"/>
      <c r="AI18" s="20"/>
      <c r="AJ18" s="20"/>
      <c r="AK18" s="21"/>
    </row>
    <row r="19" spans="1:37" x14ac:dyDescent="0.25">
      <c r="A19" s="7"/>
      <c r="B19" s="7"/>
      <c r="C19" s="7"/>
      <c r="D19" s="7"/>
      <c r="E19" s="7"/>
      <c r="F19" s="7"/>
      <c r="G19" s="7"/>
      <c r="H19" s="7"/>
      <c r="I19" s="6"/>
      <c r="J19" s="7"/>
      <c r="K19" s="7"/>
      <c r="L19" s="7"/>
      <c r="M19" s="7"/>
      <c r="N19" s="7"/>
      <c r="O19" s="7"/>
      <c r="P19" s="7"/>
      <c r="Q19" s="7"/>
      <c r="R19" s="7"/>
      <c r="S19" s="7"/>
      <c r="T19" s="22" t="s">
        <v>22</v>
      </c>
      <c r="U19" s="23">
        <f>SUM(K18:U18)</f>
        <v>0</v>
      </c>
      <c r="V19" s="8"/>
      <c r="AB19" s="22" t="s">
        <v>22</v>
      </c>
      <c r="AC19" s="23">
        <f>SUM(X18:AC18)</f>
        <v>0</v>
      </c>
      <c r="AD19" s="8"/>
      <c r="AJ19" s="22" t="s">
        <v>22</v>
      </c>
      <c r="AK19" s="23">
        <f>SUM(AF18:AK18)</f>
        <v>0</v>
      </c>
    </row>
    <row r="20" spans="1:37" ht="15.75" thickBot="1" x14ac:dyDescent="0.3">
      <c r="A20" s="34"/>
      <c r="B20" s="171" t="s">
        <v>2</v>
      </c>
      <c r="C20" s="171"/>
      <c r="D20" s="171"/>
      <c r="E20" s="171"/>
      <c r="F20" s="171"/>
      <c r="G20" s="171"/>
      <c r="H20" s="171"/>
      <c r="J20" s="172" t="s">
        <v>2</v>
      </c>
      <c r="K20" s="172"/>
      <c r="L20" s="172"/>
      <c r="M20" s="172"/>
      <c r="N20" s="172"/>
      <c r="O20" s="172"/>
      <c r="P20" s="172"/>
      <c r="Q20" s="172"/>
      <c r="R20" s="172"/>
      <c r="S20" s="172"/>
      <c r="T20" s="172"/>
      <c r="U20" s="172"/>
      <c r="W20" s="173" t="s">
        <v>2</v>
      </c>
      <c r="X20" s="173"/>
      <c r="Y20" s="173"/>
      <c r="Z20" s="173"/>
      <c r="AA20" s="173"/>
      <c r="AB20" s="173"/>
      <c r="AC20" s="173"/>
      <c r="AE20" s="174" t="s">
        <v>2</v>
      </c>
      <c r="AF20" s="174"/>
      <c r="AG20" s="174"/>
      <c r="AH20" s="174"/>
      <c r="AI20" s="174"/>
      <c r="AJ20" s="174"/>
      <c r="AK20" s="174"/>
    </row>
    <row r="21" spans="1:37" ht="15.75" thickBot="1" x14ac:dyDescent="0.3">
      <c r="A21" s="168" t="s">
        <v>4</v>
      </c>
      <c r="B21" s="10" t="s">
        <v>5</v>
      </c>
      <c r="C21" s="11" t="s">
        <v>6</v>
      </c>
      <c r="D21" s="12" t="s">
        <v>7</v>
      </c>
      <c r="E21" s="11" t="s">
        <v>8</v>
      </c>
      <c r="F21" s="12" t="s">
        <v>9</v>
      </c>
      <c r="G21" s="11" t="s">
        <v>10</v>
      </c>
      <c r="H21" s="32" t="s">
        <v>11</v>
      </c>
      <c r="J21" s="35" t="s">
        <v>3</v>
      </c>
      <c r="K21" s="14"/>
      <c r="L21" s="15"/>
      <c r="M21" s="15"/>
      <c r="N21" s="15"/>
      <c r="O21" s="15"/>
      <c r="P21" s="15"/>
      <c r="Q21" s="15"/>
      <c r="R21" s="15"/>
      <c r="S21" s="15"/>
      <c r="T21" s="15"/>
      <c r="U21" s="16"/>
      <c r="W21" s="35" t="s">
        <v>3</v>
      </c>
      <c r="X21" s="14"/>
      <c r="Y21" s="15"/>
      <c r="Z21" s="15"/>
      <c r="AA21" s="15"/>
      <c r="AB21" s="15"/>
      <c r="AC21" s="16"/>
      <c r="AE21" s="35" t="s">
        <v>3</v>
      </c>
      <c r="AF21" s="14"/>
      <c r="AG21" s="15"/>
      <c r="AH21" s="15"/>
      <c r="AI21" s="15"/>
      <c r="AJ21" s="15"/>
      <c r="AK21" s="16"/>
    </row>
    <row r="22" spans="1:37" ht="15.75" thickBot="1" x14ac:dyDescent="0.3">
      <c r="A22" s="168"/>
      <c r="B22" s="17"/>
      <c r="C22" s="18"/>
      <c r="D22" s="18"/>
      <c r="E22" s="18"/>
      <c r="F22" s="18">
        <f>SUM(C22-B22)</f>
        <v>0</v>
      </c>
      <c r="G22" s="18">
        <f>SUM(E22-D22)</f>
        <v>0</v>
      </c>
      <c r="H22" s="33">
        <f>SUM(F22:G22)</f>
        <v>0</v>
      </c>
      <c r="J22" s="36" t="s">
        <v>21</v>
      </c>
      <c r="K22" s="19"/>
      <c r="L22" s="20"/>
      <c r="M22" s="20"/>
      <c r="N22" s="20"/>
      <c r="O22" s="20"/>
      <c r="P22" s="20"/>
      <c r="Q22" s="20"/>
      <c r="R22" s="20"/>
      <c r="S22" s="20"/>
      <c r="T22" s="20"/>
      <c r="U22" s="21"/>
      <c r="W22" s="36" t="s">
        <v>21</v>
      </c>
      <c r="X22" s="19"/>
      <c r="Y22" s="20"/>
      <c r="Z22" s="20"/>
      <c r="AA22" s="20"/>
      <c r="AB22" s="20"/>
      <c r="AC22" s="21"/>
      <c r="AE22" s="36" t="s">
        <v>21</v>
      </c>
      <c r="AF22" s="19"/>
      <c r="AG22" s="20"/>
      <c r="AH22" s="20"/>
      <c r="AI22" s="20"/>
      <c r="AJ22" s="20"/>
      <c r="AK22" s="21"/>
    </row>
    <row r="23" spans="1:37" x14ac:dyDescent="0.25">
      <c r="F23" s="2"/>
      <c r="G23" s="2"/>
      <c r="H23" s="2"/>
      <c r="J23" s="37"/>
      <c r="T23" s="22" t="s">
        <v>22</v>
      </c>
      <c r="U23" s="23">
        <f>SUM(K22:U22)</f>
        <v>0</v>
      </c>
      <c r="AB23" s="22" t="s">
        <v>22</v>
      </c>
      <c r="AC23" s="23">
        <f>SUM(X22:AC22)</f>
        <v>0</v>
      </c>
      <c r="AJ23" s="22" t="s">
        <v>22</v>
      </c>
      <c r="AK23" s="23">
        <f>SUM(AF22:AK22)</f>
        <v>0</v>
      </c>
    </row>
    <row r="24" spans="1:37" ht="15.75" thickBot="1" x14ac:dyDescent="0.3">
      <c r="A24" s="34"/>
      <c r="B24" s="171" t="s">
        <v>12</v>
      </c>
      <c r="C24" s="171"/>
      <c r="D24" s="171"/>
      <c r="E24" s="171"/>
      <c r="F24" s="171"/>
      <c r="G24" s="171"/>
      <c r="H24" s="171"/>
      <c r="J24" s="172" t="s">
        <v>12</v>
      </c>
      <c r="K24" s="172"/>
      <c r="L24" s="172"/>
      <c r="M24" s="172"/>
      <c r="N24" s="172"/>
      <c r="O24" s="172"/>
      <c r="P24" s="172"/>
      <c r="Q24" s="172"/>
      <c r="R24" s="172"/>
      <c r="S24" s="172"/>
      <c r="T24" s="172"/>
      <c r="U24" s="172"/>
      <c r="W24" s="173" t="str">
        <f>J24</f>
        <v>Março</v>
      </c>
      <c r="X24" s="173"/>
      <c r="Y24" s="173"/>
      <c r="Z24" s="173"/>
      <c r="AA24" s="173"/>
      <c r="AB24" s="173"/>
      <c r="AC24" s="173"/>
      <c r="AE24" s="174" t="str">
        <f>W24</f>
        <v>Março</v>
      </c>
      <c r="AF24" s="174"/>
      <c r="AG24" s="174"/>
      <c r="AH24" s="174"/>
      <c r="AI24" s="174"/>
      <c r="AJ24" s="174"/>
      <c r="AK24" s="174"/>
    </row>
    <row r="25" spans="1:37" ht="15.75" thickBot="1" x14ac:dyDescent="0.3">
      <c r="A25" s="168" t="s">
        <v>4</v>
      </c>
      <c r="B25" s="10" t="s">
        <v>5</v>
      </c>
      <c r="C25" s="11" t="s">
        <v>6</v>
      </c>
      <c r="D25" s="12" t="s">
        <v>7</v>
      </c>
      <c r="E25" s="11" t="s">
        <v>8</v>
      </c>
      <c r="F25" s="12" t="s">
        <v>9</v>
      </c>
      <c r="G25" s="11" t="s">
        <v>10</v>
      </c>
      <c r="H25" s="32" t="s">
        <v>11</v>
      </c>
      <c r="J25" s="35" t="s">
        <v>3</v>
      </c>
      <c r="K25" s="14"/>
      <c r="L25" s="24"/>
      <c r="M25" s="24"/>
      <c r="N25" s="15"/>
      <c r="O25" s="15"/>
      <c r="P25" s="15"/>
      <c r="Q25" s="15"/>
      <c r="R25" s="15"/>
      <c r="S25" s="15"/>
      <c r="T25" s="15"/>
      <c r="U25" s="16"/>
      <c r="W25" s="35" t="s">
        <v>3</v>
      </c>
      <c r="X25" s="14"/>
      <c r="Y25" s="15"/>
      <c r="Z25" s="15"/>
      <c r="AA25" s="15"/>
      <c r="AB25" s="15"/>
      <c r="AC25" s="16"/>
      <c r="AE25" s="35" t="s">
        <v>3</v>
      </c>
      <c r="AF25" s="14"/>
      <c r="AG25" s="15"/>
      <c r="AH25" s="15"/>
      <c r="AI25" s="15"/>
      <c r="AJ25" s="15"/>
      <c r="AK25" s="16"/>
    </row>
    <row r="26" spans="1:37" ht="15.75" thickBot="1" x14ac:dyDescent="0.3">
      <c r="A26" s="168"/>
      <c r="B26" s="17"/>
      <c r="C26" s="18"/>
      <c r="D26" s="18"/>
      <c r="E26" s="18"/>
      <c r="F26" s="18">
        <f>SUM(C26-B26)</f>
        <v>0</v>
      </c>
      <c r="G26" s="18">
        <f>SUM(E26-D26)</f>
        <v>0</v>
      </c>
      <c r="H26" s="33">
        <f>SUM(F26:G26)</f>
        <v>0</v>
      </c>
      <c r="J26" s="36" t="s">
        <v>21</v>
      </c>
      <c r="K26" s="19"/>
      <c r="L26" s="20"/>
      <c r="M26" s="20"/>
      <c r="N26" s="20"/>
      <c r="O26" s="20"/>
      <c r="P26" s="20"/>
      <c r="Q26" s="20"/>
      <c r="R26" s="20"/>
      <c r="S26" s="20"/>
      <c r="T26" s="20"/>
      <c r="U26" s="21"/>
      <c r="W26" s="36" t="s">
        <v>21</v>
      </c>
      <c r="X26" s="19"/>
      <c r="Y26" s="20"/>
      <c r="Z26" s="20"/>
      <c r="AA26" s="20"/>
      <c r="AB26" s="20"/>
      <c r="AC26" s="21"/>
      <c r="AE26" s="36" t="s">
        <v>21</v>
      </c>
      <c r="AF26" s="19"/>
      <c r="AG26" s="20"/>
      <c r="AH26" s="20"/>
      <c r="AI26" s="20"/>
      <c r="AJ26" s="20"/>
      <c r="AK26" s="21"/>
    </row>
    <row r="27" spans="1:37" x14ac:dyDescent="0.25">
      <c r="F27" s="2"/>
      <c r="G27" s="2"/>
      <c r="H27" s="2"/>
      <c r="J27" s="37"/>
      <c r="T27" s="22" t="s">
        <v>22</v>
      </c>
      <c r="U27" s="23">
        <f>SUM(K26:U26)</f>
        <v>0</v>
      </c>
      <c r="AB27" s="22" t="s">
        <v>22</v>
      </c>
      <c r="AC27" s="23">
        <f>SUM(X26:AC26)</f>
        <v>0</v>
      </c>
      <c r="AJ27" s="22" t="s">
        <v>22</v>
      </c>
      <c r="AK27" s="23">
        <f>SUM(AF26:AK26)</f>
        <v>0</v>
      </c>
    </row>
    <row r="28" spans="1:37" ht="15.75" thickBot="1" x14ac:dyDescent="0.3">
      <c r="A28" s="34"/>
      <c r="B28" s="171" t="s">
        <v>13</v>
      </c>
      <c r="C28" s="171"/>
      <c r="D28" s="171"/>
      <c r="E28" s="171"/>
      <c r="F28" s="171"/>
      <c r="G28" s="171"/>
      <c r="H28" s="171"/>
      <c r="J28" s="172" t="s">
        <v>13</v>
      </c>
      <c r="K28" s="172"/>
      <c r="L28" s="172"/>
      <c r="M28" s="172"/>
      <c r="N28" s="172"/>
      <c r="O28" s="172"/>
      <c r="P28" s="172"/>
      <c r="Q28" s="172"/>
      <c r="R28" s="172"/>
      <c r="S28" s="172"/>
      <c r="T28" s="172"/>
      <c r="U28" s="172"/>
      <c r="W28" s="173" t="str">
        <f>J28</f>
        <v>Abril</v>
      </c>
      <c r="X28" s="173"/>
      <c r="Y28" s="173"/>
      <c r="Z28" s="173"/>
      <c r="AA28" s="173"/>
      <c r="AB28" s="173"/>
      <c r="AC28" s="173"/>
      <c r="AE28" s="174" t="str">
        <f>W28</f>
        <v>Abril</v>
      </c>
      <c r="AF28" s="174"/>
      <c r="AG28" s="174"/>
      <c r="AH28" s="174"/>
      <c r="AI28" s="174"/>
      <c r="AJ28" s="174"/>
      <c r="AK28" s="174"/>
    </row>
    <row r="29" spans="1:37" ht="15.75" thickBot="1" x14ac:dyDescent="0.3">
      <c r="A29" s="168" t="s">
        <v>4</v>
      </c>
      <c r="B29" s="10" t="s">
        <v>5</v>
      </c>
      <c r="C29" s="11" t="s">
        <v>6</v>
      </c>
      <c r="D29" s="12" t="s">
        <v>7</v>
      </c>
      <c r="E29" s="11" t="s">
        <v>8</v>
      </c>
      <c r="F29" s="12" t="s">
        <v>9</v>
      </c>
      <c r="G29" s="11" t="s">
        <v>10</v>
      </c>
      <c r="H29" s="32" t="s">
        <v>11</v>
      </c>
      <c r="J29" s="35" t="s">
        <v>3</v>
      </c>
      <c r="K29" s="14"/>
      <c r="L29" s="15"/>
      <c r="M29" s="15"/>
      <c r="N29" s="15"/>
      <c r="O29" s="15"/>
      <c r="P29" s="15"/>
      <c r="Q29" s="15"/>
      <c r="R29" s="15"/>
      <c r="S29" s="15"/>
      <c r="T29" s="15"/>
      <c r="U29" s="16"/>
      <c r="W29" s="35" t="s">
        <v>3</v>
      </c>
      <c r="X29" s="14"/>
      <c r="Y29" s="15"/>
      <c r="Z29" s="15"/>
      <c r="AA29" s="15"/>
      <c r="AB29" s="15"/>
      <c r="AC29" s="16"/>
      <c r="AE29" s="35" t="s">
        <v>3</v>
      </c>
      <c r="AF29" s="14"/>
      <c r="AG29" s="15"/>
      <c r="AH29" s="15"/>
      <c r="AI29" s="15"/>
      <c r="AJ29" s="15"/>
      <c r="AK29" s="16"/>
    </row>
    <row r="30" spans="1:37" ht="15.75" thickBot="1" x14ac:dyDescent="0.3">
      <c r="A30" s="168"/>
      <c r="B30" s="17"/>
      <c r="C30" s="18"/>
      <c r="D30" s="18"/>
      <c r="E30" s="18"/>
      <c r="F30" s="18">
        <f>SUM(C30-B30)</f>
        <v>0</v>
      </c>
      <c r="G30" s="18">
        <f>SUM(E30-D30)</f>
        <v>0</v>
      </c>
      <c r="H30" s="33">
        <f>SUM(F30:G30)</f>
        <v>0</v>
      </c>
      <c r="J30" s="36" t="s">
        <v>21</v>
      </c>
      <c r="K30" s="25"/>
      <c r="L30" s="26"/>
      <c r="M30" s="26"/>
      <c r="N30" s="26"/>
      <c r="O30" s="26"/>
      <c r="P30" s="26"/>
      <c r="Q30" s="26"/>
      <c r="R30" s="26"/>
      <c r="S30" s="26"/>
      <c r="T30" s="26"/>
      <c r="U30" s="27"/>
      <c r="W30" s="36" t="s">
        <v>21</v>
      </c>
      <c r="X30" s="19"/>
      <c r="Y30" s="20"/>
      <c r="Z30" s="20"/>
      <c r="AA30" s="20"/>
      <c r="AB30" s="20"/>
      <c r="AC30" s="21"/>
      <c r="AE30" s="36" t="s">
        <v>21</v>
      </c>
      <c r="AF30" s="19"/>
      <c r="AG30" s="20"/>
      <c r="AH30" s="20"/>
      <c r="AI30" s="20"/>
      <c r="AJ30" s="20"/>
      <c r="AK30" s="21"/>
    </row>
    <row r="31" spans="1:37" x14ac:dyDescent="0.25">
      <c r="F31" s="2"/>
      <c r="G31" s="2"/>
      <c r="H31" s="2"/>
      <c r="J31" s="37"/>
      <c r="T31" s="22" t="s">
        <v>22</v>
      </c>
      <c r="U31" s="23">
        <f>SUM(K30:U30)</f>
        <v>0</v>
      </c>
      <c r="AB31" s="22" t="s">
        <v>22</v>
      </c>
      <c r="AC31" s="23">
        <f>SUM(X30:AC30)</f>
        <v>0</v>
      </c>
      <c r="AJ31" s="22" t="s">
        <v>22</v>
      </c>
      <c r="AK31" s="23">
        <f>SUM(AF30:AK30)</f>
        <v>0</v>
      </c>
    </row>
    <row r="32" spans="1:37" ht="15.75" thickBot="1" x14ac:dyDescent="0.3">
      <c r="A32" s="34"/>
      <c r="B32" s="171" t="s">
        <v>14</v>
      </c>
      <c r="C32" s="171"/>
      <c r="D32" s="171"/>
      <c r="E32" s="171"/>
      <c r="F32" s="171"/>
      <c r="G32" s="171"/>
      <c r="H32" s="171"/>
      <c r="J32" s="172" t="s">
        <v>14</v>
      </c>
      <c r="K32" s="172"/>
      <c r="L32" s="172"/>
      <c r="M32" s="172"/>
      <c r="N32" s="172"/>
      <c r="O32" s="172"/>
      <c r="P32" s="172"/>
      <c r="Q32" s="172"/>
      <c r="R32" s="172"/>
      <c r="S32" s="172"/>
      <c r="T32" s="172"/>
      <c r="U32" s="172"/>
      <c r="W32" s="173" t="str">
        <f>J32</f>
        <v>Maio</v>
      </c>
      <c r="X32" s="173"/>
      <c r="Y32" s="173"/>
      <c r="Z32" s="173"/>
      <c r="AA32" s="173"/>
      <c r="AB32" s="173"/>
      <c r="AC32" s="173"/>
      <c r="AE32" s="174" t="str">
        <f>W32</f>
        <v>Maio</v>
      </c>
      <c r="AF32" s="174"/>
      <c r="AG32" s="174"/>
      <c r="AH32" s="174"/>
      <c r="AI32" s="174"/>
      <c r="AJ32" s="174"/>
      <c r="AK32" s="174"/>
    </row>
    <row r="33" spans="1:37" ht="15.75" thickBot="1" x14ac:dyDescent="0.3">
      <c r="A33" s="168" t="s">
        <v>4</v>
      </c>
      <c r="B33" s="10" t="s">
        <v>5</v>
      </c>
      <c r="C33" s="11" t="s">
        <v>6</v>
      </c>
      <c r="D33" s="12" t="s">
        <v>7</v>
      </c>
      <c r="E33" s="11" t="s">
        <v>8</v>
      </c>
      <c r="F33" s="12" t="s">
        <v>9</v>
      </c>
      <c r="G33" s="11" t="s">
        <v>10</v>
      </c>
      <c r="H33" s="32" t="s">
        <v>11</v>
      </c>
      <c r="J33" s="35" t="s">
        <v>3</v>
      </c>
      <c r="K33" s="14"/>
      <c r="L33" s="15"/>
      <c r="M33" s="15"/>
      <c r="N33" s="15"/>
      <c r="O33" s="15"/>
      <c r="P33" s="15"/>
      <c r="Q33" s="15"/>
      <c r="R33" s="15"/>
      <c r="S33" s="15"/>
      <c r="T33" s="15"/>
      <c r="U33" s="16"/>
      <c r="W33" s="35" t="s">
        <v>3</v>
      </c>
      <c r="X33" s="14"/>
      <c r="Y33" s="15"/>
      <c r="Z33" s="15"/>
      <c r="AA33" s="15"/>
      <c r="AB33" s="15"/>
      <c r="AC33" s="16"/>
      <c r="AE33" s="35" t="s">
        <v>3</v>
      </c>
      <c r="AF33" s="14"/>
      <c r="AG33" s="15"/>
      <c r="AH33" s="15"/>
      <c r="AI33" s="15"/>
      <c r="AJ33" s="15"/>
      <c r="AK33" s="16"/>
    </row>
    <row r="34" spans="1:37" ht="15.75" thickBot="1" x14ac:dyDescent="0.3">
      <c r="A34" s="168"/>
      <c r="B34" s="17"/>
      <c r="C34" s="18"/>
      <c r="D34" s="18"/>
      <c r="E34" s="18"/>
      <c r="F34" s="18">
        <f>SUM(C34-B34)</f>
        <v>0</v>
      </c>
      <c r="G34" s="18">
        <f>SUM(E34-D34)</f>
        <v>0</v>
      </c>
      <c r="H34" s="33">
        <f>SUM(F34:G34)</f>
        <v>0</v>
      </c>
      <c r="J34" s="36" t="s">
        <v>21</v>
      </c>
      <c r="K34" s="19"/>
      <c r="L34" s="20"/>
      <c r="M34" s="20"/>
      <c r="N34" s="20"/>
      <c r="O34" s="20"/>
      <c r="P34" s="20"/>
      <c r="Q34" s="20"/>
      <c r="R34" s="20"/>
      <c r="S34" s="20"/>
      <c r="T34" s="20"/>
      <c r="U34" s="21"/>
      <c r="W34" s="36" t="s">
        <v>21</v>
      </c>
      <c r="X34" s="19"/>
      <c r="Y34" s="20"/>
      <c r="Z34" s="20"/>
      <c r="AA34" s="20"/>
      <c r="AB34" s="20"/>
      <c r="AC34" s="21"/>
      <c r="AE34" s="36" t="s">
        <v>21</v>
      </c>
      <c r="AF34" s="19"/>
      <c r="AG34" s="20"/>
      <c r="AH34" s="20"/>
      <c r="AI34" s="20"/>
      <c r="AJ34" s="20"/>
      <c r="AK34" s="21"/>
    </row>
    <row r="35" spans="1:37" x14ac:dyDescent="0.25">
      <c r="F35" s="2"/>
      <c r="G35" s="2"/>
      <c r="H35" s="2"/>
      <c r="J35" s="37"/>
      <c r="T35" s="22" t="s">
        <v>22</v>
      </c>
      <c r="U35" s="23">
        <f>SUM(K34:U34)</f>
        <v>0</v>
      </c>
      <c r="AB35" s="22" t="s">
        <v>22</v>
      </c>
      <c r="AC35" s="23">
        <f>SUM(X34:AC34)</f>
        <v>0</v>
      </c>
      <c r="AJ35" s="22" t="s">
        <v>22</v>
      </c>
      <c r="AK35" s="23">
        <f>SUM(AF34:AK34)</f>
        <v>0</v>
      </c>
    </row>
    <row r="36" spans="1:37" ht="15.75" thickBot="1" x14ac:dyDescent="0.3">
      <c r="A36" s="34"/>
      <c r="B36" s="171" t="s">
        <v>23</v>
      </c>
      <c r="C36" s="171"/>
      <c r="D36" s="171"/>
      <c r="E36" s="171"/>
      <c r="F36" s="171"/>
      <c r="G36" s="171"/>
      <c r="H36" s="171"/>
      <c r="J36" s="172" t="s">
        <v>23</v>
      </c>
      <c r="K36" s="172"/>
      <c r="L36" s="172"/>
      <c r="M36" s="172"/>
      <c r="N36" s="172"/>
      <c r="O36" s="172"/>
      <c r="P36" s="172"/>
      <c r="Q36" s="172"/>
      <c r="R36" s="172"/>
      <c r="S36" s="172"/>
      <c r="T36" s="172"/>
      <c r="U36" s="172"/>
      <c r="W36" s="173" t="str">
        <f>J36</f>
        <v>Junho</v>
      </c>
      <c r="X36" s="173"/>
      <c r="Y36" s="173"/>
      <c r="Z36" s="173"/>
      <c r="AA36" s="173"/>
      <c r="AB36" s="173"/>
      <c r="AC36" s="173"/>
      <c r="AE36" s="174" t="str">
        <f>W36</f>
        <v>Junho</v>
      </c>
      <c r="AF36" s="174"/>
      <c r="AG36" s="174"/>
      <c r="AH36" s="174"/>
      <c r="AI36" s="174"/>
      <c r="AJ36" s="174"/>
      <c r="AK36" s="174"/>
    </row>
    <row r="37" spans="1:37" ht="15.75" thickBot="1" x14ac:dyDescent="0.3">
      <c r="A37" s="168" t="s">
        <v>4</v>
      </c>
      <c r="B37" s="10" t="s">
        <v>5</v>
      </c>
      <c r="C37" s="11" t="s">
        <v>6</v>
      </c>
      <c r="D37" s="12" t="s">
        <v>7</v>
      </c>
      <c r="E37" s="11" t="s">
        <v>8</v>
      </c>
      <c r="F37" s="12" t="s">
        <v>9</v>
      </c>
      <c r="G37" s="11" t="s">
        <v>10</v>
      </c>
      <c r="H37" s="32" t="s">
        <v>11</v>
      </c>
      <c r="J37" s="35" t="s">
        <v>3</v>
      </c>
      <c r="K37" s="14"/>
      <c r="L37" s="15"/>
      <c r="M37" s="15"/>
      <c r="N37" s="15"/>
      <c r="O37" s="15"/>
      <c r="P37" s="15"/>
      <c r="Q37" s="15"/>
      <c r="R37" s="15"/>
      <c r="S37" s="15"/>
      <c r="T37" s="15"/>
      <c r="U37" s="16"/>
      <c r="W37" s="35" t="s">
        <v>3</v>
      </c>
      <c r="X37" s="14"/>
      <c r="Y37" s="15"/>
      <c r="Z37" s="15"/>
      <c r="AA37" s="15"/>
      <c r="AB37" s="15"/>
      <c r="AC37" s="16"/>
      <c r="AE37" s="35" t="s">
        <v>3</v>
      </c>
      <c r="AF37" s="14"/>
      <c r="AG37" s="15"/>
      <c r="AH37" s="15"/>
      <c r="AI37" s="15"/>
      <c r="AJ37" s="15"/>
      <c r="AK37" s="16"/>
    </row>
    <row r="38" spans="1:37" ht="15.75" thickBot="1" x14ac:dyDescent="0.3">
      <c r="A38" s="168"/>
      <c r="B38" s="17"/>
      <c r="C38" s="18"/>
      <c r="D38" s="18"/>
      <c r="E38" s="18"/>
      <c r="F38" s="18">
        <f>SUM(C38-B38)</f>
        <v>0</v>
      </c>
      <c r="G38" s="18">
        <f>SUM(E38-D38)</f>
        <v>0</v>
      </c>
      <c r="H38" s="33">
        <f>SUM(F38:G38)</f>
        <v>0</v>
      </c>
      <c r="J38" s="36" t="s">
        <v>21</v>
      </c>
      <c r="K38" s="19"/>
      <c r="L38" s="20"/>
      <c r="M38" s="20"/>
      <c r="N38" s="20"/>
      <c r="O38" s="20"/>
      <c r="P38" s="20"/>
      <c r="Q38" s="20"/>
      <c r="R38" s="20"/>
      <c r="S38" s="20"/>
      <c r="T38" s="20"/>
      <c r="U38" s="21"/>
      <c r="W38" s="36" t="s">
        <v>21</v>
      </c>
      <c r="X38" s="19"/>
      <c r="Y38" s="20"/>
      <c r="Z38" s="20"/>
      <c r="AA38" s="20"/>
      <c r="AB38" s="20"/>
      <c r="AC38" s="21"/>
      <c r="AE38" s="36" t="s">
        <v>21</v>
      </c>
      <c r="AF38" s="19"/>
      <c r="AG38" s="20"/>
      <c r="AH38" s="20"/>
      <c r="AI38" s="20"/>
      <c r="AJ38" s="20"/>
      <c r="AK38" s="21"/>
    </row>
    <row r="39" spans="1:37" x14ac:dyDescent="0.25">
      <c r="F39" s="2"/>
      <c r="G39" s="2"/>
      <c r="H39" s="2"/>
      <c r="J39" s="37"/>
      <c r="T39" s="22" t="s">
        <v>22</v>
      </c>
      <c r="U39" s="23">
        <f>SUM(K38:U38)</f>
        <v>0</v>
      </c>
      <c r="AB39" s="22" t="s">
        <v>22</v>
      </c>
      <c r="AC39" s="23">
        <f>SUM(X38:AC38)</f>
        <v>0</v>
      </c>
      <c r="AJ39" s="22" t="s">
        <v>22</v>
      </c>
      <c r="AK39" s="23">
        <f>SUM(AF38:AK38)</f>
        <v>0</v>
      </c>
    </row>
    <row r="40" spans="1:37" ht="15.75" thickBot="1" x14ac:dyDescent="0.3">
      <c r="A40" s="34"/>
      <c r="B40" s="171" t="s">
        <v>15</v>
      </c>
      <c r="C40" s="171"/>
      <c r="D40" s="171"/>
      <c r="E40" s="171"/>
      <c r="F40" s="171"/>
      <c r="G40" s="171"/>
      <c r="H40" s="171"/>
      <c r="J40" s="172" t="s">
        <v>15</v>
      </c>
      <c r="K40" s="172"/>
      <c r="L40" s="172"/>
      <c r="M40" s="172"/>
      <c r="N40" s="172"/>
      <c r="O40" s="172"/>
      <c r="P40" s="172"/>
      <c r="Q40" s="172"/>
      <c r="R40" s="172"/>
      <c r="S40" s="172"/>
      <c r="T40" s="172"/>
      <c r="U40" s="172"/>
      <c r="W40" s="173" t="str">
        <f>J40</f>
        <v>Julho</v>
      </c>
      <c r="X40" s="173"/>
      <c r="Y40" s="173"/>
      <c r="Z40" s="173"/>
      <c r="AA40" s="173"/>
      <c r="AB40" s="173"/>
      <c r="AC40" s="173"/>
      <c r="AE40" s="174" t="str">
        <f>W40</f>
        <v>Julho</v>
      </c>
      <c r="AF40" s="174"/>
      <c r="AG40" s="174"/>
      <c r="AH40" s="174"/>
      <c r="AI40" s="174"/>
      <c r="AJ40" s="174"/>
      <c r="AK40" s="174"/>
    </row>
    <row r="41" spans="1:37" ht="15.75" thickBot="1" x14ac:dyDescent="0.3">
      <c r="A41" s="168" t="s">
        <v>4</v>
      </c>
      <c r="B41" s="10" t="s">
        <v>5</v>
      </c>
      <c r="C41" s="11" t="s">
        <v>6</v>
      </c>
      <c r="D41" s="12" t="s">
        <v>7</v>
      </c>
      <c r="E41" s="11" t="s">
        <v>8</v>
      </c>
      <c r="F41" s="12" t="s">
        <v>9</v>
      </c>
      <c r="G41" s="11" t="s">
        <v>10</v>
      </c>
      <c r="H41" s="32" t="s">
        <v>11</v>
      </c>
      <c r="J41" s="35" t="s">
        <v>3</v>
      </c>
      <c r="K41" s="14"/>
      <c r="L41" s="15"/>
      <c r="M41" s="15"/>
      <c r="N41" s="15"/>
      <c r="O41" s="15"/>
      <c r="P41" s="15"/>
      <c r="Q41" s="15"/>
      <c r="R41" s="15"/>
      <c r="S41" s="15"/>
      <c r="T41" s="15"/>
      <c r="U41" s="16"/>
      <c r="W41" s="35" t="s">
        <v>3</v>
      </c>
      <c r="X41" s="14"/>
      <c r="Y41" s="15"/>
      <c r="Z41" s="15"/>
      <c r="AA41" s="15"/>
      <c r="AB41" s="15"/>
      <c r="AC41" s="16"/>
      <c r="AE41" s="35" t="s">
        <v>3</v>
      </c>
      <c r="AF41" s="14"/>
      <c r="AG41" s="15"/>
      <c r="AH41" s="15"/>
      <c r="AI41" s="15"/>
      <c r="AJ41" s="15"/>
      <c r="AK41" s="16"/>
    </row>
    <row r="42" spans="1:37" ht="15.75" thickBot="1" x14ac:dyDescent="0.3">
      <c r="A42" s="168"/>
      <c r="B42" s="17"/>
      <c r="C42" s="18"/>
      <c r="D42" s="18"/>
      <c r="E42" s="18"/>
      <c r="F42" s="18">
        <f>SUM(C42-B42)</f>
        <v>0</v>
      </c>
      <c r="G42" s="18">
        <f>SUM(E42-D42)</f>
        <v>0</v>
      </c>
      <c r="H42" s="33">
        <f>SUM(F42:G42)</f>
        <v>0</v>
      </c>
      <c r="J42" s="36" t="s">
        <v>21</v>
      </c>
      <c r="K42" s="19"/>
      <c r="L42" s="20"/>
      <c r="M42" s="20"/>
      <c r="N42" s="20"/>
      <c r="O42" s="20"/>
      <c r="P42" s="20"/>
      <c r="Q42" s="20"/>
      <c r="R42" s="20"/>
      <c r="S42" s="20"/>
      <c r="T42" s="20"/>
      <c r="U42" s="21"/>
      <c r="W42" s="36" t="s">
        <v>21</v>
      </c>
      <c r="X42" s="19"/>
      <c r="Y42" s="20"/>
      <c r="Z42" s="20"/>
      <c r="AA42" s="20"/>
      <c r="AB42" s="20"/>
      <c r="AC42" s="21"/>
      <c r="AE42" s="36" t="s">
        <v>21</v>
      </c>
      <c r="AF42" s="19"/>
      <c r="AG42" s="20"/>
      <c r="AH42" s="20"/>
      <c r="AI42" s="20"/>
      <c r="AJ42" s="20"/>
      <c r="AK42" s="21"/>
    </row>
    <row r="43" spans="1:37" x14ac:dyDescent="0.25">
      <c r="F43" s="2"/>
      <c r="G43" s="2"/>
      <c r="H43" s="2"/>
      <c r="J43" s="37"/>
      <c r="T43" s="22" t="s">
        <v>22</v>
      </c>
      <c r="U43" s="23">
        <f>SUM(K42:U42)</f>
        <v>0</v>
      </c>
      <c r="AB43" s="22" t="s">
        <v>22</v>
      </c>
      <c r="AC43" s="23">
        <f>SUM(X42:AC42)</f>
        <v>0</v>
      </c>
      <c r="AJ43" s="22" t="s">
        <v>22</v>
      </c>
      <c r="AK43" s="23">
        <f>SUM(AF42:AK42)</f>
        <v>0</v>
      </c>
    </row>
    <row r="44" spans="1:37" ht="15.75" thickBot="1" x14ac:dyDescent="0.3">
      <c r="A44" s="34"/>
      <c r="B44" s="171" t="s">
        <v>16</v>
      </c>
      <c r="C44" s="171"/>
      <c r="D44" s="171"/>
      <c r="E44" s="171"/>
      <c r="F44" s="171"/>
      <c r="G44" s="171"/>
      <c r="H44" s="171"/>
      <c r="J44" s="172" t="s">
        <v>16</v>
      </c>
      <c r="K44" s="172"/>
      <c r="L44" s="172"/>
      <c r="M44" s="172"/>
      <c r="N44" s="172"/>
      <c r="O44" s="172"/>
      <c r="P44" s="172"/>
      <c r="Q44" s="172"/>
      <c r="R44" s="172"/>
      <c r="S44" s="172"/>
      <c r="T44" s="172"/>
      <c r="U44" s="172"/>
      <c r="W44" s="173" t="str">
        <f>J44</f>
        <v>Agosto</v>
      </c>
      <c r="X44" s="173"/>
      <c r="Y44" s="173"/>
      <c r="Z44" s="173"/>
      <c r="AA44" s="173"/>
      <c r="AB44" s="173"/>
      <c r="AC44" s="173"/>
      <c r="AE44" s="174" t="str">
        <f>W44</f>
        <v>Agosto</v>
      </c>
      <c r="AF44" s="174"/>
      <c r="AG44" s="174"/>
      <c r="AH44" s="174"/>
      <c r="AI44" s="174"/>
      <c r="AJ44" s="174"/>
      <c r="AK44" s="174"/>
    </row>
    <row r="45" spans="1:37" ht="15.75" thickBot="1" x14ac:dyDescent="0.3">
      <c r="A45" s="168" t="s">
        <v>4</v>
      </c>
      <c r="B45" s="10" t="s">
        <v>5</v>
      </c>
      <c r="C45" s="11" t="s">
        <v>6</v>
      </c>
      <c r="D45" s="12" t="s">
        <v>7</v>
      </c>
      <c r="E45" s="11" t="s">
        <v>8</v>
      </c>
      <c r="F45" s="12" t="s">
        <v>9</v>
      </c>
      <c r="G45" s="11" t="s">
        <v>10</v>
      </c>
      <c r="H45" s="32" t="s">
        <v>11</v>
      </c>
      <c r="J45" s="35" t="s">
        <v>3</v>
      </c>
      <c r="K45" s="14"/>
      <c r="L45" s="15"/>
      <c r="M45" s="15"/>
      <c r="N45" s="15"/>
      <c r="O45" s="15"/>
      <c r="P45" s="15"/>
      <c r="Q45" s="15"/>
      <c r="R45" s="15"/>
      <c r="S45" s="15"/>
      <c r="T45" s="15"/>
      <c r="U45" s="16"/>
      <c r="W45" s="35" t="s">
        <v>3</v>
      </c>
      <c r="X45" s="14"/>
      <c r="Y45" s="15"/>
      <c r="Z45" s="15"/>
      <c r="AA45" s="15"/>
      <c r="AB45" s="15"/>
      <c r="AC45" s="16"/>
      <c r="AE45" s="35" t="s">
        <v>3</v>
      </c>
      <c r="AF45" s="14"/>
      <c r="AG45" s="15"/>
      <c r="AH45" s="15"/>
      <c r="AI45" s="15"/>
      <c r="AJ45" s="15"/>
      <c r="AK45" s="16"/>
    </row>
    <row r="46" spans="1:37" ht="15.75" thickBot="1" x14ac:dyDescent="0.3">
      <c r="A46" s="168"/>
      <c r="B46" s="17"/>
      <c r="C46" s="18"/>
      <c r="D46" s="18"/>
      <c r="E46" s="18"/>
      <c r="F46" s="18">
        <f>SUM(C46-B46)</f>
        <v>0</v>
      </c>
      <c r="G46" s="18">
        <f>SUM(E46-D46)</f>
        <v>0</v>
      </c>
      <c r="H46" s="33">
        <f>SUM(F46:G46)</f>
        <v>0</v>
      </c>
      <c r="J46" s="36" t="s">
        <v>21</v>
      </c>
      <c r="K46" s="19"/>
      <c r="L46" s="20"/>
      <c r="M46" s="20"/>
      <c r="N46" s="20"/>
      <c r="O46" s="20"/>
      <c r="P46" s="20"/>
      <c r="Q46" s="20"/>
      <c r="R46" s="20"/>
      <c r="S46" s="20"/>
      <c r="T46" s="20"/>
      <c r="U46" s="21"/>
      <c r="W46" s="36" t="s">
        <v>21</v>
      </c>
      <c r="X46" s="19"/>
      <c r="Y46" s="20"/>
      <c r="Z46" s="20"/>
      <c r="AA46" s="20"/>
      <c r="AB46" s="20"/>
      <c r="AC46" s="21"/>
      <c r="AE46" s="36" t="s">
        <v>21</v>
      </c>
      <c r="AF46" s="19"/>
      <c r="AG46" s="20"/>
      <c r="AH46" s="20"/>
      <c r="AI46" s="20"/>
      <c r="AJ46" s="20"/>
      <c r="AK46" s="21"/>
    </row>
    <row r="47" spans="1:37" x14ac:dyDescent="0.25">
      <c r="F47" s="2"/>
      <c r="G47" s="2"/>
      <c r="H47" s="2"/>
      <c r="J47" s="37"/>
      <c r="T47" s="22" t="s">
        <v>22</v>
      </c>
      <c r="U47" s="23">
        <f>SUM(K46:U46)</f>
        <v>0</v>
      </c>
      <c r="AB47" s="22" t="s">
        <v>22</v>
      </c>
      <c r="AC47" s="23">
        <f>SUM(X46:AC46)</f>
        <v>0</v>
      </c>
      <c r="AJ47" s="22" t="s">
        <v>22</v>
      </c>
      <c r="AK47" s="23">
        <f>SUM(AF46:AK46)</f>
        <v>0</v>
      </c>
    </row>
    <row r="48" spans="1:37" ht="15.75" thickBot="1" x14ac:dyDescent="0.3">
      <c r="A48" s="34"/>
      <c r="B48" s="171" t="s">
        <v>17</v>
      </c>
      <c r="C48" s="171"/>
      <c r="D48" s="171"/>
      <c r="E48" s="171"/>
      <c r="F48" s="171"/>
      <c r="G48" s="171"/>
      <c r="H48" s="171"/>
      <c r="J48" s="172" t="s">
        <v>17</v>
      </c>
      <c r="K48" s="172"/>
      <c r="L48" s="172"/>
      <c r="M48" s="172"/>
      <c r="N48" s="172"/>
      <c r="O48" s="172"/>
      <c r="P48" s="172"/>
      <c r="Q48" s="172"/>
      <c r="R48" s="172"/>
      <c r="S48" s="172"/>
      <c r="T48" s="172"/>
      <c r="U48" s="172"/>
      <c r="W48" s="173" t="str">
        <f>J48</f>
        <v>Setembro</v>
      </c>
      <c r="X48" s="173"/>
      <c r="Y48" s="173"/>
      <c r="Z48" s="173"/>
      <c r="AA48" s="173"/>
      <c r="AB48" s="173"/>
      <c r="AC48" s="173"/>
      <c r="AE48" s="174" t="str">
        <f>W48</f>
        <v>Setembro</v>
      </c>
      <c r="AF48" s="174"/>
      <c r="AG48" s="174"/>
      <c r="AH48" s="174"/>
      <c r="AI48" s="174"/>
      <c r="AJ48" s="174"/>
      <c r="AK48" s="174"/>
    </row>
    <row r="49" spans="1:37" ht="15.75" thickBot="1" x14ac:dyDescent="0.3">
      <c r="A49" s="168" t="s">
        <v>4</v>
      </c>
      <c r="B49" s="10" t="s">
        <v>5</v>
      </c>
      <c r="C49" s="11" t="s">
        <v>6</v>
      </c>
      <c r="D49" s="12" t="s">
        <v>7</v>
      </c>
      <c r="E49" s="11" t="s">
        <v>8</v>
      </c>
      <c r="F49" s="12" t="s">
        <v>9</v>
      </c>
      <c r="G49" s="11" t="s">
        <v>10</v>
      </c>
      <c r="H49" s="32" t="s">
        <v>11</v>
      </c>
      <c r="J49" s="35" t="s">
        <v>3</v>
      </c>
      <c r="K49" s="14"/>
      <c r="L49" s="15"/>
      <c r="M49" s="15"/>
      <c r="N49" s="15"/>
      <c r="O49" s="15"/>
      <c r="P49" s="15"/>
      <c r="Q49" s="15"/>
      <c r="R49" s="15"/>
      <c r="S49" s="15"/>
      <c r="T49" s="15"/>
      <c r="U49" s="16"/>
      <c r="W49" s="35" t="s">
        <v>3</v>
      </c>
      <c r="X49" s="14"/>
      <c r="Y49" s="15"/>
      <c r="Z49" s="15"/>
      <c r="AA49" s="15"/>
      <c r="AB49" s="15"/>
      <c r="AC49" s="16"/>
      <c r="AE49" s="35" t="s">
        <v>3</v>
      </c>
      <c r="AF49" s="14"/>
      <c r="AG49" s="15"/>
      <c r="AH49" s="15"/>
      <c r="AI49" s="15"/>
      <c r="AJ49" s="15"/>
      <c r="AK49" s="16"/>
    </row>
    <row r="50" spans="1:37" ht="15.75" thickBot="1" x14ac:dyDescent="0.3">
      <c r="A50" s="168"/>
      <c r="B50" s="17"/>
      <c r="C50" s="18"/>
      <c r="D50" s="18"/>
      <c r="E50" s="18"/>
      <c r="F50" s="18">
        <f>SUM(C50-B50)</f>
        <v>0</v>
      </c>
      <c r="G50" s="18">
        <f>SUM(E50-D50)</f>
        <v>0</v>
      </c>
      <c r="H50" s="33">
        <f>SUM(F50:G50)</f>
        <v>0</v>
      </c>
      <c r="J50" s="36" t="s">
        <v>21</v>
      </c>
      <c r="K50" s="19"/>
      <c r="L50" s="20"/>
      <c r="M50" s="20"/>
      <c r="N50" s="20"/>
      <c r="O50" s="20"/>
      <c r="P50" s="20"/>
      <c r="Q50" s="20"/>
      <c r="R50" s="20"/>
      <c r="S50" s="20"/>
      <c r="T50" s="20"/>
      <c r="U50" s="21"/>
      <c r="W50" s="36" t="s">
        <v>21</v>
      </c>
      <c r="X50" s="19"/>
      <c r="Y50" s="20"/>
      <c r="Z50" s="20"/>
      <c r="AA50" s="20"/>
      <c r="AB50" s="20"/>
      <c r="AC50" s="21"/>
      <c r="AE50" s="36" t="s">
        <v>21</v>
      </c>
      <c r="AF50" s="19"/>
      <c r="AG50" s="20"/>
      <c r="AH50" s="20"/>
      <c r="AI50" s="20"/>
      <c r="AJ50" s="20"/>
      <c r="AK50" s="21"/>
    </row>
    <row r="51" spans="1:37" x14ac:dyDescent="0.25">
      <c r="F51" s="2"/>
      <c r="G51" s="2"/>
      <c r="H51" s="2"/>
      <c r="J51" s="37"/>
      <c r="T51" s="22" t="s">
        <v>22</v>
      </c>
      <c r="U51" s="23">
        <f>SUM(K50:U50)</f>
        <v>0</v>
      </c>
      <c r="AB51" s="22" t="s">
        <v>22</v>
      </c>
      <c r="AC51" s="23">
        <f>SUM(X50:AC50)</f>
        <v>0</v>
      </c>
      <c r="AJ51" s="22" t="s">
        <v>22</v>
      </c>
      <c r="AK51" s="23">
        <f>SUM(AF50:AK50)</f>
        <v>0</v>
      </c>
    </row>
    <row r="52" spans="1:37" ht="15.75" thickBot="1" x14ac:dyDescent="0.3">
      <c r="A52" s="34"/>
      <c r="B52" s="171" t="s">
        <v>18</v>
      </c>
      <c r="C52" s="171"/>
      <c r="D52" s="171"/>
      <c r="E52" s="171"/>
      <c r="F52" s="171"/>
      <c r="G52" s="171"/>
      <c r="H52" s="171"/>
      <c r="J52" s="172" t="s">
        <v>18</v>
      </c>
      <c r="K52" s="172"/>
      <c r="L52" s="172"/>
      <c r="M52" s="172"/>
      <c r="N52" s="172"/>
      <c r="O52" s="172"/>
      <c r="P52" s="172"/>
      <c r="Q52" s="172"/>
      <c r="R52" s="172"/>
      <c r="S52" s="172"/>
      <c r="T52" s="172"/>
      <c r="U52" s="172"/>
      <c r="W52" s="173" t="str">
        <f>J52</f>
        <v>Outubro</v>
      </c>
      <c r="X52" s="173"/>
      <c r="Y52" s="173"/>
      <c r="Z52" s="173"/>
      <c r="AA52" s="173"/>
      <c r="AB52" s="173"/>
      <c r="AC52" s="173"/>
      <c r="AE52" s="174" t="str">
        <f>W52</f>
        <v>Outubro</v>
      </c>
      <c r="AF52" s="174"/>
      <c r="AG52" s="174"/>
      <c r="AH52" s="174"/>
      <c r="AI52" s="174"/>
      <c r="AJ52" s="174"/>
      <c r="AK52" s="174"/>
    </row>
    <row r="53" spans="1:37" ht="15.75" thickBot="1" x14ac:dyDescent="0.3">
      <c r="A53" s="168" t="s">
        <v>4</v>
      </c>
      <c r="B53" s="10" t="s">
        <v>5</v>
      </c>
      <c r="C53" s="11" t="s">
        <v>6</v>
      </c>
      <c r="D53" s="12" t="s">
        <v>7</v>
      </c>
      <c r="E53" s="11" t="s">
        <v>8</v>
      </c>
      <c r="F53" s="12" t="s">
        <v>9</v>
      </c>
      <c r="G53" s="11" t="s">
        <v>10</v>
      </c>
      <c r="H53" s="32" t="s">
        <v>11</v>
      </c>
      <c r="J53" s="35" t="s">
        <v>3</v>
      </c>
      <c r="K53" s="14"/>
      <c r="L53" s="15"/>
      <c r="M53" s="15"/>
      <c r="N53" s="15"/>
      <c r="O53" s="15"/>
      <c r="P53" s="15"/>
      <c r="Q53" s="15"/>
      <c r="R53" s="15"/>
      <c r="S53" s="15"/>
      <c r="T53" s="15"/>
      <c r="U53" s="16"/>
      <c r="W53" s="35" t="s">
        <v>3</v>
      </c>
      <c r="X53" s="14"/>
      <c r="Y53" s="15"/>
      <c r="Z53" s="15"/>
      <c r="AA53" s="15"/>
      <c r="AB53" s="15"/>
      <c r="AC53" s="16"/>
      <c r="AE53" s="35" t="s">
        <v>3</v>
      </c>
      <c r="AF53" s="14"/>
      <c r="AG53" s="15"/>
      <c r="AH53" s="15"/>
      <c r="AI53" s="15"/>
      <c r="AJ53" s="15"/>
      <c r="AK53" s="16"/>
    </row>
    <row r="54" spans="1:37" ht="15.75" thickBot="1" x14ac:dyDescent="0.3">
      <c r="A54" s="168"/>
      <c r="B54" s="17"/>
      <c r="C54" s="18"/>
      <c r="D54" s="18"/>
      <c r="E54" s="18"/>
      <c r="F54" s="18">
        <f>SUM(C54-B54)</f>
        <v>0</v>
      </c>
      <c r="G54" s="18">
        <f>SUM(E54-D54)</f>
        <v>0</v>
      </c>
      <c r="H54" s="33">
        <f>SUM(F54:G54)</f>
        <v>0</v>
      </c>
      <c r="J54" s="36" t="s">
        <v>21</v>
      </c>
      <c r="K54" s="19"/>
      <c r="L54" s="20"/>
      <c r="M54" s="20"/>
      <c r="N54" s="20"/>
      <c r="O54" s="20"/>
      <c r="P54" s="20"/>
      <c r="Q54" s="20"/>
      <c r="R54" s="20"/>
      <c r="S54" s="20"/>
      <c r="T54" s="20"/>
      <c r="U54" s="21"/>
      <c r="W54" s="36" t="s">
        <v>21</v>
      </c>
      <c r="X54" s="19"/>
      <c r="Y54" s="20"/>
      <c r="Z54" s="20"/>
      <c r="AA54" s="20"/>
      <c r="AB54" s="20"/>
      <c r="AC54" s="21"/>
      <c r="AE54" s="36" t="s">
        <v>21</v>
      </c>
      <c r="AF54" s="19"/>
      <c r="AG54" s="20"/>
      <c r="AH54" s="20"/>
      <c r="AI54" s="20"/>
      <c r="AJ54" s="20"/>
      <c r="AK54" s="21"/>
    </row>
    <row r="55" spans="1:37" x14ac:dyDescent="0.25">
      <c r="F55" s="2"/>
      <c r="G55" s="2"/>
      <c r="H55" s="2"/>
      <c r="J55" s="37"/>
      <c r="T55" s="22" t="s">
        <v>22</v>
      </c>
      <c r="U55" s="23">
        <f>SUM(K54:U54)</f>
        <v>0</v>
      </c>
      <c r="AB55" s="22" t="s">
        <v>22</v>
      </c>
      <c r="AC55" s="23">
        <f>SUM(X54:AC54)</f>
        <v>0</v>
      </c>
      <c r="AJ55" s="22" t="s">
        <v>22</v>
      </c>
      <c r="AK55" s="23">
        <f>SUM(AF54:AK54)</f>
        <v>0</v>
      </c>
    </row>
    <row r="56" spans="1:37" ht="15.75" thickBot="1" x14ac:dyDescent="0.3">
      <c r="A56" s="34"/>
      <c r="B56" s="171" t="s">
        <v>19</v>
      </c>
      <c r="C56" s="171"/>
      <c r="D56" s="171"/>
      <c r="E56" s="171"/>
      <c r="F56" s="171"/>
      <c r="G56" s="171"/>
      <c r="H56" s="171"/>
      <c r="J56" s="172" t="s">
        <v>19</v>
      </c>
      <c r="K56" s="172"/>
      <c r="L56" s="172"/>
      <c r="M56" s="172"/>
      <c r="N56" s="172"/>
      <c r="O56" s="172"/>
      <c r="P56" s="172"/>
      <c r="Q56" s="172"/>
      <c r="R56" s="172"/>
      <c r="S56" s="172"/>
      <c r="T56" s="172"/>
      <c r="U56" s="172"/>
      <c r="W56" s="173" t="str">
        <f>J56</f>
        <v>Novembro</v>
      </c>
      <c r="X56" s="173"/>
      <c r="Y56" s="173"/>
      <c r="Z56" s="173"/>
      <c r="AA56" s="173"/>
      <c r="AB56" s="173"/>
      <c r="AC56" s="173"/>
      <c r="AE56" s="174" t="str">
        <f>W56</f>
        <v>Novembro</v>
      </c>
      <c r="AF56" s="174"/>
      <c r="AG56" s="174"/>
      <c r="AH56" s="174"/>
      <c r="AI56" s="174"/>
      <c r="AJ56" s="174"/>
      <c r="AK56" s="174"/>
    </row>
    <row r="57" spans="1:37" ht="15.75" thickBot="1" x14ac:dyDescent="0.3">
      <c r="A57" s="168" t="s">
        <v>4</v>
      </c>
      <c r="B57" s="10" t="s">
        <v>5</v>
      </c>
      <c r="C57" s="11" t="s">
        <v>6</v>
      </c>
      <c r="D57" s="12" t="s">
        <v>7</v>
      </c>
      <c r="E57" s="11" t="s">
        <v>8</v>
      </c>
      <c r="F57" s="12" t="s">
        <v>9</v>
      </c>
      <c r="G57" s="11" t="s">
        <v>10</v>
      </c>
      <c r="H57" s="32" t="s">
        <v>11</v>
      </c>
      <c r="J57" s="35" t="s">
        <v>3</v>
      </c>
      <c r="K57" s="14"/>
      <c r="L57" s="15"/>
      <c r="M57" s="15"/>
      <c r="N57" s="15"/>
      <c r="O57" s="15"/>
      <c r="P57" s="15"/>
      <c r="Q57" s="15"/>
      <c r="R57" s="15"/>
      <c r="S57" s="15"/>
      <c r="T57" s="15"/>
      <c r="U57" s="16"/>
      <c r="W57" s="35" t="s">
        <v>3</v>
      </c>
      <c r="X57" s="14"/>
      <c r="Y57" s="15"/>
      <c r="Z57" s="15"/>
      <c r="AA57" s="15"/>
      <c r="AB57" s="15"/>
      <c r="AC57" s="16"/>
      <c r="AE57" s="35" t="s">
        <v>3</v>
      </c>
      <c r="AF57" s="14"/>
      <c r="AG57" s="15"/>
      <c r="AH57" s="15"/>
      <c r="AI57" s="15"/>
      <c r="AJ57" s="15"/>
      <c r="AK57" s="16"/>
    </row>
    <row r="58" spans="1:37" ht="15.75" thickBot="1" x14ac:dyDescent="0.3">
      <c r="A58" s="168"/>
      <c r="B58" s="17"/>
      <c r="C58" s="18"/>
      <c r="D58" s="18"/>
      <c r="E58" s="18"/>
      <c r="F58" s="18">
        <f>SUM(C58-B58)</f>
        <v>0</v>
      </c>
      <c r="G58" s="18">
        <f>SUM(E58-D58)</f>
        <v>0</v>
      </c>
      <c r="H58" s="33">
        <f>SUM(F58:G58)</f>
        <v>0</v>
      </c>
      <c r="J58" s="36" t="s">
        <v>21</v>
      </c>
      <c r="K58" s="19"/>
      <c r="L58" s="20"/>
      <c r="M58" s="20"/>
      <c r="N58" s="20"/>
      <c r="O58" s="20"/>
      <c r="P58" s="20"/>
      <c r="Q58" s="20"/>
      <c r="R58" s="20"/>
      <c r="S58" s="20"/>
      <c r="T58" s="20"/>
      <c r="U58" s="21"/>
      <c r="W58" s="36" t="s">
        <v>21</v>
      </c>
      <c r="X58" s="19"/>
      <c r="Y58" s="20"/>
      <c r="Z58" s="20"/>
      <c r="AA58" s="20"/>
      <c r="AB58" s="20"/>
      <c r="AC58" s="21"/>
      <c r="AE58" s="36" t="s">
        <v>21</v>
      </c>
      <c r="AF58" s="19"/>
      <c r="AG58" s="20"/>
      <c r="AH58" s="20"/>
      <c r="AI58" s="20"/>
      <c r="AJ58" s="20"/>
      <c r="AK58" s="21"/>
    </row>
    <row r="59" spans="1:37" x14ac:dyDescent="0.25">
      <c r="F59" s="2"/>
      <c r="G59" s="2"/>
      <c r="H59" s="2"/>
      <c r="J59" s="37"/>
      <c r="T59" s="22" t="s">
        <v>22</v>
      </c>
      <c r="U59" s="23">
        <f>SUM(K58:U58)</f>
        <v>0</v>
      </c>
      <c r="AB59" s="22" t="s">
        <v>22</v>
      </c>
      <c r="AC59" s="23">
        <f>SUM(X58:AC58)</f>
        <v>0</v>
      </c>
      <c r="AJ59" s="22" t="s">
        <v>22</v>
      </c>
      <c r="AK59" s="23">
        <f>SUM(AF58:AK58)</f>
        <v>0</v>
      </c>
    </row>
    <row r="60" spans="1:37" ht="15.75" thickBot="1" x14ac:dyDescent="0.3">
      <c r="A60" s="34"/>
      <c r="B60" s="171" t="s">
        <v>20</v>
      </c>
      <c r="C60" s="171"/>
      <c r="D60" s="171"/>
      <c r="E60" s="171"/>
      <c r="F60" s="171"/>
      <c r="G60" s="171"/>
      <c r="H60" s="171"/>
      <c r="J60" s="172" t="s">
        <v>20</v>
      </c>
      <c r="K60" s="172"/>
      <c r="L60" s="172"/>
      <c r="M60" s="172"/>
      <c r="N60" s="172"/>
      <c r="O60" s="172"/>
      <c r="P60" s="172"/>
      <c r="Q60" s="172"/>
      <c r="R60" s="172"/>
      <c r="S60" s="172"/>
      <c r="T60" s="172"/>
      <c r="U60" s="172"/>
      <c r="W60" s="173" t="str">
        <f>J60</f>
        <v>Dezembro</v>
      </c>
      <c r="X60" s="173"/>
      <c r="Y60" s="173"/>
      <c r="Z60" s="173"/>
      <c r="AA60" s="173"/>
      <c r="AB60" s="173"/>
      <c r="AC60" s="173"/>
      <c r="AE60" s="174" t="str">
        <f>W60</f>
        <v>Dezembro</v>
      </c>
      <c r="AF60" s="174"/>
      <c r="AG60" s="174"/>
      <c r="AH60" s="174"/>
      <c r="AI60" s="174"/>
      <c r="AJ60" s="174"/>
      <c r="AK60" s="174"/>
    </row>
    <row r="61" spans="1:37" ht="15.75" thickBot="1" x14ac:dyDescent="0.3">
      <c r="A61" s="168" t="s">
        <v>4</v>
      </c>
      <c r="B61" s="10" t="s">
        <v>5</v>
      </c>
      <c r="C61" s="11" t="s">
        <v>6</v>
      </c>
      <c r="D61" s="12" t="s">
        <v>7</v>
      </c>
      <c r="E61" s="11" t="s">
        <v>8</v>
      </c>
      <c r="F61" s="12" t="s">
        <v>9</v>
      </c>
      <c r="G61" s="11" t="s">
        <v>10</v>
      </c>
      <c r="H61" s="32" t="s">
        <v>11</v>
      </c>
      <c r="J61" s="35" t="s">
        <v>3</v>
      </c>
      <c r="K61" s="14"/>
      <c r="L61" s="15"/>
      <c r="M61" s="15"/>
      <c r="N61" s="15"/>
      <c r="O61" s="15"/>
      <c r="P61" s="15"/>
      <c r="Q61" s="15"/>
      <c r="R61" s="15"/>
      <c r="S61" s="15"/>
      <c r="T61" s="15"/>
      <c r="U61" s="16"/>
      <c r="W61" s="35" t="s">
        <v>3</v>
      </c>
      <c r="X61" s="14"/>
      <c r="Y61" s="15"/>
      <c r="Z61" s="15"/>
      <c r="AA61" s="15"/>
      <c r="AB61" s="15"/>
      <c r="AC61" s="16"/>
      <c r="AE61" s="35" t="s">
        <v>3</v>
      </c>
      <c r="AF61" s="14"/>
      <c r="AG61" s="15"/>
      <c r="AH61" s="15"/>
      <c r="AI61" s="15"/>
      <c r="AJ61" s="15"/>
      <c r="AK61" s="16"/>
    </row>
    <row r="62" spans="1:37" ht="15.75" thickBot="1" x14ac:dyDescent="0.3">
      <c r="A62" s="168"/>
      <c r="B62" s="17"/>
      <c r="C62" s="18"/>
      <c r="D62" s="18"/>
      <c r="E62" s="18"/>
      <c r="F62" s="18">
        <f>SUM(C62-B62)</f>
        <v>0</v>
      </c>
      <c r="G62" s="18">
        <f>SUM(E62-D62)</f>
        <v>0</v>
      </c>
      <c r="H62" s="33">
        <f>SUM(F62:G62)</f>
        <v>0</v>
      </c>
      <c r="J62" s="36" t="s">
        <v>21</v>
      </c>
      <c r="K62" s="19"/>
      <c r="L62" s="20"/>
      <c r="M62" s="20"/>
      <c r="N62" s="20"/>
      <c r="O62" s="20"/>
      <c r="P62" s="20"/>
      <c r="Q62" s="20"/>
      <c r="R62" s="20"/>
      <c r="S62" s="20"/>
      <c r="T62" s="20"/>
      <c r="U62" s="21"/>
      <c r="W62" s="36" t="s">
        <v>21</v>
      </c>
      <c r="X62" s="19"/>
      <c r="Y62" s="20"/>
      <c r="Z62" s="20"/>
      <c r="AA62" s="20"/>
      <c r="AB62" s="20"/>
      <c r="AC62" s="21"/>
      <c r="AE62" s="36" t="s">
        <v>21</v>
      </c>
      <c r="AF62" s="19"/>
      <c r="AG62" s="20"/>
      <c r="AH62" s="20"/>
      <c r="AI62" s="20"/>
      <c r="AJ62" s="20"/>
      <c r="AK62" s="21"/>
    </row>
    <row r="63" spans="1:37" x14ac:dyDescent="0.25">
      <c r="J63" s="37"/>
      <c r="T63" s="22" t="s">
        <v>22</v>
      </c>
      <c r="U63" s="23">
        <f>SUM(K62:U62)</f>
        <v>0</v>
      </c>
      <c r="AB63" s="22" t="s">
        <v>22</v>
      </c>
      <c r="AC63" s="23">
        <f>SUM(X62:AC62)</f>
        <v>0</v>
      </c>
      <c r="AJ63" s="22" t="s">
        <v>22</v>
      </c>
      <c r="AK63" s="23">
        <f>SUM(AF62:AK62)</f>
        <v>0</v>
      </c>
    </row>
  </sheetData>
  <mergeCells count="76">
    <mergeCell ref="W12:AC12"/>
    <mergeCell ref="AE12:AK12"/>
    <mergeCell ref="A13:A14"/>
    <mergeCell ref="B6:C6"/>
    <mergeCell ref="E6:F6"/>
    <mergeCell ref="A1:A2"/>
    <mergeCell ref="B1:AK1"/>
    <mergeCell ref="B2:AK2"/>
    <mergeCell ref="B4:C4"/>
    <mergeCell ref="E4:F4"/>
    <mergeCell ref="A21:A22"/>
    <mergeCell ref="A9:H9"/>
    <mergeCell ref="J9:U9"/>
    <mergeCell ref="W9:AC9"/>
    <mergeCell ref="AE9:AK9"/>
    <mergeCell ref="B16:H16"/>
    <mergeCell ref="J16:U16"/>
    <mergeCell ref="W16:AC16"/>
    <mergeCell ref="AE16:AK16"/>
    <mergeCell ref="A17:A18"/>
    <mergeCell ref="B20:H20"/>
    <mergeCell ref="J20:U20"/>
    <mergeCell ref="W20:AC20"/>
    <mergeCell ref="AE20:AK20"/>
    <mergeCell ref="B12:H12"/>
    <mergeCell ref="J12:U12"/>
    <mergeCell ref="A33:A34"/>
    <mergeCell ref="B24:H24"/>
    <mergeCell ref="J24:U24"/>
    <mergeCell ref="W24:AC24"/>
    <mergeCell ref="AE24:AK24"/>
    <mergeCell ref="A25:A26"/>
    <mergeCell ref="B28:H28"/>
    <mergeCell ref="J28:U28"/>
    <mergeCell ref="W28:AC28"/>
    <mergeCell ref="AE28:AK28"/>
    <mergeCell ref="A29:A30"/>
    <mergeCell ref="B32:H32"/>
    <mergeCell ref="J32:U32"/>
    <mergeCell ref="W32:AC32"/>
    <mergeCell ref="AE32:AK32"/>
    <mergeCell ref="A45:A46"/>
    <mergeCell ref="B36:H36"/>
    <mergeCell ref="J36:U36"/>
    <mergeCell ref="W36:AC36"/>
    <mergeCell ref="AE36:AK36"/>
    <mergeCell ref="A37:A38"/>
    <mergeCell ref="B40:H40"/>
    <mergeCell ref="J40:U40"/>
    <mergeCell ref="W40:AC40"/>
    <mergeCell ref="AE40:AK40"/>
    <mergeCell ref="A41:A42"/>
    <mergeCell ref="B44:H44"/>
    <mergeCell ref="J44:U44"/>
    <mergeCell ref="W44:AC44"/>
    <mergeCell ref="AE44:AK44"/>
    <mergeCell ref="A57:A58"/>
    <mergeCell ref="B48:H48"/>
    <mergeCell ref="J48:U48"/>
    <mergeCell ref="W48:AC48"/>
    <mergeCell ref="AE48:AK48"/>
    <mergeCell ref="A49:A50"/>
    <mergeCell ref="B52:H52"/>
    <mergeCell ref="J52:U52"/>
    <mergeCell ref="W52:AC52"/>
    <mergeCell ref="AE52:AK52"/>
    <mergeCell ref="A53:A54"/>
    <mergeCell ref="B56:H56"/>
    <mergeCell ref="J56:U56"/>
    <mergeCell ref="W56:AC56"/>
    <mergeCell ref="AE56:AK56"/>
    <mergeCell ref="B60:H60"/>
    <mergeCell ref="J60:U60"/>
    <mergeCell ref="W60:AC60"/>
    <mergeCell ref="AE60:AK60"/>
    <mergeCell ref="A61:A62"/>
  </mergeCells>
  <pageMargins left="0.511811024" right="0.511811024" top="0.78740157499999996" bottom="0.78740157499999996" header="0.31496062000000002" footer="0.31496062000000002"/>
  <drawing r:id="rId1"/>
  <legacy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8A340-BBEB-4D7A-A5CC-8EA8F79F296C}">
  <dimension ref="A1:AK86"/>
  <sheetViews>
    <sheetView topLeftCell="A34" workbookViewId="0">
      <selection activeCell="N57" sqref="N57"/>
    </sheetView>
  </sheetViews>
  <sheetFormatPr defaultRowHeight="15" x14ac:dyDescent="0.25"/>
  <cols>
    <col min="1" max="1" width="14.85546875" style="2" customWidth="1"/>
    <col min="2" max="2" width="11.7109375" style="2" bestFit="1" customWidth="1"/>
    <col min="3" max="3" width="9.28515625" style="2" bestFit="1" customWidth="1"/>
    <col min="4" max="4" width="10.7109375" style="2" customWidth="1"/>
    <col min="5" max="5" width="9.28515625" style="2" bestFit="1" customWidth="1"/>
    <col min="6" max="6" width="13.140625" style="1" customWidth="1"/>
    <col min="7" max="7" width="13.85546875" style="1" customWidth="1"/>
    <col min="8" max="8" width="11.85546875" style="1" bestFit="1" customWidth="1"/>
    <col min="9" max="9" width="9.85546875" style="1" customWidth="1"/>
    <col min="10" max="10" width="10.7109375" style="2" bestFit="1" customWidth="1"/>
    <col min="11" max="17" width="10.7109375" style="1" bestFit="1" customWidth="1"/>
    <col min="18" max="20" width="9" style="1"/>
    <col min="21" max="21" width="12.140625" style="1" bestFit="1" customWidth="1"/>
    <col min="22" max="22" width="9" style="1"/>
    <col min="23" max="23" width="9" style="2"/>
    <col min="24" max="30" width="9" style="1"/>
    <col min="31" max="31" width="9" style="2"/>
    <col min="32" max="33" width="9" style="1"/>
    <col min="34" max="36" width="10.140625" style="1" bestFit="1" customWidth="1"/>
    <col min="37" max="37" width="9.140625" style="1"/>
  </cols>
  <sheetData>
    <row r="1" spans="1:37" ht="21" x14ac:dyDescent="0.25">
      <c r="A1" s="162"/>
      <c r="B1" s="164" t="s">
        <v>51</v>
      </c>
      <c r="C1" s="164"/>
      <c r="D1" s="164"/>
      <c r="E1" s="164"/>
      <c r="F1" s="164"/>
      <c r="G1" s="164"/>
      <c r="H1" s="164"/>
      <c r="I1" s="164"/>
      <c r="J1" s="164"/>
      <c r="K1" s="164"/>
      <c r="L1" s="164"/>
      <c r="M1" s="164"/>
      <c r="N1" s="164"/>
      <c r="O1" s="164"/>
      <c r="P1" s="164"/>
      <c r="Q1" s="164"/>
      <c r="R1" s="164"/>
      <c r="S1" s="164"/>
      <c r="T1" s="164"/>
      <c r="U1" s="164"/>
      <c r="V1" s="164"/>
      <c r="W1" s="164"/>
      <c r="X1" s="164"/>
      <c r="Y1" s="164"/>
      <c r="Z1" s="164"/>
      <c r="AA1" s="164"/>
      <c r="AB1" s="164"/>
      <c r="AC1" s="164"/>
      <c r="AD1" s="164"/>
      <c r="AE1" s="164"/>
      <c r="AF1" s="164"/>
      <c r="AG1" s="164"/>
      <c r="AH1" s="164"/>
      <c r="AI1" s="164"/>
      <c r="AJ1" s="164"/>
      <c r="AK1" s="165"/>
    </row>
    <row r="2" spans="1:37" ht="21" x14ac:dyDescent="0.25">
      <c r="A2" s="163"/>
      <c r="B2" s="166" t="s">
        <v>50</v>
      </c>
      <c r="C2" s="166"/>
      <c r="D2" s="166"/>
      <c r="E2" s="166"/>
      <c r="F2" s="166"/>
      <c r="G2" s="166"/>
      <c r="H2" s="166"/>
      <c r="I2" s="166"/>
      <c r="J2" s="166"/>
      <c r="K2" s="166"/>
      <c r="L2" s="166"/>
      <c r="M2" s="166"/>
      <c r="N2" s="166"/>
      <c r="O2" s="166"/>
      <c r="P2" s="166"/>
      <c r="Q2" s="166"/>
      <c r="R2" s="166"/>
      <c r="S2" s="166"/>
      <c r="T2" s="166"/>
      <c r="U2" s="166"/>
      <c r="V2" s="166"/>
      <c r="W2" s="166"/>
      <c r="X2" s="166"/>
      <c r="Y2" s="166"/>
      <c r="Z2" s="166"/>
      <c r="AA2" s="166"/>
      <c r="AB2" s="166"/>
      <c r="AC2" s="166"/>
      <c r="AD2" s="166"/>
      <c r="AE2" s="166"/>
      <c r="AF2" s="166"/>
      <c r="AG2" s="166"/>
      <c r="AH2" s="166"/>
      <c r="AI2" s="166"/>
      <c r="AJ2" s="166"/>
      <c r="AK2" s="167"/>
    </row>
    <row r="4" spans="1:37" x14ac:dyDescent="0.25">
      <c r="A4" s="31" t="s">
        <v>47</v>
      </c>
      <c r="B4" s="161" t="s">
        <v>130</v>
      </c>
      <c r="C4" s="161"/>
      <c r="D4" s="31" t="s">
        <v>0</v>
      </c>
      <c r="E4" s="161" t="s">
        <v>131</v>
      </c>
      <c r="F4" s="161"/>
      <c r="G4" s="31" t="s">
        <v>132</v>
      </c>
      <c r="H4" s="137">
        <v>3000</v>
      </c>
    </row>
    <row r="5" spans="1:37" x14ac:dyDescent="0.25">
      <c r="A5" s="31"/>
      <c r="D5" s="31"/>
      <c r="F5" s="2"/>
      <c r="G5" s="31"/>
    </row>
    <row r="6" spans="1:37" x14ac:dyDescent="0.25">
      <c r="A6" s="31" t="s">
        <v>48</v>
      </c>
      <c r="B6" s="160">
        <v>7553</v>
      </c>
      <c r="C6" s="160"/>
      <c r="D6" s="31" t="s">
        <v>44</v>
      </c>
      <c r="E6" s="187">
        <v>45</v>
      </c>
      <c r="F6" s="187"/>
      <c r="G6" s="31" t="s">
        <v>46</v>
      </c>
      <c r="H6" s="5">
        <v>45869</v>
      </c>
      <c r="I6" s="31" t="s">
        <v>139</v>
      </c>
      <c r="J6" s="5">
        <v>46010</v>
      </c>
    </row>
    <row r="9" spans="1:37" ht="18.75" x14ac:dyDescent="0.3">
      <c r="A9" s="169" t="s">
        <v>26</v>
      </c>
      <c r="B9" s="169"/>
      <c r="C9" s="169"/>
      <c r="D9" s="169"/>
      <c r="E9" s="169"/>
      <c r="F9" s="169"/>
      <c r="G9" s="169"/>
      <c r="H9" s="169"/>
      <c r="I9" s="28"/>
      <c r="J9" s="169" t="s">
        <v>24</v>
      </c>
      <c r="K9" s="169"/>
      <c r="L9" s="169"/>
      <c r="M9" s="169"/>
      <c r="N9" s="169"/>
      <c r="O9" s="169"/>
      <c r="P9" s="169"/>
      <c r="Q9" s="169"/>
      <c r="R9" s="169"/>
      <c r="S9" s="169"/>
      <c r="T9" s="169"/>
      <c r="U9" s="169"/>
      <c r="V9" s="29"/>
      <c r="W9" s="170" t="s">
        <v>49</v>
      </c>
      <c r="X9" s="170"/>
      <c r="Y9" s="170"/>
      <c r="Z9" s="170"/>
      <c r="AA9" s="170"/>
      <c r="AB9" s="170"/>
      <c r="AC9" s="170"/>
      <c r="AD9" s="29"/>
      <c r="AE9" s="170" t="s">
        <v>25</v>
      </c>
      <c r="AF9" s="170"/>
      <c r="AG9" s="170"/>
      <c r="AH9" s="170"/>
      <c r="AI9" s="170"/>
      <c r="AJ9" s="170"/>
      <c r="AK9" s="170"/>
    </row>
    <row r="10" spans="1:37" x14ac:dyDescent="0.25">
      <c r="A10" s="7"/>
      <c r="B10" s="7"/>
      <c r="C10" s="7"/>
      <c r="D10" s="7"/>
      <c r="E10" s="7"/>
      <c r="F10" s="7"/>
      <c r="G10" s="7"/>
      <c r="H10" s="7"/>
      <c r="I10" s="6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8"/>
      <c r="W10" s="9"/>
      <c r="X10" s="9"/>
      <c r="Y10" s="9"/>
      <c r="Z10" s="9"/>
      <c r="AA10" s="9"/>
      <c r="AB10" s="9"/>
      <c r="AC10" s="9"/>
      <c r="AD10" s="8"/>
      <c r="AE10" s="9"/>
      <c r="AF10" s="9"/>
      <c r="AG10" s="9"/>
      <c r="AH10" s="9"/>
      <c r="AI10" s="9"/>
      <c r="AJ10" s="9"/>
      <c r="AK10" s="9"/>
    </row>
    <row r="11" spans="1:37" ht="15.75" thickBot="1" x14ac:dyDescent="0.3">
      <c r="A11" s="34"/>
      <c r="B11" s="171" t="s">
        <v>54</v>
      </c>
      <c r="C11" s="171"/>
      <c r="D11" s="171"/>
      <c r="E11" s="171"/>
      <c r="F11" s="171"/>
      <c r="G11" s="171"/>
      <c r="H11" s="171"/>
      <c r="I11" s="6"/>
      <c r="J11" s="172" t="s">
        <v>54</v>
      </c>
      <c r="K11" s="172"/>
      <c r="L11" s="172"/>
      <c r="M11" s="172"/>
      <c r="N11" s="172"/>
      <c r="O11" s="172"/>
      <c r="P11" s="172"/>
      <c r="Q11" s="172"/>
      <c r="R11" s="172"/>
      <c r="S11" s="172"/>
      <c r="T11" s="172"/>
      <c r="U11" s="172"/>
      <c r="V11" s="8"/>
      <c r="W11" s="173" t="s">
        <v>54</v>
      </c>
      <c r="X11" s="173"/>
      <c r="Y11" s="173"/>
      <c r="Z11" s="173"/>
      <c r="AA11" s="173"/>
      <c r="AB11" s="173"/>
      <c r="AC11" s="173"/>
      <c r="AD11" s="8"/>
      <c r="AE11" s="174" t="s">
        <v>54</v>
      </c>
      <c r="AF11" s="174"/>
      <c r="AG11" s="174"/>
      <c r="AH11" s="174"/>
      <c r="AI11" s="174"/>
      <c r="AJ11" s="174"/>
      <c r="AK11" s="174"/>
    </row>
    <row r="12" spans="1:37" ht="15.75" thickBot="1" x14ac:dyDescent="0.3">
      <c r="A12" s="168" t="s">
        <v>4</v>
      </c>
      <c r="B12" s="10" t="s">
        <v>5</v>
      </c>
      <c r="C12" s="11" t="s">
        <v>6</v>
      </c>
      <c r="D12" s="12" t="s">
        <v>7</v>
      </c>
      <c r="E12" s="11" t="s">
        <v>8</v>
      </c>
      <c r="F12" s="12" t="s">
        <v>9</v>
      </c>
      <c r="G12" s="11" t="s">
        <v>10</v>
      </c>
      <c r="H12" s="32" t="s">
        <v>11</v>
      </c>
      <c r="I12" s="6"/>
      <c r="J12" s="35" t="s">
        <v>3</v>
      </c>
      <c r="K12" s="14"/>
      <c r="L12" s="15"/>
      <c r="M12" s="15"/>
      <c r="N12" s="15"/>
      <c r="O12" s="15"/>
      <c r="P12" s="15"/>
      <c r="Q12" s="15"/>
      <c r="R12" s="15"/>
      <c r="S12" s="15"/>
      <c r="T12" s="15"/>
      <c r="U12" s="16"/>
      <c r="V12" s="8"/>
      <c r="W12" s="35" t="s">
        <v>3</v>
      </c>
      <c r="X12" s="14"/>
      <c r="Y12" s="15"/>
      <c r="Z12" s="15"/>
      <c r="AA12" s="15"/>
      <c r="AB12" s="15"/>
      <c r="AC12" s="16"/>
      <c r="AD12" s="8"/>
      <c r="AE12" s="35" t="s">
        <v>3</v>
      </c>
      <c r="AF12" s="14"/>
      <c r="AG12" s="15"/>
      <c r="AH12" s="15"/>
      <c r="AI12" s="15"/>
      <c r="AJ12" s="15"/>
      <c r="AK12" s="16"/>
    </row>
    <row r="13" spans="1:37" ht="15.75" thickBot="1" x14ac:dyDescent="0.3">
      <c r="A13" s="168"/>
      <c r="B13" s="17"/>
      <c r="C13" s="18"/>
      <c r="D13" s="18"/>
      <c r="E13" s="18"/>
      <c r="F13" s="18">
        <f>SUM(C13-B13)</f>
        <v>0</v>
      </c>
      <c r="G13" s="18">
        <f>SUM(E13-D13)</f>
        <v>0</v>
      </c>
      <c r="H13" s="33">
        <f>SUM(F13:G13)</f>
        <v>0</v>
      </c>
      <c r="I13" s="6"/>
      <c r="J13" s="36" t="s">
        <v>21</v>
      </c>
      <c r="K13" s="19"/>
      <c r="L13" s="20"/>
      <c r="M13" s="20"/>
      <c r="N13" s="20"/>
      <c r="O13" s="20"/>
      <c r="P13" s="20"/>
      <c r="Q13" s="20"/>
      <c r="R13" s="20"/>
      <c r="S13" s="20"/>
      <c r="T13" s="20"/>
      <c r="U13" s="21"/>
      <c r="V13" s="8"/>
      <c r="W13" s="36" t="s">
        <v>21</v>
      </c>
      <c r="X13" s="19"/>
      <c r="Y13" s="20"/>
      <c r="Z13" s="20"/>
      <c r="AA13" s="20"/>
      <c r="AB13" s="20"/>
      <c r="AC13" s="21"/>
      <c r="AD13" s="8"/>
      <c r="AE13" s="36" t="s">
        <v>21</v>
      </c>
      <c r="AF13" s="19"/>
      <c r="AG13" s="20"/>
      <c r="AH13" s="20"/>
      <c r="AI13" s="20"/>
      <c r="AJ13" s="20"/>
      <c r="AK13" s="21"/>
    </row>
    <row r="14" spans="1:37" x14ac:dyDescent="0.25">
      <c r="A14" s="7"/>
      <c r="B14" s="7"/>
      <c r="C14" s="7"/>
      <c r="D14" s="7"/>
      <c r="E14" s="7"/>
      <c r="F14" s="7"/>
      <c r="G14" s="7"/>
      <c r="H14" s="7"/>
      <c r="I14" s="6"/>
      <c r="J14" s="7"/>
      <c r="K14" s="7"/>
      <c r="L14" s="7"/>
      <c r="M14" s="7"/>
      <c r="N14" s="7"/>
      <c r="O14" s="7"/>
      <c r="P14" s="7"/>
      <c r="Q14" s="7"/>
      <c r="R14" s="7"/>
      <c r="S14" s="7"/>
      <c r="T14" s="22" t="s">
        <v>22</v>
      </c>
      <c r="U14" s="23">
        <f>SUM(K13:U13)</f>
        <v>0</v>
      </c>
      <c r="V14" s="8"/>
      <c r="AB14" s="22" t="s">
        <v>22</v>
      </c>
      <c r="AC14" s="23">
        <f>SUM(X13:AC13)</f>
        <v>0</v>
      </c>
      <c r="AD14" s="8"/>
      <c r="AJ14" s="22" t="s">
        <v>22</v>
      </c>
      <c r="AK14" s="23">
        <f>SUM(AF13:AK13)</f>
        <v>0</v>
      </c>
    </row>
    <row r="15" spans="1:37" ht="15.75" thickBot="1" x14ac:dyDescent="0.3">
      <c r="A15" s="34"/>
      <c r="B15" s="171" t="s">
        <v>2</v>
      </c>
      <c r="C15" s="171"/>
      <c r="D15" s="171"/>
      <c r="E15" s="171"/>
      <c r="F15" s="171"/>
      <c r="G15" s="171"/>
      <c r="H15" s="171"/>
      <c r="J15" s="172" t="s">
        <v>2</v>
      </c>
      <c r="K15" s="172"/>
      <c r="L15" s="172"/>
      <c r="M15" s="172"/>
      <c r="N15" s="172"/>
      <c r="O15" s="172"/>
      <c r="P15" s="172"/>
      <c r="Q15" s="172"/>
      <c r="R15" s="172"/>
      <c r="S15" s="172"/>
      <c r="T15" s="172"/>
      <c r="U15" s="172"/>
      <c r="W15" s="173" t="s">
        <v>2</v>
      </c>
      <c r="X15" s="173"/>
      <c r="Y15" s="173"/>
      <c r="Z15" s="173"/>
      <c r="AA15" s="173"/>
      <c r="AB15" s="173"/>
      <c r="AC15" s="173"/>
      <c r="AE15" s="174" t="s">
        <v>2</v>
      </c>
      <c r="AF15" s="174"/>
      <c r="AG15" s="174"/>
      <c r="AH15" s="174"/>
      <c r="AI15" s="174"/>
      <c r="AJ15" s="174"/>
      <c r="AK15" s="174"/>
    </row>
    <row r="16" spans="1:37" ht="15.75" thickBot="1" x14ac:dyDescent="0.3">
      <c r="A16" s="168" t="s">
        <v>4</v>
      </c>
      <c r="B16" s="10" t="s">
        <v>5</v>
      </c>
      <c r="C16" s="11" t="s">
        <v>6</v>
      </c>
      <c r="D16" s="12" t="s">
        <v>7</v>
      </c>
      <c r="E16" s="11" t="s">
        <v>8</v>
      </c>
      <c r="F16" s="12" t="s">
        <v>9</v>
      </c>
      <c r="G16" s="11" t="s">
        <v>10</v>
      </c>
      <c r="H16" s="32" t="s">
        <v>11</v>
      </c>
      <c r="J16" s="35" t="s">
        <v>3</v>
      </c>
      <c r="K16" s="14"/>
      <c r="L16" s="15"/>
      <c r="M16" s="15"/>
      <c r="N16" s="15"/>
      <c r="O16" s="15"/>
      <c r="P16" s="15"/>
      <c r="Q16" s="15"/>
      <c r="R16" s="15"/>
      <c r="S16" s="15"/>
      <c r="T16" s="15"/>
      <c r="U16" s="16"/>
      <c r="W16" s="35" t="s">
        <v>3</v>
      </c>
      <c r="X16" s="14"/>
      <c r="Y16" s="15"/>
      <c r="Z16" s="15"/>
      <c r="AA16" s="15"/>
      <c r="AB16" s="15"/>
      <c r="AC16" s="16"/>
      <c r="AE16" s="35" t="s">
        <v>3</v>
      </c>
      <c r="AF16" s="14"/>
      <c r="AG16" s="15"/>
      <c r="AH16" s="15"/>
      <c r="AI16" s="15"/>
      <c r="AJ16" s="15"/>
      <c r="AK16" s="16"/>
    </row>
    <row r="17" spans="1:37" ht="15.75" thickBot="1" x14ac:dyDescent="0.3">
      <c r="A17" s="168"/>
      <c r="B17" s="17"/>
      <c r="C17" s="18"/>
      <c r="D17" s="18"/>
      <c r="E17" s="18"/>
      <c r="F17" s="18">
        <f>SUM(C17-B17)</f>
        <v>0</v>
      </c>
      <c r="G17" s="18">
        <f>SUM(E17-D17)</f>
        <v>0</v>
      </c>
      <c r="H17" s="33">
        <f>SUM(F17:G17)</f>
        <v>0</v>
      </c>
      <c r="J17" s="36" t="s">
        <v>21</v>
      </c>
      <c r="K17" s="19"/>
      <c r="L17" s="20"/>
      <c r="M17" s="20"/>
      <c r="N17" s="20"/>
      <c r="O17" s="20"/>
      <c r="P17" s="20"/>
      <c r="Q17" s="20"/>
      <c r="R17" s="20"/>
      <c r="S17" s="20"/>
      <c r="T17" s="20"/>
      <c r="U17" s="21"/>
      <c r="W17" s="36" t="s">
        <v>21</v>
      </c>
      <c r="X17" s="19"/>
      <c r="Y17" s="20"/>
      <c r="Z17" s="20"/>
      <c r="AA17" s="20"/>
      <c r="AB17" s="20"/>
      <c r="AC17" s="21"/>
      <c r="AE17" s="36" t="s">
        <v>21</v>
      </c>
      <c r="AF17" s="19"/>
      <c r="AG17" s="20"/>
      <c r="AH17" s="20"/>
      <c r="AI17" s="20"/>
      <c r="AJ17" s="20"/>
      <c r="AK17" s="21"/>
    </row>
    <row r="18" spans="1:37" x14ac:dyDescent="0.25">
      <c r="F18" s="2"/>
      <c r="G18" s="2"/>
      <c r="H18" s="2"/>
      <c r="J18" s="37"/>
      <c r="T18" s="22" t="s">
        <v>22</v>
      </c>
      <c r="U18" s="23">
        <f>SUM(K17:U17)</f>
        <v>0</v>
      </c>
      <c r="AB18" s="22" t="s">
        <v>22</v>
      </c>
      <c r="AC18" s="23">
        <f>SUM(X17:AC17)</f>
        <v>0</v>
      </c>
      <c r="AJ18" s="22" t="s">
        <v>22</v>
      </c>
      <c r="AK18" s="23">
        <f>SUM(AF17:AK17)</f>
        <v>0</v>
      </c>
    </row>
    <row r="19" spans="1:37" ht="15.75" thickBot="1" x14ac:dyDescent="0.3">
      <c r="A19" s="34"/>
      <c r="B19" s="171" t="s">
        <v>12</v>
      </c>
      <c r="C19" s="171"/>
      <c r="D19" s="171"/>
      <c r="E19" s="171"/>
      <c r="F19" s="171"/>
      <c r="G19" s="171"/>
      <c r="H19" s="171"/>
      <c r="J19" s="172" t="s">
        <v>12</v>
      </c>
      <c r="K19" s="172"/>
      <c r="L19" s="172"/>
      <c r="M19" s="172"/>
      <c r="N19" s="172"/>
      <c r="O19" s="172"/>
      <c r="P19" s="172"/>
      <c r="Q19" s="172"/>
      <c r="R19" s="172"/>
      <c r="S19" s="172"/>
      <c r="T19" s="172"/>
      <c r="U19" s="172"/>
      <c r="W19" s="173" t="str">
        <f>J19</f>
        <v>Março</v>
      </c>
      <c r="X19" s="173"/>
      <c r="Y19" s="173"/>
      <c r="Z19" s="173"/>
      <c r="AA19" s="173"/>
      <c r="AB19" s="173"/>
      <c r="AC19" s="173"/>
      <c r="AE19" s="174" t="str">
        <f>W19</f>
        <v>Março</v>
      </c>
      <c r="AF19" s="174"/>
      <c r="AG19" s="174"/>
      <c r="AH19" s="174"/>
      <c r="AI19" s="174"/>
      <c r="AJ19" s="174"/>
      <c r="AK19" s="174"/>
    </row>
    <row r="20" spans="1:37" ht="15.75" thickBot="1" x14ac:dyDescent="0.3">
      <c r="A20" s="168" t="s">
        <v>4</v>
      </c>
      <c r="B20" s="10" t="s">
        <v>5</v>
      </c>
      <c r="C20" s="11" t="s">
        <v>6</v>
      </c>
      <c r="D20" s="12" t="s">
        <v>7</v>
      </c>
      <c r="E20" s="11" t="s">
        <v>8</v>
      </c>
      <c r="F20" s="12" t="s">
        <v>9</v>
      </c>
      <c r="G20" s="11" t="s">
        <v>10</v>
      </c>
      <c r="H20" s="32" t="s">
        <v>11</v>
      </c>
      <c r="J20" s="35" t="s">
        <v>3</v>
      </c>
      <c r="K20" s="14"/>
      <c r="L20" s="24"/>
      <c r="M20" s="24"/>
      <c r="N20" s="15"/>
      <c r="O20" s="15"/>
      <c r="P20" s="15"/>
      <c r="Q20" s="15"/>
      <c r="R20" s="15"/>
      <c r="S20" s="15"/>
      <c r="T20" s="15"/>
      <c r="U20" s="16"/>
      <c r="W20" s="35" t="s">
        <v>3</v>
      </c>
      <c r="X20" s="14"/>
      <c r="Y20" s="15"/>
      <c r="Z20" s="15"/>
      <c r="AA20" s="15"/>
      <c r="AB20" s="15"/>
      <c r="AC20" s="16"/>
      <c r="AE20" s="35" t="s">
        <v>3</v>
      </c>
      <c r="AF20" s="14"/>
      <c r="AG20" s="15"/>
      <c r="AH20" s="15"/>
      <c r="AI20" s="15"/>
      <c r="AJ20" s="15"/>
      <c r="AK20" s="16"/>
    </row>
    <row r="21" spans="1:37" ht="15.75" thickBot="1" x14ac:dyDescent="0.3">
      <c r="A21" s="168"/>
      <c r="B21" s="17"/>
      <c r="C21" s="18"/>
      <c r="D21" s="18"/>
      <c r="E21" s="18"/>
      <c r="F21" s="18">
        <f>SUM(C21-B21)</f>
        <v>0</v>
      </c>
      <c r="G21" s="18">
        <f>SUM(E21-D21)</f>
        <v>0</v>
      </c>
      <c r="H21" s="33">
        <f>SUM(F21:G21)</f>
        <v>0</v>
      </c>
      <c r="J21" s="36" t="s">
        <v>21</v>
      </c>
      <c r="K21" s="19"/>
      <c r="L21" s="20"/>
      <c r="M21" s="20"/>
      <c r="N21" s="20"/>
      <c r="O21" s="20"/>
      <c r="P21" s="20"/>
      <c r="Q21" s="20"/>
      <c r="R21" s="20"/>
      <c r="S21" s="20"/>
      <c r="T21" s="20"/>
      <c r="U21" s="21"/>
      <c r="W21" s="36" t="s">
        <v>21</v>
      </c>
      <c r="X21" s="19"/>
      <c r="Y21" s="20"/>
      <c r="Z21" s="20"/>
      <c r="AA21" s="20"/>
      <c r="AB21" s="20"/>
      <c r="AC21" s="21"/>
      <c r="AE21" s="36" t="s">
        <v>21</v>
      </c>
      <c r="AF21" s="19"/>
      <c r="AG21" s="20"/>
      <c r="AH21" s="20"/>
      <c r="AI21" s="20"/>
      <c r="AJ21" s="20"/>
      <c r="AK21" s="21"/>
    </row>
    <row r="22" spans="1:37" x14ac:dyDescent="0.25">
      <c r="F22" s="2"/>
      <c r="G22" s="2"/>
      <c r="H22" s="2"/>
      <c r="J22" s="37"/>
      <c r="T22" s="22" t="s">
        <v>22</v>
      </c>
      <c r="U22" s="23">
        <f>SUM(K21:U21)</f>
        <v>0</v>
      </c>
      <c r="AB22" s="22" t="s">
        <v>22</v>
      </c>
      <c r="AC22" s="23">
        <f>SUM(X21:AC21)</f>
        <v>0</v>
      </c>
      <c r="AJ22" s="22" t="s">
        <v>22</v>
      </c>
      <c r="AK22" s="23">
        <f>SUM(AF21:AK21)</f>
        <v>0</v>
      </c>
    </row>
    <row r="23" spans="1:37" ht="15.75" thickBot="1" x14ac:dyDescent="0.3">
      <c r="A23" s="34"/>
      <c r="B23" s="171" t="s">
        <v>13</v>
      </c>
      <c r="C23" s="171"/>
      <c r="D23" s="171"/>
      <c r="E23" s="171"/>
      <c r="F23" s="171"/>
      <c r="G23" s="171"/>
      <c r="H23" s="171"/>
      <c r="J23" s="172" t="s">
        <v>13</v>
      </c>
      <c r="K23" s="172"/>
      <c r="L23" s="172"/>
      <c r="M23" s="172"/>
      <c r="N23" s="172"/>
      <c r="O23" s="172"/>
      <c r="P23" s="172"/>
      <c r="Q23" s="172"/>
      <c r="R23" s="172"/>
      <c r="S23" s="172"/>
      <c r="T23" s="172"/>
      <c r="U23" s="172"/>
      <c r="W23" s="173" t="str">
        <f>J23</f>
        <v>Abril</v>
      </c>
      <c r="X23" s="173"/>
      <c r="Y23" s="173"/>
      <c r="Z23" s="173"/>
      <c r="AA23" s="173"/>
      <c r="AB23" s="173"/>
      <c r="AC23" s="173"/>
      <c r="AE23" s="174" t="str">
        <f>W23</f>
        <v>Abril</v>
      </c>
      <c r="AF23" s="174"/>
      <c r="AG23" s="174"/>
      <c r="AH23" s="174"/>
      <c r="AI23" s="174"/>
      <c r="AJ23" s="174"/>
      <c r="AK23" s="174"/>
    </row>
    <row r="24" spans="1:37" ht="15.75" thickBot="1" x14ac:dyDescent="0.3">
      <c r="A24" s="168" t="s">
        <v>4</v>
      </c>
      <c r="B24" s="10" t="s">
        <v>5</v>
      </c>
      <c r="C24" s="11" t="s">
        <v>6</v>
      </c>
      <c r="D24" s="12" t="s">
        <v>7</v>
      </c>
      <c r="E24" s="11" t="s">
        <v>8</v>
      </c>
      <c r="F24" s="12" t="s">
        <v>9</v>
      </c>
      <c r="G24" s="11" t="s">
        <v>10</v>
      </c>
      <c r="H24" s="32" t="s">
        <v>11</v>
      </c>
      <c r="J24" s="35" t="s">
        <v>3</v>
      </c>
      <c r="K24" s="14"/>
      <c r="L24" s="15"/>
      <c r="M24" s="15"/>
      <c r="N24" s="15"/>
      <c r="O24" s="15"/>
      <c r="P24" s="15"/>
      <c r="Q24" s="15"/>
      <c r="R24" s="15"/>
      <c r="S24" s="15"/>
      <c r="T24" s="15"/>
      <c r="U24" s="16"/>
      <c r="W24" s="35" t="s">
        <v>3</v>
      </c>
      <c r="X24" s="14"/>
      <c r="Y24" s="15"/>
      <c r="Z24" s="15"/>
      <c r="AA24" s="15"/>
      <c r="AB24" s="15"/>
      <c r="AC24" s="16"/>
      <c r="AE24" s="35" t="s">
        <v>3</v>
      </c>
      <c r="AF24" s="14"/>
      <c r="AG24" s="15"/>
      <c r="AH24" s="15"/>
      <c r="AI24" s="15"/>
      <c r="AJ24" s="15"/>
      <c r="AK24" s="16"/>
    </row>
    <row r="25" spans="1:37" ht="15.75" thickBot="1" x14ac:dyDescent="0.3">
      <c r="A25" s="168"/>
      <c r="B25" s="17"/>
      <c r="C25" s="18"/>
      <c r="D25" s="18"/>
      <c r="E25" s="18"/>
      <c r="F25" s="18">
        <f>SUM(C25-B25)</f>
        <v>0</v>
      </c>
      <c r="G25" s="18">
        <f>SUM(E25-D25)</f>
        <v>0</v>
      </c>
      <c r="H25" s="33">
        <f>SUM(F25:G25)</f>
        <v>0</v>
      </c>
      <c r="J25" s="36" t="s">
        <v>21</v>
      </c>
      <c r="K25" s="25"/>
      <c r="L25" s="26"/>
      <c r="M25" s="26"/>
      <c r="N25" s="26"/>
      <c r="O25" s="26"/>
      <c r="P25" s="26"/>
      <c r="Q25" s="26"/>
      <c r="R25" s="26"/>
      <c r="S25" s="26"/>
      <c r="T25" s="26"/>
      <c r="U25" s="27"/>
      <c r="W25" s="36" t="s">
        <v>21</v>
      </c>
      <c r="X25" s="19"/>
      <c r="Y25" s="20"/>
      <c r="Z25" s="20"/>
      <c r="AA25" s="20"/>
      <c r="AB25" s="20"/>
      <c r="AC25" s="21"/>
      <c r="AE25" s="36" t="s">
        <v>21</v>
      </c>
      <c r="AF25" s="19"/>
      <c r="AG25" s="20"/>
      <c r="AH25" s="20"/>
      <c r="AI25" s="20"/>
      <c r="AJ25" s="20"/>
      <c r="AK25" s="21"/>
    </row>
    <row r="26" spans="1:37" x14ac:dyDescent="0.25">
      <c r="F26" s="2"/>
      <c r="G26" s="2"/>
      <c r="H26" s="2"/>
      <c r="J26" s="37"/>
      <c r="T26" s="22" t="s">
        <v>22</v>
      </c>
      <c r="U26" s="23">
        <f>SUM(K25:U25)</f>
        <v>0</v>
      </c>
      <c r="AB26" s="22" t="s">
        <v>22</v>
      </c>
      <c r="AC26" s="23">
        <f>SUM(X25:AC25)</f>
        <v>0</v>
      </c>
      <c r="AJ26" s="22" t="s">
        <v>22</v>
      </c>
      <c r="AK26" s="23">
        <f>SUM(AF25:AK25)</f>
        <v>0</v>
      </c>
    </row>
    <row r="27" spans="1:37" ht="15.75" thickBot="1" x14ac:dyDescent="0.3">
      <c r="A27" s="34"/>
      <c r="B27" s="171" t="s">
        <v>14</v>
      </c>
      <c r="C27" s="171"/>
      <c r="D27" s="171"/>
      <c r="E27" s="171"/>
      <c r="F27" s="171"/>
      <c r="G27" s="171"/>
      <c r="H27" s="171"/>
      <c r="J27" s="172" t="s">
        <v>14</v>
      </c>
      <c r="K27" s="172"/>
      <c r="L27" s="172"/>
      <c r="M27" s="172"/>
      <c r="N27" s="172"/>
      <c r="O27" s="172"/>
      <c r="P27" s="172"/>
      <c r="Q27" s="172"/>
      <c r="R27" s="172"/>
      <c r="S27" s="172"/>
      <c r="T27" s="172"/>
      <c r="U27" s="172"/>
      <c r="W27" s="173" t="str">
        <f>J27</f>
        <v>Maio</v>
      </c>
      <c r="X27" s="173"/>
      <c r="Y27" s="173"/>
      <c r="Z27" s="173"/>
      <c r="AA27" s="173"/>
      <c r="AB27" s="173"/>
      <c r="AC27" s="173"/>
      <c r="AE27" s="174" t="str">
        <f>W27</f>
        <v>Maio</v>
      </c>
      <c r="AF27" s="174"/>
      <c r="AG27" s="174"/>
      <c r="AH27" s="174"/>
      <c r="AI27" s="174"/>
      <c r="AJ27" s="174"/>
      <c r="AK27" s="174"/>
    </row>
    <row r="28" spans="1:37" ht="15.75" thickBot="1" x14ac:dyDescent="0.3">
      <c r="A28" s="168" t="s">
        <v>4</v>
      </c>
      <c r="B28" s="10" t="s">
        <v>5</v>
      </c>
      <c r="C28" s="11" t="s">
        <v>6</v>
      </c>
      <c r="D28" s="12" t="s">
        <v>7</v>
      </c>
      <c r="E28" s="11" t="s">
        <v>8</v>
      </c>
      <c r="F28" s="12" t="s">
        <v>9</v>
      </c>
      <c r="G28" s="11" t="s">
        <v>10</v>
      </c>
      <c r="H28" s="32" t="s">
        <v>11</v>
      </c>
      <c r="J28" s="35" t="s">
        <v>3</v>
      </c>
      <c r="K28" s="14"/>
      <c r="L28" s="15"/>
      <c r="M28" s="15"/>
      <c r="N28" s="15"/>
      <c r="O28" s="15"/>
      <c r="P28" s="15"/>
      <c r="Q28" s="15"/>
      <c r="R28" s="15"/>
      <c r="S28" s="15"/>
      <c r="T28" s="15"/>
      <c r="U28" s="16"/>
      <c r="W28" s="35" t="s">
        <v>3</v>
      </c>
      <c r="X28" s="14"/>
      <c r="Y28" s="15"/>
      <c r="Z28" s="15"/>
      <c r="AA28" s="15"/>
      <c r="AB28" s="15"/>
      <c r="AC28" s="16"/>
      <c r="AE28" s="35" t="s">
        <v>3</v>
      </c>
      <c r="AF28" s="14"/>
      <c r="AG28" s="15"/>
      <c r="AH28" s="15"/>
      <c r="AI28" s="15"/>
      <c r="AJ28" s="15"/>
      <c r="AK28" s="16"/>
    </row>
    <row r="29" spans="1:37" ht="15.75" thickBot="1" x14ac:dyDescent="0.3">
      <c r="A29" s="168"/>
      <c r="B29" s="17"/>
      <c r="C29" s="18"/>
      <c r="D29" s="18"/>
      <c r="E29" s="18"/>
      <c r="F29" s="18">
        <f>SUM(C29-B29)</f>
        <v>0</v>
      </c>
      <c r="G29" s="18">
        <f>SUM(E29-D29)</f>
        <v>0</v>
      </c>
      <c r="H29" s="33">
        <f>SUM(F29:G29)</f>
        <v>0</v>
      </c>
      <c r="J29" s="36" t="s">
        <v>21</v>
      </c>
      <c r="K29" s="19"/>
      <c r="L29" s="20"/>
      <c r="M29" s="20"/>
      <c r="N29" s="20"/>
      <c r="O29" s="20"/>
      <c r="P29" s="20"/>
      <c r="Q29" s="20"/>
      <c r="R29" s="20"/>
      <c r="S29" s="20"/>
      <c r="T29" s="20"/>
      <c r="U29" s="21"/>
      <c r="W29" s="36" t="s">
        <v>21</v>
      </c>
      <c r="X29" s="19"/>
      <c r="Y29" s="20"/>
      <c r="Z29" s="20"/>
      <c r="AA29" s="20"/>
      <c r="AB29" s="20"/>
      <c r="AC29" s="21"/>
      <c r="AE29" s="36" t="s">
        <v>21</v>
      </c>
      <c r="AF29" s="19"/>
      <c r="AG29" s="20"/>
      <c r="AH29" s="20"/>
      <c r="AI29" s="20"/>
      <c r="AJ29" s="20"/>
      <c r="AK29" s="21"/>
    </row>
    <row r="30" spans="1:37" x14ac:dyDescent="0.25">
      <c r="F30" s="2"/>
      <c r="G30" s="2"/>
      <c r="H30" s="2"/>
      <c r="J30" s="37"/>
      <c r="T30" s="22" t="s">
        <v>22</v>
      </c>
      <c r="U30" s="23">
        <f>SUM(K29:U29)</f>
        <v>0</v>
      </c>
      <c r="AB30" s="22" t="s">
        <v>22</v>
      </c>
      <c r="AC30" s="23">
        <f>SUM(X29:AC29)</f>
        <v>0</v>
      </c>
      <c r="AJ30" s="22" t="s">
        <v>22</v>
      </c>
      <c r="AK30" s="23">
        <f>SUM(AF29:AK29)</f>
        <v>0</v>
      </c>
    </row>
    <row r="31" spans="1:37" ht="15.75" thickBot="1" x14ac:dyDescent="0.3">
      <c r="A31" s="34"/>
      <c r="B31" s="171" t="s">
        <v>23</v>
      </c>
      <c r="C31" s="171"/>
      <c r="D31" s="171"/>
      <c r="E31" s="171"/>
      <c r="F31" s="171"/>
      <c r="G31" s="171"/>
      <c r="H31" s="171"/>
      <c r="J31" s="172" t="s">
        <v>23</v>
      </c>
      <c r="K31" s="172"/>
      <c r="L31" s="172"/>
      <c r="M31" s="172"/>
      <c r="N31" s="172"/>
      <c r="O31" s="172"/>
      <c r="P31" s="172"/>
      <c r="Q31" s="172"/>
      <c r="R31" s="172"/>
      <c r="S31" s="172"/>
      <c r="T31" s="172"/>
      <c r="U31" s="172"/>
      <c r="W31" s="173" t="str">
        <f>J31</f>
        <v>Junho</v>
      </c>
      <c r="X31" s="173"/>
      <c r="Y31" s="173"/>
      <c r="Z31" s="173"/>
      <c r="AA31" s="173"/>
      <c r="AB31" s="173"/>
      <c r="AC31" s="173"/>
      <c r="AE31" s="174" t="str">
        <f>W31</f>
        <v>Junho</v>
      </c>
      <c r="AF31" s="174"/>
      <c r="AG31" s="174"/>
      <c r="AH31" s="174"/>
      <c r="AI31" s="174"/>
      <c r="AJ31" s="174"/>
      <c r="AK31" s="174"/>
    </row>
    <row r="32" spans="1:37" ht="15.75" thickBot="1" x14ac:dyDescent="0.3">
      <c r="A32" s="168" t="s">
        <v>4</v>
      </c>
      <c r="B32" s="10" t="s">
        <v>5</v>
      </c>
      <c r="C32" s="11" t="s">
        <v>6</v>
      </c>
      <c r="D32" s="12" t="s">
        <v>7</v>
      </c>
      <c r="E32" s="11" t="s">
        <v>8</v>
      </c>
      <c r="F32" s="12" t="s">
        <v>9</v>
      </c>
      <c r="G32" s="11" t="s">
        <v>10</v>
      </c>
      <c r="H32" s="32" t="s">
        <v>11</v>
      </c>
      <c r="J32" s="35" t="s">
        <v>3</v>
      </c>
      <c r="K32" s="14"/>
      <c r="L32" s="15"/>
      <c r="M32" s="15"/>
      <c r="N32" s="15"/>
      <c r="O32" s="15"/>
      <c r="P32" s="15"/>
      <c r="Q32" s="15"/>
      <c r="R32" s="15"/>
      <c r="S32" s="15"/>
      <c r="T32" s="15"/>
      <c r="U32" s="16"/>
      <c r="W32" s="35" t="s">
        <v>3</v>
      </c>
      <c r="X32" s="14"/>
      <c r="Y32" s="15"/>
      <c r="Z32" s="15"/>
      <c r="AA32" s="15"/>
      <c r="AB32" s="15"/>
      <c r="AC32" s="16"/>
      <c r="AE32" s="35" t="s">
        <v>3</v>
      </c>
      <c r="AF32" s="14"/>
      <c r="AG32" s="15"/>
      <c r="AH32" s="15"/>
      <c r="AI32" s="15"/>
      <c r="AJ32" s="15"/>
      <c r="AK32" s="16"/>
    </row>
    <row r="33" spans="1:37" ht="15.75" thickBot="1" x14ac:dyDescent="0.3">
      <c r="A33" s="168"/>
      <c r="B33" s="17"/>
      <c r="C33" s="18"/>
      <c r="D33" s="18"/>
      <c r="E33" s="18"/>
      <c r="F33" s="18">
        <f>SUM(C33-B33)</f>
        <v>0</v>
      </c>
      <c r="G33" s="18">
        <f>SUM(E33-D33)</f>
        <v>0</v>
      </c>
      <c r="H33" s="33">
        <f>SUM(F33:G33)</f>
        <v>0</v>
      </c>
      <c r="J33" s="36" t="s">
        <v>21</v>
      </c>
      <c r="K33" s="19"/>
      <c r="L33" s="20"/>
      <c r="M33" s="20"/>
      <c r="N33" s="20"/>
      <c r="O33" s="20"/>
      <c r="P33" s="20"/>
      <c r="Q33" s="20"/>
      <c r="R33" s="20"/>
      <c r="S33" s="20"/>
      <c r="T33" s="20"/>
      <c r="U33" s="21"/>
      <c r="W33" s="36" t="s">
        <v>21</v>
      </c>
      <c r="X33" s="19"/>
      <c r="Y33" s="20"/>
      <c r="Z33" s="20"/>
      <c r="AA33" s="20"/>
      <c r="AB33" s="20"/>
      <c r="AC33" s="21"/>
      <c r="AE33" s="36" t="s">
        <v>21</v>
      </c>
      <c r="AF33" s="19"/>
      <c r="AG33" s="20"/>
      <c r="AH33" s="20"/>
      <c r="AI33" s="20"/>
      <c r="AJ33" s="20"/>
      <c r="AK33" s="21"/>
    </row>
    <row r="34" spans="1:37" x14ac:dyDescent="0.25">
      <c r="F34" s="2"/>
      <c r="G34" s="2"/>
      <c r="H34" s="2"/>
      <c r="J34" s="37"/>
      <c r="T34" s="22" t="s">
        <v>22</v>
      </c>
      <c r="U34" s="23">
        <f>SUM(K33:U33)</f>
        <v>0</v>
      </c>
      <c r="AB34" s="22" t="s">
        <v>22</v>
      </c>
      <c r="AC34" s="23">
        <f>SUM(X33:AC33)</f>
        <v>0</v>
      </c>
      <c r="AJ34" s="22" t="s">
        <v>22</v>
      </c>
      <c r="AK34" s="23">
        <f>SUM(AF33:AK33)</f>
        <v>0</v>
      </c>
    </row>
    <row r="35" spans="1:37" ht="15.75" thickBot="1" x14ac:dyDescent="0.3">
      <c r="A35" s="34"/>
      <c r="B35" s="171" t="s">
        <v>15</v>
      </c>
      <c r="C35" s="171"/>
      <c r="D35" s="171"/>
      <c r="E35" s="171"/>
      <c r="F35" s="171"/>
      <c r="G35" s="171"/>
      <c r="H35" s="171"/>
      <c r="J35" s="172" t="s">
        <v>15</v>
      </c>
      <c r="K35" s="172"/>
      <c r="L35" s="172"/>
      <c r="M35" s="172"/>
      <c r="N35" s="172"/>
      <c r="O35" s="172"/>
      <c r="P35" s="172"/>
      <c r="Q35" s="172"/>
      <c r="R35" s="172"/>
      <c r="S35" s="172"/>
      <c r="T35" s="172"/>
      <c r="U35" s="172"/>
      <c r="W35" s="173" t="str">
        <f>J35</f>
        <v>Julho</v>
      </c>
      <c r="X35" s="173"/>
      <c r="Y35" s="173"/>
      <c r="Z35" s="173"/>
      <c r="AA35" s="173"/>
      <c r="AB35" s="173"/>
      <c r="AC35" s="173"/>
      <c r="AE35" s="174" t="str">
        <f>W35</f>
        <v>Julho</v>
      </c>
      <c r="AF35" s="174"/>
      <c r="AG35" s="174"/>
      <c r="AH35" s="174"/>
      <c r="AI35" s="174"/>
      <c r="AJ35" s="174"/>
      <c r="AK35" s="174"/>
    </row>
    <row r="36" spans="1:37" ht="15.75" thickBot="1" x14ac:dyDescent="0.3">
      <c r="A36" s="168" t="s">
        <v>4</v>
      </c>
      <c r="B36" s="10" t="s">
        <v>5</v>
      </c>
      <c r="C36" s="11" t="s">
        <v>6</v>
      </c>
      <c r="D36" s="12" t="s">
        <v>7</v>
      </c>
      <c r="E36" s="11" t="s">
        <v>8</v>
      </c>
      <c r="F36" s="12" t="s">
        <v>9</v>
      </c>
      <c r="G36" s="11" t="s">
        <v>10</v>
      </c>
      <c r="H36" s="32" t="s">
        <v>11</v>
      </c>
      <c r="J36" s="35" t="s">
        <v>3</v>
      </c>
      <c r="K36" s="14"/>
      <c r="L36" s="15"/>
      <c r="M36" s="15"/>
      <c r="N36" s="15"/>
      <c r="O36" s="15"/>
      <c r="P36" s="15"/>
      <c r="Q36" s="15"/>
      <c r="R36" s="15"/>
      <c r="S36" s="15"/>
      <c r="T36" s="15"/>
      <c r="U36" s="16"/>
      <c r="W36" s="35" t="s">
        <v>3</v>
      </c>
      <c r="X36" s="14"/>
      <c r="Y36" s="15"/>
      <c r="Z36" s="15"/>
      <c r="AA36" s="15"/>
      <c r="AB36" s="15"/>
      <c r="AC36" s="16"/>
      <c r="AE36" s="35" t="s">
        <v>3</v>
      </c>
      <c r="AF36" s="14"/>
      <c r="AG36" s="15"/>
      <c r="AH36" s="15"/>
      <c r="AI36" s="15"/>
      <c r="AJ36" s="15"/>
      <c r="AK36" s="16"/>
    </row>
    <row r="37" spans="1:37" ht="15.75" thickBot="1" x14ac:dyDescent="0.3">
      <c r="A37" s="168"/>
      <c r="B37" s="17"/>
      <c r="C37" s="18"/>
      <c r="D37" s="18"/>
      <c r="E37" s="18"/>
      <c r="F37" s="18">
        <f>SUM(C37-B37)</f>
        <v>0</v>
      </c>
      <c r="G37" s="18">
        <f>SUM(E37-D37)</f>
        <v>0</v>
      </c>
      <c r="H37" s="33">
        <f>SUM(F37:G37)</f>
        <v>0</v>
      </c>
      <c r="J37" s="36" t="s">
        <v>21</v>
      </c>
      <c r="K37" s="19"/>
      <c r="L37" s="20"/>
      <c r="M37" s="20"/>
      <c r="N37" s="20"/>
      <c r="O37" s="20"/>
      <c r="P37" s="20"/>
      <c r="Q37" s="20"/>
      <c r="R37" s="20"/>
      <c r="S37" s="20"/>
      <c r="T37" s="20"/>
      <c r="U37" s="21"/>
      <c r="W37" s="36" t="s">
        <v>21</v>
      </c>
      <c r="X37" s="19"/>
      <c r="Y37" s="20"/>
      <c r="Z37" s="20"/>
      <c r="AA37" s="20"/>
      <c r="AB37" s="20"/>
      <c r="AC37" s="21"/>
      <c r="AE37" s="36" t="s">
        <v>21</v>
      </c>
      <c r="AF37" s="19"/>
      <c r="AG37" s="20"/>
      <c r="AH37" s="20"/>
      <c r="AI37" s="20"/>
      <c r="AJ37" s="20"/>
      <c r="AK37" s="21"/>
    </row>
    <row r="38" spans="1:37" x14ac:dyDescent="0.25">
      <c r="F38" s="2"/>
      <c r="G38" s="2"/>
      <c r="H38" s="2"/>
      <c r="J38" s="37"/>
      <c r="T38" s="22" t="s">
        <v>22</v>
      </c>
      <c r="U38" s="23">
        <f>SUM(K37:U37)</f>
        <v>0</v>
      </c>
      <c r="AB38" s="22" t="s">
        <v>22</v>
      </c>
      <c r="AC38" s="23">
        <f>SUM(X37:AC37)</f>
        <v>0</v>
      </c>
      <c r="AJ38" s="22" t="s">
        <v>22</v>
      </c>
      <c r="AK38" s="23">
        <f>SUM(AF37:AK37)</f>
        <v>0</v>
      </c>
    </row>
    <row r="39" spans="1:37" ht="15.75" thickBot="1" x14ac:dyDescent="0.3">
      <c r="A39" s="34"/>
      <c r="B39" s="171" t="s">
        <v>16</v>
      </c>
      <c r="C39" s="171"/>
      <c r="D39" s="171"/>
      <c r="E39" s="171"/>
      <c r="F39" s="171"/>
      <c r="G39" s="171"/>
      <c r="H39" s="171"/>
      <c r="J39" s="172" t="s">
        <v>16</v>
      </c>
      <c r="K39" s="172"/>
      <c r="L39" s="172"/>
      <c r="M39" s="172"/>
      <c r="N39" s="172"/>
      <c r="O39" s="172"/>
      <c r="P39" s="172"/>
      <c r="Q39" s="172"/>
      <c r="R39" s="172"/>
      <c r="S39" s="172"/>
      <c r="T39" s="172"/>
      <c r="U39" s="172"/>
      <c r="W39" s="173" t="str">
        <f>J39</f>
        <v>Agosto</v>
      </c>
      <c r="X39" s="173"/>
      <c r="Y39" s="173"/>
      <c r="Z39" s="173"/>
      <c r="AA39" s="173"/>
      <c r="AB39" s="173"/>
      <c r="AC39" s="173"/>
      <c r="AE39" s="174" t="str">
        <f>W39</f>
        <v>Agosto</v>
      </c>
      <c r="AF39" s="174"/>
      <c r="AG39" s="174"/>
      <c r="AH39" s="174"/>
      <c r="AI39" s="174"/>
      <c r="AJ39" s="174"/>
      <c r="AK39" s="174"/>
    </row>
    <row r="40" spans="1:37" ht="15.75" thickBot="1" x14ac:dyDescent="0.3">
      <c r="A40" s="168" t="s">
        <v>4</v>
      </c>
      <c r="B40" s="10" t="s">
        <v>5</v>
      </c>
      <c r="C40" s="11" t="s">
        <v>6</v>
      </c>
      <c r="D40" s="12" t="s">
        <v>7</v>
      </c>
      <c r="E40" s="11" t="s">
        <v>8</v>
      </c>
      <c r="F40" s="12" t="s">
        <v>9</v>
      </c>
      <c r="G40" s="11" t="s">
        <v>10</v>
      </c>
      <c r="H40" s="32" t="s">
        <v>11</v>
      </c>
      <c r="J40" s="35" t="s">
        <v>3</v>
      </c>
      <c r="K40" s="14">
        <v>45870</v>
      </c>
      <c r="L40" s="24">
        <v>45873</v>
      </c>
      <c r="M40" s="24">
        <v>45878</v>
      </c>
      <c r="N40" s="24">
        <v>45883</v>
      </c>
      <c r="O40" s="24">
        <v>45890</v>
      </c>
      <c r="P40" s="24">
        <v>45895</v>
      </c>
      <c r="Q40" s="24">
        <v>45899</v>
      </c>
      <c r="R40" s="15"/>
      <c r="S40" s="15"/>
      <c r="T40" s="15"/>
      <c r="U40" s="16"/>
      <c r="W40" s="35" t="s">
        <v>3</v>
      </c>
      <c r="X40" s="14"/>
      <c r="Y40" s="15"/>
      <c r="Z40" s="15"/>
      <c r="AA40" s="15"/>
      <c r="AB40" s="15"/>
      <c r="AC40" s="16"/>
      <c r="AE40" s="35" t="s">
        <v>3</v>
      </c>
      <c r="AF40" s="14"/>
      <c r="AG40" s="15"/>
      <c r="AH40" s="15"/>
      <c r="AI40" s="15"/>
      <c r="AJ40" s="15"/>
      <c r="AK40" s="16"/>
    </row>
    <row r="41" spans="1:37" ht="15.75" thickBot="1" x14ac:dyDescent="0.3">
      <c r="A41" s="168"/>
      <c r="B41" s="17">
        <v>22</v>
      </c>
      <c r="C41" s="18">
        <v>1837</v>
      </c>
      <c r="D41" s="18">
        <v>1837</v>
      </c>
      <c r="E41" s="18">
        <v>3415</v>
      </c>
      <c r="F41" s="18">
        <f>SUM(C41-B41)</f>
        <v>1815</v>
      </c>
      <c r="G41" s="18">
        <f>SUM(E41-D41)</f>
        <v>1578</v>
      </c>
      <c r="H41" s="33">
        <f>SUM(F41:G41)</f>
        <v>3393</v>
      </c>
      <c r="J41" s="36" t="s">
        <v>21</v>
      </c>
      <c r="K41" s="19">
        <v>380.59</v>
      </c>
      <c r="L41" s="20">
        <v>262.10000000000002</v>
      </c>
      <c r="M41" s="20">
        <v>281.44</v>
      </c>
      <c r="N41" s="20">
        <v>242.57</v>
      </c>
      <c r="O41" s="20">
        <v>313.61</v>
      </c>
      <c r="P41" s="20">
        <v>313.14999999999998</v>
      </c>
      <c r="Q41" s="20">
        <v>403.05</v>
      </c>
      <c r="R41" s="20"/>
      <c r="S41" s="20"/>
      <c r="T41" s="20"/>
      <c r="U41" s="21"/>
      <c r="W41" s="36" t="s">
        <v>21</v>
      </c>
      <c r="X41" s="19"/>
      <c r="Y41" s="20"/>
      <c r="Z41" s="20"/>
      <c r="AA41" s="20"/>
      <c r="AB41" s="20"/>
      <c r="AC41" s="21"/>
      <c r="AE41" s="36" t="s">
        <v>21</v>
      </c>
      <c r="AF41" s="19"/>
      <c r="AG41" s="20"/>
      <c r="AH41" s="20"/>
      <c r="AI41" s="20"/>
      <c r="AJ41" s="20"/>
      <c r="AK41" s="21"/>
    </row>
    <row r="42" spans="1:37" x14ac:dyDescent="0.25">
      <c r="F42" s="2"/>
      <c r="G42" s="2"/>
      <c r="H42" s="2"/>
      <c r="J42" s="37"/>
      <c r="T42" s="22" t="s">
        <v>22</v>
      </c>
      <c r="U42" s="23">
        <f>SUM(K41:U41)</f>
        <v>2196.5100000000002</v>
      </c>
      <c r="AB42" s="22" t="s">
        <v>22</v>
      </c>
      <c r="AC42" s="23">
        <f>SUM(X41:AC41)</f>
        <v>0</v>
      </c>
      <c r="AJ42" s="22" t="s">
        <v>22</v>
      </c>
      <c r="AK42" s="23">
        <f>SUM(AF41:AK41)</f>
        <v>0</v>
      </c>
    </row>
    <row r="43" spans="1:37" ht="15.75" thickBot="1" x14ac:dyDescent="0.3">
      <c r="A43" s="34"/>
      <c r="B43" s="171" t="s">
        <v>17</v>
      </c>
      <c r="C43" s="171"/>
      <c r="D43" s="171"/>
      <c r="E43" s="171"/>
      <c r="F43" s="171"/>
      <c r="G43" s="171"/>
      <c r="H43" s="171"/>
      <c r="J43" s="172" t="s">
        <v>17</v>
      </c>
      <c r="K43" s="172"/>
      <c r="L43" s="172"/>
      <c r="M43" s="172"/>
      <c r="N43" s="172"/>
      <c r="O43" s="172"/>
      <c r="P43" s="172"/>
      <c r="Q43" s="172"/>
      <c r="R43" s="172"/>
      <c r="S43" s="172"/>
      <c r="T43" s="172"/>
      <c r="U43" s="172"/>
      <c r="W43" s="173" t="str">
        <f>J43</f>
        <v>Setembro</v>
      </c>
      <c r="X43" s="173"/>
      <c r="Y43" s="173"/>
      <c r="Z43" s="173"/>
      <c r="AA43" s="173"/>
      <c r="AB43" s="173"/>
      <c r="AC43" s="173"/>
      <c r="AE43" s="174" t="str">
        <f>W43</f>
        <v>Setembro</v>
      </c>
      <c r="AF43" s="174"/>
      <c r="AG43" s="174"/>
      <c r="AH43" s="174"/>
      <c r="AI43" s="174"/>
      <c r="AJ43" s="174"/>
      <c r="AK43" s="174"/>
    </row>
    <row r="44" spans="1:37" ht="15.75" thickBot="1" x14ac:dyDescent="0.3">
      <c r="A44" s="168" t="s">
        <v>4</v>
      </c>
      <c r="B44" s="10" t="s">
        <v>5</v>
      </c>
      <c r="C44" s="11" t="s">
        <v>6</v>
      </c>
      <c r="D44" s="12" t="s">
        <v>7</v>
      </c>
      <c r="E44" s="11" t="s">
        <v>8</v>
      </c>
      <c r="F44" s="12" t="s">
        <v>9</v>
      </c>
      <c r="G44" s="11" t="s">
        <v>10</v>
      </c>
      <c r="H44" s="32" t="s">
        <v>11</v>
      </c>
      <c r="J44" s="35" t="s">
        <v>3</v>
      </c>
      <c r="K44" s="14">
        <v>45904</v>
      </c>
      <c r="L44" s="24">
        <v>45909</v>
      </c>
      <c r="M44" s="24">
        <v>45911</v>
      </c>
      <c r="N44" s="24">
        <v>45916</v>
      </c>
      <c r="O44" s="24">
        <v>45920</v>
      </c>
      <c r="P44" s="24">
        <v>45925</v>
      </c>
      <c r="Q44" s="24">
        <v>45930</v>
      </c>
      <c r="R44" s="15"/>
      <c r="S44" s="15"/>
      <c r="T44" s="15"/>
      <c r="U44" s="16"/>
      <c r="W44" s="35" t="s">
        <v>3</v>
      </c>
      <c r="X44" s="14"/>
      <c r="Y44" s="15"/>
      <c r="Z44" s="15"/>
      <c r="AA44" s="15"/>
      <c r="AB44" s="15"/>
      <c r="AC44" s="16"/>
      <c r="AE44" s="35" t="s">
        <v>3</v>
      </c>
      <c r="AF44" s="14"/>
      <c r="AG44" s="15"/>
      <c r="AH44" s="15"/>
      <c r="AI44" s="15"/>
      <c r="AJ44" s="15"/>
      <c r="AK44" s="16"/>
    </row>
    <row r="45" spans="1:37" ht="15.75" thickBot="1" x14ac:dyDescent="0.3">
      <c r="A45" s="168"/>
      <c r="B45" s="18">
        <v>3415</v>
      </c>
      <c r="C45" s="18">
        <v>4837</v>
      </c>
      <c r="D45" s="18">
        <v>4837</v>
      </c>
      <c r="E45" s="18">
        <v>6597</v>
      </c>
      <c r="F45" s="18">
        <f>SUM(C45-B45)</f>
        <v>1422</v>
      </c>
      <c r="G45" s="18">
        <f>SUM(E45-D45)</f>
        <v>1760</v>
      </c>
      <c r="H45" s="33">
        <f>SUM(F45:G45)</f>
        <v>3182</v>
      </c>
      <c r="J45" s="36" t="s">
        <v>21</v>
      </c>
      <c r="K45" s="19">
        <v>360.05</v>
      </c>
      <c r="L45" s="20">
        <v>362.44</v>
      </c>
      <c r="M45" s="20">
        <v>217.05</v>
      </c>
      <c r="N45" s="20">
        <v>308.13</v>
      </c>
      <c r="O45" s="20">
        <v>165</v>
      </c>
      <c r="P45" s="20">
        <v>111.52</v>
      </c>
      <c r="Q45" s="20">
        <v>290.42</v>
      </c>
      <c r="R45" s="20"/>
      <c r="S45" s="20"/>
      <c r="T45" s="20"/>
      <c r="U45" s="21"/>
      <c r="W45" s="36" t="s">
        <v>21</v>
      </c>
      <c r="X45" s="19"/>
      <c r="Y45" s="20"/>
      <c r="Z45" s="20"/>
      <c r="AA45" s="20"/>
      <c r="AB45" s="20"/>
      <c r="AC45" s="21"/>
      <c r="AE45" s="36" t="s">
        <v>21</v>
      </c>
      <c r="AF45" s="19"/>
      <c r="AG45" s="20"/>
      <c r="AH45" s="20"/>
      <c r="AI45" s="20"/>
      <c r="AJ45" s="20"/>
      <c r="AK45" s="21"/>
    </row>
    <row r="46" spans="1:37" x14ac:dyDescent="0.25">
      <c r="F46" s="2"/>
      <c r="G46" s="2"/>
      <c r="H46" s="2"/>
      <c r="J46" s="37"/>
      <c r="T46" s="22" t="s">
        <v>22</v>
      </c>
      <c r="U46" s="23">
        <f>SUM(K45:U45)</f>
        <v>1814.6100000000001</v>
      </c>
      <c r="AB46" s="22" t="s">
        <v>22</v>
      </c>
      <c r="AC46" s="23">
        <f>SUM(X45:AC45)</f>
        <v>0</v>
      </c>
      <c r="AJ46" s="22" t="s">
        <v>22</v>
      </c>
      <c r="AK46" s="23">
        <f>SUM(AF45:AK45)</f>
        <v>0</v>
      </c>
    </row>
    <row r="47" spans="1:37" ht="15.75" thickBot="1" x14ac:dyDescent="0.3">
      <c r="A47" s="34"/>
      <c r="B47" s="171" t="s">
        <v>18</v>
      </c>
      <c r="C47" s="171"/>
      <c r="D47" s="171"/>
      <c r="E47" s="171"/>
      <c r="F47" s="171"/>
      <c r="G47" s="171"/>
      <c r="H47" s="171"/>
      <c r="J47" s="172" t="s">
        <v>18</v>
      </c>
      <c r="K47" s="172"/>
      <c r="L47" s="172"/>
      <c r="M47" s="172"/>
      <c r="N47" s="172"/>
      <c r="O47" s="172"/>
      <c r="P47" s="172"/>
      <c r="Q47" s="172"/>
      <c r="R47" s="172"/>
      <c r="S47" s="172"/>
      <c r="T47" s="172"/>
      <c r="U47" s="172"/>
      <c r="W47" s="173" t="str">
        <f>J47</f>
        <v>Outubro</v>
      </c>
      <c r="X47" s="173"/>
      <c r="Y47" s="173"/>
      <c r="Z47" s="173"/>
      <c r="AA47" s="173"/>
      <c r="AB47" s="173"/>
      <c r="AC47" s="173"/>
      <c r="AE47" s="174" t="str">
        <f>W47</f>
        <v>Outubro</v>
      </c>
      <c r="AF47" s="174"/>
      <c r="AG47" s="174"/>
      <c r="AH47" s="174"/>
      <c r="AI47" s="174"/>
      <c r="AJ47" s="174"/>
      <c r="AK47" s="174"/>
    </row>
    <row r="48" spans="1:37" ht="15.75" thickBot="1" x14ac:dyDescent="0.3">
      <c r="A48" s="168" t="s">
        <v>4</v>
      </c>
      <c r="B48" s="10" t="s">
        <v>5</v>
      </c>
      <c r="C48" s="11" t="s">
        <v>6</v>
      </c>
      <c r="D48" s="12" t="s">
        <v>7</v>
      </c>
      <c r="E48" s="11" t="s">
        <v>8</v>
      </c>
      <c r="F48" s="12" t="s">
        <v>9</v>
      </c>
      <c r="G48" s="11" t="s">
        <v>10</v>
      </c>
      <c r="H48" s="32" t="s">
        <v>11</v>
      </c>
      <c r="J48" s="35" t="s">
        <v>3</v>
      </c>
      <c r="K48" s="14">
        <v>45934</v>
      </c>
      <c r="L48" s="24">
        <v>45939</v>
      </c>
      <c r="M48" s="24">
        <v>45944</v>
      </c>
      <c r="N48" s="24">
        <v>45948</v>
      </c>
      <c r="O48" s="24">
        <v>45953</v>
      </c>
      <c r="P48" s="24">
        <v>45958</v>
      </c>
      <c r="Q48" s="24">
        <v>45960</v>
      </c>
      <c r="R48" s="15"/>
      <c r="S48" s="15"/>
      <c r="T48" s="15"/>
      <c r="U48" s="16"/>
      <c r="W48" s="35" t="s">
        <v>3</v>
      </c>
      <c r="X48" s="14"/>
      <c r="Y48" s="15"/>
      <c r="Z48" s="15"/>
      <c r="AA48" s="15"/>
      <c r="AB48" s="15"/>
      <c r="AC48" s="16"/>
      <c r="AE48" s="35" t="s">
        <v>3</v>
      </c>
      <c r="AF48" s="14"/>
      <c r="AG48" s="15"/>
      <c r="AH48" s="15"/>
      <c r="AI48" s="15"/>
      <c r="AJ48" s="15"/>
      <c r="AK48" s="16"/>
    </row>
    <row r="49" spans="1:37" ht="15.75" thickBot="1" x14ac:dyDescent="0.3">
      <c r="A49" s="168"/>
      <c r="B49" s="18">
        <v>6597</v>
      </c>
      <c r="C49" s="18">
        <v>8052</v>
      </c>
      <c r="D49" s="18">
        <v>8052</v>
      </c>
      <c r="E49" s="18">
        <v>9650</v>
      </c>
      <c r="F49" s="18">
        <f>SUM(C49-B49)</f>
        <v>1455</v>
      </c>
      <c r="G49" s="18">
        <f>SUM(E49-D49)</f>
        <v>1598</v>
      </c>
      <c r="H49" s="33">
        <f>SUM(F49:G49)</f>
        <v>3053</v>
      </c>
      <c r="J49" s="36" t="s">
        <v>21</v>
      </c>
      <c r="K49" s="19">
        <v>324.74</v>
      </c>
      <c r="L49" s="20">
        <v>312.45999999999998</v>
      </c>
      <c r="M49" s="20">
        <v>288.41000000000003</v>
      </c>
      <c r="N49" s="20">
        <v>287.01</v>
      </c>
      <c r="O49" s="20">
        <v>339.8</v>
      </c>
      <c r="P49" s="20">
        <v>334.67</v>
      </c>
      <c r="Q49" s="20">
        <v>184.26</v>
      </c>
      <c r="R49" s="20"/>
      <c r="S49" s="20"/>
      <c r="T49" s="20"/>
      <c r="U49" s="21"/>
      <c r="W49" s="36" t="s">
        <v>21</v>
      </c>
      <c r="X49" s="19"/>
      <c r="Y49" s="20"/>
      <c r="Z49" s="20"/>
      <c r="AA49" s="20"/>
      <c r="AB49" s="20"/>
      <c r="AC49" s="21"/>
      <c r="AE49" s="36" t="s">
        <v>21</v>
      </c>
      <c r="AF49" s="19"/>
      <c r="AG49" s="20"/>
      <c r="AH49" s="20"/>
      <c r="AI49" s="20"/>
      <c r="AJ49" s="20"/>
      <c r="AK49" s="21"/>
    </row>
    <row r="50" spans="1:37" x14ac:dyDescent="0.25">
      <c r="F50" s="2"/>
      <c r="G50" s="2"/>
      <c r="H50" s="2"/>
      <c r="J50" s="37"/>
      <c r="T50" s="22" t="s">
        <v>22</v>
      </c>
      <c r="U50" s="23">
        <f>SUM(K49:U49)</f>
        <v>2071.3500000000004</v>
      </c>
      <c r="AB50" s="22" t="s">
        <v>22</v>
      </c>
      <c r="AC50" s="23">
        <f>SUM(X49:AC49)</f>
        <v>0</v>
      </c>
      <c r="AJ50" s="22" t="s">
        <v>22</v>
      </c>
      <c r="AK50" s="23">
        <f>SUM(AF49:AK49)</f>
        <v>0</v>
      </c>
    </row>
    <row r="51" spans="1:37" ht="15.75" thickBot="1" x14ac:dyDescent="0.3">
      <c r="A51" s="34"/>
      <c r="B51" s="171" t="s">
        <v>19</v>
      </c>
      <c r="C51" s="171"/>
      <c r="D51" s="171"/>
      <c r="E51" s="171"/>
      <c r="F51" s="171"/>
      <c r="G51" s="171"/>
      <c r="H51" s="171"/>
      <c r="J51" s="172" t="s">
        <v>19</v>
      </c>
      <c r="K51" s="172"/>
      <c r="L51" s="172"/>
      <c r="M51" s="172"/>
      <c r="N51" s="172"/>
      <c r="O51" s="172"/>
      <c r="P51" s="172"/>
      <c r="Q51" s="172"/>
      <c r="R51" s="172"/>
      <c r="S51" s="172"/>
      <c r="T51" s="172"/>
      <c r="U51" s="172"/>
      <c r="W51" s="173" t="str">
        <f>J51</f>
        <v>Novembro</v>
      </c>
      <c r="X51" s="173"/>
      <c r="Y51" s="173"/>
      <c r="Z51" s="173"/>
      <c r="AA51" s="173"/>
      <c r="AB51" s="173"/>
      <c r="AC51" s="173"/>
      <c r="AE51" s="174" t="str">
        <f>W51</f>
        <v>Novembro</v>
      </c>
      <c r="AF51" s="174"/>
      <c r="AG51" s="174"/>
      <c r="AH51" s="174"/>
      <c r="AI51" s="174"/>
      <c r="AJ51" s="174"/>
      <c r="AK51" s="174"/>
    </row>
    <row r="52" spans="1:37" ht="15.75" thickBot="1" x14ac:dyDescent="0.3">
      <c r="A52" s="168" t="s">
        <v>4</v>
      </c>
      <c r="B52" s="10" t="s">
        <v>5</v>
      </c>
      <c r="C52" s="11" t="s">
        <v>6</v>
      </c>
      <c r="D52" s="12" t="s">
        <v>7</v>
      </c>
      <c r="E52" s="11" t="s">
        <v>8</v>
      </c>
      <c r="F52" s="12" t="s">
        <v>9</v>
      </c>
      <c r="G52" s="11" t="s">
        <v>10</v>
      </c>
      <c r="H52" s="32" t="s">
        <v>11</v>
      </c>
      <c r="J52" s="35" t="s">
        <v>3</v>
      </c>
      <c r="K52" s="14">
        <v>45969</v>
      </c>
      <c r="L52" s="24">
        <v>45972</v>
      </c>
      <c r="M52" s="24">
        <v>45974</v>
      </c>
      <c r="N52" s="24">
        <v>45981</v>
      </c>
      <c r="O52" s="24">
        <v>45986</v>
      </c>
      <c r="P52" s="24">
        <v>45990</v>
      </c>
      <c r="Q52" s="15"/>
      <c r="R52" s="15"/>
      <c r="S52" s="15"/>
      <c r="T52" s="15"/>
      <c r="U52" s="16"/>
      <c r="W52" s="35" t="s">
        <v>3</v>
      </c>
      <c r="X52" s="14"/>
      <c r="Y52" s="15"/>
      <c r="Z52" s="15"/>
      <c r="AA52" s="15"/>
      <c r="AB52" s="15"/>
      <c r="AC52" s="16"/>
      <c r="AE52" s="35" t="s">
        <v>3</v>
      </c>
      <c r="AF52" s="14"/>
      <c r="AG52" s="15"/>
      <c r="AH52" s="15"/>
      <c r="AI52" s="15"/>
      <c r="AJ52" s="15"/>
      <c r="AK52" s="16"/>
    </row>
    <row r="53" spans="1:37" ht="15.75" thickBot="1" x14ac:dyDescent="0.3">
      <c r="A53" s="168"/>
      <c r="B53" s="18">
        <v>9650</v>
      </c>
      <c r="C53" s="18">
        <v>11117</v>
      </c>
      <c r="D53" s="18">
        <v>11117</v>
      </c>
      <c r="E53" s="18">
        <v>12434</v>
      </c>
      <c r="F53" s="18">
        <f>SUM(C53-B53)</f>
        <v>1467</v>
      </c>
      <c r="G53" s="18">
        <f>SUM(E53-D53)</f>
        <v>1317</v>
      </c>
      <c r="H53" s="33">
        <f>SUM(F53:G53)</f>
        <v>2784</v>
      </c>
      <c r="J53" s="36" t="s">
        <v>21</v>
      </c>
      <c r="K53" s="19">
        <v>87.15</v>
      </c>
      <c r="L53" s="20">
        <v>345.66</v>
      </c>
      <c r="M53" s="20">
        <v>189.14</v>
      </c>
      <c r="N53" s="20">
        <v>371.8</v>
      </c>
      <c r="O53" s="20">
        <v>294.88</v>
      </c>
      <c r="P53" s="20">
        <v>233.64</v>
      </c>
      <c r="Q53" s="20"/>
      <c r="R53" s="20"/>
      <c r="S53" s="20"/>
      <c r="T53" s="20"/>
      <c r="U53" s="21"/>
      <c r="W53" s="36" t="s">
        <v>21</v>
      </c>
      <c r="X53" s="19"/>
      <c r="Y53" s="20"/>
      <c r="Z53" s="20"/>
      <c r="AA53" s="20"/>
      <c r="AB53" s="20"/>
      <c r="AC53" s="21"/>
      <c r="AE53" s="36" t="s">
        <v>21</v>
      </c>
      <c r="AF53" s="19"/>
      <c r="AG53" s="20"/>
      <c r="AH53" s="20"/>
      <c r="AI53" s="20"/>
      <c r="AJ53" s="20"/>
      <c r="AK53" s="21"/>
    </row>
    <row r="54" spans="1:37" x14ac:dyDescent="0.25">
      <c r="F54" s="2"/>
      <c r="G54" s="2"/>
      <c r="H54" s="2"/>
      <c r="J54" s="37"/>
      <c r="T54" s="22" t="s">
        <v>22</v>
      </c>
      <c r="U54" s="23">
        <f>SUM(K53:U53)</f>
        <v>1522.27</v>
      </c>
      <c r="AB54" s="22" t="s">
        <v>22</v>
      </c>
      <c r="AC54" s="23">
        <f>SUM(X53:AC53)</f>
        <v>0</v>
      </c>
      <c r="AJ54" s="22" t="s">
        <v>22</v>
      </c>
      <c r="AK54" s="23">
        <f>SUM(AF53:AK53)</f>
        <v>0</v>
      </c>
    </row>
    <row r="55" spans="1:37" ht="15.75" thickBot="1" x14ac:dyDescent="0.3">
      <c r="A55" s="34"/>
      <c r="B55" s="171" t="s">
        <v>20</v>
      </c>
      <c r="C55" s="171"/>
      <c r="D55" s="171"/>
      <c r="E55" s="171"/>
      <c r="F55" s="171"/>
      <c r="G55" s="171"/>
      <c r="H55" s="171"/>
      <c r="J55" s="172" t="s">
        <v>20</v>
      </c>
      <c r="K55" s="172"/>
      <c r="L55" s="172"/>
      <c r="M55" s="172"/>
      <c r="N55" s="172"/>
      <c r="O55" s="172"/>
      <c r="P55" s="172"/>
      <c r="Q55" s="172"/>
      <c r="R55" s="172"/>
      <c r="S55" s="172"/>
      <c r="T55" s="172"/>
      <c r="U55" s="172"/>
      <c r="W55" s="173" t="str">
        <f>J55</f>
        <v>Dezembro</v>
      </c>
      <c r="X55" s="173"/>
      <c r="Y55" s="173"/>
      <c r="Z55" s="173"/>
      <c r="AA55" s="173"/>
      <c r="AB55" s="173"/>
      <c r="AC55" s="173"/>
      <c r="AE55" s="174" t="str">
        <f>W55</f>
        <v>Dezembro</v>
      </c>
      <c r="AF55" s="174"/>
      <c r="AG55" s="174"/>
      <c r="AH55" s="174"/>
      <c r="AI55" s="174"/>
      <c r="AJ55" s="174"/>
      <c r="AK55" s="174"/>
    </row>
    <row r="56" spans="1:37" ht="15.75" thickBot="1" x14ac:dyDescent="0.3">
      <c r="A56" s="168" t="s">
        <v>4</v>
      </c>
      <c r="B56" s="10" t="s">
        <v>5</v>
      </c>
      <c r="C56" s="11" t="s">
        <v>6</v>
      </c>
      <c r="D56" s="12" t="s">
        <v>7</v>
      </c>
      <c r="E56" s="11" t="s">
        <v>8</v>
      </c>
      <c r="F56" s="12" t="s">
        <v>9</v>
      </c>
      <c r="G56" s="11" t="s">
        <v>10</v>
      </c>
      <c r="H56" s="32" t="s">
        <v>11</v>
      </c>
      <c r="J56" s="35" t="s">
        <v>3</v>
      </c>
      <c r="K56" s="14">
        <v>45993</v>
      </c>
      <c r="L56" s="24">
        <v>45995</v>
      </c>
      <c r="M56" s="24">
        <v>46000</v>
      </c>
      <c r="N56" s="24">
        <v>46010</v>
      </c>
      <c r="O56" s="15"/>
      <c r="P56" s="15"/>
      <c r="Q56" s="15"/>
      <c r="R56" s="15"/>
      <c r="S56" s="15"/>
      <c r="T56" s="15"/>
      <c r="U56" s="16"/>
      <c r="W56" s="35" t="s">
        <v>3</v>
      </c>
      <c r="X56" s="14"/>
      <c r="Y56" s="15"/>
      <c r="Z56" s="15"/>
      <c r="AA56" s="15"/>
      <c r="AB56" s="15"/>
      <c r="AC56" s="16"/>
      <c r="AE56" s="35" t="s">
        <v>3</v>
      </c>
      <c r="AF56" s="14"/>
      <c r="AG56" s="15"/>
      <c r="AH56" s="15"/>
      <c r="AI56" s="15"/>
      <c r="AJ56" s="15"/>
      <c r="AK56" s="16"/>
    </row>
    <row r="57" spans="1:37" ht="15.75" thickBot="1" x14ac:dyDescent="0.3">
      <c r="A57" s="168"/>
      <c r="B57" s="18">
        <v>12434</v>
      </c>
      <c r="C57" s="18">
        <v>14442</v>
      </c>
      <c r="D57" s="18"/>
      <c r="E57" s="18"/>
      <c r="F57" s="18">
        <f>SUM(C57-B57)</f>
        <v>2008</v>
      </c>
      <c r="G57" s="18">
        <f>SUM(E57-D57)</f>
        <v>0</v>
      </c>
      <c r="H57" s="33">
        <f>SUM(F57:G57)</f>
        <v>2008</v>
      </c>
      <c r="J57" s="36" t="s">
        <v>21</v>
      </c>
      <c r="K57" s="19">
        <v>267.8</v>
      </c>
      <c r="L57" s="20">
        <v>224.3</v>
      </c>
      <c r="M57" s="20">
        <v>275.82</v>
      </c>
      <c r="N57" s="20">
        <v>388.09</v>
      </c>
      <c r="O57" s="20"/>
      <c r="P57" s="20"/>
      <c r="Q57" s="20"/>
      <c r="R57" s="20"/>
      <c r="S57" s="20"/>
      <c r="T57" s="20"/>
      <c r="U57" s="21"/>
      <c r="W57" s="36" t="s">
        <v>21</v>
      </c>
      <c r="X57" s="19"/>
      <c r="Y57" s="20"/>
      <c r="Z57" s="20"/>
      <c r="AA57" s="20"/>
      <c r="AB57" s="20"/>
      <c r="AC57" s="21"/>
      <c r="AE57" s="36" t="s">
        <v>21</v>
      </c>
      <c r="AF57" s="19"/>
      <c r="AG57" s="20"/>
      <c r="AH57" s="20"/>
      <c r="AI57" s="20"/>
      <c r="AJ57" s="20"/>
      <c r="AK57" s="21"/>
    </row>
    <row r="58" spans="1:37" x14ac:dyDescent="0.25">
      <c r="J58" s="37"/>
      <c r="T58" s="22" t="s">
        <v>22</v>
      </c>
      <c r="U58" s="23">
        <f>SUM(K57:U57)</f>
        <v>1156.01</v>
      </c>
      <c r="AB58" s="22" t="s">
        <v>22</v>
      </c>
      <c r="AC58" s="23">
        <f>SUM(X57:AC57)</f>
        <v>0</v>
      </c>
      <c r="AJ58" s="22" t="s">
        <v>22</v>
      </c>
      <c r="AK58" s="23">
        <f>SUM(AF57:AK57)</f>
        <v>0</v>
      </c>
    </row>
    <row r="59" spans="1:37" ht="15.75" thickBot="1" x14ac:dyDescent="0.3">
      <c r="A59" s="141">
        <v>2026</v>
      </c>
      <c r="B59" s="189" t="s">
        <v>54</v>
      </c>
      <c r="C59" s="171"/>
      <c r="D59" s="171"/>
      <c r="E59" s="171"/>
      <c r="F59" s="171"/>
      <c r="G59" s="171"/>
      <c r="H59" s="171"/>
      <c r="I59" s="6"/>
      <c r="J59" s="172" t="s">
        <v>54</v>
      </c>
      <c r="K59" s="172"/>
      <c r="L59" s="172"/>
      <c r="M59" s="172"/>
      <c r="N59" s="172"/>
      <c r="O59" s="172"/>
      <c r="P59" s="172"/>
      <c r="Q59" s="172"/>
      <c r="R59" s="172"/>
      <c r="S59" s="172"/>
      <c r="T59" s="172"/>
      <c r="U59" s="172"/>
      <c r="V59" s="8"/>
      <c r="W59" s="173" t="s">
        <v>54</v>
      </c>
      <c r="X59" s="173"/>
      <c r="Y59" s="173"/>
      <c r="Z59" s="173"/>
      <c r="AA59" s="173"/>
      <c r="AB59" s="173"/>
      <c r="AC59" s="173"/>
      <c r="AD59" s="8"/>
      <c r="AE59" s="174" t="s">
        <v>54</v>
      </c>
      <c r="AF59" s="174"/>
      <c r="AG59" s="174"/>
      <c r="AH59" s="174"/>
      <c r="AI59" s="174"/>
      <c r="AJ59" s="174"/>
      <c r="AK59" s="174"/>
    </row>
    <row r="60" spans="1:37" ht="15.75" thickBot="1" x14ac:dyDescent="0.3">
      <c r="A60" s="168" t="s">
        <v>4</v>
      </c>
      <c r="B60" s="10" t="s">
        <v>5</v>
      </c>
      <c r="C60" s="11" t="s">
        <v>6</v>
      </c>
      <c r="D60" s="12" t="s">
        <v>7</v>
      </c>
      <c r="E60" s="11" t="s">
        <v>8</v>
      </c>
      <c r="F60" s="12" t="s">
        <v>9</v>
      </c>
      <c r="G60" s="11" t="s">
        <v>10</v>
      </c>
      <c r="H60" s="32" t="s">
        <v>11</v>
      </c>
      <c r="I60" s="6"/>
      <c r="J60" s="35" t="s">
        <v>3</v>
      </c>
      <c r="K60" s="14"/>
      <c r="L60" s="15"/>
      <c r="M60" s="15"/>
      <c r="N60" s="15"/>
      <c r="O60" s="15"/>
      <c r="P60" s="15"/>
      <c r="Q60" s="15"/>
      <c r="R60" s="15"/>
      <c r="S60" s="15"/>
      <c r="T60" s="15"/>
      <c r="U60" s="16"/>
      <c r="V60" s="8"/>
      <c r="W60" s="35" t="s">
        <v>3</v>
      </c>
      <c r="X60" s="14"/>
      <c r="Y60" s="15"/>
      <c r="Z60" s="15"/>
      <c r="AA60" s="15"/>
      <c r="AB60" s="15"/>
      <c r="AC60" s="16"/>
      <c r="AD60" s="8"/>
      <c r="AE60" s="35" t="s">
        <v>3</v>
      </c>
      <c r="AF60" s="14"/>
      <c r="AG60" s="15"/>
      <c r="AH60" s="15"/>
      <c r="AI60" s="15"/>
      <c r="AJ60" s="15"/>
      <c r="AK60" s="16"/>
    </row>
    <row r="61" spans="1:37" ht="15.75" thickBot="1" x14ac:dyDescent="0.3">
      <c r="A61" s="168"/>
      <c r="B61" s="17"/>
      <c r="C61" s="18"/>
      <c r="D61" s="18"/>
      <c r="E61" s="18"/>
      <c r="F61" s="18">
        <f>SUM(C61-B61)</f>
        <v>0</v>
      </c>
      <c r="G61" s="18">
        <f>SUM(E61-D61)</f>
        <v>0</v>
      </c>
      <c r="H61" s="33">
        <f>SUM(F61:G61)</f>
        <v>0</v>
      </c>
      <c r="I61" s="6"/>
      <c r="J61" s="36" t="s">
        <v>21</v>
      </c>
      <c r="K61" s="19"/>
      <c r="L61" s="20"/>
      <c r="M61" s="20"/>
      <c r="N61" s="20"/>
      <c r="O61" s="20"/>
      <c r="P61" s="20"/>
      <c r="Q61" s="20"/>
      <c r="R61" s="20"/>
      <c r="S61" s="20"/>
      <c r="T61" s="20"/>
      <c r="U61" s="21"/>
      <c r="V61" s="8"/>
      <c r="W61" s="36" t="s">
        <v>21</v>
      </c>
      <c r="X61" s="19"/>
      <c r="Y61" s="20"/>
      <c r="Z61" s="20"/>
      <c r="AA61" s="20"/>
      <c r="AB61" s="20"/>
      <c r="AC61" s="21"/>
      <c r="AD61" s="8"/>
      <c r="AE61" s="36" t="s">
        <v>21</v>
      </c>
      <c r="AF61" s="19"/>
      <c r="AG61" s="20"/>
      <c r="AH61" s="20"/>
      <c r="AI61" s="20"/>
      <c r="AJ61" s="20"/>
      <c r="AK61" s="21"/>
    </row>
    <row r="62" spans="1:37" x14ac:dyDescent="0.25">
      <c r="A62" s="7"/>
      <c r="B62" s="7"/>
      <c r="C62" s="7"/>
      <c r="D62" s="7"/>
      <c r="E62" s="7"/>
      <c r="F62" s="7"/>
      <c r="G62" s="7"/>
      <c r="H62" s="7"/>
      <c r="I62" s="6"/>
      <c r="J62" s="7"/>
      <c r="K62" s="7"/>
      <c r="L62" s="7"/>
      <c r="M62" s="7"/>
      <c r="N62" s="7"/>
      <c r="O62" s="7"/>
      <c r="P62" s="7"/>
      <c r="Q62" s="7"/>
      <c r="R62" s="7"/>
      <c r="S62" s="7"/>
      <c r="T62" s="22" t="s">
        <v>22</v>
      </c>
      <c r="U62" s="23">
        <f>SUM(K61:U61)</f>
        <v>0</v>
      </c>
      <c r="V62" s="8"/>
      <c r="AB62" s="22" t="s">
        <v>22</v>
      </c>
      <c r="AC62" s="23">
        <f>SUM(X61:AC61)</f>
        <v>0</v>
      </c>
      <c r="AD62" s="8"/>
      <c r="AJ62" s="22" t="s">
        <v>22</v>
      </c>
      <c r="AK62" s="23">
        <f>SUM(AF61:AK61)</f>
        <v>0</v>
      </c>
    </row>
    <row r="63" spans="1:37" ht="15.75" thickBot="1" x14ac:dyDescent="0.3">
      <c r="A63" s="34"/>
      <c r="B63" s="171" t="s">
        <v>2</v>
      </c>
      <c r="C63" s="171"/>
      <c r="D63" s="171"/>
      <c r="E63" s="171"/>
      <c r="F63" s="171"/>
      <c r="G63" s="171"/>
      <c r="H63" s="171"/>
      <c r="J63" s="172" t="s">
        <v>2</v>
      </c>
      <c r="K63" s="172"/>
      <c r="L63" s="172"/>
      <c r="M63" s="172"/>
      <c r="N63" s="172"/>
      <c r="O63" s="172"/>
      <c r="P63" s="172"/>
      <c r="Q63" s="172"/>
      <c r="R63" s="172"/>
      <c r="S63" s="172"/>
      <c r="T63" s="172"/>
      <c r="U63" s="172"/>
      <c r="W63" s="173" t="s">
        <v>2</v>
      </c>
      <c r="X63" s="173"/>
      <c r="Y63" s="173"/>
      <c r="Z63" s="173"/>
      <c r="AA63" s="173"/>
      <c r="AB63" s="173"/>
      <c r="AC63" s="173"/>
      <c r="AE63" s="174" t="s">
        <v>2</v>
      </c>
      <c r="AF63" s="174"/>
      <c r="AG63" s="174"/>
      <c r="AH63" s="174"/>
      <c r="AI63" s="174"/>
      <c r="AJ63" s="174"/>
      <c r="AK63" s="174"/>
    </row>
    <row r="64" spans="1:37" ht="15.75" thickBot="1" x14ac:dyDescent="0.3">
      <c r="A64" s="168" t="s">
        <v>4</v>
      </c>
      <c r="B64" s="10" t="s">
        <v>5</v>
      </c>
      <c r="C64" s="11" t="s">
        <v>6</v>
      </c>
      <c r="D64" s="12" t="s">
        <v>7</v>
      </c>
      <c r="E64" s="11" t="s">
        <v>8</v>
      </c>
      <c r="F64" s="12" t="s">
        <v>9</v>
      </c>
      <c r="G64" s="11" t="s">
        <v>10</v>
      </c>
      <c r="H64" s="32" t="s">
        <v>11</v>
      </c>
      <c r="J64" s="35" t="s">
        <v>3</v>
      </c>
      <c r="K64" s="14"/>
      <c r="L64" s="15"/>
      <c r="M64" s="15"/>
      <c r="N64" s="15"/>
      <c r="O64" s="15"/>
      <c r="P64" s="15"/>
      <c r="Q64" s="15"/>
      <c r="R64" s="15"/>
      <c r="S64" s="15"/>
      <c r="T64" s="15"/>
      <c r="U64" s="16"/>
      <c r="W64" s="35" t="s">
        <v>3</v>
      </c>
      <c r="X64" s="14"/>
      <c r="Y64" s="15"/>
      <c r="Z64" s="15"/>
      <c r="AA64" s="15"/>
      <c r="AB64" s="15"/>
      <c r="AC64" s="16"/>
      <c r="AE64" s="35" t="s">
        <v>3</v>
      </c>
      <c r="AF64" s="14"/>
      <c r="AG64" s="15"/>
      <c r="AH64" s="15"/>
      <c r="AI64" s="15"/>
      <c r="AJ64" s="15"/>
      <c r="AK64" s="16"/>
    </row>
    <row r="65" spans="1:37" ht="15.75" thickBot="1" x14ac:dyDescent="0.3">
      <c r="A65" s="168"/>
      <c r="B65" s="17"/>
      <c r="C65" s="18"/>
      <c r="D65" s="18"/>
      <c r="E65" s="18"/>
      <c r="F65" s="18">
        <f>SUM(C65-B65)</f>
        <v>0</v>
      </c>
      <c r="G65" s="18">
        <f>SUM(E65-D65)</f>
        <v>0</v>
      </c>
      <c r="H65" s="33">
        <f>SUM(F65:G65)</f>
        <v>0</v>
      </c>
      <c r="J65" s="36" t="s">
        <v>21</v>
      </c>
      <c r="K65" s="19"/>
      <c r="L65" s="20"/>
      <c r="M65" s="20"/>
      <c r="N65" s="20"/>
      <c r="O65" s="20"/>
      <c r="P65" s="20"/>
      <c r="Q65" s="20"/>
      <c r="R65" s="20"/>
      <c r="S65" s="20"/>
      <c r="T65" s="20"/>
      <c r="U65" s="21"/>
      <c r="W65" s="36" t="s">
        <v>21</v>
      </c>
      <c r="X65" s="19"/>
      <c r="Y65" s="20"/>
      <c r="Z65" s="20"/>
      <c r="AA65" s="20"/>
      <c r="AB65" s="20"/>
      <c r="AC65" s="21"/>
      <c r="AE65" s="36" t="s">
        <v>21</v>
      </c>
      <c r="AF65" s="19"/>
      <c r="AG65" s="20"/>
      <c r="AH65" s="20"/>
      <c r="AI65" s="20"/>
      <c r="AJ65" s="20"/>
      <c r="AK65" s="21"/>
    </row>
    <row r="66" spans="1:37" x14ac:dyDescent="0.25">
      <c r="F66" s="2"/>
      <c r="G66" s="2"/>
      <c r="H66" s="2"/>
      <c r="J66" s="37"/>
      <c r="T66" s="22" t="s">
        <v>22</v>
      </c>
      <c r="U66" s="23">
        <f>SUM(K65:U65)</f>
        <v>0</v>
      </c>
      <c r="AB66" s="22" t="s">
        <v>22</v>
      </c>
      <c r="AC66" s="23">
        <f>SUM(X65:AC65)</f>
        <v>0</v>
      </c>
      <c r="AJ66" s="22" t="s">
        <v>22</v>
      </c>
      <c r="AK66" s="23">
        <f>SUM(AF65:AK65)</f>
        <v>0</v>
      </c>
    </row>
    <row r="67" spans="1:37" ht="15.75" thickBot="1" x14ac:dyDescent="0.3">
      <c r="A67" s="34"/>
      <c r="B67" s="171" t="s">
        <v>12</v>
      </c>
      <c r="C67" s="171"/>
      <c r="D67" s="171"/>
      <c r="E67" s="171"/>
      <c r="F67" s="171"/>
      <c r="G67" s="171"/>
      <c r="H67" s="171"/>
      <c r="J67" s="172" t="s">
        <v>12</v>
      </c>
      <c r="K67" s="172"/>
      <c r="L67" s="172"/>
      <c r="M67" s="172"/>
      <c r="N67" s="172"/>
      <c r="O67" s="172"/>
      <c r="P67" s="172"/>
      <c r="Q67" s="172"/>
      <c r="R67" s="172"/>
      <c r="S67" s="172"/>
      <c r="T67" s="172"/>
      <c r="U67" s="172"/>
      <c r="W67" s="173" t="str">
        <f>J67</f>
        <v>Março</v>
      </c>
      <c r="X67" s="173"/>
      <c r="Y67" s="173"/>
      <c r="Z67" s="173"/>
      <c r="AA67" s="173"/>
      <c r="AB67" s="173"/>
      <c r="AC67" s="173"/>
      <c r="AE67" s="174" t="str">
        <f>W67</f>
        <v>Março</v>
      </c>
      <c r="AF67" s="174"/>
      <c r="AG67" s="174"/>
      <c r="AH67" s="174"/>
      <c r="AI67" s="174"/>
      <c r="AJ67" s="174"/>
      <c r="AK67" s="174"/>
    </row>
    <row r="68" spans="1:37" ht="15.75" thickBot="1" x14ac:dyDescent="0.3">
      <c r="A68" s="168" t="s">
        <v>4</v>
      </c>
      <c r="B68" s="10" t="s">
        <v>5</v>
      </c>
      <c r="C68" s="11" t="s">
        <v>6</v>
      </c>
      <c r="D68" s="12" t="s">
        <v>7</v>
      </c>
      <c r="E68" s="11" t="s">
        <v>8</v>
      </c>
      <c r="F68" s="12" t="s">
        <v>9</v>
      </c>
      <c r="G68" s="11" t="s">
        <v>10</v>
      </c>
      <c r="H68" s="32" t="s">
        <v>11</v>
      </c>
      <c r="J68" s="35" t="s">
        <v>3</v>
      </c>
      <c r="K68" s="14"/>
      <c r="L68" s="24"/>
      <c r="M68" s="24"/>
      <c r="N68" s="15"/>
      <c r="O68" s="15"/>
      <c r="P68" s="15"/>
      <c r="Q68" s="15"/>
      <c r="R68" s="15"/>
      <c r="S68" s="15"/>
      <c r="T68" s="15"/>
      <c r="U68" s="16"/>
      <c r="W68" s="35" t="s">
        <v>3</v>
      </c>
      <c r="X68" s="14"/>
      <c r="Y68" s="15"/>
      <c r="Z68" s="15"/>
      <c r="AA68" s="15"/>
      <c r="AB68" s="15"/>
      <c r="AC68" s="16"/>
      <c r="AE68" s="35" t="s">
        <v>3</v>
      </c>
      <c r="AF68" s="14"/>
      <c r="AG68" s="15"/>
      <c r="AH68" s="15"/>
      <c r="AI68" s="15"/>
      <c r="AJ68" s="15"/>
      <c r="AK68" s="16"/>
    </row>
    <row r="69" spans="1:37" ht="15.75" thickBot="1" x14ac:dyDescent="0.3">
      <c r="A69" s="168"/>
      <c r="B69" s="17"/>
      <c r="C69" s="18"/>
      <c r="D69" s="18"/>
      <c r="E69" s="18"/>
      <c r="F69" s="18">
        <f>SUM(C69-B69)</f>
        <v>0</v>
      </c>
      <c r="G69" s="18">
        <f>SUM(E69-D69)</f>
        <v>0</v>
      </c>
      <c r="H69" s="33">
        <f>SUM(F69:G69)</f>
        <v>0</v>
      </c>
      <c r="J69" s="36" t="s">
        <v>21</v>
      </c>
      <c r="K69" s="19"/>
      <c r="L69" s="20"/>
      <c r="M69" s="20"/>
      <c r="N69" s="20"/>
      <c r="O69" s="20"/>
      <c r="P69" s="20"/>
      <c r="Q69" s="20"/>
      <c r="R69" s="20"/>
      <c r="S69" s="20"/>
      <c r="T69" s="20"/>
      <c r="U69" s="21"/>
      <c r="W69" s="36" t="s">
        <v>21</v>
      </c>
      <c r="X69" s="19"/>
      <c r="Y69" s="20"/>
      <c r="Z69" s="20"/>
      <c r="AA69" s="20"/>
      <c r="AB69" s="20"/>
      <c r="AC69" s="21"/>
      <c r="AE69" s="36" t="s">
        <v>21</v>
      </c>
      <c r="AF69" s="19"/>
      <c r="AG69" s="20"/>
      <c r="AH69" s="20"/>
      <c r="AI69" s="20"/>
      <c r="AJ69" s="20"/>
      <c r="AK69" s="21"/>
    </row>
    <row r="70" spans="1:37" x14ac:dyDescent="0.25">
      <c r="F70" s="2"/>
      <c r="G70" s="2"/>
      <c r="H70" s="2"/>
      <c r="J70" s="37"/>
      <c r="T70" s="22" t="s">
        <v>22</v>
      </c>
      <c r="U70" s="23">
        <f>SUM(K69:U69)</f>
        <v>0</v>
      </c>
      <c r="AB70" s="22" t="s">
        <v>22</v>
      </c>
      <c r="AC70" s="23">
        <f>SUM(X69:AC69)</f>
        <v>0</v>
      </c>
      <c r="AJ70" s="22" t="s">
        <v>22</v>
      </c>
      <c r="AK70" s="23">
        <f>SUM(AF69:AK69)</f>
        <v>0</v>
      </c>
    </row>
    <row r="71" spans="1:37" ht="15.75" thickBot="1" x14ac:dyDescent="0.3">
      <c r="A71" s="34"/>
      <c r="B71" s="171" t="s">
        <v>13</v>
      </c>
      <c r="C71" s="171"/>
      <c r="D71" s="171"/>
      <c r="E71" s="171"/>
      <c r="F71" s="171"/>
      <c r="G71" s="171"/>
      <c r="H71" s="171"/>
      <c r="J71" s="172" t="s">
        <v>13</v>
      </c>
      <c r="K71" s="172"/>
      <c r="L71" s="172"/>
      <c r="M71" s="172"/>
      <c r="N71" s="172"/>
      <c r="O71" s="172"/>
      <c r="P71" s="172"/>
      <c r="Q71" s="172"/>
      <c r="R71" s="172"/>
      <c r="S71" s="172"/>
      <c r="T71" s="172"/>
      <c r="U71" s="172"/>
      <c r="W71" s="173" t="str">
        <f>J71</f>
        <v>Abril</v>
      </c>
      <c r="X71" s="173"/>
      <c r="Y71" s="173"/>
      <c r="Z71" s="173"/>
      <c r="AA71" s="173"/>
      <c r="AB71" s="173"/>
      <c r="AC71" s="173"/>
      <c r="AE71" s="174" t="str">
        <f>W71</f>
        <v>Abril</v>
      </c>
      <c r="AF71" s="174"/>
      <c r="AG71" s="174"/>
      <c r="AH71" s="174"/>
      <c r="AI71" s="174"/>
      <c r="AJ71" s="174"/>
      <c r="AK71" s="174"/>
    </row>
    <row r="72" spans="1:37" ht="15.75" thickBot="1" x14ac:dyDescent="0.3">
      <c r="A72" s="168" t="s">
        <v>4</v>
      </c>
      <c r="B72" s="10" t="s">
        <v>5</v>
      </c>
      <c r="C72" s="11" t="s">
        <v>6</v>
      </c>
      <c r="D72" s="12" t="s">
        <v>7</v>
      </c>
      <c r="E72" s="11" t="s">
        <v>8</v>
      </c>
      <c r="F72" s="12" t="s">
        <v>9</v>
      </c>
      <c r="G72" s="11" t="s">
        <v>10</v>
      </c>
      <c r="H72" s="32" t="s">
        <v>11</v>
      </c>
      <c r="J72" s="35" t="s">
        <v>3</v>
      </c>
      <c r="K72" s="14"/>
      <c r="L72" s="15"/>
      <c r="M72" s="15"/>
      <c r="N72" s="15"/>
      <c r="O72" s="15"/>
      <c r="P72" s="15"/>
      <c r="Q72" s="15"/>
      <c r="R72" s="15"/>
      <c r="S72" s="15"/>
      <c r="T72" s="15"/>
      <c r="U72" s="16"/>
      <c r="W72" s="35" t="s">
        <v>3</v>
      </c>
      <c r="X72" s="14"/>
      <c r="Y72" s="15"/>
      <c r="Z72" s="15"/>
      <c r="AA72" s="15"/>
      <c r="AB72" s="15"/>
      <c r="AC72" s="16"/>
      <c r="AE72" s="35" t="s">
        <v>3</v>
      </c>
      <c r="AF72" s="14"/>
      <c r="AG72" s="15"/>
      <c r="AH72" s="15"/>
      <c r="AI72" s="15"/>
      <c r="AJ72" s="15"/>
      <c r="AK72" s="16"/>
    </row>
    <row r="73" spans="1:37" ht="15.75" thickBot="1" x14ac:dyDescent="0.3">
      <c r="A73" s="168"/>
      <c r="B73" s="17"/>
      <c r="C73" s="18"/>
      <c r="D73" s="18"/>
      <c r="E73" s="18"/>
      <c r="F73" s="18">
        <f>SUM(C73-B73)</f>
        <v>0</v>
      </c>
      <c r="G73" s="18">
        <f>SUM(E73-D73)</f>
        <v>0</v>
      </c>
      <c r="H73" s="33">
        <f>SUM(F73:G73)</f>
        <v>0</v>
      </c>
      <c r="J73" s="36" t="s">
        <v>21</v>
      </c>
      <c r="K73" s="25"/>
      <c r="L73" s="26"/>
      <c r="M73" s="26"/>
      <c r="N73" s="26"/>
      <c r="O73" s="26"/>
      <c r="P73" s="26"/>
      <c r="Q73" s="26"/>
      <c r="R73" s="26"/>
      <c r="S73" s="26"/>
      <c r="T73" s="26"/>
      <c r="U73" s="27"/>
      <c r="W73" s="36" t="s">
        <v>21</v>
      </c>
      <c r="X73" s="19"/>
      <c r="Y73" s="20"/>
      <c r="Z73" s="20"/>
      <c r="AA73" s="20"/>
      <c r="AB73" s="20"/>
      <c r="AC73" s="21"/>
      <c r="AE73" s="36" t="s">
        <v>21</v>
      </c>
      <c r="AF73" s="19"/>
      <c r="AG73" s="20"/>
      <c r="AH73" s="20"/>
      <c r="AI73" s="20"/>
      <c r="AJ73" s="20"/>
      <c r="AK73" s="21"/>
    </row>
    <row r="74" spans="1:37" x14ac:dyDescent="0.25">
      <c r="F74" s="2"/>
      <c r="G74" s="2"/>
      <c r="H74" s="2"/>
      <c r="J74" s="37"/>
      <c r="T74" s="22" t="s">
        <v>22</v>
      </c>
      <c r="U74" s="23">
        <f>SUM(K73:U73)</f>
        <v>0</v>
      </c>
      <c r="AB74" s="22" t="s">
        <v>22</v>
      </c>
      <c r="AC74" s="23">
        <f>SUM(X73:AC73)</f>
        <v>0</v>
      </c>
      <c r="AJ74" s="22" t="s">
        <v>22</v>
      </c>
      <c r="AK74" s="23">
        <f>SUM(AF73:AK73)</f>
        <v>0</v>
      </c>
    </row>
    <row r="75" spans="1:37" ht="15.75" thickBot="1" x14ac:dyDescent="0.3">
      <c r="A75" s="34"/>
      <c r="B75" s="171" t="s">
        <v>14</v>
      </c>
      <c r="C75" s="171"/>
      <c r="D75" s="171"/>
      <c r="E75" s="171"/>
      <c r="F75" s="171"/>
      <c r="G75" s="171"/>
      <c r="H75" s="171"/>
      <c r="J75" s="172" t="s">
        <v>14</v>
      </c>
      <c r="K75" s="172"/>
      <c r="L75" s="172"/>
      <c r="M75" s="172"/>
      <c r="N75" s="172"/>
      <c r="O75" s="172"/>
      <c r="P75" s="172"/>
      <c r="Q75" s="172"/>
      <c r="R75" s="172"/>
      <c r="S75" s="172"/>
      <c r="T75" s="172"/>
      <c r="U75" s="172"/>
      <c r="W75" s="173" t="str">
        <f>J75</f>
        <v>Maio</v>
      </c>
      <c r="X75" s="173"/>
      <c r="Y75" s="173"/>
      <c r="Z75" s="173"/>
      <c r="AA75" s="173"/>
      <c r="AB75" s="173"/>
      <c r="AC75" s="173"/>
      <c r="AE75" s="174" t="str">
        <f>W75</f>
        <v>Maio</v>
      </c>
      <c r="AF75" s="174"/>
      <c r="AG75" s="174"/>
      <c r="AH75" s="174"/>
      <c r="AI75" s="174"/>
      <c r="AJ75" s="174"/>
      <c r="AK75" s="174"/>
    </row>
    <row r="76" spans="1:37" ht="15.75" thickBot="1" x14ac:dyDescent="0.3">
      <c r="A76" s="168" t="s">
        <v>4</v>
      </c>
      <c r="B76" s="10" t="s">
        <v>5</v>
      </c>
      <c r="C76" s="11" t="s">
        <v>6</v>
      </c>
      <c r="D76" s="12" t="s">
        <v>7</v>
      </c>
      <c r="E76" s="11" t="s">
        <v>8</v>
      </c>
      <c r="F76" s="12" t="s">
        <v>9</v>
      </c>
      <c r="G76" s="11" t="s">
        <v>10</v>
      </c>
      <c r="H76" s="32" t="s">
        <v>11</v>
      </c>
      <c r="J76" s="35" t="s">
        <v>3</v>
      </c>
      <c r="K76" s="14"/>
      <c r="L76" s="15"/>
      <c r="M76" s="15"/>
      <c r="N76" s="15"/>
      <c r="O76" s="15"/>
      <c r="P76" s="15"/>
      <c r="Q76" s="15"/>
      <c r="R76" s="15"/>
      <c r="S76" s="15"/>
      <c r="T76" s="15"/>
      <c r="U76" s="16"/>
      <c r="W76" s="35" t="s">
        <v>3</v>
      </c>
      <c r="X76" s="14"/>
      <c r="Y76" s="15"/>
      <c r="Z76" s="15"/>
      <c r="AA76" s="15"/>
      <c r="AB76" s="15"/>
      <c r="AC76" s="16"/>
      <c r="AE76" s="35" t="s">
        <v>3</v>
      </c>
      <c r="AF76" s="14"/>
      <c r="AG76" s="15"/>
      <c r="AH76" s="15"/>
      <c r="AI76" s="15"/>
      <c r="AJ76" s="15"/>
      <c r="AK76" s="16"/>
    </row>
    <row r="77" spans="1:37" ht="15.75" thickBot="1" x14ac:dyDescent="0.3">
      <c r="A77" s="168"/>
      <c r="B77" s="17"/>
      <c r="C77" s="18"/>
      <c r="D77" s="18"/>
      <c r="E77" s="18"/>
      <c r="F77" s="18">
        <f>SUM(C77-B77)</f>
        <v>0</v>
      </c>
      <c r="G77" s="18">
        <f>SUM(E77-D77)</f>
        <v>0</v>
      </c>
      <c r="H77" s="33">
        <f>SUM(F77:G77)</f>
        <v>0</v>
      </c>
      <c r="J77" s="36" t="s">
        <v>21</v>
      </c>
      <c r="K77" s="19"/>
      <c r="L77" s="20"/>
      <c r="M77" s="20"/>
      <c r="N77" s="20"/>
      <c r="O77" s="20"/>
      <c r="P77" s="20"/>
      <c r="Q77" s="20"/>
      <c r="R77" s="20"/>
      <c r="S77" s="20"/>
      <c r="T77" s="20"/>
      <c r="U77" s="21"/>
      <c r="W77" s="36" t="s">
        <v>21</v>
      </c>
      <c r="X77" s="19"/>
      <c r="Y77" s="20"/>
      <c r="Z77" s="20"/>
      <c r="AA77" s="20"/>
      <c r="AB77" s="20"/>
      <c r="AC77" s="21"/>
      <c r="AE77" s="36" t="s">
        <v>21</v>
      </c>
      <c r="AF77" s="19"/>
      <c r="AG77" s="20"/>
      <c r="AH77" s="20"/>
      <c r="AI77" s="20"/>
      <c r="AJ77" s="20"/>
      <c r="AK77" s="21"/>
    </row>
    <row r="78" spans="1:37" x14ac:dyDescent="0.25">
      <c r="F78" s="2"/>
      <c r="G78" s="2"/>
      <c r="H78" s="2"/>
      <c r="J78" s="37"/>
      <c r="T78" s="22" t="s">
        <v>22</v>
      </c>
      <c r="U78" s="23">
        <f>SUM(K77:U77)</f>
        <v>0</v>
      </c>
      <c r="AB78" s="22" t="s">
        <v>22</v>
      </c>
      <c r="AC78" s="23">
        <f>SUM(X77:AC77)</f>
        <v>0</v>
      </c>
      <c r="AJ78" s="22" t="s">
        <v>22</v>
      </c>
      <c r="AK78" s="23">
        <f>SUM(AF77:AK77)</f>
        <v>0</v>
      </c>
    </row>
    <row r="79" spans="1:37" ht="15.75" thickBot="1" x14ac:dyDescent="0.3">
      <c r="A79" s="34"/>
      <c r="B79" s="171" t="s">
        <v>23</v>
      </c>
      <c r="C79" s="171"/>
      <c r="D79" s="171"/>
      <c r="E79" s="171"/>
      <c r="F79" s="171"/>
      <c r="G79" s="171"/>
      <c r="H79" s="171"/>
      <c r="J79" s="172" t="s">
        <v>23</v>
      </c>
      <c r="K79" s="172"/>
      <c r="L79" s="172"/>
      <c r="M79" s="172"/>
      <c r="N79" s="172"/>
      <c r="O79" s="172"/>
      <c r="P79" s="172"/>
      <c r="Q79" s="172"/>
      <c r="R79" s="172"/>
      <c r="S79" s="172"/>
      <c r="T79" s="172"/>
      <c r="U79" s="172"/>
      <c r="W79" s="173" t="str">
        <f>J79</f>
        <v>Junho</v>
      </c>
      <c r="X79" s="173"/>
      <c r="Y79" s="173"/>
      <c r="Z79" s="173"/>
      <c r="AA79" s="173"/>
      <c r="AB79" s="173"/>
      <c r="AC79" s="173"/>
      <c r="AE79" s="174" t="str">
        <f>W79</f>
        <v>Junho</v>
      </c>
      <c r="AF79" s="174"/>
      <c r="AG79" s="174"/>
      <c r="AH79" s="174"/>
      <c r="AI79" s="174"/>
      <c r="AJ79" s="174"/>
      <c r="AK79" s="174"/>
    </row>
    <row r="80" spans="1:37" ht="15.75" thickBot="1" x14ac:dyDescent="0.3">
      <c r="A80" s="168" t="s">
        <v>4</v>
      </c>
      <c r="B80" s="10" t="s">
        <v>5</v>
      </c>
      <c r="C80" s="11" t="s">
        <v>6</v>
      </c>
      <c r="D80" s="12" t="s">
        <v>7</v>
      </c>
      <c r="E80" s="11" t="s">
        <v>8</v>
      </c>
      <c r="F80" s="12" t="s">
        <v>9</v>
      </c>
      <c r="G80" s="11" t="s">
        <v>10</v>
      </c>
      <c r="H80" s="32" t="s">
        <v>11</v>
      </c>
      <c r="J80" s="35" t="s">
        <v>3</v>
      </c>
      <c r="K80" s="14"/>
      <c r="L80" s="15"/>
      <c r="M80" s="15"/>
      <c r="N80" s="15"/>
      <c r="O80" s="15"/>
      <c r="P80" s="15"/>
      <c r="Q80" s="15"/>
      <c r="R80" s="15"/>
      <c r="S80" s="15"/>
      <c r="T80" s="15"/>
      <c r="U80" s="16"/>
      <c r="W80" s="35" t="s">
        <v>3</v>
      </c>
      <c r="X80" s="14"/>
      <c r="Y80" s="15"/>
      <c r="Z80" s="15"/>
      <c r="AA80" s="15"/>
      <c r="AB80" s="15"/>
      <c r="AC80" s="16"/>
      <c r="AE80" s="35" t="s">
        <v>3</v>
      </c>
      <c r="AF80" s="14"/>
      <c r="AG80" s="15"/>
      <c r="AH80" s="15"/>
      <c r="AI80" s="15"/>
      <c r="AJ80" s="15"/>
      <c r="AK80" s="16"/>
    </row>
    <row r="81" spans="1:37" ht="15.75" thickBot="1" x14ac:dyDescent="0.3">
      <c r="A81" s="168"/>
      <c r="B81" s="17"/>
      <c r="C81" s="18"/>
      <c r="D81" s="18"/>
      <c r="E81" s="18"/>
      <c r="F81" s="18">
        <f>SUM(C81-B81)</f>
        <v>0</v>
      </c>
      <c r="G81" s="18">
        <f>SUM(E81-D81)</f>
        <v>0</v>
      </c>
      <c r="H81" s="33">
        <f>SUM(F81:G81)</f>
        <v>0</v>
      </c>
      <c r="J81" s="36" t="s">
        <v>21</v>
      </c>
      <c r="K81" s="19"/>
      <c r="L81" s="20"/>
      <c r="M81" s="20"/>
      <c r="N81" s="20"/>
      <c r="O81" s="20"/>
      <c r="P81" s="20"/>
      <c r="Q81" s="20"/>
      <c r="R81" s="20"/>
      <c r="S81" s="20"/>
      <c r="T81" s="20"/>
      <c r="U81" s="21"/>
      <c r="W81" s="36" t="s">
        <v>21</v>
      </c>
      <c r="X81" s="19"/>
      <c r="Y81" s="20"/>
      <c r="Z81" s="20"/>
      <c r="AA81" s="20"/>
      <c r="AB81" s="20"/>
      <c r="AC81" s="21"/>
      <c r="AE81" s="36" t="s">
        <v>21</v>
      </c>
      <c r="AF81" s="19"/>
      <c r="AG81" s="20"/>
      <c r="AH81" s="20"/>
      <c r="AI81" s="20"/>
      <c r="AJ81" s="20"/>
      <c r="AK81" s="21"/>
    </row>
    <row r="82" spans="1:37" x14ac:dyDescent="0.25">
      <c r="F82" s="2"/>
      <c r="G82" s="2"/>
      <c r="H82" s="2"/>
      <c r="J82" s="37"/>
      <c r="T82" s="22" t="s">
        <v>22</v>
      </c>
      <c r="U82" s="23">
        <f>SUM(K81:U81)</f>
        <v>0</v>
      </c>
      <c r="AB82" s="22" t="s">
        <v>22</v>
      </c>
      <c r="AC82" s="23">
        <f>SUM(X81:AC81)</f>
        <v>0</v>
      </c>
      <c r="AJ82" s="22" t="s">
        <v>22</v>
      </c>
      <c r="AK82" s="23">
        <f>SUM(AF81:AK81)</f>
        <v>0</v>
      </c>
    </row>
    <row r="83" spans="1:37" ht="15.75" thickBot="1" x14ac:dyDescent="0.3">
      <c r="A83" s="34"/>
      <c r="B83" s="171" t="s">
        <v>15</v>
      </c>
      <c r="C83" s="171"/>
      <c r="D83" s="171"/>
      <c r="E83" s="171"/>
      <c r="F83" s="171"/>
      <c r="G83" s="171"/>
      <c r="H83" s="171"/>
      <c r="J83" s="172" t="s">
        <v>15</v>
      </c>
      <c r="K83" s="172"/>
      <c r="L83" s="172"/>
      <c r="M83" s="172"/>
      <c r="N83" s="172"/>
      <c r="O83" s="172"/>
      <c r="P83" s="172"/>
      <c r="Q83" s="172"/>
      <c r="R83" s="172"/>
      <c r="S83" s="172"/>
      <c r="T83" s="172"/>
      <c r="U83" s="172"/>
      <c r="W83" s="173" t="str">
        <f>J83</f>
        <v>Julho</v>
      </c>
      <c r="X83" s="173"/>
      <c r="Y83" s="173"/>
      <c r="Z83" s="173"/>
      <c r="AA83" s="173"/>
      <c r="AB83" s="173"/>
      <c r="AC83" s="173"/>
      <c r="AE83" s="174" t="str">
        <f>W83</f>
        <v>Julho</v>
      </c>
      <c r="AF83" s="174"/>
      <c r="AG83" s="174"/>
      <c r="AH83" s="174"/>
      <c r="AI83" s="174"/>
      <c r="AJ83" s="174"/>
      <c r="AK83" s="174"/>
    </row>
    <row r="84" spans="1:37" ht="15.75" thickBot="1" x14ac:dyDescent="0.3">
      <c r="A84" s="168" t="s">
        <v>4</v>
      </c>
      <c r="B84" s="10" t="s">
        <v>5</v>
      </c>
      <c r="C84" s="11" t="s">
        <v>6</v>
      </c>
      <c r="D84" s="12" t="s">
        <v>7</v>
      </c>
      <c r="E84" s="11" t="s">
        <v>8</v>
      </c>
      <c r="F84" s="12" t="s">
        <v>9</v>
      </c>
      <c r="G84" s="11" t="s">
        <v>10</v>
      </c>
      <c r="H84" s="32" t="s">
        <v>11</v>
      </c>
      <c r="J84" s="35" t="s">
        <v>3</v>
      </c>
      <c r="K84" s="14"/>
      <c r="L84" s="15"/>
      <c r="M84" s="15"/>
      <c r="N84" s="15"/>
      <c r="O84" s="15"/>
      <c r="P84" s="15"/>
      <c r="Q84" s="15"/>
      <c r="R84" s="15"/>
      <c r="S84" s="15"/>
      <c r="T84" s="15"/>
      <c r="U84" s="16"/>
      <c r="W84" s="35" t="s">
        <v>3</v>
      </c>
      <c r="X84" s="14"/>
      <c r="Y84" s="15"/>
      <c r="Z84" s="15"/>
      <c r="AA84" s="15"/>
      <c r="AB84" s="15"/>
      <c r="AC84" s="16"/>
      <c r="AE84" s="35" t="s">
        <v>3</v>
      </c>
      <c r="AF84" s="14"/>
      <c r="AG84" s="15"/>
      <c r="AH84" s="15"/>
      <c r="AI84" s="15"/>
      <c r="AJ84" s="15"/>
      <c r="AK84" s="16"/>
    </row>
    <row r="85" spans="1:37" ht="15.75" thickBot="1" x14ac:dyDescent="0.3">
      <c r="A85" s="168"/>
      <c r="B85" s="17"/>
      <c r="C85" s="18"/>
      <c r="D85" s="18"/>
      <c r="E85" s="18"/>
      <c r="F85" s="18">
        <f>SUM(C85-B85)</f>
        <v>0</v>
      </c>
      <c r="G85" s="18">
        <f>SUM(E85-D85)</f>
        <v>0</v>
      </c>
      <c r="H85" s="33">
        <f>SUM(F85:G85)</f>
        <v>0</v>
      </c>
      <c r="J85" s="36" t="s">
        <v>21</v>
      </c>
      <c r="K85" s="19"/>
      <c r="L85" s="20"/>
      <c r="M85" s="20"/>
      <c r="N85" s="20"/>
      <c r="O85" s="20"/>
      <c r="P85" s="20"/>
      <c r="Q85" s="20"/>
      <c r="R85" s="20"/>
      <c r="S85" s="20"/>
      <c r="T85" s="20"/>
      <c r="U85" s="21"/>
      <c r="W85" s="36" t="s">
        <v>21</v>
      </c>
      <c r="X85" s="19"/>
      <c r="Y85" s="20"/>
      <c r="Z85" s="20"/>
      <c r="AA85" s="20"/>
      <c r="AB85" s="20"/>
      <c r="AC85" s="21"/>
      <c r="AE85" s="36" t="s">
        <v>21</v>
      </c>
      <c r="AF85" s="19"/>
      <c r="AG85" s="20"/>
      <c r="AH85" s="20"/>
      <c r="AI85" s="20"/>
      <c r="AJ85" s="20"/>
      <c r="AK85" s="21"/>
    </row>
    <row r="86" spans="1:37" x14ac:dyDescent="0.25">
      <c r="F86" s="2"/>
      <c r="G86" s="2"/>
      <c r="H86" s="2"/>
      <c r="J86" s="37"/>
      <c r="T86" s="22" t="s">
        <v>22</v>
      </c>
      <c r="U86" s="23">
        <f>SUM(K85:U85)</f>
        <v>0</v>
      </c>
      <c r="AB86" s="22" t="s">
        <v>22</v>
      </c>
      <c r="AC86" s="23">
        <f>SUM(X85:AC85)</f>
        <v>0</v>
      </c>
      <c r="AJ86" s="22" t="s">
        <v>22</v>
      </c>
      <c r="AK86" s="23">
        <f>SUM(AF85:AK85)</f>
        <v>0</v>
      </c>
    </row>
  </sheetData>
  <mergeCells count="106">
    <mergeCell ref="B83:H83"/>
    <mergeCell ref="J83:U83"/>
    <mergeCell ref="W83:AC83"/>
    <mergeCell ref="AE83:AK83"/>
    <mergeCell ref="A84:A85"/>
    <mergeCell ref="B79:H79"/>
    <mergeCell ref="J79:U79"/>
    <mergeCell ref="W79:AC79"/>
    <mergeCell ref="AE79:AK79"/>
    <mergeCell ref="A80:A81"/>
    <mergeCell ref="B75:H75"/>
    <mergeCell ref="J75:U75"/>
    <mergeCell ref="W75:AC75"/>
    <mergeCell ref="AE75:AK75"/>
    <mergeCell ref="A76:A77"/>
    <mergeCell ref="B71:H71"/>
    <mergeCell ref="J71:U71"/>
    <mergeCell ref="W71:AC71"/>
    <mergeCell ref="AE71:AK71"/>
    <mergeCell ref="A72:A73"/>
    <mergeCell ref="B67:H67"/>
    <mergeCell ref="J67:U67"/>
    <mergeCell ref="W67:AC67"/>
    <mergeCell ref="AE67:AK67"/>
    <mergeCell ref="A68:A69"/>
    <mergeCell ref="B63:H63"/>
    <mergeCell ref="J63:U63"/>
    <mergeCell ref="W63:AC63"/>
    <mergeCell ref="AE63:AK63"/>
    <mergeCell ref="A64:A65"/>
    <mergeCell ref="B59:H59"/>
    <mergeCell ref="J59:U59"/>
    <mergeCell ref="W59:AC59"/>
    <mergeCell ref="AE59:AK59"/>
    <mergeCell ref="A60:A61"/>
    <mergeCell ref="B6:C6"/>
    <mergeCell ref="E6:F6"/>
    <mergeCell ref="A1:A2"/>
    <mergeCell ref="B1:AK1"/>
    <mergeCell ref="B2:AK2"/>
    <mergeCell ref="B4:C4"/>
    <mergeCell ref="E4:F4"/>
    <mergeCell ref="A16:A17"/>
    <mergeCell ref="A9:H9"/>
    <mergeCell ref="J9:U9"/>
    <mergeCell ref="W9:AC9"/>
    <mergeCell ref="AE9:AK9"/>
    <mergeCell ref="B11:H11"/>
    <mergeCell ref="J11:U11"/>
    <mergeCell ref="W11:AC11"/>
    <mergeCell ref="AE11:AK11"/>
    <mergeCell ref="A12:A13"/>
    <mergeCell ref="B15:H15"/>
    <mergeCell ref="J15:U15"/>
    <mergeCell ref="W15:AC15"/>
    <mergeCell ref="AE15:AK15"/>
    <mergeCell ref="A28:A29"/>
    <mergeCell ref="B19:H19"/>
    <mergeCell ref="J19:U19"/>
    <mergeCell ref="W19:AC19"/>
    <mergeCell ref="AE19:AK19"/>
    <mergeCell ref="A20:A21"/>
    <mergeCell ref="B23:H23"/>
    <mergeCell ref="J23:U23"/>
    <mergeCell ref="W23:AC23"/>
    <mergeCell ref="AE23:AK23"/>
    <mergeCell ref="A24:A25"/>
    <mergeCell ref="B27:H27"/>
    <mergeCell ref="J27:U27"/>
    <mergeCell ref="W27:AC27"/>
    <mergeCell ref="AE27:AK27"/>
    <mergeCell ref="A40:A41"/>
    <mergeCell ref="B31:H31"/>
    <mergeCell ref="J31:U31"/>
    <mergeCell ref="W31:AC31"/>
    <mergeCell ref="AE31:AK31"/>
    <mergeCell ref="A32:A33"/>
    <mergeCell ref="B35:H35"/>
    <mergeCell ref="J35:U35"/>
    <mergeCell ref="W35:AC35"/>
    <mergeCell ref="AE35:AK35"/>
    <mergeCell ref="A36:A37"/>
    <mergeCell ref="B39:H39"/>
    <mergeCell ref="J39:U39"/>
    <mergeCell ref="W39:AC39"/>
    <mergeCell ref="AE39:AK39"/>
    <mergeCell ref="B55:H55"/>
    <mergeCell ref="J55:U55"/>
    <mergeCell ref="W55:AC55"/>
    <mergeCell ref="AE55:AK55"/>
    <mergeCell ref="A56:A57"/>
    <mergeCell ref="A52:A53"/>
    <mergeCell ref="B43:H43"/>
    <mergeCell ref="J43:U43"/>
    <mergeCell ref="W43:AC43"/>
    <mergeCell ref="AE43:AK43"/>
    <mergeCell ref="A44:A45"/>
    <mergeCell ref="B47:H47"/>
    <mergeCell ref="J47:U47"/>
    <mergeCell ref="W47:AC47"/>
    <mergeCell ref="AE47:AK47"/>
    <mergeCell ref="A48:A49"/>
    <mergeCell ref="B51:H51"/>
    <mergeCell ref="J51:U51"/>
    <mergeCell ref="W51:AC51"/>
    <mergeCell ref="AE51:AK51"/>
  </mergeCells>
  <pageMargins left="0.511811024" right="0.511811024" top="0.78740157499999996" bottom="0.78740157499999996" header="0.31496062000000002" footer="0.31496062000000002"/>
  <drawing r:id="rId1"/>
  <legacy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D23C0A-DEE0-4B52-9CCE-5C696B51E56D}">
  <dimension ref="A1:AK60"/>
  <sheetViews>
    <sheetView topLeftCell="A13" workbookViewId="0">
      <selection activeCell="P59" sqref="P59"/>
    </sheetView>
  </sheetViews>
  <sheetFormatPr defaultRowHeight="15" x14ac:dyDescent="0.25"/>
  <cols>
    <col min="1" max="1" width="18.140625" style="2" bestFit="1" customWidth="1"/>
    <col min="2" max="2" width="11.7109375" style="2" bestFit="1" customWidth="1"/>
    <col min="3" max="3" width="9.28515625" style="2" bestFit="1" customWidth="1"/>
    <col min="4" max="4" width="10.7109375" style="2" customWidth="1"/>
    <col min="5" max="5" width="9.28515625" style="2" bestFit="1" customWidth="1"/>
    <col min="6" max="6" width="13.140625" style="1" customWidth="1"/>
    <col min="7" max="7" width="13.85546875" style="1" customWidth="1"/>
    <col min="8" max="8" width="12.140625" style="1" bestFit="1" customWidth="1"/>
    <col min="9" max="9" width="9.85546875" style="1" customWidth="1"/>
    <col min="10" max="10" width="10.7109375" style="2" bestFit="1" customWidth="1"/>
    <col min="11" max="13" width="10.7109375" style="1" bestFit="1" customWidth="1"/>
    <col min="14" max="14" width="10.5703125" style="1" bestFit="1" customWidth="1"/>
    <col min="15" max="15" width="10.7109375" style="1" bestFit="1" customWidth="1"/>
    <col min="16" max="17" width="10.5703125" style="1" bestFit="1" customWidth="1"/>
    <col min="18" max="20" width="9" style="1"/>
    <col min="21" max="21" width="12.140625" style="1" bestFit="1" customWidth="1"/>
    <col min="22" max="22" width="9" style="1"/>
    <col min="23" max="23" width="9" style="2"/>
    <col min="24" max="30" width="9" style="1"/>
    <col min="31" max="31" width="9" style="2"/>
    <col min="32" max="32" width="10.7109375" style="1" bestFit="1" customWidth="1"/>
    <col min="33" max="33" width="9" style="1"/>
    <col min="34" max="36" width="10.140625" style="1" bestFit="1" customWidth="1"/>
    <col min="37" max="37" width="9.5703125" style="1" bestFit="1" customWidth="1"/>
  </cols>
  <sheetData>
    <row r="1" spans="1:37" ht="21" x14ac:dyDescent="0.25">
      <c r="A1" s="162"/>
      <c r="B1" s="164" t="s">
        <v>51</v>
      </c>
      <c r="C1" s="164"/>
      <c r="D1" s="164"/>
      <c r="E1" s="164"/>
      <c r="F1" s="164"/>
      <c r="G1" s="164"/>
      <c r="H1" s="164"/>
      <c r="I1" s="164"/>
      <c r="J1" s="164"/>
      <c r="K1" s="164"/>
      <c r="L1" s="164"/>
      <c r="M1" s="164"/>
      <c r="N1" s="164"/>
      <c r="O1" s="164"/>
      <c r="P1" s="164"/>
      <c r="Q1" s="164"/>
      <c r="R1" s="164"/>
      <c r="S1" s="164"/>
      <c r="T1" s="164"/>
      <c r="U1" s="164"/>
      <c r="V1" s="164"/>
      <c r="W1" s="164"/>
      <c r="X1" s="164"/>
      <c r="Y1" s="164"/>
      <c r="Z1" s="164"/>
      <c r="AA1" s="164"/>
      <c r="AB1" s="164"/>
      <c r="AC1" s="164"/>
      <c r="AD1" s="164"/>
      <c r="AE1" s="164"/>
      <c r="AF1" s="164"/>
      <c r="AG1" s="164"/>
      <c r="AH1" s="164"/>
      <c r="AI1" s="164"/>
      <c r="AJ1" s="164"/>
      <c r="AK1" s="165"/>
    </row>
    <row r="2" spans="1:37" ht="21" x14ac:dyDescent="0.25">
      <c r="A2" s="163"/>
      <c r="B2" s="166" t="s">
        <v>50</v>
      </c>
      <c r="C2" s="166"/>
      <c r="D2" s="166"/>
      <c r="E2" s="166"/>
      <c r="F2" s="166"/>
      <c r="G2" s="166"/>
      <c r="H2" s="166"/>
      <c r="I2" s="166"/>
      <c r="J2" s="166"/>
      <c r="K2" s="166"/>
      <c r="L2" s="166"/>
      <c r="M2" s="166"/>
      <c r="N2" s="166"/>
      <c r="O2" s="166"/>
      <c r="P2" s="166"/>
      <c r="Q2" s="166"/>
      <c r="R2" s="166"/>
      <c r="S2" s="166"/>
      <c r="T2" s="166"/>
      <c r="U2" s="166"/>
      <c r="V2" s="166"/>
      <c r="W2" s="166"/>
      <c r="X2" s="166"/>
      <c r="Y2" s="166"/>
      <c r="Z2" s="166"/>
      <c r="AA2" s="166"/>
      <c r="AB2" s="166"/>
      <c r="AC2" s="166"/>
      <c r="AD2" s="166"/>
      <c r="AE2" s="166"/>
      <c r="AF2" s="166"/>
      <c r="AG2" s="166"/>
      <c r="AH2" s="166"/>
      <c r="AI2" s="166"/>
      <c r="AJ2" s="166"/>
      <c r="AK2" s="167"/>
    </row>
    <row r="4" spans="1:37" x14ac:dyDescent="0.25">
      <c r="A4" s="31" t="s">
        <v>47</v>
      </c>
      <c r="B4" s="161" t="s">
        <v>71</v>
      </c>
      <c r="C4" s="161"/>
      <c r="D4" s="31" t="s">
        <v>0</v>
      </c>
      <c r="E4" s="161" t="s">
        <v>85</v>
      </c>
      <c r="F4" s="161"/>
      <c r="G4" s="31" t="s">
        <v>125</v>
      </c>
      <c r="H4" s="137">
        <v>4500</v>
      </c>
    </row>
    <row r="5" spans="1:37" x14ac:dyDescent="0.25">
      <c r="A5" s="31" t="s">
        <v>98</v>
      </c>
      <c r="B5" s="188">
        <v>45780</v>
      </c>
      <c r="C5" s="161"/>
      <c r="D5" s="31" t="s">
        <v>0</v>
      </c>
      <c r="E5" s="161" t="s">
        <v>112</v>
      </c>
      <c r="F5" s="161"/>
      <c r="G5" s="31" t="s">
        <v>95</v>
      </c>
      <c r="H5" s="4" t="s">
        <v>113</v>
      </c>
    </row>
    <row r="6" spans="1:37" x14ac:dyDescent="0.25">
      <c r="A6" s="31" t="s">
        <v>72</v>
      </c>
      <c r="B6" s="188">
        <v>45807</v>
      </c>
      <c r="C6" s="161"/>
      <c r="D6" s="31" t="s">
        <v>0</v>
      </c>
      <c r="E6" s="161" t="s">
        <v>124</v>
      </c>
      <c r="F6" s="161"/>
      <c r="G6" s="31" t="s">
        <v>95</v>
      </c>
      <c r="H6" s="4" t="s">
        <v>81</v>
      </c>
    </row>
    <row r="7" spans="1:37" x14ac:dyDescent="0.25">
      <c r="A7" s="31" t="s">
        <v>72</v>
      </c>
      <c r="B7" s="188">
        <v>45961</v>
      </c>
      <c r="C7" s="161"/>
      <c r="D7" s="31" t="s">
        <v>0</v>
      </c>
      <c r="E7" s="161" t="s">
        <v>143</v>
      </c>
      <c r="F7" s="161"/>
      <c r="G7" s="31" t="s">
        <v>95</v>
      </c>
      <c r="H7" s="4" t="s">
        <v>81</v>
      </c>
    </row>
    <row r="8" spans="1:37" x14ac:dyDescent="0.25">
      <c r="A8" s="31" t="s">
        <v>48</v>
      </c>
      <c r="B8" s="160">
        <v>4144</v>
      </c>
      <c r="C8" s="160"/>
      <c r="D8" s="31" t="s">
        <v>44</v>
      </c>
      <c r="E8" s="201">
        <v>45</v>
      </c>
      <c r="F8" s="161"/>
      <c r="G8" s="31" t="s">
        <v>46</v>
      </c>
      <c r="H8" s="5">
        <v>45733</v>
      </c>
      <c r="I8" s="31" t="s">
        <v>139</v>
      </c>
      <c r="J8" s="5">
        <v>46011</v>
      </c>
    </row>
    <row r="11" spans="1:37" ht="18.75" x14ac:dyDescent="0.3">
      <c r="A11" s="169" t="s">
        <v>26</v>
      </c>
      <c r="B11" s="169"/>
      <c r="C11" s="169"/>
      <c r="D11" s="169"/>
      <c r="E11" s="169"/>
      <c r="F11" s="169"/>
      <c r="G11" s="169"/>
      <c r="H11" s="169"/>
      <c r="I11" s="28"/>
      <c r="J11" s="169" t="s">
        <v>24</v>
      </c>
      <c r="K11" s="169"/>
      <c r="L11" s="169"/>
      <c r="M11" s="169"/>
      <c r="N11" s="169"/>
      <c r="O11" s="169"/>
      <c r="P11" s="169"/>
      <c r="Q11" s="169"/>
      <c r="R11" s="169"/>
      <c r="S11" s="169"/>
      <c r="T11" s="169"/>
      <c r="U11" s="169"/>
      <c r="V11" s="29"/>
      <c r="W11" s="170" t="s">
        <v>49</v>
      </c>
      <c r="X11" s="170"/>
      <c r="Y11" s="170"/>
      <c r="Z11" s="170"/>
      <c r="AA11" s="170"/>
      <c r="AB11" s="170"/>
      <c r="AC11" s="170"/>
      <c r="AD11" s="29"/>
      <c r="AE11" s="170" t="s">
        <v>25</v>
      </c>
      <c r="AF11" s="170"/>
      <c r="AG11" s="170"/>
      <c r="AH11" s="170"/>
      <c r="AI11" s="170"/>
      <c r="AJ11" s="170"/>
      <c r="AK11" s="170"/>
    </row>
    <row r="12" spans="1:37" x14ac:dyDescent="0.25">
      <c r="A12" s="7"/>
      <c r="B12" s="7"/>
      <c r="C12" s="7"/>
      <c r="D12" s="7"/>
      <c r="E12" s="7"/>
      <c r="F12" s="7"/>
      <c r="G12" s="7"/>
      <c r="H12" s="7"/>
      <c r="I12" s="6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8"/>
      <c r="W12" s="9"/>
      <c r="X12" s="9"/>
      <c r="Y12" s="9"/>
      <c r="Z12" s="9"/>
      <c r="AA12" s="9"/>
      <c r="AB12" s="9"/>
      <c r="AC12" s="9"/>
      <c r="AD12" s="8"/>
      <c r="AE12" s="9"/>
      <c r="AF12" s="9"/>
      <c r="AG12" s="9"/>
      <c r="AH12" s="9"/>
      <c r="AI12" s="9"/>
      <c r="AJ12" s="9"/>
      <c r="AK12" s="9"/>
    </row>
    <row r="13" spans="1:37" ht="15.75" thickBot="1" x14ac:dyDescent="0.3">
      <c r="A13" s="34"/>
      <c r="B13" s="171" t="s">
        <v>54</v>
      </c>
      <c r="C13" s="171"/>
      <c r="D13" s="171"/>
      <c r="E13" s="171"/>
      <c r="F13" s="171"/>
      <c r="G13" s="171"/>
      <c r="H13" s="171"/>
      <c r="I13" s="6"/>
      <c r="J13" s="172" t="s">
        <v>54</v>
      </c>
      <c r="K13" s="172"/>
      <c r="L13" s="172"/>
      <c r="M13" s="172"/>
      <c r="N13" s="172"/>
      <c r="O13" s="172"/>
      <c r="P13" s="172"/>
      <c r="Q13" s="172"/>
      <c r="R13" s="172"/>
      <c r="S13" s="172"/>
      <c r="T13" s="172"/>
      <c r="U13" s="172"/>
      <c r="V13" s="8"/>
      <c r="W13" s="173" t="s">
        <v>54</v>
      </c>
      <c r="X13" s="173"/>
      <c r="Y13" s="173"/>
      <c r="Z13" s="173"/>
      <c r="AA13" s="173"/>
      <c r="AB13" s="173"/>
      <c r="AC13" s="173"/>
      <c r="AD13" s="8"/>
      <c r="AE13" s="174" t="s">
        <v>54</v>
      </c>
      <c r="AF13" s="174"/>
      <c r="AG13" s="174"/>
      <c r="AH13" s="174"/>
      <c r="AI13" s="174"/>
      <c r="AJ13" s="174"/>
      <c r="AK13" s="174"/>
    </row>
    <row r="14" spans="1:37" ht="15.75" thickBot="1" x14ac:dyDescent="0.3">
      <c r="A14" s="168" t="s">
        <v>4</v>
      </c>
      <c r="B14" s="10" t="s">
        <v>5</v>
      </c>
      <c r="C14" s="11" t="s">
        <v>6</v>
      </c>
      <c r="D14" s="12" t="s">
        <v>7</v>
      </c>
      <c r="E14" s="11" t="s">
        <v>8</v>
      </c>
      <c r="F14" s="12" t="s">
        <v>9</v>
      </c>
      <c r="G14" s="11" t="s">
        <v>10</v>
      </c>
      <c r="H14" s="32" t="s">
        <v>11</v>
      </c>
      <c r="I14" s="6"/>
      <c r="J14" s="35" t="s">
        <v>3</v>
      </c>
      <c r="K14" s="14"/>
      <c r="L14" s="15"/>
      <c r="M14" s="15"/>
      <c r="N14" s="15"/>
      <c r="O14" s="15"/>
      <c r="P14" s="15"/>
      <c r="Q14" s="15"/>
      <c r="R14" s="15"/>
      <c r="S14" s="15"/>
      <c r="T14" s="15"/>
      <c r="U14" s="16"/>
      <c r="V14" s="8"/>
      <c r="W14" s="35" t="s">
        <v>3</v>
      </c>
      <c r="X14" s="14"/>
      <c r="Y14" s="15"/>
      <c r="Z14" s="15"/>
      <c r="AA14" s="15"/>
      <c r="AB14" s="15"/>
      <c r="AC14" s="16"/>
      <c r="AD14" s="8"/>
      <c r="AE14" s="35" t="s">
        <v>3</v>
      </c>
      <c r="AF14" s="14"/>
      <c r="AG14" s="15"/>
      <c r="AH14" s="15"/>
      <c r="AI14" s="15"/>
      <c r="AJ14" s="15"/>
      <c r="AK14" s="16"/>
    </row>
    <row r="15" spans="1:37" ht="15.75" thickBot="1" x14ac:dyDescent="0.3">
      <c r="A15" s="168"/>
      <c r="B15" s="17"/>
      <c r="C15" s="18"/>
      <c r="D15" s="18"/>
      <c r="E15" s="18"/>
      <c r="F15" s="18">
        <f>SUM(C15-B15)</f>
        <v>0</v>
      </c>
      <c r="G15" s="18">
        <f>SUM(E15-D15)</f>
        <v>0</v>
      </c>
      <c r="H15" s="33">
        <f>SUM(F15:G15)</f>
        <v>0</v>
      </c>
      <c r="I15" s="6"/>
      <c r="J15" s="36" t="s">
        <v>21</v>
      </c>
      <c r="K15" s="19"/>
      <c r="L15" s="20"/>
      <c r="M15" s="20"/>
      <c r="N15" s="20"/>
      <c r="O15" s="20"/>
      <c r="P15" s="20"/>
      <c r="Q15" s="20"/>
      <c r="R15" s="20"/>
      <c r="S15" s="20"/>
      <c r="T15" s="20"/>
      <c r="U15" s="21"/>
      <c r="V15" s="8"/>
      <c r="W15" s="36" t="s">
        <v>21</v>
      </c>
      <c r="X15" s="19"/>
      <c r="Y15" s="20"/>
      <c r="Z15" s="20"/>
      <c r="AA15" s="20"/>
      <c r="AB15" s="20"/>
      <c r="AC15" s="21"/>
      <c r="AD15" s="8"/>
      <c r="AE15" s="36" t="s">
        <v>21</v>
      </c>
      <c r="AF15" s="19"/>
      <c r="AG15" s="20"/>
      <c r="AH15" s="20"/>
      <c r="AI15" s="20"/>
      <c r="AJ15" s="20"/>
      <c r="AK15" s="21"/>
    </row>
    <row r="16" spans="1:37" x14ac:dyDescent="0.25">
      <c r="A16" s="7"/>
      <c r="B16" s="7"/>
      <c r="C16" s="7"/>
      <c r="D16" s="7"/>
      <c r="E16" s="7"/>
      <c r="F16" s="7"/>
      <c r="G16" s="7"/>
      <c r="H16" s="7"/>
      <c r="I16" s="6"/>
      <c r="J16" s="7"/>
      <c r="K16" s="7"/>
      <c r="L16" s="7"/>
      <c r="M16" s="7"/>
      <c r="N16" s="7"/>
      <c r="O16" s="7"/>
      <c r="P16" s="7"/>
      <c r="Q16" s="7"/>
      <c r="R16" s="7"/>
      <c r="S16" s="7"/>
      <c r="T16" s="22" t="s">
        <v>22</v>
      </c>
      <c r="U16" s="23">
        <f>SUM(K15:U15)</f>
        <v>0</v>
      </c>
      <c r="V16" s="8"/>
      <c r="AB16" s="22" t="s">
        <v>22</v>
      </c>
      <c r="AC16" s="23">
        <f>SUM(X15:AC15)</f>
        <v>0</v>
      </c>
      <c r="AD16" s="8"/>
      <c r="AJ16" s="22" t="s">
        <v>22</v>
      </c>
      <c r="AK16" s="23">
        <f>SUM(AF15:AK15)</f>
        <v>0</v>
      </c>
    </row>
    <row r="17" spans="1:37" ht="15.75" thickBot="1" x14ac:dyDescent="0.3">
      <c r="A17" s="34"/>
      <c r="B17" s="171" t="s">
        <v>2</v>
      </c>
      <c r="C17" s="171"/>
      <c r="D17" s="171"/>
      <c r="E17" s="171"/>
      <c r="F17" s="171"/>
      <c r="G17" s="171"/>
      <c r="H17" s="171"/>
      <c r="J17" s="172" t="s">
        <v>2</v>
      </c>
      <c r="K17" s="172"/>
      <c r="L17" s="172"/>
      <c r="M17" s="172"/>
      <c r="N17" s="172"/>
      <c r="O17" s="172"/>
      <c r="P17" s="172"/>
      <c r="Q17" s="172"/>
      <c r="R17" s="172"/>
      <c r="S17" s="172"/>
      <c r="T17" s="172"/>
      <c r="U17" s="172"/>
      <c r="W17" s="173" t="s">
        <v>2</v>
      </c>
      <c r="X17" s="173"/>
      <c r="Y17" s="173"/>
      <c r="Z17" s="173"/>
      <c r="AA17" s="173"/>
      <c r="AB17" s="173"/>
      <c r="AC17" s="173"/>
      <c r="AE17" s="174" t="s">
        <v>2</v>
      </c>
      <c r="AF17" s="174"/>
      <c r="AG17" s="174"/>
      <c r="AH17" s="174"/>
      <c r="AI17" s="174"/>
      <c r="AJ17" s="174"/>
      <c r="AK17" s="174"/>
    </row>
    <row r="18" spans="1:37" ht="15.75" thickBot="1" x14ac:dyDescent="0.3">
      <c r="A18" s="168" t="s">
        <v>4</v>
      </c>
      <c r="B18" s="10" t="s">
        <v>5</v>
      </c>
      <c r="C18" s="11" t="s">
        <v>6</v>
      </c>
      <c r="D18" s="12" t="s">
        <v>7</v>
      </c>
      <c r="E18" s="11" t="s">
        <v>8</v>
      </c>
      <c r="F18" s="12" t="s">
        <v>9</v>
      </c>
      <c r="G18" s="11" t="s">
        <v>10</v>
      </c>
      <c r="H18" s="32" t="s">
        <v>11</v>
      </c>
      <c r="J18" s="35" t="s">
        <v>3</v>
      </c>
      <c r="K18" s="14"/>
      <c r="L18" s="15"/>
      <c r="M18" s="15"/>
      <c r="N18" s="15"/>
      <c r="O18" s="15"/>
      <c r="P18" s="15"/>
      <c r="Q18" s="15"/>
      <c r="R18" s="15"/>
      <c r="S18" s="15"/>
      <c r="T18" s="15"/>
      <c r="U18" s="16"/>
      <c r="W18" s="35" t="s">
        <v>3</v>
      </c>
      <c r="X18" s="14"/>
      <c r="Y18" s="15"/>
      <c r="Z18" s="15"/>
      <c r="AA18" s="15"/>
      <c r="AB18" s="15"/>
      <c r="AC18" s="16"/>
      <c r="AE18" s="35" t="s">
        <v>3</v>
      </c>
      <c r="AF18" s="14"/>
      <c r="AG18" s="15"/>
      <c r="AH18" s="15"/>
      <c r="AI18" s="15"/>
      <c r="AJ18" s="15"/>
      <c r="AK18" s="16"/>
    </row>
    <row r="19" spans="1:37" ht="15.75" thickBot="1" x14ac:dyDescent="0.3">
      <c r="A19" s="168"/>
      <c r="B19" s="17"/>
      <c r="C19" s="18"/>
      <c r="D19" s="18"/>
      <c r="E19" s="18"/>
      <c r="F19" s="18">
        <f>SUM(C19-B19)</f>
        <v>0</v>
      </c>
      <c r="G19" s="18">
        <f>SUM(E19-D19)</f>
        <v>0</v>
      </c>
      <c r="H19" s="33">
        <f>SUM(F19:G19)</f>
        <v>0</v>
      </c>
      <c r="J19" s="36" t="s">
        <v>21</v>
      </c>
      <c r="K19" s="19"/>
      <c r="L19" s="20"/>
      <c r="M19" s="20"/>
      <c r="N19" s="20"/>
      <c r="O19" s="20"/>
      <c r="P19" s="20"/>
      <c r="Q19" s="20"/>
      <c r="R19" s="20"/>
      <c r="S19" s="20"/>
      <c r="T19" s="20"/>
      <c r="U19" s="21"/>
      <c r="W19" s="36" t="s">
        <v>21</v>
      </c>
      <c r="X19" s="19"/>
      <c r="Y19" s="20"/>
      <c r="Z19" s="20"/>
      <c r="AA19" s="20"/>
      <c r="AB19" s="20"/>
      <c r="AC19" s="21"/>
      <c r="AE19" s="36" t="s">
        <v>21</v>
      </c>
      <c r="AF19" s="19"/>
      <c r="AG19" s="20"/>
      <c r="AH19" s="20"/>
      <c r="AI19" s="20"/>
      <c r="AJ19" s="20"/>
      <c r="AK19" s="21"/>
    </row>
    <row r="20" spans="1:37" x14ac:dyDescent="0.25">
      <c r="F20" s="2"/>
      <c r="G20" s="2"/>
      <c r="H20" s="2"/>
      <c r="J20" s="37"/>
      <c r="T20" s="22" t="s">
        <v>22</v>
      </c>
      <c r="U20" s="23">
        <f>SUM(K19:U19)</f>
        <v>0</v>
      </c>
      <c r="AB20" s="22" t="s">
        <v>22</v>
      </c>
      <c r="AC20" s="23">
        <f>SUM(X19:AC19)</f>
        <v>0</v>
      </c>
      <c r="AJ20" s="22" t="s">
        <v>22</v>
      </c>
      <c r="AK20" s="23">
        <f>SUM(AF19:AK19)</f>
        <v>0</v>
      </c>
    </row>
    <row r="21" spans="1:37" ht="15.75" thickBot="1" x14ac:dyDescent="0.3">
      <c r="A21" s="34"/>
      <c r="B21" s="171" t="s">
        <v>12</v>
      </c>
      <c r="C21" s="171"/>
      <c r="D21" s="171"/>
      <c r="E21" s="171"/>
      <c r="F21" s="171"/>
      <c r="G21" s="171"/>
      <c r="H21" s="171"/>
      <c r="J21" s="172" t="s">
        <v>12</v>
      </c>
      <c r="K21" s="172"/>
      <c r="L21" s="172"/>
      <c r="M21" s="172"/>
      <c r="N21" s="172"/>
      <c r="O21" s="172"/>
      <c r="P21" s="172"/>
      <c r="Q21" s="172"/>
      <c r="R21" s="172"/>
      <c r="S21" s="172"/>
      <c r="T21" s="172"/>
      <c r="U21" s="172"/>
      <c r="W21" s="173" t="str">
        <f>J21</f>
        <v>Março</v>
      </c>
      <c r="X21" s="173"/>
      <c r="Y21" s="173"/>
      <c r="Z21" s="173"/>
      <c r="AA21" s="173"/>
      <c r="AB21" s="173"/>
      <c r="AC21" s="173"/>
      <c r="AE21" s="174" t="str">
        <f>W21</f>
        <v>Março</v>
      </c>
      <c r="AF21" s="174"/>
      <c r="AG21" s="174"/>
      <c r="AH21" s="174"/>
      <c r="AI21" s="174"/>
      <c r="AJ21" s="174"/>
      <c r="AK21" s="174"/>
    </row>
    <row r="22" spans="1:37" ht="15.75" thickBot="1" x14ac:dyDescent="0.3">
      <c r="A22" s="168" t="s">
        <v>4</v>
      </c>
      <c r="B22" s="10" t="s">
        <v>5</v>
      </c>
      <c r="C22" s="11" t="s">
        <v>6</v>
      </c>
      <c r="D22" s="12" t="s">
        <v>7</v>
      </c>
      <c r="E22" s="11" t="s">
        <v>8</v>
      </c>
      <c r="F22" s="12" t="s">
        <v>9</v>
      </c>
      <c r="G22" s="11" t="s">
        <v>10</v>
      </c>
      <c r="H22" s="32" t="s">
        <v>11</v>
      </c>
      <c r="J22" s="35" t="s">
        <v>3</v>
      </c>
      <c r="K22" s="14">
        <v>45736</v>
      </c>
      <c r="L22" s="24">
        <v>45741</v>
      </c>
      <c r="M22" s="24">
        <v>45745</v>
      </c>
      <c r="N22" s="15"/>
      <c r="O22" s="15"/>
      <c r="P22" s="15"/>
      <c r="Q22" s="15"/>
      <c r="R22" s="15"/>
      <c r="S22" s="15"/>
      <c r="T22" s="15"/>
      <c r="U22" s="16"/>
      <c r="W22" s="35" t="s">
        <v>3</v>
      </c>
      <c r="X22" s="14"/>
      <c r="Y22" s="15"/>
      <c r="Z22" s="15"/>
      <c r="AA22" s="15"/>
      <c r="AB22" s="15"/>
      <c r="AC22" s="16"/>
      <c r="AE22" s="35" t="s">
        <v>3</v>
      </c>
      <c r="AF22" s="14">
        <v>45737</v>
      </c>
      <c r="AG22" s="15"/>
      <c r="AH22" s="15"/>
      <c r="AI22" s="15"/>
      <c r="AJ22" s="15"/>
      <c r="AK22" s="16"/>
    </row>
    <row r="23" spans="1:37" ht="15.75" thickBot="1" x14ac:dyDescent="0.3">
      <c r="A23" s="168"/>
      <c r="B23" s="17"/>
      <c r="C23" s="18"/>
      <c r="D23" s="18">
        <v>6096</v>
      </c>
      <c r="E23" s="18">
        <v>7709</v>
      </c>
      <c r="F23" s="18">
        <f>SUM(C23-B23)</f>
        <v>0</v>
      </c>
      <c r="G23" s="18">
        <f>SUM(E23-D23)</f>
        <v>1613</v>
      </c>
      <c r="H23" s="33">
        <f>SUM(F23:G23)</f>
        <v>1613</v>
      </c>
      <c r="J23" s="36" t="s">
        <v>21</v>
      </c>
      <c r="K23" s="19">
        <v>284.92</v>
      </c>
      <c r="L23" s="20">
        <v>214.8</v>
      </c>
      <c r="M23" s="20">
        <v>208.64</v>
      </c>
      <c r="N23" s="20"/>
      <c r="O23" s="20"/>
      <c r="P23" s="20"/>
      <c r="Q23" s="20"/>
      <c r="R23" s="20"/>
      <c r="S23" s="20"/>
      <c r="T23" s="20"/>
      <c r="U23" s="21"/>
      <c r="W23" s="36" t="s">
        <v>21</v>
      </c>
      <c r="X23" s="19"/>
      <c r="Y23" s="20"/>
      <c r="Z23" s="20"/>
      <c r="AA23" s="20"/>
      <c r="AB23" s="20"/>
      <c r="AC23" s="21"/>
      <c r="AE23" s="36" t="s">
        <v>21</v>
      </c>
      <c r="AF23" s="19">
        <v>40</v>
      </c>
      <c r="AG23" s="20"/>
      <c r="AH23" s="20"/>
      <c r="AI23" s="20"/>
      <c r="AJ23" s="20"/>
      <c r="AK23" s="21"/>
    </row>
    <row r="24" spans="1:37" x14ac:dyDescent="0.25">
      <c r="F24" s="2"/>
      <c r="G24" s="2"/>
      <c r="H24" s="2"/>
      <c r="J24" s="37"/>
      <c r="T24" s="22" t="s">
        <v>22</v>
      </c>
      <c r="U24" s="23">
        <f>SUM(K23:U23)</f>
        <v>708.36</v>
      </c>
      <c r="AB24" s="22" t="s">
        <v>22</v>
      </c>
      <c r="AC24" s="23">
        <f>SUM(X23:AC23)</f>
        <v>0</v>
      </c>
      <c r="AJ24" s="22" t="s">
        <v>22</v>
      </c>
      <c r="AK24" s="23">
        <f>SUM(AF23:AK23)</f>
        <v>40</v>
      </c>
    </row>
    <row r="25" spans="1:37" ht="15.75" thickBot="1" x14ac:dyDescent="0.3">
      <c r="A25" s="34"/>
      <c r="B25" s="171" t="s">
        <v>13</v>
      </c>
      <c r="C25" s="171"/>
      <c r="D25" s="171"/>
      <c r="E25" s="171"/>
      <c r="F25" s="171"/>
      <c r="G25" s="171"/>
      <c r="H25" s="171"/>
      <c r="J25" s="172" t="s">
        <v>13</v>
      </c>
      <c r="K25" s="172"/>
      <c r="L25" s="172"/>
      <c r="M25" s="172"/>
      <c r="N25" s="172"/>
      <c r="O25" s="172"/>
      <c r="P25" s="172"/>
      <c r="Q25" s="172"/>
      <c r="R25" s="172"/>
      <c r="S25" s="172"/>
      <c r="T25" s="172"/>
      <c r="U25" s="172"/>
      <c r="W25" s="173" t="str">
        <f>J25</f>
        <v>Abril</v>
      </c>
      <c r="X25" s="173"/>
      <c r="Y25" s="173"/>
      <c r="Z25" s="173"/>
      <c r="AA25" s="173"/>
      <c r="AB25" s="173"/>
      <c r="AC25" s="173"/>
      <c r="AE25" s="174" t="str">
        <f>W25</f>
        <v>Abril</v>
      </c>
      <c r="AF25" s="174"/>
      <c r="AG25" s="174"/>
      <c r="AH25" s="174"/>
      <c r="AI25" s="174"/>
      <c r="AJ25" s="174"/>
      <c r="AK25" s="174"/>
    </row>
    <row r="26" spans="1:37" ht="15.75" thickBot="1" x14ac:dyDescent="0.3">
      <c r="A26" s="168" t="s">
        <v>4</v>
      </c>
      <c r="B26" s="10" t="s">
        <v>5</v>
      </c>
      <c r="C26" s="11" t="s">
        <v>6</v>
      </c>
      <c r="D26" s="12" t="s">
        <v>7</v>
      </c>
      <c r="E26" s="11" t="s">
        <v>8</v>
      </c>
      <c r="F26" s="12" t="s">
        <v>9</v>
      </c>
      <c r="G26" s="11" t="s">
        <v>10</v>
      </c>
      <c r="H26" s="32" t="s">
        <v>11</v>
      </c>
      <c r="J26" s="35" t="s">
        <v>3</v>
      </c>
      <c r="K26" s="14">
        <v>45750</v>
      </c>
      <c r="L26" s="24">
        <v>45757</v>
      </c>
      <c r="M26" s="15"/>
      <c r="N26" s="15"/>
      <c r="O26" s="15"/>
      <c r="P26" s="15"/>
      <c r="Q26" s="15"/>
      <c r="R26" s="15"/>
      <c r="S26" s="15"/>
      <c r="T26" s="15"/>
      <c r="U26" s="16"/>
      <c r="W26" s="35" t="s">
        <v>3</v>
      </c>
      <c r="X26" s="14"/>
      <c r="Y26" s="15"/>
      <c r="Z26" s="15"/>
      <c r="AA26" s="15"/>
      <c r="AB26" s="15"/>
      <c r="AC26" s="16"/>
      <c r="AE26" s="35" t="s">
        <v>3</v>
      </c>
      <c r="AF26" s="14"/>
      <c r="AG26" s="15"/>
      <c r="AH26" s="15"/>
      <c r="AI26" s="15"/>
      <c r="AJ26" s="15"/>
      <c r="AK26" s="16"/>
    </row>
    <row r="27" spans="1:37" ht="15.75" thickBot="1" x14ac:dyDescent="0.3">
      <c r="A27" s="168"/>
      <c r="B27" s="18">
        <v>7709</v>
      </c>
      <c r="C27" s="18">
        <v>8821</v>
      </c>
      <c r="D27" s="18">
        <v>8821</v>
      </c>
      <c r="E27" s="18">
        <v>11253</v>
      </c>
      <c r="F27" s="18">
        <f>SUM(C27-B27)</f>
        <v>1112</v>
      </c>
      <c r="G27" s="18">
        <f>SUM(E27-D27)</f>
        <v>2432</v>
      </c>
      <c r="H27" s="33">
        <f>SUM(F27:G27)</f>
        <v>3544</v>
      </c>
      <c r="J27" s="36" t="s">
        <v>21</v>
      </c>
      <c r="K27" s="25">
        <v>230.21</v>
      </c>
      <c r="L27" s="26">
        <v>248.52</v>
      </c>
      <c r="M27" s="26"/>
      <c r="N27" s="26"/>
      <c r="O27" s="26"/>
      <c r="P27" s="26"/>
      <c r="Q27" s="26"/>
      <c r="R27" s="26"/>
      <c r="S27" s="26"/>
      <c r="T27" s="26"/>
      <c r="U27" s="27"/>
      <c r="W27" s="36" t="s">
        <v>21</v>
      </c>
      <c r="X27" s="19"/>
      <c r="Y27" s="20"/>
      <c r="Z27" s="20"/>
      <c r="AA27" s="20"/>
      <c r="AB27" s="20"/>
      <c r="AC27" s="21"/>
      <c r="AE27" s="36" t="s">
        <v>21</v>
      </c>
      <c r="AF27" s="19"/>
      <c r="AG27" s="20"/>
      <c r="AH27" s="20"/>
      <c r="AI27" s="20"/>
      <c r="AJ27" s="20"/>
      <c r="AK27" s="21"/>
    </row>
    <row r="28" spans="1:37" x14ac:dyDescent="0.25">
      <c r="F28" s="2"/>
      <c r="G28" s="2"/>
      <c r="H28" s="2"/>
      <c r="J28" s="37"/>
      <c r="T28" s="22" t="s">
        <v>22</v>
      </c>
      <c r="U28" s="23">
        <f>SUM(K27:U27)</f>
        <v>478.73</v>
      </c>
      <c r="AB28" s="22" t="s">
        <v>22</v>
      </c>
      <c r="AC28" s="23">
        <f>SUM(X27:AC27)</f>
        <v>0</v>
      </c>
      <c r="AJ28" s="22" t="s">
        <v>22</v>
      </c>
      <c r="AK28" s="23">
        <f>SUM(AF27:AK27)</f>
        <v>0</v>
      </c>
    </row>
    <row r="29" spans="1:37" ht="15.75" thickBot="1" x14ac:dyDescent="0.3">
      <c r="A29" s="34"/>
      <c r="B29" s="171" t="s">
        <v>14</v>
      </c>
      <c r="C29" s="171"/>
      <c r="D29" s="171"/>
      <c r="E29" s="171"/>
      <c r="F29" s="171"/>
      <c r="G29" s="171"/>
      <c r="H29" s="171"/>
      <c r="J29" s="172" t="s">
        <v>14</v>
      </c>
      <c r="K29" s="172"/>
      <c r="L29" s="172"/>
      <c r="M29" s="172"/>
      <c r="N29" s="172"/>
      <c r="O29" s="172"/>
      <c r="P29" s="172"/>
      <c r="Q29" s="172"/>
      <c r="R29" s="172"/>
      <c r="S29" s="172"/>
      <c r="T29" s="172"/>
      <c r="U29" s="172"/>
      <c r="W29" s="173" t="str">
        <f>J29</f>
        <v>Maio</v>
      </c>
      <c r="X29" s="173"/>
      <c r="Y29" s="173"/>
      <c r="Z29" s="173"/>
      <c r="AA29" s="173"/>
      <c r="AB29" s="173"/>
      <c r="AC29" s="173"/>
      <c r="AE29" s="174" t="str">
        <f>W29</f>
        <v>Maio</v>
      </c>
      <c r="AF29" s="174"/>
      <c r="AG29" s="174"/>
      <c r="AH29" s="174"/>
      <c r="AI29" s="174"/>
      <c r="AJ29" s="174"/>
      <c r="AK29" s="174"/>
    </row>
    <row r="30" spans="1:37" ht="15.75" thickBot="1" x14ac:dyDescent="0.3">
      <c r="A30" s="168" t="s">
        <v>4</v>
      </c>
      <c r="B30" s="10" t="s">
        <v>5</v>
      </c>
      <c r="C30" s="11" t="s">
        <v>6</v>
      </c>
      <c r="D30" s="12" t="s">
        <v>7</v>
      </c>
      <c r="E30" s="11" t="s">
        <v>8</v>
      </c>
      <c r="F30" s="12" t="s">
        <v>9</v>
      </c>
      <c r="G30" s="11" t="s">
        <v>10</v>
      </c>
      <c r="H30" s="32" t="s">
        <v>11</v>
      </c>
      <c r="J30" s="35" t="s">
        <v>3</v>
      </c>
      <c r="K30" s="14">
        <v>45778</v>
      </c>
      <c r="L30" s="24">
        <v>45780</v>
      </c>
      <c r="M30" s="15"/>
      <c r="N30" s="15"/>
      <c r="O30" s="15"/>
      <c r="P30" s="15"/>
      <c r="Q30" s="15"/>
      <c r="R30" s="15"/>
      <c r="S30" s="15"/>
      <c r="T30" s="15"/>
      <c r="U30" s="16"/>
      <c r="W30" s="35" t="s">
        <v>3</v>
      </c>
      <c r="X30" s="14"/>
      <c r="Y30" s="15"/>
      <c r="Z30" s="15"/>
      <c r="AA30" s="15"/>
      <c r="AB30" s="15"/>
      <c r="AC30" s="16"/>
      <c r="AE30" s="35" t="s">
        <v>3</v>
      </c>
      <c r="AF30" s="14"/>
      <c r="AG30" s="15"/>
      <c r="AH30" s="15"/>
      <c r="AI30" s="15"/>
      <c r="AJ30" s="15"/>
      <c r="AK30" s="16"/>
    </row>
    <row r="31" spans="1:37" ht="15.75" thickBot="1" x14ac:dyDescent="0.3">
      <c r="A31" s="168"/>
      <c r="B31" s="17">
        <v>35243</v>
      </c>
      <c r="C31" s="18">
        <v>36842</v>
      </c>
      <c r="D31" s="18">
        <v>36842</v>
      </c>
      <c r="E31" s="18">
        <v>38299</v>
      </c>
      <c r="F31" s="18">
        <f>SUM(C31-B31)</f>
        <v>1599</v>
      </c>
      <c r="G31" s="18">
        <f>SUM(E31-D31)</f>
        <v>1457</v>
      </c>
      <c r="H31" s="33">
        <f>SUM(F31:G31)</f>
        <v>3056</v>
      </c>
      <c r="J31" s="36" t="s">
        <v>21</v>
      </c>
      <c r="K31" s="19">
        <v>201.7</v>
      </c>
      <c r="L31" s="20">
        <v>195.48</v>
      </c>
      <c r="M31" s="20"/>
      <c r="N31" s="20"/>
      <c r="O31" s="20"/>
      <c r="P31" s="20"/>
      <c r="Q31" s="20"/>
      <c r="R31" s="20"/>
      <c r="S31" s="20"/>
      <c r="T31" s="20"/>
      <c r="U31" s="21"/>
      <c r="W31" s="36" t="s">
        <v>21</v>
      </c>
      <c r="X31" s="19"/>
      <c r="Y31" s="20"/>
      <c r="Z31" s="20"/>
      <c r="AA31" s="20"/>
      <c r="AB31" s="20"/>
      <c r="AC31" s="21"/>
      <c r="AE31" s="36" t="s">
        <v>21</v>
      </c>
      <c r="AF31" s="19"/>
      <c r="AG31" s="20"/>
      <c r="AH31" s="20"/>
      <c r="AI31" s="20"/>
      <c r="AJ31" s="20"/>
      <c r="AK31" s="21"/>
    </row>
    <row r="32" spans="1:37" x14ac:dyDescent="0.25">
      <c r="F32" s="2"/>
      <c r="G32" s="2"/>
      <c r="H32" s="2"/>
      <c r="J32" s="37"/>
      <c r="T32" s="22" t="s">
        <v>22</v>
      </c>
      <c r="U32" s="23">
        <f>SUM(K31:U31)</f>
        <v>397.17999999999995</v>
      </c>
      <c r="AB32" s="22" t="s">
        <v>22</v>
      </c>
      <c r="AC32" s="23">
        <f>SUM(X31:AC31)</f>
        <v>0</v>
      </c>
      <c r="AJ32" s="22" t="s">
        <v>22</v>
      </c>
      <c r="AK32" s="23">
        <f>SUM(AF31:AK31)</f>
        <v>0</v>
      </c>
    </row>
    <row r="33" spans="1:37" ht="15.75" thickBot="1" x14ac:dyDescent="0.3">
      <c r="A33" s="34"/>
      <c r="B33" s="171" t="s">
        <v>23</v>
      </c>
      <c r="C33" s="171"/>
      <c r="D33" s="171"/>
      <c r="E33" s="171"/>
      <c r="F33" s="171"/>
      <c r="G33" s="171"/>
      <c r="H33" s="171"/>
      <c r="J33" s="172" t="s">
        <v>23</v>
      </c>
      <c r="K33" s="172"/>
      <c r="L33" s="172"/>
      <c r="M33" s="172"/>
      <c r="N33" s="172"/>
      <c r="O33" s="172"/>
      <c r="P33" s="172"/>
      <c r="Q33" s="172"/>
      <c r="R33" s="172"/>
      <c r="S33" s="172"/>
      <c r="T33" s="172"/>
      <c r="U33" s="172"/>
      <c r="W33" s="173" t="str">
        <f>J33</f>
        <v>Junho</v>
      </c>
      <c r="X33" s="173"/>
      <c r="Y33" s="173"/>
      <c r="Z33" s="173"/>
      <c r="AA33" s="173"/>
      <c r="AB33" s="173"/>
      <c r="AC33" s="173"/>
      <c r="AE33" s="174" t="str">
        <f>W33</f>
        <v>Junho</v>
      </c>
      <c r="AF33" s="174"/>
      <c r="AG33" s="174"/>
      <c r="AH33" s="174"/>
      <c r="AI33" s="174"/>
      <c r="AJ33" s="174"/>
      <c r="AK33" s="174"/>
    </row>
    <row r="34" spans="1:37" ht="15.75" thickBot="1" x14ac:dyDescent="0.3">
      <c r="A34" s="168" t="s">
        <v>4</v>
      </c>
      <c r="B34" s="10" t="s">
        <v>5</v>
      </c>
      <c r="C34" s="11" t="s">
        <v>6</v>
      </c>
      <c r="D34" s="12" t="s">
        <v>7</v>
      </c>
      <c r="E34" s="11" t="s">
        <v>8</v>
      </c>
      <c r="F34" s="12" t="s">
        <v>9</v>
      </c>
      <c r="G34" s="11" t="s">
        <v>10</v>
      </c>
      <c r="H34" s="32" t="s">
        <v>11</v>
      </c>
      <c r="J34" s="35" t="s">
        <v>3</v>
      </c>
      <c r="K34" s="14">
        <v>45813</v>
      </c>
      <c r="L34" s="24">
        <v>45820</v>
      </c>
      <c r="M34" s="24">
        <v>45825</v>
      </c>
      <c r="N34" s="24">
        <v>45827</v>
      </c>
      <c r="O34" s="24">
        <v>45834</v>
      </c>
      <c r="P34" s="15"/>
      <c r="Q34" s="15"/>
      <c r="R34" s="15"/>
      <c r="S34" s="15"/>
      <c r="T34" s="15"/>
      <c r="U34" s="16"/>
      <c r="W34" s="35" t="s">
        <v>3</v>
      </c>
      <c r="X34" s="14"/>
      <c r="Y34" s="15"/>
      <c r="Z34" s="15"/>
      <c r="AA34" s="15"/>
      <c r="AB34" s="15"/>
      <c r="AC34" s="16"/>
      <c r="AE34" s="35" t="s">
        <v>3</v>
      </c>
      <c r="AF34" s="14"/>
      <c r="AG34" s="15"/>
      <c r="AH34" s="15"/>
      <c r="AI34" s="15"/>
      <c r="AJ34" s="15"/>
      <c r="AK34" s="16"/>
    </row>
    <row r="35" spans="1:37" ht="15.75" thickBot="1" x14ac:dyDescent="0.3">
      <c r="A35" s="168"/>
      <c r="B35" s="17">
        <v>21511</v>
      </c>
      <c r="C35" s="18">
        <v>23012</v>
      </c>
      <c r="D35" s="18">
        <v>23012</v>
      </c>
      <c r="E35" s="18">
        <v>24058</v>
      </c>
      <c r="F35" s="18">
        <f>SUM(C35-B35)</f>
        <v>1501</v>
      </c>
      <c r="G35" s="18">
        <f>SUM(E35-D35)</f>
        <v>1046</v>
      </c>
      <c r="H35" s="33">
        <f>SUM(F35:G35)</f>
        <v>2547</v>
      </c>
      <c r="J35" s="36" t="s">
        <v>21</v>
      </c>
      <c r="K35" s="19">
        <v>262.16000000000003</v>
      </c>
      <c r="L35" s="20">
        <v>234.16</v>
      </c>
      <c r="M35" s="20">
        <v>225.16</v>
      </c>
      <c r="N35" s="20">
        <v>166.71</v>
      </c>
      <c r="O35" s="20">
        <v>269.75</v>
      </c>
      <c r="P35" s="20"/>
      <c r="Q35" s="20"/>
      <c r="R35" s="20"/>
      <c r="S35" s="20"/>
      <c r="T35" s="20"/>
      <c r="U35" s="21"/>
      <c r="W35" s="36" t="s">
        <v>21</v>
      </c>
      <c r="X35" s="19"/>
      <c r="Y35" s="20"/>
      <c r="Z35" s="20"/>
      <c r="AA35" s="20"/>
      <c r="AB35" s="20"/>
      <c r="AC35" s="21"/>
      <c r="AE35" s="36" t="s">
        <v>21</v>
      </c>
      <c r="AF35" s="19"/>
      <c r="AG35" s="20"/>
      <c r="AH35" s="20"/>
      <c r="AI35" s="20"/>
      <c r="AJ35" s="20"/>
      <c r="AK35" s="21"/>
    </row>
    <row r="36" spans="1:37" x14ac:dyDescent="0.25">
      <c r="F36" s="2"/>
      <c r="G36" s="2"/>
      <c r="H36" s="2"/>
      <c r="J36" s="37"/>
      <c r="T36" s="22" t="s">
        <v>22</v>
      </c>
      <c r="U36" s="23">
        <f>SUM(K35:U35)</f>
        <v>1157.94</v>
      </c>
      <c r="AB36" s="22" t="s">
        <v>22</v>
      </c>
      <c r="AC36" s="23">
        <f>SUM(X35:AC35)</f>
        <v>0</v>
      </c>
      <c r="AJ36" s="22" t="s">
        <v>22</v>
      </c>
      <c r="AK36" s="23">
        <f>SUM(AF35:AK35)</f>
        <v>0</v>
      </c>
    </row>
    <row r="37" spans="1:37" ht="15.75" thickBot="1" x14ac:dyDescent="0.3">
      <c r="A37" s="34"/>
      <c r="B37" s="171" t="s">
        <v>15</v>
      </c>
      <c r="C37" s="171"/>
      <c r="D37" s="171"/>
      <c r="E37" s="171"/>
      <c r="F37" s="171"/>
      <c r="G37" s="171"/>
      <c r="H37" s="171"/>
      <c r="J37" s="172" t="s">
        <v>15</v>
      </c>
      <c r="K37" s="172"/>
      <c r="L37" s="172"/>
      <c r="M37" s="172"/>
      <c r="N37" s="172"/>
      <c r="O37" s="172"/>
      <c r="P37" s="172"/>
      <c r="Q37" s="172"/>
      <c r="R37" s="172"/>
      <c r="S37" s="172"/>
      <c r="T37" s="172"/>
      <c r="U37" s="172"/>
      <c r="W37" s="173" t="str">
        <f>J37</f>
        <v>Julho</v>
      </c>
      <c r="X37" s="173"/>
      <c r="Y37" s="173"/>
      <c r="Z37" s="173"/>
      <c r="AA37" s="173"/>
      <c r="AB37" s="173"/>
      <c r="AC37" s="173"/>
      <c r="AE37" s="174" t="str">
        <f>W37</f>
        <v>Julho</v>
      </c>
      <c r="AF37" s="174"/>
      <c r="AG37" s="174"/>
      <c r="AH37" s="174"/>
      <c r="AI37" s="174"/>
      <c r="AJ37" s="174"/>
      <c r="AK37" s="174"/>
    </row>
    <row r="38" spans="1:37" ht="15.75" thickBot="1" x14ac:dyDescent="0.3">
      <c r="A38" s="168" t="s">
        <v>4</v>
      </c>
      <c r="B38" s="10" t="s">
        <v>5</v>
      </c>
      <c r="C38" s="11" t="s">
        <v>6</v>
      </c>
      <c r="D38" s="12" t="s">
        <v>7</v>
      </c>
      <c r="E38" s="11" t="s">
        <v>8</v>
      </c>
      <c r="F38" s="12" t="s">
        <v>9</v>
      </c>
      <c r="G38" s="11" t="s">
        <v>10</v>
      </c>
      <c r="H38" s="32" t="s">
        <v>11</v>
      </c>
      <c r="J38" s="35" t="s">
        <v>3</v>
      </c>
      <c r="K38" s="14">
        <v>45853</v>
      </c>
      <c r="L38" s="24">
        <v>45867</v>
      </c>
      <c r="M38" s="15"/>
      <c r="N38" s="15"/>
      <c r="O38" s="15"/>
      <c r="P38" s="15"/>
      <c r="Q38" s="15"/>
      <c r="R38" s="15"/>
      <c r="S38" s="15"/>
      <c r="T38" s="15"/>
      <c r="U38" s="16"/>
      <c r="W38" s="35" t="s">
        <v>3</v>
      </c>
      <c r="X38" s="14"/>
      <c r="Y38" s="15"/>
      <c r="Z38" s="15"/>
      <c r="AA38" s="15"/>
      <c r="AB38" s="15"/>
      <c r="AC38" s="16"/>
      <c r="AE38" s="35" t="s">
        <v>3</v>
      </c>
      <c r="AF38" s="14"/>
      <c r="AG38" s="15"/>
      <c r="AH38" s="15"/>
      <c r="AI38" s="15"/>
      <c r="AJ38" s="15"/>
      <c r="AK38" s="16"/>
    </row>
    <row r="39" spans="1:37" ht="15.75" thickBot="1" x14ac:dyDescent="0.3">
      <c r="A39" s="168"/>
      <c r="B39" s="18">
        <v>24058</v>
      </c>
      <c r="C39" s="18">
        <v>25235</v>
      </c>
      <c r="D39" s="18">
        <v>25235</v>
      </c>
      <c r="E39" s="18">
        <v>26624</v>
      </c>
      <c r="F39" s="18">
        <f>SUM(C39-B39)</f>
        <v>1177</v>
      </c>
      <c r="G39" s="18">
        <f>SUM(E39-D39)</f>
        <v>1389</v>
      </c>
      <c r="H39" s="33">
        <f>SUM(F39:G39)</f>
        <v>2566</v>
      </c>
      <c r="J39" s="36" t="s">
        <v>21</v>
      </c>
      <c r="K39" s="139">
        <v>285.82</v>
      </c>
      <c r="L39" s="139">
        <v>261.37</v>
      </c>
      <c r="M39" s="20"/>
      <c r="N39" s="20"/>
      <c r="O39" s="20"/>
      <c r="P39" s="20"/>
      <c r="Q39" s="20"/>
      <c r="R39" s="20"/>
      <c r="S39" s="20"/>
      <c r="T39" s="20"/>
      <c r="U39" s="21"/>
      <c r="W39" s="36" t="s">
        <v>21</v>
      </c>
      <c r="X39" s="19"/>
      <c r="Y39" s="20"/>
      <c r="Z39" s="20"/>
      <c r="AA39" s="20"/>
      <c r="AB39" s="20"/>
      <c r="AC39" s="21"/>
      <c r="AE39" s="36" t="s">
        <v>21</v>
      </c>
      <c r="AF39" s="19"/>
      <c r="AG39" s="20"/>
      <c r="AH39" s="20"/>
      <c r="AI39" s="20"/>
      <c r="AJ39" s="20"/>
      <c r="AK39" s="21"/>
    </row>
    <row r="40" spans="1:37" x14ac:dyDescent="0.25">
      <c r="F40" s="2"/>
      <c r="G40" s="2"/>
      <c r="H40" s="2"/>
      <c r="J40" s="37"/>
      <c r="T40" s="22" t="s">
        <v>22</v>
      </c>
      <c r="U40" s="23">
        <f>SUM(K39:U39)</f>
        <v>547.19000000000005</v>
      </c>
      <c r="AB40" s="22" t="s">
        <v>22</v>
      </c>
      <c r="AC40" s="23">
        <f>SUM(X39:AC39)</f>
        <v>0</v>
      </c>
      <c r="AJ40" s="22" t="s">
        <v>22</v>
      </c>
      <c r="AK40" s="23">
        <f>SUM(AF39:AK39)</f>
        <v>0</v>
      </c>
    </row>
    <row r="41" spans="1:37" ht="15.75" thickBot="1" x14ac:dyDescent="0.3">
      <c r="A41" s="34"/>
      <c r="B41" s="171" t="s">
        <v>16</v>
      </c>
      <c r="C41" s="171"/>
      <c r="D41" s="171"/>
      <c r="E41" s="171"/>
      <c r="F41" s="171"/>
      <c r="G41" s="171"/>
      <c r="H41" s="171"/>
      <c r="J41" s="172" t="s">
        <v>16</v>
      </c>
      <c r="K41" s="172"/>
      <c r="L41" s="172"/>
      <c r="M41" s="172"/>
      <c r="N41" s="172"/>
      <c r="O41" s="172"/>
      <c r="P41" s="172"/>
      <c r="Q41" s="172"/>
      <c r="R41" s="172"/>
      <c r="S41" s="172"/>
      <c r="T41" s="172"/>
      <c r="U41" s="172"/>
      <c r="W41" s="173" t="str">
        <f>J41</f>
        <v>Agosto</v>
      </c>
      <c r="X41" s="173"/>
      <c r="Y41" s="173"/>
      <c r="Z41" s="173"/>
      <c r="AA41" s="173"/>
      <c r="AB41" s="173"/>
      <c r="AC41" s="173"/>
      <c r="AE41" s="174" t="str">
        <f>W41</f>
        <v>Agosto</v>
      </c>
      <c r="AF41" s="174"/>
      <c r="AG41" s="174"/>
      <c r="AH41" s="174"/>
      <c r="AI41" s="174"/>
      <c r="AJ41" s="174"/>
      <c r="AK41" s="174"/>
    </row>
    <row r="42" spans="1:37" ht="15.75" thickBot="1" x14ac:dyDescent="0.3">
      <c r="A42" s="168" t="s">
        <v>4</v>
      </c>
      <c r="B42" s="10" t="s">
        <v>5</v>
      </c>
      <c r="C42" s="11" t="s">
        <v>6</v>
      </c>
      <c r="D42" s="12" t="s">
        <v>7</v>
      </c>
      <c r="E42" s="11" t="s">
        <v>8</v>
      </c>
      <c r="F42" s="12" t="s">
        <v>9</v>
      </c>
      <c r="G42" s="11" t="s">
        <v>10</v>
      </c>
      <c r="H42" s="32" t="s">
        <v>11</v>
      </c>
      <c r="J42" s="35" t="s">
        <v>3</v>
      </c>
      <c r="K42" s="14">
        <v>45874</v>
      </c>
      <c r="L42" s="24">
        <v>45876</v>
      </c>
      <c r="M42" s="24">
        <v>45878</v>
      </c>
      <c r="N42" s="24">
        <v>45883</v>
      </c>
      <c r="O42" s="24">
        <v>45890</v>
      </c>
      <c r="P42" s="24">
        <v>45892</v>
      </c>
      <c r="Q42" s="24">
        <v>45899</v>
      </c>
      <c r="R42" s="15"/>
      <c r="S42" s="15"/>
      <c r="T42" s="15"/>
      <c r="U42" s="16"/>
      <c r="W42" s="35" t="s">
        <v>3</v>
      </c>
      <c r="X42" s="14"/>
      <c r="Y42" s="15"/>
      <c r="Z42" s="15"/>
      <c r="AA42" s="15"/>
      <c r="AB42" s="15"/>
      <c r="AC42" s="16"/>
      <c r="AE42" s="35" t="s">
        <v>3</v>
      </c>
      <c r="AF42" s="14"/>
      <c r="AG42" s="15"/>
      <c r="AH42" s="15"/>
      <c r="AI42" s="15"/>
      <c r="AJ42" s="15"/>
      <c r="AK42" s="16"/>
    </row>
    <row r="43" spans="1:37" ht="15.75" thickBot="1" x14ac:dyDescent="0.3">
      <c r="A43" s="168"/>
      <c r="B43" s="17">
        <v>26624</v>
      </c>
      <c r="C43" s="18">
        <v>27884</v>
      </c>
      <c r="D43" s="18">
        <v>27884</v>
      </c>
      <c r="E43" s="18">
        <v>29237</v>
      </c>
      <c r="F43" s="18">
        <f>SUM(C43-B43)</f>
        <v>1260</v>
      </c>
      <c r="G43" s="18">
        <f>SUM(E43-D43)</f>
        <v>1353</v>
      </c>
      <c r="H43" s="33">
        <f>SUM(F43:G43)</f>
        <v>2613</v>
      </c>
      <c r="J43" s="36" t="s">
        <v>21</v>
      </c>
      <c r="K43" s="19">
        <v>217.14</v>
      </c>
      <c r="L43" s="20">
        <v>190.04</v>
      </c>
      <c r="M43" s="20">
        <v>104.47</v>
      </c>
      <c r="N43" s="20">
        <v>270.12</v>
      </c>
      <c r="O43" s="20">
        <v>261.20999999999998</v>
      </c>
      <c r="P43" s="20">
        <v>200.83</v>
      </c>
      <c r="Q43" s="20">
        <v>289.79000000000002</v>
      </c>
      <c r="R43" s="20"/>
      <c r="S43" s="20"/>
      <c r="T43" s="20"/>
      <c r="U43" s="21"/>
      <c r="W43" s="36" t="s">
        <v>21</v>
      </c>
      <c r="X43" s="19"/>
      <c r="Y43" s="20"/>
      <c r="Z43" s="20"/>
      <c r="AA43" s="20"/>
      <c r="AB43" s="20"/>
      <c r="AC43" s="21"/>
      <c r="AE43" s="36" t="s">
        <v>21</v>
      </c>
      <c r="AF43" s="19"/>
      <c r="AG43" s="20"/>
      <c r="AH43" s="20"/>
      <c r="AI43" s="20"/>
      <c r="AJ43" s="20"/>
      <c r="AK43" s="21"/>
    </row>
    <row r="44" spans="1:37" x14ac:dyDescent="0.25">
      <c r="F44" s="2"/>
      <c r="G44" s="2"/>
      <c r="H44" s="2"/>
      <c r="J44" s="37"/>
      <c r="T44" s="22" t="s">
        <v>22</v>
      </c>
      <c r="U44" s="23">
        <f>SUM(K43:U43)</f>
        <v>1533.6</v>
      </c>
      <c r="AB44" s="22" t="s">
        <v>22</v>
      </c>
      <c r="AC44" s="23">
        <f>SUM(X43:AC43)</f>
        <v>0</v>
      </c>
      <c r="AJ44" s="22" t="s">
        <v>22</v>
      </c>
      <c r="AK44" s="23">
        <f>SUM(AF43:AK43)</f>
        <v>0</v>
      </c>
    </row>
    <row r="45" spans="1:37" ht="15.75" thickBot="1" x14ac:dyDescent="0.3">
      <c r="A45" s="34"/>
      <c r="B45" s="171" t="s">
        <v>17</v>
      </c>
      <c r="C45" s="171"/>
      <c r="D45" s="171"/>
      <c r="E45" s="171"/>
      <c r="F45" s="171"/>
      <c r="G45" s="171"/>
      <c r="H45" s="171"/>
      <c r="J45" s="172" t="s">
        <v>17</v>
      </c>
      <c r="K45" s="172"/>
      <c r="L45" s="172"/>
      <c r="M45" s="172"/>
      <c r="N45" s="172"/>
      <c r="O45" s="172"/>
      <c r="P45" s="172"/>
      <c r="Q45" s="172"/>
      <c r="R45" s="172"/>
      <c r="S45" s="172"/>
      <c r="T45" s="172"/>
      <c r="U45" s="172"/>
      <c r="W45" s="173" t="str">
        <f>J45</f>
        <v>Setembro</v>
      </c>
      <c r="X45" s="173"/>
      <c r="Y45" s="173"/>
      <c r="Z45" s="173"/>
      <c r="AA45" s="173"/>
      <c r="AB45" s="173"/>
      <c r="AC45" s="173"/>
      <c r="AE45" s="174" t="str">
        <f>W45</f>
        <v>Setembro</v>
      </c>
      <c r="AF45" s="174"/>
      <c r="AG45" s="174"/>
      <c r="AH45" s="174"/>
      <c r="AI45" s="174"/>
      <c r="AJ45" s="174"/>
      <c r="AK45" s="174"/>
    </row>
    <row r="46" spans="1:37" ht="15.75" thickBot="1" x14ac:dyDescent="0.3">
      <c r="A46" s="168" t="s">
        <v>4</v>
      </c>
      <c r="B46" s="10" t="s">
        <v>5</v>
      </c>
      <c r="C46" s="11" t="s">
        <v>6</v>
      </c>
      <c r="D46" s="12" t="s">
        <v>7</v>
      </c>
      <c r="E46" s="11" t="s">
        <v>8</v>
      </c>
      <c r="F46" s="12" t="s">
        <v>9</v>
      </c>
      <c r="G46" s="11" t="s">
        <v>10</v>
      </c>
      <c r="H46" s="32" t="s">
        <v>11</v>
      </c>
      <c r="J46" s="35" t="s">
        <v>3</v>
      </c>
      <c r="K46" s="14">
        <v>45904</v>
      </c>
      <c r="L46" s="24">
        <v>45911</v>
      </c>
      <c r="M46" s="24">
        <v>45913</v>
      </c>
      <c r="N46" s="24">
        <v>45916</v>
      </c>
      <c r="O46" s="24">
        <v>45925</v>
      </c>
      <c r="P46" s="24">
        <v>45927</v>
      </c>
      <c r="Q46" s="24">
        <v>45930</v>
      </c>
      <c r="R46" s="15"/>
      <c r="S46" s="15"/>
      <c r="T46" s="15"/>
      <c r="U46" s="16"/>
      <c r="W46" s="35" t="s">
        <v>3</v>
      </c>
      <c r="X46" s="14"/>
      <c r="Y46" s="15"/>
      <c r="Z46" s="15"/>
      <c r="AA46" s="15"/>
      <c r="AB46" s="15"/>
      <c r="AC46" s="16"/>
      <c r="AE46" s="35" t="s">
        <v>3</v>
      </c>
      <c r="AF46" s="14"/>
      <c r="AG46" s="15"/>
      <c r="AH46" s="15"/>
      <c r="AI46" s="15"/>
      <c r="AJ46" s="15"/>
      <c r="AK46" s="16"/>
    </row>
    <row r="47" spans="1:37" ht="15.75" thickBot="1" x14ac:dyDescent="0.3">
      <c r="A47" s="168"/>
      <c r="B47" s="18">
        <v>29237</v>
      </c>
      <c r="C47" s="18">
        <v>30314</v>
      </c>
      <c r="D47" s="18">
        <v>30314</v>
      </c>
      <c r="E47" s="18">
        <v>31412</v>
      </c>
      <c r="F47" s="18">
        <f>SUM(C47-B47)</f>
        <v>1077</v>
      </c>
      <c r="G47" s="18">
        <f>SUM(E47-D47)</f>
        <v>1098</v>
      </c>
      <c r="H47" s="33">
        <f>SUM(F47:G47)</f>
        <v>2175</v>
      </c>
      <c r="J47" s="36" t="s">
        <v>21</v>
      </c>
      <c r="K47" s="139">
        <v>252.6</v>
      </c>
      <c r="L47" s="139">
        <v>195.65</v>
      </c>
      <c r="M47" s="139">
        <v>170.55</v>
      </c>
      <c r="N47" s="139">
        <v>202.57</v>
      </c>
      <c r="O47" s="20">
        <v>258.07</v>
      </c>
      <c r="P47" s="20">
        <v>137.25</v>
      </c>
      <c r="Q47" s="20">
        <v>270.02</v>
      </c>
      <c r="R47" s="20"/>
      <c r="S47" s="20"/>
      <c r="T47" s="20"/>
      <c r="U47" s="21"/>
      <c r="W47" s="36" t="s">
        <v>21</v>
      </c>
      <c r="X47" s="19"/>
      <c r="Y47" s="20"/>
      <c r="Z47" s="20"/>
      <c r="AA47" s="20"/>
      <c r="AB47" s="20"/>
      <c r="AC47" s="21"/>
      <c r="AE47" s="36" t="s">
        <v>21</v>
      </c>
      <c r="AF47" s="19"/>
      <c r="AG47" s="20"/>
      <c r="AH47" s="20"/>
      <c r="AI47" s="20"/>
      <c r="AJ47" s="20"/>
      <c r="AK47" s="21"/>
    </row>
    <row r="48" spans="1:37" x14ac:dyDescent="0.25">
      <c r="F48" s="2"/>
      <c r="G48" s="2"/>
      <c r="H48" s="2"/>
      <c r="J48" s="37"/>
      <c r="T48" s="22" t="s">
        <v>22</v>
      </c>
      <c r="U48" s="23">
        <f>SUM(K47:U47)</f>
        <v>1486.7099999999998</v>
      </c>
      <c r="AB48" s="22" t="s">
        <v>22</v>
      </c>
      <c r="AC48" s="23">
        <f>SUM(X47:AC47)</f>
        <v>0</v>
      </c>
      <c r="AJ48" s="22" t="s">
        <v>22</v>
      </c>
      <c r="AK48" s="23">
        <f>SUM(AF47:AK47)</f>
        <v>0</v>
      </c>
    </row>
    <row r="49" spans="1:37" ht="15.75" thickBot="1" x14ac:dyDescent="0.3">
      <c r="A49" s="141" t="s">
        <v>124</v>
      </c>
      <c r="B49" s="171" t="s">
        <v>18</v>
      </c>
      <c r="C49" s="171"/>
      <c r="D49" s="171"/>
      <c r="E49" s="171"/>
      <c r="F49" s="171"/>
      <c r="G49" s="171"/>
      <c r="H49" s="171"/>
      <c r="J49" s="172" t="s">
        <v>18</v>
      </c>
      <c r="K49" s="172"/>
      <c r="L49" s="172"/>
      <c r="M49" s="172"/>
      <c r="N49" s="172"/>
      <c r="O49" s="172"/>
      <c r="P49" s="172"/>
      <c r="Q49" s="172"/>
      <c r="R49" s="172"/>
      <c r="S49" s="172"/>
      <c r="T49" s="172"/>
      <c r="U49" s="172"/>
      <c r="W49" s="173" t="str">
        <f>J49</f>
        <v>Outubro</v>
      </c>
      <c r="X49" s="173"/>
      <c r="Y49" s="173"/>
      <c r="Z49" s="173"/>
      <c r="AA49" s="173"/>
      <c r="AB49" s="173"/>
      <c r="AC49" s="173"/>
      <c r="AE49" s="174" t="str">
        <f>W49</f>
        <v>Outubro</v>
      </c>
      <c r="AF49" s="174"/>
      <c r="AG49" s="174"/>
      <c r="AH49" s="174"/>
      <c r="AI49" s="174"/>
      <c r="AJ49" s="174"/>
      <c r="AK49" s="174"/>
    </row>
    <row r="50" spans="1:37" ht="15.75" thickBot="1" x14ac:dyDescent="0.3">
      <c r="A50" s="168" t="s">
        <v>4</v>
      </c>
      <c r="B50" s="10" t="s">
        <v>5</v>
      </c>
      <c r="C50" s="11" t="s">
        <v>6</v>
      </c>
      <c r="D50" s="12" t="s">
        <v>7</v>
      </c>
      <c r="E50" s="11" t="s">
        <v>8</v>
      </c>
      <c r="F50" s="12" t="s">
        <v>9</v>
      </c>
      <c r="G50" s="11" t="s">
        <v>10</v>
      </c>
      <c r="H50" s="32" t="s">
        <v>11</v>
      </c>
      <c r="J50" s="35" t="s">
        <v>3</v>
      </c>
      <c r="K50" s="14">
        <v>45932</v>
      </c>
      <c r="L50" s="24">
        <v>45934</v>
      </c>
      <c r="M50" s="24">
        <v>45944</v>
      </c>
      <c r="N50" s="24">
        <v>45951</v>
      </c>
      <c r="O50" s="24">
        <v>45953</v>
      </c>
      <c r="P50" s="24">
        <v>45956</v>
      </c>
      <c r="Q50" s="15"/>
      <c r="R50" s="15"/>
      <c r="S50" s="15"/>
      <c r="T50" s="15"/>
      <c r="U50" s="16"/>
      <c r="W50" s="35" t="s">
        <v>3</v>
      </c>
      <c r="X50" s="14"/>
      <c r="Y50" s="15"/>
      <c r="Z50" s="15"/>
      <c r="AA50" s="15"/>
      <c r="AB50" s="15"/>
      <c r="AC50" s="16"/>
      <c r="AE50" s="35" t="s">
        <v>3</v>
      </c>
      <c r="AF50" s="14"/>
      <c r="AG50" s="15"/>
      <c r="AH50" s="15"/>
      <c r="AI50" s="15"/>
      <c r="AJ50" s="15"/>
      <c r="AK50" s="16"/>
    </row>
    <row r="51" spans="1:37" ht="15.75" thickBot="1" x14ac:dyDescent="0.3">
      <c r="A51" s="168"/>
      <c r="B51" s="18">
        <v>31412</v>
      </c>
      <c r="C51" s="18">
        <v>32555</v>
      </c>
      <c r="D51" s="18">
        <v>32555</v>
      </c>
      <c r="E51" s="18">
        <v>33485</v>
      </c>
      <c r="F51" s="18">
        <f>SUM(C51-B51)</f>
        <v>1143</v>
      </c>
      <c r="G51" s="18">
        <f>SUM(E51-D51)</f>
        <v>930</v>
      </c>
      <c r="H51" s="33">
        <f>SUM(F51:G51)</f>
        <v>2073</v>
      </c>
      <c r="J51" s="36" t="s">
        <v>21</v>
      </c>
      <c r="K51" s="19">
        <v>99.13</v>
      </c>
      <c r="L51" s="20">
        <v>136.16999999999999</v>
      </c>
      <c r="M51" s="20">
        <v>279.02</v>
      </c>
      <c r="N51" s="20">
        <v>255.18</v>
      </c>
      <c r="O51" s="139">
        <v>260.02</v>
      </c>
      <c r="P51" s="139">
        <v>121.9</v>
      </c>
      <c r="Q51" s="20"/>
      <c r="R51" s="20"/>
      <c r="S51" s="20"/>
      <c r="T51" s="20"/>
      <c r="U51" s="21"/>
      <c r="W51" s="36" t="s">
        <v>21</v>
      </c>
      <c r="X51" s="19"/>
      <c r="Y51" s="20"/>
      <c r="Z51" s="20"/>
      <c r="AA51" s="20"/>
      <c r="AB51" s="20"/>
      <c r="AC51" s="21"/>
      <c r="AE51" s="36" t="s">
        <v>21</v>
      </c>
      <c r="AF51" s="19"/>
      <c r="AG51" s="20"/>
      <c r="AH51" s="20"/>
      <c r="AI51" s="20"/>
      <c r="AJ51" s="20"/>
      <c r="AK51" s="21"/>
    </row>
    <row r="52" spans="1:37" x14ac:dyDescent="0.25">
      <c r="F52" s="2"/>
      <c r="G52" s="2"/>
      <c r="H52" s="2"/>
      <c r="J52" s="37"/>
      <c r="T52" s="22" t="s">
        <v>22</v>
      </c>
      <c r="U52" s="23">
        <f>SUM(K51:U51)</f>
        <v>1151.42</v>
      </c>
      <c r="AB52" s="22" t="s">
        <v>22</v>
      </c>
      <c r="AC52" s="23">
        <f>SUM(X51:AC51)</f>
        <v>0</v>
      </c>
      <c r="AJ52" s="22" t="s">
        <v>22</v>
      </c>
      <c r="AK52" s="23">
        <f>SUM(AF51:AK51)</f>
        <v>0</v>
      </c>
    </row>
    <row r="53" spans="1:37" ht="15.75" thickBot="1" x14ac:dyDescent="0.3">
      <c r="A53" s="141" t="s">
        <v>143</v>
      </c>
      <c r="B53" s="171" t="s">
        <v>19</v>
      </c>
      <c r="C53" s="171"/>
      <c r="D53" s="171"/>
      <c r="E53" s="171"/>
      <c r="F53" s="171"/>
      <c r="G53" s="171"/>
      <c r="H53" s="171"/>
      <c r="J53" s="172" t="s">
        <v>19</v>
      </c>
      <c r="K53" s="172"/>
      <c r="L53" s="172"/>
      <c r="M53" s="172"/>
      <c r="N53" s="172"/>
      <c r="O53" s="172"/>
      <c r="P53" s="172"/>
      <c r="Q53" s="172"/>
      <c r="R53" s="172"/>
      <c r="S53" s="172"/>
      <c r="T53" s="172"/>
      <c r="U53" s="172"/>
      <c r="W53" s="173" t="str">
        <f>J53</f>
        <v>Novembro</v>
      </c>
      <c r="X53" s="173"/>
      <c r="Y53" s="173"/>
      <c r="Z53" s="173"/>
      <c r="AA53" s="173"/>
      <c r="AB53" s="173"/>
      <c r="AC53" s="173"/>
      <c r="AE53" s="174" t="str">
        <f>W53</f>
        <v>Novembro</v>
      </c>
      <c r="AF53" s="174"/>
      <c r="AG53" s="174"/>
      <c r="AH53" s="174"/>
      <c r="AI53" s="174"/>
      <c r="AJ53" s="174"/>
      <c r="AK53" s="174"/>
    </row>
    <row r="54" spans="1:37" ht="15.75" thickBot="1" x14ac:dyDescent="0.3">
      <c r="A54" s="168" t="s">
        <v>4</v>
      </c>
      <c r="B54" s="10" t="s">
        <v>5</v>
      </c>
      <c r="C54" s="11" t="s">
        <v>6</v>
      </c>
      <c r="D54" s="12" t="s">
        <v>7</v>
      </c>
      <c r="E54" s="11" t="s">
        <v>8</v>
      </c>
      <c r="F54" s="12" t="s">
        <v>9</v>
      </c>
      <c r="G54" s="11" t="s">
        <v>10</v>
      </c>
      <c r="H54" s="32" t="s">
        <v>11</v>
      </c>
      <c r="J54" s="35" t="s">
        <v>3</v>
      </c>
      <c r="K54" s="14">
        <v>45965</v>
      </c>
      <c r="L54" s="24">
        <v>45972</v>
      </c>
      <c r="M54" s="24">
        <v>45979</v>
      </c>
      <c r="N54" s="24">
        <v>45981</v>
      </c>
      <c r="O54" s="24">
        <v>45986</v>
      </c>
      <c r="P54" s="15"/>
      <c r="Q54" s="15"/>
      <c r="R54" s="15"/>
      <c r="S54" s="15"/>
      <c r="T54" s="15"/>
      <c r="U54" s="16"/>
      <c r="W54" s="35" t="s">
        <v>3</v>
      </c>
      <c r="X54" s="14"/>
      <c r="Y54" s="15"/>
      <c r="Z54" s="15"/>
      <c r="AA54" s="15"/>
      <c r="AB54" s="15"/>
      <c r="AC54" s="16"/>
      <c r="AE54" s="35" t="s">
        <v>3</v>
      </c>
      <c r="AF54" s="14"/>
      <c r="AG54" s="15"/>
      <c r="AH54" s="15"/>
      <c r="AI54" s="15"/>
      <c r="AJ54" s="15"/>
      <c r="AK54" s="16"/>
    </row>
    <row r="55" spans="1:37" ht="15.75" thickBot="1" x14ac:dyDescent="0.3">
      <c r="A55" s="168"/>
      <c r="B55" s="17">
        <v>56403</v>
      </c>
      <c r="C55" s="18">
        <v>57968</v>
      </c>
      <c r="D55" s="18">
        <v>57968</v>
      </c>
      <c r="E55" s="18">
        <v>59303</v>
      </c>
      <c r="F55" s="18">
        <f>SUM(C55-B55)</f>
        <v>1565</v>
      </c>
      <c r="G55" s="18">
        <f>SUM(E55-D55)</f>
        <v>1335</v>
      </c>
      <c r="H55" s="33">
        <f>SUM(F55:G55)</f>
        <v>2900</v>
      </c>
      <c r="J55" s="36" t="s">
        <v>21</v>
      </c>
      <c r="K55" s="19">
        <v>247.44</v>
      </c>
      <c r="L55" s="20">
        <v>270.20999999999998</v>
      </c>
      <c r="M55" s="20">
        <v>258.45</v>
      </c>
      <c r="N55" s="20">
        <v>195.99</v>
      </c>
      <c r="O55" s="20">
        <v>223.29</v>
      </c>
      <c r="P55" s="20"/>
      <c r="Q55" s="20"/>
      <c r="R55" s="20"/>
      <c r="S55" s="20"/>
      <c r="T55" s="20"/>
      <c r="U55" s="21"/>
      <c r="W55" s="36" t="s">
        <v>21</v>
      </c>
      <c r="X55" s="19"/>
      <c r="Y55" s="20"/>
      <c r="Z55" s="20"/>
      <c r="AA55" s="20"/>
      <c r="AB55" s="20"/>
      <c r="AC55" s="21"/>
      <c r="AE55" s="36" t="s">
        <v>21</v>
      </c>
      <c r="AF55" s="19"/>
      <c r="AG55" s="20"/>
      <c r="AH55" s="20"/>
      <c r="AI55" s="20"/>
      <c r="AJ55" s="20"/>
      <c r="AK55" s="21"/>
    </row>
    <row r="56" spans="1:37" x14ac:dyDescent="0.25">
      <c r="F56" s="2"/>
      <c r="G56" s="2"/>
      <c r="H56" s="2"/>
      <c r="J56" s="37"/>
      <c r="T56" s="22" t="s">
        <v>22</v>
      </c>
      <c r="U56" s="23">
        <f>SUM(K55:U55)</f>
        <v>1195.3799999999999</v>
      </c>
      <c r="AB56" s="22" t="s">
        <v>22</v>
      </c>
      <c r="AC56" s="23">
        <f>SUM(X55:AC55)</f>
        <v>0</v>
      </c>
      <c r="AJ56" s="22" t="s">
        <v>22</v>
      </c>
      <c r="AK56" s="23">
        <f>SUM(AF55:AK55)</f>
        <v>0</v>
      </c>
    </row>
    <row r="57" spans="1:37" ht="15.75" thickBot="1" x14ac:dyDescent="0.3">
      <c r="A57" s="34"/>
      <c r="B57" s="171" t="s">
        <v>20</v>
      </c>
      <c r="C57" s="171"/>
      <c r="D57" s="171"/>
      <c r="E57" s="171"/>
      <c r="F57" s="171"/>
      <c r="G57" s="171"/>
      <c r="H57" s="171"/>
      <c r="J57" s="172" t="s">
        <v>20</v>
      </c>
      <c r="K57" s="172"/>
      <c r="L57" s="172"/>
      <c r="M57" s="172"/>
      <c r="N57" s="172"/>
      <c r="O57" s="172"/>
      <c r="P57" s="172"/>
      <c r="Q57" s="172"/>
      <c r="R57" s="172"/>
      <c r="S57" s="172"/>
      <c r="T57" s="172"/>
      <c r="U57" s="172"/>
      <c r="W57" s="173" t="str">
        <f>J57</f>
        <v>Dezembro</v>
      </c>
      <c r="X57" s="173"/>
      <c r="Y57" s="173"/>
      <c r="Z57" s="173"/>
      <c r="AA57" s="173"/>
      <c r="AB57" s="173"/>
      <c r="AC57" s="173"/>
      <c r="AE57" s="174" t="str">
        <f>W57</f>
        <v>Dezembro</v>
      </c>
      <c r="AF57" s="174"/>
      <c r="AG57" s="174"/>
      <c r="AH57" s="174"/>
      <c r="AI57" s="174"/>
      <c r="AJ57" s="174"/>
      <c r="AK57" s="174"/>
    </row>
    <row r="58" spans="1:37" ht="15.75" thickBot="1" x14ac:dyDescent="0.3">
      <c r="A58" s="168" t="s">
        <v>4</v>
      </c>
      <c r="B58" s="10" t="s">
        <v>5</v>
      </c>
      <c r="C58" s="11" t="s">
        <v>6</v>
      </c>
      <c r="D58" s="12" t="s">
        <v>7</v>
      </c>
      <c r="E58" s="11" t="s">
        <v>8</v>
      </c>
      <c r="F58" s="12" t="s">
        <v>9</v>
      </c>
      <c r="G58" s="11" t="s">
        <v>10</v>
      </c>
      <c r="H58" s="32" t="s">
        <v>11</v>
      </c>
      <c r="J58" s="35" t="s">
        <v>3</v>
      </c>
      <c r="K58" s="14">
        <v>45993</v>
      </c>
      <c r="L58" s="24">
        <v>45995</v>
      </c>
      <c r="M58" s="24">
        <v>46000</v>
      </c>
      <c r="N58" s="24">
        <v>46004</v>
      </c>
      <c r="O58" s="24">
        <v>46009</v>
      </c>
      <c r="P58" s="24">
        <v>46011</v>
      </c>
      <c r="Q58" s="15"/>
      <c r="R58" s="15"/>
      <c r="S58" s="15"/>
      <c r="T58" s="15"/>
      <c r="U58" s="16"/>
      <c r="W58" s="35" t="s">
        <v>3</v>
      </c>
      <c r="X58" s="14"/>
      <c r="Y58" s="15"/>
      <c r="Z58" s="15"/>
      <c r="AA58" s="15"/>
      <c r="AB58" s="15"/>
      <c r="AC58" s="16"/>
      <c r="AE58" s="35" t="s">
        <v>3</v>
      </c>
      <c r="AF58" s="14"/>
      <c r="AG58" s="15"/>
      <c r="AH58" s="15"/>
      <c r="AI58" s="15"/>
      <c r="AJ58" s="15"/>
      <c r="AK58" s="16"/>
    </row>
    <row r="59" spans="1:37" ht="15.75" thickBot="1" x14ac:dyDescent="0.3">
      <c r="A59" s="168"/>
      <c r="B59" s="18">
        <v>59303</v>
      </c>
      <c r="C59" s="18">
        <v>60841</v>
      </c>
      <c r="D59" s="18">
        <v>60841</v>
      </c>
      <c r="E59" s="18">
        <v>61587</v>
      </c>
      <c r="F59" s="18">
        <f>SUM(C59-B59)</f>
        <v>1538</v>
      </c>
      <c r="G59" s="18">
        <f>SUM(E59-D59)</f>
        <v>746</v>
      </c>
      <c r="H59" s="33">
        <f>SUM(F59:G59)</f>
        <v>2284</v>
      </c>
      <c r="J59" s="36" t="s">
        <v>21</v>
      </c>
      <c r="K59" s="19">
        <v>204.29</v>
      </c>
      <c r="L59" s="20">
        <v>192.41</v>
      </c>
      <c r="M59" s="20">
        <v>239.2</v>
      </c>
      <c r="N59" s="20">
        <v>239.9</v>
      </c>
      <c r="O59" s="20">
        <v>279.89999999999998</v>
      </c>
      <c r="P59" s="20">
        <v>174.98</v>
      </c>
      <c r="Q59" s="20"/>
      <c r="R59" s="20"/>
      <c r="S59" s="20"/>
      <c r="T59" s="20"/>
      <c r="U59" s="21"/>
      <c r="W59" s="36" t="s">
        <v>21</v>
      </c>
      <c r="X59" s="19"/>
      <c r="Y59" s="20"/>
      <c r="Z59" s="20"/>
      <c r="AA59" s="20"/>
      <c r="AB59" s="20"/>
      <c r="AC59" s="21"/>
      <c r="AE59" s="36" t="s">
        <v>21</v>
      </c>
      <c r="AF59" s="19"/>
      <c r="AG59" s="20"/>
      <c r="AH59" s="20"/>
      <c r="AI59" s="20"/>
      <c r="AJ59" s="20"/>
      <c r="AK59" s="21"/>
    </row>
    <row r="60" spans="1:37" x14ac:dyDescent="0.25">
      <c r="J60" s="37"/>
      <c r="T60" s="22" t="s">
        <v>22</v>
      </c>
      <c r="U60" s="23">
        <f>SUM(K59:U59)</f>
        <v>1330.6799999999998</v>
      </c>
      <c r="AB60" s="22" t="s">
        <v>22</v>
      </c>
      <c r="AC60" s="23">
        <f>SUM(X59:AC59)</f>
        <v>0</v>
      </c>
      <c r="AJ60" s="22" t="s">
        <v>22</v>
      </c>
      <c r="AK60" s="23">
        <f>SUM(AF59:AK59)</f>
        <v>0</v>
      </c>
    </row>
  </sheetData>
  <mergeCells count="77">
    <mergeCell ref="B8:C8"/>
    <mergeCell ref="E8:F8"/>
    <mergeCell ref="A1:A2"/>
    <mergeCell ref="B1:AK1"/>
    <mergeCell ref="B2:AK2"/>
    <mergeCell ref="B4:C4"/>
    <mergeCell ref="E4:F4"/>
    <mergeCell ref="B5:C5"/>
    <mergeCell ref="E5:F5"/>
    <mergeCell ref="B6:C6"/>
    <mergeCell ref="E6:F6"/>
    <mergeCell ref="B7:C7"/>
    <mergeCell ref="E7:F7"/>
    <mergeCell ref="A18:A19"/>
    <mergeCell ref="A11:H11"/>
    <mergeCell ref="J11:U11"/>
    <mergeCell ref="W11:AC11"/>
    <mergeCell ref="AE11:AK11"/>
    <mergeCell ref="B13:H13"/>
    <mergeCell ref="J13:U13"/>
    <mergeCell ref="W13:AC13"/>
    <mergeCell ref="AE13:AK13"/>
    <mergeCell ref="A14:A15"/>
    <mergeCell ref="B17:H17"/>
    <mergeCell ref="J17:U17"/>
    <mergeCell ref="W17:AC17"/>
    <mergeCell ref="AE17:AK17"/>
    <mergeCell ref="A30:A31"/>
    <mergeCell ref="B21:H21"/>
    <mergeCell ref="J21:U21"/>
    <mergeCell ref="W21:AC21"/>
    <mergeCell ref="AE21:AK21"/>
    <mergeCell ref="A22:A23"/>
    <mergeCell ref="B25:H25"/>
    <mergeCell ref="J25:U25"/>
    <mergeCell ref="W25:AC25"/>
    <mergeCell ref="AE25:AK25"/>
    <mergeCell ref="A26:A27"/>
    <mergeCell ref="B29:H29"/>
    <mergeCell ref="J29:U29"/>
    <mergeCell ref="W29:AC29"/>
    <mergeCell ref="AE29:AK29"/>
    <mergeCell ref="A42:A43"/>
    <mergeCell ref="B33:H33"/>
    <mergeCell ref="J33:U33"/>
    <mergeCell ref="W33:AC33"/>
    <mergeCell ref="AE33:AK33"/>
    <mergeCell ref="A34:A35"/>
    <mergeCell ref="B37:H37"/>
    <mergeCell ref="J37:U37"/>
    <mergeCell ref="W37:AC37"/>
    <mergeCell ref="AE37:AK37"/>
    <mergeCell ref="A38:A39"/>
    <mergeCell ref="B41:H41"/>
    <mergeCell ref="J41:U41"/>
    <mergeCell ref="W41:AC41"/>
    <mergeCell ref="AE41:AK41"/>
    <mergeCell ref="A54:A55"/>
    <mergeCell ref="B45:H45"/>
    <mergeCell ref="J45:U45"/>
    <mergeCell ref="W45:AC45"/>
    <mergeCell ref="AE45:AK45"/>
    <mergeCell ref="A46:A47"/>
    <mergeCell ref="B49:H49"/>
    <mergeCell ref="J49:U49"/>
    <mergeCell ref="W49:AC49"/>
    <mergeCell ref="AE49:AK49"/>
    <mergeCell ref="A50:A51"/>
    <mergeCell ref="B53:H53"/>
    <mergeCell ref="J53:U53"/>
    <mergeCell ref="W53:AC53"/>
    <mergeCell ref="AE53:AK53"/>
    <mergeCell ref="B57:H57"/>
    <mergeCell ref="J57:U57"/>
    <mergeCell ref="W57:AC57"/>
    <mergeCell ref="AE57:AK57"/>
    <mergeCell ref="A58:A59"/>
  </mergeCells>
  <phoneticPr fontId="2" type="noConversion"/>
  <pageMargins left="0.511811024" right="0.511811024" top="0.78740157499999996" bottom="0.78740157499999996" header="0.31496062000000002" footer="0.31496062000000002"/>
  <drawing r:id="rId1"/>
  <legacy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43CFD7-632D-41C9-A6FD-25B17C9A51E2}">
  <dimension ref="A1:AK59"/>
  <sheetViews>
    <sheetView topLeftCell="A23" workbookViewId="0">
      <selection activeCell="F60" sqref="F60"/>
    </sheetView>
  </sheetViews>
  <sheetFormatPr defaultRowHeight="15" x14ac:dyDescent="0.25"/>
  <cols>
    <col min="1" max="1" width="17.28515625" style="2" bestFit="1" customWidth="1"/>
    <col min="2" max="2" width="11.7109375" style="2" bestFit="1" customWidth="1"/>
    <col min="3" max="3" width="9.28515625" style="2" bestFit="1" customWidth="1"/>
    <col min="4" max="4" width="10.7109375" style="2" customWidth="1"/>
    <col min="5" max="5" width="9.28515625" style="2" bestFit="1" customWidth="1"/>
    <col min="6" max="6" width="13.140625" style="1" customWidth="1"/>
    <col min="7" max="7" width="13.85546875" style="1" customWidth="1"/>
    <col min="8" max="8" width="11.85546875" style="1" bestFit="1" customWidth="1"/>
    <col min="9" max="9" width="9.85546875" style="1" customWidth="1"/>
    <col min="10" max="10" width="10.7109375" style="2" bestFit="1" customWidth="1"/>
    <col min="11" max="13" width="10.7109375" style="1" bestFit="1" customWidth="1"/>
    <col min="14" max="17" width="10.5703125" style="1" bestFit="1" customWidth="1"/>
    <col min="18" max="20" width="10.7109375" style="1" bestFit="1" customWidth="1"/>
    <col min="21" max="21" width="12.140625" style="1" bestFit="1" customWidth="1"/>
    <col min="22" max="22" width="9" style="1"/>
    <col min="23" max="23" width="9" style="2"/>
    <col min="24" max="30" width="9" style="1"/>
    <col min="31" max="31" width="9" style="2"/>
    <col min="32" max="33" width="9" style="1"/>
    <col min="34" max="36" width="10.140625" style="1" bestFit="1" customWidth="1"/>
    <col min="37" max="37" width="9.140625" style="1"/>
  </cols>
  <sheetData>
    <row r="1" spans="1:37" ht="21" x14ac:dyDescent="0.25">
      <c r="A1" s="162"/>
      <c r="B1" s="164" t="s">
        <v>51</v>
      </c>
      <c r="C1" s="164"/>
      <c r="D1" s="164"/>
      <c r="E1" s="164"/>
      <c r="F1" s="164"/>
      <c r="G1" s="164"/>
      <c r="H1" s="164"/>
      <c r="I1" s="164"/>
      <c r="J1" s="164"/>
      <c r="K1" s="164"/>
      <c r="L1" s="164"/>
      <c r="M1" s="164"/>
      <c r="N1" s="164"/>
      <c r="O1" s="164"/>
      <c r="P1" s="164"/>
      <c r="Q1" s="164"/>
      <c r="R1" s="164"/>
      <c r="S1" s="164"/>
      <c r="T1" s="164"/>
      <c r="U1" s="164"/>
      <c r="V1" s="164"/>
      <c r="W1" s="164"/>
      <c r="X1" s="164"/>
      <c r="Y1" s="164"/>
      <c r="Z1" s="164"/>
      <c r="AA1" s="164"/>
      <c r="AB1" s="164"/>
      <c r="AC1" s="164"/>
      <c r="AD1" s="164"/>
      <c r="AE1" s="164"/>
      <c r="AF1" s="164"/>
      <c r="AG1" s="164"/>
      <c r="AH1" s="164"/>
      <c r="AI1" s="164"/>
      <c r="AJ1" s="164"/>
      <c r="AK1" s="165"/>
    </row>
    <row r="2" spans="1:37" ht="21" x14ac:dyDescent="0.25">
      <c r="A2" s="163"/>
      <c r="B2" s="166" t="s">
        <v>50</v>
      </c>
      <c r="C2" s="166"/>
      <c r="D2" s="166"/>
      <c r="E2" s="166"/>
      <c r="F2" s="166"/>
      <c r="G2" s="166"/>
      <c r="H2" s="166"/>
      <c r="I2" s="166"/>
      <c r="J2" s="166"/>
      <c r="K2" s="166"/>
      <c r="L2" s="166"/>
      <c r="M2" s="166"/>
      <c r="N2" s="166"/>
      <c r="O2" s="166"/>
      <c r="P2" s="166"/>
      <c r="Q2" s="166"/>
      <c r="R2" s="166"/>
      <c r="S2" s="166"/>
      <c r="T2" s="166"/>
      <c r="U2" s="166"/>
      <c r="V2" s="166"/>
      <c r="W2" s="166"/>
      <c r="X2" s="166"/>
      <c r="Y2" s="166"/>
      <c r="Z2" s="166"/>
      <c r="AA2" s="166"/>
      <c r="AB2" s="166"/>
      <c r="AC2" s="166"/>
      <c r="AD2" s="166"/>
      <c r="AE2" s="166"/>
      <c r="AF2" s="166"/>
      <c r="AG2" s="166"/>
      <c r="AH2" s="166"/>
      <c r="AI2" s="166"/>
      <c r="AJ2" s="166"/>
      <c r="AK2" s="167"/>
    </row>
    <row r="4" spans="1:37" x14ac:dyDescent="0.25">
      <c r="A4" s="31" t="s">
        <v>47</v>
      </c>
      <c r="B4" s="161" t="s">
        <v>83</v>
      </c>
      <c r="C4" s="161"/>
      <c r="D4" s="31" t="s">
        <v>0</v>
      </c>
      <c r="E4" s="161" t="s">
        <v>84</v>
      </c>
      <c r="F4" s="161"/>
      <c r="G4" s="31" t="s">
        <v>99</v>
      </c>
      <c r="H4" s="5">
        <v>45770</v>
      </c>
    </row>
    <row r="5" spans="1:37" x14ac:dyDescent="0.25">
      <c r="A5" s="31" t="s">
        <v>102</v>
      </c>
      <c r="B5" s="188">
        <v>45782</v>
      </c>
      <c r="C5" s="161"/>
      <c r="D5" s="31" t="s">
        <v>0</v>
      </c>
      <c r="E5" s="161" t="s">
        <v>114</v>
      </c>
      <c r="F5" s="161"/>
      <c r="G5" s="31" t="s">
        <v>95</v>
      </c>
      <c r="H5" s="4" t="s">
        <v>81</v>
      </c>
    </row>
    <row r="6" spans="1:37" x14ac:dyDescent="0.25">
      <c r="A6" s="31" t="s">
        <v>72</v>
      </c>
      <c r="B6" s="188">
        <v>45794</v>
      </c>
      <c r="C6" s="161"/>
      <c r="D6" s="31" t="s">
        <v>0</v>
      </c>
      <c r="E6" s="161" t="s">
        <v>121</v>
      </c>
      <c r="F6" s="161"/>
      <c r="G6" s="31" t="s">
        <v>95</v>
      </c>
      <c r="H6" s="4" t="s">
        <v>122</v>
      </c>
    </row>
    <row r="7" spans="1:37" x14ac:dyDescent="0.25">
      <c r="A7" s="31" t="s">
        <v>48</v>
      </c>
      <c r="B7" s="160">
        <v>3792.09</v>
      </c>
      <c r="C7" s="160"/>
      <c r="D7" s="31" t="s">
        <v>44</v>
      </c>
      <c r="E7" s="201">
        <v>45</v>
      </c>
      <c r="F7" s="161"/>
      <c r="G7" s="31" t="s">
        <v>46</v>
      </c>
      <c r="H7" s="5">
        <v>45731</v>
      </c>
      <c r="I7" s="31" t="s">
        <v>139</v>
      </c>
      <c r="J7" s="5">
        <v>46010</v>
      </c>
    </row>
    <row r="9" spans="1:37" x14ac:dyDescent="0.25">
      <c r="A9" s="83" t="s">
        <v>127</v>
      </c>
    </row>
    <row r="10" spans="1:37" ht="18.75" x14ac:dyDescent="0.3">
      <c r="A10" s="169" t="s">
        <v>26</v>
      </c>
      <c r="B10" s="169"/>
      <c r="C10" s="169"/>
      <c r="D10" s="169"/>
      <c r="E10" s="169"/>
      <c r="F10" s="169"/>
      <c r="G10" s="169"/>
      <c r="H10" s="169"/>
      <c r="I10" s="28"/>
      <c r="J10" s="169" t="s">
        <v>24</v>
      </c>
      <c r="K10" s="169"/>
      <c r="L10" s="169"/>
      <c r="M10" s="169"/>
      <c r="N10" s="169"/>
      <c r="O10" s="169"/>
      <c r="P10" s="169"/>
      <c r="Q10" s="169"/>
      <c r="R10" s="169"/>
      <c r="S10" s="169"/>
      <c r="T10" s="169"/>
      <c r="U10" s="169"/>
      <c r="V10" s="29"/>
      <c r="W10" s="170" t="s">
        <v>49</v>
      </c>
      <c r="X10" s="170"/>
      <c r="Y10" s="170"/>
      <c r="Z10" s="170"/>
      <c r="AA10" s="170"/>
      <c r="AB10" s="170"/>
      <c r="AC10" s="170"/>
      <c r="AD10" s="29"/>
      <c r="AE10" s="170" t="s">
        <v>25</v>
      </c>
      <c r="AF10" s="170"/>
      <c r="AG10" s="170"/>
      <c r="AH10" s="170"/>
      <c r="AI10" s="170"/>
      <c r="AJ10" s="170"/>
      <c r="AK10" s="170"/>
    </row>
    <row r="11" spans="1:37" x14ac:dyDescent="0.25">
      <c r="A11" s="7"/>
      <c r="B11" s="7"/>
      <c r="C11" s="7"/>
      <c r="D11" s="7"/>
      <c r="E11" s="7"/>
      <c r="F11" s="7"/>
      <c r="G11" s="7"/>
      <c r="H11" s="7"/>
      <c r="I11" s="6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8"/>
      <c r="W11" s="9"/>
      <c r="X11" s="9"/>
      <c r="Y11" s="9"/>
      <c r="Z11" s="9"/>
      <c r="AA11" s="9"/>
      <c r="AB11" s="9"/>
      <c r="AC11" s="9"/>
      <c r="AD11" s="8"/>
      <c r="AE11" s="9"/>
      <c r="AF11" s="9"/>
      <c r="AG11" s="9"/>
      <c r="AH11" s="9"/>
      <c r="AI11" s="9"/>
      <c r="AJ11" s="9"/>
      <c r="AK11" s="9"/>
    </row>
    <row r="12" spans="1:37" ht="15.75" thickBot="1" x14ac:dyDescent="0.3">
      <c r="A12" s="34"/>
      <c r="B12" s="171" t="s">
        <v>54</v>
      </c>
      <c r="C12" s="171"/>
      <c r="D12" s="171"/>
      <c r="E12" s="171"/>
      <c r="F12" s="171"/>
      <c r="G12" s="171"/>
      <c r="H12" s="171"/>
      <c r="I12" s="6"/>
      <c r="J12" s="172" t="s">
        <v>54</v>
      </c>
      <c r="K12" s="172"/>
      <c r="L12" s="172"/>
      <c r="M12" s="172"/>
      <c r="N12" s="172"/>
      <c r="O12" s="172"/>
      <c r="P12" s="172"/>
      <c r="Q12" s="172"/>
      <c r="R12" s="172"/>
      <c r="S12" s="172"/>
      <c r="T12" s="172"/>
      <c r="U12" s="172"/>
      <c r="V12" s="8"/>
      <c r="W12" s="173" t="s">
        <v>54</v>
      </c>
      <c r="X12" s="173"/>
      <c r="Y12" s="173"/>
      <c r="Z12" s="173"/>
      <c r="AA12" s="173"/>
      <c r="AB12" s="173"/>
      <c r="AC12" s="173"/>
      <c r="AD12" s="8"/>
      <c r="AE12" s="174" t="s">
        <v>54</v>
      </c>
      <c r="AF12" s="174"/>
      <c r="AG12" s="174"/>
      <c r="AH12" s="174"/>
      <c r="AI12" s="174"/>
      <c r="AJ12" s="174"/>
      <c r="AK12" s="174"/>
    </row>
    <row r="13" spans="1:37" ht="15.75" thickBot="1" x14ac:dyDescent="0.3">
      <c r="A13" s="168" t="s">
        <v>4</v>
      </c>
      <c r="B13" s="10" t="s">
        <v>5</v>
      </c>
      <c r="C13" s="11" t="s">
        <v>6</v>
      </c>
      <c r="D13" s="12" t="s">
        <v>7</v>
      </c>
      <c r="E13" s="11" t="s">
        <v>8</v>
      </c>
      <c r="F13" s="12" t="s">
        <v>9</v>
      </c>
      <c r="G13" s="11" t="s">
        <v>10</v>
      </c>
      <c r="H13" s="32" t="s">
        <v>11</v>
      </c>
      <c r="I13" s="6"/>
      <c r="J13" s="35" t="s">
        <v>3</v>
      </c>
      <c r="K13" s="14"/>
      <c r="L13" s="15"/>
      <c r="M13" s="15"/>
      <c r="N13" s="15"/>
      <c r="O13" s="15"/>
      <c r="P13" s="15"/>
      <c r="Q13" s="15"/>
      <c r="R13" s="15"/>
      <c r="S13" s="15"/>
      <c r="T13" s="15"/>
      <c r="U13" s="16"/>
      <c r="V13" s="8"/>
      <c r="W13" s="35" t="s">
        <v>3</v>
      </c>
      <c r="X13" s="14"/>
      <c r="Y13" s="15"/>
      <c r="Z13" s="15"/>
      <c r="AA13" s="15"/>
      <c r="AB13" s="15"/>
      <c r="AC13" s="16"/>
      <c r="AD13" s="8"/>
      <c r="AE13" s="35" t="s">
        <v>3</v>
      </c>
      <c r="AF13" s="14"/>
      <c r="AG13" s="15"/>
      <c r="AH13" s="15"/>
      <c r="AI13" s="15"/>
      <c r="AJ13" s="15"/>
      <c r="AK13" s="16"/>
    </row>
    <row r="14" spans="1:37" ht="15.75" thickBot="1" x14ac:dyDescent="0.3">
      <c r="A14" s="168"/>
      <c r="B14" s="17"/>
      <c r="C14" s="18"/>
      <c r="D14" s="18"/>
      <c r="E14" s="18"/>
      <c r="F14" s="18">
        <f>SUM(C14-B14)</f>
        <v>0</v>
      </c>
      <c r="G14" s="18">
        <f>SUM(E14-D14)</f>
        <v>0</v>
      </c>
      <c r="H14" s="33">
        <f>SUM(F14:G14)</f>
        <v>0</v>
      </c>
      <c r="I14" s="6"/>
      <c r="J14" s="36" t="s">
        <v>21</v>
      </c>
      <c r="K14" s="19"/>
      <c r="L14" s="20"/>
      <c r="M14" s="20"/>
      <c r="N14" s="20"/>
      <c r="O14" s="20"/>
      <c r="P14" s="20"/>
      <c r="Q14" s="20"/>
      <c r="R14" s="20"/>
      <c r="S14" s="20"/>
      <c r="T14" s="20"/>
      <c r="U14" s="21"/>
      <c r="V14" s="8"/>
      <c r="W14" s="36" t="s">
        <v>21</v>
      </c>
      <c r="X14" s="19"/>
      <c r="Y14" s="20"/>
      <c r="Z14" s="20"/>
      <c r="AA14" s="20"/>
      <c r="AB14" s="20"/>
      <c r="AC14" s="21"/>
      <c r="AD14" s="8"/>
      <c r="AE14" s="36" t="s">
        <v>21</v>
      </c>
      <c r="AF14" s="19"/>
      <c r="AG14" s="20"/>
      <c r="AH14" s="20"/>
      <c r="AI14" s="20"/>
      <c r="AJ14" s="20"/>
      <c r="AK14" s="21"/>
    </row>
    <row r="15" spans="1:37" x14ac:dyDescent="0.25">
      <c r="A15" s="7"/>
      <c r="B15" s="7"/>
      <c r="C15" s="7"/>
      <c r="D15" s="7"/>
      <c r="E15" s="7"/>
      <c r="F15" s="7"/>
      <c r="G15" s="7"/>
      <c r="H15" s="7"/>
      <c r="I15" s="6"/>
      <c r="J15" s="7"/>
      <c r="K15" s="7"/>
      <c r="L15" s="7"/>
      <c r="M15" s="7"/>
      <c r="N15" s="7"/>
      <c r="O15" s="7"/>
      <c r="P15" s="7"/>
      <c r="Q15" s="7"/>
      <c r="R15" s="7"/>
      <c r="S15" s="7"/>
      <c r="T15" s="22" t="s">
        <v>22</v>
      </c>
      <c r="U15" s="23">
        <f>SUM(K14:U14)</f>
        <v>0</v>
      </c>
      <c r="V15" s="8"/>
      <c r="AB15" s="22" t="s">
        <v>22</v>
      </c>
      <c r="AC15" s="23">
        <f>SUM(X14:AC14)</f>
        <v>0</v>
      </c>
      <c r="AD15" s="8"/>
      <c r="AJ15" s="22" t="s">
        <v>22</v>
      </c>
      <c r="AK15" s="23">
        <f>SUM(AF14:AK14)</f>
        <v>0</v>
      </c>
    </row>
    <row r="16" spans="1:37" ht="15.75" thickBot="1" x14ac:dyDescent="0.3">
      <c r="A16" s="34"/>
      <c r="B16" s="171" t="s">
        <v>2</v>
      </c>
      <c r="C16" s="171"/>
      <c r="D16" s="171"/>
      <c r="E16" s="171"/>
      <c r="F16" s="171"/>
      <c r="G16" s="171"/>
      <c r="H16" s="171"/>
      <c r="J16" s="172" t="s">
        <v>2</v>
      </c>
      <c r="K16" s="172"/>
      <c r="L16" s="172"/>
      <c r="M16" s="172"/>
      <c r="N16" s="172"/>
      <c r="O16" s="172"/>
      <c r="P16" s="172"/>
      <c r="Q16" s="172"/>
      <c r="R16" s="172"/>
      <c r="S16" s="172"/>
      <c r="T16" s="172"/>
      <c r="U16" s="172"/>
      <c r="W16" s="173" t="s">
        <v>2</v>
      </c>
      <c r="X16" s="173"/>
      <c r="Y16" s="173"/>
      <c r="Z16" s="173"/>
      <c r="AA16" s="173"/>
      <c r="AB16" s="173"/>
      <c r="AC16" s="173"/>
      <c r="AE16" s="174" t="s">
        <v>2</v>
      </c>
      <c r="AF16" s="174"/>
      <c r="AG16" s="174"/>
      <c r="AH16" s="174"/>
      <c r="AI16" s="174"/>
      <c r="AJ16" s="174"/>
      <c r="AK16" s="174"/>
    </row>
    <row r="17" spans="1:37" ht="15.75" thickBot="1" x14ac:dyDescent="0.3">
      <c r="A17" s="168" t="s">
        <v>4</v>
      </c>
      <c r="B17" s="10" t="s">
        <v>5</v>
      </c>
      <c r="C17" s="11" t="s">
        <v>6</v>
      </c>
      <c r="D17" s="12" t="s">
        <v>7</v>
      </c>
      <c r="E17" s="11" t="s">
        <v>8</v>
      </c>
      <c r="F17" s="12" t="s">
        <v>9</v>
      </c>
      <c r="G17" s="11" t="s">
        <v>10</v>
      </c>
      <c r="H17" s="32" t="s">
        <v>11</v>
      </c>
      <c r="J17" s="35" t="s">
        <v>3</v>
      </c>
      <c r="K17" s="14"/>
      <c r="L17" s="15"/>
      <c r="M17" s="15"/>
      <c r="N17" s="15"/>
      <c r="O17" s="15"/>
      <c r="P17" s="15"/>
      <c r="Q17" s="15"/>
      <c r="R17" s="15"/>
      <c r="S17" s="15"/>
      <c r="T17" s="15"/>
      <c r="U17" s="16"/>
      <c r="W17" s="35" t="s">
        <v>3</v>
      </c>
      <c r="X17" s="14"/>
      <c r="Y17" s="15"/>
      <c r="Z17" s="15"/>
      <c r="AA17" s="15"/>
      <c r="AB17" s="15"/>
      <c r="AC17" s="16"/>
      <c r="AE17" s="35" t="s">
        <v>3</v>
      </c>
      <c r="AF17" s="14"/>
      <c r="AG17" s="15"/>
      <c r="AH17" s="15"/>
      <c r="AI17" s="15"/>
      <c r="AJ17" s="15"/>
      <c r="AK17" s="16"/>
    </row>
    <row r="18" spans="1:37" ht="15.75" thickBot="1" x14ac:dyDescent="0.3">
      <c r="A18" s="168"/>
      <c r="B18" s="17"/>
      <c r="C18" s="18"/>
      <c r="D18" s="18"/>
      <c r="E18" s="18"/>
      <c r="F18" s="18">
        <f>SUM(C18-B18)</f>
        <v>0</v>
      </c>
      <c r="G18" s="18">
        <f>SUM(E18-D18)</f>
        <v>0</v>
      </c>
      <c r="H18" s="33">
        <f>SUM(F18:G18)</f>
        <v>0</v>
      </c>
      <c r="J18" s="36" t="s">
        <v>21</v>
      </c>
      <c r="K18" s="19"/>
      <c r="L18" s="20"/>
      <c r="M18" s="20"/>
      <c r="N18" s="20"/>
      <c r="O18" s="20"/>
      <c r="P18" s="20"/>
      <c r="Q18" s="20"/>
      <c r="R18" s="20"/>
      <c r="S18" s="20"/>
      <c r="T18" s="20"/>
      <c r="U18" s="21"/>
      <c r="W18" s="36" t="s">
        <v>21</v>
      </c>
      <c r="X18" s="19"/>
      <c r="Y18" s="20"/>
      <c r="Z18" s="20"/>
      <c r="AA18" s="20"/>
      <c r="AB18" s="20"/>
      <c r="AC18" s="21"/>
      <c r="AE18" s="36" t="s">
        <v>21</v>
      </c>
      <c r="AF18" s="19"/>
      <c r="AG18" s="20"/>
      <c r="AH18" s="20"/>
      <c r="AI18" s="20"/>
      <c r="AJ18" s="20"/>
      <c r="AK18" s="21"/>
    </row>
    <row r="19" spans="1:37" x14ac:dyDescent="0.25">
      <c r="F19" s="2"/>
      <c r="G19" s="2"/>
      <c r="H19" s="2"/>
      <c r="J19" s="37"/>
      <c r="T19" s="22" t="s">
        <v>22</v>
      </c>
      <c r="U19" s="23">
        <f>SUM(K18:U18)</f>
        <v>0</v>
      </c>
      <c r="AB19" s="22" t="s">
        <v>22</v>
      </c>
      <c r="AC19" s="23">
        <f>SUM(X18:AC18)</f>
        <v>0</v>
      </c>
      <c r="AJ19" s="22" t="s">
        <v>22</v>
      </c>
      <c r="AK19" s="23">
        <f>SUM(AF18:AK18)</f>
        <v>0</v>
      </c>
    </row>
    <row r="20" spans="1:37" ht="15.75" thickBot="1" x14ac:dyDescent="0.3">
      <c r="A20" s="34"/>
      <c r="B20" s="171" t="s">
        <v>12</v>
      </c>
      <c r="C20" s="171"/>
      <c r="D20" s="171"/>
      <c r="E20" s="171"/>
      <c r="F20" s="171"/>
      <c r="G20" s="171"/>
      <c r="H20" s="171"/>
      <c r="J20" s="172" t="s">
        <v>12</v>
      </c>
      <c r="K20" s="172"/>
      <c r="L20" s="172"/>
      <c r="M20" s="172"/>
      <c r="N20" s="172"/>
      <c r="O20" s="172"/>
      <c r="P20" s="172"/>
      <c r="Q20" s="172"/>
      <c r="R20" s="172"/>
      <c r="S20" s="172"/>
      <c r="T20" s="172"/>
      <c r="U20" s="172"/>
      <c r="W20" s="173" t="str">
        <f>J20</f>
        <v>Março</v>
      </c>
      <c r="X20" s="173"/>
      <c r="Y20" s="173"/>
      <c r="Z20" s="173"/>
      <c r="AA20" s="173"/>
      <c r="AB20" s="173"/>
      <c r="AC20" s="173"/>
      <c r="AE20" s="174" t="str">
        <f>W20</f>
        <v>Março</v>
      </c>
      <c r="AF20" s="174"/>
      <c r="AG20" s="174"/>
      <c r="AH20" s="174"/>
      <c r="AI20" s="174"/>
      <c r="AJ20" s="174"/>
      <c r="AK20" s="174"/>
    </row>
    <row r="21" spans="1:37" ht="15.75" thickBot="1" x14ac:dyDescent="0.3">
      <c r="A21" s="168" t="s">
        <v>4</v>
      </c>
      <c r="B21" s="10" t="s">
        <v>5</v>
      </c>
      <c r="C21" s="11" t="s">
        <v>6</v>
      </c>
      <c r="D21" s="12" t="s">
        <v>7</v>
      </c>
      <c r="E21" s="11" t="s">
        <v>8</v>
      </c>
      <c r="F21" s="12" t="s">
        <v>9</v>
      </c>
      <c r="G21" s="11" t="s">
        <v>10</v>
      </c>
      <c r="H21" s="32" t="s">
        <v>11</v>
      </c>
      <c r="J21" s="35" t="s">
        <v>3</v>
      </c>
      <c r="K21" s="14">
        <v>45734</v>
      </c>
      <c r="L21" s="24">
        <v>45736</v>
      </c>
      <c r="M21" s="24">
        <v>45738</v>
      </c>
      <c r="N21" s="24">
        <v>45741</v>
      </c>
      <c r="O21" s="24">
        <v>45743</v>
      </c>
      <c r="P21" s="15"/>
      <c r="Q21" s="15"/>
      <c r="R21" s="15"/>
      <c r="S21" s="15"/>
      <c r="T21" s="15"/>
      <c r="U21" s="16"/>
      <c r="W21" s="35" t="s">
        <v>3</v>
      </c>
      <c r="X21" s="14"/>
      <c r="Y21" s="15"/>
      <c r="Z21" s="15"/>
      <c r="AA21" s="15"/>
      <c r="AB21" s="15"/>
      <c r="AC21" s="16"/>
      <c r="AE21" s="35" t="s">
        <v>3</v>
      </c>
      <c r="AF21" s="14"/>
      <c r="AG21" s="15"/>
      <c r="AH21" s="15"/>
      <c r="AI21" s="15"/>
      <c r="AJ21" s="15"/>
      <c r="AK21" s="16"/>
    </row>
    <row r="22" spans="1:37" ht="15.75" thickBot="1" x14ac:dyDescent="0.3">
      <c r="A22" s="168"/>
      <c r="B22" s="17"/>
      <c r="C22" s="18"/>
      <c r="D22" s="18">
        <v>34193</v>
      </c>
      <c r="E22" s="18">
        <v>36306</v>
      </c>
      <c r="F22" s="18">
        <f>SUM(C22-B22)</f>
        <v>0</v>
      </c>
      <c r="G22" s="18">
        <f>SUM(E22-D22)</f>
        <v>2113</v>
      </c>
      <c r="H22" s="33">
        <f>SUM(F22:G22)</f>
        <v>2113</v>
      </c>
      <c r="J22" s="36" t="s">
        <v>21</v>
      </c>
      <c r="K22" s="19">
        <v>261.98</v>
      </c>
      <c r="L22" s="20">
        <v>302.11</v>
      </c>
      <c r="M22" s="20">
        <v>199.02</v>
      </c>
      <c r="N22" s="20">
        <v>193.35</v>
      </c>
      <c r="O22" s="20">
        <v>224.05</v>
      </c>
      <c r="P22" s="20"/>
      <c r="Q22" s="20"/>
      <c r="R22" s="20"/>
      <c r="S22" s="20"/>
      <c r="T22" s="20"/>
      <c r="U22" s="21"/>
      <c r="W22" s="36" t="s">
        <v>21</v>
      </c>
      <c r="X22" s="19"/>
      <c r="Y22" s="20"/>
      <c r="Z22" s="20"/>
      <c r="AA22" s="20"/>
      <c r="AB22" s="20"/>
      <c r="AC22" s="21"/>
      <c r="AE22" s="36" t="s">
        <v>21</v>
      </c>
      <c r="AF22" s="19"/>
      <c r="AG22" s="20"/>
      <c r="AH22" s="20"/>
      <c r="AI22" s="20"/>
      <c r="AJ22" s="20"/>
      <c r="AK22" s="21"/>
    </row>
    <row r="23" spans="1:37" x14ac:dyDescent="0.25">
      <c r="F23" s="2"/>
      <c r="G23" s="2"/>
      <c r="H23" s="2"/>
      <c r="J23" s="37"/>
      <c r="T23" s="22" t="s">
        <v>22</v>
      </c>
      <c r="U23" s="23">
        <f>SUM(K22:U22)</f>
        <v>1180.51</v>
      </c>
      <c r="AB23" s="22" t="s">
        <v>22</v>
      </c>
      <c r="AC23" s="23">
        <f>SUM(X22:AC22)</f>
        <v>0</v>
      </c>
      <c r="AJ23" s="22" t="s">
        <v>22</v>
      </c>
      <c r="AK23" s="23">
        <f>SUM(AF22:AK22)</f>
        <v>0</v>
      </c>
    </row>
    <row r="24" spans="1:37" ht="15.75" thickBot="1" x14ac:dyDescent="0.3">
      <c r="A24" s="34"/>
      <c r="B24" s="171" t="s">
        <v>13</v>
      </c>
      <c r="C24" s="171"/>
      <c r="D24" s="171"/>
      <c r="E24" s="171"/>
      <c r="F24" s="171"/>
      <c r="G24" s="171"/>
      <c r="H24" s="171"/>
      <c r="J24" s="172" t="s">
        <v>13</v>
      </c>
      <c r="K24" s="172"/>
      <c r="L24" s="172"/>
      <c r="M24" s="172"/>
      <c r="N24" s="172"/>
      <c r="O24" s="172"/>
      <c r="P24" s="172"/>
      <c r="Q24" s="172"/>
      <c r="R24" s="172"/>
      <c r="S24" s="172"/>
      <c r="T24" s="172"/>
      <c r="U24" s="172"/>
      <c r="W24" s="173" t="str">
        <f>J24</f>
        <v>Abril</v>
      </c>
      <c r="X24" s="173"/>
      <c r="Y24" s="173"/>
      <c r="Z24" s="173"/>
      <c r="AA24" s="173"/>
      <c r="AB24" s="173"/>
      <c r="AC24" s="173"/>
      <c r="AE24" s="174" t="str">
        <f>W24</f>
        <v>Abril</v>
      </c>
      <c r="AF24" s="174"/>
      <c r="AG24" s="174"/>
      <c r="AH24" s="174"/>
      <c r="AI24" s="174"/>
      <c r="AJ24" s="174"/>
      <c r="AK24" s="174"/>
    </row>
    <row r="25" spans="1:37" ht="15.75" thickBot="1" x14ac:dyDescent="0.3">
      <c r="A25" s="168" t="s">
        <v>4</v>
      </c>
      <c r="B25" s="10" t="s">
        <v>5</v>
      </c>
      <c r="C25" s="11" t="s">
        <v>6</v>
      </c>
      <c r="D25" s="12" t="s">
        <v>7</v>
      </c>
      <c r="E25" s="11" t="s">
        <v>8</v>
      </c>
      <c r="F25" s="12" t="s">
        <v>9</v>
      </c>
      <c r="G25" s="11" t="s">
        <v>10</v>
      </c>
      <c r="H25" s="32" t="s">
        <v>11</v>
      </c>
      <c r="J25" s="35" t="s">
        <v>3</v>
      </c>
      <c r="K25" s="14">
        <v>45748</v>
      </c>
      <c r="L25" s="24">
        <v>45750</v>
      </c>
      <c r="M25" s="24">
        <v>45752</v>
      </c>
      <c r="N25" s="24">
        <v>45755</v>
      </c>
      <c r="O25" s="24">
        <v>45757</v>
      </c>
      <c r="P25" s="24">
        <v>45759</v>
      </c>
      <c r="Q25" s="24">
        <v>45762</v>
      </c>
      <c r="R25" s="15"/>
      <c r="S25" s="15"/>
      <c r="T25" s="15"/>
      <c r="U25" s="16"/>
      <c r="W25" s="35" t="s">
        <v>3</v>
      </c>
      <c r="X25" s="14"/>
      <c r="Y25" s="15"/>
      <c r="Z25" s="15"/>
      <c r="AA25" s="15"/>
      <c r="AB25" s="15"/>
      <c r="AC25" s="16"/>
      <c r="AE25" s="35" t="s">
        <v>3</v>
      </c>
      <c r="AF25" s="14"/>
      <c r="AG25" s="15"/>
      <c r="AH25" s="15"/>
      <c r="AI25" s="15"/>
      <c r="AJ25" s="15"/>
      <c r="AK25" s="16"/>
    </row>
    <row r="26" spans="1:37" ht="15.75" thickBot="1" x14ac:dyDescent="0.3">
      <c r="A26" s="168"/>
      <c r="B26" s="18">
        <v>36306</v>
      </c>
      <c r="C26" s="18">
        <v>38048</v>
      </c>
      <c r="D26" s="18">
        <v>38048</v>
      </c>
      <c r="E26" s="18">
        <v>38420</v>
      </c>
      <c r="F26" s="18">
        <f>SUM(C26-B26)</f>
        <v>1742</v>
      </c>
      <c r="G26" s="18">
        <f>SUM(E26-D26)</f>
        <v>372</v>
      </c>
      <c r="H26" s="33">
        <f>SUM(F26:G26)</f>
        <v>2114</v>
      </c>
      <c r="J26" s="36" t="s">
        <v>21</v>
      </c>
      <c r="K26" s="25">
        <v>226.52</v>
      </c>
      <c r="L26" s="26">
        <v>211.28</v>
      </c>
      <c r="M26" s="26">
        <v>220.97</v>
      </c>
      <c r="N26" s="26">
        <v>141.02000000000001</v>
      </c>
      <c r="O26" s="26">
        <v>238.91</v>
      </c>
      <c r="P26" s="26">
        <v>195.05</v>
      </c>
      <c r="Q26" s="26">
        <v>227.82</v>
      </c>
      <c r="R26" s="26"/>
      <c r="S26" s="26"/>
      <c r="T26" s="26"/>
      <c r="U26" s="27"/>
      <c r="W26" s="36" t="s">
        <v>21</v>
      </c>
      <c r="X26" s="19"/>
      <c r="Y26" s="20"/>
      <c r="Z26" s="20"/>
      <c r="AA26" s="20"/>
      <c r="AB26" s="20"/>
      <c r="AC26" s="21"/>
      <c r="AE26" s="36" t="s">
        <v>21</v>
      </c>
      <c r="AF26" s="19"/>
      <c r="AG26" s="20"/>
      <c r="AH26" s="20"/>
      <c r="AI26" s="20"/>
      <c r="AJ26" s="20"/>
      <c r="AK26" s="21"/>
    </row>
    <row r="27" spans="1:37" x14ac:dyDescent="0.25">
      <c r="F27" s="2"/>
      <c r="G27" s="2"/>
      <c r="H27" s="2"/>
      <c r="J27" s="37"/>
      <c r="T27" s="22" t="s">
        <v>22</v>
      </c>
      <c r="U27" s="23">
        <f>SUM(K26:U26)</f>
        <v>1461.57</v>
      </c>
      <c r="AB27" s="22" t="s">
        <v>22</v>
      </c>
      <c r="AC27" s="23">
        <f>SUM(X26:AC26)</f>
        <v>0</v>
      </c>
      <c r="AJ27" s="22" t="s">
        <v>22</v>
      </c>
      <c r="AK27" s="23">
        <f>SUM(AF26:AK26)</f>
        <v>0</v>
      </c>
    </row>
    <row r="28" spans="1:37" ht="15.75" thickBot="1" x14ac:dyDescent="0.3">
      <c r="A28" s="34"/>
      <c r="B28" s="171" t="s">
        <v>14</v>
      </c>
      <c r="C28" s="171"/>
      <c r="D28" s="171"/>
      <c r="E28" s="171"/>
      <c r="F28" s="171"/>
      <c r="G28" s="171"/>
      <c r="H28" s="171"/>
      <c r="J28" s="172" t="s">
        <v>14</v>
      </c>
      <c r="K28" s="172"/>
      <c r="L28" s="172"/>
      <c r="M28" s="172"/>
      <c r="N28" s="172"/>
      <c r="O28" s="172"/>
      <c r="P28" s="172"/>
      <c r="Q28" s="172"/>
      <c r="R28" s="172"/>
      <c r="S28" s="172"/>
      <c r="T28" s="172"/>
      <c r="U28" s="172"/>
      <c r="W28" s="173" t="str">
        <f>J28</f>
        <v>Maio</v>
      </c>
      <c r="X28" s="173"/>
      <c r="Y28" s="173"/>
      <c r="Z28" s="173"/>
      <c r="AA28" s="173"/>
      <c r="AB28" s="173"/>
      <c r="AC28" s="173"/>
      <c r="AE28" s="174" t="str">
        <f>W28</f>
        <v>Maio</v>
      </c>
      <c r="AF28" s="174"/>
      <c r="AG28" s="174"/>
      <c r="AH28" s="174"/>
      <c r="AI28" s="174"/>
      <c r="AJ28" s="174"/>
      <c r="AK28" s="174"/>
    </row>
    <row r="29" spans="1:37" ht="15.75" thickBot="1" x14ac:dyDescent="0.3">
      <c r="A29" s="168" t="s">
        <v>4</v>
      </c>
      <c r="B29" s="10" t="s">
        <v>5</v>
      </c>
      <c r="C29" s="11" t="s">
        <v>6</v>
      </c>
      <c r="D29" s="12" t="s">
        <v>7</v>
      </c>
      <c r="E29" s="11" t="s">
        <v>8</v>
      </c>
      <c r="F29" s="12" t="s">
        <v>9</v>
      </c>
      <c r="G29" s="11" t="s">
        <v>10</v>
      </c>
      <c r="H29" s="32" t="s">
        <v>11</v>
      </c>
      <c r="J29" s="35" t="s">
        <v>3</v>
      </c>
      <c r="K29" s="14">
        <v>45783</v>
      </c>
      <c r="L29" s="24">
        <v>45794</v>
      </c>
      <c r="M29" s="24">
        <v>45794</v>
      </c>
      <c r="N29" s="24">
        <v>45795</v>
      </c>
      <c r="O29" s="24">
        <v>45797</v>
      </c>
      <c r="P29" s="24">
        <v>45799</v>
      </c>
      <c r="Q29" s="24">
        <v>45801</v>
      </c>
      <c r="R29" s="24">
        <v>45804</v>
      </c>
      <c r="S29" s="24">
        <v>45806</v>
      </c>
      <c r="T29" s="24">
        <v>45808</v>
      </c>
      <c r="U29" s="16"/>
      <c r="W29" s="35" t="s">
        <v>3</v>
      </c>
      <c r="X29" s="14"/>
      <c r="Y29" s="15"/>
      <c r="Z29" s="15"/>
      <c r="AA29" s="15"/>
      <c r="AB29" s="15"/>
      <c r="AC29" s="16"/>
      <c r="AE29" s="35" t="s">
        <v>3</v>
      </c>
      <c r="AF29" s="14"/>
      <c r="AG29" s="15"/>
      <c r="AH29" s="15"/>
      <c r="AI29" s="15"/>
      <c r="AJ29" s="15"/>
      <c r="AK29" s="16"/>
    </row>
    <row r="30" spans="1:37" ht="15.75" thickBot="1" x14ac:dyDescent="0.3">
      <c r="A30" s="168"/>
      <c r="B30" s="17">
        <v>40527</v>
      </c>
      <c r="C30" s="18">
        <v>41655</v>
      </c>
      <c r="D30" s="18">
        <v>57041</v>
      </c>
      <c r="E30" s="18">
        <v>58923</v>
      </c>
      <c r="F30" s="18">
        <f>SUM(C30-B30)</f>
        <v>1128</v>
      </c>
      <c r="G30" s="18">
        <f>SUM(E30-D30)</f>
        <v>1882</v>
      </c>
      <c r="H30" s="33">
        <f>SUM(F30:G30)</f>
        <v>3010</v>
      </c>
      <c r="J30" s="36" t="s">
        <v>21</v>
      </c>
      <c r="K30" s="19">
        <v>293.08</v>
      </c>
      <c r="L30" s="20">
        <v>161.65</v>
      </c>
      <c r="M30" s="20">
        <v>191.98</v>
      </c>
      <c r="N30" s="20">
        <v>178.71</v>
      </c>
      <c r="O30" s="20">
        <v>117.54</v>
      </c>
      <c r="P30" s="20">
        <v>206.51</v>
      </c>
      <c r="Q30" s="20">
        <v>116.37</v>
      </c>
      <c r="R30" s="20">
        <v>159.43</v>
      </c>
      <c r="S30" s="20">
        <v>133.69999999999999</v>
      </c>
      <c r="T30" s="20">
        <v>153.09</v>
      </c>
      <c r="U30" s="21"/>
      <c r="W30" s="36" t="s">
        <v>21</v>
      </c>
      <c r="X30" s="19"/>
      <c r="Y30" s="20"/>
      <c r="Z30" s="20"/>
      <c r="AA30" s="20"/>
      <c r="AB30" s="20"/>
      <c r="AC30" s="21"/>
      <c r="AE30" s="36" t="s">
        <v>21</v>
      </c>
      <c r="AF30" s="19"/>
      <c r="AG30" s="20"/>
      <c r="AH30" s="20"/>
      <c r="AI30" s="20"/>
      <c r="AJ30" s="20"/>
      <c r="AK30" s="21"/>
    </row>
    <row r="31" spans="1:37" x14ac:dyDescent="0.25">
      <c r="F31" s="2"/>
      <c r="G31" s="2"/>
      <c r="H31" s="2"/>
      <c r="J31" s="37"/>
      <c r="T31" s="22" t="s">
        <v>22</v>
      </c>
      <c r="U31" s="23">
        <f>SUM(K30:U30)</f>
        <v>1712.0600000000002</v>
      </c>
      <c r="AB31" s="22" t="s">
        <v>22</v>
      </c>
      <c r="AC31" s="23">
        <f>SUM(X30:AC30)</f>
        <v>0</v>
      </c>
      <c r="AJ31" s="22" t="s">
        <v>22</v>
      </c>
      <c r="AK31" s="23">
        <f>SUM(AF30:AK30)</f>
        <v>0</v>
      </c>
    </row>
    <row r="32" spans="1:37" ht="15.75" thickBot="1" x14ac:dyDescent="0.3">
      <c r="A32" s="34"/>
      <c r="B32" s="171" t="s">
        <v>23</v>
      </c>
      <c r="C32" s="171"/>
      <c r="D32" s="171"/>
      <c r="E32" s="171"/>
      <c r="F32" s="171"/>
      <c r="G32" s="171"/>
      <c r="H32" s="171"/>
      <c r="J32" s="172" t="s">
        <v>23</v>
      </c>
      <c r="K32" s="172"/>
      <c r="L32" s="172"/>
      <c r="M32" s="172"/>
      <c r="N32" s="172"/>
      <c r="O32" s="172"/>
      <c r="P32" s="172"/>
      <c r="Q32" s="172"/>
      <c r="R32" s="172"/>
      <c r="S32" s="172"/>
      <c r="T32" s="172"/>
      <c r="U32" s="172"/>
      <c r="W32" s="173" t="str">
        <f>J32</f>
        <v>Junho</v>
      </c>
      <c r="X32" s="173"/>
      <c r="Y32" s="173"/>
      <c r="Z32" s="173"/>
      <c r="AA32" s="173"/>
      <c r="AB32" s="173"/>
      <c r="AC32" s="173"/>
      <c r="AE32" s="174" t="str">
        <f>W32</f>
        <v>Junho</v>
      </c>
      <c r="AF32" s="174"/>
      <c r="AG32" s="174"/>
      <c r="AH32" s="174"/>
      <c r="AI32" s="174"/>
      <c r="AJ32" s="174"/>
      <c r="AK32" s="174"/>
    </row>
    <row r="33" spans="1:37" ht="15.75" thickBot="1" x14ac:dyDescent="0.3">
      <c r="A33" s="168" t="s">
        <v>4</v>
      </c>
      <c r="B33" s="10" t="s">
        <v>5</v>
      </c>
      <c r="C33" s="11" t="s">
        <v>6</v>
      </c>
      <c r="D33" s="12" t="s">
        <v>7</v>
      </c>
      <c r="E33" s="11" t="s">
        <v>8</v>
      </c>
      <c r="F33" s="12" t="s">
        <v>9</v>
      </c>
      <c r="G33" s="11" t="s">
        <v>10</v>
      </c>
      <c r="H33" s="32" t="s">
        <v>11</v>
      </c>
      <c r="J33" s="35" t="s">
        <v>3</v>
      </c>
      <c r="K33" s="14">
        <v>45811</v>
      </c>
      <c r="L33" s="24">
        <v>45813</v>
      </c>
      <c r="M33" s="24">
        <v>45818</v>
      </c>
      <c r="N33" s="24">
        <v>45826</v>
      </c>
      <c r="O33" s="24">
        <v>45834</v>
      </c>
      <c r="P33" s="15"/>
      <c r="Q33" s="15"/>
      <c r="R33" s="15"/>
      <c r="S33" s="15"/>
      <c r="T33" s="15"/>
      <c r="U33" s="16"/>
      <c r="W33" s="35" t="s">
        <v>3</v>
      </c>
      <c r="X33" s="14"/>
      <c r="Y33" s="15"/>
      <c r="Z33" s="15"/>
      <c r="AA33" s="15"/>
      <c r="AB33" s="15"/>
      <c r="AC33" s="16"/>
      <c r="AE33" s="35" t="s">
        <v>3</v>
      </c>
      <c r="AF33" s="14"/>
      <c r="AG33" s="15"/>
      <c r="AH33" s="15"/>
      <c r="AI33" s="15"/>
      <c r="AJ33" s="15"/>
      <c r="AK33" s="16"/>
    </row>
    <row r="34" spans="1:37" ht="15.75" thickBot="1" x14ac:dyDescent="0.3">
      <c r="A34" s="168"/>
      <c r="B34" s="18">
        <v>58923</v>
      </c>
      <c r="C34" s="18">
        <v>59960</v>
      </c>
      <c r="D34" s="18">
        <v>59960</v>
      </c>
      <c r="E34" s="18">
        <v>60775</v>
      </c>
      <c r="F34" s="18">
        <f>SUM(C34-B34)</f>
        <v>1037</v>
      </c>
      <c r="G34" s="18">
        <f>SUM(E34-D34)</f>
        <v>815</v>
      </c>
      <c r="H34" s="33">
        <f>SUM(F34:G34)</f>
        <v>1852</v>
      </c>
      <c r="J34" s="36" t="s">
        <v>21</v>
      </c>
      <c r="K34" s="19">
        <v>147.65</v>
      </c>
      <c r="L34" s="20">
        <v>153.74</v>
      </c>
      <c r="M34" s="20">
        <v>157.91999999999999</v>
      </c>
      <c r="N34" s="20">
        <v>191.92</v>
      </c>
      <c r="O34" s="20">
        <v>281.33</v>
      </c>
      <c r="P34" s="20"/>
      <c r="Q34" s="20"/>
      <c r="R34" s="20"/>
      <c r="S34" s="20"/>
      <c r="T34" s="20"/>
      <c r="U34" s="21"/>
      <c r="W34" s="36" t="s">
        <v>21</v>
      </c>
      <c r="X34" s="19"/>
      <c r="Y34" s="20"/>
      <c r="Z34" s="20"/>
      <c r="AA34" s="20"/>
      <c r="AB34" s="20"/>
      <c r="AC34" s="21"/>
      <c r="AE34" s="36" t="s">
        <v>21</v>
      </c>
      <c r="AF34" s="19"/>
      <c r="AG34" s="20"/>
      <c r="AH34" s="20"/>
      <c r="AI34" s="20"/>
      <c r="AJ34" s="20"/>
      <c r="AK34" s="21"/>
    </row>
    <row r="35" spans="1:37" x14ac:dyDescent="0.25">
      <c r="F35" s="2"/>
      <c r="G35" s="2"/>
      <c r="H35" s="2"/>
      <c r="J35" s="37"/>
      <c r="T35" s="22" t="s">
        <v>22</v>
      </c>
      <c r="U35" s="23">
        <f>SUM(K34:U34)</f>
        <v>932.56</v>
      </c>
      <c r="AB35" s="22" t="s">
        <v>22</v>
      </c>
      <c r="AC35" s="23">
        <f>SUM(X34:AC34)</f>
        <v>0</v>
      </c>
      <c r="AJ35" s="22" t="s">
        <v>22</v>
      </c>
      <c r="AK35" s="23">
        <f>SUM(AF34:AK34)</f>
        <v>0</v>
      </c>
    </row>
    <row r="36" spans="1:37" ht="15.75" thickBot="1" x14ac:dyDescent="0.3">
      <c r="A36" s="34"/>
      <c r="B36" s="171" t="s">
        <v>15</v>
      </c>
      <c r="C36" s="171"/>
      <c r="D36" s="171"/>
      <c r="E36" s="171"/>
      <c r="F36" s="171"/>
      <c r="G36" s="171"/>
      <c r="H36" s="171"/>
      <c r="J36" s="172" t="s">
        <v>15</v>
      </c>
      <c r="K36" s="172"/>
      <c r="L36" s="172"/>
      <c r="M36" s="172"/>
      <c r="N36" s="172"/>
      <c r="O36" s="172"/>
      <c r="P36" s="172"/>
      <c r="Q36" s="172"/>
      <c r="R36" s="172"/>
      <c r="S36" s="172"/>
      <c r="T36" s="172"/>
      <c r="U36" s="172"/>
      <c r="W36" s="173" t="str">
        <f>J36</f>
        <v>Julho</v>
      </c>
      <c r="X36" s="173"/>
      <c r="Y36" s="173"/>
      <c r="Z36" s="173"/>
      <c r="AA36" s="173"/>
      <c r="AB36" s="173"/>
      <c r="AC36" s="173"/>
      <c r="AE36" s="174" t="str">
        <f>W36</f>
        <v>Julho</v>
      </c>
      <c r="AF36" s="174"/>
      <c r="AG36" s="174"/>
      <c r="AH36" s="174"/>
      <c r="AI36" s="174"/>
      <c r="AJ36" s="174"/>
      <c r="AK36" s="174"/>
    </row>
    <row r="37" spans="1:37" ht="15.75" thickBot="1" x14ac:dyDescent="0.3">
      <c r="A37" s="168" t="s">
        <v>4</v>
      </c>
      <c r="B37" s="10" t="s">
        <v>5</v>
      </c>
      <c r="C37" s="11" t="s">
        <v>6</v>
      </c>
      <c r="D37" s="12" t="s">
        <v>7</v>
      </c>
      <c r="E37" s="11" t="s">
        <v>8</v>
      </c>
      <c r="F37" s="12" t="s">
        <v>9</v>
      </c>
      <c r="G37" s="11" t="s">
        <v>10</v>
      </c>
      <c r="H37" s="32" t="s">
        <v>11</v>
      </c>
      <c r="J37" s="35" t="s">
        <v>3</v>
      </c>
      <c r="K37" s="14">
        <v>45839</v>
      </c>
      <c r="L37" s="24">
        <v>45841</v>
      </c>
      <c r="M37" s="24">
        <v>45843</v>
      </c>
      <c r="N37" s="24">
        <v>45846</v>
      </c>
      <c r="O37" s="24">
        <v>45848</v>
      </c>
      <c r="P37" s="24">
        <v>45853</v>
      </c>
      <c r="Q37" s="24">
        <v>45855</v>
      </c>
      <c r="R37" s="24">
        <v>45857</v>
      </c>
      <c r="S37" s="24">
        <v>45860</v>
      </c>
      <c r="T37" s="24">
        <v>45862</v>
      </c>
      <c r="U37" s="16"/>
      <c r="W37" s="35" t="s">
        <v>3</v>
      </c>
      <c r="X37" s="14"/>
      <c r="Y37" s="15"/>
      <c r="Z37" s="15"/>
      <c r="AA37" s="15"/>
      <c r="AB37" s="15"/>
      <c r="AC37" s="16"/>
      <c r="AE37" s="35" t="s">
        <v>3</v>
      </c>
      <c r="AF37" s="14"/>
      <c r="AG37" s="15"/>
      <c r="AH37" s="15"/>
      <c r="AI37" s="15"/>
      <c r="AJ37" s="15"/>
      <c r="AK37" s="16"/>
    </row>
    <row r="38" spans="1:37" ht="15.75" thickBot="1" x14ac:dyDescent="0.3">
      <c r="A38" s="168"/>
      <c r="B38" s="17">
        <v>60775</v>
      </c>
      <c r="C38" s="18">
        <v>62538</v>
      </c>
      <c r="D38" s="18">
        <v>62538</v>
      </c>
      <c r="E38" s="18">
        <v>64610</v>
      </c>
      <c r="F38" s="18">
        <f>SUM(C38-B38)</f>
        <v>1763</v>
      </c>
      <c r="G38" s="18">
        <f>SUM(E38-D38)</f>
        <v>2072</v>
      </c>
      <c r="H38" s="33">
        <f>SUM(F38:G38)</f>
        <v>3835</v>
      </c>
      <c r="J38" s="36" t="s">
        <v>21</v>
      </c>
      <c r="K38" s="19">
        <v>116.92</v>
      </c>
      <c r="L38" s="20">
        <v>177.04</v>
      </c>
      <c r="M38" s="20">
        <v>180</v>
      </c>
      <c r="N38" s="20">
        <v>212.59</v>
      </c>
      <c r="O38" s="20">
        <v>153.63</v>
      </c>
      <c r="P38" s="20">
        <v>212.21</v>
      </c>
      <c r="Q38" s="20">
        <v>140.44999999999999</v>
      </c>
      <c r="R38" s="20">
        <v>161.63999999999999</v>
      </c>
      <c r="S38" s="20">
        <v>159.46</v>
      </c>
      <c r="T38" s="20">
        <v>163.72999999999999</v>
      </c>
      <c r="U38" s="21"/>
      <c r="W38" s="36" t="s">
        <v>21</v>
      </c>
      <c r="X38" s="19"/>
      <c r="Y38" s="20"/>
      <c r="Z38" s="20"/>
      <c r="AA38" s="20"/>
      <c r="AB38" s="20"/>
      <c r="AC38" s="21"/>
      <c r="AE38" s="36" t="s">
        <v>21</v>
      </c>
      <c r="AF38" s="19"/>
      <c r="AG38" s="20"/>
      <c r="AH38" s="20"/>
      <c r="AI38" s="20"/>
      <c r="AJ38" s="20"/>
      <c r="AK38" s="21"/>
    </row>
    <row r="39" spans="1:37" x14ac:dyDescent="0.25">
      <c r="F39" s="2"/>
      <c r="G39" s="2"/>
      <c r="H39" s="2"/>
      <c r="J39" s="37"/>
      <c r="T39" s="22" t="s">
        <v>22</v>
      </c>
      <c r="U39" s="23">
        <f>SUM(K38:U38)</f>
        <v>1677.67</v>
      </c>
      <c r="AB39" s="22" t="s">
        <v>22</v>
      </c>
      <c r="AC39" s="23">
        <f>SUM(X38:AC38)</f>
        <v>0</v>
      </c>
      <c r="AJ39" s="22" t="s">
        <v>22</v>
      </c>
      <c r="AK39" s="23">
        <f>SUM(AF38:AK38)</f>
        <v>0</v>
      </c>
    </row>
    <row r="40" spans="1:37" ht="15.75" thickBot="1" x14ac:dyDescent="0.3">
      <c r="A40" s="34"/>
      <c r="B40" s="171" t="s">
        <v>16</v>
      </c>
      <c r="C40" s="171"/>
      <c r="D40" s="171"/>
      <c r="E40" s="171"/>
      <c r="F40" s="171"/>
      <c r="G40" s="171"/>
      <c r="H40" s="171"/>
      <c r="J40" s="172" t="s">
        <v>16</v>
      </c>
      <c r="K40" s="172"/>
      <c r="L40" s="172"/>
      <c r="M40" s="172"/>
      <c r="N40" s="172"/>
      <c r="O40" s="172"/>
      <c r="P40" s="172"/>
      <c r="Q40" s="172"/>
      <c r="R40" s="172"/>
      <c r="S40" s="172"/>
      <c r="T40" s="172"/>
      <c r="U40" s="172"/>
      <c r="W40" s="173" t="str">
        <f>J40</f>
        <v>Agosto</v>
      </c>
      <c r="X40" s="173"/>
      <c r="Y40" s="173"/>
      <c r="Z40" s="173"/>
      <c r="AA40" s="173"/>
      <c r="AB40" s="173"/>
      <c r="AC40" s="173"/>
      <c r="AE40" s="174" t="str">
        <f>W40</f>
        <v>Agosto</v>
      </c>
      <c r="AF40" s="174"/>
      <c r="AG40" s="174"/>
      <c r="AH40" s="174"/>
      <c r="AI40" s="174"/>
      <c r="AJ40" s="174"/>
      <c r="AK40" s="174"/>
    </row>
    <row r="41" spans="1:37" ht="15.75" thickBot="1" x14ac:dyDescent="0.3">
      <c r="A41" s="168" t="s">
        <v>4</v>
      </c>
      <c r="B41" s="10" t="s">
        <v>5</v>
      </c>
      <c r="C41" s="11" t="s">
        <v>6</v>
      </c>
      <c r="D41" s="12" t="s">
        <v>7</v>
      </c>
      <c r="E41" s="11" t="s">
        <v>8</v>
      </c>
      <c r="F41" s="12" t="s">
        <v>9</v>
      </c>
      <c r="G41" s="11" t="s">
        <v>10</v>
      </c>
      <c r="H41" s="32" t="s">
        <v>11</v>
      </c>
      <c r="J41" s="35" t="s">
        <v>3</v>
      </c>
      <c r="K41" s="14">
        <v>45872</v>
      </c>
      <c r="L41" s="24">
        <v>45874</v>
      </c>
      <c r="M41" s="24">
        <v>45876</v>
      </c>
      <c r="N41" s="24">
        <v>45881</v>
      </c>
      <c r="O41" s="24">
        <v>45883</v>
      </c>
      <c r="P41" s="24">
        <v>45889</v>
      </c>
      <c r="Q41" s="24">
        <v>45892</v>
      </c>
      <c r="R41" s="24">
        <v>45894</v>
      </c>
      <c r="S41" s="15"/>
      <c r="T41" s="15"/>
      <c r="U41" s="16"/>
      <c r="W41" s="35" t="s">
        <v>3</v>
      </c>
      <c r="X41" s="14"/>
      <c r="Y41" s="15"/>
      <c r="Z41" s="15"/>
      <c r="AA41" s="15"/>
      <c r="AB41" s="15"/>
      <c r="AC41" s="16"/>
      <c r="AE41" s="35" t="s">
        <v>3</v>
      </c>
      <c r="AF41" s="14"/>
      <c r="AG41" s="15"/>
      <c r="AH41" s="15"/>
      <c r="AI41" s="15"/>
      <c r="AJ41" s="15"/>
      <c r="AK41" s="16"/>
    </row>
    <row r="42" spans="1:37" ht="15.75" thickBot="1" x14ac:dyDescent="0.3">
      <c r="A42" s="168"/>
      <c r="B42" s="18">
        <v>64610</v>
      </c>
      <c r="C42" s="18">
        <v>66230</v>
      </c>
      <c r="D42" s="18">
        <v>66230</v>
      </c>
      <c r="E42" s="18">
        <v>68130</v>
      </c>
      <c r="F42" s="18">
        <f>SUM(C42-B42)</f>
        <v>1620</v>
      </c>
      <c r="G42" s="18">
        <f>SUM(E42-D42)</f>
        <v>1900</v>
      </c>
      <c r="H42" s="33">
        <f>SUM(F42:G42)</f>
        <v>3520</v>
      </c>
      <c r="J42" s="36" t="s">
        <v>21</v>
      </c>
      <c r="K42" s="19">
        <v>60.7</v>
      </c>
      <c r="L42" s="20">
        <v>197.08</v>
      </c>
      <c r="M42" s="20">
        <v>240.83</v>
      </c>
      <c r="N42" s="20">
        <v>239.97</v>
      </c>
      <c r="O42" s="20">
        <v>230.26</v>
      </c>
      <c r="P42" s="20">
        <v>188.69</v>
      </c>
      <c r="Q42" s="20">
        <v>217.5</v>
      </c>
      <c r="R42" s="20">
        <v>253.28</v>
      </c>
      <c r="S42" s="20"/>
      <c r="T42" s="20"/>
      <c r="U42" s="21"/>
      <c r="W42" s="36" t="s">
        <v>21</v>
      </c>
      <c r="X42" s="19"/>
      <c r="Y42" s="20"/>
      <c r="Z42" s="20"/>
      <c r="AA42" s="20"/>
      <c r="AB42" s="20"/>
      <c r="AC42" s="21"/>
      <c r="AE42" s="36" t="s">
        <v>21</v>
      </c>
      <c r="AF42" s="19"/>
      <c r="AG42" s="20"/>
      <c r="AH42" s="20"/>
      <c r="AI42" s="20"/>
      <c r="AJ42" s="20"/>
      <c r="AK42" s="21"/>
    </row>
    <row r="43" spans="1:37" x14ac:dyDescent="0.25">
      <c r="F43" s="2"/>
      <c r="G43" s="2"/>
      <c r="H43" s="2"/>
      <c r="J43" s="37"/>
      <c r="T43" s="22" t="s">
        <v>22</v>
      </c>
      <c r="U43" s="23">
        <f>SUM(K42:U42)</f>
        <v>1628.31</v>
      </c>
      <c r="AB43" s="22" t="s">
        <v>22</v>
      </c>
      <c r="AC43" s="23">
        <f>SUM(X42:AC42)</f>
        <v>0</v>
      </c>
      <c r="AJ43" s="22" t="s">
        <v>22</v>
      </c>
      <c r="AK43" s="23">
        <f>SUM(AF42:AK42)</f>
        <v>0</v>
      </c>
    </row>
    <row r="44" spans="1:37" ht="15.75" thickBot="1" x14ac:dyDescent="0.3">
      <c r="A44" s="34"/>
      <c r="B44" s="171" t="s">
        <v>17</v>
      </c>
      <c r="C44" s="171"/>
      <c r="D44" s="171"/>
      <c r="E44" s="171"/>
      <c r="F44" s="171"/>
      <c r="G44" s="171"/>
      <c r="H44" s="171"/>
      <c r="J44" s="172" t="s">
        <v>17</v>
      </c>
      <c r="K44" s="172"/>
      <c r="L44" s="172"/>
      <c r="M44" s="172"/>
      <c r="N44" s="172"/>
      <c r="O44" s="172"/>
      <c r="P44" s="172"/>
      <c r="Q44" s="172"/>
      <c r="R44" s="172"/>
      <c r="S44" s="172"/>
      <c r="T44" s="172"/>
      <c r="U44" s="172"/>
      <c r="W44" s="173" t="str">
        <f>J44</f>
        <v>Setembro</v>
      </c>
      <c r="X44" s="173"/>
      <c r="Y44" s="173"/>
      <c r="Z44" s="173"/>
      <c r="AA44" s="173"/>
      <c r="AB44" s="173"/>
      <c r="AC44" s="173"/>
      <c r="AE44" s="174" t="str">
        <f>W44</f>
        <v>Setembro</v>
      </c>
      <c r="AF44" s="174"/>
      <c r="AG44" s="174"/>
      <c r="AH44" s="174"/>
      <c r="AI44" s="174"/>
      <c r="AJ44" s="174"/>
      <c r="AK44" s="174"/>
    </row>
    <row r="45" spans="1:37" ht="15.75" thickBot="1" x14ac:dyDescent="0.3">
      <c r="A45" s="168" t="s">
        <v>4</v>
      </c>
      <c r="B45" s="10" t="s">
        <v>5</v>
      </c>
      <c r="C45" s="11" t="s">
        <v>6</v>
      </c>
      <c r="D45" s="12" t="s">
        <v>7</v>
      </c>
      <c r="E45" s="11" t="s">
        <v>8</v>
      </c>
      <c r="F45" s="12" t="s">
        <v>9</v>
      </c>
      <c r="G45" s="11" t="s">
        <v>10</v>
      </c>
      <c r="H45" s="32" t="s">
        <v>11</v>
      </c>
      <c r="J45" s="35" t="s">
        <v>3</v>
      </c>
      <c r="K45" s="14">
        <v>45902</v>
      </c>
      <c r="L45" s="24">
        <v>45904</v>
      </c>
      <c r="M45" s="24">
        <v>45906</v>
      </c>
      <c r="N45" s="24">
        <v>45911</v>
      </c>
      <c r="O45" s="24">
        <v>45913</v>
      </c>
      <c r="P45" s="24">
        <v>45918</v>
      </c>
      <c r="Q45" s="24">
        <v>45930</v>
      </c>
      <c r="R45" s="15"/>
      <c r="S45" s="15"/>
      <c r="T45" s="15"/>
      <c r="U45" s="16"/>
      <c r="W45" s="35" t="s">
        <v>3</v>
      </c>
      <c r="X45" s="14"/>
      <c r="Y45" s="15"/>
      <c r="Z45" s="15"/>
      <c r="AA45" s="15"/>
      <c r="AB45" s="15"/>
      <c r="AC45" s="16"/>
      <c r="AE45" s="35" t="s">
        <v>3</v>
      </c>
      <c r="AF45" s="14"/>
      <c r="AG45" s="15"/>
      <c r="AH45" s="15"/>
      <c r="AI45" s="15"/>
      <c r="AJ45" s="15"/>
      <c r="AK45" s="16"/>
    </row>
    <row r="46" spans="1:37" ht="15.75" thickBot="1" x14ac:dyDescent="0.3">
      <c r="A46" s="168"/>
      <c r="B46" s="17">
        <v>68130</v>
      </c>
      <c r="C46" s="18">
        <v>69652</v>
      </c>
      <c r="D46" s="18">
        <v>69652</v>
      </c>
      <c r="E46" s="18">
        <v>71519</v>
      </c>
      <c r="F46" s="18">
        <f>SUM(C46-B46)</f>
        <v>1522</v>
      </c>
      <c r="G46" s="18">
        <f>SUM(E46-D46)</f>
        <v>1867</v>
      </c>
      <c r="H46" s="33">
        <f>SUM(F46:G46)</f>
        <v>3389</v>
      </c>
      <c r="J46" s="36" t="s">
        <v>21</v>
      </c>
      <c r="K46" s="19">
        <v>164.59</v>
      </c>
      <c r="L46" s="20">
        <v>240.8</v>
      </c>
      <c r="M46" s="20">
        <v>155.08000000000001</v>
      </c>
      <c r="N46" s="20">
        <v>231.48</v>
      </c>
      <c r="O46" s="20">
        <v>191.05</v>
      </c>
      <c r="P46" s="20">
        <v>256.48</v>
      </c>
      <c r="Q46" s="20">
        <v>229.77</v>
      </c>
      <c r="R46" s="20"/>
      <c r="S46" s="20"/>
      <c r="T46" s="20"/>
      <c r="U46" s="21"/>
      <c r="W46" s="36" t="s">
        <v>21</v>
      </c>
      <c r="X46" s="19"/>
      <c r="Y46" s="20"/>
      <c r="Z46" s="20"/>
      <c r="AA46" s="20"/>
      <c r="AB46" s="20"/>
      <c r="AC46" s="21"/>
      <c r="AE46" s="36" t="s">
        <v>21</v>
      </c>
      <c r="AF46" s="19"/>
      <c r="AG46" s="20"/>
      <c r="AH46" s="20"/>
      <c r="AI46" s="20"/>
      <c r="AJ46" s="20"/>
      <c r="AK46" s="21"/>
    </row>
    <row r="47" spans="1:37" x14ac:dyDescent="0.25">
      <c r="F47" s="2"/>
      <c r="G47" s="2"/>
      <c r="H47" s="2"/>
      <c r="J47" s="37"/>
      <c r="T47" s="22" t="s">
        <v>22</v>
      </c>
      <c r="U47" s="23">
        <f>SUM(K46:U46)</f>
        <v>1469.25</v>
      </c>
      <c r="AB47" s="22" t="s">
        <v>22</v>
      </c>
      <c r="AC47" s="23">
        <f>SUM(X46:AC46)</f>
        <v>0</v>
      </c>
      <c r="AJ47" s="22" t="s">
        <v>22</v>
      </c>
      <c r="AK47" s="23">
        <f>SUM(AF46:AK46)</f>
        <v>0</v>
      </c>
    </row>
    <row r="48" spans="1:37" ht="15.75" thickBot="1" x14ac:dyDescent="0.3">
      <c r="A48" s="34"/>
      <c r="B48" s="171" t="s">
        <v>18</v>
      </c>
      <c r="C48" s="171"/>
      <c r="D48" s="171"/>
      <c r="E48" s="171"/>
      <c r="F48" s="171"/>
      <c r="G48" s="171"/>
      <c r="H48" s="171"/>
      <c r="J48" s="172" t="s">
        <v>18</v>
      </c>
      <c r="K48" s="172"/>
      <c r="L48" s="172"/>
      <c r="M48" s="172"/>
      <c r="N48" s="172"/>
      <c r="O48" s="172"/>
      <c r="P48" s="172"/>
      <c r="Q48" s="172"/>
      <c r="R48" s="172"/>
      <c r="S48" s="172"/>
      <c r="T48" s="172"/>
      <c r="U48" s="172"/>
      <c r="W48" s="173" t="str">
        <f>J48</f>
        <v>Outubro</v>
      </c>
      <c r="X48" s="173"/>
      <c r="Y48" s="173"/>
      <c r="Z48" s="173"/>
      <c r="AA48" s="173"/>
      <c r="AB48" s="173"/>
      <c r="AC48" s="173"/>
      <c r="AE48" s="174" t="str">
        <f>W48</f>
        <v>Outubro</v>
      </c>
      <c r="AF48" s="174"/>
      <c r="AG48" s="174"/>
      <c r="AH48" s="174"/>
      <c r="AI48" s="174"/>
      <c r="AJ48" s="174"/>
      <c r="AK48" s="174"/>
    </row>
    <row r="49" spans="1:37" ht="15.75" thickBot="1" x14ac:dyDescent="0.3">
      <c r="A49" s="168" t="s">
        <v>4</v>
      </c>
      <c r="B49" s="10" t="s">
        <v>5</v>
      </c>
      <c r="C49" s="11" t="s">
        <v>6</v>
      </c>
      <c r="D49" s="12" t="s">
        <v>7</v>
      </c>
      <c r="E49" s="11" t="s">
        <v>8</v>
      </c>
      <c r="F49" s="12" t="s">
        <v>9</v>
      </c>
      <c r="G49" s="11" t="s">
        <v>10</v>
      </c>
      <c r="H49" s="32" t="s">
        <v>11</v>
      </c>
      <c r="J49" s="35" t="s">
        <v>3</v>
      </c>
      <c r="K49" s="14">
        <v>45937</v>
      </c>
      <c r="L49" s="24">
        <v>45939</v>
      </c>
      <c r="M49" s="24">
        <v>45941</v>
      </c>
      <c r="N49" s="24">
        <v>45944</v>
      </c>
      <c r="O49" s="24">
        <v>45946</v>
      </c>
      <c r="P49" s="24">
        <v>45948</v>
      </c>
      <c r="Q49" s="24">
        <v>45951</v>
      </c>
      <c r="R49" s="15"/>
      <c r="S49" s="15"/>
      <c r="T49" s="15"/>
      <c r="U49" s="16"/>
      <c r="W49" s="35" t="s">
        <v>3</v>
      </c>
      <c r="X49" s="14"/>
      <c r="Y49" s="15"/>
      <c r="Z49" s="15"/>
      <c r="AA49" s="15"/>
      <c r="AB49" s="15"/>
      <c r="AC49" s="16"/>
      <c r="AE49" s="35" t="s">
        <v>3</v>
      </c>
      <c r="AF49" s="14"/>
      <c r="AG49" s="15"/>
      <c r="AH49" s="15"/>
      <c r="AI49" s="15"/>
      <c r="AJ49" s="15"/>
      <c r="AK49" s="16"/>
    </row>
    <row r="50" spans="1:37" ht="15.75" thickBot="1" x14ac:dyDescent="0.3">
      <c r="A50" s="168"/>
      <c r="B50" s="18">
        <v>71519</v>
      </c>
      <c r="C50" s="18">
        <v>72720</v>
      </c>
      <c r="D50" s="18">
        <v>72720</v>
      </c>
      <c r="E50" s="18">
        <v>73608</v>
      </c>
      <c r="F50" s="18">
        <f>SUM(C50-B50)</f>
        <v>1201</v>
      </c>
      <c r="G50" s="18">
        <f>SUM(E50-D50)</f>
        <v>888</v>
      </c>
      <c r="H50" s="33">
        <f>SUM(F50:G50)</f>
        <v>2089</v>
      </c>
      <c r="J50" s="36" t="s">
        <v>21</v>
      </c>
      <c r="K50" s="19">
        <v>230.03</v>
      </c>
      <c r="L50" s="20">
        <v>113.3</v>
      </c>
      <c r="M50" s="20">
        <v>114.54</v>
      </c>
      <c r="N50" s="20">
        <v>290.01</v>
      </c>
      <c r="O50" s="20">
        <v>152.03</v>
      </c>
      <c r="P50" s="20">
        <v>220.2</v>
      </c>
      <c r="Q50" s="20">
        <v>122.73</v>
      </c>
      <c r="R50" s="20"/>
      <c r="S50" s="20"/>
      <c r="T50" s="20"/>
      <c r="U50" s="21"/>
      <c r="W50" s="36" t="s">
        <v>21</v>
      </c>
      <c r="X50" s="19"/>
      <c r="Y50" s="20"/>
      <c r="Z50" s="20"/>
      <c r="AA50" s="20"/>
      <c r="AB50" s="20"/>
      <c r="AC50" s="21"/>
      <c r="AE50" s="36" t="s">
        <v>21</v>
      </c>
      <c r="AF50" s="19"/>
      <c r="AG50" s="20"/>
      <c r="AH50" s="20"/>
      <c r="AI50" s="20"/>
      <c r="AJ50" s="20"/>
      <c r="AK50" s="21"/>
    </row>
    <row r="51" spans="1:37" x14ac:dyDescent="0.25">
      <c r="F51" s="2"/>
      <c r="G51" s="2"/>
      <c r="H51" s="2"/>
      <c r="J51" s="37"/>
      <c r="T51" s="22" t="s">
        <v>22</v>
      </c>
      <c r="U51" s="23">
        <f>SUM(K50:U50)</f>
        <v>1242.8399999999999</v>
      </c>
      <c r="AB51" s="22" t="s">
        <v>22</v>
      </c>
      <c r="AC51" s="23">
        <f>SUM(X50:AC50)</f>
        <v>0</v>
      </c>
      <c r="AJ51" s="22" t="s">
        <v>22</v>
      </c>
      <c r="AK51" s="23">
        <f>SUM(AF50:AK50)</f>
        <v>0</v>
      </c>
    </row>
    <row r="52" spans="1:37" ht="15.75" thickBot="1" x14ac:dyDescent="0.3">
      <c r="A52" s="34"/>
      <c r="B52" s="171" t="s">
        <v>19</v>
      </c>
      <c r="C52" s="171"/>
      <c r="D52" s="171"/>
      <c r="E52" s="171"/>
      <c r="F52" s="171"/>
      <c r="G52" s="171"/>
      <c r="H52" s="171"/>
      <c r="J52" s="172" t="s">
        <v>19</v>
      </c>
      <c r="K52" s="172"/>
      <c r="L52" s="172"/>
      <c r="M52" s="172"/>
      <c r="N52" s="172"/>
      <c r="O52" s="172"/>
      <c r="P52" s="172"/>
      <c r="Q52" s="172"/>
      <c r="R52" s="172"/>
      <c r="S52" s="172"/>
      <c r="T52" s="172"/>
      <c r="U52" s="172"/>
      <c r="W52" s="173" t="str">
        <f>J52</f>
        <v>Novembro</v>
      </c>
      <c r="X52" s="173"/>
      <c r="Y52" s="173"/>
      <c r="Z52" s="173"/>
      <c r="AA52" s="173"/>
      <c r="AB52" s="173"/>
      <c r="AC52" s="173"/>
      <c r="AE52" s="174" t="str">
        <f>W52</f>
        <v>Novembro</v>
      </c>
      <c r="AF52" s="174"/>
      <c r="AG52" s="174"/>
      <c r="AH52" s="174"/>
      <c r="AI52" s="174"/>
      <c r="AJ52" s="174"/>
      <c r="AK52" s="174"/>
    </row>
    <row r="53" spans="1:37" ht="15.75" thickBot="1" x14ac:dyDescent="0.3">
      <c r="A53" s="168" t="s">
        <v>4</v>
      </c>
      <c r="B53" s="10" t="s">
        <v>5</v>
      </c>
      <c r="C53" s="11" t="s">
        <v>6</v>
      </c>
      <c r="D53" s="12" t="s">
        <v>7</v>
      </c>
      <c r="E53" s="11" t="s">
        <v>8</v>
      </c>
      <c r="F53" s="12" t="s">
        <v>9</v>
      </c>
      <c r="G53" s="11" t="s">
        <v>10</v>
      </c>
      <c r="H53" s="32" t="s">
        <v>11</v>
      </c>
      <c r="J53" s="35" t="s">
        <v>3</v>
      </c>
      <c r="K53" s="14">
        <v>45965</v>
      </c>
      <c r="L53" s="24">
        <v>45969</v>
      </c>
      <c r="M53" s="24">
        <v>45972</v>
      </c>
      <c r="N53" s="24">
        <v>45974</v>
      </c>
      <c r="O53" s="24">
        <v>45976</v>
      </c>
      <c r="P53" s="24">
        <v>45979</v>
      </c>
      <c r="Q53" s="24">
        <v>45981</v>
      </c>
      <c r="R53" s="24">
        <v>45983</v>
      </c>
      <c r="S53" s="24">
        <v>45986</v>
      </c>
      <c r="T53" s="24">
        <v>45988</v>
      </c>
      <c r="U53" s="80">
        <v>45990</v>
      </c>
      <c r="W53" s="35" t="s">
        <v>3</v>
      </c>
      <c r="X53" s="14"/>
      <c r="Y53" s="15"/>
      <c r="Z53" s="15"/>
      <c r="AA53" s="15"/>
      <c r="AB53" s="15"/>
      <c r="AC53" s="16"/>
      <c r="AE53" s="35" t="s">
        <v>3</v>
      </c>
      <c r="AF53" s="14"/>
      <c r="AG53" s="15"/>
      <c r="AH53" s="15"/>
      <c r="AI53" s="15"/>
      <c r="AJ53" s="15"/>
      <c r="AK53" s="16"/>
    </row>
    <row r="54" spans="1:37" ht="15.75" thickBot="1" x14ac:dyDescent="0.3">
      <c r="A54" s="168"/>
      <c r="B54" s="18">
        <v>73608</v>
      </c>
      <c r="C54" s="18">
        <v>76087</v>
      </c>
      <c r="D54" s="18">
        <v>76087</v>
      </c>
      <c r="E54" s="18">
        <v>77976</v>
      </c>
      <c r="F54" s="18">
        <f>SUM(C54-B54)</f>
        <v>2479</v>
      </c>
      <c r="G54" s="18">
        <f>SUM(E54-D54)</f>
        <v>1889</v>
      </c>
      <c r="H54" s="33">
        <f>SUM(F54:G54)</f>
        <v>4368</v>
      </c>
      <c r="J54" s="36" t="s">
        <v>21</v>
      </c>
      <c r="K54" s="19">
        <v>200.07</v>
      </c>
      <c r="L54" s="20">
        <v>243.7</v>
      </c>
      <c r="M54" s="20">
        <v>260.14999999999998</v>
      </c>
      <c r="N54" s="20">
        <v>215.55</v>
      </c>
      <c r="O54" s="20">
        <v>141.44999999999999</v>
      </c>
      <c r="P54" s="20">
        <v>189.77</v>
      </c>
      <c r="Q54" s="20">
        <v>249.14</v>
      </c>
      <c r="R54" s="20">
        <v>157.31</v>
      </c>
      <c r="S54" s="20">
        <v>205.47</v>
      </c>
      <c r="T54" s="20">
        <v>191.71</v>
      </c>
      <c r="U54" s="21">
        <v>222</v>
      </c>
      <c r="W54" s="36" t="s">
        <v>21</v>
      </c>
      <c r="X54" s="19"/>
      <c r="Y54" s="20"/>
      <c r="Z54" s="20"/>
      <c r="AA54" s="20"/>
      <c r="AB54" s="20"/>
      <c r="AC54" s="21"/>
      <c r="AE54" s="36" t="s">
        <v>21</v>
      </c>
      <c r="AF54" s="19"/>
      <c r="AG54" s="20"/>
      <c r="AH54" s="20"/>
      <c r="AI54" s="20"/>
      <c r="AJ54" s="20"/>
      <c r="AK54" s="21"/>
    </row>
    <row r="55" spans="1:37" x14ac:dyDescent="0.25">
      <c r="F55" s="2"/>
      <c r="G55" s="2"/>
      <c r="H55" s="2"/>
      <c r="J55" s="37"/>
      <c r="T55" s="22" t="s">
        <v>22</v>
      </c>
      <c r="U55" s="23">
        <f>SUM(K54:U54)</f>
        <v>2276.3199999999997</v>
      </c>
      <c r="AB55" s="22" t="s">
        <v>22</v>
      </c>
      <c r="AC55" s="23">
        <f>SUM(X54:AC54)</f>
        <v>0</v>
      </c>
      <c r="AJ55" s="22" t="s">
        <v>22</v>
      </c>
      <c r="AK55" s="23">
        <f>SUM(AF54:AK54)</f>
        <v>0</v>
      </c>
    </row>
    <row r="56" spans="1:37" ht="15.75" thickBot="1" x14ac:dyDescent="0.3">
      <c r="A56" s="34"/>
      <c r="B56" s="171" t="s">
        <v>20</v>
      </c>
      <c r="C56" s="171"/>
      <c r="D56" s="171"/>
      <c r="E56" s="171"/>
      <c r="F56" s="171"/>
      <c r="G56" s="171"/>
      <c r="H56" s="171"/>
      <c r="J56" s="172" t="s">
        <v>20</v>
      </c>
      <c r="K56" s="172"/>
      <c r="L56" s="172"/>
      <c r="M56" s="172"/>
      <c r="N56" s="172"/>
      <c r="O56" s="172"/>
      <c r="P56" s="172"/>
      <c r="Q56" s="172"/>
      <c r="R56" s="172"/>
      <c r="S56" s="172"/>
      <c r="T56" s="172"/>
      <c r="U56" s="172"/>
      <c r="W56" s="173" t="str">
        <f>J56</f>
        <v>Dezembro</v>
      </c>
      <c r="X56" s="173"/>
      <c r="Y56" s="173"/>
      <c r="Z56" s="173"/>
      <c r="AA56" s="173"/>
      <c r="AB56" s="173"/>
      <c r="AC56" s="173"/>
      <c r="AE56" s="174" t="str">
        <f>W56</f>
        <v>Dezembro</v>
      </c>
      <c r="AF56" s="174"/>
      <c r="AG56" s="174"/>
      <c r="AH56" s="174"/>
      <c r="AI56" s="174"/>
      <c r="AJ56" s="174"/>
      <c r="AK56" s="174"/>
    </row>
    <row r="57" spans="1:37" ht="15.75" thickBot="1" x14ac:dyDescent="0.3">
      <c r="A57" s="168" t="s">
        <v>4</v>
      </c>
      <c r="B57" s="10" t="s">
        <v>5</v>
      </c>
      <c r="C57" s="11" t="s">
        <v>6</v>
      </c>
      <c r="D57" s="12" t="s">
        <v>7</v>
      </c>
      <c r="E57" s="11" t="s">
        <v>8</v>
      </c>
      <c r="F57" s="12" t="s">
        <v>9</v>
      </c>
      <c r="G57" s="11" t="s">
        <v>10</v>
      </c>
      <c r="H57" s="32" t="s">
        <v>11</v>
      </c>
      <c r="J57" s="35" t="s">
        <v>3</v>
      </c>
      <c r="K57" s="14">
        <v>45995</v>
      </c>
      <c r="L57" s="24">
        <v>46000</v>
      </c>
      <c r="M57" s="24">
        <v>46004</v>
      </c>
      <c r="N57" s="24">
        <v>46009</v>
      </c>
      <c r="O57" s="15"/>
      <c r="P57" s="15"/>
      <c r="Q57" s="15"/>
      <c r="R57" s="15"/>
      <c r="S57" s="15"/>
      <c r="T57" s="15"/>
      <c r="U57" s="16"/>
      <c r="W57" s="35" t="s">
        <v>3</v>
      </c>
      <c r="X57" s="14"/>
      <c r="Y57" s="15"/>
      <c r="Z57" s="15"/>
      <c r="AA57" s="15"/>
      <c r="AB57" s="15"/>
      <c r="AC57" s="16"/>
      <c r="AE57" s="35" t="s">
        <v>3</v>
      </c>
      <c r="AF57" s="14"/>
      <c r="AG57" s="15"/>
      <c r="AH57" s="15"/>
      <c r="AI57" s="15"/>
      <c r="AJ57" s="15"/>
      <c r="AK57" s="16"/>
    </row>
    <row r="58" spans="1:37" ht="15.75" thickBot="1" x14ac:dyDescent="0.3">
      <c r="A58" s="168"/>
      <c r="B58" s="18">
        <v>77976</v>
      </c>
      <c r="C58" s="18">
        <v>80508</v>
      </c>
      <c r="D58" s="18"/>
      <c r="E58" s="18"/>
      <c r="F58" s="18">
        <f>SUM(C58-B58)</f>
        <v>2532</v>
      </c>
      <c r="G58" s="18">
        <f>SUM(E58-D58)</f>
        <v>0</v>
      </c>
      <c r="H58" s="33">
        <f>SUM(F58:G58)</f>
        <v>2532</v>
      </c>
      <c r="J58" s="36" t="s">
        <v>21</v>
      </c>
      <c r="K58" s="19">
        <v>244.59</v>
      </c>
      <c r="L58" s="20">
        <v>242.32</v>
      </c>
      <c r="M58" s="20">
        <v>200.04</v>
      </c>
      <c r="N58" s="20">
        <v>121</v>
      </c>
      <c r="O58" s="20"/>
      <c r="P58" s="20"/>
      <c r="Q58" s="20"/>
      <c r="R58" s="20"/>
      <c r="S58" s="20"/>
      <c r="T58" s="20"/>
      <c r="U58" s="21"/>
      <c r="W58" s="36" t="s">
        <v>21</v>
      </c>
      <c r="X58" s="19"/>
      <c r="Y58" s="20"/>
      <c r="Z58" s="20"/>
      <c r="AA58" s="20"/>
      <c r="AB58" s="20"/>
      <c r="AC58" s="21"/>
      <c r="AE58" s="36" t="s">
        <v>21</v>
      </c>
      <c r="AF58" s="19"/>
      <c r="AG58" s="20"/>
      <c r="AH58" s="20"/>
      <c r="AI58" s="20"/>
      <c r="AJ58" s="20"/>
      <c r="AK58" s="21"/>
    </row>
    <row r="59" spans="1:37" x14ac:dyDescent="0.25">
      <c r="J59" s="37"/>
      <c r="T59" s="22" t="s">
        <v>22</v>
      </c>
      <c r="U59" s="23">
        <f>SUM(K58:U58)</f>
        <v>807.94999999999993</v>
      </c>
      <c r="AB59" s="22" t="s">
        <v>22</v>
      </c>
      <c r="AC59" s="23">
        <f>SUM(X58:AC58)</f>
        <v>0</v>
      </c>
      <c r="AJ59" s="22" t="s">
        <v>22</v>
      </c>
      <c r="AK59" s="23">
        <f>SUM(AF58:AK58)</f>
        <v>0</v>
      </c>
    </row>
  </sheetData>
  <mergeCells count="75">
    <mergeCell ref="B7:C7"/>
    <mergeCell ref="E7:F7"/>
    <mergeCell ref="A1:A2"/>
    <mergeCell ref="B1:AK1"/>
    <mergeCell ref="B2:AK2"/>
    <mergeCell ref="B4:C4"/>
    <mergeCell ref="E4:F4"/>
    <mergeCell ref="B5:C5"/>
    <mergeCell ref="E5:F5"/>
    <mergeCell ref="B6:C6"/>
    <mergeCell ref="E6:F6"/>
    <mergeCell ref="A17:A18"/>
    <mergeCell ref="A10:H10"/>
    <mergeCell ref="J10:U10"/>
    <mergeCell ref="W10:AC10"/>
    <mergeCell ref="AE10:AK10"/>
    <mergeCell ref="B12:H12"/>
    <mergeCell ref="J12:U12"/>
    <mergeCell ref="W12:AC12"/>
    <mergeCell ref="AE12:AK12"/>
    <mergeCell ref="A13:A14"/>
    <mergeCell ref="B16:H16"/>
    <mergeCell ref="J16:U16"/>
    <mergeCell ref="W16:AC16"/>
    <mergeCell ref="AE16:AK16"/>
    <mergeCell ref="A29:A30"/>
    <mergeCell ref="B20:H20"/>
    <mergeCell ref="J20:U20"/>
    <mergeCell ref="W20:AC20"/>
    <mergeCell ref="AE20:AK20"/>
    <mergeCell ref="A21:A22"/>
    <mergeCell ref="B24:H24"/>
    <mergeCell ref="J24:U24"/>
    <mergeCell ref="W24:AC24"/>
    <mergeCell ref="AE24:AK24"/>
    <mergeCell ref="A25:A26"/>
    <mergeCell ref="B28:H28"/>
    <mergeCell ref="J28:U28"/>
    <mergeCell ref="W28:AC28"/>
    <mergeCell ref="AE28:AK28"/>
    <mergeCell ref="A41:A42"/>
    <mergeCell ref="B32:H32"/>
    <mergeCell ref="J32:U32"/>
    <mergeCell ref="W32:AC32"/>
    <mergeCell ref="AE32:AK32"/>
    <mergeCell ref="A33:A34"/>
    <mergeCell ref="B36:H36"/>
    <mergeCell ref="J36:U36"/>
    <mergeCell ref="W36:AC36"/>
    <mergeCell ref="AE36:AK36"/>
    <mergeCell ref="A37:A38"/>
    <mergeCell ref="B40:H40"/>
    <mergeCell ref="J40:U40"/>
    <mergeCell ref="W40:AC40"/>
    <mergeCell ref="AE40:AK40"/>
    <mergeCell ref="A53:A54"/>
    <mergeCell ref="B44:H44"/>
    <mergeCell ref="J44:U44"/>
    <mergeCell ref="W44:AC44"/>
    <mergeCell ref="AE44:AK44"/>
    <mergeCell ref="A45:A46"/>
    <mergeCell ref="B48:H48"/>
    <mergeCell ref="J48:U48"/>
    <mergeCell ref="W48:AC48"/>
    <mergeCell ref="AE48:AK48"/>
    <mergeCell ref="A49:A50"/>
    <mergeCell ref="B52:H52"/>
    <mergeCell ref="J52:U52"/>
    <mergeCell ref="W52:AC52"/>
    <mergeCell ref="AE52:AK52"/>
    <mergeCell ref="B56:H56"/>
    <mergeCell ref="J56:U56"/>
    <mergeCell ref="W56:AC56"/>
    <mergeCell ref="AE56:AK56"/>
    <mergeCell ref="A57:A58"/>
  </mergeCells>
  <phoneticPr fontId="2" type="noConversion"/>
  <pageMargins left="0.511811024" right="0.511811024" top="0.78740157499999996" bottom="0.78740157499999996" header="0.31496062000000002" footer="0.31496062000000002"/>
  <drawing r:id="rId1"/>
  <legacy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1EF2DB-94A5-4B59-B5AE-51D28D3F40FC}">
  <dimension ref="A1:AK58"/>
  <sheetViews>
    <sheetView workbookViewId="0">
      <selection activeCell="I9" sqref="I9"/>
    </sheetView>
  </sheetViews>
  <sheetFormatPr defaultRowHeight="15" x14ac:dyDescent="0.25"/>
  <cols>
    <col min="1" max="1" width="14.85546875" style="2" customWidth="1"/>
    <col min="2" max="2" width="11.7109375" style="2" bestFit="1" customWidth="1"/>
    <col min="3" max="3" width="9.28515625" style="2" bestFit="1" customWidth="1"/>
    <col min="4" max="4" width="10.7109375" style="2" customWidth="1"/>
    <col min="5" max="5" width="9.28515625" style="2" bestFit="1" customWidth="1"/>
    <col min="6" max="6" width="13.140625" style="1" customWidth="1"/>
    <col min="7" max="7" width="13.85546875" style="1" customWidth="1"/>
    <col min="8" max="8" width="12.140625" style="1" bestFit="1" customWidth="1"/>
    <col min="9" max="9" width="14" style="1" bestFit="1" customWidth="1"/>
    <col min="10" max="10" width="10.7109375" style="2" bestFit="1" customWidth="1"/>
    <col min="11" max="19" width="10.7109375" style="1" bestFit="1" customWidth="1"/>
    <col min="20" max="20" width="9.140625" style="1"/>
    <col min="21" max="21" width="12.140625" style="1" bestFit="1" customWidth="1"/>
    <col min="22" max="22" width="9.140625" style="1"/>
    <col min="23" max="23" width="9.140625" style="2"/>
    <col min="24" max="30" width="9.140625" style="1"/>
    <col min="31" max="31" width="9.140625" style="2"/>
    <col min="32" max="33" width="9.140625" style="1"/>
    <col min="34" max="36" width="10.140625" style="1" bestFit="1" customWidth="1"/>
    <col min="37" max="37" width="9.140625" style="1"/>
  </cols>
  <sheetData>
    <row r="1" spans="1:37" ht="21" x14ac:dyDescent="0.25">
      <c r="A1" s="162"/>
      <c r="B1" s="164" t="s">
        <v>51</v>
      </c>
      <c r="C1" s="164"/>
      <c r="D1" s="164"/>
      <c r="E1" s="164"/>
      <c r="F1" s="164"/>
      <c r="G1" s="164"/>
      <c r="H1" s="164"/>
      <c r="I1" s="164"/>
      <c r="J1" s="164"/>
      <c r="K1" s="164"/>
      <c r="L1" s="164"/>
      <c r="M1" s="164"/>
      <c r="N1" s="164"/>
      <c r="O1" s="164"/>
      <c r="P1" s="164"/>
      <c r="Q1" s="164"/>
      <c r="R1" s="164"/>
      <c r="S1" s="164"/>
      <c r="T1" s="164"/>
      <c r="U1" s="164"/>
      <c r="V1" s="164"/>
      <c r="W1" s="164"/>
      <c r="X1" s="164"/>
      <c r="Y1" s="164"/>
      <c r="Z1" s="164"/>
      <c r="AA1" s="164"/>
      <c r="AB1" s="164"/>
      <c r="AC1" s="164"/>
      <c r="AD1" s="164"/>
      <c r="AE1" s="164"/>
      <c r="AF1" s="164"/>
      <c r="AG1" s="164"/>
      <c r="AH1" s="164"/>
      <c r="AI1" s="164"/>
      <c r="AJ1" s="164"/>
      <c r="AK1" s="165"/>
    </row>
    <row r="2" spans="1:37" ht="21" x14ac:dyDescent="0.25">
      <c r="A2" s="163"/>
      <c r="B2" s="166" t="s">
        <v>50</v>
      </c>
      <c r="C2" s="166"/>
      <c r="D2" s="166"/>
      <c r="E2" s="166"/>
      <c r="F2" s="166"/>
      <c r="G2" s="166"/>
      <c r="H2" s="166"/>
      <c r="I2" s="166"/>
      <c r="J2" s="166"/>
      <c r="K2" s="166"/>
      <c r="L2" s="166"/>
      <c r="M2" s="166"/>
      <c r="N2" s="166"/>
      <c r="O2" s="166"/>
      <c r="P2" s="166"/>
      <c r="Q2" s="166"/>
      <c r="R2" s="166"/>
      <c r="S2" s="166"/>
      <c r="T2" s="166"/>
      <c r="U2" s="166"/>
      <c r="V2" s="166"/>
      <c r="W2" s="166"/>
      <c r="X2" s="166"/>
      <c r="Y2" s="166"/>
      <c r="Z2" s="166"/>
      <c r="AA2" s="166"/>
      <c r="AB2" s="166"/>
      <c r="AC2" s="166"/>
      <c r="AD2" s="166"/>
      <c r="AE2" s="166"/>
      <c r="AF2" s="166"/>
      <c r="AG2" s="166"/>
      <c r="AH2" s="166"/>
      <c r="AI2" s="166"/>
      <c r="AJ2" s="166"/>
      <c r="AK2" s="167"/>
    </row>
    <row r="4" spans="1:37" x14ac:dyDescent="0.25">
      <c r="A4" s="34" t="s">
        <v>47</v>
      </c>
      <c r="B4" s="161" t="s">
        <v>136</v>
      </c>
      <c r="C4" s="161"/>
      <c r="D4" s="34" t="s">
        <v>0</v>
      </c>
      <c r="E4" s="161" t="s">
        <v>140</v>
      </c>
      <c r="F4" s="161"/>
      <c r="G4" s="34" t="s">
        <v>125</v>
      </c>
      <c r="H4" s="140">
        <v>3000</v>
      </c>
      <c r="I4" s="2"/>
    </row>
    <row r="5" spans="1:37" x14ac:dyDescent="0.25">
      <c r="A5" s="34"/>
      <c r="D5" s="34"/>
      <c r="F5" s="2"/>
      <c r="G5" s="34"/>
      <c r="H5" s="2"/>
      <c r="I5" s="2"/>
    </row>
    <row r="6" spans="1:37" x14ac:dyDescent="0.25">
      <c r="A6" s="34" t="s">
        <v>48</v>
      </c>
      <c r="B6" s="160">
        <v>3837</v>
      </c>
      <c r="C6" s="160"/>
      <c r="D6" s="34" t="s">
        <v>44</v>
      </c>
      <c r="E6" s="187">
        <v>45</v>
      </c>
      <c r="F6" s="187"/>
      <c r="G6" s="34" t="s">
        <v>46</v>
      </c>
      <c r="H6" s="143">
        <v>45908</v>
      </c>
      <c r="I6" s="34" t="s">
        <v>146</v>
      </c>
      <c r="J6" s="143">
        <v>45957</v>
      </c>
    </row>
    <row r="7" spans="1:37" x14ac:dyDescent="0.25">
      <c r="F7" s="2"/>
      <c r="G7" s="2"/>
      <c r="H7" s="2"/>
      <c r="I7" s="2"/>
    </row>
    <row r="8" spans="1:37" x14ac:dyDescent="0.25">
      <c r="F8" s="2"/>
      <c r="G8" s="2"/>
      <c r="H8" s="2"/>
      <c r="I8" s="2"/>
    </row>
    <row r="9" spans="1:37" ht="18.75" x14ac:dyDescent="0.3">
      <c r="A9" s="169" t="s">
        <v>26</v>
      </c>
      <c r="B9" s="169"/>
      <c r="C9" s="169"/>
      <c r="D9" s="169"/>
      <c r="E9" s="169"/>
      <c r="F9" s="169"/>
      <c r="G9" s="169"/>
      <c r="H9" s="169"/>
      <c r="I9" s="28"/>
      <c r="J9" s="169" t="s">
        <v>24</v>
      </c>
      <c r="K9" s="169"/>
      <c r="L9" s="169"/>
      <c r="M9" s="169"/>
      <c r="N9" s="169"/>
      <c r="O9" s="169"/>
      <c r="P9" s="169"/>
      <c r="Q9" s="169"/>
      <c r="R9" s="169"/>
      <c r="S9" s="169"/>
      <c r="T9" s="169"/>
      <c r="U9" s="169"/>
      <c r="V9" s="29"/>
      <c r="W9" s="170" t="s">
        <v>49</v>
      </c>
      <c r="X9" s="170"/>
      <c r="Y9" s="170"/>
      <c r="Z9" s="170"/>
      <c r="AA9" s="170"/>
      <c r="AB9" s="170"/>
      <c r="AC9" s="170"/>
      <c r="AD9" s="29"/>
      <c r="AE9" s="170" t="s">
        <v>25</v>
      </c>
      <c r="AF9" s="170"/>
      <c r="AG9" s="170"/>
      <c r="AH9" s="170"/>
      <c r="AI9" s="170"/>
      <c r="AJ9" s="170"/>
      <c r="AK9" s="170"/>
    </row>
    <row r="10" spans="1:37" x14ac:dyDescent="0.25">
      <c r="A10" s="7"/>
      <c r="B10" s="7"/>
      <c r="C10" s="7"/>
      <c r="D10" s="7"/>
      <c r="E10" s="7"/>
      <c r="F10" s="7"/>
      <c r="G10" s="7"/>
      <c r="H10" s="7"/>
      <c r="I10" s="6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8"/>
      <c r="W10" s="9"/>
      <c r="X10" s="9"/>
      <c r="Y10" s="9"/>
      <c r="Z10" s="9"/>
      <c r="AA10" s="9"/>
      <c r="AB10" s="9"/>
      <c r="AC10" s="9"/>
      <c r="AD10" s="8"/>
      <c r="AE10" s="9"/>
      <c r="AF10" s="9"/>
      <c r="AG10" s="9"/>
      <c r="AH10" s="9"/>
      <c r="AI10" s="9"/>
      <c r="AJ10" s="9"/>
      <c r="AK10" s="9"/>
    </row>
    <row r="11" spans="1:37" ht="15.75" thickBot="1" x14ac:dyDescent="0.3">
      <c r="A11" s="34"/>
      <c r="B11" s="171" t="s">
        <v>54</v>
      </c>
      <c r="C11" s="171"/>
      <c r="D11" s="171"/>
      <c r="E11" s="171"/>
      <c r="F11" s="171"/>
      <c r="G11" s="171"/>
      <c r="H11" s="171"/>
      <c r="I11" s="6"/>
      <c r="J11" s="172" t="s">
        <v>54</v>
      </c>
      <c r="K11" s="172"/>
      <c r="L11" s="172"/>
      <c r="M11" s="172"/>
      <c r="N11" s="172"/>
      <c r="O11" s="172"/>
      <c r="P11" s="172"/>
      <c r="Q11" s="172"/>
      <c r="R11" s="172"/>
      <c r="S11" s="172"/>
      <c r="T11" s="172"/>
      <c r="U11" s="172"/>
      <c r="V11" s="8"/>
      <c r="W11" s="173" t="s">
        <v>54</v>
      </c>
      <c r="X11" s="173"/>
      <c r="Y11" s="173"/>
      <c r="Z11" s="173"/>
      <c r="AA11" s="173"/>
      <c r="AB11" s="173"/>
      <c r="AC11" s="173"/>
      <c r="AD11" s="8"/>
      <c r="AE11" s="174" t="s">
        <v>54</v>
      </c>
      <c r="AF11" s="174"/>
      <c r="AG11" s="174"/>
      <c r="AH11" s="174"/>
      <c r="AI11" s="174"/>
      <c r="AJ11" s="174"/>
      <c r="AK11" s="174"/>
    </row>
    <row r="12" spans="1:37" ht="15.75" thickBot="1" x14ac:dyDescent="0.3">
      <c r="A12" s="168" t="s">
        <v>4</v>
      </c>
      <c r="B12" s="10" t="s">
        <v>5</v>
      </c>
      <c r="C12" s="11" t="s">
        <v>6</v>
      </c>
      <c r="D12" s="12" t="s">
        <v>7</v>
      </c>
      <c r="E12" s="11" t="s">
        <v>8</v>
      </c>
      <c r="F12" s="12" t="s">
        <v>9</v>
      </c>
      <c r="G12" s="11" t="s">
        <v>10</v>
      </c>
      <c r="H12" s="32" t="s">
        <v>11</v>
      </c>
      <c r="I12" s="6"/>
      <c r="J12" s="35" t="s">
        <v>3</v>
      </c>
      <c r="K12" s="14"/>
      <c r="L12" s="15"/>
      <c r="M12" s="15"/>
      <c r="N12" s="15"/>
      <c r="O12" s="15"/>
      <c r="P12" s="15"/>
      <c r="Q12" s="15"/>
      <c r="R12" s="15"/>
      <c r="S12" s="15"/>
      <c r="T12" s="15"/>
      <c r="U12" s="16"/>
      <c r="V12" s="8"/>
      <c r="W12" s="35" t="s">
        <v>3</v>
      </c>
      <c r="X12" s="14"/>
      <c r="Y12" s="15"/>
      <c r="Z12" s="15"/>
      <c r="AA12" s="15"/>
      <c r="AB12" s="15"/>
      <c r="AC12" s="16"/>
      <c r="AD12" s="8"/>
      <c r="AE12" s="35" t="s">
        <v>3</v>
      </c>
      <c r="AF12" s="14"/>
      <c r="AG12" s="15"/>
      <c r="AH12" s="15"/>
      <c r="AI12" s="15"/>
      <c r="AJ12" s="15"/>
      <c r="AK12" s="16"/>
    </row>
    <row r="13" spans="1:37" ht="15.75" thickBot="1" x14ac:dyDescent="0.3">
      <c r="A13" s="168"/>
      <c r="B13" s="17"/>
      <c r="C13" s="18"/>
      <c r="D13" s="18"/>
      <c r="E13" s="18"/>
      <c r="F13" s="18">
        <f>SUM(C13-B13)</f>
        <v>0</v>
      </c>
      <c r="G13" s="18">
        <f>SUM(E13-D13)</f>
        <v>0</v>
      </c>
      <c r="H13" s="33">
        <f>SUM(F13:G13)</f>
        <v>0</v>
      </c>
      <c r="I13" s="6"/>
      <c r="J13" s="36" t="s">
        <v>21</v>
      </c>
      <c r="K13" s="19"/>
      <c r="L13" s="20"/>
      <c r="M13" s="20"/>
      <c r="N13" s="20"/>
      <c r="O13" s="20"/>
      <c r="P13" s="20"/>
      <c r="Q13" s="20"/>
      <c r="R13" s="20"/>
      <c r="S13" s="20"/>
      <c r="T13" s="20"/>
      <c r="U13" s="21"/>
      <c r="V13" s="8"/>
      <c r="W13" s="36" t="s">
        <v>21</v>
      </c>
      <c r="X13" s="19"/>
      <c r="Y13" s="20"/>
      <c r="Z13" s="20"/>
      <c r="AA13" s="20"/>
      <c r="AB13" s="20"/>
      <c r="AC13" s="21"/>
      <c r="AD13" s="8"/>
      <c r="AE13" s="36" t="s">
        <v>21</v>
      </c>
      <c r="AF13" s="19"/>
      <c r="AG13" s="20"/>
      <c r="AH13" s="20"/>
      <c r="AI13" s="20"/>
      <c r="AJ13" s="20"/>
      <c r="AK13" s="21"/>
    </row>
    <row r="14" spans="1:37" x14ac:dyDescent="0.25">
      <c r="A14" s="7"/>
      <c r="B14" s="7"/>
      <c r="C14" s="7"/>
      <c r="D14" s="7"/>
      <c r="E14" s="7"/>
      <c r="F14" s="7"/>
      <c r="G14" s="7"/>
      <c r="H14" s="7"/>
      <c r="I14" s="6"/>
      <c r="J14" s="7"/>
      <c r="K14" s="7"/>
      <c r="L14" s="7"/>
      <c r="M14" s="7"/>
      <c r="N14" s="7"/>
      <c r="O14" s="7"/>
      <c r="P14" s="7"/>
      <c r="Q14" s="7"/>
      <c r="R14" s="7"/>
      <c r="S14" s="7"/>
      <c r="T14" s="22" t="s">
        <v>22</v>
      </c>
      <c r="U14" s="23">
        <f>SUM(K13:U13)</f>
        <v>0</v>
      </c>
      <c r="V14" s="8"/>
      <c r="AB14" s="22" t="s">
        <v>22</v>
      </c>
      <c r="AC14" s="23">
        <f>SUM(X13:AC13)</f>
        <v>0</v>
      </c>
      <c r="AD14" s="8"/>
      <c r="AJ14" s="22" t="s">
        <v>22</v>
      </c>
      <c r="AK14" s="23">
        <f>SUM(AF13:AK13)</f>
        <v>0</v>
      </c>
    </row>
    <row r="15" spans="1:37" ht="15.75" thickBot="1" x14ac:dyDescent="0.3">
      <c r="A15" s="34"/>
      <c r="B15" s="171" t="s">
        <v>2</v>
      </c>
      <c r="C15" s="171"/>
      <c r="D15" s="171"/>
      <c r="E15" s="171"/>
      <c r="F15" s="171"/>
      <c r="G15" s="171"/>
      <c r="H15" s="171"/>
      <c r="J15" s="172" t="s">
        <v>2</v>
      </c>
      <c r="K15" s="172"/>
      <c r="L15" s="172"/>
      <c r="M15" s="172"/>
      <c r="N15" s="172"/>
      <c r="O15" s="172"/>
      <c r="P15" s="172"/>
      <c r="Q15" s="172"/>
      <c r="R15" s="172"/>
      <c r="S15" s="172"/>
      <c r="T15" s="172"/>
      <c r="U15" s="172"/>
      <c r="W15" s="173" t="s">
        <v>2</v>
      </c>
      <c r="X15" s="173"/>
      <c r="Y15" s="173"/>
      <c r="Z15" s="173"/>
      <c r="AA15" s="173"/>
      <c r="AB15" s="173"/>
      <c r="AC15" s="173"/>
      <c r="AE15" s="174" t="s">
        <v>2</v>
      </c>
      <c r="AF15" s="174"/>
      <c r="AG15" s="174"/>
      <c r="AH15" s="174"/>
      <c r="AI15" s="174"/>
      <c r="AJ15" s="174"/>
      <c r="AK15" s="174"/>
    </row>
    <row r="16" spans="1:37" ht="15.75" thickBot="1" x14ac:dyDescent="0.3">
      <c r="A16" s="168" t="s">
        <v>4</v>
      </c>
      <c r="B16" s="10" t="s">
        <v>5</v>
      </c>
      <c r="C16" s="11" t="s">
        <v>6</v>
      </c>
      <c r="D16" s="12" t="s">
        <v>7</v>
      </c>
      <c r="E16" s="11" t="s">
        <v>8</v>
      </c>
      <c r="F16" s="12" t="s">
        <v>9</v>
      </c>
      <c r="G16" s="11" t="s">
        <v>10</v>
      </c>
      <c r="H16" s="32" t="s">
        <v>11</v>
      </c>
      <c r="J16" s="35" t="s">
        <v>3</v>
      </c>
      <c r="K16" s="14"/>
      <c r="L16" s="15"/>
      <c r="M16" s="15"/>
      <c r="N16" s="15"/>
      <c r="O16" s="15"/>
      <c r="P16" s="15"/>
      <c r="Q16" s="15"/>
      <c r="R16" s="15"/>
      <c r="S16" s="15"/>
      <c r="T16" s="15"/>
      <c r="U16" s="16"/>
      <c r="W16" s="35" t="s">
        <v>3</v>
      </c>
      <c r="X16" s="14"/>
      <c r="Y16" s="15"/>
      <c r="Z16" s="15"/>
      <c r="AA16" s="15"/>
      <c r="AB16" s="15"/>
      <c r="AC16" s="16"/>
      <c r="AE16" s="35" t="s">
        <v>3</v>
      </c>
      <c r="AF16" s="14"/>
      <c r="AG16" s="15"/>
      <c r="AH16" s="15"/>
      <c r="AI16" s="15"/>
      <c r="AJ16" s="15"/>
      <c r="AK16" s="16"/>
    </row>
    <row r="17" spans="1:37" ht="15.75" thickBot="1" x14ac:dyDescent="0.3">
      <c r="A17" s="168"/>
      <c r="B17" s="17"/>
      <c r="C17" s="18"/>
      <c r="D17" s="18"/>
      <c r="E17" s="18"/>
      <c r="F17" s="18">
        <f>SUM(C17-B17)</f>
        <v>0</v>
      </c>
      <c r="G17" s="18">
        <f>SUM(E17-D17)</f>
        <v>0</v>
      </c>
      <c r="H17" s="33">
        <f>SUM(F17:G17)</f>
        <v>0</v>
      </c>
      <c r="J17" s="36" t="s">
        <v>21</v>
      </c>
      <c r="K17" s="19"/>
      <c r="L17" s="20"/>
      <c r="M17" s="20"/>
      <c r="N17" s="20"/>
      <c r="O17" s="20"/>
      <c r="P17" s="20"/>
      <c r="Q17" s="20"/>
      <c r="R17" s="20"/>
      <c r="S17" s="20"/>
      <c r="T17" s="20"/>
      <c r="U17" s="21"/>
      <c r="W17" s="36" t="s">
        <v>21</v>
      </c>
      <c r="X17" s="19"/>
      <c r="Y17" s="20"/>
      <c r="Z17" s="20"/>
      <c r="AA17" s="20"/>
      <c r="AB17" s="20"/>
      <c r="AC17" s="21"/>
      <c r="AE17" s="36" t="s">
        <v>21</v>
      </c>
      <c r="AF17" s="19"/>
      <c r="AG17" s="20"/>
      <c r="AH17" s="20"/>
      <c r="AI17" s="20"/>
      <c r="AJ17" s="20"/>
      <c r="AK17" s="21"/>
    </row>
    <row r="18" spans="1:37" x14ac:dyDescent="0.25">
      <c r="F18" s="2"/>
      <c r="G18" s="2"/>
      <c r="H18" s="2"/>
      <c r="J18" s="37"/>
      <c r="T18" s="22" t="s">
        <v>22</v>
      </c>
      <c r="U18" s="23">
        <f>SUM(K17:U17)</f>
        <v>0</v>
      </c>
      <c r="AB18" s="22" t="s">
        <v>22</v>
      </c>
      <c r="AC18" s="23">
        <f>SUM(X17:AC17)</f>
        <v>0</v>
      </c>
      <c r="AJ18" s="22" t="s">
        <v>22</v>
      </c>
      <c r="AK18" s="23">
        <f>SUM(AF17:AK17)</f>
        <v>0</v>
      </c>
    </row>
    <row r="19" spans="1:37" ht="15.75" thickBot="1" x14ac:dyDescent="0.3">
      <c r="A19" s="34"/>
      <c r="B19" s="171" t="s">
        <v>12</v>
      </c>
      <c r="C19" s="171"/>
      <c r="D19" s="171"/>
      <c r="E19" s="171"/>
      <c r="F19" s="171"/>
      <c r="G19" s="171"/>
      <c r="H19" s="171"/>
      <c r="J19" s="172" t="s">
        <v>12</v>
      </c>
      <c r="K19" s="172"/>
      <c r="L19" s="172"/>
      <c r="M19" s="172"/>
      <c r="N19" s="172"/>
      <c r="O19" s="172"/>
      <c r="P19" s="172"/>
      <c r="Q19" s="172"/>
      <c r="R19" s="172"/>
      <c r="S19" s="172"/>
      <c r="T19" s="172"/>
      <c r="U19" s="172"/>
      <c r="W19" s="173" t="str">
        <f>J19</f>
        <v>Março</v>
      </c>
      <c r="X19" s="173"/>
      <c r="Y19" s="173"/>
      <c r="Z19" s="173"/>
      <c r="AA19" s="173"/>
      <c r="AB19" s="173"/>
      <c r="AC19" s="173"/>
      <c r="AE19" s="174" t="str">
        <f>W19</f>
        <v>Março</v>
      </c>
      <c r="AF19" s="174"/>
      <c r="AG19" s="174"/>
      <c r="AH19" s="174"/>
      <c r="AI19" s="174"/>
      <c r="AJ19" s="174"/>
      <c r="AK19" s="174"/>
    </row>
    <row r="20" spans="1:37" ht="15.75" thickBot="1" x14ac:dyDescent="0.3">
      <c r="A20" s="168" t="s">
        <v>4</v>
      </c>
      <c r="B20" s="10" t="s">
        <v>5</v>
      </c>
      <c r="C20" s="11" t="s">
        <v>6</v>
      </c>
      <c r="D20" s="12" t="s">
        <v>7</v>
      </c>
      <c r="E20" s="11" t="s">
        <v>8</v>
      </c>
      <c r="F20" s="12" t="s">
        <v>9</v>
      </c>
      <c r="G20" s="11" t="s">
        <v>10</v>
      </c>
      <c r="H20" s="32" t="s">
        <v>11</v>
      </c>
      <c r="J20" s="35" t="s">
        <v>3</v>
      </c>
      <c r="K20" s="14"/>
      <c r="L20" s="24"/>
      <c r="M20" s="24"/>
      <c r="N20" s="15"/>
      <c r="O20" s="15"/>
      <c r="P20" s="15"/>
      <c r="Q20" s="15"/>
      <c r="R20" s="15"/>
      <c r="S20" s="15"/>
      <c r="T20" s="15"/>
      <c r="U20" s="16"/>
      <c r="W20" s="35" t="s">
        <v>3</v>
      </c>
      <c r="X20" s="14"/>
      <c r="Y20" s="15"/>
      <c r="Z20" s="15"/>
      <c r="AA20" s="15"/>
      <c r="AB20" s="15"/>
      <c r="AC20" s="16"/>
      <c r="AE20" s="35" t="s">
        <v>3</v>
      </c>
      <c r="AF20" s="14"/>
      <c r="AG20" s="15"/>
      <c r="AH20" s="15"/>
      <c r="AI20" s="15"/>
      <c r="AJ20" s="15"/>
      <c r="AK20" s="16"/>
    </row>
    <row r="21" spans="1:37" ht="15.75" thickBot="1" x14ac:dyDescent="0.3">
      <c r="A21" s="168"/>
      <c r="B21" s="17"/>
      <c r="C21" s="18"/>
      <c r="D21" s="18"/>
      <c r="E21" s="18"/>
      <c r="F21" s="18">
        <f>SUM(C21-B21)</f>
        <v>0</v>
      </c>
      <c r="G21" s="18">
        <f>SUM(E21-D21)</f>
        <v>0</v>
      </c>
      <c r="H21" s="33">
        <f>SUM(F21:G21)</f>
        <v>0</v>
      </c>
      <c r="J21" s="36" t="s">
        <v>21</v>
      </c>
      <c r="K21" s="19"/>
      <c r="L21" s="20"/>
      <c r="M21" s="20"/>
      <c r="N21" s="20"/>
      <c r="O21" s="20"/>
      <c r="P21" s="20"/>
      <c r="Q21" s="20"/>
      <c r="R21" s="20"/>
      <c r="S21" s="20"/>
      <c r="T21" s="20"/>
      <c r="U21" s="21"/>
      <c r="W21" s="36" t="s">
        <v>21</v>
      </c>
      <c r="X21" s="19"/>
      <c r="Y21" s="20"/>
      <c r="Z21" s="20"/>
      <c r="AA21" s="20"/>
      <c r="AB21" s="20"/>
      <c r="AC21" s="21"/>
      <c r="AE21" s="36" t="s">
        <v>21</v>
      </c>
      <c r="AF21" s="19"/>
      <c r="AG21" s="20"/>
      <c r="AH21" s="20"/>
      <c r="AI21" s="20"/>
      <c r="AJ21" s="20"/>
      <c r="AK21" s="21"/>
    </row>
    <row r="22" spans="1:37" x14ac:dyDescent="0.25">
      <c r="F22" s="2"/>
      <c r="G22" s="2"/>
      <c r="H22" s="2"/>
      <c r="J22" s="37"/>
      <c r="T22" s="22" t="s">
        <v>22</v>
      </c>
      <c r="U22" s="23">
        <f>SUM(K21:U21)</f>
        <v>0</v>
      </c>
      <c r="AB22" s="22" t="s">
        <v>22</v>
      </c>
      <c r="AC22" s="23">
        <f>SUM(X21:AC21)</f>
        <v>0</v>
      </c>
      <c r="AJ22" s="22" t="s">
        <v>22</v>
      </c>
      <c r="AK22" s="23">
        <f>SUM(AF21:AK21)</f>
        <v>0</v>
      </c>
    </row>
    <row r="23" spans="1:37" ht="15.75" thickBot="1" x14ac:dyDescent="0.3">
      <c r="A23" s="34"/>
      <c r="B23" s="171" t="s">
        <v>13</v>
      </c>
      <c r="C23" s="171"/>
      <c r="D23" s="171"/>
      <c r="E23" s="171"/>
      <c r="F23" s="171"/>
      <c r="G23" s="171"/>
      <c r="H23" s="171"/>
      <c r="J23" s="172" t="s">
        <v>13</v>
      </c>
      <c r="K23" s="172"/>
      <c r="L23" s="172"/>
      <c r="M23" s="172"/>
      <c r="N23" s="172"/>
      <c r="O23" s="172"/>
      <c r="P23" s="172"/>
      <c r="Q23" s="172"/>
      <c r="R23" s="172"/>
      <c r="S23" s="172"/>
      <c r="T23" s="172"/>
      <c r="U23" s="172"/>
      <c r="W23" s="173" t="str">
        <f>J23</f>
        <v>Abril</v>
      </c>
      <c r="X23" s="173"/>
      <c r="Y23" s="173"/>
      <c r="Z23" s="173"/>
      <c r="AA23" s="173"/>
      <c r="AB23" s="173"/>
      <c r="AC23" s="173"/>
      <c r="AE23" s="174" t="str">
        <f>W23</f>
        <v>Abril</v>
      </c>
      <c r="AF23" s="174"/>
      <c r="AG23" s="174"/>
      <c r="AH23" s="174"/>
      <c r="AI23" s="174"/>
      <c r="AJ23" s="174"/>
      <c r="AK23" s="174"/>
    </row>
    <row r="24" spans="1:37" ht="15.75" thickBot="1" x14ac:dyDescent="0.3">
      <c r="A24" s="168" t="s">
        <v>4</v>
      </c>
      <c r="B24" s="10" t="s">
        <v>5</v>
      </c>
      <c r="C24" s="11" t="s">
        <v>6</v>
      </c>
      <c r="D24" s="12" t="s">
        <v>7</v>
      </c>
      <c r="E24" s="11" t="s">
        <v>8</v>
      </c>
      <c r="F24" s="12" t="s">
        <v>9</v>
      </c>
      <c r="G24" s="11" t="s">
        <v>10</v>
      </c>
      <c r="H24" s="32" t="s">
        <v>11</v>
      </c>
      <c r="J24" s="35" t="s">
        <v>3</v>
      </c>
      <c r="K24" s="14"/>
      <c r="L24" s="15"/>
      <c r="M24" s="15"/>
      <c r="N24" s="15"/>
      <c r="O24" s="15"/>
      <c r="P24" s="15"/>
      <c r="Q24" s="15"/>
      <c r="R24" s="15"/>
      <c r="S24" s="15"/>
      <c r="T24" s="15"/>
      <c r="U24" s="16"/>
      <c r="W24" s="35" t="s">
        <v>3</v>
      </c>
      <c r="X24" s="14"/>
      <c r="Y24" s="15"/>
      <c r="Z24" s="15"/>
      <c r="AA24" s="15"/>
      <c r="AB24" s="15"/>
      <c r="AC24" s="16"/>
      <c r="AE24" s="35" t="s">
        <v>3</v>
      </c>
      <c r="AF24" s="14"/>
      <c r="AG24" s="15"/>
      <c r="AH24" s="15"/>
      <c r="AI24" s="15"/>
      <c r="AJ24" s="15"/>
      <c r="AK24" s="16"/>
    </row>
    <row r="25" spans="1:37" ht="15.75" thickBot="1" x14ac:dyDescent="0.3">
      <c r="A25" s="168"/>
      <c r="B25" s="17"/>
      <c r="C25" s="18"/>
      <c r="D25" s="18"/>
      <c r="E25" s="18"/>
      <c r="F25" s="18">
        <f>SUM(C25-B25)</f>
        <v>0</v>
      </c>
      <c r="G25" s="18">
        <f>SUM(E25-D25)</f>
        <v>0</v>
      </c>
      <c r="H25" s="33">
        <f>SUM(F25:G25)</f>
        <v>0</v>
      </c>
      <c r="J25" s="36" t="s">
        <v>21</v>
      </c>
      <c r="K25" s="25"/>
      <c r="L25" s="26"/>
      <c r="M25" s="26"/>
      <c r="N25" s="26"/>
      <c r="O25" s="26"/>
      <c r="P25" s="26"/>
      <c r="Q25" s="26"/>
      <c r="R25" s="26"/>
      <c r="S25" s="26"/>
      <c r="T25" s="26"/>
      <c r="U25" s="27"/>
      <c r="W25" s="36" t="s">
        <v>21</v>
      </c>
      <c r="X25" s="19"/>
      <c r="Y25" s="20"/>
      <c r="Z25" s="20"/>
      <c r="AA25" s="20"/>
      <c r="AB25" s="20"/>
      <c r="AC25" s="21"/>
      <c r="AE25" s="36" t="s">
        <v>21</v>
      </c>
      <c r="AF25" s="19"/>
      <c r="AG25" s="20"/>
      <c r="AH25" s="20"/>
      <c r="AI25" s="20"/>
      <c r="AJ25" s="20"/>
      <c r="AK25" s="21"/>
    </row>
    <row r="26" spans="1:37" x14ac:dyDescent="0.25">
      <c r="F26" s="2"/>
      <c r="G26" s="2"/>
      <c r="H26" s="2"/>
      <c r="J26" s="37"/>
      <c r="T26" s="22" t="s">
        <v>22</v>
      </c>
      <c r="U26" s="23">
        <f>SUM(K25:U25)</f>
        <v>0</v>
      </c>
      <c r="AB26" s="22" t="s">
        <v>22</v>
      </c>
      <c r="AC26" s="23">
        <f>SUM(X25:AC25)</f>
        <v>0</v>
      </c>
      <c r="AJ26" s="22" t="s">
        <v>22</v>
      </c>
      <c r="AK26" s="23">
        <f>SUM(AF25:AK25)</f>
        <v>0</v>
      </c>
    </row>
    <row r="27" spans="1:37" ht="15.75" thickBot="1" x14ac:dyDescent="0.3">
      <c r="A27" s="34"/>
      <c r="B27" s="171" t="s">
        <v>14</v>
      </c>
      <c r="C27" s="171"/>
      <c r="D27" s="171"/>
      <c r="E27" s="171"/>
      <c r="F27" s="171"/>
      <c r="G27" s="171"/>
      <c r="H27" s="171"/>
      <c r="J27" s="172" t="s">
        <v>14</v>
      </c>
      <c r="K27" s="172"/>
      <c r="L27" s="172"/>
      <c r="M27" s="172"/>
      <c r="N27" s="172"/>
      <c r="O27" s="172"/>
      <c r="P27" s="172"/>
      <c r="Q27" s="172"/>
      <c r="R27" s="172"/>
      <c r="S27" s="172"/>
      <c r="T27" s="172"/>
      <c r="U27" s="172"/>
      <c r="W27" s="173" t="str">
        <f>J27</f>
        <v>Maio</v>
      </c>
      <c r="X27" s="173"/>
      <c r="Y27" s="173"/>
      <c r="Z27" s="173"/>
      <c r="AA27" s="173"/>
      <c r="AB27" s="173"/>
      <c r="AC27" s="173"/>
      <c r="AE27" s="174" t="str">
        <f>W27</f>
        <v>Maio</v>
      </c>
      <c r="AF27" s="174"/>
      <c r="AG27" s="174"/>
      <c r="AH27" s="174"/>
      <c r="AI27" s="174"/>
      <c r="AJ27" s="174"/>
      <c r="AK27" s="174"/>
    </row>
    <row r="28" spans="1:37" ht="15.75" thickBot="1" x14ac:dyDescent="0.3">
      <c r="A28" s="168" t="s">
        <v>4</v>
      </c>
      <c r="B28" s="10" t="s">
        <v>5</v>
      </c>
      <c r="C28" s="11" t="s">
        <v>6</v>
      </c>
      <c r="D28" s="12" t="s">
        <v>7</v>
      </c>
      <c r="E28" s="11" t="s">
        <v>8</v>
      </c>
      <c r="F28" s="12" t="s">
        <v>9</v>
      </c>
      <c r="G28" s="11" t="s">
        <v>10</v>
      </c>
      <c r="H28" s="32" t="s">
        <v>11</v>
      </c>
      <c r="J28" s="35" t="s">
        <v>3</v>
      </c>
      <c r="K28" s="14"/>
      <c r="L28" s="15"/>
      <c r="M28" s="15"/>
      <c r="N28" s="15"/>
      <c r="O28" s="15"/>
      <c r="P28" s="15"/>
      <c r="Q28" s="15"/>
      <c r="R28" s="15"/>
      <c r="S28" s="15"/>
      <c r="T28" s="15"/>
      <c r="U28" s="16"/>
      <c r="W28" s="35" t="s">
        <v>3</v>
      </c>
      <c r="X28" s="14"/>
      <c r="Y28" s="15"/>
      <c r="Z28" s="15"/>
      <c r="AA28" s="15"/>
      <c r="AB28" s="15"/>
      <c r="AC28" s="16"/>
      <c r="AE28" s="35" t="s">
        <v>3</v>
      </c>
      <c r="AF28" s="14"/>
      <c r="AG28" s="15"/>
      <c r="AH28" s="15"/>
      <c r="AI28" s="15"/>
      <c r="AJ28" s="15"/>
      <c r="AK28" s="16"/>
    </row>
    <row r="29" spans="1:37" ht="15.75" thickBot="1" x14ac:dyDescent="0.3">
      <c r="A29" s="168"/>
      <c r="B29" s="17"/>
      <c r="C29" s="18"/>
      <c r="D29" s="18"/>
      <c r="E29" s="18"/>
      <c r="F29" s="18">
        <f>SUM(C29-B29)</f>
        <v>0</v>
      </c>
      <c r="G29" s="18">
        <f>SUM(E29-D29)</f>
        <v>0</v>
      </c>
      <c r="H29" s="33">
        <f>SUM(F29:G29)</f>
        <v>0</v>
      </c>
      <c r="J29" s="36" t="s">
        <v>21</v>
      </c>
      <c r="K29" s="19"/>
      <c r="L29" s="20"/>
      <c r="M29" s="20"/>
      <c r="N29" s="20"/>
      <c r="O29" s="20"/>
      <c r="P29" s="20"/>
      <c r="Q29" s="20"/>
      <c r="R29" s="20"/>
      <c r="S29" s="20"/>
      <c r="T29" s="20"/>
      <c r="U29" s="21"/>
      <c r="W29" s="36" t="s">
        <v>21</v>
      </c>
      <c r="X29" s="19"/>
      <c r="Y29" s="20"/>
      <c r="Z29" s="20"/>
      <c r="AA29" s="20"/>
      <c r="AB29" s="20"/>
      <c r="AC29" s="21"/>
      <c r="AE29" s="36" t="s">
        <v>21</v>
      </c>
      <c r="AF29" s="19"/>
      <c r="AG29" s="20"/>
      <c r="AH29" s="20"/>
      <c r="AI29" s="20"/>
      <c r="AJ29" s="20"/>
      <c r="AK29" s="21"/>
    </row>
    <row r="30" spans="1:37" x14ac:dyDescent="0.25">
      <c r="F30" s="2"/>
      <c r="G30" s="2"/>
      <c r="H30" s="2"/>
      <c r="J30" s="37"/>
      <c r="T30" s="22" t="s">
        <v>22</v>
      </c>
      <c r="U30" s="23">
        <f>SUM(K29:U29)</f>
        <v>0</v>
      </c>
      <c r="AB30" s="22" t="s">
        <v>22</v>
      </c>
      <c r="AC30" s="23">
        <f>SUM(X29:AC29)</f>
        <v>0</v>
      </c>
      <c r="AJ30" s="22" t="s">
        <v>22</v>
      </c>
      <c r="AK30" s="23">
        <f>SUM(AF29:AK29)</f>
        <v>0</v>
      </c>
    </row>
    <row r="31" spans="1:37" ht="15.75" thickBot="1" x14ac:dyDescent="0.3">
      <c r="A31" s="34"/>
      <c r="B31" s="171" t="s">
        <v>23</v>
      </c>
      <c r="C31" s="171"/>
      <c r="D31" s="171"/>
      <c r="E31" s="171"/>
      <c r="F31" s="171"/>
      <c r="G31" s="171"/>
      <c r="H31" s="171"/>
      <c r="J31" s="172" t="s">
        <v>23</v>
      </c>
      <c r="K31" s="172"/>
      <c r="L31" s="172"/>
      <c r="M31" s="172"/>
      <c r="N31" s="172"/>
      <c r="O31" s="172"/>
      <c r="P31" s="172"/>
      <c r="Q31" s="172"/>
      <c r="R31" s="172"/>
      <c r="S31" s="172"/>
      <c r="T31" s="172"/>
      <c r="U31" s="172"/>
      <c r="W31" s="173" t="str">
        <f>J31</f>
        <v>Junho</v>
      </c>
      <c r="X31" s="173"/>
      <c r="Y31" s="173"/>
      <c r="Z31" s="173"/>
      <c r="AA31" s="173"/>
      <c r="AB31" s="173"/>
      <c r="AC31" s="173"/>
      <c r="AE31" s="174" t="str">
        <f>W31</f>
        <v>Junho</v>
      </c>
      <c r="AF31" s="174"/>
      <c r="AG31" s="174"/>
      <c r="AH31" s="174"/>
      <c r="AI31" s="174"/>
      <c r="AJ31" s="174"/>
      <c r="AK31" s="174"/>
    </row>
    <row r="32" spans="1:37" ht="15.75" thickBot="1" x14ac:dyDescent="0.3">
      <c r="A32" s="168" t="s">
        <v>4</v>
      </c>
      <c r="B32" s="10" t="s">
        <v>5</v>
      </c>
      <c r="C32" s="11" t="s">
        <v>6</v>
      </c>
      <c r="D32" s="12" t="s">
        <v>7</v>
      </c>
      <c r="E32" s="11" t="s">
        <v>8</v>
      </c>
      <c r="F32" s="12" t="s">
        <v>9</v>
      </c>
      <c r="G32" s="11" t="s">
        <v>10</v>
      </c>
      <c r="H32" s="32" t="s">
        <v>11</v>
      </c>
      <c r="J32" s="35" t="s">
        <v>3</v>
      </c>
      <c r="K32" s="14"/>
      <c r="L32" s="15"/>
      <c r="M32" s="15"/>
      <c r="N32" s="15"/>
      <c r="O32" s="15"/>
      <c r="P32" s="15"/>
      <c r="Q32" s="15"/>
      <c r="R32" s="15"/>
      <c r="S32" s="15"/>
      <c r="T32" s="15"/>
      <c r="U32" s="16"/>
      <c r="W32" s="35" t="s">
        <v>3</v>
      </c>
      <c r="X32" s="14"/>
      <c r="Y32" s="15"/>
      <c r="Z32" s="15"/>
      <c r="AA32" s="15"/>
      <c r="AB32" s="15"/>
      <c r="AC32" s="16"/>
      <c r="AE32" s="35" t="s">
        <v>3</v>
      </c>
      <c r="AF32" s="14"/>
      <c r="AG32" s="15"/>
      <c r="AH32" s="15"/>
      <c r="AI32" s="15"/>
      <c r="AJ32" s="15"/>
      <c r="AK32" s="16"/>
    </row>
    <row r="33" spans="1:37" ht="15.75" thickBot="1" x14ac:dyDescent="0.3">
      <c r="A33" s="168"/>
      <c r="B33" s="17"/>
      <c r="C33" s="18"/>
      <c r="D33" s="18"/>
      <c r="E33" s="18"/>
      <c r="F33" s="18">
        <f>SUM(C33-B33)</f>
        <v>0</v>
      </c>
      <c r="G33" s="18">
        <f>SUM(E33-D33)</f>
        <v>0</v>
      </c>
      <c r="H33" s="33">
        <f>SUM(F33:G33)</f>
        <v>0</v>
      </c>
      <c r="J33" s="36" t="s">
        <v>21</v>
      </c>
      <c r="K33" s="19"/>
      <c r="L33" s="20"/>
      <c r="M33" s="20"/>
      <c r="N33" s="20"/>
      <c r="O33" s="20"/>
      <c r="P33" s="20"/>
      <c r="Q33" s="20"/>
      <c r="R33" s="20"/>
      <c r="S33" s="20"/>
      <c r="T33" s="20"/>
      <c r="U33" s="21"/>
      <c r="W33" s="36" t="s">
        <v>21</v>
      </c>
      <c r="X33" s="19"/>
      <c r="Y33" s="20"/>
      <c r="Z33" s="20"/>
      <c r="AA33" s="20"/>
      <c r="AB33" s="20"/>
      <c r="AC33" s="21"/>
      <c r="AE33" s="36" t="s">
        <v>21</v>
      </c>
      <c r="AF33" s="19"/>
      <c r="AG33" s="20"/>
      <c r="AH33" s="20"/>
      <c r="AI33" s="20"/>
      <c r="AJ33" s="20"/>
      <c r="AK33" s="21"/>
    </row>
    <row r="34" spans="1:37" x14ac:dyDescent="0.25">
      <c r="F34" s="2"/>
      <c r="G34" s="2"/>
      <c r="H34" s="2"/>
      <c r="J34" s="37"/>
      <c r="T34" s="22" t="s">
        <v>22</v>
      </c>
      <c r="U34" s="23">
        <f>SUM(K33:U33)</f>
        <v>0</v>
      </c>
      <c r="AB34" s="22" t="s">
        <v>22</v>
      </c>
      <c r="AC34" s="23">
        <f>SUM(X33:AC33)</f>
        <v>0</v>
      </c>
      <c r="AJ34" s="22" t="s">
        <v>22</v>
      </c>
      <c r="AK34" s="23">
        <f>SUM(AF33:AK33)</f>
        <v>0</v>
      </c>
    </row>
    <row r="35" spans="1:37" ht="15.75" thickBot="1" x14ac:dyDescent="0.3">
      <c r="A35" s="34"/>
      <c r="B35" s="171" t="s">
        <v>15</v>
      </c>
      <c r="C35" s="171"/>
      <c r="D35" s="171"/>
      <c r="E35" s="171"/>
      <c r="F35" s="171"/>
      <c r="G35" s="171"/>
      <c r="H35" s="171"/>
      <c r="J35" s="172" t="s">
        <v>15</v>
      </c>
      <c r="K35" s="172"/>
      <c r="L35" s="172"/>
      <c r="M35" s="172"/>
      <c r="N35" s="172"/>
      <c r="O35" s="172"/>
      <c r="P35" s="172"/>
      <c r="Q35" s="172"/>
      <c r="R35" s="172"/>
      <c r="S35" s="172"/>
      <c r="T35" s="172"/>
      <c r="U35" s="172"/>
      <c r="W35" s="173" t="str">
        <f>J35</f>
        <v>Julho</v>
      </c>
      <c r="X35" s="173"/>
      <c r="Y35" s="173"/>
      <c r="Z35" s="173"/>
      <c r="AA35" s="173"/>
      <c r="AB35" s="173"/>
      <c r="AC35" s="173"/>
      <c r="AE35" s="174" t="str">
        <f>W35</f>
        <v>Julho</v>
      </c>
      <c r="AF35" s="174"/>
      <c r="AG35" s="174"/>
      <c r="AH35" s="174"/>
      <c r="AI35" s="174"/>
      <c r="AJ35" s="174"/>
      <c r="AK35" s="174"/>
    </row>
    <row r="36" spans="1:37" ht="15.75" thickBot="1" x14ac:dyDescent="0.3">
      <c r="A36" s="168" t="s">
        <v>4</v>
      </c>
      <c r="B36" s="10" t="s">
        <v>5</v>
      </c>
      <c r="C36" s="11" t="s">
        <v>6</v>
      </c>
      <c r="D36" s="12" t="s">
        <v>7</v>
      </c>
      <c r="E36" s="11" t="s">
        <v>8</v>
      </c>
      <c r="F36" s="12" t="s">
        <v>9</v>
      </c>
      <c r="G36" s="11" t="s">
        <v>10</v>
      </c>
      <c r="H36" s="32" t="s">
        <v>11</v>
      </c>
      <c r="J36" s="35" t="s">
        <v>3</v>
      </c>
      <c r="K36" s="14"/>
      <c r="L36" s="15"/>
      <c r="M36" s="15"/>
      <c r="N36" s="15"/>
      <c r="O36" s="15"/>
      <c r="P36" s="15"/>
      <c r="Q36" s="15"/>
      <c r="R36" s="15"/>
      <c r="S36" s="15"/>
      <c r="T36" s="15"/>
      <c r="U36" s="16"/>
      <c r="W36" s="35" t="s">
        <v>3</v>
      </c>
      <c r="X36" s="14"/>
      <c r="Y36" s="15"/>
      <c r="Z36" s="15"/>
      <c r="AA36" s="15"/>
      <c r="AB36" s="15"/>
      <c r="AC36" s="16"/>
      <c r="AE36" s="35" t="s">
        <v>3</v>
      </c>
      <c r="AF36" s="14"/>
      <c r="AG36" s="15"/>
      <c r="AH36" s="15"/>
      <c r="AI36" s="15"/>
      <c r="AJ36" s="15"/>
      <c r="AK36" s="16"/>
    </row>
    <row r="37" spans="1:37" ht="15.75" thickBot="1" x14ac:dyDescent="0.3">
      <c r="A37" s="168"/>
      <c r="B37" s="17"/>
      <c r="C37" s="18"/>
      <c r="D37" s="18"/>
      <c r="E37" s="18"/>
      <c r="F37" s="18">
        <f>SUM(C37-B37)</f>
        <v>0</v>
      </c>
      <c r="G37" s="18">
        <f>SUM(E37-D37)</f>
        <v>0</v>
      </c>
      <c r="H37" s="33">
        <f>SUM(F37:G37)</f>
        <v>0</v>
      </c>
      <c r="J37" s="36" t="s">
        <v>21</v>
      </c>
      <c r="K37" s="19"/>
      <c r="L37" s="20"/>
      <c r="M37" s="20"/>
      <c r="N37" s="20"/>
      <c r="O37" s="20"/>
      <c r="P37" s="20"/>
      <c r="Q37" s="20"/>
      <c r="R37" s="20"/>
      <c r="S37" s="20"/>
      <c r="T37" s="20"/>
      <c r="U37" s="21"/>
      <c r="W37" s="36" t="s">
        <v>21</v>
      </c>
      <c r="X37" s="19"/>
      <c r="Y37" s="20"/>
      <c r="Z37" s="20"/>
      <c r="AA37" s="20"/>
      <c r="AB37" s="20"/>
      <c r="AC37" s="21"/>
      <c r="AE37" s="36" t="s">
        <v>21</v>
      </c>
      <c r="AF37" s="19"/>
      <c r="AG37" s="20"/>
      <c r="AH37" s="20"/>
      <c r="AI37" s="20"/>
      <c r="AJ37" s="20"/>
      <c r="AK37" s="21"/>
    </row>
    <row r="38" spans="1:37" x14ac:dyDescent="0.25">
      <c r="F38" s="2"/>
      <c r="G38" s="2"/>
      <c r="H38" s="2"/>
      <c r="J38" s="37"/>
      <c r="T38" s="22" t="s">
        <v>22</v>
      </c>
      <c r="U38" s="23">
        <f>SUM(K37:U37)</f>
        <v>0</v>
      </c>
      <c r="AB38" s="22" t="s">
        <v>22</v>
      </c>
      <c r="AC38" s="23">
        <f>SUM(X37:AC37)</f>
        <v>0</v>
      </c>
      <c r="AJ38" s="22" t="s">
        <v>22</v>
      </c>
      <c r="AK38" s="23">
        <f>SUM(AF37:AK37)</f>
        <v>0</v>
      </c>
    </row>
    <row r="39" spans="1:37" ht="15.75" thickBot="1" x14ac:dyDescent="0.3">
      <c r="A39" s="34"/>
      <c r="B39" s="171" t="s">
        <v>16</v>
      </c>
      <c r="C39" s="171"/>
      <c r="D39" s="171"/>
      <c r="E39" s="171"/>
      <c r="F39" s="171"/>
      <c r="G39" s="171"/>
      <c r="H39" s="171"/>
      <c r="J39" s="172" t="s">
        <v>16</v>
      </c>
      <c r="K39" s="172"/>
      <c r="L39" s="172"/>
      <c r="M39" s="172"/>
      <c r="N39" s="172"/>
      <c r="O39" s="172"/>
      <c r="P39" s="172"/>
      <c r="Q39" s="172"/>
      <c r="R39" s="172"/>
      <c r="S39" s="172"/>
      <c r="T39" s="172"/>
      <c r="U39" s="172"/>
      <c r="W39" s="173" t="str">
        <f>J39</f>
        <v>Agosto</v>
      </c>
      <c r="X39" s="173"/>
      <c r="Y39" s="173"/>
      <c r="Z39" s="173"/>
      <c r="AA39" s="173"/>
      <c r="AB39" s="173"/>
      <c r="AC39" s="173"/>
      <c r="AE39" s="174" t="str">
        <f>W39</f>
        <v>Agosto</v>
      </c>
      <c r="AF39" s="174"/>
      <c r="AG39" s="174"/>
      <c r="AH39" s="174"/>
      <c r="AI39" s="174"/>
      <c r="AJ39" s="174"/>
      <c r="AK39" s="174"/>
    </row>
    <row r="40" spans="1:37" ht="15.75" thickBot="1" x14ac:dyDescent="0.3">
      <c r="A40" s="168" t="s">
        <v>4</v>
      </c>
      <c r="B40" s="10" t="s">
        <v>5</v>
      </c>
      <c r="C40" s="11" t="s">
        <v>6</v>
      </c>
      <c r="D40" s="12" t="s">
        <v>7</v>
      </c>
      <c r="E40" s="11" t="s">
        <v>8</v>
      </c>
      <c r="F40" s="12" t="s">
        <v>9</v>
      </c>
      <c r="G40" s="11" t="s">
        <v>10</v>
      </c>
      <c r="H40" s="32" t="s">
        <v>11</v>
      </c>
      <c r="J40" s="35" t="s">
        <v>3</v>
      </c>
      <c r="K40" s="14"/>
      <c r="L40" s="15"/>
      <c r="M40" s="15"/>
      <c r="N40" s="15"/>
      <c r="O40" s="15"/>
      <c r="P40" s="15"/>
      <c r="Q40" s="15"/>
      <c r="R40" s="15"/>
      <c r="S40" s="15"/>
      <c r="T40" s="15"/>
      <c r="U40" s="16"/>
      <c r="W40" s="35" t="s">
        <v>3</v>
      </c>
      <c r="X40" s="14"/>
      <c r="Y40" s="15"/>
      <c r="Z40" s="15"/>
      <c r="AA40" s="15"/>
      <c r="AB40" s="15"/>
      <c r="AC40" s="16"/>
      <c r="AE40" s="35" t="s">
        <v>3</v>
      </c>
      <c r="AF40" s="14"/>
      <c r="AG40" s="15"/>
      <c r="AH40" s="15"/>
      <c r="AI40" s="15"/>
      <c r="AJ40" s="15"/>
      <c r="AK40" s="16"/>
    </row>
    <row r="41" spans="1:37" ht="15.75" thickBot="1" x14ac:dyDescent="0.3">
      <c r="A41" s="168"/>
      <c r="B41" s="17"/>
      <c r="C41" s="18"/>
      <c r="D41" s="18"/>
      <c r="E41" s="18"/>
      <c r="F41" s="18">
        <f>SUM(C41-B41)</f>
        <v>0</v>
      </c>
      <c r="G41" s="18">
        <f>SUM(E41-D41)</f>
        <v>0</v>
      </c>
      <c r="H41" s="33">
        <f>SUM(F41:G41)</f>
        <v>0</v>
      </c>
      <c r="J41" s="36" t="s">
        <v>21</v>
      </c>
      <c r="K41" s="19"/>
      <c r="L41" s="20"/>
      <c r="M41" s="20"/>
      <c r="N41" s="20"/>
      <c r="O41" s="20"/>
      <c r="P41" s="20"/>
      <c r="Q41" s="20"/>
      <c r="R41" s="20"/>
      <c r="S41" s="20"/>
      <c r="T41" s="20"/>
      <c r="U41" s="21"/>
      <c r="W41" s="36" t="s">
        <v>21</v>
      </c>
      <c r="X41" s="19"/>
      <c r="Y41" s="20"/>
      <c r="Z41" s="20"/>
      <c r="AA41" s="20"/>
      <c r="AB41" s="20"/>
      <c r="AC41" s="21"/>
      <c r="AE41" s="36" t="s">
        <v>21</v>
      </c>
      <c r="AF41" s="19"/>
      <c r="AG41" s="20"/>
      <c r="AH41" s="20"/>
      <c r="AI41" s="20"/>
      <c r="AJ41" s="20"/>
      <c r="AK41" s="21"/>
    </row>
    <row r="42" spans="1:37" x14ac:dyDescent="0.25">
      <c r="F42" s="2"/>
      <c r="G42" s="2"/>
      <c r="H42" s="2"/>
      <c r="J42" s="37"/>
      <c r="T42" s="22" t="s">
        <v>22</v>
      </c>
      <c r="U42" s="23">
        <f>SUM(K41:U41)</f>
        <v>0</v>
      </c>
      <c r="AB42" s="22" t="s">
        <v>22</v>
      </c>
      <c r="AC42" s="23">
        <f>SUM(X41:AC41)</f>
        <v>0</v>
      </c>
      <c r="AJ42" s="22" t="s">
        <v>22</v>
      </c>
      <c r="AK42" s="23">
        <f>SUM(AF41:AK41)</f>
        <v>0</v>
      </c>
    </row>
    <row r="43" spans="1:37" ht="15.75" thickBot="1" x14ac:dyDescent="0.3">
      <c r="A43" s="34"/>
      <c r="B43" s="171" t="s">
        <v>17</v>
      </c>
      <c r="C43" s="171"/>
      <c r="D43" s="171"/>
      <c r="E43" s="171"/>
      <c r="F43" s="171"/>
      <c r="G43" s="171"/>
      <c r="H43" s="171"/>
      <c r="J43" s="172" t="s">
        <v>17</v>
      </c>
      <c r="K43" s="172"/>
      <c r="L43" s="172"/>
      <c r="M43" s="172"/>
      <c r="N43" s="172"/>
      <c r="O43" s="172"/>
      <c r="P43" s="172"/>
      <c r="Q43" s="172"/>
      <c r="R43" s="172"/>
      <c r="S43" s="172"/>
      <c r="T43" s="172"/>
      <c r="U43" s="172"/>
      <c r="W43" s="173" t="str">
        <f>J43</f>
        <v>Setembro</v>
      </c>
      <c r="X43" s="173"/>
      <c r="Y43" s="173"/>
      <c r="Z43" s="173"/>
      <c r="AA43" s="173"/>
      <c r="AB43" s="173"/>
      <c r="AC43" s="173"/>
      <c r="AE43" s="174" t="str">
        <f>W43</f>
        <v>Setembro</v>
      </c>
      <c r="AF43" s="174"/>
      <c r="AG43" s="174"/>
      <c r="AH43" s="174"/>
      <c r="AI43" s="174"/>
      <c r="AJ43" s="174"/>
      <c r="AK43" s="174"/>
    </row>
    <row r="44" spans="1:37" ht="15.75" thickBot="1" x14ac:dyDescent="0.3">
      <c r="A44" s="168" t="s">
        <v>4</v>
      </c>
      <c r="B44" s="10" t="s">
        <v>5</v>
      </c>
      <c r="C44" s="11" t="s">
        <v>6</v>
      </c>
      <c r="D44" s="12" t="s">
        <v>7</v>
      </c>
      <c r="E44" s="11" t="s">
        <v>8</v>
      </c>
      <c r="F44" s="12" t="s">
        <v>9</v>
      </c>
      <c r="G44" s="11" t="s">
        <v>10</v>
      </c>
      <c r="H44" s="32" t="s">
        <v>11</v>
      </c>
      <c r="J44" s="35" t="s">
        <v>3</v>
      </c>
      <c r="K44" s="14">
        <v>45909</v>
      </c>
      <c r="L44" s="24">
        <v>45911</v>
      </c>
      <c r="M44" s="24">
        <v>45912</v>
      </c>
      <c r="N44" s="24">
        <v>45918</v>
      </c>
      <c r="O44" s="24">
        <v>45920</v>
      </c>
      <c r="P44" s="24">
        <v>45923</v>
      </c>
      <c r="Q44" s="24">
        <v>45925</v>
      </c>
      <c r="R44" s="24">
        <v>45927</v>
      </c>
      <c r="S44" s="24">
        <v>45930</v>
      </c>
      <c r="T44" s="15"/>
      <c r="U44" s="16"/>
      <c r="W44" s="35" t="s">
        <v>3</v>
      </c>
      <c r="X44" s="14"/>
      <c r="Y44" s="15"/>
      <c r="Z44" s="15"/>
      <c r="AA44" s="15"/>
      <c r="AB44" s="15"/>
      <c r="AC44" s="16"/>
      <c r="AE44" s="35" t="s">
        <v>3</v>
      </c>
      <c r="AF44" s="14"/>
      <c r="AG44" s="15"/>
      <c r="AH44" s="15"/>
      <c r="AI44" s="15"/>
      <c r="AJ44" s="15"/>
      <c r="AK44" s="16"/>
    </row>
    <row r="45" spans="1:37" ht="15.75" thickBot="1" x14ac:dyDescent="0.3">
      <c r="A45" s="168"/>
      <c r="B45" s="17">
        <v>6905</v>
      </c>
      <c r="C45" s="18">
        <v>8105</v>
      </c>
      <c r="D45" s="18">
        <v>8105</v>
      </c>
      <c r="E45" s="18">
        <v>9136</v>
      </c>
      <c r="F45" s="18">
        <f>SUM(C45-B45)</f>
        <v>1200</v>
      </c>
      <c r="G45" s="18">
        <f>SUM(E45-D45)</f>
        <v>1031</v>
      </c>
      <c r="H45" s="33">
        <f>SUM(F45:G45)</f>
        <v>2231</v>
      </c>
      <c r="J45" s="36" t="s">
        <v>21</v>
      </c>
      <c r="K45" s="19">
        <v>130</v>
      </c>
      <c r="L45" s="20">
        <v>234</v>
      </c>
      <c r="M45" s="20">
        <v>165.31</v>
      </c>
      <c r="N45" s="20">
        <v>129.97</v>
      </c>
      <c r="O45" s="20">
        <v>161.09</v>
      </c>
      <c r="P45" s="20">
        <v>85.78</v>
      </c>
      <c r="Q45" s="20">
        <v>98.8</v>
      </c>
      <c r="R45" s="20">
        <v>147.62</v>
      </c>
      <c r="S45" s="20">
        <v>102.78</v>
      </c>
      <c r="T45" s="20"/>
      <c r="U45" s="21"/>
      <c r="W45" s="36" t="s">
        <v>21</v>
      </c>
      <c r="X45" s="19"/>
      <c r="Y45" s="20"/>
      <c r="Z45" s="20"/>
      <c r="AA45" s="20"/>
      <c r="AB45" s="20"/>
      <c r="AC45" s="21"/>
      <c r="AE45" s="36" t="s">
        <v>21</v>
      </c>
      <c r="AF45" s="19"/>
      <c r="AG45" s="20"/>
      <c r="AH45" s="20"/>
      <c r="AI45" s="20"/>
      <c r="AJ45" s="20"/>
      <c r="AK45" s="21"/>
    </row>
    <row r="46" spans="1:37" x14ac:dyDescent="0.25">
      <c r="F46" s="2"/>
      <c r="G46" s="2"/>
      <c r="H46" s="2"/>
      <c r="J46" s="37"/>
      <c r="T46" s="22" t="s">
        <v>22</v>
      </c>
      <c r="U46" s="23">
        <f>SUM(K45:U45)</f>
        <v>1255.3499999999999</v>
      </c>
      <c r="AB46" s="22" t="s">
        <v>22</v>
      </c>
      <c r="AC46" s="23">
        <f>SUM(X45:AC45)</f>
        <v>0</v>
      </c>
      <c r="AJ46" s="22" t="s">
        <v>22</v>
      </c>
      <c r="AK46" s="23">
        <f>SUM(AF45:AK45)</f>
        <v>0</v>
      </c>
    </row>
    <row r="47" spans="1:37" ht="15.75" thickBot="1" x14ac:dyDescent="0.3">
      <c r="A47" s="34"/>
      <c r="B47" s="171" t="s">
        <v>18</v>
      </c>
      <c r="C47" s="171"/>
      <c r="D47" s="171"/>
      <c r="E47" s="171"/>
      <c r="F47" s="171"/>
      <c r="G47" s="171"/>
      <c r="H47" s="171"/>
      <c r="J47" s="172" t="s">
        <v>18</v>
      </c>
      <c r="K47" s="172"/>
      <c r="L47" s="172"/>
      <c r="M47" s="172"/>
      <c r="N47" s="172"/>
      <c r="O47" s="172"/>
      <c r="P47" s="172"/>
      <c r="Q47" s="172"/>
      <c r="R47" s="172"/>
      <c r="S47" s="172"/>
      <c r="T47" s="172"/>
      <c r="U47" s="172"/>
      <c r="W47" s="173" t="str">
        <f>J47</f>
        <v>Outubro</v>
      </c>
      <c r="X47" s="173"/>
      <c r="Y47" s="173"/>
      <c r="Z47" s="173"/>
      <c r="AA47" s="173"/>
      <c r="AB47" s="173"/>
      <c r="AC47" s="173"/>
      <c r="AE47" s="174" t="str">
        <f>W47</f>
        <v>Outubro</v>
      </c>
      <c r="AF47" s="174"/>
      <c r="AG47" s="174"/>
      <c r="AH47" s="174"/>
      <c r="AI47" s="174"/>
      <c r="AJ47" s="174"/>
      <c r="AK47" s="174"/>
    </row>
    <row r="48" spans="1:37" ht="15.75" thickBot="1" x14ac:dyDescent="0.3">
      <c r="A48" s="168" t="s">
        <v>4</v>
      </c>
      <c r="B48" s="10" t="s">
        <v>5</v>
      </c>
      <c r="C48" s="11" t="s">
        <v>6</v>
      </c>
      <c r="D48" s="12" t="s">
        <v>7</v>
      </c>
      <c r="E48" s="11" t="s">
        <v>8</v>
      </c>
      <c r="F48" s="12" t="s">
        <v>9</v>
      </c>
      <c r="G48" s="11" t="s">
        <v>10</v>
      </c>
      <c r="H48" s="32" t="s">
        <v>11</v>
      </c>
      <c r="J48" s="35" t="s">
        <v>3</v>
      </c>
      <c r="K48" s="14">
        <v>45932</v>
      </c>
      <c r="L48" s="24">
        <v>45934</v>
      </c>
      <c r="M48" s="24">
        <v>45937</v>
      </c>
      <c r="N48" s="24">
        <v>45939</v>
      </c>
      <c r="O48" s="24">
        <v>45941</v>
      </c>
      <c r="P48" s="24">
        <v>45946</v>
      </c>
      <c r="Q48" s="24">
        <v>45948</v>
      </c>
      <c r="R48" s="24">
        <v>45951</v>
      </c>
      <c r="S48" s="15" t="s">
        <v>145</v>
      </c>
      <c r="T48" s="15"/>
      <c r="U48" s="16"/>
      <c r="W48" s="35" t="s">
        <v>3</v>
      </c>
      <c r="X48" s="14"/>
      <c r="Y48" s="15"/>
      <c r="Z48" s="15"/>
      <c r="AA48" s="15"/>
      <c r="AB48" s="15"/>
      <c r="AC48" s="16"/>
      <c r="AE48" s="35" t="s">
        <v>3</v>
      </c>
      <c r="AF48" s="14"/>
      <c r="AG48" s="15"/>
      <c r="AH48" s="15"/>
      <c r="AI48" s="15"/>
      <c r="AJ48" s="15"/>
      <c r="AK48" s="16"/>
    </row>
    <row r="49" spans="1:37" ht="15.75" thickBot="1" x14ac:dyDescent="0.3">
      <c r="A49" s="168"/>
      <c r="B49" s="18">
        <v>9136</v>
      </c>
      <c r="C49" s="18">
        <v>10544</v>
      </c>
      <c r="D49" s="18">
        <v>10544</v>
      </c>
      <c r="E49" s="18">
        <v>12169</v>
      </c>
      <c r="F49" s="18">
        <f>SUM(C49-B49)</f>
        <v>1408</v>
      </c>
      <c r="G49" s="18">
        <f>SUM(E49-D49)</f>
        <v>1625</v>
      </c>
      <c r="H49" s="33">
        <f>SUM(F49:G49)</f>
        <v>3033</v>
      </c>
      <c r="J49" s="36" t="s">
        <v>21</v>
      </c>
      <c r="K49" s="19">
        <v>138</v>
      </c>
      <c r="L49" s="20">
        <v>184.04</v>
      </c>
      <c r="M49" s="20">
        <v>122.65</v>
      </c>
      <c r="N49" s="20">
        <v>187.98</v>
      </c>
      <c r="O49" s="20">
        <v>102.34</v>
      </c>
      <c r="P49" s="20">
        <v>212.03</v>
      </c>
      <c r="Q49" s="20">
        <v>222.04</v>
      </c>
      <c r="R49" s="20">
        <v>192.22</v>
      </c>
      <c r="S49" s="20">
        <v>162.04</v>
      </c>
      <c r="T49" s="20"/>
      <c r="U49" s="21"/>
      <c r="W49" s="36" t="s">
        <v>21</v>
      </c>
      <c r="X49" s="19"/>
      <c r="Y49" s="20"/>
      <c r="Z49" s="20"/>
      <c r="AA49" s="20"/>
      <c r="AB49" s="20"/>
      <c r="AC49" s="21"/>
      <c r="AE49" s="36" t="s">
        <v>21</v>
      </c>
      <c r="AF49" s="19"/>
      <c r="AG49" s="20"/>
      <c r="AH49" s="20"/>
      <c r="AI49" s="20"/>
      <c r="AJ49" s="20"/>
      <c r="AK49" s="21"/>
    </row>
    <row r="50" spans="1:37" x14ac:dyDescent="0.25">
      <c r="F50" s="2"/>
      <c r="G50" s="2"/>
      <c r="H50" s="2"/>
      <c r="J50" s="37"/>
      <c r="T50" s="22" t="s">
        <v>22</v>
      </c>
      <c r="U50" s="23">
        <f>SUM(K49:U49)</f>
        <v>1523.34</v>
      </c>
      <c r="AB50" s="22" t="s">
        <v>22</v>
      </c>
      <c r="AC50" s="23">
        <f>SUM(X49:AC49)</f>
        <v>0</v>
      </c>
      <c r="AJ50" s="22" t="s">
        <v>22</v>
      </c>
      <c r="AK50" s="23">
        <f>SUM(AF49:AK49)</f>
        <v>0</v>
      </c>
    </row>
    <row r="51" spans="1:37" ht="15.75" thickBot="1" x14ac:dyDescent="0.3">
      <c r="A51" s="34"/>
      <c r="B51" s="171" t="s">
        <v>19</v>
      </c>
      <c r="C51" s="171"/>
      <c r="D51" s="171"/>
      <c r="E51" s="171"/>
      <c r="F51" s="171"/>
      <c r="G51" s="171"/>
      <c r="H51" s="171"/>
      <c r="J51" s="172" t="s">
        <v>19</v>
      </c>
      <c r="K51" s="172"/>
      <c r="L51" s="172"/>
      <c r="M51" s="172"/>
      <c r="N51" s="172"/>
      <c r="O51" s="172"/>
      <c r="P51" s="172"/>
      <c r="Q51" s="172"/>
      <c r="R51" s="172"/>
      <c r="S51" s="172"/>
      <c r="T51" s="172"/>
      <c r="U51" s="172"/>
      <c r="W51" s="173" t="str">
        <f>J51</f>
        <v>Novembro</v>
      </c>
      <c r="X51" s="173"/>
      <c r="Y51" s="173"/>
      <c r="Z51" s="173"/>
      <c r="AA51" s="173"/>
      <c r="AB51" s="173"/>
      <c r="AC51" s="173"/>
      <c r="AE51" s="174" t="str">
        <f>W51</f>
        <v>Novembro</v>
      </c>
      <c r="AF51" s="174"/>
      <c r="AG51" s="174"/>
      <c r="AH51" s="174"/>
      <c r="AI51" s="174"/>
      <c r="AJ51" s="174"/>
      <c r="AK51" s="174"/>
    </row>
    <row r="52" spans="1:37" ht="15.75" thickBot="1" x14ac:dyDescent="0.3">
      <c r="A52" s="168" t="s">
        <v>4</v>
      </c>
      <c r="B52" s="10" t="s">
        <v>5</v>
      </c>
      <c r="C52" s="11" t="s">
        <v>6</v>
      </c>
      <c r="D52" s="12" t="s">
        <v>7</v>
      </c>
      <c r="E52" s="11" t="s">
        <v>8</v>
      </c>
      <c r="F52" s="12" t="s">
        <v>9</v>
      </c>
      <c r="G52" s="11" t="s">
        <v>10</v>
      </c>
      <c r="H52" s="32" t="s">
        <v>11</v>
      </c>
      <c r="J52" s="35" t="s">
        <v>3</v>
      </c>
      <c r="K52" s="14"/>
      <c r="L52" s="15"/>
      <c r="M52" s="15"/>
      <c r="N52" s="15"/>
      <c r="O52" s="15"/>
      <c r="P52" s="15"/>
      <c r="Q52" s="15"/>
      <c r="R52" s="15"/>
      <c r="S52" s="15"/>
      <c r="T52" s="15"/>
      <c r="U52" s="16"/>
      <c r="W52" s="35" t="s">
        <v>3</v>
      </c>
      <c r="X52" s="14"/>
      <c r="Y52" s="15"/>
      <c r="Z52" s="15"/>
      <c r="AA52" s="15"/>
      <c r="AB52" s="15"/>
      <c r="AC52" s="16"/>
      <c r="AE52" s="35" t="s">
        <v>3</v>
      </c>
      <c r="AF52" s="14"/>
      <c r="AG52" s="15"/>
      <c r="AH52" s="15"/>
      <c r="AI52" s="15"/>
      <c r="AJ52" s="15"/>
      <c r="AK52" s="16"/>
    </row>
    <row r="53" spans="1:37" ht="15.75" thickBot="1" x14ac:dyDescent="0.3">
      <c r="A53" s="168"/>
      <c r="B53" s="17"/>
      <c r="C53" s="18"/>
      <c r="D53" s="18"/>
      <c r="E53" s="18"/>
      <c r="F53" s="18">
        <f>SUM(C53-B53)</f>
        <v>0</v>
      </c>
      <c r="G53" s="18">
        <f>SUM(E53-D53)</f>
        <v>0</v>
      </c>
      <c r="H53" s="33">
        <f>SUM(F53:G53)</f>
        <v>0</v>
      </c>
      <c r="J53" s="36" t="s">
        <v>21</v>
      </c>
      <c r="K53" s="19"/>
      <c r="L53" s="20"/>
      <c r="M53" s="20"/>
      <c r="N53" s="20"/>
      <c r="O53" s="20"/>
      <c r="P53" s="20"/>
      <c r="Q53" s="20"/>
      <c r="R53" s="20"/>
      <c r="S53" s="20"/>
      <c r="T53" s="20"/>
      <c r="U53" s="21"/>
      <c r="W53" s="36" t="s">
        <v>21</v>
      </c>
      <c r="X53" s="19"/>
      <c r="Y53" s="20"/>
      <c r="Z53" s="20"/>
      <c r="AA53" s="20"/>
      <c r="AB53" s="20"/>
      <c r="AC53" s="21"/>
      <c r="AE53" s="36" t="s">
        <v>21</v>
      </c>
      <c r="AF53" s="19"/>
      <c r="AG53" s="20"/>
      <c r="AH53" s="20"/>
      <c r="AI53" s="20"/>
      <c r="AJ53" s="20"/>
      <c r="AK53" s="21"/>
    </row>
    <row r="54" spans="1:37" x14ac:dyDescent="0.25">
      <c r="F54" s="2"/>
      <c r="G54" s="2"/>
      <c r="H54" s="2"/>
      <c r="J54" s="37"/>
      <c r="T54" s="22" t="s">
        <v>22</v>
      </c>
      <c r="U54" s="23">
        <f>SUM(K53:U53)</f>
        <v>0</v>
      </c>
      <c r="AB54" s="22" t="s">
        <v>22</v>
      </c>
      <c r="AC54" s="23">
        <f>SUM(X53:AC53)</f>
        <v>0</v>
      </c>
      <c r="AJ54" s="22" t="s">
        <v>22</v>
      </c>
      <c r="AK54" s="23">
        <f>SUM(AF53:AK53)</f>
        <v>0</v>
      </c>
    </row>
    <row r="55" spans="1:37" ht="15.75" thickBot="1" x14ac:dyDescent="0.3">
      <c r="A55" s="34"/>
      <c r="B55" s="171" t="s">
        <v>20</v>
      </c>
      <c r="C55" s="171"/>
      <c r="D55" s="171"/>
      <c r="E55" s="171"/>
      <c r="F55" s="171"/>
      <c r="G55" s="171"/>
      <c r="H55" s="171"/>
      <c r="J55" s="172" t="s">
        <v>20</v>
      </c>
      <c r="K55" s="172"/>
      <c r="L55" s="172"/>
      <c r="M55" s="172"/>
      <c r="N55" s="172"/>
      <c r="O55" s="172"/>
      <c r="P55" s="172"/>
      <c r="Q55" s="172"/>
      <c r="R55" s="172"/>
      <c r="S55" s="172"/>
      <c r="T55" s="172"/>
      <c r="U55" s="172"/>
      <c r="W55" s="173" t="str">
        <f>J55</f>
        <v>Dezembro</v>
      </c>
      <c r="X55" s="173"/>
      <c r="Y55" s="173"/>
      <c r="Z55" s="173"/>
      <c r="AA55" s="173"/>
      <c r="AB55" s="173"/>
      <c r="AC55" s="173"/>
      <c r="AE55" s="174" t="str">
        <f>W55</f>
        <v>Dezembro</v>
      </c>
      <c r="AF55" s="174"/>
      <c r="AG55" s="174"/>
      <c r="AH55" s="174"/>
      <c r="AI55" s="174"/>
      <c r="AJ55" s="174"/>
      <c r="AK55" s="174"/>
    </row>
    <row r="56" spans="1:37" ht="15.75" thickBot="1" x14ac:dyDescent="0.3">
      <c r="A56" s="168" t="s">
        <v>4</v>
      </c>
      <c r="B56" s="10" t="s">
        <v>5</v>
      </c>
      <c r="C56" s="11" t="s">
        <v>6</v>
      </c>
      <c r="D56" s="12" t="s">
        <v>7</v>
      </c>
      <c r="E56" s="11" t="s">
        <v>8</v>
      </c>
      <c r="F56" s="12" t="s">
        <v>9</v>
      </c>
      <c r="G56" s="11" t="s">
        <v>10</v>
      </c>
      <c r="H56" s="32" t="s">
        <v>11</v>
      </c>
      <c r="J56" s="35" t="s">
        <v>3</v>
      </c>
      <c r="K56" s="14"/>
      <c r="L56" s="15"/>
      <c r="M56" s="15"/>
      <c r="N56" s="15"/>
      <c r="O56" s="15"/>
      <c r="P56" s="15"/>
      <c r="Q56" s="15"/>
      <c r="R56" s="15"/>
      <c r="S56" s="15"/>
      <c r="T56" s="15"/>
      <c r="U56" s="16"/>
      <c r="W56" s="35" t="s">
        <v>3</v>
      </c>
      <c r="X56" s="14"/>
      <c r="Y56" s="15"/>
      <c r="Z56" s="15"/>
      <c r="AA56" s="15"/>
      <c r="AB56" s="15"/>
      <c r="AC56" s="16"/>
      <c r="AE56" s="35" t="s">
        <v>3</v>
      </c>
      <c r="AF56" s="14"/>
      <c r="AG56" s="15"/>
      <c r="AH56" s="15"/>
      <c r="AI56" s="15"/>
      <c r="AJ56" s="15"/>
      <c r="AK56" s="16"/>
    </row>
    <row r="57" spans="1:37" ht="15.75" thickBot="1" x14ac:dyDescent="0.3">
      <c r="A57" s="168"/>
      <c r="B57" s="17"/>
      <c r="C57" s="18"/>
      <c r="D57" s="18"/>
      <c r="E57" s="18"/>
      <c r="F57" s="18">
        <f>SUM(C57-B57)</f>
        <v>0</v>
      </c>
      <c r="G57" s="18">
        <f>SUM(E57-D57)</f>
        <v>0</v>
      </c>
      <c r="H57" s="33">
        <f>SUM(F57:G57)</f>
        <v>0</v>
      </c>
      <c r="J57" s="36" t="s">
        <v>21</v>
      </c>
      <c r="K57" s="19"/>
      <c r="L57" s="20"/>
      <c r="M57" s="20"/>
      <c r="N57" s="20"/>
      <c r="O57" s="20"/>
      <c r="P57" s="20"/>
      <c r="Q57" s="20"/>
      <c r="R57" s="20"/>
      <c r="S57" s="20"/>
      <c r="T57" s="20"/>
      <c r="U57" s="21"/>
      <c r="W57" s="36" t="s">
        <v>21</v>
      </c>
      <c r="X57" s="19"/>
      <c r="Y57" s="20"/>
      <c r="Z57" s="20"/>
      <c r="AA57" s="20"/>
      <c r="AB57" s="20"/>
      <c r="AC57" s="21"/>
      <c r="AE57" s="36" t="s">
        <v>21</v>
      </c>
      <c r="AF57" s="19"/>
      <c r="AG57" s="20"/>
      <c r="AH57" s="20"/>
      <c r="AI57" s="20"/>
      <c r="AJ57" s="20"/>
      <c r="AK57" s="21"/>
    </row>
    <row r="58" spans="1:37" x14ac:dyDescent="0.25">
      <c r="J58" s="37"/>
      <c r="T58" s="22" t="s">
        <v>22</v>
      </c>
      <c r="U58" s="23">
        <f>SUM(K57:U57)</f>
        <v>0</v>
      </c>
      <c r="AB58" s="22" t="s">
        <v>22</v>
      </c>
      <c r="AC58" s="23">
        <f>SUM(X57:AC57)</f>
        <v>0</v>
      </c>
      <c r="AJ58" s="22" t="s">
        <v>22</v>
      </c>
      <c r="AK58" s="23">
        <f>SUM(AF57:AK57)</f>
        <v>0</v>
      </c>
    </row>
  </sheetData>
  <mergeCells count="71">
    <mergeCell ref="B6:C6"/>
    <mergeCell ref="E6:F6"/>
    <mergeCell ref="A1:A2"/>
    <mergeCell ref="B1:AK1"/>
    <mergeCell ref="B2:AK2"/>
    <mergeCell ref="B4:C4"/>
    <mergeCell ref="E4:F4"/>
    <mergeCell ref="A16:A17"/>
    <mergeCell ref="A9:H9"/>
    <mergeCell ref="J9:U9"/>
    <mergeCell ref="W9:AC9"/>
    <mergeCell ref="AE9:AK9"/>
    <mergeCell ref="B11:H11"/>
    <mergeCell ref="J11:U11"/>
    <mergeCell ref="W11:AC11"/>
    <mergeCell ref="AE11:AK11"/>
    <mergeCell ref="A12:A13"/>
    <mergeCell ref="B15:H15"/>
    <mergeCell ref="J15:U15"/>
    <mergeCell ref="W15:AC15"/>
    <mergeCell ref="AE15:AK15"/>
    <mergeCell ref="A28:A29"/>
    <mergeCell ref="B19:H19"/>
    <mergeCell ref="J19:U19"/>
    <mergeCell ref="W19:AC19"/>
    <mergeCell ref="AE19:AK19"/>
    <mergeCell ref="A20:A21"/>
    <mergeCell ref="B23:H23"/>
    <mergeCell ref="J23:U23"/>
    <mergeCell ref="W23:AC23"/>
    <mergeCell ref="AE23:AK23"/>
    <mergeCell ref="A24:A25"/>
    <mergeCell ref="B27:H27"/>
    <mergeCell ref="J27:U27"/>
    <mergeCell ref="W27:AC27"/>
    <mergeCell ref="AE27:AK27"/>
    <mergeCell ref="A40:A41"/>
    <mergeCell ref="B31:H31"/>
    <mergeCell ref="J31:U31"/>
    <mergeCell ref="W31:AC31"/>
    <mergeCell ref="AE31:AK31"/>
    <mergeCell ref="A32:A33"/>
    <mergeCell ref="B35:H35"/>
    <mergeCell ref="J35:U35"/>
    <mergeCell ref="W35:AC35"/>
    <mergeCell ref="AE35:AK35"/>
    <mergeCell ref="A36:A37"/>
    <mergeCell ref="B39:H39"/>
    <mergeCell ref="J39:U39"/>
    <mergeCell ref="W39:AC39"/>
    <mergeCell ref="AE39:AK39"/>
    <mergeCell ref="A52:A53"/>
    <mergeCell ref="B43:H43"/>
    <mergeCell ref="J43:U43"/>
    <mergeCell ref="W43:AC43"/>
    <mergeCell ref="AE43:AK43"/>
    <mergeCell ref="A44:A45"/>
    <mergeCell ref="B47:H47"/>
    <mergeCell ref="J47:U47"/>
    <mergeCell ref="W47:AC47"/>
    <mergeCell ref="AE47:AK47"/>
    <mergeCell ref="A48:A49"/>
    <mergeCell ref="B51:H51"/>
    <mergeCell ref="J51:U51"/>
    <mergeCell ref="W51:AC51"/>
    <mergeCell ref="AE51:AK51"/>
    <mergeCell ref="B55:H55"/>
    <mergeCell ref="J55:U55"/>
    <mergeCell ref="W55:AC55"/>
    <mergeCell ref="AE55:AK55"/>
    <mergeCell ref="A56:A57"/>
  </mergeCells>
  <pageMargins left="0.511811024" right="0.511811024" top="0.78740157499999996" bottom="0.78740157499999996" header="0.31496062000000002" footer="0.31496062000000002"/>
  <drawing r:id="rId1"/>
  <legacy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K59"/>
  <sheetViews>
    <sheetView showGridLines="0" topLeftCell="A25" zoomScaleNormal="100" workbookViewId="0">
      <selection activeCell="C42" sqref="C42"/>
    </sheetView>
  </sheetViews>
  <sheetFormatPr defaultColWidth="9" defaultRowHeight="15" x14ac:dyDescent="0.25"/>
  <cols>
    <col min="1" max="1" width="17.7109375" style="2" customWidth="1"/>
    <col min="2" max="2" width="11.7109375" style="2" bestFit="1" customWidth="1"/>
    <col min="3" max="3" width="9.28515625" style="2" bestFit="1" customWidth="1"/>
    <col min="4" max="4" width="10.7109375" style="2" customWidth="1"/>
    <col min="5" max="5" width="9.28515625" style="2" bestFit="1" customWidth="1"/>
    <col min="6" max="6" width="13.140625" style="1" customWidth="1"/>
    <col min="7" max="7" width="13.85546875" style="1" customWidth="1"/>
    <col min="8" max="8" width="11.85546875" style="1" bestFit="1" customWidth="1"/>
    <col min="9" max="9" width="9.85546875" style="1" customWidth="1"/>
    <col min="10" max="10" width="10.7109375" style="2" bestFit="1" customWidth="1"/>
    <col min="11" max="15" width="10.7109375" style="1" bestFit="1" customWidth="1"/>
    <col min="16" max="20" width="10.5703125" style="1" bestFit="1" customWidth="1"/>
    <col min="21" max="21" width="12.140625" style="1" bestFit="1" customWidth="1"/>
    <col min="22" max="22" width="10.7109375" style="1" bestFit="1" customWidth="1"/>
    <col min="23" max="23" width="9" style="2"/>
    <col min="24" max="24" width="10.7109375" style="1" bestFit="1" customWidth="1"/>
    <col min="25" max="28" width="9" style="1"/>
    <col min="29" max="29" width="9.5703125" style="1" bestFit="1" customWidth="1"/>
    <col min="30" max="30" width="9" style="1"/>
    <col min="31" max="31" width="9" style="2"/>
    <col min="32" max="33" width="9" style="1"/>
    <col min="34" max="36" width="10.140625" style="1" bestFit="1" customWidth="1"/>
    <col min="37" max="16384" width="9" style="1"/>
  </cols>
  <sheetData>
    <row r="1" spans="1:37" ht="30.75" customHeight="1" x14ac:dyDescent="0.25">
      <c r="A1" s="162"/>
      <c r="B1" s="164" t="s">
        <v>51</v>
      </c>
      <c r="C1" s="164"/>
      <c r="D1" s="164"/>
      <c r="E1" s="164"/>
      <c r="F1" s="164"/>
      <c r="G1" s="164"/>
      <c r="H1" s="164"/>
      <c r="I1" s="164"/>
      <c r="J1" s="164"/>
      <c r="K1" s="164"/>
      <c r="L1" s="164"/>
      <c r="M1" s="164"/>
      <c r="N1" s="164"/>
      <c r="O1" s="164"/>
      <c r="P1" s="164"/>
      <c r="Q1" s="164"/>
      <c r="R1" s="164"/>
      <c r="S1" s="164"/>
      <c r="T1" s="164"/>
      <c r="U1" s="164"/>
      <c r="V1" s="164"/>
      <c r="W1" s="164"/>
      <c r="X1" s="164"/>
      <c r="Y1" s="164"/>
      <c r="Z1" s="164"/>
      <c r="AA1" s="164"/>
      <c r="AB1" s="164"/>
      <c r="AC1" s="164"/>
      <c r="AD1" s="164"/>
      <c r="AE1" s="164"/>
      <c r="AF1" s="164"/>
      <c r="AG1" s="164"/>
      <c r="AH1" s="164"/>
      <c r="AI1" s="164"/>
      <c r="AJ1" s="164"/>
      <c r="AK1" s="165"/>
    </row>
    <row r="2" spans="1:37" ht="20.25" customHeight="1" x14ac:dyDescent="0.25">
      <c r="A2" s="163"/>
      <c r="B2" s="166" t="s">
        <v>50</v>
      </c>
      <c r="C2" s="166"/>
      <c r="D2" s="166"/>
      <c r="E2" s="166"/>
      <c r="F2" s="166"/>
      <c r="G2" s="166"/>
      <c r="H2" s="166"/>
      <c r="I2" s="166"/>
      <c r="J2" s="166"/>
      <c r="K2" s="166"/>
      <c r="L2" s="166"/>
      <c r="M2" s="166"/>
      <c r="N2" s="166"/>
      <c r="O2" s="166"/>
      <c r="P2" s="166"/>
      <c r="Q2" s="166"/>
      <c r="R2" s="166"/>
      <c r="S2" s="166"/>
      <c r="T2" s="166"/>
      <c r="U2" s="166"/>
      <c r="V2" s="166"/>
      <c r="W2" s="166"/>
      <c r="X2" s="166"/>
      <c r="Y2" s="166"/>
      <c r="Z2" s="166"/>
      <c r="AA2" s="166"/>
      <c r="AB2" s="166"/>
      <c r="AC2" s="166"/>
      <c r="AD2" s="166"/>
      <c r="AE2" s="166"/>
      <c r="AF2" s="166"/>
      <c r="AG2" s="166"/>
      <c r="AH2" s="166"/>
      <c r="AI2" s="166"/>
      <c r="AJ2" s="166"/>
      <c r="AK2" s="167"/>
    </row>
    <row r="4" spans="1:37" x14ac:dyDescent="0.25">
      <c r="A4" s="31" t="s">
        <v>47</v>
      </c>
      <c r="B4" s="161" t="s">
        <v>71</v>
      </c>
      <c r="C4" s="161"/>
      <c r="D4" s="31" t="s">
        <v>0</v>
      </c>
      <c r="E4" s="161" t="s">
        <v>70</v>
      </c>
      <c r="F4" s="161"/>
      <c r="G4" s="31" t="s">
        <v>101</v>
      </c>
      <c r="H4" s="5">
        <v>45759</v>
      </c>
    </row>
    <row r="5" spans="1:37" x14ac:dyDescent="0.25">
      <c r="A5" s="31" t="s">
        <v>98</v>
      </c>
      <c r="B5" s="188">
        <v>45759</v>
      </c>
      <c r="C5" s="161"/>
      <c r="D5" s="31" t="s">
        <v>0</v>
      </c>
      <c r="E5" s="161" t="s">
        <v>116</v>
      </c>
      <c r="F5" s="161"/>
      <c r="G5" s="31" t="s">
        <v>95</v>
      </c>
      <c r="H5" s="4" t="s">
        <v>81</v>
      </c>
    </row>
    <row r="6" spans="1:37" x14ac:dyDescent="0.25">
      <c r="A6" s="31" t="s">
        <v>96</v>
      </c>
      <c r="B6" s="95"/>
      <c r="C6" s="95"/>
      <c r="D6" s="31" t="s">
        <v>0</v>
      </c>
      <c r="E6" s="95"/>
      <c r="F6" s="95"/>
      <c r="G6" s="31" t="s">
        <v>95</v>
      </c>
      <c r="H6" s="4"/>
    </row>
    <row r="7" spans="1:37" x14ac:dyDescent="0.25">
      <c r="A7" s="31" t="s">
        <v>48</v>
      </c>
      <c r="B7" s="160">
        <v>3792.09</v>
      </c>
      <c r="C7" s="160"/>
      <c r="D7" s="31" t="s">
        <v>44</v>
      </c>
      <c r="E7" s="201">
        <v>45</v>
      </c>
      <c r="F7" s="161"/>
      <c r="G7" s="31" t="s">
        <v>46</v>
      </c>
      <c r="H7" s="5">
        <v>45677</v>
      </c>
      <c r="I7" s="31" t="s">
        <v>126</v>
      </c>
      <c r="J7" s="5">
        <v>45864</v>
      </c>
    </row>
    <row r="10" spans="1:37" s="28" customFormat="1" ht="18.75" x14ac:dyDescent="0.3">
      <c r="A10" s="169" t="s">
        <v>26</v>
      </c>
      <c r="B10" s="169"/>
      <c r="C10" s="169"/>
      <c r="D10" s="169"/>
      <c r="E10" s="169"/>
      <c r="F10" s="169"/>
      <c r="G10" s="169"/>
      <c r="H10" s="169"/>
      <c r="J10" s="169" t="s">
        <v>24</v>
      </c>
      <c r="K10" s="169"/>
      <c r="L10" s="169"/>
      <c r="M10" s="169"/>
      <c r="N10" s="169"/>
      <c r="O10" s="169"/>
      <c r="P10" s="169"/>
      <c r="Q10" s="169"/>
      <c r="R10" s="169"/>
      <c r="S10" s="169"/>
      <c r="T10" s="169"/>
      <c r="U10" s="169"/>
      <c r="V10" s="29"/>
      <c r="W10" s="170" t="s">
        <v>49</v>
      </c>
      <c r="X10" s="170"/>
      <c r="Y10" s="170"/>
      <c r="Z10" s="170"/>
      <c r="AA10" s="170"/>
      <c r="AB10" s="170"/>
      <c r="AC10" s="170"/>
      <c r="AD10" s="29"/>
      <c r="AE10" s="170" t="s">
        <v>25</v>
      </c>
      <c r="AF10" s="170"/>
      <c r="AG10" s="170"/>
      <c r="AH10" s="170"/>
      <c r="AI10" s="170"/>
      <c r="AJ10" s="170"/>
      <c r="AK10" s="170"/>
    </row>
    <row r="11" spans="1:37" s="6" customFormat="1" x14ac:dyDescent="0.25">
      <c r="A11" s="7"/>
      <c r="B11" s="7"/>
      <c r="C11" s="7"/>
      <c r="D11" s="7"/>
      <c r="E11" s="7"/>
      <c r="F11" s="7"/>
      <c r="G11" s="7"/>
      <c r="H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8"/>
      <c r="W11" s="9"/>
      <c r="X11" s="9"/>
      <c r="Y11" s="9"/>
      <c r="Z11" s="9"/>
      <c r="AA11" s="9"/>
      <c r="AB11" s="9"/>
      <c r="AC11" s="9"/>
      <c r="AD11" s="8"/>
      <c r="AE11" s="9"/>
      <c r="AF11" s="9"/>
      <c r="AG11" s="9"/>
      <c r="AH11" s="9"/>
      <c r="AI11" s="9"/>
      <c r="AJ11" s="9"/>
      <c r="AK11" s="9"/>
    </row>
    <row r="12" spans="1:37" s="6" customFormat="1" ht="15.75" thickBot="1" x14ac:dyDescent="0.3">
      <c r="A12" s="37">
        <v>45677</v>
      </c>
      <c r="B12" s="171" t="s">
        <v>54</v>
      </c>
      <c r="C12" s="171"/>
      <c r="D12" s="171"/>
      <c r="E12" s="171"/>
      <c r="F12" s="171"/>
      <c r="G12" s="171"/>
      <c r="H12" s="171"/>
      <c r="J12" s="172" t="s">
        <v>54</v>
      </c>
      <c r="K12" s="172"/>
      <c r="L12" s="172"/>
      <c r="M12" s="172"/>
      <c r="N12" s="172"/>
      <c r="O12" s="172"/>
      <c r="P12" s="172"/>
      <c r="Q12" s="172"/>
      <c r="R12" s="172"/>
      <c r="S12" s="172"/>
      <c r="T12" s="172"/>
      <c r="U12" s="172"/>
      <c r="V12" s="8"/>
      <c r="W12" s="173" t="s">
        <v>54</v>
      </c>
      <c r="X12" s="173"/>
      <c r="Y12" s="173"/>
      <c r="Z12" s="173"/>
      <c r="AA12" s="173"/>
      <c r="AB12" s="173"/>
      <c r="AC12" s="173"/>
      <c r="AD12" s="8"/>
      <c r="AE12" s="174" t="s">
        <v>54</v>
      </c>
      <c r="AF12" s="174"/>
      <c r="AG12" s="174"/>
      <c r="AH12" s="174"/>
      <c r="AI12" s="174"/>
      <c r="AJ12" s="174"/>
      <c r="AK12" s="174"/>
    </row>
    <row r="13" spans="1:37" s="6" customFormat="1" ht="15.75" thickBot="1" x14ac:dyDescent="0.3">
      <c r="A13" s="168" t="s">
        <v>4</v>
      </c>
      <c r="B13" s="10" t="s">
        <v>5</v>
      </c>
      <c r="C13" s="11" t="s">
        <v>6</v>
      </c>
      <c r="D13" s="12" t="s">
        <v>7</v>
      </c>
      <c r="E13" s="11" t="s">
        <v>8</v>
      </c>
      <c r="F13" s="12" t="s">
        <v>9</v>
      </c>
      <c r="G13" s="11" t="s">
        <v>10</v>
      </c>
      <c r="H13" s="32" t="s">
        <v>11</v>
      </c>
      <c r="J13" s="35" t="s">
        <v>3</v>
      </c>
      <c r="K13" s="14">
        <v>45678</v>
      </c>
      <c r="L13" s="24">
        <v>45680</v>
      </c>
      <c r="M13" s="24">
        <v>45682</v>
      </c>
      <c r="N13" s="24">
        <v>45685</v>
      </c>
      <c r="O13" s="24">
        <v>45687</v>
      </c>
      <c r="P13" s="15"/>
      <c r="Q13" s="15"/>
      <c r="R13" s="15"/>
      <c r="S13" s="15"/>
      <c r="T13" s="15"/>
      <c r="U13" s="16"/>
      <c r="V13" s="8"/>
      <c r="W13" s="35" t="s">
        <v>3</v>
      </c>
      <c r="X13" s="14">
        <v>45678</v>
      </c>
      <c r="Y13" s="15"/>
      <c r="Z13" s="15"/>
      <c r="AA13" s="15"/>
      <c r="AB13" s="15"/>
      <c r="AC13" s="16"/>
      <c r="AD13" s="8"/>
      <c r="AE13" s="35" t="s">
        <v>3</v>
      </c>
      <c r="AF13" s="14"/>
      <c r="AG13" s="15"/>
      <c r="AH13" s="15"/>
      <c r="AI13" s="15"/>
      <c r="AJ13" s="15"/>
      <c r="AK13" s="16"/>
    </row>
    <row r="14" spans="1:37" s="6" customFormat="1" ht="15.75" thickBot="1" x14ac:dyDescent="0.3">
      <c r="A14" s="168"/>
      <c r="B14" s="17"/>
      <c r="C14" s="18"/>
      <c r="D14" s="18">
        <v>5443</v>
      </c>
      <c r="E14" s="18">
        <v>7498</v>
      </c>
      <c r="F14" s="18">
        <f>SUM(C14-B14)</f>
        <v>0</v>
      </c>
      <c r="G14" s="18">
        <f>SUM(E14-D14)</f>
        <v>2055</v>
      </c>
      <c r="H14" s="33">
        <f>SUM(F14:G14)</f>
        <v>2055</v>
      </c>
      <c r="J14" s="36" t="s">
        <v>21</v>
      </c>
      <c r="K14" s="19">
        <v>281.08</v>
      </c>
      <c r="L14" s="20">
        <v>174.89</v>
      </c>
      <c r="M14" s="20">
        <v>208.37</v>
      </c>
      <c r="N14" s="20">
        <v>210.03</v>
      </c>
      <c r="O14" s="20">
        <v>171.05</v>
      </c>
      <c r="P14" s="20"/>
      <c r="Q14" s="20"/>
      <c r="R14" s="20"/>
      <c r="S14" s="20"/>
      <c r="T14" s="20"/>
      <c r="U14" s="21"/>
      <c r="V14" s="8"/>
      <c r="W14" s="36" t="s">
        <v>21</v>
      </c>
      <c r="X14" s="19">
        <v>45</v>
      </c>
      <c r="Y14" s="20"/>
      <c r="Z14" s="20"/>
      <c r="AA14" s="20"/>
      <c r="AB14" s="20"/>
      <c r="AC14" s="21"/>
      <c r="AD14" s="8"/>
      <c r="AE14" s="36" t="s">
        <v>21</v>
      </c>
      <c r="AF14" s="19"/>
      <c r="AG14" s="20"/>
      <c r="AH14" s="20"/>
      <c r="AI14" s="20"/>
      <c r="AJ14" s="20"/>
      <c r="AK14" s="21"/>
    </row>
    <row r="15" spans="1:37" s="6" customFormat="1" x14ac:dyDescent="0.25">
      <c r="A15" s="7"/>
      <c r="B15" s="7"/>
      <c r="C15" s="7"/>
      <c r="D15" s="7"/>
      <c r="E15" s="7"/>
      <c r="F15" s="7"/>
      <c r="G15" s="7"/>
      <c r="H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22" t="s">
        <v>22</v>
      </c>
      <c r="U15" s="23">
        <f>SUM(K14:U14)</f>
        <v>1045.4199999999998</v>
      </c>
      <c r="V15" s="8"/>
      <c r="W15" s="2"/>
      <c r="X15" s="1"/>
      <c r="Y15" s="1"/>
      <c r="Z15" s="1"/>
      <c r="AA15" s="1"/>
      <c r="AB15" s="22" t="s">
        <v>22</v>
      </c>
      <c r="AC15" s="23">
        <f>SUM(X14:AC14)</f>
        <v>45</v>
      </c>
      <c r="AD15" s="8"/>
      <c r="AE15" s="2"/>
      <c r="AF15" s="1"/>
      <c r="AG15" s="1"/>
      <c r="AH15" s="1"/>
      <c r="AI15" s="1"/>
      <c r="AJ15" s="22" t="s">
        <v>22</v>
      </c>
      <c r="AK15" s="23">
        <f>SUM(AF14:AK14)</f>
        <v>0</v>
      </c>
    </row>
    <row r="16" spans="1:37" ht="15.75" thickBot="1" x14ac:dyDescent="0.3">
      <c r="A16" s="34"/>
      <c r="B16" s="171" t="s">
        <v>2</v>
      </c>
      <c r="C16" s="171"/>
      <c r="D16" s="171"/>
      <c r="E16" s="171"/>
      <c r="F16" s="171"/>
      <c r="G16" s="171"/>
      <c r="H16" s="171"/>
      <c r="J16" s="172" t="s">
        <v>2</v>
      </c>
      <c r="K16" s="172"/>
      <c r="L16" s="172"/>
      <c r="M16" s="172"/>
      <c r="N16" s="172"/>
      <c r="O16" s="172"/>
      <c r="P16" s="172"/>
      <c r="Q16" s="172"/>
      <c r="R16" s="172"/>
      <c r="S16" s="172"/>
      <c r="T16" s="172"/>
      <c r="U16" s="172"/>
      <c r="W16" s="173" t="s">
        <v>2</v>
      </c>
      <c r="X16" s="173"/>
      <c r="Y16" s="173"/>
      <c r="Z16" s="173"/>
      <c r="AA16" s="173"/>
      <c r="AB16" s="173"/>
      <c r="AC16" s="173"/>
      <c r="AE16" s="174" t="s">
        <v>2</v>
      </c>
      <c r="AF16" s="174"/>
      <c r="AG16" s="174"/>
      <c r="AH16" s="174"/>
      <c r="AI16" s="174"/>
      <c r="AJ16" s="174"/>
      <c r="AK16" s="174"/>
    </row>
    <row r="17" spans="1:37" ht="15.75" thickBot="1" x14ac:dyDescent="0.3">
      <c r="A17" s="168" t="s">
        <v>4</v>
      </c>
      <c r="B17" s="10" t="s">
        <v>5</v>
      </c>
      <c r="C17" s="11" t="s">
        <v>6</v>
      </c>
      <c r="D17" s="12" t="s">
        <v>7</v>
      </c>
      <c r="E17" s="11" t="s">
        <v>8</v>
      </c>
      <c r="F17" s="12" t="s">
        <v>9</v>
      </c>
      <c r="G17" s="11" t="s">
        <v>10</v>
      </c>
      <c r="H17" s="32" t="s">
        <v>11</v>
      </c>
      <c r="J17" s="35" t="s">
        <v>3</v>
      </c>
      <c r="K17" s="14">
        <v>45692</v>
      </c>
      <c r="L17" s="24">
        <v>45694</v>
      </c>
      <c r="M17" s="24">
        <v>45699</v>
      </c>
      <c r="N17" s="24">
        <v>45701</v>
      </c>
      <c r="O17" s="24">
        <v>45704</v>
      </c>
      <c r="P17" s="24">
        <v>45706</v>
      </c>
      <c r="Q17" s="24">
        <v>45708</v>
      </c>
      <c r="R17" s="24">
        <v>45710</v>
      </c>
      <c r="S17" s="24">
        <v>45713</v>
      </c>
      <c r="T17" s="24">
        <v>45715</v>
      </c>
      <c r="U17" s="16"/>
      <c r="W17" s="35" t="s">
        <v>3</v>
      </c>
      <c r="X17" s="14">
        <v>45709</v>
      </c>
      <c r="Y17" s="15"/>
      <c r="Z17" s="15"/>
      <c r="AA17" s="15"/>
      <c r="AB17" s="15"/>
      <c r="AC17" s="16"/>
      <c r="AE17" s="35" t="s">
        <v>3</v>
      </c>
      <c r="AF17" s="14"/>
      <c r="AG17" s="15"/>
      <c r="AH17" s="15"/>
      <c r="AI17" s="15"/>
      <c r="AJ17" s="15"/>
      <c r="AK17" s="16"/>
    </row>
    <row r="18" spans="1:37" ht="15.75" thickBot="1" x14ac:dyDescent="0.3">
      <c r="A18" s="168"/>
      <c r="B18" s="17">
        <v>7702</v>
      </c>
      <c r="C18" s="18">
        <v>10054</v>
      </c>
      <c r="D18" s="18">
        <v>10054</v>
      </c>
      <c r="E18" s="18">
        <v>11955</v>
      </c>
      <c r="F18" s="18">
        <f>SUM(C18-B18)</f>
        <v>2352</v>
      </c>
      <c r="G18" s="18">
        <f>SUM(E18-D18)</f>
        <v>1901</v>
      </c>
      <c r="H18" s="33">
        <f>SUM(F18:G18)</f>
        <v>4253</v>
      </c>
      <c r="J18" s="36" t="s">
        <v>21</v>
      </c>
      <c r="K18" s="19">
        <v>217.91</v>
      </c>
      <c r="L18" s="20">
        <v>218.01</v>
      </c>
      <c r="M18" s="20">
        <v>163.57</v>
      </c>
      <c r="N18" s="20">
        <v>219.21</v>
      </c>
      <c r="O18" s="20">
        <v>138.44999999999999</v>
      </c>
      <c r="P18" s="20">
        <v>150.74</v>
      </c>
      <c r="Q18" s="20">
        <v>216.36</v>
      </c>
      <c r="R18" s="20">
        <v>231.09</v>
      </c>
      <c r="S18" s="20">
        <v>204.36</v>
      </c>
      <c r="T18" s="20">
        <v>200.61</v>
      </c>
      <c r="U18" s="21"/>
      <c r="W18" s="36" t="s">
        <v>21</v>
      </c>
      <c r="X18" s="19">
        <v>45</v>
      </c>
      <c r="Y18" s="20"/>
      <c r="Z18" s="20"/>
      <c r="AA18" s="20"/>
      <c r="AB18" s="20"/>
      <c r="AC18" s="21"/>
      <c r="AE18" s="36" t="s">
        <v>21</v>
      </c>
      <c r="AF18" s="19"/>
      <c r="AG18" s="20"/>
      <c r="AH18" s="20"/>
      <c r="AI18" s="20"/>
      <c r="AJ18" s="20"/>
      <c r="AK18" s="21"/>
    </row>
    <row r="19" spans="1:37" x14ac:dyDescent="0.25">
      <c r="F19" s="2"/>
      <c r="G19" s="2"/>
      <c r="H19" s="2"/>
      <c r="J19" s="37"/>
      <c r="T19" s="22" t="s">
        <v>22</v>
      </c>
      <c r="U19" s="23">
        <f>SUM(K18:U18)</f>
        <v>1960.31</v>
      </c>
      <c r="AB19" s="22" t="s">
        <v>22</v>
      </c>
      <c r="AC19" s="23">
        <f>SUM(X18:AC18)</f>
        <v>45</v>
      </c>
      <c r="AJ19" s="22" t="s">
        <v>22</v>
      </c>
      <c r="AK19" s="23">
        <f>SUM(AF18:AK18)</f>
        <v>0</v>
      </c>
    </row>
    <row r="20" spans="1:37" ht="15.75" thickBot="1" x14ac:dyDescent="0.3">
      <c r="A20" s="34"/>
      <c r="B20" s="171" t="s">
        <v>12</v>
      </c>
      <c r="C20" s="171"/>
      <c r="D20" s="171"/>
      <c r="E20" s="171"/>
      <c r="F20" s="171"/>
      <c r="G20" s="171"/>
      <c r="H20" s="171"/>
      <c r="J20" s="172" t="s">
        <v>12</v>
      </c>
      <c r="K20" s="172"/>
      <c r="L20" s="172"/>
      <c r="M20" s="172"/>
      <c r="N20" s="172"/>
      <c r="O20" s="172"/>
      <c r="P20" s="172"/>
      <c r="Q20" s="172"/>
      <c r="R20" s="172"/>
      <c r="S20" s="172"/>
      <c r="T20" s="172"/>
      <c r="U20" s="172"/>
      <c r="W20" s="173" t="str">
        <f>J20</f>
        <v>Março</v>
      </c>
      <c r="X20" s="173"/>
      <c r="Y20" s="173"/>
      <c r="Z20" s="173"/>
      <c r="AA20" s="173"/>
      <c r="AB20" s="173"/>
      <c r="AC20" s="173"/>
      <c r="AE20" s="174" t="str">
        <f>W20</f>
        <v>Março</v>
      </c>
      <c r="AF20" s="174"/>
      <c r="AG20" s="174"/>
      <c r="AH20" s="174"/>
      <c r="AI20" s="174"/>
      <c r="AJ20" s="174"/>
      <c r="AK20" s="174"/>
    </row>
    <row r="21" spans="1:37" ht="15.75" thickBot="1" x14ac:dyDescent="0.3">
      <c r="A21" s="168" t="s">
        <v>4</v>
      </c>
      <c r="B21" s="10" t="s">
        <v>5</v>
      </c>
      <c r="C21" s="11" t="s">
        <v>6</v>
      </c>
      <c r="D21" s="12" t="s">
        <v>7</v>
      </c>
      <c r="E21" s="11" t="s">
        <v>8</v>
      </c>
      <c r="F21" s="12" t="s">
        <v>9</v>
      </c>
      <c r="G21" s="11" t="s">
        <v>10</v>
      </c>
      <c r="H21" s="32" t="s">
        <v>11</v>
      </c>
      <c r="J21" s="35" t="s">
        <v>3</v>
      </c>
      <c r="K21" s="14">
        <v>45748</v>
      </c>
      <c r="L21" s="24">
        <v>45720</v>
      </c>
      <c r="M21" s="24">
        <v>45722</v>
      </c>
      <c r="N21" s="24">
        <v>45724</v>
      </c>
      <c r="O21" s="24">
        <v>45727</v>
      </c>
      <c r="P21" s="24">
        <v>45729</v>
      </c>
      <c r="Q21" s="24">
        <v>45731</v>
      </c>
      <c r="R21" s="24">
        <v>45734</v>
      </c>
      <c r="S21" s="24">
        <v>45736</v>
      </c>
      <c r="T21" s="24">
        <v>45738</v>
      </c>
      <c r="U21" s="80">
        <v>45741</v>
      </c>
      <c r="W21" s="35" t="s">
        <v>3</v>
      </c>
      <c r="X21" s="14">
        <v>45724</v>
      </c>
      <c r="Y21" s="15"/>
      <c r="Z21" s="15"/>
      <c r="AA21" s="15"/>
      <c r="AB21" s="15"/>
      <c r="AC21" s="16"/>
      <c r="AE21" s="35" t="s">
        <v>3</v>
      </c>
      <c r="AF21" s="14"/>
      <c r="AG21" s="15"/>
      <c r="AH21" s="15"/>
      <c r="AI21" s="15"/>
      <c r="AJ21" s="15"/>
      <c r="AK21" s="16"/>
    </row>
    <row r="22" spans="1:37" ht="15.75" thickBot="1" x14ac:dyDescent="0.3">
      <c r="A22" s="168"/>
      <c r="B22" s="18">
        <v>11955</v>
      </c>
      <c r="C22" s="18">
        <v>13673</v>
      </c>
      <c r="D22" s="18">
        <v>13673</v>
      </c>
      <c r="E22" s="18">
        <v>16469</v>
      </c>
      <c r="F22" s="18">
        <f>SUM(C22-B22)</f>
        <v>1718</v>
      </c>
      <c r="G22" s="18">
        <f>SUM(E22-D22)</f>
        <v>2796</v>
      </c>
      <c r="H22" s="33">
        <f>SUM(F22:G22)</f>
        <v>4514</v>
      </c>
      <c r="J22" s="36" t="s">
        <v>21</v>
      </c>
      <c r="K22" s="19">
        <v>194.85</v>
      </c>
      <c r="L22" s="20">
        <v>176.59</v>
      </c>
      <c r="M22" s="20">
        <v>186.19</v>
      </c>
      <c r="N22" s="20">
        <v>186.99</v>
      </c>
      <c r="O22" s="20">
        <v>167</v>
      </c>
      <c r="P22" s="20">
        <v>190.02</v>
      </c>
      <c r="Q22" s="20">
        <v>204.04</v>
      </c>
      <c r="R22" s="20">
        <v>204.05</v>
      </c>
      <c r="S22" s="20">
        <v>240.45</v>
      </c>
      <c r="T22" s="20">
        <v>246.07</v>
      </c>
      <c r="U22" s="21">
        <v>222.35</v>
      </c>
      <c r="W22" s="36" t="s">
        <v>21</v>
      </c>
      <c r="X22" s="19">
        <v>45</v>
      </c>
      <c r="Y22" s="20"/>
      <c r="Z22" s="20"/>
      <c r="AA22" s="20"/>
      <c r="AB22" s="20"/>
      <c r="AC22" s="21"/>
      <c r="AE22" s="36" t="s">
        <v>21</v>
      </c>
      <c r="AF22" s="19"/>
      <c r="AG22" s="20"/>
      <c r="AH22" s="20"/>
      <c r="AI22" s="20"/>
      <c r="AJ22" s="20"/>
      <c r="AK22" s="21"/>
    </row>
    <row r="23" spans="1:37" x14ac:dyDescent="0.25">
      <c r="F23" s="2"/>
      <c r="G23" s="2"/>
      <c r="H23" s="2"/>
      <c r="J23" s="37"/>
      <c r="T23" s="22" t="s">
        <v>22</v>
      </c>
      <c r="U23" s="23">
        <f>SUM(K22:U22)</f>
        <v>2218.6</v>
      </c>
      <c r="AB23" s="22" t="s">
        <v>22</v>
      </c>
      <c r="AC23" s="23">
        <f>SUM(X22:AC22)</f>
        <v>45</v>
      </c>
      <c r="AJ23" s="22" t="s">
        <v>22</v>
      </c>
      <c r="AK23" s="23">
        <f>SUM(AF22:AK22)</f>
        <v>0</v>
      </c>
    </row>
    <row r="24" spans="1:37" ht="15.75" thickBot="1" x14ac:dyDescent="0.3">
      <c r="A24" s="34"/>
      <c r="B24" s="171" t="s">
        <v>13</v>
      </c>
      <c r="C24" s="171"/>
      <c r="D24" s="171"/>
      <c r="E24" s="171"/>
      <c r="F24" s="171"/>
      <c r="G24" s="171"/>
      <c r="H24" s="171"/>
      <c r="J24" s="172" t="s">
        <v>13</v>
      </c>
      <c r="K24" s="172"/>
      <c r="L24" s="172"/>
      <c r="M24" s="172"/>
      <c r="N24" s="172"/>
      <c r="O24" s="172"/>
      <c r="P24" s="172"/>
      <c r="Q24" s="172"/>
      <c r="R24" s="172"/>
      <c r="S24" s="172"/>
      <c r="T24" s="172"/>
      <c r="U24" s="172"/>
      <c r="W24" s="173" t="str">
        <f>J24</f>
        <v>Abril</v>
      </c>
      <c r="X24" s="173"/>
      <c r="Y24" s="173"/>
      <c r="Z24" s="173"/>
      <c r="AA24" s="173"/>
      <c r="AB24" s="173"/>
      <c r="AC24" s="173"/>
      <c r="AE24" s="174" t="str">
        <f>W24</f>
        <v>Abril</v>
      </c>
      <c r="AF24" s="174"/>
      <c r="AG24" s="174"/>
      <c r="AH24" s="174"/>
      <c r="AI24" s="174"/>
      <c r="AJ24" s="174"/>
      <c r="AK24" s="174"/>
    </row>
    <row r="25" spans="1:37" ht="15.75" thickBot="1" x14ac:dyDescent="0.3">
      <c r="A25" s="168" t="s">
        <v>4</v>
      </c>
      <c r="B25" s="10" t="s">
        <v>5</v>
      </c>
      <c r="C25" s="11" t="s">
        <v>6</v>
      </c>
      <c r="D25" s="12" t="s">
        <v>7</v>
      </c>
      <c r="E25" s="11" t="s">
        <v>8</v>
      </c>
      <c r="F25" s="12" t="s">
        <v>9</v>
      </c>
      <c r="G25" s="11" t="s">
        <v>10</v>
      </c>
      <c r="H25" s="32" t="s">
        <v>11</v>
      </c>
      <c r="J25" s="35" t="s">
        <v>3</v>
      </c>
      <c r="K25" s="14">
        <v>45748</v>
      </c>
      <c r="L25" s="24">
        <v>45752</v>
      </c>
      <c r="M25" s="24">
        <v>45755</v>
      </c>
      <c r="N25" s="24">
        <v>45757</v>
      </c>
      <c r="O25" s="24">
        <v>45758</v>
      </c>
      <c r="P25" s="24">
        <v>45759</v>
      </c>
      <c r="Q25" s="24">
        <v>45761</v>
      </c>
      <c r="R25" s="24">
        <v>45764</v>
      </c>
      <c r="S25" s="24">
        <v>45769</v>
      </c>
      <c r="T25" s="24">
        <v>45771</v>
      </c>
      <c r="U25" s="80">
        <v>45774</v>
      </c>
      <c r="W25" s="35" t="s">
        <v>3</v>
      </c>
      <c r="X25" s="14"/>
      <c r="Y25" s="15"/>
      <c r="Z25" s="15"/>
      <c r="AA25" s="15"/>
      <c r="AB25" s="15"/>
      <c r="AC25" s="16"/>
      <c r="AE25" s="35" t="s">
        <v>3</v>
      </c>
      <c r="AF25" s="14"/>
      <c r="AG25" s="15"/>
      <c r="AH25" s="15"/>
      <c r="AI25" s="15"/>
      <c r="AJ25" s="15"/>
      <c r="AK25" s="16"/>
    </row>
    <row r="26" spans="1:37" ht="15.75" thickBot="1" x14ac:dyDescent="0.3">
      <c r="A26" s="168"/>
      <c r="B26" s="18">
        <v>16469</v>
      </c>
      <c r="C26" s="18">
        <v>18200</v>
      </c>
      <c r="D26" s="18">
        <v>47141</v>
      </c>
      <c r="E26" s="18">
        <v>49460</v>
      </c>
      <c r="F26" s="18">
        <f>SUM(C26-B26)</f>
        <v>1731</v>
      </c>
      <c r="G26" s="18">
        <f>SUM(E26-D26)</f>
        <v>2319</v>
      </c>
      <c r="H26" s="33">
        <f>SUM(F26:G26)</f>
        <v>4050</v>
      </c>
      <c r="J26" s="36" t="s">
        <v>21</v>
      </c>
      <c r="K26" s="25">
        <v>276.60000000000002</v>
      </c>
      <c r="L26" s="26">
        <v>286.79000000000002</v>
      </c>
      <c r="M26" s="26">
        <v>213.87</v>
      </c>
      <c r="N26" s="26">
        <v>157.28</v>
      </c>
      <c r="O26" s="26">
        <v>75.41</v>
      </c>
      <c r="P26" s="26">
        <v>127.78</v>
      </c>
      <c r="Q26" s="26">
        <v>289.32</v>
      </c>
      <c r="R26" s="26">
        <v>307.43</v>
      </c>
      <c r="S26" s="26">
        <v>280.16000000000003</v>
      </c>
      <c r="T26" s="26">
        <v>218.82</v>
      </c>
      <c r="U26" s="27">
        <v>251.41</v>
      </c>
      <c r="W26" s="36" t="s">
        <v>21</v>
      </c>
      <c r="X26" s="19"/>
      <c r="Y26" s="20"/>
      <c r="Z26" s="20"/>
      <c r="AA26" s="20"/>
      <c r="AB26" s="20"/>
      <c r="AC26" s="21"/>
      <c r="AE26" s="36" t="s">
        <v>21</v>
      </c>
      <c r="AF26" s="19"/>
      <c r="AG26" s="20"/>
      <c r="AH26" s="20"/>
      <c r="AI26" s="20"/>
      <c r="AJ26" s="20"/>
      <c r="AK26" s="21"/>
    </row>
    <row r="27" spans="1:37" x14ac:dyDescent="0.25">
      <c r="F27" s="2"/>
      <c r="G27" s="2"/>
      <c r="H27" s="2"/>
      <c r="J27" s="37"/>
      <c r="T27" s="22" t="s">
        <v>22</v>
      </c>
      <c r="U27" s="23">
        <f>SUM(K26:U26)</f>
        <v>2484.87</v>
      </c>
      <c r="AB27" s="22" t="s">
        <v>22</v>
      </c>
      <c r="AC27" s="23">
        <f>SUM(X26:AC26)</f>
        <v>0</v>
      </c>
      <c r="AJ27" s="22" t="s">
        <v>22</v>
      </c>
      <c r="AK27" s="23">
        <f>SUM(AF26:AK26)</f>
        <v>0</v>
      </c>
    </row>
    <row r="28" spans="1:37" ht="15.75" thickBot="1" x14ac:dyDescent="0.3">
      <c r="A28" s="34"/>
      <c r="B28" s="171" t="s">
        <v>14</v>
      </c>
      <c r="C28" s="171"/>
      <c r="D28" s="171"/>
      <c r="E28" s="171"/>
      <c r="F28" s="171"/>
      <c r="G28" s="171"/>
      <c r="H28" s="171"/>
      <c r="J28" s="172" t="s">
        <v>14</v>
      </c>
      <c r="K28" s="172"/>
      <c r="L28" s="172"/>
      <c r="M28" s="172"/>
      <c r="N28" s="172"/>
      <c r="O28" s="172"/>
      <c r="P28" s="172"/>
      <c r="Q28" s="172"/>
      <c r="R28" s="172"/>
      <c r="S28" s="172"/>
      <c r="T28" s="172"/>
      <c r="U28" s="172"/>
      <c r="W28" s="173" t="str">
        <f>J28</f>
        <v>Maio</v>
      </c>
      <c r="X28" s="173"/>
      <c r="Y28" s="173"/>
      <c r="Z28" s="173"/>
      <c r="AA28" s="173"/>
      <c r="AB28" s="173"/>
      <c r="AC28" s="173"/>
      <c r="AE28" s="174" t="str">
        <f>W28</f>
        <v>Maio</v>
      </c>
      <c r="AF28" s="174"/>
      <c r="AG28" s="174"/>
      <c r="AH28" s="174"/>
      <c r="AI28" s="174"/>
      <c r="AJ28" s="174"/>
      <c r="AK28" s="174"/>
    </row>
    <row r="29" spans="1:37" ht="15.75" thickBot="1" x14ac:dyDescent="0.3">
      <c r="A29" s="168" t="s">
        <v>4</v>
      </c>
      <c r="B29" s="10" t="s">
        <v>5</v>
      </c>
      <c r="C29" s="11" t="s">
        <v>6</v>
      </c>
      <c r="D29" s="12" t="s">
        <v>7</v>
      </c>
      <c r="E29" s="11" t="s">
        <v>8</v>
      </c>
      <c r="F29" s="12" t="s">
        <v>9</v>
      </c>
      <c r="G29" s="11" t="s">
        <v>10</v>
      </c>
      <c r="H29" s="32" t="s">
        <v>11</v>
      </c>
      <c r="J29" s="35" t="s">
        <v>3</v>
      </c>
      <c r="K29" s="14">
        <v>45780</v>
      </c>
      <c r="L29" s="24">
        <v>45783</v>
      </c>
      <c r="M29" s="24">
        <v>45785</v>
      </c>
      <c r="N29" s="24">
        <v>45787</v>
      </c>
      <c r="O29" s="24">
        <v>45790</v>
      </c>
      <c r="P29" s="24">
        <v>45792</v>
      </c>
      <c r="Q29" s="24">
        <v>45794</v>
      </c>
      <c r="R29" s="24">
        <v>45797</v>
      </c>
      <c r="S29" s="24">
        <v>45799</v>
      </c>
      <c r="T29" s="24">
        <v>45804</v>
      </c>
      <c r="U29" s="80">
        <v>45806</v>
      </c>
      <c r="V29" s="138">
        <v>45808</v>
      </c>
      <c r="W29" s="35" t="s">
        <v>3</v>
      </c>
      <c r="X29" s="14"/>
      <c r="Y29" s="15"/>
      <c r="Z29" s="15"/>
      <c r="AA29" s="15"/>
      <c r="AB29" s="15"/>
      <c r="AC29" s="16"/>
      <c r="AE29" s="35" t="s">
        <v>3</v>
      </c>
      <c r="AF29" s="14"/>
      <c r="AG29" s="15"/>
      <c r="AH29" s="15"/>
      <c r="AI29" s="15"/>
      <c r="AJ29" s="15"/>
      <c r="AK29" s="16"/>
    </row>
    <row r="30" spans="1:37" ht="15.75" thickBot="1" x14ac:dyDescent="0.3">
      <c r="A30" s="168"/>
      <c r="B30" s="18">
        <v>49460</v>
      </c>
      <c r="C30" s="18">
        <v>51300</v>
      </c>
      <c r="D30" s="18">
        <v>51300</v>
      </c>
      <c r="E30" s="18">
        <v>54580</v>
      </c>
      <c r="F30" s="18">
        <f>SUM(C30-B30)</f>
        <v>1840</v>
      </c>
      <c r="G30" s="18">
        <f>SUM(E30-D30)</f>
        <v>3280</v>
      </c>
      <c r="H30" s="33">
        <f>SUM(F30:G30)</f>
        <v>5120</v>
      </c>
      <c r="J30" s="36" t="s">
        <v>21</v>
      </c>
      <c r="K30" s="19">
        <v>167.03</v>
      </c>
      <c r="L30" s="20">
        <v>184.98</v>
      </c>
      <c r="M30" s="20">
        <v>195.1</v>
      </c>
      <c r="N30" s="20">
        <v>154.99</v>
      </c>
      <c r="O30" s="20">
        <v>183.67</v>
      </c>
      <c r="P30" s="20">
        <v>189.17</v>
      </c>
      <c r="Q30" s="20"/>
      <c r="R30" s="20">
        <v>208.15</v>
      </c>
      <c r="S30" s="20">
        <v>297.83</v>
      </c>
      <c r="T30" s="20">
        <v>259.33999999999997</v>
      </c>
      <c r="U30" s="21">
        <v>225.54</v>
      </c>
      <c r="V30" s="3">
        <v>224.66</v>
      </c>
      <c r="W30" s="36" t="s">
        <v>21</v>
      </c>
      <c r="X30" s="19"/>
      <c r="Y30" s="20"/>
      <c r="Z30" s="20"/>
      <c r="AA30" s="20"/>
      <c r="AB30" s="20"/>
      <c r="AC30" s="21"/>
      <c r="AE30" s="36" t="s">
        <v>21</v>
      </c>
      <c r="AF30" s="19"/>
      <c r="AG30" s="20"/>
      <c r="AH30" s="20"/>
      <c r="AI30" s="20"/>
      <c r="AJ30" s="20"/>
      <c r="AK30" s="21"/>
    </row>
    <row r="31" spans="1:37" x14ac:dyDescent="0.25">
      <c r="F31" s="2"/>
      <c r="G31" s="2"/>
      <c r="H31" s="2"/>
      <c r="J31" s="37"/>
      <c r="T31" s="22" t="s">
        <v>22</v>
      </c>
      <c r="U31" s="23">
        <f>SUM(K30:V30)</f>
        <v>2290.46</v>
      </c>
      <c r="AB31" s="22" t="s">
        <v>22</v>
      </c>
      <c r="AC31" s="23">
        <f>SUM(X30:AC30)</f>
        <v>0</v>
      </c>
      <c r="AJ31" s="22" t="s">
        <v>22</v>
      </c>
      <c r="AK31" s="23">
        <f>SUM(AF30:AK30)</f>
        <v>0</v>
      </c>
    </row>
    <row r="32" spans="1:37" ht="15.75" thickBot="1" x14ac:dyDescent="0.3">
      <c r="A32" s="34"/>
      <c r="B32" s="171" t="s">
        <v>23</v>
      </c>
      <c r="C32" s="171"/>
      <c r="D32" s="171"/>
      <c r="E32" s="171"/>
      <c r="F32" s="171"/>
      <c r="G32" s="171"/>
      <c r="H32" s="171"/>
      <c r="J32" s="172" t="s">
        <v>23</v>
      </c>
      <c r="K32" s="172"/>
      <c r="L32" s="172"/>
      <c r="M32" s="172"/>
      <c r="N32" s="172"/>
      <c r="O32" s="172"/>
      <c r="P32" s="172"/>
      <c r="Q32" s="172"/>
      <c r="R32" s="172"/>
      <c r="S32" s="172"/>
      <c r="T32" s="172"/>
      <c r="U32" s="172"/>
      <c r="W32" s="173" t="str">
        <f>J32</f>
        <v>Junho</v>
      </c>
      <c r="X32" s="173"/>
      <c r="Y32" s="173"/>
      <c r="Z32" s="173"/>
      <c r="AA32" s="173"/>
      <c r="AB32" s="173"/>
      <c r="AC32" s="173"/>
      <c r="AE32" s="174" t="str">
        <f>W32</f>
        <v>Junho</v>
      </c>
      <c r="AF32" s="174"/>
      <c r="AG32" s="174"/>
      <c r="AH32" s="174"/>
      <c r="AI32" s="174"/>
      <c r="AJ32" s="174"/>
      <c r="AK32" s="174"/>
    </row>
    <row r="33" spans="1:37" ht="15.75" thickBot="1" x14ac:dyDescent="0.3">
      <c r="A33" s="168" t="s">
        <v>4</v>
      </c>
      <c r="B33" s="10" t="s">
        <v>5</v>
      </c>
      <c r="C33" s="11" t="s">
        <v>6</v>
      </c>
      <c r="D33" s="12" t="s">
        <v>7</v>
      </c>
      <c r="E33" s="11" t="s">
        <v>8</v>
      </c>
      <c r="F33" s="12" t="s">
        <v>9</v>
      </c>
      <c r="G33" s="11" t="s">
        <v>10</v>
      </c>
      <c r="H33" s="32" t="s">
        <v>11</v>
      </c>
      <c r="J33" s="35" t="s">
        <v>3</v>
      </c>
      <c r="K33" s="14">
        <v>45811</v>
      </c>
      <c r="L33" s="24">
        <v>45813</v>
      </c>
      <c r="M33" s="24">
        <v>45818</v>
      </c>
      <c r="N33" s="24">
        <v>45820</v>
      </c>
      <c r="O33" s="24">
        <v>45825</v>
      </c>
      <c r="P33" s="24">
        <v>45827</v>
      </c>
      <c r="Q33" s="15"/>
      <c r="R33" s="15"/>
      <c r="S33" s="15"/>
      <c r="T33" s="15"/>
      <c r="U33" s="16"/>
      <c r="W33" s="35" t="s">
        <v>3</v>
      </c>
      <c r="X33" s="14"/>
      <c r="Y33" s="15"/>
      <c r="Z33" s="15"/>
      <c r="AA33" s="15"/>
      <c r="AB33" s="15"/>
      <c r="AC33" s="16"/>
      <c r="AE33" s="35" t="s">
        <v>3</v>
      </c>
      <c r="AF33" s="14"/>
      <c r="AG33" s="15"/>
      <c r="AH33" s="15"/>
      <c r="AI33" s="15"/>
      <c r="AJ33" s="15"/>
      <c r="AK33" s="16"/>
    </row>
    <row r="34" spans="1:37" ht="15.75" thickBot="1" x14ac:dyDescent="0.3">
      <c r="A34" s="168"/>
      <c r="B34" s="18">
        <v>54580</v>
      </c>
      <c r="C34" s="18">
        <v>55833</v>
      </c>
      <c r="D34" s="18">
        <v>55833</v>
      </c>
      <c r="E34" s="18">
        <v>57320</v>
      </c>
      <c r="F34" s="18">
        <f>SUM(C34-B34)</f>
        <v>1253</v>
      </c>
      <c r="G34" s="18">
        <f>SUM(E34-D34)</f>
        <v>1487</v>
      </c>
      <c r="H34" s="33">
        <f>SUM(F34:G34)</f>
        <v>2740</v>
      </c>
      <c r="J34" s="36" t="s">
        <v>21</v>
      </c>
      <c r="K34" s="19">
        <v>218.15</v>
      </c>
      <c r="L34" s="20">
        <v>200.55</v>
      </c>
      <c r="M34" s="20">
        <v>180.55</v>
      </c>
      <c r="N34" s="20">
        <v>217.54</v>
      </c>
      <c r="O34" s="20">
        <v>241.83</v>
      </c>
      <c r="P34" s="20">
        <v>187.16</v>
      </c>
      <c r="Q34" s="20"/>
      <c r="R34" s="20"/>
      <c r="S34" s="20"/>
      <c r="T34" s="20"/>
      <c r="U34" s="21"/>
      <c r="W34" s="36" t="s">
        <v>21</v>
      </c>
      <c r="X34" s="19"/>
      <c r="Y34" s="20"/>
      <c r="Z34" s="20"/>
      <c r="AA34" s="20"/>
      <c r="AB34" s="20"/>
      <c r="AC34" s="21"/>
      <c r="AE34" s="36" t="s">
        <v>21</v>
      </c>
      <c r="AF34" s="19"/>
      <c r="AG34" s="20"/>
      <c r="AH34" s="20"/>
      <c r="AI34" s="20"/>
      <c r="AJ34" s="20"/>
      <c r="AK34" s="21"/>
    </row>
    <row r="35" spans="1:37" x14ac:dyDescent="0.25">
      <c r="F35" s="2"/>
      <c r="G35" s="2"/>
      <c r="H35" s="2"/>
      <c r="J35" s="37"/>
      <c r="T35" s="22" t="s">
        <v>22</v>
      </c>
      <c r="U35" s="23">
        <f>SUM(K34:U34)</f>
        <v>1245.78</v>
      </c>
      <c r="AB35" s="22" t="s">
        <v>22</v>
      </c>
      <c r="AC35" s="23">
        <f>SUM(X34:AC34)</f>
        <v>0</v>
      </c>
      <c r="AJ35" s="22" t="s">
        <v>22</v>
      </c>
      <c r="AK35" s="23">
        <f>SUM(AF34:AK34)</f>
        <v>0</v>
      </c>
    </row>
    <row r="36" spans="1:37" ht="15.75" thickBot="1" x14ac:dyDescent="0.3">
      <c r="A36" s="34"/>
      <c r="B36" s="171" t="s">
        <v>15</v>
      </c>
      <c r="C36" s="171"/>
      <c r="D36" s="171"/>
      <c r="E36" s="171"/>
      <c r="F36" s="171"/>
      <c r="G36" s="171"/>
      <c r="H36" s="171"/>
      <c r="J36" s="172" t="s">
        <v>15</v>
      </c>
      <c r="K36" s="172"/>
      <c r="L36" s="172"/>
      <c r="M36" s="172"/>
      <c r="N36" s="172"/>
      <c r="O36" s="172"/>
      <c r="P36" s="172"/>
      <c r="Q36" s="172"/>
      <c r="R36" s="172"/>
      <c r="S36" s="172"/>
      <c r="T36" s="172"/>
      <c r="U36" s="172"/>
      <c r="W36" s="173" t="str">
        <f>J36</f>
        <v>Julho</v>
      </c>
      <c r="X36" s="173"/>
      <c r="Y36" s="173"/>
      <c r="Z36" s="173"/>
      <c r="AA36" s="173"/>
      <c r="AB36" s="173"/>
      <c r="AC36" s="173"/>
      <c r="AE36" s="174" t="str">
        <f>W36</f>
        <v>Julho</v>
      </c>
      <c r="AF36" s="174"/>
      <c r="AG36" s="174"/>
      <c r="AH36" s="174"/>
      <c r="AI36" s="174"/>
      <c r="AJ36" s="174"/>
      <c r="AK36" s="174"/>
    </row>
    <row r="37" spans="1:37" ht="15.75" thickBot="1" x14ac:dyDescent="0.3">
      <c r="A37" s="168" t="s">
        <v>4</v>
      </c>
      <c r="B37" s="10" t="s">
        <v>5</v>
      </c>
      <c r="C37" s="11" t="s">
        <v>6</v>
      </c>
      <c r="D37" s="12" t="s">
        <v>7</v>
      </c>
      <c r="E37" s="11" t="s">
        <v>8</v>
      </c>
      <c r="F37" s="12" t="s">
        <v>9</v>
      </c>
      <c r="G37" s="11" t="s">
        <v>10</v>
      </c>
      <c r="H37" s="32" t="s">
        <v>11</v>
      </c>
      <c r="J37" s="35" t="s">
        <v>3</v>
      </c>
      <c r="K37" s="14">
        <v>45841</v>
      </c>
      <c r="L37" s="24">
        <v>45846</v>
      </c>
      <c r="M37" s="24">
        <v>45850</v>
      </c>
      <c r="N37" s="24">
        <v>45853</v>
      </c>
      <c r="O37" s="24">
        <v>45863</v>
      </c>
      <c r="P37" s="15"/>
      <c r="Q37" s="15"/>
      <c r="R37" s="15"/>
      <c r="S37" s="15"/>
      <c r="T37" s="15"/>
      <c r="U37" s="16"/>
      <c r="W37" s="35" t="s">
        <v>3</v>
      </c>
      <c r="X37" s="14"/>
      <c r="Y37" s="15"/>
      <c r="Z37" s="15"/>
      <c r="AA37" s="15"/>
      <c r="AB37" s="15"/>
      <c r="AC37" s="16"/>
      <c r="AE37" s="35" t="s">
        <v>3</v>
      </c>
      <c r="AF37" s="14"/>
      <c r="AG37" s="15"/>
      <c r="AH37" s="15"/>
      <c r="AI37" s="15"/>
      <c r="AJ37" s="15"/>
      <c r="AK37" s="16"/>
    </row>
    <row r="38" spans="1:37" ht="15.75" thickBot="1" x14ac:dyDescent="0.3">
      <c r="A38" s="168"/>
      <c r="B38" s="17">
        <v>57320</v>
      </c>
      <c r="C38" s="18">
        <v>58958</v>
      </c>
      <c r="D38" s="18">
        <v>58958</v>
      </c>
      <c r="E38" s="18">
        <v>60549</v>
      </c>
      <c r="F38" s="18">
        <f>SUM(C38-B38)</f>
        <v>1638</v>
      </c>
      <c r="G38" s="18">
        <f>SUM(E38-D38)</f>
        <v>1591</v>
      </c>
      <c r="H38" s="33">
        <f>SUM(F38:G38)</f>
        <v>3229</v>
      </c>
      <c r="J38" s="36" t="s">
        <v>21</v>
      </c>
      <c r="K38" s="19">
        <v>175.88</v>
      </c>
      <c r="L38" s="20">
        <v>192.94</v>
      </c>
      <c r="M38" s="20">
        <v>217.43</v>
      </c>
      <c r="N38" s="20">
        <v>238.19</v>
      </c>
      <c r="O38" s="20">
        <v>188.69</v>
      </c>
      <c r="P38" s="20"/>
      <c r="Q38" s="20"/>
      <c r="R38" s="20"/>
      <c r="S38" s="20"/>
      <c r="T38" s="20"/>
      <c r="U38" s="21"/>
      <c r="W38" s="36" t="s">
        <v>21</v>
      </c>
      <c r="X38" s="19"/>
      <c r="Y38" s="20"/>
      <c r="Z38" s="20"/>
      <c r="AA38" s="20"/>
      <c r="AB38" s="20"/>
      <c r="AC38" s="21"/>
      <c r="AE38" s="36" t="s">
        <v>21</v>
      </c>
      <c r="AF38" s="19"/>
      <c r="AG38" s="20"/>
      <c r="AH38" s="20"/>
      <c r="AI38" s="20"/>
      <c r="AJ38" s="20"/>
      <c r="AK38" s="21"/>
    </row>
    <row r="39" spans="1:37" x14ac:dyDescent="0.25">
      <c r="F39" s="2"/>
      <c r="G39" s="2"/>
      <c r="H39" s="2"/>
      <c r="J39" s="37"/>
      <c r="T39" s="22" t="s">
        <v>22</v>
      </c>
      <c r="U39" s="23">
        <f>SUM(K38:U38)</f>
        <v>1013.1300000000001</v>
      </c>
      <c r="AB39" s="22" t="s">
        <v>22</v>
      </c>
      <c r="AC39" s="23">
        <f>SUM(X38:AC38)</f>
        <v>0</v>
      </c>
      <c r="AJ39" s="22" t="s">
        <v>22</v>
      </c>
      <c r="AK39" s="23">
        <f>SUM(AF38:AK38)</f>
        <v>0</v>
      </c>
    </row>
    <row r="40" spans="1:37" ht="15.75" thickBot="1" x14ac:dyDescent="0.3">
      <c r="A40" s="34"/>
      <c r="B40" s="171" t="s">
        <v>16</v>
      </c>
      <c r="C40" s="171"/>
      <c r="D40" s="171"/>
      <c r="E40" s="171"/>
      <c r="F40" s="171"/>
      <c r="G40" s="171"/>
      <c r="H40" s="171"/>
      <c r="J40" s="172" t="s">
        <v>16</v>
      </c>
      <c r="K40" s="172"/>
      <c r="L40" s="172"/>
      <c r="M40" s="172"/>
      <c r="N40" s="172"/>
      <c r="O40" s="172"/>
      <c r="P40" s="172"/>
      <c r="Q40" s="172"/>
      <c r="R40" s="172"/>
      <c r="S40" s="172"/>
      <c r="T40" s="172"/>
      <c r="U40" s="172"/>
      <c r="W40" s="173" t="str">
        <f>J40</f>
        <v>Agosto</v>
      </c>
      <c r="X40" s="173"/>
      <c r="Y40" s="173"/>
      <c r="Z40" s="173"/>
      <c r="AA40" s="173"/>
      <c r="AB40" s="173"/>
      <c r="AC40" s="173"/>
      <c r="AE40" s="174" t="str">
        <f>W40</f>
        <v>Agosto</v>
      </c>
      <c r="AF40" s="174"/>
      <c r="AG40" s="174"/>
      <c r="AH40" s="174"/>
      <c r="AI40" s="174"/>
      <c r="AJ40" s="174"/>
      <c r="AK40" s="174"/>
    </row>
    <row r="41" spans="1:37" ht="15.75" thickBot="1" x14ac:dyDescent="0.3">
      <c r="A41" s="168" t="s">
        <v>4</v>
      </c>
      <c r="B41" s="10" t="s">
        <v>5</v>
      </c>
      <c r="C41" s="11" t="s">
        <v>6</v>
      </c>
      <c r="D41" s="12" t="s">
        <v>7</v>
      </c>
      <c r="E41" s="11" t="s">
        <v>8</v>
      </c>
      <c r="F41" s="12" t="s">
        <v>9</v>
      </c>
      <c r="G41" s="11" t="s">
        <v>10</v>
      </c>
      <c r="H41" s="32" t="s">
        <v>11</v>
      </c>
      <c r="J41" s="35" t="s">
        <v>3</v>
      </c>
      <c r="K41" s="14"/>
      <c r="L41" s="15"/>
      <c r="M41" s="15"/>
      <c r="N41" s="15"/>
      <c r="O41" s="15"/>
      <c r="P41" s="15"/>
      <c r="Q41" s="15"/>
      <c r="R41" s="15"/>
      <c r="S41" s="15"/>
      <c r="T41" s="15"/>
      <c r="U41" s="16"/>
      <c r="W41" s="35" t="s">
        <v>3</v>
      </c>
      <c r="X41" s="14"/>
      <c r="Y41" s="15"/>
      <c r="Z41" s="15"/>
      <c r="AA41" s="15"/>
      <c r="AB41" s="15"/>
      <c r="AC41" s="16"/>
      <c r="AE41" s="35" t="s">
        <v>3</v>
      </c>
      <c r="AF41" s="14"/>
      <c r="AG41" s="15"/>
      <c r="AH41" s="15"/>
      <c r="AI41" s="15"/>
      <c r="AJ41" s="15"/>
      <c r="AK41" s="16"/>
    </row>
    <row r="42" spans="1:37" ht="15.75" thickBot="1" x14ac:dyDescent="0.3">
      <c r="A42" s="168"/>
      <c r="B42" s="17"/>
      <c r="C42" s="18"/>
      <c r="D42" s="18"/>
      <c r="E42" s="18"/>
      <c r="F42" s="18">
        <f>SUM(C42-B42)</f>
        <v>0</v>
      </c>
      <c r="G42" s="18">
        <f>SUM(E42-D42)</f>
        <v>0</v>
      </c>
      <c r="H42" s="33">
        <f>SUM(F42:G42)</f>
        <v>0</v>
      </c>
      <c r="J42" s="36" t="s">
        <v>21</v>
      </c>
      <c r="K42" s="19"/>
      <c r="L42" s="20"/>
      <c r="M42" s="20"/>
      <c r="N42" s="20"/>
      <c r="O42" s="20"/>
      <c r="P42" s="20"/>
      <c r="Q42" s="20"/>
      <c r="R42" s="20"/>
      <c r="S42" s="20"/>
      <c r="T42" s="20"/>
      <c r="U42" s="21"/>
      <c r="W42" s="36" t="s">
        <v>21</v>
      </c>
      <c r="X42" s="19"/>
      <c r="Y42" s="20"/>
      <c r="Z42" s="20"/>
      <c r="AA42" s="20"/>
      <c r="AB42" s="20"/>
      <c r="AC42" s="21"/>
      <c r="AE42" s="36" t="s">
        <v>21</v>
      </c>
      <c r="AF42" s="19"/>
      <c r="AG42" s="20"/>
      <c r="AH42" s="20"/>
      <c r="AI42" s="20"/>
      <c r="AJ42" s="20"/>
      <c r="AK42" s="21"/>
    </row>
    <row r="43" spans="1:37" x14ac:dyDescent="0.25">
      <c r="F43" s="2"/>
      <c r="G43" s="2"/>
      <c r="H43" s="2"/>
      <c r="J43" s="37"/>
      <c r="T43" s="22" t="s">
        <v>22</v>
      </c>
      <c r="U43" s="23">
        <f>SUM(K42:U42)</f>
        <v>0</v>
      </c>
      <c r="AB43" s="22" t="s">
        <v>22</v>
      </c>
      <c r="AC43" s="23">
        <f>SUM(X42:AC42)</f>
        <v>0</v>
      </c>
      <c r="AJ43" s="22" t="s">
        <v>22</v>
      </c>
      <c r="AK43" s="23">
        <f>SUM(AF42:AK42)</f>
        <v>0</v>
      </c>
    </row>
    <row r="44" spans="1:37" ht="15.75" thickBot="1" x14ac:dyDescent="0.3">
      <c r="A44" s="34"/>
      <c r="B44" s="171" t="s">
        <v>17</v>
      </c>
      <c r="C44" s="171"/>
      <c r="D44" s="171"/>
      <c r="E44" s="171"/>
      <c r="F44" s="171"/>
      <c r="G44" s="171"/>
      <c r="H44" s="171"/>
      <c r="J44" s="172" t="s">
        <v>17</v>
      </c>
      <c r="K44" s="172"/>
      <c r="L44" s="172"/>
      <c r="M44" s="172"/>
      <c r="N44" s="172"/>
      <c r="O44" s="172"/>
      <c r="P44" s="172"/>
      <c r="Q44" s="172"/>
      <c r="R44" s="172"/>
      <c r="S44" s="172"/>
      <c r="T44" s="172"/>
      <c r="U44" s="172"/>
      <c r="W44" s="173" t="str">
        <f>J44</f>
        <v>Setembro</v>
      </c>
      <c r="X44" s="173"/>
      <c r="Y44" s="173"/>
      <c r="Z44" s="173"/>
      <c r="AA44" s="173"/>
      <c r="AB44" s="173"/>
      <c r="AC44" s="173"/>
      <c r="AE44" s="174" t="str">
        <f>W44</f>
        <v>Setembro</v>
      </c>
      <c r="AF44" s="174"/>
      <c r="AG44" s="174"/>
      <c r="AH44" s="174"/>
      <c r="AI44" s="174"/>
      <c r="AJ44" s="174"/>
      <c r="AK44" s="174"/>
    </row>
    <row r="45" spans="1:37" ht="15.75" thickBot="1" x14ac:dyDescent="0.3">
      <c r="A45" s="168" t="s">
        <v>4</v>
      </c>
      <c r="B45" s="10" t="s">
        <v>5</v>
      </c>
      <c r="C45" s="11" t="s">
        <v>6</v>
      </c>
      <c r="D45" s="12" t="s">
        <v>7</v>
      </c>
      <c r="E45" s="11" t="s">
        <v>8</v>
      </c>
      <c r="F45" s="12" t="s">
        <v>9</v>
      </c>
      <c r="G45" s="11" t="s">
        <v>10</v>
      </c>
      <c r="H45" s="32" t="s">
        <v>11</v>
      </c>
      <c r="J45" s="35" t="s">
        <v>3</v>
      </c>
      <c r="K45" s="14"/>
      <c r="L45" s="15"/>
      <c r="M45" s="15"/>
      <c r="N45" s="15"/>
      <c r="O45" s="15"/>
      <c r="P45" s="15"/>
      <c r="Q45" s="15"/>
      <c r="R45" s="15"/>
      <c r="S45" s="15"/>
      <c r="T45" s="15"/>
      <c r="U45" s="16"/>
      <c r="W45" s="35" t="s">
        <v>3</v>
      </c>
      <c r="X45" s="14"/>
      <c r="Y45" s="15"/>
      <c r="Z45" s="15"/>
      <c r="AA45" s="15"/>
      <c r="AB45" s="15"/>
      <c r="AC45" s="16"/>
      <c r="AE45" s="35" t="s">
        <v>3</v>
      </c>
      <c r="AF45" s="14"/>
      <c r="AG45" s="15"/>
      <c r="AH45" s="15"/>
      <c r="AI45" s="15"/>
      <c r="AJ45" s="15"/>
      <c r="AK45" s="16"/>
    </row>
    <row r="46" spans="1:37" ht="15.75" thickBot="1" x14ac:dyDescent="0.3">
      <c r="A46" s="168"/>
      <c r="B46" s="17"/>
      <c r="C46" s="18"/>
      <c r="D46" s="18"/>
      <c r="E46" s="18"/>
      <c r="F46" s="18">
        <f>SUM(C46-B46)</f>
        <v>0</v>
      </c>
      <c r="G46" s="18">
        <f>SUM(E46-D46)</f>
        <v>0</v>
      </c>
      <c r="H46" s="33">
        <f>SUM(F46:G46)</f>
        <v>0</v>
      </c>
      <c r="J46" s="36" t="s">
        <v>21</v>
      </c>
      <c r="K46" s="19"/>
      <c r="L46" s="20"/>
      <c r="M46" s="20"/>
      <c r="N46" s="20"/>
      <c r="O46" s="20"/>
      <c r="P46" s="20"/>
      <c r="Q46" s="20"/>
      <c r="R46" s="20"/>
      <c r="S46" s="20"/>
      <c r="T46" s="20"/>
      <c r="U46" s="21"/>
      <c r="W46" s="36" t="s">
        <v>21</v>
      </c>
      <c r="X46" s="19"/>
      <c r="Y46" s="20"/>
      <c r="Z46" s="20"/>
      <c r="AA46" s="20"/>
      <c r="AB46" s="20"/>
      <c r="AC46" s="21"/>
      <c r="AE46" s="36" t="s">
        <v>21</v>
      </c>
      <c r="AF46" s="19"/>
      <c r="AG46" s="20"/>
      <c r="AH46" s="20"/>
      <c r="AI46" s="20"/>
      <c r="AJ46" s="20"/>
      <c r="AK46" s="21"/>
    </row>
    <row r="47" spans="1:37" x14ac:dyDescent="0.25">
      <c r="F47" s="2"/>
      <c r="G47" s="2"/>
      <c r="H47" s="2"/>
      <c r="J47" s="37"/>
      <c r="T47" s="22" t="s">
        <v>22</v>
      </c>
      <c r="U47" s="23">
        <f>SUM(K46:U46)</f>
        <v>0</v>
      </c>
      <c r="AB47" s="22" t="s">
        <v>22</v>
      </c>
      <c r="AC47" s="23">
        <f>SUM(X46:AC46)</f>
        <v>0</v>
      </c>
      <c r="AJ47" s="22" t="s">
        <v>22</v>
      </c>
      <c r="AK47" s="23">
        <f>SUM(AF46:AK46)</f>
        <v>0</v>
      </c>
    </row>
    <row r="48" spans="1:37" ht="15.75" thickBot="1" x14ac:dyDescent="0.3">
      <c r="A48" s="34"/>
      <c r="B48" s="171" t="s">
        <v>18</v>
      </c>
      <c r="C48" s="171"/>
      <c r="D48" s="171"/>
      <c r="E48" s="171"/>
      <c r="F48" s="171"/>
      <c r="G48" s="171"/>
      <c r="H48" s="171"/>
      <c r="J48" s="172" t="s">
        <v>18</v>
      </c>
      <c r="K48" s="172"/>
      <c r="L48" s="172"/>
      <c r="M48" s="172"/>
      <c r="N48" s="172"/>
      <c r="O48" s="172"/>
      <c r="P48" s="172"/>
      <c r="Q48" s="172"/>
      <c r="R48" s="172"/>
      <c r="S48" s="172"/>
      <c r="T48" s="172"/>
      <c r="U48" s="172"/>
      <c r="W48" s="173" t="str">
        <f>J48</f>
        <v>Outubro</v>
      </c>
      <c r="X48" s="173"/>
      <c r="Y48" s="173"/>
      <c r="Z48" s="173"/>
      <c r="AA48" s="173"/>
      <c r="AB48" s="173"/>
      <c r="AC48" s="173"/>
      <c r="AE48" s="174" t="str">
        <f>W48</f>
        <v>Outubro</v>
      </c>
      <c r="AF48" s="174"/>
      <c r="AG48" s="174"/>
      <c r="AH48" s="174"/>
      <c r="AI48" s="174"/>
      <c r="AJ48" s="174"/>
      <c r="AK48" s="174"/>
    </row>
    <row r="49" spans="1:37" ht="15.75" thickBot="1" x14ac:dyDescent="0.3">
      <c r="A49" s="168" t="s">
        <v>4</v>
      </c>
      <c r="B49" s="10" t="s">
        <v>5</v>
      </c>
      <c r="C49" s="11" t="s">
        <v>6</v>
      </c>
      <c r="D49" s="12" t="s">
        <v>7</v>
      </c>
      <c r="E49" s="11" t="s">
        <v>8</v>
      </c>
      <c r="F49" s="12" t="s">
        <v>9</v>
      </c>
      <c r="G49" s="11" t="s">
        <v>10</v>
      </c>
      <c r="H49" s="32" t="s">
        <v>11</v>
      </c>
      <c r="J49" s="35" t="s">
        <v>3</v>
      </c>
      <c r="K49" s="14"/>
      <c r="L49" s="15"/>
      <c r="M49" s="15"/>
      <c r="N49" s="15"/>
      <c r="O49" s="15"/>
      <c r="P49" s="15"/>
      <c r="Q49" s="15"/>
      <c r="R49" s="15"/>
      <c r="S49" s="15"/>
      <c r="T49" s="15"/>
      <c r="U49" s="16"/>
      <c r="W49" s="35" t="s">
        <v>3</v>
      </c>
      <c r="X49" s="14"/>
      <c r="Y49" s="15"/>
      <c r="Z49" s="15"/>
      <c r="AA49" s="15"/>
      <c r="AB49" s="15"/>
      <c r="AC49" s="16"/>
      <c r="AE49" s="35" t="s">
        <v>3</v>
      </c>
      <c r="AF49" s="14"/>
      <c r="AG49" s="15"/>
      <c r="AH49" s="15"/>
      <c r="AI49" s="15"/>
      <c r="AJ49" s="15"/>
      <c r="AK49" s="16"/>
    </row>
    <row r="50" spans="1:37" ht="15.75" thickBot="1" x14ac:dyDescent="0.3">
      <c r="A50" s="168"/>
      <c r="B50" s="17"/>
      <c r="C50" s="18"/>
      <c r="D50" s="18"/>
      <c r="E50" s="18"/>
      <c r="F50" s="18">
        <f>SUM(C50-B50)</f>
        <v>0</v>
      </c>
      <c r="G50" s="18">
        <f>SUM(E50-D50)</f>
        <v>0</v>
      </c>
      <c r="H50" s="33">
        <f>SUM(F50:G50)</f>
        <v>0</v>
      </c>
      <c r="J50" s="36" t="s">
        <v>21</v>
      </c>
      <c r="K50" s="19"/>
      <c r="L50" s="20"/>
      <c r="M50" s="20"/>
      <c r="N50" s="20"/>
      <c r="O50" s="20"/>
      <c r="P50" s="20"/>
      <c r="Q50" s="20"/>
      <c r="R50" s="20"/>
      <c r="S50" s="20"/>
      <c r="T50" s="20"/>
      <c r="U50" s="21"/>
      <c r="W50" s="36" t="s">
        <v>21</v>
      </c>
      <c r="X50" s="19"/>
      <c r="Y50" s="20"/>
      <c r="Z50" s="20"/>
      <c r="AA50" s="20"/>
      <c r="AB50" s="20"/>
      <c r="AC50" s="21"/>
      <c r="AE50" s="36" t="s">
        <v>21</v>
      </c>
      <c r="AF50" s="19"/>
      <c r="AG50" s="20"/>
      <c r="AH50" s="20"/>
      <c r="AI50" s="20"/>
      <c r="AJ50" s="20"/>
      <c r="AK50" s="21"/>
    </row>
    <row r="51" spans="1:37" x14ac:dyDescent="0.25">
      <c r="F51" s="2"/>
      <c r="G51" s="2"/>
      <c r="H51" s="2"/>
      <c r="J51" s="37"/>
      <c r="T51" s="22" t="s">
        <v>22</v>
      </c>
      <c r="U51" s="23">
        <f>SUM(K50:U50)</f>
        <v>0</v>
      </c>
      <c r="AB51" s="22" t="s">
        <v>22</v>
      </c>
      <c r="AC51" s="23">
        <f>SUM(X50:AC50)</f>
        <v>0</v>
      </c>
      <c r="AJ51" s="22" t="s">
        <v>22</v>
      </c>
      <c r="AK51" s="23">
        <f>SUM(AF50:AK50)</f>
        <v>0</v>
      </c>
    </row>
    <row r="52" spans="1:37" ht="15.75" thickBot="1" x14ac:dyDescent="0.3">
      <c r="A52" s="34"/>
      <c r="B52" s="171" t="s">
        <v>19</v>
      </c>
      <c r="C52" s="171"/>
      <c r="D52" s="171"/>
      <c r="E52" s="171"/>
      <c r="F52" s="171"/>
      <c r="G52" s="171"/>
      <c r="H52" s="171"/>
      <c r="J52" s="172" t="s">
        <v>19</v>
      </c>
      <c r="K52" s="172"/>
      <c r="L52" s="172"/>
      <c r="M52" s="172"/>
      <c r="N52" s="172"/>
      <c r="O52" s="172"/>
      <c r="P52" s="172"/>
      <c r="Q52" s="172"/>
      <c r="R52" s="172"/>
      <c r="S52" s="172"/>
      <c r="T52" s="172"/>
      <c r="U52" s="172"/>
      <c r="W52" s="173" t="str">
        <f>J52</f>
        <v>Novembro</v>
      </c>
      <c r="X52" s="173"/>
      <c r="Y52" s="173"/>
      <c r="Z52" s="173"/>
      <c r="AA52" s="173"/>
      <c r="AB52" s="173"/>
      <c r="AC52" s="173"/>
      <c r="AE52" s="174" t="str">
        <f>W52</f>
        <v>Novembro</v>
      </c>
      <c r="AF52" s="174"/>
      <c r="AG52" s="174"/>
      <c r="AH52" s="174"/>
      <c r="AI52" s="174"/>
      <c r="AJ52" s="174"/>
      <c r="AK52" s="174"/>
    </row>
    <row r="53" spans="1:37" ht="15.75" thickBot="1" x14ac:dyDescent="0.3">
      <c r="A53" s="168" t="s">
        <v>4</v>
      </c>
      <c r="B53" s="10" t="s">
        <v>5</v>
      </c>
      <c r="C53" s="11" t="s">
        <v>6</v>
      </c>
      <c r="D53" s="12" t="s">
        <v>7</v>
      </c>
      <c r="E53" s="11" t="s">
        <v>8</v>
      </c>
      <c r="F53" s="12" t="s">
        <v>9</v>
      </c>
      <c r="G53" s="11" t="s">
        <v>10</v>
      </c>
      <c r="H53" s="32" t="s">
        <v>11</v>
      </c>
      <c r="J53" s="35" t="s">
        <v>3</v>
      </c>
      <c r="K53" s="14"/>
      <c r="L53" s="15"/>
      <c r="M53" s="15"/>
      <c r="N53" s="15"/>
      <c r="O53" s="15"/>
      <c r="P53" s="15"/>
      <c r="Q53" s="15"/>
      <c r="R53" s="15"/>
      <c r="S53" s="15"/>
      <c r="T53" s="15"/>
      <c r="U53" s="16"/>
      <c r="W53" s="35" t="s">
        <v>3</v>
      </c>
      <c r="X53" s="14"/>
      <c r="Y53" s="15"/>
      <c r="Z53" s="15"/>
      <c r="AA53" s="15"/>
      <c r="AB53" s="15"/>
      <c r="AC53" s="16"/>
      <c r="AE53" s="35" t="s">
        <v>3</v>
      </c>
      <c r="AF53" s="14"/>
      <c r="AG53" s="15"/>
      <c r="AH53" s="15"/>
      <c r="AI53" s="15"/>
      <c r="AJ53" s="15"/>
      <c r="AK53" s="16"/>
    </row>
    <row r="54" spans="1:37" ht="15.75" thickBot="1" x14ac:dyDescent="0.3">
      <c r="A54" s="168"/>
      <c r="B54" s="17"/>
      <c r="C54" s="18"/>
      <c r="D54" s="18"/>
      <c r="E54" s="18"/>
      <c r="F54" s="18">
        <f>SUM(C54-B54)</f>
        <v>0</v>
      </c>
      <c r="G54" s="18">
        <f>SUM(E54-D54)</f>
        <v>0</v>
      </c>
      <c r="H54" s="33">
        <f>SUM(F54:G54)</f>
        <v>0</v>
      </c>
      <c r="J54" s="36" t="s">
        <v>21</v>
      </c>
      <c r="K54" s="19"/>
      <c r="L54" s="20"/>
      <c r="M54" s="20"/>
      <c r="N54" s="20"/>
      <c r="O54" s="20"/>
      <c r="P54" s="20"/>
      <c r="Q54" s="20"/>
      <c r="R54" s="20"/>
      <c r="S54" s="20"/>
      <c r="T54" s="20"/>
      <c r="U54" s="21"/>
      <c r="W54" s="36" t="s">
        <v>21</v>
      </c>
      <c r="X54" s="19"/>
      <c r="Y54" s="20"/>
      <c r="Z54" s="20"/>
      <c r="AA54" s="20"/>
      <c r="AB54" s="20"/>
      <c r="AC54" s="21"/>
      <c r="AE54" s="36" t="s">
        <v>21</v>
      </c>
      <c r="AF54" s="19"/>
      <c r="AG54" s="20"/>
      <c r="AH54" s="20"/>
      <c r="AI54" s="20"/>
      <c r="AJ54" s="20"/>
      <c r="AK54" s="21"/>
    </row>
    <row r="55" spans="1:37" x14ac:dyDescent="0.25">
      <c r="F55" s="2"/>
      <c r="G55" s="2"/>
      <c r="H55" s="2"/>
      <c r="J55" s="37"/>
      <c r="T55" s="22" t="s">
        <v>22</v>
      </c>
      <c r="U55" s="23">
        <f>SUM(K54:U54)</f>
        <v>0</v>
      </c>
      <c r="AB55" s="22" t="s">
        <v>22</v>
      </c>
      <c r="AC55" s="23">
        <f>SUM(X54:AC54)</f>
        <v>0</v>
      </c>
      <c r="AJ55" s="22" t="s">
        <v>22</v>
      </c>
      <c r="AK55" s="23">
        <f>SUM(AF54:AK54)</f>
        <v>0</v>
      </c>
    </row>
    <row r="56" spans="1:37" ht="15.75" thickBot="1" x14ac:dyDescent="0.3">
      <c r="A56" s="34"/>
      <c r="B56" s="171" t="s">
        <v>20</v>
      </c>
      <c r="C56" s="171"/>
      <c r="D56" s="171"/>
      <c r="E56" s="171"/>
      <c r="F56" s="171"/>
      <c r="G56" s="171"/>
      <c r="H56" s="171"/>
      <c r="J56" s="172" t="s">
        <v>20</v>
      </c>
      <c r="K56" s="172"/>
      <c r="L56" s="172"/>
      <c r="M56" s="172"/>
      <c r="N56" s="172"/>
      <c r="O56" s="172"/>
      <c r="P56" s="172"/>
      <c r="Q56" s="172"/>
      <c r="R56" s="172"/>
      <c r="S56" s="172"/>
      <c r="T56" s="172"/>
      <c r="U56" s="172"/>
      <c r="W56" s="173" t="str">
        <f>J56</f>
        <v>Dezembro</v>
      </c>
      <c r="X56" s="173"/>
      <c r="Y56" s="173"/>
      <c r="Z56" s="173"/>
      <c r="AA56" s="173"/>
      <c r="AB56" s="173"/>
      <c r="AC56" s="173"/>
      <c r="AE56" s="174" t="str">
        <f>W56</f>
        <v>Dezembro</v>
      </c>
      <c r="AF56" s="174"/>
      <c r="AG56" s="174"/>
      <c r="AH56" s="174"/>
      <c r="AI56" s="174"/>
      <c r="AJ56" s="174"/>
      <c r="AK56" s="174"/>
    </row>
    <row r="57" spans="1:37" ht="15.75" thickBot="1" x14ac:dyDescent="0.3">
      <c r="A57" s="168" t="s">
        <v>4</v>
      </c>
      <c r="B57" s="10" t="s">
        <v>5</v>
      </c>
      <c r="C57" s="11" t="s">
        <v>6</v>
      </c>
      <c r="D57" s="12" t="s">
        <v>7</v>
      </c>
      <c r="E57" s="11" t="s">
        <v>8</v>
      </c>
      <c r="F57" s="12" t="s">
        <v>9</v>
      </c>
      <c r="G57" s="11" t="s">
        <v>10</v>
      </c>
      <c r="H57" s="32" t="s">
        <v>11</v>
      </c>
      <c r="J57" s="35" t="s">
        <v>3</v>
      </c>
      <c r="K57" s="14"/>
      <c r="L57" s="15"/>
      <c r="M57" s="15"/>
      <c r="N57" s="15"/>
      <c r="O57" s="15"/>
      <c r="P57" s="15"/>
      <c r="Q57" s="15"/>
      <c r="R57" s="15"/>
      <c r="S57" s="15"/>
      <c r="T57" s="15"/>
      <c r="U57" s="16"/>
      <c r="W57" s="35" t="s">
        <v>3</v>
      </c>
      <c r="X57" s="14"/>
      <c r="Y57" s="15"/>
      <c r="Z57" s="15"/>
      <c r="AA57" s="15"/>
      <c r="AB57" s="15"/>
      <c r="AC57" s="16"/>
      <c r="AE57" s="35" t="s">
        <v>3</v>
      </c>
      <c r="AF57" s="14"/>
      <c r="AG57" s="15"/>
      <c r="AH57" s="15"/>
      <c r="AI57" s="15"/>
      <c r="AJ57" s="15"/>
      <c r="AK57" s="16"/>
    </row>
    <row r="58" spans="1:37" ht="15.75" thickBot="1" x14ac:dyDescent="0.3">
      <c r="A58" s="168"/>
      <c r="B58" s="17"/>
      <c r="C58" s="18"/>
      <c r="D58" s="18"/>
      <c r="E58" s="18"/>
      <c r="F58" s="18">
        <f>SUM(C58-B58)</f>
        <v>0</v>
      </c>
      <c r="G58" s="18">
        <f>SUM(E58-D58)</f>
        <v>0</v>
      </c>
      <c r="H58" s="33">
        <f>SUM(F58:G58)</f>
        <v>0</v>
      </c>
      <c r="J58" s="36" t="s">
        <v>21</v>
      </c>
      <c r="K58" s="19"/>
      <c r="L58" s="20"/>
      <c r="M58" s="20"/>
      <c r="N58" s="20"/>
      <c r="O58" s="20"/>
      <c r="P58" s="20"/>
      <c r="Q58" s="20"/>
      <c r="R58" s="20"/>
      <c r="S58" s="20"/>
      <c r="T58" s="20"/>
      <c r="U58" s="21"/>
      <c r="W58" s="36" t="s">
        <v>21</v>
      </c>
      <c r="X58" s="19"/>
      <c r="Y58" s="20"/>
      <c r="Z58" s="20"/>
      <c r="AA58" s="20"/>
      <c r="AB58" s="20"/>
      <c r="AC58" s="21"/>
      <c r="AE58" s="36" t="s">
        <v>21</v>
      </c>
      <c r="AF58" s="19"/>
      <c r="AG58" s="20"/>
      <c r="AH58" s="20"/>
      <c r="AI58" s="20"/>
      <c r="AJ58" s="20"/>
      <c r="AK58" s="21"/>
    </row>
    <row r="59" spans="1:37" x14ac:dyDescent="0.25">
      <c r="J59" s="37"/>
      <c r="T59" s="22" t="s">
        <v>22</v>
      </c>
      <c r="U59" s="23">
        <f>SUM(K58:U58)</f>
        <v>0</v>
      </c>
      <c r="AB59" s="22" t="s">
        <v>22</v>
      </c>
      <c r="AC59" s="23">
        <f>SUM(X58:AC58)</f>
        <v>0</v>
      </c>
      <c r="AJ59" s="22" t="s">
        <v>22</v>
      </c>
      <c r="AK59" s="23">
        <f>SUM(AF58:AK58)</f>
        <v>0</v>
      </c>
    </row>
  </sheetData>
  <mergeCells count="73">
    <mergeCell ref="B7:C7"/>
    <mergeCell ref="E7:F7"/>
    <mergeCell ref="A1:A2"/>
    <mergeCell ref="B1:AK1"/>
    <mergeCell ref="B2:AK2"/>
    <mergeCell ref="B4:C4"/>
    <mergeCell ref="E4:F4"/>
    <mergeCell ref="B5:C5"/>
    <mergeCell ref="E5:F5"/>
    <mergeCell ref="A17:A18"/>
    <mergeCell ref="A10:H10"/>
    <mergeCell ref="J10:U10"/>
    <mergeCell ref="W10:AC10"/>
    <mergeCell ref="AE10:AK10"/>
    <mergeCell ref="B12:H12"/>
    <mergeCell ref="J12:U12"/>
    <mergeCell ref="W12:AC12"/>
    <mergeCell ref="AE12:AK12"/>
    <mergeCell ref="A13:A14"/>
    <mergeCell ref="B16:H16"/>
    <mergeCell ref="J16:U16"/>
    <mergeCell ref="W16:AC16"/>
    <mergeCell ref="AE16:AK16"/>
    <mergeCell ref="A29:A30"/>
    <mergeCell ref="B20:H20"/>
    <mergeCell ref="J20:U20"/>
    <mergeCell ref="W20:AC20"/>
    <mergeCell ref="AE20:AK20"/>
    <mergeCell ref="A21:A22"/>
    <mergeCell ref="B24:H24"/>
    <mergeCell ref="J24:U24"/>
    <mergeCell ref="W24:AC24"/>
    <mergeCell ref="AE24:AK24"/>
    <mergeCell ref="A25:A26"/>
    <mergeCell ref="B28:H28"/>
    <mergeCell ref="J28:U28"/>
    <mergeCell ref="W28:AC28"/>
    <mergeCell ref="AE28:AK28"/>
    <mergeCell ref="A41:A42"/>
    <mergeCell ref="B32:H32"/>
    <mergeCell ref="J32:U32"/>
    <mergeCell ref="W32:AC32"/>
    <mergeCell ref="AE32:AK32"/>
    <mergeCell ref="A33:A34"/>
    <mergeCell ref="B36:H36"/>
    <mergeCell ref="J36:U36"/>
    <mergeCell ref="W36:AC36"/>
    <mergeCell ref="AE36:AK36"/>
    <mergeCell ref="A37:A38"/>
    <mergeCell ref="B40:H40"/>
    <mergeCell ref="J40:U40"/>
    <mergeCell ref="W40:AC40"/>
    <mergeCell ref="AE40:AK40"/>
    <mergeCell ref="A53:A54"/>
    <mergeCell ref="B44:H44"/>
    <mergeCell ref="J44:U44"/>
    <mergeCell ref="W44:AC44"/>
    <mergeCell ref="AE44:AK44"/>
    <mergeCell ref="A45:A46"/>
    <mergeCell ref="B48:H48"/>
    <mergeCell ref="J48:U48"/>
    <mergeCell ref="W48:AC48"/>
    <mergeCell ref="AE48:AK48"/>
    <mergeCell ref="A49:A50"/>
    <mergeCell ref="B52:H52"/>
    <mergeCell ref="J52:U52"/>
    <mergeCell ref="W52:AC52"/>
    <mergeCell ref="AE52:AK52"/>
    <mergeCell ref="B56:H56"/>
    <mergeCell ref="J56:U56"/>
    <mergeCell ref="W56:AC56"/>
    <mergeCell ref="AE56:AK56"/>
    <mergeCell ref="A57:A58"/>
  </mergeCells>
  <pageMargins left="0.511811024" right="0.511811024" top="0.78740157499999996" bottom="0.78740157499999996" header="0.31496062000000002" footer="0.31496062000000002"/>
  <pageSetup paperSize="9" orientation="portrait" r:id="rId1"/>
  <drawing r:id="rId2"/>
  <legacyDrawing r:id="rId3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L107"/>
  <sheetViews>
    <sheetView showGridLines="0" topLeftCell="A76" zoomScaleNormal="100" workbookViewId="0">
      <selection activeCell="G98" sqref="G98"/>
    </sheetView>
  </sheetViews>
  <sheetFormatPr defaultColWidth="9" defaultRowHeight="15" x14ac:dyDescent="0.25"/>
  <cols>
    <col min="1" max="1" width="14.85546875" style="2" customWidth="1"/>
    <col min="2" max="2" width="11.7109375" style="2" bestFit="1" customWidth="1"/>
    <col min="3" max="3" width="9.28515625" style="2" bestFit="1" customWidth="1"/>
    <col min="4" max="4" width="10.7109375" style="2" customWidth="1"/>
    <col min="5" max="5" width="9.28515625" style="2" bestFit="1" customWidth="1"/>
    <col min="6" max="6" width="13.140625" style="1" customWidth="1"/>
    <col min="7" max="7" width="13.85546875" style="1" customWidth="1"/>
    <col min="8" max="8" width="11.85546875" style="1" bestFit="1" customWidth="1"/>
    <col min="9" max="9" width="9.85546875" style="1" customWidth="1"/>
    <col min="10" max="10" width="10.7109375" style="2" bestFit="1" customWidth="1"/>
    <col min="11" max="19" width="12" style="1" bestFit="1" customWidth="1"/>
    <col min="20" max="20" width="10.7109375" style="1" bestFit="1" customWidth="1"/>
    <col min="21" max="21" width="12.140625" style="1" bestFit="1" customWidth="1"/>
    <col min="22" max="22" width="10.7109375" style="1" bestFit="1" customWidth="1"/>
    <col min="23" max="23" width="10.7109375" style="1" customWidth="1"/>
    <col min="24" max="24" width="9" style="2"/>
    <col min="25" max="26" width="10.7109375" style="1" bestFit="1" customWidth="1"/>
    <col min="27" max="29" width="9" style="1"/>
    <col min="30" max="30" width="9.5703125" style="1" bestFit="1" customWidth="1"/>
    <col min="31" max="31" width="9" style="1"/>
    <col min="32" max="32" width="9" style="2"/>
    <col min="33" max="33" width="10.7109375" style="1" bestFit="1" customWidth="1"/>
    <col min="34" max="34" width="9" style="1"/>
    <col min="35" max="37" width="10.140625" style="1" bestFit="1" customWidth="1"/>
    <col min="38" max="16384" width="9" style="1"/>
  </cols>
  <sheetData>
    <row r="1" spans="1:38" ht="30.75" customHeight="1" x14ac:dyDescent="0.25">
      <c r="A1" s="162"/>
      <c r="B1" s="164" t="s">
        <v>51</v>
      </c>
      <c r="C1" s="164"/>
      <c r="D1" s="164"/>
      <c r="E1" s="164"/>
      <c r="F1" s="164"/>
      <c r="G1" s="164"/>
      <c r="H1" s="164"/>
      <c r="I1" s="164"/>
      <c r="J1" s="164"/>
      <c r="K1" s="164"/>
      <c r="L1" s="164"/>
      <c r="M1" s="164"/>
      <c r="N1" s="164"/>
      <c r="O1" s="164"/>
      <c r="P1" s="164"/>
      <c r="Q1" s="164"/>
      <c r="R1" s="164"/>
      <c r="S1" s="164"/>
      <c r="T1" s="164"/>
      <c r="U1" s="164"/>
      <c r="V1" s="164"/>
      <c r="W1" s="164"/>
      <c r="X1" s="164"/>
      <c r="Y1" s="164"/>
      <c r="Z1" s="164"/>
      <c r="AA1" s="164"/>
      <c r="AB1" s="164"/>
      <c r="AC1" s="164"/>
      <c r="AD1" s="164"/>
      <c r="AE1" s="164"/>
      <c r="AF1" s="164"/>
      <c r="AG1" s="164"/>
      <c r="AH1" s="164"/>
      <c r="AI1" s="164"/>
      <c r="AJ1" s="164"/>
      <c r="AK1" s="164"/>
      <c r="AL1" s="165"/>
    </row>
    <row r="2" spans="1:38" ht="20.25" customHeight="1" x14ac:dyDescent="0.25">
      <c r="A2" s="163"/>
      <c r="B2" s="166" t="s">
        <v>50</v>
      </c>
      <c r="C2" s="166"/>
      <c r="D2" s="166"/>
      <c r="E2" s="166"/>
      <c r="F2" s="166"/>
      <c r="G2" s="166"/>
      <c r="H2" s="166"/>
      <c r="I2" s="166"/>
      <c r="J2" s="166"/>
      <c r="K2" s="166"/>
      <c r="L2" s="166"/>
      <c r="M2" s="166"/>
      <c r="N2" s="166"/>
      <c r="O2" s="166"/>
      <c r="P2" s="166"/>
      <c r="Q2" s="166"/>
      <c r="R2" s="166"/>
      <c r="S2" s="166"/>
      <c r="T2" s="166"/>
      <c r="U2" s="166"/>
      <c r="V2" s="166"/>
      <c r="W2" s="166"/>
      <c r="X2" s="166"/>
      <c r="Y2" s="166"/>
      <c r="Z2" s="166"/>
      <c r="AA2" s="166"/>
      <c r="AB2" s="166"/>
      <c r="AC2" s="166"/>
      <c r="AD2" s="166"/>
      <c r="AE2" s="166"/>
      <c r="AF2" s="166"/>
      <c r="AG2" s="166"/>
      <c r="AH2" s="166"/>
      <c r="AI2" s="166"/>
      <c r="AJ2" s="166"/>
      <c r="AK2" s="166"/>
      <c r="AL2" s="167"/>
    </row>
    <row r="4" spans="1:38" x14ac:dyDescent="0.25">
      <c r="A4" s="31" t="s">
        <v>47</v>
      </c>
      <c r="B4" s="161" t="s">
        <v>62</v>
      </c>
      <c r="C4" s="161"/>
      <c r="D4" s="31" t="s">
        <v>0</v>
      </c>
      <c r="E4" s="161" t="s">
        <v>61</v>
      </c>
      <c r="F4" s="161"/>
      <c r="G4" s="31" t="s">
        <v>111</v>
      </c>
      <c r="H4" s="5">
        <v>45773</v>
      </c>
    </row>
    <row r="5" spans="1:38" x14ac:dyDescent="0.25">
      <c r="A5" s="31" t="s">
        <v>72</v>
      </c>
      <c r="B5" s="188">
        <v>45773</v>
      </c>
      <c r="C5" s="161"/>
      <c r="D5" s="31" t="s">
        <v>0</v>
      </c>
      <c r="E5" s="161" t="s">
        <v>110</v>
      </c>
      <c r="F5" s="161"/>
      <c r="G5" s="31" t="s">
        <v>95</v>
      </c>
      <c r="H5" s="4" t="s">
        <v>109</v>
      </c>
    </row>
    <row r="6" spans="1:38" x14ac:dyDescent="0.25">
      <c r="A6" s="31"/>
      <c r="D6" s="31"/>
      <c r="F6" s="2"/>
      <c r="G6" s="31"/>
    </row>
    <row r="7" spans="1:38" x14ac:dyDescent="0.25">
      <c r="A7" s="31" t="s">
        <v>48</v>
      </c>
      <c r="B7" s="160">
        <v>3778.72</v>
      </c>
      <c r="C7" s="160"/>
      <c r="D7" s="31" t="s">
        <v>44</v>
      </c>
      <c r="E7" s="201">
        <v>45</v>
      </c>
      <c r="F7" s="161"/>
      <c r="G7" s="31" t="s">
        <v>46</v>
      </c>
      <c r="H7" s="5">
        <v>45506</v>
      </c>
      <c r="I7" s="31" t="s">
        <v>139</v>
      </c>
      <c r="J7" s="5">
        <v>45908</v>
      </c>
    </row>
    <row r="10" spans="1:38" s="28" customFormat="1" ht="18.75" x14ac:dyDescent="0.3">
      <c r="A10" s="169" t="s">
        <v>26</v>
      </c>
      <c r="B10" s="169"/>
      <c r="C10" s="169"/>
      <c r="D10" s="169"/>
      <c r="E10" s="169"/>
      <c r="F10" s="169"/>
      <c r="G10" s="169"/>
      <c r="H10" s="169"/>
      <c r="J10" s="169" t="s">
        <v>24</v>
      </c>
      <c r="K10" s="169"/>
      <c r="L10" s="169"/>
      <c r="M10" s="169"/>
      <c r="N10" s="169"/>
      <c r="O10" s="169"/>
      <c r="P10" s="169"/>
      <c r="Q10" s="169"/>
      <c r="R10" s="169"/>
      <c r="S10" s="169"/>
      <c r="T10" s="169"/>
      <c r="U10" s="169"/>
      <c r="V10" s="29"/>
      <c r="W10" s="29"/>
      <c r="X10" s="170" t="s">
        <v>49</v>
      </c>
      <c r="Y10" s="170"/>
      <c r="Z10" s="170"/>
      <c r="AA10" s="170"/>
      <c r="AB10" s="170"/>
      <c r="AC10" s="170"/>
      <c r="AD10" s="170"/>
      <c r="AE10" s="29"/>
      <c r="AF10" s="170" t="s">
        <v>25</v>
      </c>
      <c r="AG10" s="170"/>
      <c r="AH10" s="170"/>
      <c r="AI10" s="170"/>
      <c r="AJ10" s="170"/>
      <c r="AK10" s="170"/>
      <c r="AL10" s="170"/>
    </row>
    <row r="11" spans="1:38" s="6" customFormat="1" x14ac:dyDescent="0.25">
      <c r="A11" s="7"/>
      <c r="B11" s="7"/>
      <c r="C11" s="7"/>
      <c r="D11" s="7"/>
      <c r="E11" s="7"/>
      <c r="F11" s="7"/>
      <c r="G11" s="7"/>
      <c r="H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8"/>
      <c r="W11" s="8"/>
      <c r="X11" s="9"/>
      <c r="Y11" s="9"/>
      <c r="Z11" s="9"/>
      <c r="AA11" s="9"/>
      <c r="AB11" s="9"/>
      <c r="AC11" s="9"/>
      <c r="AD11" s="9"/>
      <c r="AE11" s="8"/>
      <c r="AF11" s="9"/>
      <c r="AG11" s="9"/>
      <c r="AH11" s="9"/>
      <c r="AI11" s="9"/>
      <c r="AJ11" s="9"/>
      <c r="AK11" s="9"/>
      <c r="AL11" s="9"/>
    </row>
    <row r="12" spans="1:38" s="6" customFormat="1" ht="15.75" thickBot="1" x14ac:dyDescent="0.3">
      <c r="A12" s="34"/>
      <c r="B12" s="171" t="s">
        <v>54</v>
      </c>
      <c r="C12" s="171"/>
      <c r="D12" s="171"/>
      <c r="E12" s="171"/>
      <c r="F12" s="171"/>
      <c r="G12" s="171"/>
      <c r="H12" s="171"/>
      <c r="J12" s="172" t="s">
        <v>54</v>
      </c>
      <c r="K12" s="172"/>
      <c r="L12" s="172"/>
      <c r="M12" s="172"/>
      <c r="N12" s="172"/>
      <c r="O12" s="172"/>
      <c r="P12" s="172"/>
      <c r="Q12" s="172"/>
      <c r="R12" s="172"/>
      <c r="S12" s="172"/>
      <c r="T12" s="172"/>
      <c r="U12" s="172"/>
      <c r="V12" s="8"/>
      <c r="W12" s="8"/>
      <c r="X12" s="173" t="s">
        <v>54</v>
      </c>
      <c r="Y12" s="173"/>
      <c r="Z12" s="173"/>
      <c r="AA12" s="173"/>
      <c r="AB12" s="173"/>
      <c r="AC12" s="173"/>
      <c r="AD12" s="173"/>
      <c r="AE12" s="8"/>
      <c r="AF12" s="174" t="s">
        <v>54</v>
      </c>
      <c r="AG12" s="174"/>
      <c r="AH12" s="174"/>
      <c r="AI12" s="174"/>
      <c r="AJ12" s="174"/>
      <c r="AK12" s="174"/>
      <c r="AL12" s="174"/>
    </row>
    <row r="13" spans="1:38" s="6" customFormat="1" ht="15.75" thickBot="1" x14ac:dyDescent="0.3">
      <c r="A13" s="168" t="s">
        <v>4</v>
      </c>
      <c r="B13" s="10" t="s">
        <v>5</v>
      </c>
      <c r="C13" s="11" t="s">
        <v>6</v>
      </c>
      <c r="D13" s="12" t="s">
        <v>7</v>
      </c>
      <c r="E13" s="11" t="s">
        <v>8</v>
      </c>
      <c r="F13" s="12" t="s">
        <v>9</v>
      </c>
      <c r="G13" s="11" t="s">
        <v>10</v>
      </c>
      <c r="H13" s="32" t="s">
        <v>11</v>
      </c>
      <c r="J13" s="35" t="s">
        <v>3</v>
      </c>
      <c r="K13" s="14"/>
      <c r="L13" s="15"/>
      <c r="M13" s="15"/>
      <c r="N13" s="15"/>
      <c r="O13" s="15"/>
      <c r="P13" s="15"/>
      <c r="Q13" s="15"/>
      <c r="R13" s="15"/>
      <c r="S13" s="15"/>
      <c r="T13" s="15"/>
      <c r="U13" s="16"/>
      <c r="V13" s="8"/>
      <c r="W13" s="8"/>
      <c r="X13" s="35" t="s">
        <v>3</v>
      </c>
      <c r="Y13" s="14"/>
      <c r="Z13" s="15"/>
      <c r="AA13" s="15"/>
      <c r="AB13" s="15"/>
      <c r="AC13" s="15"/>
      <c r="AD13" s="16"/>
      <c r="AE13" s="8"/>
      <c r="AF13" s="35" t="s">
        <v>3</v>
      </c>
      <c r="AG13" s="14"/>
      <c r="AH13" s="15"/>
      <c r="AI13" s="15"/>
      <c r="AJ13" s="15"/>
      <c r="AK13" s="15"/>
      <c r="AL13" s="16"/>
    </row>
    <row r="14" spans="1:38" s="6" customFormat="1" ht="15.75" thickBot="1" x14ac:dyDescent="0.3">
      <c r="A14" s="168"/>
      <c r="B14" s="17"/>
      <c r="C14" s="18"/>
      <c r="D14" s="18"/>
      <c r="E14" s="18"/>
      <c r="F14" s="18">
        <f>SUM(C14-B14)</f>
        <v>0</v>
      </c>
      <c r="G14" s="18">
        <f>SUM(E14-D14)</f>
        <v>0</v>
      </c>
      <c r="H14" s="33">
        <f>SUM(F14:G14)</f>
        <v>0</v>
      </c>
      <c r="J14" s="36" t="s">
        <v>21</v>
      </c>
      <c r="K14" s="19"/>
      <c r="L14" s="20"/>
      <c r="M14" s="20"/>
      <c r="N14" s="20"/>
      <c r="O14" s="20"/>
      <c r="P14" s="20"/>
      <c r="Q14" s="20"/>
      <c r="R14" s="20"/>
      <c r="S14" s="20"/>
      <c r="T14" s="20"/>
      <c r="U14" s="21"/>
      <c r="V14" s="8"/>
      <c r="W14" s="8"/>
      <c r="X14" s="36" t="s">
        <v>21</v>
      </c>
      <c r="Y14" s="19"/>
      <c r="Z14" s="20"/>
      <c r="AA14" s="20"/>
      <c r="AB14" s="20"/>
      <c r="AC14" s="20"/>
      <c r="AD14" s="21"/>
      <c r="AE14" s="8"/>
      <c r="AF14" s="36" t="s">
        <v>21</v>
      </c>
      <c r="AG14" s="19"/>
      <c r="AH14" s="20"/>
      <c r="AI14" s="20"/>
      <c r="AJ14" s="20"/>
      <c r="AK14" s="20"/>
      <c r="AL14" s="21"/>
    </row>
    <row r="15" spans="1:38" s="6" customFormat="1" x14ac:dyDescent="0.25">
      <c r="A15" s="7"/>
      <c r="B15" s="7"/>
      <c r="C15" s="7"/>
      <c r="D15" s="7"/>
      <c r="E15" s="7"/>
      <c r="F15" s="7"/>
      <c r="G15" s="7"/>
      <c r="H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22" t="s">
        <v>22</v>
      </c>
      <c r="U15" s="23">
        <f>SUM(K14:U14)</f>
        <v>0</v>
      </c>
      <c r="V15" s="8"/>
      <c r="W15" s="8"/>
      <c r="X15" s="2"/>
      <c r="Y15" s="1"/>
      <c r="Z15" s="1"/>
      <c r="AA15" s="1"/>
      <c r="AB15" s="1"/>
      <c r="AC15" s="22" t="s">
        <v>22</v>
      </c>
      <c r="AD15" s="23">
        <f>SUM(Y14:AD14)</f>
        <v>0</v>
      </c>
      <c r="AE15" s="8"/>
      <c r="AF15" s="2"/>
      <c r="AG15" s="1"/>
      <c r="AH15" s="1"/>
      <c r="AI15" s="1"/>
      <c r="AJ15" s="1"/>
      <c r="AK15" s="22" t="s">
        <v>22</v>
      </c>
      <c r="AL15" s="23">
        <f>SUM(AG14:AL14)</f>
        <v>0</v>
      </c>
    </row>
    <row r="16" spans="1:38" ht="15.75" thickBot="1" x14ac:dyDescent="0.3">
      <c r="A16" s="34"/>
      <c r="B16" s="171" t="s">
        <v>2</v>
      </c>
      <c r="C16" s="171"/>
      <c r="D16" s="171"/>
      <c r="E16" s="171"/>
      <c r="F16" s="171"/>
      <c r="G16" s="171"/>
      <c r="H16" s="171"/>
      <c r="J16" s="172" t="s">
        <v>2</v>
      </c>
      <c r="K16" s="172"/>
      <c r="L16" s="172"/>
      <c r="M16" s="172"/>
      <c r="N16" s="172"/>
      <c r="O16" s="172"/>
      <c r="P16" s="172"/>
      <c r="Q16" s="172"/>
      <c r="R16" s="172"/>
      <c r="S16" s="172"/>
      <c r="T16" s="172"/>
      <c r="U16" s="172"/>
      <c r="X16" s="173" t="s">
        <v>2</v>
      </c>
      <c r="Y16" s="173"/>
      <c r="Z16" s="173"/>
      <c r="AA16" s="173"/>
      <c r="AB16" s="173"/>
      <c r="AC16" s="173"/>
      <c r="AD16" s="173"/>
      <c r="AF16" s="174" t="s">
        <v>2</v>
      </c>
      <c r="AG16" s="174"/>
      <c r="AH16" s="174"/>
      <c r="AI16" s="174"/>
      <c r="AJ16" s="174"/>
      <c r="AK16" s="174"/>
      <c r="AL16" s="174"/>
    </row>
    <row r="17" spans="1:38" ht="15.75" thickBot="1" x14ac:dyDescent="0.3">
      <c r="A17" s="168" t="s">
        <v>4</v>
      </c>
      <c r="B17" s="10" t="s">
        <v>5</v>
      </c>
      <c r="C17" s="11" t="s">
        <v>6</v>
      </c>
      <c r="D17" s="12" t="s">
        <v>7</v>
      </c>
      <c r="E17" s="11" t="s">
        <v>8</v>
      </c>
      <c r="F17" s="12" t="s">
        <v>9</v>
      </c>
      <c r="G17" s="11" t="s">
        <v>10</v>
      </c>
      <c r="H17" s="32" t="s">
        <v>11</v>
      </c>
      <c r="J17" s="35" t="s">
        <v>3</v>
      </c>
      <c r="K17" s="14"/>
      <c r="L17" s="15"/>
      <c r="M17" s="15"/>
      <c r="N17" s="15"/>
      <c r="O17" s="15"/>
      <c r="P17" s="15"/>
      <c r="Q17" s="15"/>
      <c r="R17" s="15"/>
      <c r="S17" s="15"/>
      <c r="T17" s="15"/>
      <c r="U17" s="16"/>
      <c r="X17" s="35" t="s">
        <v>3</v>
      </c>
      <c r="Y17" s="14"/>
      <c r="Z17" s="15"/>
      <c r="AA17" s="15"/>
      <c r="AB17" s="15"/>
      <c r="AC17" s="15"/>
      <c r="AD17" s="16"/>
      <c r="AF17" s="35" t="s">
        <v>3</v>
      </c>
      <c r="AG17" s="14"/>
      <c r="AH17" s="15"/>
      <c r="AI17" s="15"/>
      <c r="AJ17" s="15"/>
      <c r="AK17" s="15"/>
      <c r="AL17" s="16"/>
    </row>
    <row r="18" spans="1:38" ht="15.75" thickBot="1" x14ac:dyDescent="0.3">
      <c r="A18" s="168"/>
      <c r="B18" s="17"/>
      <c r="C18" s="18"/>
      <c r="D18" s="18"/>
      <c r="E18" s="18"/>
      <c r="F18" s="18">
        <f>SUM(C18-B18)</f>
        <v>0</v>
      </c>
      <c r="G18" s="18">
        <f>SUM(E18-D18)</f>
        <v>0</v>
      </c>
      <c r="H18" s="33">
        <f>SUM(F18:G18)</f>
        <v>0</v>
      </c>
      <c r="J18" s="36" t="s">
        <v>21</v>
      </c>
      <c r="K18" s="19"/>
      <c r="L18" s="20"/>
      <c r="M18" s="20"/>
      <c r="N18" s="20"/>
      <c r="O18" s="20"/>
      <c r="P18" s="20"/>
      <c r="Q18" s="20"/>
      <c r="R18" s="20"/>
      <c r="S18" s="20"/>
      <c r="T18" s="20"/>
      <c r="U18" s="21"/>
      <c r="X18" s="36" t="s">
        <v>21</v>
      </c>
      <c r="Y18" s="19"/>
      <c r="Z18" s="20"/>
      <c r="AA18" s="20"/>
      <c r="AB18" s="20"/>
      <c r="AC18" s="20"/>
      <c r="AD18" s="21"/>
      <c r="AF18" s="36" t="s">
        <v>21</v>
      </c>
      <c r="AG18" s="19"/>
      <c r="AH18" s="20"/>
      <c r="AI18" s="20"/>
      <c r="AJ18" s="20"/>
      <c r="AK18" s="20"/>
      <c r="AL18" s="21"/>
    </row>
    <row r="19" spans="1:38" x14ac:dyDescent="0.25">
      <c r="F19" s="2"/>
      <c r="G19" s="2"/>
      <c r="H19" s="2"/>
      <c r="J19" s="37"/>
      <c r="T19" s="22" t="s">
        <v>22</v>
      </c>
      <c r="U19" s="23">
        <f>SUM(K18:U18)</f>
        <v>0</v>
      </c>
      <c r="AC19" s="22" t="s">
        <v>22</v>
      </c>
      <c r="AD19" s="23">
        <f>SUM(Y18:AD18)</f>
        <v>0</v>
      </c>
      <c r="AK19" s="22" t="s">
        <v>22</v>
      </c>
      <c r="AL19" s="23">
        <f>SUM(AG18:AL18)</f>
        <v>0</v>
      </c>
    </row>
    <row r="20" spans="1:38" ht="15.75" thickBot="1" x14ac:dyDescent="0.3">
      <c r="A20" s="34"/>
      <c r="B20" s="171" t="s">
        <v>12</v>
      </c>
      <c r="C20" s="171"/>
      <c r="D20" s="171"/>
      <c r="E20" s="171"/>
      <c r="F20" s="171"/>
      <c r="G20" s="171"/>
      <c r="H20" s="171"/>
      <c r="J20" s="172" t="s">
        <v>12</v>
      </c>
      <c r="K20" s="172"/>
      <c r="L20" s="172"/>
      <c r="M20" s="172"/>
      <c r="N20" s="172"/>
      <c r="O20" s="172"/>
      <c r="P20" s="172"/>
      <c r="Q20" s="172"/>
      <c r="R20" s="172"/>
      <c r="S20" s="172"/>
      <c r="T20" s="172"/>
      <c r="U20" s="172"/>
      <c r="X20" s="173" t="str">
        <f>J20</f>
        <v>Março</v>
      </c>
      <c r="Y20" s="173"/>
      <c r="Z20" s="173"/>
      <c r="AA20" s="173"/>
      <c r="AB20" s="173"/>
      <c r="AC20" s="173"/>
      <c r="AD20" s="173"/>
      <c r="AF20" s="174" t="str">
        <f>X20</f>
        <v>Março</v>
      </c>
      <c r="AG20" s="174"/>
      <c r="AH20" s="174"/>
      <c r="AI20" s="174"/>
      <c r="AJ20" s="174"/>
      <c r="AK20" s="174"/>
      <c r="AL20" s="174"/>
    </row>
    <row r="21" spans="1:38" ht="15.75" thickBot="1" x14ac:dyDescent="0.3">
      <c r="A21" s="168" t="s">
        <v>4</v>
      </c>
      <c r="B21" s="10" t="s">
        <v>5</v>
      </c>
      <c r="C21" s="11" t="s">
        <v>6</v>
      </c>
      <c r="D21" s="12" t="s">
        <v>7</v>
      </c>
      <c r="E21" s="11" t="s">
        <v>8</v>
      </c>
      <c r="F21" s="12" t="s">
        <v>9</v>
      </c>
      <c r="G21" s="11" t="s">
        <v>10</v>
      </c>
      <c r="H21" s="32" t="s">
        <v>11</v>
      </c>
      <c r="J21" s="35" t="s">
        <v>3</v>
      </c>
      <c r="K21" s="14"/>
      <c r="L21" s="24"/>
      <c r="M21" s="24"/>
      <c r="N21" s="15"/>
      <c r="O21" s="15"/>
      <c r="P21" s="15"/>
      <c r="Q21" s="15"/>
      <c r="R21" s="15"/>
      <c r="S21" s="15"/>
      <c r="T21" s="15"/>
      <c r="U21" s="16"/>
      <c r="X21" s="35" t="s">
        <v>3</v>
      </c>
      <c r="Y21" s="14"/>
      <c r="Z21" s="15"/>
      <c r="AA21" s="15"/>
      <c r="AB21" s="15"/>
      <c r="AC21" s="15"/>
      <c r="AD21" s="16"/>
      <c r="AF21" s="35" t="s">
        <v>3</v>
      </c>
      <c r="AG21" s="14"/>
      <c r="AH21" s="15"/>
      <c r="AI21" s="15"/>
      <c r="AJ21" s="15"/>
      <c r="AK21" s="15"/>
      <c r="AL21" s="16"/>
    </row>
    <row r="22" spans="1:38" ht="15.75" thickBot="1" x14ac:dyDescent="0.3">
      <c r="A22" s="168"/>
      <c r="B22" s="17"/>
      <c r="C22" s="18"/>
      <c r="D22" s="18"/>
      <c r="E22" s="18"/>
      <c r="F22" s="18">
        <f>SUM(C22-B22)</f>
        <v>0</v>
      </c>
      <c r="G22" s="18">
        <f>SUM(E22-D22)</f>
        <v>0</v>
      </c>
      <c r="H22" s="33">
        <f>SUM(F22:G22)</f>
        <v>0</v>
      </c>
      <c r="J22" s="36" t="s">
        <v>21</v>
      </c>
      <c r="K22" s="19"/>
      <c r="L22" s="20"/>
      <c r="M22" s="20"/>
      <c r="N22" s="20"/>
      <c r="O22" s="20"/>
      <c r="P22" s="20"/>
      <c r="Q22" s="20"/>
      <c r="R22" s="20"/>
      <c r="S22" s="20"/>
      <c r="T22" s="20"/>
      <c r="U22" s="21"/>
      <c r="X22" s="36" t="s">
        <v>21</v>
      </c>
      <c r="Y22" s="19"/>
      <c r="Z22" s="20"/>
      <c r="AA22" s="20"/>
      <c r="AB22" s="20"/>
      <c r="AC22" s="20"/>
      <c r="AD22" s="21"/>
      <c r="AF22" s="36" t="s">
        <v>21</v>
      </c>
      <c r="AG22" s="19"/>
      <c r="AH22" s="20"/>
      <c r="AI22" s="20"/>
      <c r="AJ22" s="20"/>
      <c r="AK22" s="20"/>
      <c r="AL22" s="21"/>
    </row>
    <row r="23" spans="1:38" x14ac:dyDescent="0.25">
      <c r="F23" s="2"/>
      <c r="G23" s="2"/>
      <c r="H23" s="2"/>
      <c r="J23" s="37"/>
      <c r="T23" s="22" t="s">
        <v>22</v>
      </c>
      <c r="U23" s="23">
        <f>SUM(K22:U22)</f>
        <v>0</v>
      </c>
      <c r="AC23" s="22" t="s">
        <v>22</v>
      </c>
      <c r="AD23" s="23">
        <f>SUM(Y22:AD22)</f>
        <v>0</v>
      </c>
      <c r="AK23" s="22" t="s">
        <v>22</v>
      </c>
      <c r="AL23" s="23">
        <f>SUM(AG22:AL22)</f>
        <v>0</v>
      </c>
    </row>
    <row r="24" spans="1:38" ht="15.75" thickBot="1" x14ac:dyDescent="0.3">
      <c r="A24" s="34"/>
      <c r="B24" s="171" t="s">
        <v>13</v>
      </c>
      <c r="C24" s="171"/>
      <c r="D24" s="171"/>
      <c r="E24" s="171"/>
      <c r="F24" s="171"/>
      <c r="G24" s="171"/>
      <c r="H24" s="171"/>
      <c r="J24" s="172" t="s">
        <v>13</v>
      </c>
      <c r="K24" s="172"/>
      <c r="L24" s="172"/>
      <c r="M24" s="172"/>
      <c r="N24" s="172"/>
      <c r="O24" s="172"/>
      <c r="P24" s="172"/>
      <c r="Q24" s="172"/>
      <c r="R24" s="172"/>
      <c r="S24" s="172"/>
      <c r="T24" s="172"/>
      <c r="U24" s="172"/>
      <c r="X24" s="173" t="str">
        <f>J24</f>
        <v>Abril</v>
      </c>
      <c r="Y24" s="173"/>
      <c r="Z24" s="173"/>
      <c r="AA24" s="173"/>
      <c r="AB24" s="173"/>
      <c r="AC24" s="173"/>
      <c r="AD24" s="173"/>
      <c r="AF24" s="174" t="str">
        <f>X24</f>
        <v>Abril</v>
      </c>
      <c r="AG24" s="174"/>
      <c r="AH24" s="174"/>
      <c r="AI24" s="174"/>
      <c r="AJ24" s="174"/>
      <c r="AK24" s="174"/>
      <c r="AL24" s="174"/>
    </row>
    <row r="25" spans="1:38" ht="15.75" thickBot="1" x14ac:dyDescent="0.3">
      <c r="A25" s="168" t="s">
        <v>4</v>
      </c>
      <c r="B25" s="10" t="s">
        <v>5</v>
      </c>
      <c r="C25" s="11" t="s">
        <v>6</v>
      </c>
      <c r="D25" s="12" t="s">
        <v>7</v>
      </c>
      <c r="E25" s="11" t="s">
        <v>8</v>
      </c>
      <c r="F25" s="12" t="s">
        <v>9</v>
      </c>
      <c r="G25" s="11" t="s">
        <v>10</v>
      </c>
      <c r="H25" s="32" t="s">
        <v>11</v>
      </c>
      <c r="J25" s="35" t="s">
        <v>3</v>
      </c>
      <c r="K25" s="14"/>
      <c r="L25" s="15"/>
      <c r="M25" s="15"/>
      <c r="N25" s="15"/>
      <c r="O25" s="15"/>
      <c r="P25" s="15"/>
      <c r="Q25" s="15"/>
      <c r="R25" s="15"/>
      <c r="S25" s="15"/>
      <c r="T25" s="15"/>
      <c r="U25" s="16"/>
      <c r="X25" s="35" t="s">
        <v>3</v>
      </c>
      <c r="Y25" s="14"/>
      <c r="Z25" s="15"/>
      <c r="AA25" s="15"/>
      <c r="AB25" s="15"/>
      <c r="AC25" s="15"/>
      <c r="AD25" s="16"/>
      <c r="AF25" s="35" t="s">
        <v>3</v>
      </c>
      <c r="AG25" s="14"/>
      <c r="AH25" s="15"/>
      <c r="AI25" s="15"/>
      <c r="AJ25" s="15"/>
      <c r="AK25" s="15"/>
      <c r="AL25" s="16"/>
    </row>
    <row r="26" spans="1:38" ht="15.75" thickBot="1" x14ac:dyDescent="0.3">
      <c r="A26" s="168"/>
      <c r="B26" s="17"/>
      <c r="C26" s="18"/>
      <c r="D26" s="18"/>
      <c r="E26" s="18"/>
      <c r="F26" s="18">
        <f>SUM(C26-B26)</f>
        <v>0</v>
      </c>
      <c r="G26" s="18">
        <f>SUM(E26-D26)</f>
        <v>0</v>
      </c>
      <c r="H26" s="33">
        <f>SUM(F26:G26)</f>
        <v>0</v>
      </c>
      <c r="J26" s="36" t="s">
        <v>21</v>
      </c>
      <c r="K26" s="25"/>
      <c r="L26" s="26"/>
      <c r="M26" s="26"/>
      <c r="N26" s="26"/>
      <c r="O26" s="26"/>
      <c r="P26" s="26"/>
      <c r="Q26" s="26"/>
      <c r="R26" s="26"/>
      <c r="S26" s="26"/>
      <c r="T26" s="26"/>
      <c r="U26" s="27"/>
      <c r="X26" s="36" t="s">
        <v>21</v>
      </c>
      <c r="Y26" s="19"/>
      <c r="Z26" s="20"/>
      <c r="AA26" s="20"/>
      <c r="AB26" s="20"/>
      <c r="AC26" s="20"/>
      <c r="AD26" s="21"/>
      <c r="AF26" s="36" t="s">
        <v>21</v>
      </c>
      <c r="AG26" s="19"/>
      <c r="AH26" s="20"/>
      <c r="AI26" s="20"/>
      <c r="AJ26" s="20"/>
      <c r="AK26" s="20"/>
      <c r="AL26" s="21"/>
    </row>
    <row r="27" spans="1:38" x14ac:dyDescent="0.25">
      <c r="F27" s="2"/>
      <c r="G27" s="2"/>
      <c r="H27" s="2"/>
      <c r="J27" s="37"/>
      <c r="T27" s="22" t="s">
        <v>22</v>
      </c>
      <c r="U27" s="23">
        <f>SUM(K26:U26)</f>
        <v>0</v>
      </c>
      <c r="AC27" s="22" t="s">
        <v>22</v>
      </c>
      <c r="AD27" s="23">
        <f>SUM(Y26:AD26)</f>
        <v>0</v>
      </c>
      <c r="AK27" s="22" t="s">
        <v>22</v>
      </c>
      <c r="AL27" s="23">
        <f>SUM(AG26:AL26)</f>
        <v>0</v>
      </c>
    </row>
    <row r="28" spans="1:38" ht="15.75" thickBot="1" x14ac:dyDescent="0.3">
      <c r="A28" s="34"/>
      <c r="B28" s="171" t="s">
        <v>14</v>
      </c>
      <c r="C28" s="171"/>
      <c r="D28" s="171"/>
      <c r="E28" s="171"/>
      <c r="F28" s="171"/>
      <c r="G28" s="171"/>
      <c r="H28" s="171"/>
      <c r="J28" s="172" t="s">
        <v>14</v>
      </c>
      <c r="K28" s="172"/>
      <c r="L28" s="172"/>
      <c r="M28" s="172"/>
      <c r="N28" s="172"/>
      <c r="O28" s="172"/>
      <c r="P28" s="172"/>
      <c r="Q28" s="172"/>
      <c r="R28" s="172"/>
      <c r="S28" s="172"/>
      <c r="T28" s="172"/>
      <c r="U28" s="172"/>
      <c r="X28" s="173" t="str">
        <f>J28</f>
        <v>Maio</v>
      </c>
      <c r="Y28" s="173"/>
      <c r="Z28" s="173"/>
      <c r="AA28" s="173"/>
      <c r="AB28" s="173"/>
      <c r="AC28" s="173"/>
      <c r="AD28" s="173"/>
      <c r="AF28" s="174" t="str">
        <f>X28</f>
        <v>Maio</v>
      </c>
      <c r="AG28" s="174"/>
      <c r="AH28" s="174"/>
      <c r="AI28" s="174"/>
      <c r="AJ28" s="174"/>
      <c r="AK28" s="174"/>
      <c r="AL28" s="174"/>
    </row>
    <row r="29" spans="1:38" ht="15.75" thickBot="1" x14ac:dyDescent="0.3">
      <c r="A29" s="168" t="s">
        <v>4</v>
      </c>
      <c r="B29" s="10" t="s">
        <v>5</v>
      </c>
      <c r="C29" s="11" t="s">
        <v>6</v>
      </c>
      <c r="D29" s="12" t="s">
        <v>7</v>
      </c>
      <c r="E29" s="11" t="s">
        <v>8</v>
      </c>
      <c r="F29" s="12" t="s">
        <v>9</v>
      </c>
      <c r="G29" s="11" t="s">
        <v>10</v>
      </c>
      <c r="H29" s="32" t="s">
        <v>11</v>
      </c>
      <c r="J29" s="35" t="s">
        <v>3</v>
      </c>
      <c r="K29" s="14"/>
      <c r="L29" s="15"/>
      <c r="M29" s="15"/>
      <c r="N29" s="15"/>
      <c r="O29" s="15"/>
      <c r="P29" s="15"/>
      <c r="Q29" s="15"/>
      <c r="R29" s="15"/>
      <c r="S29" s="15"/>
      <c r="T29" s="15"/>
      <c r="U29" s="16"/>
      <c r="X29" s="35" t="s">
        <v>3</v>
      </c>
      <c r="Y29" s="14"/>
      <c r="Z29" s="15"/>
      <c r="AA29" s="15"/>
      <c r="AB29" s="15"/>
      <c r="AC29" s="15"/>
      <c r="AD29" s="16"/>
      <c r="AF29" s="35" t="s">
        <v>3</v>
      </c>
      <c r="AG29" s="14"/>
      <c r="AH29" s="15"/>
      <c r="AI29" s="15"/>
      <c r="AJ29" s="15"/>
      <c r="AK29" s="15"/>
      <c r="AL29" s="16"/>
    </row>
    <row r="30" spans="1:38" ht="15.75" thickBot="1" x14ac:dyDescent="0.3">
      <c r="A30" s="168"/>
      <c r="B30" s="17"/>
      <c r="C30" s="18"/>
      <c r="D30" s="18"/>
      <c r="E30" s="18"/>
      <c r="F30" s="18">
        <f>SUM(C30-B30)</f>
        <v>0</v>
      </c>
      <c r="G30" s="18">
        <f>SUM(E30-D30)</f>
        <v>0</v>
      </c>
      <c r="H30" s="33">
        <f>SUM(F30:G30)</f>
        <v>0</v>
      </c>
      <c r="J30" s="36" t="s">
        <v>21</v>
      </c>
      <c r="K30" s="19"/>
      <c r="L30" s="20"/>
      <c r="M30" s="20"/>
      <c r="N30" s="20"/>
      <c r="O30" s="20"/>
      <c r="P30" s="20"/>
      <c r="Q30" s="20"/>
      <c r="R30" s="20"/>
      <c r="S30" s="20"/>
      <c r="T30" s="20"/>
      <c r="U30" s="21"/>
      <c r="X30" s="36" t="s">
        <v>21</v>
      </c>
      <c r="Y30" s="19"/>
      <c r="Z30" s="20"/>
      <c r="AA30" s="20"/>
      <c r="AB30" s="20"/>
      <c r="AC30" s="20"/>
      <c r="AD30" s="21"/>
      <c r="AF30" s="36" t="s">
        <v>21</v>
      </c>
      <c r="AG30" s="19"/>
      <c r="AH30" s="20"/>
      <c r="AI30" s="20"/>
      <c r="AJ30" s="20"/>
      <c r="AK30" s="20"/>
      <c r="AL30" s="21"/>
    </row>
    <row r="31" spans="1:38" x14ac:dyDescent="0.25">
      <c r="F31" s="2"/>
      <c r="G31" s="2"/>
      <c r="H31" s="2"/>
      <c r="J31" s="37"/>
      <c r="T31" s="22" t="s">
        <v>22</v>
      </c>
      <c r="U31" s="23">
        <f>SUM(K30:U30)</f>
        <v>0</v>
      </c>
      <c r="AC31" s="22" t="s">
        <v>22</v>
      </c>
      <c r="AD31" s="23">
        <f>SUM(Y30:AD30)</f>
        <v>0</v>
      </c>
      <c r="AK31" s="22" t="s">
        <v>22</v>
      </c>
      <c r="AL31" s="23">
        <f>SUM(AG30:AL30)</f>
        <v>0</v>
      </c>
    </row>
    <row r="32" spans="1:38" ht="15.75" thickBot="1" x14ac:dyDescent="0.3">
      <c r="A32" s="34"/>
      <c r="B32" s="171" t="s">
        <v>23</v>
      </c>
      <c r="C32" s="171"/>
      <c r="D32" s="171"/>
      <c r="E32" s="171"/>
      <c r="F32" s="171"/>
      <c r="G32" s="171"/>
      <c r="H32" s="171"/>
      <c r="J32" s="172" t="s">
        <v>23</v>
      </c>
      <c r="K32" s="172"/>
      <c r="L32" s="172"/>
      <c r="M32" s="172"/>
      <c r="N32" s="172"/>
      <c r="O32" s="172"/>
      <c r="P32" s="172"/>
      <c r="Q32" s="172"/>
      <c r="R32" s="172"/>
      <c r="S32" s="172"/>
      <c r="T32" s="172"/>
      <c r="U32" s="172"/>
      <c r="X32" s="173" t="str">
        <f>J32</f>
        <v>Junho</v>
      </c>
      <c r="Y32" s="173"/>
      <c r="Z32" s="173"/>
      <c r="AA32" s="173"/>
      <c r="AB32" s="173"/>
      <c r="AC32" s="173"/>
      <c r="AD32" s="173"/>
      <c r="AF32" s="174" t="str">
        <f>X32</f>
        <v>Junho</v>
      </c>
      <c r="AG32" s="174"/>
      <c r="AH32" s="174"/>
      <c r="AI32" s="174"/>
      <c r="AJ32" s="174"/>
      <c r="AK32" s="174"/>
      <c r="AL32" s="174"/>
    </row>
    <row r="33" spans="1:38" ht="15.75" thickBot="1" x14ac:dyDescent="0.3">
      <c r="A33" s="168" t="s">
        <v>4</v>
      </c>
      <c r="B33" s="10" t="s">
        <v>5</v>
      </c>
      <c r="C33" s="11" t="s">
        <v>6</v>
      </c>
      <c r="D33" s="12" t="s">
        <v>7</v>
      </c>
      <c r="E33" s="11" t="s">
        <v>8</v>
      </c>
      <c r="F33" s="12" t="s">
        <v>9</v>
      </c>
      <c r="G33" s="11" t="s">
        <v>10</v>
      </c>
      <c r="H33" s="32" t="s">
        <v>11</v>
      </c>
      <c r="J33" s="35" t="s">
        <v>3</v>
      </c>
      <c r="K33" s="14"/>
      <c r="L33" s="15"/>
      <c r="M33" s="15"/>
      <c r="N33" s="15"/>
      <c r="O33" s="15"/>
      <c r="P33" s="15"/>
      <c r="Q33" s="15"/>
      <c r="R33" s="15"/>
      <c r="S33" s="15"/>
      <c r="T33" s="15"/>
      <c r="U33" s="16"/>
      <c r="X33" s="35" t="s">
        <v>3</v>
      </c>
      <c r="Y33" s="14"/>
      <c r="Z33" s="15"/>
      <c r="AA33" s="15"/>
      <c r="AB33" s="15"/>
      <c r="AC33" s="15"/>
      <c r="AD33" s="16"/>
      <c r="AF33" s="35" t="s">
        <v>3</v>
      </c>
      <c r="AG33" s="14"/>
      <c r="AH33" s="15"/>
      <c r="AI33" s="15"/>
      <c r="AJ33" s="15"/>
      <c r="AK33" s="15"/>
      <c r="AL33" s="16"/>
    </row>
    <row r="34" spans="1:38" ht="15.75" thickBot="1" x14ac:dyDescent="0.3">
      <c r="A34" s="168"/>
      <c r="B34" s="17"/>
      <c r="C34" s="18"/>
      <c r="D34" s="18"/>
      <c r="E34" s="18"/>
      <c r="F34" s="18">
        <f>SUM(C34-B34)</f>
        <v>0</v>
      </c>
      <c r="G34" s="18">
        <f>SUM(E34-D34)</f>
        <v>0</v>
      </c>
      <c r="H34" s="33">
        <f>SUM(F34:G34)</f>
        <v>0</v>
      </c>
      <c r="J34" s="36" t="s">
        <v>21</v>
      </c>
      <c r="K34" s="19"/>
      <c r="L34" s="20"/>
      <c r="M34" s="20"/>
      <c r="N34" s="20"/>
      <c r="O34" s="20"/>
      <c r="P34" s="20"/>
      <c r="Q34" s="20"/>
      <c r="R34" s="20"/>
      <c r="S34" s="20"/>
      <c r="T34" s="20"/>
      <c r="U34" s="21"/>
      <c r="X34" s="36" t="s">
        <v>21</v>
      </c>
      <c r="Y34" s="19"/>
      <c r="Z34" s="20"/>
      <c r="AA34" s="20"/>
      <c r="AB34" s="20"/>
      <c r="AC34" s="20"/>
      <c r="AD34" s="21"/>
      <c r="AF34" s="36" t="s">
        <v>21</v>
      </c>
      <c r="AG34" s="19"/>
      <c r="AH34" s="20"/>
      <c r="AI34" s="20"/>
      <c r="AJ34" s="20"/>
      <c r="AK34" s="20"/>
      <c r="AL34" s="21"/>
    </row>
    <row r="35" spans="1:38" x14ac:dyDescent="0.25">
      <c r="F35" s="2"/>
      <c r="G35" s="2"/>
      <c r="H35" s="2"/>
      <c r="J35" s="37"/>
      <c r="T35" s="22" t="s">
        <v>22</v>
      </c>
      <c r="U35" s="23">
        <f>SUM(K34:U34)</f>
        <v>0</v>
      </c>
      <c r="AC35" s="22" t="s">
        <v>22</v>
      </c>
      <c r="AD35" s="23">
        <f>SUM(Y34:AD34)</f>
        <v>0</v>
      </c>
      <c r="AK35" s="22" t="s">
        <v>22</v>
      </c>
      <c r="AL35" s="23">
        <f>SUM(AG34:AL34)</f>
        <v>0</v>
      </c>
    </row>
    <row r="36" spans="1:38" ht="15.75" thickBot="1" x14ac:dyDescent="0.3">
      <c r="A36" s="34"/>
      <c r="B36" s="171" t="s">
        <v>15</v>
      </c>
      <c r="C36" s="171"/>
      <c r="D36" s="171"/>
      <c r="E36" s="171"/>
      <c r="F36" s="171"/>
      <c r="G36" s="171"/>
      <c r="H36" s="171"/>
      <c r="J36" s="172" t="s">
        <v>15</v>
      </c>
      <c r="K36" s="172"/>
      <c r="L36" s="172"/>
      <c r="M36" s="172"/>
      <c r="N36" s="172"/>
      <c r="O36" s="172"/>
      <c r="P36" s="172"/>
      <c r="Q36" s="172"/>
      <c r="R36" s="172"/>
      <c r="S36" s="172"/>
      <c r="T36" s="172"/>
      <c r="U36" s="172"/>
      <c r="X36" s="173" t="str">
        <f>J36</f>
        <v>Julho</v>
      </c>
      <c r="Y36" s="173"/>
      <c r="Z36" s="173"/>
      <c r="AA36" s="173"/>
      <c r="AB36" s="173"/>
      <c r="AC36" s="173"/>
      <c r="AD36" s="173"/>
      <c r="AF36" s="174" t="str">
        <f>X36</f>
        <v>Julho</v>
      </c>
      <c r="AG36" s="174"/>
      <c r="AH36" s="174"/>
      <c r="AI36" s="174"/>
      <c r="AJ36" s="174"/>
      <c r="AK36" s="174"/>
      <c r="AL36" s="174"/>
    </row>
    <row r="37" spans="1:38" ht="15.75" thickBot="1" x14ac:dyDescent="0.3">
      <c r="A37" s="168" t="s">
        <v>4</v>
      </c>
      <c r="B37" s="10" t="s">
        <v>5</v>
      </c>
      <c r="C37" s="11" t="s">
        <v>6</v>
      </c>
      <c r="D37" s="12" t="s">
        <v>7</v>
      </c>
      <c r="E37" s="11" t="s">
        <v>8</v>
      </c>
      <c r="F37" s="12" t="s">
        <v>9</v>
      </c>
      <c r="G37" s="11" t="s">
        <v>10</v>
      </c>
      <c r="H37" s="32" t="s">
        <v>11</v>
      </c>
      <c r="J37" s="35" t="s">
        <v>3</v>
      </c>
      <c r="K37" s="14">
        <v>45596</v>
      </c>
      <c r="L37" s="24">
        <v>45594</v>
      </c>
      <c r="M37" s="24"/>
      <c r="N37" s="15"/>
      <c r="O37" s="15"/>
      <c r="P37" s="15"/>
      <c r="Q37" s="15"/>
      <c r="R37" s="15"/>
      <c r="S37" s="15"/>
      <c r="T37" s="15"/>
      <c r="U37" s="16"/>
      <c r="X37" s="35" t="s">
        <v>3</v>
      </c>
      <c r="Y37" s="14"/>
      <c r="Z37" s="15"/>
      <c r="AA37" s="15"/>
      <c r="AB37" s="15"/>
      <c r="AC37" s="15"/>
      <c r="AD37" s="16"/>
      <c r="AF37" s="35" t="s">
        <v>3</v>
      </c>
      <c r="AG37" s="14"/>
      <c r="AH37" s="15"/>
      <c r="AI37" s="15"/>
      <c r="AJ37" s="15"/>
      <c r="AK37" s="15"/>
      <c r="AL37" s="16"/>
    </row>
    <row r="38" spans="1:38" ht="15.75" thickBot="1" x14ac:dyDescent="0.3">
      <c r="A38" s="168"/>
      <c r="B38" s="17"/>
      <c r="C38" s="18"/>
      <c r="D38" s="18"/>
      <c r="E38" s="18"/>
      <c r="F38" s="18">
        <f>SUM(C38-B38)</f>
        <v>0</v>
      </c>
      <c r="G38" s="18">
        <f>SUM(E38-D38)</f>
        <v>0</v>
      </c>
      <c r="H38" s="33">
        <f>SUM(F38:G38)</f>
        <v>0</v>
      </c>
      <c r="J38" s="36" t="s">
        <v>21</v>
      </c>
      <c r="K38" s="19">
        <v>210.7</v>
      </c>
      <c r="L38" s="20">
        <v>192.82</v>
      </c>
      <c r="M38" s="20"/>
      <c r="N38" s="20"/>
      <c r="O38" s="20"/>
      <c r="P38" s="20"/>
      <c r="Q38" s="20"/>
      <c r="R38" s="20"/>
      <c r="S38" s="20"/>
      <c r="T38" s="20"/>
      <c r="U38" s="21"/>
      <c r="X38" s="36" t="s">
        <v>21</v>
      </c>
      <c r="Y38" s="19"/>
      <c r="Z38" s="20"/>
      <c r="AA38" s="20"/>
      <c r="AB38" s="20"/>
      <c r="AC38" s="20"/>
      <c r="AD38" s="21"/>
      <c r="AF38" s="36" t="s">
        <v>21</v>
      </c>
      <c r="AG38" s="19"/>
      <c r="AH38" s="20"/>
      <c r="AI38" s="20"/>
      <c r="AJ38" s="20"/>
      <c r="AK38" s="20"/>
      <c r="AL38" s="21"/>
    </row>
    <row r="39" spans="1:38" x14ac:dyDescent="0.25">
      <c r="F39" s="2"/>
      <c r="G39" s="2"/>
      <c r="H39" s="2"/>
      <c r="J39" s="37"/>
      <c r="T39" s="22" t="s">
        <v>22</v>
      </c>
      <c r="U39" s="23">
        <f>SUM(K38:U38)</f>
        <v>403.52</v>
      </c>
      <c r="AC39" s="22" t="s">
        <v>22</v>
      </c>
      <c r="AD39" s="23">
        <f>SUM(Y38:AD38)</f>
        <v>0</v>
      </c>
      <c r="AK39" s="22" t="s">
        <v>22</v>
      </c>
      <c r="AL39" s="23">
        <f>SUM(AG38:AL38)</f>
        <v>0</v>
      </c>
    </row>
    <row r="40" spans="1:38" ht="15.75" thickBot="1" x14ac:dyDescent="0.3">
      <c r="A40" s="34"/>
      <c r="B40" s="171" t="s">
        <v>16</v>
      </c>
      <c r="C40" s="171"/>
      <c r="D40" s="171"/>
      <c r="E40" s="171"/>
      <c r="F40" s="171"/>
      <c r="G40" s="171"/>
      <c r="H40" s="171"/>
      <c r="J40" s="172" t="s">
        <v>16</v>
      </c>
      <c r="K40" s="172"/>
      <c r="L40" s="172"/>
      <c r="M40" s="172"/>
      <c r="N40" s="172"/>
      <c r="O40" s="172"/>
      <c r="P40" s="172"/>
      <c r="Q40" s="172"/>
      <c r="R40" s="172"/>
      <c r="S40" s="172"/>
      <c r="T40" s="172"/>
      <c r="U40" s="172"/>
      <c r="X40" s="173" t="str">
        <f>J40</f>
        <v>Agosto</v>
      </c>
      <c r="Y40" s="173"/>
      <c r="Z40" s="173"/>
      <c r="AA40" s="173"/>
      <c r="AB40" s="173"/>
      <c r="AC40" s="173"/>
      <c r="AD40" s="173"/>
      <c r="AF40" s="174" t="str">
        <f>X40</f>
        <v>Agosto</v>
      </c>
      <c r="AG40" s="174"/>
      <c r="AH40" s="174"/>
      <c r="AI40" s="174"/>
      <c r="AJ40" s="174"/>
      <c r="AK40" s="174"/>
      <c r="AL40" s="174"/>
    </row>
    <row r="41" spans="1:38" ht="15.75" thickBot="1" x14ac:dyDescent="0.3">
      <c r="A41" s="168" t="s">
        <v>4</v>
      </c>
      <c r="B41" s="10" t="s">
        <v>5</v>
      </c>
      <c r="C41" s="11" t="s">
        <v>6</v>
      </c>
      <c r="D41" s="12" t="s">
        <v>7</v>
      </c>
      <c r="E41" s="11" t="s">
        <v>8</v>
      </c>
      <c r="F41" s="12" t="s">
        <v>9</v>
      </c>
      <c r="G41" s="11" t="s">
        <v>10</v>
      </c>
      <c r="H41" s="32" t="s">
        <v>11</v>
      </c>
      <c r="J41" s="35" t="s">
        <v>3</v>
      </c>
      <c r="K41" s="14">
        <v>45507</v>
      </c>
      <c r="L41" s="24">
        <v>45507</v>
      </c>
      <c r="M41" s="24">
        <v>45518</v>
      </c>
      <c r="N41" s="24">
        <v>45524</v>
      </c>
      <c r="O41" s="24">
        <v>45526</v>
      </c>
      <c r="P41" s="24">
        <v>45531</v>
      </c>
      <c r="Q41" s="24">
        <v>45532</v>
      </c>
      <c r="R41" s="24">
        <v>45534</v>
      </c>
      <c r="S41" s="15"/>
      <c r="T41" s="15"/>
      <c r="U41" s="16"/>
      <c r="X41" s="35" t="s">
        <v>3</v>
      </c>
      <c r="Y41" s="14"/>
      <c r="Z41" s="15"/>
      <c r="AA41" s="15"/>
      <c r="AB41" s="15"/>
      <c r="AC41" s="15"/>
      <c r="AD41" s="16"/>
      <c r="AF41" s="35" t="s">
        <v>3</v>
      </c>
      <c r="AG41" s="14"/>
      <c r="AH41" s="15"/>
      <c r="AI41" s="15"/>
      <c r="AJ41" s="15"/>
      <c r="AK41" s="15"/>
      <c r="AL41" s="16"/>
    </row>
    <row r="42" spans="1:38" ht="15.75" thickBot="1" x14ac:dyDescent="0.3">
      <c r="A42" s="168"/>
      <c r="B42" s="17">
        <v>20657</v>
      </c>
      <c r="C42" s="18"/>
      <c r="D42" s="18"/>
      <c r="E42" s="18">
        <v>23157</v>
      </c>
      <c r="F42" s="18">
        <f>SUM(C42-B42)</f>
        <v>-20657</v>
      </c>
      <c r="G42" s="18">
        <f>SUM(E42-D42)</f>
        <v>23157</v>
      </c>
      <c r="H42" s="33">
        <f>SUM(F42:G42)</f>
        <v>2500</v>
      </c>
      <c r="J42" s="36" t="s">
        <v>21</v>
      </c>
      <c r="K42" s="19">
        <v>259.19</v>
      </c>
      <c r="L42" s="20">
        <v>203.15</v>
      </c>
      <c r="M42" s="20">
        <v>214.65</v>
      </c>
      <c r="N42" s="20">
        <v>215.02</v>
      </c>
      <c r="O42" s="20">
        <v>178.77</v>
      </c>
      <c r="P42" s="20">
        <v>254.7</v>
      </c>
      <c r="Q42" s="20">
        <v>192.27</v>
      </c>
      <c r="R42" s="20">
        <v>208.72</v>
      </c>
      <c r="S42" s="20"/>
      <c r="T42" s="20"/>
      <c r="U42" s="21"/>
      <c r="X42" s="36" t="s">
        <v>21</v>
      </c>
      <c r="Y42" s="19"/>
      <c r="Z42" s="20"/>
      <c r="AA42" s="20"/>
      <c r="AB42" s="20"/>
      <c r="AC42" s="20"/>
      <c r="AD42" s="21"/>
      <c r="AF42" s="36" t="s">
        <v>21</v>
      </c>
      <c r="AG42" s="19"/>
      <c r="AH42" s="20"/>
      <c r="AI42" s="20"/>
      <c r="AJ42" s="20"/>
      <c r="AK42" s="20"/>
      <c r="AL42" s="21"/>
    </row>
    <row r="43" spans="1:38" x14ac:dyDescent="0.25">
      <c r="F43" s="2"/>
      <c r="G43" s="2"/>
      <c r="H43" s="2"/>
      <c r="J43" s="37"/>
      <c r="T43" s="22" t="s">
        <v>22</v>
      </c>
      <c r="U43" s="23">
        <f>SUM(K42:U42)</f>
        <v>1726.47</v>
      </c>
      <c r="AC43" s="22" t="s">
        <v>22</v>
      </c>
      <c r="AD43" s="23">
        <f>SUM(Y42:AD42)</f>
        <v>0</v>
      </c>
      <c r="AK43" s="22" t="s">
        <v>22</v>
      </c>
      <c r="AL43" s="23">
        <f>SUM(AG42:AL42)</f>
        <v>0</v>
      </c>
    </row>
    <row r="44" spans="1:38" ht="15.75" thickBot="1" x14ac:dyDescent="0.3">
      <c r="A44" s="34"/>
      <c r="B44" s="171" t="s">
        <v>17</v>
      </c>
      <c r="C44" s="171"/>
      <c r="D44" s="171"/>
      <c r="E44" s="171"/>
      <c r="F44" s="171"/>
      <c r="G44" s="171"/>
      <c r="H44" s="171"/>
      <c r="J44" s="172" t="s">
        <v>17</v>
      </c>
      <c r="K44" s="172"/>
      <c r="L44" s="172"/>
      <c r="M44" s="172"/>
      <c r="N44" s="172"/>
      <c r="O44" s="172"/>
      <c r="P44" s="172"/>
      <c r="Q44" s="172"/>
      <c r="R44" s="172"/>
      <c r="S44" s="172"/>
      <c r="T44" s="172"/>
      <c r="U44" s="172"/>
      <c r="X44" s="173" t="str">
        <f>J44</f>
        <v>Setembro</v>
      </c>
      <c r="Y44" s="173"/>
      <c r="Z44" s="173"/>
      <c r="AA44" s="173"/>
      <c r="AB44" s="173"/>
      <c r="AC44" s="173"/>
      <c r="AD44" s="173"/>
      <c r="AF44" s="174" t="str">
        <f>X44</f>
        <v>Setembro</v>
      </c>
      <c r="AG44" s="174"/>
      <c r="AH44" s="174"/>
      <c r="AI44" s="174"/>
      <c r="AJ44" s="174"/>
      <c r="AK44" s="174"/>
      <c r="AL44" s="174"/>
    </row>
    <row r="45" spans="1:38" ht="15.75" thickBot="1" x14ac:dyDescent="0.3">
      <c r="A45" s="168" t="s">
        <v>4</v>
      </c>
      <c r="B45" s="10" t="s">
        <v>5</v>
      </c>
      <c r="C45" s="11" t="s">
        <v>6</v>
      </c>
      <c r="D45" s="12" t="s">
        <v>7</v>
      </c>
      <c r="E45" s="11" t="s">
        <v>8</v>
      </c>
      <c r="F45" s="12" t="s">
        <v>9</v>
      </c>
      <c r="G45" s="11" t="s">
        <v>10</v>
      </c>
      <c r="H45" s="32" t="s">
        <v>11</v>
      </c>
      <c r="J45" s="35" t="s">
        <v>3</v>
      </c>
      <c r="K45" s="14">
        <v>45538</v>
      </c>
      <c r="L45" s="24">
        <v>45540</v>
      </c>
      <c r="M45" s="24">
        <v>45541</v>
      </c>
      <c r="N45" s="24">
        <v>45545</v>
      </c>
      <c r="O45" s="24">
        <v>45548</v>
      </c>
      <c r="P45" s="24">
        <v>45552</v>
      </c>
      <c r="Q45" s="24">
        <v>45554</v>
      </c>
      <c r="R45" s="24">
        <v>45556</v>
      </c>
      <c r="S45" s="24">
        <v>45559</v>
      </c>
      <c r="T45" s="24">
        <v>45563</v>
      </c>
      <c r="U45" s="16"/>
      <c r="X45" s="35" t="s">
        <v>3</v>
      </c>
      <c r="Y45" s="14"/>
      <c r="Z45" s="15"/>
      <c r="AA45" s="15"/>
      <c r="AB45" s="15"/>
      <c r="AC45" s="15"/>
      <c r="AD45" s="16"/>
      <c r="AF45" s="35" t="s">
        <v>3</v>
      </c>
      <c r="AG45" s="14"/>
      <c r="AH45" s="15"/>
      <c r="AI45" s="15"/>
      <c r="AJ45" s="15"/>
      <c r="AK45" s="15"/>
      <c r="AL45" s="16"/>
    </row>
    <row r="46" spans="1:38" ht="15.75" thickBot="1" x14ac:dyDescent="0.3">
      <c r="A46" s="168"/>
      <c r="B46" s="17">
        <v>23157</v>
      </c>
      <c r="C46" s="18"/>
      <c r="D46" s="18"/>
      <c r="E46" s="18">
        <v>26709</v>
      </c>
      <c r="F46" s="18">
        <f>SUM(C46-B46)</f>
        <v>-23157</v>
      </c>
      <c r="G46" s="18">
        <f>SUM(E46-D46)</f>
        <v>26709</v>
      </c>
      <c r="H46" s="33">
        <f>SUM(F46:G46)</f>
        <v>3552</v>
      </c>
      <c r="J46" s="36" t="s">
        <v>21</v>
      </c>
      <c r="K46" s="19">
        <v>221.26</v>
      </c>
      <c r="L46" s="20">
        <v>204.32</v>
      </c>
      <c r="M46" s="20">
        <v>106.89</v>
      </c>
      <c r="N46" s="20">
        <v>225.39</v>
      </c>
      <c r="O46" s="20">
        <v>205.35</v>
      </c>
      <c r="P46" s="20">
        <v>239.66</v>
      </c>
      <c r="Q46" s="20">
        <v>200.41</v>
      </c>
      <c r="R46" s="20">
        <v>163.56</v>
      </c>
      <c r="S46" s="20">
        <v>253.02</v>
      </c>
      <c r="T46" s="20">
        <v>117.1</v>
      </c>
      <c r="U46" s="21"/>
      <c r="X46" s="36" t="s">
        <v>21</v>
      </c>
      <c r="Y46" s="19"/>
      <c r="Z46" s="20"/>
      <c r="AA46" s="20"/>
      <c r="AB46" s="20"/>
      <c r="AC46" s="20"/>
      <c r="AD46" s="21"/>
      <c r="AF46" s="36" t="s">
        <v>21</v>
      </c>
      <c r="AG46" s="19"/>
      <c r="AH46" s="20"/>
      <c r="AI46" s="20"/>
      <c r="AJ46" s="20"/>
      <c r="AK46" s="20"/>
      <c r="AL46" s="21"/>
    </row>
    <row r="47" spans="1:38" x14ac:dyDescent="0.25">
      <c r="F47" s="2"/>
      <c r="G47" s="2"/>
      <c r="H47" s="2"/>
      <c r="J47" s="37"/>
      <c r="T47" s="22" t="s">
        <v>22</v>
      </c>
      <c r="U47" s="23">
        <f>SUM(K46:U46)</f>
        <v>1936.96</v>
      </c>
      <c r="AC47" s="22" t="s">
        <v>22</v>
      </c>
      <c r="AD47" s="23">
        <f>SUM(Y46:AD46)</f>
        <v>0</v>
      </c>
      <c r="AK47" s="22" t="s">
        <v>22</v>
      </c>
      <c r="AL47" s="23">
        <f>SUM(AG46:AL46)</f>
        <v>0</v>
      </c>
    </row>
    <row r="48" spans="1:38" ht="15.75" thickBot="1" x14ac:dyDescent="0.3">
      <c r="A48" s="34"/>
      <c r="B48" s="171" t="s">
        <v>18</v>
      </c>
      <c r="C48" s="171"/>
      <c r="D48" s="171"/>
      <c r="E48" s="171"/>
      <c r="F48" s="171"/>
      <c r="G48" s="171"/>
      <c r="H48" s="171"/>
      <c r="J48" s="172" t="s">
        <v>18</v>
      </c>
      <c r="K48" s="172"/>
      <c r="L48" s="172"/>
      <c r="M48" s="172"/>
      <c r="N48" s="172"/>
      <c r="O48" s="172"/>
      <c r="P48" s="172"/>
      <c r="Q48" s="172"/>
      <c r="R48" s="172"/>
      <c r="S48" s="172"/>
      <c r="T48" s="172"/>
      <c r="U48" s="172"/>
      <c r="X48" s="173" t="str">
        <f>J48</f>
        <v>Outubro</v>
      </c>
      <c r="Y48" s="173"/>
      <c r="Z48" s="173"/>
      <c r="AA48" s="173"/>
      <c r="AB48" s="173"/>
      <c r="AC48" s="173"/>
      <c r="AD48" s="173"/>
      <c r="AF48" s="174" t="str">
        <f>X48</f>
        <v>Outubro</v>
      </c>
      <c r="AG48" s="174"/>
      <c r="AH48" s="174"/>
      <c r="AI48" s="174"/>
      <c r="AJ48" s="174"/>
      <c r="AK48" s="174"/>
      <c r="AL48" s="174"/>
    </row>
    <row r="49" spans="1:38" ht="15.75" thickBot="1" x14ac:dyDescent="0.3">
      <c r="A49" s="168" t="s">
        <v>4</v>
      </c>
      <c r="B49" s="10" t="s">
        <v>5</v>
      </c>
      <c r="C49" s="11" t="s">
        <v>6</v>
      </c>
      <c r="D49" s="12" t="s">
        <v>7</v>
      </c>
      <c r="E49" s="11" t="s">
        <v>8</v>
      </c>
      <c r="F49" s="12" t="s">
        <v>9</v>
      </c>
      <c r="G49" s="11" t="s">
        <v>10</v>
      </c>
      <c r="H49" s="32" t="s">
        <v>11</v>
      </c>
      <c r="J49" s="35" t="s">
        <v>3</v>
      </c>
      <c r="K49" s="14">
        <v>45566</v>
      </c>
      <c r="L49" s="24">
        <v>45568</v>
      </c>
      <c r="M49" s="24">
        <v>45573</v>
      </c>
      <c r="N49" s="24">
        <v>45575</v>
      </c>
      <c r="O49" s="24">
        <v>45577</v>
      </c>
      <c r="P49" s="24">
        <v>45580</v>
      </c>
      <c r="Q49" s="24">
        <v>45582</v>
      </c>
      <c r="R49" s="24">
        <v>45584</v>
      </c>
      <c r="S49" s="24">
        <v>45587</v>
      </c>
      <c r="T49" s="24">
        <v>45589</v>
      </c>
      <c r="U49" s="80">
        <v>45591</v>
      </c>
      <c r="X49" s="35" t="s">
        <v>3</v>
      </c>
      <c r="Y49" s="14"/>
      <c r="Z49" s="15"/>
      <c r="AA49" s="15"/>
      <c r="AB49" s="15"/>
      <c r="AC49" s="15"/>
      <c r="AD49" s="16"/>
      <c r="AF49" s="35" t="s">
        <v>3</v>
      </c>
      <c r="AG49" s="14"/>
      <c r="AH49" s="15"/>
      <c r="AI49" s="15"/>
      <c r="AJ49" s="15"/>
      <c r="AK49" s="15"/>
      <c r="AL49" s="16"/>
    </row>
    <row r="50" spans="1:38" ht="15.75" thickBot="1" x14ac:dyDescent="0.3">
      <c r="A50" s="168"/>
      <c r="B50" s="17">
        <v>26709</v>
      </c>
      <c r="C50" s="18"/>
      <c r="D50" s="18"/>
      <c r="E50" s="18">
        <v>31416</v>
      </c>
      <c r="F50" s="18">
        <f>SUM(C50-B50)</f>
        <v>-26709</v>
      </c>
      <c r="G50" s="18">
        <f>SUM(E50-D50)</f>
        <v>31416</v>
      </c>
      <c r="H50" s="33">
        <f>SUM(F50:G50)</f>
        <v>4707</v>
      </c>
      <c r="J50" s="36" t="s">
        <v>21</v>
      </c>
      <c r="K50" s="19">
        <v>158.99</v>
      </c>
      <c r="L50" s="20">
        <v>170.25</v>
      </c>
      <c r="M50" s="20">
        <v>188.91</v>
      </c>
      <c r="N50" s="20">
        <v>254.71</v>
      </c>
      <c r="O50" s="20">
        <v>248.51</v>
      </c>
      <c r="P50" s="20">
        <v>183.73</v>
      </c>
      <c r="Q50" s="20">
        <v>212.21</v>
      </c>
      <c r="R50" s="20">
        <v>237.5</v>
      </c>
      <c r="S50" s="20">
        <v>242.73</v>
      </c>
      <c r="T50" s="20">
        <v>221.36</v>
      </c>
      <c r="U50" s="21">
        <f>256.09+103.91</f>
        <v>360</v>
      </c>
      <c r="X50" s="36" t="s">
        <v>21</v>
      </c>
      <c r="Y50" s="19"/>
      <c r="Z50" s="20"/>
      <c r="AA50" s="20"/>
      <c r="AB50" s="20"/>
      <c r="AC50" s="20"/>
      <c r="AD50" s="21"/>
      <c r="AF50" s="36" t="s">
        <v>21</v>
      </c>
      <c r="AG50" s="19"/>
      <c r="AH50" s="20"/>
      <c r="AI50" s="20"/>
      <c r="AJ50" s="20"/>
      <c r="AK50" s="20"/>
      <c r="AL50" s="21"/>
    </row>
    <row r="51" spans="1:38" x14ac:dyDescent="0.25">
      <c r="F51" s="2"/>
      <c r="G51" s="2"/>
      <c r="H51" s="2"/>
      <c r="J51" s="37"/>
      <c r="T51" s="22" t="s">
        <v>22</v>
      </c>
      <c r="U51" s="23">
        <f>SUM(K50:U50)</f>
        <v>2478.9</v>
      </c>
      <c r="AC51" s="22" t="s">
        <v>22</v>
      </c>
      <c r="AD51" s="23">
        <f>SUM(Y50:AD50)</f>
        <v>0</v>
      </c>
      <c r="AK51" s="22" t="s">
        <v>22</v>
      </c>
      <c r="AL51" s="23">
        <f>SUM(AG50:AL50)</f>
        <v>0</v>
      </c>
    </row>
    <row r="52" spans="1:38" ht="15.75" thickBot="1" x14ac:dyDescent="0.3">
      <c r="A52" s="34"/>
      <c r="B52" s="171" t="s">
        <v>19</v>
      </c>
      <c r="C52" s="171"/>
      <c r="D52" s="171"/>
      <c r="E52" s="171"/>
      <c r="F52" s="171"/>
      <c r="G52" s="171"/>
      <c r="H52" s="171"/>
      <c r="J52" s="172" t="s">
        <v>19</v>
      </c>
      <c r="K52" s="172"/>
      <c r="L52" s="172"/>
      <c r="M52" s="172"/>
      <c r="N52" s="172"/>
      <c r="O52" s="172"/>
      <c r="P52" s="172"/>
      <c r="Q52" s="172"/>
      <c r="R52" s="172"/>
      <c r="S52" s="172"/>
      <c r="T52" s="172"/>
      <c r="U52" s="172"/>
      <c r="X52" s="173" t="str">
        <f>J52</f>
        <v>Novembro</v>
      </c>
      <c r="Y52" s="173"/>
      <c r="Z52" s="173"/>
      <c r="AA52" s="173"/>
      <c r="AB52" s="173"/>
      <c r="AC52" s="173"/>
      <c r="AD52" s="173"/>
      <c r="AF52" s="174" t="str">
        <f>X52</f>
        <v>Novembro</v>
      </c>
      <c r="AG52" s="174"/>
      <c r="AH52" s="174"/>
      <c r="AI52" s="174"/>
      <c r="AJ52" s="174"/>
      <c r="AK52" s="174"/>
      <c r="AL52" s="174"/>
    </row>
    <row r="53" spans="1:38" ht="15.75" thickBot="1" x14ac:dyDescent="0.3">
      <c r="A53" s="168" t="s">
        <v>4</v>
      </c>
      <c r="B53" s="10" t="s">
        <v>5</v>
      </c>
      <c r="C53" s="11" t="s">
        <v>6</v>
      </c>
      <c r="D53" s="12" t="s">
        <v>7</v>
      </c>
      <c r="E53" s="11" t="s">
        <v>8</v>
      </c>
      <c r="F53" s="12" t="s">
        <v>9</v>
      </c>
      <c r="G53" s="11" t="s">
        <v>10</v>
      </c>
      <c r="H53" s="32" t="s">
        <v>11</v>
      </c>
      <c r="J53" s="35" t="s">
        <v>3</v>
      </c>
      <c r="K53" s="14">
        <v>45601</v>
      </c>
      <c r="L53" s="24">
        <v>45601</v>
      </c>
      <c r="M53" s="24">
        <v>45603</v>
      </c>
      <c r="N53" s="24">
        <v>45605</v>
      </c>
      <c r="O53" s="24">
        <v>45615</v>
      </c>
      <c r="P53" s="24">
        <v>45624</v>
      </c>
      <c r="Q53" s="24">
        <v>45626</v>
      </c>
      <c r="R53" s="15"/>
      <c r="S53" s="15"/>
      <c r="T53" s="15"/>
      <c r="U53" s="16"/>
      <c r="X53" s="35" t="s">
        <v>3</v>
      </c>
      <c r="Y53" s="14"/>
      <c r="Z53" s="15"/>
      <c r="AA53" s="15"/>
      <c r="AB53" s="15"/>
      <c r="AC53" s="15"/>
      <c r="AD53" s="16"/>
      <c r="AF53" s="35" t="s">
        <v>3</v>
      </c>
      <c r="AG53" s="14"/>
      <c r="AH53" s="15"/>
      <c r="AI53" s="15"/>
      <c r="AJ53" s="15"/>
      <c r="AK53" s="15"/>
      <c r="AL53" s="16"/>
    </row>
    <row r="54" spans="1:38" ht="15.75" thickBot="1" x14ac:dyDescent="0.3">
      <c r="A54" s="168"/>
      <c r="B54" s="17"/>
      <c r="C54" s="18"/>
      <c r="D54" s="18"/>
      <c r="E54" s="18"/>
      <c r="F54" s="18">
        <f>SUM(C54-B54)</f>
        <v>0</v>
      </c>
      <c r="G54" s="18">
        <f>SUM(E54-D54)</f>
        <v>0</v>
      </c>
      <c r="H54" s="33">
        <f>SUM(F54:G54)</f>
        <v>0</v>
      </c>
      <c r="J54" s="36" t="s">
        <v>21</v>
      </c>
      <c r="K54" s="19">
        <v>317.8</v>
      </c>
      <c r="L54" s="20">
        <v>215.03</v>
      </c>
      <c r="M54" s="20">
        <v>113.54</v>
      </c>
      <c r="N54" s="20">
        <v>212.57</v>
      </c>
      <c r="O54" s="20">
        <v>137.13999999999999</v>
      </c>
      <c r="P54" s="20">
        <v>249.29</v>
      </c>
      <c r="Q54" s="20">
        <v>251.52</v>
      </c>
      <c r="R54" s="20"/>
      <c r="S54" s="20"/>
      <c r="T54" s="20"/>
      <c r="U54" s="21"/>
      <c r="X54" s="36" t="s">
        <v>21</v>
      </c>
      <c r="Y54" s="19"/>
      <c r="Z54" s="20"/>
      <c r="AA54" s="20"/>
      <c r="AB54" s="20"/>
      <c r="AC54" s="20"/>
      <c r="AD54" s="21"/>
      <c r="AF54" s="36" t="s">
        <v>21</v>
      </c>
      <c r="AG54" s="19"/>
      <c r="AH54" s="20"/>
      <c r="AI54" s="20"/>
      <c r="AJ54" s="20"/>
      <c r="AK54" s="20"/>
      <c r="AL54" s="21"/>
    </row>
    <row r="55" spans="1:38" x14ac:dyDescent="0.25">
      <c r="F55" s="2"/>
      <c r="G55" s="2"/>
      <c r="H55" s="2"/>
      <c r="J55" s="37"/>
      <c r="T55" s="22" t="s">
        <v>22</v>
      </c>
      <c r="U55" s="23">
        <f>SUM(K54:U54)</f>
        <v>1496.89</v>
      </c>
      <c r="AC55" s="22" t="s">
        <v>22</v>
      </c>
      <c r="AD55" s="23">
        <f>SUM(Y54:AD54)</f>
        <v>0</v>
      </c>
      <c r="AK55" s="22" t="s">
        <v>22</v>
      </c>
      <c r="AL55" s="23">
        <f>SUM(AG54:AL54)</f>
        <v>0</v>
      </c>
    </row>
    <row r="56" spans="1:38" ht="15.75" thickBot="1" x14ac:dyDescent="0.3">
      <c r="A56" s="34"/>
      <c r="B56" s="171" t="s">
        <v>20</v>
      </c>
      <c r="C56" s="171"/>
      <c r="D56" s="171"/>
      <c r="E56" s="171"/>
      <c r="F56" s="171"/>
      <c r="G56" s="171"/>
      <c r="H56" s="171"/>
      <c r="J56" s="172" t="s">
        <v>20</v>
      </c>
      <c r="K56" s="172"/>
      <c r="L56" s="172"/>
      <c r="M56" s="172"/>
      <c r="N56" s="172"/>
      <c r="O56" s="172"/>
      <c r="P56" s="172"/>
      <c r="Q56" s="172"/>
      <c r="R56" s="172"/>
      <c r="S56" s="172"/>
      <c r="T56" s="172"/>
      <c r="U56" s="172"/>
      <c r="X56" s="173" t="str">
        <f>J56</f>
        <v>Dezembro</v>
      </c>
      <c r="Y56" s="173"/>
      <c r="Z56" s="173"/>
      <c r="AA56" s="173"/>
      <c r="AB56" s="173"/>
      <c r="AC56" s="173"/>
      <c r="AD56" s="173"/>
      <c r="AF56" s="174" t="str">
        <f>X56</f>
        <v>Dezembro</v>
      </c>
      <c r="AG56" s="174"/>
      <c r="AH56" s="174"/>
      <c r="AI56" s="174"/>
      <c r="AJ56" s="174"/>
      <c r="AK56" s="174"/>
      <c r="AL56" s="174"/>
    </row>
    <row r="57" spans="1:38" ht="15.75" thickBot="1" x14ac:dyDescent="0.3">
      <c r="A57" s="168" t="s">
        <v>4</v>
      </c>
      <c r="B57" s="10" t="s">
        <v>5</v>
      </c>
      <c r="C57" s="11" t="s">
        <v>6</v>
      </c>
      <c r="D57" s="12" t="s">
        <v>7</v>
      </c>
      <c r="E57" s="11" t="s">
        <v>8</v>
      </c>
      <c r="F57" s="12" t="s">
        <v>9</v>
      </c>
      <c r="G57" s="11" t="s">
        <v>10</v>
      </c>
      <c r="H57" s="32" t="s">
        <v>11</v>
      </c>
      <c r="J57" s="35" t="s">
        <v>3</v>
      </c>
      <c r="K57" s="14">
        <v>45629</v>
      </c>
      <c r="L57" s="24">
        <v>45631</v>
      </c>
      <c r="M57" s="24">
        <v>45636</v>
      </c>
      <c r="N57" s="24">
        <v>45638</v>
      </c>
      <c r="O57" s="24">
        <v>45640</v>
      </c>
      <c r="P57" s="24">
        <v>45643</v>
      </c>
      <c r="Q57" s="24">
        <v>45645</v>
      </c>
      <c r="R57" s="15"/>
      <c r="S57" s="15"/>
      <c r="T57" s="15"/>
      <c r="U57" s="16"/>
      <c r="X57" s="35" t="s">
        <v>3</v>
      </c>
      <c r="Y57" s="14"/>
      <c r="Z57" s="24">
        <v>45645</v>
      </c>
      <c r="AA57" s="15"/>
      <c r="AB57" s="15"/>
      <c r="AC57" s="15"/>
      <c r="AD57" s="16"/>
      <c r="AF57" s="35" t="s">
        <v>3</v>
      </c>
      <c r="AG57" s="14"/>
      <c r="AH57" s="15"/>
      <c r="AI57" s="15"/>
      <c r="AJ57" s="15"/>
      <c r="AK57" s="15"/>
      <c r="AL57" s="16"/>
    </row>
    <row r="58" spans="1:38" ht="15.75" thickBot="1" x14ac:dyDescent="0.3">
      <c r="A58" s="168"/>
      <c r="B58" s="17">
        <v>35473</v>
      </c>
      <c r="C58" s="18">
        <v>37141</v>
      </c>
      <c r="D58" s="18">
        <v>37141</v>
      </c>
      <c r="E58" s="18">
        <v>39216</v>
      </c>
      <c r="F58" s="18">
        <f>SUM(C58-B58)</f>
        <v>1668</v>
      </c>
      <c r="G58" s="18">
        <f>SUM(E58-D58)</f>
        <v>2075</v>
      </c>
      <c r="H58" s="33">
        <f>SUM(F58:G58)</f>
        <v>3743</v>
      </c>
      <c r="J58" s="36" t="s">
        <v>21</v>
      </c>
      <c r="K58" s="19">
        <v>213.66</v>
      </c>
      <c r="L58" s="20">
        <v>184.03</v>
      </c>
      <c r="M58" s="20">
        <v>151.53</v>
      </c>
      <c r="N58" s="20">
        <v>141.03</v>
      </c>
      <c r="O58" s="20">
        <v>256.14</v>
      </c>
      <c r="P58" s="20">
        <v>243.03</v>
      </c>
      <c r="Q58" s="20">
        <v>261.70999999999998</v>
      </c>
      <c r="R58" s="20"/>
      <c r="S58" s="20"/>
      <c r="T58" s="20"/>
      <c r="U58" s="21"/>
      <c r="X58" s="36" t="s">
        <v>21</v>
      </c>
      <c r="Y58" s="19"/>
      <c r="Z58" s="20">
        <v>45</v>
      </c>
      <c r="AA58" s="20"/>
      <c r="AB58" s="20"/>
      <c r="AC58" s="20"/>
      <c r="AD58" s="21"/>
      <c r="AF58" s="36" t="s">
        <v>21</v>
      </c>
      <c r="AG58" s="19"/>
      <c r="AH58" s="20"/>
      <c r="AI58" s="20"/>
      <c r="AJ58" s="20"/>
      <c r="AK58" s="20"/>
      <c r="AL58" s="21"/>
    </row>
    <row r="59" spans="1:38" x14ac:dyDescent="0.25">
      <c r="J59" s="37"/>
      <c r="T59" s="22" t="s">
        <v>22</v>
      </c>
      <c r="U59" s="23">
        <f>SUM(K58:U58)</f>
        <v>1451.13</v>
      </c>
      <c r="AC59" s="22" t="s">
        <v>22</v>
      </c>
      <c r="AD59" s="23">
        <f>SUM(Y58:AD58)</f>
        <v>45</v>
      </c>
      <c r="AK59" s="22" t="s">
        <v>22</v>
      </c>
      <c r="AL59" s="23">
        <f>SUM(AG58:AL58)</f>
        <v>0</v>
      </c>
    </row>
    <row r="60" spans="1:38" ht="15.75" thickBot="1" x14ac:dyDescent="0.3">
      <c r="A60" s="34"/>
      <c r="B60" s="171" t="s">
        <v>54</v>
      </c>
      <c r="C60" s="171"/>
      <c r="D60" s="171"/>
      <c r="E60" s="171"/>
      <c r="F60" s="171"/>
      <c r="G60" s="171"/>
      <c r="H60" s="171"/>
      <c r="J60" s="172" t="s">
        <v>54</v>
      </c>
      <c r="K60" s="172"/>
      <c r="L60" s="172"/>
      <c r="M60" s="172"/>
      <c r="N60" s="172"/>
      <c r="O60" s="172"/>
      <c r="P60" s="172"/>
      <c r="Q60" s="172"/>
      <c r="R60" s="172"/>
      <c r="S60" s="172"/>
      <c r="T60" s="172"/>
      <c r="U60" s="172"/>
      <c r="X60" s="173" t="str">
        <f>J60</f>
        <v>Janeiro</v>
      </c>
      <c r="Y60" s="173"/>
      <c r="Z60" s="173"/>
      <c r="AA60" s="173"/>
      <c r="AB60" s="173"/>
      <c r="AC60" s="173"/>
      <c r="AD60" s="173"/>
      <c r="AF60" s="174" t="str">
        <f>X60</f>
        <v>Janeiro</v>
      </c>
      <c r="AG60" s="174"/>
      <c r="AH60" s="174"/>
      <c r="AI60" s="174"/>
      <c r="AJ60" s="174"/>
      <c r="AK60" s="174"/>
      <c r="AL60" s="174"/>
    </row>
    <row r="61" spans="1:38" ht="15.75" thickBot="1" x14ac:dyDescent="0.3">
      <c r="A61" s="168" t="s">
        <v>4</v>
      </c>
      <c r="B61" s="10" t="s">
        <v>5</v>
      </c>
      <c r="C61" s="11" t="s">
        <v>6</v>
      </c>
      <c r="D61" s="12" t="s">
        <v>7</v>
      </c>
      <c r="E61" s="11" t="s">
        <v>8</v>
      </c>
      <c r="F61" s="12" t="s">
        <v>9</v>
      </c>
      <c r="G61" s="11" t="s">
        <v>10</v>
      </c>
      <c r="H61" s="32" t="s">
        <v>11</v>
      </c>
      <c r="J61" s="35" t="s">
        <v>3</v>
      </c>
      <c r="K61" s="14">
        <v>45664</v>
      </c>
      <c r="L61" s="24">
        <v>45666</v>
      </c>
      <c r="M61" s="24">
        <v>45668</v>
      </c>
      <c r="N61" s="24">
        <v>45671</v>
      </c>
      <c r="O61" s="24">
        <v>45673</v>
      </c>
      <c r="P61" s="24">
        <v>45675</v>
      </c>
      <c r="Q61" s="24">
        <v>45678</v>
      </c>
      <c r="R61" s="24">
        <v>45680</v>
      </c>
      <c r="S61" s="24">
        <v>45682</v>
      </c>
      <c r="T61" s="24">
        <v>45685</v>
      </c>
      <c r="U61" s="80">
        <v>45687</v>
      </c>
      <c r="X61" s="35" t="s">
        <v>3</v>
      </c>
      <c r="Y61" s="14">
        <v>45673</v>
      </c>
      <c r="Z61" s="15"/>
      <c r="AA61" s="15"/>
      <c r="AB61" s="15"/>
      <c r="AC61" s="15"/>
      <c r="AD61" s="16"/>
      <c r="AF61" s="35" t="s">
        <v>3</v>
      </c>
      <c r="AG61" s="14"/>
      <c r="AH61" s="15"/>
      <c r="AI61" s="15"/>
      <c r="AJ61" s="15"/>
      <c r="AK61" s="15"/>
      <c r="AL61" s="16"/>
    </row>
    <row r="62" spans="1:38" ht="15.75" thickBot="1" x14ac:dyDescent="0.3">
      <c r="A62" s="168"/>
      <c r="B62" s="17">
        <v>39216</v>
      </c>
      <c r="C62" s="18">
        <v>42106</v>
      </c>
      <c r="D62" s="18">
        <v>42106</v>
      </c>
      <c r="E62" s="18">
        <v>44468</v>
      </c>
      <c r="F62" s="18">
        <f>SUM(C62-B62)</f>
        <v>2890</v>
      </c>
      <c r="G62" s="18">
        <f>SUM(E62-D62)</f>
        <v>2362</v>
      </c>
      <c r="H62" s="33">
        <f>SUM(F62:G62)</f>
        <v>5252</v>
      </c>
      <c r="J62" s="36" t="s">
        <v>21</v>
      </c>
      <c r="K62" s="19">
        <v>226.49</v>
      </c>
      <c r="L62" s="20">
        <v>208.18</v>
      </c>
      <c r="M62" s="20">
        <v>227.48</v>
      </c>
      <c r="N62" s="20">
        <v>212.94</v>
      </c>
      <c r="O62" s="20">
        <v>218.26</v>
      </c>
      <c r="P62" s="20">
        <v>219.99</v>
      </c>
      <c r="Q62" s="20">
        <v>245.88</v>
      </c>
      <c r="R62" s="20">
        <v>233.48</v>
      </c>
      <c r="S62" s="20">
        <v>215.69</v>
      </c>
      <c r="T62" s="20">
        <v>191.09</v>
      </c>
      <c r="U62" s="21">
        <v>192.29</v>
      </c>
      <c r="X62" s="36" t="s">
        <v>21</v>
      </c>
      <c r="Y62" s="19">
        <v>45</v>
      </c>
      <c r="Z62" s="20"/>
      <c r="AA62" s="20"/>
      <c r="AB62" s="20"/>
      <c r="AC62" s="20"/>
      <c r="AD62" s="21"/>
      <c r="AF62" s="36" t="s">
        <v>21</v>
      </c>
      <c r="AG62" s="19"/>
      <c r="AH62" s="20"/>
      <c r="AI62" s="20"/>
      <c r="AJ62" s="20"/>
      <c r="AK62" s="20"/>
      <c r="AL62" s="21"/>
    </row>
    <row r="63" spans="1:38" x14ac:dyDescent="0.25">
      <c r="J63" s="37"/>
      <c r="T63" s="22" t="s">
        <v>22</v>
      </c>
      <c r="U63" s="23">
        <f>SUM(K62:U62)</f>
        <v>2391.77</v>
      </c>
      <c r="AC63" s="22" t="s">
        <v>22</v>
      </c>
      <c r="AD63" s="23">
        <f>SUM(Y62:AD62)</f>
        <v>45</v>
      </c>
      <c r="AK63" s="22" t="s">
        <v>22</v>
      </c>
      <c r="AL63" s="23">
        <f>SUM(AG62:AL62)</f>
        <v>0</v>
      </c>
    </row>
    <row r="64" spans="1:38" ht="15.75" thickBot="1" x14ac:dyDescent="0.3">
      <c r="A64" s="34"/>
      <c r="B64" s="171" t="s">
        <v>2</v>
      </c>
      <c r="C64" s="171"/>
      <c r="D64" s="171"/>
      <c r="E64" s="171"/>
      <c r="F64" s="171"/>
      <c r="G64" s="171"/>
      <c r="H64" s="171"/>
      <c r="J64" s="172" t="s">
        <v>2</v>
      </c>
      <c r="K64" s="172"/>
      <c r="L64" s="172"/>
      <c r="M64" s="172"/>
      <c r="N64" s="172"/>
      <c r="O64" s="172"/>
      <c r="P64" s="172"/>
      <c r="Q64" s="172"/>
      <c r="R64" s="172"/>
      <c r="S64" s="172"/>
      <c r="T64" s="172"/>
      <c r="U64" s="172"/>
      <c r="X64" s="173" t="str">
        <f>J64</f>
        <v>Fevereiro</v>
      </c>
      <c r="Y64" s="173"/>
      <c r="Z64" s="173"/>
      <c r="AA64" s="173"/>
      <c r="AB64" s="173"/>
      <c r="AC64" s="173"/>
      <c r="AD64" s="173"/>
      <c r="AF64" s="174" t="str">
        <f>X64</f>
        <v>Fevereiro</v>
      </c>
      <c r="AG64" s="174"/>
      <c r="AH64" s="174"/>
      <c r="AI64" s="174"/>
      <c r="AJ64" s="174"/>
      <c r="AK64" s="174"/>
      <c r="AL64" s="174"/>
    </row>
    <row r="65" spans="1:38" ht="15.75" thickBot="1" x14ac:dyDescent="0.3">
      <c r="A65" s="168" t="s">
        <v>4</v>
      </c>
      <c r="B65" s="10" t="s">
        <v>5</v>
      </c>
      <c r="C65" s="11" t="s">
        <v>6</v>
      </c>
      <c r="D65" s="12" t="s">
        <v>7</v>
      </c>
      <c r="E65" s="11" t="s">
        <v>8</v>
      </c>
      <c r="F65" s="12" t="s">
        <v>9</v>
      </c>
      <c r="G65" s="11" t="s">
        <v>10</v>
      </c>
      <c r="H65" s="32" t="s">
        <v>11</v>
      </c>
      <c r="J65" s="35" t="s">
        <v>3</v>
      </c>
      <c r="K65" s="14">
        <v>45689</v>
      </c>
      <c r="L65" s="24">
        <v>45692</v>
      </c>
      <c r="M65" s="24">
        <v>45694</v>
      </c>
      <c r="N65" s="24">
        <v>45696</v>
      </c>
      <c r="O65" s="24">
        <v>45699</v>
      </c>
      <c r="P65" s="24">
        <v>45701</v>
      </c>
      <c r="Q65" s="24">
        <v>45703</v>
      </c>
      <c r="R65" s="24">
        <v>45706</v>
      </c>
      <c r="S65" s="24">
        <v>45708</v>
      </c>
      <c r="T65" s="24">
        <v>45710</v>
      </c>
      <c r="U65" s="80">
        <v>45714</v>
      </c>
      <c r="V65" s="24">
        <v>45716</v>
      </c>
      <c r="W65" s="93"/>
      <c r="X65" s="91" t="s">
        <v>3</v>
      </c>
      <c r="Y65" s="14">
        <v>45694</v>
      </c>
      <c r="Z65" s="24">
        <v>45713</v>
      </c>
      <c r="AA65" s="15"/>
      <c r="AB65" s="15"/>
      <c r="AC65" s="15"/>
      <c r="AD65" s="16"/>
      <c r="AF65" s="35" t="s">
        <v>3</v>
      </c>
      <c r="AG65" s="14"/>
      <c r="AH65" s="15"/>
      <c r="AI65" s="15"/>
      <c r="AJ65" s="15"/>
      <c r="AK65" s="15"/>
      <c r="AL65" s="16"/>
    </row>
    <row r="66" spans="1:38" ht="15.75" thickBot="1" x14ac:dyDescent="0.3">
      <c r="A66" s="168"/>
      <c r="B66" s="17">
        <v>44468</v>
      </c>
      <c r="C66" s="18">
        <v>46593</v>
      </c>
      <c r="D66" s="18">
        <v>46593</v>
      </c>
      <c r="E66" s="18">
        <v>48412</v>
      </c>
      <c r="F66" s="18">
        <f>SUM(C66-B66)</f>
        <v>2125</v>
      </c>
      <c r="G66" s="18">
        <f>SUM(E66-D66)</f>
        <v>1819</v>
      </c>
      <c r="H66" s="33">
        <f>SUM(F66:G66)</f>
        <v>3944</v>
      </c>
      <c r="J66" s="36" t="s">
        <v>21</v>
      </c>
      <c r="K66" s="19">
        <v>271.16000000000003</v>
      </c>
      <c r="L66" s="20">
        <v>167</v>
      </c>
      <c r="M66" s="20">
        <v>232.79</v>
      </c>
      <c r="N66" s="20">
        <v>244.43</v>
      </c>
      <c r="O66" s="20">
        <v>184.23</v>
      </c>
      <c r="P66" s="20">
        <v>239.65</v>
      </c>
      <c r="Q66" s="20">
        <v>240.03</v>
      </c>
      <c r="R66" s="20">
        <v>180.59</v>
      </c>
      <c r="S66" s="20">
        <v>180.15</v>
      </c>
      <c r="T66" s="20">
        <v>225.87</v>
      </c>
      <c r="U66" s="21">
        <v>127.12</v>
      </c>
      <c r="V66" s="20">
        <v>169.26</v>
      </c>
      <c r="W66" s="23"/>
      <c r="X66" s="92" t="s">
        <v>21</v>
      </c>
      <c r="Y66" s="19">
        <v>45</v>
      </c>
      <c r="Z66" s="20">
        <v>45</v>
      </c>
      <c r="AA66" s="20"/>
      <c r="AB66" s="20"/>
      <c r="AC66" s="20"/>
      <c r="AD66" s="21"/>
      <c r="AF66" s="36" t="s">
        <v>21</v>
      </c>
      <c r="AG66" s="19"/>
      <c r="AH66" s="20"/>
      <c r="AI66" s="20"/>
      <c r="AJ66" s="20"/>
      <c r="AK66" s="20"/>
      <c r="AL66" s="21"/>
    </row>
    <row r="67" spans="1:38" x14ac:dyDescent="0.25">
      <c r="J67" s="37"/>
      <c r="T67" s="22" t="s">
        <v>22</v>
      </c>
      <c r="U67" s="23">
        <f>SUM(K66:V66)</f>
        <v>2462.2799999999997</v>
      </c>
      <c r="AC67" s="22" t="s">
        <v>22</v>
      </c>
      <c r="AD67" s="23">
        <f>SUM(Y66:AD66)</f>
        <v>90</v>
      </c>
      <c r="AK67" s="22" t="s">
        <v>22</v>
      </c>
      <c r="AL67" s="23">
        <f>SUM(AG66:AL66)</f>
        <v>0</v>
      </c>
    </row>
    <row r="68" spans="1:38" ht="15.75" thickBot="1" x14ac:dyDescent="0.3">
      <c r="A68" s="34"/>
      <c r="B68" s="171" t="s">
        <v>12</v>
      </c>
      <c r="C68" s="171"/>
      <c r="D68" s="171"/>
      <c r="E68" s="171"/>
      <c r="F68" s="171"/>
      <c r="G68" s="171"/>
      <c r="H68" s="171"/>
      <c r="J68" s="172" t="s">
        <v>12</v>
      </c>
      <c r="K68" s="172"/>
      <c r="L68" s="172"/>
      <c r="M68" s="172"/>
      <c r="N68" s="172"/>
      <c r="O68" s="172"/>
      <c r="P68" s="172"/>
      <c r="Q68" s="172"/>
      <c r="R68" s="172"/>
      <c r="S68" s="172"/>
      <c r="T68" s="172"/>
      <c r="U68" s="172"/>
      <c r="X68" s="173" t="str">
        <f>J68</f>
        <v>Março</v>
      </c>
      <c r="Y68" s="173"/>
      <c r="Z68" s="173"/>
      <c r="AA68" s="173"/>
      <c r="AB68" s="173"/>
      <c r="AC68" s="173"/>
      <c r="AD68" s="173"/>
      <c r="AF68" s="174" t="str">
        <f>X68</f>
        <v>Março</v>
      </c>
      <c r="AG68" s="174"/>
      <c r="AH68" s="174"/>
      <c r="AI68" s="174"/>
      <c r="AJ68" s="174"/>
      <c r="AK68" s="174"/>
      <c r="AL68" s="174"/>
    </row>
    <row r="69" spans="1:38" ht="15.75" thickBot="1" x14ac:dyDescent="0.3">
      <c r="A69" s="168" t="s">
        <v>4</v>
      </c>
      <c r="B69" s="10" t="s">
        <v>5</v>
      </c>
      <c r="C69" s="11" t="s">
        <v>6</v>
      </c>
      <c r="D69" s="12" t="s">
        <v>7</v>
      </c>
      <c r="E69" s="11" t="s">
        <v>8</v>
      </c>
      <c r="F69" s="12" t="s">
        <v>9</v>
      </c>
      <c r="G69" s="11" t="s">
        <v>10</v>
      </c>
      <c r="H69" s="32" t="s">
        <v>11</v>
      </c>
      <c r="J69" s="35" t="s">
        <v>3</v>
      </c>
      <c r="K69" s="14">
        <v>45717</v>
      </c>
      <c r="L69" s="24">
        <v>45720</v>
      </c>
      <c r="M69" s="24">
        <v>45722</v>
      </c>
      <c r="N69" s="24">
        <v>45724</v>
      </c>
      <c r="O69" s="24">
        <v>45727</v>
      </c>
      <c r="P69" s="24">
        <v>45729</v>
      </c>
      <c r="Q69" s="24">
        <v>45731</v>
      </c>
      <c r="R69" s="24">
        <v>45734</v>
      </c>
      <c r="S69" s="24">
        <v>45736</v>
      </c>
      <c r="T69" s="24">
        <v>45741</v>
      </c>
      <c r="U69" s="89">
        <v>45743</v>
      </c>
      <c r="V69" s="94">
        <v>45745</v>
      </c>
      <c r="W69" s="93"/>
      <c r="X69" s="91" t="s">
        <v>3</v>
      </c>
      <c r="Y69" s="14">
        <v>45724</v>
      </c>
      <c r="Z69" s="24">
        <v>45736</v>
      </c>
      <c r="AA69" s="15"/>
      <c r="AB69" s="15"/>
      <c r="AC69" s="15"/>
      <c r="AD69" s="16"/>
      <c r="AF69" s="35" t="s">
        <v>3</v>
      </c>
      <c r="AG69" s="14">
        <v>45728</v>
      </c>
      <c r="AH69" s="15"/>
      <c r="AI69" s="15"/>
      <c r="AJ69" s="15"/>
      <c r="AK69" s="15"/>
      <c r="AL69" s="16"/>
    </row>
    <row r="70" spans="1:38" ht="15.75" thickBot="1" x14ac:dyDescent="0.3">
      <c r="A70" s="168"/>
      <c r="B70" s="17">
        <v>48412</v>
      </c>
      <c r="C70" s="18">
        <v>50535</v>
      </c>
      <c r="D70" s="18">
        <v>50535</v>
      </c>
      <c r="E70" s="18">
        <v>52234</v>
      </c>
      <c r="F70" s="18">
        <f>SUM(C70-B70)</f>
        <v>2123</v>
      </c>
      <c r="G70" s="18">
        <f>SUM(E70-D70)</f>
        <v>1699</v>
      </c>
      <c r="H70" s="33">
        <f>SUM(F70:G70)</f>
        <v>3822</v>
      </c>
      <c r="J70" s="36" t="s">
        <v>21</v>
      </c>
      <c r="K70" s="19">
        <v>206.44</v>
      </c>
      <c r="L70" s="20">
        <v>232.98</v>
      </c>
      <c r="M70" s="20">
        <v>221.72</v>
      </c>
      <c r="N70" s="20">
        <v>234.18</v>
      </c>
      <c r="O70" s="20">
        <v>156.81</v>
      </c>
      <c r="P70" s="20">
        <v>203.04</v>
      </c>
      <c r="Q70" s="20">
        <v>236.84</v>
      </c>
      <c r="R70" s="20">
        <v>228.52</v>
      </c>
      <c r="S70" s="20">
        <v>227.64</v>
      </c>
      <c r="T70" s="20">
        <v>224.43</v>
      </c>
      <c r="U70" s="90">
        <v>211.94</v>
      </c>
      <c r="V70" s="20">
        <v>208.34</v>
      </c>
      <c r="W70" s="23"/>
      <c r="X70" s="92" t="s">
        <v>21</v>
      </c>
      <c r="Y70" s="19">
        <v>45</v>
      </c>
      <c r="Z70" s="20">
        <v>45</v>
      </c>
      <c r="AA70" s="20"/>
      <c r="AB70" s="20"/>
      <c r="AC70" s="20"/>
      <c r="AD70" s="21"/>
      <c r="AF70" s="36" t="s">
        <v>21</v>
      </c>
      <c r="AG70" s="19">
        <v>40</v>
      </c>
      <c r="AH70" s="20"/>
      <c r="AI70" s="20"/>
      <c r="AJ70" s="20"/>
      <c r="AK70" s="20"/>
      <c r="AL70" s="21"/>
    </row>
    <row r="71" spans="1:38" x14ac:dyDescent="0.25">
      <c r="J71" s="37"/>
      <c r="T71" s="22" t="s">
        <v>22</v>
      </c>
      <c r="U71" s="23">
        <f>SUM(K70:V70)</f>
        <v>2592.8799999999997</v>
      </c>
      <c r="AC71" s="22" t="s">
        <v>22</v>
      </c>
      <c r="AD71" s="23">
        <f>SUM(Y70:AD70)</f>
        <v>90</v>
      </c>
      <c r="AK71" s="22" t="s">
        <v>22</v>
      </c>
      <c r="AL71" s="23">
        <f>SUM(AG70:AL70)</f>
        <v>40</v>
      </c>
    </row>
    <row r="72" spans="1:38" ht="15.75" thickBot="1" x14ac:dyDescent="0.3">
      <c r="A72" s="34"/>
      <c r="B72" s="171" t="s">
        <v>13</v>
      </c>
      <c r="C72" s="171"/>
      <c r="D72" s="171"/>
      <c r="E72" s="171"/>
      <c r="F72" s="171"/>
      <c r="G72" s="171"/>
      <c r="H72" s="171"/>
      <c r="J72" s="172" t="s">
        <v>13</v>
      </c>
      <c r="K72" s="172"/>
      <c r="L72" s="172"/>
      <c r="M72" s="172"/>
      <c r="N72" s="172"/>
      <c r="O72" s="172"/>
      <c r="P72" s="172"/>
      <c r="Q72" s="172"/>
      <c r="R72" s="172"/>
      <c r="S72" s="172"/>
      <c r="T72" s="172"/>
      <c r="U72" s="172"/>
      <c r="X72" s="173" t="str">
        <f>J72</f>
        <v>Abril</v>
      </c>
      <c r="Y72" s="173"/>
      <c r="Z72" s="173"/>
      <c r="AA72" s="173"/>
      <c r="AB72" s="173"/>
      <c r="AC72" s="173"/>
      <c r="AD72" s="173"/>
      <c r="AF72" s="174" t="str">
        <f>X72</f>
        <v>Abril</v>
      </c>
      <c r="AG72" s="174"/>
      <c r="AH72" s="174"/>
      <c r="AI72" s="174"/>
      <c r="AJ72" s="174"/>
      <c r="AK72" s="174"/>
      <c r="AL72" s="174"/>
    </row>
    <row r="73" spans="1:38" ht="15.75" thickBot="1" x14ac:dyDescent="0.3">
      <c r="A73" s="168" t="s">
        <v>4</v>
      </c>
      <c r="B73" s="10" t="s">
        <v>5</v>
      </c>
      <c r="C73" s="11" t="s">
        <v>6</v>
      </c>
      <c r="D73" s="12" t="s">
        <v>7</v>
      </c>
      <c r="E73" s="11" t="s">
        <v>8</v>
      </c>
      <c r="F73" s="12" t="s">
        <v>9</v>
      </c>
      <c r="G73" s="11" t="s">
        <v>10</v>
      </c>
      <c r="H73" s="32" t="s">
        <v>11</v>
      </c>
      <c r="J73" s="35" t="s">
        <v>3</v>
      </c>
      <c r="K73" s="14">
        <v>45748</v>
      </c>
      <c r="L73" s="24">
        <v>45750</v>
      </c>
      <c r="M73" s="24">
        <v>45757</v>
      </c>
      <c r="N73" s="24">
        <v>45759</v>
      </c>
      <c r="O73" s="24">
        <v>45762</v>
      </c>
      <c r="P73" s="24">
        <v>45764</v>
      </c>
      <c r="Q73" s="24">
        <v>45765</v>
      </c>
      <c r="R73" s="24">
        <v>45769</v>
      </c>
      <c r="S73" s="24">
        <v>45771</v>
      </c>
      <c r="T73" s="24">
        <v>45775</v>
      </c>
      <c r="U73" s="89"/>
      <c r="V73" s="93"/>
      <c r="W73" s="93"/>
      <c r="X73" s="91" t="s">
        <v>3</v>
      </c>
      <c r="Y73" s="14"/>
      <c r="Z73" s="15"/>
      <c r="AA73" s="15"/>
      <c r="AB73" s="15"/>
      <c r="AC73" s="15"/>
      <c r="AD73" s="16"/>
      <c r="AF73" s="35" t="s">
        <v>3</v>
      </c>
      <c r="AG73" s="14"/>
      <c r="AH73" s="15"/>
      <c r="AI73" s="15"/>
      <c r="AJ73" s="15"/>
      <c r="AK73" s="15"/>
      <c r="AL73" s="16"/>
    </row>
    <row r="74" spans="1:38" ht="15.75" thickBot="1" x14ac:dyDescent="0.3">
      <c r="A74" s="168"/>
      <c r="B74" s="18">
        <v>52234</v>
      </c>
      <c r="C74" s="18">
        <v>53758</v>
      </c>
      <c r="D74" s="18">
        <v>53758</v>
      </c>
      <c r="E74" s="18">
        <v>54796</v>
      </c>
      <c r="F74" s="18">
        <f>SUM(C74-B74)</f>
        <v>1524</v>
      </c>
      <c r="G74" s="18">
        <f>SUM(E74-D74)</f>
        <v>1038</v>
      </c>
      <c r="H74" s="33">
        <f>SUM(F74:G74)</f>
        <v>2562</v>
      </c>
      <c r="J74" s="36" t="s">
        <v>21</v>
      </c>
      <c r="K74" s="19">
        <v>157.44</v>
      </c>
      <c r="L74" s="20">
        <v>154.04</v>
      </c>
      <c r="M74" s="20">
        <v>201.28</v>
      </c>
      <c r="N74" s="20">
        <v>199.52</v>
      </c>
      <c r="O74" s="20">
        <v>204.49</v>
      </c>
      <c r="P74" s="20">
        <v>211.8</v>
      </c>
      <c r="Q74" s="20">
        <v>113.22</v>
      </c>
      <c r="R74" s="20">
        <v>80.040000000000006</v>
      </c>
      <c r="S74" s="20">
        <v>176.12</v>
      </c>
      <c r="T74" s="20">
        <v>295.08</v>
      </c>
      <c r="U74" s="90"/>
      <c r="V74" s="23"/>
      <c r="W74" s="23"/>
      <c r="X74" s="92" t="s">
        <v>21</v>
      </c>
      <c r="Y74" s="19"/>
      <c r="Z74" s="20"/>
      <c r="AA74" s="20"/>
      <c r="AB74" s="20"/>
      <c r="AC74" s="20"/>
      <c r="AD74" s="21"/>
      <c r="AF74" s="36" t="s">
        <v>21</v>
      </c>
      <c r="AG74" s="19"/>
      <c r="AH74" s="20"/>
      <c r="AI74" s="20"/>
      <c r="AJ74" s="20"/>
      <c r="AK74" s="20"/>
      <c r="AL74" s="21"/>
    </row>
    <row r="75" spans="1:38" x14ac:dyDescent="0.25">
      <c r="J75" s="37"/>
      <c r="T75" s="22" t="s">
        <v>22</v>
      </c>
      <c r="U75" s="23">
        <f>SUM(K74:V74)</f>
        <v>1793.0299999999997</v>
      </c>
      <c r="AC75" s="22" t="s">
        <v>22</v>
      </c>
      <c r="AD75" s="23">
        <f>SUM(Y74:AD74)</f>
        <v>0</v>
      </c>
      <c r="AK75" s="22" t="s">
        <v>22</v>
      </c>
      <c r="AL75" s="23">
        <f>SUM(AG74:AL74)</f>
        <v>0</v>
      </c>
    </row>
    <row r="76" spans="1:38" ht="15.75" thickBot="1" x14ac:dyDescent="0.3">
      <c r="A76" s="34"/>
      <c r="B76" s="171" t="s">
        <v>14</v>
      </c>
      <c r="C76" s="171"/>
      <c r="D76" s="171"/>
      <c r="E76" s="171"/>
      <c r="F76" s="171"/>
      <c r="G76" s="171"/>
      <c r="H76" s="171"/>
      <c r="J76" s="172" t="s">
        <v>14</v>
      </c>
      <c r="K76" s="172"/>
      <c r="L76" s="172"/>
      <c r="M76" s="172"/>
      <c r="N76" s="172"/>
      <c r="O76" s="172"/>
      <c r="P76" s="172"/>
      <c r="Q76" s="172"/>
      <c r="R76" s="172"/>
      <c r="S76" s="172"/>
      <c r="T76" s="172"/>
      <c r="U76" s="172"/>
      <c r="X76" s="173" t="str">
        <f>J76</f>
        <v>Maio</v>
      </c>
      <c r="Y76" s="173"/>
      <c r="Z76" s="173"/>
      <c r="AA76" s="173"/>
      <c r="AB76" s="173"/>
      <c r="AC76" s="173"/>
      <c r="AD76" s="173"/>
      <c r="AF76" s="174" t="str">
        <f>X76</f>
        <v>Maio</v>
      </c>
      <c r="AG76" s="174"/>
      <c r="AH76" s="174"/>
      <c r="AI76" s="174"/>
      <c r="AJ76" s="174"/>
      <c r="AK76" s="174"/>
      <c r="AL76" s="174"/>
    </row>
    <row r="77" spans="1:38" ht="15.75" thickBot="1" x14ac:dyDescent="0.3">
      <c r="A77" s="168" t="s">
        <v>4</v>
      </c>
      <c r="B77" s="10" t="s">
        <v>5</v>
      </c>
      <c r="C77" s="11" t="s">
        <v>6</v>
      </c>
      <c r="D77" s="12" t="s">
        <v>7</v>
      </c>
      <c r="E77" s="11" t="s">
        <v>8</v>
      </c>
      <c r="F77" s="12" t="s">
        <v>9</v>
      </c>
      <c r="G77" s="11" t="s">
        <v>10</v>
      </c>
      <c r="H77" s="32" t="s">
        <v>11</v>
      </c>
      <c r="J77" s="35" t="s">
        <v>3</v>
      </c>
      <c r="K77" s="14">
        <v>45778</v>
      </c>
      <c r="L77" s="24">
        <v>45780</v>
      </c>
      <c r="M77" s="24">
        <v>45783</v>
      </c>
      <c r="N77" s="24">
        <v>45787</v>
      </c>
      <c r="O77" s="24">
        <v>45790</v>
      </c>
      <c r="P77" s="24">
        <v>45792</v>
      </c>
      <c r="Q77" s="24">
        <v>45794</v>
      </c>
      <c r="R77" s="24">
        <v>45797</v>
      </c>
      <c r="S77" s="24">
        <v>45799</v>
      </c>
      <c r="T77" s="24">
        <v>45804</v>
      </c>
      <c r="U77" s="89">
        <v>45806</v>
      </c>
      <c r="V77" s="94">
        <v>45808</v>
      </c>
      <c r="W77" s="93"/>
      <c r="X77" s="91" t="s">
        <v>3</v>
      </c>
      <c r="Y77" s="14"/>
      <c r="Z77" s="15"/>
      <c r="AA77" s="15"/>
      <c r="AB77" s="15"/>
      <c r="AC77" s="15"/>
      <c r="AD77" s="16"/>
      <c r="AF77" s="35" t="s">
        <v>3</v>
      </c>
      <c r="AG77" s="14"/>
      <c r="AH77" s="15"/>
      <c r="AI77" s="15"/>
      <c r="AJ77" s="15"/>
      <c r="AK77" s="15"/>
      <c r="AL77" s="16"/>
    </row>
    <row r="78" spans="1:38" ht="15.75" thickBot="1" x14ac:dyDescent="0.3">
      <c r="A78" s="168"/>
      <c r="B78" s="17">
        <v>72137</v>
      </c>
      <c r="C78" s="18">
        <v>74352</v>
      </c>
      <c r="D78" s="18">
        <v>74352</v>
      </c>
      <c r="E78" s="18">
        <v>76311</v>
      </c>
      <c r="F78" s="18">
        <f>SUM(C78-B78)</f>
        <v>2215</v>
      </c>
      <c r="G78" s="18">
        <f>SUM(E78-D78)</f>
        <v>1959</v>
      </c>
      <c r="H78" s="33">
        <f>SUM(F78:G78)</f>
        <v>4174</v>
      </c>
      <c r="J78" s="36" t="s">
        <v>21</v>
      </c>
      <c r="K78" s="19">
        <v>317.45</v>
      </c>
      <c r="L78" s="20">
        <v>221.63</v>
      </c>
      <c r="M78" s="20">
        <v>217.85</v>
      </c>
      <c r="N78" s="20">
        <v>303.26</v>
      </c>
      <c r="O78" s="20">
        <v>230.94</v>
      </c>
      <c r="P78" s="20">
        <v>210.04</v>
      </c>
      <c r="Q78" s="20">
        <v>263.32</v>
      </c>
      <c r="R78" s="20">
        <v>252.04</v>
      </c>
      <c r="S78" s="20">
        <v>198.67</v>
      </c>
      <c r="T78" s="20">
        <v>290.99</v>
      </c>
      <c r="U78" s="90">
        <v>214.65</v>
      </c>
      <c r="V78" s="49">
        <v>65.52</v>
      </c>
      <c r="W78" s="23"/>
      <c r="X78" s="92" t="s">
        <v>21</v>
      </c>
      <c r="Y78" s="19"/>
      <c r="Z78" s="20"/>
      <c r="AA78" s="20"/>
      <c r="AB78" s="20"/>
      <c r="AC78" s="20"/>
      <c r="AD78" s="21"/>
      <c r="AF78" s="36" t="s">
        <v>21</v>
      </c>
      <c r="AG78" s="19"/>
      <c r="AH78" s="20"/>
      <c r="AI78" s="20"/>
      <c r="AJ78" s="20"/>
      <c r="AK78" s="20"/>
      <c r="AL78" s="21"/>
    </row>
    <row r="79" spans="1:38" x14ac:dyDescent="0.25">
      <c r="J79" s="37"/>
      <c r="T79" s="22" t="s">
        <v>22</v>
      </c>
      <c r="U79" s="23">
        <f>SUM(K78:V78)</f>
        <v>2786.3599999999997</v>
      </c>
      <c r="AC79" s="22" t="s">
        <v>22</v>
      </c>
      <c r="AD79" s="23">
        <f>SUM(Y78:AD78)</f>
        <v>0</v>
      </c>
      <c r="AK79" s="22" t="s">
        <v>22</v>
      </c>
      <c r="AL79" s="23">
        <f>SUM(AG78:AL78)</f>
        <v>0</v>
      </c>
    </row>
    <row r="80" spans="1:38" ht="15.75" thickBot="1" x14ac:dyDescent="0.3">
      <c r="A80" s="34"/>
      <c r="B80" s="171" t="s">
        <v>23</v>
      </c>
      <c r="C80" s="171"/>
      <c r="D80" s="171"/>
      <c r="E80" s="171"/>
      <c r="F80" s="171"/>
      <c r="G80" s="171"/>
      <c r="H80" s="171"/>
      <c r="J80" s="172" t="s">
        <v>23</v>
      </c>
      <c r="K80" s="172"/>
      <c r="L80" s="172"/>
      <c r="M80" s="172"/>
      <c r="N80" s="172"/>
      <c r="O80" s="172"/>
      <c r="P80" s="172"/>
      <c r="Q80" s="172"/>
      <c r="R80" s="172"/>
      <c r="S80" s="172"/>
      <c r="T80" s="172"/>
      <c r="U80" s="172"/>
      <c r="X80" s="173" t="str">
        <f>J80</f>
        <v>Junho</v>
      </c>
      <c r="Y80" s="173"/>
      <c r="Z80" s="173"/>
      <c r="AA80" s="173"/>
      <c r="AB80" s="173"/>
      <c r="AC80" s="173"/>
      <c r="AD80" s="173"/>
      <c r="AF80" s="174" t="str">
        <f>X80</f>
        <v>Junho</v>
      </c>
      <c r="AG80" s="174"/>
      <c r="AH80" s="174"/>
      <c r="AI80" s="174"/>
      <c r="AJ80" s="174"/>
      <c r="AK80" s="174"/>
      <c r="AL80" s="174"/>
    </row>
    <row r="81" spans="1:38" ht="15.75" thickBot="1" x14ac:dyDescent="0.3">
      <c r="A81" s="168" t="s">
        <v>4</v>
      </c>
      <c r="B81" s="10" t="s">
        <v>5</v>
      </c>
      <c r="C81" s="11" t="s">
        <v>6</v>
      </c>
      <c r="D81" s="12" t="s">
        <v>7</v>
      </c>
      <c r="E81" s="11" t="s">
        <v>8</v>
      </c>
      <c r="F81" s="12" t="s">
        <v>9</v>
      </c>
      <c r="G81" s="11" t="s">
        <v>10</v>
      </c>
      <c r="H81" s="32" t="s">
        <v>11</v>
      </c>
      <c r="J81" s="35" t="s">
        <v>3</v>
      </c>
      <c r="K81" s="14">
        <v>45811</v>
      </c>
      <c r="L81" s="24">
        <v>45813</v>
      </c>
      <c r="M81" s="24">
        <v>45818</v>
      </c>
      <c r="N81" s="24">
        <v>45825</v>
      </c>
      <c r="O81" s="24">
        <v>45827</v>
      </c>
      <c r="P81" s="24">
        <v>45834</v>
      </c>
      <c r="Q81" s="24">
        <v>45836</v>
      </c>
      <c r="R81" s="24"/>
      <c r="S81" s="24"/>
      <c r="T81" s="24"/>
      <c r="U81" s="89"/>
      <c r="V81" s="93"/>
      <c r="W81" s="93"/>
      <c r="X81" s="91" t="s">
        <v>3</v>
      </c>
      <c r="Y81" s="14"/>
      <c r="Z81" s="15"/>
      <c r="AA81" s="15"/>
      <c r="AB81" s="15"/>
      <c r="AC81" s="15"/>
      <c r="AD81" s="16"/>
      <c r="AF81" s="35" t="s">
        <v>3</v>
      </c>
      <c r="AG81" s="14"/>
      <c r="AH81" s="15"/>
      <c r="AI81" s="15"/>
      <c r="AJ81" s="15"/>
      <c r="AK81" s="15"/>
      <c r="AL81" s="16"/>
    </row>
    <row r="82" spans="1:38" ht="15.75" thickBot="1" x14ac:dyDescent="0.3">
      <c r="A82" s="168"/>
      <c r="B82" s="18">
        <v>76311</v>
      </c>
      <c r="C82" s="18">
        <v>77582</v>
      </c>
      <c r="D82" s="18">
        <v>77582</v>
      </c>
      <c r="E82" s="18">
        <v>78892</v>
      </c>
      <c r="F82" s="18">
        <f>SUM(C82-B82)</f>
        <v>1271</v>
      </c>
      <c r="G82" s="18">
        <f>SUM(E82-D82)</f>
        <v>1310</v>
      </c>
      <c r="H82" s="33">
        <f>SUM(F82:G82)</f>
        <v>2581</v>
      </c>
      <c r="J82" s="36" t="s">
        <v>21</v>
      </c>
      <c r="K82" s="19">
        <v>208.61</v>
      </c>
      <c r="L82" s="20">
        <v>205.37</v>
      </c>
      <c r="M82" s="20">
        <v>274.45999999999998</v>
      </c>
      <c r="N82" s="20">
        <v>291.55</v>
      </c>
      <c r="O82" s="20">
        <v>202.65</v>
      </c>
      <c r="P82" s="20">
        <v>250.08</v>
      </c>
      <c r="Q82" s="20">
        <v>215.72</v>
      </c>
      <c r="R82" s="20"/>
      <c r="S82" s="20"/>
      <c r="T82" s="20"/>
      <c r="U82" s="90"/>
      <c r="V82" s="23"/>
      <c r="W82" s="23"/>
      <c r="X82" s="92" t="s">
        <v>21</v>
      </c>
      <c r="Y82" s="19"/>
      <c r="Z82" s="20"/>
      <c r="AA82" s="20"/>
      <c r="AB82" s="20"/>
      <c r="AC82" s="20"/>
      <c r="AD82" s="21"/>
      <c r="AF82" s="36" t="s">
        <v>21</v>
      </c>
      <c r="AG82" s="19"/>
      <c r="AH82" s="20"/>
      <c r="AI82" s="20"/>
      <c r="AJ82" s="20"/>
      <c r="AK82" s="20"/>
      <c r="AL82" s="21"/>
    </row>
    <row r="83" spans="1:38" x14ac:dyDescent="0.25">
      <c r="J83" s="37"/>
      <c r="T83" s="22" t="s">
        <v>22</v>
      </c>
      <c r="U83" s="23">
        <f>SUM(K82:V82)</f>
        <v>1648.44</v>
      </c>
      <c r="AC83" s="22" t="s">
        <v>22</v>
      </c>
      <c r="AD83" s="23">
        <f>SUM(Y82:AD82)</f>
        <v>0</v>
      </c>
      <c r="AK83" s="22" t="s">
        <v>22</v>
      </c>
      <c r="AL83" s="23">
        <f>SUM(AG82:AL82)</f>
        <v>0</v>
      </c>
    </row>
    <row r="84" spans="1:38" ht="15.75" thickBot="1" x14ac:dyDescent="0.3">
      <c r="A84" s="34"/>
      <c r="B84" s="171" t="s">
        <v>15</v>
      </c>
      <c r="C84" s="171"/>
      <c r="D84" s="171"/>
      <c r="E84" s="171"/>
      <c r="F84" s="171"/>
      <c r="G84" s="171"/>
      <c r="H84" s="171"/>
      <c r="J84" s="172" t="s">
        <v>15</v>
      </c>
      <c r="K84" s="172"/>
      <c r="L84" s="172"/>
      <c r="M84" s="172"/>
      <c r="N84" s="172"/>
      <c r="O84" s="172"/>
      <c r="P84" s="172"/>
      <c r="Q84" s="172"/>
      <c r="R84" s="172"/>
      <c r="S84" s="172"/>
      <c r="T84" s="172"/>
      <c r="U84" s="172"/>
      <c r="X84" s="173" t="str">
        <f>J84</f>
        <v>Julho</v>
      </c>
      <c r="Y84" s="173"/>
      <c r="Z84" s="173"/>
      <c r="AA84" s="173"/>
      <c r="AB84" s="173"/>
      <c r="AC84" s="173"/>
      <c r="AD84" s="173"/>
      <c r="AF84" s="174" t="str">
        <f>X84</f>
        <v>Julho</v>
      </c>
      <c r="AG84" s="174"/>
      <c r="AH84" s="174"/>
      <c r="AI84" s="174"/>
      <c r="AJ84" s="174"/>
      <c r="AK84" s="174"/>
      <c r="AL84" s="174"/>
    </row>
    <row r="85" spans="1:38" ht="15.75" thickBot="1" x14ac:dyDescent="0.3">
      <c r="A85" s="168" t="s">
        <v>4</v>
      </c>
      <c r="B85" s="10" t="s">
        <v>5</v>
      </c>
      <c r="C85" s="11" t="s">
        <v>6</v>
      </c>
      <c r="D85" s="12" t="s">
        <v>7</v>
      </c>
      <c r="E85" s="11" t="s">
        <v>8</v>
      </c>
      <c r="F85" s="12" t="s">
        <v>9</v>
      </c>
      <c r="G85" s="11" t="s">
        <v>10</v>
      </c>
      <c r="H85" s="32" t="s">
        <v>11</v>
      </c>
      <c r="J85" s="35" t="s">
        <v>3</v>
      </c>
      <c r="K85" s="14">
        <v>45839</v>
      </c>
      <c r="L85" s="24">
        <v>45841</v>
      </c>
      <c r="M85" s="24">
        <v>45846</v>
      </c>
      <c r="N85" s="24">
        <v>45848</v>
      </c>
      <c r="O85" s="24">
        <v>45853</v>
      </c>
      <c r="P85" s="24">
        <v>45866</v>
      </c>
      <c r="Q85" s="24">
        <v>45869</v>
      </c>
      <c r="R85" s="24"/>
      <c r="S85" s="24"/>
      <c r="T85" s="24"/>
      <c r="U85" s="89"/>
      <c r="V85" s="93"/>
      <c r="W85" s="93"/>
      <c r="X85" s="91" t="s">
        <v>3</v>
      </c>
      <c r="Y85" s="14"/>
      <c r="Z85" s="15"/>
      <c r="AA85" s="15"/>
      <c r="AB85" s="15"/>
      <c r="AC85" s="15"/>
      <c r="AD85" s="16"/>
      <c r="AF85" s="35" t="s">
        <v>3</v>
      </c>
      <c r="AG85" s="14"/>
      <c r="AH85" s="15"/>
      <c r="AI85" s="15"/>
      <c r="AJ85" s="15"/>
      <c r="AK85" s="15"/>
      <c r="AL85" s="16"/>
    </row>
    <row r="86" spans="1:38" ht="15.75" thickBot="1" x14ac:dyDescent="0.3">
      <c r="A86" s="168"/>
      <c r="B86" s="18">
        <v>78892</v>
      </c>
      <c r="C86" s="18">
        <v>80542</v>
      </c>
      <c r="D86" s="18">
        <v>80542</v>
      </c>
      <c r="E86" s="18">
        <v>82254</v>
      </c>
      <c r="F86" s="18">
        <f>SUM(C86-B86)</f>
        <v>1650</v>
      </c>
      <c r="G86" s="18">
        <f>SUM(E86-D86)</f>
        <v>1712</v>
      </c>
      <c r="H86" s="33">
        <f>SUM(F86:G86)</f>
        <v>3362</v>
      </c>
      <c r="J86" s="36" t="s">
        <v>21</v>
      </c>
      <c r="K86" s="19">
        <v>215.23</v>
      </c>
      <c r="L86" s="20">
        <v>265.70999999999998</v>
      </c>
      <c r="M86" s="20">
        <v>233.46</v>
      </c>
      <c r="N86" s="20">
        <v>282.56</v>
      </c>
      <c r="O86" s="20">
        <v>257.52999999999997</v>
      </c>
      <c r="P86" s="20">
        <v>309.60000000000002</v>
      </c>
      <c r="Q86" s="20">
        <v>280.83</v>
      </c>
      <c r="R86" s="20"/>
      <c r="S86" s="20"/>
      <c r="T86" s="20"/>
      <c r="U86" s="90"/>
      <c r="V86" s="23"/>
      <c r="W86" s="23"/>
      <c r="X86" s="92" t="s">
        <v>21</v>
      </c>
      <c r="Y86" s="19"/>
      <c r="Z86" s="20"/>
      <c r="AA86" s="20"/>
      <c r="AB86" s="20"/>
      <c r="AC86" s="20"/>
      <c r="AD86" s="21"/>
      <c r="AF86" s="36" t="s">
        <v>21</v>
      </c>
      <c r="AG86" s="19"/>
      <c r="AH86" s="20"/>
      <c r="AI86" s="20"/>
      <c r="AJ86" s="20"/>
      <c r="AK86" s="20"/>
      <c r="AL86" s="21"/>
    </row>
    <row r="87" spans="1:38" x14ac:dyDescent="0.25">
      <c r="J87" s="37"/>
      <c r="T87" s="22" t="s">
        <v>22</v>
      </c>
      <c r="U87" s="23">
        <f>SUM(K86:V86)</f>
        <v>1844.92</v>
      </c>
      <c r="AC87" s="22" t="s">
        <v>22</v>
      </c>
      <c r="AD87" s="23">
        <f>SUM(Y86:AD86)</f>
        <v>0</v>
      </c>
      <c r="AK87" s="22" t="s">
        <v>22</v>
      </c>
      <c r="AL87" s="23">
        <f>SUM(AG86:AL86)</f>
        <v>0</v>
      </c>
    </row>
    <row r="88" spans="1:38" ht="15.75" thickBot="1" x14ac:dyDescent="0.3">
      <c r="A88" s="34"/>
      <c r="B88" s="171" t="s">
        <v>16</v>
      </c>
      <c r="C88" s="171"/>
      <c r="D88" s="171"/>
      <c r="E88" s="171"/>
      <c r="F88" s="171"/>
      <c r="G88" s="171"/>
      <c r="H88" s="171"/>
      <c r="J88" s="172" t="s">
        <v>16</v>
      </c>
      <c r="K88" s="172"/>
      <c r="L88" s="172"/>
      <c r="M88" s="172"/>
      <c r="N88" s="172"/>
      <c r="O88" s="172"/>
      <c r="P88" s="172"/>
      <c r="Q88" s="172"/>
      <c r="R88" s="172"/>
      <c r="S88" s="172"/>
      <c r="T88" s="172"/>
      <c r="U88" s="172"/>
      <c r="W88" s="173" t="str">
        <f>J88</f>
        <v>Agosto</v>
      </c>
      <c r="X88" s="173"/>
      <c r="Y88" s="173"/>
      <c r="Z88" s="173"/>
      <c r="AA88" s="173"/>
      <c r="AB88" s="173"/>
      <c r="AC88" s="173"/>
      <c r="AE88" s="174" t="str">
        <f>W88</f>
        <v>Agosto</v>
      </c>
      <c r="AF88" s="174"/>
      <c r="AG88" s="174"/>
      <c r="AH88" s="174"/>
      <c r="AI88" s="174"/>
      <c r="AJ88" s="174"/>
      <c r="AK88" s="174"/>
    </row>
    <row r="89" spans="1:38" ht="15.75" thickBot="1" x14ac:dyDescent="0.3">
      <c r="A89" s="168" t="s">
        <v>4</v>
      </c>
      <c r="B89" s="10" t="s">
        <v>5</v>
      </c>
      <c r="C89" s="11" t="s">
        <v>6</v>
      </c>
      <c r="D89" s="12" t="s">
        <v>7</v>
      </c>
      <c r="E89" s="11" t="s">
        <v>8</v>
      </c>
      <c r="F89" s="12" t="s">
        <v>9</v>
      </c>
      <c r="G89" s="11" t="s">
        <v>10</v>
      </c>
      <c r="H89" s="32" t="s">
        <v>11</v>
      </c>
      <c r="J89" s="35" t="s">
        <v>3</v>
      </c>
      <c r="K89" s="14">
        <v>45873</v>
      </c>
      <c r="L89" s="24">
        <v>45877</v>
      </c>
      <c r="M89" s="24">
        <v>45879</v>
      </c>
      <c r="N89" s="24">
        <v>45881</v>
      </c>
      <c r="O89" s="24">
        <v>45885</v>
      </c>
      <c r="P89" s="24">
        <v>45888</v>
      </c>
      <c r="Q89" s="24">
        <v>45892</v>
      </c>
      <c r="R89" s="24">
        <v>45895</v>
      </c>
      <c r="S89" s="24">
        <v>45897</v>
      </c>
      <c r="T89" s="15"/>
      <c r="U89" s="16"/>
      <c r="W89" s="35" t="s">
        <v>3</v>
      </c>
      <c r="X89" s="14"/>
      <c r="Y89" s="15"/>
      <c r="Z89" s="15"/>
      <c r="AA89" s="15"/>
      <c r="AB89" s="15"/>
      <c r="AC89" s="16"/>
      <c r="AE89" s="35" t="s">
        <v>3</v>
      </c>
      <c r="AF89" s="14"/>
      <c r="AG89" s="15"/>
      <c r="AH89" s="15"/>
      <c r="AI89" s="15"/>
      <c r="AJ89" s="15"/>
      <c r="AK89" s="16"/>
    </row>
    <row r="90" spans="1:38" ht="15.75" thickBot="1" x14ac:dyDescent="0.3">
      <c r="A90" s="168"/>
      <c r="B90" s="18">
        <v>82254</v>
      </c>
      <c r="C90" s="18">
        <v>84217</v>
      </c>
      <c r="D90" s="18">
        <v>84217</v>
      </c>
      <c r="E90" s="18">
        <v>85862</v>
      </c>
      <c r="F90" s="18">
        <f>SUM(C90-B90)</f>
        <v>1963</v>
      </c>
      <c r="G90" s="18">
        <f>SUM(E90-D90)</f>
        <v>1645</v>
      </c>
      <c r="H90" s="33">
        <f>SUM(F90:G90)</f>
        <v>3608</v>
      </c>
      <c r="J90" s="36" t="s">
        <v>21</v>
      </c>
      <c r="K90" s="19">
        <v>270.92</v>
      </c>
      <c r="L90" s="20">
        <v>196.07</v>
      </c>
      <c r="M90" s="20">
        <v>293.63</v>
      </c>
      <c r="N90" s="20">
        <v>297.95999999999998</v>
      </c>
      <c r="O90" s="20">
        <v>255.7</v>
      </c>
      <c r="P90" s="20">
        <v>204.49</v>
      </c>
      <c r="Q90" s="20">
        <v>236.16</v>
      </c>
      <c r="R90" s="20">
        <v>220.09</v>
      </c>
      <c r="S90" s="20">
        <v>221.25</v>
      </c>
      <c r="T90" s="20"/>
      <c r="U90" s="21"/>
      <c r="W90" s="36" t="s">
        <v>21</v>
      </c>
      <c r="X90" s="19"/>
      <c r="Y90" s="20"/>
      <c r="Z90" s="20"/>
      <c r="AA90" s="20"/>
      <c r="AB90" s="20"/>
      <c r="AC90" s="21"/>
      <c r="AE90" s="36" t="s">
        <v>21</v>
      </c>
      <c r="AF90" s="19"/>
      <c r="AG90" s="20"/>
      <c r="AH90" s="20"/>
      <c r="AI90" s="20"/>
      <c r="AJ90" s="20"/>
      <c r="AK90" s="21"/>
    </row>
    <row r="91" spans="1:38" x14ac:dyDescent="0.25">
      <c r="F91" s="2"/>
      <c r="G91" s="2"/>
      <c r="H91" s="2"/>
      <c r="J91" s="37"/>
      <c r="T91" s="22" t="s">
        <v>22</v>
      </c>
      <c r="U91" s="23">
        <f>SUM(K90:U90)</f>
        <v>2196.27</v>
      </c>
      <c r="W91" s="2"/>
      <c r="X91" s="1"/>
      <c r="AB91" s="22" t="s">
        <v>22</v>
      </c>
      <c r="AC91" s="23">
        <f>SUM(X90:AC90)</f>
        <v>0</v>
      </c>
      <c r="AE91" s="2"/>
      <c r="AF91" s="1"/>
      <c r="AJ91" s="22" t="s">
        <v>22</v>
      </c>
      <c r="AK91" s="23">
        <f>SUM(AF90:AK90)</f>
        <v>0</v>
      </c>
    </row>
    <row r="92" spans="1:38" ht="15.75" thickBot="1" x14ac:dyDescent="0.3">
      <c r="A92" s="34"/>
      <c r="B92" s="171" t="s">
        <v>17</v>
      </c>
      <c r="C92" s="171"/>
      <c r="D92" s="171"/>
      <c r="E92" s="171"/>
      <c r="F92" s="171"/>
      <c r="G92" s="171"/>
      <c r="H92" s="171"/>
      <c r="J92" s="172" t="s">
        <v>17</v>
      </c>
      <c r="K92" s="172"/>
      <c r="L92" s="172"/>
      <c r="M92" s="172"/>
      <c r="N92" s="172"/>
      <c r="O92" s="172"/>
      <c r="P92" s="172"/>
      <c r="Q92" s="172"/>
      <c r="R92" s="172"/>
      <c r="S92" s="172"/>
      <c r="T92" s="172"/>
      <c r="U92" s="172"/>
      <c r="W92" s="173" t="str">
        <f>J92</f>
        <v>Setembro</v>
      </c>
      <c r="X92" s="173"/>
      <c r="Y92" s="173"/>
      <c r="Z92" s="173"/>
      <c r="AA92" s="173"/>
      <c r="AB92" s="173"/>
      <c r="AC92" s="173"/>
      <c r="AE92" s="174" t="str">
        <f>W92</f>
        <v>Setembro</v>
      </c>
      <c r="AF92" s="174"/>
      <c r="AG92" s="174"/>
      <c r="AH92" s="174"/>
      <c r="AI92" s="174"/>
      <c r="AJ92" s="174"/>
      <c r="AK92" s="174"/>
    </row>
    <row r="93" spans="1:38" ht="15.75" thickBot="1" x14ac:dyDescent="0.3">
      <c r="A93" s="168" t="s">
        <v>4</v>
      </c>
      <c r="B93" s="10" t="s">
        <v>5</v>
      </c>
      <c r="C93" s="11" t="s">
        <v>6</v>
      </c>
      <c r="D93" s="12" t="s">
        <v>7</v>
      </c>
      <c r="E93" s="11" t="s">
        <v>8</v>
      </c>
      <c r="F93" s="12" t="s">
        <v>9</v>
      </c>
      <c r="G93" s="11" t="s">
        <v>10</v>
      </c>
      <c r="H93" s="32" t="s">
        <v>11</v>
      </c>
      <c r="J93" s="35" t="s">
        <v>3</v>
      </c>
      <c r="K93" s="14">
        <v>45908</v>
      </c>
      <c r="L93" s="24">
        <v>45908</v>
      </c>
      <c r="M93" s="15"/>
      <c r="N93" s="15"/>
      <c r="O93" s="15"/>
      <c r="P93" s="15"/>
      <c r="Q93" s="15"/>
      <c r="R93" s="15"/>
      <c r="S93" s="15"/>
      <c r="T93" s="15"/>
      <c r="U93" s="16"/>
      <c r="W93" s="35" t="s">
        <v>3</v>
      </c>
      <c r="X93" s="14"/>
      <c r="Y93" s="15"/>
      <c r="Z93" s="15"/>
      <c r="AA93" s="15"/>
      <c r="AB93" s="15"/>
      <c r="AC93" s="16"/>
      <c r="AE93" s="35" t="s">
        <v>3</v>
      </c>
      <c r="AF93" s="14"/>
      <c r="AG93" s="15"/>
      <c r="AH93" s="15"/>
      <c r="AI93" s="15"/>
      <c r="AJ93" s="15"/>
      <c r="AK93" s="16"/>
    </row>
    <row r="94" spans="1:38" ht="15.75" thickBot="1" x14ac:dyDescent="0.3">
      <c r="A94" s="168"/>
      <c r="B94" s="18">
        <v>85862</v>
      </c>
      <c r="C94" s="18">
        <v>86408</v>
      </c>
      <c r="D94" s="18"/>
      <c r="E94" s="18"/>
      <c r="F94" s="18">
        <f>SUM(C94-B94)</f>
        <v>546</v>
      </c>
      <c r="G94" s="18">
        <f>SUM(E94-D94)</f>
        <v>0</v>
      </c>
      <c r="H94" s="33">
        <f>SUM(F94:G94)</f>
        <v>546</v>
      </c>
      <c r="J94" s="36" t="s">
        <v>21</v>
      </c>
      <c r="K94" s="19">
        <v>100</v>
      </c>
      <c r="L94" s="20">
        <v>114.39</v>
      </c>
      <c r="M94" s="20"/>
      <c r="N94" s="20"/>
      <c r="O94" s="20"/>
      <c r="P94" s="20"/>
      <c r="Q94" s="20"/>
      <c r="R94" s="20"/>
      <c r="S94" s="20"/>
      <c r="T94" s="20"/>
      <c r="U94" s="21"/>
      <c r="W94" s="36" t="s">
        <v>21</v>
      </c>
      <c r="X94" s="19"/>
      <c r="Y94" s="20"/>
      <c r="Z94" s="20"/>
      <c r="AA94" s="20"/>
      <c r="AB94" s="20"/>
      <c r="AC94" s="21"/>
      <c r="AE94" s="36" t="s">
        <v>21</v>
      </c>
      <c r="AF94" s="19"/>
      <c r="AG94" s="20"/>
      <c r="AH94" s="20"/>
      <c r="AI94" s="20"/>
      <c r="AJ94" s="20"/>
      <c r="AK94" s="21"/>
    </row>
    <row r="95" spans="1:38" x14ac:dyDescent="0.25">
      <c r="F95" s="2"/>
      <c r="G95" s="2"/>
      <c r="H95" s="2"/>
      <c r="J95" s="37"/>
      <c r="T95" s="22" t="s">
        <v>22</v>
      </c>
      <c r="U95" s="23">
        <f>SUM(K94:U94)</f>
        <v>214.39</v>
      </c>
      <c r="W95" s="2"/>
      <c r="X95" s="1"/>
      <c r="AB95" s="22" t="s">
        <v>22</v>
      </c>
      <c r="AC95" s="23">
        <f>SUM(X94:AC94)</f>
        <v>0</v>
      </c>
      <c r="AE95" s="2"/>
      <c r="AF95" s="1"/>
      <c r="AJ95" s="22" t="s">
        <v>22</v>
      </c>
      <c r="AK95" s="23">
        <f>SUM(AF94:AK94)</f>
        <v>0</v>
      </c>
    </row>
    <row r="96" spans="1:38" ht="15.75" thickBot="1" x14ac:dyDescent="0.3">
      <c r="A96" s="34"/>
      <c r="B96" s="171" t="s">
        <v>18</v>
      </c>
      <c r="C96" s="171"/>
      <c r="D96" s="171"/>
      <c r="E96" s="171"/>
      <c r="F96" s="171"/>
      <c r="G96" s="171"/>
      <c r="H96" s="171"/>
      <c r="J96" s="172" t="s">
        <v>18</v>
      </c>
      <c r="K96" s="172"/>
      <c r="L96" s="172"/>
      <c r="M96" s="172"/>
      <c r="N96" s="172"/>
      <c r="O96" s="172"/>
      <c r="P96" s="172"/>
      <c r="Q96" s="172"/>
      <c r="R96" s="172"/>
      <c r="S96" s="172"/>
      <c r="T96" s="172"/>
      <c r="U96" s="172"/>
      <c r="W96" s="173" t="str">
        <f>J96</f>
        <v>Outubro</v>
      </c>
      <c r="X96" s="173"/>
      <c r="Y96" s="173"/>
      <c r="Z96" s="173"/>
      <c r="AA96" s="173"/>
      <c r="AB96" s="173"/>
      <c r="AC96" s="173"/>
      <c r="AE96" s="174" t="str">
        <f>W96</f>
        <v>Outubro</v>
      </c>
      <c r="AF96" s="174"/>
      <c r="AG96" s="174"/>
      <c r="AH96" s="174"/>
      <c r="AI96" s="174"/>
      <c r="AJ96" s="174"/>
      <c r="AK96" s="174"/>
    </row>
    <row r="97" spans="1:37" ht="15.75" thickBot="1" x14ac:dyDescent="0.3">
      <c r="A97" s="168" t="s">
        <v>4</v>
      </c>
      <c r="B97" s="10" t="s">
        <v>5</v>
      </c>
      <c r="C97" s="11" t="s">
        <v>6</v>
      </c>
      <c r="D97" s="12" t="s">
        <v>7</v>
      </c>
      <c r="E97" s="11" t="s">
        <v>8</v>
      </c>
      <c r="F97" s="12" t="s">
        <v>9</v>
      </c>
      <c r="G97" s="11" t="s">
        <v>10</v>
      </c>
      <c r="H97" s="32" t="s">
        <v>11</v>
      </c>
      <c r="J97" s="35" t="s">
        <v>3</v>
      </c>
      <c r="K97" s="14"/>
      <c r="L97" s="15"/>
      <c r="M97" s="15"/>
      <c r="N97" s="15"/>
      <c r="O97" s="15"/>
      <c r="P97" s="15"/>
      <c r="Q97" s="15"/>
      <c r="R97" s="15"/>
      <c r="S97" s="15"/>
      <c r="T97" s="15"/>
      <c r="U97" s="16"/>
      <c r="W97" s="35" t="s">
        <v>3</v>
      </c>
      <c r="X97" s="14"/>
      <c r="Y97" s="15"/>
      <c r="Z97" s="15"/>
      <c r="AA97" s="15"/>
      <c r="AB97" s="15"/>
      <c r="AC97" s="16"/>
      <c r="AE97" s="35" t="s">
        <v>3</v>
      </c>
      <c r="AF97" s="14"/>
      <c r="AG97" s="15"/>
      <c r="AH97" s="15"/>
      <c r="AI97" s="15"/>
      <c r="AJ97" s="15"/>
      <c r="AK97" s="16"/>
    </row>
    <row r="98" spans="1:37" ht="15.75" thickBot="1" x14ac:dyDescent="0.3">
      <c r="A98" s="168"/>
      <c r="B98" s="17"/>
      <c r="C98" s="18"/>
      <c r="D98" s="18"/>
      <c r="E98" s="18"/>
      <c r="F98" s="18">
        <f>SUM(C98-B98)</f>
        <v>0</v>
      </c>
      <c r="G98" s="18">
        <f>SUM(E98-D98)</f>
        <v>0</v>
      </c>
      <c r="H98" s="33">
        <f>SUM(F98:G98)</f>
        <v>0</v>
      </c>
      <c r="J98" s="36" t="s">
        <v>21</v>
      </c>
      <c r="K98" s="19"/>
      <c r="L98" s="20"/>
      <c r="M98" s="20"/>
      <c r="N98" s="20"/>
      <c r="O98" s="20"/>
      <c r="P98" s="20"/>
      <c r="Q98" s="20"/>
      <c r="R98" s="20"/>
      <c r="S98" s="20"/>
      <c r="T98" s="20"/>
      <c r="U98" s="21"/>
      <c r="W98" s="36" t="s">
        <v>21</v>
      </c>
      <c r="X98" s="19"/>
      <c r="Y98" s="20"/>
      <c r="Z98" s="20"/>
      <c r="AA98" s="20"/>
      <c r="AB98" s="20"/>
      <c r="AC98" s="21"/>
      <c r="AE98" s="36" t="s">
        <v>21</v>
      </c>
      <c r="AF98" s="19"/>
      <c r="AG98" s="20"/>
      <c r="AH98" s="20"/>
      <c r="AI98" s="20"/>
      <c r="AJ98" s="20"/>
      <c r="AK98" s="21"/>
    </row>
    <row r="99" spans="1:37" x14ac:dyDescent="0.25">
      <c r="F99" s="2"/>
      <c r="G99" s="2"/>
      <c r="H99" s="2"/>
      <c r="J99" s="37"/>
      <c r="T99" s="22" t="s">
        <v>22</v>
      </c>
      <c r="U99" s="23">
        <f>SUM(K98:U98)</f>
        <v>0</v>
      </c>
      <c r="W99" s="2"/>
      <c r="X99" s="1"/>
      <c r="AB99" s="22" t="s">
        <v>22</v>
      </c>
      <c r="AC99" s="23">
        <f>SUM(X98:AC98)</f>
        <v>0</v>
      </c>
      <c r="AE99" s="2"/>
      <c r="AF99" s="1"/>
      <c r="AJ99" s="22" t="s">
        <v>22</v>
      </c>
      <c r="AK99" s="23">
        <f>SUM(AF98:AK98)</f>
        <v>0</v>
      </c>
    </row>
    <row r="100" spans="1:37" ht="15.75" thickBot="1" x14ac:dyDescent="0.3">
      <c r="A100" s="34"/>
      <c r="B100" s="171" t="s">
        <v>19</v>
      </c>
      <c r="C100" s="171"/>
      <c r="D100" s="171"/>
      <c r="E100" s="171"/>
      <c r="F100" s="171"/>
      <c r="G100" s="171"/>
      <c r="H100" s="171"/>
      <c r="J100" s="172" t="s">
        <v>19</v>
      </c>
      <c r="K100" s="172"/>
      <c r="L100" s="172"/>
      <c r="M100" s="172"/>
      <c r="N100" s="172"/>
      <c r="O100" s="172"/>
      <c r="P100" s="172"/>
      <c r="Q100" s="172"/>
      <c r="R100" s="172"/>
      <c r="S100" s="172"/>
      <c r="T100" s="172"/>
      <c r="U100" s="172"/>
      <c r="W100" s="173" t="str">
        <f>J100</f>
        <v>Novembro</v>
      </c>
      <c r="X100" s="173"/>
      <c r="Y100" s="173"/>
      <c r="Z100" s="173"/>
      <c r="AA100" s="173"/>
      <c r="AB100" s="173"/>
      <c r="AC100" s="173"/>
      <c r="AE100" s="174" t="str">
        <f>W100</f>
        <v>Novembro</v>
      </c>
      <c r="AF100" s="174"/>
      <c r="AG100" s="174"/>
      <c r="AH100" s="174"/>
      <c r="AI100" s="174"/>
      <c r="AJ100" s="174"/>
      <c r="AK100" s="174"/>
    </row>
    <row r="101" spans="1:37" ht="15.75" thickBot="1" x14ac:dyDescent="0.3">
      <c r="A101" s="168" t="s">
        <v>4</v>
      </c>
      <c r="B101" s="10" t="s">
        <v>5</v>
      </c>
      <c r="C101" s="11" t="s">
        <v>6</v>
      </c>
      <c r="D101" s="12" t="s">
        <v>7</v>
      </c>
      <c r="E101" s="11" t="s">
        <v>8</v>
      </c>
      <c r="F101" s="12" t="s">
        <v>9</v>
      </c>
      <c r="G101" s="11" t="s">
        <v>10</v>
      </c>
      <c r="H101" s="32" t="s">
        <v>11</v>
      </c>
      <c r="J101" s="35" t="s">
        <v>3</v>
      </c>
      <c r="K101" s="14"/>
      <c r="L101" s="15"/>
      <c r="M101" s="15"/>
      <c r="N101" s="15"/>
      <c r="O101" s="15"/>
      <c r="P101" s="15"/>
      <c r="Q101" s="15"/>
      <c r="R101" s="15"/>
      <c r="S101" s="15"/>
      <c r="T101" s="15"/>
      <c r="U101" s="16"/>
      <c r="W101" s="35" t="s">
        <v>3</v>
      </c>
      <c r="X101" s="14"/>
      <c r="Y101" s="15"/>
      <c r="Z101" s="15"/>
      <c r="AA101" s="15"/>
      <c r="AB101" s="15"/>
      <c r="AC101" s="16"/>
      <c r="AE101" s="35" t="s">
        <v>3</v>
      </c>
      <c r="AF101" s="14"/>
      <c r="AG101" s="15"/>
      <c r="AH101" s="15"/>
      <c r="AI101" s="15"/>
      <c r="AJ101" s="15"/>
      <c r="AK101" s="16"/>
    </row>
    <row r="102" spans="1:37" ht="15.75" thickBot="1" x14ac:dyDescent="0.3">
      <c r="A102" s="168"/>
      <c r="B102" s="17"/>
      <c r="C102" s="18"/>
      <c r="D102" s="18"/>
      <c r="E102" s="18"/>
      <c r="F102" s="18">
        <f>SUM(C102-B102)</f>
        <v>0</v>
      </c>
      <c r="G102" s="18">
        <f>SUM(E102-D102)</f>
        <v>0</v>
      </c>
      <c r="H102" s="33">
        <f>SUM(F102:G102)</f>
        <v>0</v>
      </c>
      <c r="J102" s="36" t="s">
        <v>21</v>
      </c>
      <c r="K102" s="19"/>
      <c r="L102" s="20"/>
      <c r="M102" s="20"/>
      <c r="N102" s="20"/>
      <c r="O102" s="20"/>
      <c r="P102" s="20"/>
      <c r="Q102" s="20"/>
      <c r="R102" s="20"/>
      <c r="S102" s="20"/>
      <c r="T102" s="20"/>
      <c r="U102" s="21"/>
      <c r="W102" s="36" t="s">
        <v>21</v>
      </c>
      <c r="X102" s="19"/>
      <c r="Y102" s="20"/>
      <c r="Z102" s="20"/>
      <c r="AA102" s="20"/>
      <c r="AB102" s="20"/>
      <c r="AC102" s="21"/>
      <c r="AE102" s="36" t="s">
        <v>21</v>
      </c>
      <c r="AF102" s="19"/>
      <c r="AG102" s="20"/>
      <c r="AH102" s="20"/>
      <c r="AI102" s="20"/>
      <c r="AJ102" s="20"/>
      <c r="AK102" s="21"/>
    </row>
    <row r="103" spans="1:37" x14ac:dyDescent="0.25">
      <c r="F103" s="2"/>
      <c r="G103" s="2"/>
      <c r="H103" s="2"/>
      <c r="J103" s="37"/>
      <c r="T103" s="22" t="s">
        <v>22</v>
      </c>
      <c r="U103" s="23">
        <f>SUM(K102:U102)</f>
        <v>0</v>
      </c>
      <c r="W103" s="2"/>
      <c r="X103" s="1"/>
      <c r="AB103" s="22" t="s">
        <v>22</v>
      </c>
      <c r="AC103" s="23">
        <f>SUM(X102:AC102)</f>
        <v>0</v>
      </c>
      <c r="AE103" s="2"/>
      <c r="AF103" s="1"/>
      <c r="AJ103" s="22" t="s">
        <v>22</v>
      </c>
      <c r="AK103" s="23">
        <f>SUM(AF102:AK102)</f>
        <v>0</v>
      </c>
    </row>
    <row r="104" spans="1:37" ht="15.75" thickBot="1" x14ac:dyDescent="0.3">
      <c r="A104" s="34"/>
      <c r="B104" s="171" t="s">
        <v>20</v>
      </c>
      <c r="C104" s="171"/>
      <c r="D104" s="171"/>
      <c r="E104" s="171"/>
      <c r="F104" s="171"/>
      <c r="G104" s="171"/>
      <c r="H104" s="171"/>
      <c r="J104" s="172" t="s">
        <v>20</v>
      </c>
      <c r="K104" s="172"/>
      <c r="L104" s="172"/>
      <c r="M104" s="172"/>
      <c r="N104" s="172"/>
      <c r="O104" s="172"/>
      <c r="P104" s="172"/>
      <c r="Q104" s="172"/>
      <c r="R104" s="172"/>
      <c r="S104" s="172"/>
      <c r="T104" s="172"/>
      <c r="U104" s="172"/>
      <c r="W104" s="173" t="str">
        <f>J104</f>
        <v>Dezembro</v>
      </c>
      <c r="X104" s="173"/>
      <c r="Y104" s="173"/>
      <c r="Z104" s="173"/>
      <c r="AA104" s="173"/>
      <c r="AB104" s="173"/>
      <c r="AC104" s="173"/>
      <c r="AE104" s="174" t="str">
        <f>W104</f>
        <v>Dezembro</v>
      </c>
      <c r="AF104" s="174"/>
      <c r="AG104" s="174"/>
      <c r="AH104" s="174"/>
      <c r="AI104" s="174"/>
      <c r="AJ104" s="174"/>
      <c r="AK104" s="174"/>
    </row>
    <row r="105" spans="1:37" ht="15.75" thickBot="1" x14ac:dyDescent="0.3">
      <c r="A105" s="168" t="s">
        <v>4</v>
      </c>
      <c r="B105" s="10" t="s">
        <v>5</v>
      </c>
      <c r="C105" s="11" t="s">
        <v>6</v>
      </c>
      <c r="D105" s="12" t="s">
        <v>7</v>
      </c>
      <c r="E105" s="11" t="s">
        <v>8</v>
      </c>
      <c r="F105" s="12" t="s">
        <v>9</v>
      </c>
      <c r="G105" s="11" t="s">
        <v>10</v>
      </c>
      <c r="H105" s="32" t="s">
        <v>11</v>
      </c>
      <c r="J105" s="35" t="s">
        <v>3</v>
      </c>
      <c r="K105" s="14"/>
      <c r="L105" s="15"/>
      <c r="M105" s="15"/>
      <c r="N105" s="15"/>
      <c r="O105" s="15"/>
      <c r="P105" s="15"/>
      <c r="Q105" s="15"/>
      <c r="R105" s="15"/>
      <c r="S105" s="15"/>
      <c r="T105" s="15"/>
      <c r="U105" s="16"/>
      <c r="W105" s="35" t="s">
        <v>3</v>
      </c>
      <c r="X105" s="14"/>
      <c r="Y105" s="15"/>
      <c r="Z105" s="15"/>
      <c r="AA105" s="15"/>
      <c r="AB105" s="15"/>
      <c r="AC105" s="16"/>
      <c r="AE105" s="35" t="s">
        <v>3</v>
      </c>
      <c r="AF105" s="14"/>
      <c r="AG105" s="15"/>
      <c r="AH105" s="15"/>
      <c r="AI105" s="15"/>
      <c r="AJ105" s="15"/>
      <c r="AK105" s="16"/>
    </row>
    <row r="106" spans="1:37" ht="15.75" thickBot="1" x14ac:dyDescent="0.3">
      <c r="A106" s="168"/>
      <c r="B106" s="17"/>
      <c r="C106" s="18"/>
      <c r="D106" s="18"/>
      <c r="E106" s="18"/>
      <c r="F106" s="18">
        <f>SUM(C106-B106)</f>
        <v>0</v>
      </c>
      <c r="G106" s="18">
        <f>SUM(E106-D106)</f>
        <v>0</v>
      </c>
      <c r="H106" s="33">
        <f>SUM(F106:G106)</f>
        <v>0</v>
      </c>
      <c r="J106" s="36" t="s">
        <v>21</v>
      </c>
      <c r="K106" s="19"/>
      <c r="L106" s="20"/>
      <c r="M106" s="20"/>
      <c r="N106" s="20"/>
      <c r="O106" s="20"/>
      <c r="P106" s="20"/>
      <c r="Q106" s="20"/>
      <c r="R106" s="20"/>
      <c r="S106" s="20"/>
      <c r="T106" s="20"/>
      <c r="U106" s="21"/>
      <c r="W106" s="36" t="s">
        <v>21</v>
      </c>
      <c r="X106" s="19"/>
      <c r="Y106" s="20"/>
      <c r="Z106" s="20"/>
      <c r="AA106" s="20"/>
      <c r="AB106" s="20"/>
      <c r="AC106" s="21"/>
      <c r="AE106" s="36" t="s">
        <v>21</v>
      </c>
      <c r="AF106" s="19"/>
      <c r="AG106" s="20"/>
      <c r="AH106" s="20"/>
      <c r="AI106" s="20"/>
      <c r="AJ106" s="20"/>
      <c r="AK106" s="21"/>
    </row>
    <row r="107" spans="1:37" x14ac:dyDescent="0.25">
      <c r="J107" s="37"/>
      <c r="T107" s="22" t="s">
        <v>22</v>
      </c>
      <c r="U107" s="23">
        <f>SUM(K106:U106)</f>
        <v>0</v>
      </c>
      <c r="W107" s="2"/>
      <c r="X107" s="1"/>
      <c r="AB107" s="22" t="s">
        <v>22</v>
      </c>
      <c r="AC107" s="23">
        <f>SUM(X106:AC106)</f>
        <v>0</v>
      </c>
      <c r="AE107" s="2"/>
      <c r="AF107" s="1"/>
      <c r="AJ107" s="22" t="s">
        <v>22</v>
      </c>
      <c r="AK107" s="23">
        <f>SUM(AF106:AK106)</f>
        <v>0</v>
      </c>
    </row>
  </sheetData>
  <mergeCells count="133">
    <mergeCell ref="B84:H84"/>
    <mergeCell ref="J84:U84"/>
    <mergeCell ref="X84:AD84"/>
    <mergeCell ref="AF84:AL84"/>
    <mergeCell ref="A85:A86"/>
    <mergeCell ref="B80:H80"/>
    <mergeCell ref="J80:U80"/>
    <mergeCell ref="X80:AD80"/>
    <mergeCell ref="AF80:AL80"/>
    <mergeCell ref="A81:A82"/>
    <mergeCell ref="B76:H76"/>
    <mergeCell ref="J76:U76"/>
    <mergeCell ref="X76:AD76"/>
    <mergeCell ref="AF76:AL76"/>
    <mergeCell ref="A77:A78"/>
    <mergeCell ref="B72:H72"/>
    <mergeCell ref="J72:U72"/>
    <mergeCell ref="X72:AD72"/>
    <mergeCell ref="AF72:AL72"/>
    <mergeCell ref="A73:A74"/>
    <mergeCell ref="B68:H68"/>
    <mergeCell ref="J68:U68"/>
    <mergeCell ref="X68:AD68"/>
    <mergeCell ref="AF68:AL68"/>
    <mergeCell ref="A69:A70"/>
    <mergeCell ref="A21:A22"/>
    <mergeCell ref="X10:AD10"/>
    <mergeCell ref="AF10:AL10"/>
    <mergeCell ref="B16:H16"/>
    <mergeCell ref="J16:U16"/>
    <mergeCell ref="X16:AD16"/>
    <mergeCell ref="AF16:AL16"/>
    <mergeCell ref="J10:U10"/>
    <mergeCell ref="A17:A18"/>
    <mergeCell ref="B20:H20"/>
    <mergeCell ref="J20:U20"/>
    <mergeCell ref="X20:AD20"/>
    <mergeCell ref="AF20:AL20"/>
    <mergeCell ref="A13:A14"/>
    <mergeCell ref="A10:H10"/>
    <mergeCell ref="A33:A34"/>
    <mergeCell ref="B24:H24"/>
    <mergeCell ref="J24:U24"/>
    <mergeCell ref="X24:AD24"/>
    <mergeCell ref="AF24:AL24"/>
    <mergeCell ref="A25:A26"/>
    <mergeCell ref="B28:H28"/>
    <mergeCell ref="J28:U28"/>
    <mergeCell ref="X28:AD28"/>
    <mergeCell ref="AF28:AL28"/>
    <mergeCell ref="A29:A30"/>
    <mergeCell ref="B32:H32"/>
    <mergeCell ref="J32:U32"/>
    <mergeCell ref="X32:AD32"/>
    <mergeCell ref="AF32:AL32"/>
    <mergeCell ref="A45:A46"/>
    <mergeCell ref="B36:H36"/>
    <mergeCell ref="J36:U36"/>
    <mergeCell ref="X36:AD36"/>
    <mergeCell ref="AF36:AL36"/>
    <mergeCell ref="A37:A38"/>
    <mergeCell ref="B40:H40"/>
    <mergeCell ref="J40:U40"/>
    <mergeCell ref="X40:AD40"/>
    <mergeCell ref="AF40:AL40"/>
    <mergeCell ref="A41:A42"/>
    <mergeCell ref="B44:H44"/>
    <mergeCell ref="J44:U44"/>
    <mergeCell ref="X44:AD44"/>
    <mergeCell ref="AF44:AL44"/>
    <mergeCell ref="A57:A58"/>
    <mergeCell ref="B48:H48"/>
    <mergeCell ref="J48:U48"/>
    <mergeCell ref="X48:AD48"/>
    <mergeCell ref="AF48:AL48"/>
    <mergeCell ref="A49:A50"/>
    <mergeCell ref="B52:H52"/>
    <mergeCell ref="J52:U52"/>
    <mergeCell ref="X52:AD52"/>
    <mergeCell ref="AF52:AL52"/>
    <mergeCell ref="A53:A54"/>
    <mergeCell ref="B56:H56"/>
    <mergeCell ref="J56:U56"/>
    <mergeCell ref="X56:AD56"/>
    <mergeCell ref="AF56:AL56"/>
    <mergeCell ref="A1:A2"/>
    <mergeCell ref="B1:AL1"/>
    <mergeCell ref="B2:AL2"/>
    <mergeCell ref="B12:H12"/>
    <mergeCell ref="J12:U12"/>
    <mergeCell ref="X12:AD12"/>
    <mergeCell ref="AF12:AL12"/>
    <mergeCell ref="B4:C4"/>
    <mergeCell ref="E4:F4"/>
    <mergeCell ref="B7:C7"/>
    <mergeCell ref="E7:F7"/>
    <mergeCell ref="B5:C5"/>
    <mergeCell ref="E5:F5"/>
    <mergeCell ref="A65:A66"/>
    <mergeCell ref="B60:H60"/>
    <mergeCell ref="J60:U60"/>
    <mergeCell ref="X60:AD60"/>
    <mergeCell ref="AF60:AL60"/>
    <mergeCell ref="A61:A62"/>
    <mergeCell ref="B64:H64"/>
    <mergeCell ref="J64:U64"/>
    <mergeCell ref="X64:AD64"/>
    <mergeCell ref="AF64:AL64"/>
    <mergeCell ref="B88:H88"/>
    <mergeCell ref="J88:U88"/>
    <mergeCell ref="W88:AC88"/>
    <mergeCell ref="AE88:AK88"/>
    <mergeCell ref="A89:A90"/>
    <mergeCell ref="B92:H92"/>
    <mergeCell ref="J92:U92"/>
    <mergeCell ref="W92:AC92"/>
    <mergeCell ref="AE92:AK92"/>
    <mergeCell ref="A101:A102"/>
    <mergeCell ref="B104:H104"/>
    <mergeCell ref="J104:U104"/>
    <mergeCell ref="W104:AC104"/>
    <mergeCell ref="AE104:AK104"/>
    <mergeCell ref="A105:A106"/>
    <mergeCell ref="A93:A94"/>
    <mergeCell ref="B96:H96"/>
    <mergeCell ref="J96:U96"/>
    <mergeCell ref="W96:AC96"/>
    <mergeCell ref="AE96:AK96"/>
    <mergeCell ref="A97:A98"/>
    <mergeCell ref="B100:H100"/>
    <mergeCell ref="J100:U100"/>
    <mergeCell ref="W100:AC100"/>
    <mergeCell ref="AE100:AK100"/>
  </mergeCells>
  <phoneticPr fontId="2" type="noConversion"/>
  <pageMargins left="0.511811024" right="0.511811024" top="0.78740157499999996" bottom="0.78740157499999996" header="0.31496062000000002" footer="0.31496062000000002"/>
  <pageSetup paperSize="9" orientation="portrait" r:id="rId1"/>
  <drawing r:id="rId2"/>
  <legacyDrawing r:id="rId3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93746F-F2B5-48F6-A3C2-81C3D4BA67EC}">
  <dimension ref="A1:AK58"/>
  <sheetViews>
    <sheetView topLeftCell="A19" workbookViewId="0">
      <selection activeCell="X38" sqref="X38"/>
    </sheetView>
  </sheetViews>
  <sheetFormatPr defaultRowHeight="15" x14ac:dyDescent="0.25"/>
  <cols>
    <col min="1" max="1" width="19" style="2" bestFit="1" customWidth="1"/>
    <col min="2" max="2" width="11.7109375" style="2" bestFit="1" customWidth="1"/>
    <col min="3" max="3" width="9.28515625" style="2" bestFit="1" customWidth="1"/>
    <col min="4" max="4" width="10.7109375" style="2" customWidth="1"/>
    <col min="5" max="5" width="9.28515625" style="2" bestFit="1" customWidth="1"/>
    <col min="6" max="6" width="13.140625" style="1" customWidth="1"/>
    <col min="7" max="7" width="13.85546875" style="1" customWidth="1"/>
    <col min="8" max="8" width="11.85546875" style="1" bestFit="1" customWidth="1"/>
    <col min="9" max="9" width="9.85546875" style="1" customWidth="1"/>
    <col min="10" max="10" width="9.42578125" style="2" customWidth="1"/>
    <col min="11" max="14" width="10.7109375" style="1" bestFit="1" customWidth="1"/>
    <col min="15" max="16" width="10.5703125" style="1" bestFit="1" customWidth="1"/>
    <col min="17" max="18" width="10.7109375" style="1" bestFit="1" customWidth="1"/>
    <col min="19" max="20" width="9" style="1"/>
    <col min="21" max="21" width="12.140625" style="1" bestFit="1" customWidth="1"/>
    <col min="22" max="22" width="9" style="1"/>
    <col min="23" max="23" width="9" style="2"/>
    <col min="24" max="24" width="10.7109375" style="1" bestFit="1" customWidth="1"/>
    <col min="25" max="28" width="9" style="1"/>
    <col min="29" max="29" width="10.5703125" style="1" bestFit="1" customWidth="1"/>
    <col min="30" max="30" width="9" style="1"/>
    <col min="31" max="31" width="9" style="2"/>
    <col min="32" max="32" width="10.7109375" style="1" bestFit="1" customWidth="1"/>
    <col min="33" max="33" width="9" style="1"/>
    <col min="34" max="36" width="10.140625" style="1" bestFit="1" customWidth="1"/>
    <col min="37" max="37" width="9.5703125" style="1" bestFit="1" customWidth="1"/>
  </cols>
  <sheetData>
    <row r="1" spans="1:37" ht="21" x14ac:dyDescent="0.25">
      <c r="A1" s="162"/>
      <c r="B1" s="164" t="s">
        <v>51</v>
      </c>
      <c r="C1" s="164"/>
      <c r="D1" s="164"/>
      <c r="E1" s="164"/>
      <c r="F1" s="164"/>
      <c r="G1" s="164"/>
      <c r="H1" s="164"/>
      <c r="I1" s="164"/>
      <c r="J1" s="164"/>
      <c r="K1" s="164"/>
      <c r="L1" s="164"/>
      <c r="M1" s="164"/>
      <c r="N1" s="164"/>
      <c r="O1" s="164"/>
      <c r="P1" s="164"/>
      <c r="Q1" s="164"/>
      <c r="R1" s="164"/>
      <c r="S1" s="164"/>
      <c r="T1" s="164"/>
      <c r="U1" s="164"/>
      <c r="V1" s="164"/>
      <c r="W1" s="164"/>
      <c r="X1" s="164"/>
      <c r="Y1" s="164"/>
      <c r="Z1" s="164"/>
      <c r="AA1" s="164"/>
      <c r="AB1" s="164"/>
      <c r="AC1" s="164"/>
      <c r="AD1" s="164"/>
      <c r="AE1" s="164"/>
      <c r="AF1" s="164"/>
      <c r="AG1" s="164"/>
      <c r="AH1" s="164"/>
      <c r="AI1" s="164"/>
      <c r="AJ1" s="164"/>
      <c r="AK1" s="165"/>
    </row>
    <row r="2" spans="1:37" ht="21" x14ac:dyDescent="0.25">
      <c r="A2" s="163"/>
      <c r="B2" s="166" t="s">
        <v>50</v>
      </c>
      <c r="C2" s="166"/>
      <c r="D2" s="166"/>
      <c r="E2" s="166"/>
      <c r="F2" s="166"/>
      <c r="G2" s="166"/>
      <c r="H2" s="166"/>
      <c r="I2" s="166"/>
      <c r="J2" s="166"/>
      <c r="K2" s="166"/>
      <c r="L2" s="166"/>
      <c r="M2" s="166"/>
      <c r="N2" s="166"/>
      <c r="O2" s="166"/>
      <c r="P2" s="166"/>
      <c r="Q2" s="166"/>
      <c r="R2" s="166"/>
      <c r="S2" s="166"/>
      <c r="T2" s="166"/>
      <c r="U2" s="166"/>
      <c r="V2" s="166"/>
      <c r="W2" s="166"/>
      <c r="X2" s="166"/>
      <c r="Y2" s="166"/>
      <c r="Z2" s="166"/>
      <c r="AA2" s="166"/>
      <c r="AB2" s="166"/>
      <c r="AC2" s="166"/>
      <c r="AD2" s="166"/>
      <c r="AE2" s="166"/>
      <c r="AF2" s="166"/>
      <c r="AG2" s="166"/>
      <c r="AH2" s="166"/>
      <c r="AI2" s="166"/>
      <c r="AJ2" s="166"/>
      <c r="AK2" s="167"/>
    </row>
    <row r="4" spans="1:37" x14ac:dyDescent="0.25">
      <c r="A4" s="31" t="s">
        <v>47</v>
      </c>
      <c r="B4" s="161" t="s">
        <v>75</v>
      </c>
      <c r="C4" s="161"/>
      <c r="D4" s="31" t="s">
        <v>0</v>
      </c>
      <c r="E4" s="161" t="s">
        <v>76</v>
      </c>
      <c r="F4" s="161"/>
      <c r="G4" s="31" t="s">
        <v>77</v>
      </c>
      <c r="H4" s="5">
        <v>45726</v>
      </c>
    </row>
    <row r="5" spans="1:37" x14ac:dyDescent="0.25">
      <c r="A5" s="31"/>
      <c r="D5" s="31"/>
      <c r="F5" s="2"/>
      <c r="G5" s="31"/>
    </row>
    <row r="6" spans="1:37" x14ac:dyDescent="0.25">
      <c r="A6" s="31" t="s">
        <v>48</v>
      </c>
      <c r="B6" s="160">
        <v>7465.69</v>
      </c>
      <c r="C6" s="160"/>
      <c r="D6" s="31" t="s">
        <v>44</v>
      </c>
      <c r="E6" s="201">
        <v>45</v>
      </c>
      <c r="F6" s="161"/>
      <c r="G6" s="31" t="s">
        <v>129</v>
      </c>
      <c r="H6" s="5">
        <v>45869</v>
      </c>
    </row>
    <row r="9" spans="1:37" ht="18.75" x14ac:dyDescent="0.3">
      <c r="A9" s="169" t="s">
        <v>26</v>
      </c>
      <c r="B9" s="169"/>
      <c r="C9" s="169"/>
      <c r="D9" s="169"/>
      <c r="E9" s="169"/>
      <c r="F9" s="169"/>
      <c r="G9" s="169"/>
      <c r="H9" s="169"/>
      <c r="I9" s="28"/>
      <c r="J9" s="169" t="s">
        <v>24</v>
      </c>
      <c r="K9" s="169"/>
      <c r="L9" s="169"/>
      <c r="M9" s="169"/>
      <c r="N9" s="169"/>
      <c r="O9" s="169"/>
      <c r="P9" s="169"/>
      <c r="Q9" s="169"/>
      <c r="R9" s="169"/>
      <c r="S9" s="169"/>
      <c r="T9" s="169"/>
      <c r="U9" s="169"/>
      <c r="V9" s="29"/>
      <c r="W9" s="170" t="s">
        <v>49</v>
      </c>
      <c r="X9" s="170"/>
      <c r="Y9" s="170"/>
      <c r="Z9" s="170"/>
      <c r="AA9" s="170"/>
      <c r="AB9" s="170"/>
      <c r="AC9" s="170"/>
      <c r="AD9" s="29"/>
      <c r="AE9" s="170" t="s">
        <v>25</v>
      </c>
      <c r="AF9" s="170"/>
      <c r="AG9" s="170"/>
      <c r="AH9" s="170"/>
      <c r="AI9" s="170"/>
      <c r="AJ9" s="170"/>
      <c r="AK9" s="170"/>
    </row>
    <row r="10" spans="1:37" x14ac:dyDescent="0.25">
      <c r="A10" s="7"/>
      <c r="B10" s="7"/>
      <c r="C10" s="7"/>
      <c r="D10" s="7"/>
      <c r="E10" s="7"/>
      <c r="F10" s="7"/>
      <c r="G10" s="7"/>
      <c r="H10" s="7"/>
      <c r="I10" s="6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8"/>
      <c r="W10" s="9"/>
      <c r="X10" s="9"/>
      <c r="Y10" s="9"/>
      <c r="Z10" s="9"/>
      <c r="AA10" s="9"/>
      <c r="AB10" s="9"/>
      <c r="AC10" s="9"/>
      <c r="AD10" s="8"/>
      <c r="AE10" s="9"/>
      <c r="AF10" s="9"/>
      <c r="AG10" s="9"/>
      <c r="AH10" s="9"/>
      <c r="AI10" s="9"/>
      <c r="AJ10" s="9"/>
      <c r="AK10" s="9"/>
    </row>
    <row r="11" spans="1:37" ht="15.75" thickBot="1" x14ac:dyDescent="0.3">
      <c r="A11" s="34"/>
      <c r="B11" s="171" t="s">
        <v>54</v>
      </c>
      <c r="C11" s="171"/>
      <c r="D11" s="171"/>
      <c r="E11" s="171"/>
      <c r="F11" s="171"/>
      <c r="G11" s="171"/>
      <c r="H11" s="171"/>
      <c r="I11" s="6"/>
      <c r="J11" s="172" t="s">
        <v>54</v>
      </c>
      <c r="K11" s="172"/>
      <c r="L11" s="172"/>
      <c r="M11" s="172"/>
      <c r="N11" s="172"/>
      <c r="O11" s="172"/>
      <c r="P11" s="172"/>
      <c r="Q11" s="172"/>
      <c r="R11" s="172"/>
      <c r="S11" s="172"/>
      <c r="T11" s="172"/>
      <c r="U11" s="172"/>
      <c r="V11" s="8"/>
      <c r="W11" s="173" t="s">
        <v>54</v>
      </c>
      <c r="X11" s="173"/>
      <c r="Y11" s="173"/>
      <c r="Z11" s="173"/>
      <c r="AA11" s="173"/>
      <c r="AB11" s="173"/>
      <c r="AC11" s="173"/>
      <c r="AD11" s="8"/>
      <c r="AE11" s="174" t="s">
        <v>54</v>
      </c>
      <c r="AF11" s="174"/>
      <c r="AG11" s="174"/>
      <c r="AH11" s="174"/>
      <c r="AI11" s="174"/>
      <c r="AJ11" s="174"/>
      <c r="AK11" s="174"/>
    </row>
    <row r="12" spans="1:37" ht="15.75" thickBot="1" x14ac:dyDescent="0.3">
      <c r="A12" s="168" t="s">
        <v>4</v>
      </c>
      <c r="B12" s="10" t="s">
        <v>5</v>
      </c>
      <c r="C12" s="11" t="s">
        <v>6</v>
      </c>
      <c r="D12" s="12" t="s">
        <v>7</v>
      </c>
      <c r="E12" s="11" t="s">
        <v>8</v>
      </c>
      <c r="F12" s="12" t="s">
        <v>9</v>
      </c>
      <c r="G12" s="11" t="s">
        <v>10</v>
      </c>
      <c r="H12" s="32" t="s">
        <v>11</v>
      </c>
      <c r="I12" s="6"/>
      <c r="J12" s="35" t="s">
        <v>3</v>
      </c>
      <c r="K12" s="14"/>
      <c r="L12" s="15"/>
      <c r="M12" s="15"/>
      <c r="N12" s="15"/>
      <c r="O12" s="15"/>
      <c r="P12" s="15"/>
      <c r="Q12" s="15"/>
      <c r="R12" s="15"/>
      <c r="S12" s="15"/>
      <c r="T12" s="15"/>
      <c r="U12" s="16"/>
      <c r="V12" s="8"/>
      <c r="W12" s="35" t="s">
        <v>3</v>
      </c>
      <c r="X12" s="14"/>
      <c r="Y12" s="15"/>
      <c r="Z12" s="15"/>
      <c r="AA12" s="15"/>
      <c r="AB12" s="15"/>
      <c r="AC12" s="16"/>
      <c r="AD12" s="8"/>
      <c r="AE12" s="35" t="s">
        <v>3</v>
      </c>
      <c r="AF12" s="14"/>
      <c r="AG12" s="15"/>
      <c r="AH12" s="15"/>
      <c r="AI12" s="15"/>
      <c r="AJ12" s="15"/>
      <c r="AK12" s="16"/>
    </row>
    <row r="13" spans="1:37" ht="15.75" thickBot="1" x14ac:dyDescent="0.3">
      <c r="A13" s="168"/>
      <c r="B13" s="17"/>
      <c r="C13" s="18"/>
      <c r="D13" s="18"/>
      <c r="E13" s="18"/>
      <c r="F13" s="18">
        <f>SUM(C13-B13)</f>
        <v>0</v>
      </c>
      <c r="G13" s="18">
        <f>SUM(E13-D13)</f>
        <v>0</v>
      </c>
      <c r="H13" s="33">
        <f>SUM(F13:G13)</f>
        <v>0</v>
      </c>
      <c r="I13" s="6"/>
      <c r="J13" s="36" t="s">
        <v>21</v>
      </c>
      <c r="K13" s="19"/>
      <c r="L13" s="20"/>
      <c r="M13" s="20"/>
      <c r="N13" s="20"/>
      <c r="O13" s="20"/>
      <c r="P13" s="20"/>
      <c r="Q13" s="20"/>
      <c r="R13" s="20"/>
      <c r="S13" s="20"/>
      <c r="T13" s="20"/>
      <c r="U13" s="21"/>
      <c r="V13" s="8"/>
      <c r="W13" s="36" t="s">
        <v>21</v>
      </c>
      <c r="X13" s="19"/>
      <c r="Y13" s="20"/>
      <c r="Z13" s="20"/>
      <c r="AA13" s="20"/>
      <c r="AB13" s="20"/>
      <c r="AC13" s="21"/>
      <c r="AD13" s="8"/>
      <c r="AE13" s="36" t="s">
        <v>21</v>
      </c>
      <c r="AF13" s="19"/>
      <c r="AG13" s="20"/>
      <c r="AH13" s="20"/>
      <c r="AI13" s="20"/>
      <c r="AJ13" s="20"/>
      <c r="AK13" s="21"/>
    </row>
    <row r="14" spans="1:37" x14ac:dyDescent="0.25">
      <c r="A14" s="7"/>
      <c r="B14" s="7"/>
      <c r="C14" s="7"/>
      <c r="D14" s="7"/>
      <c r="E14" s="7"/>
      <c r="F14" s="7"/>
      <c r="G14" s="7"/>
      <c r="H14" s="7"/>
      <c r="I14" s="6"/>
      <c r="J14" s="7"/>
      <c r="K14" s="7"/>
      <c r="L14" s="7"/>
      <c r="M14" s="7"/>
      <c r="N14" s="7"/>
      <c r="O14" s="7"/>
      <c r="P14" s="7"/>
      <c r="Q14" s="7"/>
      <c r="R14" s="7"/>
      <c r="S14" s="7"/>
      <c r="T14" s="22" t="s">
        <v>22</v>
      </c>
      <c r="U14" s="23">
        <f>SUM(K13:U13)</f>
        <v>0</v>
      </c>
      <c r="V14" s="8"/>
      <c r="AB14" s="22" t="s">
        <v>22</v>
      </c>
      <c r="AC14" s="23">
        <f>SUM(X13:AC13)</f>
        <v>0</v>
      </c>
      <c r="AD14" s="8"/>
      <c r="AJ14" s="22" t="s">
        <v>22</v>
      </c>
      <c r="AK14" s="23">
        <f>SUM(AF13:AK13)</f>
        <v>0</v>
      </c>
    </row>
    <row r="15" spans="1:37" ht="15.75" thickBot="1" x14ac:dyDescent="0.3">
      <c r="A15" s="34"/>
      <c r="B15" s="171" t="s">
        <v>2</v>
      </c>
      <c r="C15" s="171"/>
      <c r="D15" s="171"/>
      <c r="E15" s="171"/>
      <c r="F15" s="171"/>
      <c r="G15" s="171"/>
      <c r="H15" s="171"/>
      <c r="J15" s="172" t="s">
        <v>2</v>
      </c>
      <c r="K15" s="172"/>
      <c r="L15" s="172"/>
      <c r="M15" s="172"/>
      <c r="N15" s="172"/>
      <c r="O15" s="172"/>
      <c r="P15" s="172"/>
      <c r="Q15" s="172"/>
      <c r="R15" s="172"/>
      <c r="S15" s="172"/>
      <c r="T15" s="172"/>
      <c r="U15" s="172"/>
      <c r="W15" s="173" t="s">
        <v>2</v>
      </c>
      <c r="X15" s="173"/>
      <c r="Y15" s="173"/>
      <c r="Z15" s="173"/>
      <c r="AA15" s="173"/>
      <c r="AB15" s="173"/>
      <c r="AC15" s="173"/>
      <c r="AE15" s="174" t="s">
        <v>2</v>
      </c>
      <c r="AF15" s="174"/>
      <c r="AG15" s="174"/>
      <c r="AH15" s="174"/>
      <c r="AI15" s="174"/>
      <c r="AJ15" s="174"/>
      <c r="AK15" s="174"/>
    </row>
    <row r="16" spans="1:37" ht="15.75" thickBot="1" x14ac:dyDescent="0.3">
      <c r="A16" s="168" t="s">
        <v>4</v>
      </c>
      <c r="B16" s="10" t="s">
        <v>5</v>
      </c>
      <c r="C16" s="11" t="s">
        <v>6</v>
      </c>
      <c r="D16" s="12" t="s">
        <v>7</v>
      </c>
      <c r="E16" s="11" t="s">
        <v>8</v>
      </c>
      <c r="F16" s="12" t="s">
        <v>9</v>
      </c>
      <c r="G16" s="11" t="s">
        <v>10</v>
      </c>
      <c r="H16" s="32" t="s">
        <v>11</v>
      </c>
      <c r="J16" s="35" t="s">
        <v>3</v>
      </c>
      <c r="K16" s="14"/>
      <c r="L16" s="15"/>
      <c r="M16" s="15"/>
      <c r="N16" s="15"/>
      <c r="O16" s="15"/>
      <c r="P16" s="15"/>
      <c r="Q16" s="15"/>
      <c r="R16" s="15"/>
      <c r="S16" s="15"/>
      <c r="T16" s="15"/>
      <c r="U16" s="16"/>
      <c r="W16" s="35" t="s">
        <v>3</v>
      </c>
      <c r="X16" s="14"/>
      <c r="Y16" s="15"/>
      <c r="Z16" s="15"/>
      <c r="AA16" s="15"/>
      <c r="AB16" s="15"/>
      <c r="AC16" s="16"/>
      <c r="AE16" s="35" t="s">
        <v>3</v>
      </c>
      <c r="AF16" s="14"/>
      <c r="AG16" s="15"/>
      <c r="AH16" s="15"/>
      <c r="AI16" s="15"/>
      <c r="AJ16" s="15"/>
      <c r="AK16" s="16"/>
    </row>
    <row r="17" spans="1:37" ht="15.75" thickBot="1" x14ac:dyDescent="0.3">
      <c r="A17" s="168"/>
      <c r="B17" s="17"/>
      <c r="C17" s="18"/>
      <c r="D17" s="18"/>
      <c r="E17" s="18"/>
      <c r="F17" s="18">
        <f>SUM(C17-B17)</f>
        <v>0</v>
      </c>
      <c r="G17" s="18">
        <f>SUM(E17-D17)</f>
        <v>0</v>
      </c>
      <c r="H17" s="33">
        <f>SUM(F17:G17)</f>
        <v>0</v>
      </c>
      <c r="J17" s="36" t="s">
        <v>21</v>
      </c>
      <c r="K17" s="19"/>
      <c r="L17" s="20"/>
      <c r="M17" s="20"/>
      <c r="N17" s="20"/>
      <c r="O17" s="20"/>
      <c r="P17" s="20"/>
      <c r="Q17" s="20"/>
      <c r="R17" s="20"/>
      <c r="S17" s="20"/>
      <c r="T17" s="20"/>
      <c r="U17" s="21"/>
      <c r="W17" s="36" t="s">
        <v>21</v>
      </c>
      <c r="X17" s="19"/>
      <c r="Y17" s="20"/>
      <c r="Z17" s="20"/>
      <c r="AA17" s="20"/>
      <c r="AB17" s="20"/>
      <c r="AC17" s="21"/>
      <c r="AE17" s="36" t="s">
        <v>21</v>
      </c>
      <c r="AF17" s="19"/>
      <c r="AG17" s="20"/>
      <c r="AH17" s="20"/>
      <c r="AI17" s="20"/>
      <c r="AJ17" s="20"/>
      <c r="AK17" s="21"/>
    </row>
    <row r="18" spans="1:37" x14ac:dyDescent="0.25">
      <c r="F18" s="2"/>
      <c r="G18" s="2"/>
      <c r="H18" s="2"/>
      <c r="J18" s="37"/>
      <c r="T18" s="22" t="s">
        <v>22</v>
      </c>
      <c r="U18" s="23">
        <f>SUM(K17:U17)</f>
        <v>0</v>
      </c>
      <c r="AB18" s="22" t="s">
        <v>22</v>
      </c>
      <c r="AC18" s="23">
        <f>SUM(X17:AC17)</f>
        <v>0</v>
      </c>
      <c r="AJ18" s="22" t="s">
        <v>22</v>
      </c>
      <c r="AK18" s="23">
        <f>SUM(AF17:AK17)</f>
        <v>0</v>
      </c>
    </row>
    <row r="19" spans="1:37" ht="15.75" thickBot="1" x14ac:dyDescent="0.3">
      <c r="A19" s="34" t="s">
        <v>78</v>
      </c>
      <c r="B19" s="171" t="s">
        <v>12</v>
      </c>
      <c r="C19" s="171"/>
      <c r="D19" s="171"/>
      <c r="E19" s="171"/>
      <c r="F19" s="171"/>
      <c r="G19" s="171"/>
      <c r="H19" s="171"/>
      <c r="J19" s="172" t="s">
        <v>12</v>
      </c>
      <c r="K19" s="172"/>
      <c r="L19" s="172"/>
      <c r="M19" s="172"/>
      <c r="N19" s="172"/>
      <c r="O19" s="172"/>
      <c r="P19" s="172"/>
      <c r="Q19" s="172"/>
      <c r="R19" s="172"/>
      <c r="S19" s="172"/>
      <c r="T19" s="172"/>
      <c r="U19" s="172"/>
      <c r="W19" s="173" t="str">
        <f>J19</f>
        <v>Março</v>
      </c>
      <c r="X19" s="173"/>
      <c r="Y19" s="173"/>
      <c r="Z19" s="173"/>
      <c r="AA19" s="173"/>
      <c r="AB19" s="173"/>
      <c r="AC19" s="173"/>
      <c r="AE19" s="174" t="str">
        <f>W19</f>
        <v>Março</v>
      </c>
      <c r="AF19" s="174"/>
      <c r="AG19" s="174"/>
      <c r="AH19" s="174"/>
      <c r="AI19" s="174"/>
      <c r="AJ19" s="174"/>
      <c r="AK19" s="174"/>
    </row>
    <row r="20" spans="1:37" ht="15.75" thickBot="1" x14ac:dyDescent="0.3">
      <c r="A20" s="168" t="s">
        <v>4</v>
      </c>
      <c r="B20" s="10" t="s">
        <v>5</v>
      </c>
      <c r="C20" s="11" t="s">
        <v>6</v>
      </c>
      <c r="D20" s="12" t="s">
        <v>7</v>
      </c>
      <c r="E20" s="11" t="s">
        <v>8</v>
      </c>
      <c r="F20" s="12" t="s">
        <v>9</v>
      </c>
      <c r="G20" s="11" t="s">
        <v>10</v>
      </c>
      <c r="H20" s="32" t="s">
        <v>11</v>
      </c>
      <c r="J20" s="35" t="s">
        <v>3</v>
      </c>
      <c r="K20" s="14">
        <v>45729</v>
      </c>
      <c r="L20" s="24">
        <v>45736</v>
      </c>
      <c r="M20" s="24">
        <v>45743</v>
      </c>
      <c r="N20" s="15"/>
      <c r="O20" s="15"/>
      <c r="P20" s="15"/>
      <c r="Q20" s="15"/>
      <c r="R20" s="15"/>
      <c r="S20" s="15"/>
      <c r="T20" s="15"/>
      <c r="U20" s="16"/>
      <c r="W20" s="35" t="s">
        <v>3</v>
      </c>
      <c r="X20" s="14"/>
      <c r="Y20" s="15"/>
      <c r="Z20" s="15"/>
      <c r="AA20" s="15"/>
      <c r="AB20" s="15"/>
      <c r="AC20" s="16"/>
      <c r="AE20" s="35" t="s">
        <v>3</v>
      </c>
      <c r="AF20" s="14">
        <v>45744</v>
      </c>
      <c r="AG20" s="15"/>
      <c r="AH20" s="15"/>
      <c r="AI20" s="15"/>
      <c r="AJ20" s="15"/>
      <c r="AK20" s="16"/>
    </row>
    <row r="21" spans="1:37" ht="15.75" thickBot="1" x14ac:dyDescent="0.3">
      <c r="A21" s="168"/>
      <c r="B21" s="17">
        <v>23274</v>
      </c>
      <c r="C21" s="18">
        <v>23936</v>
      </c>
      <c r="D21" s="18">
        <v>23936</v>
      </c>
      <c r="E21" s="18">
        <v>25293</v>
      </c>
      <c r="F21" s="18">
        <f>SUM(C21-B21)</f>
        <v>662</v>
      </c>
      <c r="G21" s="18">
        <f>SUM(E21-D21)</f>
        <v>1357</v>
      </c>
      <c r="H21" s="33">
        <f>SUM(F21:G21)</f>
        <v>2019</v>
      </c>
      <c r="J21" s="36" t="s">
        <v>21</v>
      </c>
      <c r="K21" s="19">
        <v>405.29</v>
      </c>
      <c r="L21" s="20">
        <v>469.13</v>
      </c>
      <c r="M21" s="20">
        <v>495.5</v>
      </c>
      <c r="N21" s="20"/>
      <c r="O21" s="20"/>
      <c r="P21" s="20"/>
      <c r="Q21" s="20"/>
      <c r="R21" s="20"/>
      <c r="S21" s="20"/>
      <c r="T21" s="20"/>
      <c r="U21" s="21"/>
      <c r="W21" s="36" t="s">
        <v>21</v>
      </c>
      <c r="X21" s="19"/>
      <c r="Y21" s="20"/>
      <c r="Z21" s="20"/>
      <c r="AA21" s="20"/>
      <c r="AB21" s="20"/>
      <c r="AC21" s="21"/>
      <c r="AE21" s="36" t="s">
        <v>21</v>
      </c>
      <c r="AF21" s="19">
        <v>40</v>
      </c>
      <c r="AG21" s="20"/>
      <c r="AH21" s="20"/>
      <c r="AI21" s="20"/>
      <c r="AJ21" s="20"/>
      <c r="AK21" s="21"/>
    </row>
    <row r="22" spans="1:37" x14ac:dyDescent="0.25">
      <c r="F22" s="2"/>
      <c r="G22" s="2"/>
      <c r="H22" s="2"/>
      <c r="J22" s="37"/>
      <c r="T22" s="22" t="s">
        <v>22</v>
      </c>
      <c r="U22" s="23">
        <f>SUM(K21:U21)</f>
        <v>1369.92</v>
      </c>
      <c r="AB22" s="22" t="s">
        <v>22</v>
      </c>
      <c r="AC22" s="23">
        <f>SUM(X21:AC21)</f>
        <v>0</v>
      </c>
      <c r="AJ22" s="22" t="s">
        <v>22</v>
      </c>
      <c r="AK22" s="23">
        <f>SUM(AF21:AK21)</f>
        <v>40</v>
      </c>
    </row>
    <row r="23" spans="1:37" ht="15.75" thickBot="1" x14ac:dyDescent="0.3">
      <c r="A23" s="34"/>
      <c r="B23" s="171" t="s">
        <v>13</v>
      </c>
      <c r="C23" s="171"/>
      <c r="D23" s="171"/>
      <c r="E23" s="171"/>
      <c r="F23" s="171"/>
      <c r="G23" s="171"/>
      <c r="H23" s="171"/>
      <c r="J23" s="172" t="s">
        <v>13</v>
      </c>
      <c r="K23" s="172"/>
      <c r="L23" s="172"/>
      <c r="M23" s="172"/>
      <c r="N23" s="172"/>
      <c r="O23" s="172"/>
      <c r="P23" s="172"/>
      <c r="Q23" s="172"/>
      <c r="R23" s="172"/>
      <c r="S23" s="172"/>
      <c r="T23" s="172"/>
      <c r="U23" s="172"/>
      <c r="W23" s="173" t="str">
        <f>J23</f>
        <v>Abril</v>
      </c>
      <c r="X23" s="173"/>
      <c r="Y23" s="173"/>
      <c r="Z23" s="173"/>
      <c r="AA23" s="173"/>
      <c r="AB23" s="173"/>
      <c r="AC23" s="173"/>
      <c r="AE23" s="174" t="str">
        <f>W23</f>
        <v>Abril</v>
      </c>
      <c r="AF23" s="174"/>
      <c r="AG23" s="174"/>
      <c r="AH23" s="174"/>
      <c r="AI23" s="174"/>
      <c r="AJ23" s="174"/>
      <c r="AK23" s="174"/>
    </row>
    <row r="24" spans="1:37" ht="15.75" thickBot="1" x14ac:dyDescent="0.3">
      <c r="A24" s="168" t="s">
        <v>4</v>
      </c>
      <c r="B24" s="10" t="s">
        <v>5</v>
      </c>
      <c r="C24" s="11" t="s">
        <v>6</v>
      </c>
      <c r="D24" s="12" t="s">
        <v>7</v>
      </c>
      <c r="E24" s="11" t="s">
        <v>8</v>
      </c>
      <c r="F24" s="12" t="s">
        <v>9</v>
      </c>
      <c r="G24" s="11" t="s">
        <v>10</v>
      </c>
      <c r="H24" s="32" t="s">
        <v>11</v>
      </c>
      <c r="J24" s="35" t="s">
        <v>3</v>
      </c>
      <c r="K24" s="14">
        <v>45752</v>
      </c>
      <c r="L24" s="24">
        <v>45759</v>
      </c>
      <c r="M24" s="24">
        <v>45766</v>
      </c>
      <c r="N24" s="24">
        <v>45771</v>
      </c>
      <c r="O24" s="15"/>
      <c r="P24" s="15"/>
      <c r="Q24" s="15"/>
      <c r="R24" s="15"/>
      <c r="S24" s="15"/>
      <c r="T24" s="15"/>
      <c r="U24" s="16"/>
      <c r="W24" s="35" t="s">
        <v>3</v>
      </c>
      <c r="X24" s="14"/>
      <c r="Y24" s="15"/>
      <c r="Z24" s="15"/>
      <c r="AA24" s="15"/>
      <c r="AB24" s="15"/>
      <c r="AC24" s="16"/>
      <c r="AE24" s="35" t="s">
        <v>3</v>
      </c>
      <c r="AF24" s="14"/>
      <c r="AG24" s="15"/>
      <c r="AH24" s="15"/>
      <c r="AI24" s="15"/>
      <c r="AJ24" s="15"/>
      <c r="AK24" s="16"/>
    </row>
    <row r="25" spans="1:37" ht="15.75" thickBot="1" x14ac:dyDescent="0.3">
      <c r="A25" s="168"/>
      <c r="B25" s="18">
        <v>25293</v>
      </c>
      <c r="C25" s="18">
        <v>26505</v>
      </c>
      <c r="D25" s="18">
        <v>26505</v>
      </c>
      <c r="E25" s="18">
        <v>27751</v>
      </c>
      <c r="F25" s="18">
        <f>SUM(C25-B25)</f>
        <v>1212</v>
      </c>
      <c r="G25" s="18">
        <f>SUM(E25-D25)</f>
        <v>1246</v>
      </c>
      <c r="H25" s="33">
        <f>SUM(F25:G25)</f>
        <v>2458</v>
      </c>
      <c r="J25" s="36" t="s">
        <v>21</v>
      </c>
      <c r="K25" s="25">
        <v>560.65</v>
      </c>
      <c r="L25" s="26">
        <v>415.35</v>
      </c>
      <c r="M25" s="26">
        <v>491.85</v>
      </c>
      <c r="N25" s="26">
        <v>473.94</v>
      </c>
      <c r="O25" s="26"/>
      <c r="P25" s="26"/>
      <c r="Q25" s="26"/>
      <c r="R25" s="26"/>
      <c r="S25" s="26"/>
      <c r="T25" s="26"/>
      <c r="U25" s="27"/>
      <c r="W25" s="36" t="s">
        <v>21</v>
      </c>
      <c r="X25" s="19"/>
      <c r="Y25" s="20"/>
      <c r="Z25" s="20"/>
      <c r="AA25" s="20"/>
      <c r="AB25" s="20"/>
      <c r="AC25" s="21"/>
      <c r="AE25" s="36" t="s">
        <v>21</v>
      </c>
      <c r="AF25" s="19"/>
      <c r="AG25" s="20"/>
      <c r="AH25" s="20"/>
      <c r="AI25" s="20"/>
      <c r="AJ25" s="20"/>
      <c r="AK25" s="21"/>
    </row>
    <row r="26" spans="1:37" x14ac:dyDescent="0.25">
      <c r="F26" s="2"/>
      <c r="G26" s="2"/>
      <c r="H26" s="2"/>
      <c r="J26" s="37"/>
      <c r="T26" s="22" t="s">
        <v>22</v>
      </c>
      <c r="U26" s="23">
        <f>SUM(K25:U25)</f>
        <v>1941.79</v>
      </c>
      <c r="AB26" s="22" t="s">
        <v>22</v>
      </c>
      <c r="AC26" s="23">
        <f>SUM(X25:AC25)</f>
        <v>0</v>
      </c>
      <c r="AJ26" s="22" t="s">
        <v>22</v>
      </c>
      <c r="AK26" s="23">
        <f>SUM(AF25:AK25)</f>
        <v>0</v>
      </c>
    </row>
    <row r="27" spans="1:37" ht="15.75" thickBot="1" x14ac:dyDescent="0.3">
      <c r="A27" s="34"/>
      <c r="B27" s="171" t="s">
        <v>14</v>
      </c>
      <c r="C27" s="171"/>
      <c r="D27" s="171"/>
      <c r="E27" s="171"/>
      <c r="F27" s="171"/>
      <c r="G27" s="171"/>
      <c r="H27" s="171"/>
      <c r="J27" s="172" t="s">
        <v>14</v>
      </c>
      <c r="K27" s="172"/>
      <c r="L27" s="172"/>
      <c r="M27" s="172"/>
      <c r="N27" s="172"/>
      <c r="O27" s="172"/>
      <c r="P27" s="172"/>
      <c r="Q27" s="172"/>
      <c r="R27" s="172"/>
      <c r="S27" s="172"/>
      <c r="T27" s="172"/>
      <c r="U27" s="172"/>
      <c r="W27" s="173" t="str">
        <f>J27</f>
        <v>Maio</v>
      </c>
      <c r="X27" s="173"/>
      <c r="Y27" s="173"/>
      <c r="Z27" s="173"/>
      <c r="AA27" s="173"/>
      <c r="AB27" s="173"/>
      <c r="AC27" s="173"/>
      <c r="AE27" s="174" t="str">
        <f>W27</f>
        <v>Maio</v>
      </c>
      <c r="AF27" s="174"/>
      <c r="AG27" s="174"/>
      <c r="AH27" s="174"/>
      <c r="AI27" s="174"/>
      <c r="AJ27" s="174"/>
      <c r="AK27" s="174"/>
    </row>
    <row r="28" spans="1:37" ht="15.75" thickBot="1" x14ac:dyDescent="0.3">
      <c r="A28" s="168" t="s">
        <v>4</v>
      </c>
      <c r="B28" s="10" t="s">
        <v>5</v>
      </c>
      <c r="C28" s="11" t="s">
        <v>6</v>
      </c>
      <c r="D28" s="12" t="s">
        <v>7</v>
      </c>
      <c r="E28" s="11" t="s">
        <v>8</v>
      </c>
      <c r="F28" s="12" t="s">
        <v>9</v>
      </c>
      <c r="G28" s="11" t="s">
        <v>10</v>
      </c>
      <c r="H28" s="32" t="s">
        <v>11</v>
      </c>
      <c r="J28" s="35" t="s">
        <v>3</v>
      </c>
      <c r="K28" s="14">
        <v>45783</v>
      </c>
      <c r="L28" s="24">
        <v>45787</v>
      </c>
      <c r="M28" s="24">
        <v>45792</v>
      </c>
      <c r="N28" s="24">
        <v>45797</v>
      </c>
      <c r="O28" s="24">
        <v>45804</v>
      </c>
      <c r="P28" s="24">
        <v>45808</v>
      </c>
      <c r="Q28" s="15"/>
      <c r="R28" s="15"/>
      <c r="S28" s="15"/>
      <c r="T28" s="15"/>
      <c r="U28" s="16"/>
      <c r="W28" s="35" t="s">
        <v>3</v>
      </c>
      <c r="X28" s="14"/>
      <c r="Y28" s="15"/>
      <c r="Z28" s="15"/>
      <c r="AA28" s="15"/>
      <c r="AB28" s="15"/>
      <c r="AC28" s="16"/>
      <c r="AE28" s="35" t="s">
        <v>3</v>
      </c>
      <c r="AF28" s="14"/>
      <c r="AG28" s="15"/>
      <c r="AH28" s="15"/>
      <c r="AI28" s="15"/>
      <c r="AJ28" s="15"/>
      <c r="AK28" s="16"/>
    </row>
    <row r="29" spans="1:37" ht="15.75" thickBot="1" x14ac:dyDescent="0.3">
      <c r="A29" s="168"/>
      <c r="B29" s="18">
        <v>27751</v>
      </c>
      <c r="C29" s="18">
        <v>30548</v>
      </c>
      <c r="D29" s="18">
        <v>30548</v>
      </c>
      <c r="E29" s="18">
        <v>32116</v>
      </c>
      <c r="F29" s="18">
        <f>SUM(C29-B29)</f>
        <v>2797</v>
      </c>
      <c r="G29" s="18">
        <f>SUM(E29-D29)</f>
        <v>1568</v>
      </c>
      <c r="H29" s="33">
        <f>SUM(F29:G29)</f>
        <v>4365</v>
      </c>
      <c r="J29" s="36" t="s">
        <v>21</v>
      </c>
      <c r="K29" s="19">
        <v>496.86</v>
      </c>
      <c r="L29" s="20">
        <v>396.64</v>
      </c>
      <c r="M29" s="20">
        <v>350.16</v>
      </c>
      <c r="N29" s="20">
        <v>348.11</v>
      </c>
      <c r="O29" s="20">
        <v>462.83</v>
      </c>
      <c r="P29" s="20">
        <v>276.67</v>
      </c>
      <c r="Q29" s="20"/>
      <c r="R29" s="20"/>
      <c r="S29" s="20"/>
      <c r="T29" s="20"/>
      <c r="U29" s="21"/>
      <c r="W29" s="36" t="s">
        <v>21</v>
      </c>
      <c r="X29" s="19"/>
      <c r="Y29" s="20"/>
      <c r="Z29" s="20"/>
      <c r="AA29" s="20"/>
      <c r="AB29" s="20"/>
      <c r="AC29" s="21"/>
      <c r="AE29" s="36" t="s">
        <v>21</v>
      </c>
      <c r="AF29" s="19"/>
      <c r="AG29" s="20"/>
      <c r="AH29" s="20"/>
      <c r="AI29" s="20"/>
      <c r="AJ29" s="20"/>
      <c r="AK29" s="21"/>
    </row>
    <row r="30" spans="1:37" x14ac:dyDescent="0.25">
      <c r="F30" s="2"/>
      <c r="G30" s="2"/>
      <c r="H30" s="2"/>
      <c r="J30" s="37"/>
      <c r="T30" s="22" t="s">
        <v>22</v>
      </c>
      <c r="U30" s="23">
        <f>SUM(K29:U29)</f>
        <v>2331.27</v>
      </c>
      <c r="AB30" s="22" t="s">
        <v>22</v>
      </c>
      <c r="AC30" s="23">
        <f>SUM(X29:AC29)</f>
        <v>0</v>
      </c>
      <c r="AJ30" s="22" t="s">
        <v>22</v>
      </c>
      <c r="AK30" s="23">
        <f>SUM(AF29:AK29)</f>
        <v>0</v>
      </c>
    </row>
    <row r="31" spans="1:37" ht="15.75" thickBot="1" x14ac:dyDescent="0.3">
      <c r="A31" s="34"/>
      <c r="B31" s="171" t="s">
        <v>23</v>
      </c>
      <c r="C31" s="171"/>
      <c r="D31" s="171"/>
      <c r="E31" s="171"/>
      <c r="F31" s="171"/>
      <c r="G31" s="171"/>
      <c r="H31" s="171"/>
      <c r="J31" s="172" t="s">
        <v>23</v>
      </c>
      <c r="K31" s="172"/>
      <c r="L31" s="172"/>
      <c r="M31" s="172"/>
      <c r="N31" s="172"/>
      <c r="O31" s="172"/>
      <c r="P31" s="172"/>
      <c r="Q31" s="172"/>
      <c r="R31" s="172"/>
      <c r="S31" s="172"/>
      <c r="T31" s="172"/>
      <c r="U31" s="172"/>
      <c r="W31" s="173" t="str">
        <f>J31</f>
        <v>Junho</v>
      </c>
      <c r="X31" s="173"/>
      <c r="Y31" s="173"/>
      <c r="Z31" s="173"/>
      <c r="AA31" s="173"/>
      <c r="AB31" s="173"/>
      <c r="AC31" s="173"/>
      <c r="AE31" s="174" t="str">
        <f>W31</f>
        <v>Junho</v>
      </c>
      <c r="AF31" s="174"/>
      <c r="AG31" s="174"/>
      <c r="AH31" s="174"/>
      <c r="AI31" s="174"/>
      <c r="AJ31" s="174"/>
      <c r="AK31" s="174"/>
    </row>
    <row r="32" spans="1:37" ht="15.75" thickBot="1" x14ac:dyDescent="0.3">
      <c r="A32" s="168" t="s">
        <v>4</v>
      </c>
      <c r="B32" s="10" t="s">
        <v>5</v>
      </c>
      <c r="C32" s="11" t="s">
        <v>6</v>
      </c>
      <c r="D32" s="12" t="s">
        <v>7</v>
      </c>
      <c r="E32" s="11" t="s">
        <v>8</v>
      </c>
      <c r="F32" s="12" t="s">
        <v>9</v>
      </c>
      <c r="G32" s="11" t="s">
        <v>10</v>
      </c>
      <c r="H32" s="32" t="s">
        <v>11</v>
      </c>
      <c r="J32" s="35" t="s">
        <v>3</v>
      </c>
      <c r="K32" s="14">
        <v>45815</v>
      </c>
      <c r="L32" s="24">
        <v>45791</v>
      </c>
      <c r="M32" s="24">
        <v>45796</v>
      </c>
      <c r="N32" s="15"/>
      <c r="O32" s="15"/>
      <c r="P32" s="15"/>
      <c r="Q32" s="15"/>
      <c r="R32" s="15"/>
      <c r="S32" s="15"/>
      <c r="T32" s="15"/>
      <c r="U32" s="16"/>
      <c r="W32" s="35" t="s">
        <v>3</v>
      </c>
      <c r="X32" s="14"/>
      <c r="Y32" s="15"/>
      <c r="Z32" s="15"/>
      <c r="AA32" s="15"/>
      <c r="AB32" s="15"/>
      <c r="AC32" s="16"/>
      <c r="AE32" s="35" t="s">
        <v>3</v>
      </c>
      <c r="AF32" s="14"/>
      <c r="AG32" s="15"/>
      <c r="AH32" s="15"/>
      <c r="AI32" s="15"/>
      <c r="AJ32" s="15"/>
      <c r="AK32" s="16"/>
    </row>
    <row r="33" spans="1:37" ht="15.75" thickBot="1" x14ac:dyDescent="0.3">
      <c r="A33" s="168"/>
      <c r="B33" s="18">
        <v>32116</v>
      </c>
      <c r="C33" s="18">
        <v>33176</v>
      </c>
      <c r="D33" s="18">
        <v>33176</v>
      </c>
      <c r="E33" s="18">
        <v>33426</v>
      </c>
      <c r="F33" s="18">
        <f>SUM(C33-B33)</f>
        <v>1060</v>
      </c>
      <c r="G33" s="18">
        <f>SUM(E33-D33)</f>
        <v>250</v>
      </c>
      <c r="H33" s="33">
        <f>SUM(F33:G33)</f>
        <v>1310</v>
      </c>
      <c r="J33" s="36" t="s">
        <v>21</v>
      </c>
      <c r="K33" s="19">
        <v>360.01</v>
      </c>
      <c r="L33" s="20">
        <v>280.02999999999997</v>
      </c>
      <c r="M33" s="20">
        <v>217.62</v>
      </c>
      <c r="N33" s="20"/>
      <c r="O33" s="20"/>
      <c r="P33" s="20"/>
      <c r="Q33" s="20"/>
      <c r="R33" s="20"/>
      <c r="S33" s="20"/>
      <c r="T33" s="20"/>
      <c r="U33" s="21"/>
      <c r="W33" s="36" t="s">
        <v>21</v>
      </c>
      <c r="X33" s="19"/>
      <c r="Y33" s="20"/>
      <c r="Z33" s="20"/>
      <c r="AA33" s="20"/>
      <c r="AB33" s="20"/>
      <c r="AC33" s="21"/>
      <c r="AE33" s="36" t="s">
        <v>21</v>
      </c>
      <c r="AF33" s="19"/>
      <c r="AG33" s="20"/>
      <c r="AH33" s="20"/>
      <c r="AI33" s="20"/>
      <c r="AJ33" s="20"/>
      <c r="AK33" s="21"/>
    </row>
    <row r="34" spans="1:37" x14ac:dyDescent="0.25">
      <c r="F34" s="2"/>
      <c r="G34" s="2"/>
      <c r="H34" s="2"/>
      <c r="J34" s="37"/>
      <c r="T34" s="22" t="s">
        <v>22</v>
      </c>
      <c r="U34" s="23">
        <f>SUM(K33:U33)</f>
        <v>857.66</v>
      </c>
      <c r="AB34" s="22" t="s">
        <v>22</v>
      </c>
      <c r="AC34" s="23">
        <f>SUM(X33:AC33)</f>
        <v>0</v>
      </c>
      <c r="AJ34" s="22" t="s">
        <v>22</v>
      </c>
      <c r="AK34" s="23">
        <f>SUM(AF33:AK33)</f>
        <v>0</v>
      </c>
    </row>
    <row r="35" spans="1:37" ht="15.75" thickBot="1" x14ac:dyDescent="0.3">
      <c r="A35" s="34"/>
      <c r="B35" s="171" t="s">
        <v>15</v>
      </c>
      <c r="C35" s="171"/>
      <c r="D35" s="171"/>
      <c r="E35" s="171"/>
      <c r="F35" s="171"/>
      <c r="G35" s="171"/>
      <c r="H35" s="171"/>
      <c r="J35" s="172" t="s">
        <v>15</v>
      </c>
      <c r="K35" s="172"/>
      <c r="L35" s="172"/>
      <c r="M35" s="172"/>
      <c r="N35" s="172"/>
      <c r="O35" s="172"/>
      <c r="P35" s="172"/>
      <c r="Q35" s="172"/>
      <c r="R35" s="172"/>
      <c r="S35" s="172"/>
      <c r="T35" s="172"/>
      <c r="U35" s="172"/>
      <c r="W35" s="173" t="str">
        <f>J35</f>
        <v>Julho</v>
      </c>
      <c r="X35" s="173"/>
      <c r="Y35" s="173"/>
      <c r="Z35" s="173"/>
      <c r="AA35" s="173"/>
      <c r="AB35" s="173"/>
      <c r="AC35" s="173"/>
      <c r="AE35" s="174" t="str">
        <f>W35</f>
        <v>Julho</v>
      </c>
      <c r="AF35" s="174"/>
      <c r="AG35" s="174"/>
      <c r="AH35" s="174"/>
      <c r="AI35" s="174"/>
      <c r="AJ35" s="174"/>
      <c r="AK35" s="174"/>
    </row>
    <row r="36" spans="1:37" ht="15.75" thickBot="1" x14ac:dyDescent="0.3">
      <c r="A36" s="168" t="s">
        <v>4</v>
      </c>
      <c r="B36" s="10" t="s">
        <v>5</v>
      </c>
      <c r="C36" s="11" t="s">
        <v>6</v>
      </c>
      <c r="D36" s="12" t="s">
        <v>7</v>
      </c>
      <c r="E36" s="11" t="s">
        <v>8</v>
      </c>
      <c r="F36" s="12" t="s">
        <v>9</v>
      </c>
      <c r="G36" s="11" t="s">
        <v>10</v>
      </c>
      <c r="H36" s="32" t="s">
        <v>11</v>
      </c>
      <c r="J36" s="35" t="s">
        <v>3</v>
      </c>
      <c r="K36" s="14">
        <v>45843</v>
      </c>
      <c r="L36" s="24">
        <v>45848</v>
      </c>
      <c r="M36" s="24">
        <v>45853</v>
      </c>
      <c r="N36" s="24">
        <v>45855</v>
      </c>
      <c r="O36" s="24">
        <v>45860</v>
      </c>
      <c r="P36" s="24">
        <v>45865</v>
      </c>
      <c r="Q36" s="24">
        <v>45869</v>
      </c>
      <c r="R36" s="24">
        <v>45869</v>
      </c>
      <c r="S36" s="15"/>
      <c r="T36" s="15"/>
      <c r="U36" s="16"/>
      <c r="W36" s="35" t="s">
        <v>3</v>
      </c>
      <c r="X36" s="14">
        <v>45868</v>
      </c>
      <c r="Y36" s="15"/>
      <c r="Z36" s="15"/>
      <c r="AA36" s="15"/>
      <c r="AB36" s="15"/>
      <c r="AC36" s="16"/>
      <c r="AE36" s="35" t="s">
        <v>3</v>
      </c>
      <c r="AF36" s="14"/>
      <c r="AG36" s="15"/>
      <c r="AH36" s="15"/>
      <c r="AI36" s="15"/>
      <c r="AJ36" s="15"/>
      <c r="AK36" s="16"/>
    </row>
    <row r="37" spans="1:37" ht="15.75" thickBot="1" x14ac:dyDescent="0.3">
      <c r="A37" s="168"/>
      <c r="B37" s="18">
        <v>33426</v>
      </c>
      <c r="C37" s="18">
        <v>35560</v>
      </c>
      <c r="D37" s="18">
        <v>35560</v>
      </c>
      <c r="E37" s="18">
        <v>37599</v>
      </c>
      <c r="F37" s="18">
        <f>SUM(C37-B37)</f>
        <v>2134</v>
      </c>
      <c r="G37" s="18">
        <f>SUM(E37-D37)</f>
        <v>2039</v>
      </c>
      <c r="H37" s="33">
        <f>SUM(F37:G37)</f>
        <v>4173</v>
      </c>
      <c r="J37" s="36" t="s">
        <v>21</v>
      </c>
      <c r="K37" s="19">
        <v>294</v>
      </c>
      <c r="L37" s="20">
        <v>421.18</v>
      </c>
      <c r="M37" s="20">
        <v>401.22</v>
      </c>
      <c r="N37" s="20">
        <v>392.49</v>
      </c>
      <c r="O37" s="20">
        <v>302.48</v>
      </c>
      <c r="P37" s="20">
        <v>498.89</v>
      </c>
      <c r="Q37" s="20">
        <v>275.08</v>
      </c>
      <c r="R37" s="20">
        <v>223.19</v>
      </c>
      <c r="S37" s="20"/>
      <c r="T37" s="20"/>
      <c r="U37" s="21"/>
      <c r="W37" s="36" t="s">
        <v>21</v>
      </c>
      <c r="X37" s="19">
        <v>460</v>
      </c>
      <c r="Y37" s="20"/>
      <c r="Z37" s="20"/>
      <c r="AA37" s="20"/>
      <c r="AB37" s="20"/>
      <c r="AC37" s="21"/>
      <c r="AE37" s="36" t="s">
        <v>21</v>
      </c>
      <c r="AF37" s="19"/>
      <c r="AG37" s="20"/>
      <c r="AH37" s="20"/>
      <c r="AI37" s="20"/>
      <c r="AJ37" s="20"/>
      <c r="AK37" s="21"/>
    </row>
    <row r="38" spans="1:37" x14ac:dyDescent="0.25">
      <c r="F38" s="2"/>
      <c r="G38" s="2"/>
      <c r="H38" s="2"/>
      <c r="J38" s="37"/>
      <c r="T38" s="22" t="s">
        <v>22</v>
      </c>
      <c r="U38" s="23">
        <f>SUM(K37:U37)</f>
        <v>2808.53</v>
      </c>
      <c r="AB38" s="22" t="s">
        <v>22</v>
      </c>
      <c r="AC38" s="23">
        <f>SUM(X37:AC37)</f>
        <v>460</v>
      </c>
      <c r="AJ38" s="22" t="s">
        <v>22</v>
      </c>
      <c r="AK38" s="23">
        <f>SUM(AF37:AK37)</f>
        <v>0</v>
      </c>
    </row>
    <row r="39" spans="1:37" ht="15.75" thickBot="1" x14ac:dyDescent="0.3">
      <c r="A39" s="34"/>
      <c r="B39" s="171" t="s">
        <v>16</v>
      </c>
      <c r="C39" s="171"/>
      <c r="D39" s="171"/>
      <c r="E39" s="171"/>
      <c r="F39" s="171"/>
      <c r="G39" s="171"/>
      <c r="H39" s="171"/>
      <c r="J39" s="172" t="s">
        <v>16</v>
      </c>
      <c r="K39" s="172"/>
      <c r="L39" s="172"/>
      <c r="M39" s="172"/>
      <c r="N39" s="172"/>
      <c r="O39" s="172"/>
      <c r="P39" s="172"/>
      <c r="Q39" s="172"/>
      <c r="R39" s="172"/>
      <c r="S39" s="172"/>
      <c r="T39" s="172"/>
      <c r="U39" s="172"/>
      <c r="W39" s="173" t="str">
        <f>J39</f>
        <v>Agosto</v>
      </c>
      <c r="X39" s="173"/>
      <c r="Y39" s="173"/>
      <c r="Z39" s="173"/>
      <c r="AA39" s="173"/>
      <c r="AB39" s="173"/>
      <c r="AC39" s="173"/>
      <c r="AE39" s="174" t="str">
        <f>W39</f>
        <v>Agosto</v>
      </c>
      <c r="AF39" s="174"/>
      <c r="AG39" s="174"/>
      <c r="AH39" s="174"/>
      <c r="AI39" s="174"/>
      <c r="AJ39" s="174"/>
      <c r="AK39" s="174"/>
    </row>
    <row r="40" spans="1:37" ht="15.75" thickBot="1" x14ac:dyDescent="0.3">
      <c r="A40" s="168" t="s">
        <v>4</v>
      </c>
      <c r="B40" s="10" t="s">
        <v>5</v>
      </c>
      <c r="C40" s="11" t="s">
        <v>6</v>
      </c>
      <c r="D40" s="12" t="s">
        <v>7</v>
      </c>
      <c r="E40" s="11" t="s">
        <v>8</v>
      </c>
      <c r="F40" s="12" t="s">
        <v>9</v>
      </c>
      <c r="G40" s="11" t="s">
        <v>10</v>
      </c>
      <c r="H40" s="32" t="s">
        <v>11</v>
      </c>
      <c r="J40" s="35" t="s">
        <v>3</v>
      </c>
      <c r="K40" s="14"/>
      <c r="L40" s="15"/>
      <c r="M40" s="15"/>
      <c r="N40" s="15"/>
      <c r="O40" s="15"/>
      <c r="P40" s="15"/>
      <c r="Q40" s="15"/>
      <c r="R40" s="15"/>
      <c r="S40" s="15"/>
      <c r="T40" s="15"/>
      <c r="U40" s="16"/>
      <c r="W40" s="35" t="s">
        <v>3</v>
      </c>
      <c r="X40" s="14"/>
      <c r="Y40" s="15"/>
      <c r="Z40" s="15"/>
      <c r="AA40" s="15"/>
      <c r="AB40" s="15"/>
      <c r="AC40" s="16"/>
      <c r="AE40" s="35" t="s">
        <v>3</v>
      </c>
      <c r="AF40" s="14"/>
      <c r="AG40" s="15"/>
      <c r="AH40" s="15"/>
      <c r="AI40" s="15"/>
      <c r="AJ40" s="15"/>
      <c r="AK40" s="16"/>
    </row>
    <row r="41" spans="1:37" ht="15.75" thickBot="1" x14ac:dyDescent="0.3">
      <c r="A41" s="168"/>
      <c r="B41" s="17"/>
      <c r="C41" s="18"/>
      <c r="D41" s="18"/>
      <c r="E41" s="18"/>
      <c r="F41" s="18">
        <f>SUM(C41-B41)</f>
        <v>0</v>
      </c>
      <c r="G41" s="18">
        <f>SUM(E41-D41)</f>
        <v>0</v>
      </c>
      <c r="H41" s="33">
        <f>SUM(F41:G41)</f>
        <v>0</v>
      </c>
      <c r="J41" s="36" t="s">
        <v>21</v>
      </c>
      <c r="K41" s="19"/>
      <c r="L41" s="20"/>
      <c r="M41" s="20"/>
      <c r="N41" s="20"/>
      <c r="O41" s="20"/>
      <c r="P41" s="20"/>
      <c r="Q41" s="20"/>
      <c r="R41" s="20"/>
      <c r="S41" s="20"/>
      <c r="T41" s="20"/>
      <c r="U41" s="21"/>
      <c r="W41" s="36" t="s">
        <v>21</v>
      </c>
      <c r="X41" s="19"/>
      <c r="Y41" s="20"/>
      <c r="Z41" s="20"/>
      <c r="AA41" s="20"/>
      <c r="AB41" s="20"/>
      <c r="AC41" s="21"/>
      <c r="AE41" s="36" t="s">
        <v>21</v>
      </c>
      <c r="AF41" s="19"/>
      <c r="AG41" s="20"/>
      <c r="AH41" s="20"/>
      <c r="AI41" s="20"/>
      <c r="AJ41" s="20"/>
      <c r="AK41" s="21"/>
    </row>
    <row r="42" spans="1:37" x14ac:dyDescent="0.25">
      <c r="F42" s="2"/>
      <c r="G42" s="2"/>
      <c r="H42" s="2"/>
      <c r="J42" s="37"/>
      <c r="T42" s="22" t="s">
        <v>22</v>
      </c>
      <c r="U42" s="23">
        <f>SUM(K41:U41)</f>
        <v>0</v>
      </c>
      <c r="AB42" s="22" t="s">
        <v>22</v>
      </c>
      <c r="AC42" s="23">
        <f>SUM(X41:AC41)</f>
        <v>0</v>
      </c>
      <c r="AJ42" s="22" t="s">
        <v>22</v>
      </c>
      <c r="AK42" s="23">
        <f>SUM(AF41:AK41)</f>
        <v>0</v>
      </c>
    </row>
    <row r="43" spans="1:37" ht="15.75" thickBot="1" x14ac:dyDescent="0.3">
      <c r="A43" s="34"/>
      <c r="B43" s="171" t="s">
        <v>17</v>
      </c>
      <c r="C43" s="171"/>
      <c r="D43" s="171"/>
      <c r="E43" s="171"/>
      <c r="F43" s="171"/>
      <c r="G43" s="171"/>
      <c r="H43" s="171"/>
      <c r="J43" s="172" t="s">
        <v>17</v>
      </c>
      <c r="K43" s="172"/>
      <c r="L43" s="172"/>
      <c r="M43" s="172"/>
      <c r="N43" s="172"/>
      <c r="O43" s="172"/>
      <c r="P43" s="172"/>
      <c r="Q43" s="172"/>
      <c r="R43" s="172"/>
      <c r="S43" s="172"/>
      <c r="T43" s="172"/>
      <c r="U43" s="172"/>
      <c r="W43" s="173" t="str">
        <f>J43</f>
        <v>Setembro</v>
      </c>
      <c r="X43" s="173"/>
      <c r="Y43" s="173"/>
      <c r="Z43" s="173"/>
      <c r="AA43" s="173"/>
      <c r="AB43" s="173"/>
      <c r="AC43" s="173"/>
      <c r="AE43" s="174" t="str">
        <f>W43</f>
        <v>Setembro</v>
      </c>
      <c r="AF43" s="174"/>
      <c r="AG43" s="174"/>
      <c r="AH43" s="174"/>
      <c r="AI43" s="174"/>
      <c r="AJ43" s="174"/>
      <c r="AK43" s="174"/>
    </row>
    <row r="44" spans="1:37" ht="15.75" thickBot="1" x14ac:dyDescent="0.3">
      <c r="A44" s="168" t="s">
        <v>4</v>
      </c>
      <c r="B44" s="10" t="s">
        <v>5</v>
      </c>
      <c r="C44" s="11" t="s">
        <v>6</v>
      </c>
      <c r="D44" s="12" t="s">
        <v>7</v>
      </c>
      <c r="E44" s="11" t="s">
        <v>8</v>
      </c>
      <c r="F44" s="12" t="s">
        <v>9</v>
      </c>
      <c r="G44" s="11" t="s">
        <v>10</v>
      </c>
      <c r="H44" s="32" t="s">
        <v>11</v>
      </c>
      <c r="J44" s="35" t="s">
        <v>3</v>
      </c>
      <c r="K44" s="14"/>
      <c r="L44" s="15"/>
      <c r="M44" s="15"/>
      <c r="N44" s="15"/>
      <c r="O44" s="15"/>
      <c r="P44" s="15"/>
      <c r="Q44" s="15"/>
      <c r="R44" s="15"/>
      <c r="S44" s="15"/>
      <c r="T44" s="15"/>
      <c r="U44" s="16"/>
      <c r="W44" s="35" t="s">
        <v>3</v>
      </c>
      <c r="X44" s="14"/>
      <c r="Y44" s="15"/>
      <c r="Z44" s="15"/>
      <c r="AA44" s="15"/>
      <c r="AB44" s="15"/>
      <c r="AC44" s="16"/>
      <c r="AE44" s="35" t="s">
        <v>3</v>
      </c>
      <c r="AF44" s="14"/>
      <c r="AG44" s="15"/>
      <c r="AH44" s="15"/>
      <c r="AI44" s="15"/>
      <c r="AJ44" s="15"/>
      <c r="AK44" s="16"/>
    </row>
    <row r="45" spans="1:37" ht="15.75" thickBot="1" x14ac:dyDescent="0.3">
      <c r="A45" s="168"/>
      <c r="B45" s="17"/>
      <c r="C45" s="18"/>
      <c r="D45" s="18"/>
      <c r="E45" s="18"/>
      <c r="F45" s="18">
        <f>SUM(C45-B45)</f>
        <v>0</v>
      </c>
      <c r="G45" s="18">
        <f>SUM(E45-D45)</f>
        <v>0</v>
      </c>
      <c r="H45" s="33">
        <f>SUM(F45:G45)</f>
        <v>0</v>
      </c>
      <c r="J45" s="36" t="s">
        <v>21</v>
      </c>
      <c r="K45" s="19"/>
      <c r="L45" s="20"/>
      <c r="M45" s="20"/>
      <c r="N45" s="20"/>
      <c r="O45" s="20"/>
      <c r="P45" s="20"/>
      <c r="Q45" s="20"/>
      <c r="R45" s="20"/>
      <c r="S45" s="20"/>
      <c r="T45" s="20"/>
      <c r="U45" s="21"/>
      <c r="W45" s="36" t="s">
        <v>21</v>
      </c>
      <c r="X45" s="19"/>
      <c r="Y45" s="20"/>
      <c r="Z45" s="20"/>
      <c r="AA45" s="20"/>
      <c r="AB45" s="20"/>
      <c r="AC45" s="21"/>
      <c r="AE45" s="36" t="s">
        <v>21</v>
      </c>
      <c r="AF45" s="19"/>
      <c r="AG45" s="20"/>
      <c r="AH45" s="20"/>
      <c r="AI45" s="20"/>
      <c r="AJ45" s="20"/>
      <c r="AK45" s="21"/>
    </row>
    <row r="46" spans="1:37" x14ac:dyDescent="0.25">
      <c r="F46" s="2"/>
      <c r="G46" s="2"/>
      <c r="H46" s="2"/>
      <c r="J46" s="37"/>
      <c r="T46" s="22" t="s">
        <v>22</v>
      </c>
      <c r="U46" s="23">
        <f>SUM(K45:U45)</f>
        <v>0</v>
      </c>
      <c r="AB46" s="22" t="s">
        <v>22</v>
      </c>
      <c r="AC46" s="23">
        <f>SUM(X45:AC45)</f>
        <v>0</v>
      </c>
      <c r="AJ46" s="22" t="s">
        <v>22</v>
      </c>
      <c r="AK46" s="23">
        <f>SUM(AF45:AK45)</f>
        <v>0</v>
      </c>
    </row>
    <row r="47" spans="1:37" ht="15.75" thickBot="1" x14ac:dyDescent="0.3">
      <c r="A47" s="34"/>
      <c r="B47" s="171" t="s">
        <v>18</v>
      </c>
      <c r="C47" s="171"/>
      <c r="D47" s="171"/>
      <c r="E47" s="171"/>
      <c r="F47" s="171"/>
      <c r="G47" s="171"/>
      <c r="H47" s="171"/>
      <c r="J47" s="172" t="s">
        <v>18</v>
      </c>
      <c r="K47" s="172"/>
      <c r="L47" s="172"/>
      <c r="M47" s="172"/>
      <c r="N47" s="172"/>
      <c r="O47" s="172"/>
      <c r="P47" s="172"/>
      <c r="Q47" s="172"/>
      <c r="R47" s="172"/>
      <c r="S47" s="172"/>
      <c r="T47" s="172"/>
      <c r="U47" s="172"/>
      <c r="W47" s="173" t="str">
        <f>J47</f>
        <v>Outubro</v>
      </c>
      <c r="X47" s="173"/>
      <c r="Y47" s="173"/>
      <c r="Z47" s="173"/>
      <c r="AA47" s="173"/>
      <c r="AB47" s="173"/>
      <c r="AC47" s="173"/>
      <c r="AE47" s="174" t="str">
        <f>W47</f>
        <v>Outubro</v>
      </c>
      <c r="AF47" s="174"/>
      <c r="AG47" s="174"/>
      <c r="AH47" s="174"/>
      <c r="AI47" s="174"/>
      <c r="AJ47" s="174"/>
      <c r="AK47" s="174"/>
    </row>
    <row r="48" spans="1:37" ht="15.75" thickBot="1" x14ac:dyDescent="0.3">
      <c r="A48" s="168" t="s">
        <v>4</v>
      </c>
      <c r="B48" s="10" t="s">
        <v>5</v>
      </c>
      <c r="C48" s="11" t="s">
        <v>6</v>
      </c>
      <c r="D48" s="12" t="s">
        <v>7</v>
      </c>
      <c r="E48" s="11" t="s">
        <v>8</v>
      </c>
      <c r="F48" s="12" t="s">
        <v>9</v>
      </c>
      <c r="G48" s="11" t="s">
        <v>10</v>
      </c>
      <c r="H48" s="32" t="s">
        <v>11</v>
      </c>
      <c r="J48" s="35" t="s">
        <v>3</v>
      </c>
      <c r="K48" s="14"/>
      <c r="L48" s="15"/>
      <c r="M48" s="15"/>
      <c r="N48" s="15"/>
      <c r="O48" s="15"/>
      <c r="P48" s="15"/>
      <c r="Q48" s="15"/>
      <c r="R48" s="15"/>
      <c r="S48" s="15"/>
      <c r="T48" s="15"/>
      <c r="U48" s="16"/>
      <c r="W48" s="35" t="s">
        <v>3</v>
      </c>
      <c r="X48" s="14"/>
      <c r="Y48" s="15"/>
      <c r="Z48" s="15"/>
      <c r="AA48" s="15"/>
      <c r="AB48" s="15"/>
      <c r="AC48" s="16"/>
      <c r="AE48" s="35" t="s">
        <v>3</v>
      </c>
      <c r="AF48" s="14"/>
      <c r="AG48" s="15"/>
      <c r="AH48" s="15"/>
      <c r="AI48" s="15"/>
      <c r="AJ48" s="15"/>
      <c r="AK48" s="16"/>
    </row>
    <row r="49" spans="1:37" ht="15.75" thickBot="1" x14ac:dyDescent="0.3">
      <c r="A49" s="168"/>
      <c r="B49" s="17"/>
      <c r="C49" s="18"/>
      <c r="D49" s="18"/>
      <c r="E49" s="18"/>
      <c r="F49" s="18">
        <f>SUM(C49-B49)</f>
        <v>0</v>
      </c>
      <c r="G49" s="18">
        <f>SUM(E49-D49)</f>
        <v>0</v>
      </c>
      <c r="H49" s="33">
        <f>SUM(F49:G49)</f>
        <v>0</v>
      </c>
      <c r="J49" s="36" t="s">
        <v>21</v>
      </c>
      <c r="K49" s="19"/>
      <c r="L49" s="20"/>
      <c r="M49" s="20"/>
      <c r="N49" s="20"/>
      <c r="O49" s="20"/>
      <c r="P49" s="20"/>
      <c r="Q49" s="20"/>
      <c r="R49" s="20"/>
      <c r="S49" s="20"/>
      <c r="T49" s="20"/>
      <c r="U49" s="21"/>
      <c r="W49" s="36" t="s">
        <v>21</v>
      </c>
      <c r="X49" s="19"/>
      <c r="Y49" s="20"/>
      <c r="Z49" s="20"/>
      <c r="AA49" s="20"/>
      <c r="AB49" s="20"/>
      <c r="AC49" s="21"/>
      <c r="AE49" s="36" t="s">
        <v>21</v>
      </c>
      <c r="AF49" s="19"/>
      <c r="AG49" s="20"/>
      <c r="AH49" s="20"/>
      <c r="AI49" s="20"/>
      <c r="AJ49" s="20"/>
      <c r="AK49" s="21"/>
    </row>
    <row r="50" spans="1:37" x14ac:dyDescent="0.25">
      <c r="F50" s="2"/>
      <c r="G50" s="2"/>
      <c r="H50" s="2"/>
      <c r="J50" s="37"/>
      <c r="T50" s="22" t="s">
        <v>22</v>
      </c>
      <c r="U50" s="23">
        <f>SUM(K49:U49)</f>
        <v>0</v>
      </c>
      <c r="AB50" s="22" t="s">
        <v>22</v>
      </c>
      <c r="AC50" s="23">
        <f>SUM(X49:AC49)</f>
        <v>0</v>
      </c>
      <c r="AJ50" s="22" t="s">
        <v>22</v>
      </c>
      <c r="AK50" s="23">
        <f>SUM(AF49:AK49)</f>
        <v>0</v>
      </c>
    </row>
    <row r="51" spans="1:37" ht="15.75" thickBot="1" x14ac:dyDescent="0.3">
      <c r="A51" s="34"/>
      <c r="B51" s="171" t="s">
        <v>19</v>
      </c>
      <c r="C51" s="171"/>
      <c r="D51" s="171"/>
      <c r="E51" s="171"/>
      <c r="F51" s="171"/>
      <c r="G51" s="171"/>
      <c r="H51" s="171"/>
      <c r="J51" s="172" t="s">
        <v>19</v>
      </c>
      <c r="K51" s="172"/>
      <c r="L51" s="172"/>
      <c r="M51" s="172"/>
      <c r="N51" s="172"/>
      <c r="O51" s="172"/>
      <c r="P51" s="172"/>
      <c r="Q51" s="172"/>
      <c r="R51" s="172"/>
      <c r="S51" s="172"/>
      <c r="T51" s="172"/>
      <c r="U51" s="172"/>
      <c r="W51" s="173" t="str">
        <f>J51</f>
        <v>Novembro</v>
      </c>
      <c r="X51" s="173"/>
      <c r="Y51" s="173"/>
      <c r="Z51" s="173"/>
      <c r="AA51" s="173"/>
      <c r="AB51" s="173"/>
      <c r="AC51" s="173"/>
      <c r="AE51" s="174" t="str">
        <f>W51</f>
        <v>Novembro</v>
      </c>
      <c r="AF51" s="174"/>
      <c r="AG51" s="174"/>
      <c r="AH51" s="174"/>
      <c r="AI51" s="174"/>
      <c r="AJ51" s="174"/>
      <c r="AK51" s="174"/>
    </row>
    <row r="52" spans="1:37" ht="15.75" thickBot="1" x14ac:dyDescent="0.3">
      <c r="A52" s="168" t="s">
        <v>4</v>
      </c>
      <c r="B52" s="10" t="s">
        <v>5</v>
      </c>
      <c r="C52" s="11" t="s">
        <v>6</v>
      </c>
      <c r="D52" s="12" t="s">
        <v>7</v>
      </c>
      <c r="E52" s="11" t="s">
        <v>8</v>
      </c>
      <c r="F52" s="12" t="s">
        <v>9</v>
      </c>
      <c r="G52" s="11" t="s">
        <v>10</v>
      </c>
      <c r="H52" s="32" t="s">
        <v>11</v>
      </c>
      <c r="J52" s="35" t="s">
        <v>3</v>
      </c>
      <c r="K52" s="14"/>
      <c r="L52" s="15"/>
      <c r="M52" s="15"/>
      <c r="N52" s="15"/>
      <c r="O52" s="15"/>
      <c r="P52" s="15"/>
      <c r="Q52" s="15"/>
      <c r="R52" s="15"/>
      <c r="S52" s="15"/>
      <c r="T52" s="15"/>
      <c r="U52" s="16"/>
      <c r="W52" s="35" t="s">
        <v>3</v>
      </c>
      <c r="X52" s="14"/>
      <c r="Y52" s="15"/>
      <c r="Z52" s="15"/>
      <c r="AA52" s="15"/>
      <c r="AB52" s="15"/>
      <c r="AC52" s="16"/>
      <c r="AE52" s="35" t="s">
        <v>3</v>
      </c>
      <c r="AF52" s="14"/>
      <c r="AG52" s="15"/>
      <c r="AH52" s="15"/>
      <c r="AI52" s="15"/>
      <c r="AJ52" s="15"/>
      <c r="AK52" s="16"/>
    </row>
    <row r="53" spans="1:37" ht="15.75" thickBot="1" x14ac:dyDescent="0.3">
      <c r="A53" s="168"/>
      <c r="B53" s="17"/>
      <c r="C53" s="18"/>
      <c r="D53" s="18"/>
      <c r="E53" s="18"/>
      <c r="F53" s="18">
        <f>SUM(C53-B53)</f>
        <v>0</v>
      </c>
      <c r="G53" s="18">
        <f>SUM(E53-D53)</f>
        <v>0</v>
      </c>
      <c r="H53" s="33">
        <f>SUM(F53:G53)</f>
        <v>0</v>
      </c>
      <c r="J53" s="36" t="s">
        <v>21</v>
      </c>
      <c r="K53" s="19"/>
      <c r="L53" s="20"/>
      <c r="M53" s="20"/>
      <c r="N53" s="20"/>
      <c r="O53" s="20"/>
      <c r="P53" s="20"/>
      <c r="Q53" s="20"/>
      <c r="R53" s="20"/>
      <c r="S53" s="20"/>
      <c r="T53" s="20"/>
      <c r="U53" s="21"/>
      <c r="W53" s="36" t="s">
        <v>21</v>
      </c>
      <c r="X53" s="19"/>
      <c r="Y53" s="20"/>
      <c r="Z53" s="20"/>
      <c r="AA53" s="20"/>
      <c r="AB53" s="20"/>
      <c r="AC53" s="21"/>
      <c r="AE53" s="36" t="s">
        <v>21</v>
      </c>
      <c r="AF53" s="19"/>
      <c r="AG53" s="20"/>
      <c r="AH53" s="20"/>
      <c r="AI53" s="20"/>
      <c r="AJ53" s="20"/>
      <c r="AK53" s="21"/>
    </row>
    <row r="54" spans="1:37" x14ac:dyDescent="0.25">
      <c r="F54" s="2"/>
      <c r="G54" s="2"/>
      <c r="H54" s="2"/>
      <c r="J54" s="37"/>
      <c r="T54" s="22" t="s">
        <v>22</v>
      </c>
      <c r="U54" s="23">
        <f>SUM(K53:U53)</f>
        <v>0</v>
      </c>
      <c r="AB54" s="22" t="s">
        <v>22</v>
      </c>
      <c r="AC54" s="23">
        <f>SUM(X53:AC53)</f>
        <v>0</v>
      </c>
      <c r="AJ54" s="22" t="s">
        <v>22</v>
      </c>
      <c r="AK54" s="23">
        <f>SUM(AF53:AK53)</f>
        <v>0</v>
      </c>
    </row>
    <row r="55" spans="1:37" ht="15.75" thickBot="1" x14ac:dyDescent="0.3">
      <c r="A55" s="34"/>
      <c r="B55" s="171" t="s">
        <v>20</v>
      </c>
      <c r="C55" s="171"/>
      <c r="D55" s="171"/>
      <c r="E55" s="171"/>
      <c r="F55" s="171"/>
      <c r="G55" s="171"/>
      <c r="H55" s="171"/>
      <c r="J55" s="172" t="s">
        <v>20</v>
      </c>
      <c r="K55" s="172"/>
      <c r="L55" s="172"/>
      <c r="M55" s="172"/>
      <c r="N55" s="172"/>
      <c r="O55" s="172"/>
      <c r="P55" s="172"/>
      <c r="Q55" s="172"/>
      <c r="R55" s="172"/>
      <c r="S55" s="172"/>
      <c r="T55" s="172"/>
      <c r="U55" s="172"/>
      <c r="W55" s="173" t="str">
        <f>J55</f>
        <v>Dezembro</v>
      </c>
      <c r="X55" s="173"/>
      <c r="Y55" s="173"/>
      <c r="Z55" s="173"/>
      <c r="AA55" s="173"/>
      <c r="AB55" s="173"/>
      <c r="AC55" s="173"/>
      <c r="AE55" s="174" t="str">
        <f>W55</f>
        <v>Dezembro</v>
      </c>
      <c r="AF55" s="174"/>
      <c r="AG55" s="174"/>
      <c r="AH55" s="174"/>
      <c r="AI55" s="174"/>
      <c r="AJ55" s="174"/>
      <c r="AK55" s="174"/>
    </row>
    <row r="56" spans="1:37" ht="15.75" thickBot="1" x14ac:dyDescent="0.3">
      <c r="A56" s="168" t="s">
        <v>4</v>
      </c>
      <c r="B56" s="10" t="s">
        <v>5</v>
      </c>
      <c r="C56" s="11" t="s">
        <v>6</v>
      </c>
      <c r="D56" s="12" t="s">
        <v>7</v>
      </c>
      <c r="E56" s="11" t="s">
        <v>8</v>
      </c>
      <c r="F56" s="12" t="s">
        <v>9</v>
      </c>
      <c r="G56" s="11" t="s">
        <v>10</v>
      </c>
      <c r="H56" s="32" t="s">
        <v>11</v>
      </c>
      <c r="J56" s="35" t="s">
        <v>3</v>
      </c>
      <c r="K56" s="14"/>
      <c r="L56" s="15"/>
      <c r="M56" s="15"/>
      <c r="N56" s="15"/>
      <c r="O56" s="15"/>
      <c r="P56" s="15"/>
      <c r="Q56" s="15"/>
      <c r="R56" s="15"/>
      <c r="S56" s="15"/>
      <c r="T56" s="15"/>
      <c r="U56" s="16"/>
      <c r="W56" s="35" t="s">
        <v>3</v>
      </c>
      <c r="X56" s="14"/>
      <c r="Y56" s="15"/>
      <c r="Z56" s="15"/>
      <c r="AA56" s="15"/>
      <c r="AB56" s="15"/>
      <c r="AC56" s="16"/>
      <c r="AE56" s="35" t="s">
        <v>3</v>
      </c>
      <c r="AF56" s="14"/>
      <c r="AG56" s="15"/>
      <c r="AH56" s="15"/>
      <c r="AI56" s="15"/>
      <c r="AJ56" s="15"/>
      <c r="AK56" s="16"/>
    </row>
    <row r="57" spans="1:37" ht="15.75" thickBot="1" x14ac:dyDescent="0.3">
      <c r="A57" s="168"/>
      <c r="B57" s="17"/>
      <c r="C57" s="18"/>
      <c r="D57" s="18"/>
      <c r="E57" s="18"/>
      <c r="F57" s="18">
        <f>SUM(C57-B57)</f>
        <v>0</v>
      </c>
      <c r="G57" s="18">
        <f>SUM(E57-D57)</f>
        <v>0</v>
      </c>
      <c r="H57" s="33">
        <f>SUM(F57:G57)</f>
        <v>0</v>
      </c>
      <c r="J57" s="36" t="s">
        <v>21</v>
      </c>
      <c r="K57" s="19"/>
      <c r="L57" s="20"/>
      <c r="M57" s="20"/>
      <c r="N57" s="20"/>
      <c r="O57" s="20"/>
      <c r="P57" s="20"/>
      <c r="Q57" s="20"/>
      <c r="R57" s="20"/>
      <c r="S57" s="20"/>
      <c r="T57" s="20"/>
      <c r="U57" s="21"/>
      <c r="W57" s="36" t="s">
        <v>21</v>
      </c>
      <c r="X57" s="19"/>
      <c r="Y57" s="20"/>
      <c r="Z57" s="20"/>
      <c r="AA57" s="20"/>
      <c r="AB57" s="20"/>
      <c r="AC57" s="21"/>
      <c r="AE57" s="36" t="s">
        <v>21</v>
      </c>
      <c r="AF57" s="19"/>
      <c r="AG57" s="20"/>
      <c r="AH57" s="20"/>
      <c r="AI57" s="20"/>
      <c r="AJ57" s="20"/>
      <c r="AK57" s="21"/>
    </row>
    <row r="58" spans="1:37" x14ac:dyDescent="0.25">
      <c r="J58" s="37"/>
      <c r="T58" s="22" t="s">
        <v>22</v>
      </c>
      <c r="U58" s="23">
        <f>SUM(K57:U57)</f>
        <v>0</v>
      </c>
      <c r="AB58" s="22" t="s">
        <v>22</v>
      </c>
      <c r="AC58" s="23">
        <f>SUM(X57:AC57)</f>
        <v>0</v>
      </c>
      <c r="AJ58" s="22" t="s">
        <v>22</v>
      </c>
      <c r="AK58" s="23">
        <f>SUM(AF57:AK57)</f>
        <v>0</v>
      </c>
    </row>
  </sheetData>
  <mergeCells count="71">
    <mergeCell ref="B6:C6"/>
    <mergeCell ref="E6:F6"/>
    <mergeCell ref="A1:A2"/>
    <mergeCell ref="B1:AK1"/>
    <mergeCell ref="B2:AK2"/>
    <mergeCell ref="B4:C4"/>
    <mergeCell ref="E4:F4"/>
    <mergeCell ref="A16:A17"/>
    <mergeCell ref="A9:H9"/>
    <mergeCell ref="J9:U9"/>
    <mergeCell ref="W9:AC9"/>
    <mergeCell ref="AE9:AK9"/>
    <mergeCell ref="B11:H11"/>
    <mergeCell ref="J11:U11"/>
    <mergeCell ref="W11:AC11"/>
    <mergeCell ref="AE11:AK11"/>
    <mergeCell ref="A12:A13"/>
    <mergeCell ref="B15:H15"/>
    <mergeCell ref="J15:U15"/>
    <mergeCell ref="W15:AC15"/>
    <mergeCell ref="AE15:AK15"/>
    <mergeCell ref="A28:A29"/>
    <mergeCell ref="B19:H19"/>
    <mergeCell ref="J19:U19"/>
    <mergeCell ref="W19:AC19"/>
    <mergeCell ref="AE19:AK19"/>
    <mergeCell ref="A20:A21"/>
    <mergeCell ref="B23:H23"/>
    <mergeCell ref="J23:U23"/>
    <mergeCell ref="W23:AC23"/>
    <mergeCell ref="AE23:AK23"/>
    <mergeCell ref="A24:A25"/>
    <mergeCell ref="B27:H27"/>
    <mergeCell ref="J27:U27"/>
    <mergeCell ref="W27:AC27"/>
    <mergeCell ref="AE27:AK27"/>
    <mergeCell ref="A40:A41"/>
    <mergeCell ref="B31:H31"/>
    <mergeCell ref="J31:U31"/>
    <mergeCell ref="W31:AC31"/>
    <mergeCell ref="AE31:AK31"/>
    <mergeCell ref="A32:A33"/>
    <mergeCell ref="B35:H35"/>
    <mergeCell ref="J35:U35"/>
    <mergeCell ref="W35:AC35"/>
    <mergeCell ref="AE35:AK35"/>
    <mergeCell ref="A36:A37"/>
    <mergeCell ref="B39:H39"/>
    <mergeCell ref="J39:U39"/>
    <mergeCell ref="W39:AC39"/>
    <mergeCell ref="AE39:AK39"/>
    <mergeCell ref="A52:A53"/>
    <mergeCell ref="B43:H43"/>
    <mergeCell ref="J43:U43"/>
    <mergeCell ref="W43:AC43"/>
    <mergeCell ref="AE43:AK43"/>
    <mergeCell ref="A44:A45"/>
    <mergeCell ref="B47:H47"/>
    <mergeCell ref="J47:U47"/>
    <mergeCell ref="W47:AC47"/>
    <mergeCell ref="AE47:AK47"/>
    <mergeCell ref="A48:A49"/>
    <mergeCell ref="B51:H51"/>
    <mergeCell ref="J51:U51"/>
    <mergeCell ref="W51:AC51"/>
    <mergeCell ref="AE51:AK51"/>
    <mergeCell ref="B55:H55"/>
    <mergeCell ref="J55:U55"/>
    <mergeCell ref="W55:AC55"/>
    <mergeCell ref="AE55:AK55"/>
    <mergeCell ref="A56:A57"/>
  </mergeCells>
  <pageMargins left="0.511811024" right="0.511811024" top="0.78740157499999996" bottom="0.78740157499999996" header="0.31496062000000002" footer="0.31496062000000002"/>
  <drawing r:id="rId1"/>
  <legacy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K70"/>
  <sheetViews>
    <sheetView showGridLines="0" topLeftCell="A46" zoomScaleNormal="100" workbookViewId="0">
      <selection activeCell="E5" sqref="E5"/>
    </sheetView>
  </sheetViews>
  <sheetFormatPr defaultColWidth="9" defaultRowHeight="15" x14ac:dyDescent="0.25"/>
  <cols>
    <col min="1" max="1" width="20.42578125" style="2" bestFit="1" customWidth="1"/>
    <col min="2" max="2" width="11.7109375" style="2" bestFit="1" customWidth="1"/>
    <col min="3" max="3" width="9.28515625" style="2" bestFit="1" customWidth="1"/>
    <col min="4" max="4" width="11.140625" style="2" bestFit="1" customWidth="1"/>
    <col min="5" max="5" width="13.5703125" style="2" bestFit="1" customWidth="1"/>
    <col min="6" max="6" width="13.140625" style="1" customWidth="1"/>
    <col min="7" max="7" width="13.85546875" style="1" customWidth="1"/>
    <col min="8" max="8" width="11.85546875" style="1" bestFit="1" customWidth="1"/>
    <col min="9" max="9" width="9.85546875" style="1" customWidth="1"/>
    <col min="10" max="10" width="9.42578125" style="2" customWidth="1"/>
    <col min="11" max="18" width="12" style="1" bestFit="1" customWidth="1"/>
    <col min="19" max="20" width="10.7109375" style="1" bestFit="1" customWidth="1"/>
    <col min="21" max="21" width="12.140625" style="1" bestFit="1" customWidth="1"/>
    <col min="22" max="22" width="9" style="1"/>
    <col min="23" max="23" width="9" style="2"/>
    <col min="24" max="24" width="10.7109375" style="1" bestFit="1" customWidth="1"/>
    <col min="25" max="25" width="11.140625" style="1" customWidth="1"/>
    <col min="26" max="28" width="9" style="1"/>
    <col min="29" max="29" width="10.5703125" style="1" bestFit="1" customWidth="1"/>
    <col min="30" max="30" width="9" style="1"/>
    <col min="31" max="31" width="9" style="2"/>
    <col min="32" max="33" width="9" style="1"/>
    <col min="34" max="36" width="10.140625" style="1" bestFit="1" customWidth="1"/>
    <col min="37" max="16384" width="9" style="1"/>
  </cols>
  <sheetData>
    <row r="1" spans="1:37" ht="30.75" customHeight="1" x14ac:dyDescent="0.25">
      <c r="A1" s="162"/>
      <c r="B1" s="164" t="s">
        <v>51</v>
      </c>
      <c r="C1" s="164"/>
      <c r="D1" s="164"/>
      <c r="E1" s="164"/>
      <c r="F1" s="164"/>
      <c r="G1" s="164"/>
      <c r="H1" s="164"/>
      <c r="I1" s="164"/>
      <c r="J1" s="164"/>
      <c r="K1" s="164"/>
      <c r="L1" s="164"/>
      <c r="M1" s="164"/>
      <c r="N1" s="164"/>
      <c r="O1" s="164"/>
      <c r="P1" s="164"/>
      <c r="Q1" s="164"/>
      <c r="R1" s="164"/>
      <c r="S1" s="164"/>
      <c r="T1" s="164"/>
      <c r="U1" s="164"/>
      <c r="V1" s="164"/>
      <c r="W1" s="164"/>
      <c r="X1" s="164"/>
      <c r="Y1" s="164"/>
      <c r="Z1" s="164"/>
      <c r="AA1" s="164"/>
      <c r="AB1" s="164"/>
      <c r="AC1" s="164"/>
      <c r="AD1" s="164"/>
      <c r="AE1" s="164"/>
      <c r="AF1" s="164"/>
      <c r="AG1" s="164"/>
      <c r="AH1" s="164"/>
      <c r="AI1" s="164"/>
      <c r="AJ1" s="164"/>
      <c r="AK1" s="165"/>
    </row>
    <row r="2" spans="1:37" ht="20.25" customHeight="1" x14ac:dyDescent="0.25">
      <c r="A2" s="163"/>
      <c r="B2" s="166" t="s">
        <v>50</v>
      </c>
      <c r="C2" s="166"/>
      <c r="D2" s="166"/>
      <c r="E2" s="166"/>
      <c r="F2" s="166"/>
      <c r="G2" s="166"/>
      <c r="H2" s="166"/>
      <c r="I2" s="166"/>
      <c r="J2" s="166"/>
      <c r="K2" s="166"/>
      <c r="L2" s="166"/>
      <c r="M2" s="166"/>
      <c r="N2" s="166"/>
      <c r="O2" s="166"/>
      <c r="P2" s="166"/>
      <c r="Q2" s="166"/>
      <c r="R2" s="166"/>
      <c r="S2" s="166"/>
      <c r="T2" s="166"/>
      <c r="U2" s="166"/>
      <c r="V2" s="166"/>
      <c r="W2" s="166"/>
      <c r="X2" s="166"/>
      <c r="Y2" s="166"/>
      <c r="Z2" s="166"/>
      <c r="AA2" s="166"/>
      <c r="AB2" s="166"/>
      <c r="AC2" s="166"/>
      <c r="AD2" s="166"/>
      <c r="AE2" s="166"/>
      <c r="AF2" s="166"/>
      <c r="AG2" s="166"/>
      <c r="AH2" s="166"/>
      <c r="AI2" s="166"/>
      <c r="AJ2" s="166"/>
      <c r="AK2" s="167"/>
    </row>
    <row r="4" spans="1:37" x14ac:dyDescent="0.25">
      <c r="A4" s="31" t="s">
        <v>47</v>
      </c>
      <c r="B4" s="161" t="s">
        <v>66</v>
      </c>
      <c r="C4" s="161"/>
      <c r="D4" s="31" t="s">
        <v>0</v>
      </c>
      <c r="E4" s="161" t="s">
        <v>67</v>
      </c>
      <c r="F4" s="161"/>
      <c r="G4" s="31" t="s">
        <v>45</v>
      </c>
      <c r="H4" s="4"/>
    </row>
    <row r="5" spans="1:37" x14ac:dyDescent="0.25">
      <c r="A5" s="31" t="s">
        <v>72</v>
      </c>
      <c r="B5" s="87">
        <v>45592</v>
      </c>
      <c r="D5" s="31" t="s">
        <v>0</v>
      </c>
      <c r="E5" s="86" t="s">
        <v>73</v>
      </c>
      <c r="F5" s="2"/>
      <c r="G5" s="31" t="s">
        <v>80</v>
      </c>
      <c r="H5" s="88">
        <v>45731</v>
      </c>
    </row>
    <row r="6" spans="1:37" x14ac:dyDescent="0.25">
      <c r="A6" s="31" t="s">
        <v>48</v>
      </c>
      <c r="B6" s="160">
        <v>7110.18</v>
      </c>
      <c r="C6" s="160"/>
      <c r="D6" s="31" t="s">
        <v>44</v>
      </c>
      <c r="E6" s="201">
        <v>45</v>
      </c>
      <c r="F6" s="161"/>
      <c r="G6" s="31" t="s">
        <v>46</v>
      </c>
      <c r="H6" s="5">
        <v>45516</v>
      </c>
    </row>
    <row r="9" spans="1:37" s="28" customFormat="1" ht="18.75" x14ac:dyDescent="0.3">
      <c r="A9" s="169" t="s">
        <v>26</v>
      </c>
      <c r="B9" s="169"/>
      <c r="C9" s="169"/>
      <c r="D9" s="169"/>
      <c r="E9" s="169"/>
      <c r="F9" s="169"/>
      <c r="G9" s="169"/>
      <c r="H9" s="169"/>
      <c r="J9" s="169" t="s">
        <v>24</v>
      </c>
      <c r="K9" s="169"/>
      <c r="L9" s="169"/>
      <c r="M9" s="169"/>
      <c r="N9" s="169"/>
      <c r="O9" s="169"/>
      <c r="P9" s="169"/>
      <c r="Q9" s="169"/>
      <c r="R9" s="169"/>
      <c r="S9" s="169"/>
      <c r="T9" s="169"/>
      <c r="U9" s="169"/>
      <c r="V9" s="29"/>
      <c r="W9" s="170" t="s">
        <v>49</v>
      </c>
      <c r="X9" s="170"/>
      <c r="Y9" s="170"/>
      <c r="Z9" s="170"/>
      <c r="AA9" s="170"/>
      <c r="AB9" s="170"/>
      <c r="AC9" s="170"/>
      <c r="AD9" s="29"/>
      <c r="AE9" s="170" t="s">
        <v>25</v>
      </c>
      <c r="AF9" s="170"/>
      <c r="AG9" s="170"/>
      <c r="AH9" s="170"/>
      <c r="AI9" s="170"/>
      <c r="AJ9" s="170"/>
      <c r="AK9" s="170"/>
    </row>
    <row r="10" spans="1:37" s="6" customFormat="1" x14ac:dyDescent="0.25">
      <c r="A10" s="7"/>
      <c r="B10" s="7"/>
      <c r="C10" s="7"/>
      <c r="D10" s="7"/>
      <c r="E10" s="7"/>
      <c r="F10" s="7"/>
      <c r="G10" s="7"/>
      <c r="H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8"/>
      <c r="W10" s="9"/>
      <c r="X10" s="9"/>
      <c r="Y10" s="9"/>
      <c r="Z10" s="9"/>
      <c r="AA10" s="9"/>
      <c r="AB10" s="9"/>
      <c r="AC10" s="9"/>
      <c r="AD10" s="8"/>
      <c r="AE10" s="9"/>
      <c r="AF10" s="9"/>
      <c r="AG10" s="9"/>
      <c r="AH10" s="9"/>
      <c r="AI10" s="9"/>
      <c r="AJ10" s="9"/>
      <c r="AK10" s="9"/>
    </row>
    <row r="11" spans="1:37" s="6" customFormat="1" ht="15.75" thickBot="1" x14ac:dyDescent="0.3">
      <c r="A11" s="34"/>
      <c r="B11" s="171" t="s">
        <v>54</v>
      </c>
      <c r="C11" s="171"/>
      <c r="D11" s="171"/>
      <c r="E11" s="171"/>
      <c r="F11" s="171"/>
      <c r="G11" s="171"/>
      <c r="H11" s="171"/>
      <c r="J11" s="172" t="s">
        <v>54</v>
      </c>
      <c r="K11" s="172"/>
      <c r="L11" s="172"/>
      <c r="M11" s="172"/>
      <c r="N11" s="172"/>
      <c r="O11" s="172"/>
      <c r="P11" s="172"/>
      <c r="Q11" s="172"/>
      <c r="R11" s="172"/>
      <c r="S11" s="172"/>
      <c r="T11" s="172"/>
      <c r="U11" s="172"/>
      <c r="V11" s="8"/>
      <c r="W11" s="173" t="s">
        <v>54</v>
      </c>
      <c r="X11" s="173"/>
      <c r="Y11" s="173"/>
      <c r="Z11" s="173"/>
      <c r="AA11" s="173"/>
      <c r="AB11" s="173"/>
      <c r="AC11" s="173"/>
      <c r="AD11" s="8"/>
      <c r="AE11" s="174" t="s">
        <v>54</v>
      </c>
      <c r="AF11" s="174"/>
      <c r="AG11" s="174"/>
      <c r="AH11" s="174"/>
      <c r="AI11" s="174"/>
      <c r="AJ11" s="174"/>
      <c r="AK11" s="174"/>
    </row>
    <row r="12" spans="1:37" s="6" customFormat="1" ht="15.75" thickBot="1" x14ac:dyDescent="0.3">
      <c r="A12" s="168" t="s">
        <v>4</v>
      </c>
      <c r="B12" s="10" t="s">
        <v>5</v>
      </c>
      <c r="C12" s="11" t="s">
        <v>6</v>
      </c>
      <c r="D12" s="12" t="s">
        <v>7</v>
      </c>
      <c r="E12" s="11" t="s">
        <v>8</v>
      </c>
      <c r="F12" s="12" t="s">
        <v>9</v>
      </c>
      <c r="G12" s="11" t="s">
        <v>10</v>
      </c>
      <c r="H12" s="32" t="s">
        <v>11</v>
      </c>
      <c r="J12" s="35" t="s">
        <v>3</v>
      </c>
      <c r="K12" s="14"/>
      <c r="L12" s="15"/>
      <c r="M12" s="15"/>
      <c r="N12" s="15"/>
      <c r="O12" s="15"/>
      <c r="P12" s="15"/>
      <c r="Q12" s="15"/>
      <c r="R12" s="15"/>
      <c r="S12" s="15"/>
      <c r="T12" s="15"/>
      <c r="U12" s="16"/>
      <c r="V12" s="8"/>
      <c r="W12" s="35" t="s">
        <v>3</v>
      </c>
      <c r="X12" s="14"/>
      <c r="Y12" s="15"/>
      <c r="Z12" s="15"/>
      <c r="AA12" s="15"/>
      <c r="AB12" s="15"/>
      <c r="AC12" s="16"/>
      <c r="AD12" s="8"/>
      <c r="AE12" s="35" t="s">
        <v>3</v>
      </c>
      <c r="AF12" s="14"/>
      <c r="AG12" s="15"/>
      <c r="AH12" s="15"/>
      <c r="AI12" s="15"/>
      <c r="AJ12" s="15"/>
      <c r="AK12" s="16"/>
    </row>
    <row r="13" spans="1:37" s="6" customFormat="1" ht="15.75" thickBot="1" x14ac:dyDescent="0.3">
      <c r="A13" s="168"/>
      <c r="B13" s="17"/>
      <c r="C13" s="18"/>
      <c r="D13" s="18"/>
      <c r="E13" s="18"/>
      <c r="F13" s="18">
        <f>SUM(C13-B13)</f>
        <v>0</v>
      </c>
      <c r="G13" s="18">
        <f>SUM(E13-D13)</f>
        <v>0</v>
      </c>
      <c r="H13" s="33">
        <f>SUM(F13:G13)</f>
        <v>0</v>
      </c>
      <c r="J13" s="36" t="s">
        <v>21</v>
      </c>
      <c r="K13" s="19"/>
      <c r="L13" s="20"/>
      <c r="M13" s="20"/>
      <c r="N13" s="20"/>
      <c r="O13" s="20"/>
      <c r="P13" s="20"/>
      <c r="Q13" s="20"/>
      <c r="R13" s="20"/>
      <c r="S13" s="20"/>
      <c r="T13" s="20"/>
      <c r="U13" s="21"/>
      <c r="V13" s="8"/>
      <c r="W13" s="36" t="s">
        <v>21</v>
      </c>
      <c r="X13" s="19"/>
      <c r="Y13" s="20"/>
      <c r="Z13" s="20"/>
      <c r="AA13" s="20"/>
      <c r="AB13" s="20"/>
      <c r="AC13" s="21"/>
      <c r="AD13" s="8"/>
      <c r="AE13" s="36" t="s">
        <v>21</v>
      </c>
      <c r="AF13" s="19"/>
      <c r="AG13" s="20"/>
      <c r="AH13" s="20"/>
      <c r="AI13" s="20"/>
      <c r="AJ13" s="20"/>
      <c r="AK13" s="21"/>
    </row>
    <row r="14" spans="1:37" s="6" customFormat="1" x14ac:dyDescent="0.25">
      <c r="A14" s="7"/>
      <c r="B14" s="7"/>
      <c r="C14" s="7"/>
      <c r="D14" s="7"/>
      <c r="E14" s="7"/>
      <c r="F14" s="7"/>
      <c r="G14" s="7"/>
      <c r="H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22" t="s">
        <v>22</v>
      </c>
      <c r="U14" s="23">
        <f>SUM(K13:U13)</f>
        <v>0</v>
      </c>
      <c r="V14" s="8"/>
      <c r="W14" s="2"/>
      <c r="X14" s="1"/>
      <c r="Y14" s="1"/>
      <c r="Z14" s="1"/>
      <c r="AA14" s="1"/>
      <c r="AB14" s="22" t="s">
        <v>22</v>
      </c>
      <c r="AC14" s="23">
        <f>SUM(X13:AC13)</f>
        <v>0</v>
      </c>
      <c r="AD14" s="8"/>
      <c r="AE14" s="2"/>
      <c r="AF14" s="1"/>
      <c r="AG14" s="1"/>
      <c r="AH14" s="1"/>
      <c r="AI14" s="1"/>
      <c r="AJ14" s="22" t="s">
        <v>22</v>
      </c>
      <c r="AK14" s="23">
        <f>SUM(AF13:AK13)</f>
        <v>0</v>
      </c>
    </row>
    <row r="15" spans="1:37" ht="15.75" thickBot="1" x14ac:dyDescent="0.3">
      <c r="A15" s="34"/>
      <c r="B15" s="171" t="s">
        <v>2</v>
      </c>
      <c r="C15" s="171"/>
      <c r="D15" s="171"/>
      <c r="E15" s="171"/>
      <c r="F15" s="171"/>
      <c r="G15" s="171"/>
      <c r="H15" s="171"/>
      <c r="J15" s="172" t="s">
        <v>2</v>
      </c>
      <c r="K15" s="172"/>
      <c r="L15" s="172"/>
      <c r="M15" s="172"/>
      <c r="N15" s="172"/>
      <c r="O15" s="172"/>
      <c r="P15" s="172"/>
      <c r="Q15" s="172"/>
      <c r="R15" s="172"/>
      <c r="S15" s="172"/>
      <c r="T15" s="172"/>
      <c r="U15" s="172"/>
      <c r="W15" s="173" t="s">
        <v>2</v>
      </c>
      <c r="X15" s="173"/>
      <c r="Y15" s="173"/>
      <c r="Z15" s="173"/>
      <c r="AA15" s="173"/>
      <c r="AB15" s="173"/>
      <c r="AC15" s="173"/>
      <c r="AE15" s="174" t="s">
        <v>2</v>
      </c>
      <c r="AF15" s="174"/>
      <c r="AG15" s="174"/>
      <c r="AH15" s="174"/>
      <c r="AI15" s="174"/>
      <c r="AJ15" s="174"/>
      <c r="AK15" s="174"/>
    </row>
    <row r="16" spans="1:37" ht="15.75" thickBot="1" x14ac:dyDescent="0.3">
      <c r="A16" s="168" t="s">
        <v>4</v>
      </c>
      <c r="B16" s="10" t="s">
        <v>5</v>
      </c>
      <c r="C16" s="11" t="s">
        <v>6</v>
      </c>
      <c r="D16" s="12" t="s">
        <v>7</v>
      </c>
      <c r="E16" s="11" t="s">
        <v>8</v>
      </c>
      <c r="F16" s="12" t="s">
        <v>9</v>
      </c>
      <c r="G16" s="11" t="s">
        <v>10</v>
      </c>
      <c r="H16" s="32" t="s">
        <v>11</v>
      </c>
      <c r="J16" s="35" t="s">
        <v>3</v>
      </c>
      <c r="K16" s="14"/>
      <c r="L16" s="15"/>
      <c r="M16" s="15"/>
      <c r="N16" s="15"/>
      <c r="O16" s="15"/>
      <c r="P16" s="15"/>
      <c r="Q16" s="15"/>
      <c r="R16" s="15"/>
      <c r="S16" s="15"/>
      <c r="T16" s="15"/>
      <c r="U16" s="16"/>
      <c r="W16" s="35" t="s">
        <v>3</v>
      </c>
      <c r="X16" s="14"/>
      <c r="Y16" s="15"/>
      <c r="Z16" s="15"/>
      <c r="AA16" s="15"/>
      <c r="AB16" s="15"/>
      <c r="AC16" s="16"/>
      <c r="AE16" s="35" t="s">
        <v>3</v>
      </c>
      <c r="AF16" s="14"/>
      <c r="AG16" s="15"/>
      <c r="AH16" s="15"/>
      <c r="AI16" s="15"/>
      <c r="AJ16" s="15"/>
      <c r="AK16" s="16"/>
    </row>
    <row r="17" spans="1:37" ht="15.75" thickBot="1" x14ac:dyDescent="0.3">
      <c r="A17" s="168"/>
      <c r="B17" s="17"/>
      <c r="C17" s="18"/>
      <c r="D17" s="18"/>
      <c r="E17" s="18"/>
      <c r="F17" s="18">
        <f>SUM(C17-B17)</f>
        <v>0</v>
      </c>
      <c r="G17" s="18">
        <f>SUM(E17-D17)</f>
        <v>0</v>
      </c>
      <c r="H17" s="33">
        <f>SUM(F17:G17)</f>
        <v>0</v>
      </c>
      <c r="J17" s="36" t="s">
        <v>21</v>
      </c>
      <c r="K17" s="19"/>
      <c r="L17" s="20"/>
      <c r="M17" s="20"/>
      <c r="N17" s="20"/>
      <c r="O17" s="20"/>
      <c r="P17" s="20"/>
      <c r="Q17" s="20"/>
      <c r="R17" s="20"/>
      <c r="S17" s="20"/>
      <c r="T17" s="20"/>
      <c r="U17" s="21"/>
      <c r="W17" s="36" t="s">
        <v>21</v>
      </c>
      <c r="X17" s="19"/>
      <c r="Y17" s="20"/>
      <c r="Z17" s="20"/>
      <c r="AA17" s="20"/>
      <c r="AB17" s="20"/>
      <c r="AC17" s="21"/>
      <c r="AE17" s="36" t="s">
        <v>21</v>
      </c>
      <c r="AF17" s="19"/>
      <c r="AG17" s="20"/>
      <c r="AH17" s="20"/>
      <c r="AI17" s="20"/>
      <c r="AJ17" s="20"/>
      <c r="AK17" s="21"/>
    </row>
    <row r="18" spans="1:37" x14ac:dyDescent="0.25">
      <c r="F18" s="2"/>
      <c r="G18" s="2"/>
      <c r="H18" s="2"/>
      <c r="J18" s="37"/>
      <c r="T18" s="22" t="s">
        <v>22</v>
      </c>
      <c r="U18" s="23">
        <f>SUM(K17:U17)</f>
        <v>0</v>
      </c>
      <c r="AB18" s="22" t="s">
        <v>22</v>
      </c>
      <c r="AC18" s="23">
        <f>SUM(X17:AC17)</f>
        <v>0</v>
      </c>
      <c r="AJ18" s="22" t="s">
        <v>22</v>
      </c>
      <c r="AK18" s="23">
        <f>SUM(AF17:AK17)</f>
        <v>0</v>
      </c>
    </row>
    <row r="19" spans="1:37" ht="15.75" thickBot="1" x14ac:dyDescent="0.3">
      <c r="A19" s="34"/>
      <c r="B19" s="171" t="s">
        <v>12</v>
      </c>
      <c r="C19" s="171"/>
      <c r="D19" s="171"/>
      <c r="E19" s="171"/>
      <c r="F19" s="171"/>
      <c r="G19" s="171"/>
      <c r="H19" s="171"/>
      <c r="J19" s="172" t="s">
        <v>12</v>
      </c>
      <c r="K19" s="172"/>
      <c r="L19" s="172"/>
      <c r="M19" s="172"/>
      <c r="N19" s="172"/>
      <c r="O19" s="172"/>
      <c r="P19" s="172"/>
      <c r="Q19" s="172"/>
      <c r="R19" s="172"/>
      <c r="S19" s="172"/>
      <c r="T19" s="172"/>
      <c r="U19" s="172"/>
      <c r="W19" s="173" t="str">
        <f>J19</f>
        <v>Março</v>
      </c>
      <c r="X19" s="173"/>
      <c r="Y19" s="173"/>
      <c r="Z19" s="173"/>
      <c r="AA19" s="173"/>
      <c r="AB19" s="173"/>
      <c r="AC19" s="173"/>
      <c r="AE19" s="174" t="str">
        <f>W19</f>
        <v>Março</v>
      </c>
      <c r="AF19" s="174"/>
      <c r="AG19" s="174"/>
      <c r="AH19" s="174"/>
      <c r="AI19" s="174"/>
      <c r="AJ19" s="174"/>
      <c r="AK19" s="174"/>
    </row>
    <row r="20" spans="1:37" ht="15.75" thickBot="1" x14ac:dyDescent="0.3">
      <c r="A20" s="168" t="s">
        <v>4</v>
      </c>
      <c r="B20" s="10" t="s">
        <v>5</v>
      </c>
      <c r="C20" s="11" t="s">
        <v>6</v>
      </c>
      <c r="D20" s="12" t="s">
        <v>7</v>
      </c>
      <c r="E20" s="11" t="s">
        <v>8</v>
      </c>
      <c r="F20" s="12" t="s">
        <v>9</v>
      </c>
      <c r="G20" s="11" t="s">
        <v>10</v>
      </c>
      <c r="H20" s="32" t="s">
        <v>11</v>
      </c>
      <c r="J20" s="35" t="s">
        <v>3</v>
      </c>
      <c r="K20" s="14"/>
      <c r="L20" s="24"/>
      <c r="M20" s="24"/>
      <c r="N20" s="15"/>
      <c r="O20" s="15"/>
      <c r="P20" s="15"/>
      <c r="Q20" s="15"/>
      <c r="R20" s="15"/>
      <c r="S20" s="15"/>
      <c r="T20" s="15"/>
      <c r="U20" s="16"/>
      <c r="W20" s="35" t="s">
        <v>3</v>
      </c>
      <c r="X20" s="14"/>
      <c r="Y20" s="15"/>
      <c r="Z20" s="15"/>
      <c r="AA20" s="15"/>
      <c r="AB20" s="15"/>
      <c r="AC20" s="16"/>
      <c r="AE20" s="35" t="s">
        <v>3</v>
      </c>
      <c r="AF20" s="14"/>
      <c r="AG20" s="15"/>
      <c r="AH20" s="15"/>
      <c r="AI20" s="15"/>
      <c r="AJ20" s="15"/>
      <c r="AK20" s="16"/>
    </row>
    <row r="21" spans="1:37" ht="15.75" thickBot="1" x14ac:dyDescent="0.3">
      <c r="A21" s="168"/>
      <c r="B21" s="17"/>
      <c r="C21" s="18"/>
      <c r="D21" s="18"/>
      <c r="E21" s="18"/>
      <c r="F21" s="18">
        <f>SUM(C21-B21)</f>
        <v>0</v>
      </c>
      <c r="G21" s="18">
        <f>SUM(E21-D21)</f>
        <v>0</v>
      </c>
      <c r="H21" s="33">
        <f>SUM(F21:G21)</f>
        <v>0</v>
      </c>
      <c r="J21" s="36" t="s">
        <v>21</v>
      </c>
      <c r="K21" s="19"/>
      <c r="L21" s="20"/>
      <c r="M21" s="20"/>
      <c r="N21" s="20"/>
      <c r="O21" s="20"/>
      <c r="P21" s="20"/>
      <c r="Q21" s="20"/>
      <c r="R21" s="20"/>
      <c r="S21" s="20"/>
      <c r="T21" s="20"/>
      <c r="U21" s="21"/>
      <c r="W21" s="36" t="s">
        <v>21</v>
      </c>
      <c r="X21" s="19"/>
      <c r="Y21" s="20"/>
      <c r="Z21" s="20"/>
      <c r="AA21" s="20"/>
      <c r="AB21" s="20"/>
      <c r="AC21" s="21"/>
      <c r="AE21" s="36" t="s">
        <v>21</v>
      </c>
      <c r="AF21" s="19"/>
      <c r="AG21" s="20"/>
      <c r="AH21" s="20"/>
      <c r="AI21" s="20"/>
      <c r="AJ21" s="20"/>
      <c r="AK21" s="21"/>
    </row>
    <row r="22" spans="1:37" x14ac:dyDescent="0.25">
      <c r="F22" s="2"/>
      <c r="G22" s="2"/>
      <c r="H22" s="2"/>
      <c r="J22" s="37"/>
      <c r="T22" s="22" t="s">
        <v>22</v>
      </c>
      <c r="U22" s="23">
        <f>SUM(K21:U21)</f>
        <v>0</v>
      </c>
      <c r="AB22" s="22" t="s">
        <v>22</v>
      </c>
      <c r="AC22" s="23">
        <f>SUM(X21:AC21)</f>
        <v>0</v>
      </c>
      <c r="AJ22" s="22" t="s">
        <v>22</v>
      </c>
      <c r="AK22" s="23">
        <f>SUM(AF21:AK21)</f>
        <v>0</v>
      </c>
    </row>
    <row r="23" spans="1:37" ht="15.75" thickBot="1" x14ac:dyDescent="0.3">
      <c r="A23" s="34"/>
      <c r="B23" s="171" t="s">
        <v>13</v>
      </c>
      <c r="C23" s="171"/>
      <c r="D23" s="171"/>
      <c r="E23" s="171"/>
      <c r="F23" s="171"/>
      <c r="G23" s="171"/>
      <c r="H23" s="171"/>
      <c r="J23" s="172" t="s">
        <v>13</v>
      </c>
      <c r="K23" s="172"/>
      <c r="L23" s="172"/>
      <c r="M23" s="172"/>
      <c r="N23" s="172"/>
      <c r="O23" s="172"/>
      <c r="P23" s="172"/>
      <c r="Q23" s="172"/>
      <c r="R23" s="172"/>
      <c r="S23" s="172"/>
      <c r="T23" s="172"/>
      <c r="U23" s="172"/>
      <c r="W23" s="173" t="str">
        <f>J23</f>
        <v>Abril</v>
      </c>
      <c r="X23" s="173"/>
      <c r="Y23" s="173"/>
      <c r="Z23" s="173"/>
      <c r="AA23" s="173"/>
      <c r="AB23" s="173"/>
      <c r="AC23" s="173"/>
      <c r="AE23" s="174" t="str">
        <f>W23</f>
        <v>Abril</v>
      </c>
      <c r="AF23" s="174"/>
      <c r="AG23" s="174"/>
      <c r="AH23" s="174"/>
      <c r="AI23" s="174"/>
      <c r="AJ23" s="174"/>
      <c r="AK23" s="174"/>
    </row>
    <row r="24" spans="1:37" ht="15.75" thickBot="1" x14ac:dyDescent="0.3">
      <c r="A24" s="168" t="s">
        <v>4</v>
      </c>
      <c r="B24" s="10" t="s">
        <v>5</v>
      </c>
      <c r="C24" s="11" t="s">
        <v>6</v>
      </c>
      <c r="D24" s="12" t="s">
        <v>7</v>
      </c>
      <c r="E24" s="11" t="s">
        <v>8</v>
      </c>
      <c r="F24" s="12" t="s">
        <v>9</v>
      </c>
      <c r="G24" s="11" t="s">
        <v>10</v>
      </c>
      <c r="H24" s="32" t="s">
        <v>11</v>
      </c>
      <c r="J24" s="35" t="s">
        <v>3</v>
      </c>
      <c r="K24" s="14"/>
      <c r="L24" s="15"/>
      <c r="M24" s="15"/>
      <c r="N24" s="15"/>
      <c r="O24" s="15"/>
      <c r="P24" s="15"/>
      <c r="Q24" s="15"/>
      <c r="R24" s="15"/>
      <c r="S24" s="15"/>
      <c r="T24" s="15"/>
      <c r="U24" s="16"/>
      <c r="W24" s="35" t="s">
        <v>3</v>
      </c>
      <c r="X24" s="14"/>
      <c r="Y24" s="15"/>
      <c r="Z24" s="15"/>
      <c r="AA24" s="15"/>
      <c r="AB24" s="15"/>
      <c r="AC24" s="16"/>
      <c r="AE24" s="35" t="s">
        <v>3</v>
      </c>
      <c r="AF24" s="14"/>
      <c r="AG24" s="15"/>
      <c r="AH24" s="15"/>
      <c r="AI24" s="15"/>
      <c r="AJ24" s="15"/>
      <c r="AK24" s="16"/>
    </row>
    <row r="25" spans="1:37" ht="15.75" thickBot="1" x14ac:dyDescent="0.3">
      <c r="A25" s="168"/>
      <c r="B25" s="17"/>
      <c r="C25" s="18"/>
      <c r="D25" s="18"/>
      <c r="E25" s="18"/>
      <c r="F25" s="18">
        <f>SUM(C25-B25)</f>
        <v>0</v>
      </c>
      <c r="G25" s="18">
        <f>SUM(E25-D25)</f>
        <v>0</v>
      </c>
      <c r="H25" s="33">
        <f>SUM(F25:G25)</f>
        <v>0</v>
      </c>
      <c r="J25" s="36" t="s">
        <v>21</v>
      </c>
      <c r="K25" s="25"/>
      <c r="L25" s="26"/>
      <c r="M25" s="26"/>
      <c r="N25" s="26"/>
      <c r="O25" s="26"/>
      <c r="P25" s="26"/>
      <c r="Q25" s="26"/>
      <c r="R25" s="26"/>
      <c r="S25" s="26"/>
      <c r="T25" s="26"/>
      <c r="U25" s="27"/>
      <c r="W25" s="36" t="s">
        <v>21</v>
      </c>
      <c r="X25" s="19"/>
      <c r="Y25" s="20"/>
      <c r="Z25" s="20"/>
      <c r="AA25" s="20"/>
      <c r="AB25" s="20"/>
      <c r="AC25" s="21"/>
      <c r="AE25" s="36" t="s">
        <v>21</v>
      </c>
      <c r="AF25" s="19"/>
      <c r="AG25" s="20"/>
      <c r="AH25" s="20"/>
      <c r="AI25" s="20"/>
      <c r="AJ25" s="20"/>
      <c r="AK25" s="21"/>
    </row>
    <row r="26" spans="1:37" x14ac:dyDescent="0.25">
      <c r="F26" s="2"/>
      <c r="G26" s="2"/>
      <c r="H26" s="2"/>
      <c r="J26" s="37"/>
      <c r="T26" s="22" t="s">
        <v>22</v>
      </c>
      <c r="U26" s="23">
        <f>SUM(K25:U25)</f>
        <v>0</v>
      </c>
      <c r="AB26" s="22" t="s">
        <v>22</v>
      </c>
      <c r="AC26" s="23">
        <f>SUM(X25:AC25)</f>
        <v>0</v>
      </c>
      <c r="AJ26" s="22" t="s">
        <v>22</v>
      </c>
      <c r="AK26" s="23">
        <f>SUM(AF25:AK25)</f>
        <v>0</v>
      </c>
    </row>
    <row r="27" spans="1:37" ht="15.75" thickBot="1" x14ac:dyDescent="0.3">
      <c r="A27" s="34"/>
      <c r="B27" s="171" t="s">
        <v>14</v>
      </c>
      <c r="C27" s="171"/>
      <c r="D27" s="171"/>
      <c r="E27" s="171"/>
      <c r="F27" s="171"/>
      <c r="G27" s="171"/>
      <c r="H27" s="171"/>
      <c r="J27" s="172" t="s">
        <v>14</v>
      </c>
      <c r="K27" s="172"/>
      <c r="L27" s="172"/>
      <c r="M27" s="172"/>
      <c r="N27" s="172"/>
      <c r="O27" s="172"/>
      <c r="P27" s="172"/>
      <c r="Q27" s="172"/>
      <c r="R27" s="172"/>
      <c r="S27" s="172"/>
      <c r="T27" s="172"/>
      <c r="U27" s="172"/>
      <c r="W27" s="173" t="str">
        <f>J27</f>
        <v>Maio</v>
      </c>
      <c r="X27" s="173"/>
      <c r="Y27" s="173"/>
      <c r="Z27" s="173"/>
      <c r="AA27" s="173"/>
      <c r="AB27" s="173"/>
      <c r="AC27" s="173"/>
      <c r="AE27" s="174" t="str">
        <f>W27</f>
        <v>Maio</v>
      </c>
      <c r="AF27" s="174"/>
      <c r="AG27" s="174"/>
      <c r="AH27" s="174"/>
      <c r="AI27" s="174"/>
      <c r="AJ27" s="174"/>
      <c r="AK27" s="174"/>
    </row>
    <row r="28" spans="1:37" ht="15.75" thickBot="1" x14ac:dyDescent="0.3">
      <c r="A28" s="168" t="s">
        <v>4</v>
      </c>
      <c r="B28" s="10" t="s">
        <v>5</v>
      </c>
      <c r="C28" s="11" t="s">
        <v>6</v>
      </c>
      <c r="D28" s="12" t="s">
        <v>7</v>
      </c>
      <c r="E28" s="11" t="s">
        <v>8</v>
      </c>
      <c r="F28" s="12" t="s">
        <v>9</v>
      </c>
      <c r="G28" s="11" t="s">
        <v>10</v>
      </c>
      <c r="H28" s="32" t="s">
        <v>11</v>
      </c>
      <c r="J28" s="35" t="s">
        <v>3</v>
      </c>
      <c r="K28" s="14"/>
      <c r="L28" s="15"/>
      <c r="M28" s="15"/>
      <c r="N28" s="15"/>
      <c r="O28" s="15"/>
      <c r="P28" s="15"/>
      <c r="Q28" s="15"/>
      <c r="R28" s="15"/>
      <c r="S28" s="15"/>
      <c r="T28" s="15"/>
      <c r="U28" s="16"/>
      <c r="W28" s="35" t="s">
        <v>3</v>
      </c>
      <c r="X28" s="14"/>
      <c r="Y28" s="15"/>
      <c r="Z28" s="15"/>
      <c r="AA28" s="15"/>
      <c r="AB28" s="15"/>
      <c r="AC28" s="16"/>
      <c r="AE28" s="35" t="s">
        <v>3</v>
      </c>
      <c r="AF28" s="14"/>
      <c r="AG28" s="15"/>
      <c r="AH28" s="15"/>
      <c r="AI28" s="15"/>
      <c r="AJ28" s="15"/>
      <c r="AK28" s="16"/>
    </row>
    <row r="29" spans="1:37" ht="15.75" thickBot="1" x14ac:dyDescent="0.3">
      <c r="A29" s="168"/>
      <c r="B29" s="17"/>
      <c r="C29" s="18"/>
      <c r="D29" s="18"/>
      <c r="E29" s="18"/>
      <c r="F29" s="18">
        <f>SUM(C29-B29)</f>
        <v>0</v>
      </c>
      <c r="G29" s="18">
        <f>SUM(E29-D29)</f>
        <v>0</v>
      </c>
      <c r="H29" s="33">
        <f>SUM(F29:G29)</f>
        <v>0</v>
      </c>
      <c r="J29" s="36" t="s">
        <v>21</v>
      </c>
      <c r="K29" s="19"/>
      <c r="L29" s="20"/>
      <c r="M29" s="20"/>
      <c r="N29" s="20"/>
      <c r="O29" s="20"/>
      <c r="P29" s="20"/>
      <c r="Q29" s="20"/>
      <c r="R29" s="20"/>
      <c r="S29" s="20"/>
      <c r="T29" s="20"/>
      <c r="U29" s="21"/>
      <c r="W29" s="36" t="s">
        <v>21</v>
      </c>
      <c r="X29" s="19"/>
      <c r="Y29" s="20"/>
      <c r="Z29" s="20"/>
      <c r="AA29" s="20"/>
      <c r="AB29" s="20"/>
      <c r="AC29" s="21"/>
      <c r="AE29" s="36" t="s">
        <v>21</v>
      </c>
      <c r="AF29" s="19"/>
      <c r="AG29" s="20"/>
      <c r="AH29" s="20"/>
      <c r="AI29" s="20"/>
      <c r="AJ29" s="20"/>
      <c r="AK29" s="21"/>
    </row>
    <row r="30" spans="1:37" x14ac:dyDescent="0.25">
      <c r="F30" s="2"/>
      <c r="G30" s="2"/>
      <c r="H30" s="2"/>
      <c r="J30" s="37"/>
      <c r="T30" s="22" t="s">
        <v>22</v>
      </c>
      <c r="U30" s="23">
        <f>SUM(K29:U29)</f>
        <v>0</v>
      </c>
      <c r="AB30" s="22" t="s">
        <v>22</v>
      </c>
      <c r="AC30" s="23">
        <f>SUM(X29:AC29)</f>
        <v>0</v>
      </c>
      <c r="AJ30" s="22" t="s">
        <v>22</v>
      </c>
      <c r="AK30" s="23">
        <f>SUM(AF29:AK29)</f>
        <v>0</v>
      </c>
    </row>
    <row r="31" spans="1:37" ht="15.75" thickBot="1" x14ac:dyDescent="0.3">
      <c r="A31" s="34"/>
      <c r="B31" s="171" t="s">
        <v>23</v>
      </c>
      <c r="C31" s="171"/>
      <c r="D31" s="171"/>
      <c r="E31" s="171"/>
      <c r="F31" s="171"/>
      <c r="G31" s="171"/>
      <c r="H31" s="171"/>
      <c r="J31" s="172" t="s">
        <v>23</v>
      </c>
      <c r="K31" s="172"/>
      <c r="L31" s="172"/>
      <c r="M31" s="172"/>
      <c r="N31" s="172"/>
      <c r="O31" s="172"/>
      <c r="P31" s="172"/>
      <c r="Q31" s="172"/>
      <c r="R31" s="172"/>
      <c r="S31" s="172"/>
      <c r="T31" s="172"/>
      <c r="U31" s="172"/>
      <c r="W31" s="173" t="str">
        <f>J31</f>
        <v>Junho</v>
      </c>
      <c r="X31" s="173"/>
      <c r="Y31" s="173"/>
      <c r="Z31" s="173"/>
      <c r="AA31" s="173"/>
      <c r="AB31" s="173"/>
      <c r="AC31" s="173"/>
      <c r="AE31" s="174" t="str">
        <f>W31</f>
        <v>Junho</v>
      </c>
      <c r="AF31" s="174"/>
      <c r="AG31" s="174"/>
      <c r="AH31" s="174"/>
      <c r="AI31" s="174"/>
      <c r="AJ31" s="174"/>
      <c r="AK31" s="174"/>
    </row>
    <row r="32" spans="1:37" ht="15.75" thickBot="1" x14ac:dyDescent="0.3">
      <c r="A32" s="168" t="s">
        <v>4</v>
      </c>
      <c r="B32" s="10" t="s">
        <v>5</v>
      </c>
      <c r="C32" s="11" t="s">
        <v>6</v>
      </c>
      <c r="D32" s="12" t="s">
        <v>7</v>
      </c>
      <c r="E32" s="11" t="s">
        <v>8</v>
      </c>
      <c r="F32" s="12" t="s">
        <v>9</v>
      </c>
      <c r="G32" s="11" t="s">
        <v>10</v>
      </c>
      <c r="H32" s="32" t="s">
        <v>11</v>
      </c>
      <c r="J32" s="35" t="s">
        <v>3</v>
      </c>
      <c r="K32" s="14"/>
      <c r="L32" s="15"/>
      <c r="M32" s="15"/>
      <c r="N32" s="15"/>
      <c r="O32" s="15"/>
      <c r="P32" s="15"/>
      <c r="Q32" s="15"/>
      <c r="R32" s="15"/>
      <c r="S32" s="15"/>
      <c r="T32" s="15"/>
      <c r="U32" s="16"/>
      <c r="W32" s="35" t="s">
        <v>3</v>
      </c>
      <c r="X32" s="14"/>
      <c r="Y32" s="15"/>
      <c r="Z32" s="15"/>
      <c r="AA32" s="15"/>
      <c r="AB32" s="15"/>
      <c r="AC32" s="16"/>
      <c r="AE32" s="35" t="s">
        <v>3</v>
      </c>
      <c r="AF32" s="14"/>
      <c r="AG32" s="15"/>
      <c r="AH32" s="15"/>
      <c r="AI32" s="15"/>
      <c r="AJ32" s="15"/>
      <c r="AK32" s="16"/>
    </row>
    <row r="33" spans="1:37" ht="15.75" thickBot="1" x14ac:dyDescent="0.3">
      <c r="A33" s="168"/>
      <c r="B33" s="17"/>
      <c r="C33" s="18"/>
      <c r="D33" s="18"/>
      <c r="E33" s="18"/>
      <c r="F33" s="18">
        <f>SUM(C33-B33)</f>
        <v>0</v>
      </c>
      <c r="G33" s="18">
        <f>SUM(E33-D33)</f>
        <v>0</v>
      </c>
      <c r="H33" s="33">
        <f>SUM(F33:G33)</f>
        <v>0</v>
      </c>
      <c r="J33" s="36" t="s">
        <v>21</v>
      </c>
      <c r="K33" s="19"/>
      <c r="L33" s="20"/>
      <c r="M33" s="20"/>
      <c r="N33" s="20"/>
      <c r="O33" s="20"/>
      <c r="P33" s="20"/>
      <c r="Q33" s="20"/>
      <c r="R33" s="20"/>
      <c r="S33" s="20"/>
      <c r="T33" s="20"/>
      <c r="U33" s="21"/>
      <c r="W33" s="36" t="s">
        <v>21</v>
      </c>
      <c r="X33" s="19"/>
      <c r="Y33" s="20"/>
      <c r="Z33" s="20"/>
      <c r="AA33" s="20"/>
      <c r="AB33" s="20"/>
      <c r="AC33" s="21"/>
      <c r="AE33" s="36" t="s">
        <v>21</v>
      </c>
      <c r="AF33" s="19"/>
      <c r="AG33" s="20"/>
      <c r="AH33" s="20"/>
      <c r="AI33" s="20"/>
      <c r="AJ33" s="20"/>
      <c r="AK33" s="21"/>
    </row>
    <row r="34" spans="1:37" x14ac:dyDescent="0.25">
      <c r="F34" s="2"/>
      <c r="G34" s="2"/>
      <c r="H34" s="2"/>
      <c r="J34" s="37"/>
      <c r="T34" s="22" t="s">
        <v>22</v>
      </c>
      <c r="U34" s="23">
        <f>SUM(K33:U33)</f>
        <v>0</v>
      </c>
      <c r="AB34" s="22" t="s">
        <v>22</v>
      </c>
      <c r="AC34" s="23">
        <f>SUM(X33:AC33)</f>
        <v>0</v>
      </c>
      <c r="AJ34" s="22" t="s">
        <v>22</v>
      </c>
      <c r="AK34" s="23">
        <f>SUM(AF33:AK33)</f>
        <v>0</v>
      </c>
    </row>
    <row r="35" spans="1:37" ht="15.75" thickBot="1" x14ac:dyDescent="0.3">
      <c r="A35" s="34"/>
      <c r="B35" s="171" t="s">
        <v>15</v>
      </c>
      <c r="C35" s="171"/>
      <c r="D35" s="171"/>
      <c r="E35" s="171"/>
      <c r="F35" s="171"/>
      <c r="G35" s="171"/>
      <c r="H35" s="171"/>
      <c r="J35" s="172" t="s">
        <v>15</v>
      </c>
      <c r="K35" s="172"/>
      <c r="L35" s="172"/>
      <c r="M35" s="172"/>
      <c r="N35" s="172"/>
      <c r="O35" s="172"/>
      <c r="P35" s="172"/>
      <c r="Q35" s="172"/>
      <c r="R35" s="172"/>
      <c r="S35" s="172"/>
      <c r="T35" s="172"/>
      <c r="U35" s="172"/>
      <c r="W35" s="173" t="str">
        <f>J35</f>
        <v>Julho</v>
      </c>
      <c r="X35" s="173"/>
      <c r="Y35" s="173"/>
      <c r="Z35" s="173"/>
      <c r="AA35" s="173"/>
      <c r="AB35" s="173"/>
      <c r="AC35" s="173"/>
      <c r="AE35" s="174" t="str">
        <f>W35</f>
        <v>Julho</v>
      </c>
      <c r="AF35" s="174"/>
      <c r="AG35" s="174"/>
      <c r="AH35" s="174"/>
      <c r="AI35" s="174"/>
      <c r="AJ35" s="174"/>
      <c r="AK35" s="174"/>
    </row>
    <row r="36" spans="1:37" ht="15.75" thickBot="1" x14ac:dyDescent="0.3">
      <c r="A36" s="168" t="s">
        <v>4</v>
      </c>
      <c r="B36" s="10" t="s">
        <v>5</v>
      </c>
      <c r="C36" s="11" t="s">
        <v>6</v>
      </c>
      <c r="D36" s="12" t="s">
        <v>7</v>
      </c>
      <c r="E36" s="11" t="s">
        <v>8</v>
      </c>
      <c r="F36" s="12" t="s">
        <v>9</v>
      </c>
      <c r="G36" s="11" t="s">
        <v>10</v>
      </c>
      <c r="H36" s="32" t="s">
        <v>11</v>
      </c>
      <c r="J36" s="35" t="s">
        <v>3</v>
      </c>
      <c r="K36" s="14"/>
      <c r="L36" s="15"/>
      <c r="M36" s="15"/>
      <c r="N36" s="15"/>
      <c r="O36" s="15"/>
      <c r="P36" s="15"/>
      <c r="Q36" s="15"/>
      <c r="R36" s="15"/>
      <c r="S36" s="15"/>
      <c r="T36" s="15"/>
      <c r="U36" s="16"/>
      <c r="W36" s="35" t="s">
        <v>3</v>
      </c>
      <c r="X36" s="14"/>
      <c r="Y36" s="15"/>
      <c r="Z36" s="15"/>
      <c r="AA36" s="15"/>
      <c r="AB36" s="15"/>
      <c r="AC36" s="16"/>
      <c r="AE36" s="35" t="s">
        <v>3</v>
      </c>
      <c r="AF36" s="14"/>
      <c r="AG36" s="15"/>
      <c r="AH36" s="15"/>
      <c r="AI36" s="15"/>
      <c r="AJ36" s="15"/>
      <c r="AK36" s="16"/>
    </row>
    <row r="37" spans="1:37" ht="15.75" thickBot="1" x14ac:dyDescent="0.3">
      <c r="A37" s="168"/>
      <c r="B37" s="17"/>
      <c r="C37" s="18"/>
      <c r="D37" s="18"/>
      <c r="E37" s="18"/>
      <c r="F37" s="18">
        <f>SUM(C37-B37)</f>
        <v>0</v>
      </c>
      <c r="G37" s="18">
        <f>SUM(E37-D37)</f>
        <v>0</v>
      </c>
      <c r="H37" s="33">
        <f>SUM(F37:G37)</f>
        <v>0</v>
      </c>
      <c r="J37" s="36" t="s">
        <v>21</v>
      </c>
      <c r="K37" s="19"/>
      <c r="L37" s="20"/>
      <c r="M37" s="20"/>
      <c r="N37" s="20"/>
      <c r="O37" s="20"/>
      <c r="P37" s="20"/>
      <c r="Q37" s="20"/>
      <c r="R37" s="20"/>
      <c r="S37" s="20"/>
      <c r="T37" s="20"/>
      <c r="U37" s="21"/>
      <c r="W37" s="36" t="s">
        <v>21</v>
      </c>
      <c r="X37" s="19"/>
      <c r="Y37" s="20"/>
      <c r="Z37" s="20"/>
      <c r="AA37" s="20"/>
      <c r="AB37" s="20"/>
      <c r="AC37" s="21"/>
      <c r="AE37" s="36" t="s">
        <v>21</v>
      </c>
      <c r="AF37" s="19"/>
      <c r="AG37" s="20"/>
      <c r="AH37" s="20"/>
      <c r="AI37" s="20"/>
      <c r="AJ37" s="20"/>
      <c r="AK37" s="21"/>
    </row>
    <row r="38" spans="1:37" x14ac:dyDescent="0.25">
      <c r="F38" s="2"/>
      <c r="G38" s="2"/>
      <c r="H38" s="2"/>
      <c r="J38" s="37"/>
      <c r="T38" s="22" t="s">
        <v>22</v>
      </c>
      <c r="U38" s="23">
        <f>SUM(K37:U37)</f>
        <v>0</v>
      </c>
      <c r="AB38" s="22" t="s">
        <v>22</v>
      </c>
      <c r="AC38" s="23">
        <f>SUM(X37:AC37)</f>
        <v>0</v>
      </c>
      <c r="AJ38" s="22" t="s">
        <v>22</v>
      </c>
      <c r="AK38" s="23">
        <f>SUM(AF37:AK37)</f>
        <v>0</v>
      </c>
    </row>
    <row r="39" spans="1:37" ht="15.75" thickBot="1" x14ac:dyDescent="0.3">
      <c r="A39" s="34"/>
      <c r="B39" s="171" t="s">
        <v>16</v>
      </c>
      <c r="C39" s="171"/>
      <c r="D39" s="171"/>
      <c r="E39" s="171"/>
      <c r="F39" s="171"/>
      <c r="G39" s="171"/>
      <c r="H39" s="171"/>
      <c r="J39" s="172" t="s">
        <v>16</v>
      </c>
      <c r="K39" s="172"/>
      <c r="L39" s="172"/>
      <c r="M39" s="172"/>
      <c r="N39" s="172"/>
      <c r="O39" s="172"/>
      <c r="P39" s="172"/>
      <c r="Q39" s="172"/>
      <c r="R39" s="172"/>
      <c r="S39" s="172"/>
      <c r="T39" s="172"/>
      <c r="U39" s="172"/>
      <c r="W39" s="173" t="str">
        <f>J39</f>
        <v>Agosto</v>
      </c>
      <c r="X39" s="173"/>
      <c r="Y39" s="173"/>
      <c r="Z39" s="173"/>
      <c r="AA39" s="173"/>
      <c r="AB39" s="173"/>
      <c r="AC39" s="173"/>
      <c r="AE39" s="174" t="str">
        <f>W39</f>
        <v>Agosto</v>
      </c>
      <c r="AF39" s="174"/>
      <c r="AG39" s="174"/>
      <c r="AH39" s="174"/>
      <c r="AI39" s="174"/>
      <c r="AJ39" s="174"/>
      <c r="AK39" s="174"/>
    </row>
    <row r="40" spans="1:37" ht="15.75" thickBot="1" x14ac:dyDescent="0.3">
      <c r="A40" s="168" t="s">
        <v>4</v>
      </c>
      <c r="B40" s="10" t="s">
        <v>5</v>
      </c>
      <c r="C40" s="11" t="s">
        <v>6</v>
      </c>
      <c r="D40" s="12" t="s">
        <v>7</v>
      </c>
      <c r="E40" s="11" t="s">
        <v>8</v>
      </c>
      <c r="F40" s="12" t="s">
        <v>9</v>
      </c>
      <c r="G40" s="11" t="s">
        <v>10</v>
      </c>
      <c r="H40" s="32" t="s">
        <v>11</v>
      </c>
      <c r="J40" s="35" t="s">
        <v>3</v>
      </c>
      <c r="K40" s="14">
        <v>45517</v>
      </c>
      <c r="L40" s="24">
        <v>45528</v>
      </c>
      <c r="M40" s="24">
        <v>45532</v>
      </c>
      <c r="N40" s="24">
        <v>45534</v>
      </c>
      <c r="O40" s="15"/>
      <c r="P40" s="15"/>
      <c r="Q40" s="15"/>
      <c r="R40" s="15"/>
      <c r="S40" s="15"/>
      <c r="T40" s="15"/>
      <c r="U40" s="16"/>
      <c r="W40" s="35" t="s">
        <v>3</v>
      </c>
      <c r="X40" s="14"/>
      <c r="Y40" s="15"/>
      <c r="Z40" s="15"/>
      <c r="AA40" s="15"/>
      <c r="AB40" s="15"/>
      <c r="AC40" s="16"/>
      <c r="AE40" s="35" t="s">
        <v>3</v>
      </c>
      <c r="AF40" s="14"/>
      <c r="AG40" s="15"/>
      <c r="AH40" s="15"/>
      <c r="AI40" s="15"/>
      <c r="AJ40" s="15"/>
      <c r="AK40" s="16"/>
    </row>
    <row r="41" spans="1:37" ht="15.75" thickBot="1" x14ac:dyDescent="0.3">
      <c r="A41" s="168"/>
      <c r="B41" s="17">
        <v>30345</v>
      </c>
      <c r="C41" s="18"/>
      <c r="D41" s="18"/>
      <c r="E41" s="18">
        <v>32000</v>
      </c>
      <c r="F41" s="18">
        <f>SUM(C41-B41)</f>
        <v>-30345</v>
      </c>
      <c r="G41" s="18">
        <f>SUM(E41-D41)</f>
        <v>32000</v>
      </c>
      <c r="H41" s="33">
        <f>SUM(F41:G41)</f>
        <v>1655</v>
      </c>
      <c r="J41" s="36" t="s">
        <v>21</v>
      </c>
      <c r="K41" s="19">
        <v>327.08999999999997</v>
      </c>
      <c r="L41" s="20">
        <v>233.03</v>
      </c>
      <c r="M41" s="20">
        <v>335.28</v>
      </c>
      <c r="N41" s="20">
        <v>343.7</v>
      </c>
      <c r="O41" s="20"/>
      <c r="P41" s="20"/>
      <c r="Q41" s="20"/>
      <c r="R41" s="20"/>
      <c r="S41" s="20"/>
      <c r="T41" s="20"/>
      <c r="U41" s="21"/>
      <c r="W41" s="36" t="s">
        <v>21</v>
      </c>
      <c r="X41" s="19"/>
      <c r="Y41" s="20"/>
      <c r="Z41" s="20"/>
      <c r="AA41" s="20"/>
      <c r="AB41" s="20"/>
      <c r="AC41" s="21"/>
      <c r="AE41" s="36" t="s">
        <v>21</v>
      </c>
      <c r="AF41" s="19"/>
      <c r="AG41" s="20"/>
      <c r="AH41" s="20"/>
      <c r="AI41" s="20"/>
      <c r="AJ41" s="20"/>
      <c r="AK41" s="21"/>
    </row>
    <row r="42" spans="1:37" x14ac:dyDescent="0.25">
      <c r="F42" s="2"/>
      <c r="G42" s="2"/>
      <c r="H42" s="2"/>
      <c r="J42" s="37"/>
      <c r="T42" s="22" t="s">
        <v>22</v>
      </c>
      <c r="U42" s="23">
        <f>SUM(K41:U41)</f>
        <v>1239.0999999999999</v>
      </c>
      <c r="AB42" s="22" t="s">
        <v>22</v>
      </c>
      <c r="AC42" s="23">
        <f>SUM(X41:AC41)</f>
        <v>0</v>
      </c>
      <c r="AJ42" s="22" t="s">
        <v>22</v>
      </c>
      <c r="AK42" s="23">
        <f>SUM(AF41:AK41)</f>
        <v>0</v>
      </c>
    </row>
    <row r="43" spans="1:37" ht="15.75" thickBot="1" x14ac:dyDescent="0.3">
      <c r="A43" s="34"/>
      <c r="B43" s="171" t="s">
        <v>17</v>
      </c>
      <c r="C43" s="171"/>
      <c r="D43" s="171"/>
      <c r="E43" s="171"/>
      <c r="F43" s="171"/>
      <c r="G43" s="171"/>
      <c r="H43" s="171"/>
      <c r="J43" s="172" t="s">
        <v>17</v>
      </c>
      <c r="K43" s="172"/>
      <c r="L43" s="172"/>
      <c r="M43" s="172"/>
      <c r="N43" s="172"/>
      <c r="O43" s="172"/>
      <c r="P43" s="172"/>
      <c r="Q43" s="172"/>
      <c r="R43" s="172"/>
      <c r="S43" s="172"/>
      <c r="T43" s="172"/>
      <c r="U43" s="172"/>
      <c r="W43" s="173" t="str">
        <f>J43</f>
        <v>Setembro</v>
      </c>
      <c r="X43" s="173"/>
      <c r="Y43" s="173"/>
      <c r="Z43" s="173"/>
      <c r="AA43" s="173"/>
      <c r="AB43" s="173"/>
      <c r="AC43" s="173"/>
      <c r="AE43" s="174" t="str">
        <f>W43</f>
        <v>Setembro</v>
      </c>
      <c r="AF43" s="174"/>
      <c r="AG43" s="174"/>
      <c r="AH43" s="174"/>
      <c r="AI43" s="174"/>
      <c r="AJ43" s="174"/>
      <c r="AK43" s="174"/>
    </row>
    <row r="44" spans="1:37" ht="15.75" thickBot="1" x14ac:dyDescent="0.3">
      <c r="A44" s="168" t="s">
        <v>4</v>
      </c>
      <c r="B44" s="10" t="s">
        <v>5</v>
      </c>
      <c r="C44" s="11" t="s">
        <v>6</v>
      </c>
      <c r="D44" s="12" t="s">
        <v>7</v>
      </c>
      <c r="E44" s="11" t="s">
        <v>8</v>
      </c>
      <c r="F44" s="12" t="s">
        <v>9</v>
      </c>
      <c r="G44" s="11" t="s">
        <v>10</v>
      </c>
      <c r="H44" s="32" t="s">
        <v>11</v>
      </c>
      <c r="J44" s="35" t="s">
        <v>3</v>
      </c>
      <c r="K44" s="14">
        <v>45538</v>
      </c>
      <c r="L44" s="24">
        <v>45544</v>
      </c>
      <c r="M44" s="24">
        <v>45545</v>
      </c>
      <c r="N44" s="24">
        <v>45547</v>
      </c>
      <c r="O44" s="24">
        <v>45552</v>
      </c>
      <c r="P44" s="24">
        <v>45554</v>
      </c>
      <c r="Q44" s="24">
        <v>45556</v>
      </c>
      <c r="R44" s="24">
        <v>45559</v>
      </c>
      <c r="S44" s="15"/>
      <c r="T44" s="15"/>
      <c r="U44" s="16"/>
      <c r="W44" s="35" t="s">
        <v>3</v>
      </c>
      <c r="X44" s="14"/>
      <c r="Y44" s="15"/>
      <c r="Z44" s="15"/>
      <c r="AA44" s="15"/>
      <c r="AB44" s="15"/>
      <c r="AC44" s="16"/>
      <c r="AE44" s="35" t="s">
        <v>3</v>
      </c>
      <c r="AF44" s="14"/>
      <c r="AG44" s="15"/>
      <c r="AH44" s="15"/>
      <c r="AI44" s="15"/>
      <c r="AJ44" s="15"/>
      <c r="AK44" s="16"/>
    </row>
    <row r="45" spans="1:37" ht="15.75" thickBot="1" x14ac:dyDescent="0.3">
      <c r="A45" s="168"/>
      <c r="B45" s="17">
        <v>32000</v>
      </c>
      <c r="C45" s="18"/>
      <c r="D45" s="18"/>
      <c r="E45" s="18">
        <v>35635</v>
      </c>
      <c r="F45" s="18">
        <f>SUM(C45-B45)</f>
        <v>-32000</v>
      </c>
      <c r="G45" s="18">
        <f>SUM(E45-D45)</f>
        <v>35635</v>
      </c>
      <c r="H45" s="33">
        <f>SUM(F45:G45)</f>
        <v>3635</v>
      </c>
      <c r="J45" s="36" t="s">
        <v>21</v>
      </c>
      <c r="K45" s="19">
        <v>279.66000000000003</v>
      </c>
      <c r="L45" s="20">
        <v>270.76</v>
      </c>
      <c r="M45" s="20">
        <v>217.85</v>
      </c>
      <c r="N45" s="20">
        <v>196.46</v>
      </c>
      <c r="O45" s="20">
        <v>299.5</v>
      </c>
      <c r="P45" s="20">
        <v>300.39999999999998</v>
      </c>
      <c r="Q45" s="20">
        <v>250.01</v>
      </c>
      <c r="R45" s="20">
        <v>209.92</v>
      </c>
      <c r="S45" s="20"/>
      <c r="T45" s="20"/>
      <c r="U45" s="21"/>
      <c r="W45" s="36" t="s">
        <v>21</v>
      </c>
      <c r="X45" s="19"/>
      <c r="Y45" s="20"/>
      <c r="Z45" s="20"/>
      <c r="AA45" s="20"/>
      <c r="AB45" s="20"/>
      <c r="AC45" s="21"/>
      <c r="AE45" s="36" t="s">
        <v>21</v>
      </c>
      <c r="AF45" s="19"/>
      <c r="AG45" s="20"/>
      <c r="AH45" s="20"/>
      <c r="AI45" s="20"/>
      <c r="AJ45" s="20"/>
      <c r="AK45" s="21"/>
    </row>
    <row r="46" spans="1:37" x14ac:dyDescent="0.25">
      <c r="F46" s="2"/>
      <c r="G46" s="2"/>
      <c r="H46" s="2"/>
      <c r="J46" s="37"/>
      <c r="T46" s="22" t="s">
        <v>22</v>
      </c>
      <c r="U46" s="23">
        <f>SUM(K45:U45)</f>
        <v>2024.5600000000002</v>
      </c>
      <c r="AB46" s="22" t="s">
        <v>22</v>
      </c>
      <c r="AC46" s="23">
        <f>SUM(X45:AC45)</f>
        <v>0</v>
      </c>
      <c r="AJ46" s="22" t="s">
        <v>22</v>
      </c>
      <c r="AK46" s="23">
        <f>SUM(AF45:AK45)</f>
        <v>0</v>
      </c>
    </row>
    <row r="47" spans="1:37" ht="15.75" thickBot="1" x14ac:dyDescent="0.3">
      <c r="A47" s="34"/>
      <c r="B47" s="171" t="s">
        <v>18</v>
      </c>
      <c r="C47" s="171"/>
      <c r="D47" s="171"/>
      <c r="E47" s="171"/>
      <c r="F47" s="171"/>
      <c r="G47" s="171"/>
      <c r="H47" s="171"/>
      <c r="J47" s="172" t="s">
        <v>18</v>
      </c>
      <c r="K47" s="172"/>
      <c r="L47" s="172"/>
      <c r="M47" s="172"/>
      <c r="N47" s="172"/>
      <c r="O47" s="172"/>
      <c r="P47" s="172"/>
      <c r="Q47" s="172"/>
      <c r="R47" s="172"/>
      <c r="S47" s="172"/>
      <c r="T47" s="172"/>
      <c r="U47" s="172"/>
      <c r="W47" s="173" t="str">
        <f>J47</f>
        <v>Outubro</v>
      </c>
      <c r="X47" s="173"/>
      <c r="Y47" s="173"/>
      <c r="Z47" s="173"/>
      <c r="AA47" s="173"/>
      <c r="AB47" s="173"/>
      <c r="AC47" s="173"/>
      <c r="AE47" s="174" t="str">
        <f>W47</f>
        <v>Outubro</v>
      </c>
      <c r="AF47" s="174"/>
      <c r="AG47" s="174"/>
      <c r="AH47" s="174"/>
      <c r="AI47" s="174"/>
      <c r="AJ47" s="174"/>
      <c r="AK47" s="174"/>
    </row>
    <row r="48" spans="1:37" ht="15.75" thickBot="1" x14ac:dyDescent="0.3">
      <c r="A48" s="168" t="s">
        <v>4</v>
      </c>
      <c r="B48" s="10" t="s">
        <v>5</v>
      </c>
      <c r="C48" s="11" t="s">
        <v>6</v>
      </c>
      <c r="D48" s="12" t="s">
        <v>7</v>
      </c>
      <c r="E48" s="11" t="s">
        <v>8</v>
      </c>
      <c r="F48" s="12" t="s">
        <v>9</v>
      </c>
      <c r="G48" s="11" t="s">
        <v>10</v>
      </c>
      <c r="H48" s="32" t="s">
        <v>11</v>
      </c>
      <c r="J48" s="35" t="s">
        <v>3</v>
      </c>
      <c r="K48" s="14">
        <v>45566</v>
      </c>
      <c r="L48" s="24">
        <v>45568</v>
      </c>
      <c r="M48" s="24">
        <v>45573</v>
      </c>
      <c r="N48" s="24">
        <v>45575</v>
      </c>
      <c r="O48" s="24">
        <v>45580</v>
      </c>
      <c r="P48" s="24">
        <v>45582</v>
      </c>
      <c r="Q48" s="24">
        <v>45584</v>
      </c>
      <c r="R48" s="24">
        <v>45587</v>
      </c>
      <c r="S48" s="24">
        <v>45589</v>
      </c>
      <c r="T48" s="24">
        <v>45593</v>
      </c>
      <c r="U48" s="80">
        <v>45596</v>
      </c>
      <c r="W48" s="35" t="s">
        <v>3</v>
      </c>
      <c r="X48" s="14"/>
      <c r="Y48" s="15"/>
      <c r="Z48" s="15"/>
      <c r="AA48" s="15"/>
      <c r="AB48" s="15"/>
      <c r="AC48" s="16"/>
      <c r="AE48" s="35" t="s">
        <v>3</v>
      </c>
      <c r="AF48" s="14"/>
      <c r="AG48" s="15"/>
      <c r="AH48" s="15"/>
      <c r="AI48" s="15"/>
      <c r="AJ48" s="15"/>
      <c r="AK48" s="16"/>
    </row>
    <row r="49" spans="1:37" ht="15.75" thickBot="1" x14ac:dyDescent="0.3">
      <c r="A49" s="168"/>
      <c r="B49" s="17">
        <v>47094</v>
      </c>
      <c r="C49" s="18"/>
      <c r="D49" s="18"/>
      <c r="E49" s="18"/>
      <c r="F49" s="18">
        <f>SUM(C49-B49)</f>
        <v>-47094</v>
      </c>
      <c r="G49" s="18">
        <f>SUM(E49-D49)</f>
        <v>0</v>
      </c>
      <c r="H49" s="33">
        <f>SUM(F49:G49)</f>
        <v>-47094</v>
      </c>
      <c r="J49" s="36" t="s">
        <v>21</v>
      </c>
      <c r="K49" s="19">
        <v>212.14</v>
      </c>
      <c r="L49" s="20">
        <v>192.35</v>
      </c>
      <c r="M49" s="20">
        <v>384.56</v>
      </c>
      <c r="N49" s="20">
        <v>271.77</v>
      </c>
      <c r="O49" s="20">
        <v>421.93</v>
      </c>
      <c r="P49" s="20">
        <v>351.24</v>
      </c>
      <c r="Q49" s="20">
        <v>421.09</v>
      </c>
      <c r="R49" s="20">
        <v>240.05</v>
      </c>
      <c r="S49" s="20">
        <v>252</v>
      </c>
      <c r="T49" s="20">
        <v>281.48</v>
      </c>
      <c r="U49" s="21">
        <v>183.21</v>
      </c>
      <c r="W49" s="36" t="s">
        <v>21</v>
      </c>
      <c r="X49" s="19"/>
      <c r="Y49" s="20"/>
      <c r="Z49" s="20"/>
      <c r="AA49" s="20"/>
      <c r="AB49" s="20"/>
      <c r="AC49" s="21"/>
      <c r="AE49" s="36" t="s">
        <v>21</v>
      </c>
      <c r="AF49" s="19"/>
      <c r="AG49" s="20"/>
      <c r="AH49" s="20"/>
      <c r="AI49" s="20"/>
      <c r="AJ49" s="20"/>
      <c r="AK49" s="21"/>
    </row>
    <row r="50" spans="1:37" x14ac:dyDescent="0.25">
      <c r="B50" s="2">
        <v>66815</v>
      </c>
      <c r="E50" s="2">
        <v>67583</v>
      </c>
      <c r="F50" s="2"/>
      <c r="G50" s="2"/>
      <c r="H50" s="2">
        <v>768</v>
      </c>
      <c r="J50" s="37"/>
      <c r="T50" s="22" t="s">
        <v>22</v>
      </c>
      <c r="U50" s="23">
        <f>SUM(K49:U49)</f>
        <v>3211.82</v>
      </c>
      <c r="AB50" s="22" t="s">
        <v>22</v>
      </c>
      <c r="AC50" s="23">
        <f>SUM(X49:AC49)</f>
        <v>0</v>
      </c>
      <c r="AJ50" s="22" t="s">
        <v>22</v>
      </c>
      <c r="AK50" s="23">
        <f>SUM(AF49:AK49)</f>
        <v>0</v>
      </c>
    </row>
    <row r="51" spans="1:37" ht="15.75" thickBot="1" x14ac:dyDescent="0.3">
      <c r="A51" s="34"/>
      <c r="B51" s="171" t="s">
        <v>19</v>
      </c>
      <c r="C51" s="171"/>
      <c r="D51" s="171"/>
      <c r="E51" s="171"/>
      <c r="F51" s="171"/>
      <c r="G51" s="171"/>
      <c r="H51" s="171"/>
      <c r="J51" s="172" t="s">
        <v>19</v>
      </c>
      <c r="K51" s="172"/>
      <c r="L51" s="172"/>
      <c r="M51" s="172"/>
      <c r="N51" s="172"/>
      <c r="O51" s="172"/>
      <c r="P51" s="172"/>
      <c r="Q51" s="172"/>
      <c r="R51" s="172"/>
      <c r="S51" s="172"/>
      <c r="T51" s="172"/>
      <c r="U51" s="172"/>
      <c r="W51" s="173" t="str">
        <f>J51</f>
        <v>Novembro</v>
      </c>
      <c r="X51" s="173"/>
      <c r="Y51" s="173"/>
      <c r="Z51" s="173"/>
      <c r="AA51" s="173"/>
      <c r="AB51" s="173"/>
      <c r="AC51" s="173"/>
      <c r="AE51" s="174" t="str">
        <f>W51</f>
        <v>Novembro</v>
      </c>
      <c r="AF51" s="174"/>
      <c r="AG51" s="174"/>
      <c r="AH51" s="174"/>
      <c r="AI51" s="174"/>
      <c r="AJ51" s="174"/>
      <c r="AK51" s="174"/>
    </row>
    <row r="52" spans="1:37" ht="15.75" thickBot="1" x14ac:dyDescent="0.3">
      <c r="A52" s="168" t="s">
        <v>4</v>
      </c>
      <c r="B52" s="10" t="s">
        <v>5</v>
      </c>
      <c r="C52" s="11" t="s">
        <v>6</v>
      </c>
      <c r="D52" s="12" t="s">
        <v>7</v>
      </c>
      <c r="E52" s="11" t="s">
        <v>8</v>
      </c>
      <c r="F52" s="12" t="s">
        <v>9</v>
      </c>
      <c r="G52" s="11" t="s">
        <v>10</v>
      </c>
      <c r="H52" s="32" t="s">
        <v>11</v>
      </c>
      <c r="J52" s="35" t="s">
        <v>3</v>
      </c>
      <c r="K52" s="14">
        <v>45598</v>
      </c>
      <c r="L52" s="24">
        <v>45601</v>
      </c>
      <c r="M52" s="24">
        <v>45603</v>
      </c>
      <c r="N52" s="24">
        <v>45605</v>
      </c>
      <c r="O52" s="24">
        <v>45615</v>
      </c>
      <c r="P52" s="24">
        <v>45626</v>
      </c>
      <c r="Q52" s="15"/>
      <c r="R52" s="15"/>
      <c r="S52" s="15"/>
      <c r="T52" s="15"/>
      <c r="U52" s="16"/>
      <c r="W52" s="35" t="s">
        <v>3</v>
      </c>
      <c r="X52" s="14"/>
      <c r="Y52" s="15"/>
      <c r="Z52" s="15"/>
      <c r="AA52" s="15"/>
      <c r="AB52" s="15"/>
      <c r="AC52" s="16"/>
      <c r="AE52" s="35" t="s">
        <v>3</v>
      </c>
      <c r="AF52" s="14"/>
      <c r="AG52" s="15"/>
      <c r="AH52" s="15"/>
      <c r="AI52" s="15"/>
      <c r="AJ52" s="15"/>
      <c r="AK52" s="16"/>
    </row>
    <row r="53" spans="1:37" ht="15.75" thickBot="1" x14ac:dyDescent="0.3">
      <c r="A53" s="168"/>
      <c r="B53" s="17"/>
      <c r="C53" s="18"/>
      <c r="D53" s="18"/>
      <c r="E53" s="18"/>
      <c r="F53" s="18">
        <f>SUM(C53-B53)</f>
        <v>0</v>
      </c>
      <c r="G53" s="18">
        <f>SUM(E53-D53)</f>
        <v>0</v>
      </c>
      <c r="H53" s="33">
        <f>SUM(F53:G53)</f>
        <v>0</v>
      </c>
      <c r="J53" s="36" t="s">
        <v>21</v>
      </c>
      <c r="K53" s="19">
        <v>157.41999999999999</v>
      </c>
      <c r="L53" s="20">
        <v>289.32</v>
      </c>
      <c r="M53" s="20">
        <v>284.86</v>
      </c>
      <c r="N53" s="20">
        <v>252.89</v>
      </c>
      <c r="O53" s="20">
        <v>307.10000000000002</v>
      </c>
      <c r="P53" s="20">
        <v>246.33</v>
      </c>
      <c r="Q53" s="20"/>
      <c r="R53" s="20"/>
      <c r="S53" s="20"/>
      <c r="T53" s="20"/>
      <c r="U53" s="21"/>
      <c r="W53" s="36" t="s">
        <v>21</v>
      </c>
      <c r="X53" s="19"/>
      <c r="Y53" s="20"/>
      <c r="Z53" s="20"/>
      <c r="AA53" s="20"/>
      <c r="AB53" s="20"/>
      <c r="AC53" s="21"/>
      <c r="AE53" s="36" t="s">
        <v>21</v>
      </c>
      <c r="AF53" s="19"/>
      <c r="AG53" s="20"/>
      <c r="AH53" s="20"/>
      <c r="AI53" s="20"/>
      <c r="AJ53" s="20"/>
      <c r="AK53" s="21"/>
    </row>
    <row r="54" spans="1:37" x14ac:dyDescent="0.25">
      <c r="F54" s="2"/>
      <c r="G54" s="2"/>
      <c r="H54" s="2"/>
      <c r="J54" s="37"/>
      <c r="T54" s="22" t="s">
        <v>22</v>
      </c>
      <c r="U54" s="23">
        <f>SUM(K53:U53)</f>
        <v>1537.92</v>
      </c>
      <c r="AB54" s="22" t="s">
        <v>22</v>
      </c>
      <c r="AC54" s="23">
        <f>SUM(X53:AC53)</f>
        <v>0</v>
      </c>
      <c r="AJ54" s="22" t="s">
        <v>22</v>
      </c>
      <c r="AK54" s="23">
        <f>SUM(AF53:AK53)</f>
        <v>0</v>
      </c>
    </row>
    <row r="55" spans="1:37" ht="15.75" thickBot="1" x14ac:dyDescent="0.3">
      <c r="A55" s="34"/>
      <c r="B55" s="171" t="s">
        <v>20</v>
      </c>
      <c r="C55" s="171"/>
      <c r="D55" s="171"/>
      <c r="E55" s="171"/>
      <c r="F55" s="171"/>
      <c r="G55" s="171"/>
      <c r="H55" s="171"/>
      <c r="J55" s="172" t="s">
        <v>20</v>
      </c>
      <c r="K55" s="172"/>
      <c r="L55" s="172"/>
      <c r="M55" s="172"/>
      <c r="N55" s="172"/>
      <c r="O55" s="172"/>
      <c r="P55" s="172"/>
      <c r="Q55" s="172"/>
      <c r="R55" s="172"/>
      <c r="S55" s="172"/>
      <c r="T55" s="172"/>
      <c r="U55" s="172"/>
      <c r="W55" s="173" t="str">
        <f>J55</f>
        <v>Dezembro</v>
      </c>
      <c r="X55" s="173"/>
      <c r="Y55" s="173"/>
      <c r="Z55" s="173"/>
      <c r="AA55" s="173"/>
      <c r="AB55" s="173"/>
      <c r="AC55" s="173"/>
      <c r="AE55" s="174" t="str">
        <f>W55</f>
        <v>Dezembro</v>
      </c>
      <c r="AF55" s="174"/>
      <c r="AG55" s="174"/>
      <c r="AH55" s="174"/>
      <c r="AI55" s="174"/>
      <c r="AJ55" s="174"/>
      <c r="AK55" s="174"/>
    </row>
    <row r="56" spans="1:37" ht="15.75" thickBot="1" x14ac:dyDescent="0.3">
      <c r="A56" s="168" t="s">
        <v>4</v>
      </c>
      <c r="B56" s="10" t="s">
        <v>5</v>
      </c>
      <c r="C56" s="11" t="s">
        <v>6</v>
      </c>
      <c r="D56" s="12" t="s">
        <v>7</v>
      </c>
      <c r="E56" s="11" t="s">
        <v>8</v>
      </c>
      <c r="F56" s="12" t="s">
        <v>9</v>
      </c>
      <c r="G56" s="11" t="s">
        <v>10</v>
      </c>
      <c r="H56" s="32" t="s">
        <v>11</v>
      </c>
      <c r="J56" s="35" t="s">
        <v>3</v>
      </c>
      <c r="K56" s="14">
        <v>45629</v>
      </c>
      <c r="L56" s="24">
        <v>45631</v>
      </c>
      <c r="M56" s="24">
        <v>45998</v>
      </c>
      <c r="N56" s="24">
        <v>45636</v>
      </c>
      <c r="O56" s="24">
        <v>45638</v>
      </c>
      <c r="P56" s="24">
        <v>45643</v>
      </c>
      <c r="Q56" s="24">
        <v>45645</v>
      </c>
      <c r="R56" s="24">
        <v>45652</v>
      </c>
      <c r="S56" s="24">
        <v>45656</v>
      </c>
      <c r="T56" s="24"/>
      <c r="U56" s="16"/>
      <c r="W56" s="35" t="s">
        <v>3</v>
      </c>
      <c r="X56" s="14">
        <v>45645</v>
      </c>
      <c r="Y56" s="15"/>
      <c r="Z56" s="15"/>
      <c r="AA56" s="15"/>
      <c r="AB56" s="15"/>
      <c r="AC56" s="16"/>
      <c r="AE56" s="35" t="s">
        <v>3</v>
      </c>
      <c r="AF56" s="14"/>
      <c r="AG56" s="15"/>
      <c r="AH56" s="15"/>
      <c r="AI56" s="15"/>
      <c r="AJ56" s="15"/>
      <c r="AK56" s="16"/>
    </row>
    <row r="57" spans="1:37" ht="15.75" thickBot="1" x14ac:dyDescent="0.3">
      <c r="A57" s="168"/>
      <c r="B57" s="17">
        <v>72438</v>
      </c>
      <c r="C57" s="18">
        <v>73617</v>
      </c>
      <c r="D57" s="18">
        <v>73795</v>
      </c>
      <c r="E57" s="18">
        <v>75217</v>
      </c>
      <c r="F57" s="18">
        <f>SUM(C57-B57)</f>
        <v>1179</v>
      </c>
      <c r="G57" s="18">
        <f>SUM(E57-D57)</f>
        <v>1422</v>
      </c>
      <c r="H57" s="33">
        <f>SUM(F57:G57)</f>
        <v>2601</v>
      </c>
      <c r="J57" s="36" t="s">
        <v>21</v>
      </c>
      <c r="K57" s="19">
        <v>172.04</v>
      </c>
      <c r="L57" s="20">
        <v>155.22999999999999</v>
      </c>
      <c r="M57" s="20">
        <v>252.08</v>
      </c>
      <c r="N57" s="20">
        <v>149.26</v>
      </c>
      <c r="O57" s="20">
        <v>218.5</v>
      </c>
      <c r="P57" s="20">
        <v>381.37</v>
      </c>
      <c r="Q57" s="20">
        <v>221.06</v>
      </c>
      <c r="R57" s="20">
        <v>310.07</v>
      </c>
      <c r="S57" s="20">
        <v>301.83999999999997</v>
      </c>
      <c r="T57" s="20"/>
      <c r="U57" s="21"/>
      <c r="W57" s="36" t="s">
        <v>21</v>
      </c>
      <c r="X57" s="19">
        <v>45</v>
      </c>
      <c r="Y57" s="20"/>
      <c r="Z57" s="20"/>
      <c r="AA57" s="20"/>
      <c r="AB57" s="20"/>
      <c r="AC57" s="21"/>
      <c r="AE57" s="36" t="s">
        <v>21</v>
      </c>
      <c r="AF57" s="19"/>
      <c r="AG57" s="20"/>
      <c r="AH57" s="20"/>
      <c r="AI57" s="20"/>
      <c r="AJ57" s="20"/>
      <c r="AK57" s="21"/>
    </row>
    <row r="58" spans="1:37" x14ac:dyDescent="0.25">
      <c r="J58" s="37"/>
      <c r="T58" s="22" t="s">
        <v>22</v>
      </c>
      <c r="U58" s="23">
        <f>SUM(K57:U57)</f>
        <v>2161.4499999999998</v>
      </c>
      <c r="AB58" s="22" t="s">
        <v>22</v>
      </c>
      <c r="AC58" s="23">
        <f>SUM(X57:AC57)</f>
        <v>45</v>
      </c>
      <c r="AJ58" s="22" t="s">
        <v>22</v>
      </c>
      <c r="AK58" s="23">
        <f>SUM(AF57:AK57)</f>
        <v>0</v>
      </c>
    </row>
    <row r="59" spans="1:37" ht="15.75" thickBot="1" x14ac:dyDescent="0.3">
      <c r="A59" s="34"/>
      <c r="B59" s="171" t="s">
        <v>54</v>
      </c>
      <c r="C59" s="171"/>
      <c r="D59" s="171"/>
      <c r="E59" s="171"/>
      <c r="F59" s="171"/>
      <c r="G59" s="171"/>
      <c r="H59" s="171"/>
      <c r="J59" s="172" t="s">
        <v>54</v>
      </c>
      <c r="K59" s="172"/>
      <c r="L59" s="172"/>
      <c r="M59" s="172"/>
      <c r="N59" s="172"/>
      <c r="O59" s="172"/>
      <c r="P59" s="172"/>
      <c r="Q59" s="172"/>
      <c r="R59" s="172"/>
      <c r="S59" s="172"/>
      <c r="T59" s="172"/>
      <c r="U59" s="172"/>
      <c r="W59" s="173" t="str">
        <f>J59</f>
        <v>Janeiro</v>
      </c>
      <c r="X59" s="173"/>
      <c r="Y59" s="173"/>
      <c r="Z59" s="173"/>
      <c r="AA59" s="173"/>
      <c r="AB59" s="173"/>
      <c r="AC59" s="173"/>
      <c r="AE59" s="174" t="str">
        <f>W59</f>
        <v>Janeiro</v>
      </c>
      <c r="AF59" s="174"/>
      <c r="AG59" s="174"/>
      <c r="AH59" s="174"/>
      <c r="AI59" s="174"/>
      <c r="AJ59" s="174"/>
      <c r="AK59" s="174"/>
    </row>
    <row r="60" spans="1:37" ht="15.75" thickBot="1" x14ac:dyDescent="0.3">
      <c r="A60" s="168" t="s">
        <v>4</v>
      </c>
      <c r="B60" s="10" t="s">
        <v>5</v>
      </c>
      <c r="C60" s="11" t="s">
        <v>6</v>
      </c>
      <c r="D60" s="12" t="s">
        <v>7</v>
      </c>
      <c r="E60" s="11" t="s">
        <v>8</v>
      </c>
      <c r="F60" s="12" t="s">
        <v>9</v>
      </c>
      <c r="G60" s="11" t="s">
        <v>10</v>
      </c>
      <c r="H60" s="32" t="s">
        <v>11</v>
      </c>
      <c r="J60" s="35" t="s">
        <v>3</v>
      </c>
      <c r="K60" s="14">
        <v>45663</v>
      </c>
      <c r="L60" s="24">
        <v>45664</v>
      </c>
      <c r="M60" s="24">
        <v>45666</v>
      </c>
      <c r="N60" s="24">
        <v>45668</v>
      </c>
      <c r="O60" s="24">
        <v>45671</v>
      </c>
      <c r="P60" s="24">
        <v>45673</v>
      </c>
      <c r="Q60" s="24">
        <v>45680</v>
      </c>
      <c r="R60" s="24">
        <v>45682</v>
      </c>
      <c r="S60" s="24">
        <v>45687</v>
      </c>
      <c r="T60" s="15"/>
      <c r="U60" s="16"/>
      <c r="W60" s="35" t="s">
        <v>3</v>
      </c>
      <c r="X60" s="14">
        <v>45668</v>
      </c>
      <c r="Y60" s="14">
        <v>45682</v>
      </c>
      <c r="Z60" s="15"/>
      <c r="AA60" s="15"/>
      <c r="AB60" s="15"/>
      <c r="AC60" s="16"/>
      <c r="AE60" s="35" t="s">
        <v>3</v>
      </c>
      <c r="AF60" s="14"/>
      <c r="AG60" s="15"/>
      <c r="AH60" s="15"/>
      <c r="AI60" s="15"/>
      <c r="AJ60" s="15"/>
      <c r="AK60" s="16"/>
    </row>
    <row r="61" spans="1:37" ht="15.75" thickBot="1" x14ac:dyDescent="0.3">
      <c r="A61" s="168"/>
      <c r="B61" s="17">
        <v>75217</v>
      </c>
      <c r="C61" s="18">
        <v>77006</v>
      </c>
      <c r="D61" s="18">
        <v>77006</v>
      </c>
      <c r="E61" s="18">
        <v>78780</v>
      </c>
      <c r="F61" s="18">
        <f>SUM(C61-B61)</f>
        <v>1789</v>
      </c>
      <c r="G61" s="18">
        <f>SUM(E61-D61)</f>
        <v>1774</v>
      </c>
      <c r="H61" s="33">
        <f>SUM(F61:G61)</f>
        <v>3563</v>
      </c>
      <c r="J61" s="36" t="s">
        <v>21</v>
      </c>
      <c r="K61" s="19">
        <v>398.2</v>
      </c>
      <c r="L61" s="20">
        <v>199.99</v>
      </c>
      <c r="M61" s="20">
        <v>234.13</v>
      </c>
      <c r="N61" s="20">
        <v>165.13</v>
      </c>
      <c r="O61" s="20">
        <v>246.67</v>
      </c>
      <c r="P61" s="20">
        <v>286.89</v>
      </c>
      <c r="Q61" s="20">
        <v>283.01</v>
      </c>
      <c r="R61" s="20">
        <v>306.23</v>
      </c>
      <c r="S61" s="20">
        <v>348.07</v>
      </c>
      <c r="T61" s="20"/>
      <c r="U61" s="21"/>
      <c r="W61" s="36" t="s">
        <v>21</v>
      </c>
      <c r="X61" s="19">
        <v>45</v>
      </c>
      <c r="Y61" s="20">
        <v>45</v>
      </c>
      <c r="Z61" s="20"/>
      <c r="AA61" s="20"/>
      <c r="AB61" s="20"/>
      <c r="AC61" s="21"/>
      <c r="AE61" s="36" t="s">
        <v>21</v>
      </c>
      <c r="AF61" s="19"/>
      <c r="AG61" s="20"/>
      <c r="AH61" s="20"/>
      <c r="AI61" s="20"/>
      <c r="AJ61" s="20"/>
      <c r="AK61" s="21"/>
    </row>
    <row r="62" spans="1:37" x14ac:dyDescent="0.25">
      <c r="J62" s="37"/>
      <c r="T62" s="22" t="s">
        <v>22</v>
      </c>
      <c r="U62" s="23">
        <f>SUM(K61:U61)</f>
        <v>2468.3200000000002</v>
      </c>
      <c r="AB62" s="22" t="s">
        <v>22</v>
      </c>
      <c r="AC62" s="23">
        <f>SUM(X61:AC61)</f>
        <v>90</v>
      </c>
      <c r="AJ62" s="22" t="s">
        <v>22</v>
      </c>
      <c r="AK62" s="23">
        <f>SUM(AF61:AK61)</f>
        <v>0</v>
      </c>
    </row>
    <row r="63" spans="1:37" ht="15.75" thickBot="1" x14ac:dyDescent="0.3">
      <c r="A63" s="34"/>
      <c r="B63" s="171" t="s">
        <v>2</v>
      </c>
      <c r="C63" s="171"/>
      <c r="D63" s="171"/>
      <c r="E63" s="171"/>
      <c r="F63" s="171"/>
      <c r="G63" s="171"/>
      <c r="H63" s="171"/>
      <c r="J63" s="172" t="s">
        <v>2</v>
      </c>
      <c r="K63" s="172"/>
      <c r="L63" s="172"/>
      <c r="M63" s="172"/>
      <c r="N63" s="172"/>
      <c r="O63" s="172"/>
      <c r="P63" s="172"/>
      <c r="Q63" s="172"/>
      <c r="R63" s="172"/>
      <c r="S63" s="172"/>
      <c r="T63" s="172"/>
      <c r="U63" s="172"/>
      <c r="W63" s="173" t="str">
        <f>J63</f>
        <v>Fevereiro</v>
      </c>
      <c r="X63" s="173"/>
      <c r="Y63" s="173"/>
      <c r="Z63" s="173"/>
      <c r="AA63" s="173"/>
      <c r="AB63" s="173"/>
      <c r="AC63" s="173"/>
      <c r="AE63" s="174" t="str">
        <f>W63</f>
        <v>Fevereiro</v>
      </c>
      <c r="AF63" s="174"/>
      <c r="AG63" s="174"/>
      <c r="AH63" s="174"/>
      <c r="AI63" s="174"/>
      <c r="AJ63" s="174"/>
      <c r="AK63" s="174"/>
    </row>
    <row r="64" spans="1:37" ht="15.75" thickBot="1" x14ac:dyDescent="0.3">
      <c r="A64" s="168" t="s">
        <v>4</v>
      </c>
      <c r="B64" s="10" t="s">
        <v>5</v>
      </c>
      <c r="C64" s="11" t="s">
        <v>6</v>
      </c>
      <c r="D64" s="12" t="s">
        <v>7</v>
      </c>
      <c r="E64" s="11" t="s">
        <v>8</v>
      </c>
      <c r="F64" s="12" t="s">
        <v>9</v>
      </c>
      <c r="G64" s="11" t="s">
        <v>10</v>
      </c>
      <c r="H64" s="32" t="s">
        <v>11</v>
      </c>
      <c r="J64" s="35" t="s">
        <v>3</v>
      </c>
      <c r="K64" s="14"/>
      <c r="L64" s="24"/>
      <c r="M64" s="24"/>
      <c r="N64" s="24"/>
      <c r="O64" s="24"/>
      <c r="P64" s="24"/>
      <c r="Q64" s="24"/>
      <c r="R64" s="24"/>
      <c r="S64" s="24"/>
      <c r="T64" s="15"/>
      <c r="U64" s="16"/>
      <c r="W64" s="35" t="s">
        <v>3</v>
      </c>
      <c r="X64" s="14">
        <v>45710</v>
      </c>
      <c r="Y64" s="14"/>
      <c r="Z64" s="15"/>
      <c r="AA64" s="15"/>
      <c r="AB64" s="15"/>
      <c r="AC64" s="16"/>
      <c r="AE64" s="35" t="s">
        <v>3</v>
      </c>
      <c r="AF64" s="14"/>
      <c r="AG64" s="15"/>
      <c r="AH64" s="15"/>
      <c r="AI64" s="15"/>
      <c r="AJ64" s="15"/>
      <c r="AK64" s="16"/>
    </row>
    <row r="65" spans="1:37" ht="15.75" thickBot="1" x14ac:dyDescent="0.3">
      <c r="A65" s="168"/>
      <c r="B65" s="17">
        <v>78780</v>
      </c>
      <c r="C65" s="18">
        <v>80702</v>
      </c>
      <c r="D65" s="18">
        <v>80702</v>
      </c>
      <c r="E65" s="18">
        <v>82437</v>
      </c>
      <c r="F65" s="18">
        <f>SUM(C65-B65)</f>
        <v>1922</v>
      </c>
      <c r="G65" s="18">
        <f>SUM(E65-D65)</f>
        <v>1735</v>
      </c>
      <c r="H65" s="33">
        <f>SUM(F65:G65)</f>
        <v>3657</v>
      </c>
      <c r="J65" s="36" t="s">
        <v>21</v>
      </c>
      <c r="K65" s="19"/>
      <c r="L65" s="20"/>
      <c r="M65" s="20"/>
      <c r="N65" s="20"/>
      <c r="O65" s="20"/>
      <c r="P65" s="20"/>
      <c r="Q65" s="20"/>
      <c r="R65" s="20"/>
      <c r="S65" s="20"/>
      <c r="T65" s="20"/>
      <c r="U65" s="21"/>
      <c r="W65" s="36" t="s">
        <v>21</v>
      </c>
      <c r="X65" s="19">
        <v>45</v>
      </c>
      <c r="Y65" s="20"/>
      <c r="Z65" s="20"/>
      <c r="AA65" s="20"/>
      <c r="AB65" s="20"/>
      <c r="AC65" s="21"/>
      <c r="AE65" s="36" t="s">
        <v>21</v>
      </c>
      <c r="AF65" s="19"/>
      <c r="AG65" s="20"/>
      <c r="AH65" s="20"/>
      <c r="AI65" s="20"/>
      <c r="AJ65" s="20"/>
      <c r="AK65" s="21"/>
    </row>
    <row r="66" spans="1:37" x14ac:dyDescent="0.25">
      <c r="J66" s="37"/>
      <c r="T66" s="22" t="s">
        <v>22</v>
      </c>
      <c r="U66" s="23">
        <f>SUM(K65:U65)</f>
        <v>0</v>
      </c>
      <c r="AB66" s="22" t="s">
        <v>22</v>
      </c>
      <c r="AC66" s="23">
        <f>SUM(X65:AC65)</f>
        <v>45</v>
      </c>
      <c r="AJ66" s="22" t="s">
        <v>22</v>
      </c>
      <c r="AK66" s="23">
        <f>SUM(AF65:AK65)</f>
        <v>0</v>
      </c>
    </row>
    <row r="67" spans="1:37" ht="15.75" thickBot="1" x14ac:dyDescent="0.3">
      <c r="A67" s="34" t="s">
        <v>79</v>
      </c>
      <c r="B67" s="171" t="s">
        <v>12</v>
      </c>
      <c r="C67" s="171"/>
      <c r="D67" s="171"/>
      <c r="E67" s="171"/>
      <c r="F67" s="171"/>
      <c r="G67" s="171"/>
      <c r="H67" s="171"/>
      <c r="J67" s="172" t="s">
        <v>12</v>
      </c>
      <c r="K67" s="172"/>
      <c r="L67" s="172"/>
      <c r="M67" s="172"/>
      <c r="N67" s="172"/>
      <c r="O67" s="172"/>
      <c r="P67" s="172"/>
      <c r="Q67" s="172"/>
      <c r="R67" s="172"/>
      <c r="S67" s="172"/>
      <c r="T67" s="172"/>
      <c r="U67" s="172"/>
      <c r="W67" s="173" t="str">
        <f>J67</f>
        <v>Março</v>
      </c>
      <c r="X67" s="173"/>
      <c r="Y67" s="173"/>
      <c r="Z67" s="173"/>
      <c r="AA67" s="173"/>
      <c r="AB67" s="173"/>
      <c r="AC67" s="173"/>
      <c r="AE67" s="174" t="str">
        <f>W67</f>
        <v>Março</v>
      </c>
      <c r="AF67" s="174"/>
      <c r="AG67" s="174"/>
      <c r="AH67" s="174"/>
      <c r="AI67" s="174"/>
      <c r="AJ67" s="174"/>
      <c r="AK67" s="174"/>
    </row>
    <row r="68" spans="1:37" ht="15.75" thickBot="1" x14ac:dyDescent="0.3">
      <c r="A68" s="168" t="s">
        <v>4</v>
      </c>
      <c r="B68" s="10" t="s">
        <v>5</v>
      </c>
      <c r="C68" s="11" t="s">
        <v>6</v>
      </c>
      <c r="D68" s="12" t="s">
        <v>7</v>
      </c>
      <c r="E68" s="11" t="s">
        <v>8</v>
      </c>
      <c r="F68" s="12" t="s">
        <v>9</v>
      </c>
      <c r="G68" s="11" t="s">
        <v>10</v>
      </c>
      <c r="H68" s="32" t="s">
        <v>11</v>
      </c>
      <c r="J68" s="35" t="s">
        <v>3</v>
      </c>
      <c r="K68" s="14">
        <v>45720</v>
      </c>
      <c r="L68" s="24">
        <v>45724</v>
      </c>
      <c r="M68" s="24">
        <v>45727</v>
      </c>
      <c r="N68" s="24">
        <v>45729</v>
      </c>
      <c r="O68" s="24">
        <v>45730</v>
      </c>
      <c r="P68" s="24"/>
      <c r="Q68" s="24"/>
      <c r="R68" s="24"/>
      <c r="S68" s="24"/>
      <c r="T68" s="15"/>
      <c r="U68" s="16"/>
      <c r="W68" s="35" t="s">
        <v>3</v>
      </c>
      <c r="X68" s="14">
        <v>45730</v>
      </c>
      <c r="Y68" s="14"/>
      <c r="Z68" s="15"/>
      <c r="AA68" s="15"/>
      <c r="AB68" s="15"/>
      <c r="AC68" s="16"/>
      <c r="AE68" s="35" t="s">
        <v>3</v>
      </c>
      <c r="AF68" s="14"/>
      <c r="AG68" s="15"/>
      <c r="AH68" s="15"/>
      <c r="AI68" s="15"/>
      <c r="AJ68" s="15"/>
      <c r="AK68" s="16"/>
    </row>
    <row r="69" spans="1:37" ht="15.75" thickBot="1" x14ac:dyDescent="0.3">
      <c r="A69" s="168"/>
      <c r="B69" s="17">
        <v>82762</v>
      </c>
      <c r="C69" s="18">
        <v>89314</v>
      </c>
      <c r="D69" s="18"/>
      <c r="E69" s="18"/>
      <c r="F69" s="18">
        <f>SUM(C69-B69)</f>
        <v>6552</v>
      </c>
      <c r="G69" s="18">
        <f>SUM(E69-D69)</f>
        <v>0</v>
      </c>
      <c r="H69" s="33">
        <f>SUM(F69:G69)</f>
        <v>6552</v>
      </c>
      <c r="J69" s="36" t="s">
        <v>21</v>
      </c>
      <c r="K69" s="19">
        <v>331.06</v>
      </c>
      <c r="L69" s="20">
        <v>42.71</v>
      </c>
      <c r="M69" s="20">
        <v>265.16000000000003</v>
      </c>
      <c r="N69" s="20">
        <v>128.09</v>
      </c>
      <c r="O69" s="20">
        <v>258.77</v>
      </c>
      <c r="P69" s="20"/>
      <c r="Q69" s="20"/>
      <c r="R69" s="20"/>
      <c r="S69" s="20"/>
      <c r="T69" s="20"/>
      <c r="U69" s="21"/>
      <c r="W69" s="36" t="s">
        <v>21</v>
      </c>
      <c r="X69" s="19">
        <v>400</v>
      </c>
      <c r="Y69" s="20"/>
      <c r="Z69" s="20"/>
      <c r="AA69" s="20"/>
      <c r="AB69" s="20"/>
      <c r="AC69" s="21"/>
      <c r="AE69" s="36" t="s">
        <v>21</v>
      </c>
      <c r="AF69" s="19"/>
      <c r="AG69" s="20"/>
      <c r="AH69" s="20"/>
      <c r="AI69" s="20"/>
      <c r="AJ69" s="20"/>
      <c r="AK69" s="21"/>
    </row>
    <row r="70" spans="1:37" x14ac:dyDescent="0.25">
      <c r="J70" s="37"/>
      <c r="T70" s="22" t="s">
        <v>22</v>
      </c>
      <c r="U70" s="23">
        <f>SUM(K69:U69)</f>
        <v>1025.79</v>
      </c>
      <c r="AB70" s="22" t="s">
        <v>22</v>
      </c>
      <c r="AC70" s="23">
        <f>SUM(X69:AC69)</f>
        <v>400</v>
      </c>
      <c r="AJ70" s="22" t="s">
        <v>22</v>
      </c>
      <c r="AK70" s="23">
        <f>SUM(AF69:AK69)</f>
        <v>0</v>
      </c>
    </row>
  </sheetData>
  <mergeCells count="86">
    <mergeCell ref="B67:H67"/>
    <mergeCell ref="J67:U67"/>
    <mergeCell ref="W67:AC67"/>
    <mergeCell ref="AE67:AK67"/>
    <mergeCell ref="A68:A69"/>
    <mergeCell ref="B6:C6"/>
    <mergeCell ref="E6:F6"/>
    <mergeCell ref="A1:A2"/>
    <mergeCell ref="B1:AK1"/>
    <mergeCell ref="B2:AK2"/>
    <mergeCell ref="B4:C4"/>
    <mergeCell ref="E4:F4"/>
    <mergeCell ref="A16:A17"/>
    <mergeCell ref="A9:H9"/>
    <mergeCell ref="J9:U9"/>
    <mergeCell ref="W9:AC9"/>
    <mergeCell ref="AE9:AK9"/>
    <mergeCell ref="B11:H11"/>
    <mergeCell ref="J11:U11"/>
    <mergeCell ref="W11:AC11"/>
    <mergeCell ref="AE11:AK11"/>
    <mergeCell ref="A12:A13"/>
    <mergeCell ref="B15:H15"/>
    <mergeCell ref="J15:U15"/>
    <mergeCell ref="W15:AC15"/>
    <mergeCell ref="AE15:AK15"/>
    <mergeCell ref="A28:A29"/>
    <mergeCell ref="B19:H19"/>
    <mergeCell ref="J19:U19"/>
    <mergeCell ref="W19:AC19"/>
    <mergeCell ref="AE19:AK19"/>
    <mergeCell ref="A20:A21"/>
    <mergeCell ref="B23:H23"/>
    <mergeCell ref="J23:U23"/>
    <mergeCell ref="W23:AC23"/>
    <mergeCell ref="AE23:AK23"/>
    <mergeCell ref="A24:A25"/>
    <mergeCell ref="B27:H27"/>
    <mergeCell ref="J27:U27"/>
    <mergeCell ref="W27:AC27"/>
    <mergeCell ref="AE27:AK27"/>
    <mergeCell ref="A40:A41"/>
    <mergeCell ref="B31:H31"/>
    <mergeCell ref="J31:U31"/>
    <mergeCell ref="W31:AC31"/>
    <mergeCell ref="AE31:AK31"/>
    <mergeCell ref="A32:A33"/>
    <mergeCell ref="B35:H35"/>
    <mergeCell ref="J35:U35"/>
    <mergeCell ref="W35:AC35"/>
    <mergeCell ref="AE35:AK35"/>
    <mergeCell ref="A36:A37"/>
    <mergeCell ref="B39:H39"/>
    <mergeCell ref="J39:U39"/>
    <mergeCell ref="W39:AC39"/>
    <mergeCell ref="AE39:AK39"/>
    <mergeCell ref="A52:A53"/>
    <mergeCell ref="B43:H43"/>
    <mergeCell ref="J43:U43"/>
    <mergeCell ref="W43:AC43"/>
    <mergeCell ref="AE43:AK43"/>
    <mergeCell ref="A44:A45"/>
    <mergeCell ref="B47:H47"/>
    <mergeCell ref="J47:U47"/>
    <mergeCell ref="W47:AC47"/>
    <mergeCell ref="AE47:AK47"/>
    <mergeCell ref="A48:A49"/>
    <mergeCell ref="B51:H51"/>
    <mergeCell ref="J51:U51"/>
    <mergeCell ref="W51:AC51"/>
    <mergeCell ref="AE51:AK51"/>
    <mergeCell ref="B55:H55"/>
    <mergeCell ref="J55:U55"/>
    <mergeCell ref="W55:AC55"/>
    <mergeCell ref="AE55:AK55"/>
    <mergeCell ref="A56:A57"/>
    <mergeCell ref="B59:H59"/>
    <mergeCell ref="J59:U59"/>
    <mergeCell ref="W59:AC59"/>
    <mergeCell ref="AE59:AK59"/>
    <mergeCell ref="A60:A61"/>
    <mergeCell ref="B63:H63"/>
    <mergeCell ref="J63:U63"/>
    <mergeCell ref="W63:AC63"/>
    <mergeCell ref="AE63:AK63"/>
    <mergeCell ref="A64:A65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17C1A6-C48F-4279-B578-C267A502F25F}">
  <dimension ref="A1:AK58"/>
  <sheetViews>
    <sheetView workbookViewId="0">
      <selection sqref="A1:AK1048576"/>
    </sheetView>
  </sheetViews>
  <sheetFormatPr defaultRowHeight="15" x14ac:dyDescent="0.25"/>
  <cols>
    <col min="1" max="1" width="14.85546875" style="2" customWidth="1"/>
    <col min="2" max="2" width="11.7109375" style="2" bestFit="1" customWidth="1"/>
    <col min="3" max="3" width="9.28515625" style="2" bestFit="1" customWidth="1"/>
    <col min="4" max="4" width="10.7109375" style="2" customWidth="1"/>
    <col min="5" max="5" width="9.28515625" style="2" bestFit="1" customWidth="1"/>
    <col min="6" max="6" width="13.140625" style="1" customWidth="1"/>
    <col min="7" max="7" width="13.85546875" style="1" customWidth="1"/>
    <col min="8" max="8" width="11.85546875" style="1" bestFit="1" customWidth="1"/>
    <col min="9" max="9" width="9.85546875" style="1" customWidth="1"/>
    <col min="10" max="10" width="9.42578125" style="2" customWidth="1"/>
    <col min="11" max="13" width="10.42578125" style="1" bestFit="1" customWidth="1"/>
    <col min="14" max="20" width="9" style="1"/>
    <col min="21" max="21" width="10.42578125" style="1" bestFit="1" customWidth="1"/>
    <col min="22" max="22" width="9" style="1"/>
    <col min="23" max="23" width="9" style="2"/>
    <col min="24" max="30" width="9" style="1"/>
    <col min="31" max="31" width="9" style="2"/>
    <col min="32" max="33" width="9" style="1"/>
    <col min="34" max="36" width="10.140625" style="1" bestFit="1" customWidth="1"/>
    <col min="37" max="37" width="9.140625" style="1"/>
  </cols>
  <sheetData>
    <row r="1" spans="1:37" ht="21" x14ac:dyDescent="0.25">
      <c r="A1" s="162"/>
      <c r="B1" s="164" t="s">
        <v>51</v>
      </c>
      <c r="C1" s="164"/>
      <c r="D1" s="164"/>
      <c r="E1" s="164"/>
      <c r="F1" s="164"/>
      <c r="G1" s="164"/>
      <c r="H1" s="164"/>
      <c r="I1" s="164"/>
      <c r="J1" s="164"/>
      <c r="K1" s="164"/>
      <c r="L1" s="164"/>
      <c r="M1" s="164"/>
      <c r="N1" s="164"/>
      <c r="O1" s="164"/>
      <c r="P1" s="164"/>
      <c r="Q1" s="164"/>
      <c r="R1" s="164"/>
      <c r="S1" s="164"/>
      <c r="T1" s="164"/>
      <c r="U1" s="164"/>
      <c r="V1" s="164"/>
      <c r="W1" s="164"/>
      <c r="X1" s="164"/>
      <c r="Y1" s="164"/>
      <c r="Z1" s="164"/>
      <c r="AA1" s="164"/>
      <c r="AB1" s="164"/>
      <c r="AC1" s="164"/>
      <c r="AD1" s="164"/>
      <c r="AE1" s="164"/>
      <c r="AF1" s="164"/>
      <c r="AG1" s="164"/>
      <c r="AH1" s="164"/>
      <c r="AI1" s="164"/>
      <c r="AJ1" s="164"/>
      <c r="AK1" s="165"/>
    </row>
    <row r="2" spans="1:37" ht="21" x14ac:dyDescent="0.25">
      <c r="A2" s="163"/>
      <c r="B2" s="166" t="s">
        <v>50</v>
      </c>
      <c r="C2" s="166"/>
      <c r="D2" s="166"/>
      <c r="E2" s="166"/>
      <c r="F2" s="166"/>
      <c r="G2" s="166"/>
      <c r="H2" s="166"/>
      <c r="I2" s="166"/>
      <c r="J2" s="166"/>
      <c r="K2" s="166"/>
      <c r="L2" s="166"/>
      <c r="M2" s="166"/>
      <c r="N2" s="166"/>
      <c r="O2" s="166"/>
      <c r="P2" s="166"/>
      <c r="Q2" s="166"/>
      <c r="R2" s="166"/>
      <c r="S2" s="166"/>
      <c r="T2" s="166"/>
      <c r="U2" s="166"/>
      <c r="V2" s="166"/>
      <c r="W2" s="166"/>
      <c r="X2" s="166"/>
      <c r="Y2" s="166"/>
      <c r="Z2" s="166"/>
      <c r="AA2" s="166"/>
      <c r="AB2" s="166"/>
      <c r="AC2" s="166"/>
      <c r="AD2" s="166"/>
      <c r="AE2" s="166"/>
      <c r="AF2" s="166"/>
      <c r="AG2" s="166"/>
      <c r="AH2" s="166"/>
      <c r="AI2" s="166"/>
      <c r="AJ2" s="166"/>
      <c r="AK2" s="167"/>
    </row>
    <row r="4" spans="1:37" x14ac:dyDescent="0.25">
      <c r="A4" s="31" t="s">
        <v>47</v>
      </c>
      <c r="B4" s="161"/>
      <c r="C4" s="161"/>
      <c r="D4" s="31" t="s">
        <v>0</v>
      </c>
      <c r="E4" s="161"/>
      <c r="F4" s="161"/>
      <c r="G4" s="31" t="s">
        <v>45</v>
      </c>
      <c r="H4" s="4"/>
    </row>
    <row r="5" spans="1:37" x14ac:dyDescent="0.25">
      <c r="A5" s="31"/>
      <c r="D5" s="31"/>
      <c r="F5" s="2"/>
      <c r="G5" s="31"/>
    </row>
    <row r="6" spans="1:37" x14ac:dyDescent="0.25">
      <c r="A6" s="31" t="s">
        <v>48</v>
      </c>
      <c r="B6" s="160"/>
      <c r="C6" s="160"/>
      <c r="D6" s="31" t="s">
        <v>44</v>
      </c>
      <c r="E6" s="161"/>
      <c r="F6" s="161"/>
      <c r="G6" s="31" t="s">
        <v>46</v>
      </c>
      <c r="H6" s="5"/>
    </row>
    <row r="9" spans="1:37" ht="18.75" x14ac:dyDescent="0.3">
      <c r="A9" s="169" t="s">
        <v>26</v>
      </c>
      <c r="B9" s="169"/>
      <c r="C9" s="169"/>
      <c r="D9" s="169"/>
      <c r="E9" s="169"/>
      <c r="F9" s="169"/>
      <c r="G9" s="169"/>
      <c r="H9" s="169"/>
      <c r="I9" s="28"/>
      <c r="J9" s="169" t="s">
        <v>24</v>
      </c>
      <c r="K9" s="169"/>
      <c r="L9" s="169"/>
      <c r="M9" s="169"/>
      <c r="N9" s="169"/>
      <c r="O9" s="169"/>
      <c r="P9" s="169"/>
      <c r="Q9" s="169"/>
      <c r="R9" s="169"/>
      <c r="S9" s="169"/>
      <c r="T9" s="169"/>
      <c r="U9" s="169"/>
      <c r="V9" s="29"/>
      <c r="W9" s="170" t="s">
        <v>49</v>
      </c>
      <c r="X9" s="170"/>
      <c r="Y9" s="170"/>
      <c r="Z9" s="170"/>
      <c r="AA9" s="170"/>
      <c r="AB9" s="170"/>
      <c r="AC9" s="170"/>
      <c r="AD9" s="29"/>
      <c r="AE9" s="170" t="s">
        <v>25</v>
      </c>
      <c r="AF9" s="170"/>
      <c r="AG9" s="170"/>
      <c r="AH9" s="170"/>
      <c r="AI9" s="170"/>
      <c r="AJ9" s="170"/>
      <c r="AK9" s="170"/>
    </row>
    <row r="10" spans="1:37" x14ac:dyDescent="0.25">
      <c r="A10" s="7"/>
      <c r="B10" s="7"/>
      <c r="C10" s="7"/>
      <c r="D10" s="7"/>
      <c r="E10" s="7"/>
      <c r="F10" s="7"/>
      <c r="G10" s="7"/>
      <c r="H10" s="7"/>
      <c r="I10" s="6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8"/>
      <c r="W10" s="9"/>
      <c r="X10" s="9"/>
      <c r="Y10" s="9"/>
      <c r="Z10" s="9"/>
      <c r="AA10" s="9"/>
      <c r="AB10" s="9"/>
      <c r="AC10" s="9"/>
      <c r="AD10" s="8"/>
      <c r="AE10" s="9"/>
      <c r="AF10" s="9"/>
      <c r="AG10" s="9"/>
      <c r="AH10" s="9"/>
      <c r="AI10" s="9"/>
      <c r="AJ10" s="9"/>
      <c r="AK10" s="9"/>
    </row>
    <row r="11" spans="1:37" ht="15.75" thickBot="1" x14ac:dyDescent="0.3">
      <c r="A11" s="34"/>
      <c r="B11" s="171" t="s">
        <v>54</v>
      </c>
      <c r="C11" s="171"/>
      <c r="D11" s="171"/>
      <c r="E11" s="171"/>
      <c r="F11" s="171"/>
      <c r="G11" s="171"/>
      <c r="H11" s="171"/>
      <c r="I11" s="6"/>
      <c r="J11" s="172" t="s">
        <v>54</v>
      </c>
      <c r="K11" s="172"/>
      <c r="L11" s="172"/>
      <c r="M11" s="172"/>
      <c r="N11" s="172"/>
      <c r="O11" s="172"/>
      <c r="P11" s="172"/>
      <c r="Q11" s="172"/>
      <c r="R11" s="172"/>
      <c r="S11" s="172"/>
      <c r="T11" s="172"/>
      <c r="U11" s="172"/>
      <c r="V11" s="8"/>
      <c r="W11" s="173" t="s">
        <v>54</v>
      </c>
      <c r="X11" s="173"/>
      <c r="Y11" s="173"/>
      <c r="Z11" s="173"/>
      <c r="AA11" s="173"/>
      <c r="AB11" s="173"/>
      <c r="AC11" s="173"/>
      <c r="AD11" s="8"/>
      <c r="AE11" s="174" t="s">
        <v>54</v>
      </c>
      <c r="AF11" s="174"/>
      <c r="AG11" s="174"/>
      <c r="AH11" s="174"/>
      <c r="AI11" s="174"/>
      <c r="AJ11" s="174"/>
      <c r="AK11" s="174"/>
    </row>
    <row r="12" spans="1:37" ht="15.75" thickBot="1" x14ac:dyDescent="0.3">
      <c r="A12" s="168" t="s">
        <v>4</v>
      </c>
      <c r="B12" s="10" t="s">
        <v>5</v>
      </c>
      <c r="C12" s="11" t="s">
        <v>6</v>
      </c>
      <c r="D12" s="12" t="s">
        <v>7</v>
      </c>
      <c r="E12" s="11" t="s">
        <v>8</v>
      </c>
      <c r="F12" s="12" t="s">
        <v>9</v>
      </c>
      <c r="G12" s="11" t="s">
        <v>10</v>
      </c>
      <c r="H12" s="32" t="s">
        <v>11</v>
      </c>
      <c r="I12" s="6"/>
      <c r="J12" s="35" t="s">
        <v>3</v>
      </c>
      <c r="K12" s="14"/>
      <c r="L12" s="15"/>
      <c r="M12" s="15"/>
      <c r="N12" s="15"/>
      <c r="O12" s="15"/>
      <c r="P12" s="15"/>
      <c r="Q12" s="15"/>
      <c r="R12" s="15"/>
      <c r="S12" s="15"/>
      <c r="T12" s="15"/>
      <c r="U12" s="16"/>
      <c r="V12" s="8"/>
      <c r="W12" s="35" t="s">
        <v>3</v>
      </c>
      <c r="X12" s="14"/>
      <c r="Y12" s="15"/>
      <c r="Z12" s="15"/>
      <c r="AA12" s="15"/>
      <c r="AB12" s="15"/>
      <c r="AC12" s="16"/>
      <c r="AD12" s="8"/>
      <c r="AE12" s="35" t="s">
        <v>3</v>
      </c>
      <c r="AF12" s="14"/>
      <c r="AG12" s="15"/>
      <c r="AH12" s="15"/>
      <c r="AI12" s="15"/>
      <c r="AJ12" s="15"/>
      <c r="AK12" s="16"/>
    </row>
    <row r="13" spans="1:37" ht="15.75" thickBot="1" x14ac:dyDescent="0.3">
      <c r="A13" s="168"/>
      <c r="B13" s="17"/>
      <c r="C13" s="18"/>
      <c r="D13" s="18"/>
      <c r="E13" s="18"/>
      <c r="F13" s="18">
        <f>SUM(C13-B13)</f>
        <v>0</v>
      </c>
      <c r="G13" s="18">
        <f>SUM(E13-D13)</f>
        <v>0</v>
      </c>
      <c r="H13" s="33">
        <f>SUM(F13:G13)</f>
        <v>0</v>
      </c>
      <c r="I13" s="6"/>
      <c r="J13" s="36" t="s">
        <v>21</v>
      </c>
      <c r="K13" s="19"/>
      <c r="L13" s="20"/>
      <c r="M13" s="20"/>
      <c r="N13" s="20"/>
      <c r="O13" s="20"/>
      <c r="P13" s="20"/>
      <c r="Q13" s="20"/>
      <c r="R13" s="20"/>
      <c r="S13" s="20"/>
      <c r="T13" s="20"/>
      <c r="U13" s="21"/>
      <c r="V13" s="8"/>
      <c r="W13" s="36" t="s">
        <v>21</v>
      </c>
      <c r="X13" s="19"/>
      <c r="Y13" s="20"/>
      <c r="Z13" s="20"/>
      <c r="AA13" s="20"/>
      <c r="AB13" s="20"/>
      <c r="AC13" s="21"/>
      <c r="AD13" s="8"/>
      <c r="AE13" s="36" t="s">
        <v>21</v>
      </c>
      <c r="AF13" s="19"/>
      <c r="AG13" s="20"/>
      <c r="AH13" s="20"/>
      <c r="AI13" s="20"/>
      <c r="AJ13" s="20"/>
      <c r="AK13" s="21"/>
    </row>
    <row r="14" spans="1:37" x14ac:dyDescent="0.25">
      <c r="A14" s="7"/>
      <c r="B14" s="7"/>
      <c r="C14" s="7"/>
      <c r="D14" s="7"/>
      <c r="E14" s="7"/>
      <c r="F14" s="7"/>
      <c r="G14" s="7"/>
      <c r="H14" s="7"/>
      <c r="I14" s="6"/>
      <c r="J14" s="7"/>
      <c r="K14" s="7"/>
      <c r="L14" s="7"/>
      <c r="M14" s="7"/>
      <c r="N14" s="7"/>
      <c r="O14" s="7"/>
      <c r="P14" s="7"/>
      <c r="Q14" s="7"/>
      <c r="R14" s="7"/>
      <c r="S14" s="7"/>
      <c r="T14" s="22" t="s">
        <v>22</v>
      </c>
      <c r="U14" s="23">
        <f>SUM(K13:U13)</f>
        <v>0</v>
      </c>
      <c r="V14" s="8"/>
      <c r="AB14" s="22" t="s">
        <v>22</v>
      </c>
      <c r="AC14" s="23">
        <f>SUM(X13:AC13)</f>
        <v>0</v>
      </c>
      <c r="AD14" s="8"/>
      <c r="AJ14" s="22" t="s">
        <v>22</v>
      </c>
      <c r="AK14" s="23">
        <f>SUM(AF13:AK13)</f>
        <v>0</v>
      </c>
    </row>
    <row r="15" spans="1:37" ht="15.75" thickBot="1" x14ac:dyDescent="0.3">
      <c r="A15" s="34"/>
      <c r="B15" s="171" t="s">
        <v>2</v>
      </c>
      <c r="C15" s="171"/>
      <c r="D15" s="171"/>
      <c r="E15" s="171"/>
      <c r="F15" s="171"/>
      <c r="G15" s="171"/>
      <c r="H15" s="171"/>
      <c r="J15" s="172" t="s">
        <v>2</v>
      </c>
      <c r="K15" s="172"/>
      <c r="L15" s="172"/>
      <c r="M15" s="172"/>
      <c r="N15" s="172"/>
      <c r="O15" s="172"/>
      <c r="P15" s="172"/>
      <c r="Q15" s="172"/>
      <c r="R15" s="172"/>
      <c r="S15" s="172"/>
      <c r="T15" s="172"/>
      <c r="U15" s="172"/>
      <c r="W15" s="173" t="s">
        <v>2</v>
      </c>
      <c r="X15" s="173"/>
      <c r="Y15" s="173"/>
      <c r="Z15" s="173"/>
      <c r="AA15" s="173"/>
      <c r="AB15" s="173"/>
      <c r="AC15" s="173"/>
      <c r="AE15" s="174" t="s">
        <v>2</v>
      </c>
      <c r="AF15" s="174"/>
      <c r="AG15" s="174"/>
      <c r="AH15" s="174"/>
      <c r="AI15" s="174"/>
      <c r="AJ15" s="174"/>
      <c r="AK15" s="174"/>
    </row>
    <row r="16" spans="1:37" ht="15.75" thickBot="1" x14ac:dyDescent="0.3">
      <c r="A16" s="168" t="s">
        <v>4</v>
      </c>
      <c r="B16" s="10" t="s">
        <v>5</v>
      </c>
      <c r="C16" s="11" t="s">
        <v>6</v>
      </c>
      <c r="D16" s="12" t="s">
        <v>7</v>
      </c>
      <c r="E16" s="11" t="s">
        <v>8</v>
      </c>
      <c r="F16" s="12" t="s">
        <v>9</v>
      </c>
      <c r="G16" s="11" t="s">
        <v>10</v>
      </c>
      <c r="H16" s="32" t="s">
        <v>11</v>
      </c>
      <c r="J16" s="35" t="s">
        <v>3</v>
      </c>
      <c r="K16" s="14"/>
      <c r="L16" s="15"/>
      <c r="M16" s="15"/>
      <c r="N16" s="15"/>
      <c r="O16" s="15"/>
      <c r="P16" s="15"/>
      <c r="Q16" s="15"/>
      <c r="R16" s="15"/>
      <c r="S16" s="15"/>
      <c r="T16" s="15"/>
      <c r="U16" s="16"/>
      <c r="W16" s="35" t="s">
        <v>3</v>
      </c>
      <c r="X16" s="14"/>
      <c r="Y16" s="15"/>
      <c r="Z16" s="15"/>
      <c r="AA16" s="15"/>
      <c r="AB16" s="15"/>
      <c r="AC16" s="16"/>
      <c r="AE16" s="35" t="s">
        <v>3</v>
      </c>
      <c r="AF16" s="14"/>
      <c r="AG16" s="15"/>
      <c r="AH16" s="15"/>
      <c r="AI16" s="15"/>
      <c r="AJ16" s="15"/>
      <c r="AK16" s="16"/>
    </row>
    <row r="17" spans="1:37" ht="15.75" thickBot="1" x14ac:dyDescent="0.3">
      <c r="A17" s="168"/>
      <c r="B17" s="17"/>
      <c r="C17" s="18"/>
      <c r="D17" s="18"/>
      <c r="E17" s="18"/>
      <c r="F17" s="18">
        <f>SUM(C17-B17)</f>
        <v>0</v>
      </c>
      <c r="G17" s="18">
        <f>SUM(E17-D17)</f>
        <v>0</v>
      </c>
      <c r="H17" s="33">
        <f>SUM(F17:G17)</f>
        <v>0</v>
      </c>
      <c r="J17" s="36" t="s">
        <v>21</v>
      </c>
      <c r="K17" s="19"/>
      <c r="L17" s="20"/>
      <c r="M17" s="20"/>
      <c r="N17" s="20"/>
      <c r="O17" s="20"/>
      <c r="P17" s="20"/>
      <c r="Q17" s="20"/>
      <c r="R17" s="20"/>
      <c r="S17" s="20"/>
      <c r="T17" s="20"/>
      <c r="U17" s="21"/>
      <c r="W17" s="36" t="s">
        <v>21</v>
      </c>
      <c r="X17" s="19"/>
      <c r="Y17" s="20"/>
      <c r="Z17" s="20"/>
      <c r="AA17" s="20"/>
      <c r="AB17" s="20"/>
      <c r="AC17" s="21"/>
      <c r="AE17" s="36" t="s">
        <v>21</v>
      </c>
      <c r="AF17" s="19"/>
      <c r="AG17" s="20"/>
      <c r="AH17" s="20"/>
      <c r="AI17" s="20"/>
      <c r="AJ17" s="20"/>
      <c r="AK17" s="21"/>
    </row>
    <row r="18" spans="1:37" x14ac:dyDescent="0.25">
      <c r="F18" s="2"/>
      <c r="G18" s="2"/>
      <c r="H18" s="2"/>
      <c r="J18" s="37"/>
      <c r="T18" s="22" t="s">
        <v>22</v>
      </c>
      <c r="U18" s="23">
        <f>SUM(K17:U17)</f>
        <v>0</v>
      </c>
      <c r="AB18" s="22" t="s">
        <v>22</v>
      </c>
      <c r="AC18" s="23">
        <f>SUM(X17:AC17)</f>
        <v>0</v>
      </c>
      <c r="AJ18" s="22" t="s">
        <v>22</v>
      </c>
      <c r="AK18" s="23">
        <f>SUM(AF17:AK17)</f>
        <v>0</v>
      </c>
    </row>
    <row r="19" spans="1:37" ht="15.75" thickBot="1" x14ac:dyDescent="0.3">
      <c r="A19" s="34"/>
      <c r="B19" s="171" t="s">
        <v>12</v>
      </c>
      <c r="C19" s="171"/>
      <c r="D19" s="171"/>
      <c r="E19" s="171"/>
      <c r="F19" s="171"/>
      <c r="G19" s="171"/>
      <c r="H19" s="171"/>
      <c r="J19" s="172" t="s">
        <v>12</v>
      </c>
      <c r="K19" s="172"/>
      <c r="L19" s="172"/>
      <c r="M19" s="172"/>
      <c r="N19" s="172"/>
      <c r="O19" s="172"/>
      <c r="P19" s="172"/>
      <c r="Q19" s="172"/>
      <c r="R19" s="172"/>
      <c r="S19" s="172"/>
      <c r="T19" s="172"/>
      <c r="U19" s="172"/>
      <c r="W19" s="173" t="str">
        <f>J19</f>
        <v>Março</v>
      </c>
      <c r="X19" s="173"/>
      <c r="Y19" s="173"/>
      <c r="Z19" s="173"/>
      <c r="AA19" s="173"/>
      <c r="AB19" s="173"/>
      <c r="AC19" s="173"/>
      <c r="AE19" s="174" t="str">
        <f>W19</f>
        <v>Março</v>
      </c>
      <c r="AF19" s="174"/>
      <c r="AG19" s="174"/>
      <c r="AH19" s="174"/>
      <c r="AI19" s="174"/>
      <c r="AJ19" s="174"/>
      <c r="AK19" s="174"/>
    </row>
    <row r="20" spans="1:37" ht="15.75" thickBot="1" x14ac:dyDescent="0.3">
      <c r="A20" s="168" t="s">
        <v>4</v>
      </c>
      <c r="B20" s="10" t="s">
        <v>5</v>
      </c>
      <c r="C20" s="11" t="s">
        <v>6</v>
      </c>
      <c r="D20" s="12" t="s">
        <v>7</v>
      </c>
      <c r="E20" s="11" t="s">
        <v>8</v>
      </c>
      <c r="F20" s="12" t="s">
        <v>9</v>
      </c>
      <c r="G20" s="11" t="s">
        <v>10</v>
      </c>
      <c r="H20" s="32" t="s">
        <v>11</v>
      </c>
      <c r="J20" s="35" t="s">
        <v>3</v>
      </c>
      <c r="K20" s="14"/>
      <c r="L20" s="24"/>
      <c r="M20" s="24"/>
      <c r="N20" s="15"/>
      <c r="O20" s="15"/>
      <c r="P20" s="15"/>
      <c r="Q20" s="15"/>
      <c r="R20" s="15"/>
      <c r="S20" s="15"/>
      <c r="T20" s="15"/>
      <c r="U20" s="16"/>
      <c r="W20" s="35" t="s">
        <v>3</v>
      </c>
      <c r="X20" s="14"/>
      <c r="Y20" s="15"/>
      <c r="Z20" s="15"/>
      <c r="AA20" s="15"/>
      <c r="AB20" s="15"/>
      <c r="AC20" s="16"/>
      <c r="AE20" s="35" t="s">
        <v>3</v>
      </c>
      <c r="AF20" s="14"/>
      <c r="AG20" s="15"/>
      <c r="AH20" s="15"/>
      <c r="AI20" s="15"/>
      <c r="AJ20" s="15"/>
      <c r="AK20" s="16"/>
    </row>
    <row r="21" spans="1:37" ht="15.75" thickBot="1" x14ac:dyDescent="0.3">
      <c r="A21" s="168"/>
      <c r="B21" s="17"/>
      <c r="C21" s="18"/>
      <c r="D21" s="18"/>
      <c r="E21" s="18"/>
      <c r="F21" s="18">
        <f>SUM(C21-B21)</f>
        <v>0</v>
      </c>
      <c r="G21" s="18">
        <f>SUM(E21-D21)</f>
        <v>0</v>
      </c>
      <c r="H21" s="33">
        <f>SUM(F21:G21)</f>
        <v>0</v>
      </c>
      <c r="J21" s="36" t="s">
        <v>21</v>
      </c>
      <c r="K21" s="19"/>
      <c r="L21" s="20"/>
      <c r="M21" s="20"/>
      <c r="N21" s="20"/>
      <c r="O21" s="20"/>
      <c r="P21" s="20"/>
      <c r="Q21" s="20"/>
      <c r="R21" s="20"/>
      <c r="S21" s="20"/>
      <c r="T21" s="20"/>
      <c r="U21" s="21"/>
      <c r="W21" s="36" t="s">
        <v>21</v>
      </c>
      <c r="X21" s="19"/>
      <c r="Y21" s="20"/>
      <c r="Z21" s="20"/>
      <c r="AA21" s="20"/>
      <c r="AB21" s="20"/>
      <c r="AC21" s="21"/>
      <c r="AE21" s="36" t="s">
        <v>21</v>
      </c>
      <c r="AF21" s="19"/>
      <c r="AG21" s="20"/>
      <c r="AH21" s="20"/>
      <c r="AI21" s="20"/>
      <c r="AJ21" s="20"/>
      <c r="AK21" s="21"/>
    </row>
    <row r="22" spans="1:37" x14ac:dyDescent="0.25">
      <c r="F22" s="2"/>
      <c r="G22" s="2"/>
      <c r="H22" s="2"/>
      <c r="J22" s="37"/>
      <c r="T22" s="22" t="s">
        <v>22</v>
      </c>
      <c r="U22" s="23">
        <f>SUM(K21:U21)</f>
        <v>0</v>
      </c>
      <c r="AB22" s="22" t="s">
        <v>22</v>
      </c>
      <c r="AC22" s="23">
        <f>SUM(X21:AC21)</f>
        <v>0</v>
      </c>
      <c r="AJ22" s="22" t="s">
        <v>22</v>
      </c>
      <c r="AK22" s="23">
        <f>SUM(AF21:AK21)</f>
        <v>0</v>
      </c>
    </row>
    <row r="23" spans="1:37" ht="15.75" thickBot="1" x14ac:dyDescent="0.3">
      <c r="A23" s="34"/>
      <c r="B23" s="171" t="s">
        <v>13</v>
      </c>
      <c r="C23" s="171"/>
      <c r="D23" s="171"/>
      <c r="E23" s="171"/>
      <c r="F23" s="171"/>
      <c r="G23" s="171"/>
      <c r="H23" s="171"/>
      <c r="J23" s="172" t="s">
        <v>13</v>
      </c>
      <c r="K23" s="172"/>
      <c r="L23" s="172"/>
      <c r="M23" s="172"/>
      <c r="N23" s="172"/>
      <c r="O23" s="172"/>
      <c r="P23" s="172"/>
      <c r="Q23" s="172"/>
      <c r="R23" s="172"/>
      <c r="S23" s="172"/>
      <c r="T23" s="172"/>
      <c r="U23" s="172"/>
      <c r="W23" s="173" t="str">
        <f>J23</f>
        <v>Abril</v>
      </c>
      <c r="X23" s="173"/>
      <c r="Y23" s="173"/>
      <c r="Z23" s="173"/>
      <c r="AA23" s="173"/>
      <c r="AB23" s="173"/>
      <c r="AC23" s="173"/>
      <c r="AE23" s="174" t="str">
        <f>W23</f>
        <v>Abril</v>
      </c>
      <c r="AF23" s="174"/>
      <c r="AG23" s="174"/>
      <c r="AH23" s="174"/>
      <c r="AI23" s="174"/>
      <c r="AJ23" s="174"/>
      <c r="AK23" s="174"/>
    </row>
    <row r="24" spans="1:37" ht="15.75" thickBot="1" x14ac:dyDescent="0.3">
      <c r="A24" s="168" t="s">
        <v>4</v>
      </c>
      <c r="B24" s="10" t="s">
        <v>5</v>
      </c>
      <c r="C24" s="11" t="s">
        <v>6</v>
      </c>
      <c r="D24" s="12" t="s">
        <v>7</v>
      </c>
      <c r="E24" s="11" t="s">
        <v>8</v>
      </c>
      <c r="F24" s="12" t="s">
        <v>9</v>
      </c>
      <c r="G24" s="11" t="s">
        <v>10</v>
      </c>
      <c r="H24" s="32" t="s">
        <v>11</v>
      </c>
      <c r="J24" s="35" t="s">
        <v>3</v>
      </c>
      <c r="K24" s="14"/>
      <c r="L24" s="15"/>
      <c r="M24" s="15"/>
      <c r="N24" s="15"/>
      <c r="O24" s="15"/>
      <c r="P24" s="15"/>
      <c r="Q24" s="15"/>
      <c r="R24" s="15"/>
      <c r="S24" s="15"/>
      <c r="T24" s="15"/>
      <c r="U24" s="16"/>
      <c r="W24" s="35" t="s">
        <v>3</v>
      </c>
      <c r="X24" s="14"/>
      <c r="Y24" s="15"/>
      <c r="Z24" s="15"/>
      <c r="AA24" s="15"/>
      <c r="AB24" s="15"/>
      <c r="AC24" s="16"/>
      <c r="AE24" s="35" t="s">
        <v>3</v>
      </c>
      <c r="AF24" s="14"/>
      <c r="AG24" s="15"/>
      <c r="AH24" s="15"/>
      <c r="AI24" s="15"/>
      <c r="AJ24" s="15"/>
      <c r="AK24" s="16"/>
    </row>
    <row r="25" spans="1:37" ht="15.75" thickBot="1" x14ac:dyDescent="0.3">
      <c r="A25" s="168"/>
      <c r="B25" s="17"/>
      <c r="C25" s="18"/>
      <c r="D25" s="18"/>
      <c r="E25" s="18"/>
      <c r="F25" s="18">
        <f>SUM(C25-B25)</f>
        <v>0</v>
      </c>
      <c r="G25" s="18">
        <f>SUM(E25-D25)</f>
        <v>0</v>
      </c>
      <c r="H25" s="33">
        <f>SUM(F25:G25)</f>
        <v>0</v>
      </c>
      <c r="J25" s="36" t="s">
        <v>21</v>
      </c>
      <c r="K25" s="25"/>
      <c r="L25" s="26"/>
      <c r="M25" s="26"/>
      <c r="N25" s="26"/>
      <c r="O25" s="26"/>
      <c r="P25" s="26"/>
      <c r="Q25" s="26"/>
      <c r="R25" s="26"/>
      <c r="S25" s="26"/>
      <c r="T25" s="26"/>
      <c r="U25" s="27"/>
      <c r="W25" s="36" t="s">
        <v>21</v>
      </c>
      <c r="X25" s="19"/>
      <c r="Y25" s="20"/>
      <c r="Z25" s="20"/>
      <c r="AA25" s="20"/>
      <c r="AB25" s="20"/>
      <c r="AC25" s="21"/>
      <c r="AE25" s="36" t="s">
        <v>21</v>
      </c>
      <c r="AF25" s="19"/>
      <c r="AG25" s="20"/>
      <c r="AH25" s="20"/>
      <c r="AI25" s="20"/>
      <c r="AJ25" s="20"/>
      <c r="AK25" s="21"/>
    </row>
    <row r="26" spans="1:37" x14ac:dyDescent="0.25">
      <c r="F26" s="2"/>
      <c r="G26" s="2"/>
      <c r="H26" s="2"/>
      <c r="J26" s="37"/>
      <c r="T26" s="22" t="s">
        <v>22</v>
      </c>
      <c r="U26" s="23">
        <f>SUM(K25:U25)</f>
        <v>0</v>
      </c>
      <c r="AB26" s="22" t="s">
        <v>22</v>
      </c>
      <c r="AC26" s="23">
        <f>SUM(X25:AC25)</f>
        <v>0</v>
      </c>
      <c r="AJ26" s="22" t="s">
        <v>22</v>
      </c>
      <c r="AK26" s="23">
        <f>SUM(AF25:AK25)</f>
        <v>0</v>
      </c>
    </row>
    <row r="27" spans="1:37" ht="15.75" thickBot="1" x14ac:dyDescent="0.3">
      <c r="A27" s="34"/>
      <c r="B27" s="171" t="s">
        <v>14</v>
      </c>
      <c r="C27" s="171"/>
      <c r="D27" s="171"/>
      <c r="E27" s="171"/>
      <c r="F27" s="171"/>
      <c r="G27" s="171"/>
      <c r="H27" s="171"/>
      <c r="J27" s="172" t="s">
        <v>14</v>
      </c>
      <c r="K27" s="172"/>
      <c r="L27" s="172"/>
      <c r="M27" s="172"/>
      <c r="N27" s="172"/>
      <c r="O27" s="172"/>
      <c r="P27" s="172"/>
      <c r="Q27" s="172"/>
      <c r="R27" s="172"/>
      <c r="S27" s="172"/>
      <c r="T27" s="172"/>
      <c r="U27" s="172"/>
      <c r="W27" s="173" t="str">
        <f>J27</f>
        <v>Maio</v>
      </c>
      <c r="X27" s="173"/>
      <c r="Y27" s="173"/>
      <c r="Z27" s="173"/>
      <c r="AA27" s="173"/>
      <c r="AB27" s="173"/>
      <c r="AC27" s="173"/>
      <c r="AE27" s="174" t="str">
        <f>W27</f>
        <v>Maio</v>
      </c>
      <c r="AF27" s="174"/>
      <c r="AG27" s="174"/>
      <c r="AH27" s="174"/>
      <c r="AI27" s="174"/>
      <c r="AJ27" s="174"/>
      <c r="AK27" s="174"/>
    </row>
    <row r="28" spans="1:37" ht="15.75" thickBot="1" x14ac:dyDescent="0.3">
      <c r="A28" s="168" t="s">
        <v>4</v>
      </c>
      <c r="B28" s="10" t="s">
        <v>5</v>
      </c>
      <c r="C28" s="11" t="s">
        <v>6</v>
      </c>
      <c r="D28" s="12" t="s">
        <v>7</v>
      </c>
      <c r="E28" s="11" t="s">
        <v>8</v>
      </c>
      <c r="F28" s="12" t="s">
        <v>9</v>
      </c>
      <c r="G28" s="11" t="s">
        <v>10</v>
      </c>
      <c r="H28" s="32" t="s">
        <v>11</v>
      </c>
      <c r="J28" s="35" t="s">
        <v>3</v>
      </c>
      <c r="K28" s="14"/>
      <c r="L28" s="15"/>
      <c r="M28" s="15"/>
      <c r="N28" s="15"/>
      <c r="O28" s="15"/>
      <c r="P28" s="15"/>
      <c r="Q28" s="15"/>
      <c r="R28" s="15"/>
      <c r="S28" s="15"/>
      <c r="T28" s="15"/>
      <c r="U28" s="16"/>
      <c r="W28" s="35" t="s">
        <v>3</v>
      </c>
      <c r="X28" s="14"/>
      <c r="Y28" s="15"/>
      <c r="Z28" s="15"/>
      <c r="AA28" s="15"/>
      <c r="AB28" s="15"/>
      <c r="AC28" s="16"/>
      <c r="AE28" s="35" t="s">
        <v>3</v>
      </c>
      <c r="AF28" s="14"/>
      <c r="AG28" s="15"/>
      <c r="AH28" s="15"/>
      <c r="AI28" s="15"/>
      <c r="AJ28" s="15"/>
      <c r="AK28" s="16"/>
    </row>
    <row r="29" spans="1:37" ht="15.75" thickBot="1" x14ac:dyDescent="0.3">
      <c r="A29" s="168"/>
      <c r="B29" s="17"/>
      <c r="C29" s="18"/>
      <c r="D29" s="18"/>
      <c r="E29" s="18"/>
      <c r="F29" s="18">
        <f>SUM(C29-B29)</f>
        <v>0</v>
      </c>
      <c r="G29" s="18">
        <f>SUM(E29-D29)</f>
        <v>0</v>
      </c>
      <c r="H29" s="33">
        <f>SUM(F29:G29)</f>
        <v>0</v>
      </c>
      <c r="J29" s="36" t="s">
        <v>21</v>
      </c>
      <c r="K29" s="19"/>
      <c r="L29" s="20"/>
      <c r="M29" s="20"/>
      <c r="N29" s="20"/>
      <c r="O29" s="20"/>
      <c r="P29" s="20"/>
      <c r="Q29" s="20"/>
      <c r="R29" s="20"/>
      <c r="S29" s="20"/>
      <c r="T29" s="20"/>
      <c r="U29" s="21"/>
      <c r="W29" s="36" t="s">
        <v>21</v>
      </c>
      <c r="X29" s="19"/>
      <c r="Y29" s="20"/>
      <c r="Z29" s="20"/>
      <c r="AA29" s="20"/>
      <c r="AB29" s="20"/>
      <c r="AC29" s="21"/>
      <c r="AE29" s="36" t="s">
        <v>21</v>
      </c>
      <c r="AF29" s="19"/>
      <c r="AG29" s="20"/>
      <c r="AH29" s="20"/>
      <c r="AI29" s="20"/>
      <c r="AJ29" s="20"/>
      <c r="AK29" s="21"/>
    </row>
    <row r="30" spans="1:37" x14ac:dyDescent="0.25">
      <c r="F30" s="2"/>
      <c r="G30" s="2"/>
      <c r="H30" s="2"/>
      <c r="J30" s="37"/>
      <c r="T30" s="22" t="s">
        <v>22</v>
      </c>
      <c r="U30" s="23">
        <f>SUM(K29:U29)</f>
        <v>0</v>
      </c>
      <c r="AB30" s="22" t="s">
        <v>22</v>
      </c>
      <c r="AC30" s="23">
        <f>SUM(X29:AC29)</f>
        <v>0</v>
      </c>
      <c r="AJ30" s="22" t="s">
        <v>22</v>
      </c>
      <c r="AK30" s="23">
        <f>SUM(AF29:AK29)</f>
        <v>0</v>
      </c>
    </row>
    <row r="31" spans="1:37" ht="15.75" thickBot="1" x14ac:dyDescent="0.3">
      <c r="A31" s="34"/>
      <c r="B31" s="171" t="s">
        <v>23</v>
      </c>
      <c r="C31" s="171"/>
      <c r="D31" s="171"/>
      <c r="E31" s="171"/>
      <c r="F31" s="171"/>
      <c r="G31" s="171"/>
      <c r="H31" s="171"/>
      <c r="J31" s="172" t="s">
        <v>23</v>
      </c>
      <c r="K31" s="172"/>
      <c r="L31" s="172"/>
      <c r="M31" s="172"/>
      <c r="N31" s="172"/>
      <c r="O31" s="172"/>
      <c r="P31" s="172"/>
      <c r="Q31" s="172"/>
      <c r="R31" s="172"/>
      <c r="S31" s="172"/>
      <c r="T31" s="172"/>
      <c r="U31" s="172"/>
      <c r="W31" s="173" t="str">
        <f>J31</f>
        <v>Junho</v>
      </c>
      <c r="X31" s="173"/>
      <c r="Y31" s="173"/>
      <c r="Z31" s="173"/>
      <c r="AA31" s="173"/>
      <c r="AB31" s="173"/>
      <c r="AC31" s="173"/>
      <c r="AE31" s="174" t="str">
        <f>W31</f>
        <v>Junho</v>
      </c>
      <c r="AF31" s="174"/>
      <c r="AG31" s="174"/>
      <c r="AH31" s="174"/>
      <c r="AI31" s="174"/>
      <c r="AJ31" s="174"/>
      <c r="AK31" s="174"/>
    </row>
    <row r="32" spans="1:37" ht="15.75" thickBot="1" x14ac:dyDescent="0.3">
      <c r="A32" s="168" t="s">
        <v>4</v>
      </c>
      <c r="B32" s="10" t="s">
        <v>5</v>
      </c>
      <c r="C32" s="11" t="s">
        <v>6</v>
      </c>
      <c r="D32" s="12" t="s">
        <v>7</v>
      </c>
      <c r="E32" s="11" t="s">
        <v>8</v>
      </c>
      <c r="F32" s="12" t="s">
        <v>9</v>
      </c>
      <c r="G32" s="11" t="s">
        <v>10</v>
      </c>
      <c r="H32" s="32" t="s">
        <v>11</v>
      </c>
      <c r="J32" s="35" t="s">
        <v>3</v>
      </c>
      <c r="K32" s="14"/>
      <c r="L32" s="15"/>
      <c r="M32" s="15"/>
      <c r="N32" s="15"/>
      <c r="O32" s="15"/>
      <c r="P32" s="15"/>
      <c r="Q32" s="15"/>
      <c r="R32" s="15"/>
      <c r="S32" s="15"/>
      <c r="T32" s="15"/>
      <c r="U32" s="16"/>
      <c r="W32" s="35" t="s">
        <v>3</v>
      </c>
      <c r="X32" s="14"/>
      <c r="Y32" s="15"/>
      <c r="Z32" s="15"/>
      <c r="AA32" s="15"/>
      <c r="AB32" s="15"/>
      <c r="AC32" s="16"/>
      <c r="AE32" s="35" t="s">
        <v>3</v>
      </c>
      <c r="AF32" s="14"/>
      <c r="AG32" s="15"/>
      <c r="AH32" s="15"/>
      <c r="AI32" s="15"/>
      <c r="AJ32" s="15"/>
      <c r="AK32" s="16"/>
    </row>
    <row r="33" spans="1:37" ht="15.75" thickBot="1" x14ac:dyDescent="0.3">
      <c r="A33" s="168"/>
      <c r="B33" s="17"/>
      <c r="C33" s="18"/>
      <c r="D33" s="18"/>
      <c r="E33" s="18"/>
      <c r="F33" s="18">
        <f>SUM(C33-B33)</f>
        <v>0</v>
      </c>
      <c r="G33" s="18">
        <f>SUM(E33-D33)</f>
        <v>0</v>
      </c>
      <c r="H33" s="33">
        <f>SUM(F33:G33)</f>
        <v>0</v>
      </c>
      <c r="J33" s="36" t="s">
        <v>21</v>
      </c>
      <c r="K33" s="19"/>
      <c r="L33" s="20"/>
      <c r="M33" s="20"/>
      <c r="N33" s="20"/>
      <c r="O33" s="20"/>
      <c r="P33" s="20"/>
      <c r="Q33" s="20"/>
      <c r="R33" s="20"/>
      <c r="S33" s="20"/>
      <c r="T33" s="20"/>
      <c r="U33" s="21"/>
      <c r="W33" s="36" t="s">
        <v>21</v>
      </c>
      <c r="X33" s="19"/>
      <c r="Y33" s="20"/>
      <c r="Z33" s="20"/>
      <c r="AA33" s="20"/>
      <c r="AB33" s="20"/>
      <c r="AC33" s="21"/>
      <c r="AE33" s="36" t="s">
        <v>21</v>
      </c>
      <c r="AF33" s="19"/>
      <c r="AG33" s="20"/>
      <c r="AH33" s="20"/>
      <c r="AI33" s="20"/>
      <c r="AJ33" s="20"/>
      <c r="AK33" s="21"/>
    </row>
    <row r="34" spans="1:37" x14ac:dyDescent="0.25">
      <c r="F34" s="2"/>
      <c r="G34" s="2"/>
      <c r="H34" s="2"/>
      <c r="J34" s="37"/>
      <c r="T34" s="22" t="s">
        <v>22</v>
      </c>
      <c r="U34" s="23">
        <f>SUM(K33:U33)</f>
        <v>0</v>
      </c>
      <c r="AB34" s="22" t="s">
        <v>22</v>
      </c>
      <c r="AC34" s="23">
        <f>SUM(X33:AC33)</f>
        <v>0</v>
      </c>
      <c r="AJ34" s="22" t="s">
        <v>22</v>
      </c>
      <c r="AK34" s="23">
        <f>SUM(AF33:AK33)</f>
        <v>0</v>
      </c>
    </row>
    <row r="35" spans="1:37" ht="15.75" thickBot="1" x14ac:dyDescent="0.3">
      <c r="A35" s="34"/>
      <c r="B35" s="171" t="s">
        <v>15</v>
      </c>
      <c r="C35" s="171"/>
      <c r="D35" s="171"/>
      <c r="E35" s="171"/>
      <c r="F35" s="171"/>
      <c r="G35" s="171"/>
      <c r="H35" s="171"/>
      <c r="J35" s="172" t="s">
        <v>15</v>
      </c>
      <c r="K35" s="172"/>
      <c r="L35" s="172"/>
      <c r="M35" s="172"/>
      <c r="N35" s="172"/>
      <c r="O35" s="172"/>
      <c r="P35" s="172"/>
      <c r="Q35" s="172"/>
      <c r="R35" s="172"/>
      <c r="S35" s="172"/>
      <c r="T35" s="172"/>
      <c r="U35" s="172"/>
      <c r="W35" s="173" t="str">
        <f>J35</f>
        <v>Julho</v>
      </c>
      <c r="X35" s="173"/>
      <c r="Y35" s="173"/>
      <c r="Z35" s="173"/>
      <c r="AA35" s="173"/>
      <c r="AB35" s="173"/>
      <c r="AC35" s="173"/>
      <c r="AE35" s="174" t="str">
        <f>W35</f>
        <v>Julho</v>
      </c>
      <c r="AF35" s="174"/>
      <c r="AG35" s="174"/>
      <c r="AH35" s="174"/>
      <c r="AI35" s="174"/>
      <c r="AJ35" s="174"/>
      <c r="AK35" s="174"/>
    </row>
    <row r="36" spans="1:37" ht="15.75" thickBot="1" x14ac:dyDescent="0.3">
      <c r="A36" s="168" t="s">
        <v>4</v>
      </c>
      <c r="B36" s="10" t="s">
        <v>5</v>
      </c>
      <c r="C36" s="11" t="s">
        <v>6</v>
      </c>
      <c r="D36" s="12" t="s">
        <v>7</v>
      </c>
      <c r="E36" s="11" t="s">
        <v>8</v>
      </c>
      <c r="F36" s="12" t="s">
        <v>9</v>
      </c>
      <c r="G36" s="11" t="s">
        <v>10</v>
      </c>
      <c r="H36" s="32" t="s">
        <v>11</v>
      </c>
      <c r="J36" s="35" t="s">
        <v>3</v>
      </c>
      <c r="K36" s="14"/>
      <c r="L36" s="15"/>
      <c r="M36" s="15"/>
      <c r="N36" s="15"/>
      <c r="O36" s="15"/>
      <c r="P36" s="15"/>
      <c r="Q36" s="15"/>
      <c r="R36" s="15"/>
      <c r="S36" s="15"/>
      <c r="T36" s="15"/>
      <c r="U36" s="16"/>
      <c r="W36" s="35" t="s">
        <v>3</v>
      </c>
      <c r="X36" s="14"/>
      <c r="Y36" s="15"/>
      <c r="Z36" s="15"/>
      <c r="AA36" s="15"/>
      <c r="AB36" s="15"/>
      <c r="AC36" s="16"/>
      <c r="AE36" s="35" t="s">
        <v>3</v>
      </c>
      <c r="AF36" s="14"/>
      <c r="AG36" s="15"/>
      <c r="AH36" s="15"/>
      <c r="AI36" s="15"/>
      <c r="AJ36" s="15"/>
      <c r="AK36" s="16"/>
    </row>
    <row r="37" spans="1:37" ht="15.75" thickBot="1" x14ac:dyDescent="0.3">
      <c r="A37" s="168"/>
      <c r="B37" s="17"/>
      <c r="C37" s="18"/>
      <c r="D37" s="18"/>
      <c r="E37" s="18"/>
      <c r="F37" s="18">
        <f>SUM(C37-B37)</f>
        <v>0</v>
      </c>
      <c r="G37" s="18">
        <f>SUM(E37-D37)</f>
        <v>0</v>
      </c>
      <c r="H37" s="33">
        <f>SUM(F37:G37)</f>
        <v>0</v>
      </c>
      <c r="J37" s="36" t="s">
        <v>21</v>
      </c>
      <c r="K37" s="19"/>
      <c r="L37" s="20"/>
      <c r="M37" s="20"/>
      <c r="N37" s="20"/>
      <c r="O37" s="20"/>
      <c r="P37" s="20"/>
      <c r="Q37" s="20"/>
      <c r="R37" s="20"/>
      <c r="S37" s="20"/>
      <c r="T37" s="20"/>
      <c r="U37" s="21"/>
      <c r="W37" s="36" t="s">
        <v>21</v>
      </c>
      <c r="X37" s="19"/>
      <c r="Y37" s="20"/>
      <c r="Z37" s="20"/>
      <c r="AA37" s="20"/>
      <c r="AB37" s="20"/>
      <c r="AC37" s="21"/>
      <c r="AE37" s="36" t="s">
        <v>21</v>
      </c>
      <c r="AF37" s="19"/>
      <c r="AG37" s="20"/>
      <c r="AH37" s="20"/>
      <c r="AI37" s="20"/>
      <c r="AJ37" s="20"/>
      <c r="AK37" s="21"/>
    </row>
    <row r="38" spans="1:37" x14ac:dyDescent="0.25">
      <c r="F38" s="2"/>
      <c r="G38" s="2"/>
      <c r="H38" s="2"/>
      <c r="J38" s="37"/>
      <c r="T38" s="22" t="s">
        <v>22</v>
      </c>
      <c r="U38" s="23">
        <f>SUM(K37:U37)</f>
        <v>0</v>
      </c>
      <c r="AB38" s="22" t="s">
        <v>22</v>
      </c>
      <c r="AC38" s="23">
        <f>SUM(X37:AC37)</f>
        <v>0</v>
      </c>
      <c r="AJ38" s="22" t="s">
        <v>22</v>
      </c>
      <c r="AK38" s="23">
        <f>SUM(AF37:AK37)</f>
        <v>0</v>
      </c>
    </row>
    <row r="39" spans="1:37" ht="15.75" thickBot="1" x14ac:dyDescent="0.3">
      <c r="A39" s="34"/>
      <c r="B39" s="171" t="s">
        <v>16</v>
      </c>
      <c r="C39" s="171"/>
      <c r="D39" s="171"/>
      <c r="E39" s="171"/>
      <c r="F39" s="171"/>
      <c r="G39" s="171"/>
      <c r="H39" s="171"/>
      <c r="J39" s="172" t="s">
        <v>16</v>
      </c>
      <c r="K39" s="172"/>
      <c r="L39" s="172"/>
      <c r="M39" s="172"/>
      <c r="N39" s="172"/>
      <c r="O39" s="172"/>
      <c r="P39" s="172"/>
      <c r="Q39" s="172"/>
      <c r="R39" s="172"/>
      <c r="S39" s="172"/>
      <c r="T39" s="172"/>
      <c r="U39" s="172"/>
      <c r="W39" s="173" t="str">
        <f>J39</f>
        <v>Agosto</v>
      </c>
      <c r="X39" s="173"/>
      <c r="Y39" s="173"/>
      <c r="Z39" s="173"/>
      <c r="AA39" s="173"/>
      <c r="AB39" s="173"/>
      <c r="AC39" s="173"/>
      <c r="AE39" s="174" t="str">
        <f>W39</f>
        <v>Agosto</v>
      </c>
      <c r="AF39" s="174"/>
      <c r="AG39" s="174"/>
      <c r="AH39" s="174"/>
      <c r="AI39" s="174"/>
      <c r="AJ39" s="174"/>
      <c r="AK39" s="174"/>
    </row>
    <row r="40" spans="1:37" ht="15.75" thickBot="1" x14ac:dyDescent="0.3">
      <c r="A40" s="168" t="s">
        <v>4</v>
      </c>
      <c r="B40" s="10" t="s">
        <v>5</v>
      </c>
      <c r="C40" s="11" t="s">
        <v>6</v>
      </c>
      <c r="D40" s="12" t="s">
        <v>7</v>
      </c>
      <c r="E40" s="11" t="s">
        <v>8</v>
      </c>
      <c r="F40" s="12" t="s">
        <v>9</v>
      </c>
      <c r="G40" s="11" t="s">
        <v>10</v>
      </c>
      <c r="H40" s="32" t="s">
        <v>11</v>
      </c>
      <c r="J40" s="35" t="s">
        <v>3</v>
      </c>
      <c r="K40" s="14"/>
      <c r="L40" s="15"/>
      <c r="M40" s="15"/>
      <c r="N40" s="15"/>
      <c r="O40" s="15"/>
      <c r="P40" s="15"/>
      <c r="Q40" s="15"/>
      <c r="R40" s="15"/>
      <c r="S40" s="15"/>
      <c r="T40" s="15"/>
      <c r="U40" s="16"/>
      <c r="W40" s="35" t="s">
        <v>3</v>
      </c>
      <c r="X40" s="14"/>
      <c r="Y40" s="15"/>
      <c r="Z40" s="15"/>
      <c r="AA40" s="15"/>
      <c r="AB40" s="15"/>
      <c r="AC40" s="16"/>
      <c r="AE40" s="35" t="s">
        <v>3</v>
      </c>
      <c r="AF40" s="14"/>
      <c r="AG40" s="15"/>
      <c r="AH40" s="15"/>
      <c r="AI40" s="15"/>
      <c r="AJ40" s="15"/>
      <c r="AK40" s="16"/>
    </row>
    <row r="41" spans="1:37" ht="15.75" thickBot="1" x14ac:dyDescent="0.3">
      <c r="A41" s="168"/>
      <c r="B41" s="17"/>
      <c r="C41" s="18"/>
      <c r="D41" s="18"/>
      <c r="E41" s="18"/>
      <c r="F41" s="18">
        <f>SUM(C41-B41)</f>
        <v>0</v>
      </c>
      <c r="G41" s="18">
        <f>SUM(E41-D41)</f>
        <v>0</v>
      </c>
      <c r="H41" s="33">
        <f>SUM(F41:G41)</f>
        <v>0</v>
      </c>
      <c r="J41" s="36" t="s">
        <v>21</v>
      </c>
      <c r="K41" s="19"/>
      <c r="L41" s="20"/>
      <c r="M41" s="20"/>
      <c r="N41" s="20"/>
      <c r="O41" s="20"/>
      <c r="P41" s="20"/>
      <c r="Q41" s="20"/>
      <c r="R41" s="20"/>
      <c r="S41" s="20"/>
      <c r="T41" s="20"/>
      <c r="U41" s="21"/>
      <c r="W41" s="36" t="s">
        <v>21</v>
      </c>
      <c r="X41" s="19"/>
      <c r="Y41" s="20"/>
      <c r="Z41" s="20"/>
      <c r="AA41" s="20"/>
      <c r="AB41" s="20"/>
      <c r="AC41" s="21"/>
      <c r="AE41" s="36" t="s">
        <v>21</v>
      </c>
      <c r="AF41" s="19"/>
      <c r="AG41" s="20"/>
      <c r="AH41" s="20"/>
      <c r="AI41" s="20"/>
      <c r="AJ41" s="20"/>
      <c r="AK41" s="21"/>
    </row>
    <row r="42" spans="1:37" x14ac:dyDescent="0.25">
      <c r="F42" s="2"/>
      <c r="G42" s="2"/>
      <c r="H42" s="2"/>
      <c r="J42" s="37"/>
      <c r="T42" s="22" t="s">
        <v>22</v>
      </c>
      <c r="U42" s="23">
        <f>SUM(K41:U41)</f>
        <v>0</v>
      </c>
      <c r="AB42" s="22" t="s">
        <v>22</v>
      </c>
      <c r="AC42" s="23">
        <f>SUM(X41:AC41)</f>
        <v>0</v>
      </c>
      <c r="AJ42" s="22" t="s">
        <v>22</v>
      </c>
      <c r="AK42" s="23">
        <f>SUM(AF41:AK41)</f>
        <v>0</v>
      </c>
    </row>
    <row r="43" spans="1:37" ht="15.75" thickBot="1" x14ac:dyDescent="0.3">
      <c r="A43" s="34"/>
      <c r="B43" s="171" t="s">
        <v>17</v>
      </c>
      <c r="C43" s="171"/>
      <c r="D43" s="171"/>
      <c r="E43" s="171"/>
      <c r="F43" s="171"/>
      <c r="G43" s="171"/>
      <c r="H43" s="171"/>
      <c r="J43" s="172" t="s">
        <v>17</v>
      </c>
      <c r="K43" s="172"/>
      <c r="L43" s="172"/>
      <c r="M43" s="172"/>
      <c r="N43" s="172"/>
      <c r="O43" s="172"/>
      <c r="P43" s="172"/>
      <c r="Q43" s="172"/>
      <c r="R43" s="172"/>
      <c r="S43" s="172"/>
      <c r="T43" s="172"/>
      <c r="U43" s="172"/>
      <c r="W43" s="173" t="str">
        <f>J43</f>
        <v>Setembro</v>
      </c>
      <c r="X43" s="173"/>
      <c r="Y43" s="173"/>
      <c r="Z43" s="173"/>
      <c r="AA43" s="173"/>
      <c r="AB43" s="173"/>
      <c r="AC43" s="173"/>
      <c r="AE43" s="174" t="str">
        <f>W43</f>
        <v>Setembro</v>
      </c>
      <c r="AF43" s="174"/>
      <c r="AG43" s="174"/>
      <c r="AH43" s="174"/>
      <c r="AI43" s="174"/>
      <c r="AJ43" s="174"/>
      <c r="AK43" s="174"/>
    </row>
    <row r="44" spans="1:37" ht="15.75" thickBot="1" x14ac:dyDescent="0.3">
      <c r="A44" s="168" t="s">
        <v>4</v>
      </c>
      <c r="B44" s="10" t="s">
        <v>5</v>
      </c>
      <c r="C44" s="11" t="s">
        <v>6</v>
      </c>
      <c r="D44" s="12" t="s">
        <v>7</v>
      </c>
      <c r="E44" s="11" t="s">
        <v>8</v>
      </c>
      <c r="F44" s="12" t="s">
        <v>9</v>
      </c>
      <c r="G44" s="11" t="s">
        <v>10</v>
      </c>
      <c r="H44" s="32" t="s">
        <v>11</v>
      </c>
      <c r="J44" s="35" t="s">
        <v>3</v>
      </c>
      <c r="K44" s="14"/>
      <c r="L44" s="15"/>
      <c r="M44" s="15"/>
      <c r="N44" s="15"/>
      <c r="O44" s="15"/>
      <c r="P44" s="15"/>
      <c r="Q44" s="15"/>
      <c r="R44" s="15"/>
      <c r="S44" s="15"/>
      <c r="T44" s="15"/>
      <c r="U44" s="16"/>
      <c r="W44" s="35" t="s">
        <v>3</v>
      </c>
      <c r="X44" s="14"/>
      <c r="Y44" s="15"/>
      <c r="Z44" s="15"/>
      <c r="AA44" s="15"/>
      <c r="AB44" s="15"/>
      <c r="AC44" s="16"/>
      <c r="AE44" s="35" t="s">
        <v>3</v>
      </c>
      <c r="AF44" s="14"/>
      <c r="AG44" s="15"/>
      <c r="AH44" s="15"/>
      <c r="AI44" s="15"/>
      <c r="AJ44" s="15"/>
      <c r="AK44" s="16"/>
    </row>
    <row r="45" spans="1:37" ht="15.75" thickBot="1" x14ac:dyDescent="0.3">
      <c r="A45" s="168"/>
      <c r="B45" s="17"/>
      <c r="C45" s="18"/>
      <c r="D45" s="18"/>
      <c r="E45" s="18"/>
      <c r="F45" s="18">
        <f>SUM(C45-B45)</f>
        <v>0</v>
      </c>
      <c r="G45" s="18">
        <f>SUM(E45-D45)</f>
        <v>0</v>
      </c>
      <c r="H45" s="33">
        <f>SUM(F45:G45)</f>
        <v>0</v>
      </c>
      <c r="J45" s="36" t="s">
        <v>21</v>
      </c>
      <c r="K45" s="19"/>
      <c r="L45" s="20"/>
      <c r="M45" s="20"/>
      <c r="N45" s="20"/>
      <c r="O45" s="20"/>
      <c r="P45" s="20"/>
      <c r="Q45" s="20"/>
      <c r="R45" s="20"/>
      <c r="S45" s="20"/>
      <c r="T45" s="20"/>
      <c r="U45" s="21"/>
      <c r="W45" s="36" t="s">
        <v>21</v>
      </c>
      <c r="X45" s="19"/>
      <c r="Y45" s="20"/>
      <c r="Z45" s="20"/>
      <c r="AA45" s="20"/>
      <c r="AB45" s="20"/>
      <c r="AC45" s="21"/>
      <c r="AE45" s="36" t="s">
        <v>21</v>
      </c>
      <c r="AF45" s="19"/>
      <c r="AG45" s="20"/>
      <c r="AH45" s="20"/>
      <c r="AI45" s="20"/>
      <c r="AJ45" s="20"/>
      <c r="AK45" s="21"/>
    </row>
    <row r="46" spans="1:37" x14ac:dyDescent="0.25">
      <c r="F46" s="2"/>
      <c r="G46" s="2"/>
      <c r="H46" s="2"/>
      <c r="J46" s="37"/>
      <c r="T46" s="22" t="s">
        <v>22</v>
      </c>
      <c r="U46" s="23">
        <f>SUM(K45:U45)</f>
        <v>0</v>
      </c>
      <c r="AB46" s="22" t="s">
        <v>22</v>
      </c>
      <c r="AC46" s="23">
        <f>SUM(X45:AC45)</f>
        <v>0</v>
      </c>
      <c r="AJ46" s="22" t="s">
        <v>22</v>
      </c>
      <c r="AK46" s="23">
        <f>SUM(AF45:AK45)</f>
        <v>0</v>
      </c>
    </row>
    <row r="47" spans="1:37" ht="15.75" thickBot="1" x14ac:dyDescent="0.3">
      <c r="A47" s="34"/>
      <c r="B47" s="171" t="s">
        <v>18</v>
      </c>
      <c r="C47" s="171"/>
      <c r="D47" s="171"/>
      <c r="E47" s="171"/>
      <c r="F47" s="171"/>
      <c r="G47" s="171"/>
      <c r="H47" s="171"/>
      <c r="J47" s="172" t="s">
        <v>18</v>
      </c>
      <c r="K47" s="172"/>
      <c r="L47" s="172"/>
      <c r="M47" s="172"/>
      <c r="N47" s="172"/>
      <c r="O47" s="172"/>
      <c r="P47" s="172"/>
      <c r="Q47" s="172"/>
      <c r="R47" s="172"/>
      <c r="S47" s="172"/>
      <c r="T47" s="172"/>
      <c r="U47" s="172"/>
      <c r="W47" s="173" t="str">
        <f>J47</f>
        <v>Outubro</v>
      </c>
      <c r="X47" s="173"/>
      <c r="Y47" s="173"/>
      <c r="Z47" s="173"/>
      <c r="AA47" s="173"/>
      <c r="AB47" s="173"/>
      <c r="AC47" s="173"/>
      <c r="AE47" s="174" t="str">
        <f>W47</f>
        <v>Outubro</v>
      </c>
      <c r="AF47" s="174"/>
      <c r="AG47" s="174"/>
      <c r="AH47" s="174"/>
      <c r="AI47" s="174"/>
      <c r="AJ47" s="174"/>
      <c r="AK47" s="174"/>
    </row>
    <row r="48" spans="1:37" ht="15.75" thickBot="1" x14ac:dyDescent="0.3">
      <c r="A48" s="168" t="s">
        <v>4</v>
      </c>
      <c r="B48" s="10" t="s">
        <v>5</v>
      </c>
      <c r="C48" s="11" t="s">
        <v>6</v>
      </c>
      <c r="D48" s="12" t="s">
        <v>7</v>
      </c>
      <c r="E48" s="11" t="s">
        <v>8</v>
      </c>
      <c r="F48" s="12" t="s">
        <v>9</v>
      </c>
      <c r="G48" s="11" t="s">
        <v>10</v>
      </c>
      <c r="H48" s="32" t="s">
        <v>11</v>
      </c>
      <c r="J48" s="35" t="s">
        <v>3</v>
      </c>
      <c r="K48" s="14"/>
      <c r="L48" s="15"/>
      <c r="M48" s="15"/>
      <c r="N48" s="15"/>
      <c r="O48" s="15"/>
      <c r="P48" s="15"/>
      <c r="Q48" s="15"/>
      <c r="R48" s="15"/>
      <c r="S48" s="15"/>
      <c r="T48" s="15"/>
      <c r="U48" s="16"/>
      <c r="W48" s="35" t="s">
        <v>3</v>
      </c>
      <c r="X48" s="14"/>
      <c r="Y48" s="15"/>
      <c r="Z48" s="15"/>
      <c r="AA48" s="15"/>
      <c r="AB48" s="15"/>
      <c r="AC48" s="16"/>
      <c r="AE48" s="35" t="s">
        <v>3</v>
      </c>
      <c r="AF48" s="14"/>
      <c r="AG48" s="15"/>
      <c r="AH48" s="15"/>
      <c r="AI48" s="15"/>
      <c r="AJ48" s="15"/>
      <c r="AK48" s="16"/>
    </row>
    <row r="49" spans="1:37" ht="15.75" thickBot="1" x14ac:dyDescent="0.3">
      <c r="A49" s="168"/>
      <c r="B49" s="17"/>
      <c r="C49" s="18"/>
      <c r="D49" s="18"/>
      <c r="E49" s="18"/>
      <c r="F49" s="18">
        <f>SUM(C49-B49)</f>
        <v>0</v>
      </c>
      <c r="G49" s="18">
        <f>SUM(E49-D49)</f>
        <v>0</v>
      </c>
      <c r="H49" s="33">
        <f>SUM(F49:G49)</f>
        <v>0</v>
      </c>
      <c r="J49" s="36" t="s">
        <v>21</v>
      </c>
      <c r="K49" s="19"/>
      <c r="L49" s="20"/>
      <c r="M49" s="20"/>
      <c r="N49" s="20"/>
      <c r="O49" s="20"/>
      <c r="P49" s="20"/>
      <c r="Q49" s="20"/>
      <c r="R49" s="20"/>
      <c r="S49" s="20"/>
      <c r="T49" s="20"/>
      <c r="U49" s="21"/>
      <c r="W49" s="36" t="s">
        <v>21</v>
      </c>
      <c r="X49" s="19"/>
      <c r="Y49" s="20"/>
      <c r="Z49" s="20"/>
      <c r="AA49" s="20"/>
      <c r="AB49" s="20"/>
      <c r="AC49" s="21"/>
      <c r="AE49" s="36" t="s">
        <v>21</v>
      </c>
      <c r="AF49" s="19"/>
      <c r="AG49" s="20"/>
      <c r="AH49" s="20"/>
      <c r="AI49" s="20"/>
      <c r="AJ49" s="20"/>
      <c r="AK49" s="21"/>
    </row>
    <row r="50" spans="1:37" x14ac:dyDescent="0.25">
      <c r="F50" s="2"/>
      <c r="G50" s="2"/>
      <c r="H50" s="2"/>
      <c r="J50" s="37"/>
      <c r="T50" s="22" t="s">
        <v>22</v>
      </c>
      <c r="U50" s="23">
        <f>SUM(K49:U49)</f>
        <v>0</v>
      </c>
      <c r="AB50" s="22" t="s">
        <v>22</v>
      </c>
      <c r="AC50" s="23">
        <f>SUM(X49:AC49)</f>
        <v>0</v>
      </c>
      <c r="AJ50" s="22" t="s">
        <v>22</v>
      </c>
      <c r="AK50" s="23">
        <f>SUM(AF49:AK49)</f>
        <v>0</v>
      </c>
    </row>
    <row r="51" spans="1:37" ht="15.75" thickBot="1" x14ac:dyDescent="0.3">
      <c r="A51" s="34"/>
      <c r="B51" s="171" t="s">
        <v>19</v>
      </c>
      <c r="C51" s="171"/>
      <c r="D51" s="171"/>
      <c r="E51" s="171"/>
      <c r="F51" s="171"/>
      <c r="G51" s="171"/>
      <c r="H51" s="171"/>
      <c r="J51" s="172" t="s">
        <v>19</v>
      </c>
      <c r="K51" s="172"/>
      <c r="L51" s="172"/>
      <c r="M51" s="172"/>
      <c r="N51" s="172"/>
      <c r="O51" s="172"/>
      <c r="P51" s="172"/>
      <c r="Q51" s="172"/>
      <c r="R51" s="172"/>
      <c r="S51" s="172"/>
      <c r="T51" s="172"/>
      <c r="U51" s="172"/>
      <c r="W51" s="173" t="str">
        <f>J51</f>
        <v>Novembro</v>
      </c>
      <c r="X51" s="173"/>
      <c r="Y51" s="173"/>
      <c r="Z51" s="173"/>
      <c r="AA51" s="173"/>
      <c r="AB51" s="173"/>
      <c r="AC51" s="173"/>
      <c r="AE51" s="174" t="str">
        <f>W51</f>
        <v>Novembro</v>
      </c>
      <c r="AF51" s="174"/>
      <c r="AG51" s="174"/>
      <c r="AH51" s="174"/>
      <c r="AI51" s="174"/>
      <c r="AJ51" s="174"/>
      <c r="AK51" s="174"/>
    </row>
    <row r="52" spans="1:37" ht="15.75" thickBot="1" x14ac:dyDescent="0.3">
      <c r="A52" s="168" t="s">
        <v>4</v>
      </c>
      <c r="B52" s="10" t="s">
        <v>5</v>
      </c>
      <c r="C52" s="11" t="s">
        <v>6</v>
      </c>
      <c r="D52" s="12" t="s">
        <v>7</v>
      </c>
      <c r="E52" s="11" t="s">
        <v>8</v>
      </c>
      <c r="F52" s="12" t="s">
        <v>9</v>
      </c>
      <c r="G52" s="11" t="s">
        <v>10</v>
      </c>
      <c r="H52" s="32" t="s">
        <v>11</v>
      </c>
      <c r="J52" s="35" t="s">
        <v>3</v>
      </c>
      <c r="K52" s="14"/>
      <c r="L52" s="15"/>
      <c r="M52" s="15"/>
      <c r="N52" s="15"/>
      <c r="O52" s="15"/>
      <c r="P52" s="15"/>
      <c r="Q52" s="15"/>
      <c r="R52" s="15"/>
      <c r="S52" s="15"/>
      <c r="T52" s="15"/>
      <c r="U52" s="16"/>
      <c r="W52" s="35" t="s">
        <v>3</v>
      </c>
      <c r="X52" s="14"/>
      <c r="Y52" s="15"/>
      <c r="Z52" s="15"/>
      <c r="AA52" s="15"/>
      <c r="AB52" s="15"/>
      <c r="AC52" s="16"/>
      <c r="AE52" s="35" t="s">
        <v>3</v>
      </c>
      <c r="AF52" s="14"/>
      <c r="AG52" s="15"/>
      <c r="AH52" s="15"/>
      <c r="AI52" s="15"/>
      <c r="AJ52" s="15"/>
      <c r="AK52" s="16"/>
    </row>
    <row r="53" spans="1:37" ht="15.75" thickBot="1" x14ac:dyDescent="0.3">
      <c r="A53" s="168"/>
      <c r="B53" s="17"/>
      <c r="C53" s="18"/>
      <c r="D53" s="18"/>
      <c r="E53" s="18"/>
      <c r="F53" s="18">
        <f>SUM(C53-B53)</f>
        <v>0</v>
      </c>
      <c r="G53" s="18">
        <f>SUM(E53-D53)</f>
        <v>0</v>
      </c>
      <c r="H53" s="33">
        <f>SUM(F53:G53)</f>
        <v>0</v>
      </c>
      <c r="J53" s="36" t="s">
        <v>21</v>
      </c>
      <c r="K53" s="19"/>
      <c r="L53" s="20"/>
      <c r="M53" s="20"/>
      <c r="N53" s="20"/>
      <c r="O53" s="20"/>
      <c r="P53" s="20"/>
      <c r="Q53" s="20"/>
      <c r="R53" s="20"/>
      <c r="S53" s="20"/>
      <c r="T53" s="20"/>
      <c r="U53" s="21"/>
      <c r="W53" s="36" t="s">
        <v>21</v>
      </c>
      <c r="X53" s="19"/>
      <c r="Y53" s="20"/>
      <c r="Z53" s="20"/>
      <c r="AA53" s="20"/>
      <c r="AB53" s="20"/>
      <c r="AC53" s="21"/>
      <c r="AE53" s="36" t="s">
        <v>21</v>
      </c>
      <c r="AF53" s="19"/>
      <c r="AG53" s="20"/>
      <c r="AH53" s="20"/>
      <c r="AI53" s="20"/>
      <c r="AJ53" s="20"/>
      <c r="AK53" s="21"/>
    </row>
    <row r="54" spans="1:37" x14ac:dyDescent="0.25">
      <c r="F54" s="2"/>
      <c r="G54" s="2"/>
      <c r="H54" s="2"/>
      <c r="J54" s="37"/>
      <c r="T54" s="22" t="s">
        <v>22</v>
      </c>
      <c r="U54" s="23">
        <f>SUM(K53:U53)</f>
        <v>0</v>
      </c>
      <c r="AB54" s="22" t="s">
        <v>22</v>
      </c>
      <c r="AC54" s="23">
        <f>SUM(X53:AC53)</f>
        <v>0</v>
      </c>
      <c r="AJ54" s="22" t="s">
        <v>22</v>
      </c>
      <c r="AK54" s="23">
        <f>SUM(AF53:AK53)</f>
        <v>0</v>
      </c>
    </row>
    <row r="55" spans="1:37" ht="15.75" thickBot="1" x14ac:dyDescent="0.3">
      <c r="A55" s="34"/>
      <c r="B55" s="171" t="s">
        <v>20</v>
      </c>
      <c r="C55" s="171"/>
      <c r="D55" s="171"/>
      <c r="E55" s="171"/>
      <c r="F55" s="171"/>
      <c r="G55" s="171"/>
      <c r="H55" s="171"/>
      <c r="J55" s="172" t="s">
        <v>20</v>
      </c>
      <c r="K55" s="172"/>
      <c r="L55" s="172"/>
      <c r="M55" s="172"/>
      <c r="N55" s="172"/>
      <c r="O55" s="172"/>
      <c r="P55" s="172"/>
      <c r="Q55" s="172"/>
      <c r="R55" s="172"/>
      <c r="S55" s="172"/>
      <c r="T55" s="172"/>
      <c r="U55" s="172"/>
      <c r="W55" s="173" t="str">
        <f>J55</f>
        <v>Dezembro</v>
      </c>
      <c r="X55" s="173"/>
      <c r="Y55" s="173"/>
      <c r="Z55" s="173"/>
      <c r="AA55" s="173"/>
      <c r="AB55" s="173"/>
      <c r="AC55" s="173"/>
      <c r="AE55" s="174" t="str">
        <f>W55</f>
        <v>Dezembro</v>
      </c>
      <c r="AF55" s="174"/>
      <c r="AG55" s="174"/>
      <c r="AH55" s="174"/>
      <c r="AI55" s="174"/>
      <c r="AJ55" s="174"/>
      <c r="AK55" s="174"/>
    </row>
    <row r="56" spans="1:37" ht="15.75" thickBot="1" x14ac:dyDescent="0.3">
      <c r="A56" s="168" t="s">
        <v>4</v>
      </c>
      <c r="B56" s="10" t="s">
        <v>5</v>
      </c>
      <c r="C56" s="11" t="s">
        <v>6</v>
      </c>
      <c r="D56" s="12" t="s">
        <v>7</v>
      </c>
      <c r="E56" s="11" t="s">
        <v>8</v>
      </c>
      <c r="F56" s="12" t="s">
        <v>9</v>
      </c>
      <c r="G56" s="11" t="s">
        <v>10</v>
      </c>
      <c r="H56" s="32" t="s">
        <v>11</v>
      </c>
      <c r="J56" s="35" t="s">
        <v>3</v>
      </c>
      <c r="K56" s="14"/>
      <c r="L56" s="15"/>
      <c r="M56" s="15"/>
      <c r="N56" s="15"/>
      <c r="O56" s="15"/>
      <c r="P56" s="15"/>
      <c r="Q56" s="15"/>
      <c r="R56" s="15"/>
      <c r="S56" s="15"/>
      <c r="T56" s="15"/>
      <c r="U56" s="16"/>
      <c r="W56" s="35" t="s">
        <v>3</v>
      </c>
      <c r="X56" s="14"/>
      <c r="Y56" s="15"/>
      <c r="Z56" s="15"/>
      <c r="AA56" s="15"/>
      <c r="AB56" s="15"/>
      <c r="AC56" s="16"/>
      <c r="AE56" s="35" t="s">
        <v>3</v>
      </c>
      <c r="AF56" s="14"/>
      <c r="AG56" s="15"/>
      <c r="AH56" s="15"/>
      <c r="AI56" s="15"/>
      <c r="AJ56" s="15"/>
      <c r="AK56" s="16"/>
    </row>
    <row r="57" spans="1:37" ht="15.75" thickBot="1" x14ac:dyDescent="0.3">
      <c r="A57" s="168"/>
      <c r="B57" s="17"/>
      <c r="C57" s="18"/>
      <c r="D57" s="18"/>
      <c r="E57" s="18"/>
      <c r="F57" s="18">
        <f>SUM(C57-B57)</f>
        <v>0</v>
      </c>
      <c r="G57" s="18">
        <f>SUM(E57-D57)</f>
        <v>0</v>
      </c>
      <c r="H57" s="33">
        <f>SUM(F57:G57)</f>
        <v>0</v>
      </c>
      <c r="J57" s="36" t="s">
        <v>21</v>
      </c>
      <c r="K57" s="19"/>
      <c r="L57" s="20"/>
      <c r="M57" s="20"/>
      <c r="N57" s="20"/>
      <c r="O57" s="20"/>
      <c r="P57" s="20"/>
      <c r="Q57" s="20"/>
      <c r="R57" s="20"/>
      <c r="S57" s="20"/>
      <c r="T57" s="20"/>
      <c r="U57" s="21"/>
      <c r="W57" s="36" t="s">
        <v>21</v>
      </c>
      <c r="X57" s="19"/>
      <c r="Y57" s="20"/>
      <c r="Z57" s="20"/>
      <c r="AA57" s="20"/>
      <c r="AB57" s="20"/>
      <c r="AC57" s="21"/>
      <c r="AE57" s="36" t="s">
        <v>21</v>
      </c>
      <c r="AF57" s="19"/>
      <c r="AG57" s="20"/>
      <c r="AH57" s="20"/>
      <c r="AI57" s="20"/>
      <c r="AJ57" s="20"/>
      <c r="AK57" s="21"/>
    </row>
    <row r="58" spans="1:37" x14ac:dyDescent="0.25">
      <c r="J58" s="37"/>
      <c r="T58" s="22" t="s">
        <v>22</v>
      </c>
      <c r="U58" s="23">
        <f>SUM(K57:U57)</f>
        <v>0</v>
      </c>
      <c r="AB58" s="22" t="s">
        <v>22</v>
      </c>
      <c r="AC58" s="23">
        <f>SUM(X57:AC57)</f>
        <v>0</v>
      </c>
      <c r="AJ58" s="22" t="s">
        <v>22</v>
      </c>
      <c r="AK58" s="23">
        <f>SUM(AF57:AK57)</f>
        <v>0</v>
      </c>
    </row>
  </sheetData>
  <mergeCells count="71">
    <mergeCell ref="B55:H55"/>
    <mergeCell ref="J55:U55"/>
    <mergeCell ref="W55:AC55"/>
    <mergeCell ref="AE55:AK55"/>
    <mergeCell ref="A56:A57"/>
    <mergeCell ref="A52:A53"/>
    <mergeCell ref="B43:H43"/>
    <mergeCell ref="J43:U43"/>
    <mergeCell ref="W43:AC43"/>
    <mergeCell ref="AE43:AK43"/>
    <mergeCell ref="A44:A45"/>
    <mergeCell ref="B47:H47"/>
    <mergeCell ref="J47:U47"/>
    <mergeCell ref="W47:AC47"/>
    <mergeCell ref="AE47:AK47"/>
    <mergeCell ref="A48:A49"/>
    <mergeCell ref="B51:H51"/>
    <mergeCell ref="J51:U51"/>
    <mergeCell ref="W51:AC51"/>
    <mergeCell ref="AE51:AK51"/>
    <mergeCell ref="A40:A41"/>
    <mergeCell ref="B31:H31"/>
    <mergeCell ref="J31:U31"/>
    <mergeCell ref="W31:AC31"/>
    <mergeCell ref="AE31:AK31"/>
    <mergeCell ref="A32:A33"/>
    <mergeCell ref="B35:H35"/>
    <mergeCell ref="J35:U35"/>
    <mergeCell ref="W35:AC35"/>
    <mergeCell ref="AE35:AK35"/>
    <mergeCell ref="A36:A37"/>
    <mergeCell ref="B39:H39"/>
    <mergeCell ref="J39:U39"/>
    <mergeCell ref="W39:AC39"/>
    <mergeCell ref="AE39:AK39"/>
    <mergeCell ref="A28:A29"/>
    <mergeCell ref="B19:H19"/>
    <mergeCell ref="J19:U19"/>
    <mergeCell ref="W19:AC19"/>
    <mergeCell ref="AE19:AK19"/>
    <mergeCell ref="A20:A21"/>
    <mergeCell ref="B23:H23"/>
    <mergeCell ref="J23:U23"/>
    <mergeCell ref="W23:AC23"/>
    <mergeCell ref="AE23:AK23"/>
    <mergeCell ref="A24:A25"/>
    <mergeCell ref="B27:H27"/>
    <mergeCell ref="J27:U27"/>
    <mergeCell ref="W27:AC27"/>
    <mergeCell ref="AE27:AK27"/>
    <mergeCell ref="A16:A17"/>
    <mergeCell ref="A9:H9"/>
    <mergeCell ref="J9:U9"/>
    <mergeCell ref="W9:AC9"/>
    <mergeCell ref="AE9:AK9"/>
    <mergeCell ref="B11:H11"/>
    <mergeCell ref="J11:U11"/>
    <mergeCell ref="W11:AC11"/>
    <mergeCell ref="AE11:AK11"/>
    <mergeCell ref="A12:A13"/>
    <mergeCell ref="B15:H15"/>
    <mergeCell ref="J15:U15"/>
    <mergeCell ref="W15:AC15"/>
    <mergeCell ref="AE15:AK15"/>
    <mergeCell ref="B6:C6"/>
    <mergeCell ref="E6:F6"/>
    <mergeCell ref="A1:A2"/>
    <mergeCell ref="B1:AK1"/>
    <mergeCell ref="B2:AK2"/>
    <mergeCell ref="B4:C4"/>
    <mergeCell ref="E4:F4"/>
  </mergeCells>
  <pageMargins left="0.511811024" right="0.511811024" top="0.78740157499999996" bottom="0.78740157499999996" header="0.31496062000000002" footer="0.31496062000000002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394BFB-4A87-4722-AD7A-AD891269B588}">
  <dimension ref="A1:AK58"/>
  <sheetViews>
    <sheetView workbookViewId="0">
      <selection sqref="A1:AK1048576"/>
    </sheetView>
  </sheetViews>
  <sheetFormatPr defaultRowHeight="15" x14ac:dyDescent="0.25"/>
  <cols>
    <col min="1" max="1" width="14.85546875" style="2" customWidth="1"/>
    <col min="2" max="2" width="11.7109375" style="2" bestFit="1" customWidth="1"/>
    <col min="3" max="3" width="9.28515625" style="2" bestFit="1" customWidth="1"/>
    <col min="4" max="4" width="10.7109375" style="2" customWidth="1"/>
    <col min="5" max="5" width="9.28515625" style="2" bestFit="1" customWidth="1"/>
    <col min="6" max="6" width="13.140625" style="1" customWidth="1"/>
    <col min="7" max="7" width="13.85546875" style="1" customWidth="1"/>
    <col min="8" max="8" width="11.85546875" style="1" bestFit="1" customWidth="1"/>
    <col min="9" max="9" width="9.85546875" style="1" customWidth="1"/>
    <col min="10" max="10" width="9.42578125" style="2" customWidth="1"/>
    <col min="11" max="13" width="10.42578125" style="1" bestFit="1" customWidth="1"/>
    <col min="14" max="20" width="9" style="1"/>
    <col min="21" max="21" width="10.42578125" style="1" bestFit="1" customWidth="1"/>
    <col min="22" max="22" width="9" style="1"/>
    <col min="23" max="23" width="9" style="2"/>
    <col min="24" max="30" width="9" style="1"/>
    <col min="31" max="31" width="9" style="2"/>
    <col min="32" max="33" width="9" style="1"/>
    <col min="34" max="36" width="10.140625" style="1" bestFit="1" customWidth="1"/>
    <col min="37" max="37" width="9.140625" style="1"/>
  </cols>
  <sheetData>
    <row r="1" spans="1:37" ht="21" x14ac:dyDescent="0.25">
      <c r="A1" s="162"/>
      <c r="B1" s="164" t="s">
        <v>51</v>
      </c>
      <c r="C1" s="164"/>
      <c r="D1" s="164"/>
      <c r="E1" s="164"/>
      <c r="F1" s="164"/>
      <c r="G1" s="164"/>
      <c r="H1" s="164"/>
      <c r="I1" s="164"/>
      <c r="J1" s="164"/>
      <c r="K1" s="164"/>
      <c r="L1" s="164"/>
      <c r="M1" s="164"/>
      <c r="N1" s="164"/>
      <c r="O1" s="164"/>
      <c r="P1" s="164"/>
      <c r="Q1" s="164"/>
      <c r="R1" s="164"/>
      <c r="S1" s="164"/>
      <c r="T1" s="164"/>
      <c r="U1" s="164"/>
      <c r="V1" s="164"/>
      <c r="W1" s="164"/>
      <c r="X1" s="164"/>
      <c r="Y1" s="164"/>
      <c r="Z1" s="164"/>
      <c r="AA1" s="164"/>
      <c r="AB1" s="164"/>
      <c r="AC1" s="164"/>
      <c r="AD1" s="164"/>
      <c r="AE1" s="164"/>
      <c r="AF1" s="164"/>
      <c r="AG1" s="164"/>
      <c r="AH1" s="164"/>
      <c r="AI1" s="164"/>
      <c r="AJ1" s="164"/>
      <c r="AK1" s="165"/>
    </row>
    <row r="2" spans="1:37" ht="21" x14ac:dyDescent="0.25">
      <c r="A2" s="163"/>
      <c r="B2" s="166" t="s">
        <v>50</v>
      </c>
      <c r="C2" s="166"/>
      <c r="D2" s="166"/>
      <c r="E2" s="166"/>
      <c r="F2" s="166"/>
      <c r="G2" s="166"/>
      <c r="H2" s="166"/>
      <c r="I2" s="166"/>
      <c r="J2" s="166"/>
      <c r="K2" s="166"/>
      <c r="L2" s="166"/>
      <c r="M2" s="166"/>
      <c r="N2" s="166"/>
      <c r="O2" s="166"/>
      <c r="P2" s="166"/>
      <c r="Q2" s="166"/>
      <c r="R2" s="166"/>
      <c r="S2" s="166"/>
      <c r="T2" s="166"/>
      <c r="U2" s="166"/>
      <c r="V2" s="166"/>
      <c r="W2" s="166"/>
      <c r="X2" s="166"/>
      <c r="Y2" s="166"/>
      <c r="Z2" s="166"/>
      <c r="AA2" s="166"/>
      <c r="AB2" s="166"/>
      <c r="AC2" s="166"/>
      <c r="AD2" s="166"/>
      <c r="AE2" s="166"/>
      <c r="AF2" s="166"/>
      <c r="AG2" s="166"/>
      <c r="AH2" s="166"/>
      <c r="AI2" s="166"/>
      <c r="AJ2" s="166"/>
      <c r="AK2" s="167"/>
    </row>
    <row r="4" spans="1:37" x14ac:dyDescent="0.25">
      <c r="A4" s="31" t="s">
        <v>47</v>
      </c>
      <c r="B4" s="161"/>
      <c r="C4" s="161"/>
      <c r="D4" s="31" t="s">
        <v>0</v>
      </c>
      <c r="E4" s="161"/>
      <c r="F4" s="161"/>
      <c r="G4" s="31" t="s">
        <v>45</v>
      </c>
      <c r="H4" s="4"/>
    </row>
    <row r="5" spans="1:37" x14ac:dyDescent="0.25">
      <c r="A5" s="31"/>
      <c r="D5" s="31"/>
      <c r="F5" s="2"/>
      <c r="G5" s="31"/>
    </row>
    <row r="6" spans="1:37" x14ac:dyDescent="0.25">
      <c r="A6" s="31" t="s">
        <v>48</v>
      </c>
      <c r="B6" s="160"/>
      <c r="C6" s="160"/>
      <c r="D6" s="31" t="s">
        <v>44</v>
      </c>
      <c r="E6" s="161"/>
      <c r="F6" s="161"/>
      <c r="G6" s="31" t="s">
        <v>46</v>
      </c>
      <c r="H6" s="5"/>
    </row>
    <row r="9" spans="1:37" ht="18.75" x14ac:dyDescent="0.3">
      <c r="A9" s="169" t="s">
        <v>26</v>
      </c>
      <c r="B9" s="169"/>
      <c r="C9" s="169"/>
      <c r="D9" s="169"/>
      <c r="E9" s="169"/>
      <c r="F9" s="169"/>
      <c r="G9" s="169"/>
      <c r="H9" s="169"/>
      <c r="I9" s="28"/>
      <c r="J9" s="169" t="s">
        <v>24</v>
      </c>
      <c r="K9" s="169"/>
      <c r="L9" s="169"/>
      <c r="M9" s="169"/>
      <c r="N9" s="169"/>
      <c r="O9" s="169"/>
      <c r="P9" s="169"/>
      <c r="Q9" s="169"/>
      <c r="R9" s="169"/>
      <c r="S9" s="169"/>
      <c r="T9" s="169"/>
      <c r="U9" s="169"/>
      <c r="V9" s="29"/>
      <c r="W9" s="170" t="s">
        <v>49</v>
      </c>
      <c r="X9" s="170"/>
      <c r="Y9" s="170"/>
      <c r="Z9" s="170"/>
      <c r="AA9" s="170"/>
      <c r="AB9" s="170"/>
      <c r="AC9" s="170"/>
      <c r="AD9" s="29"/>
      <c r="AE9" s="170" t="s">
        <v>25</v>
      </c>
      <c r="AF9" s="170"/>
      <c r="AG9" s="170"/>
      <c r="AH9" s="170"/>
      <c r="AI9" s="170"/>
      <c r="AJ9" s="170"/>
      <c r="AK9" s="170"/>
    </row>
    <row r="10" spans="1:37" x14ac:dyDescent="0.25">
      <c r="A10" s="7"/>
      <c r="B10" s="7"/>
      <c r="C10" s="7"/>
      <c r="D10" s="7"/>
      <c r="E10" s="7"/>
      <c r="F10" s="7"/>
      <c r="G10" s="7"/>
      <c r="H10" s="7"/>
      <c r="I10" s="6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8"/>
      <c r="W10" s="9"/>
      <c r="X10" s="9"/>
      <c r="Y10" s="9"/>
      <c r="Z10" s="9"/>
      <c r="AA10" s="9"/>
      <c r="AB10" s="9"/>
      <c r="AC10" s="9"/>
      <c r="AD10" s="8"/>
      <c r="AE10" s="9"/>
      <c r="AF10" s="9"/>
      <c r="AG10" s="9"/>
      <c r="AH10" s="9"/>
      <c r="AI10" s="9"/>
      <c r="AJ10" s="9"/>
      <c r="AK10" s="9"/>
    </row>
    <row r="11" spans="1:37" ht="15.75" thickBot="1" x14ac:dyDescent="0.3">
      <c r="A11" s="34"/>
      <c r="B11" s="171" t="s">
        <v>54</v>
      </c>
      <c r="C11" s="171"/>
      <c r="D11" s="171"/>
      <c r="E11" s="171"/>
      <c r="F11" s="171"/>
      <c r="G11" s="171"/>
      <c r="H11" s="171"/>
      <c r="I11" s="6"/>
      <c r="J11" s="172" t="s">
        <v>54</v>
      </c>
      <c r="K11" s="172"/>
      <c r="L11" s="172"/>
      <c r="M11" s="172"/>
      <c r="N11" s="172"/>
      <c r="O11" s="172"/>
      <c r="P11" s="172"/>
      <c r="Q11" s="172"/>
      <c r="R11" s="172"/>
      <c r="S11" s="172"/>
      <c r="T11" s="172"/>
      <c r="U11" s="172"/>
      <c r="V11" s="8"/>
      <c r="W11" s="173" t="s">
        <v>54</v>
      </c>
      <c r="X11" s="173"/>
      <c r="Y11" s="173"/>
      <c r="Z11" s="173"/>
      <c r="AA11" s="173"/>
      <c r="AB11" s="173"/>
      <c r="AC11" s="173"/>
      <c r="AD11" s="8"/>
      <c r="AE11" s="174" t="s">
        <v>54</v>
      </c>
      <c r="AF11" s="174"/>
      <c r="AG11" s="174"/>
      <c r="AH11" s="174"/>
      <c r="AI11" s="174"/>
      <c r="AJ11" s="174"/>
      <c r="AK11" s="174"/>
    </row>
    <row r="12" spans="1:37" ht="15.75" thickBot="1" x14ac:dyDescent="0.3">
      <c r="A12" s="168" t="s">
        <v>4</v>
      </c>
      <c r="B12" s="10" t="s">
        <v>5</v>
      </c>
      <c r="C12" s="11" t="s">
        <v>6</v>
      </c>
      <c r="D12" s="12" t="s">
        <v>7</v>
      </c>
      <c r="E12" s="11" t="s">
        <v>8</v>
      </c>
      <c r="F12" s="12" t="s">
        <v>9</v>
      </c>
      <c r="G12" s="11" t="s">
        <v>10</v>
      </c>
      <c r="H12" s="32" t="s">
        <v>11</v>
      </c>
      <c r="I12" s="6"/>
      <c r="J12" s="35" t="s">
        <v>3</v>
      </c>
      <c r="K12" s="14"/>
      <c r="L12" s="15"/>
      <c r="M12" s="15"/>
      <c r="N12" s="15"/>
      <c r="O12" s="15"/>
      <c r="P12" s="15"/>
      <c r="Q12" s="15"/>
      <c r="R12" s="15"/>
      <c r="S12" s="15"/>
      <c r="T12" s="15"/>
      <c r="U12" s="16"/>
      <c r="V12" s="8"/>
      <c r="W12" s="35" t="s">
        <v>3</v>
      </c>
      <c r="X12" s="14"/>
      <c r="Y12" s="15"/>
      <c r="Z12" s="15"/>
      <c r="AA12" s="15"/>
      <c r="AB12" s="15"/>
      <c r="AC12" s="16"/>
      <c r="AD12" s="8"/>
      <c r="AE12" s="35" t="s">
        <v>3</v>
      </c>
      <c r="AF12" s="14"/>
      <c r="AG12" s="15"/>
      <c r="AH12" s="15"/>
      <c r="AI12" s="15"/>
      <c r="AJ12" s="15"/>
      <c r="AK12" s="16"/>
    </row>
    <row r="13" spans="1:37" ht="15.75" thickBot="1" x14ac:dyDescent="0.3">
      <c r="A13" s="168"/>
      <c r="B13" s="17"/>
      <c r="C13" s="18"/>
      <c r="D13" s="18"/>
      <c r="E13" s="18"/>
      <c r="F13" s="18">
        <f>SUM(C13-B13)</f>
        <v>0</v>
      </c>
      <c r="G13" s="18">
        <f>SUM(E13-D13)</f>
        <v>0</v>
      </c>
      <c r="H13" s="33">
        <f>SUM(F13:G13)</f>
        <v>0</v>
      </c>
      <c r="I13" s="6"/>
      <c r="J13" s="36" t="s">
        <v>21</v>
      </c>
      <c r="K13" s="19"/>
      <c r="L13" s="20"/>
      <c r="M13" s="20"/>
      <c r="N13" s="20"/>
      <c r="O13" s="20"/>
      <c r="P13" s="20"/>
      <c r="Q13" s="20"/>
      <c r="R13" s="20"/>
      <c r="S13" s="20"/>
      <c r="T13" s="20"/>
      <c r="U13" s="21"/>
      <c r="V13" s="8"/>
      <c r="W13" s="36" t="s">
        <v>21</v>
      </c>
      <c r="X13" s="19"/>
      <c r="Y13" s="20"/>
      <c r="Z13" s="20"/>
      <c r="AA13" s="20"/>
      <c r="AB13" s="20"/>
      <c r="AC13" s="21"/>
      <c r="AD13" s="8"/>
      <c r="AE13" s="36" t="s">
        <v>21</v>
      </c>
      <c r="AF13" s="19"/>
      <c r="AG13" s="20"/>
      <c r="AH13" s="20"/>
      <c r="AI13" s="20"/>
      <c r="AJ13" s="20"/>
      <c r="AK13" s="21"/>
    </row>
    <row r="14" spans="1:37" x14ac:dyDescent="0.25">
      <c r="A14" s="7"/>
      <c r="B14" s="7"/>
      <c r="C14" s="7"/>
      <c r="D14" s="7"/>
      <c r="E14" s="7"/>
      <c r="F14" s="7"/>
      <c r="G14" s="7"/>
      <c r="H14" s="7"/>
      <c r="I14" s="6"/>
      <c r="J14" s="7"/>
      <c r="K14" s="7"/>
      <c r="L14" s="7"/>
      <c r="M14" s="7"/>
      <c r="N14" s="7"/>
      <c r="O14" s="7"/>
      <c r="P14" s="7"/>
      <c r="Q14" s="7"/>
      <c r="R14" s="7"/>
      <c r="S14" s="7"/>
      <c r="T14" s="22" t="s">
        <v>22</v>
      </c>
      <c r="U14" s="23">
        <f>SUM(K13:U13)</f>
        <v>0</v>
      </c>
      <c r="V14" s="8"/>
      <c r="AB14" s="22" t="s">
        <v>22</v>
      </c>
      <c r="AC14" s="23">
        <f>SUM(X13:AC13)</f>
        <v>0</v>
      </c>
      <c r="AD14" s="8"/>
      <c r="AJ14" s="22" t="s">
        <v>22</v>
      </c>
      <c r="AK14" s="23">
        <f>SUM(AF13:AK13)</f>
        <v>0</v>
      </c>
    </row>
    <row r="15" spans="1:37" ht="15.75" thickBot="1" x14ac:dyDescent="0.3">
      <c r="A15" s="34"/>
      <c r="B15" s="171" t="s">
        <v>2</v>
      </c>
      <c r="C15" s="171"/>
      <c r="D15" s="171"/>
      <c r="E15" s="171"/>
      <c r="F15" s="171"/>
      <c r="G15" s="171"/>
      <c r="H15" s="171"/>
      <c r="J15" s="172" t="s">
        <v>2</v>
      </c>
      <c r="K15" s="172"/>
      <c r="L15" s="172"/>
      <c r="M15" s="172"/>
      <c r="N15" s="172"/>
      <c r="O15" s="172"/>
      <c r="P15" s="172"/>
      <c r="Q15" s="172"/>
      <c r="R15" s="172"/>
      <c r="S15" s="172"/>
      <c r="T15" s="172"/>
      <c r="U15" s="172"/>
      <c r="W15" s="173" t="s">
        <v>2</v>
      </c>
      <c r="X15" s="173"/>
      <c r="Y15" s="173"/>
      <c r="Z15" s="173"/>
      <c r="AA15" s="173"/>
      <c r="AB15" s="173"/>
      <c r="AC15" s="173"/>
      <c r="AE15" s="174" t="s">
        <v>2</v>
      </c>
      <c r="AF15" s="174"/>
      <c r="AG15" s="174"/>
      <c r="AH15" s="174"/>
      <c r="AI15" s="174"/>
      <c r="AJ15" s="174"/>
      <c r="AK15" s="174"/>
    </row>
    <row r="16" spans="1:37" ht="15.75" thickBot="1" x14ac:dyDescent="0.3">
      <c r="A16" s="168" t="s">
        <v>4</v>
      </c>
      <c r="B16" s="10" t="s">
        <v>5</v>
      </c>
      <c r="C16" s="11" t="s">
        <v>6</v>
      </c>
      <c r="D16" s="12" t="s">
        <v>7</v>
      </c>
      <c r="E16" s="11" t="s">
        <v>8</v>
      </c>
      <c r="F16" s="12" t="s">
        <v>9</v>
      </c>
      <c r="G16" s="11" t="s">
        <v>10</v>
      </c>
      <c r="H16" s="32" t="s">
        <v>11</v>
      </c>
      <c r="J16" s="35" t="s">
        <v>3</v>
      </c>
      <c r="K16" s="14"/>
      <c r="L16" s="15"/>
      <c r="M16" s="15"/>
      <c r="N16" s="15"/>
      <c r="O16" s="15"/>
      <c r="P16" s="15"/>
      <c r="Q16" s="15"/>
      <c r="R16" s="15"/>
      <c r="S16" s="15"/>
      <c r="T16" s="15"/>
      <c r="U16" s="16"/>
      <c r="W16" s="35" t="s">
        <v>3</v>
      </c>
      <c r="X16" s="14"/>
      <c r="Y16" s="15"/>
      <c r="Z16" s="15"/>
      <c r="AA16" s="15"/>
      <c r="AB16" s="15"/>
      <c r="AC16" s="16"/>
      <c r="AE16" s="35" t="s">
        <v>3</v>
      </c>
      <c r="AF16" s="14"/>
      <c r="AG16" s="15"/>
      <c r="AH16" s="15"/>
      <c r="AI16" s="15"/>
      <c r="AJ16" s="15"/>
      <c r="AK16" s="16"/>
    </row>
    <row r="17" spans="1:37" ht="15.75" thickBot="1" x14ac:dyDescent="0.3">
      <c r="A17" s="168"/>
      <c r="B17" s="17"/>
      <c r="C17" s="18"/>
      <c r="D17" s="18"/>
      <c r="E17" s="18"/>
      <c r="F17" s="18">
        <f>SUM(C17-B17)</f>
        <v>0</v>
      </c>
      <c r="G17" s="18">
        <f>SUM(E17-D17)</f>
        <v>0</v>
      </c>
      <c r="H17" s="33">
        <f>SUM(F17:G17)</f>
        <v>0</v>
      </c>
      <c r="J17" s="36" t="s">
        <v>21</v>
      </c>
      <c r="K17" s="19"/>
      <c r="L17" s="20"/>
      <c r="M17" s="20"/>
      <c r="N17" s="20"/>
      <c r="O17" s="20"/>
      <c r="P17" s="20"/>
      <c r="Q17" s="20"/>
      <c r="R17" s="20"/>
      <c r="S17" s="20"/>
      <c r="T17" s="20"/>
      <c r="U17" s="21"/>
      <c r="W17" s="36" t="s">
        <v>21</v>
      </c>
      <c r="X17" s="19"/>
      <c r="Y17" s="20"/>
      <c r="Z17" s="20"/>
      <c r="AA17" s="20"/>
      <c r="AB17" s="20"/>
      <c r="AC17" s="21"/>
      <c r="AE17" s="36" t="s">
        <v>21</v>
      </c>
      <c r="AF17" s="19"/>
      <c r="AG17" s="20"/>
      <c r="AH17" s="20"/>
      <c r="AI17" s="20"/>
      <c r="AJ17" s="20"/>
      <c r="AK17" s="21"/>
    </row>
    <row r="18" spans="1:37" x14ac:dyDescent="0.25">
      <c r="F18" s="2"/>
      <c r="G18" s="2"/>
      <c r="H18" s="2"/>
      <c r="J18" s="37"/>
      <c r="T18" s="22" t="s">
        <v>22</v>
      </c>
      <c r="U18" s="23">
        <f>SUM(K17:U17)</f>
        <v>0</v>
      </c>
      <c r="AB18" s="22" t="s">
        <v>22</v>
      </c>
      <c r="AC18" s="23">
        <f>SUM(X17:AC17)</f>
        <v>0</v>
      </c>
      <c r="AJ18" s="22" t="s">
        <v>22</v>
      </c>
      <c r="AK18" s="23">
        <f>SUM(AF17:AK17)</f>
        <v>0</v>
      </c>
    </row>
    <row r="19" spans="1:37" ht="15.75" thickBot="1" x14ac:dyDescent="0.3">
      <c r="A19" s="34"/>
      <c r="B19" s="171" t="s">
        <v>12</v>
      </c>
      <c r="C19" s="171"/>
      <c r="D19" s="171"/>
      <c r="E19" s="171"/>
      <c r="F19" s="171"/>
      <c r="G19" s="171"/>
      <c r="H19" s="171"/>
      <c r="J19" s="172" t="s">
        <v>12</v>
      </c>
      <c r="K19" s="172"/>
      <c r="L19" s="172"/>
      <c r="M19" s="172"/>
      <c r="N19" s="172"/>
      <c r="O19" s="172"/>
      <c r="P19" s="172"/>
      <c r="Q19" s="172"/>
      <c r="R19" s="172"/>
      <c r="S19" s="172"/>
      <c r="T19" s="172"/>
      <c r="U19" s="172"/>
      <c r="W19" s="173" t="str">
        <f>J19</f>
        <v>Março</v>
      </c>
      <c r="X19" s="173"/>
      <c r="Y19" s="173"/>
      <c r="Z19" s="173"/>
      <c r="AA19" s="173"/>
      <c r="AB19" s="173"/>
      <c r="AC19" s="173"/>
      <c r="AE19" s="174" t="str">
        <f>W19</f>
        <v>Março</v>
      </c>
      <c r="AF19" s="174"/>
      <c r="AG19" s="174"/>
      <c r="AH19" s="174"/>
      <c r="AI19" s="174"/>
      <c r="AJ19" s="174"/>
      <c r="AK19" s="174"/>
    </row>
    <row r="20" spans="1:37" ht="15.75" thickBot="1" x14ac:dyDescent="0.3">
      <c r="A20" s="168" t="s">
        <v>4</v>
      </c>
      <c r="B20" s="10" t="s">
        <v>5</v>
      </c>
      <c r="C20" s="11" t="s">
        <v>6</v>
      </c>
      <c r="D20" s="12" t="s">
        <v>7</v>
      </c>
      <c r="E20" s="11" t="s">
        <v>8</v>
      </c>
      <c r="F20" s="12" t="s">
        <v>9</v>
      </c>
      <c r="G20" s="11" t="s">
        <v>10</v>
      </c>
      <c r="H20" s="32" t="s">
        <v>11</v>
      </c>
      <c r="J20" s="35" t="s">
        <v>3</v>
      </c>
      <c r="K20" s="14"/>
      <c r="L20" s="24"/>
      <c r="M20" s="24"/>
      <c r="N20" s="15"/>
      <c r="O20" s="15"/>
      <c r="P20" s="15"/>
      <c r="Q20" s="15"/>
      <c r="R20" s="15"/>
      <c r="S20" s="15"/>
      <c r="T20" s="15"/>
      <c r="U20" s="16"/>
      <c r="W20" s="35" t="s">
        <v>3</v>
      </c>
      <c r="X20" s="14"/>
      <c r="Y20" s="15"/>
      <c r="Z20" s="15"/>
      <c r="AA20" s="15"/>
      <c r="AB20" s="15"/>
      <c r="AC20" s="16"/>
      <c r="AE20" s="35" t="s">
        <v>3</v>
      </c>
      <c r="AF20" s="14"/>
      <c r="AG20" s="15"/>
      <c r="AH20" s="15"/>
      <c r="AI20" s="15"/>
      <c r="AJ20" s="15"/>
      <c r="AK20" s="16"/>
    </row>
    <row r="21" spans="1:37" ht="15.75" thickBot="1" x14ac:dyDescent="0.3">
      <c r="A21" s="168"/>
      <c r="B21" s="17"/>
      <c r="C21" s="18"/>
      <c r="D21" s="18"/>
      <c r="E21" s="18"/>
      <c r="F21" s="18">
        <f>SUM(C21-B21)</f>
        <v>0</v>
      </c>
      <c r="G21" s="18">
        <f>SUM(E21-D21)</f>
        <v>0</v>
      </c>
      <c r="H21" s="33">
        <f>SUM(F21:G21)</f>
        <v>0</v>
      </c>
      <c r="J21" s="36" t="s">
        <v>21</v>
      </c>
      <c r="K21" s="19"/>
      <c r="L21" s="20"/>
      <c r="M21" s="20"/>
      <c r="N21" s="20"/>
      <c r="O21" s="20"/>
      <c r="P21" s="20"/>
      <c r="Q21" s="20"/>
      <c r="R21" s="20"/>
      <c r="S21" s="20"/>
      <c r="T21" s="20"/>
      <c r="U21" s="21"/>
      <c r="W21" s="36" t="s">
        <v>21</v>
      </c>
      <c r="X21" s="19"/>
      <c r="Y21" s="20"/>
      <c r="Z21" s="20"/>
      <c r="AA21" s="20"/>
      <c r="AB21" s="20"/>
      <c r="AC21" s="21"/>
      <c r="AE21" s="36" t="s">
        <v>21</v>
      </c>
      <c r="AF21" s="19"/>
      <c r="AG21" s="20"/>
      <c r="AH21" s="20"/>
      <c r="AI21" s="20"/>
      <c r="AJ21" s="20"/>
      <c r="AK21" s="21"/>
    </row>
    <row r="22" spans="1:37" x14ac:dyDescent="0.25">
      <c r="F22" s="2"/>
      <c r="G22" s="2"/>
      <c r="H22" s="2"/>
      <c r="J22" s="37"/>
      <c r="T22" s="22" t="s">
        <v>22</v>
      </c>
      <c r="U22" s="23">
        <f>SUM(K21:U21)</f>
        <v>0</v>
      </c>
      <c r="AB22" s="22" t="s">
        <v>22</v>
      </c>
      <c r="AC22" s="23">
        <f>SUM(X21:AC21)</f>
        <v>0</v>
      </c>
      <c r="AJ22" s="22" t="s">
        <v>22</v>
      </c>
      <c r="AK22" s="23">
        <f>SUM(AF21:AK21)</f>
        <v>0</v>
      </c>
    </row>
    <row r="23" spans="1:37" ht="15.75" thickBot="1" x14ac:dyDescent="0.3">
      <c r="A23" s="34"/>
      <c r="B23" s="171" t="s">
        <v>13</v>
      </c>
      <c r="C23" s="171"/>
      <c r="D23" s="171"/>
      <c r="E23" s="171"/>
      <c r="F23" s="171"/>
      <c r="G23" s="171"/>
      <c r="H23" s="171"/>
      <c r="J23" s="172" t="s">
        <v>13</v>
      </c>
      <c r="K23" s="172"/>
      <c r="L23" s="172"/>
      <c r="M23" s="172"/>
      <c r="N23" s="172"/>
      <c r="O23" s="172"/>
      <c r="P23" s="172"/>
      <c r="Q23" s="172"/>
      <c r="R23" s="172"/>
      <c r="S23" s="172"/>
      <c r="T23" s="172"/>
      <c r="U23" s="172"/>
      <c r="W23" s="173" t="str">
        <f>J23</f>
        <v>Abril</v>
      </c>
      <c r="X23" s="173"/>
      <c r="Y23" s="173"/>
      <c r="Z23" s="173"/>
      <c r="AA23" s="173"/>
      <c r="AB23" s="173"/>
      <c r="AC23" s="173"/>
      <c r="AE23" s="174" t="str">
        <f>W23</f>
        <v>Abril</v>
      </c>
      <c r="AF23" s="174"/>
      <c r="AG23" s="174"/>
      <c r="AH23" s="174"/>
      <c r="AI23" s="174"/>
      <c r="AJ23" s="174"/>
      <c r="AK23" s="174"/>
    </row>
    <row r="24" spans="1:37" ht="15.75" thickBot="1" x14ac:dyDescent="0.3">
      <c r="A24" s="168" t="s">
        <v>4</v>
      </c>
      <c r="B24" s="10" t="s">
        <v>5</v>
      </c>
      <c r="C24" s="11" t="s">
        <v>6</v>
      </c>
      <c r="D24" s="12" t="s">
        <v>7</v>
      </c>
      <c r="E24" s="11" t="s">
        <v>8</v>
      </c>
      <c r="F24" s="12" t="s">
        <v>9</v>
      </c>
      <c r="G24" s="11" t="s">
        <v>10</v>
      </c>
      <c r="H24" s="32" t="s">
        <v>11</v>
      </c>
      <c r="J24" s="35" t="s">
        <v>3</v>
      </c>
      <c r="K24" s="14"/>
      <c r="L24" s="15"/>
      <c r="M24" s="15"/>
      <c r="N24" s="15"/>
      <c r="O24" s="15"/>
      <c r="P24" s="15"/>
      <c r="Q24" s="15"/>
      <c r="R24" s="15"/>
      <c r="S24" s="15"/>
      <c r="T24" s="15"/>
      <c r="U24" s="16"/>
      <c r="W24" s="35" t="s">
        <v>3</v>
      </c>
      <c r="X24" s="14"/>
      <c r="Y24" s="15"/>
      <c r="Z24" s="15"/>
      <c r="AA24" s="15"/>
      <c r="AB24" s="15"/>
      <c r="AC24" s="16"/>
      <c r="AE24" s="35" t="s">
        <v>3</v>
      </c>
      <c r="AF24" s="14"/>
      <c r="AG24" s="15"/>
      <c r="AH24" s="15"/>
      <c r="AI24" s="15"/>
      <c r="AJ24" s="15"/>
      <c r="AK24" s="16"/>
    </row>
    <row r="25" spans="1:37" ht="15.75" thickBot="1" x14ac:dyDescent="0.3">
      <c r="A25" s="168"/>
      <c r="B25" s="17"/>
      <c r="C25" s="18"/>
      <c r="D25" s="18"/>
      <c r="E25" s="18"/>
      <c r="F25" s="18">
        <f>SUM(C25-B25)</f>
        <v>0</v>
      </c>
      <c r="G25" s="18">
        <f>SUM(E25-D25)</f>
        <v>0</v>
      </c>
      <c r="H25" s="33">
        <f>SUM(F25:G25)</f>
        <v>0</v>
      </c>
      <c r="J25" s="36" t="s">
        <v>21</v>
      </c>
      <c r="K25" s="25"/>
      <c r="L25" s="26"/>
      <c r="M25" s="26"/>
      <c r="N25" s="26"/>
      <c r="O25" s="26"/>
      <c r="P25" s="26"/>
      <c r="Q25" s="26"/>
      <c r="R25" s="26"/>
      <c r="S25" s="26"/>
      <c r="T25" s="26"/>
      <c r="U25" s="27"/>
      <c r="W25" s="36" t="s">
        <v>21</v>
      </c>
      <c r="X25" s="19"/>
      <c r="Y25" s="20"/>
      <c r="Z25" s="20"/>
      <c r="AA25" s="20"/>
      <c r="AB25" s="20"/>
      <c r="AC25" s="21"/>
      <c r="AE25" s="36" t="s">
        <v>21</v>
      </c>
      <c r="AF25" s="19"/>
      <c r="AG25" s="20"/>
      <c r="AH25" s="20"/>
      <c r="AI25" s="20"/>
      <c r="AJ25" s="20"/>
      <c r="AK25" s="21"/>
    </row>
    <row r="26" spans="1:37" x14ac:dyDescent="0.25">
      <c r="F26" s="2"/>
      <c r="G26" s="2"/>
      <c r="H26" s="2"/>
      <c r="J26" s="37"/>
      <c r="T26" s="22" t="s">
        <v>22</v>
      </c>
      <c r="U26" s="23">
        <f>SUM(K25:U25)</f>
        <v>0</v>
      </c>
      <c r="AB26" s="22" t="s">
        <v>22</v>
      </c>
      <c r="AC26" s="23">
        <f>SUM(X25:AC25)</f>
        <v>0</v>
      </c>
      <c r="AJ26" s="22" t="s">
        <v>22</v>
      </c>
      <c r="AK26" s="23">
        <f>SUM(AF25:AK25)</f>
        <v>0</v>
      </c>
    </row>
    <row r="27" spans="1:37" ht="15.75" thickBot="1" x14ac:dyDescent="0.3">
      <c r="A27" s="34"/>
      <c r="B27" s="171" t="s">
        <v>14</v>
      </c>
      <c r="C27" s="171"/>
      <c r="D27" s="171"/>
      <c r="E27" s="171"/>
      <c r="F27" s="171"/>
      <c r="G27" s="171"/>
      <c r="H27" s="171"/>
      <c r="J27" s="172" t="s">
        <v>14</v>
      </c>
      <c r="K27" s="172"/>
      <c r="L27" s="172"/>
      <c r="M27" s="172"/>
      <c r="N27" s="172"/>
      <c r="O27" s="172"/>
      <c r="P27" s="172"/>
      <c r="Q27" s="172"/>
      <c r="R27" s="172"/>
      <c r="S27" s="172"/>
      <c r="T27" s="172"/>
      <c r="U27" s="172"/>
      <c r="W27" s="173" t="str">
        <f>J27</f>
        <v>Maio</v>
      </c>
      <c r="X27" s="173"/>
      <c r="Y27" s="173"/>
      <c r="Z27" s="173"/>
      <c r="AA27" s="173"/>
      <c r="AB27" s="173"/>
      <c r="AC27" s="173"/>
      <c r="AE27" s="174" t="str">
        <f>W27</f>
        <v>Maio</v>
      </c>
      <c r="AF27" s="174"/>
      <c r="AG27" s="174"/>
      <c r="AH27" s="174"/>
      <c r="AI27" s="174"/>
      <c r="AJ27" s="174"/>
      <c r="AK27" s="174"/>
    </row>
    <row r="28" spans="1:37" ht="15.75" thickBot="1" x14ac:dyDescent="0.3">
      <c r="A28" s="168" t="s">
        <v>4</v>
      </c>
      <c r="B28" s="10" t="s">
        <v>5</v>
      </c>
      <c r="C28" s="11" t="s">
        <v>6</v>
      </c>
      <c r="D28" s="12" t="s">
        <v>7</v>
      </c>
      <c r="E28" s="11" t="s">
        <v>8</v>
      </c>
      <c r="F28" s="12" t="s">
        <v>9</v>
      </c>
      <c r="G28" s="11" t="s">
        <v>10</v>
      </c>
      <c r="H28" s="32" t="s">
        <v>11</v>
      </c>
      <c r="J28" s="35" t="s">
        <v>3</v>
      </c>
      <c r="K28" s="14"/>
      <c r="L28" s="15"/>
      <c r="M28" s="15"/>
      <c r="N28" s="15"/>
      <c r="O28" s="15"/>
      <c r="P28" s="15"/>
      <c r="Q28" s="15"/>
      <c r="R28" s="15"/>
      <c r="S28" s="15"/>
      <c r="T28" s="15"/>
      <c r="U28" s="16"/>
      <c r="W28" s="35" t="s">
        <v>3</v>
      </c>
      <c r="X28" s="14"/>
      <c r="Y28" s="15"/>
      <c r="Z28" s="15"/>
      <c r="AA28" s="15"/>
      <c r="AB28" s="15"/>
      <c r="AC28" s="16"/>
      <c r="AE28" s="35" t="s">
        <v>3</v>
      </c>
      <c r="AF28" s="14"/>
      <c r="AG28" s="15"/>
      <c r="AH28" s="15"/>
      <c r="AI28" s="15"/>
      <c r="AJ28" s="15"/>
      <c r="AK28" s="16"/>
    </row>
    <row r="29" spans="1:37" ht="15.75" thickBot="1" x14ac:dyDescent="0.3">
      <c r="A29" s="168"/>
      <c r="B29" s="17"/>
      <c r="C29" s="18"/>
      <c r="D29" s="18"/>
      <c r="E29" s="18"/>
      <c r="F29" s="18">
        <f>SUM(C29-B29)</f>
        <v>0</v>
      </c>
      <c r="G29" s="18">
        <f>SUM(E29-D29)</f>
        <v>0</v>
      </c>
      <c r="H29" s="33">
        <f>SUM(F29:G29)</f>
        <v>0</v>
      </c>
      <c r="J29" s="36" t="s">
        <v>21</v>
      </c>
      <c r="K29" s="19"/>
      <c r="L29" s="20"/>
      <c r="M29" s="20"/>
      <c r="N29" s="20"/>
      <c r="O29" s="20"/>
      <c r="P29" s="20"/>
      <c r="Q29" s="20"/>
      <c r="R29" s="20"/>
      <c r="S29" s="20"/>
      <c r="T29" s="20"/>
      <c r="U29" s="21"/>
      <c r="W29" s="36" t="s">
        <v>21</v>
      </c>
      <c r="X29" s="19"/>
      <c r="Y29" s="20"/>
      <c r="Z29" s="20"/>
      <c r="AA29" s="20"/>
      <c r="AB29" s="20"/>
      <c r="AC29" s="21"/>
      <c r="AE29" s="36" t="s">
        <v>21</v>
      </c>
      <c r="AF29" s="19"/>
      <c r="AG29" s="20"/>
      <c r="AH29" s="20"/>
      <c r="AI29" s="20"/>
      <c r="AJ29" s="20"/>
      <c r="AK29" s="21"/>
    </row>
    <row r="30" spans="1:37" x14ac:dyDescent="0.25">
      <c r="F30" s="2"/>
      <c r="G30" s="2"/>
      <c r="H30" s="2"/>
      <c r="J30" s="37"/>
      <c r="T30" s="22" t="s">
        <v>22</v>
      </c>
      <c r="U30" s="23">
        <f>SUM(K29:U29)</f>
        <v>0</v>
      </c>
      <c r="AB30" s="22" t="s">
        <v>22</v>
      </c>
      <c r="AC30" s="23">
        <f>SUM(X29:AC29)</f>
        <v>0</v>
      </c>
      <c r="AJ30" s="22" t="s">
        <v>22</v>
      </c>
      <c r="AK30" s="23">
        <f>SUM(AF29:AK29)</f>
        <v>0</v>
      </c>
    </row>
    <row r="31" spans="1:37" ht="15.75" thickBot="1" x14ac:dyDescent="0.3">
      <c r="A31" s="34"/>
      <c r="B31" s="171" t="s">
        <v>23</v>
      </c>
      <c r="C31" s="171"/>
      <c r="D31" s="171"/>
      <c r="E31" s="171"/>
      <c r="F31" s="171"/>
      <c r="G31" s="171"/>
      <c r="H31" s="171"/>
      <c r="J31" s="172" t="s">
        <v>23</v>
      </c>
      <c r="K31" s="172"/>
      <c r="L31" s="172"/>
      <c r="M31" s="172"/>
      <c r="N31" s="172"/>
      <c r="O31" s="172"/>
      <c r="P31" s="172"/>
      <c r="Q31" s="172"/>
      <c r="R31" s="172"/>
      <c r="S31" s="172"/>
      <c r="T31" s="172"/>
      <c r="U31" s="172"/>
      <c r="W31" s="173" t="str">
        <f>J31</f>
        <v>Junho</v>
      </c>
      <c r="X31" s="173"/>
      <c r="Y31" s="173"/>
      <c r="Z31" s="173"/>
      <c r="AA31" s="173"/>
      <c r="AB31" s="173"/>
      <c r="AC31" s="173"/>
      <c r="AE31" s="174" t="str">
        <f>W31</f>
        <v>Junho</v>
      </c>
      <c r="AF31" s="174"/>
      <c r="AG31" s="174"/>
      <c r="AH31" s="174"/>
      <c r="AI31" s="174"/>
      <c r="AJ31" s="174"/>
      <c r="AK31" s="174"/>
    </row>
    <row r="32" spans="1:37" ht="15.75" thickBot="1" x14ac:dyDescent="0.3">
      <c r="A32" s="168" t="s">
        <v>4</v>
      </c>
      <c r="B32" s="10" t="s">
        <v>5</v>
      </c>
      <c r="C32" s="11" t="s">
        <v>6</v>
      </c>
      <c r="D32" s="12" t="s">
        <v>7</v>
      </c>
      <c r="E32" s="11" t="s">
        <v>8</v>
      </c>
      <c r="F32" s="12" t="s">
        <v>9</v>
      </c>
      <c r="G32" s="11" t="s">
        <v>10</v>
      </c>
      <c r="H32" s="32" t="s">
        <v>11</v>
      </c>
      <c r="J32" s="35" t="s">
        <v>3</v>
      </c>
      <c r="K32" s="14"/>
      <c r="L32" s="15"/>
      <c r="M32" s="15"/>
      <c r="N32" s="15"/>
      <c r="O32" s="15"/>
      <c r="P32" s="15"/>
      <c r="Q32" s="15"/>
      <c r="R32" s="15"/>
      <c r="S32" s="15"/>
      <c r="T32" s="15"/>
      <c r="U32" s="16"/>
      <c r="W32" s="35" t="s">
        <v>3</v>
      </c>
      <c r="X32" s="14"/>
      <c r="Y32" s="15"/>
      <c r="Z32" s="15"/>
      <c r="AA32" s="15"/>
      <c r="AB32" s="15"/>
      <c r="AC32" s="16"/>
      <c r="AE32" s="35" t="s">
        <v>3</v>
      </c>
      <c r="AF32" s="14"/>
      <c r="AG32" s="15"/>
      <c r="AH32" s="15"/>
      <c r="AI32" s="15"/>
      <c r="AJ32" s="15"/>
      <c r="AK32" s="16"/>
    </row>
    <row r="33" spans="1:37" ht="15.75" thickBot="1" x14ac:dyDescent="0.3">
      <c r="A33" s="168"/>
      <c r="B33" s="17"/>
      <c r="C33" s="18"/>
      <c r="D33" s="18"/>
      <c r="E33" s="18"/>
      <c r="F33" s="18">
        <f>SUM(C33-B33)</f>
        <v>0</v>
      </c>
      <c r="G33" s="18">
        <f>SUM(E33-D33)</f>
        <v>0</v>
      </c>
      <c r="H33" s="33">
        <f>SUM(F33:G33)</f>
        <v>0</v>
      </c>
      <c r="J33" s="36" t="s">
        <v>21</v>
      </c>
      <c r="K33" s="19"/>
      <c r="L33" s="20"/>
      <c r="M33" s="20"/>
      <c r="N33" s="20"/>
      <c r="O33" s="20"/>
      <c r="P33" s="20"/>
      <c r="Q33" s="20"/>
      <c r="R33" s="20"/>
      <c r="S33" s="20"/>
      <c r="T33" s="20"/>
      <c r="U33" s="21"/>
      <c r="W33" s="36" t="s">
        <v>21</v>
      </c>
      <c r="X33" s="19"/>
      <c r="Y33" s="20"/>
      <c r="Z33" s="20"/>
      <c r="AA33" s="20"/>
      <c r="AB33" s="20"/>
      <c r="AC33" s="21"/>
      <c r="AE33" s="36" t="s">
        <v>21</v>
      </c>
      <c r="AF33" s="19"/>
      <c r="AG33" s="20"/>
      <c r="AH33" s="20"/>
      <c r="AI33" s="20"/>
      <c r="AJ33" s="20"/>
      <c r="AK33" s="21"/>
    </row>
    <row r="34" spans="1:37" x14ac:dyDescent="0.25">
      <c r="F34" s="2"/>
      <c r="G34" s="2"/>
      <c r="H34" s="2"/>
      <c r="J34" s="37"/>
      <c r="T34" s="22" t="s">
        <v>22</v>
      </c>
      <c r="U34" s="23">
        <f>SUM(K33:U33)</f>
        <v>0</v>
      </c>
      <c r="AB34" s="22" t="s">
        <v>22</v>
      </c>
      <c r="AC34" s="23">
        <f>SUM(X33:AC33)</f>
        <v>0</v>
      </c>
      <c r="AJ34" s="22" t="s">
        <v>22</v>
      </c>
      <c r="AK34" s="23">
        <f>SUM(AF33:AK33)</f>
        <v>0</v>
      </c>
    </row>
    <row r="35" spans="1:37" ht="15.75" thickBot="1" x14ac:dyDescent="0.3">
      <c r="A35" s="34"/>
      <c r="B35" s="171" t="s">
        <v>15</v>
      </c>
      <c r="C35" s="171"/>
      <c r="D35" s="171"/>
      <c r="E35" s="171"/>
      <c r="F35" s="171"/>
      <c r="G35" s="171"/>
      <c r="H35" s="171"/>
      <c r="J35" s="172" t="s">
        <v>15</v>
      </c>
      <c r="K35" s="172"/>
      <c r="L35" s="172"/>
      <c r="M35" s="172"/>
      <c r="N35" s="172"/>
      <c r="O35" s="172"/>
      <c r="P35" s="172"/>
      <c r="Q35" s="172"/>
      <c r="R35" s="172"/>
      <c r="S35" s="172"/>
      <c r="T35" s="172"/>
      <c r="U35" s="172"/>
      <c r="W35" s="173" t="str">
        <f>J35</f>
        <v>Julho</v>
      </c>
      <c r="X35" s="173"/>
      <c r="Y35" s="173"/>
      <c r="Z35" s="173"/>
      <c r="AA35" s="173"/>
      <c r="AB35" s="173"/>
      <c r="AC35" s="173"/>
      <c r="AE35" s="174" t="str">
        <f>W35</f>
        <v>Julho</v>
      </c>
      <c r="AF35" s="174"/>
      <c r="AG35" s="174"/>
      <c r="AH35" s="174"/>
      <c r="AI35" s="174"/>
      <c r="AJ35" s="174"/>
      <c r="AK35" s="174"/>
    </row>
    <row r="36" spans="1:37" ht="15.75" thickBot="1" x14ac:dyDescent="0.3">
      <c r="A36" s="168" t="s">
        <v>4</v>
      </c>
      <c r="B36" s="10" t="s">
        <v>5</v>
      </c>
      <c r="C36" s="11" t="s">
        <v>6</v>
      </c>
      <c r="D36" s="12" t="s">
        <v>7</v>
      </c>
      <c r="E36" s="11" t="s">
        <v>8</v>
      </c>
      <c r="F36" s="12" t="s">
        <v>9</v>
      </c>
      <c r="G36" s="11" t="s">
        <v>10</v>
      </c>
      <c r="H36" s="32" t="s">
        <v>11</v>
      </c>
      <c r="J36" s="35" t="s">
        <v>3</v>
      </c>
      <c r="K36" s="14"/>
      <c r="L36" s="15"/>
      <c r="M36" s="15"/>
      <c r="N36" s="15"/>
      <c r="O36" s="15"/>
      <c r="P36" s="15"/>
      <c r="Q36" s="15"/>
      <c r="R36" s="15"/>
      <c r="S36" s="15"/>
      <c r="T36" s="15"/>
      <c r="U36" s="16"/>
      <c r="W36" s="35" t="s">
        <v>3</v>
      </c>
      <c r="X36" s="14"/>
      <c r="Y36" s="15"/>
      <c r="Z36" s="15"/>
      <c r="AA36" s="15"/>
      <c r="AB36" s="15"/>
      <c r="AC36" s="16"/>
      <c r="AE36" s="35" t="s">
        <v>3</v>
      </c>
      <c r="AF36" s="14"/>
      <c r="AG36" s="15"/>
      <c r="AH36" s="15"/>
      <c r="AI36" s="15"/>
      <c r="AJ36" s="15"/>
      <c r="AK36" s="16"/>
    </row>
    <row r="37" spans="1:37" ht="15.75" thickBot="1" x14ac:dyDescent="0.3">
      <c r="A37" s="168"/>
      <c r="B37" s="17"/>
      <c r="C37" s="18"/>
      <c r="D37" s="18"/>
      <c r="E37" s="18"/>
      <c r="F37" s="18">
        <f>SUM(C37-B37)</f>
        <v>0</v>
      </c>
      <c r="G37" s="18">
        <f>SUM(E37-D37)</f>
        <v>0</v>
      </c>
      <c r="H37" s="33">
        <f>SUM(F37:G37)</f>
        <v>0</v>
      </c>
      <c r="J37" s="36" t="s">
        <v>21</v>
      </c>
      <c r="K37" s="19"/>
      <c r="L37" s="20"/>
      <c r="M37" s="20"/>
      <c r="N37" s="20"/>
      <c r="O37" s="20"/>
      <c r="P37" s="20"/>
      <c r="Q37" s="20"/>
      <c r="R37" s="20"/>
      <c r="S37" s="20"/>
      <c r="T37" s="20"/>
      <c r="U37" s="21"/>
      <c r="W37" s="36" t="s">
        <v>21</v>
      </c>
      <c r="X37" s="19"/>
      <c r="Y37" s="20"/>
      <c r="Z37" s="20"/>
      <c r="AA37" s="20"/>
      <c r="AB37" s="20"/>
      <c r="AC37" s="21"/>
      <c r="AE37" s="36" t="s">
        <v>21</v>
      </c>
      <c r="AF37" s="19"/>
      <c r="AG37" s="20"/>
      <c r="AH37" s="20"/>
      <c r="AI37" s="20"/>
      <c r="AJ37" s="20"/>
      <c r="AK37" s="21"/>
    </row>
    <row r="38" spans="1:37" x14ac:dyDescent="0.25">
      <c r="F38" s="2"/>
      <c r="G38" s="2"/>
      <c r="H38" s="2"/>
      <c r="J38" s="37"/>
      <c r="T38" s="22" t="s">
        <v>22</v>
      </c>
      <c r="U38" s="23">
        <f>SUM(K37:U37)</f>
        <v>0</v>
      </c>
      <c r="AB38" s="22" t="s">
        <v>22</v>
      </c>
      <c r="AC38" s="23">
        <f>SUM(X37:AC37)</f>
        <v>0</v>
      </c>
      <c r="AJ38" s="22" t="s">
        <v>22</v>
      </c>
      <c r="AK38" s="23">
        <f>SUM(AF37:AK37)</f>
        <v>0</v>
      </c>
    </row>
    <row r="39" spans="1:37" ht="15.75" thickBot="1" x14ac:dyDescent="0.3">
      <c r="A39" s="34"/>
      <c r="B39" s="171" t="s">
        <v>16</v>
      </c>
      <c r="C39" s="171"/>
      <c r="D39" s="171"/>
      <c r="E39" s="171"/>
      <c r="F39" s="171"/>
      <c r="G39" s="171"/>
      <c r="H39" s="171"/>
      <c r="J39" s="172" t="s">
        <v>16</v>
      </c>
      <c r="K39" s="172"/>
      <c r="L39" s="172"/>
      <c r="M39" s="172"/>
      <c r="N39" s="172"/>
      <c r="O39" s="172"/>
      <c r="P39" s="172"/>
      <c r="Q39" s="172"/>
      <c r="R39" s="172"/>
      <c r="S39" s="172"/>
      <c r="T39" s="172"/>
      <c r="U39" s="172"/>
      <c r="W39" s="173" t="str">
        <f>J39</f>
        <v>Agosto</v>
      </c>
      <c r="X39" s="173"/>
      <c r="Y39" s="173"/>
      <c r="Z39" s="173"/>
      <c r="AA39" s="173"/>
      <c r="AB39" s="173"/>
      <c r="AC39" s="173"/>
      <c r="AE39" s="174" t="str">
        <f>W39</f>
        <v>Agosto</v>
      </c>
      <c r="AF39" s="174"/>
      <c r="AG39" s="174"/>
      <c r="AH39" s="174"/>
      <c r="AI39" s="174"/>
      <c r="AJ39" s="174"/>
      <c r="AK39" s="174"/>
    </row>
    <row r="40" spans="1:37" ht="15.75" thickBot="1" x14ac:dyDescent="0.3">
      <c r="A40" s="168" t="s">
        <v>4</v>
      </c>
      <c r="B40" s="10" t="s">
        <v>5</v>
      </c>
      <c r="C40" s="11" t="s">
        <v>6</v>
      </c>
      <c r="D40" s="12" t="s">
        <v>7</v>
      </c>
      <c r="E40" s="11" t="s">
        <v>8</v>
      </c>
      <c r="F40" s="12" t="s">
        <v>9</v>
      </c>
      <c r="G40" s="11" t="s">
        <v>10</v>
      </c>
      <c r="H40" s="32" t="s">
        <v>11</v>
      </c>
      <c r="J40" s="35" t="s">
        <v>3</v>
      </c>
      <c r="K40" s="14"/>
      <c r="L40" s="15"/>
      <c r="M40" s="15"/>
      <c r="N40" s="15"/>
      <c r="O40" s="15"/>
      <c r="P40" s="15"/>
      <c r="Q40" s="15"/>
      <c r="R40" s="15"/>
      <c r="S40" s="15"/>
      <c r="T40" s="15"/>
      <c r="U40" s="16"/>
      <c r="W40" s="35" t="s">
        <v>3</v>
      </c>
      <c r="X40" s="14"/>
      <c r="Y40" s="15"/>
      <c r="Z40" s="15"/>
      <c r="AA40" s="15"/>
      <c r="AB40" s="15"/>
      <c r="AC40" s="16"/>
      <c r="AE40" s="35" t="s">
        <v>3</v>
      </c>
      <c r="AF40" s="14"/>
      <c r="AG40" s="15"/>
      <c r="AH40" s="15"/>
      <c r="AI40" s="15"/>
      <c r="AJ40" s="15"/>
      <c r="AK40" s="16"/>
    </row>
    <row r="41" spans="1:37" ht="15.75" thickBot="1" x14ac:dyDescent="0.3">
      <c r="A41" s="168"/>
      <c r="B41" s="17"/>
      <c r="C41" s="18"/>
      <c r="D41" s="18"/>
      <c r="E41" s="18"/>
      <c r="F41" s="18">
        <f>SUM(C41-B41)</f>
        <v>0</v>
      </c>
      <c r="G41" s="18">
        <f>SUM(E41-D41)</f>
        <v>0</v>
      </c>
      <c r="H41" s="33">
        <f>SUM(F41:G41)</f>
        <v>0</v>
      </c>
      <c r="J41" s="36" t="s">
        <v>21</v>
      </c>
      <c r="K41" s="19"/>
      <c r="L41" s="20"/>
      <c r="M41" s="20"/>
      <c r="N41" s="20"/>
      <c r="O41" s="20"/>
      <c r="P41" s="20"/>
      <c r="Q41" s="20"/>
      <c r="R41" s="20"/>
      <c r="S41" s="20"/>
      <c r="T41" s="20"/>
      <c r="U41" s="21"/>
      <c r="W41" s="36" t="s">
        <v>21</v>
      </c>
      <c r="X41" s="19"/>
      <c r="Y41" s="20"/>
      <c r="Z41" s="20"/>
      <c r="AA41" s="20"/>
      <c r="AB41" s="20"/>
      <c r="AC41" s="21"/>
      <c r="AE41" s="36" t="s">
        <v>21</v>
      </c>
      <c r="AF41" s="19"/>
      <c r="AG41" s="20"/>
      <c r="AH41" s="20"/>
      <c r="AI41" s="20"/>
      <c r="AJ41" s="20"/>
      <c r="AK41" s="21"/>
    </row>
    <row r="42" spans="1:37" x14ac:dyDescent="0.25">
      <c r="F42" s="2"/>
      <c r="G42" s="2"/>
      <c r="H42" s="2"/>
      <c r="J42" s="37"/>
      <c r="T42" s="22" t="s">
        <v>22</v>
      </c>
      <c r="U42" s="23">
        <f>SUM(K41:U41)</f>
        <v>0</v>
      </c>
      <c r="AB42" s="22" t="s">
        <v>22</v>
      </c>
      <c r="AC42" s="23">
        <f>SUM(X41:AC41)</f>
        <v>0</v>
      </c>
      <c r="AJ42" s="22" t="s">
        <v>22</v>
      </c>
      <c r="AK42" s="23">
        <f>SUM(AF41:AK41)</f>
        <v>0</v>
      </c>
    </row>
    <row r="43" spans="1:37" ht="15.75" thickBot="1" x14ac:dyDescent="0.3">
      <c r="A43" s="34"/>
      <c r="B43" s="171" t="s">
        <v>17</v>
      </c>
      <c r="C43" s="171"/>
      <c r="D43" s="171"/>
      <c r="E43" s="171"/>
      <c r="F43" s="171"/>
      <c r="G43" s="171"/>
      <c r="H43" s="171"/>
      <c r="J43" s="172" t="s">
        <v>17</v>
      </c>
      <c r="K43" s="172"/>
      <c r="L43" s="172"/>
      <c r="M43" s="172"/>
      <c r="N43" s="172"/>
      <c r="O43" s="172"/>
      <c r="P43" s="172"/>
      <c r="Q43" s="172"/>
      <c r="R43" s="172"/>
      <c r="S43" s="172"/>
      <c r="T43" s="172"/>
      <c r="U43" s="172"/>
      <c r="W43" s="173" t="str">
        <f>J43</f>
        <v>Setembro</v>
      </c>
      <c r="X43" s="173"/>
      <c r="Y43" s="173"/>
      <c r="Z43" s="173"/>
      <c r="AA43" s="173"/>
      <c r="AB43" s="173"/>
      <c r="AC43" s="173"/>
      <c r="AE43" s="174" t="str">
        <f>W43</f>
        <v>Setembro</v>
      </c>
      <c r="AF43" s="174"/>
      <c r="AG43" s="174"/>
      <c r="AH43" s="174"/>
      <c r="AI43" s="174"/>
      <c r="AJ43" s="174"/>
      <c r="AK43" s="174"/>
    </row>
    <row r="44" spans="1:37" ht="15.75" thickBot="1" x14ac:dyDescent="0.3">
      <c r="A44" s="168" t="s">
        <v>4</v>
      </c>
      <c r="B44" s="10" t="s">
        <v>5</v>
      </c>
      <c r="C44" s="11" t="s">
        <v>6</v>
      </c>
      <c r="D44" s="12" t="s">
        <v>7</v>
      </c>
      <c r="E44" s="11" t="s">
        <v>8</v>
      </c>
      <c r="F44" s="12" t="s">
        <v>9</v>
      </c>
      <c r="G44" s="11" t="s">
        <v>10</v>
      </c>
      <c r="H44" s="32" t="s">
        <v>11</v>
      </c>
      <c r="J44" s="35" t="s">
        <v>3</v>
      </c>
      <c r="K44" s="14"/>
      <c r="L44" s="15"/>
      <c r="M44" s="15"/>
      <c r="N44" s="15"/>
      <c r="O44" s="15"/>
      <c r="P44" s="15"/>
      <c r="Q44" s="15"/>
      <c r="R44" s="15"/>
      <c r="S44" s="15"/>
      <c r="T44" s="15"/>
      <c r="U44" s="16"/>
      <c r="W44" s="35" t="s">
        <v>3</v>
      </c>
      <c r="X44" s="14"/>
      <c r="Y44" s="15"/>
      <c r="Z44" s="15"/>
      <c r="AA44" s="15"/>
      <c r="AB44" s="15"/>
      <c r="AC44" s="16"/>
      <c r="AE44" s="35" t="s">
        <v>3</v>
      </c>
      <c r="AF44" s="14"/>
      <c r="AG44" s="15"/>
      <c r="AH44" s="15"/>
      <c r="AI44" s="15"/>
      <c r="AJ44" s="15"/>
      <c r="AK44" s="16"/>
    </row>
    <row r="45" spans="1:37" ht="15.75" thickBot="1" x14ac:dyDescent="0.3">
      <c r="A45" s="168"/>
      <c r="B45" s="17"/>
      <c r="C45" s="18"/>
      <c r="D45" s="18"/>
      <c r="E45" s="18"/>
      <c r="F45" s="18">
        <f>SUM(C45-B45)</f>
        <v>0</v>
      </c>
      <c r="G45" s="18">
        <f>SUM(E45-D45)</f>
        <v>0</v>
      </c>
      <c r="H45" s="33">
        <f>SUM(F45:G45)</f>
        <v>0</v>
      </c>
      <c r="J45" s="36" t="s">
        <v>21</v>
      </c>
      <c r="K45" s="19"/>
      <c r="L45" s="20"/>
      <c r="M45" s="20"/>
      <c r="N45" s="20"/>
      <c r="O45" s="20"/>
      <c r="P45" s="20"/>
      <c r="Q45" s="20"/>
      <c r="R45" s="20"/>
      <c r="S45" s="20"/>
      <c r="T45" s="20"/>
      <c r="U45" s="21"/>
      <c r="W45" s="36" t="s">
        <v>21</v>
      </c>
      <c r="X45" s="19"/>
      <c r="Y45" s="20"/>
      <c r="Z45" s="20"/>
      <c r="AA45" s="20"/>
      <c r="AB45" s="20"/>
      <c r="AC45" s="21"/>
      <c r="AE45" s="36" t="s">
        <v>21</v>
      </c>
      <c r="AF45" s="19"/>
      <c r="AG45" s="20"/>
      <c r="AH45" s="20"/>
      <c r="AI45" s="20"/>
      <c r="AJ45" s="20"/>
      <c r="AK45" s="21"/>
    </row>
    <row r="46" spans="1:37" x14ac:dyDescent="0.25">
      <c r="F46" s="2"/>
      <c r="G46" s="2"/>
      <c r="H46" s="2"/>
      <c r="J46" s="37"/>
      <c r="T46" s="22" t="s">
        <v>22</v>
      </c>
      <c r="U46" s="23">
        <f>SUM(K45:U45)</f>
        <v>0</v>
      </c>
      <c r="AB46" s="22" t="s">
        <v>22</v>
      </c>
      <c r="AC46" s="23">
        <f>SUM(X45:AC45)</f>
        <v>0</v>
      </c>
      <c r="AJ46" s="22" t="s">
        <v>22</v>
      </c>
      <c r="AK46" s="23">
        <f>SUM(AF45:AK45)</f>
        <v>0</v>
      </c>
    </row>
    <row r="47" spans="1:37" ht="15.75" thickBot="1" x14ac:dyDescent="0.3">
      <c r="A47" s="34"/>
      <c r="B47" s="171" t="s">
        <v>18</v>
      </c>
      <c r="C47" s="171"/>
      <c r="D47" s="171"/>
      <c r="E47" s="171"/>
      <c r="F47" s="171"/>
      <c r="G47" s="171"/>
      <c r="H47" s="171"/>
      <c r="J47" s="172" t="s">
        <v>18</v>
      </c>
      <c r="K47" s="172"/>
      <c r="L47" s="172"/>
      <c r="M47" s="172"/>
      <c r="N47" s="172"/>
      <c r="O47" s="172"/>
      <c r="P47" s="172"/>
      <c r="Q47" s="172"/>
      <c r="R47" s="172"/>
      <c r="S47" s="172"/>
      <c r="T47" s="172"/>
      <c r="U47" s="172"/>
      <c r="W47" s="173" t="str">
        <f>J47</f>
        <v>Outubro</v>
      </c>
      <c r="X47" s="173"/>
      <c r="Y47" s="173"/>
      <c r="Z47" s="173"/>
      <c r="AA47" s="173"/>
      <c r="AB47" s="173"/>
      <c r="AC47" s="173"/>
      <c r="AE47" s="174" t="str">
        <f>W47</f>
        <v>Outubro</v>
      </c>
      <c r="AF47" s="174"/>
      <c r="AG47" s="174"/>
      <c r="AH47" s="174"/>
      <c r="AI47" s="174"/>
      <c r="AJ47" s="174"/>
      <c r="AK47" s="174"/>
    </row>
    <row r="48" spans="1:37" ht="15.75" thickBot="1" x14ac:dyDescent="0.3">
      <c r="A48" s="168" t="s">
        <v>4</v>
      </c>
      <c r="B48" s="10" t="s">
        <v>5</v>
      </c>
      <c r="C48" s="11" t="s">
        <v>6</v>
      </c>
      <c r="D48" s="12" t="s">
        <v>7</v>
      </c>
      <c r="E48" s="11" t="s">
        <v>8</v>
      </c>
      <c r="F48" s="12" t="s">
        <v>9</v>
      </c>
      <c r="G48" s="11" t="s">
        <v>10</v>
      </c>
      <c r="H48" s="32" t="s">
        <v>11</v>
      </c>
      <c r="J48" s="35" t="s">
        <v>3</v>
      </c>
      <c r="K48" s="14"/>
      <c r="L48" s="15"/>
      <c r="M48" s="15"/>
      <c r="N48" s="15"/>
      <c r="O48" s="15"/>
      <c r="P48" s="15"/>
      <c r="Q48" s="15"/>
      <c r="R48" s="15"/>
      <c r="S48" s="15"/>
      <c r="T48" s="15"/>
      <c r="U48" s="16"/>
      <c r="W48" s="35" t="s">
        <v>3</v>
      </c>
      <c r="X48" s="14"/>
      <c r="Y48" s="15"/>
      <c r="Z48" s="15"/>
      <c r="AA48" s="15"/>
      <c r="AB48" s="15"/>
      <c r="AC48" s="16"/>
      <c r="AE48" s="35" t="s">
        <v>3</v>
      </c>
      <c r="AF48" s="14"/>
      <c r="AG48" s="15"/>
      <c r="AH48" s="15"/>
      <c r="AI48" s="15"/>
      <c r="AJ48" s="15"/>
      <c r="AK48" s="16"/>
    </row>
    <row r="49" spans="1:37" ht="15.75" thickBot="1" x14ac:dyDescent="0.3">
      <c r="A49" s="168"/>
      <c r="B49" s="17"/>
      <c r="C49" s="18"/>
      <c r="D49" s="18"/>
      <c r="E49" s="18"/>
      <c r="F49" s="18">
        <f>SUM(C49-B49)</f>
        <v>0</v>
      </c>
      <c r="G49" s="18">
        <f>SUM(E49-D49)</f>
        <v>0</v>
      </c>
      <c r="H49" s="33">
        <f>SUM(F49:G49)</f>
        <v>0</v>
      </c>
      <c r="J49" s="36" t="s">
        <v>21</v>
      </c>
      <c r="K49" s="19"/>
      <c r="L49" s="20"/>
      <c r="M49" s="20"/>
      <c r="N49" s="20"/>
      <c r="O49" s="20"/>
      <c r="P49" s="20"/>
      <c r="Q49" s="20"/>
      <c r="R49" s="20"/>
      <c r="S49" s="20"/>
      <c r="T49" s="20"/>
      <c r="U49" s="21"/>
      <c r="W49" s="36" t="s">
        <v>21</v>
      </c>
      <c r="X49" s="19"/>
      <c r="Y49" s="20"/>
      <c r="Z49" s="20"/>
      <c r="AA49" s="20"/>
      <c r="AB49" s="20"/>
      <c r="AC49" s="21"/>
      <c r="AE49" s="36" t="s">
        <v>21</v>
      </c>
      <c r="AF49" s="19"/>
      <c r="AG49" s="20"/>
      <c r="AH49" s="20"/>
      <c r="AI49" s="20"/>
      <c r="AJ49" s="20"/>
      <c r="AK49" s="21"/>
    </row>
    <row r="50" spans="1:37" x14ac:dyDescent="0.25">
      <c r="F50" s="2"/>
      <c r="G50" s="2"/>
      <c r="H50" s="2"/>
      <c r="J50" s="37"/>
      <c r="T50" s="22" t="s">
        <v>22</v>
      </c>
      <c r="U50" s="23">
        <f>SUM(K49:U49)</f>
        <v>0</v>
      </c>
      <c r="AB50" s="22" t="s">
        <v>22</v>
      </c>
      <c r="AC50" s="23">
        <f>SUM(X49:AC49)</f>
        <v>0</v>
      </c>
      <c r="AJ50" s="22" t="s">
        <v>22</v>
      </c>
      <c r="AK50" s="23">
        <f>SUM(AF49:AK49)</f>
        <v>0</v>
      </c>
    </row>
    <row r="51" spans="1:37" ht="15.75" thickBot="1" x14ac:dyDescent="0.3">
      <c r="A51" s="34"/>
      <c r="B51" s="171" t="s">
        <v>19</v>
      </c>
      <c r="C51" s="171"/>
      <c r="D51" s="171"/>
      <c r="E51" s="171"/>
      <c r="F51" s="171"/>
      <c r="G51" s="171"/>
      <c r="H51" s="171"/>
      <c r="J51" s="172" t="s">
        <v>19</v>
      </c>
      <c r="K51" s="172"/>
      <c r="L51" s="172"/>
      <c r="M51" s="172"/>
      <c r="N51" s="172"/>
      <c r="O51" s="172"/>
      <c r="P51" s="172"/>
      <c r="Q51" s="172"/>
      <c r="R51" s="172"/>
      <c r="S51" s="172"/>
      <c r="T51" s="172"/>
      <c r="U51" s="172"/>
      <c r="W51" s="173" t="str">
        <f>J51</f>
        <v>Novembro</v>
      </c>
      <c r="X51" s="173"/>
      <c r="Y51" s="173"/>
      <c r="Z51" s="173"/>
      <c r="AA51" s="173"/>
      <c r="AB51" s="173"/>
      <c r="AC51" s="173"/>
      <c r="AE51" s="174" t="str">
        <f>W51</f>
        <v>Novembro</v>
      </c>
      <c r="AF51" s="174"/>
      <c r="AG51" s="174"/>
      <c r="AH51" s="174"/>
      <c r="AI51" s="174"/>
      <c r="AJ51" s="174"/>
      <c r="AK51" s="174"/>
    </row>
    <row r="52" spans="1:37" ht="15.75" thickBot="1" x14ac:dyDescent="0.3">
      <c r="A52" s="168" t="s">
        <v>4</v>
      </c>
      <c r="B52" s="10" t="s">
        <v>5</v>
      </c>
      <c r="C52" s="11" t="s">
        <v>6</v>
      </c>
      <c r="D52" s="12" t="s">
        <v>7</v>
      </c>
      <c r="E52" s="11" t="s">
        <v>8</v>
      </c>
      <c r="F52" s="12" t="s">
        <v>9</v>
      </c>
      <c r="G52" s="11" t="s">
        <v>10</v>
      </c>
      <c r="H52" s="32" t="s">
        <v>11</v>
      </c>
      <c r="J52" s="35" t="s">
        <v>3</v>
      </c>
      <c r="K52" s="14"/>
      <c r="L52" s="15"/>
      <c r="M52" s="15"/>
      <c r="N52" s="15"/>
      <c r="O52" s="15"/>
      <c r="P52" s="15"/>
      <c r="Q52" s="15"/>
      <c r="R52" s="15"/>
      <c r="S52" s="15"/>
      <c r="T52" s="15"/>
      <c r="U52" s="16"/>
      <c r="W52" s="35" t="s">
        <v>3</v>
      </c>
      <c r="X52" s="14"/>
      <c r="Y52" s="15"/>
      <c r="Z52" s="15"/>
      <c r="AA52" s="15"/>
      <c r="AB52" s="15"/>
      <c r="AC52" s="16"/>
      <c r="AE52" s="35" t="s">
        <v>3</v>
      </c>
      <c r="AF52" s="14"/>
      <c r="AG52" s="15"/>
      <c r="AH52" s="15"/>
      <c r="AI52" s="15"/>
      <c r="AJ52" s="15"/>
      <c r="AK52" s="16"/>
    </row>
    <row r="53" spans="1:37" ht="15.75" thickBot="1" x14ac:dyDescent="0.3">
      <c r="A53" s="168"/>
      <c r="B53" s="17"/>
      <c r="C53" s="18"/>
      <c r="D53" s="18"/>
      <c r="E53" s="18"/>
      <c r="F53" s="18">
        <f>SUM(C53-B53)</f>
        <v>0</v>
      </c>
      <c r="G53" s="18">
        <f>SUM(E53-D53)</f>
        <v>0</v>
      </c>
      <c r="H53" s="33">
        <f>SUM(F53:G53)</f>
        <v>0</v>
      </c>
      <c r="J53" s="36" t="s">
        <v>21</v>
      </c>
      <c r="K53" s="19"/>
      <c r="L53" s="20"/>
      <c r="M53" s="20"/>
      <c r="N53" s="20"/>
      <c r="O53" s="20"/>
      <c r="P53" s="20"/>
      <c r="Q53" s="20"/>
      <c r="R53" s="20"/>
      <c r="S53" s="20"/>
      <c r="T53" s="20"/>
      <c r="U53" s="21"/>
      <c r="W53" s="36" t="s">
        <v>21</v>
      </c>
      <c r="X53" s="19"/>
      <c r="Y53" s="20"/>
      <c r="Z53" s="20"/>
      <c r="AA53" s="20"/>
      <c r="AB53" s="20"/>
      <c r="AC53" s="21"/>
      <c r="AE53" s="36" t="s">
        <v>21</v>
      </c>
      <c r="AF53" s="19"/>
      <c r="AG53" s="20"/>
      <c r="AH53" s="20"/>
      <c r="AI53" s="20"/>
      <c r="AJ53" s="20"/>
      <c r="AK53" s="21"/>
    </row>
    <row r="54" spans="1:37" x14ac:dyDescent="0.25">
      <c r="F54" s="2"/>
      <c r="G54" s="2"/>
      <c r="H54" s="2"/>
      <c r="J54" s="37"/>
      <c r="T54" s="22" t="s">
        <v>22</v>
      </c>
      <c r="U54" s="23">
        <f>SUM(K53:U53)</f>
        <v>0</v>
      </c>
      <c r="AB54" s="22" t="s">
        <v>22</v>
      </c>
      <c r="AC54" s="23">
        <f>SUM(X53:AC53)</f>
        <v>0</v>
      </c>
      <c r="AJ54" s="22" t="s">
        <v>22</v>
      </c>
      <c r="AK54" s="23">
        <f>SUM(AF53:AK53)</f>
        <v>0</v>
      </c>
    </row>
    <row r="55" spans="1:37" ht="15.75" thickBot="1" x14ac:dyDescent="0.3">
      <c r="A55" s="34"/>
      <c r="B55" s="171" t="s">
        <v>20</v>
      </c>
      <c r="C55" s="171"/>
      <c r="D55" s="171"/>
      <c r="E55" s="171"/>
      <c r="F55" s="171"/>
      <c r="G55" s="171"/>
      <c r="H55" s="171"/>
      <c r="J55" s="172" t="s">
        <v>20</v>
      </c>
      <c r="K55" s="172"/>
      <c r="L55" s="172"/>
      <c r="M55" s="172"/>
      <c r="N55" s="172"/>
      <c r="O55" s="172"/>
      <c r="P55" s="172"/>
      <c r="Q55" s="172"/>
      <c r="R55" s="172"/>
      <c r="S55" s="172"/>
      <c r="T55" s="172"/>
      <c r="U55" s="172"/>
      <c r="W55" s="173" t="str">
        <f>J55</f>
        <v>Dezembro</v>
      </c>
      <c r="X55" s="173"/>
      <c r="Y55" s="173"/>
      <c r="Z55" s="173"/>
      <c r="AA55" s="173"/>
      <c r="AB55" s="173"/>
      <c r="AC55" s="173"/>
      <c r="AE55" s="174" t="str">
        <f>W55</f>
        <v>Dezembro</v>
      </c>
      <c r="AF55" s="174"/>
      <c r="AG55" s="174"/>
      <c r="AH55" s="174"/>
      <c r="AI55" s="174"/>
      <c r="AJ55" s="174"/>
      <c r="AK55" s="174"/>
    </row>
    <row r="56" spans="1:37" ht="15.75" thickBot="1" x14ac:dyDescent="0.3">
      <c r="A56" s="168" t="s">
        <v>4</v>
      </c>
      <c r="B56" s="10" t="s">
        <v>5</v>
      </c>
      <c r="C56" s="11" t="s">
        <v>6</v>
      </c>
      <c r="D56" s="12" t="s">
        <v>7</v>
      </c>
      <c r="E56" s="11" t="s">
        <v>8</v>
      </c>
      <c r="F56" s="12" t="s">
        <v>9</v>
      </c>
      <c r="G56" s="11" t="s">
        <v>10</v>
      </c>
      <c r="H56" s="32" t="s">
        <v>11</v>
      </c>
      <c r="J56" s="35" t="s">
        <v>3</v>
      </c>
      <c r="K56" s="14"/>
      <c r="L56" s="15"/>
      <c r="M56" s="15"/>
      <c r="N56" s="15"/>
      <c r="O56" s="15"/>
      <c r="P56" s="15"/>
      <c r="Q56" s="15"/>
      <c r="R56" s="15"/>
      <c r="S56" s="15"/>
      <c r="T56" s="15"/>
      <c r="U56" s="16"/>
      <c r="W56" s="35" t="s">
        <v>3</v>
      </c>
      <c r="X56" s="14"/>
      <c r="Y56" s="15"/>
      <c r="Z56" s="15"/>
      <c r="AA56" s="15"/>
      <c r="AB56" s="15"/>
      <c r="AC56" s="16"/>
      <c r="AE56" s="35" t="s">
        <v>3</v>
      </c>
      <c r="AF56" s="14"/>
      <c r="AG56" s="15"/>
      <c r="AH56" s="15"/>
      <c r="AI56" s="15"/>
      <c r="AJ56" s="15"/>
      <c r="AK56" s="16"/>
    </row>
    <row r="57" spans="1:37" ht="15.75" thickBot="1" x14ac:dyDescent="0.3">
      <c r="A57" s="168"/>
      <c r="B57" s="17"/>
      <c r="C57" s="18"/>
      <c r="D57" s="18"/>
      <c r="E57" s="18"/>
      <c r="F57" s="18">
        <f>SUM(C57-B57)</f>
        <v>0</v>
      </c>
      <c r="G57" s="18">
        <f>SUM(E57-D57)</f>
        <v>0</v>
      </c>
      <c r="H57" s="33">
        <f>SUM(F57:G57)</f>
        <v>0</v>
      </c>
      <c r="J57" s="36" t="s">
        <v>21</v>
      </c>
      <c r="K57" s="19"/>
      <c r="L57" s="20"/>
      <c r="M57" s="20"/>
      <c r="N57" s="20"/>
      <c r="O57" s="20"/>
      <c r="P57" s="20"/>
      <c r="Q57" s="20"/>
      <c r="R57" s="20"/>
      <c r="S57" s="20"/>
      <c r="T57" s="20"/>
      <c r="U57" s="21"/>
      <c r="W57" s="36" t="s">
        <v>21</v>
      </c>
      <c r="X57" s="19"/>
      <c r="Y57" s="20"/>
      <c r="Z57" s="20"/>
      <c r="AA57" s="20"/>
      <c r="AB57" s="20"/>
      <c r="AC57" s="21"/>
      <c r="AE57" s="36" t="s">
        <v>21</v>
      </c>
      <c r="AF57" s="19"/>
      <c r="AG57" s="20"/>
      <c r="AH57" s="20"/>
      <c r="AI57" s="20"/>
      <c r="AJ57" s="20"/>
      <c r="AK57" s="21"/>
    </row>
    <row r="58" spans="1:37" x14ac:dyDescent="0.25">
      <c r="J58" s="37"/>
      <c r="T58" s="22" t="s">
        <v>22</v>
      </c>
      <c r="U58" s="23">
        <f>SUM(K57:U57)</f>
        <v>0</v>
      </c>
      <c r="AB58" s="22" t="s">
        <v>22</v>
      </c>
      <c r="AC58" s="23">
        <f>SUM(X57:AC57)</f>
        <v>0</v>
      </c>
      <c r="AJ58" s="22" t="s">
        <v>22</v>
      </c>
      <c r="AK58" s="23">
        <f>SUM(AF57:AK57)</f>
        <v>0</v>
      </c>
    </row>
  </sheetData>
  <mergeCells count="71">
    <mergeCell ref="B55:H55"/>
    <mergeCell ref="J55:U55"/>
    <mergeCell ref="W55:AC55"/>
    <mergeCell ref="AE55:AK55"/>
    <mergeCell ref="A56:A57"/>
    <mergeCell ref="A52:A53"/>
    <mergeCell ref="B43:H43"/>
    <mergeCell ref="J43:U43"/>
    <mergeCell ref="W43:AC43"/>
    <mergeCell ref="AE43:AK43"/>
    <mergeCell ref="A44:A45"/>
    <mergeCell ref="B47:H47"/>
    <mergeCell ref="J47:U47"/>
    <mergeCell ref="W47:AC47"/>
    <mergeCell ref="AE47:AK47"/>
    <mergeCell ref="A48:A49"/>
    <mergeCell ref="B51:H51"/>
    <mergeCell ref="J51:U51"/>
    <mergeCell ref="W51:AC51"/>
    <mergeCell ref="AE51:AK51"/>
    <mergeCell ref="A40:A41"/>
    <mergeCell ref="B31:H31"/>
    <mergeCell ref="J31:U31"/>
    <mergeCell ref="W31:AC31"/>
    <mergeCell ref="AE31:AK31"/>
    <mergeCell ref="A32:A33"/>
    <mergeCell ref="B35:H35"/>
    <mergeCell ref="J35:U35"/>
    <mergeCell ref="W35:AC35"/>
    <mergeCell ref="AE35:AK35"/>
    <mergeCell ref="A36:A37"/>
    <mergeCell ref="B39:H39"/>
    <mergeCell ref="J39:U39"/>
    <mergeCell ref="W39:AC39"/>
    <mergeCell ref="AE39:AK39"/>
    <mergeCell ref="A28:A29"/>
    <mergeCell ref="B19:H19"/>
    <mergeCell ref="J19:U19"/>
    <mergeCell ref="W19:AC19"/>
    <mergeCell ref="AE19:AK19"/>
    <mergeCell ref="A20:A21"/>
    <mergeCell ref="B23:H23"/>
    <mergeCell ref="J23:U23"/>
    <mergeCell ref="W23:AC23"/>
    <mergeCell ref="AE23:AK23"/>
    <mergeCell ref="A24:A25"/>
    <mergeCell ref="B27:H27"/>
    <mergeCell ref="J27:U27"/>
    <mergeCell ref="W27:AC27"/>
    <mergeCell ref="AE27:AK27"/>
    <mergeCell ref="A16:A17"/>
    <mergeCell ref="A9:H9"/>
    <mergeCell ref="J9:U9"/>
    <mergeCell ref="W9:AC9"/>
    <mergeCell ref="AE9:AK9"/>
    <mergeCell ref="B11:H11"/>
    <mergeCell ref="J11:U11"/>
    <mergeCell ref="W11:AC11"/>
    <mergeCell ref="AE11:AK11"/>
    <mergeCell ref="A12:A13"/>
    <mergeCell ref="B15:H15"/>
    <mergeCell ref="J15:U15"/>
    <mergeCell ref="W15:AC15"/>
    <mergeCell ref="AE15:AK15"/>
    <mergeCell ref="B6:C6"/>
    <mergeCell ref="E6:F6"/>
    <mergeCell ref="A1:A2"/>
    <mergeCell ref="B1:AK1"/>
    <mergeCell ref="B2:AK2"/>
    <mergeCell ref="B4:C4"/>
    <mergeCell ref="E4:F4"/>
  </mergeCells>
  <pageMargins left="0.511811024" right="0.511811024" top="0.78740157499999996" bottom="0.78740157499999996" header="0.31496062000000002" footer="0.31496062000000002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7973A3-47D9-44C4-A8A8-8D3EFF540521}">
  <dimension ref="A1:AK58"/>
  <sheetViews>
    <sheetView workbookViewId="0">
      <selection sqref="A1:AK1048576"/>
    </sheetView>
  </sheetViews>
  <sheetFormatPr defaultRowHeight="15" x14ac:dyDescent="0.25"/>
  <cols>
    <col min="1" max="1" width="14.85546875" style="2" customWidth="1"/>
    <col min="2" max="2" width="11.7109375" style="2" bestFit="1" customWidth="1"/>
    <col min="3" max="3" width="9.28515625" style="2" bestFit="1" customWidth="1"/>
    <col min="4" max="4" width="10.7109375" style="2" customWidth="1"/>
    <col min="5" max="5" width="9.28515625" style="2" bestFit="1" customWidth="1"/>
    <col min="6" max="6" width="13.140625" style="1" customWidth="1"/>
    <col min="7" max="7" width="13.85546875" style="1" customWidth="1"/>
    <col min="8" max="8" width="11.85546875" style="1" bestFit="1" customWidth="1"/>
    <col min="9" max="9" width="9.85546875" style="1" customWidth="1"/>
    <col min="10" max="10" width="9.42578125" style="2" customWidth="1"/>
    <col min="11" max="13" width="10.42578125" style="1" bestFit="1" customWidth="1"/>
    <col min="14" max="20" width="9" style="1"/>
    <col min="21" max="21" width="10.42578125" style="1" bestFit="1" customWidth="1"/>
    <col min="22" max="22" width="9" style="1"/>
    <col min="23" max="23" width="9" style="2"/>
    <col min="24" max="30" width="9" style="1"/>
    <col min="31" max="31" width="9" style="2"/>
    <col min="32" max="33" width="9" style="1"/>
    <col min="34" max="36" width="10.140625" style="1" bestFit="1" customWidth="1"/>
    <col min="37" max="37" width="9.140625" style="1"/>
  </cols>
  <sheetData>
    <row r="1" spans="1:37" ht="21" x14ac:dyDescent="0.25">
      <c r="A1" s="162"/>
      <c r="B1" s="164" t="s">
        <v>51</v>
      </c>
      <c r="C1" s="164"/>
      <c r="D1" s="164"/>
      <c r="E1" s="164"/>
      <c r="F1" s="164"/>
      <c r="G1" s="164"/>
      <c r="H1" s="164"/>
      <c r="I1" s="164"/>
      <c r="J1" s="164"/>
      <c r="K1" s="164"/>
      <c r="L1" s="164"/>
      <c r="M1" s="164"/>
      <c r="N1" s="164"/>
      <c r="O1" s="164"/>
      <c r="P1" s="164"/>
      <c r="Q1" s="164"/>
      <c r="R1" s="164"/>
      <c r="S1" s="164"/>
      <c r="T1" s="164"/>
      <c r="U1" s="164"/>
      <c r="V1" s="164"/>
      <c r="W1" s="164"/>
      <c r="X1" s="164"/>
      <c r="Y1" s="164"/>
      <c r="Z1" s="164"/>
      <c r="AA1" s="164"/>
      <c r="AB1" s="164"/>
      <c r="AC1" s="164"/>
      <c r="AD1" s="164"/>
      <c r="AE1" s="164"/>
      <c r="AF1" s="164"/>
      <c r="AG1" s="164"/>
      <c r="AH1" s="164"/>
      <c r="AI1" s="164"/>
      <c r="AJ1" s="164"/>
      <c r="AK1" s="165"/>
    </row>
    <row r="2" spans="1:37" ht="21" x14ac:dyDescent="0.25">
      <c r="A2" s="163"/>
      <c r="B2" s="166" t="s">
        <v>50</v>
      </c>
      <c r="C2" s="166"/>
      <c r="D2" s="166"/>
      <c r="E2" s="166"/>
      <c r="F2" s="166"/>
      <c r="G2" s="166"/>
      <c r="H2" s="166"/>
      <c r="I2" s="166"/>
      <c r="J2" s="166"/>
      <c r="K2" s="166"/>
      <c r="L2" s="166"/>
      <c r="M2" s="166"/>
      <c r="N2" s="166"/>
      <c r="O2" s="166"/>
      <c r="P2" s="166"/>
      <c r="Q2" s="166"/>
      <c r="R2" s="166"/>
      <c r="S2" s="166"/>
      <c r="T2" s="166"/>
      <c r="U2" s="166"/>
      <c r="V2" s="166"/>
      <c r="W2" s="166"/>
      <c r="X2" s="166"/>
      <c r="Y2" s="166"/>
      <c r="Z2" s="166"/>
      <c r="AA2" s="166"/>
      <c r="AB2" s="166"/>
      <c r="AC2" s="166"/>
      <c r="AD2" s="166"/>
      <c r="AE2" s="166"/>
      <c r="AF2" s="166"/>
      <c r="AG2" s="166"/>
      <c r="AH2" s="166"/>
      <c r="AI2" s="166"/>
      <c r="AJ2" s="166"/>
      <c r="AK2" s="167"/>
    </row>
    <row r="4" spans="1:37" x14ac:dyDescent="0.25">
      <c r="A4" s="31" t="s">
        <v>47</v>
      </c>
      <c r="B4" s="161"/>
      <c r="C4" s="161"/>
      <c r="D4" s="31" t="s">
        <v>0</v>
      </c>
      <c r="E4" s="161"/>
      <c r="F4" s="161"/>
      <c r="G4" s="31" t="s">
        <v>45</v>
      </c>
      <c r="H4" s="4"/>
    </row>
    <row r="5" spans="1:37" x14ac:dyDescent="0.25">
      <c r="A5" s="31"/>
      <c r="D5" s="31"/>
      <c r="F5" s="2"/>
      <c r="G5" s="31"/>
    </row>
    <row r="6" spans="1:37" x14ac:dyDescent="0.25">
      <c r="A6" s="31" t="s">
        <v>48</v>
      </c>
      <c r="B6" s="160"/>
      <c r="C6" s="160"/>
      <c r="D6" s="31" t="s">
        <v>44</v>
      </c>
      <c r="E6" s="161"/>
      <c r="F6" s="161"/>
      <c r="G6" s="31" t="s">
        <v>46</v>
      </c>
      <c r="H6" s="5"/>
    </row>
    <row r="9" spans="1:37" ht="18.75" x14ac:dyDescent="0.3">
      <c r="A9" s="169" t="s">
        <v>26</v>
      </c>
      <c r="B9" s="169"/>
      <c r="C9" s="169"/>
      <c r="D9" s="169"/>
      <c r="E9" s="169"/>
      <c r="F9" s="169"/>
      <c r="G9" s="169"/>
      <c r="H9" s="169"/>
      <c r="I9" s="28"/>
      <c r="J9" s="169" t="s">
        <v>24</v>
      </c>
      <c r="K9" s="169"/>
      <c r="L9" s="169"/>
      <c r="M9" s="169"/>
      <c r="N9" s="169"/>
      <c r="O9" s="169"/>
      <c r="P9" s="169"/>
      <c r="Q9" s="169"/>
      <c r="R9" s="169"/>
      <c r="S9" s="169"/>
      <c r="T9" s="169"/>
      <c r="U9" s="169"/>
      <c r="V9" s="29"/>
      <c r="W9" s="170" t="s">
        <v>49</v>
      </c>
      <c r="X9" s="170"/>
      <c r="Y9" s="170"/>
      <c r="Z9" s="170"/>
      <c r="AA9" s="170"/>
      <c r="AB9" s="170"/>
      <c r="AC9" s="170"/>
      <c r="AD9" s="29"/>
      <c r="AE9" s="170" t="s">
        <v>25</v>
      </c>
      <c r="AF9" s="170"/>
      <c r="AG9" s="170"/>
      <c r="AH9" s="170"/>
      <c r="AI9" s="170"/>
      <c r="AJ9" s="170"/>
      <c r="AK9" s="170"/>
    </row>
    <row r="10" spans="1:37" x14ac:dyDescent="0.25">
      <c r="A10" s="7"/>
      <c r="B10" s="7"/>
      <c r="C10" s="7"/>
      <c r="D10" s="7"/>
      <c r="E10" s="7"/>
      <c r="F10" s="7"/>
      <c r="G10" s="7"/>
      <c r="H10" s="7"/>
      <c r="I10" s="6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8"/>
      <c r="W10" s="9"/>
      <c r="X10" s="9"/>
      <c r="Y10" s="9"/>
      <c r="Z10" s="9"/>
      <c r="AA10" s="9"/>
      <c r="AB10" s="9"/>
      <c r="AC10" s="9"/>
      <c r="AD10" s="8"/>
      <c r="AE10" s="9"/>
      <c r="AF10" s="9"/>
      <c r="AG10" s="9"/>
      <c r="AH10" s="9"/>
      <c r="AI10" s="9"/>
      <c r="AJ10" s="9"/>
      <c r="AK10" s="9"/>
    </row>
    <row r="11" spans="1:37" ht="15.75" thickBot="1" x14ac:dyDescent="0.3">
      <c r="A11" s="34"/>
      <c r="B11" s="171" t="s">
        <v>54</v>
      </c>
      <c r="C11" s="171"/>
      <c r="D11" s="171"/>
      <c r="E11" s="171"/>
      <c r="F11" s="171"/>
      <c r="G11" s="171"/>
      <c r="H11" s="171"/>
      <c r="I11" s="6"/>
      <c r="J11" s="172" t="s">
        <v>54</v>
      </c>
      <c r="K11" s="172"/>
      <c r="L11" s="172"/>
      <c r="M11" s="172"/>
      <c r="N11" s="172"/>
      <c r="O11" s="172"/>
      <c r="P11" s="172"/>
      <c r="Q11" s="172"/>
      <c r="R11" s="172"/>
      <c r="S11" s="172"/>
      <c r="T11" s="172"/>
      <c r="U11" s="172"/>
      <c r="V11" s="8"/>
      <c r="W11" s="173" t="s">
        <v>54</v>
      </c>
      <c r="X11" s="173"/>
      <c r="Y11" s="173"/>
      <c r="Z11" s="173"/>
      <c r="AA11" s="173"/>
      <c r="AB11" s="173"/>
      <c r="AC11" s="173"/>
      <c r="AD11" s="8"/>
      <c r="AE11" s="174" t="s">
        <v>54</v>
      </c>
      <c r="AF11" s="174"/>
      <c r="AG11" s="174"/>
      <c r="AH11" s="174"/>
      <c r="AI11" s="174"/>
      <c r="AJ11" s="174"/>
      <c r="AK11" s="174"/>
    </row>
    <row r="12" spans="1:37" ht="15.75" thickBot="1" x14ac:dyDescent="0.3">
      <c r="A12" s="168" t="s">
        <v>4</v>
      </c>
      <c r="B12" s="10" t="s">
        <v>5</v>
      </c>
      <c r="C12" s="11" t="s">
        <v>6</v>
      </c>
      <c r="D12" s="12" t="s">
        <v>7</v>
      </c>
      <c r="E12" s="11" t="s">
        <v>8</v>
      </c>
      <c r="F12" s="12" t="s">
        <v>9</v>
      </c>
      <c r="G12" s="11" t="s">
        <v>10</v>
      </c>
      <c r="H12" s="32" t="s">
        <v>11</v>
      </c>
      <c r="I12" s="6"/>
      <c r="J12" s="35" t="s">
        <v>3</v>
      </c>
      <c r="K12" s="14"/>
      <c r="L12" s="15"/>
      <c r="M12" s="15"/>
      <c r="N12" s="15"/>
      <c r="O12" s="15"/>
      <c r="P12" s="15"/>
      <c r="Q12" s="15"/>
      <c r="R12" s="15"/>
      <c r="S12" s="15"/>
      <c r="T12" s="15"/>
      <c r="U12" s="16"/>
      <c r="V12" s="8"/>
      <c r="W12" s="35" t="s">
        <v>3</v>
      </c>
      <c r="X12" s="14"/>
      <c r="Y12" s="15"/>
      <c r="Z12" s="15"/>
      <c r="AA12" s="15"/>
      <c r="AB12" s="15"/>
      <c r="AC12" s="16"/>
      <c r="AD12" s="8"/>
      <c r="AE12" s="35" t="s">
        <v>3</v>
      </c>
      <c r="AF12" s="14"/>
      <c r="AG12" s="15"/>
      <c r="AH12" s="15"/>
      <c r="AI12" s="15"/>
      <c r="AJ12" s="15"/>
      <c r="AK12" s="16"/>
    </row>
    <row r="13" spans="1:37" ht="15.75" thickBot="1" x14ac:dyDescent="0.3">
      <c r="A13" s="168"/>
      <c r="B13" s="17"/>
      <c r="C13" s="18"/>
      <c r="D13" s="18"/>
      <c r="E13" s="18"/>
      <c r="F13" s="18">
        <f>SUM(C13-B13)</f>
        <v>0</v>
      </c>
      <c r="G13" s="18">
        <f>SUM(E13-D13)</f>
        <v>0</v>
      </c>
      <c r="H13" s="33">
        <f>SUM(F13:G13)</f>
        <v>0</v>
      </c>
      <c r="I13" s="6"/>
      <c r="J13" s="36" t="s">
        <v>21</v>
      </c>
      <c r="K13" s="19"/>
      <c r="L13" s="20"/>
      <c r="M13" s="20"/>
      <c r="N13" s="20"/>
      <c r="O13" s="20"/>
      <c r="P13" s="20"/>
      <c r="Q13" s="20"/>
      <c r="R13" s="20"/>
      <c r="S13" s="20"/>
      <c r="T13" s="20"/>
      <c r="U13" s="21"/>
      <c r="V13" s="8"/>
      <c r="W13" s="36" t="s">
        <v>21</v>
      </c>
      <c r="X13" s="19"/>
      <c r="Y13" s="20"/>
      <c r="Z13" s="20"/>
      <c r="AA13" s="20"/>
      <c r="AB13" s="20"/>
      <c r="AC13" s="21"/>
      <c r="AD13" s="8"/>
      <c r="AE13" s="36" t="s">
        <v>21</v>
      </c>
      <c r="AF13" s="19"/>
      <c r="AG13" s="20"/>
      <c r="AH13" s="20"/>
      <c r="AI13" s="20"/>
      <c r="AJ13" s="20"/>
      <c r="AK13" s="21"/>
    </row>
    <row r="14" spans="1:37" x14ac:dyDescent="0.25">
      <c r="A14" s="7"/>
      <c r="B14" s="7"/>
      <c r="C14" s="7"/>
      <c r="D14" s="7"/>
      <c r="E14" s="7"/>
      <c r="F14" s="7"/>
      <c r="G14" s="7"/>
      <c r="H14" s="7"/>
      <c r="I14" s="6"/>
      <c r="J14" s="7"/>
      <c r="K14" s="7"/>
      <c r="L14" s="7"/>
      <c r="M14" s="7"/>
      <c r="N14" s="7"/>
      <c r="O14" s="7"/>
      <c r="P14" s="7"/>
      <c r="Q14" s="7"/>
      <c r="R14" s="7"/>
      <c r="S14" s="7"/>
      <c r="T14" s="22" t="s">
        <v>22</v>
      </c>
      <c r="U14" s="23">
        <f>SUM(K13:U13)</f>
        <v>0</v>
      </c>
      <c r="V14" s="8"/>
      <c r="AB14" s="22" t="s">
        <v>22</v>
      </c>
      <c r="AC14" s="23">
        <f>SUM(X13:AC13)</f>
        <v>0</v>
      </c>
      <c r="AD14" s="8"/>
      <c r="AJ14" s="22" t="s">
        <v>22</v>
      </c>
      <c r="AK14" s="23">
        <f>SUM(AF13:AK13)</f>
        <v>0</v>
      </c>
    </row>
    <row r="15" spans="1:37" ht="15.75" thickBot="1" x14ac:dyDescent="0.3">
      <c r="A15" s="34"/>
      <c r="B15" s="171" t="s">
        <v>2</v>
      </c>
      <c r="C15" s="171"/>
      <c r="D15" s="171"/>
      <c r="E15" s="171"/>
      <c r="F15" s="171"/>
      <c r="G15" s="171"/>
      <c r="H15" s="171"/>
      <c r="J15" s="172" t="s">
        <v>2</v>
      </c>
      <c r="K15" s="172"/>
      <c r="L15" s="172"/>
      <c r="M15" s="172"/>
      <c r="N15" s="172"/>
      <c r="O15" s="172"/>
      <c r="P15" s="172"/>
      <c r="Q15" s="172"/>
      <c r="R15" s="172"/>
      <c r="S15" s="172"/>
      <c r="T15" s="172"/>
      <c r="U15" s="172"/>
      <c r="W15" s="173" t="s">
        <v>2</v>
      </c>
      <c r="X15" s="173"/>
      <c r="Y15" s="173"/>
      <c r="Z15" s="173"/>
      <c r="AA15" s="173"/>
      <c r="AB15" s="173"/>
      <c r="AC15" s="173"/>
      <c r="AE15" s="174" t="s">
        <v>2</v>
      </c>
      <c r="AF15" s="174"/>
      <c r="AG15" s="174"/>
      <c r="AH15" s="174"/>
      <c r="AI15" s="174"/>
      <c r="AJ15" s="174"/>
      <c r="AK15" s="174"/>
    </row>
    <row r="16" spans="1:37" ht="15.75" thickBot="1" x14ac:dyDescent="0.3">
      <c r="A16" s="168" t="s">
        <v>4</v>
      </c>
      <c r="B16" s="10" t="s">
        <v>5</v>
      </c>
      <c r="C16" s="11" t="s">
        <v>6</v>
      </c>
      <c r="D16" s="12" t="s">
        <v>7</v>
      </c>
      <c r="E16" s="11" t="s">
        <v>8</v>
      </c>
      <c r="F16" s="12" t="s">
        <v>9</v>
      </c>
      <c r="G16" s="11" t="s">
        <v>10</v>
      </c>
      <c r="H16" s="32" t="s">
        <v>11</v>
      </c>
      <c r="J16" s="35" t="s">
        <v>3</v>
      </c>
      <c r="K16" s="14"/>
      <c r="L16" s="15"/>
      <c r="M16" s="15"/>
      <c r="N16" s="15"/>
      <c r="O16" s="15"/>
      <c r="P16" s="15"/>
      <c r="Q16" s="15"/>
      <c r="R16" s="15"/>
      <c r="S16" s="15"/>
      <c r="T16" s="15"/>
      <c r="U16" s="16"/>
      <c r="W16" s="35" t="s">
        <v>3</v>
      </c>
      <c r="X16" s="14"/>
      <c r="Y16" s="15"/>
      <c r="Z16" s="15"/>
      <c r="AA16" s="15"/>
      <c r="AB16" s="15"/>
      <c r="AC16" s="16"/>
      <c r="AE16" s="35" t="s">
        <v>3</v>
      </c>
      <c r="AF16" s="14"/>
      <c r="AG16" s="15"/>
      <c r="AH16" s="15"/>
      <c r="AI16" s="15"/>
      <c r="AJ16" s="15"/>
      <c r="AK16" s="16"/>
    </row>
    <row r="17" spans="1:37" ht="15.75" thickBot="1" x14ac:dyDescent="0.3">
      <c r="A17" s="168"/>
      <c r="B17" s="17"/>
      <c r="C17" s="18"/>
      <c r="D17" s="18"/>
      <c r="E17" s="18"/>
      <c r="F17" s="18">
        <f>SUM(C17-B17)</f>
        <v>0</v>
      </c>
      <c r="G17" s="18">
        <f>SUM(E17-D17)</f>
        <v>0</v>
      </c>
      <c r="H17" s="33">
        <f>SUM(F17:G17)</f>
        <v>0</v>
      </c>
      <c r="J17" s="36" t="s">
        <v>21</v>
      </c>
      <c r="K17" s="19"/>
      <c r="L17" s="20"/>
      <c r="M17" s="20"/>
      <c r="N17" s="20"/>
      <c r="O17" s="20"/>
      <c r="P17" s="20"/>
      <c r="Q17" s="20"/>
      <c r="R17" s="20"/>
      <c r="S17" s="20"/>
      <c r="T17" s="20"/>
      <c r="U17" s="21"/>
      <c r="W17" s="36" t="s">
        <v>21</v>
      </c>
      <c r="X17" s="19"/>
      <c r="Y17" s="20"/>
      <c r="Z17" s="20"/>
      <c r="AA17" s="20"/>
      <c r="AB17" s="20"/>
      <c r="AC17" s="21"/>
      <c r="AE17" s="36" t="s">
        <v>21</v>
      </c>
      <c r="AF17" s="19"/>
      <c r="AG17" s="20"/>
      <c r="AH17" s="20"/>
      <c r="AI17" s="20"/>
      <c r="AJ17" s="20"/>
      <c r="AK17" s="21"/>
    </row>
    <row r="18" spans="1:37" x14ac:dyDescent="0.25">
      <c r="F18" s="2"/>
      <c r="G18" s="2"/>
      <c r="H18" s="2"/>
      <c r="J18" s="37"/>
      <c r="T18" s="22" t="s">
        <v>22</v>
      </c>
      <c r="U18" s="23">
        <f>SUM(K17:U17)</f>
        <v>0</v>
      </c>
      <c r="AB18" s="22" t="s">
        <v>22</v>
      </c>
      <c r="AC18" s="23">
        <f>SUM(X17:AC17)</f>
        <v>0</v>
      </c>
      <c r="AJ18" s="22" t="s">
        <v>22</v>
      </c>
      <c r="AK18" s="23">
        <f>SUM(AF17:AK17)</f>
        <v>0</v>
      </c>
    </row>
    <row r="19" spans="1:37" ht="15.75" thickBot="1" x14ac:dyDescent="0.3">
      <c r="A19" s="34"/>
      <c r="B19" s="171" t="s">
        <v>12</v>
      </c>
      <c r="C19" s="171"/>
      <c r="D19" s="171"/>
      <c r="E19" s="171"/>
      <c r="F19" s="171"/>
      <c r="G19" s="171"/>
      <c r="H19" s="171"/>
      <c r="J19" s="172" t="s">
        <v>12</v>
      </c>
      <c r="K19" s="172"/>
      <c r="L19" s="172"/>
      <c r="M19" s="172"/>
      <c r="N19" s="172"/>
      <c r="O19" s="172"/>
      <c r="P19" s="172"/>
      <c r="Q19" s="172"/>
      <c r="R19" s="172"/>
      <c r="S19" s="172"/>
      <c r="T19" s="172"/>
      <c r="U19" s="172"/>
      <c r="W19" s="173" t="str">
        <f>J19</f>
        <v>Março</v>
      </c>
      <c r="X19" s="173"/>
      <c r="Y19" s="173"/>
      <c r="Z19" s="173"/>
      <c r="AA19" s="173"/>
      <c r="AB19" s="173"/>
      <c r="AC19" s="173"/>
      <c r="AE19" s="174" t="str">
        <f>W19</f>
        <v>Março</v>
      </c>
      <c r="AF19" s="174"/>
      <c r="AG19" s="174"/>
      <c r="AH19" s="174"/>
      <c r="AI19" s="174"/>
      <c r="AJ19" s="174"/>
      <c r="AK19" s="174"/>
    </row>
    <row r="20" spans="1:37" ht="15.75" thickBot="1" x14ac:dyDescent="0.3">
      <c r="A20" s="168" t="s">
        <v>4</v>
      </c>
      <c r="B20" s="10" t="s">
        <v>5</v>
      </c>
      <c r="C20" s="11" t="s">
        <v>6</v>
      </c>
      <c r="D20" s="12" t="s">
        <v>7</v>
      </c>
      <c r="E20" s="11" t="s">
        <v>8</v>
      </c>
      <c r="F20" s="12" t="s">
        <v>9</v>
      </c>
      <c r="G20" s="11" t="s">
        <v>10</v>
      </c>
      <c r="H20" s="32" t="s">
        <v>11</v>
      </c>
      <c r="J20" s="35" t="s">
        <v>3</v>
      </c>
      <c r="K20" s="14"/>
      <c r="L20" s="24"/>
      <c r="M20" s="24"/>
      <c r="N20" s="15"/>
      <c r="O20" s="15"/>
      <c r="P20" s="15"/>
      <c r="Q20" s="15"/>
      <c r="R20" s="15"/>
      <c r="S20" s="15"/>
      <c r="T20" s="15"/>
      <c r="U20" s="16"/>
      <c r="W20" s="35" t="s">
        <v>3</v>
      </c>
      <c r="X20" s="14"/>
      <c r="Y20" s="15"/>
      <c r="Z20" s="15"/>
      <c r="AA20" s="15"/>
      <c r="AB20" s="15"/>
      <c r="AC20" s="16"/>
      <c r="AE20" s="35" t="s">
        <v>3</v>
      </c>
      <c r="AF20" s="14"/>
      <c r="AG20" s="15"/>
      <c r="AH20" s="15"/>
      <c r="AI20" s="15"/>
      <c r="AJ20" s="15"/>
      <c r="AK20" s="16"/>
    </row>
    <row r="21" spans="1:37" ht="15.75" thickBot="1" x14ac:dyDescent="0.3">
      <c r="A21" s="168"/>
      <c r="B21" s="17"/>
      <c r="C21" s="18"/>
      <c r="D21" s="18"/>
      <c r="E21" s="18"/>
      <c r="F21" s="18">
        <f>SUM(C21-B21)</f>
        <v>0</v>
      </c>
      <c r="G21" s="18">
        <f>SUM(E21-D21)</f>
        <v>0</v>
      </c>
      <c r="H21" s="33">
        <f>SUM(F21:G21)</f>
        <v>0</v>
      </c>
      <c r="J21" s="36" t="s">
        <v>21</v>
      </c>
      <c r="K21" s="19"/>
      <c r="L21" s="20"/>
      <c r="M21" s="20"/>
      <c r="N21" s="20"/>
      <c r="O21" s="20"/>
      <c r="P21" s="20"/>
      <c r="Q21" s="20"/>
      <c r="R21" s="20"/>
      <c r="S21" s="20"/>
      <c r="T21" s="20"/>
      <c r="U21" s="21"/>
      <c r="W21" s="36" t="s">
        <v>21</v>
      </c>
      <c r="X21" s="19"/>
      <c r="Y21" s="20"/>
      <c r="Z21" s="20"/>
      <c r="AA21" s="20"/>
      <c r="AB21" s="20"/>
      <c r="AC21" s="21"/>
      <c r="AE21" s="36" t="s">
        <v>21</v>
      </c>
      <c r="AF21" s="19"/>
      <c r="AG21" s="20"/>
      <c r="AH21" s="20"/>
      <c r="AI21" s="20"/>
      <c r="AJ21" s="20"/>
      <c r="AK21" s="21"/>
    </row>
    <row r="22" spans="1:37" x14ac:dyDescent="0.25">
      <c r="F22" s="2"/>
      <c r="G22" s="2"/>
      <c r="H22" s="2"/>
      <c r="J22" s="37"/>
      <c r="T22" s="22" t="s">
        <v>22</v>
      </c>
      <c r="U22" s="23">
        <f>SUM(K21:U21)</f>
        <v>0</v>
      </c>
      <c r="AB22" s="22" t="s">
        <v>22</v>
      </c>
      <c r="AC22" s="23">
        <f>SUM(X21:AC21)</f>
        <v>0</v>
      </c>
      <c r="AJ22" s="22" t="s">
        <v>22</v>
      </c>
      <c r="AK22" s="23">
        <f>SUM(AF21:AK21)</f>
        <v>0</v>
      </c>
    </row>
    <row r="23" spans="1:37" ht="15.75" thickBot="1" x14ac:dyDescent="0.3">
      <c r="A23" s="34"/>
      <c r="B23" s="171" t="s">
        <v>13</v>
      </c>
      <c r="C23" s="171"/>
      <c r="D23" s="171"/>
      <c r="E23" s="171"/>
      <c r="F23" s="171"/>
      <c r="G23" s="171"/>
      <c r="H23" s="171"/>
      <c r="J23" s="172" t="s">
        <v>13</v>
      </c>
      <c r="K23" s="172"/>
      <c r="L23" s="172"/>
      <c r="M23" s="172"/>
      <c r="N23" s="172"/>
      <c r="O23" s="172"/>
      <c r="P23" s="172"/>
      <c r="Q23" s="172"/>
      <c r="R23" s="172"/>
      <c r="S23" s="172"/>
      <c r="T23" s="172"/>
      <c r="U23" s="172"/>
      <c r="W23" s="173" t="str">
        <f>J23</f>
        <v>Abril</v>
      </c>
      <c r="X23" s="173"/>
      <c r="Y23" s="173"/>
      <c r="Z23" s="173"/>
      <c r="AA23" s="173"/>
      <c r="AB23" s="173"/>
      <c r="AC23" s="173"/>
      <c r="AE23" s="174" t="str">
        <f>W23</f>
        <v>Abril</v>
      </c>
      <c r="AF23" s="174"/>
      <c r="AG23" s="174"/>
      <c r="AH23" s="174"/>
      <c r="AI23" s="174"/>
      <c r="AJ23" s="174"/>
      <c r="AK23" s="174"/>
    </row>
    <row r="24" spans="1:37" ht="15.75" thickBot="1" x14ac:dyDescent="0.3">
      <c r="A24" s="168" t="s">
        <v>4</v>
      </c>
      <c r="B24" s="10" t="s">
        <v>5</v>
      </c>
      <c r="C24" s="11" t="s">
        <v>6</v>
      </c>
      <c r="D24" s="12" t="s">
        <v>7</v>
      </c>
      <c r="E24" s="11" t="s">
        <v>8</v>
      </c>
      <c r="F24" s="12" t="s">
        <v>9</v>
      </c>
      <c r="G24" s="11" t="s">
        <v>10</v>
      </c>
      <c r="H24" s="32" t="s">
        <v>11</v>
      </c>
      <c r="J24" s="35" t="s">
        <v>3</v>
      </c>
      <c r="K24" s="14"/>
      <c r="L24" s="15"/>
      <c r="M24" s="15"/>
      <c r="N24" s="15"/>
      <c r="O24" s="15"/>
      <c r="P24" s="15"/>
      <c r="Q24" s="15"/>
      <c r="R24" s="15"/>
      <c r="S24" s="15"/>
      <c r="T24" s="15"/>
      <c r="U24" s="16"/>
      <c r="W24" s="35" t="s">
        <v>3</v>
      </c>
      <c r="X24" s="14"/>
      <c r="Y24" s="15"/>
      <c r="Z24" s="15"/>
      <c r="AA24" s="15"/>
      <c r="AB24" s="15"/>
      <c r="AC24" s="16"/>
      <c r="AE24" s="35" t="s">
        <v>3</v>
      </c>
      <c r="AF24" s="14"/>
      <c r="AG24" s="15"/>
      <c r="AH24" s="15"/>
      <c r="AI24" s="15"/>
      <c r="AJ24" s="15"/>
      <c r="AK24" s="16"/>
    </row>
    <row r="25" spans="1:37" ht="15.75" thickBot="1" x14ac:dyDescent="0.3">
      <c r="A25" s="168"/>
      <c r="B25" s="17"/>
      <c r="C25" s="18"/>
      <c r="D25" s="18"/>
      <c r="E25" s="18"/>
      <c r="F25" s="18">
        <f>SUM(C25-B25)</f>
        <v>0</v>
      </c>
      <c r="G25" s="18">
        <f>SUM(E25-D25)</f>
        <v>0</v>
      </c>
      <c r="H25" s="33">
        <f>SUM(F25:G25)</f>
        <v>0</v>
      </c>
      <c r="J25" s="36" t="s">
        <v>21</v>
      </c>
      <c r="K25" s="25"/>
      <c r="L25" s="26"/>
      <c r="M25" s="26"/>
      <c r="N25" s="26"/>
      <c r="O25" s="26"/>
      <c r="P25" s="26"/>
      <c r="Q25" s="26"/>
      <c r="R25" s="26"/>
      <c r="S25" s="26"/>
      <c r="T25" s="26"/>
      <c r="U25" s="27"/>
      <c r="W25" s="36" t="s">
        <v>21</v>
      </c>
      <c r="X25" s="19"/>
      <c r="Y25" s="20"/>
      <c r="Z25" s="20"/>
      <c r="AA25" s="20"/>
      <c r="AB25" s="20"/>
      <c r="AC25" s="21"/>
      <c r="AE25" s="36" t="s">
        <v>21</v>
      </c>
      <c r="AF25" s="19"/>
      <c r="AG25" s="20"/>
      <c r="AH25" s="20"/>
      <c r="AI25" s="20"/>
      <c r="AJ25" s="20"/>
      <c r="AK25" s="21"/>
    </row>
    <row r="26" spans="1:37" x14ac:dyDescent="0.25">
      <c r="F26" s="2"/>
      <c r="G26" s="2"/>
      <c r="H26" s="2"/>
      <c r="J26" s="37"/>
      <c r="T26" s="22" t="s">
        <v>22</v>
      </c>
      <c r="U26" s="23">
        <f>SUM(K25:U25)</f>
        <v>0</v>
      </c>
      <c r="AB26" s="22" t="s">
        <v>22</v>
      </c>
      <c r="AC26" s="23">
        <f>SUM(X25:AC25)</f>
        <v>0</v>
      </c>
      <c r="AJ26" s="22" t="s">
        <v>22</v>
      </c>
      <c r="AK26" s="23">
        <f>SUM(AF25:AK25)</f>
        <v>0</v>
      </c>
    </row>
    <row r="27" spans="1:37" ht="15.75" thickBot="1" x14ac:dyDescent="0.3">
      <c r="A27" s="34"/>
      <c r="B27" s="171" t="s">
        <v>14</v>
      </c>
      <c r="C27" s="171"/>
      <c r="D27" s="171"/>
      <c r="E27" s="171"/>
      <c r="F27" s="171"/>
      <c r="G27" s="171"/>
      <c r="H27" s="171"/>
      <c r="J27" s="172" t="s">
        <v>14</v>
      </c>
      <c r="K27" s="172"/>
      <c r="L27" s="172"/>
      <c r="M27" s="172"/>
      <c r="N27" s="172"/>
      <c r="O27" s="172"/>
      <c r="P27" s="172"/>
      <c r="Q27" s="172"/>
      <c r="R27" s="172"/>
      <c r="S27" s="172"/>
      <c r="T27" s="172"/>
      <c r="U27" s="172"/>
      <c r="W27" s="173" t="str">
        <f>J27</f>
        <v>Maio</v>
      </c>
      <c r="X27" s="173"/>
      <c r="Y27" s="173"/>
      <c r="Z27" s="173"/>
      <c r="AA27" s="173"/>
      <c r="AB27" s="173"/>
      <c r="AC27" s="173"/>
      <c r="AE27" s="174" t="str">
        <f>W27</f>
        <v>Maio</v>
      </c>
      <c r="AF27" s="174"/>
      <c r="AG27" s="174"/>
      <c r="AH27" s="174"/>
      <c r="AI27" s="174"/>
      <c r="AJ27" s="174"/>
      <c r="AK27" s="174"/>
    </row>
    <row r="28" spans="1:37" ht="15.75" thickBot="1" x14ac:dyDescent="0.3">
      <c r="A28" s="168" t="s">
        <v>4</v>
      </c>
      <c r="B28" s="10" t="s">
        <v>5</v>
      </c>
      <c r="C28" s="11" t="s">
        <v>6</v>
      </c>
      <c r="D28" s="12" t="s">
        <v>7</v>
      </c>
      <c r="E28" s="11" t="s">
        <v>8</v>
      </c>
      <c r="F28" s="12" t="s">
        <v>9</v>
      </c>
      <c r="G28" s="11" t="s">
        <v>10</v>
      </c>
      <c r="H28" s="32" t="s">
        <v>11</v>
      </c>
      <c r="J28" s="35" t="s">
        <v>3</v>
      </c>
      <c r="K28" s="14"/>
      <c r="L28" s="15"/>
      <c r="M28" s="15"/>
      <c r="N28" s="15"/>
      <c r="O28" s="15"/>
      <c r="P28" s="15"/>
      <c r="Q28" s="15"/>
      <c r="R28" s="15"/>
      <c r="S28" s="15"/>
      <c r="T28" s="15"/>
      <c r="U28" s="16"/>
      <c r="W28" s="35" t="s">
        <v>3</v>
      </c>
      <c r="X28" s="14"/>
      <c r="Y28" s="15"/>
      <c r="Z28" s="15"/>
      <c r="AA28" s="15"/>
      <c r="AB28" s="15"/>
      <c r="AC28" s="16"/>
      <c r="AE28" s="35" t="s">
        <v>3</v>
      </c>
      <c r="AF28" s="14"/>
      <c r="AG28" s="15"/>
      <c r="AH28" s="15"/>
      <c r="AI28" s="15"/>
      <c r="AJ28" s="15"/>
      <c r="AK28" s="16"/>
    </row>
    <row r="29" spans="1:37" ht="15.75" thickBot="1" x14ac:dyDescent="0.3">
      <c r="A29" s="168"/>
      <c r="B29" s="17"/>
      <c r="C29" s="18"/>
      <c r="D29" s="18"/>
      <c r="E29" s="18"/>
      <c r="F29" s="18">
        <f>SUM(C29-B29)</f>
        <v>0</v>
      </c>
      <c r="G29" s="18">
        <f>SUM(E29-D29)</f>
        <v>0</v>
      </c>
      <c r="H29" s="33">
        <f>SUM(F29:G29)</f>
        <v>0</v>
      </c>
      <c r="J29" s="36" t="s">
        <v>21</v>
      </c>
      <c r="K29" s="19"/>
      <c r="L29" s="20"/>
      <c r="M29" s="20"/>
      <c r="N29" s="20"/>
      <c r="O29" s="20"/>
      <c r="P29" s="20"/>
      <c r="Q29" s="20"/>
      <c r="R29" s="20"/>
      <c r="S29" s="20"/>
      <c r="T29" s="20"/>
      <c r="U29" s="21"/>
      <c r="W29" s="36" t="s">
        <v>21</v>
      </c>
      <c r="X29" s="19"/>
      <c r="Y29" s="20"/>
      <c r="Z29" s="20"/>
      <c r="AA29" s="20"/>
      <c r="AB29" s="20"/>
      <c r="AC29" s="21"/>
      <c r="AE29" s="36" t="s">
        <v>21</v>
      </c>
      <c r="AF29" s="19"/>
      <c r="AG29" s="20"/>
      <c r="AH29" s="20"/>
      <c r="AI29" s="20"/>
      <c r="AJ29" s="20"/>
      <c r="AK29" s="21"/>
    </row>
    <row r="30" spans="1:37" x14ac:dyDescent="0.25">
      <c r="F30" s="2"/>
      <c r="G30" s="2"/>
      <c r="H30" s="2"/>
      <c r="J30" s="37"/>
      <c r="T30" s="22" t="s">
        <v>22</v>
      </c>
      <c r="U30" s="23">
        <f>SUM(K29:U29)</f>
        <v>0</v>
      </c>
      <c r="AB30" s="22" t="s">
        <v>22</v>
      </c>
      <c r="AC30" s="23">
        <f>SUM(X29:AC29)</f>
        <v>0</v>
      </c>
      <c r="AJ30" s="22" t="s">
        <v>22</v>
      </c>
      <c r="AK30" s="23">
        <f>SUM(AF29:AK29)</f>
        <v>0</v>
      </c>
    </row>
    <row r="31" spans="1:37" ht="15.75" thickBot="1" x14ac:dyDescent="0.3">
      <c r="A31" s="34"/>
      <c r="B31" s="171" t="s">
        <v>23</v>
      </c>
      <c r="C31" s="171"/>
      <c r="D31" s="171"/>
      <c r="E31" s="171"/>
      <c r="F31" s="171"/>
      <c r="G31" s="171"/>
      <c r="H31" s="171"/>
      <c r="J31" s="172" t="s">
        <v>23</v>
      </c>
      <c r="K31" s="172"/>
      <c r="L31" s="172"/>
      <c r="M31" s="172"/>
      <c r="N31" s="172"/>
      <c r="O31" s="172"/>
      <c r="P31" s="172"/>
      <c r="Q31" s="172"/>
      <c r="R31" s="172"/>
      <c r="S31" s="172"/>
      <c r="T31" s="172"/>
      <c r="U31" s="172"/>
      <c r="W31" s="173" t="str">
        <f>J31</f>
        <v>Junho</v>
      </c>
      <c r="X31" s="173"/>
      <c r="Y31" s="173"/>
      <c r="Z31" s="173"/>
      <c r="AA31" s="173"/>
      <c r="AB31" s="173"/>
      <c r="AC31" s="173"/>
      <c r="AE31" s="174" t="str">
        <f>W31</f>
        <v>Junho</v>
      </c>
      <c r="AF31" s="174"/>
      <c r="AG31" s="174"/>
      <c r="AH31" s="174"/>
      <c r="AI31" s="174"/>
      <c r="AJ31" s="174"/>
      <c r="AK31" s="174"/>
    </row>
    <row r="32" spans="1:37" ht="15.75" thickBot="1" x14ac:dyDescent="0.3">
      <c r="A32" s="168" t="s">
        <v>4</v>
      </c>
      <c r="B32" s="10" t="s">
        <v>5</v>
      </c>
      <c r="C32" s="11" t="s">
        <v>6</v>
      </c>
      <c r="D32" s="12" t="s">
        <v>7</v>
      </c>
      <c r="E32" s="11" t="s">
        <v>8</v>
      </c>
      <c r="F32" s="12" t="s">
        <v>9</v>
      </c>
      <c r="G32" s="11" t="s">
        <v>10</v>
      </c>
      <c r="H32" s="32" t="s">
        <v>11</v>
      </c>
      <c r="J32" s="35" t="s">
        <v>3</v>
      </c>
      <c r="K32" s="14"/>
      <c r="L32" s="15"/>
      <c r="M32" s="15"/>
      <c r="N32" s="15"/>
      <c r="O32" s="15"/>
      <c r="P32" s="15"/>
      <c r="Q32" s="15"/>
      <c r="R32" s="15"/>
      <c r="S32" s="15"/>
      <c r="T32" s="15"/>
      <c r="U32" s="16"/>
      <c r="W32" s="35" t="s">
        <v>3</v>
      </c>
      <c r="X32" s="14"/>
      <c r="Y32" s="15"/>
      <c r="Z32" s="15"/>
      <c r="AA32" s="15"/>
      <c r="AB32" s="15"/>
      <c r="AC32" s="16"/>
      <c r="AE32" s="35" t="s">
        <v>3</v>
      </c>
      <c r="AF32" s="14"/>
      <c r="AG32" s="15"/>
      <c r="AH32" s="15"/>
      <c r="AI32" s="15"/>
      <c r="AJ32" s="15"/>
      <c r="AK32" s="16"/>
    </row>
    <row r="33" spans="1:37" ht="15.75" thickBot="1" x14ac:dyDescent="0.3">
      <c r="A33" s="168"/>
      <c r="B33" s="17"/>
      <c r="C33" s="18"/>
      <c r="D33" s="18"/>
      <c r="E33" s="18"/>
      <c r="F33" s="18">
        <f>SUM(C33-B33)</f>
        <v>0</v>
      </c>
      <c r="G33" s="18">
        <f>SUM(E33-D33)</f>
        <v>0</v>
      </c>
      <c r="H33" s="33">
        <f>SUM(F33:G33)</f>
        <v>0</v>
      </c>
      <c r="J33" s="36" t="s">
        <v>21</v>
      </c>
      <c r="K33" s="19"/>
      <c r="L33" s="20"/>
      <c r="M33" s="20"/>
      <c r="N33" s="20"/>
      <c r="O33" s="20"/>
      <c r="P33" s="20"/>
      <c r="Q33" s="20"/>
      <c r="R33" s="20"/>
      <c r="S33" s="20"/>
      <c r="T33" s="20"/>
      <c r="U33" s="21"/>
      <c r="W33" s="36" t="s">
        <v>21</v>
      </c>
      <c r="X33" s="19"/>
      <c r="Y33" s="20"/>
      <c r="Z33" s="20"/>
      <c r="AA33" s="20"/>
      <c r="AB33" s="20"/>
      <c r="AC33" s="21"/>
      <c r="AE33" s="36" t="s">
        <v>21</v>
      </c>
      <c r="AF33" s="19"/>
      <c r="AG33" s="20"/>
      <c r="AH33" s="20"/>
      <c r="AI33" s="20"/>
      <c r="AJ33" s="20"/>
      <c r="AK33" s="21"/>
    </row>
    <row r="34" spans="1:37" x14ac:dyDescent="0.25">
      <c r="F34" s="2"/>
      <c r="G34" s="2"/>
      <c r="H34" s="2"/>
      <c r="J34" s="37"/>
      <c r="T34" s="22" t="s">
        <v>22</v>
      </c>
      <c r="U34" s="23">
        <f>SUM(K33:U33)</f>
        <v>0</v>
      </c>
      <c r="AB34" s="22" t="s">
        <v>22</v>
      </c>
      <c r="AC34" s="23">
        <f>SUM(X33:AC33)</f>
        <v>0</v>
      </c>
      <c r="AJ34" s="22" t="s">
        <v>22</v>
      </c>
      <c r="AK34" s="23">
        <f>SUM(AF33:AK33)</f>
        <v>0</v>
      </c>
    </row>
    <row r="35" spans="1:37" ht="15.75" thickBot="1" x14ac:dyDescent="0.3">
      <c r="A35" s="34"/>
      <c r="B35" s="171" t="s">
        <v>15</v>
      </c>
      <c r="C35" s="171"/>
      <c r="D35" s="171"/>
      <c r="E35" s="171"/>
      <c r="F35" s="171"/>
      <c r="G35" s="171"/>
      <c r="H35" s="171"/>
      <c r="J35" s="172" t="s">
        <v>15</v>
      </c>
      <c r="K35" s="172"/>
      <c r="L35" s="172"/>
      <c r="M35" s="172"/>
      <c r="N35" s="172"/>
      <c r="O35" s="172"/>
      <c r="P35" s="172"/>
      <c r="Q35" s="172"/>
      <c r="R35" s="172"/>
      <c r="S35" s="172"/>
      <c r="T35" s="172"/>
      <c r="U35" s="172"/>
      <c r="W35" s="173" t="str">
        <f>J35</f>
        <v>Julho</v>
      </c>
      <c r="X35" s="173"/>
      <c r="Y35" s="173"/>
      <c r="Z35" s="173"/>
      <c r="AA35" s="173"/>
      <c r="AB35" s="173"/>
      <c r="AC35" s="173"/>
      <c r="AE35" s="174" t="str">
        <f>W35</f>
        <v>Julho</v>
      </c>
      <c r="AF35" s="174"/>
      <c r="AG35" s="174"/>
      <c r="AH35" s="174"/>
      <c r="AI35" s="174"/>
      <c r="AJ35" s="174"/>
      <c r="AK35" s="174"/>
    </row>
    <row r="36" spans="1:37" ht="15.75" thickBot="1" x14ac:dyDescent="0.3">
      <c r="A36" s="168" t="s">
        <v>4</v>
      </c>
      <c r="B36" s="10" t="s">
        <v>5</v>
      </c>
      <c r="C36" s="11" t="s">
        <v>6</v>
      </c>
      <c r="D36" s="12" t="s">
        <v>7</v>
      </c>
      <c r="E36" s="11" t="s">
        <v>8</v>
      </c>
      <c r="F36" s="12" t="s">
        <v>9</v>
      </c>
      <c r="G36" s="11" t="s">
        <v>10</v>
      </c>
      <c r="H36" s="32" t="s">
        <v>11</v>
      </c>
      <c r="J36" s="35" t="s">
        <v>3</v>
      </c>
      <c r="K36" s="14"/>
      <c r="L36" s="15"/>
      <c r="M36" s="15"/>
      <c r="N36" s="15"/>
      <c r="O36" s="15"/>
      <c r="P36" s="15"/>
      <c r="Q36" s="15"/>
      <c r="R36" s="15"/>
      <c r="S36" s="15"/>
      <c r="T36" s="15"/>
      <c r="U36" s="16"/>
      <c r="W36" s="35" t="s">
        <v>3</v>
      </c>
      <c r="X36" s="14"/>
      <c r="Y36" s="15"/>
      <c r="Z36" s="15"/>
      <c r="AA36" s="15"/>
      <c r="AB36" s="15"/>
      <c r="AC36" s="16"/>
      <c r="AE36" s="35" t="s">
        <v>3</v>
      </c>
      <c r="AF36" s="14"/>
      <c r="AG36" s="15"/>
      <c r="AH36" s="15"/>
      <c r="AI36" s="15"/>
      <c r="AJ36" s="15"/>
      <c r="AK36" s="16"/>
    </row>
    <row r="37" spans="1:37" ht="15.75" thickBot="1" x14ac:dyDescent="0.3">
      <c r="A37" s="168"/>
      <c r="B37" s="17"/>
      <c r="C37" s="18"/>
      <c r="D37" s="18"/>
      <c r="E37" s="18"/>
      <c r="F37" s="18">
        <f>SUM(C37-B37)</f>
        <v>0</v>
      </c>
      <c r="G37" s="18">
        <f>SUM(E37-D37)</f>
        <v>0</v>
      </c>
      <c r="H37" s="33">
        <f>SUM(F37:G37)</f>
        <v>0</v>
      </c>
      <c r="J37" s="36" t="s">
        <v>21</v>
      </c>
      <c r="K37" s="19"/>
      <c r="L37" s="20"/>
      <c r="M37" s="20"/>
      <c r="N37" s="20"/>
      <c r="O37" s="20"/>
      <c r="P37" s="20"/>
      <c r="Q37" s="20"/>
      <c r="R37" s="20"/>
      <c r="S37" s="20"/>
      <c r="T37" s="20"/>
      <c r="U37" s="21"/>
      <c r="W37" s="36" t="s">
        <v>21</v>
      </c>
      <c r="X37" s="19"/>
      <c r="Y37" s="20"/>
      <c r="Z37" s="20"/>
      <c r="AA37" s="20"/>
      <c r="AB37" s="20"/>
      <c r="AC37" s="21"/>
      <c r="AE37" s="36" t="s">
        <v>21</v>
      </c>
      <c r="AF37" s="19"/>
      <c r="AG37" s="20"/>
      <c r="AH37" s="20"/>
      <c r="AI37" s="20"/>
      <c r="AJ37" s="20"/>
      <c r="AK37" s="21"/>
    </row>
    <row r="38" spans="1:37" x14ac:dyDescent="0.25">
      <c r="F38" s="2"/>
      <c r="G38" s="2"/>
      <c r="H38" s="2"/>
      <c r="J38" s="37"/>
      <c r="T38" s="22" t="s">
        <v>22</v>
      </c>
      <c r="U38" s="23">
        <f>SUM(K37:U37)</f>
        <v>0</v>
      </c>
      <c r="AB38" s="22" t="s">
        <v>22</v>
      </c>
      <c r="AC38" s="23">
        <f>SUM(X37:AC37)</f>
        <v>0</v>
      </c>
      <c r="AJ38" s="22" t="s">
        <v>22</v>
      </c>
      <c r="AK38" s="23">
        <f>SUM(AF37:AK37)</f>
        <v>0</v>
      </c>
    </row>
    <row r="39" spans="1:37" ht="15.75" thickBot="1" x14ac:dyDescent="0.3">
      <c r="A39" s="34"/>
      <c r="B39" s="171" t="s">
        <v>16</v>
      </c>
      <c r="C39" s="171"/>
      <c r="D39" s="171"/>
      <c r="E39" s="171"/>
      <c r="F39" s="171"/>
      <c r="G39" s="171"/>
      <c r="H39" s="171"/>
      <c r="J39" s="172" t="s">
        <v>16</v>
      </c>
      <c r="K39" s="172"/>
      <c r="L39" s="172"/>
      <c r="M39" s="172"/>
      <c r="N39" s="172"/>
      <c r="O39" s="172"/>
      <c r="P39" s="172"/>
      <c r="Q39" s="172"/>
      <c r="R39" s="172"/>
      <c r="S39" s="172"/>
      <c r="T39" s="172"/>
      <c r="U39" s="172"/>
      <c r="W39" s="173" t="str">
        <f>J39</f>
        <v>Agosto</v>
      </c>
      <c r="X39" s="173"/>
      <c r="Y39" s="173"/>
      <c r="Z39" s="173"/>
      <c r="AA39" s="173"/>
      <c r="AB39" s="173"/>
      <c r="AC39" s="173"/>
      <c r="AE39" s="174" t="str">
        <f>W39</f>
        <v>Agosto</v>
      </c>
      <c r="AF39" s="174"/>
      <c r="AG39" s="174"/>
      <c r="AH39" s="174"/>
      <c r="AI39" s="174"/>
      <c r="AJ39" s="174"/>
      <c r="AK39" s="174"/>
    </row>
    <row r="40" spans="1:37" ht="15.75" thickBot="1" x14ac:dyDescent="0.3">
      <c r="A40" s="168" t="s">
        <v>4</v>
      </c>
      <c r="B40" s="10" t="s">
        <v>5</v>
      </c>
      <c r="C40" s="11" t="s">
        <v>6</v>
      </c>
      <c r="D40" s="12" t="s">
        <v>7</v>
      </c>
      <c r="E40" s="11" t="s">
        <v>8</v>
      </c>
      <c r="F40" s="12" t="s">
        <v>9</v>
      </c>
      <c r="G40" s="11" t="s">
        <v>10</v>
      </c>
      <c r="H40" s="32" t="s">
        <v>11</v>
      </c>
      <c r="J40" s="35" t="s">
        <v>3</v>
      </c>
      <c r="K40" s="14"/>
      <c r="L40" s="15"/>
      <c r="M40" s="15"/>
      <c r="N40" s="15"/>
      <c r="O40" s="15"/>
      <c r="P40" s="15"/>
      <c r="Q40" s="15"/>
      <c r="R40" s="15"/>
      <c r="S40" s="15"/>
      <c r="T40" s="15"/>
      <c r="U40" s="16"/>
      <c r="W40" s="35" t="s">
        <v>3</v>
      </c>
      <c r="X40" s="14"/>
      <c r="Y40" s="15"/>
      <c r="Z40" s="15"/>
      <c r="AA40" s="15"/>
      <c r="AB40" s="15"/>
      <c r="AC40" s="16"/>
      <c r="AE40" s="35" t="s">
        <v>3</v>
      </c>
      <c r="AF40" s="14"/>
      <c r="AG40" s="15"/>
      <c r="AH40" s="15"/>
      <c r="AI40" s="15"/>
      <c r="AJ40" s="15"/>
      <c r="AK40" s="16"/>
    </row>
    <row r="41" spans="1:37" ht="15.75" thickBot="1" x14ac:dyDescent="0.3">
      <c r="A41" s="168"/>
      <c r="B41" s="17"/>
      <c r="C41" s="18"/>
      <c r="D41" s="18"/>
      <c r="E41" s="18"/>
      <c r="F41" s="18">
        <f>SUM(C41-B41)</f>
        <v>0</v>
      </c>
      <c r="G41" s="18">
        <f>SUM(E41-D41)</f>
        <v>0</v>
      </c>
      <c r="H41" s="33">
        <f>SUM(F41:G41)</f>
        <v>0</v>
      </c>
      <c r="J41" s="36" t="s">
        <v>21</v>
      </c>
      <c r="K41" s="19"/>
      <c r="L41" s="20"/>
      <c r="M41" s="20"/>
      <c r="N41" s="20"/>
      <c r="O41" s="20"/>
      <c r="P41" s="20"/>
      <c r="Q41" s="20"/>
      <c r="R41" s="20"/>
      <c r="S41" s="20"/>
      <c r="T41" s="20"/>
      <c r="U41" s="21"/>
      <c r="W41" s="36" t="s">
        <v>21</v>
      </c>
      <c r="X41" s="19"/>
      <c r="Y41" s="20"/>
      <c r="Z41" s="20"/>
      <c r="AA41" s="20"/>
      <c r="AB41" s="20"/>
      <c r="AC41" s="21"/>
      <c r="AE41" s="36" t="s">
        <v>21</v>
      </c>
      <c r="AF41" s="19"/>
      <c r="AG41" s="20"/>
      <c r="AH41" s="20"/>
      <c r="AI41" s="20"/>
      <c r="AJ41" s="20"/>
      <c r="AK41" s="21"/>
    </row>
    <row r="42" spans="1:37" x14ac:dyDescent="0.25">
      <c r="F42" s="2"/>
      <c r="G42" s="2"/>
      <c r="H42" s="2"/>
      <c r="J42" s="37"/>
      <c r="T42" s="22" t="s">
        <v>22</v>
      </c>
      <c r="U42" s="23">
        <f>SUM(K41:U41)</f>
        <v>0</v>
      </c>
      <c r="AB42" s="22" t="s">
        <v>22</v>
      </c>
      <c r="AC42" s="23">
        <f>SUM(X41:AC41)</f>
        <v>0</v>
      </c>
      <c r="AJ42" s="22" t="s">
        <v>22</v>
      </c>
      <c r="AK42" s="23">
        <f>SUM(AF41:AK41)</f>
        <v>0</v>
      </c>
    </row>
    <row r="43" spans="1:37" ht="15.75" thickBot="1" x14ac:dyDescent="0.3">
      <c r="A43" s="34"/>
      <c r="B43" s="171" t="s">
        <v>17</v>
      </c>
      <c r="C43" s="171"/>
      <c r="D43" s="171"/>
      <c r="E43" s="171"/>
      <c r="F43" s="171"/>
      <c r="G43" s="171"/>
      <c r="H43" s="171"/>
      <c r="J43" s="172" t="s">
        <v>17</v>
      </c>
      <c r="K43" s="172"/>
      <c r="L43" s="172"/>
      <c r="M43" s="172"/>
      <c r="N43" s="172"/>
      <c r="O43" s="172"/>
      <c r="P43" s="172"/>
      <c r="Q43" s="172"/>
      <c r="R43" s="172"/>
      <c r="S43" s="172"/>
      <c r="T43" s="172"/>
      <c r="U43" s="172"/>
      <c r="W43" s="173" t="str">
        <f>J43</f>
        <v>Setembro</v>
      </c>
      <c r="X43" s="173"/>
      <c r="Y43" s="173"/>
      <c r="Z43" s="173"/>
      <c r="AA43" s="173"/>
      <c r="AB43" s="173"/>
      <c r="AC43" s="173"/>
      <c r="AE43" s="174" t="str">
        <f>W43</f>
        <v>Setembro</v>
      </c>
      <c r="AF43" s="174"/>
      <c r="AG43" s="174"/>
      <c r="AH43" s="174"/>
      <c r="AI43" s="174"/>
      <c r="AJ43" s="174"/>
      <c r="AK43" s="174"/>
    </row>
    <row r="44" spans="1:37" ht="15.75" thickBot="1" x14ac:dyDescent="0.3">
      <c r="A44" s="168" t="s">
        <v>4</v>
      </c>
      <c r="B44" s="10" t="s">
        <v>5</v>
      </c>
      <c r="C44" s="11" t="s">
        <v>6</v>
      </c>
      <c r="D44" s="12" t="s">
        <v>7</v>
      </c>
      <c r="E44" s="11" t="s">
        <v>8</v>
      </c>
      <c r="F44" s="12" t="s">
        <v>9</v>
      </c>
      <c r="G44" s="11" t="s">
        <v>10</v>
      </c>
      <c r="H44" s="32" t="s">
        <v>11</v>
      </c>
      <c r="J44" s="35" t="s">
        <v>3</v>
      </c>
      <c r="K44" s="14"/>
      <c r="L44" s="15"/>
      <c r="M44" s="15"/>
      <c r="N44" s="15"/>
      <c r="O44" s="15"/>
      <c r="P44" s="15"/>
      <c r="Q44" s="15"/>
      <c r="R44" s="15"/>
      <c r="S44" s="15"/>
      <c r="T44" s="15"/>
      <c r="U44" s="16"/>
      <c r="W44" s="35" t="s">
        <v>3</v>
      </c>
      <c r="X44" s="14"/>
      <c r="Y44" s="15"/>
      <c r="Z44" s="15"/>
      <c r="AA44" s="15"/>
      <c r="AB44" s="15"/>
      <c r="AC44" s="16"/>
      <c r="AE44" s="35" t="s">
        <v>3</v>
      </c>
      <c r="AF44" s="14"/>
      <c r="AG44" s="15"/>
      <c r="AH44" s="15"/>
      <c r="AI44" s="15"/>
      <c r="AJ44" s="15"/>
      <c r="AK44" s="16"/>
    </row>
    <row r="45" spans="1:37" ht="15.75" thickBot="1" x14ac:dyDescent="0.3">
      <c r="A45" s="168"/>
      <c r="B45" s="17"/>
      <c r="C45" s="18"/>
      <c r="D45" s="18"/>
      <c r="E45" s="18"/>
      <c r="F45" s="18">
        <f>SUM(C45-B45)</f>
        <v>0</v>
      </c>
      <c r="G45" s="18">
        <f>SUM(E45-D45)</f>
        <v>0</v>
      </c>
      <c r="H45" s="33">
        <f>SUM(F45:G45)</f>
        <v>0</v>
      </c>
      <c r="J45" s="36" t="s">
        <v>21</v>
      </c>
      <c r="K45" s="19"/>
      <c r="L45" s="20"/>
      <c r="M45" s="20"/>
      <c r="N45" s="20"/>
      <c r="O45" s="20"/>
      <c r="P45" s="20"/>
      <c r="Q45" s="20"/>
      <c r="R45" s="20"/>
      <c r="S45" s="20"/>
      <c r="T45" s="20"/>
      <c r="U45" s="21"/>
      <c r="W45" s="36" t="s">
        <v>21</v>
      </c>
      <c r="X45" s="19"/>
      <c r="Y45" s="20"/>
      <c r="Z45" s="20"/>
      <c r="AA45" s="20"/>
      <c r="AB45" s="20"/>
      <c r="AC45" s="21"/>
      <c r="AE45" s="36" t="s">
        <v>21</v>
      </c>
      <c r="AF45" s="19"/>
      <c r="AG45" s="20"/>
      <c r="AH45" s="20"/>
      <c r="AI45" s="20"/>
      <c r="AJ45" s="20"/>
      <c r="AK45" s="21"/>
    </row>
    <row r="46" spans="1:37" x14ac:dyDescent="0.25">
      <c r="F46" s="2"/>
      <c r="G46" s="2"/>
      <c r="H46" s="2"/>
      <c r="J46" s="37"/>
      <c r="T46" s="22" t="s">
        <v>22</v>
      </c>
      <c r="U46" s="23">
        <f>SUM(K45:U45)</f>
        <v>0</v>
      </c>
      <c r="AB46" s="22" t="s">
        <v>22</v>
      </c>
      <c r="AC46" s="23">
        <f>SUM(X45:AC45)</f>
        <v>0</v>
      </c>
      <c r="AJ46" s="22" t="s">
        <v>22</v>
      </c>
      <c r="AK46" s="23">
        <f>SUM(AF45:AK45)</f>
        <v>0</v>
      </c>
    </row>
    <row r="47" spans="1:37" ht="15.75" thickBot="1" x14ac:dyDescent="0.3">
      <c r="A47" s="34"/>
      <c r="B47" s="171" t="s">
        <v>18</v>
      </c>
      <c r="C47" s="171"/>
      <c r="D47" s="171"/>
      <c r="E47" s="171"/>
      <c r="F47" s="171"/>
      <c r="G47" s="171"/>
      <c r="H47" s="171"/>
      <c r="J47" s="172" t="s">
        <v>18</v>
      </c>
      <c r="K47" s="172"/>
      <c r="L47" s="172"/>
      <c r="M47" s="172"/>
      <c r="N47" s="172"/>
      <c r="O47" s="172"/>
      <c r="P47" s="172"/>
      <c r="Q47" s="172"/>
      <c r="R47" s="172"/>
      <c r="S47" s="172"/>
      <c r="T47" s="172"/>
      <c r="U47" s="172"/>
      <c r="W47" s="173" t="str">
        <f>J47</f>
        <v>Outubro</v>
      </c>
      <c r="X47" s="173"/>
      <c r="Y47" s="173"/>
      <c r="Z47" s="173"/>
      <c r="AA47" s="173"/>
      <c r="AB47" s="173"/>
      <c r="AC47" s="173"/>
      <c r="AE47" s="174" t="str">
        <f>W47</f>
        <v>Outubro</v>
      </c>
      <c r="AF47" s="174"/>
      <c r="AG47" s="174"/>
      <c r="AH47" s="174"/>
      <c r="AI47" s="174"/>
      <c r="AJ47" s="174"/>
      <c r="AK47" s="174"/>
    </row>
    <row r="48" spans="1:37" ht="15.75" thickBot="1" x14ac:dyDescent="0.3">
      <c r="A48" s="168" t="s">
        <v>4</v>
      </c>
      <c r="B48" s="10" t="s">
        <v>5</v>
      </c>
      <c r="C48" s="11" t="s">
        <v>6</v>
      </c>
      <c r="D48" s="12" t="s">
        <v>7</v>
      </c>
      <c r="E48" s="11" t="s">
        <v>8</v>
      </c>
      <c r="F48" s="12" t="s">
        <v>9</v>
      </c>
      <c r="G48" s="11" t="s">
        <v>10</v>
      </c>
      <c r="H48" s="32" t="s">
        <v>11</v>
      </c>
      <c r="J48" s="35" t="s">
        <v>3</v>
      </c>
      <c r="K48" s="14"/>
      <c r="L48" s="15"/>
      <c r="M48" s="15"/>
      <c r="N48" s="15"/>
      <c r="O48" s="15"/>
      <c r="P48" s="15"/>
      <c r="Q48" s="15"/>
      <c r="R48" s="15"/>
      <c r="S48" s="15"/>
      <c r="T48" s="15"/>
      <c r="U48" s="16"/>
      <c r="W48" s="35" t="s">
        <v>3</v>
      </c>
      <c r="X48" s="14"/>
      <c r="Y48" s="15"/>
      <c r="Z48" s="15"/>
      <c r="AA48" s="15"/>
      <c r="AB48" s="15"/>
      <c r="AC48" s="16"/>
      <c r="AE48" s="35" t="s">
        <v>3</v>
      </c>
      <c r="AF48" s="14"/>
      <c r="AG48" s="15"/>
      <c r="AH48" s="15"/>
      <c r="AI48" s="15"/>
      <c r="AJ48" s="15"/>
      <c r="AK48" s="16"/>
    </row>
    <row r="49" spans="1:37" ht="15.75" thickBot="1" x14ac:dyDescent="0.3">
      <c r="A49" s="168"/>
      <c r="B49" s="17"/>
      <c r="C49" s="18"/>
      <c r="D49" s="18"/>
      <c r="E49" s="18"/>
      <c r="F49" s="18">
        <f>SUM(C49-B49)</f>
        <v>0</v>
      </c>
      <c r="G49" s="18">
        <f>SUM(E49-D49)</f>
        <v>0</v>
      </c>
      <c r="H49" s="33">
        <f>SUM(F49:G49)</f>
        <v>0</v>
      </c>
      <c r="J49" s="36" t="s">
        <v>21</v>
      </c>
      <c r="K49" s="19"/>
      <c r="L49" s="20"/>
      <c r="M49" s="20"/>
      <c r="N49" s="20"/>
      <c r="O49" s="20"/>
      <c r="P49" s="20"/>
      <c r="Q49" s="20"/>
      <c r="R49" s="20"/>
      <c r="S49" s="20"/>
      <c r="T49" s="20"/>
      <c r="U49" s="21"/>
      <c r="W49" s="36" t="s">
        <v>21</v>
      </c>
      <c r="X49" s="19"/>
      <c r="Y49" s="20"/>
      <c r="Z49" s="20"/>
      <c r="AA49" s="20"/>
      <c r="AB49" s="20"/>
      <c r="AC49" s="21"/>
      <c r="AE49" s="36" t="s">
        <v>21</v>
      </c>
      <c r="AF49" s="19"/>
      <c r="AG49" s="20"/>
      <c r="AH49" s="20"/>
      <c r="AI49" s="20"/>
      <c r="AJ49" s="20"/>
      <c r="AK49" s="21"/>
    </row>
    <row r="50" spans="1:37" x14ac:dyDescent="0.25">
      <c r="F50" s="2"/>
      <c r="G50" s="2"/>
      <c r="H50" s="2"/>
      <c r="J50" s="37"/>
      <c r="T50" s="22" t="s">
        <v>22</v>
      </c>
      <c r="U50" s="23">
        <f>SUM(K49:U49)</f>
        <v>0</v>
      </c>
      <c r="AB50" s="22" t="s">
        <v>22</v>
      </c>
      <c r="AC50" s="23">
        <f>SUM(X49:AC49)</f>
        <v>0</v>
      </c>
      <c r="AJ50" s="22" t="s">
        <v>22</v>
      </c>
      <c r="AK50" s="23">
        <f>SUM(AF49:AK49)</f>
        <v>0</v>
      </c>
    </row>
    <row r="51" spans="1:37" ht="15.75" thickBot="1" x14ac:dyDescent="0.3">
      <c r="A51" s="34"/>
      <c r="B51" s="171" t="s">
        <v>19</v>
      </c>
      <c r="C51" s="171"/>
      <c r="D51" s="171"/>
      <c r="E51" s="171"/>
      <c r="F51" s="171"/>
      <c r="G51" s="171"/>
      <c r="H51" s="171"/>
      <c r="J51" s="172" t="s">
        <v>19</v>
      </c>
      <c r="K51" s="172"/>
      <c r="L51" s="172"/>
      <c r="M51" s="172"/>
      <c r="N51" s="172"/>
      <c r="O51" s="172"/>
      <c r="P51" s="172"/>
      <c r="Q51" s="172"/>
      <c r="R51" s="172"/>
      <c r="S51" s="172"/>
      <c r="T51" s="172"/>
      <c r="U51" s="172"/>
      <c r="W51" s="173" t="str">
        <f>J51</f>
        <v>Novembro</v>
      </c>
      <c r="X51" s="173"/>
      <c r="Y51" s="173"/>
      <c r="Z51" s="173"/>
      <c r="AA51" s="173"/>
      <c r="AB51" s="173"/>
      <c r="AC51" s="173"/>
      <c r="AE51" s="174" t="str">
        <f>W51</f>
        <v>Novembro</v>
      </c>
      <c r="AF51" s="174"/>
      <c r="AG51" s="174"/>
      <c r="AH51" s="174"/>
      <c r="AI51" s="174"/>
      <c r="AJ51" s="174"/>
      <c r="AK51" s="174"/>
    </row>
    <row r="52" spans="1:37" ht="15.75" thickBot="1" x14ac:dyDescent="0.3">
      <c r="A52" s="168" t="s">
        <v>4</v>
      </c>
      <c r="B52" s="10" t="s">
        <v>5</v>
      </c>
      <c r="C52" s="11" t="s">
        <v>6</v>
      </c>
      <c r="D52" s="12" t="s">
        <v>7</v>
      </c>
      <c r="E52" s="11" t="s">
        <v>8</v>
      </c>
      <c r="F52" s="12" t="s">
        <v>9</v>
      </c>
      <c r="G52" s="11" t="s">
        <v>10</v>
      </c>
      <c r="H52" s="32" t="s">
        <v>11</v>
      </c>
      <c r="J52" s="35" t="s">
        <v>3</v>
      </c>
      <c r="K52" s="14"/>
      <c r="L52" s="15"/>
      <c r="M52" s="15"/>
      <c r="N52" s="15"/>
      <c r="O52" s="15"/>
      <c r="P52" s="15"/>
      <c r="Q52" s="15"/>
      <c r="R52" s="15"/>
      <c r="S52" s="15"/>
      <c r="T52" s="15"/>
      <c r="U52" s="16"/>
      <c r="W52" s="35" t="s">
        <v>3</v>
      </c>
      <c r="X52" s="14"/>
      <c r="Y52" s="15"/>
      <c r="Z52" s="15"/>
      <c r="AA52" s="15"/>
      <c r="AB52" s="15"/>
      <c r="AC52" s="16"/>
      <c r="AE52" s="35" t="s">
        <v>3</v>
      </c>
      <c r="AF52" s="14"/>
      <c r="AG52" s="15"/>
      <c r="AH52" s="15"/>
      <c r="AI52" s="15"/>
      <c r="AJ52" s="15"/>
      <c r="AK52" s="16"/>
    </row>
    <row r="53" spans="1:37" ht="15.75" thickBot="1" x14ac:dyDescent="0.3">
      <c r="A53" s="168"/>
      <c r="B53" s="17"/>
      <c r="C53" s="18"/>
      <c r="D53" s="18"/>
      <c r="E53" s="18"/>
      <c r="F53" s="18">
        <f>SUM(C53-B53)</f>
        <v>0</v>
      </c>
      <c r="G53" s="18">
        <f>SUM(E53-D53)</f>
        <v>0</v>
      </c>
      <c r="H53" s="33">
        <f>SUM(F53:G53)</f>
        <v>0</v>
      </c>
      <c r="J53" s="36" t="s">
        <v>21</v>
      </c>
      <c r="K53" s="19"/>
      <c r="L53" s="20"/>
      <c r="M53" s="20"/>
      <c r="N53" s="20"/>
      <c r="O53" s="20"/>
      <c r="P53" s="20"/>
      <c r="Q53" s="20"/>
      <c r="R53" s="20"/>
      <c r="S53" s="20"/>
      <c r="T53" s="20"/>
      <c r="U53" s="21"/>
      <c r="W53" s="36" t="s">
        <v>21</v>
      </c>
      <c r="X53" s="19"/>
      <c r="Y53" s="20"/>
      <c r="Z53" s="20"/>
      <c r="AA53" s="20"/>
      <c r="AB53" s="20"/>
      <c r="AC53" s="21"/>
      <c r="AE53" s="36" t="s">
        <v>21</v>
      </c>
      <c r="AF53" s="19"/>
      <c r="AG53" s="20"/>
      <c r="AH53" s="20"/>
      <c r="AI53" s="20"/>
      <c r="AJ53" s="20"/>
      <c r="AK53" s="21"/>
    </row>
    <row r="54" spans="1:37" x14ac:dyDescent="0.25">
      <c r="F54" s="2"/>
      <c r="G54" s="2"/>
      <c r="H54" s="2"/>
      <c r="J54" s="37"/>
      <c r="T54" s="22" t="s">
        <v>22</v>
      </c>
      <c r="U54" s="23">
        <f>SUM(K53:U53)</f>
        <v>0</v>
      </c>
      <c r="AB54" s="22" t="s">
        <v>22</v>
      </c>
      <c r="AC54" s="23">
        <f>SUM(X53:AC53)</f>
        <v>0</v>
      </c>
      <c r="AJ54" s="22" t="s">
        <v>22</v>
      </c>
      <c r="AK54" s="23">
        <f>SUM(AF53:AK53)</f>
        <v>0</v>
      </c>
    </row>
    <row r="55" spans="1:37" ht="15.75" thickBot="1" x14ac:dyDescent="0.3">
      <c r="A55" s="34"/>
      <c r="B55" s="171" t="s">
        <v>20</v>
      </c>
      <c r="C55" s="171"/>
      <c r="D55" s="171"/>
      <c r="E55" s="171"/>
      <c r="F55" s="171"/>
      <c r="G55" s="171"/>
      <c r="H55" s="171"/>
      <c r="J55" s="172" t="s">
        <v>20</v>
      </c>
      <c r="K55" s="172"/>
      <c r="L55" s="172"/>
      <c r="M55" s="172"/>
      <c r="N55" s="172"/>
      <c r="O55" s="172"/>
      <c r="P55" s="172"/>
      <c r="Q55" s="172"/>
      <c r="R55" s="172"/>
      <c r="S55" s="172"/>
      <c r="T55" s="172"/>
      <c r="U55" s="172"/>
      <c r="W55" s="173" t="str">
        <f>J55</f>
        <v>Dezembro</v>
      </c>
      <c r="X55" s="173"/>
      <c r="Y55" s="173"/>
      <c r="Z55" s="173"/>
      <c r="AA55" s="173"/>
      <c r="AB55" s="173"/>
      <c r="AC55" s="173"/>
      <c r="AE55" s="174" t="str">
        <f>W55</f>
        <v>Dezembro</v>
      </c>
      <c r="AF55" s="174"/>
      <c r="AG55" s="174"/>
      <c r="AH55" s="174"/>
      <c r="AI55" s="174"/>
      <c r="AJ55" s="174"/>
      <c r="AK55" s="174"/>
    </row>
    <row r="56" spans="1:37" ht="15.75" thickBot="1" x14ac:dyDescent="0.3">
      <c r="A56" s="168" t="s">
        <v>4</v>
      </c>
      <c r="B56" s="10" t="s">
        <v>5</v>
      </c>
      <c r="C56" s="11" t="s">
        <v>6</v>
      </c>
      <c r="D56" s="12" t="s">
        <v>7</v>
      </c>
      <c r="E56" s="11" t="s">
        <v>8</v>
      </c>
      <c r="F56" s="12" t="s">
        <v>9</v>
      </c>
      <c r="G56" s="11" t="s">
        <v>10</v>
      </c>
      <c r="H56" s="32" t="s">
        <v>11</v>
      </c>
      <c r="J56" s="35" t="s">
        <v>3</v>
      </c>
      <c r="K56" s="14"/>
      <c r="L56" s="15"/>
      <c r="M56" s="15"/>
      <c r="N56" s="15"/>
      <c r="O56" s="15"/>
      <c r="P56" s="15"/>
      <c r="Q56" s="15"/>
      <c r="R56" s="15"/>
      <c r="S56" s="15"/>
      <c r="T56" s="15"/>
      <c r="U56" s="16"/>
      <c r="W56" s="35" t="s">
        <v>3</v>
      </c>
      <c r="X56" s="14"/>
      <c r="Y56" s="15"/>
      <c r="Z56" s="15"/>
      <c r="AA56" s="15"/>
      <c r="AB56" s="15"/>
      <c r="AC56" s="16"/>
      <c r="AE56" s="35" t="s">
        <v>3</v>
      </c>
      <c r="AF56" s="14"/>
      <c r="AG56" s="15"/>
      <c r="AH56" s="15"/>
      <c r="AI56" s="15"/>
      <c r="AJ56" s="15"/>
      <c r="AK56" s="16"/>
    </row>
    <row r="57" spans="1:37" ht="15.75" thickBot="1" x14ac:dyDescent="0.3">
      <c r="A57" s="168"/>
      <c r="B57" s="17"/>
      <c r="C57" s="18"/>
      <c r="D57" s="18"/>
      <c r="E57" s="18"/>
      <c r="F57" s="18">
        <f>SUM(C57-B57)</f>
        <v>0</v>
      </c>
      <c r="G57" s="18">
        <f>SUM(E57-D57)</f>
        <v>0</v>
      </c>
      <c r="H57" s="33">
        <f>SUM(F57:G57)</f>
        <v>0</v>
      </c>
      <c r="J57" s="36" t="s">
        <v>21</v>
      </c>
      <c r="K57" s="19"/>
      <c r="L57" s="20"/>
      <c r="M57" s="20"/>
      <c r="N57" s="20"/>
      <c r="O57" s="20"/>
      <c r="P57" s="20"/>
      <c r="Q57" s="20"/>
      <c r="R57" s="20"/>
      <c r="S57" s="20"/>
      <c r="T57" s="20"/>
      <c r="U57" s="21"/>
      <c r="W57" s="36" t="s">
        <v>21</v>
      </c>
      <c r="X57" s="19"/>
      <c r="Y57" s="20"/>
      <c r="Z57" s="20"/>
      <c r="AA57" s="20"/>
      <c r="AB57" s="20"/>
      <c r="AC57" s="21"/>
      <c r="AE57" s="36" t="s">
        <v>21</v>
      </c>
      <c r="AF57" s="19"/>
      <c r="AG57" s="20"/>
      <c r="AH57" s="20"/>
      <c r="AI57" s="20"/>
      <c r="AJ57" s="20"/>
      <c r="AK57" s="21"/>
    </row>
    <row r="58" spans="1:37" x14ac:dyDescent="0.25">
      <c r="J58" s="37"/>
      <c r="T58" s="22" t="s">
        <v>22</v>
      </c>
      <c r="U58" s="23">
        <f>SUM(K57:U57)</f>
        <v>0</v>
      </c>
      <c r="AB58" s="22" t="s">
        <v>22</v>
      </c>
      <c r="AC58" s="23">
        <f>SUM(X57:AC57)</f>
        <v>0</v>
      </c>
      <c r="AJ58" s="22" t="s">
        <v>22</v>
      </c>
      <c r="AK58" s="23">
        <f>SUM(AF57:AK57)</f>
        <v>0</v>
      </c>
    </row>
  </sheetData>
  <mergeCells count="71">
    <mergeCell ref="B55:H55"/>
    <mergeCell ref="J55:U55"/>
    <mergeCell ref="W55:AC55"/>
    <mergeCell ref="AE55:AK55"/>
    <mergeCell ref="A56:A57"/>
    <mergeCell ref="A52:A53"/>
    <mergeCell ref="B43:H43"/>
    <mergeCell ref="J43:U43"/>
    <mergeCell ref="W43:AC43"/>
    <mergeCell ref="AE43:AK43"/>
    <mergeCell ref="A44:A45"/>
    <mergeCell ref="B47:H47"/>
    <mergeCell ref="J47:U47"/>
    <mergeCell ref="W47:AC47"/>
    <mergeCell ref="AE47:AK47"/>
    <mergeCell ref="A48:A49"/>
    <mergeCell ref="B51:H51"/>
    <mergeCell ref="J51:U51"/>
    <mergeCell ref="W51:AC51"/>
    <mergeCell ref="AE51:AK51"/>
    <mergeCell ref="A40:A41"/>
    <mergeCell ref="B31:H31"/>
    <mergeCell ref="J31:U31"/>
    <mergeCell ref="W31:AC31"/>
    <mergeCell ref="AE31:AK31"/>
    <mergeCell ref="A32:A33"/>
    <mergeCell ref="B35:H35"/>
    <mergeCell ref="J35:U35"/>
    <mergeCell ref="W35:AC35"/>
    <mergeCell ref="AE35:AK35"/>
    <mergeCell ref="A36:A37"/>
    <mergeCell ref="B39:H39"/>
    <mergeCell ref="J39:U39"/>
    <mergeCell ref="W39:AC39"/>
    <mergeCell ref="AE39:AK39"/>
    <mergeCell ref="A28:A29"/>
    <mergeCell ref="B19:H19"/>
    <mergeCell ref="J19:U19"/>
    <mergeCell ref="W19:AC19"/>
    <mergeCell ref="AE19:AK19"/>
    <mergeCell ref="A20:A21"/>
    <mergeCell ref="B23:H23"/>
    <mergeCell ref="J23:U23"/>
    <mergeCell ref="W23:AC23"/>
    <mergeCell ref="AE23:AK23"/>
    <mergeCell ref="A24:A25"/>
    <mergeCell ref="B27:H27"/>
    <mergeCell ref="J27:U27"/>
    <mergeCell ref="W27:AC27"/>
    <mergeCell ref="AE27:AK27"/>
    <mergeCell ref="A16:A17"/>
    <mergeCell ref="A9:H9"/>
    <mergeCell ref="J9:U9"/>
    <mergeCell ref="W9:AC9"/>
    <mergeCell ref="AE9:AK9"/>
    <mergeCell ref="B11:H11"/>
    <mergeCell ref="J11:U11"/>
    <mergeCell ref="W11:AC11"/>
    <mergeCell ref="AE11:AK11"/>
    <mergeCell ref="A12:A13"/>
    <mergeCell ref="B15:H15"/>
    <mergeCell ref="J15:U15"/>
    <mergeCell ref="W15:AC15"/>
    <mergeCell ref="AE15:AK15"/>
    <mergeCell ref="B6:C6"/>
    <mergeCell ref="E6:F6"/>
    <mergeCell ref="A1:A2"/>
    <mergeCell ref="B1:AK1"/>
    <mergeCell ref="B2:AK2"/>
    <mergeCell ref="B4:C4"/>
    <mergeCell ref="E4:F4"/>
  </mergeCells>
  <pageMargins left="0.511811024" right="0.511811024" top="0.78740157499999996" bottom="0.78740157499999996" header="0.31496062000000002" footer="0.31496062000000002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5C29D6-4A44-413B-A958-2E20343CD330}">
  <dimension ref="A1:AK58"/>
  <sheetViews>
    <sheetView workbookViewId="0">
      <selection sqref="A1:AK1048576"/>
    </sheetView>
  </sheetViews>
  <sheetFormatPr defaultRowHeight="15" x14ac:dyDescent="0.25"/>
  <cols>
    <col min="1" max="1" width="14.85546875" style="2" customWidth="1"/>
    <col min="2" max="2" width="11.7109375" style="2" bestFit="1" customWidth="1"/>
    <col min="3" max="3" width="9.28515625" style="2" bestFit="1" customWidth="1"/>
    <col min="4" max="4" width="10.7109375" style="2" customWidth="1"/>
    <col min="5" max="5" width="9.28515625" style="2" bestFit="1" customWidth="1"/>
    <col min="6" max="6" width="13.140625" style="1" customWidth="1"/>
    <col min="7" max="7" width="13.85546875" style="1" customWidth="1"/>
    <col min="8" max="8" width="11.85546875" style="1" bestFit="1" customWidth="1"/>
    <col min="9" max="9" width="9.85546875" style="1" customWidth="1"/>
    <col min="10" max="10" width="9.42578125" style="2" customWidth="1"/>
    <col min="11" max="13" width="10.42578125" style="1" bestFit="1" customWidth="1"/>
    <col min="14" max="20" width="9" style="1"/>
    <col min="21" max="21" width="10.42578125" style="1" bestFit="1" customWidth="1"/>
    <col min="22" max="22" width="9" style="1"/>
    <col min="23" max="23" width="9" style="2"/>
    <col min="24" max="30" width="9" style="1"/>
    <col min="31" max="31" width="9" style="2"/>
    <col min="32" max="33" width="9" style="1"/>
    <col min="34" max="36" width="10.140625" style="1" bestFit="1" customWidth="1"/>
    <col min="37" max="37" width="9.140625" style="1"/>
  </cols>
  <sheetData>
    <row r="1" spans="1:37" ht="21" x14ac:dyDescent="0.25">
      <c r="A1" s="162"/>
      <c r="B1" s="164" t="s">
        <v>51</v>
      </c>
      <c r="C1" s="164"/>
      <c r="D1" s="164"/>
      <c r="E1" s="164"/>
      <c r="F1" s="164"/>
      <c r="G1" s="164"/>
      <c r="H1" s="164"/>
      <c r="I1" s="164"/>
      <c r="J1" s="164"/>
      <c r="K1" s="164"/>
      <c r="L1" s="164"/>
      <c r="M1" s="164"/>
      <c r="N1" s="164"/>
      <c r="O1" s="164"/>
      <c r="P1" s="164"/>
      <c r="Q1" s="164"/>
      <c r="R1" s="164"/>
      <c r="S1" s="164"/>
      <c r="T1" s="164"/>
      <c r="U1" s="164"/>
      <c r="V1" s="164"/>
      <c r="W1" s="164"/>
      <c r="X1" s="164"/>
      <c r="Y1" s="164"/>
      <c r="Z1" s="164"/>
      <c r="AA1" s="164"/>
      <c r="AB1" s="164"/>
      <c r="AC1" s="164"/>
      <c r="AD1" s="164"/>
      <c r="AE1" s="164"/>
      <c r="AF1" s="164"/>
      <c r="AG1" s="164"/>
      <c r="AH1" s="164"/>
      <c r="AI1" s="164"/>
      <c r="AJ1" s="164"/>
      <c r="AK1" s="165"/>
    </row>
    <row r="2" spans="1:37" ht="21" x14ac:dyDescent="0.25">
      <c r="A2" s="163"/>
      <c r="B2" s="166" t="s">
        <v>50</v>
      </c>
      <c r="C2" s="166"/>
      <c r="D2" s="166"/>
      <c r="E2" s="166"/>
      <c r="F2" s="166"/>
      <c r="G2" s="166"/>
      <c r="H2" s="166"/>
      <c r="I2" s="166"/>
      <c r="J2" s="166"/>
      <c r="K2" s="166"/>
      <c r="L2" s="166"/>
      <c r="M2" s="166"/>
      <c r="N2" s="166"/>
      <c r="O2" s="166"/>
      <c r="P2" s="166"/>
      <c r="Q2" s="166"/>
      <c r="R2" s="166"/>
      <c r="S2" s="166"/>
      <c r="T2" s="166"/>
      <c r="U2" s="166"/>
      <c r="V2" s="166"/>
      <c r="W2" s="166"/>
      <c r="X2" s="166"/>
      <c r="Y2" s="166"/>
      <c r="Z2" s="166"/>
      <c r="AA2" s="166"/>
      <c r="AB2" s="166"/>
      <c r="AC2" s="166"/>
      <c r="AD2" s="166"/>
      <c r="AE2" s="166"/>
      <c r="AF2" s="166"/>
      <c r="AG2" s="166"/>
      <c r="AH2" s="166"/>
      <c r="AI2" s="166"/>
      <c r="AJ2" s="166"/>
      <c r="AK2" s="167"/>
    </row>
    <row r="4" spans="1:37" x14ac:dyDescent="0.25">
      <c r="A4" s="31" t="s">
        <v>47</v>
      </c>
      <c r="B4" s="161"/>
      <c r="C4" s="161"/>
      <c r="D4" s="31" t="s">
        <v>0</v>
      </c>
      <c r="E4" s="161"/>
      <c r="F4" s="161"/>
      <c r="G4" s="31" t="s">
        <v>45</v>
      </c>
      <c r="H4" s="4"/>
    </row>
    <row r="5" spans="1:37" x14ac:dyDescent="0.25">
      <c r="A5" s="31"/>
      <c r="D5" s="31"/>
      <c r="F5" s="2"/>
      <c r="G5" s="31"/>
    </row>
    <row r="6" spans="1:37" x14ac:dyDescent="0.25">
      <c r="A6" s="31" t="s">
        <v>48</v>
      </c>
      <c r="B6" s="160"/>
      <c r="C6" s="160"/>
      <c r="D6" s="31" t="s">
        <v>44</v>
      </c>
      <c r="E6" s="161"/>
      <c r="F6" s="161"/>
      <c r="G6" s="31" t="s">
        <v>46</v>
      </c>
      <c r="H6" s="5"/>
    </row>
    <row r="9" spans="1:37" ht="18.75" x14ac:dyDescent="0.3">
      <c r="A9" s="169" t="s">
        <v>26</v>
      </c>
      <c r="B9" s="169"/>
      <c r="C9" s="169"/>
      <c r="D9" s="169"/>
      <c r="E9" s="169"/>
      <c r="F9" s="169"/>
      <c r="G9" s="169"/>
      <c r="H9" s="169"/>
      <c r="I9" s="28"/>
      <c r="J9" s="169" t="s">
        <v>24</v>
      </c>
      <c r="K9" s="169"/>
      <c r="L9" s="169"/>
      <c r="M9" s="169"/>
      <c r="N9" s="169"/>
      <c r="O9" s="169"/>
      <c r="P9" s="169"/>
      <c r="Q9" s="169"/>
      <c r="R9" s="169"/>
      <c r="S9" s="169"/>
      <c r="T9" s="169"/>
      <c r="U9" s="169"/>
      <c r="V9" s="29"/>
      <c r="W9" s="170" t="s">
        <v>49</v>
      </c>
      <c r="X9" s="170"/>
      <c r="Y9" s="170"/>
      <c r="Z9" s="170"/>
      <c r="AA9" s="170"/>
      <c r="AB9" s="170"/>
      <c r="AC9" s="170"/>
      <c r="AD9" s="29"/>
      <c r="AE9" s="170" t="s">
        <v>25</v>
      </c>
      <c r="AF9" s="170"/>
      <c r="AG9" s="170"/>
      <c r="AH9" s="170"/>
      <c r="AI9" s="170"/>
      <c r="AJ9" s="170"/>
      <c r="AK9" s="170"/>
    </row>
    <row r="10" spans="1:37" x14ac:dyDescent="0.25">
      <c r="A10" s="7"/>
      <c r="B10" s="7"/>
      <c r="C10" s="7"/>
      <c r="D10" s="7"/>
      <c r="E10" s="7"/>
      <c r="F10" s="7"/>
      <c r="G10" s="7"/>
      <c r="H10" s="7"/>
      <c r="I10" s="6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8"/>
      <c r="W10" s="9"/>
      <c r="X10" s="9"/>
      <c r="Y10" s="9"/>
      <c r="Z10" s="9"/>
      <c r="AA10" s="9"/>
      <c r="AB10" s="9"/>
      <c r="AC10" s="9"/>
      <c r="AD10" s="8"/>
      <c r="AE10" s="9"/>
      <c r="AF10" s="9"/>
      <c r="AG10" s="9"/>
      <c r="AH10" s="9"/>
      <c r="AI10" s="9"/>
      <c r="AJ10" s="9"/>
      <c r="AK10" s="9"/>
    </row>
    <row r="11" spans="1:37" ht="15.75" thickBot="1" x14ac:dyDescent="0.3">
      <c r="A11" s="34"/>
      <c r="B11" s="171" t="s">
        <v>54</v>
      </c>
      <c r="C11" s="171"/>
      <c r="D11" s="171"/>
      <c r="E11" s="171"/>
      <c r="F11" s="171"/>
      <c r="G11" s="171"/>
      <c r="H11" s="171"/>
      <c r="I11" s="6"/>
      <c r="J11" s="172" t="s">
        <v>54</v>
      </c>
      <c r="K11" s="172"/>
      <c r="L11" s="172"/>
      <c r="M11" s="172"/>
      <c r="N11" s="172"/>
      <c r="O11" s="172"/>
      <c r="P11" s="172"/>
      <c r="Q11" s="172"/>
      <c r="R11" s="172"/>
      <c r="S11" s="172"/>
      <c r="T11" s="172"/>
      <c r="U11" s="172"/>
      <c r="V11" s="8"/>
      <c r="W11" s="173" t="s">
        <v>54</v>
      </c>
      <c r="X11" s="173"/>
      <c r="Y11" s="173"/>
      <c r="Z11" s="173"/>
      <c r="AA11" s="173"/>
      <c r="AB11" s="173"/>
      <c r="AC11" s="173"/>
      <c r="AD11" s="8"/>
      <c r="AE11" s="174" t="s">
        <v>54</v>
      </c>
      <c r="AF11" s="174"/>
      <c r="AG11" s="174"/>
      <c r="AH11" s="174"/>
      <c r="AI11" s="174"/>
      <c r="AJ11" s="174"/>
      <c r="AK11" s="174"/>
    </row>
    <row r="12" spans="1:37" ht="15.75" thickBot="1" x14ac:dyDescent="0.3">
      <c r="A12" s="168" t="s">
        <v>4</v>
      </c>
      <c r="B12" s="10" t="s">
        <v>5</v>
      </c>
      <c r="C12" s="11" t="s">
        <v>6</v>
      </c>
      <c r="D12" s="12" t="s">
        <v>7</v>
      </c>
      <c r="E12" s="11" t="s">
        <v>8</v>
      </c>
      <c r="F12" s="12" t="s">
        <v>9</v>
      </c>
      <c r="G12" s="11" t="s">
        <v>10</v>
      </c>
      <c r="H12" s="32" t="s">
        <v>11</v>
      </c>
      <c r="I12" s="6"/>
      <c r="J12" s="35" t="s">
        <v>3</v>
      </c>
      <c r="K12" s="14"/>
      <c r="L12" s="15"/>
      <c r="M12" s="15"/>
      <c r="N12" s="15"/>
      <c r="O12" s="15"/>
      <c r="P12" s="15"/>
      <c r="Q12" s="15"/>
      <c r="R12" s="15"/>
      <c r="S12" s="15"/>
      <c r="T12" s="15"/>
      <c r="U12" s="16"/>
      <c r="V12" s="8"/>
      <c r="W12" s="35" t="s">
        <v>3</v>
      </c>
      <c r="X12" s="14"/>
      <c r="Y12" s="15"/>
      <c r="Z12" s="15"/>
      <c r="AA12" s="15"/>
      <c r="AB12" s="15"/>
      <c r="AC12" s="16"/>
      <c r="AD12" s="8"/>
      <c r="AE12" s="35" t="s">
        <v>3</v>
      </c>
      <c r="AF12" s="14"/>
      <c r="AG12" s="15"/>
      <c r="AH12" s="15"/>
      <c r="AI12" s="15"/>
      <c r="AJ12" s="15"/>
      <c r="AK12" s="16"/>
    </row>
    <row r="13" spans="1:37" ht="15.75" thickBot="1" x14ac:dyDescent="0.3">
      <c r="A13" s="168"/>
      <c r="B13" s="17"/>
      <c r="C13" s="18"/>
      <c r="D13" s="18"/>
      <c r="E13" s="18"/>
      <c r="F13" s="18">
        <f>SUM(C13-B13)</f>
        <v>0</v>
      </c>
      <c r="G13" s="18">
        <f>SUM(E13-D13)</f>
        <v>0</v>
      </c>
      <c r="H13" s="33">
        <f>SUM(F13:G13)</f>
        <v>0</v>
      </c>
      <c r="I13" s="6"/>
      <c r="J13" s="36" t="s">
        <v>21</v>
      </c>
      <c r="K13" s="19"/>
      <c r="L13" s="20"/>
      <c r="M13" s="20"/>
      <c r="N13" s="20"/>
      <c r="O13" s="20"/>
      <c r="P13" s="20"/>
      <c r="Q13" s="20"/>
      <c r="R13" s="20"/>
      <c r="S13" s="20"/>
      <c r="T13" s="20"/>
      <c r="U13" s="21"/>
      <c r="V13" s="8"/>
      <c r="W13" s="36" t="s">
        <v>21</v>
      </c>
      <c r="X13" s="19"/>
      <c r="Y13" s="20"/>
      <c r="Z13" s="20"/>
      <c r="AA13" s="20"/>
      <c r="AB13" s="20"/>
      <c r="AC13" s="21"/>
      <c r="AD13" s="8"/>
      <c r="AE13" s="36" t="s">
        <v>21</v>
      </c>
      <c r="AF13" s="19"/>
      <c r="AG13" s="20"/>
      <c r="AH13" s="20"/>
      <c r="AI13" s="20"/>
      <c r="AJ13" s="20"/>
      <c r="AK13" s="21"/>
    </row>
    <row r="14" spans="1:37" x14ac:dyDescent="0.25">
      <c r="A14" s="7"/>
      <c r="B14" s="7"/>
      <c r="C14" s="7"/>
      <c r="D14" s="7"/>
      <c r="E14" s="7"/>
      <c r="F14" s="7"/>
      <c r="G14" s="7"/>
      <c r="H14" s="7"/>
      <c r="I14" s="6"/>
      <c r="J14" s="7"/>
      <c r="K14" s="7"/>
      <c r="L14" s="7"/>
      <c r="M14" s="7"/>
      <c r="N14" s="7"/>
      <c r="O14" s="7"/>
      <c r="P14" s="7"/>
      <c r="Q14" s="7"/>
      <c r="R14" s="7"/>
      <c r="S14" s="7"/>
      <c r="T14" s="22" t="s">
        <v>22</v>
      </c>
      <c r="U14" s="23">
        <f>SUM(K13:U13)</f>
        <v>0</v>
      </c>
      <c r="V14" s="8"/>
      <c r="AB14" s="22" t="s">
        <v>22</v>
      </c>
      <c r="AC14" s="23">
        <f>SUM(X13:AC13)</f>
        <v>0</v>
      </c>
      <c r="AD14" s="8"/>
      <c r="AJ14" s="22" t="s">
        <v>22</v>
      </c>
      <c r="AK14" s="23">
        <f>SUM(AF13:AK13)</f>
        <v>0</v>
      </c>
    </row>
    <row r="15" spans="1:37" ht="15.75" thickBot="1" x14ac:dyDescent="0.3">
      <c r="A15" s="34"/>
      <c r="B15" s="171" t="s">
        <v>2</v>
      </c>
      <c r="C15" s="171"/>
      <c r="D15" s="171"/>
      <c r="E15" s="171"/>
      <c r="F15" s="171"/>
      <c r="G15" s="171"/>
      <c r="H15" s="171"/>
      <c r="J15" s="172" t="s">
        <v>2</v>
      </c>
      <c r="K15" s="172"/>
      <c r="L15" s="172"/>
      <c r="M15" s="172"/>
      <c r="N15" s="172"/>
      <c r="O15" s="172"/>
      <c r="P15" s="172"/>
      <c r="Q15" s="172"/>
      <c r="R15" s="172"/>
      <c r="S15" s="172"/>
      <c r="T15" s="172"/>
      <c r="U15" s="172"/>
      <c r="W15" s="173" t="s">
        <v>2</v>
      </c>
      <c r="X15" s="173"/>
      <c r="Y15" s="173"/>
      <c r="Z15" s="173"/>
      <c r="AA15" s="173"/>
      <c r="AB15" s="173"/>
      <c r="AC15" s="173"/>
      <c r="AE15" s="174" t="s">
        <v>2</v>
      </c>
      <c r="AF15" s="174"/>
      <c r="AG15" s="174"/>
      <c r="AH15" s="174"/>
      <c r="AI15" s="174"/>
      <c r="AJ15" s="174"/>
      <c r="AK15" s="174"/>
    </row>
    <row r="16" spans="1:37" ht="15.75" thickBot="1" x14ac:dyDescent="0.3">
      <c r="A16" s="168" t="s">
        <v>4</v>
      </c>
      <c r="B16" s="10" t="s">
        <v>5</v>
      </c>
      <c r="C16" s="11" t="s">
        <v>6</v>
      </c>
      <c r="D16" s="12" t="s">
        <v>7</v>
      </c>
      <c r="E16" s="11" t="s">
        <v>8</v>
      </c>
      <c r="F16" s="12" t="s">
        <v>9</v>
      </c>
      <c r="G16" s="11" t="s">
        <v>10</v>
      </c>
      <c r="H16" s="32" t="s">
        <v>11</v>
      </c>
      <c r="J16" s="35" t="s">
        <v>3</v>
      </c>
      <c r="K16" s="14"/>
      <c r="L16" s="15"/>
      <c r="M16" s="15"/>
      <c r="N16" s="15"/>
      <c r="O16" s="15"/>
      <c r="P16" s="15"/>
      <c r="Q16" s="15"/>
      <c r="R16" s="15"/>
      <c r="S16" s="15"/>
      <c r="T16" s="15"/>
      <c r="U16" s="16"/>
      <c r="W16" s="35" t="s">
        <v>3</v>
      </c>
      <c r="X16" s="14"/>
      <c r="Y16" s="15"/>
      <c r="Z16" s="15"/>
      <c r="AA16" s="15"/>
      <c r="AB16" s="15"/>
      <c r="AC16" s="16"/>
      <c r="AE16" s="35" t="s">
        <v>3</v>
      </c>
      <c r="AF16" s="14"/>
      <c r="AG16" s="15"/>
      <c r="AH16" s="15"/>
      <c r="AI16" s="15"/>
      <c r="AJ16" s="15"/>
      <c r="AK16" s="16"/>
    </row>
    <row r="17" spans="1:37" ht="15.75" thickBot="1" x14ac:dyDescent="0.3">
      <c r="A17" s="168"/>
      <c r="B17" s="17"/>
      <c r="C17" s="18"/>
      <c r="D17" s="18"/>
      <c r="E17" s="18"/>
      <c r="F17" s="18">
        <f>SUM(C17-B17)</f>
        <v>0</v>
      </c>
      <c r="G17" s="18">
        <f>SUM(E17-D17)</f>
        <v>0</v>
      </c>
      <c r="H17" s="33">
        <f>SUM(F17:G17)</f>
        <v>0</v>
      </c>
      <c r="J17" s="36" t="s">
        <v>21</v>
      </c>
      <c r="K17" s="19"/>
      <c r="L17" s="20"/>
      <c r="M17" s="20"/>
      <c r="N17" s="20"/>
      <c r="O17" s="20"/>
      <c r="P17" s="20"/>
      <c r="Q17" s="20"/>
      <c r="R17" s="20"/>
      <c r="S17" s="20"/>
      <c r="T17" s="20"/>
      <c r="U17" s="21"/>
      <c r="W17" s="36" t="s">
        <v>21</v>
      </c>
      <c r="X17" s="19"/>
      <c r="Y17" s="20"/>
      <c r="Z17" s="20"/>
      <c r="AA17" s="20"/>
      <c r="AB17" s="20"/>
      <c r="AC17" s="21"/>
      <c r="AE17" s="36" t="s">
        <v>21</v>
      </c>
      <c r="AF17" s="19"/>
      <c r="AG17" s="20"/>
      <c r="AH17" s="20"/>
      <c r="AI17" s="20"/>
      <c r="AJ17" s="20"/>
      <c r="AK17" s="21"/>
    </row>
    <row r="18" spans="1:37" x14ac:dyDescent="0.25">
      <c r="F18" s="2"/>
      <c r="G18" s="2"/>
      <c r="H18" s="2"/>
      <c r="J18" s="37"/>
      <c r="T18" s="22" t="s">
        <v>22</v>
      </c>
      <c r="U18" s="23">
        <f>SUM(K17:U17)</f>
        <v>0</v>
      </c>
      <c r="AB18" s="22" t="s">
        <v>22</v>
      </c>
      <c r="AC18" s="23">
        <f>SUM(X17:AC17)</f>
        <v>0</v>
      </c>
      <c r="AJ18" s="22" t="s">
        <v>22</v>
      </c>
      <c r="AK18" s="23">
        <f>SUM(AF17:AK17)</f>
        <v>0</v>
      </c>
    </row>
    <row r="19" spans="1:37" ht="15.75" thickBot="1" x14ac:dyDescent="0.3">
      <c r="A19" s="34"/>
      <c r="B19" s="171" t="s">
        <v>12</v>
      </c>
      <c r="C19" s="171"/>
      <c r="D19" s="171"/>
      <c r="E19" s="171"/>
      <c r="F19" s="171"/>
      <c r="G19" s="171"/>
      <c r="H19" s="171"/>
      <c r="J19" s="172" t="s">
        <v>12</v>
      </c>
      <c r="K19" s="172"/>
      <c r="L19" s="172"/>
      <c r="M19" s="172"/>
      <c r="N19" s="172"/>
      <c r="O19" s="172"/>
      <c r="P19" s="172"/>
      <c r="Q19" s="172"/>
      <c r="R19" s="172"/>
      <c r="S19" s="172"/>
      <c r="T19" s="172"/>
      <c r="U19" s="172"/>
      <c r="W19" s="173" t="str">
        <f>J19</f>
        <v>Março</v>
      </c>
      <c r="X19" s="173"/>
      <c r="Y19" s="173"/>
      <c r="Z19" s="173"/>
      <c r="AA19" s="173"/>
      <c r="AB19" s="173"/>
      <c r="AC19" s="173"/>
      <c r="AE19" s="174" t="str">
        <f>W19</f>
        <v>Março</v>
      </c>
      <c r="AF19" s="174"/>
      <c r="AG19" s="174"/>
      <c r="AH19" s="174"/>
      <c r="AI19" s="174"/>
      <c r="AJ19" s="174"/>
      <c r="AK19" s="174"/>
    </row>
    <row r="20" spans="1:37" ht="15.75" thickBot="1" x14ac:dyDescent="0.3">
      <c r="A20" s="168" t="s">
        <v>4</v>
      </c>
      <c r="B20" s="10" t="s">
        <v>5</v>
      </c>
      <c r="C20" s="11" t="s">
        <v>6</v>
      </c>
      <c r="D20" s="12" t="s">
        <v>7</v>
      </c>
      <c r="E20" s="11" t="s">
        <v>8</v>
      </c>
      <c r="F20" s="12" t="s">
        <v>9</v>
      </c>
      <c r="G20" s="11" t="s">
        <v>10</v>
      </c>
      <c r="H20" s="32" t="s">
        <v>11</v>
      </c>
      <c r="J20" s="35" t="s">
        <v>3</v>
      </c>
      <c r="K20" s="14"/>
      <c r="L20" s="24"/>
      <c r="M20" s="24"/>
      <c r="N20" s="15"/>
      <c r="O20" s="15"/>
      <c r="P20" s="15"/>
      <c r="Q20" s="15"/>
      <c r="R20" s="15"/>
      <c r="S20" s="15"/>
      <c r="T20" s="15"/>
      <c r="U20" s="16"/>
      <c r="W20" s="35" t="s">
        <v>3</v>
      </c>
      <c r="X20" s="14"/>
      <c r="Y20" s="15"/>
      <c r="Z20" s="15"/>
      <c r="AA20" s="15"/>
      <c r="AB20" s="15"/>
      <c r="AC20" s="16"/>
      <c r="AE20" s="35" t="s">
        <v>3</v>
      </c>
      <c r="AF20" s="14"/>
      <c r="AG20" s="15"/>
      <c r="AH20" s="15"/>
      <c r="AI20" s="15"/>
      <c r="AJ20" s="15"/>
      <c r="AK20" s="16"/>
    </row>
    <row r="21" spans="1:37" ht="15.75" thickBot="1" x14ac:dyDescent="0.3">
      <c r="A21" s="168"/>
      <c r="B21" s="17"/>
      <c r="C21" s="18"/>
      <c r="D21" s="18"/>
      <c r="E21" s="18"/>
      <c r="F21" s="18">
        <f>SUM(C21-B21)</f>
        <v>0</v>
      </c>
      <c r="G21" s="18">
        <f>SUM(E21-D21)</f>
        <v>0</v>
      </c>
      <c r="H21" s="33">
        <f>SUM(F21:G21)</f>
        <v>0</v>
      </c>
      <c r="J21" s="36" t="s">
        <v>21</v>
      </c>
      <c r="K21" s="19"/>
      <c r="L21" s="20"/>
      <c r="M21" s="20"/>
      <c r="N21" s="20"/>
      <c r="O21" s="20"/>
      <c r="P21" s="20"/>
      <c r="Q21" s="20"/>
      <c r="R21" s="20"/>
      <c r="S21" s="20"/>
      <c r="T21" s="20"/>
      <c r="U21" s="21"/>
      <c r="W21" s="36" t="s">
        <v>21</v>
      </c>
      <c r="X21" s="19"/>
      <c r="Y21" s="20"/>
      <c r="Z21" s="20"/>
      <c r="AA21" s="20"/>
      <c r="AB21" s="20"/>
      <c r="AC21" s="21"/>
      <c r="AE21" s="36" t="s">
        <v>21</v>
      </c>
      <c r="AF21" s="19"/>
      <c r="AG21" s="20"/>
      <c r="AH21" s="20"/>
      <c r="AI21" s="20"/>
      <c r="AJ21" s="20"/>
      <c r="AK21" s="21"/>
    </row>
    <row r="22" spans="1:37" x14ac:dyDescent="0.25">
      <c r="F22" s="2"/>
      <c r="G22" s="2"/>
      <c r="H22" s="2"/>
      <c r="J22" s="37"/>
      <c r="T22" s="22" t="s">
        <v>22</v>
      </c>
      <c r="U22" s="23">
        <f>SUM(K21:U21)</f>
        <v>0</v>
      </c>
      <c r="AB22" s="22" t="s">
        <v>22</v>
      </c>
      <c r="AC22" s="23">
        <f>SUM(X21:AC21)</f>
        <v>0</v>
      </c>
      <c r="AJ22" s="22" t="s">
        <v>22</v>
      </c>
      <c r="AK22" s="23">
        <f>SUM(AF21:AK21)</f>
        <v>0</v>
      </c>
    </row>
    <row r="23" spans="1:37" ht="15.75" thickBot="1" x14ac:dyDescent="0.3">
      <c r="A23" s="34"/>
      <c r="B23" s="171" t="s">
        <v>13</v>
      </c>
      <c r="C23" s="171"/>
      <c r="D23" s="171"/>
      <c r="E23" s="171"/>
      <c r="F23" s="171"/>
      <c r="G23" s="171"/>
      <c r="H23" s="171"/>
      <c r="J23" s="172" t="s">
        <v>13</v>
      </c>
      <c r="K23" s="172"/>
      <c r="L23" s="172"/>
      <c r="M23" s="172"/>
      <c r="N23" s="172"/>
      <c r="O23" s="172"/>
      <c r="P23" s="172"/>
      <c r="Q23" s="172"/>
      <c r="R23" s="172"/>
      <c r="S23" s="172"/>
      <c r="T23" s="172"/>
      <c r="U23" s="172"/>
      <c r="W23" s="173" t="str">
        <f>J23</f>
        <v>Abril</v>
      </c>
      <c r="X23" s="173"/>
      <c r="Y23" s="173"/>
      <c r="Z23" s="173"/>
      <c r="AA23" s="173"/>
      <c r="AB23" s="173"/>
      <c r="AC23" s="173"/>
      <c r="AE23" s="174" t="str">
        <f>W23</f>
        <v>Abril</v>
      </c>
      <c r="AF23" s="174"/>
      <c r="AG23" s="174"/>
      <c r="AH23" s="174"/>
      <c r="AI23" s="174"/>
      <c r="AJ23" s="174"/>
      <c r="AK23" s="174"/>
    </row>
    <row r="24" spans="1:37" ht="15.75" thickBot="1" x14ac:dyDescent="0.3">
      <c r="A24" s="168" t="s">
        <v>4</v>
      </c>
      <c r="B24" s="10" t="s">
        <v>5</v>
      </c>
      <c r="C24" s="11" t="s">
        <v>6</v>
      </c>
      <c r="D24" s="12" t="s">
        <v>7</v>
      </c>
      <c r="E24" s="11" t="s">
        <v>8</v>
      </c>
      <c r="F24" s="12" t="s">
        <v>9</v>
      </c>
      <c r="G24" s="11" t="s">
        <v>10</v>
      </c>
      <c r="H24" s="32" t="s">
        <v>11</v>
      </c>
      <c r="J24" s="35" t="s">
        <v>3</v>
      </c>
      <c r="K24" s="14"/>
      <c r="L24" s="15"/>
      <c r="M24" s="15"/>
      <c r="N24" s="15"/>
      <c r="O24" s="15"/>
      <c r="P24" s="15"/>
      <c r="Q24" s="15"/>
      <c r="R24" s="15"/>
      <c r="S24" s="15"/>
      <c r="T24" s="15"/>
      <c r="U24" s="16"/>
      <c r="W24" s="35" t="s">
        <v>3</v>
      </c>
      <c r="X24" s="14"/>
      <c r="Y24" s="15"/>
      <c r="Z24" s="15"/>
      <c r="AA24" s="15"/>
      <c r="AB24" s="15"/>
      <c r="AC24" s="16"/>
      <c r="AE24" s="35" t="s">
        <v>3</v>
      </c>
      <c r="AF24" s="14"/>
      <c r="AG24" s="15"/>
      <c r="AH24" s="15"/>
      <c r="AI24" s="15"/>
      <c r="AJ24" s="15"/>
      <c r="AK24" s="16"/>
    </row>
    <row r="25" spans="1:37" ht="15.75" thickBot="1" x14ac:dyDescent="0.3">
      <c r="A25" s="168"/>
      <c r="B25" s="17"/>
      <c r="C25" s="18"/>
      <c r="D25" s="18"/>
      <c r="E25" s="18"/>
      <c r="F25" s="18">
        <f>SUM(C25-B25)</f>
        <v>0</v>
      </c>
      <c r="G25" s="18">
        <f>SUM(E25-D25)</f>
        <v>0</v>
      </c>
      <c r="H25" s="33">
        <f>SUM(F25:G25)</f>
        <v>0</v>
      </c>
      <c r="J25" s="36" t="s">
        <v>21</v>
      </c>
      <c r="K25" s="25"/>
      <c r="L25" s="26"/>
      <c r="M25" s="26"/>
      <c r="N25" s="26"/>
      <c r="O25" s="26"/>
      <c r="P25" s="26"/>
      <c r="Q25" s="26"/>
      <c r="R25" s="26"/>
      <c r="S25" s="26"/>
      <c r="T25" s="26"/>
      <c r="U25" s="27"/>
      <c r="W25" s="36" t="s">
        <v>21</v>
      </c>
      <c r="X25" s="19"/>
      <c r="Y25" s="20"/>
      <c r="Z25" s="20"/>
      <c r="AA25" s="20"/>
      <c r="AB25" s="20"/>
      <c r="AC25" s="21"/>
      <c r="AE25" s="36" t="s">
        <v>21</v>
      </c>
      <c r="AF25" s="19"/>
      <c r="AG25" s="20"/>
      <c r="AH25" s="20"/>
      <c r="AI25" s="20"/>
      <c r="AJ25" s="20"/>
      <c r="AK25" s="21"/>
    </row>
    <row r="26" spans="1:37" x14ac:dyDescent="0.25">
      <c r="F26" s="2"/>
      <c r="G26" s="2"/>
      <c r="H26" s="2"/>
      <c r="J26" s="37"/>
      <c r="T26" s="22" t="s">
        <v>22</v>
      </c>
      <c r="U26" s="23">
        <f>SUM(K25:U25)</f>
        <v>0</v>
      </c>
      <c r="AB26" s="22" t="s">
        <v>22</v>
      </c>
      <c r="AC26" s="23">
        <f>SUM(X25:AC25)</f>
        <v>0</v>
      </c>
      <c r="AJ26" s="22" t="s">
        <v>22</v>
      </c>
      <c r="AK26" s="23">
        <f>SUM(AF25:AK25)</f>
        <v>0</v>
      </c>
    </row>
    <row r="27" spans="1:37" ht="15.75" thickBot="1" x14ac:dyDescent="0.3">
      <c r="A27" s="34"/>
      <c r="B27" s="171" t="s">
        <v>14</v>
      </c>
      <c r="C27" s="171"/>
      <c r="D27" s="171"/>
      <c r="E27" s="171"/>
      <c r="F27" s="171"/>
      <c r="G27" s="171"/>
      <c r="H27" s="171"/>
      <c r="J27" s="172" t="s">
        <v>14</v>
      </c>
      <c r="K27" s="172"/>
      <c r="L27" s="172"/>
      <c r="M27" s="172"/>
      <c r="N27" s="172"/>
      <c r="O27" s="172"/>
      <c r="P27" s="172"/>
      <c r="Q27" s="172"/>
      <c r="R27" s="172"/>
      <c r="S27" s="172"/>
      <c r="T27" s="172"/>
      <c r="U27" s="172"/>
      <c r="W27" s="173" t="str">
        <f>J27</f>
        <v>Maio</v>
      </c>
      <c r="X27" s="173"/>
      <c r="Y27" s="173"/>
      <c r="Z27" s="173"/>
      <c r="AA27" s="173"/>
      <c r="AB27" s="173"/>
      <c r="AC27" s="173"/>
      <c r="AE27" s="174" t="str">
        <f>W27</f>
        <v>Maio</v>
      </c>
      <c r="AF27" s="174"/>
      <c r="AG27" s="174"/>
      <c r="AH27" s="174"/>
      <c r="AI27" s="174"/>
      <c r="AJ27" s="174"/>
      <c r="AK27" s="174"/>
    </row>
    <row r="28" spans="1:37" ht="15.75" thickBot="1" x14ac:dyDescent="0.3">
      <c r="A28" s="168" t="s">
        <v>4</v>
      </c>
      <c r="B28" s="10" t="s">
        <v>5</v>
      </c>
      <c r="C28" s="11" t="s">
        <v>6</v>
      </c>
      <c r="D28" s="12" t="s">
        <v>7</v>
      </c>
      <c r="E28" s="11" t="s">
        <v>8</v>
      </c>
      <c r="F28" s="12" t="s">
        <v>9</v>
      </c>
      <c r="G28" s="11" t="s">
        <v>10</v>
      </c>
      <c r="H28" s="32" t="s">
        <v>11</v>
      </c>
      <c r="J28" s="35" t="s">
        <v>3</v>
      </c>
      <c r="K28" s="14"/>
      <c r="L28" s="15"/>
      <c r="M28" s="15"/>
      <c r="N28" s="15"/>
      <c r="O28" s="15"/>
      <c r="P28" s="15"/>
      <c r="Q28" s="15"/>
      <c r="R28" s="15"/>
      <c r="S28" s="15"/>
      <c r="T28" s="15"/>
      <c r="U28" s="16"/>
      <c r="W28" s="35" t="s">
        <v>3</v>
      </c>
      <c r="X28" s="14"/>
      <c r="Y28" s="15"/>
      <c r="Z28" s="15"/>
      <c r="AA28" s="15"/>
      <c r="AB28" s="15"/>
      <c r="AC28" s="16"/>
      <c r="AE28" s="35" t="s">
        <v>3</v>
      </c>
      <c r="AF28" s="14"/>
      <c r="AG28" s="15"/>
      <c r="AH28" s="15"/>
      <c r="AI28" s="15"/>
      <c r="AJ28" s="15"/>
      <c r="AK28" s="16"/>
    </row>
    <row r="29" spans="1:37" ht="15.75" thickBot="1" x14ac:dyDescent="0.3">
      <c r="A29" s="168"/>
      <c r="B29" s="17"/>
      <c r="C29" s="18"/>
      <c r="D29" s="18"/>
      <c r="E29" s="18"/>
      <c r="F29" s="18">
        <f>SUM(C29-B29)</f>
        <v>0</v>
      </c>
      <c r="G29" s="18">
        <f>SUM(E29-D29)</f>
        <v>0</v>
      </c>
      <c r="H29" s="33">
        <f>SUM(F29:G29)</f>
        <v>0</v>
      </c>
      <c r="J29" s="36" t="s">
        <v>21</v>
      </c>
      <c r="K29" s="19"/>
      <c r="L29" s="20"/>
      <c r="M29" s="20"/>
      <c r="N29" s="20"/>
      <c r="O29" s="20"/>
      <c r="P29" s="20"/>
      <c r="Q29" s="20"/>
      <c r="R29" s="20"/>
      <c r="S29" s="20"/>
      <c r="T29" s="20"/>
      <c r="U29" s="21"/>
      <c r="W29" s="36" t="s">
        <v>21</v>
      </c>
      <c r="X29" s="19"/>
      <c r="Y29" s="20"/>
      <c r="Z29" s="20"/>
      <c r="AA29" s="20"/>
      <c r="AB29" s="20"/>
      <c r="AC29" s="21"/>
      <c r="AE29" s="36" t="s">
        <v>21</v>
      </c>
      <c r="AF29" s="19"/>
      <c r="AG29" s="20"/>
      <c r="AH29" s="20"/>
      <c r="AI29" s="20"/>
      <c r="AJ29" s="20"/>
      <c r="AK29" s="21"/>
    </row>
    <row r="30" spans="1:37" x14ac:dyDescent="0.25">
      <c r="F30" s="2"/>
      <c r="G30" s="2"/>
      <c r="H30" s="2"/>
      <c r="J30" s="37"/>
      <c r="T30" s="22" t="s">
        <v>22</v>
      </c>
      <c r="U30" s="23">
        <f>SUM(K29:U29)</f>
        <v>0</v>
      </c>
      <c r="AB30" s="22" t="s">
        <v>22</v>
      </c>
      <c r="AC30" s="23">
        <f>SUM(X29:AC29)</f>
        <v>0</v>
      </c>
      <c r="AJ30" s="22" t="s">
        <v>22</v>
      </c>
      <c r="AK30" s="23">
        <f>SUM(AF29:AK29)</f>
        <v>0</v>
      </c>
    </row>
    <row r="31" spans="1:37" ht="15.75" thickBot="1" x14ac:dyDescent="0.3">
      <c r="A31" s="34"/>
      <c r="B31" s="171" t="s">
        <v>23</v>
      </c>
      <c r="C31" s="171"/>
      <c r="D31" s="171"/>
      <c r="E31" s="171"/>
      <c r="F31" s="171"/>
      <c r="G31" s="171"/>
      <c r="H31" s="171"/>
      <c r="J31" s="172" t="s">
        <v>23</v>
      </c>
      <c r="K31" s="172"/>
      <c r="L31" s="172"/>
      <c r="M31" s="172"/>
      <c r="N31" s="172"/>
      <c r="O31" s="172"/>
      <c r="P31" s="172"/>
      <c r="Q31" s="172"/>
      <c r="R31" s="172"/>
      <c r="S31" s="172"/>
      <c r="T31" s="172"/>
      <c r="U31" s="172"/>
      <c r="W31" s="173" t="str">
        <f>J31</f>
        <v>Junho</v>
      </c>
      <c r="X31" s="173"/>
      <c r="Y31" s="173"/>
      <c r="Z31" s="173"/>
      <c r="AA31" s="173"/>
      <c r="AB31" s="173"/>
      <c r="AC31" s="173"/>
      <c r="AE31" s="174" t="str">
        <f>W31</f>
        <v>Junho</v>
      </c>
      <c r="AF31" s="174"/>
      <c r="AG31" s="174"/>
      <c r="AH31" s="174"/>
      <c r="AI31" s="174"/>
      <c r="AJ31" s="174"/>
      <c r="AK31" s="174"/>
    </row>
    <row r="32" spans="1:37" ht="15.75" thickBot="1" x14ac:dyDescent="0.3">
      <c r="A32" s="168" t="s">
        <v>4</v>
      </c>
      <c r="B32" s="10" t="s">
        <v>5</v>
      </c>
      <c r="C32" s="11" t="s">
        <v>6</v>
      </c>
      <c r="D32" s="12" t="s">
        <v>7</v>
      </c>
      <c r="E32" s="11" t="s">
        <v>8</v>
      </c>
      <c r="F32" s="12" t="s">
        <v>9</v>
      </c>
      <c r="G32" s="11" t="s">
        <v>10</v>
      </c>
      <c r="H32" s="32" t="s">
        <v>11</v>
      </c>
      <c r="J32" s="35" t="s">
        <v>3</v>
      </c>
      <c r="K32" s="14"/>
      <c r="L32" s="15"/>
      <c r="M32" s="15"/>
      <c r="N32" s="15"/>
      <c r="O32" s="15"/>
      <c r="P32" s="15"/>
      <c r="Q32" s="15"/>
      <c r="R32" s="15"/>
      <c r="S32" s="15"/>
      <c r="T32" s="15"/>
      <c r="U32" s="16"/>
      <c r="W32" s="35" t="s">
        <v>3</v>
      </c>
      <c r="X32" s="14"/>
      <c r="Y32" s="15"/>
      <c r="Z32" s="15"/>
      <c r="AA32" s="15"/>
      <c r="AB32" s="15"/>
      <c r="AC32" s="16"/>
      <c r="AE32" s="35" t="s">
        <v>3</v>
      </c>
      <c r="AF32" s="14"/>
      <c r="AG32" s="15"/>
      <c r="AH32" s="15"/>
      <c r="AI32" s="15"/>
      <c r="AJ32" s="15"/>
      <c r="AK32" s="16"/>
    </row>
    <row r="33" spans="1:37" ht="15.75" thickBot="1" x14ac:dyDescent="0.3">
      <c r="A33" s="168"/>
      <c r="B33" s="17"/>
      <c r="C33" s="18"/>
      <c r="D33" s="18"/>
      <c r="E33" s="18"/>
      <c r="F33" s="18">
        <f>SUM(C33-B33)</f>
        <v>0</v>
      </c>
      <c r="G33" s="18">
        <f>SUM(E33-D33)</f>
        <v>0</v>
      </c>
      <c r="H33" s="33">
        <f>SUM(F33:G33)</f>
        <v>0</v>
      </c>
      <c r="J33" s="36" t="s">
        <v>21</v>
      </c>
      <c r="K33" s="19"/>
      <c r="L33" s="20"/>
      <c r="M33" s="20"/>
      <c r="N33" s="20"/>
      <c r="O33" s="20"/>
      <c r="P33" s="20"/>
      <c r="Q33" s="20"/>
      <c r="R33" s="20"/>
      <c r="S33" s="20"/>
      <c r="T33" s="20"/>
      <c r="U33" s="21"/>
      <c r="W33" s="36" t="s">
        <v>21</v>
      </c>
      <c r="X33" s="19"/>
      <c r="Y33" s="20"/>
      <c r="Z33" s="20"/>
      <c r="AA33" s="20"/>
      <c r="AB33" s="20"/>
      <c r="AC33" s="21"/>
      <c r="AE33" s="36" t="s">
        <v>21</v>
      </c>
      <c r="AF33" s="19"/>
      <c r="AG33" s="20"/>
      <c r="AH33" s="20"/>
      <c r="AI33" s="20"/>
      <c r="AJ33" s="20"/>
      <c r="AK33" s="21"/>
    </row>
    <row r="34" spans="1:37" x14ac:dyDescent="0.25">
      <c r="F34" s="2"/>
      <c r="G34" s="2"/>
      <c r="H34" s="2"/>
      <c r="J34" s="37"/>
      <c r="T34" s="22" t="s">
        <v>22</v>
      </c>
      <c r="U34" s="23">
        <f>SUM(K33:U33)</f>
        <v>0</v>
      </c>
      <c r="AB34" s="22" t="s">
        <v>22</v>
      </c>
      <c r="AC34" s="23">
        <f>SUM(X33:AC33)</f>
        <v>0</v>
      </c>
      <c r="AJ34" s="22" t="s">
        <v>22</v>
      </c>
      <c r="AK34" s="23">
        <f>SUM(AF33:AK33)</f>
        <v>0</v>
      </c>
    </row>
    <row r="35" spans="1:37" ht="15.75" thickBot="1" x14ac:dyDescent="0.3">
      <c r="A35" s="34"/>
      <c r="B35" s="171" t="s">
        <v>15</v>
      </c>
      <c r="C35" s="171"/>
      <c r="D35" s="171"/>
      <c r="E35" s="171"/>
      <c r="F35" s="171"/>
      <c r="G35" s="171"/>
      <c r="H35" s="171"/>
      <c r="J35" s="172" t="s">
        <v>15</v>
      </c>
      <c r="K35" s="172"/>
      <c r="L35" s="172"/>
      <c r="M35" s="172"/>
      <c r="N35" s="172"/>
      <c r="O35" s="172"/>
      <c r="P35" s="172"/>
      <c r="Q35" s="172"/>
      <c r="R35" s="172"/>
      <c r="S35" s="172"/>
      <c r="T35" s="172"/>
      <c r="U35" s="172"/>
      <c r="W35" s="173" t="str">
        <f>J35</f>
        <v>Julho</v>
      </c>
      <c r="X35" s="173"/>
      <c r="Y35" s="173"/>
      <c r="Z35" s="173"/>
      <c r="AA35" s="173"/>
      <c r="AB35" s="173"/>
      <c r="AC35" s="173"/>
      <c r="AE35" s="174" t="str">
        <f>W35</f>
        <v>Julho</v>
      </c>
      <c r="AF35" s="174"/>
      <c r="AG35" s="174"/>
      <c r="AH35" s="174"/>
      <c r="AI35" s="174"/>
      <c r="AJ35" s="174"/>
      <c r="AK35" s="174"/>
    </row>
    <row r="36" spans="1:37" ht="15.75" thickBot="1" x14ac:dyDescent="0.3">
      <c r="A36" s="168" t="s">
        <v>4</v>
      </c>
      <c r="B36" s="10" t="s">
        <v>5</v>
      </c>
      <c r="C36" s="11" t="s">
        <v>6</v>
      </c>
      <c r="D36" s="12" t="s">
        <v>7</v>
      </c>
      <c r="E36" s="11" t="s">
        <v>8</v>
      </c>
      <c r="F36" s="12" t="s">
        <v>9</v>
      </c>
      <c r="G36" s="11" t="s">
        <v>10</v>
      </c>
      <c r="H36" s="32" t="s">
        <v>11</v>
      </c>
      <c r="J36" s="35" t="s">
        <v>3</v>
      </c>
      <c r="K36" s="14"/>
      <c r="L36" s="15"/>
      <c r="M36" s="15"/>
      <c r="N36" s="15"/>
      <c r="O36" s="15"/>
      <c r="P36" s="15"/>
      <c r="Q36" s="15"/>
      <c r="R36" s="15"/>
      <c r="S36" s="15"/>
      <c r="T36" s="15"/>
      <c r="U36" s="16"/>
      <c r="W36" s="35" t="s">
        <v>3</v>
      </c>
      <c r="X36" s="14"/>
      <c r="Y36" s="15"/>
      <c r="Z36" s="15"/>
      <c r="AA36" s="15"/>
      <c r="AB36" s="15"/>
      <c r="AC36" s="16"/>
      <c r="AE36" s="35" t="s">
        <v>3</v>
      </c>
      <c r="AF36" s="14"/>
      <c r="AG36" s="15"/>
      <c r="AH36" s="15"/>
      <c r="AI36" s="15"/>
      <c r="AJ36" s="15"/>
      <c r="AK36" s="16"/>
    </row>
    <row r="37" spans="1:37" ht="15.75" thickBot="1" x14ac:dyDescent="0.3">
      <c r="A37" s="168"/>
      <c r="B37" s="17"/>
      <c r="C37" s="18"/>
      <c r="D37" s="18"/>
      <c r="E37" s="18"/>
      <c r="F37" s="18">
        <f>SUM(C37-B37)</f>
        <v>0</v>
      </c>
      <c r="G37" s="18">
        <f>SUM(E37-D37)</f>
        <v>0</v>
      </c>
      <c r="H37" s="33">
        <f>SUM(F37:G37)</f>
        <v>0</v>
      </c>
      <c r="J37" s="36" t="s">
        <v>21</v>
      </c>
      <c r="K37" s="19"/>
      <c r="L37" s="20"/>
      <c r="M37" s="20"/>
      <c r="N37" s="20"/>
      <c r="O37" s="20"/>
      <c r="P37" s="20"/>
      <c r="Q37" s="20"/>
      <c r="R37" s="20"/>
      <c r="S37" s="20"/>
      <c r="T37" s="20"/>
      <c r="U37" s="21"/>
      <c r="W37" s="36" t="s">
        <v>21</v>
      </c>
      <c r="X37" s="19"/>
      <c r="Y37" s="20"/>
      <c r="Z37" s="20"/>
      <c r="AA37" s="20"/>
      <c r="AB37" s="20"/>
      <c r="AC37" s="21"/>
      <c r="AE37" s="36" t="s">
        <v>21</v>
      </c>
      <c r="AF37" s="19"/>
      <c r="AG37" s="20"/>
      <c r="AH37" s="20"/>
      <c r="AI37" s="20"/>
      <c r="AJ37" s="20"/>
      <c r="AK37" s="21"/>
    </row>
    <row r="38" spans="1:37" x14ac:dyDescent="0.25">
      <c r="F38" s="2"/>
      <c r="G38" s="2"/>
      <c r="H38" s="2"/>
      <c r="J38" s="37"/>
      <c r="T38" s="22" t="s">
        <v>22</v>
      </c>
      <c r="U38" s="23">
        <f>SUM(K37:U37)</f>
        <v>0</v>
      </c>
      <c r="AB38" s="22" t="s">
        <v>22</v>
      </c>
      <c r="AC38" s="23">
        <f>SUM(X37:AC37)</f>
        <v>0</v>
      </c>
      <c r="AJ38" s="22" t="s">
        <v>22</v>
      </c>
      <c r="AK38" s="23">
        <f>SUM(AF37:AK37)</f>
        <v>0</v>
      </c>
    </row>
    <row r="39" spans="1:37" ht="15.75" thickBot="1" x14ac:dyDescent="0.3">
      <c r="A39" s="34"/>
      <c r="B39" s="171" t="s">
        <v>16</v>
      </c>
      <c r="C39" s="171"/>
      <c r="D39" s="171"/>
      <c r="E39" s="171"/>
      <c r="F39" s="171"/>
      <c r="G39" s="171"/>
      <c r="H39" s="171"/>
      <c r="J39" s="172" t="s">
        <v>16</v>
      </c>
      <c r="K39" s="172"/>
      <c r="L39" s="172"/>
      <c r="M39" s="172"/>
      <c r="N39" s="172"/>
      <c r="O39" s="172"/>
      <c r="P39" s="172"/>
      <c r="Q39" s="172"/>
      <c r="R39" s="172"/>
      <c r="S39" s="172"/>
      <c r="T39" s="172"/>
      <c r="U39" s="172"/>
      <c r="W39" s="173" t="str">
        <f>J39</f>
        <v>Agosto</v>
      </c>
      <c r="X39" s="173"/>
      <c r="Y39" s="173"/>
      <c r="Z39" s="173"/>
      <c r="AA39" s="173"/>
      <c r="AB39" s="173"/>
      <c r="AC39" s="173"/>
      <c r="AE39" s="174" t="str">
        <f>W39</f>
        <v>Agosto</v>
      </c>
      <c r="AF39" s="174"/>
      <c r="AG39" s="174"/>
      <c r="AH39" s="174"/>
      <c r="AI39" s="174"/>
      <c r="AJ39" s="174"/>
      <c r="AK39" s="174"/>
    </row>
    <row r="40" spans="1:37" ht="15.75" thickBot="1" x14ac:dyDescent="0.3">
      <c r="A40" s="168" t="s">
        <v>4</v>
      </c>
      <c r="B40" s="10" t="s">
        <v>5</v>
      </c>
      <c r="C40" s="11" t="s">
        <v>6</v>
      </c>
      <c r="D40" s="12" t="s">
        <v>7</v>
      </c>
      <c r="E40" s="11" t="s">
        <v>8</v>
      </c>
      <c r="F40" s="12" t="s">
        <v>9</v>
      </c>
      <c r="G40" s="11" t="s">
        <v>10</v>
      </c>
      <c r="H40" s="32" t="s">
        <v>11</v>
      </c>
      <c r="J40" s="35" t="s">
        <v>3</v>
      </c>
      <c r="K40" s="14"/>
      <c r="L40" s="15"/>
      <c r="M40" s="15"/>
      <c r="N40" s="15"/>
      <c r="O40" s="15"/>
      <c r="P40" s="15"/>
      <c r="Q40" s="15"/>
      <c r="R40" s="15"/>
      <c r="S40" s="15"/>
      <c r="T40" s="15"/>
      <c r="U40" s="16"/>
      <c r="W40" s="35" t="s">
        <v>3</v>
      </c>
      <c r="X40" s="14"/>
      <c r="Y40" s="15"/>
      <c r="Z40" s="15"/>
      <c r="AA40" s="15"/>
      <c r="AB40" s="15"/>
      <c r="AC40" s="16"/>
      <c r="AE40" s="35" t="s">
        <v>3</v>
      </c>
      <c r="AF40" s="14"/>
      <c r="AG40" s="15"/>
      <c r="AH40" s="15"/>
      <c r="AI40" s="15"/>
      <c r="AJ40" s="15"/>
      <c r="AK40" s="16"/>
    </row>
    <row r="41" spans="1:37" ht="15.75" thickBot="1" x14ac:dyDescent="0.3">
      <c r="A41" s="168"/>
      <c r="B41" s="17"/>
      <c r="C41" s="18"/>
      <c r="D41" s="18"/>
      <c r="E41" s="18"/>
      <c r="F41" s="18">
        <f>SUM(C41-B41)</f>
        <v>0</v>
      </c>
      <c r="G41" s="18">
        <f>SUM(E41-D41)</f>
        <v>0</v>
      </c>
      <c r="H41" s="33">
        <f>SUM(F41:G41)</f>
        <v>0</v>
      </c>
      <c r="J41" s="36" t="s">
        <v>21</v>
      </c>
      <c r="K41" s="19"/>
      <c r="L41" s="20"/>
      <c r="M41" s="20"/>
      <c r="N41" s="20"/>
      <c r="O41" s="20"/>
      <c r="P41" s="20"/>
      <c r="Q41" s="20"/>
      <c r="R41" s="20"/>
      <c r="S41" s="20"/>
      <c r="T41" s="20"/>
      <c r="U41" s="21"/>
      <c r="W41" s="36" t="s">
        <v>21</v>
      </c>
      <c r="X41" s="19"/>
      <c r="Y41" s="20"/>
      <c r="Z41" s="20"/>
      <c r="AA41" s="20"/>
      <c r="AB41" s="20"/>
      <c r="AC41" s="21"/>
      <c r="AE41" s="36" t="s">
        <v>21</v>
      </c>
      <c r="AF41" s="19"/>
      <c r="AG41" s="20"/>
      <c r="AH41" s="20"/>
      <c r="AI41" s="20"/>
      <c r="AJ41" s="20"/>
      <c r="AK41" s="21"/>
    </row>
    <row r="42" spans="1:37" x14ac:dyDescent="0.25">
      <c r="F42" s="2"/>
      <c r="G42" s="2"/>
      <c r="H42" s="2"/>
      <c r="J42" s="37"/>
      <c r="T42" s="22" t="s">
        <v>22</v>
      </c>
      <c r="U42" s="23">
        <f>SUM(K41:U41)</f>
        <v>0</v>
      </c>
      <c r="AB42" s="22" t="s">
        <v>22</v>
      </c>
      <c r="AC42" s="23">
        <f>SUM(X41:AC41)</f>
        <v>0</v>
      </c>
      <c r="AJ42" s="22" t="s">
        <v>22</v>
      </c>
      <c r="AK42" s="23">
        <f>SUM(AF41:AK41)</f>
        <v>0</v>
      </c>
    </row>
    <row r="43" spans="1:37" ht="15.75" thickBot="1" x14ac:dyDescent="0.3">
      <c r="A43" s="34"/>
      <c r="B43" s="171" t="s">
        <v>17</v>
      </c>
      <c r="C43" s="171"/>
      <c r="D43" s="171"/>
      <c r="E43" s="171"/>
      <c r="F43" s="171"/>
      <c r="G43" s="171"/>
      <c r="H43" s="171"/>
      <c r="J43" s="172" t="s">
        <v>17</v>
      </c>
      <c r="K43" s="172"/>
      <c r="L43" s="172"/>
      <c r="M43" s="172"/>
      <c r="N43" s="172"/>
      <c r="O43" s="172"/>
      <c r="P43" s="172"/>
      <c r="Q43" s="172"/>
      <c r="R43" s="172"/>
      <c r="S43" s="172"/>
      <c r="T43" s="172"/>
      <c r="U43" s="172"/>
      <c r="W43" s="173" t="str">
        <f>J43</f>
        <v>Setembro</v>
      </c>
      <c r="X43" s="173"/>
      <c r="Y43" s="173"/>
      <c r="Z43" s="173"/>
      <c r="AA43" s="173"/>
      <c r="AB43" s="173"/>
      <c r="AC43" s="173"/>
      <c r="AE43" s="174" t="str">
        <f>W43</f>
        <v>Setembro</v>
      </c>
      <c r="AF43" s="174"/>
      <c r="AG43" s="174"/>
      <c r="AH43" s="174"/>
      <c r="AI43" s="174"/>
      <c r="AJ43" s="174"/>
      <c r="AK43" s="174"/>
    </row>
    <row r="44" spans="1:37" ht="15.75" thickBot="1" x14ac:dyDescent="0.3">
      <c r="A44" s="168" t="s">
        <v>4</v>
      </c>
      <c r="B44" s="10" t="s">
        <v>5</v>
      </c>
      <c r="C44" s="11" t="s">
        <v>6</v>
      </c>
      <c r="D44" s="12" t="s">
        <v>7</v>
      </c>
      <c r="E44" s="11" t="s">
        <v>8</v>
      </c>
      <c r="F44" s="12" t="s">
        <v>9</v>
      </c>
      <c r="G44" s="11" t="s">
        <v>10</v>
      </c>
      <c r="H44" s="32" t="s">
        <v>11</v>
      </c>
      <c r="J44" s="35" t="s">
        <v>3</v>
      </c>
      <c r="K44" s="14"/>
      <c r="L44" s="15"/>
      <c r="M44" s="15"/>
      <c r="N44" s="15"/>
      <c r="O44" s="15"/>
      <c r="P44" s="15"/>
      <c r="Q44" s="15"/>
      <c r="R44" s="15"/>
      <c r="S44" s="15"/>
      <c r="T44" s="15"/>
      <c r="U44" s="16"/>
      <c r="W44" s="35" t="s">
        <v>3</v>
      </c>
      <c r="X44" s="14"/>
      <c r="Y44" s="15"/>
      <c r="Z44" s="15"/>
      <c r="AA44" s="15"/>
      <c r="AB44" s="15"/>
      <c r="AC44" s="16"/>
      <c r="AE44" s="35" t="s">
        <v>3</v>
      </c>
      <c r="AF44" s="14"/>
      <c r="AG44" s="15"/>
      <c r="AH44" s="15"/>
      <c r="AI44" s="15"/>
      <c r="AJ44" s="15"/>
      <c r="AK44" s="16"/>
    </row>
    <row r="45" spans="1:37" ht="15.75" thickBot="1" x14ac:dyDescent="0.3">
      <c r="A45" s="168"/>
      <c r="B45" s="17"/>
      <c r="C45" s="18"/>
      <c r="D45" s="18"/>
      <c r="E45" s="18"/>
      <c r="F45" s="18">
        <f>SUM(C45-B45)</f>
        <v>0</v>
      </c>
      <c r="G45" s="18">
        <f>SUM(E45-D45)</f>
        <v>0</v>
      </c>
      <c r="H45" s="33">
        <f>SUM(F45:G45)</f>
        <v>0</v>
      </c>
      <c r="J45" s="36" t="s">
        <v>21</v>
      </c>
      <c r="K45" s="19"/>
      <c r="L45" s="20"/>
      <c r="M45" s="20"/>
      <c r="N45" s="20"/>
      <c r="O45" s="20"/>
      <c r="P45" s="20"/>
      <c r="Q45" s="20"/>
      <c r="R45" s="20"/>
      <c r="S45" s="20"/>
      <c r="T45" s="20"/>
      <c r="U45" s="21"/>
      <c r="W45" s="36" t="s">
        <v>21</v>
      </c>
      <c r="X45" s="19"/>
      <c r="Y45" s="20"/>
      <c r="Z45" s="20"/>
      <c r="AA45" s="20"/>
      <c r="AB45" s="20"/>
      <c r="AC45" s="21"/>
      <c r="AE45" s="36" t="s">
        <v>21</v>
      </c>
      <c r="AF45" s="19"/>
      <c r="AG45" s="20"/>
      <c r="AH45" s="20"/>
      <c r="AI45" s="20"/>
      <c r="AJ45" s="20"/>
      <c r="AK45" s="21"/>
    </row>
    <row r="46" spans="1:37" x14ac:dyDescent="0.25">
      <c r="F46" s="2"/>
      <c r="G46" s="2"/>
      <c r="H46" s="2"/>
      <c r="J46" s="37"/>
      <c r="T46" s="22" t="s">
        <v>22</v>
      </c>
      <c r="U46" s="23">
        <f>SUM(K45:U45)</f>
        <v>0</v>
      </c>
      <c r="AB46" s="22" t="s">
        <v>22</v>
      </c>
      <c r="AC46" s="23">
        <f>SUM(X45:AC45)</f>
        <v>0</v>
      </c>
      <c r="AJ46" s="22" t="s">
        <v>22</v>
      </c>
      <c r="AK46" s="23">
        <f>SUM(AF45:AK45)</f>
        <v>0</v>
      </c>
    </row>
    <row r="47" spans="1:37" ht="15.75" thickBot="1" x14ac:dyDescent="0.3">
      <c r="A47" s="34"/>
      <c r="B47" s="171" t="s">
        <v>18</v>
      </c>
      <c r="C47" s="171"/>
      <c r="D47" s="171"/>
      <c r="E47" s="171"/>
      <c r="F47" s="171"/>
      <c r="G47" s="171"/>
      <c r="H47" s="171"/>
      <c r="J47" s="172" t="s">
        <v>18</v>
      </c>
      <c r="K47" s="172"/>
      <c r="L47" s="172"/>
      <c r="M47" s="172"/>
      <c r="N47" s="172"/>
      <c r="O47" s="172"/>
      <c r="P47" s="172"/>
      <c r="Q47" s="172"/>
      <c r="R47" s="172"/>
      <c r="S47" s="172"/>
      <c r="T47" s="172"/>
      <c r="U47" s="172"/>
      <c r="W47" s="173" t="str">
        <f>J47</f>
        <v>Outubro</v>
      </c>
      <c r="X47" s="173"/>
      <c r="Y47" s="173"/>
      <c r="Z47" s="173"/>
      <c r="AA47" s="173"/>
      <c r="AB47" s="173"/>
      <c r="AC47" s="173"/>
      <c r="AE47" s="174" t="str">
        <f>W47</f>
        <v>Outubro</v>
      </c>
      <c r="AF47" s="174"/>
      <c r="AG47" s="174"/>
      <c r="AH47" s="174"/>
      <c r="AI47" s="174"/>
      <c r="AJ47" s="174"/>
      <c r="AK47" s="174"/>
    </row>
    <row r="48" spans="1:37" ht="15.75" thickBot="1" x14ac:dyDescent="0.3">
      <c r="A48" s="168" t="s">
        <v>4</v>
      </c>
      <c r="B48" s="10" t="s">
        <v>5</v>
      </c>
      <c r="C48" s="11" t="s">
        <v>6</v>
      </c>
      <c r="D48" s="12" t="s">
        <v>7</v>
      </c>
      <c r="E48" s="11" t="s">
        <v>8</v>
      </c>
      <c r="F48" s="12" t="s">
        <v>9</v>
      </c>
      <c r="G48" s="11" t="s">
        <v>10</v>
      </c>
      <c r="H48" s="32" t="s">
        <v>11</v>
      </c>
      <c r="J48" s="35" t="s">
        <v>3</v>
      </c>
      <c r="K48" s="14"/>
      <c r="L48" s="15"/>
      <c r="M48" s="15"/>
      <c r="N48" s="15"/>
      <c r="O48" s="15"/>
      <c r="P48" s="15"/>
      <c r="Q48" s="15"/>
      <c r="R48" s="15"/>
      <c r="S48" s="15"/>
      <c r="T48" s="15"/>
      <c r="U48" s="16"/>
      <c r="W48" s="35" t="s">
        <v>3</v>
      </c>
      <c r="X48" s="14"/>
      <c r="Y48" s="15"/>
      <c r="Z48" s="15"/>
      <c r="AA48" s="15"/>
      <c r="AB48" s="15"/>
      <c r="AC48" s="16"/>
      <c r="AE48" s="35" t="s">
        <v>3</v>
      </c>
      <c r="AF48" s="14"/>
      <c r="AG48" s="15"/>
      <c r="AH48" s="15"/>
      <c r="AI48" s="15"/>
      <c r="AJ48" s="15"/>
      <c r="AK48" s="16"/>
    </row>
    <row r="49" spans="1:37" ht="15.75" thickBot="1" x14ac:dyDescent="0.3">
      <c r="A49" s="168"/>
      <c r="B49" s="17"/>
      <c r="C49" s="18"/>
      <c r="D49" s="18"/>
      <c r="E49" s="18"/>
      <c r="F49" s="18">
        <f>SUM(C49-B49)</f>
        <v>0</v>
      </c>
      <c r="G49" s="18">
        <f>SUM(E49-D49)</f>
        <v>0</v>
      </c>
      <c r="H49" s="33">
        <f>SUM(F49:G49)</f>
        <v>0</v>
      </c>
      <c r="J49" s="36" t="s">
        <v>21</v>
      </c>
      <c r="K49" s="19"/>
      <c r="L49" s="20"/>
      <c r="M49" s="20"/>
      <c r="N49" s="20"/>
      <c r="O49" s="20"/>
      <c r="P49" s="20"/>
      <c r="Q49" s="20"/>
      <c r="R49" s="20"/>
      <c r="S49" s="20"/>
      <c r="T49" s="20"/>
      <c r="U49" s="21"/>
      <c r="W49" s="36" t="s">
        <v>21</v>
      </c>
      <c r="X49" s="19"/>
      <c r="Y49" s="20"/>
      <c r="Z49" s="20"/>
      <c r="AA49" s="20"/>
      <c r="AB49" s="20"/>
      <c r="AC49" s="21"/>
      <c r="AE49" s="36" t="s">
        <v>21</v>
      </c>
      <c r="AF49" s="19"/>
      <c r="AG49" s="20"/>
      <c r="AH49" s="20"/>
      <c r="AI49" s="20"/>
      <c r="AJ49" s="20"/>
      <c r="AK49" s="21"/>
    </row>
    <row r="50" spans="1:37" x14ac:dyDescent="0.25">
      <c r="F50" s="2"/>
      <c r="G50" s="2"/>
      <c r="H50" s="2"/>
      <c r="J50" s="37"/>
      <c r="T50" s="22" t="s">
        <v>22</v>
      </c>
      <c r="U50" s="23">
        <f>SUM(K49:U49)</f>
        <v>0</v>
      </c>
      <c r="AB50" s="22" t="s">
        <v>22</v>
      </c>
      <c r="AC50" s="23">
        <f>SUM(X49:AC49)</f>
        <v>0</v>
      </c>
      <c r="AJ50" s="22" t="s">
        <v>22</v>
      </c>
      <c r="AK50" s="23">
        <f>SUM(AF49:AK49)</f>
        <v>0</v>
      </c>
    </row>
    <row r="51" spans="1:37" ht="15.75" thickBot="1" x14ac:dyDescent="0.3">
      <c r="A51" s="34"/>
      <c r="B51" s="171" t="s">
        <v>19</v>
      </c>
      <c r="C51" s="171"/>
      <c r="D51" s="171"/>
      <c r="E51" s="171"/>
      <c r="F51" s="171"/>
      <c r="G51" s="171"/>
      <c r="H51" s="171"/>
      <c r="J51" s="172" t="s">
        <v>19</v>
      </c>
      <c r="K51" s="172"/>
      <c r="L51" s="172"/>
      <c r="M51" s="172"/>
      <c r="N51" s="172"/>
      <c r="O51" s="172"/>
      <c r="P51" s="172"/>
      <c r="Q51" s="172"/>
      <c r="R51" s="172"/>
      <c r="S51" s="172"/>
      <c r="T51" s="172"/>
      <c r="U51" s="172"/>
      <c r="W51" s="173" t="str">
        <f>J51</f>
        <v>Novembro</v>
      </c>
      <c r="X51" s="173"/>
      <c r="Y51" s="173"/>
      <c r="Z51" s="173"/>
      <c r="AA51" s="173"/>
      <c r="AB51" s="173"/>
      <c r="AC51" s="173"/>
      <c r="AE51" s="174" t="str">
        <f>W51</f>
        <v>Novembro</v>
      </c>
      <c r="AF51" s="174"/>
      <c r="AG51" s="174"/>
      <c r="AH51" s="174"/>
      <c r="AI51" s="174"/>
      <c r="AJ51" s="174"/>
      <c r="AK51" s="174"/>
    </row>
    <row r="52" spans="1:37" ht="15.75" thickBot="1" x14ac:dyDescent="0.3">
      <c r="A52" s="168" t="s">
        <v>4</v>
      </c>
      <c r="B52" s="10" t="s">
        <v>5</v>
      </c>
      <c r="C52" s="11" t="s">
        <v>6</v>
      </c>
      <c r="D52" s="12" t="s">
        <v>7</v>
      </c>
      <c r="E52" s="11" t="s">
        <v>8</v>
      </c>
      <c r="F52" s="12" t="s">
        <v>9</v>
      </c>
      <c r="G52" s="11" t="s">
        <v>10</v>
      </c>
      <c r="H52" s="32" t="s">
        <v>11</v>
      </c>
      <c r="J52" s="35" t="s">
        <v>3</v>
      </c>
      <c r="K52" s="14"/>
      <c r="L52" s="15"/>
      <c r="M52" s="15"/>
      <c r="N52" s="15"/>
      <c r="O52" s="15"/>
      <c r="P52" s="15"/>
      <c r="Q52" s="15"/>
      <c r="R52" s="15"/>
      <c r="S52" s="15"/>
      <c r="T52" s="15"/>
      <c r="U52" s="16"/>
      <c r="W52" s="35" t="s">
        <v>3</v>
      </c>
      <c r="X52" s="14"/>
      <c r="Y52" s="15"/>
      <c r="Z52" s="15"/>
      <c r="AA52" s="15"/>
      <c r="AB52" s="15"/>
      <c r="AC52" s="16"/>
      <c r="AE52" s="35" t="s">
        <v>3</v>
      </c>
      <c r="AF52" s="14"/>
      <c r="AG52" s="15"/>
      <c r="AH52" s="15"/>
      <c r="AI52" s="15"/>
      <c r="AJ52" s="15"/>
      <c r="AK52" s="16"/>
    </row>
    <row r="53" spans="1:37" ht="15.75" thickBot="1" x14ac:dyDescent="0.3">
      <c r="A53" s="168"/>
      <c r="B53" s="17"/>
      <c r="C53" s="18"/>
      <c r="D53" s="18"/>
      <c r="E53" s="18"/>
      <c r="F53" s="18">
        <f>SUM(C53-B53)</f>
        <v>0</v>
      </c>
      <c r="G53" s="18">
        <f>SUM(E53-D53)</f>
        <v>0</v>
      </c>
      <c r="H53" s="33">
        <f>SUM(F53:G53)</f>
        <v>0</v>
      </c>
      <c r="J53" s="36" t="s">
        <v>21</v>
      </c>
      <c r="K53" s="19"/>
      <c r="L53" s="20"/>
      <c r="M53" s="20"/>
      <c r="N53" s="20"/>
      <c r="O53" s="20"/>
      <c r="P53" s="20"/>
      <c r="Q53" s="20"/>
      <c r="R53" s="20"/>
      <c r="S53" s="20"/>
      <c r="T53" s="20"/>
      <c r="U53" s="21"/>
      <c r="W53" s="36" t="s">
        <v>21</v>
      </c>
      <c r="X53" s="19"/>
      <c r="Y53" s="20"/>
      <c r="Z53" s="20"/>
      <c r="AA53" s="20"/>
      <c r="AB53" s="20"/>
      <c r="AC53" s="21"/>
      <c r="AE53" s="36" t="s">
        <v>21</v>
      </c>
      <c r="AF53" s="19"/>
      <c r="AG53" s="20"/>
      <c r="AH53" s="20"/>
      <c r="AI53" s="20"/>
      <c r="AJ53" s="20"/>
      <c r="AK53" s="21"/>
    </row>
    <row r="54" spans="1:37" x14ac:dyDescent="0.25">
      <c r="F54" s="2"/>
      <c r="G54" s="2"/>
      <c r="H54" s="2"/>
      <c r="J54" s="37"/>
      <c r="T54" s="22" t="s">
        <v>22</v>
      </c>
      <c r="U54" s="23">
        <f>SUM(K53:U53)</f>
        <v>0</v>
      </c>
      <c r="AB54" s="22" t="s">
        <v>22</v>
      </c>
      <c r="AC54" s="23">
        <f>SUM(X53:AC53)</f>
        <v>0</v>
      </c>
      <c r="AJ54" s="22" t="s">
        <v>22</v>
      </c>
      <c r="AK54" s="23">
        <f>SUM(AF53:AK53)</f>
        <v>0</v>
      </c>
    </row>
    <row r="55" spans="1:37" ht="15.75" thickBot="1" x14ac:dyDescent="0.3">
      <c r="A55" s="34"/>
      <c r="B55" s="171" t="s">
        <v>20</v>
      </c>
      <c r="C55" s="171"/>
      <c r="D55" s="171"/>
      <c r="E55" s="171"/>
      <c r="F55" s="171"/>
      <c r="G55" s="171"/>
      <c r="H55" s="171"/>
      <c r="J55" s="172" t="s">
        <v>20</v>
      </c>
      <c r="K55" s="172"/>
      <c r="L55" s="172"/>
      <c r="M55" s="172"/>
      <c r="N55" s="172"/>
      <c r="O55" s="172"/>
      <c r="P55" s="172"/>
      <c r="Q55" s="172"/>
      <c r="R55" s="172"/>
      <c r="S55" s="172"/>
      <c r="T55" s="172"/>
      <c r="U55" s="172"/>
      <c r="W55" s="173" t="str">
        <f>J55</f>
        <v>Dezembro</v>
      </c>
      <c r="X55" s="173"/>
      <c r="Y55" s="173"/>
      <c r="Z55" s="173"/>
      <c r="AA55" s="173"/>
      <c r="AB55" s="173"/>
      <c r="AC55" s="173"/>
      <c r="AE55" s="174" t="str">
        <f>W55</f>
        <v>Dezembro</v>
      </c>
      <c r="AF55" s="174"/>
      <c r="AG55" s="174"/>
      <c r="AH55" s="174"/>
      <c r="AI55" s="174"/>
      <c r="AJ55" s="174"/>
      <c r="AK55" s="174"/>
    </row>
    <row r="56" spans="1:37" ht="15.75" thickBot="1" x14ac:dyDescent="0.3">
      <c r="A56" s="168" t="s">
        <v>4</v>
      </c>
      <c r="B56" s="10" t="s">
        <v>5</v>
      </c>
      <c r="C56" s="11" t="s">
        <v>6</v>
      </c>
      <c r="D56" s="12" t="s">
        <v>7</v>
      </c>
      <c r="E56" s="11" t="s">
        <v>8</v>
      </c>
      <c r="F56" s="12" t="s">
        <v>9</v>
      </c>
      <c r="G56" s="11" t="s">
        <v>10</v>
      </c>
      <c r="H56" s="32" t="s">
        <v>11</v>
      </c>
      <c r="J56" s="35" t="s">
        <v>3</v>
      </c>
      <c r="K56" s="14"/>
      <c r="L56" s="15"/>
      <c r="M56" s="15"/>
      <c r="N56" s="15"/>
      <c r="O56" s="15"/>
      <c r="P56" s="15"/>
      <c r="Q56" s="15"/>
      <c r="R56" s="15"/>
      <c r="S56" s="15"/>
      <c r="T56" s="15"/>
      <c r="U56" s="16"/>
      <c r="W56" s="35" t="s">
        <v>3</v>
      </c>
      <c r="X56" s="14"/>
      <c r="Y56" s="15"/>
      <c r="Z56" s="15"/>
      <c r="AA56" s="15"/>
      <c r="AB56" s="15"/>
      <c r="AC56" s="16"/>
      <c r="AE56" s="35" t="s">
        <v>3</v>
      </c>
      <c r="AF56" s="14"/>
      <c r="AG56" s="15"/>
      <c r="AH56" s="15"/>
      <c r="AI56" s="15"/>
      <c r="AJ56" s="15"/>
      <c r="AK56" s="16"/>
    </row>
    <row r="57" spans="1:37" ht="15.75" thickBot="1" x14ac:dyDescent="0.3">
      <c r="A57" s="168"/>
      <c r="B57" s="17"/>
      <c r="C57" s="18"/>
      <c r="D57" s="18"/>
      <c r="E57" s="18"/>
      <c r="F57" s="18">
        <f>SUM(C57-B57)</f>
        <v>0</v>
      </c>
      <c r="G57" s="18">
        <f>SUM(E57-D57)</f>
        <v>0</v>
      </c>
      <c r="H57" s="33">
        <f>SUM(F57:G57)</f>
        <v>0</v>
      </c>
      <c r="J57" s="36" t="s">
        <v>21</v>
      </c>
      <c r="K57" s="19"/>
      <c r="L57" s="20"/>
      <c r="M57" s="20"/>
      <c r="N57" s="20"/>
      <c r="O57" s="20"/>
      <c r="P57" s="20"/>
      <c r="Q57" s="20"/>
      <c r="R57" s="20"/>
      <c r="S57" s="20"/>
      <c r="T57" s="20"/>
      <c r="U57" s="21"/>
      <c r="W57" s="36" t="s">
        <v>21</v>
      </c>
      <c r="X57" s="19"/>
      <c r="Y57" s="20"/>
      <c r="Z57" s="20"/>
      <c r="AA57" s="20"/>
      <c r="AB57" s="20"/>
      <c r="AC57" s="21"/>
      <c r="AE57" s="36" t="s">
        <v>21</v>
      </c>
      <c r="AF57" s="19"/>
      <c r="AG57" s="20"/>
      <c r="AH57" s="20"/>
      <c r="AI57" s="20"/>
      <c r="AJ57" s="20"/>
      <c r="AK57" s="21"/>
    </row>
    <row r="58" spans="1:37" x14ac:dyDescent="0.25">
      <c r="J58" s="37"/>
      <c r="T58" s="22" t="s">
        <v>22</v>
      </c>
      <c r="U58" s="23">
        <f>SUM(K57:U57)</f>
        <v>0</v>
      </c>
      <c r="AB58" s="22" t="s">
        <v>22</v>
      </c>
      <c r="AC58" s="23">
        <f>SUM(X57:AC57)</f>
        <v>0</v>
      </c>
      <c r="AJ58" s="22" t="s">
        <v>22</v>
      </c>
      <c r="AK58" s="23">
        <f>SUM(AF57:AK57)</f>
        <v>0</v>
      </c>
    </row>
  </sheetData>
  <mergeCells count="71">
    <mergeCell ref="B55:H55"/>
    <mergeCell ref="J55:U55"/>
    <mergeCell ref="W55:AC55"/>
    <mergeCell ref="AE55:AK55"/>
    <mergeCell ref="A56:A57"/>
    <mergeCell ref="A52:A53"/>
    <mergeCell ref="B43:H43"/>
    <mergeCell ref="J43:U43"/>
    <mergeCell ref="W43:AC43"/>
    <mergeCell ref="AE43:AK43"/>
    <mergeCell ref="A44:A45"/>
    <mergeCell ref="B47:H47"/>
    <mergeCell ref="J47:U47"/>
    <mergeCell ref="W47:AC47"/>
    <mergeCell ref="AE47:AK47"/>
    <mergeCell ref="A48:A49"/>
    <mergeCell ref="B51:H51"/>
    <mergeCell ref="J51:U51"/>
    <mergeCell ref="W51:AC51"/>
    <mergeCell ref="AE51:AK51"/>
    <mergeCell ref="A40:A41"/>
    <mergeCell ref="B31:H31"/>
    <mergeCell ref="J31:U31"/>
    <mergeCell ref="W31:AC31"/>
    <mergeCell ref="AE31:AK31"/>
    <mergeCell ref="A32:A33"/>
    <mergeCell ref="B35:H35"/>
    <mergeCell ref="J35:U35"/>
    <mergeCell ref="W35:AC35"/>
    <mergeCell ref="AE35:AK35"/>
    <mergeCell ref="A36:A37"/>
    <mergeCell ref="B39:H39"/>
    <mergeCell ref="J39:U39"/>
    <mergeCell ref="W39:AC39"/>
    <mergeCell ref="AE39:AK39"/>
    <mergeCell ref="A28:A29"/>
    <mergeCell ref="B19:H19"/>
    <mergeCell ref="J19:U19"/>
    <mergeCell ref="W19:AC19"/>
    <mergeCell ref="AE19:AK19"/>
    <mergeCell ref="A20:A21"/>
    <mergeCell ref="B23:H23"/>
    <mergeCell ref="J23:U23"/>
    <mergeCell ref="W23:AC23"/>
    <mergeCell ref="AE23:AK23"/>
    <mergeCell ref="A24:A25"/>
    <mergeCell ref="B27:H27"/>
    <mergeCell ref="J27:U27"/>
    <mergeCell ref="W27:AC27"/>
    <mergeCell ref="AE27:AK27"/>
    <mergeCell ref="A16:A17"/>
    <mergeCell ref="A9:H9"/>
    <mergeCell ref="J9:U9"/>
    <mergeCell ref="W9:AC9"/>
    <mergeCell ref="AE9:AK9"/>
    <mergeCell ref="B11:H11"/>
    <mergeCell ref="J11:U11"/>
    <mergeCell ref="W11:AC11"/>
    <mergeCell ref="AE11:AK11"/>
    <mergeCell ref="A12:A13"/>
    <mergeCell ref="B15:H15"/>
    <mergeCell ref="J15:U15"/>
    <mergeCell ref="W15:AC15"/>
    <mergeCell ref="AE15:AK15"/>
    <mergeCell ref="B6:C6"/>
    <mergeCell ref="E6:F6"/>
    <mergeCell ref="A1:A2"/>
    <mergeCell ref="B1:AK1"/>
    <mergeCell ref="B2:AK2"/>
    <mergeCell ref="B4:C4"/>
    <mergeCell ref="E4:F4"/>
  </mergeCells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28</vt:i4>
      </vt:variant>
    </vt:vector>
  </HeadingPairs>
  <TitlesOfParts>
    <vt:vector size="28" baseType="lpstr">
      <vt:lpstr>Resumo Geral</vt:lpstr>
      <vt:lpstr>Resumo Individual</vt:lpstr>
      <vt:lpstr>Luis Daladiuer</vt:lpstr>
      <vt:lpstr>Ronieri</vt:lpstr>
      <vt:lpstr>Francisco Augusto</vt:lpstr>
      <vt:lpstr>Francisco de Morais</vt:lpstr>
      <vt:lpstr>Ana Caroline</vt:lpstr>
      <vt:lpstr>Eric</vt:lpstr>
      <vt:lpstr>Nilberto-Desmob</vt:lpstr>
      <vt:lpstr>Jair-Desmob</vt:lpstr>
      <vt:lpstr>Francisco de Morais-Desmob</vt:lpstr>
      <vt:lpstr>Roniere-Desmob</vt:lpstr>
      <vt:lpstr>Jair - Desmob.</vt:lpstr>
      <vt:lpstr>Ana Luiza - Desmob</vt:lpstr>
      <vt:lpstr>Francisco Augusto-Desmob</vt:lpstr>
      <vt:lpstr>Sávio-Desmob2</vt:lpstr>
      <vt:lpstr>Sávio-Desmob</vt:lpstr>
      <vt:lpstr>Eric-Desmob</vt:lpstr>
      <vt:lpstr>Washington - Desmob</vt:lpstr>
      <vt:lpstr>Jhonny-Desmob</vt:lpstr>
      <vt:lpstr>Washington-Devolvido</vt:lpstr>
      <vt:lpstr>Jhonny-Devol</vt:lpstr>
      <vt:lpstr>Rildson-Desmob</vt:lpstr>
      <vt:lpstr>Rute - Devolvido</vt:lpstr>
      <vt:lpstr>Planilha2</vt:lpstr>
      <vt:lpstr>Planilha3</vt:lpstr>
      <vt:lpstr>Planilha4</vt:lpstr>
      <vt:lpstr>Planilha5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JONATHAN PEREIRA MASCARENHAS</dc:creator>
  <cp:lastModifiedBy>Office 6</cp:lastModifiedBy>
  <dcterms:created xsi:type="dcterms:W3CDTF">2024-01-31T23:17:24Z</dcterms:created>
  <dcterms:modified xsi:type="dcterms:W3CDTF">2026-06-08T18:23:00Z</dcterms:modified>
</cp:coreProperties>
</file>